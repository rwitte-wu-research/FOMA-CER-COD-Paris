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te\Desktop\Neuer Ordner\"/>
    </mc:Choice>
  </mc:AlternateContent>
  <xr:revisionPtr revIDLastSave="0" documentId="13_ncr:1_{C3D34586-F8F0-41D0-8108-0570F4E548B4}" xr6:coauthVersionLast="47" xr6:coauthVersionMax="47" xr10:uidLastSave="{00000000-0000-0000-0000-000000000000}"/>
  <bookViews>
    <workbookView xWindow="-108" yWindow="-108" windowWidth="23256" windowHeight="13896" xr2:uid="{C1940F08-A004-4362-B649-6DCE5F11D97D}"/>
  </bookViews>
  <sheets>
    <sheet name="data" sheetId="3" r:id="rId1"/>
    <sheet name="country_lookup" sheetId="2" r:id="rId2"/>
    <sheet name="source_lookup" sheetId="4" r:id="rId3"/>
    <sheet name="notes" sheetId="6" r:id="rId4"/>
    <sheet name="formula" sheetId="5" r:id="rId5"/>
  </sheets>
  <definedNames>
    <definedName name="_xlnm._FilterDatabase" localSheetId="1" hidden="1">country_lookup!$A$1:$G$36</definedName>
    <definedName name="_xlnm._FilterDatabase" localSheetId="0" hidden="1">data!$A$1:$AW$1307</definedName>
    <definedName name="_xlnm._FilterDatabase" localSheetId="2" hidden="1">source_lookup!$A$1:$M$66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66" i="4" l="1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1" i="4"/>
  <c r="M50" i="4"/>
  <c r="M49" i="4"/>
  <c r="M48" i="4"/>
  <c r="M46" i="4"/>
  <c r="M45" i="4"/>
  <c r="M44" i="4"/>
  <c r="M43" i="4"/>
  <c r="M42" i="4"/>
  <c r="M41" i="4"/>
  <c r="M40" i="4"/>
  <c r="M39" i="4"/>
  <c r="M38" i="4"/>
  <c r="M36" i="4"/>
  <c r="M35" i="4"/>
  <c r="M34" i="4"/>
  <c r="M33" i="4"/>
  <c r="M32" i="4"/>
  <c r="M31" i="4"/>
  <c r="M30" i="4"/>
  <c r="M29" i="4"/>
  <c r="M28" i="4"/>
  <c r="M27" i="4"/>
  <c r="M26" i="4"/>
  <c r="M25" i="4"/>
  <c r="M23" i="4"/>
  <c r="M22" i="4"/>
  <c r="M21" i="4"/>
  <c r="M20" i="4"/>
  <c r="M19" i="4"/>
  <c r="M18" i="4"/>
  <c r="M17" i="4"/>
  <c r="M16" i="4"/>
  <c r="M15" i="4"/>
  <c r="M13" i="4"/>
  <c r="M12" i="4"/>
  <c r="M11" i="4"/>
  <c r="M9" i="4"/>
  <c r="M8" i="4"/>
  <c r="M7" i="4"/>
  <c r="M6" i="4"/>
  <c r="M5" i="4"/>
  <c r="M3" i="4"/>
  <c r="M2" i="4"/>
  <c r="AC1307" i="3"/>
  <c r="AB1307" i="3"/>
  <c r="AA1307" i="3"/>
  <c r="AC1306" i="3"/>
  <c r="AB1306" i="3"/>
  <c r="AA1306" i="3"/>
  <c r="AC1305" i="3"/>
  <c r="AB1305" i="3"/>
  <c r="AA1305" i="3"/>
  <c r="AC1304" i="3"/>
  <c r="AB1304" i="3"/>
  <c r="AA1304" i="3"/>
  <c r="AC1303" i="3"/>
  <c r="AB1303" i="3"/>
  <c r="AA1303" i="3"/>
  <c r="AC1302" i="3"/>
  <c r="AB1302" i="3"/>
  <c r="AA1302" i="3"/>
  <c r="AC1301" i="3"/>
  <c r="AB1301" i="3"/>
  <c r="AA1301" i="3"/>
  <c r="AC1300" i="3"/>
  <c r="AB1300" i="3"/>
  <c r="AA1300" i="3"/>
  <c r="AC1299" i="3"/>
  <c r="AB1299" i="3"/>
  <c r="AA1299" i="3"/>
  <c r="AC1298" i="3"/>
  <c r="AB1298" i="3"/>
  <c r="AA1298" i="3"/>
  <c r="AC1297" i="3"/>
  <c r="AB1297" i="3"/>
  <c r="AA1297" i="3"/>
  <c r="AC1296" i="3"/>
  <c r="AB1296" i="3"/>
  <c r="AA1296" i="3"/>
  <c r="AC1295" i="3"/>
  <c r="AB1295" i="3"/>
  <c r="AA1295" i="3"/>
  <c r="AC1294" i="3"/>
  <c r="AB1294" i="3"/>
  <c r="AA1294" i="3"/>
  <c r="AC1293" i="3"/>
  <c r="AB1293" i="3"/>
  <c r="AA1293" i="3"/>
  <c r="AC1292" i="3"/>
  <c r="AB1292" i="3"/>
  <c r="AA1292" i="3"/>
  <c r="AC1291" i="3"/>
  <c r="AB1291" i="3"/>
  <c r="AA1291" i="3"/>
  <c r="AC1290" i="3"/>
  <c r="AB1290" i="3"/>
  <c r="AA1290" i="3"/>
  <c r="AC1289" i="3"/>
  <c r="AB1289" i="3"/>
  <c r="AA1289" i="3"/>
  <c r="AC1288" i="3"/>
  <c r="AB1288" i="3"/>
  <c r="AA1288" i="3"/>
  <c r="AC1287" i="3"/>
  <c r="AB1287" i="3"/>
  <c r="AA1287" i="3"/>
  <c r="AC1286" i="3"/>
  <c r="AB1286" i="3"/>
  <c r="AA1286" i="3"/>
  <c r="AC1285" i="3"/>
  <c r="AB1285" i="3"/>
  <c r="AA1285" i="3"/>
  <c r="AC1284" i="3"/>
  <c r="AB1284" i="3"/>
  <c r="AA1284" i="3"/>
  <c r="AC1283" i="3"/>
  <c r="AB1283" i="3"/>
  <c r="AA1283" i="3"/>
  <c r="AC1282" i="3"/>
  <c r="AB1282" i="3"/>
  <c r="AA1282" i="3"/>
  <c r="AC1281" i="3"/>
  <c r="AB1281" i="3"/>
  <c r="AA1281" i="3"/>
  <c r="AC1280" i="3"/>
  <c r="AB1280" i="3"/>
  <c r="AA1280" i="3"/>
  <c r="AC1279" i="3"/>
  <c r="AB1279" i="3"/>
  <c r="AA1279" i="3"/>
  <c r="AC1278" i="3"/>
  <c r="AB1278" i="3"/>
  <c r="AA1278" i="3"/>
  <c r="AC1277" i="3"/>
  <c r="AB1277" i="3"/>
  <c r="AA1277" i="3"/>
  <c r="AC1276" i="3"/>
  <c r="AB1276" i="3"/>
  <c r="AA1276" i="3"/>
  <c r="AC1275" i="3"/>
  <c r="AB1275" i="3"/>
  <c r="AA1275" i="3"/>
  <c r="AC1274" i="3"/>
  <c r="AB1274" i="3"/>
  <c r="AA1274" i="3"/>
  <c r="AC1273" i="3"/>
  <c r="AB1273" i="3"/>
  <c r="AA1273" i="3"/>
  <c r="AC1272" i="3"/>
  <c r="AB1272" i="3"/>
  <c r="AA1272" i="3"/>
  <c r="AC1271" i="3"/>
  <c r="AB1271" i="3"/>
  <c r="AA1271" i="3"/>
  <c r="AC1270" i="3"/>
  <c r="AB1270" i="3"/>
  <c r="AA1270" i="3"/>
  <c r="AC1269" i="3"/>
  <c r="AB1269" i="3"/>
  <c r="AA1269" i="3"/>
  <c r="AC1268" i="3"/>
  <c r="AB1268" i="3"/>
  <c r="AA1268" i="3"/>
  <c r="AC1267" i="3"/>
  <c r="AB1267" i="3"/>
  <c r="AA1267" i="3"/>
  <c r="AC1266" i="3"/>
  <c r="AB1266" i="3"/>
  <c r="AA1266" i="3"/>
  <c r="AC1265" i="3"/>
  <c r="AB1265" i="3"/>
  <c r="AA1265" i="3"/>
  <c r="AC1264" i="3"/>
  <c r="AB1264" i="3"/>
  <c r="AA1264" i="3"/>
  <c r="AC1263" i="3"/>
  <c r="AB1263" i="3"/>
  <c r="AA1263" i="3"/>
  <c r="AC1262" i="3"/>
  <c r="AB1262" i="3"/>
  <c r="AA1262" i="3"/>
  <c r="AC1261" i="3"/>
  <c r="AB1261" i="3"/>
  <c r="AA1261" i="3"/>
  <c r="AC1260" i="3"/>
  <c r="AB1260" i="3"/>
  <c r="AA1260" i="3"/>
  <c r="AC1259" i="3"/>
  <c r="AB1259" i="3"/>
  <c r="AA1259" i="3"/>
  <c r="AC1258" i="3"/>
  <c r="AB1258" i="3"/>
  <c r="AA1258" i="3"/>
  <c r="AC1257" i="3"/>
  <c r="AB1257" i="3"/>
  <c r="AA1257" i="3"/>
  <c r="AC1256" i="3"/>
  <c r="AB1256" i="3"/>
  <c r="AA1256" i="3"/>
  <c r="AC1255" i="3"/>
  <c r="AB1255" i="3"/>
  <c r="AA1255" i="3"/>
  <c r="AC1254" i="3"/>
  <c r="AB1254" i="3"/>
  <c r="AA1254" i="3"/>
  <c r="AC1253" i="3"/>
  <c r="AB1253" i="3"/>
  <c r="AA1253" i="3"/>
  <c r="AC1252" i="3"/>
  <c r="AB1252" i="3"/>
  <c r="AA1252" i="3"/>
  <c r="AC1251" i="3"/>
  <c r="AB1251" i="3"/>
  <c r="AA1251" i="3"/>
  <c r="AC1250" i="3"/>
  <c r="AB1250" i="3"/>
  <c r="AA1250" i="3"/>
  <c r="AC1249" i="3"/>
  <c r="AB1249" i="3"/>
  <c r="AA1249" i="3"/>
  <c r="AC1248" i="3"/>
  <c r="AB1248" i="3"/>
  <c r="AA1248" i="3"/>
  <c r="AC1247" i="3"/>
  <c r="AB1247" i="3"/>
  <c r="AA1247" i="3"/>
  <c r="AC1246" i="3"/>
  <c r="AB1246" i="3"/>
  <c r="AA1246" i="3"/>
  <c r="AC1245" i="3"/>
  <c r="AB1245" i="3"/>
  <c r="AA1245" i="3"/>
  <c r="AC1244" i="3"/>
  <c r="AB1244" i="3"/>
  <c r="AA1244" i="3"/>
  <c r="AC1243" i="3"/>
  <c r="AB1243" i="3"/>
  <c r="AA1243" i="3"/>
  <c r="AC1242" i="3"/>
  <c r="AB1242" i="3"/>
  <c r="AA1242" i="3"/>
  <c r="AC1241" i="3"/>
  <c r="AB1241" i="3"/>
  <c r="AA1241" i="3"/>
  <c r="AC1240" i="3"/>
  <c r="AB1240" i="3"/>
  <c r="AA1240" i="3"/>
  <c r="AC1239" i="3"/>
  <c r="AB1239" i="3"/>
  <c r="AA1239" i="3"/>
  <c r="AC1238" i="3"/>
  <c r="AB1238" i="3"/>
  <c r="AA1238" i="3"/>
  <c r="AC1237" i="3"/>
  <c r="AB1237" i="3"/>
  <c r="AA1237" i="3"/>
  <c r="AC1236" i="3"/>
  <c r="AB1236" i="3"/>
  <c r="AA1236" i="3"/>
  <c r="AC1235" i="3"/>
  <c r="AB1235" i="3"/>
  <c r="AA1235" i="3"/>
  <c r="AC1234" i="3"/>
  <c r="AB1234" i="3"/>
  <c r="AA1234" i="3"/>
  <c r="AC1233" i="3"/>
  <c r="AB1233" i="3"/>
  <c r="AA1233" i="3"/>
  <c r="AC1232" i="3"/>
  <c r="AB1232" i="3"/>
  <c r="AA1232" i="3"/>
  <c r="AC1231" i="3"/>
  <c r="AB1231" i="3"/>
  <c r="AA1231" i="3"/>
  <c r="AC1230" i="3"/>
  <c r="AB1230" i="3"/>
  <c r="AA1230" i="3"/>
  <c r="AC1229" i="3"/>
  <c r="AB1229" i="3"/>
  <c r="AA1229" i="3"/>
  <c r="AC1228" i="3"/>
  <c r="AB1228" i="3"/>
  <c r="AA1228" i="3"/>
  <c r="AC1227" i="3"/>
  <c r="AB1227" i="3"/>
  <c r="AA1227" i="3"/>
  <c r="AC1226" i="3"/>
  <c r="AB1226" i="3"/>
  <c r="AA1226" i="3"/>
  <c r="AC1225" i="3"/>
  <c r="AB1225" i="3"/>
  <c r="AA1225" i="3"/>
  <c r="AC1224" i="3"/>
  <c r="AB1224" i="3"/>
  <c r="AA1224" i="3"/>
  <c r="AC1223" i="3"/>
  <c r="AB1223" i="3"/>
  <c r="AA1223" i="3"/>
  <c r="AC1222" i="3"/>
  <c r="AB1222" i="3"/>
  <c r="AA1222" i="3"/>
  <c r="AC1221" i="3"/>
  <c r="AB1221" i="3"/>
  <c r="AA1221" i="3"/>
  <c r="AC1220" i="3"/>
  <c r="AB1220" i="3"/>
  <c r="AA1220" i="3"/>
  <c r="AC1219" i="3"/>
  <c r="AB1219" i="3"/>
  <c r="AA1219" i="3"/>
  <c r="AC1218" i="3"/>
  <c r="AB1218" i="3"/>
  <c r="AA1218" i="3"/>
  <c r="AC1217" i="3"/>
  <c r="AB1217" i="3"/>
  <c r="AA1217" i="3"/>
  <c r="AC1216" i="3"/>
  <c r="AB1216" i="3"/>
  <c r="AA1216" i="3"/>
  <c r="AC1215" i="3"/>
  <c r="AB1215" i="3"/>
  <c r="AA1215" i="3"/>
  <c r="AC1214" i="3"/>
  <c r="AB1214" i="3"/>
  <c r="AA1214" i="3"/>
  <c r="AC1213" i="3"/>
  <c r="AB1213" i="3"/>
  <c r="AA1213" i="3"/>
  <c r="AC1212" i="3"/>
  <c r="AB1212" i="3"/>
  <c r="AA1212" i="3"/>
  <c r="AC1211" i="3"/>
  <c r="AB1211" i="3"/>
  <c r="AA1211" i="3"/>
  <c r="AC1210" i="3"/>
  <c r="AB1210" i="3"/>
  <c r="AA1210" i="3"/>
  <c r="AC1209" i="3"/>
  <c r="AB1209" i="3"/>
  <c r="AA1209" i="3"/>
  <c r="AC1208" i="3"/>
  <c r="AB1208" i="3"/>
  <c r="AA1208" i="3"/>
  <c r="AC1207" i="3"/>
  <c r="AB1207" i="3"/>
  <c r="AA1207" i="3"/>
  <c r="AC1206" i="3"/>
  <c r="AB1206" i="3"/>
  <c r="AA1206" i="3"/>
  <c r="AC1205" i="3"/>
  <c r="AB1205" i="3"/>
  <c r="AA1205" i="3"/>
  <c r="AC1204" i="3"/>
  <c r="AB1204" i="3"/>
  <c r="AA1204" i="3"/>
  <c r="AC1203" i="3"/>
  <c r="AB1203" i="3"/>
  <c r="AA1203" i="3"/>
  <c r="AC1202" i="3"/>
  <c r="AB1202" i="3"/>
  <c r="AA1202" i="3"/>
  <c r="AC1201" i="3"/>
  <c r="AB1201" i="3"/>
  <c r="AA1201" i="3"/>
  <c r="AC1200" i="3"/>
  <c r="AB1200" i="3"/>
  <c r="AA1200" i="3"/>
  <c r="AC1199" i="3"/>
  <c r="AB1199" i="3"/>
  <c r="AA1199" i="3"/>
  <c r="AC1198" i="3"/>
  <c r="AB1198" i="3"/>
  <c r="AA1198" i="3"/>
  <c r="AC1197" i="3"/>
  <c r="AB1197" i="3"/>
  <c r="AA1197" i="3"/>
  <c r="AC1196" i="3"/>
  <c r="AB1196" i="3"/>
  <c r="AA1196" i="3"/>
  <c r="AC1195" i="3"/>
  <c r="AB1195" i="3"/>
  <c r="AA1195" i="3"/>
  <c r="AC1194" i="3"/>
  <c r="AB1194" i="3"/>
  <c r="AA1194" i="3"/>
  <c r="AC1193" i="3"/>
  <c r="AB1193" i="3"/>
  <c r="AA1193" i="3"/>
  <c r="AC1192" i="3"/>
  <c r="AB1192" i="3"/>
  <c r="AA1192" i="3"/>
  <c r="AC1191" i="3"/>
  <c r="AB1191" i="3"/>
  <c r="AA1191" i="3"/>
  <c r="AC1190" i="3"/>
  <c r="AB1190" i="3"/>
  <c r="AA1190" i="3"/>
  <c r="AC1189" i="3"/>
  <c r="AB1189" i="3"/>
  <c r="AA1189" i="3"/>
  <c r="AC1188" i="3"/>
  <c r="AB1188" i="3"/>
  <c r="AA1188" i="3"/>
  <c r="AC1187" i="3"/>
  <c r="AB1187" i="3"/>
  <c r="AA1187" i="3"/>
  <c r="AC1186" i="3"/>
  <c r="AB1186" i="3"/>
  <c r="AA1186" i="3"/>
  <c r="AC1185" i="3"/>
  <c r="AB1185" i="3"/>
  <c r="AA1185" i="3"/>
  <c r="AC1184" i="3"/>
  <c r="AB1184" i="3"/>
  <c r="AA1184" i="3"/>
  <c r="AC1183" i="3"/>
  <c r="AB1183" i="3"/>
  <c r="AA1183" i="3"/>
  <c r="AC1182" i="3"/>
  <c r="AB1182" i="3"/>
  <c r="AA1182" i="3"/>
  <c r="AC1181" i="3"/>
  <c r="AB1181" i="3"/>
  <c r="AA1181" i="3"/>
  <c r="AC1180" i="3"/>
  <c r="AB1180" i="3"/>
  <c r="AA1180" i="3"/>
  <c r="AC1179" i="3"/>
  <c r="AB1179" i="3"/>
  <c r="AA1179" i="3"/>
  <c r="AC1178" i="3"/>
  <c r="AB1178" i="3"/>
  <c r="AA1178" i="3"/>
  <c r="AC1177" i="3"/>
  <c r="AB1177" i="3"/>
  <c r="AA1177" i="3"/>
  <c r="AC1176" i="3"/>
  <c r="AB1176" i="3"/>
  <c r="AA1176" i="3"/>
  <c r="AC1175" i="3"/>
  <c r="AB1175" i="3"/>
  <c r="AA1175" i="3"/>
  <c r="AC1174" i="3"/>
  <c r="AB1174" i="3"/>
  <c r="AA1174" i="3"/>
  <c r="AC1173" i="3"/>
  <c r="AB1173" i="3"/>
  <c r="AA1173" i="3"/>
  <c r="AC1172" i="3"/>
  <c r="AB1172" i="3"/>
  <c r="AA1172" i="3"/>
  <c r="AC1171" i="3"/>
  <c r="AB1171" i="3"/>
  <c r="AA1171" i="3"/>
  <c r="AC1170" i="3"/>
  <c r="AB1170" i="3"/>
  <c r="AA1170" i="3"/>
  <c r="AC1169" i="3"/>
  <c r="AB1169" i="3"/>
  <c r="AA1169" i="3"/>
  <c r="AC1168" i="3"/>
  <c r="AB1168" i="3"/>
  <c r="AA1168" i="3"/>
  <c r="AC1167" i="3"/>
  <c r="AB1167" i="3"/>
  <c r="AA1167" i="3"/>
  <c r="AC1166" i="3"/>
  <c r="AB1166" i="3"/>
  <c r="AA1166" i="3"/>
  <c r="AC1165" i="3"/>
  <c r="AB1165" i="3"/>
  <c r="AA1165" i="3"/>
  <c r="AC1164" i="3"/>
  <c r="AB1164" i="3"/>
  <c r="AA1164" i="3"/>
  <c r="AC1163" i="3"/>
  <c r="AB1163" i="3"/>
  <c r="AA1163" i="3"/>
  <c r="AC1162" i="3"/>
  <c r="AB1162" i="3"/>
  <c r="AA1162" i="3"/>
  <c r="AC1161" i="3"/>
  <c r="AB1161" i="3"/>
  <c r="AA1161" i="3"/>
  <c r="AC1160" i="3"/>
  <c r="AB1160" i="3"/>
  <c r="AA1160" i="3"/>
  <c r="AC1159" i="3"/>
  <c r="AB1159" i="3"/>
  <c r="AA1159" i="3"/>
  <c r="AC1158" i="3"/>
  <c r="AB1158" i="3"/>
  <c r="AA1158" i="3"/>
  <c r="AC1157" i="3"/>
  <c r="AB1157" i="3"/>
  <c r="AA1157" i="3"/>
  <c r="AC1156" i="3"/>
  <c r="AB1156" i="3"/>
  <c r="AA1156" i="3"/>
  <c r="AC1155" i="3"/>
  <c r="AB1155" i="3"/>
  <c r="AA1155" i="3"/>
  <c r="AC1154" i="3"/>
  <c r="AB1154" i="3"/>
  <c r="AA1154" i="3"/>
  <c r="AC1153" i="3"/>
  <c r="AB1153" i="3"/>
  <c r="AA1153" i="3"/>
  <c r="AC1152" i="3"/>
  <c r="AB1152" i="3"/>
  <c r="AA1152" i="3"/>
  <c r="AC1151" i="3"/>
  <c r="AB1151" i="3"/>
  <c r="AA1151" i="3"/>
  <c r="AC1150" i="3"/>
  <c r="AB1150" i="3"/>
  <c r="AA1150" i="3"/>
  <c r="AC1149" i="3"/>
  <c r="AB1149" i="3"/>
  <c r="AA1149" i="3"/>
  <c r="AC1148" i="3"/>
  <c r="AB1148" i="3"/>
  <c r="AA1148" i="3"/>
  <c r="AC1147" i="3"/>
  <c r="AB1147" i="3"/>
  <c r="AA1147" i="3"/>
  <c r="AC1146" i="3"/>
  <c r="AB1146" i="3"/>
  <c r="AA1146" i="3"/>
  <c r="AC1145" i="3"/>
  <c r="AB1145" i="3"/>
  <c r="AA1145" i="3"/>
  <c r="AC1144" i="3"/>
  <c r="AB1144" i="3"/>
  <c r="AA1144" i="3"/>
  <c r="AC1143" i="3"/>
  <c r="AB1143" i="3"/>
  <c r="AA1143" i="3"/>
  <c r="AC1142" i="3"/>
  <c r="AB1142" i="3"/>
  <c r="AA1142" i="3"/>
  <c r="AC1141" i="3"/>
  <c r="AB1141" i="3"/>
  <c r="AA1141" i="3"/>
  <c r="AC1140" i="3"/>
  <c r="AB1140" i="3"/>
  <c r="AA1140" i="3"/>
  <c r="AC1139" i="3"/>
  <c r="AB1139" i="3"/>
  <c r="AA1139" i="3"/>
  <c r="AC1138" i="3"/>
  <c r="AB1138" i="3"/>
  <c r="AA1138" i="3"/>
  <c r="AC1137" i="3"/>
  <c r="AB1137" i="3"/>
  <c r="AA1137" i="3"/>
  <c r="AC1136" i="3"/>
  <c r="AB1136" i="3"/>
  <c r="AA1136" i="3"/>
  <c r="AC1135" i="3"/>
  <c r="AB1135" i="3"/>
  <c r="AA1135" i="3"/>
  <c r="AC1134" i="3"/>
  <c r="AB1134" i="3"/>
  <c r="AA1134" i="3"/>
  <c r="AC1133" i="3"/>
  <c r="AB1133" i="3"/>
  <c r="AA1133" i="3"/>
  <c r="AC1132" i="3"/>
  <c r="AB1132" i="3"/>
  <c r="AA1132" i="3"/>
  <c r="AC1131" i="3"/>
  <c r="AB1131" i="3"/>
  <c r="AA1131" i="3"/>
  <c r="AC1130" i="3"/>
  <c r="AB1130" i="3"/>
  <c r="AA1130" i="3"/>
  <c r="AC1129" i="3"/>
  <c r="AB1129" i="3"/>
  <c r="AA1129" i="3"/>
  <c r="AC1128" i="3"/>
  <c r="AB1128" i="3"/>
  <c r="AA1128" i="3"/>
  <c r="AC1127" i="3"/>
  <c r="AB1127" i="3"/>
  <c r="AA1127" i="3"/>
  <c r="AC1126" i="3"/>
  <c r="AB1126" i="3"/>
  <c r="AA1126" i="3"/>
  <c r="AC1125" i="3"/>
  <c r="AB1125" i="3"/>
  <c r="AA1125" i="3"/>
  <c r="AC1124" i="3"/>
  <c r="AB1124" i="3"/>
  <c r="AA1124" i="3"/>
  <c r="AC1123" i="3"/>
  <c r="AB1123" i="3"/>
  <c r="AA1123" i="3"/>
  <c r="AC1122" i="3"/>
  <c r="AB1122" i="3"/>
  <c r="AA1122" i="3"/>
  <c r="AC1121" i="3"/>
  <c r="AB1121" i="3"/>
  <c r="AA1121" i="3"/>
  <c r="AC1120" i="3"/>
  <c r="AB1120" i="3"/>
  <c r="AA1120" i="3"/>
  <c r="AC1119" i="3"/>
  <c r="AB1119" i="3"/>
  <c r="AA1119" i="3"/>
  <c r="AC1118" i="3"/>
  <c r="AB1118" i="3"/>
  <c r="AA1118" i="3"/>
  <c r="AC1117" i="3"/>
  <c r="AB1117" i="3"/>
  <c r="AA1117" i="3"/>
  <c r="AC1116" i="3"/>
  <c r="AB1116" i="3"/>
  <c r="AA1116" i="3"/>
  <c r="AC1115" i="3"/>
  <c r="AB1115" i="3"/>
  <c r="AA1115" i="3"/>
  <c r="AC1114" i="3"/>
  <c r="AB1114" i="3"/>
  <c r="AA1114" i="3"/>
  <c r="AC1113" i="3"/>
  <c r="AB1113" i="3"/>
  <c r="AA1113" i="3"/>
  <c r="AC1112" i="3"/>
  <c r="AB1112" i="3"/>
  <c r="AA1112" i="3"/>
  <c r="AC1111" i="3"/>
  <c r="AB1111" i="3"/>
  <c r="AA1111" i="3"/>
  <c r="AC1110" i="3"/>
  <c r="AB1110" i="3"/>
  <c r="AA1110" i="3"/>
  <c r="AC1109" i="3"/>
  <c r="AB1109" i="3"/>
  <c r="AA1109" i="3"/>
  <c r="AC1108" i="3"/>
  <c r="AB1108" i="3"/>
  <c r="AA1108" i="3"/>
  <c r="AC1107" i="3"/>
  <c r="AB1107" i="3"/>
  <c r="AA1107" i="3"/>
  <c r="AC1106" i="3"/>
  <c r="AB1106" i="3"/>
  <c r="AA1106" i="3"/>
  <c r="AC1105" i="3"/>
  <c r="AB1105" i="3"/>
  <c r="AA1105" i="3"/>
  <c r="AC1104" i="3"/>
  <c r="AB1104" i="3"/>
  <c r="AA1104" i="3"/>
  <c r="AC1103" i="3"/>
  <c r="AB1103" i="3"/>
  <c r="AA1103" i="3"/>
  <c r="AC1102" i="3"/>
  <c r="AB1102" i="3"/>
  <c r="AA1102" i="3"/>
  <c r="AC1101" i="3"/>
  <c r="AB1101" i="3"/>
  <c r="AA1101" i="3"/>
  <c r="AC1100" i="3"/>
  <c r="AB1100" i="3"/>
  <c r="AA1100" i="3"/>
  <c r="AC1099" i="3"/>
  <c r="AB1099" i="3"/>
  <c r="AA1099" i="3"/>
  <c r="AC1098" i="3"/>
  <c r="AB1098" i="3"/>
  <c r="AA1098" i="3"/>
  <c r="AC1097" i="3"/>
  <c r="AB1097" i="3"/>
  <c r="AA1097" i="3"/>
  <c r="AC1096" i="3"/>
  <c r="AB1096" i="3"/>
  <c r="AA1096" i="3"/>
  <c r="AC1095" i="3"/>
  <c r="AB1095" i="3"/>
  <c r="AA1095" i="3"/>
  <c r="AC1094" i="3"/>
  <c r="AB1094" i="3"/>
  <c r="AA1094" i="3"/>
  <c r="AC1093" i="3"/>
  <c r="AB1093" i="3"/>
  <c r="AA1093" i="3"/>
  <c r="AC1092" i="3"/>
  <c r="AB1092" i="3"/>
  <c r="AA1092" i="3"/>
  <c r="AC1091" i="3"/>
  <c r="AB1091" i="3"/>
  <c r="AA1091" i="3"/>
  <c r="AC1090" i="3"/>
  <c r="AB1090" i="3"/>
  <c r="AA1090" i="3"/>
  <c r="AC1089" i="3"/>
  <c r="AB1089" i="3"/>
  <c r="AA1089" i="3"/>
  <c r="AC1088" i="3"/>
  <c r="AB1088" i="3"/>
  <c r="AA1088" i="3"/>
  <c r="AC1087" i="3"/>
  <c r="AB1087" i="3"/>
  <c r="AA1087" i="3"/>
  <c r="AC1086" i="3"/>
  <c r="AB1086" i="3"/>
  <c r="AA1086" i="3"/>
  <c r="AC1085" i="3"/>
  <c r="AB1085" i="3"/>
  <c r="AA1085" i="3"/>
  <c r="AC1084" i="3"/>
  <c r="AB1084" i="3"/>
  <c r="AA1084" i="3"/>
  <c r="AC1083" i="3"/>
  <c r="AB1083" i="3"/>
  <c r="AA1083" i="3"/>
  <c r="AC1082" i="3"/>
  <c r="AB1082" i="3"/>
  <c r="AA1082" i="3"/>
  <c r="AC1081" i="3"/>
  <c r="AB1081" i="3"/>
  <c r="AA1081" i="3"/>
  <c r="AC1080" i="3"/>
  <c r="AB1080" i="3"/>
  <c r="AA1080" i="3"/>
  <c r="AC1079" i="3"/>
  <c r="AB1079" i="3"/>
  <c r="AA1079" i="3"/>
  <c r="AC1078" i="3"/>
  <c r="AB1078" i="3"/>
  <c r="AA1078" i="3"/>
  <c r="AC1077" i="3"/>
  <c r="AB1077" i="3"/>
  <c r="AA1077" i="3"/>
  <c r="AC1076" i="3"/>
  <c r="AB1076" i="3"/>
  <c r="AA1076" i="3"/>
  <c r="AC1075" i="3"/>
  <c r="AB1075" i="3"/>
  <c r="AA1075" i="3"/>
  <c r="AC1074" i="3"/>
  <c r="AB1074" i="3"/>
  <c r="AA1074" i="3"/>
  <c r="AC1073" i="3"/>
  <c r="AB1073" i="3"/>
  <c r="AA1073" i="3"/>
  <c r="AC1072" i="3"/>
  <c r="AB1072" i="3"/>
  <c r="AA1072" i="3"/>
  <c r="AC1071" i="3"/>
  <c r="AB1071" i="3"/>
  <c r="AA1071" i="3"/>
  <c r="AC1070" i="3"/>
  <c r="AB1070" i="3"/>
  <c r="AA1070" i="3"/>
  <c r="AC1069" i="3"/>
  <c r="AB1069" i="3"/>
  <c r="AA1069" i="3"/>
  <c r="AC1068" i="3"/>
  <c r="AB1068" i="3"/>
  <c r="AA1068" i="3"/>
  <c r="AC1067" i="3"/>
  <c r="AB1067" i="3"/>
  <c r="AA1067" i="3"/>
  <c r="AC1066" i="3"/>
  <c r="AB1066" i="3"/>
  <c r="AA1066" i="3"/>
  <c r="AC1065" i="3"/>
  <c r="AB1065" i="3"/>
  <c r="AA1065" i="3"/>
  <c r="AC1064" i="3"/>
  <c r="AB1064" i="3"/>
  <c r="AA1064" i="3"/>
  <c r="AC1063" i="3"/>
  <c r="AB1063" i="3"/>
  <c r="AA1063" i="3"/>
  <c r="AC1062" i="3"/>
  <c r="AB1062" i="3"/>
  <c r="AA1062" i="3"/>
  <c r="AC1061" i="3"/>
  <c r="AB1061" i="3"/>
  <c r="AA1061" i="3"/>
  <c r="AC1060" i="3"/>
  <c r="AB1060" i="3"/>
  <c r="AA1060" i="3"/>
  <c r="AC1059" i="3"/>
  <c r="AB1059" i="3"/>
  <c r="AA1059" i="3"/>
  <c r="AC1058" i="3"/>
  <c r="AB1058" i="3"/>
  <c r="AA1058" i="3"/>
  <c r="AC1057" i="3"/>
  <c r="AB1057" i="3"/>
  <c r="AA1057" i="3"/>
  <c r="AC1056" i="3"/>
  <c r="AB1056" i="3"/>
  <c r="AA1056" i="3"/>
  <c r="AC1055" i="3"/>
  <c r="AB1055" i="3"/>
  <c r="AA1055" i="3"/>
  <c r="AC1054" i="3"/>
  <c r="AB1054" i="3"/>
  <c r="AA1054" i="3"/>
  <c r="AC1053" i="3"/>
  <c r="AB1053" i="3"/>
  <c r="AA1053" i="3"/>
  <c r="AC1052" i="3"/>
  <c r="AB1052" i="3"/>
  <c r="AA1052" i="3"/>
  <c r="AC1051" i="3"/>
  <c r="AB1051" i="3"/>
  <c r="AA1051" i="3"/>
  <c r="AC1050" i="3"/>
  <c r="AB1050" i="3"/>
  <c r="AA1050" i="3"/>
  <c r="AC1049" i="3"/>
  <c r="AB1049" i="3"/>
  <c r="AA1049" i="3"/>
  <c r="AC1048" i="3"/>
  <c r="AB1048" i="3"/>
  <c r="AA1048" i="3"/>
  <c r="AC1047" i="3"/>
  <c r="AB1047" i="3"/>
  <c r="AA1047" i="3"/>
  <c r="AC1046" i="3"/>
  <c r="AB1046" i="3"/>
  <c r="AA1046" i="3"/>
  <c r="AC1045" i="3"/>
  <c r="AB1045" i="3"/>
  <c r="AA1045" i="3"/>
  <c r="AC1044" i="3"/>
  <c r="AB1044" i="3"/>
  <c r="AA1044" i="3"/>
  <c r="AC1043" i="3"/>
  <c r="AB1043" i="3"/>
  <c r="AA1043" i="3"/>
  <c r="AC1042" i="3"/>
  <c r="AB1042" i="3"/>
  <c r="AA1042" i="3"/>
  <c r="AC1041" i="3"/>
  <c r="AB1041" i="3"/>
  <c r="AA1041" i="3"/>
  <c r="AC1040" i="3"/>
  <c r="AB1040" i="3"/>
  <c r="AA1040" i="3"/>
  <c r="AC1039" i="3"/>
  <c r="AB1039" i="3"/>
  <c r="AA1039" i="3"/>
  <c r="AC1038" i="3"/>
  <c r="AB1038" i="3"/>
  <c r="AA1038" i="3"/>
  <c r="AC1037" i="3"/>
  <c r="AB1037" i="3"/>
  <c r="AA1037" i="3"/>
  <c r="AC1036" i="3"/>
  <c r="AB1036" i="3"/>
  <c r="AA1036" i="3"/>
  <c r="AC1035" i="3"/>
  <c r="AB1035" i="3"/>
  <c r="AA1035" i="3"/>
  <c r="AC1034" i="3"/>
  <c r="AB1034" i="3"/>
  <c r="AA1034" i="3"/>
  <c r="AC1033" i="3"/>
  <c r="AB1033" i="3"/>
  <c r="AA1033" i="3"/>
  <c r="AC1032" i="3"/>
  <c r="AB1032" i="3"/>
  <c r="AA1032" i="3"/>
  <c r="AC1031" i="3"/>
  <c r="AB1031" i="3"/>
  <c r="AA1031" i="3"/>
  <c r="AC1030" i="3"/>
  <c r="AB1030" i="3"/>
  <c r="AA1030" i="3"/>
  <c r="AC1029" i="3"/>
  <c r="AB1029" i="3"/>
  <c r="AA1029" i="3"/>
  <c r="AC1028" i="3"/>
  <c r="AB1028" i="3"/>
  <c r="AA1028" i="3"/>
  <c r="AC1027" i="3"/>
  <c r="AB1027" i="3"/>
  <c r="AA1027" i="3"/>
  <c r="AC1026" i="3"/>
  <c r="AB1026" i="3"/>
  <c r="AA1026" i="3"/>
  <c r="AC1025" i="3"/>
  <c r="AB1025" i="3"/>
  <c r="AA1025" i="3"/>
  <c r="AC1024" i="3"/>
  <c r="AB1024" i="3"/>
  <c r="AA1024" i="3"/>
  <c r="AC1023" i="3"/>
  <c r="AB1023" i="3"/>
  <c r="AA1023" i="3"/>
  <c r="AC1022" i="3"/>
  <c r="AB1022" i="3"/>
  <c r="AA1022" i="3"/>
  <c r="AC1021" i="3"/>
  <c r="AB1021" i="3"/>
  <c r="AA1021" i="3"/>
  <c r="AC1020" i="3"/>
  <c r="AB1020" i="3"/>
  <c r="AA1020" i="3"/>
  <c r="AC1019" i="3"/>
  <c r="AB1019" i="3"/>
  <c r="AA1019" i="3"/>
  <c r="AC1018" i="3"/>
  <c r="AB1018" i="3"/>
  <c r="AA1018" i="3"/>
  <c r="AC1017" i="3"/>
  <c r="AB1017" i="3"/>
  <c r="AA1017" i="3"/>
  <c r="AC1016" i="3"/>
  <c r="AB1016" i="3"/>
  <c r="AA1016" i="3"/>
  <c r="AC1015" i="3"/>
  <c r="AB1015" i="3"/>
  <c r="AA1015" i="3"/>
  <c r="AC1014" i="3"/>
  <c r="AB1014" i="3"/>
  <c r="AA1014" i="3"/>
  <c r="AC1013" i="3"/>
  <c r="AB1013" i="3"/>
  <c r="AA1013" i="3"/>
  <c r="AC1012" i="3"/>
  <c r="AB1012" i="3"/>
  <c r="AA1012" i="3"/>
  <c r="AC1011" i="3"/>
  <c r="AB1011" i="3"/>
  <c r="AA1011" i="3"/>
  <c r="AC1010" i="3"/>
  <c r="AB1010" i="3"/>
  <c r="AA1010" i="3"/>
  <c r="AC1009" i="3"/>
  <c r="AB1009" i="3"/>
  <c r="AA1009" i="3"/>
  <c r="AC1008" i="3"/>
  <c r="AB1008" i="3"/>
  <c r="AA1008" i="3"/>
  <c r="AC1007" i="3"/>
  <c r="AB1007" i="3"/>
  <c r="AA1007" i="3"/>
  <c r="AC1006" i="3"/>
  <c r="AB1006" i="3"/>
  <c r="AA1006" i="3"/>
  <c r="AC1005" i="3"/>
  <c r="AB1005" i="3"/>
  <c r="AA1005" i="3"/>
  <c r="AC1004" i="3"/>
  <c r="AB1004" i="3"/>
  <c r="AA1004" i="3"/>
  <c r="AC1003" i="3"/>
  <c r="AB1003" i="3"/>
  <c r="AA1003" i="3"/>
  <c r="AC1002" i="3"/>
  <c r="AB1002" i="3"/>
  <c r="AA1002" i="3"/>
  <c r="AC1001" i="3"/>
  <c r="AB1001" i="3"/>
  <c r="AA1001" i="3"/>
  <c r="AC1000" i="3"/>
  <c r="AB1000" i="3"/>
  <c r="AA1000" i="3"/>
  <c r="AC999" i="3"/>
  <c r="AB999" i="3"/>
  <c r="AA999" i="3"/>
  <c r="AC998" i="3"/>
  <c r="AB998" i="3"/>
  <c r="AA998" i="3"/>
  <c r="AC997" i="3"/>
  <c r="AB997" i="3"/>
  <c r="AA997" i="3"/>
  <c r="AC996" i="3"/>
  <c r="AB996" i="3"/>
  <c r="AA996" i="3"/>
  <c r="AC995" i="3"/>
  <c r="AB995" i="3"/>
  <c r="AA995" i="3"/>
  <c r="AC994" i="3"/>
  <c r="AB994" i="3"/>
  <c r="AA994" i="3"/>
  <c r="AC993" i="3"/>
  <c r="AB993" i="3"/>
  <c r="AA993" i="3"/>
  <c r="AC992" i="3"/>
  <c r="AB992" i="3"/>
  <c r="AA992" i="3"/>
  <c r="AC991" i="3"/>
  <c r="AB991" i="3"/>
  <c r="AA991" i="3"/>
  <c r="AC990" i="3"/>
  <c r="AB990" i="3"/>
  <c r="AA990" i="3"/>
  <c r="AC989" i="3"/>
  <c r="AB989" i="3"/>
  <c r="AA989" i="3"/>
  <c r="AC988" i="3"/>
  <c r="AB988" i="3"/>
  <c r="AA988" i="3"/>
  <c r="AC987" i="3"/>
  <c r="AB987" i="3"/>
  <c r="AA987" i="3"/>
  <c r="AC986" i="3"/>
  <c r="AB986" i="3"/>
  <c r="AA986" i="3"/>
  <c r="AC985" i="3"/>
  <c r="AB985" i="3"/>
  <c r="AA985" i="3"/>
  <c r="AC984" i="3"/>
  <c r="AB984" i="3"/>
  <c r="AA984" i="3"/>
  <c r="AC983" i="3"/>
  <c r="AB983" i="3"/>
  <c r="AA983" i="3"/>
  <c r="AC982" i="3"/>
  <c r="AB982" i="3"/>
  <c r="AA982" i="3"/>
  <c r="AC981" i="3"/>
  <c r="AB981" i="3"/>
  <c r="AA981" i="3"/>
  <c r="AC980" i="3"/>
  <c r="AB980" i="3"/>
  <c r="AA980" i="3"/>
  <c r="AC979" i="3"/>
  <c r="AB979" i="3"/>
  <c r="AA979" i="3"/>
  <c r="AC978" i="3"/>
  <c r="AB978" i="3"/>
  <c r="AA978" i="3"/>
  <c r="AC977" i="3"/>
  <c r="AB977" i="3"/>
  <c r="AA977" i="3"/>
  <c r="AC976" i="3"/>
  <c r="AB976" i="3"/>
  <c r="AA976" i="3"/>
  <c r="AC975" i="3"/>
  <c r="AB975" i="3"/>
  <c r="AA975" i="3"/>
  <c r="AC974" i="3"/>
  <c r="AB974" i="3"/>
  <c r="AA974" i="3"/>
  <c r="AC973" i="3"/>
  <c r="AB973" i="3"/>
  <c r="AA973" i="3"/>
  <c r="AC972" i="3"/>
  <c r="AB972" i="3"/>
  <c r="AA972" i="3"/>
  <c r="AC971" i="3"/>
  <c r="AB971" i="3"/>
  <c r="AA971" i="3"/>
  <c r="AC970" i="3"/>
  <c r="AB970" i="3"/>
  <c r="AA970" i="3"/>
  <c r="AC969" i="3"/>
  <c r="AB969" i="3"/>
  <c r="AA969" i="3"/>
  <c r="AC968" i="3"/>
  <c r="AB968" i="3"/>
  <c r="AA968" i="3"/>
  <c r="AC967" i="3"/>
  <c r="AB967" i="3"/>
  <c r="AA967" i="3"/>
  <c r="AC966" i="3"/>
  <c r="AB966" i="3"/>
  <c r="AA966" i="3"/>
  <c r="AC965" i="3"/>
  <c r="AB965" i="3"/>
  <c r="AA965" i="3"/>
  <c r="AC964" i="3"/>
  <c r="AB964" i="3"/>
  <c r="AA964" i="3"/>
  <c r="AC963" i="3"/>
  <c r="AB963" i="3"/>
  <c r="AA963" i="3"/>
  <c r="AC962" i="3"/>
  <c r="AB962" i="3"/>
  <c r="AA962" i="3"/>
  <c r="AC961" i="3"/>
  <c r="AB961" i="3"/>
  <c r="AA961" i="3"/>
  <c r="AC960" i="3"/>
  <c r="AB960" i="3"/>
  <c r="AA960" i="3"/>
  <c r="AC959" i="3"/>
  <c r="AB959" i="3"/>
  <c r="AA959" i="3"/>
  <c r="AC958" i="3"/>
  <c r="AB958" i="3"/>
  <c r="AA958" i="3"/>
  <c r="AC957" i="3"/>
  <c r="AB957" i="3"/>
  <c r="AA957" i="3"/>
  <c r="AC956" i="3"/>
  <c r="AB956" i="3"/>
  <c r="AA956" i="3"/>
  <c r="AC955" i="3"/>
  <c r="AB955" i="3"/>
  <c r="AA955" i="3"/>
  <c r="AC954" i="3"/>
  <c r="AB954" i="3"/>
  <c r="AA954" i="3"/>
  <c r="AC953" i="3"/>
  <c r="AB953" i="3"/>
  <c r="AA953" i="3"/>
  <c r="AC952" i="3"/>
  <c r="AB952" i="3"/>
  <c r="AA952" i="3"/>
  <c r="AC951" i="3"/>
  <c r="AB951" i="3"/>
  <c r="AA951" i="3"/>
  <c r="AC950" i="3"/>
  <c r="AB950" i="3"/>
  <c r="AA950" i="3"/>
  <c r="AC949" i="3"/>
  <c r="AB949" i="3"/>
  <c r="AA949" i="3"/>
  <c r="AC948" i="3"/>
  <c r="AB948" i="3"/>
  <c r="AA948" i="3"/>
  <c r="AC947" i="3"/>
  <c r="AB947" i="3"/>
  <c r="AA947" i="3"/>
  <c r="AC946" i="3"/>
  <c r="AB946" i="3"/>
  <c r="AA946" i="3"/>
  <c r="AC945" i="3"/>
  <c r="AB945" i="3"/>
  <c r="AA945" i="3"/>
  <c r="AC944" i="3"/>
  <c r="AB944" i="3"/>
  <c r="AA944" i="3"/>
  <c r="AC943" i="3"/>
  <c r="AB943" i="3"/>
  <c r="AA943" i="3"/>
  <c r="AC942" i="3"/>
  <c r="AB942" i="3"/>
  <c r="AA942" i="3"/>
  <c r="AC941" i="3"/>
  <c r="AB941" i="3"/>
  <c r="AA941" i="3"/>
  <c r="AC940" i="3"/>
  <c r="AB940" i="3"/>
  <c r="AA940" i="3"/>
  <c r="AC939" i="3"/>
  <c r="AB939" i="3"/>
  <c r="AA939" i="3"/>
  <c r="AC938" i="3"/>
  <c r="AB938" i="3"/>
  <c r="AA938" i="3"/>
  <c r="AC937" i="3"/>
  <c r="AB937" i="3"/>
  <c r="AA937" i="3"/>
  <c r="AC936" i="3"/>
  <c r="AB936" i="3"/>
  <c r="AA936" i="3"/>
  <c r="AC935" i="3"/>
  <c r="AB935" i="3"/>
  <c r="AA935" i="3"/>
  <c r="AC934" i="3"/>
  <c r="AB934" i="3"/>
  <c r="AA934" i="3"/>
  <c r="AC933" i="3"/>
  <c r="AB933" i="3"/>
  <c r="AA933" i="3"/>
  <c r="AC932" i="3"/>
  <c r="AB932" i="3"/>
  <c r="AA932" i="3"/>
  <c r="AC931" i="3"/>
  <c r="AB931" i="3"/>
  <c r="AA931" i="3"/>
  <c r="AC930" i="3"/>
  <c r="AB930" i="3"/>
  <c r="AA930" i="3"/>
  <c r="AC929" i="3"/>
  <c r="AB929" i="3"/>
  <c r="AA929" i="3"/>
  <c r="AC928" i="3"/>
  <c r="AB928" i="3"/>
  <c r="AA928" i="3"/>
  <c r="AC927" i="3"/>
  <c r="AB927" i="3"/>
  <c r="AA927" i="3"/>
  <c r="AC926" i="3"/>
  <c r="AB926" i="3"/>
  <c r="AA926" i="3"/>
  <c r="AC925" i="3"/>
  <c r="AB925" i="3"/>
  <c r="AA925" i="3"/>
  <c r="AC924" i="3"/>
  <c r="AB924" i="3"/>
  <c r="AA924" i="3"/>
  <c r="AC923" i="3"/>
  <c r="AB923" i="3"/>
  <c r="AA923" i="3"/>
  <c r="AC922" i="3"/>
  <c r="AB922" i="3"/>
  <c r="AA922" i="3"/>
  <c r="AC921" i="3"/>
  <c r="AB921" i="3"/>
  <c r="AA921" i="3"/>
  <c r="AC920" i="3"/>
  <c r="AB920" i="3"/>
  <c r="AA920" i="3"/>
  <c r="AC919" i="3"/>
  <c r="AB919" i="3"/>
  <c r="AA919" i="3"/>
  <c r="AC918" i="3"/>
  <c r="AB918" i="3"/>
  <c r="AA918" i="3"/>
  <c r="AC917" i="3"/>
  <c r="AB917" i="3"/>
  <c r="AA917" i="3"/>
  <c r="AC916" i="3"/>
  <c r="AB916" i="3"/>
  <c r="AA916" i="3"/>
  <c r="AC915" i="3"/>
  <c r="AB915" i="3"/>
  <c r="AA915" i="3"/>
  <c r="AC914" i="3"/>
  <c r="AB914" i="3"/>
  <c r="AA914" i="3"/>
  <c r="AC913" i="3"/>
  <c r="AB913" i="3"/>
  <c r="AA913" i="3"/>
  <c r="AC912" i="3"/>
  <c r="AB912" i="3"/>
  <c r="AA912" i="3"/>
  <c r="AC911" i="3"/>
  <c r="AB911" i="3"/>
  <c r="AA911" i="3"/>
  <c r="AC910" i="3"/>
  <c r="AB910" i="3"/>
  <c r="AA910" i="3"/>
  <c r="AC909" i="3"/>
  <c r="AB909" i="3"/>
  <c r="AA909" i="3"/>
  <c r="AC908" i="3"/>
  <c r="AB908" i="3"/>
  <c r="AA908" i="3"/>
  <c r="AC907" i="3"/>
  <c r="AB907" i="3"/>
  <c r="AA907" i="3"/>
  <c r="AC906" i="3"/>
  <c r="AB906" i="3"/>
  <c r="AA906" i="3"/>
  <c r="AC905" i="3"/>
  <c r="AB905" i="3"/>
  <c r="AA905" i="3"/>
  <c r="AC904" i="3"/>
  <c r="AB904" i="3"/>
  <c r="AA904" i="3"/>
  <c r="AC903" i="3"/>
  <c r="AB903" i="3"/>
  <c r="AA903" i="3"/>
  <c r="AC902" i="3"/>
  <c r="AB902" i="3"/>
  <c r="AA902" i="3"/>
  <c r="AC901" i="3"/>
  <c r="AB901" i="3"/>
  <c r="AA901" i="3"/>
  <c r="AC900" i="3"/>
  <c r="AB900" i="3"/>
  <c r="AA900" i="3"/>
  <c r="AC899" i="3"/>
  <c r="AB899" i="3"/>
  <c r="AA899" i="3"/>
  <c r="AC898" i="3"/>
  <c r="AB898" i="3"/>
  <c r="AA898" i="3"/>
  <c r="AC897" i="3"/>
  <c r="AB897" i="3"/>
  <c r="AA897" i="3"/>
  <c r="AC896" i="3"/>
  <c r="AB896" i="3"/>
  <c r="AA896" i="3"/>
  <c r="AC895" i="3"/>
  <c r="AB895" i="3"/>
  <c r="AA895" i="3"/>
  <c r="AC894" i="3"/>
  <c r="AB894" i="3"/>
  <c r="AA894" i="3"/>
  <c r="AC893" i="3"/>
  <c r="AB893" i="3"/>
  <c r="AA893" i="3"/>
  <c r="AC892" i="3"/>
  <c r="AB892" i="3"/>
  <c r="AA892" i="3"/>
  <c r="AC891" i="3"/>
  <c r="AB891" i="3"/>
  <c r="AA891" i="3"/>
  <c r="AC890" i="3"/>
  <c r="AB890" i="3"/>
  <c r="AA890" i="3"/>
  <c r="AC889" i="3"/>
  <c r="AB889" i="3"/>
  <c r="AA889" i="3"/>
  <c r="AC888" i="3"/>
  <c r="AB888" i="3"/>
  <c r="AA888" i="3"/>
  <c r="AC887" i="3"/>
  <c r="AB887" i="3"/>
  <c r="AA887" i="3"/>
  <c r="AC886" i="3"/>
  <c r="AB886" i="3"/>
  <c r="AA886" i="3"/>
  <c r="AC885" i="3"/>
  <c r="AB885" i="3"/>
  <c r="AA885" i="3"/>
  <c r="AC884" i="3"/>
  <c r="AB884" i="3"/>
  <c r="AA884" i="3"/>
  <c r="AC883" i="3"/>
  <c r="AB883" i="3"/>
  <c r="AA883" i="3"/>
  <c r="AC882" i="3"/>
  <c r="AB882" i="3"/>
  <c r="AA882" i="3"/>
  <c r="AC881" i="3"/>
  <c r="AB881" i="3"/>
  <c r="AA881" i="3"/>
  <c r="AC880" i="3"/>
  <c r="AB880" i="3"/>
  <c r="AA880" i="3"/>
  <c r="AC879" i="3"/>
  <c r="AB879" i="3"/>
  <c r="AA879" i="3"/>
  <c r="AC878" i="3"/>
  <c r="AB878" i="3"/>
  <c r="AA878" i="3"/>
  <c r="AC877" i="3"/>
  <c r="AB877" i="3"/>
  <c r="AA877" i="3"/>
  <c r="AC876" i="3"/>
  <c r="AB876" i="3"/>
  <c r="AA876" i="3"/>
  <c r="AC875" i="3"/>
  <c r="AB875" i="3"/>
  <c r="AA875" i="3"/>
  <c r="AC874" i="3"/>
  <c r="AB874" i="3"/>
  <c r="AA874" i="3"/>
  <c r="AC873" i="3"/>
  <c r="AB873" i="3"/>
  <c r="AA873" i="3"/>
  <c r="AC872" i="3"/>
  <c r="AB872" i="3"/>
  <c r="AA872" i="3"/>
  <c r="AC871" i="3"/>
  <c r="AB871" i="3"/>
  <c r="AA871" i="3"/>
  <c r="AC870" i="3"/>
  <c r="AB870" i="3"/>
  <c r="AA870" i="3"/>
  <c r="AC869" i="3"/>
  <c r="AB869" i="3"/>
  <c r="AA869" i="3"/>
  <c r="AC868" i="3"/>
  <c r="AB868" i="3"/>
  <c r="AA868" i="3"/>
  <c r="AC867" i="3"/>
  <c r="AB867" i="3"/>
  <c r="AA867" i="3"/>
  <c r="AC866" i="3"/>
  <c r="AB866" i="3"/>
  <c r="AA866" i="3"/>
  <c r="AC865" i="3"/>
  <c r="AB865" i="3"/>
  <c r="AA865" i="3"/>
  <c r="AC864" i="3"/>
  <c r="AB864" i="3"/>
  <c r="AA864" i="3"/>
  <c r="AC863" i="3"/>
  <c r="AB863" i="3"/>
  <c r="AA863" i="3"/>
  <c r="AC862" i="3"/>
  <c r="AB862" i="3"/>
  <c r="AA862" i="3"/>
  <c r="AC861" i="3"/>
  <c r="AB861" i="3"/>
  <c r="AA861" i="3"/>
  <c r="AC860" i="3"/>
  <c r="AB860" i="3"/>
  <c r="AA860" i="3"/>
  <c r="AC859" i="3"/>
  <c r="AB859" i="3"/>
  <c r="AA859" i="3"/>
  <c r="AC858" i="3"/>
  <c r="AB858" i="3"/>
  <c r="AA858" i="3"/>
  <c r="AC857" i="3"/>
  <c r="AB857" i="3"/>
  <c r="AA857" i="3"/>
  <c r="AC856" i="3"/>
  <c r="AB856" i="3"/>
  <c r="AA856" i="3"/>
  <c r="AC855" i="3"/>
  <c r="AB855" i="3"/>
  <c r="AA855" i="3"/>
  <c r="AC854" i="3"/>
  <c r="AB854" i="3"/>
  <c r="AA854" i="3"/>
  <c r="AC853" i="3"/>
  <c r="AB853" i="3"/>
  <c r="AA853" i="3"/>
  <c r="AC852" i="3"/>
  <c r="AB852" i="3"/>
  <c r="AA852" i="3"/>
  <c r="AC851" i="3"/>
  <c r="AB851" i="3"/>
  <c r="AA851" i="3"/>
  <c r="AC850" i="3"/>
  <c r="AB850" i="3"/>
  <c r="AA850" i="3"/>
  <c r="AC849" i="3"/>
  <c r="AB849" i="3"/>
  <c r="AA849" i="3"/>
  <c r="AC848" i="3"/>
  <c r="AB848" i="3"/>
  <c r="AA848" i="3"/>
  <c r="AC847" i="3"/>
  <c r="AB847" i="3"/>
  <c r="AA847" i="3"/>
  <c r="AC846" i="3"/>
  <c r="AB846" i="3"/>
  <c r="AA846" i="3"/>
  <c r="AC845" i="3"/>
  <c r="AB845" i="3"/>
  <c r="AA845" i="3"/>
  <c r="AC844" i="3"/>
  <c r="AB844" i="3"/>
  <c r="AA844" i="3"/>
  <c r="AC843" i="3"/>
  <c r="AB843" i="3"/>
  <c r="AA843" i="3"/>
  <c r="AC842" i="3"/>
  <c r="AB842" i="3"/>
  <c r="AA842" i="3"/>
  <c r="AC841" i="3"/>
  <c r="AB841" i="3"/>
  <c r="AA841" i="3"/>
  <c r="AC840" i="3"/>
  <c r="AB840" i="3"/>
  <c r="AA840" i="3"/>
  <c r="AC839" i="3"/>
  <c r="AB839" i="3"/>
  <c r="AA839" i="3"/>
  <c r="AC838" i="3"/>
  <c r="AB838" i="3"/>
  <c r="AA838" i="3"/>
  <c r="AC837" i="3"/>
  <c r="AB837" i="3"/>
  <c r="AA837" i="3"/>
  <c r="AC836" i="3"/>
  <c r="AB836" i="3"/>
  <c r="AA836" i="3"/>
  <c r="AC835" i="3"/>
  <c r="AB835" i="3"/>
  <c r="AA835" i="3"/>
  <c r="AC834" i="3"/>
  <c r="AB834" i="3"/>
  <c r="AA834" i="3"/>
  <c r="AC833" i="3"/>
  <c r="AB833" i="3"/>
  <c r="AA833" i="3"/>
  <c r="AC832" i="3"/>
  <c r="AB832" i="3"/>
  <c r="AA832" i="3"/>
  <c r="AC831" i="3"/>
  <c r="AB831" i="3"/>
  <c r="AA831" i="3"/>
  <c r="AC830" i="3"/>
  <c r="AB830" i="3"/>
  <c r="AA830" i="3"/>
  <c r="AC829" i="3"/>
  <c r="AB829" i="3"/>
  <c r="AA829" i="3"/>
  <c r="AC828" i="3"/>
  <c r="AB828" i="3"/>
  <c r="AA828" i="3"/>
  <c r="AC827" i="3"/>
  <c r="AB827" i="3"/>
  <c r="AA827" i="3"/>
  <c r="AC826" i="3"/>
  <c r="AB826" i="3"/>
  <c r="AA826" i="3"/>
  <c r="AC825" i="3"/>
  <c r="AB825" i="3"/>
  <c r="AA825" i="3"/>
  <c r="AC824" i="3"/>
  <c r="AB824" i="3"/>
  <c r="AA824" i="3"/>
  <c r="AC823" i="3"/>
  <c r="AB823" i="3"/>
  <c r="AA823" i="3"/>
  <c r="AC822" i="3"/>
  <c r="AB822" i="3"/>
  <c r="AA822" i="3"/>
  <c r="AC821" i="3"/>
  <c r="AB821" i="3"/>
  <c r="AA821" i="3"/>
  <c r="AC820" i="3"/>
  <c r="AB820" i="3"/>
  <c r="AA820" i="3"/>
  <c r="AC819" i="3"/>
  <c r="AB819" i="3"/>
  <c r="AA819" i="3"/>
  <c r="AC818" i="3"/>
  <c r="AB818" i="3"/>
  <c r="AA818" i="3"/>
  <c r="AC817" i="3"/>
  <c r="AB817" i="3"/>
  <c r="AA817" i="3"/>
  <c r="AC816" i="3"/>
  <c r="AB816" i="3"/>
  <c r="AA816" i="3"/>
  <c r="AC815" i="3"/>
  <c r="AB815" i="3"/>
  <c r="AA815" i="3"/>
  <c r="AC814" i="3"/>
  <c r="AB814" i="3"/>
  <c r="AA814" i="3"/>
  <c r="AC813" i="3"/>
  <c r="AB813" i="3"/>
  <c r="AA813" i="3"/>
  <c r="AC812" i="3"/>
  <c r="AB812" i="3"/>
  <c r="AA812" i="3"/>
  <c r="AC811" i="3"/>
  <c r="AB811" i="3"/>
  <c r="AA811" i="3"/>
  <c r="AC810" i="3"/>
  <c r="AB810" i="3"/>
  <c r="AA810" i="3"/>
  <c r="AC809" i="3"/>
  <c r="AB809" i="3"/>
  <c r="AA809" i="3"/>
  <c r="AC808" i="3"/>
  <c r="AB808" i="3"/>
  <c r="AA808" i="3"/>
  <c r="AC807" i="3"/>
  <c r="AB807" i="3"/>
  <c r="AA807" i="3"/>
  <c r="AC806" i="3"/>
  <c r="AB806" i="3"/>
  <c r="AA806" i="3"/>
  <c r="AC805" i="3"/>
  <c r="AB805" i="3"/>
  <c r="AA805" i="3"/>
  <c r="AC804" i="3"/>
  <c r="AB804" i="3"/>
  <c r="AA804" i="3"/>
  <c r="AC803" i="3"/>
  <c r="AB803" i="3"/>
  <c r="AA803" i="3"/>
  <c r="AC802" i="3"/>
  <c r="AB802" i="3"/>
  <c r="AA802" i="3"/>
  <c r="AC801" i="3"/>
  <c r="AB801" i="3"/>
  <c r="AA801" i="3"/>
  <c r="AC800" i="3"/>
  <c r="AB800" i="3"/>
  <c r="AA800" i="3"/>
  <c r="AC799" i="3"/>
  <c r="AB799" i="3"/>
  <c r="AA799" i="3"/>
  <c r="AC798" i="3"/>
  <c r="AB798" i="3"/>
  <c r="AA798" i="3"/>
  <c r="AC797" i="3"/>
  <c r="AB797" i="3"/>
  <c r="AA797" i="3"/>
  <c r="AC796" i="3"/>
  <c r="AB796" i="3"/>
  <c r="AA796" i="3"/>
  <c r="AC795" i="3"/>
  <c r="AB795" i="3"/>
  <c r="AA795" i="3"/>
  <c r="AC794" i="3"/>
  <c r="AB794" i="3"/>
  <c r="AA794" i="3"/>
  <c r="AC793" i="3"/>
  <c r="AB793" i="3"/>
  <c r="AA793" i="3"/>
  <c r="AC792" i="3"/>
  <c r="AB792" i="3"/>
  <c r="AA792" i="3"/>
  <c r="AC791" i="3"/>
  <c r="AB791" i="3"/>
  <c r="AA791" i="3"/>
  <c r="AC790" i="3"/>
  <c r="AB790" i="3"/>
  <c r="AA790" i="3"/>
  <c r="AC789" i="3"/>
  <c r="AB789" i="3"/>
  <c r="AA789" i="3"/>
  <c r="AC788" i="3"/>
  <c r="AB788" i="3"/>
  <c r="AA788" i="3"/>
  <c r="AC787" i="3"/>
  <c r="AB787" i="3"/>
  <c r="AA787" i="3"/>
  <c r="AC786" i="3"/>
  <c r="AB786" i="3"/>
  <c r="AA786" i="3"/>
  <c r="AC785" i="3"/>
  <c r="AB785" i="3"/>
  <c r="AA785" i="3"/>
  <c r="AC784" i="3"/>
  <c r="AB784" i="3"/>
  <c r="AA784" i="3"/>
  <c r="AC783" i="3"/>
  <c r="AB783" i="3"/>
  <c r="AA783" i="3"/>
  <c r="AC782" i="3"/>
  <c r="AB782" i="3"/>
  <c r="AA782" i="3"/>
  <c r="AC781" i="3"/>
  <c r="AB781" i="3"/>
  <c r="AA781" i="3"/>
  <c r="AC780" i="3"/>
  <c r="AB780" i="3"/>
  <c r="AA780" i="3"/>
  <c r="AC779" i="3"/>
  <c r="AB779" i="3"/>
  <c r="AA779" i="3"/>
  <c r="AC778" i="3"/>
  <c r="AB778" i="3"/>
  <c r="AA778" i="3"/>
  <c r="AC777" i="3"/>
  <c r="AB777" i="3"/>
  <c r="AA777" i="3"/>
  <c r="AC776" i="3"/>
  <c r="AB776" i="3"/>
  <c r="AA776" i="3"/>
  <c r="AC775" i="3"/>
  <c r="AB775" i="3"/>
  <c r="AA775" i="3"/>
  <c r="AC774" i="3"/>
  <c r="AB774" i="3"/>
  <c r="AA774" i="3"/>
  <c r="AC773" i="3"/>
  <c r="AB773" i="3"/>
  <c r="AA773" i="3"/>
  <c r="AC772" i="3"/>
  <c r="AB772" i="3"/>
  <c r="AA772" i="3"/>
  <c r="AC771" i="3"/>
  <c r="AB771" i="3"/>
  <c r="AA771" i="3"/>
  <c r="AC770" i="3"/>
  <c r="AB770" i="3"/>
  <c r="AA770" i="3"/>
  <c r="AC769" i="3"/>
  <c r="AB769" i="3"/>
  <c r="AA769" i="3"/>
  <c r="AC768" i="3"/>
  <c r="AB768" i="3"/>
  <c r="AA768" i="3"/>
  <c r="AC767" i="3"/>
  <c r="AB767" i="3"/>
  <c r="AA767" i="3"/>
  <c r="AC766" i="3"/>
  <c r="AB766" i="3"/>
  <c r="AA766" i="3"/>
  <c r="AC765" i="3"/>
  <c r="AB765" i="3"/>
  <c r="AA765" i="3"/>
  <c r="AC764" i="3"/>
  <c r="AB764" i="3"/>
  <c r="AA764" i="3"/>
  <c r="AC763" i="3"/>
  <c r="AB763" i="3"/>
  <c r="AA763" i="3"/>
  <c r="AC762" i="3"/>
  <c r="AB762" i="3"/>
  <c r="AA762" i="3"/>
  <c r="AC761" i="3"/>
  <c r="AB761" i="3"/>
  <c r="AA761" i="3"/>
  <c r="AC760" i="3"/>
  <c r="AB760" i="3"/>
  <c r="AA760" i="3"/>
  <c r="AC759" i="3"/>
  <c r="AB759" i="3"/>
  <c r="AA759" i="3"/>
  <c r="AC758" i="3"/>
  <c r="AB758" i="3"/>
  <c r="AA758" i="3"/>
  <c r="AC757" i="3"/>
  <c r="AB757" i="3"/>
  <c r="AA757" i="3"/>
  <c r="AC756" i="3"/>
  <c r="AB756" i="3"/>
  <c r="AA756" i="3"/>
  <c r="AC755" i="3"/>
  <c r="AB755" i="3"/>
  <c r="AA755" i="3"/>
  <c r="AC754" i="3"/>
  <c r="AB754" i="3"/>
  <c r="AA754" i="3"/>
  <c r="AC753" i="3"/>
  <c r="AB753" i="3"/>
  <c r="AA753" i="3"/>
  <c r="AC752" i="3"/>
  <c r="AB752" i="3"/>
  <c r="AA752" i="3"/>
  <c r="AC751" i="3"/>
  <c r="AB751" i="3"/>
  <c r="AA751" i="3"/>
  <c r="AC750" i="3"/>
  <c r="AB750" i="3"/>
  <c r="AA750" i="3"/>
  <c r="AC749" i="3"/>
  <c r="AB749" i="3"/>
  <c r="AA749" i="3"/>
  <c r="AC748" i="3"/>
  <c r="AB748" i="3"/>
  <c r="AA748" i="3"/>
  <c r="AC747" i="3"/>
  <c r="AB747" i="3"/>
  <c r="AA747" i="3"/>
  <c r="AC746" i="3"/>
  <c r="AB746" i="3"/>
  <c r="AA746" i="3"/>
  <c r="AC745" i="3"/>
  <c r="AB745" i="3"/>
  <c r="AA745" i="3"/>
  <c r="AC744" i="3"/>
  <c r="AB744" i="3"/>
  <c r="AA744" i="3"/>
  <c r="AC743" i="3"/>
  <c r="AB743" i="3"/>
  <c r="AA743" i="3"/>
  <c r="AC742" i="3"/>
  <c r="AB742" i="3"/>
  <c r="AA742" i="3"/>
  <c r="AC741" i="3"/>
  <c r="AB741" i="3"/>
  <c r="AA741" i="3"/>
  <c r="AC740" i="3"/>
  <c r="AB740" i="3"/>
  <c r="AA740" i="3"/>
  <c r="AC739" i="3"/>
  <c r="AB739" i="3"/>
  <c r="AA739" i="3"/>
  <c r="AC738" i="3"/>
  <c r="AB738" i="3"/>
  <c r="AA738" i="3"/>
  <c r="AC737" i="3"/>
  <c r="AB737" i="3"/>
  <c r="AA737" i="3"/>
  <c r="AC736" i="3"/>
  <c r="AB736" i="3"/>
  <c r="AA736" i="3"/>
  <c r="AC735" i="3"/>
  <c r="AB735" i="3"/>
  <c r="AA735" i="3"/>
  <c r="AC734" i="3"/>
  <c r="AB734" i="3"/>
  <c r="AA734" i="3"/>
  <c r="AC733" i="3"/>
  <c r="AB733" i="3"/>
  <c r="AA733" i="3"/>
  <c r="AC732" i="3"/>
  <c r="AB732" i="3"/>
  <c r="AA732" i="3"/>
  <c r="AC731" i="3"/>
  <c r="AB731" i="3"/>
  <c r="AA731" i="3"/>
  <c r="AC730" i="3"/>
  <c r="AB730" i="3"/>
  <c r="AA730" i="3"/>
  <c r="AC729" i="3"/>
  <c r="AB729" i="3"/>
  <c r="AA729" i="3"/>
  <c r="AC728" i="3"/>
  <c r="AB728" i="3"/>
  <c r="AA728" i="3"/>
  <c r="AC727" i="3"/>
  <c r="AB727" i="3"/>
  <c r="AA727" i="3"/>
  <c r="AC726" i="3"/>
  <c r="AB726" i="3"/>
  <c r="AA726" i="3"/>
  <c r="AC725" i="3"/>
  <c r="AB725" i="3"/>
  <c r="AA725" i="3"/>
  <c r="AC724" i="3"/>
  <c r="AB724" i="3"/>
  <c r="AA724" i="3"/>
  <c r="AC723" i="3"/>
  <c r="AB723" i="3"/>
  <c r="AA723" i="3"/>
  <c r="AC722" i="3"/>
  <c r="AB722" i="3"/>
  <c r="AA722" i="3"/>
  <c r="AC721" i="3"/>
  <c r="AB721" i="3"/>
  <c r="AA721" i="3"/>
  <c r="AC720" i="3"/>
  <c r="AB720" i="3"/>
  <c r="AA720" i="3"/>
  <c r="AC719" i="3"/>
  <c r="AB719" i="3"/>
  <c r="AA719" i="3"/>
  <c r="AC718" i="3"/>
  <c r="AB718" i="3"/>
  <c r="AA718" i="3"/>
  <c r="AC717" i="3"/>
  <c r="AB717" i="3"/>
  <c r="AA717" i="3"/>
  <c r="AC716" i="3"/>
  <c r="AB716" i="3"/>
  <c r="AA716" i="3"/>
  <c r="AC715" i="3"/>
  <c r="AB715" i="3"/>
  <c r="AA715" i="3"/>
  <c r="AC714" i="3"/>
  <c r="AB714" i="3"/>
  <c r="AA714" i="3"/>
  <c r="AC713" i="3"/>
  <c r="AB713" i="3"/>
  <c r="AA713" i="3"/>
  <c r="AC712" i="3"/>
  <c r="AB712" i="3"/>
  <c r="AA712" i="3"/>
  <c r="AC711" i="3"/>
  <c r="AB711" i="3"/>
  <c r="AA711" i="3"/>
  <c r="AC710" i="3"/>
  <c r="AB710" i="3"/>
  <c r="AA710" i="3"/>
  <c r="AC709" i="3"/>
  <c r="AB709" i="3"/>
  <c r="AA709" i="3"/>
  <c r="AC708" i="3"/>
  <c r="AB708" i="3"/>
  <c r="AA708" i="3"/>
  <c r="AC707" i="3"/>
  <c r="AB707" i="3"/>
  <c r="AA707" i="3"/>
  <c r="AC706" i="3"/>
  <c r="AB706" i="3"/>
  <c r="AA706" i="3"/>
  <c r="AC705" i="3"/>
  <c r="AB705" i="3"/>
  <c r="AA705" i="3"/>
  <c r="AC704" i="3"/>
  <c r="AB704" i="3"/>
  <c r="AA704" i="3"/>
  <c r="AC703" i="3"/>
  <c r="AB703" i="3"/>
  <c r="AA703" i="3"/>
  <c r="AC702" i="3"/>
  <c r="AB702" i="3"/>
  <c r="AA702" i="3"/>
  <c r="AC701" i="3"/>
  <c r="AB701" i="3"/>
  <c r="AA701" i="3"/>
  <c r="AC700" i="3"/>
  <c r="AB700" i="3"/>
  <c r="AA700" i="3"/>
  <c r="AC699" i="3"/>
  <c r="AB699" i="3"/>
  <c r="AA699" i="3"/>
  <c r="AC698" i="3"/>
  <c r="AB698" i="3"/>
  <c r="AA698" i="3"/>
  <c r="AC697" i="3"/>
  <c r="AB697" i="3"/>
  <c r="AA697" i="3"/>
  <c r="AC696" i="3"/>
  <c r="AB696" i="3"/>
  <c r="AA696" i="3"/>
  <c r="AC695" i="3"/>
  <c r="AB695" i="3"/>
  <c r="AA695" i="3"/>
  <c r="AC694" i="3"/>
  <c r="AB694" i="3"/>
  <c r="AA694" i="3"/>
  <c r="AC693" i="3"/>
  <c r="AB693" i="3"/>
  <c r="AA693" i="3"/>
  <c r="AC692" i="3"/>
  <c r="AB692" i="3"/>
  <c r="AA692" i="3"/>
  <c r="AC691" i="3"/>
  <c r="AB691" i="3"/>
  <c r="AA691" i="3"/>
  <c r="AC690" i="3"/>
  <c r="AB690" i="3"/>
  <c r="AA690" i="3"/>
  <c r="AC689" i="3"/>
  <c r="AB689" i="3"/>
  <c r="AA689" i="3"/>
  <c r="AC688" i="3"/>
  <c r="AB688" i="3"/>
  <c r="AA688" i="3"/>
  <c r="AC687" i="3"/>
  <c r="AB687" i="3"/>
  <c r="AA687" i="3"/>
  <c r="AC686" i="3"/>
  <c r="AB686" i="3"/>
  <c r="AA686" i="3"/>
  <c r="AC685" i="3"/>
  <c r="AB685" i="3"/>
  <c r="AA685" i="3"/>
  <c r="AC684" i="3"/>
  <c r="AB684" i="3"/>
  <c r="AA684" i="3"/>
  <c r="AC683" i="3"/>
  <c r="AB683" i="3"/>
  <c r="AA683" i="3"/>
  <c r="AC682" i="3"/>
  <c r="AB682" i="3"/>
  <c r="AA682" i="3"/>
  <c r="AC681" i="3"/>
  <c r="AB681" i="3"/>
  <c r="AA681" i="3"/>
  <c r="AC680" i="3"/>
  <c r="AB680" i="3"/>
  <c r="AA680" i="3"/>
  <c r="AC679" i="3"/>
  <c r="AB679" i="3"/>
  <c r="AA679" i="3"/>
  <c r="AC678" i="3"/>
  <c r="AB678" i="3"/>
  <c r="AA678" i="3"/>
  <c r="AC677" i="3"/>
  <c r="AB677" i="3"/>
  <c r="AA677" i="3"/>
  <c r="AC676" i="3"/>
  <c r="AB676" i="3"/>
  <c r="AA676" i="3"/>
  <c r="AC675" i="3"/>
  <c r="AB675" i="3"/>
  <c r="AA675" i="3"/>
  <c r="AC674" i="3"/>
  <c r="AB674" i="3"/>
  <c r="AA674" i="3"/>
  <c r="AC673" i="3"/>
  <c r="AB673" i="3"/>
  <c r="AA673" i="3"/>
  <c r="AC672" i="3"/>
  <c r="AB672" i="3"/>
  <c r="AA672" i="3"/>
  <c r="AC671" i="3"/>
  <c r="AB671" i="3"/>
  <c r="AA671" i="3"/>
  <c r="AC670" i="3"/>
  <c r="AB670" i="3"/>
  <c r="AA670" i="3"/>
  <c r="AC669" i="3"/>
  <c r="AB669" i="3"/>
  <c r="AA669" i="3"/>
  <c r="AC668" i="3"/>
  <c r="AB668" i="3"/>
  <c r="AA668" i="3"/>
  <c r="AC667" i="3"/>
  <c r="AB667" i="3"/>
  <c r="AA667" i="3"/>
  <c r="AC666" i="3"/>
  <c r="AB666" i="3"/>
  <c r="AA666" i="3"/>
  <c r="AC665" i="3"/>
  <c r="AB665" i="3"/>
  <c r="AA665" i="3"/>
  <c r="AC664" i="3"/>
  <c r="AB664" i="3"/>
  <c r="AA664" i="3"/>
  <c r="AC663" i="3"/>
  <c r="AB663" i="3"/>
  <c r="AA663" i="3"/>
  <c r="AC662" i="3"/>
  <c r="AB662" i="3"/>
  <c r="AA662" i="3"/>
  <c r="AC661" i="3"/>
  <c r="AB661" i="3"/>
  <c r="AA661" i="3"/>
  <c r="AC660" i="3"/>
  <c r="AB660" i="3"/>
  <c r="AA660" i="3"/>
  <c r="AC659" i="3"/>
  <c r="AB659" i="3"/>
  <c r="AA659" i="3"/>
  <c r="AC658" i="3"/>
  <c r="AB658" i="3"/>
  <c r="AA658" i="3"/>
  <c r="AC657" i="3"/>
  <c r="AB657" i="3"/>
  <c r="AA657" i="3"/>
  <c r="AC656" i="3"/>
  <c r="AB656" i="3"/>
  <c r="AA656" i="3"/>
  <c r="AC655" i="3"/>
  <c r="AB655" i="3"/>
  <c r="AA655" i="3"/>
  <c r="AC654" i="3"/>
  <c r="AB654" i="3"/>
  <c r="AA654" i="3"/>
  <c r="AC653" i="3"/>
  <c r="AB653" i="3"/>
  <c r="AA653" i="3"/>
  <c r="AC652" i="3"/>
  <c r="AB652" i="3"/>
  <c r="AA652" i="3"/>
  <c r="AC651" i="3"/>
  <c r="AB651" i="3"/>
  <c r="AA651" i="3"/>
  <c r="AC650" i="3"/>
  <c r="AB650" i="3"/>
  <c r="AA650" i="3"/>
  <c r="AC649" i="3"/>
  <c r="AB649" i="3"/>
  <c r="AA649" i="3"/>
  <c r="AC648" i="3"/>
  <c r="AB648" i="3"/>
  <c r="AA648" i="3"/>
  <c r="AC647" i="3"/>
  <c r="AB647" i="3"/>
  <c r="AA647" i="3"/>
  <c r="AC646" i="3"/>
  <c r="AB646" i="3"/>
  <c r="AA646" i="3"/>
  <c r="AC645" i="3"/>
  <c r="AB645" i="3"/>
  <c r="AA645" i="3"/>
  <c r="AC644" i="3"/>
  <c r="AB644" i="3"/>
  <c r="AA644" i="3"/>
  <c r="AC643" i="3"/>
  <c r="AB643" i="3"/>
  <c r="AA643" i="3"/>
  <c r="AC642" i="3"/>
  <c r="AB642" i="3"/>
  <c r="AA642" i="3"/>
  <c r="AC641" i="3"/>
  <c r="AB641" i="3"/>
  <c r="AA641" i="3"/>
  <c r="AC640" i="3"/>
  <c r="AB640" i="3"/>
  <c r="AA640" i="3"/>
  <c r="AC639" i="3"/>
  <c r="AB639" i="3"/>
  <c r="AA639" i="3"/>
  <c r="AC638" i="3"/>
  <c r="AB638" i="3"/>
  <c r="AA638" i="3"/>
  <c r="AC637" i="3"/>
  <c r="AB637" i="3"/>
  <c r="AA637" i="3"/>
  <c r="AC636" i="3"/>
  <c r="AB636" i="3"/>
  <c r="AA636" i="3"/>
  <c r="AC635" i="3"/>
  <c r="AB635" i="3"/>
  <c r="AA635" i="3"/>
  <c r="AC634" i="3"/>
  <c r="AB634" i="3"/>
  <c r="AA634" i="3"/>
  <c r="AC633" i="3"/>
  <c r="AB633" i="3"/>
  <c r="AA633" i="3"/>
  <c r="AC632" i="3"/>
  <c r="AB632" i="3"/>
  <c r="AA632" i="3"/>
  <c r="AC631" i="3"/>
  <c r="AB631" i="3"/>
  <c r="AA631" i="3"/>
  <c r="AC630" i="3"/>
  <c r="AB630" i="3"/>
  <c r="AA630" i="3"/>
  <c r="AC629" i="3"/>
  <c r="AB629" i="3"/>
  <c r="AA629" i="3"/>
  <c r="AC628" i="3"/>
  <c r="AB628" i="3"/>
  <c r="AA628" i="3"/>
  <c r="AC627" i="3"/>
  <c r="AB627" i="3"/>
  <c r="AA627" i="3"/>
  <c r="AC626" i="3"/>
  <c r="AB626" i="3"/>
  <c r="AA626" i="3"/>
  <c r="AC625" i="3"/>
  <c r="AB625" i="3"/>
  <c r="AA625" i="3"/>
  <c r="AC624" i="3"/>
  <c r="AB624" i="3"/>
  <c r="AA624" i="3"/>
  <c r="AC623" i="3"/>
  <c r="AB623" i="3"/>
  <c r="AA623" i="3"/>
  <c r="AC622" i="3"/>
  <c r="AB622" i="3"/>
  <c r="AA622" i="3"/>
  <c r="AC621" i="3"/>
  <c r="AB621" i="3"/>
  <c r="AA621" i="3"/>
  <c r="AC620" i="3"/>
  <c r="AB620" i="3"/>
  <c r="AA620" i="3"/>
  <c r="AC619" i="3"/>
  <c r="AB619" i="3"/>
  <c r="AA619" i="3"/>
  <c r="AC618" i="3"/>
  <c r="AB618" i="3"/>
  <c r="AA618" i="3"/>
  <c r="AC617" i="3"/>
  <c r="AB617" i="3"/>
  <c r="AA617" i="3"/>
  <c r="AC616" i="3"/>
  <c r="AB616" i="3"/>
  <c r="AA616" i="3"/>
  <c r="AC615" i="3"/>
  <c r="AB615" i="3"/>
  <c r="AA615" i="3"/>
  <c r="AC614" i="3"/>
  <c r="AB614" i="3"/>
  <c r="AA614" i="3"/>
  <c r="AC613" i="3"/>
  <c r="AB613" i="3"/>
  <c r="AA613" i="3"/>
  <c r="AC612" i="3"/>
  <c r="AB612" i="3"/>
  <c r="AA612" i="3"/>
  <c r="AC611" i="3"/>
  <c r="AB611" i="3"/>
  <c r="AA611" i="3"/>
  <c r="AC610" i="3"/>
  <c r="AB610" i="3"/>
  <c r="AA610" i="3"/>
  <c r="AC609" i="3"/>
  <c r="AB609" i="3"/>
  <c r="AA609" i="3"/>
  <c r="AC608" i="3"/>
  <c r="AB608" i="3"/>
  <c r="AA608" i="3"/>
  <c r="AC607" i="3"/>
  <c r="AB607" i="3"/>
  <c r="AA607" i="3"/>
  <c r="AC606" i="3"/>
  <c r="AB606" i="3"/>
  <c r="AA606" i="3"/>
  <c r="AC605" i="3"/>
  <c r="AB605" i="3"/>
  <c r="AA605" i="3"/>
  <c r="AC604" i="3"/>
  <c r="AB604" i="3"/>
  <c r="AA604" i="3"/>
  <c r="AC603" i="3"/>
  <c r="AB603" i="3"/>
  <c r="AA603" i="3"/>
  <c r="AC602" i="3"/>
  <c r="AB602" i="3"/>
  <c r="AA602" i="3"/>
  <c r="AC601" i="3"/>
  <c r="AB601" i="3"/>
  <c r="AA601" i="3"/>
  <c r="AC600" i="3"/>
  <c r="AB600" i="3"/>
  <c r="AA600" i="3"/>
  <c r="AC599" i="3"/>
  <c r="AB599" i="3"/>
  <c r="AA599" i="3"/>
  <c r="AC598" i="3"/>
  <c r="AB598" i="3"/>
  <c r="AA598" i="3"/>
  <c r="AC597" i="3"/>
  <c r="AB597" i="3"/>
  <c r="AA597" i="3"/>
  <c r="AC596" i="3"/>
  <c r="AB596" i="3"/>
  <c r="AA596" i="3"/>
  <c r="AC595" i="3"/>
  <c r="AB595" i="3"/>
  <c r="AA595" i="3"/>
  <c r="AC594" i="3"/>
  <c r="AB594" i="3"/>
  <c r="AA594" i="3"/>
  <c r="AC593" i="3"/>
  <c r="AB593" i="3"/>
  <c r="AA593" i="3"/>
  <c r="AC592" i="3"/>
  <c r="AB592" i="3"/>
  <c r="AA592" i="3"/>
  <c r="AC591" i="3"/>
  <c r="AB591" i="3"/>
  <c r="AA591" i="3"/>
  <c r="AC590" i="3"/>
  <c r="AB590" i="3"/>
  <c r="AA590" i="3"/>
  <c r="AC589" i="3"/>
  <c r="AB589" i="3"/>
  <c r="AA589" i="3"/>
  <c r="AC588" i="3"/>
  <c r="AB588" i="3"/>
  <c r="AA588" i="3"/>
  <c r="AC587" i="3"/>
  <c r="AB587" i="3"/>
  <c r="AA587" i="3"/>
  <c r="AC586" i="3"/>
  <c r="AB586" i="3"/>
  <c r="AA586" i="3"/>
  <c r="AC585" i="3"/>
  <c r="AB585" i="3"/>
  <c r="AA585" i="3"/>
  <c r="AC584" i="3"/>
  <c r="AB584" i="3"/>
  <c r="AA584" i="3"/>
  <c r="AC583" i="3"/>
  <c r="AB583" i="3"/>
  <c r="AA583" i="3"/>
  <c r="AC582" i="3"/>
  <c r="AB582" i="3"/>
  <c r="AA582" i="3"/>
  <c r="AC581" i="3"/>
  <c r="AB581" i="3"/>
  <c r="AA581" i="3"/>
  <c r="AC580" i="3"/>
  <c r="AB580" i="3"/>
  <c r="AA580" i="3"/>
  <c r="AC579" i="3"/>
  <c r="AB579" i="3"/>
  <c r="AA579" i="3"/>
  <c r="AC578" i="3"/>
  <c r="AB578" i="3"/>
  <c r="AA578" i="3"/>
  <c r="AC577" i="3"/>
  <c r="AB577" i="3"/>
  <c r="AA577" i="3"/>
  <c r="AC576" i="3"/>
  <c r="AB576" i="3"/>
  <c r="AA576" i="3"/>
  <c r="AC575" i="3"/>
  <c r="AB575" i="3"/>
  <c r="AA575" i="3"/>
  <c r="AC574" i="3"/>
  <c r="AB574" i="3"/>
  <c r="AA574" i="3"/>
  <c r="AC573" i="3"/>
  <c r="AB573" i="3"/>
  <c r="AA573" i="3"/>
  <c r="AC572" i="3"/>
  <c r="AB572" i="3"/>
  <c r="AA572" i="3"/>
  <c r="AC571" i="3"/>
  <c r="AB571" i="3"/>
  <c r="AA571" i="3"/>
  <c r="AC570" i="3"/>
  <c r="AB570" i="3"/>
  <c r="AA570" i="3"/>
  <c r="AC569" i="3"/>
  <c r="AB569" i="3"/>
  <c r="AA569" i="3"/>
  <c r="AC568" i="3"/>
  <c r="AB568" i="3"/>
  <c r="AA568" i="3"/>
  <c r="AC567" i="3"/>
  <c r="AB567" i="3"/>
  <c r="AA567" i="3"/>
  <c r="AC566" i="3"/>
  <c r="AB566" i="3"/>
  <c r="AA566" i="3"/>
  <c r="AC565" i="3"/>
  <c r="AB565" i="3"/>
  <c r="AA565" i="3"/>
  <c r="AC564" i="3"/>
  <c r="AB564" i="3"/>
  <c r="AA564" i="3"/>
  <c r="AC563" i="3"/>
  <c r="AB563" i="3"/>
  <c r="AA563" i="3"/>
  <c r="AC562" i="3"/>
  <c r="AB562" i="3"/>
  <c r="AA562" i="3"/>
  <c r="AC561" i="3"/>
  <c r="AB561" i="3"/>
  <c r="AA561" i="3"/>
  <c r="AC560" i="3"/>
  <c r="AB560" i="3"/>
  <c r="AA560" i="3"/>
  <c r="AC559" i="3"/>
  <c r="AB559" i="3"/>
  <c r="AA559" i="3"/>
  <c r="AC558" i="3"/>
  <c r="AB558" i="3"/>
  <c r="AA558" i="3"/>
  <c r="AC557" i="3"/>
  <c r="AB557" i="3"/>
  <c r="AA557" i="3"/>
  <c r="AC556" i="3"/>
  <c r="AB556" i="3"/>
  <c r="AA556" i="3"/>
  <c r="AC555" i="3"/>
  <c r="AB555" i="3"/>
  <c r="AA555" i="3"/>
  <c r="AC554" i="3"/>
  <c r="AB554" i="3"/>
  <c r="AA554" i="3"/>
  <c r="AC553" i="3"/>
  <c r="AB553" i="3"/>
  <c r="AA553" i="3"/>
  <c r="AC552" i="3"/>
  <c r="AB552" i="3"/>
  <c r="AA552" i="3"/>
  <c r="AC551" i="3"/>
  <c r="AB551" i="3"/>
  <c r="AA551" i="3"/>
  <c r="AC550" i="3"/>
  <c r="AB550" i="3"/>
  <c r="AA550" i="3"/>
  <c r="AC549" i="3"/>
  <c r="AB549" i="3"/>
  <c r="AA549" i="3"/>
  <c r="AC548" i="3"/>
  <c r="AB548" i="3"/>
  <c r="AA548" i="3"/>
  <c r="AC547" i="3"/>
  <c r="AB547" i="3"/>
  <c r="AA547" i="3"/>
  <c r="AC546" i="3"/>
  <c r="AB546" i="3"/>
  <c r="AA546" i="3"/>
  <c r="AC545" i="3"/>
  <c r="AB545" i="3"/>
  <c r="AA545" i="3"/>
  <c r="AC544" i="3"/>
  <c r="AB544" i="3"/>
  <c r="AA544" i="3"/>
  <c r="AC543" i="3"/>
  <c r="AB543" i="3"/>
  <c r="AA543" i="3"/>
  <c r="AC542" i="3"/>
  <c r="AB542" i="3"/>
  <c r="AA542" i="3"/>
  <c r="AC541" i="3"/>
  <c r="AB541" i="3"/>
  <c r="AA541" i="3"/>
  <c r="AC540" i="3"/>
  <c r="AB540" i="3"/>
  <c r="AA540" i="3"/>
  <c r="AC539" i="3"/>
  <c r="AB539" i="3"/>
  <c r="AA539" i="3"/>
  <c r="AC538" i="3"/>
  <c r="AB538" i="3"/>
  <c r="AA538" i="3"/>
  <c r="AC537" i="3"/>
  <c r="AB537" i="3"/>
  <c r="AA537" i="3"/>
  <c r="AC536" i="3"/>
  <c r="AB536" i="3"/>
  <c r="AA536" i="3"/>
  <c r="AC535" i="3"/>
  <c r="AB535" i="3"/>
  <c r="AA535" i="3"/>
  <c r="AC534" i="3"/>
  <c r="AB534" i="3"/>
  <c r="AA534" i="3"/>
  <c r="AC533" i="3"/>
  <c r="AB533" i="3"/>
  <c r="AA533" i="3"/>
  <c r="AC532" i="3"/>
  <c r="AB532" i="3"/>
  <c r="AA532" i="3"/>
  <c r="AC531" i="3"/>
  <c r="AB531" i="3"/>
  <c r="AA531" i="3"/>
  <c r="AC530" i="3"/>
  <c r="AB530" i="3"/>
  <c r="AA530" i="3"/>
  <c r="AC529" i="3"/>
  <c r="AB529" i="3"/>
  <c r="AA529" i="3"/>
  <c r="AC528" i="3"/>
  <c r="AB528" i="3"/>
  <c r="AA528" i="3"/>
  <c r="AC527" i="3"/>
  <c r="AB527" i="3"/>
  <c r="AA527" i="3"/>
  <c r="AC526" i="3"/>
  <c r="AB526" i="3"/>
  <c r="AA526" i="3"/>
  <c r="AC525" i="3"/>
  <c r="AB525" i="3"/>
  <c r="AA525" i="3"/>
  <c r="AC524" i="3"/>
  <c r="AB524" i="3"/>
  <c r="AA524" i="3"/>
  <c r="AC523" i="3"/>
  <c r="AB523" i="3"/>
  <c r="AA523" i="3"/>
  <c r="AC522" i="3"/>
  <c r="AB522" i="3"/>
  <c r="AA522" i="3"/>
  <c r="AC521" i="3"/>
  <c r="AB521" i="3"/>
  <c r="AA521" i="3"/>
  <c r="AC520" i="3"/>
  <c r="AB520" i="3"/>
  <c r="AA520" i="3"/>
  <c r="AC519" i="3"/>
  <c r="AB519" i="3"/>
  <c r="AA519" i="3"/>
  <c r="AC518" i="3"/>
  <c r="AB518" i="3"/>
  <c r="AA518" i="3"/>
  <c r="AC517" i="3"/>
  <c r="AB517" i="3"/>
  <c r="AA517" i="3"/>
  <c r="AC516" i="3"/>
  <c r="AB516" i="3"/>
  <c r="AA516" i="3"/>
  <c r="AC515" i="3"/>
  <c r="AB515" i="3"/>
  <c r="AA515" i="3"/>
  <c r="AC514" i="3"/>
  <c r="AB514" i="3"/>
  <c r="AA514" i="3"/>
  <c r="AC513" i="3"/>
  <c r="AB513" i="3"/>
  <c r="AA513" i="3"/>
  <c r="AC512" i="3"/>
  <c r="AB512" i="3"/>
  <c r="AA512" i="3"/>
  <c r="AC511" i="3"/>
  <c r="AB511" i="3"/>
  <c r="AA511" i="3"/>
  <c r="AC510" i="3"/>
  <c r="AB510" i="3"/>
  <c r="AA510" i="3"/>
  <c r="AC509" i="3"/>
  <c r="AB509" i="3"/>
  <c r="AA509" i="3"/>
  <c r="AC508" i="3"/>
  <c r="AB508" i="3"/>
  <c r="AA508" i="3"/>
  <c r="AC507" i="3"/>
  <c r="AB507" i="3"/>
  <c r="AA507" i="3"/>
  <c r="AC506" i="3"/>
  <c r="AB506" i="3"/>
  <c r="AA506" i="3"/>
  <c r="AC505" i="3"/>
  <c r="AB505" i="3"/>
  <c r="AA505" i="3"/>
  <c r="AC504" i="3"/>
  <c r="AB504" i="3"/>
  <c r="AA504" i="3"/>
  <c r="AC503" i="3"/>
  <c r="AB503" i="3"/>
  <c r="AA503" i="3"/>
  <c r="AC502" i="3"/>
  <c r="AB502" i="3"/>
  <c r="AA502" i="3"/>
  <c r="AC501" i="3"/>
  <c r="AB501" i="3"/>
  <c r="AA501" i="3"/>
  <c r="AC500" i="3"/>
  <c r="AB500" i="3"/>
  <c r="AA500" i="3"/>
  <c r="AC499" i="3"/>
  <c r="AB499" i="3"/>
  <c r="AA499" i="3"/>
  <c r="AC498" i="3"/>
  <c r="AB498" i="3"/>
  <c r="AA498" i="3"/>
  <c r="AC497" i="3"/>
  <c r="AB497" i="3"/>
  <c r="AA497" i="3"/>
  <c r="AC496" i="3"/>
  <c r="AB496" i="3"/>
  <c r="AA496" i="3"/>
  <c r="AC495" i="3"/>
  <c r="AB495" i="3"/>
  <c r="AA495" i="3"/>
  <c r="AC494" i="3"/>
  <c r="AB494" i="3"/>
  <c r="AA494" i="3"/>
  <c r="AC493" i="3"/>
  <c r="AB493" i="3"/>
  <c r="AA493" i="3"/>
  <c r="AC492" i="3"/>
  <c r="AB492" i="3"/>
  <c r="AA492" i="3"/>
  <c r="AC491" i="3"/>
  <c r="AB491" i="3"/>
  <c r="AA491" i="3"/>
  <c r="AC490" i="3"/>
  <c r="AB490" i="3"/>
  <c r="AA490" i="3"/>
  <c r="AC489" i="3"/>
  <c r="AB489" i="3"/>
  <c r="AA489" i="3"/>
  <c r="AC488" i="3"/>
  <c r="AB488" i="3"/>
  <c r="AA488" i="3"/>
  <c r="AC487" i="3"/>
  <c r="AB487" i="3"/>
  <c r="AA487" i="3"/>
  <c r="AC486" i="3"/>
  <c r="AB486" i="3"/>
  <c r="AA486" i="3"/>
  <c r="AC485" i="3"/>
  <c r="AB485" i="3"/>
  <c r="AA485" i="3"/>
  <c r="AC484" i="3"/>
  <c r="AB484" i="3"/>
  <c r="AA484" i="3"/>
  <c r="AC483" i="3"/>
  <c r="AB483" i="3"/>
  <c r="AA483" i="3"/>
  <c r="AC482" i="3"/>
  <c r="AB482" i="3"/>
  <c r="AA482" i="3"/>
  <c r="AC481" i="3"/>
  <c r="AB481" i="3"/>
  <c r="AA481" i="3"/>
  <c r="AC480" i="3"/>
  <c r="AB480" i="3"/>
  <c r="AA480" i="3"/>
  <c r="AC479" i="3"/>
  <c r="AB479" i="3"/>
  <c r="AA479" i="3"/>
  <c r="AC478" i="3"/>
  <c r="AB478" i="3"/>
  <c r="AA478" i="3"/>
  <c r="AC477" i="3"/>
  <c r="AB477" i="3"/>
  <c r="AA477" i="3"/>
  <c r="AC476" i="3"/>
  <c r="AB476" i="3"/>
  <c r="AA476" i="3"/>
  <c r="AC475" i="3"/>
  <c r="AB475" i="3"/>
  <c r="AA475" i="3"/>
  <c r="AC474" i="3"/>
  <c r="AB474" i="3"/>
  <c r="AA474" i="3"/>
  <c r="AC473" i="3"/>
  <c r="AB473" i="3"/>
  <c r="AA473" i="3"/>
  <c r="AC472" i="3"/>
  <c r="AB472" i="3"/>
  <c r="AA472" i="3"/>
  <c r="AC471" i="3"/>
  <c r="AB471" i="3"/>
  <c r="AA471" i="3"/>
  <c r="AC470" i="3"/>
  <c r="AB470" i="3"/>
  <c r="AA470" i="3"/>
  <c r="AC469" i="3"/>
  <c r="AB469" i="3"/>
  <c r="AA469" i="3"/>
  <c r="AC468" i="3"/>
  <c r="AB468" i="3"/>
  <c r="AA468" i="3"/>
  <c r="AC467" i="3"/>
  <c r="AB467" i="3"/>
  <c r="AA467" i="3"/>
  <c r="AC466" i="3"/>
  <c r="AB466" i="3"/>
  <c r="AA466" i="3"/>
  <c r="AC465" i="3"/>
  <c r="AB465" i="3"/>
  <c r="AA465" i="3"/>
  <c r="AC464" i="3"/>
  <c r="AB464" i="3"/>
  <c r="AA464" i="3"/>
  <c r="AC463" i="3"/>
  <c r="AB463" i="3"/>
  <c r="AA463" i="3"/>
  <c r="AC462" i="3"/>
  <c r="AB462" i="3"/>
  <c r="AA462" i="3"/>
  <c r="AC461" i="3"/>
  <c r="AB461" i="3"/>
  <c r="AA461" i="3"/>
  <c r="AC460" i="3"/>
  <c r="AB460" i="3"/>
  <c r="AA460" i="3"/>
  <c r="AC459" i="3"/>
  <c r="AB459" i="3"/>
  <c r="AA459" i="3"/>
  <c r="AC458" i="3"/>
  <c r="AB458" i="3"/>
  <c r="AA458" i="3"/>
  <c r="AC457" i="3"/>
  <c r="AB457" i="3"/>
  <c r="AA457" i="3"/>
  <c r="AC456" i="3"/>
  <c r="AB456" i="3"/>
  <c r="AA456" i="3"/>
  <c r="AC455" i="3"/>
  <c r="AB455" i="3"/>
  <c r="AA455" i="3"/>
  <c r="AC454" i="3"/>
  <c r="AB454" i="3"/>
  <c r="AA454" i="3"/>
  <c r="AC453" i="3"/>
  <c r="AB453" i="3"/>
  <c r="AA453" i="3"/>
  <c r="AC452" i="3"/>
  <c r="AB452" i="3"/>
  <c r="AA452" i="3"/>
  <c r="AC451" i="3"/>
  <c r="AB451" i="3"/>
  <c r="AA451" i="3"/>
  <c r="AC450" i="3"/>
  <c r="AB450" i="3"/>
  <c r="AA450" i="3"/>
  <c r="AC449" i="3"/>
  <c r="AB449" i="3"/>
  <c r="AA449" i="3"/>
  <c r="AC448" i="3"/>
  <c r="AB448" i="3"/>
  <c r="AA448" i="3"/>
  <c r="AC447" i="3"/>
  <c r="AB447" i="3"/>
  <c r="AA447" i="3"/>
  <c r="AC446" i="3"/>
  <c r="AB446" i="3"/>
  <c r="AA446" i="3"/>
  <c r="AC445" i="3"/>
  <c r="AB445" i="3"/>
  <c r="AA445" i="3"/>
  <c r="AC444" i="3"/>
  <c r="AB444" i="3"/>
  <c r="AA444" i="3"/>
  <c r="AC443" i="3"/>
  <c r="AB443" i="3"/>
  <c r="AA443" i="3"/>
  <c r="AC442" i="3"/>
  <c r="AB442" i="3"/>
  <c r="AA442" i="3"/>
  <c r="AC441" i="3"/>
  <c r="AB441" i="3"/>
  <c r="AA441" i="3"/>
  <c r="AC440" i="3"/>
  <c r="AB440" i="3"/>
  <c r="AA440" i="3"/>
  <c r="AC439" i="3"/>
  <c r="AB439" i="3"/>
  <c r="AA439" i="3"/>
  <c r="AC438" i="3"/>
  <c r="AB438" i="3"/>
  <c r="AA438" i="3"/>
  <c r="AC437" i="3"/>
  <c r="AB437" i="3"/>
  <c r="AA437" i="3"/>
  <c r="AC436" i="3"/>
  <c r="AB436" i="3"/>
  <c r="AA436" i="3"/>
  <c r="AC435" i="3"/>
  <c r="AB435" i="3"/>
  <c r="AA435" i="3"/>
  <c r="AC434" i="3"/>
  <c r="AB434" i="3"/>
  <c r="AA434" i="3"/>
  <c r="AC433" i="3"/>
  <c r="AB433" i="3"/>
  <c r="AA433" i="3"/>
  <c r="AC432" i="3"/>
  <c r="AB432" i="3"/>
  <c r="AA432" i="3"/>
  <c r="AC431" i="3"/>
  <c r="AB431" i="3"/>
  <c r="AA431" i="3"/>
  <c r="AC430" i="3"/>
  <c r="AB430" i="3"/>
  <c r="AA430" i="3"/>
  <c r="AC429" i="3"/>
  <c r="AB429" i="3"/>
  <c r="AA429" i="3"/>
  <c r="AC428" i="3"/>
  <c r="AB428" i="3"/>
  <c r="AA428" i="3"/>
  <c r="AC427" i="3"/>
  <c r="AB427" i="3"/>
  <c r="AA427" i="3"/>
  <c r="AC426" i="3"/>
  <c r="AB426" i="3"/>
  <c r="AA426" i="3"/>
  <c r="AC425" i="3"/>
  <c r="AB425" i="3"/>
  <c r="AA425" i="3"/>
  <c r="AC424" i="3"/>
  <c r="AB424" i="3"/>
  <c r="AA424" i="3"/>
  <c r="AC423" i="3"/>
  <c r="AB423" i="3"/>
  <c r="AA423" i="3"/>
  <c r="AC422" i="3"/>
  <c r="AB422" i="3"/>
  <c r="AA422" i="3"/>
  <c r="AC421" i="3"/>
  <c r="AB421" i="3"/>
  <c r="AA421" i="3"/>
  <c r="AC420" i="3"/>
  <c r="AB420" i="3"/>
  <c r="AA420" i="3"/>
  <c r="AC419" i="3"/>
  <c r="AB419" i="3"/>
  <c r="AA419" i="3"/>
  <c r="AC418" i="3"/>
  <c r="AB418" i="3"/>
  <c r="AA418" i="3"/>
  <c r="AC417" i="3"/>
  <c r="AB417" i="3"/>
  <c r="AA417" i="3"/>
  <c r="AC416" i="3"/>
  <c r="AB416" i="3"/>
  <c r="AA416" i="3"/>
  <c r="AC415" i="3"/>
  <c r="AB415" i="3"/>
  <c r="AA415" i="3"/>
  <c r="AC414" i="3"/>
  <c r="AB414" i="3"/>
  <c r="AA414" i="3"/>
  <c r="AC413" i="3"/>
  <c r="AB413" i="3"/>
  <c r="AA413" i="3"/>
  <c r="AC412" i="3"/>
  <c r="AB412" i="3"/>
  <c r="AA412" i="3"/>
  <c r="AC411" i="3"/>
  <c r="AB411" i="3"/>
  <c r="AA411" i="3"/>
  <c r="AC410" i="3"/>
  <c r="AB410" i="3"/>
  <c r="AA410" i="3"/>
  <c r="AC409" i="3"/>
  <c r="AB409" i="3"/>
  <c r="AA409" i="3"/>
  <c r="AC408" i="3"/>
  <c r="AB408" i="3"/>
  <c r="AA408" i="3"/>
  <c r="AC407" i="3"/>
  <c r="AB407" i="3"/>
  <c r="AA407" i="3"/>
  <c r="AC406" i="3"/>
  <c r="AB406" i="3"/>
  <c r="AA406" i="3"/>
  <c r="AC405" i="3"/>
  <c r="AB405" i="3"/>
  <c r="AA405" i="3"/>
  <c r="AC404" i="3"/>
  <c r="AB404" i="3"/>
  <c r="AA404" i="3"/>
  <c r="AC403" i="3"/>
  <c r="AB403" i="3"/>
  <c r="AA403" i="3"/>
  <c r="AC402" i="3"/>
  <c r="AB402" i="3"/>
  <c r="AA402" i="3"/>
  <c r="AC401" i="3"/>
  <c r="AB401" i="3"/>
  <c r="AA401" i="3"/>
  <c r="AC400" i="3"/>
  <c r="AB400" i="3"/>
  <c r="AA400" i="3"/>
  <c r="AC399" i="3"/>
  <c r="AB399" i="3"/>
  <c r="AA399" i="3"/>
  <c r="AC398" i="3"/>
  <c r="AB398" i="3"/>
  <c r="AA398" i="3"/>
  <c r="AC397" i="3"/>
  <c r="AB397" i="3"/>
  <c r="AA397" i="3"/>
  <c r="AC396" i="3"/>
  <c r="AB396" i="3"/>
  <c r="AA396" i="3"/>
  <c r="AC395" i="3"/>
  <c r="AB395" i="3"/>
  <c r="AA395" i="3"/>
  <c r="AC394" i="3"/>
  <c r="AB394" i="3"/>
  <c r="AA394" i="3"/>
  <c r="AC393" i="3"/>
  <c r="AB393" i="3"/>
  <c r="AA393" i="3"/>
  <c r="AC392" i="3"/>
  <c r="AB392" i="3"/>
  <c r="AA392" i="3"/>
  <c r="AC391" i="3"/>
  <c r="AB391" i="3"/>
  <c r="AA391" i="3"/>
  <c r="AC390" i="3"/>
  <c r="AB390" i="3"/>
  <c r="AA390" i="3"/>
  <c r="AC389" i="3"/>
  <c r="AB389" i="3"/>
  <c r="AA389" i="3"/>
  <c r="AC388" i="3"/>
  <c r="AB388" i="3"/>
  <c r="AA388" i="3"/>
  <c r="AC387" i="3"/>
  <c r="AB387" i="3"/>
  <c r="AA387" i="3"/>
  <c r="AC386" i="3"/>
  <c r="AB386" i="3"/>
  <c r="AA386" i="3"/>
  <c r="AC385" i="3"/>
  <c r="AB385" i="3"/>
  <c r="AA385" i="3"/>
  <c r="AC384" i="3"/>
  <c r="AB384" i="3"/>
  <c r="AA384" i="3"/>
  <c r="AC383" i="3"/>
  <c r="AB383" i="3"/>
  <c r="AA383" i="3"/>
  <c r="AC382" i="3"/>
  <c r="AB382" i="3"/>
  <c r="AA382" i="3"/>
  <c r="AC381" i="3"/>
  <c r="AB381" i="3"/>
  <c r="AA381" i="3"/>
  <c r="AC380" i="3"/>
  <c r="AB380" i="3"/>
  <c r="AA380" i="3"/>
  <c r="AC379" i="3"/>
  <c r="AB379" i="3"/>
  <c r="AA379" i="3"/>
  <c r="AC378" i="3"/>
  <c r="AB378" i="3"/>
  <c r="AA378" i="3"/>
  <c r="AC377" i="3"/>
  <c r="AB377" i="3"/>
  <c r="AA377" i="3"/>
  <c r="AC376" i="3"/>
  <c r="AB376" i="3"/>
  <c r="AA376" i="3"/>
  <c r="AC375" i="3"/>
  <c r="AB375" i="3"/>
  <c r="AA375" i="3"/>
  <c r="AC374" i="3"/>
  <c r="AB374" i="3"/>
  <c r="AA374" i="3"/>
  <c r="AC373" i="3"/>
  <c r="AB373" i="3"/>
  <c r="AA373" i="3"/>
  <c r="AC372" i="3"/>
  <c r="AB372" i="3"/>
  <c r="AA372" i="3"/>
  <c r="AC371" i="3"/>
  <c r="AB371" i="3"/>
  <c r="AA371" i="3"/>
  <c r="AC370" i="3"/>
  <c r="AB370" i="3"/>
  <c r="AA370" i="3"/>
  <c r="AC369" i="3"/>
  <c r="AB369" i="3"/>
  <c r="AA369" i="3"/>
  <c r="AC368" i="3"/>
  <c r="AB368" i="3"/>
  <c r="AA368" i="3"/>
  <c r="AC367" i="3"/>
  <c r="AB367" i="3"/>
  <c r="AA367" i="3"/>
  <c r="AC366" i="3"/>
  <c r="AB366" i="3"/>
  <c r="AA366" i="3"/>
  <c r="AC365" i="3"/>
  <c r="AB365" i="3"/>
  <c r="AA365" i="3"/>
  <c r="AC364" i="3"/>
  <c r="AB364" i="3"/>
  <c r="AA364" i="3"/>
  <c r="AC363" i="3"/>
  <c r="AB363" i="3"/>
  <c r="AA363" i="3"/>
  <c r="AC362" i="3"/>
  <c r="AB362" i="3"/>
  <c r="AA362" i="3"/>
  <c r="AC361" i="3"/>
  <c r="AB361" i="3"/>
  <c r="AA361" i="3"/>
  <c r="AC360" i="3"/>
  <c r="AB360" i="3"/>
  <c r="AA360" i="3"/>
  <c r="AC359" i="3"/>
  <c r="AB359" i="3"/>
  <c r="AA359" i="3"/>
  <c r="AC358" i="3"/>
  <c r="AB358" i="3"/>
  <c r="AA358" i="3"/>
  <c r="AC357" i="3"/>
  <c r="AB357" i="3"/>
  <c r="AA357" i="3"/>
  <c r="AC356" i="3"/>
  <c r="AB356" i="3"/>
  <c r="AA356" i="3"/>
  <c r="AC355" i="3"/>
  <c r="AB355" i="3"/>
  <c r="AA355" i="3"/>
  <c r="AC354" i="3"/>
  <c r="AB354" i="3"/>
  <c r="AA354" i="3"/>
  <c r="AC353" i="3"/>
  <c r="AB353" i="3"/>
  <c r="AA353" i="3"/>
  <c r="AC352" i="3"/>
  <c r="AB352" i="3"/>
  <c r="AA352" i="3"/>
  <c r="AC351" i="3"/>
  <c r="AB351" i="3"/>
  <c r="AA351" i="3"/>
  <c r="AC350" i="3"/>
  <c r="AB350" i="3"/>
  <c r="AA350" i="3"/>
  <c r="AC349" i="3"/>
  <c r="AB349" i="3"/>
  <c r="AA349" i="3"/>
  <c r="AC348" i="3"/>
  <c r="AB348" i="3"/>
  <c r="AA348" i="3"/>
  <c r="AC347" i="3"/>
  <c r="AB347" i="3"/>
  <c r="AA347" i="3"/>
  <c r="AC346" i="3"/>
  <c r="AB346" i="3"/>
  <c r="AA346" i="3"/>
  <c r="AC345" i="3"/>
  <c r="AB345" i="3"/>
  <c r="AA345" i="3"/>
  <c r="AC344" i="3"/>
  <c r="AB344" i="3"/>
  <c r="AA344" i="3"/>
  <c r="AC343" i="3"/>
  <c r="AB343" i="3"/>
  <c r="AA343" i="3"/>
  <c r="AC342" i="3"/>
  <c r="AB342" i="3"/>
  <c r="AA342" i="3"/>
  <c r="AC341" i="3"/>
  <c r="AB341" i="3"/>
  <c r="AA341" i="3"/>
  <c r="AC340" i="3"/>
  <c r="AB340" i="3"/>
  <c r="AA340" i="3"/>
  <c r="AC339" i="3"/>
  <c r="AB339" i="3"/>
  <c r="AA339" i="3"/>
  <c r="AC338" i="3"/>
  <c r="AB338" i="3"/>
  <c r="AA338" i="3"/>
  <c r="AC337" i="3"/>
  <c r="AB337" i="3"/>
  <c r="AA337" i="3"/>
  <c r="AC336" i="3"/>
  <c r="AB336" i="3"/>
  <c r="AA336" i="3"/>
  <c r="AC335" i="3"/>
  <c r="AB335" i="3"/>
  <c r="AA335" i="3"/>
  <c r="AC334" i="3"/>
  <c r="AB334" i="3"/>
  <c r="AA334" i="3"/>
  <c r="AC333" i="3"/>
  <c r="AB333" i="3"/>
  <c r="AA333" i="3"/>
  <c r="AC332" i="3"/>
  <c r="AB332" i="3"/>
  <c r="AA332" i="3"/>
  <c r="AC331" i="3"/>
  <c r="AB331" i="3"/>
  <c r="AA331" i="3"/>
  <c r="AC330" i="3"/>
  <c r="AB330" i="3"/>
  <c r="AA330" i="3"/>
  <c r="AC329" i="3"/>
  <c r="AB329" i="3"/>
  <c r="AA329" i="3"/>
  <c r="AC328" i="3"/>
  <c r="AB328" i="3"/>
  <c r="AA328" i="3"/>
  <c r="AC327" i="3"/>
  <c r="AB327" i="3"/>
  <c r="AA327" i="3"/>
  <c r="AC326" i="3"/>
  <c r="AB326" i="3"/>
  <c r="AA326" i="3"/>
  <c r="AC325" i="3"/>
  <c r="AB325" i="3"/>
  <c r="AA325" i="3"/>
  <c r="AC324" i="3"/>
  <c r="AB324" i="3"/>
  <c r="AA324" i="3"/>
  <c r="AC323" i="3"/>
  <c r="AB323" i="3"/>
  <c r="AA323" i="3"/>
  <c r="AC322" i="3"/>
  <c r="AB322" i="3"/>
  <c r="AA322" i="3"/>
  <c r="AC321" i="3"/>
  <c r="AB321" i="3"/>
  <c r="AA321" i="3"/>
  <c r="AC320" i="3"/>
  <c r="AB320" i="3"/>
  <c r="AA320" i="3"/>
  <c r="AC319" i="3"/>
  <c r="AB319" i="3"/>
  <c r="AA319" i="3"/>
  <c r="AC318" i="3"/>
  <c r="AB318" i="3"/>
  <c r="AA318" i="3"/>
  <c r="AC317" i="3"/>
  <c r="AB317" i="3"/>
  <c r="AA317" i="3"/>
  <c r="AC316" i="3"/>
  <c r="AB316" i="3"/>
  <c r="AA316" i="3"/>
  <c r="AC315" i="3"/>
  <c r="AB315" i="3"/>
  <c r="AA315" i="3"/>
  <c r="AC314" i="3"/>
  <c r="AB314" i="3"/>
  <c r="AA314" i="3"/>
  <c r="AC313" i="3"/>
  <c r="AB313" i="3"/>
  <c r="AA313" i="3"/>
  <c r="AC312" i="3"/>
  <c r="AB312" i="3"/>
  <c r="AA312" i="3"/>
  <c r="AC311" i="3"/>
  <c r="AB311" i="3"/>
  <c r="AA311" i="3"/>
  <c r="AC310" i="3"/>
  <c r="AB310" i="3"/>
  <c r="AA310" i="3"/>
  <c r="AC309" i="3"/>
  <c r="AB309" i="3"/>
  <c r="AA309" i="3"/>
  <c r="AC308" i="3"/>
  <c r="AB308" i="3"/>
  <c r="AA308" i="3"/>
  <c r="AC307" i="3"/>
  <c r="AB307" i="3"/>
  <c r="AA307" i="3"/>
  <c r="AC306" i="3"/>
  <c r="AB306" i="3"/>
  <c r="AA306" i="3"/>
  <c r="AC305" i="3"/>
  <c r="AB305" i="3"/>
  <c r="AA305" i="3"/>
  <c r="AC304" i="3"/>
  <c r="AB304" i="3"/>
  <c r="AA304" i="3"/>
  <c r="AC303" i="3"/>
  <c r="AB303" i="3"/>
  <c r="AA303" i="3"/>
  <c r="AC302" i="3"/>
  <c r="AB302" i="3"/>
  <c r="AA302" i="3"/>
  <c r="AC301" i="3"/>
  <c r="AB301" i="3"/>
  <c r="AA301" i="3"/>
  <c r="AC300" i="3"/>
  <c r="AB300" i="3"/>
  <c r="AA300" i="3"/>
  <c r="AC299" i="3"/>
  <c r="AB299" i="3"/>
  <c r="AA299" i="3"/>
  <c r="AC298" i="3"/>
  <c r="AB298" i="3"/>
  <c r="AA298" i="3"/>
  <c r="AC297" i="3"/>
  <c r="AB297" i="3"/>
  <c r="AA297" i="3"/>
  <c r="AC296" i="3"/>
  <c r="AB296" i="3"/>
  <c r="AA296" i="3"/>
  <c r="AC295" i="3"/>
  <c r="AB295" i="3"/>
  <c r="AA295" i="3"/>
  <c r="AC294" i="3"/>
  <c r="AB294" i="3"/>
  <c r="AA294" i="3"/>
  <c r="AC293" i="3"/>
  <c r="AB293" i="3"/>
  <c r="AA293" i="3"/>
  <c r="AC292" i="3"/>
  <c r="AB292" i="3"/>
  <c r="AA292" i="3"/>
  <c r="AC291" i="3"/>
  <c r="AB291" i="3"/>
  <c r="AA291" i="3"/>
  <c r="AC290" i="3"/>
  <c r="AB290" i="3"/>
  <c r="AA290" i="3"/>
  <c r="AC289" i="3"/>
  <c r="AB289" i="3"/>
  <c r="AA289" i="3"/>
  <c r="AC288" i="3"/>
  <c r="AB288" i="3"/>
  <c r="AA288" i="3"/>
  <c r="AC287" i="3"/>
  <c r="AB287" i="3"/>
  <c r="AA287" i="3"/>
  <c r="AC286" i="3"/>
  <c r="AB286" i="3"/>
  <c r="AA286" i="3"/>
  <c r="AC285" i="3"/>
  <c r="AB285" i="3"/>
  <c r="AA285" i="3"/>
  <c r="AC284" i="3"/>
  <c r="AB284" i="3"/>
  <c r="AA284" i="3"/>
  <c r="AC283" i="3"/>
  <c r="AB283" i="3"/>
  <c r="AA283" i="3"/>
  <c r="AC282" i="3"/>
  <c r="AB282" i="3"/>
  <c r="AA282" i="3"/>
  <c r="AC281" i="3"/>
  <c r="AB281" i="3"/>
  <c r="AA281" i="3"/>
  <c r="AC280" i="3"/>
  <c r="AB280" i="3"/>
  <c r="AA280" i="3"/>
  <c r="AC279" i="3"/>
  <c r="AB279" i="3"/>
  <c r="AA279" i="3"/>
  <c r="AC278" i="3"/>
  <c r="AB278" i="3"/>
  <c r="AA278" i="3"/>
  <c r="AC277" i="3"/>
  <c r="AB277" i="3"/>
  <c r="AA277" i="3"/>
  <c r="AC276" i="3"/>
  <c r="AB276" i="3"/>
  <c r="AA276" i="3"/>
  <c r="AC275" i="3"/>
  <c r="AB275" i="3"/>
  <c r="AA275" i="3"/>
  <c r="AC274" i="3"/>
  <c r="AB274" i="3"/>
  <c r="AA274" i="3"/>
  <c r="AC273" i="3"/>
  <c r="AB273" i="3"/>
  <c r="AA273" i="3"/>
  <c r="AC272" i="3"/>
  <c r="AB272" i="3"/>
  <c r="AA272" i="3"/>
  <c r="AC271" i="3"/>
  <c r="AB271" i="3"/>
  <c r="AA271" i="3"/>
  <c r="AC270" i="3"/>
  <c r="AB270" i="3"/>
  <c r="AA270" i="3"/>
  <c r="AC269" i="3"/>
  <c r="AB269" i="3"/>
  <c r="AA269" i="3"/>
  <c r="AC268" i="3"/>
  <c r="AB268" i="3"/>
  <c r="AA268" i="3"/>
  <c r="AC267" i="3"/>
  <c r="AB267" i="3"/>
  <c r="AA267" i="3"/>
  <c r="AC266" i="3"/>
  <c r="AB266" i="3"/>
  <c r="AA266" i="3"/>
  <c r="AC265" i="3"/>
  <c r="AB265" i="3"/>
  <c r="AA265" i="3"/>
  <c r="AC264" i="3"/>
  <c r="AB264" i="3"/>
  <c r="AA264" i="3"/>
  <c r="AC263" i="3"/>
  <c r="AB263" i="3"/>
  <c r="AA263" i="3"/>
  <c r="AC262" i="3"/>
  <c r="AB262" i="3"/>
  <c r="AA262" i="3"/>
  <c r="AC261" i="3"/>
  <c r="AB261" i="3"/>
  <c r="AA261" i="3"/>
  <c r="AC260" i="3"/>
  <c r="AB260" i="3"/>
  <c r="AA260" i="3"/>
  <c r="AC259" i="3"/>
  <c r="AB259" i="3"/>
  <c r="AA259" i="3"/>
  <c r="AC258" i="3"/>
  <c r="AB258" i="3"/>
  <c r="AA258" i="3"/>
  <c r="AC257" i="3"/>
  <c r="AB257" i="3"/>
  <c r="AA257" i="3"/>
  <c r="AC256" i="3"/>
  <c r="AB256" i="3"/>
  <c r="AA256" i="3"/>
  <c r="AC255" i="3"/>
  <c r="AB255" i="3"/>
  <c r="AA255" i="3"/>
  <c r="AC254" i="3"/>
  <c r="AB254" i="3"/>
  <c r="AA254" i="3"/>
  <c r="AC253" i="3"/>
  <c r="AB253" i="3"/>
  <c r="AA253" i="3"/>
  <c r="AC252" i="3"/>
  <c r="AB252" i="3"/>
  <c r="AA252" i="3"/>
  <c r="AC251" i="3"/>
  <c r="AB251" i="3"/>
  <c r="AA251" i="3"/>
  <c r="AC250" i="3"/>
  <c r="AB250" i="3"/>
  <c r="AA250" i="3"/>
  <c r="AC249" i="3"/>
  <c r="AB249" i="3"/>
  <c r="AA249" i="3"/>
  <c r="AC248" i="3"/>
  <c r="AB248" i="3"/>
  <c r="AA248" i="3"/>
  <c r="AC247" i="3"/>
  <c r="AB247" i="3"/>
  <c r="AA247" i="3"/>
  <c r="AC246" i="3"/>
  <c r="AB246" i="3"/>
  <c r="AA246" i="3"/>
  <c r="AC245" i="3"/>
  <c r="AB245" i="3"/>
  <c r="AA245" i="3"/>
  <c r="AC244" i="3"/>
  <c r="AB244" i="3"/>
  <c r="AA244" i="3"/>
  <c r="AC243" i="3"/>
  <c r="AB243" i="3"/>
  <c r="AA243" i="3"/>
  <c r="AC242" i="3"/>
  <c r="AB242" i="3"/>
  <c r="AA242" i="3"/>
  <c r="AC241" i="3"/>
  <c r="AB241" i="3"/>
  <c r="AA241" i="3"/>
  <c r="AC240" i="3"/>
  <c r="AB240" i="3"/>
  <c r="AA240" i="3"/>
  <c r="AC239" i="3"/>
  <c r="AB239" i="3"/>
  <c r="AA239" i="3"/>
  <c r="AC238" i="3"/>
  <c r="AB238" i="3"/>
  <c r="AA238" i="3"/>
  <c r="AC237" i="3"/>
  <c r="AB237" i="3"/>
  <c r="AA237" i="3"/>
  <c r="AC236" i="3"/>
  <c r="AB236" i="3"/>
  <c r="AA236" i="3"/>
  <c r="AC235" i="3"/>
  <c r="AB235" i="3"/>
  <c r="AA235" i="3"/>
  <c r="AC234" i="3"/>
  <c r="AB234" i="3"/>
  <c r="AA234" i="3"/>
  <c r="AC233" i="3"/>
  <c r="AB233" i="3"/>
  <c r="AA233" i="3"/>
  <c r="AC232" i="3"/>
  <c r="AB232" i="3"/>
  <c r="AA232" i="3"/>
  <c r="AC231" i="3"/>
  <c r="AB231" i="3"/>
  <c r="AA231" i="3"/>
  <c r="AC230" i="3"/>
  <c r="AB230" i="3"/>
  <c r="AA230" i="3"/>
  <c r="AC229" i="3"/>
  <c r="AB229" i="3"/>
  <c r="AA229" i="3"/>
  <c r="AC228" i="3"/>
  <c r="AB228" i="3"/>
  <c r="AA228" i="3"/>
  <c r="AC227" i="3"/>
  <c r="AB227" i="3"/>
  <c r="AA227" i="3"/>
  <c r="AC226" i="3"/>
  <c r="AB226" i="3"/>
  <c r="AA226" i="3"/>
  <c r="AC225" i="3"/>
  <c r="AB225" i="3"/>
  <c r="AA225" i="3"/>
  <c r="AC224" i="3"/>
  <c r="AB224" i="3"/>
  <c r="AA224" i="3"/>
  <c r="AC223" i="3"/>
  <c r="AB223" i="3"/>
  <c r="AA223" i="3"/>
  <c r="AC222" i="3"/>
  <c r="AB222" i="3"/>
  <c r="AA222" i="3"/>
  <c r="AC221" i="3"/>
  <c r="AB221" i="3"/>
  <c r="AA221" i="3"/>
  <c r="AC220" i="3"/>
  <c r="AB220" i="3"/>
  <c r="AA220" i="3"/>
  <c r="AC219" i="3"/>
  <c r="AB219" i="3"/>
  <c r="AA219" i="3"/>
  <c r="AC218" i="3"/>
  <c r="AB218" i="3"/>
  <c r="AA218" i="3"/>
  <c r="AC217" i="3"/>
  <c r="AB217" i="3"/>
  <c r="AA217" i="3"/>
  <c r="AC216" i="3"/>
  <c r="AB216" i="3"/>
  <c r="AA216" i="3"/>
  <c r="AC215" i="3"/>
  <c r="AB215" i="3"/>
  <c r="AA215" i="3"/>
  <c r="AC214" i="3"/>
  <c r="AB214" i="3"/>
  <c r="AA214" i="3"/>
  <c r="AC213" i="3"/>
  <c r="AB213" i="3"/>
  <c r="AA213" i="3"/>
  <c r="AC212" i="3"/>
  <c r="AB212" i="3"/>
  <c r="AA212" i="3"/>
  <c r="AC211" i="3"/>
  <c r="AB211" i="3"/>
  <c r="AA211" i="3"/>
  <c r="AC210" i="3"/>
  <c r="AB210" i="3"/>
  <c r="AA210" i="3"/>
  <c r="AC209" i="3"/>
  <c r="AB209" i="3"/>
  <c r="AA209" i="3"/>
  <c r="AC208" i="3"/>
  <c r="AB208" i="3"/>
  <c r="AA208" i="3"/>
  <c r="AC207" i="3"/>
  <c r="AB207" i="3"/>
  <c r="AA207" i="3"/>
  <c r="AC206" i="3"/>
  <c r="AB206" i="3"/>
  <c r="AA206" i="3"/>
  <c r="AC205" i="3"/>
  <c r="AB205" i="3"/>
  <c r="AA205" i="3"/>
  <c r="AC204" i="3"/>
  <c r="AB204" i="3"/>
  <c r="AA204" i="3"/>
  <c r="AC203" i="3"/>
  <c r="AB203" i="3"/>
  <c r="AA203" i="3"/>
  <c r="AC202" i="3"/>
  <c r="AB202" i="3"/>
  <c r="AA202" i="3"/>
  <c r="AC201" i="3"/>
  <c r="AB201" i="3"/>
  <c r="AA201" i="3"/>
  <c r="AC200" i="3"/>
  <c r="AB200" i="3"/>
  <c r="AA200" i="3"/>
  <c r="AC199" i="3"/>
  <c r="AB199" i="3"/>
  <c r="AA199" i="3"/>
  <c r="AC198" i="3"/>
  <c r="AB198" i="3"/>
  <c r="AA198" i="3"/>
  <c r="AC197" i="3"/>
  <c r="AB197" i="3"/>
  <c r="AA197" i="3"/>
  <c r="AC196" i="3"/>
  <c r="AB196" i="3"/>
  <c r="AA196" i="3"/>
  <c r="AC195" i="3"/>
  <c r="AB195" i="3"/>
  <c r="AA195" i="3"/>
  <c r="AC194" i="3"/>
  <c r="AB194" i="3"/>
  <c r="AA194" i="3"/>
  <c r="AC193" i="3"/>
  <c r="AB193" i="3"/>
  <c r="AA193" i="3"/>
  <c r="AC192" i="3"/>
  <c r="AB192" i="3"/>
  <c r="AA192" i="3"/>
  <c r="AC191" i="3"/>
  <c r="AB191" i="3"/>
  <c r="AA191" i="3"/>
  <c r="AC190" i="3"/>
  <c r="AB190" i="3"/>
  <c r="AA190" i="3"/>
  <c r="AC189" i="3"/>
  <c r="AB189" i="3"/>
  <c r="AA189" i="3"/>
  <c r="AC188" i="3"/>
  <c r="AB188" i="3"/>
  <c r="AA188" i="3"/>
  <c r="AC187" i="3"/>
  <c r="AB187" i="3"/>
  <c r="AA187" i="3"/>
  <c r="AC186" i="3"/>
  <c r="AB186" i="3"/>
  <c r="AA186" i="3"/>
  <c r="AC185" i="3"/>
  <c r="AB185" i="3"/>
  <c r="AA185" i="3"/>
  <c r="AC184" i="3"/>
  <c r="AB184" i="3"/>
  <c r="AA184" i="3"/>
  <c r="AC183" i="3"/>
  <c r="AB183" i="3"/>
  <c r="AA183" i="3"/>
  <c r="AC182" i="3"/>
  <c r="AB182" i="3"/>
  <c r="AA182" i="3"/>
  <c r="AC181" i="3"/>
  <c r="AB181" i="3"/>
  <c r="AA181" i="3"/>
  <c r="AC180" i="3"/>
  <c r="AB180" i="3"/>
  <c r="AA180" i="3"/>
  <c r="AC179" i="3"/>
  <c r="AB179" i="3"/>
  <c r="AA179" i="3"/>
  <c r="AC178" i="3"/>
  <c r="AB178" i="3"/>
  <c r="AA178" i="3"/>
  <c r="AC177" i="3"/>
  <c r="AB177" i="3"/>
  <c r="AA177" i="3"/>
  <c r="AC176" i="3"/>
  <c r="AB176" i="3"/>
  <c r="AA176" i="3"/>
  <c r="AC175" i="3"/>
  <c r="AB175" i="3"/>
  <c r="AA175" i="3"/>
  <c r="AC174" i="3"/>
  <c r="AB174" i="3"/>
  <c r="AA174" i="3"/>
  <c r="AC173" i="3"/>
  <c r="AB173" i="3"/>
  <c r="AA173" i="3"/>
  <c r="AC172" i="3"/>
  <c r="AB172" i="3"/>
  <c r="AA172" i="3"/>
  <c r="AC171" i="3"/>
  <c r="AB171" i="3"/>
  <c r="AA171" i="3"/>
  <c r="AC170" i="3"/>
  <c r="AB170" i="3"/>
  <c r="AA170" i="3"/>
  <c r="AC169" i="3"/>
  <c r="AB169" i="3"/>
  <c r="AA169" i="3"/>
  <c r="AC168" i="3"/>
  <c r="AB168" i="3"/>
  <c r="AA168" i="3"/>
  <c r="AC167" i="3"/>
  <c r="AB167" i="3"/>
  <c r="AA167" i="3"/>
  <c r="AC166" i="3"/>
  <c r="AB166" i="3"/>
  <c r="AA166" i="3"/>
  <c r="AC165" i="3"/>
  <c r="AB165" i="3"/>
  <c r="AA165" i="3"/>
  <c r="AC164" i="3"/>
  <c r="AB164" i="3"/>
  <c r="AA164" i="3"/>
  <c r="AC163" i="3"/>
  <c r="AB163" i="3"/>
  <c r="AA163" i="3"/>
  <c r="AC162" i="3"/>
  <c r="AB162" i="3"/>
  <c r="AA162" i="3"/>
  <c r="AC161" i="3"/>
  <c r="AB161" i="3"/>
  <c r="AA161" i="3"/>
  <c r="AC160" i="3"/>
  <c r="AB160" i="3"/>
  <c r="AA160" i="3"/>
  <c r="AC159" i="3"/>
  <c r="AB159" i="3"/>
  <c r="AA159" i="3"/>
  <c r="AC158" i="3"/>
  <c r="AB158" i="3"/>
  <c r="AA158" i="3"/>
  <c r="AC157" i="3"/>
  <c r="AB157" i="3"/>
  <c r="AA157" i="3"/>
  <c r="AC156" i="3"/>
  <c r="AB156" i="3"/>
  <c r="AA156" i="3"/>
  <c r="AC155" i="3"/>
  <c r="AB155" i="3"/>
  <c r="AA155" i="3"/>
  <c r="AC154" i="3"/>
  <c r="AB154" i="3"/>
  <c r="AA154" i="3"/>
  <c r="AC153" i="3"/>
  <c r="AB153" i="3"/>
  <c r="AA153" i="3"/>
  <c r="AC152" i="3"/>
  <c r="AB152" i="3"/>
  <c r="AA152" i="3"/>
  <c r="AC151" i="3"/>
  <c r="AB151" i="3"/>
  <c r="AA151" i="3"/>
  <c r="AC150" i="3"/>
  <c r="AB150" i="3"/>
  <c r="AA150" i="3"/>
  <c r="AC149" i="3"/>
  <c r="AB149" i="3"/>
  <c r="AA149" i="3"/>
  <c r="AC148" i="3"/>
  <c r="AB148" i="3"/>
  <c r="AA148" i="3"/>
  <c r="AC147" i="3"/>
  <c r="AB147" i="3"/>
  <c r="AA147" i="3"/>
  <c r="AC146" i="3"/>
  <c r="AB146" i="3"/>
  <c r="AA146" i="3"/>
  <c r="AC145" i="3"/>
  <c r="AB145" i="3"/>
  <c r="AA145" i="3"/>
  <c r="AC144" i="3"/>
  <c r="AB144" i="3"/>
  <c r="AA144" i="3"/>
  <c r="AC143" i="3"/>
  <c r="AB143" i="3"/>
  <c r="AA143" i="3"/>
  <c r="AC142" i="3"/>
  <c r="AB142" i="3"/>
  <c r="AA142" i="3"/>
  <c r="AC141" i="3"/>
  <c r="AB141" i="3"/>
  <c r="AA141" i="3"/>
  <c r="AC140" i="3"/>
  <c r="AB140" i="3"/>
  <c r="AA140" i="3"/>
  <c r="AC139" i="3"/>
  <c r="AB139" i="3"/>
  <c r="AA139" i="3"/>
  <c r="AC138" i="3"/>
  <c r="AB138" i="3"/>
  <c r="AA138" i="3"/>
  <c r="AC137" i="3"/>
  <c r="AB137" i="3"/>
  <c r="AA137" i="3"/>
  <c r="AC136" i="3"/>
  <c r="AB136" i="3"/>
  <c r="AA136" i="3"/>
  <c r="AC135" i="3"/>
  <c r="AB135" i="3"/>
  <c r="AA135" i="3"/>
  <c r="AC134" i="3"/>
  <c r="AB134" i="3"/>
  <c r="AA134" i="3"/>
  <c r="AC133" i="3"/>
  <c r="AB133" i="3"/>
  <c r="AA133" i="3"/>
  <c r="AC132" i="3"/>
  <c r="AB132" i="3"/>
  <c r="AA132" i="3"/>
  <c r="AC131" i="3"/>
  <c r="AB131" i="3"/>
  <c r="AA131" i="3"/>
  <c r="AC130" i="3"/>
  <c r="AB130" i="3"/>
  <c r="AA130" i="3"/>
  <c r="AC129" i="3"/>
  <c r="AB129" i="3"/>
  <c r="AA129" i="3"/>
  <c r="AC128" i="3"/>
  <c r="AB128" i="3"/>
  <c r="AA128" i="3"/>
  <c r="AC127" i="3"/>
  <c r="AB127" i="3"/>
  <c r="AA127" i="3"/>
  <c r="AC126" i="3"/>
  <c r="AB126" i="3"/>
  <c r="AA126" i="3"/>
  <c r="AC125" i="3"/>
  <c r="AB125" i="3"/>
  <c r="AA125" i="3"/>
  <c r="AC124" i="3"/>
  <c r="AB124" i="3"/>
  <c r="AA124" i="3"/>
  <c r="AC123" i="3"/>
  <c r="AB123" i="3"/>
  <c r="AA123" i="3"/>
  <c r="AC122" i="3"/>
  <c r="AB122" i="3"/>
  <c r="AA122" i="3"/>
  <c r="AC121" i="3"/>
  <c r="AB121" i="3"/>
  <c r="AA121" i="3"/>
  <c r="AC120" i="3"/>
  <c r="AB120" i="3"/>
  <c r="AA120" i="3"/>
  <c r="AC119" i="3"/>
  <c r="AB119" i="3"/>
  <c r="AA119" i="3"/>
  <c r="AC118" i="3"/>
  <c r="AB118" i="3"/>
  <c r="AA118" i="3"/>
  <c r="AC117" i="3"/>
  <c r="AB117" i="3"/>
  <c r="AA117" i="3"/>
  <c r="AC116" i="3"/>
  <c r="AB116" i="3"/>
  <c r="AA116" i="3"/>
  <c r="AC115" i="3"/>
  <c r="AB115" i="3"/>
  <c r="AA115" i="3"/>
  <c r="AC114" i="3"/>
  <c r="AB114" i="3"/>
  <c r="AA114" i="3"/>
  <c r="AC113" i="3"/>
  <c r="AB113" i="3"/>
  <c r="AA113" i="3"/>
  <c r="AC112" i="3"/>
  <c r="AB112" i="3"/>
  <c r="AA112" i="3"/>
  <c r="AC111" i="3"/>
  <c r="AB111" i="3"/>
  <c r="AA111" i="3"/>
  <c r="AC110" i="3"/>
  <c r="AB110" i="3"/>
  <c r="AA110" i="3"/>
  <c r="AC109" i="3"/>
  <c r="AB109" i="3"/>
  <c r="AA109" i="3"/>
  <c r="AC108" i="3"/>
  <c r="AB108" i="3"/>
  <c r="AA108" i="3"/>
  <c r="AC107" i="3"/>
  <c r="AB107" i="3"/>
  <c r="AA107" i="3"/>
  <c r="AC106" i="3"/>
  <c r="AB106" i="3"/>
  <c r="AA106" i="3"/>
  <c r="AC105" i="3"/>
  <c r="AB105" i="3"/>
  <c r="AA105" i="3"/>
  <c r="AC104" i="3"/>
  <c r="AB104" i="3"/>
  <c r="AA104" i="3"/>
  <c r="AC103" i="3"/>
  <c r="AB103" i="3"/>
  <c r="AA103" i="3"/>
  <c r="AC102" i="3"/>
  <c r="AB102" i="3"/>
  <c r="AA102" i="3"/>
  <c r="AC101" i="3"/>
  <c r="AB101" i="3"/>
  <c r="AA101" i="3"/>
  <c r="AC100" i="3"/>
  <c r="AB100" i="3"/>
  <c r="AA100" i="3"/>
  <c r="AC99" i="3"/>
  <c r="AB99" i="3"/>
  <c r="AA99" i="3"/>
  <c r="AC98" i="3"/>
  <c r="AB98" i="3"/>
  <c r="AA98" i="3"/>
  <c r="AC97" i="3"/>
  <c r="AB97" i="3"/>
  <c r="AA97" i="3"/>
  <c r="AC96" i="3"/>
  <c r="AB96" i="3"/>
  <c r="AA96" i="3"/>
  <c r="AC95" i="3"/>
  <c r="AB95" i="3"/>
  <c r="AA95" i="3"/>
  <c r="AC94" i="3"/>
  <c r="AB94" i="3"/>
  <c r="AA94" i="3"/>
  <c r="AC93" i="3"/>
  <c r="AB93" i="3"/>
  <c r="AA93" i="3"/>
  <c r="AC92" i="3"/>
  <c r="AB92" i="3"/>
  <c r="AA92" i="3"/>
  <c r="AC91" i="3"/>
  <c r="AB91" i="3"/>
  <c r="AA91" i="3"/>
  <c r="AC90" i="3"/>
  <c r="AB90" i="3"/>
  <c r="AA90" i="3"/>
  <c r="AC89" i="3"/>
  <c r="AB89" i="3"/>
  <c r="AA89" i="3"/>
  <c r="AC88" i="3"/>
  <c r="AB88" i="3"/>
  <c r="AA88" i="3"/>
  <c r="AC87" i="3"/>
  <c r="AB87" i="3"/>
  <c r="AA87" i="3"/>
  <c r="AC86" i="3"/>
  <c r="AB86" i="3"/>
  <c r="AA86" i="3"/>
  <c r="AC85" i="3"/>
  <c r="AB85" i="3"/>
  <c r="AA85" i="3"/>
  <c r="AC84" i="3"/>
  <c r="AB84" i="3"/>
  <c r="AA84" i="3"/>
  <c r="AC83" i="3"/>
  <c r="AB83" i="3"/>
  <c r="AA83" i="3"/>
  <c r="AC82" i="3"/>
  <c r="AB82" i="3"/>
  <c r="AA82" i="3"/>
  <c r="AC81" i="3"/>
  <c r="AB81" i="3"/>
  <c r="AA81" i="3"/>
  <c r="AC80" i="3"/>
  <c r="AB80" i="3"/>
  <c r="AA80" i="3"/>
  <c r="AC79" i="3"/>
  <c r="AB79" i="3"/>
  <c r="AA79" i="3"/>
  <c r="AC78" i="3"/>
  <c r="AB78" i="3"/>
  <c r="AA78" i="3"/>
  <c r="AC77" i="3"/>
  <c r="AB77" i="3"/>
  <c r="AA77" i="3"/>
  <c r="AC76" i="3"/>
  <c r="AB76" i="3"/>
  <c r="AA76" i="3"/>
  <c r="AC75" i="3"/>
  <c r="AB75" i="3"/>
  <c r="AA75" i="3"/>
  <c r="AC74" i="3"/>
  <c r="AB74" i="3"/>
  <c r="AA74" i="3"/>
  <c r="AC73" i="3"/>
  <c r="AB73" i="3"/>
  <c r="AA73" i="3"/>
  <c r="AC72" i="3"/>
  <c r="AB72" i="3"/>
  <c r="AA72" i="3"/>
  <c r="AC71" i="3"/>
  <c r="AB71" i="3"/>
  <c r="AA71" i="3"/>
  <c r="AC70" i="3"/>
  <c r="AB70" i="3"/>
  <c r="AA70" i="3"/>
  <c r="AC69" i="3"/>
  <c r="AB69" i="3"/>
  <c r="AA69" i="3"/>
  <c r="AC68" i="3"/>
  <c r="AB68" i="3"/>
  <c r="AA68" i="3"/>
  <c r="AC67" i="3"/>
  <c r="AB67" i="3"/>
  <c r="AA67" i="3"/>
  <c r="AC66" i="3"/>
  <c r="AB66" i="3"/>
  <c r="AA66" i="3"/>
  <c r="AC65" i="3"/>
  <c r="AB65" i="3"/>
  <c r="AA65" i="3"/>
  <c r="AC64" i="3"/>
  <c r="AB64" i="3"/>
  <c r="AA64" i="3"/>
  <c r="AC63" i="3"/>
  <c r="AB63" i="3"/>
  <c r="AA63" i="3"/>
  <c r="AC62" i="3"/>
  <c r="AB62" i="3"/>
  <c r="AA62" i="3"/>
  <c r="AC61" i="3"/>
  <c r="AB61" i="3"/>
  <c r="AA61" i="3"/>
  <c r="AC60" i="3"/>
  <c r="AB60" i="3"/>
  <c r="AA60" i="3"/>
  <c r="AC59" i="3"/>
  <c r="AB59" i="3"/>
  <c r="AA59" i="3"/>
  <c r="AC58" i="3"/>
  <c r="AB58" i="3"/>
  <c r="AA58" i="3"/>
  <c r="AC57" i="3"/>
  <c r="AB57" i="3"/>
  <c r="AA57" i="3"/>
  <c r="AC56" i="3"/>
  <c r="AB56" i="3"/>
  <c r="AA56" i="3"/>
  <c r="AC55" i="3"/>
  <c r="AB55" i="3"/>
  <c r="AA55" i="3"/>
  <c r="AC54" i="3"/>
  <c r="AB54" i="3"/>
  <c r="AA54" i="3"/>
  <c r="AC53" i="3"/>
  <c r="AB53" i="3"/>
  <c r="AA53" i="3"/>
  <c r="AC52" i="3"/>
  <c r="AB52" i="3"/>
  <c r="AA52" i="3"/>
  <c r="AC51" i="3"/>
  <c r="AB51" i="3"/>
  <c r="AA51" i="3"/>
  <c r="AC50" i="3"/>
  <c r="AB50" i="3"/>
  <c r="AA50" i="3"/>
  <c r="AC49" i="3"/>
  <c r="AB49" i="3"/>
  <c r="AA49" i="3"/>
  <c r="AC48" i="3"/>
  <c r="AB48" i="3"/>
  <c r="AA48" i="3"/>
  <c r="AC47" i="3"/>
  <c r="AB47" i="3"/>
  <c r="AA47" i="3"/>
  <c r="AC46" i="3"/>
  <c r="AB46" i="3"/>
  <c r="AA46" i="3"/>
  <c r="AC45" i="3"/>
  <c r="AB45" i="3"/>
  <c r="AA45" i="3"/>
  <c r="AC44" i="3"/>
  <c r="AB44" i="3"/>
  <c r="AA44" i="3"/>
  <c r="AC43" i="3"/>
  <c r="AB43" i="3"/>
  <c r="AA43" i="3"/>
  <c r="AC42" i="3"/>
  <c r="AB42" i="3"/>
  <c r="AA42" i="3"/>
  <c r="AC41" i="3"/>
  <c r="AB41" i="3"/>
  <c r="AA41" i="3"/>
  <c r="AC40" i="3"/>
  <c r="AB40" i="3"/>
  <c r="AA40" i="3"/>
  <c r="AC39" i="3"/>
  <c r="AB39" i="3"/>
  <c r="AA39" i="3"/>
  <c r="AC38" i="3"/>
  <c r="AB38" i="3"/>
  <c r="AA38" i="3"/>
  <c r="AC37" i="3"/>
  <c r="AB37" i="3"/>
  <c r="AA37" i="3"/>
  <c r="AC36" i="3"/>
  <c r="AB36" i="3"/>
  <c r="AA36" i="3"/>
  <c r="AC35" i="3"/>
  <c r="AB35" i="3"/>
  <c r="AA35" i="3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AC15" i="3"/>
  <c r="AB15" i="3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7" i="3"/>
  <c r="AB7" i="3"/>
  <c r="AA7" i="3"/>
  <c r="AC6" i="3"/>
  <c r="AB6" i="3"/>
  <c r="AA6" i="3"/>
  <c r="AC5" i="3"/>
  <c r="AB5" i="3"/>
  <c r="AA5" i="3"/>
  <c r="AC4" i="3"/>
  <c r="AB4" i="3"/>
  <c r="AA4" i="3"/>
  <c r="AC3" i="3"/>
  <c r="AB3" i="3"/>
  <c r="AA3" i="3"/>
  <c r="AC2" i="3"/>
  <c r="AB2" i="3"/>
  <c r="AA2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I66" i="4"/>
  <c r="I65" i="4"/>
  <c r="I64" i="4"/>
  <c r="I62" i="4"/>
  <c r="I61" i="4"/>
  <c r="I60" i="4"/>
  <c r="I59" i="4"/>
  <c r="I58" i="4"/>
  <c r="I57" i="4"/>
  <c r="I54" i="4"/>
  <c r="I50" i="4"/>
  <c r="I49" i="4"/>
  <c r="I48" i="4"/>
  <c r="I46" i="4"/>
  <c r="I43" i="4"/>
  <c r="I41" i="4"/>
  <c r="I40" i="4"/>
  <c r="I39" i="4"/>
  <c r="I38" i="4"/>
  <c r="I36" i="4"/>
  <c r="I35" i="4"/>
  <c r="I34" i="4"/>
  <c r="I33" i="4"/>
  <c r="I32" i="4"/>
  <c r="I31" i="4"/>
  <c r="I29" i="4"/>
  <c r="I27" i="4"/>
  <c r="I25" i="4"/>
  <c r="I23" i="4"/>
  <c r="I22" i="4"/>
  <c r="I21" i="4"/>
  <c r="I20" i="4"/>
  <c r="I19" i="4"/>
  <c r="I18" i="4"/>
  <c r="I17" i="4"/>
  <c r="I16" i="4"/>
  <c r="I13" i="4"/>
  <c r="I11" i="4"/>
  <c r="I9" i="4"/>
  <c r="I8" i="4"/>
  <c r="I6" i="4"/>
  <c r="I3" i="4"/>
  <c r="I2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Q1307" i="3"/>
  <c r="Z1307" i="3" s="1"/>
  <c r="Q1306" i="3"/>
  <c r="Z1306" i="3" s="1"/>
  <c r="Q1305" i="3"/>
  <c r="Z1305" i="3" s="1"/>
  <c r="Q1304" i="3"/>
  <c r="Z1304" i="3" s="1"/>
  <c r="Q1303" i="3"/>
  <c r="Z1303" i="3" s="1"/>
  <c r="Q1302" i="3"/>
  <c r="Z1302" i="3" s="1"/>
  <c r="Q1301" i="3"/>
  <c r="Z1301" i="3" s="1"/>
  <c r="Q1300" i="3"/>
  <c r="Z1300" i="3" s="1"/>
  <c r="Q1299" i="3"/>
  <c r="Z1299" i="3" s="1"/>
  <c r="Q1298" i="3"/>
  <c r="Z1298" i="3" s="1"/>
  <c r="Q1297" i="3"/>
  <c r="Z1297" i="3" s="1"/>
  <c r="Q1296" i="3"/>
  <c r="Z1296" i="3" s="1"/>
  <c r="Q1295" i="3"/>
  <c r="Z1295" i="3" s="1"/>
  <c r="Q1294" i="3"/>
  <c r="Z1294" i="3" s="1"/>
  <c r="Q1293" i="3"/>
  <c r="Z1293" i="3" s="1"/>
  <c r="Q1292" i="3"/>
  <c r="Z1292" i="3" s="1"/>
  <c r="Q1291" i="3"/>
  <c r="Z1291" i="3" s="1"/>
  <c r="Q1290" i="3"/>
  <c r="Z1290" i="3" s="1"/>
  <c r="Q1289" i="3"/>
  <c r="Z1289" i="3" s="1"/>
  <c r="Q1288" i="3"/>
  <c r="Z1288" i="3" s="1"/>
  <c r="Q1287" i="3"/>
  <c r="Z1287" i="3" s="1"/>
  <c r="Q1286" i="3"/>
  <c r="Z1286" i="3" s="1"/>
  <c r="Q1285" i="3"/>
  <c r="Z1285" i="3" s="1"/>
  <c r="Q1284" i="3"/>
  <c r="Z1284" i="3" s="1"/>
  <c r="Q1283" i="3"/>
  <c r="Z1283" i="3" s="1"/>
  <c r="Q1282" i="3"/>
  <c r="Z1282" i="3" s="1"/>
  <c r="Q1281" i="3"/>
  <c r="Z1281" i="3" s="1"/>
  <c r="Q1280" i="3"/>
  <c r="Z1280" i="3" s="1"/>
  <c r="Q1279" i="3"/>
  <c r="Z1279" i="3" s="1"/>
  <c r="Q1278" i="3"/>
  <c r="Z1278" i="3" s="1"/>
  <c r="Q1277" i="3"/>
  <c r="Z1277" i="3" s="1"/>
  <c r="Q1276" i="3"/>
  <c r="Z1276" i="3" s="1"/>
  <c r="Q1275" i="3"/>
  <c r="Z1275" i="3" s="1"/>
  <c r="Q1274" i="3"/>
  <c r="Z1274" i="3" s="1"/>
  <c r="Q1273" i="3"/>
  <c r="Z1273" i="3" s="1"/>
  <c r="Q1272" i="3"/>
  <c r="Z1272" i="3" s="1"/>
  <c r="Q1271" i="3"/>
  <c r="Z1271" i="3" s="1"/>
  <c r="Q1270" i="3"/>
  <c r="Z1270" i="3" s="1"/>
  <c r="Q1269" i="3"/>
  <c r="Z1269" i="3" s="1"/>
  <c r="Q1268" i="3"/>
  <c r="Z1268" i="3" s="1"/>
  <c r="Q1267" i="3"/>
  <c r="Z1267" i="3" s="1"/>
  <c r="Q1266" i="3"/>
  <c r="Z1266" i="3" s="1"/>
  <c r="Q1265" i="3"/>
  <c r="Z1265" i="3" s="1"/>
  <c r="Q1264" i="3"/>
  <c r="Z1264" i="3" s="1"/>
  <c r="Q1263" i="3"/>
  <c r="Z1263" i="3" s="1"/>
  <c r="Q1262" i="3"/>
  <c r="Z1262" i="3" s="1"/>
  <c r="Q1261" i="3"/>
  <c r="Z1261" i="3" s="1"/>
  <c r="Q1260" i="3"/>
  <c r="Z1260" i="3" s="1"/>
  <c r="Q1259" i="3"/>
  <c r="Z1259" i="3" s="1"/>
  <c r="Q1258" i="3"/>
  <c r="Z1258" i="3" s="1"/>
  <c r="Q1257" i="3"/>
  <c r="Z1257" i="3" s="1"/>
  <c r="Q1256" i="3"/>
  <c r="Z1256" i="3" s="1"/>
  <c r="Q1255" i="3"/>
  <c r="Z1255" i="3" s="1"/>
  <c r="Q1254" i="3"/>
  <c r="Z1254" i="3" s="1"/>
  <c r="Q1253" i="3"/>
  <c r="Z1253" i="3" s="1"/>
  <c r="Q1252" i="3"/>
  <c r="Z1252" i="3" s="1"/>
  <c r="Q1251" i="3"/>
  <c r="Z1251" i="3" s="1"/>
  <c r="Q1250" i="3"/>
  <c r="Z1250" i="3" s="1"/>
  <c r="Q1249" i="3"/>
  <c r="Z1249" i="3" s="1"/>
  <c r="Q1248" i="3"/>
  <c r="Z1248" i="3" s="1"/>
  <c r="Q1247" i="3"/>
  <c r="Z1247" i="3" s="1"/>
  <c r="Q1246" i="3"/>
  <c r="Z1246" i="3" s="1"/>
  <c r="Q1245" i="3"/>
  <c r="Z1245" i="3" s="1"/>
  <c r="Q1244" i="3"/>
  <c r="Z1244" i="3" s="1"/>
  <c r="Q1243" i="3"/>
  <c r="Z1243" i="3" s="1"/>
  <c r="Q1242" i="3"/>
  <c r="Z1242" i="3" s="1"/>
  <c r="Q1241" i="3"/>
  <c r="Z1241" i="3" s="1"/>
  <c r="Q1240" i="3"/>
  <c r="Z1240" i="3" s="1"/>
  <c r="Q1239" i="3"/>
  <c r="Z1239" i="3" s="1"/>
  <c r="Q1238" i="3"/>
  <c r="Z1238" i="3" s="1"/>
  <c r="Q1237" i="3"/>
  <c r="Z1237" i="3" s="1"/>
  <c r="Q1236" i="3"/>
  <c r="Z1236" i="3" s="1"/>
  <c r="Q1235" i="3"/>
  <c r="Z1235" i="3" s="1"/>
  <c r="Q1234" i="3"/>
  <c r="Z1234" i="3" s="1"/>
  <c r="Q1233" i="3"/>
  <c r="Z1233" i="3" s="1"/>
  <c r="Q1232" i="3"/>
  <c r="Z1232" i="3" s="1"/>
  <c r="Q1231" i="3"/>
  <c r="Z1231" i="3" s="1"/>
  <c r="Q1230" i="3"/>
  <c r="Z1230" i="3" s="1"/>
  <c r="Q1229" i="3"/>
  <c r="Z1229" i="3" s="1"/>
  <c r="Q1228" i="3"/>
  <c r="Z1228" i="3" s="1"/>
  <c r="Q1227" i="3"/>
  <c r="Z1227" i="3" s="1"/>
  <c r="Q1226" i="3"/>
  <c r="Z1226" i="3" s="1"/>
  <c r="Q1225" i="3"/>
  <c r="Z1225" i="3" s="1"/>
  <c r="Q1224" i="3"/>
  <c r="Z1224" i="3" s="1"/>
  <c r="Q1223" i="3"/>
  <c r="Z1223" i="3" s="1"/>
  <c r="Q1222" i="3"/>
  <c r="Z1222" i="3" s="1"/>
  <c r="Q1221" i="3"/>
  <c r="Z1221" i="3" s="1"/>
  <c r="Q1220" i="3"/>
  <c r="Z1220" i="3" s="1"/>
  <c r="Q1219" i="3"/>
  <c r="Z1219" i="3" s="1"/>
  <c r="Q1218" i="3"/>
  <c r="Z1218" i="3" s="1"/>
  <c r="Q1217" i="3"/>
  <c r="Z1217" i="3" s="1"/>
  <c r="Q1216" i="3"/>
  <c r="Z1216" i="3" s="1"/>
  <c r="Q1215" i="3"/>
  <c r="Z1215" i="3" s="1"/>
  <c r="Q1214" i="3"/>
  <c r="Z1214" i="3" s="1"/>
  <c r="Q1213" i="3"/>
  <c r="Z1213" i="3" s="1"/>
  <c r="Q1212" i="3"/>
  <c r="Z1212" i="3" s="1"/>
  <c r="Q1211" i="3"/>
  <c r="Z1211" i="3" s="1"/>
  <c r="Q1210" i="3"/>
  <c r="Z1210" i="3" s="1"/>
  <c r="Q1209" i="3"/>
  <c r="Z1209" i="3" s="1"/>
  <c r="Q1208" i="3"/>
  <c r="Z1208" i="3" s="1"/>
  <c r="Q1207" i="3"/>
  <c r="Z1207" i="3" s="1"/>
  <c r="Q1206" i="3"/>
  <c r="Z1206" i="3" s="1"/>
  <c r="Q1205" i="3"/>
  <c r="Z1205" i="3" s="1"/>
  <c r="Q1204" i="3"/>
  <c r="Z1204" i="3" s="1"/>
  <c r="Q1203" i="3"/>
  <c r="Z1203" i="3" s="1"/>
  <c r="Q1202" i="3"/>
  <c r="Z1202" i="3" s="1"/>
  <c r="Q1201" i="3"/>
  <c r="Z1201" i="3" s="1"/>
  <c r="Q1200" i="3"/>
  <c r="Z1200" i="3" s="1"/>
  <c r="Q1199" i="3"/>
  <c r="Z1199" i="3" s="1"/>
  <c r="Q1198" i="3"/>
  <c r="Z1198" i="3" s="1"/>
  <c r="Q1197" i="3"/>
  <c r="Z1197" i="3" s="1"/>
  <c r="Q1196" i="3"/>
  <c r="Z1196" i="3" s="1"/>
  <c r="Q1195" i="3"/>
  <c r="Z1195" i="3" s="1"/>
  <c r="Q1194" i="3"/>
  <c r="Z1194" i="3" s="1"/>
  <c r="Q1193" i="3"/>
  <c r="Z1193" i="3" s="1"/>
  <c r="Q1192" i="3"/>
  <c r="Z1192" i="3" s="1"/>
  <c r="Q1191" i="3"/>
  <c r="Z1191" i="3" s="1"/>
  <c r="Q1190" i="3"/>
  <c r="Z1190" i="3" s="1"/>
  <c r="Q1189" i="3"/>
  <c r="Z1189" i="3" s="1"/>
  <c r="Q1188" i="3"/>
  <c r="Z1188" i="3" s="1"/>
  <c r="Q1187" i="3"/>
  <c r="Z1187" i="3" s="1"/>
  <c r="Q1186" i="3"/>
  <c r="Z1186" i="3" s="1"/>
  <c r="Q1185" i="3"/>
  <c r="Z1185" i="3" s="1"/>
  <c r="Q1184" i="3"/>
  <c r="Z1184" i="3" s="1"/>
  <c r="Q1183" i="3"/>
  <c r="Z1183" i="3" s="1"/>
  <c r="Q1182" i="3"/>
  <c r="Z1182" i="3" s="1"/>
  <c r="Q1181" i="3"/>
  <c r="Z1181" i="3" s="1"/>
  <c r="Q1180" i="3"/>
  <c r="Z1180" i="3" s="1"/>
  <c r="Q1179" i="3"/>
  <c r="Z1179" i="3" s="1"/>
  <c r="Q1178" i="3"/>
  <c r="Z1178" i="3" s="1"/>
  <c r="Q1177" i="3"/>
  <c r="Z1177" i="3" s="1"/>
  <c r="Q1176" i="3"/>
  <c r="Z1176" i="3" s="1"/>
  <c r="Q1175" i="3"/>
  <c r="Z1175" i="3" s="1"/>
  <c r="Q1174" i="3"/>
  <c r="Z1174" i="3" s="1"/>
  <c r="Q1173" i="3"/>
  <c r="Z1173" i="3" s="1"/>
  <c r="Q1172" i="3"/>
  <c r="Z1172" i="3" s="1"/>
  <c r="Q1171" i="3"/>
  <c r="Z1171" i="3" s="1"/>
  <c r="Q1170" i="3"/>
  <c r="Z1170" i="3" s="1"/>
  <c r="Q1169" i="3"/>
  <c r="Z1169" i="3" s="1"/>
  <c r="Q1168" i="3"/>
  <c r="Z1168" i="3" s="1"/>
  <c r="Q1167" i="3"/>
  <c r="Z1167" i="3" s="1"/>
  <c r="Q1166" i="3"/>
  <c r="Z1166" i="3" s="1"/>
  <c r="Q1165" i="3"/>
  <c r="Z1165" i="3" s="1"/>
  <c r="Q1164" i="3"/>
  <c r="Z1164" i="3" s="1"/>
  <c r="Q1163" i="3"/>
  <c r="Z1163" i="3" s="1"/>
  <c r="Q1162" i="3"/>
  <c r="Z1162" i="3" s="1"/>
  <c r="Q1161" i="3"/>
  <c r="Z1161" i="3" s="1"/>
  <c r="Q1160" i="3"/>
  <c r="Z1160" i="3" s="1"/>
  <c r="Q1159" i="3"/>
  <c r="Z1159" i="3" s="1"/>
  <c r="Q1158" i="3"/>
  <c r="Z1158" i="3" s="1"/>
  <c r="Q1157" i="3"/>
  <c r="Z1157" i="3" s="1"/>
  <c r="Q1156" i="3"/>
  <c r="Z1156" i="3" s="1"/>
  <c r="Q1155" i="3"/>
  <c r="Z1155" i="3" s="1"/>
  <c r="Q1154" i="3"/>
  <c r="Z1154" i="3" s="1"/>
  <c r="Q1153" i="3"/>
  <c r="Z1153" i="3" s="1"/>
  <c r="Q1152" i="3"/>
  <c r="Z1152" i="3" s="1"/>
  <c r="Q1151" i="3"/>
  <c r="Z1151" i="3" s="1"/>
  <c r="Q1150" i="3"/>
  <c r="Z1150" i="3" s="1"/>
  <c r="Q1149" i="3"/>
  <c r="Z1149" i="3" s="1"/>
  <c r="Q1148" i="3"/>
  <c r="Z1148" i="3" s="1"/>
  <c r="Q1147" i="3"/>
  <c r="Z1147" i="3" s="1"/>
  <c r="Q1146" i="3"/>
  <c r="Z1146" i="3" s="1"/>
  <c r="Q1145" i="3"/>
  <c r="Z1145" i="3" s="1"/>
  <c r="Q1144" i="3"/>
  <c r="Z1144" i="3" s="1"/>
  <c r="Q1143" i="3"/>
  <c r="Z1143" i="3" s="1"/>
  <c r="Q1142" i="3"/>
  <c r="Z1142" i="3" s="1"/>
  <c r="Q1141" i="3"/>
  <c r="Z1141" i="3" s="1"/>
  <c r="Q1140" i="3"/>
  <c r="Z1140" i="3" s="1"/>
  <c r="Q1139" i="3"/>
  <c r="Z1139" i="3" s="1"/>
  <c r="Q1138" i="3"/>
  <c r="Z1138" i="3" s="1"/>
  <c r="Q1137" i="3"/>
  <c r="Z1137" i="3" s="1"/>
  <c r="Q1136" i="3"/>
  <c r="Z1136" i="3" s="1"/>
  <c r="Q1135" i="3"/>
  <c r="Z1135" i="3" s="1"/>
  <c r="Q1134" i="3"/>
  <c r="Z1134" i="3" s="1"/>
  <c r="Q1133" i="3"/>
  <c r="Z1133" i="3" s="1"/>
  <c r="Q1132" i="3"/>
  <c r="Z1132" i="3" s="1"/>
  <c r="Q1131" i="3"/>
  <c r="Z1131" i="3" s="1"/>
  <c r="Q1130" i="3"/>
  <c r="Z1130" i="3" s="1"/>
  <c r="Q1129" i="3"/>
  <c r="Z1129" i="3" s="1"/>
  <c r="Q1128" i="3"/>
  <c r="Z1128" i="3" s="1"/>
  <c r="Q1127" i="3"/>
  <c r="Z1127" i="3" s="1"/>
  <c r="Q1126" i="3"/>
  <c r="Z1126" i="3" s="1"/>
  <c r="Q1125" i="3"/>
  <c r="Z1125" i="3" s="1"/>
  <c r="Q1124" i="3"/>
  <c r="Z1124" i="3" s="1"/>
  <c r="Q1123" i="3"/>
  <c r="Z1123" i="3" s="1"/>
  <c r="Q1122" i="3"/>
  <c r="Z1122" i="3" s="1"/>
  <c r="Q1121" i="3"/>
  <c r="Z1121" i="3" s="1"/>
  <c r="Q1120" i="3"/>
  <c r="Z1120" i="3" s="1"/>
  <c r="Q1119" i="3"/>
  <c r="Z1119" i="3" s="1"/>
  <c r="Q1118" i="3"/>
  <c r="Z1118" i="3" s="1"/>
  <c r="Q1117" i="3"/>
  <c r="Z1117" i="3" s="1"/>
  <c r="Q1116" i="3"/>
  <c r="Z1116" i="3" s="1"/>
  <c r="Q1115" i="3"/>
  <c r="Z1115" i="3" s="1"/>
  <c r="Q1114" i="3"/>
  <c r="Z1114" i="3" s="1"/>
  <c r="Q1113" i="3"/>
  <c r="Z1113" i="3" s="1"/>
  <c r="Q1112" i="3"/>
  <c r="Z1112" i="3" s="1"/>
  <c r="Q1111" i="3"/>
  <c r="Z1111" i="3" s="1"/>
  <c r="Q1110" i="3"/>
  <c r="Z1110" i="3" s="1"/>
  <c r="Q1109" i="3"/>
  <c r="Z1109" i="3" s="1"/>
  <c r="Q1108" i="3"/>
  <c r="Z1108" i="3" s="1"/>
  <c r="Q1107" i="3"/>
  <c r="Z1107" i="3" s="1"/>
  <c r="Q1106" i="3"/>
  <c r="Z1106" i="3" s="1"/>
  <c r="Q1105" i="3"/>
  <c r="Z1105" i="3" s="1"/>
  <c r="Q1104" i="3"/>
  <c r="Z1104" i="3" s="1"/>
  <c r="Q1103" i="3"/>
  <c r="Z1103" i="3" s="1"/>
  <c r="Q1102" i="3"/>
  <c r="Z1102" i="3" s="1"/>
  <c r="Q1101" i="3"/>
  <c r="Z1101" i="3" s="1"/>
  <c r="Q1100" i="3"/>
  <c r="Z1100" i="3" s="1"/>
  <c r="Q1099" i="3"/>
  <c r="Z1099" i="3" s="1"/>
  <c r="Q1098" i="3"/>
  <c r="Z1098" i="3" s="1"/>
  <c r="Q1097" i="3"/>
  <c r="Z1097" i="3" s="1"/>
  <c r="Q1096" i="3"/>
  <c r="Z1096" i="3" s="1"/>
  <c r="Q1095" i="3"/>
  <c r="Z1095" i="3" s="1"/>
  <c r="Q1094" i="3"/>
  <c r="Z1094" i="3" s="1"/>
  <c r="Q1093" i="3"/>
  <c r="Z1093" i="3" s="1"/>
  <c r="Q1092" i="3"/>
  <c r="Z1092" i="3" s="1"/>
  <c r="Q1091" i="3"/>
  <c r="Z1091" i="3" s="1"/>
  <c r="Q1090" i="3"/>
  <c r="Z1090" i="3" s="1"/>
  <c r="Q1089" i="3"/>
  <c r="Z1089" i="3" s="1"/>
  <c r="Q1088" i="3"/>
  <c r="Z1088" i="3" s="1"/>
  <c r="Q1087" i="3"/>
  <c r="Z1087" i="3" s="1"/>
  <c r="Q1086" i="3"/>
  <c r="Z1086" i="3" s="1"/>
  <c r="Q1085" i="3"/>
  <c r="Z1085" i="3" s="1"/>
  <c r="Q1084" i="3"/>
  <c r="Z1084" i="3" s="1"/>
  <c r="Q1083" i="3"/>
  <c r="Z1083" i="3" s="1"/>
  <c r="Q1082" i="3"/>
  <c r="Z1082" i="3" s="1"/>
  <c r="Q1081" i="3"/>
  <c r="Z1081" i="3" s="1"/>
  <c r="Q1080" i="3"/>
  <c r="Z1080" i="3" s="1"/>
  <c r="Q1079" i="3"/>
  <c r="Z1079" i="3" s="1"/>
  <c r="Q1078" i="3"/>
  <c r="Z1078" i="3" s="1"/>
  <c r="Q1077" i="3"/>
  <c r="Z1077" i="3" s="1"/>
  <c r="Q1076" i="3"/>
  <c r="Z1076" i="3" s="1"/>
  <c r="Q1075" i="3"/>
  <c r="Z1075" i="3" s="1"/>
  <c r="Q1074" i="3"/>
  <c r="Z1074" i="3" s="1"/>
  <c r="Q1073" i="3"/>
  <c r="Z1073" i="3" s="1"/>
  <c r="Q1072" i="3"/>
  <c r="Z1072" i="3" s="1"/>
  <c r="Q1071" i="3"/>
  <c r="Z1071" i="3" s="1"/>
  <c r="Q1070" i="3"/>
  <c r="Z1070" i="3" s="1"/>
  <c r="Q1069" i="3"/>
  <c r="Z1069" i="3" s="1"/>
  <c r="Q1068" i="3"/>
  <c r="Z1068" i="3" s="1"/>
  <c r="Q1067" i="3"/>
  <c r="Z1067" i="3" s="1"/>
  <c r="Q1066" i="3"/>
  <c r="Z1066" i="3" s="1"/>
  <c r="Q1065" i="3"/>
  <c r="Z1065" i="3" s="1"/>
  <c r="Q1064" i="3"/>
  <c r="Z1064" i="3" s="1"/>
  <c r="Q1063" i="3"/>
  <c r="Z1063" i="3" s="1"/>
  <c r="Q1062" i="3"/>
  <c r="Z1062" i="3" s="1"/>
  <c r="Q1061" i="3"/>
  <c r="Z1061" i="3" s="1"/>
  <c r="Q1060" i="3"/>
  <c r="Z1060" i="3" s="1"/>
  <c r="Q1059" i="3"/>
  <c r="Z1059" i="3" s="1"/>
  <c r="Q1058" i="3"/>
  <c r="Z1058" i="3" s="1"/>
  <c r="Q1057" i="3"/>
  <c r="Z1057" i="3" s="1"/>
  <c r="Q1056" i="3"/>
  <c r="Z1056" i="3" s="1"/>
  <c r="Q1055" i="3"/>
  <c r="Z1055" i="3" s="1"/>
  <c r="Q1054" i="3"/>
  <c r="Z1054" i="3" s="1"/>
  <c r="Q1053" i="3"/>
  <c r="Z1053" i="3" s="1"/>
  <c r="Q1052" i="3"/>
  <c r="Z1052" i="3" s="1"/>
  <c r="Q1051" i="3"/>
  <c r="Z1051" i="3" s="1"/>
  <c r="Q1050" i="3"/>
  <c r="Z1050" i="3" s="1"/>
  <c r="Q1049" i="3"/>
  <c r="Z1049" i="3" s="1"/>
  <c r="Q1048" i="3"/>
  <c r="Z1048" i="3" s="1"/>
  <c r="Q1047" i="3"/>
  <c r="Z1047" i="3" s="1"/>
  <c r="Q1046" i="3"/>
  <c r="Z1046" i="3" s="1"/>
  <c r="Q1045" i="3"/>
  <c r="Z1045" i="3" s="1"/>
  <c r="Q1044" i="3"/>
  <c r="Z1044" i="3" s="1"/>
  <c r="Q1043" i="3"/>
  <c r="Z1043" i="3" s="1"/>
  <c r="Q1042" i="3"/>
  <c r="Z1042" i="3" s="1"/>
  <c r="Q1041" i="3"/>
  <c r="Z1041" i="3" s="1"/>
  <c r="Q1040" i="3"/>
  <c r="Z1040" i="3" s="1"/>
  <c r="Q1039" i="3"/>
  <c r="Z1039" i="3" s="1"/>
  <c r="Q1038" i="3"/>
  <c r="Z1038" i="3" s="1"/>
  <c r="Q1037" i="3"/>
  <c r="Z1037" i="3" s="1"/>
  <c r="Q1036" i="3"/>
  <c r="Z1036" i="3" s="1"/>
  <c r="Q1035" i="3"/>
  <c r="Z1035" i="3" s="1"/>
  <c r="Q1034" i="3"/>
  <c r="Z1034" i="3" s="1"/>
  <c r="Q1033" i="3"/>
  <c r="Z1033" i="3" s="1"/>
  <c r="Q1032" i="3"/>
  <c r="Z1032" i="3" s="1"/>
  <c r="Q1031" i="3"/>
  <c r="Z1031" i="3" s="1"/>
  <c r="Q1030" i="3"/>
  <c r="Z1030" i="3" s="1"/>
  <c r="Q1029" i="3"/>
  <c r="Z1029" i="3" s="1"/>
  <c r="Q1028" i="3"/>
  <c r="Z1028" i="3" s="1"/>
  <c r="Q1027" i="3"/>
  <c r="Z1027" i="3" s="1"/>
  <c r="Q1026" i="3"/>
  <c r="Z1026" i="3" s="1"/>
  <c r="Q1025" i="3"/>
  <c r="Z1025" i="3" s="1"/>
  <c r="Q1024" i="3"/>
  <c r="Z1024" i="3" s="1"/>
  <c r="Q1023" i="3"/>
  <c r="Z1023" i="3" s="1"/>
  <c r="Q1022" i="3"/>
  <c r="Z1022" i="3" s="1"/>
  <c r="Q1021" i="3"/>
  <c r="Z1021" i="3" s="1"/>
  <c r="Q1020" i="3"/>
  <c r="Z1020" i="3" s="1"/>
  <c r="Q1019" i="3"/>
  <c r="Z1019" i="3" s="1"/>
  <c r="Q1018" i="3"/>
  <c r="Z1018" i="3" s="1"/>
  <c r="Q1017" i="3"/>
  <c r="Z1017" i="3" s="1"/>
  <c r="Q1016" i="3"/>
  <c r="Z1016" i="3" s="1"/>
  <c r="Q1015" i="3"/>
  <c r="Z1015" i="3" s="1"/>
  <c r="Q1014" i="3"/>
  <c r="Z1014" i="3" s="1"/>
  <c r="Q1013" i="3"/>
  <c r="Z1013" i="3" s="1"/>
  <c r="Q1012" i="3"/>
  <c r="Z1012" i="3" s="1"/>
  <c r="Q1011" i="3"/>
  <c r="Z1011" i="3" s="1"/>
  <c r="Q1010" i="3"/>
  <c r="Z1010" i="3" s="1"/>
  <c r="Q1009" i="3"/>
  <c r="Z1009" i="3" s="1"/>
  <c r="Q1008" i="3"/>
  <c r="Z1008" i="3" s="1"/>
  <c r="Q1007" i="3"/>
  <c r="Z1007" i="3" s="1"/>
  <c r="Q1006" i="3"/>
  <c r="Z1006" i="3" s="1"/>
  <c r="Q1005" i="3"/>
  <c r="Z1005" i="3" s="1"/>
  <c r="Q1004" i="3"/>
  <c r="Z1004" i="3" s="1"/>
  <c r="Q1003" i="3"/>
  <c r="Z1003" i="3" s="1"/>
  <c r="Q1002" i="3"/>
  <c r="Z1002" i="3" s="1"/>
  <c r="Q1001" i="3"/>
  <c r="Z1001" i="3" s="1"/>
  <c r="Q1000" i="3"/>
  <c r="Z1000" i="3" s="1"/>
  <c r="Q999" i="3"/>
  <c r="Z999" i="3" s="1"/>
  <c r="Q998" i="3"/>
  <c r="Z998" i="3" s="1"/>
  <c r="Q997" i="3"/>
  <c r="Z997" i="3" s="1"/>
  <c r="Q996" i="3"/>
  <c r="Z996" i="3" s="1"/>
  <c r="Q995" i="3"/>
  <c r="Z995" i="3" s="1"/>
  <c r="Q994" i="3"/>
  <c r="Z994" i="3" s="1"/>
  <c r="Q993" i="3"/>
  <c r="Z993" i="3" s="1"/>
  <c r="Q992" i="3"/>
  <c r="Z992" i="3" s="1"/>
  <c r="Q991" i="3"/>
  <c r="Z991" i="3" s="1"/>
  <c r="Q990" i="3"/>
  <c r="Z990" i="3" s="1"/>
  <c r="Q989" i="3"/>
  <c r="Z989" i="3" s="1"/>
  <c r="Q988" i="3"/>
  <c r="Z988" i="3" s="1"/>
  <c r="Q987" i="3"/>
  <c r="Z987" i="3" s="1"/>
  <c r="Q986" i="3"/>
  <c r="Z986" i="3" s="1"/>
  <c r="Q985" i="3"/>
  <c r="Z985" i="3" s="1"/>
  <c r="Q984" i="3"/>
  <c r="Z984" i="3" s="1"/>
  <c r="Q983" i="3"/>
  <c r="Z983" i="3" s="1"/>
  <c r="Q982" i="3"/>
  <c r="Z982" i="3" s="1"/>
  <c r="Q981" i="3"/>
  <c r="Z981" i="3" s="1"/>
  <c r="Q980" i="3"/>
  <c r="Z980" i="3" s="1"/>
  <c r="Q979" i="3"/>
  <c r="Z979" i="3" s="1"/>
  <c r="Q978" i="3"/>
  <c r="Z978" i="3" s="1"/>
  <c r="Q977" i="3"/>
  <c r="Z977" i="3" s="1"/>
  <c r="Q976" i="3"/>
  <c r="Z976" i="3" s="1"/>
  <c r="Q975" i="3"/>
  <c r="Z975" i="3" s="1"/>
  <c r="Q974" i="3"/>
  <c r="Z974" i="3" s="1"/>
  <c r="Q973" i="3"/>
  <c r="Z973" i="3" s="1"/>
  <c r="Q972" i="3"/>
  <c r="Z972" i="3" s="1"/>
  <c r="Q971" i="3"/>
  <c r="Z971" i="3" s="1"/>
  <c r="Q970" i="3"/>
  <c r="Z970" i="3" s="1"/>
  <c r="Q969" i="3"/>
  <c r="Z969" i="3" s="1"/>
  <c r="Q968" i="3"/>
  <c r="Z968" i="3" s="1"/>
  <c r="Q967" i="3"/>
  <c r="Z967" i="3" s="1"/>
  <c r="Q966" i="3"/>
  <c r="Z966" i="3" s="1"/>
  <c r="Q965" i="3"/>
  <c r="Z965" i="3" s="1"/>
  <c r="Q964" i="3"/>
  <c r="Z964" i="3" s="1"/>
  <c r="Q963" i="3"/>
  <c r="Z963" i="3" s="1"/>
  <c r="Q962" i="3"/>
  <c r="Z962" i="3" s="1"/>
  <c r="Q961" i="3"/>
  <c r="Z961" i="3" s="1"/>
  <c r="Q960" i="3"/>
  <c r="Z960" i="3" s="1"/>
  <c r="Q959" i="3"/>
  <c r="Z959" i="3" s="1"/>
  <c r="Q958" i="3"/>
  <c r="Z958" i="3" s="1"/>
  <c r="Q957" i="3"/>
  <c r="Z957" i="3" s="1"/>
  <c r="Q956" i="3"/>
  <c r="Z956" i="3" s="1"/>
  <c r="Q955" i="3"/>
  <c r="Z955" i="3" s="1"/>
  <c r="Q954" i="3"/>
  <c r="Z954" i="3" s="1"/>
  <c r="Q953" i="3"/>
  <c r="Z953" i="3" s="1"/>
  <c r="Q952" i="3"/>
  <c r="Z952" i="3" s="1"/>
  <c r="Q951" i="3"/>
  <c r="Z951" i="3" s="1"/>
  <c r="Q950" i="3"/>
  <c r="Z950" i="3" s="1"/>
  <c r="Q949" i="3"/>
  <c r="Z949" i="3" s="1"/>
  <c r="Q948" i="3"/>
  <c r="Z948" i="3" s="1"/>
  <c r="Q947" i="3"/>
  <c r="Z947" i="3" s="1"/>
  <c r="Q946" i="3"/>
  <c r="Z946" i="3" s="1"/>
  <c r="Q945" i="3"/>
  <c r="Z945" i="3" s="1"/>
  <c r="Q944" i="3"/>
  <c r="Z944" i="3" s="1"/>
  <c r="Q943" i="3"/>
  <c r="Z943" i="3" s="1"/>
  <c r="Q942" i="3"/>
  <c r="Z942" i="3" s="1"/>
  <c r="Q941" i="3"/>
  <c r="Z941" i="3" s="1"/>
  <c r="Q940" i="3"/>
  <c r="Z940" i="3" s="1"/>
  <c r="Q939" i="3"/>
  <c r="Z939" i="3" s="1"/>
  <c r="Q938" i="3"/>
  <c r="Z938" i="3" s="1"/>
  <c r="Q937" i="3"/>
  <c r="Z937" i="3" s="1"/>
  <c r="Q936" i="3"/>
  <c r="Z936" i="3" s="1"/>
  <c r="Q935" i="3"/>
  <c r="Z935" i="3" s="1"/>
  <c r="Q934" i="3"/>
  <c r="Z934" i="3" s="1"/>
  <c r="Q933" i="3"/>
  <c r="Z933" i="3" s="1"/>
  <c r="Q932" i="3"/>
  <c r="Z932" i="3" s="1"/>
  <c r="Q931" i="3"/>
  <c r="Z931" i="3" s="1"/>
  <c r="Q930" i="3"/>
  <c r="Z930" i="3" s="1"/>
  <c r="Q929" i="3"/>
  <c r="Z929" i="3" s="1"/>
  <c r="Q928" i="3"/>
  <c r="Z928" i="3" s="1"/>
  <c r="Q927" i="3"/>
  <c r="Z927" i="3" s="1"/>
  <c r="Q926" i="3"/>
  <c r="Z926" i="3" s="1"/>
  <c r="Q925" i="3"/>
  <c r="Z925" i="3" s="1"/>
  <c r="Q924" i="3"/>
  <c r="Z924" i="3" s="1"/>
  <c r="Q923" i="3"/>
  <c r="Z923" i="3" s="1"/>
  <c r="Q922" i="3"/>
  <c r="Z922" i="3" s="1"/>
  <c r="Q921" i="3"/>
  <c r="Z921" i="3" s="1"/>
  <c r="Q920" i="3"/>
  <c r="Z920" i="3" s="1"/>
  <c r="Q919" i="3"/>
  <c r="Z919" i="3" s="1"/>
  <c r="Q918" i="3"/>
  <c r="Z918" i="3" s="1"/>
  <c r="Q917" i="3"/>
  <c r="Z917" i="3" s="1"/>
  <c r="Q916" i="3"/>
  <c r="Z916" i="3" s="1"/>
  <c r="Q915" i="3"/>
  <c r="Z915" i="3" s="1"/>
  <c r="Q914" i="3"/>
  <c r="Z914" i="3" s="1"/>
  <c r="Q913" i="3"/>
  <c r="Z913" i="3" s="1"/>
  <c r="Q912" i="3"/>
  <c r="Z912" i="3" s="1"/>
  <c r="Q911" i="3"/>
  <c r="Z911" i="3" s="1"/>
  <c r="Q910" i="3"/>
  <c r="Z910" i="3" s="1"/>
  <c r="Q909" i="3"/>
  <c r="Z909" i="3" s="1"/>
  <c r="Q908" i="3"/>
  <c r="Z908" i="3" s="1"/>
  <c r="Q907" i="3"/>
  <c r="Z907" i="3" s="1"/>
  <c r="Q906" i="3"/>
  <c r="Z906" i="3" s="1"/>
  <c r="Q905" i="3"/>
  <c r="Z905" i="3" s="1"/>
  <c r="Q904" i="3"/>
  <c r="Z904" i="3" s="1"/>
  <c r="Q903" i="3"/>
  <c r="Z903" i="3" s="1"/>
  <c r="Q902" i="3"/>
  <c r="Z902" i="3" s="1"/>
  <c r="Q901" i="3"/>
  <c r="Z901" i="3" s="1"/>
  <c r="Q900" i="3"/>
  <c r="Z900" i="3" s="1"/>
  <c r="Q899" i="3"/>
  <c r="Z899" i="3" s="1"/>
  <c r="Q898" i="3"/>
  <c r="Z898" i="3" s="1"/>
  <c r="Q897" i="3"/>
  <c r="Z897" i="3" s="1"/>
  <c r="Q896" i="3"/>
  <c r="Z896" i="3" s="1"/>
  <c r="Q895" i="3"/>
  <c r="Z895" i="3" s="1"/>
  <c r="Q894" i="3"/>
  <c r="Z894" i="3" s="1"/>
  <c r="Q893" i="3"/>
  <c r="Z893" i="3" s="1"/>
  <c r="Q892" i="3"/>
  <c r="Z892" i="3" s="1"/>
  <c r="Q891" i="3"/>
  <c r="Z891" i="3" s="1"/>
  <c r="Q890" i="3"/>
  <c r="Z890" i="3" s="1"/>
  <c r="Q889" i="3"/>
  <c r="Z889" i="3" s="1"/>
  <c r="Q888" i="3"/>
  <c r="Z888" i="3" s="1"/>
  <c r="Q887" i="3"/>
  <c r="Z887" i="3" s="1"/>
  <c r="Q886" i="3"/>
  <c r="Z886" i="3" s="1"/>
  <c r="Q885" i="3"/>
  <c r="Z885" i="3" s="1"/>
  <c r="Q884" i="3"/>
  <c r="Z884" i="3" s="1"/>
  <c r="Q883" i="3"/>
  <c r="Z883" i="3" s="1"/>
  <c r="Q882" i="3"/>
  <c r="Z882" i="3" s="1"/>
  <c r="Q881" i="3"/>
  <c r="Z881" i="3" s="1"/>
  <c r="Q880" i="3"/>
  <c r="Z880" i="3" s="1"/>
  <c r="Q879" i="3"/>
  <c r="Z879" i="3" s="1"/>
  <c r="Q878" i="3"/>
  <c r="Z878" i="3" s="1"/>
  <c r="Q877" i="3"/>
  <c r="Z877" i="3" s="1"/>
  <c r="Q876" i="3"/>
  <c r="Z876" i="3" s="1"/>
  <c r="Q875" i="3"/>
  <c r="Z875" i="3" s="1"/>
  <c r="Q874" i="3"/>
  <c r="Z874" i="3" s="1"/>
  <c r="Q873" i="3"/>
  <c r="Z873" i="3" s="1"/>
  <c r="Q872" i="3"/>
  <c r="Z872" i="3" s="1"/>
  <c r="Q871" i="3"/>
  <c r="Z871" i="3" s="1"/>
  <c r="Q870" i="3"/>
  <c r="Z870" i="3" s="1"/>
  <c r="Q869" i="3"/>
  <c r="Z869" i="3" s="1"/>
  <c r="Q868" i="3"/>
  <c r="Z868" i="3" s="1"/>
  <c r="Q867" i="3"/>
  <c r="Z867" i="3" s="1"/>
  <c r="Q866" i="3"/>
  <c r="Z866" i="3" s="1"/>
  <c r="Q865" i="3"/>
  <c r="Z865" i="3" s="1"/>
  <c r="Q864" i="3"/>
  <c r="Z864" i="3" s="1"/>
  <c r="Q863" i="3"/>
  <c r="Z863" i="3" s="1"/>
  <c r="Q862" i="3"/>
  <c r="Z862" i="3" s="1"/>
  <c r="Q861" i="3"/>
  <c r="Z861" i="3" s="1"/>
  <c r="Q860" i="3"/>
  <c r="Z860" i="3" s="1"/>
  <c r="Q859" i="3"/>
  <c r="Z859" i="3" s="1"/>
  <c r="Q858" i="3"/>
  <c r="Z858" i="3" s="1"/>
  <c r="Q857" i="3"/>
  <c r="Z857" i="3" s="1"/>
  <c r="Q856" i="3"/>
  <c r="Z856" i="3" s="1"/>
  <c r="Q855" i="3"/>
  <c r="Z855" i="3" s="1"/>
  <c r="Q854" i="3"/>
  <c r="Z854" i="3" s="1"/>
  <c r="Q853" i="3"/>
  <c r="Z853" i="3" s="1"/>
  <c r="Q852" i="3"/>
  <c r="Z852" i="3" s="1"/>
  <c r="Q851" i="3"/>
  <c r="Z851" i="3" s="1"/>
  <c r="Q850" i="3"/>
  <c r="Z850" i="3" s="1"/>
  <c r="Q849" i="3"/>
  <c r="Z849" i="3" s="1"/>
  <c r="Q848" i="3"/>
  <c r="Z848" i="3" s="1"/>
  <c r="Q847" i="3"/>
  <c r="Z847" i="3" s="1"/>
  <c r="Q846" i="3"/>
  <c r="Z846" i="3" s="1"/>
  <c r="Q845" i="3"/>
  <c r="Z845" i="3" s="1"/>
  <c r="Q844" i="3"/>
  <c r="Z844" i="3" s="1"/>
  <c r="Q843" i="3"/>
  <c r="Z843" i="3" s="1"/>
  <c r="Q842" i="3"/>
  <c r="Z842" i="3" s="1"/>
  <c r="Q841" i="3"/>
  <c r="Z841" i="3" s="1"/>
  <c r="Q840" i="3"/>
  <c r="Z840" i="3" s="1"/>
  <c r="Q839" i="3"/>
  <c r="Z839" i="3" s="1"/>
  <c r="Q838" i="3"/>
  <c r="Z838" i="3" s="1"/>
  <c r="Q837" i="3"/>
  <c r="Z837" i="3" s="1"/>
  <c r="Q836" i="3"/>
  <c r="Z836" i="3" s="1"/>
  <c r="Q835" i="3"/>
  <c r="Z835" i="3" s="1"/>
  <c r="Q834" i="3"/>
  <c r="Z834" i="3" s="1"/>
  <c r="Q833" i="3"/>
  <c r="Z833" i="3" s="1"/>
  <c r="Q832" i="3"/>
  <c r="Z832" i="3" s="1"/>
  <c r="Q831" i="3"/>
  <c r="Z831" i="3" s="1"/>
  <c r="Q830" i="3"/>
  <c r="Z830" i="3" s="1"/>
  <c r="Q829" i="3"/>
  <c r="Z829" i="3" s="1"/>
  <c r="Q828" i="3"/>
  <c r="Z828" i="3" s="1"/>
  <c r="Q827" i="3"/>
  <c r="Z827" i="3" s="1"/>
  <c r="Q826" i="3"/>
  <c r="Z826" i="3" s="1"/>
  <c r="Q825" i="3"/>
  <c r="Z825" i="3" s="1"/>
  <c r="Q824" i="3"/>
  <c r="Z824" i="3" s="1"/>
  <c r="Q823" i="3"/>
  <c r="Z823" i="3" s="1"/>
  <c r="Q822" i="3"/>
  <c r="Z822" i="3" s="1"/>
  <c r="Q821" i="3"/>
  <c r="Z821" i="3" s="1"/>
  <c r="Q820" i="3"/>
  <c r="Z820" i="3" s="1"/>
  <c r="Q819" i="3"/>
  <c r="Z819" i="3" s="1"/>
  <c r="Q818" i="3"/>
  <c r="Z818" i="3" s="1"/>
  <c r="Q817" i="3"/>
  <c r="Z817" i="3" s="1"/>
  <c r="Q816" i="3"/>
  <c r="Z816" i="3" s="1"/>
  <c r="Q815" i="3"/>
  <c r="Z815" i="3" s="1"/>
  <c r="Q814" i="3"/>
  <c r="Z814" i="3" s="1"/>
  <c r="Q813" i="3"/>
  <c r="Z813" i="3" s="1"/>
  <c r="Q812" i="3"/>
  <c r="Z812" i="3" s="1"/>
  <c r="Q811" i="3"/>
  <c r="Z811" i="3" s="1"/>
  <c r="Q810" i="3"/>
  <c r="Z810" i="3" s="1"/>
  <c r="Q809" i="3"/>
  <c r="Z809" i="3" s="1"/>
  <c r="Q808" i="3"/>
  <c r="Z808" i="3" s="1"/>
  <c r="Q807" i="3"/>
  <c r="Z807" i="3" s="1"/>
  <c r="Q806" i="3"/>
  <c r="Z806" i="3" s="1"/>
  <c r="Q805" i="3"/>
  <c r="Z805" i="3" s="1"/>
  <c r="Q804" i="3"/>
  <c r="Z804" i="3" s="1"/>
  <c r="Q803" i="3"/>
  <c r="Z803" i="3" s="1"/>
  <c r="Q802" i="3"/>
  <c r="Z802" i="3" s="1"/>
  <c r="Q801" i="3"/>
  <c r="Z801" i="3" s="1"/>
  <c r="Q800" i="3"/>
  <c r="Z800" i="3" s="1"/>
  <c r="Q799" i="3"/>
  <c r="Z799" i="3" s="1"/>
  <c r="Q798" i="3"/>
  <c r="Z798" i="3" s="1"/>
  <c r="Q797" i="3"/>
  <c r="Z797" i="3" s="1"/>
  <c r="Q796" i="3"/>
  <c r="Z796" i="3" s="1"/>
  <c r="Q795" i="3"/>
  <c r="Z795" i="3" s="1"/>
  <c r="Q794" i="3"/>
  <c r="Z794" i="3" s="1"/>
  <c r="Q793" i="3"/>
  <c r="Z793" i="3" s="1"/>
  <c r="Q792" i="3"/>
  <c r="Z792" i="3" s="1"/>
  <c r="Q791" i="3"/>
  <c r="Z791" i="3" s="1"/>
  <c r="Q790" i="3"/>
  <c r="Z790" i="3" s="1"/>
  <c r="Q789" i="3"/>
  <c r="Z789" i="3" s="1"/>
  <c r="Q788" i="3"/>
  <c r="Z788" i="3" s="1"/>
  <c r="Q787" i="3"/>
  <c r="Z787" i="3" s="1"/>
  <c r="Q786" i="3"/>
  <c r="Z786" i="3" s="1"/>
  <c r="Q785" i="3"/>
  <c r="Z785" i="3" s="1"/>
  <c r="Q784" i="3"/>
  <c r="Z784" i="3" s="1"/>
  <c r="Q783" i="3"/>
  <c r="Z783" i="3" s="1"/>
  <c r="Q782" i="3"/>
  <c r="Z782" i="3" s="1"/>
  <c r="Q781" i="3"/>
  <c r="Z781" i="3" s="1"/>
  <c r="Q780" i="3"/>
  <c r="Z780" i="3" s="1"/>
  <c r="Q779" i="3"/>
  <c r="Z779" i="3" s="1"/>
  <c r="Q778" i="3"/>
  <c r="Z778" i="3" s="1"/>
  <c r="Q777" i="3"/>
  <c r="Z777" i="3" s="1"/>
  <c r="Q776" i="3"/>
  <c r="Z776" i="3" s="1"/>
  <c r="Q775" i="3"/>
  <c r="Z775" i="3" s="1"/>
  <c r="Q774" i="3"/>
  <c r="Z774" i="3" s="1"/>
  <c r="Q773" i="3"/>
  <c r="Z773" i="3" s="1"/>
  <c r="Q772" i="3"/>
  <c r="Z772" i="3" s="1"/>
  <c r="Q771" i="3"/>
  <c r="Z771" i="3" s="1"/>
  <c r="Q770" i="3"/>
  <c r="Z770" i="3" s="1"/>
  <c r="Q769" i="3"/>
  <c r="Z769" i="3" s="1"/>
  <c r="Q768" i="3"/>
  <c r="Z768" i="3" s="1"/>
  <c r="Q767" i="3"/>
  <c r="Z767" i="3" s="1"/>
  <c r="Q766" i="3"/>
  <c r="Z766" i="3" s="1"/>
  <c r="Q765" i="3"/>
  <c r="Z765" i="3" s="1"/>
  <c r="Q764" i="3"/>
  <c r="Z764" i="3" s="1"/>
  <c r="Q763" i="3"/>
  <c r="Z763" i="3" s="1"/>
  <c r="Q762" i="3"/>
  <c r="Z762" i="3" s="1"/>
  <c r="Q761" i="3"/>
  <c r="Z761" i="3" s="1"/>
  <c r="Q760" i="3"/>
  <c r="Z760" i="3" s="1"/>
  <c r="Q759" i="3"/>
  <c r="Z759" i="3" s="1"/>
  <c r="Q758" i="3"/>
  <c r="Z758" i="3" s="1"/>
  <c r="Q757" i="3"/>
  <c r="Z757" i="3" s="1"/>
  <c r="Q756" i="3"/>
  <c r="Z756" i="3" s="1"/>
  <c r="Q755" i="3"/>
  <c r="Z755" i="3" s="1"/>
  <c r="Q754" i="3"/>
  <c r="Z754" i="3" s="1"/>
  <c r="Q753" i="3"/>
  <c r="Z753" i="3" s="1"/>
  <c r="Q752" i="3"/>
  <c r="Z752" i="3" s="1"/>
  <c r="Q751" i="3"/>
  <c r="Z751" i="3" s="1"/>
  <c r="Q750" i="3"/>
  <c r="Z750" i="3" s="1"/>
  <c r="Q749" i="3"/>
  <c r="Z749" i="3" s="1"/>
  <c r="Q748" i="3"/>
  <c r="Z748" i="3" s="1"/>
  <c r="Q747" i="3"/>
  <c r="Z747" i="3" s="1"/>
  <c r="Q746" i="3"/>
  <c r="Z746" i="3" s="1"/>
  <c r="Q745" i="3"/>
  <c r="Z745" i="3" s="1"/>
  <c r="Q744" i="3"/>
  <c r="Z744" i="3" s="1"/>
  <c r="Q743" i="3"/>
  <c r="Z743" i="3" s="1"/>
  <c r="Q742" i="3"/>
  <c r="Z742" i="3" s="1"/>
  <c r="Q741" i="3"/>
  <c r="Z741" i="3" s="1"/>
  <c r="Q740" i="3"/>
  <c r="Z740" i="3" s="1"/>
  <c r="Q739" i="3"/>
  <c r="Z739" i="3" s="1"/>
  <c r="Q738" i="3"/>
  <c r="Z738" i="3" s="1"/>
  <c r="Q737" i="3"/>
  <c r="Z737" i="3" s="1"/>
  <c r="Q736" i="3"/>
  <c r="Z736" i="3" s="1"/>
  <c r="Q735" i="3"/>
  <c r="Z735" i="3" s="1"/>
  <c r="Q734" i="3"/>
  <c r="Z734" i="3" s="1"/>
  <c r="Q733" i="3"/>
  <c r="Z733" i="3" s="1"/>
  <c r="Q732" i="3"/>
  <c r="Z732" i="3" s="1"/>
  <c r="Q731" i="3"/>
  <c r="Z731" i="3" s="1"/>
  <c r="Q730" i="3"/>
  <c r="Z730" i="3" s="1"/>
  <c r="Q729" i="3"/>
  <c r="Z729" i="3" s="1"/>
  <c r="Q728" i="3"/>
  <c r="Z728" i="3" s="1"/>
  <c r="Q727" i="3"/>
  <c r="Z727" i="3" s="1"/>
  <c r="Q726" i="3"/>
  <c r="Z726" i="3" s="1"/>
  <c r="Q725" i="3"/>
  <c r="Z725" i="3" s="1"/>
  <c r="Q724" i="3"/>
  <c r="Z724" i="3" s="1"/>
  <c r="Q723" i="3"/>
  <c r="Z723" i="3" s="1"/>
  <c r="Q722" i="3"/>
  <c r="Z722" i="3" s="1"/>
  <c r="Q721" i="3"/>
  <c r="Z721" i="3" s="1"/>
  <c r="Q720" i="3"/>
  <c r="Z720" i="3" s="1"/>
  <c r="Q719" i="3"/>
  <c r="Z719" i="3" s="1"/>
  <c r="Q718" i="3"/>
  <c r="Z718" i="3" s="1"/>
  <c r="Q717" i="3"/>
  <c r="Z717" i="3" s="1"/>
  <c r="Q716" i="3"/>
  <c r="Z716" i="3" s="1"/>
  <c r="Q715" i="3"/>
  <c r="Z715" i="3" s="1"/>
  <c r="Q714" i="3"/>
  <c r="Z714" i="3" s="1"/>
  <c r="Q713" i="3"/>
  <c r="Z713" i="3" s="1"/>
  <c r="Q712" i="3"/>
  <c r="Z712" i="3" s="1"/>
  <c r="Q711" i="3"/>
  <c r="Z711" i="3" s="1"/>
  <c r="Q710" i="3"/>
  <c r="Z710" i="3" s="1"/>
  <c r="Q709" i="3"/>
  <c r="Z709" i="3" s="1"/>
  <c r="Q708" i="3"/>
  <c r="Z708" i="3" s="1"/>
  <c r="Q707" i="3"/>
  <c r="Z707" i="3" s="1"/>
  <c r="Q706" i="3"/>
  <c r="Z706" i="3" s="1"/>
  <c r="Q705" i="3"/>
  <c r="Z705" i="3" s="1"/>
  <c r="Q704" i="3"/>
  <c r="Z704" i="3" s="1"/>
  <c r="Q703" i="3"/>
  <c r="Z703" i="3" s="1"/>
  <c r="Q702" i="3"/>
  <c r="Z702" i="3" s="1"/>
  <c r="Q701" i="3"/>
  <c r="Z701" i="3" s="1"/>
  <c r="Q700" i="3"/>
  <c r="Z700" i="3" s="1"/>
  <c r="Q699" i="3"/>
  <c r="Z699" i="3" s="1"/>
  <c r="Q698" i="3"/>
  <c r="Z698" i="3" s="1"/>
  <c r="Q697" i="3"/>
  <c r="Z697" i="3" s="1"/>
  <c r="Q696" i="3"/>
  <c r="Z696" i="3" s="1"/>
  <c r="Q695" i="3"/>
  <c r="Z695" i="3" s="1"/>
  <c r="Q694" i="3"/>
  <c r="Z694" i="3" s="1"/>
  <c r="Q693" i="3"/>
  <c r="Z693" i="3" s="1"/>
  <c r="Q692" i="3"/>
  <c r="Z692" i="3" s="1"/>
  <c r="Q691" i="3"/>
  <c r="Z691" i="3" s="1"/>
  <c r="Q690" i="3"/>
  <c r="Z690" i="3" s="1"/>
  <c r="Q689" i="3"/>
  <c r="Z689" i="3" s="1"/>
  <c r="Q688" i="3"/>
  <c r="Z688" i="3" s="1"/>
  <c r="Q687" i="3"/>
  <c r="Z687" i="3" s="1"/>
  <c r="Q686" i="3"/>
  <c r="Z686" i="3" s="1"/>
  <c r="Q685" i="3"/>
  <c r="Z685" i="3" s="1"/>
  <c r="Q684" i="3"/>
  <c r="Z684" i="3" s="1"/>
  <c r="Q683" i="3"/>
  <c r="Z683" i="3" s="1"/>
  <c r="Q682" i="3"/>
  <c r="Z682" i="3" s="1"/>
  <c r="Q681" i="3"/>
  <c r="Z681" i="3" s="1"/>
  <c r="Q680" i="3"/>
  <c r="Z680" i="3" s="1"/>
  <c r="Q679" i="3"/>
  <c r="Z679" i="3" s="1"/>
  <c r="Q678" i="3"/>
  <c r="Z678" i="3" s="1"/>
  <c r="Q677" i="3"/>
  <c r="Z677" i="3" s="1"/>
  <c r="Q676" i="3"/>
  <c r="Z676" i="3" s="1"/>
  <c r="Q675" i="3"/>
  <c r="Z675" i="3" s="1"/>
  <c r="Q674" i="3"/>
  <c r="Z674" i="3" s="1"/>
  <c r="Q673" i="3"/>
  <c r="Z673" i="3" s="1"/>
  <c r="Q672" i="3"/>
  <c r="Z672" i="3" s="1"/>
  <c r="Q671" i="3"/>
  <c r="Z671" i="3" s="1"/>
  <c r="Q670" i="3"/>
  <c r="Z670" i="3" s="1"/>
  <c r="Q669" i="3"/>
  <c r="Z669" i="3" s="1"/>
  <c r="Q668" i="3"/>
  <c r="Z668" i="3" s="1"/>
  <c r="Q667" i="3"/>
  <c r="Z667" i="3" s="1"/>
  <c r="Q666" i="3"/>
  <c r="Z666" i="3" s="1"/>
  <c r="Q665" i="3"/>
  <c r="Z665" i="3" s="1"/>
  <c r="Q664" i="3"/>
  <c r="Z664" i="3" s="1"/>
  <c r="Q663" i="3"/>
  <c r="Z663" i="3" s="1"/>
  <c r="Q662" i="3"/>
  <c r="Z662" i="3" s="1"/>
  <c r="Q661" i="3"/>
  <c r="Z661" i="3" s="1"/>
  <c r="Q660" i="3"/>
  <c r="Z660" i="3" s="1"/>
  <c r="Q659" i="3"/>
  <c r="Z659" i="3" s="1"/>
  <c r="Q658" i="3"/>
  <c r="Z658" i="3" s="1"/>
  <c r="Q657" i="3"/>
  <c r="Z657" i="3" s="1"/>
  <c r="Q656" i="3"/>
  <c r="Z656" i="3" s="1"/>
  <c r="Q655" i="3"/>
  <c r="Z655" i="3" s="1"/>
  <c r="Q654" i="3"/>
  <c r="Z654" i="3" s="1"/>
  <c r="Q653" i="3"/>
  <c r="Z653" i="3" s="1"/>
  <c r="Q652" i="3"/>
  <c r="Z652" i="3" s="1"/>
  <c r="Q651" i="3"/>
  <c r="Z651" i="3" s="1"/>
  <c r="Q650" i="3"/>
  <c r="Z650" i="3" s="1"/>
  <c r="Q649" i="3"/>
  <c r="Z649" i="3" s="1"/>
  <c r="Q648" i="3"/>
  <c r="Z648" i="3" s="1"/>
  <c r="Q647" i="3"/>
  <c r="Z647" i="3" s="1"/>
  <c r="Q646" i="3"/>
  <c r="Z646" i="3" s="1"/>
  <c r="Q645" i="3"/>
  <c r="Z645" i="3" s="1"/>
  <c r="Q644" i="3"/>
  <c r="Z644" i="3" s="1"/>
  <c r="Q643" i="3"/>
  <c r="Z643" i="3" s="1"/>
  <c r="Q642" i="3"/>
  <c r="Z642" i="3" s="1"/>
  <c r="Q641" i="3"/>
  <c r="Z641" i="3" s="1"/>
  <c r="Q640" i="3"/>
  <c r="Z640" i="3" s="1"/>
  <c r="Q639" i="3"/>
  <c r="Z639" i="3" s="1"/>
  <c r="Q638" i="3"/>
  <c r="Z638" i="3" s="1"/>
  <c r="Q637" i="3"/>
  <c r="Z637" i="3" s="1"/>
  <c r="Q636" i="3"/>
  <c r="Z636" i="3" s="1"/>
  <c r="Q635" i="3"/>
  <c r="Z635" i="3" s="1"/>
  <c r="Q634" i="3"/>
  <c r="Z634" i="3" s="1"/>
  <c r="Q633" i="3"/>
  <c r="Z633" i="3" s="1"/>
  <c r="Q632" i="3"/>
  <c r="Z632" i="3" s="1"/>
  <c r="Q631" i="3"/>
  <c r="Z631" i="3" s="1"/>
  <c r="Q630" i="3"/>
  <c r="Z630" i="3" s="1"/>
  <c r="Q629" i="3"/>
  <c r="Z629" i="3" s="1"/>
  <c r="Q628" i="3"/>
  <c r="Z628" i="3" s="1"/>
  <c r="Q627" i="3"/>
  <c r="Z627" i="3" s="1"/>
  <c r="Q626" i="3"/>
  <c r="Z626" i="3" s="1"/>
  <c r="Q625" i="3"/>
  <c r="Z625" i="3" s="1"/>
  <c r="Q624" i="3"/>
  <c r="Z624" i="3" s="1"/>
  <c r="Q623" i="3"/>
  <c r="Z623" i="3" s="1"/>
  <c r="Q622" i="3"/>
  <c r="Z622" i="3" s="1"/>
  <c r="Q621" i="3"/>
  <c r="Z621" i="3" s="1"/>
  <c r="Q620" i="3"/>
  <c r="Z620" i="3" s="1"/>
  <c r="Q619" i="3"/>
  <c r="Z619" i="3" s="1"/>
  <c r="Q618" i="3"/>
  <c r="Z618" i="3" s="1"/>
  <c r="Q617" i="3"/>
  <c r="Z617" i="3" s="1"/>
  <c r="Q616" i="3"/>
  <c r="Z616" i="3" s="1"/>
  <c r="Q615" i="3"/>
  <c r="Z615" i="3" s="1"/>
  <c r="Q614" i="3"/>
  <c r="Z614" i="3" s="1"/>
  <c r="Q613" i="3"/>
  <c r="Z613" i="3" s="1"/>
  <c r="Q612" i="3"/>
  <c r="Z612" i="3" s="1"/>
  <c r="Q611" i="3"/>
  <c r="Z611" i="3" s="1"/>
  <c r="Q610" i="3"/>
  <c r="Z610" i="3" s="1"/>
  <c r="Q609" i="3"/>
  <c r="Z609" i="3" s="1"/>
  <c r="Q608" i="3"/>
  <c r="Z608" i="3" s="1"/>
  <c r="Q607" i="3"/>
  <c r="Z607" i="3" s="1"/>
  <c r="Q606" i="3"/>
  <c r="Z606" i="3" s="1"/>
  <c r="Q605" i="3"/>
  <c r="Z605" i="3" s="1"/>
  <c r="Q604" i="3"/>
  <c r="Z604" i="3" s="1"/>
  <c r="Q603" i="3"/>
  <c r="Z603" i="3" s="1"/>
  <c r="Q602" i="3"/>
  <c r="Z602" i="3" s="1"/>
  <c r="Q601" i="3"/>
  <c r="Z601" i="3" s="1"/>
  <c r="Q600" i="3"/>
  <c r="Z600" i="3" s="1"/>
  <c r="Q599" i="3"/>
  <c r="Z599" i="3" s="1"/>
  <c r="Q598" i="3"/>
  <c r="Z598" i="3" s="1"/>
  <c r="Q597" i="3"/>
  <c r="Z597" i="3" s="1"/>
  <c r="Q596" i="3"/>
  <c r="Z596" i="3" s="1"/>
  <c r="Q595" i="3"/>
  <c r="Z595" i="3" s="1"/>
  <c r="Q594" i="3"/>
  <c r="Z594" i="3" s="1"/>
  <c r="Q593" i="3"/>
  <c r="Z593" i="3" s="1"/>
  <c r="Q592" i="3"/>
  <c r="Z592" i="3" s="1"/>
  <c r="Q591" i="3"/>
  <c r="Z591" i="3" s="1"/>
  <c r="Q590" i="3"/>
  <c r="Z590" i="3" s="1"/>
  <c r="Q589" i="3"/>
  <c r="Z589" i="3" s="1"/>
  <c r="Q588" i="3"/>
  <c r="Z588" i="3" s="1"/>
  <c r="Q587" i="3"/>
  <c r="Z587" i="3" s="1"/>
  <c r="Q586" i="3"/>
  <c r="Z586" i="3" s="1"/>
  <c r="Q585" i="3"/>
  <c r="Z585" i="3" s="1"/>
  <c r="Q584" i="3"/>
  <c r="Z584" i="3" s="1"/>
  <c r="Q583" i="3"/>
  <c r="Z583" i="3" s="1"/>
  <c r="Q582" i="3"/>
  <c r="Z582" i="3" s="1"/>
  <c r="Q581" i="3"/>
  <c r="Z581" i="3" s="1"/>
  <c r="Q580" i="3"/>
  <c r="Z580" i="3" s="1"/>
  <c r="Q579" i="3"/>
  <c r="Z579" i="3" s="1"/>
  <c r="Q578" i="3"/>
  <c r="Z578" i="3" s="1"/>
  <c r="Q577" i="3"/>
  <c r="Z577" i="3" s="1"/>
  <c r="Q576" i="3"/>
  <c r="Z576" i="3" s="1"/>
  <c r="Q575" i="3"/>
  <c r="Z575" i="3" s="1"/>
  <c r="Q574" i="3"/>
  <c r="Z574" i="3" s="1"/>
  <c r="Q573" i="3"/>
  <c r="Z573" i="3" s="1"/>
  <c r="Q572" i="3"/>
  <c r="Z572" i="3" s="1"/>
  <c r="Q571" i="3"/>
  <c r="Z571" i="3" s="1"/>
  <c r="Q570" i="3"/>
  <c r="Z570" i="3" s="1"/>
  <c r="Q569" i="3"/>
  <c r="Z569" i="3" s="1"/>
  <c r="Q568" i="3"/>
  <c r="Z568" i="3" s="1"/>
  <c r="Q567" i="3"/>
  <c r="Z567" i="3" s="1"/>
  <c r="Q566" i="3"/>
  <c r="Z566" i="3" s="1"/>
  <c r="Q565" i="3"/>
  <c r="Z565" i="3" s="1"/>
  <c r="Q564" i="3"/>
  <c r="Z564" i="3" s="1"/>
  <c r="Q563" i="3"/>
  <c r="Z563" i="3" s="1"/>
  <c r="Q562" i="3"/>
  <c r="Z562" i="3" s="1"/>
  <c r="Q561" i="3"/>
  <c r="Z561" i="3" s="1"/>
  <c r="Q560" i="3"/>
  <c r="Z560" i="3" s="1"/>
  <c r="Q559" i="3"/>
  <c r="Z559" i="3" s="1"/>
  <c r="Q558" i="3"/>
  <c r="Z558" i="3" s="1"/>
  <c r="Q557" i="3"/>
  <c r="Z557" i="3" s="1"/>
  <c r="Q556" i="3"/>
  <c r="Z556" i="3" s="1"/>
  <c r="Q555" i="3"/>
  <c r="Z555" i="3" s="1"/>
  <c r="Q554" i="3"/>
  <c r="Z554" i="3" s="1"/>
  <c r="Q553" i="3"/>
  <c r="Z553" i="3" s="1"/>
  <c r="Q552" i="3"/>
  <c r="Z552" i="3" s="1"/>
  <c r="Q551" i="3"/>
  <c r="Z551" i="3" s="1"/>
  <c r="Q550" i="3"/>
  <c r="Z550" i="3" s="1"/>
  <c r="Q549" i="3"/>
  <c r="Z549" i="3" s="1"/>
  <c r="Q548" i="3"/>
  <c r="Z548" i="3" s="1"/>
  <c r="Q547" i="3"/>
  <c r="Z547" i="3" s="1"/>
  <c r="Q546" i="3"/>
  <c r="Z546" i="3" s="1"/>
  <c r="Q545" i="3"/>
  <c r="Z545" i="3" s="1"/>
  <c r="Q544" i="3"/>
  <c r="Z544" i="3" s="1"/>
  <c r="Q543" i="3"/>
  <c r="Z543" i="3" s="1"/>
  <c r="Q542" i="3"/>
  <c r="Z542" i="3" s="1"/>
  <c r="Q541" i="3"/>
  <c r="Z541" i="3" s="1"/>
  <c r="Q540" i="3"/>
  <c r="Z540" i="3" s="1"/>
  <c r="Q539" i="3"/>
  <c r="Z539" i="3" s="1"/>
  <c r="Q538" i="3"/>
  <c r="Z538" i="3" s="1"/>
  <c r="Q537" i="3"/>
  <c r="Z537" i="3" s="1"/>
  <c r="Q536" i="3"/>
  <c r="Z536" i="3" s="1"/>
  <c r="Q535" i="3"/>
  <c r="Z535" i="3" s="1"/>
  <c r="Q534" i="3"/>
  <c r="Z534" i="3" s="1"/>
  <c r="Q533" i="3"/>
  <c r="Z533" i="3" s="1"/>
  <c r="Q532" i="3"/>
  <c r="Z532" i="3" s="1"/>
  <c r="Q531" i="3"/>
  <c r="Z531" i="3" s="1"/>
  <c r="Q530" i="3"/>
  <c r="Z530" i="3" s="1"/>
  <c r="Q529" i="3"/>
  <c r="Z529" i="3" s="1"/>
  <c r="Q528" i="3"/>
  <c r="Z528" i="3" s="1"/>
  <c r="Q527" i="3"/>
  <c r="Z527" i="3" s="1"/>
  <c r="Q526" i="3"/>
  <c r="Z526" i="3" s="1"/>
  <c r="Q525" i="3"/>
  <c r="Z525" i="3" s="1"/>
  <c r="Q524" i="3"/>
  <c r="Z524" i="3" s="1"/>
  <c r="Q523" i="3"/>
  <c r="Z523" i="3" s="1"/>
  <c r="Q522" i="3"/>
  <c r="Z522" i="3" s="1"/>
  <c r="Q521" i="3"/>
  <c r="Z521" i="3" s="1"/>
  <c r="Q520" i="3"/>
  <c r="Z520" i="3" s="1"/>
  <c r="Q519" i="3"/>
  <c r="Z519" i="3" s="1"/>
  <c r="Q518" i="3"/>
  <c r="Z518" i="3" s="1"/>
  <c r="Q517" i="3"/>
  <c r="Z517" i="3" s="1"/>
  <c r="Q516" i="3"/>
  <c r="Z516" i="3" s="1"/>
  <c r="Q515" i="3"/>
  <c r="Z515" i="3" s="1"/>
  <c r="Q514" i="3"/>
  <c r="Z514" i="3" s="1"/>
  <c r="Q513" i="3"/>
  <c r="Z513" i="3" s="1"/>
  <c r="Q512" i="3"/>
  <c r="Z512" i="3" s="1"/>
  <c r="Q511" i="3"/>
  <c r="Z511" i="3" s="1"/>
  <c r="Q510" i="3"/>
  <c r="Z510" i="3" s="1"/>
  <c r="Q509" i="3"/>
  <c r="Z509" i="3" s="1"/>
  <c r="Q508" i="3"/>
  <c r="Z508" i="3" s="1"/>
  <c r="Q507" i="3"/>
  <c r="Z507" i="3" s="1"/>
  <c r="Q506" i="3"/>
  <c r="Z506" i="3" s="1"/>
  <c r="Q505" i="3"/>
  <c r="Z505" i="3" s="1"/>
  <c r="Q504" i="3"/>
  <c r="Z504" i="3" s="1"/>
  <c r="Q503" i="3"/>
  <c r="Z503" i="3" s="1"/>
  <c r="Q502" i="3"/>
  <c r="Z502" i="3" s="1"/>
  <c r="Q501" i="3"/>
  <c r="Z501" i="3" s="1"/>
  <c r="Q500" i="3"/>
  <c r="Z500" i="3" s="1"/>
  <c r="Q499" i="3"/>
  <c r="Z499" i="3" s="1"/>
  <c r="Q498" i="3"/>
  <c r="Z498" i="3" s="1"/>
  <c r="Q497" i="3"/>
  <c r="Z497" i="3" s="1"/>
  <c r="Q496" i="3"/>
  <c r="Z496" i="3" s="1"/>
  <c r="Q495" i="3"/>
  <c r="Z495" i="3" s="1"/>
  <c r="Q494" i="3"/>
  <c r="Z494" i="3" s="1"/>
  <c r="Q493" i="3"/>
  <c r="Z493" i="3" s="1"/>
  <c r="Q492" i="3"/>
  <c r="Z492" i="3" s="1"/>
  <c r="Q491" i="3"/>
  <c r="Z491" i="3" s="1"/>
  <c r="Q490" i="3"/>
  <c r="Z490" i="3" s="1"/>
  <c r="Q489" i="3"/>
  <c r="Z489" i="3" s="1"/>
  <c r="Q488" i="3"/>
  <c r="Z488" i="3" s="1"/>
  <c r="Q487" i="3"/>
  <c r="Z487" i="3" s="1"/>
  <c r="Q486" i="3"/>
  <c r="Z486" i="3" s="1"/>
  <c r="Q485" i="3"/>
  <c r="Z485" i="3" s="1"/>
  <c r="Q484" i="3"/>
  <c r="Z484" i="3" s="1"/>
  <c r="Q483" i="3"/>
  <c r="Z483" i="3" s="1"/>
  <c r="Q482" i="3"/>
  <c r="Z482" i="3" s="1"/>
  <c r="Q481" i="3"/>
  <c r="Z481" i="3" s="1"/>
  <c r="Q480" i="3"/>
  <c r="Z480" i="3" s="1"/>
  <c r="Q479" i="3"/>
  <c r="Z479" i="3" s="1"/>
  <c r="Q478" i="3"/>
  <c r="Z478" i="3" s="1"/>
  <c r="Q477" i="3"/>
  <c r="Z477" i="3" s="1"/>
  <c r="Q476" i="3"/>
  <c r="Z476" i="3" s="1"/>
  <c r="Q475" i="3"/>
  <c r="Z475" i="3" s="1"/>
  <c r="Q474" i="3"/>
  <c r="Z474" i="3" s="1"/>
  <c r="Q473" i="3"/>
  <c r="Z473" i="3" s="1"/>
  <c r="Q472" i="3"/>
  <c r="Z472" i="3" s="1"/>
  <c r="Q471" i="3"/>
  <c r="Z471" i="3" s="1"/>
  <c r="Q470" i="3"/>
  <c r="Z470" i="3" s="1"/>
  <c r="Q469" i="3"/>
  <c r="Z469" i="3" s="1"/>
  <c r="Q468" i="3"/>
  <c r="Z468" i="3" s="1"/>
  <c r="Q467" i="3"/>
  <c r="Z467" i="3" s="1"/>
  <c r="Q466" i="3"/>
  <c r="Z466" i="3" s="1"/>
  <c r="Q465" i="3"/>
  <c r="Z465" i="3" s="1"/>
  <c r="Q464" i="3"/>
  <c r="Z464" i="3" s="1"/>
  <c r="Q463" i="3"/>
  <c r="Z463" i="3" s="1"/>
  <c r="Q462" i="3"/>
  <c r="Z462" i="3" s="1"/>
  <c r="Q461" i="3"/>
  <c r="Z461" i="3" s="1"/>
  <c r="Q460" i="3"/>
  <c r="Z460" i="3" s="1"/>
  <c r="Q459" i="3"/>
  <c r="Z459" i="3" s="1"/>
  <c r="Q458" i="3"/>
  <c r="Z458" i="3" s="1"/>
  <c r="Q457" i="3"/>
  <c r="Z457" i="3" s="1"/>
  <c r="Q456" i="3"/>
  <c r="Z456" i="3" s="1"/>
  <c r="Q455" i="3"/>
  <c r="Z455" i="3" s="1"/>
  <c r="Q454" i="3"/>
  <c r="Z454" i="3" s="1"/>
  <c r="Q453" i="3"/>
  <c r="Z453" i="3" s="1"/>
  <c r="Q452" i="3"/>
  <c r="Z452" i="3" s="1"/>
  <c r="Q451" i="3"/>
  <c r="Z451" i="3" s="1"/>
  <c r="Q450" i="3"/>
  <c r="Z450" i="3" s="1"/>
  <c r="Q449" i="3"/>
  <c r="Z449" i="3" s="1"/>
  <c r="Q448" i="3"/>
  <c r="Z448" i="3" s="1"/>
  <c r="Q447" i="3"/>
  <c r="Z447" i="3" s="1"/>
  <c r="Q446" i="3"/>
  <c r="Z446" i="3" s="1"/>
  <c r="Q445" i="3"/>
  <c r="Z445" i="3" s="1"/>
  <c r="Q444" i="3"/>
  <c r="Z444" i="3" s="1"/>
  <c r="Q443" i="3"/>
  <c r="Z443" i="3" s="1"/>
  <c r="Q442" i="3"/>
  <c r="Z442" i="3" s="1"/>
  <c r="Q441" i="3"/>
  <c r="Z441" i="3" s="1"/>
  <c r="Q440" i="3"/>
  <c r="Z440" i="3" s="1"/>
  <c r="Q439" i="3"/>
  <c r="Z439" i="3" s="1"/>
  <c r="Q438" i="3"/>
  <c r="Z438" i="3" s="1"/>
  <c r="Q437" i="3"/>
  <c r="Z437" i="3" s="1"/>
  <c r="Q436" i="3"/>
  <c r="Z436" i="3" s="1"/>
  <c r="Q435" i="3"/>
  <c r="Z435" i="3" s="1"/>
  <c r="Q434" i="3"/>
  <c r="Z434" i="3" s="1"/>
  <c r="Q433" i="3"/>
  <c r="Z433" i="3" s="1"/>
  <c r="Q432" i="3"/>
  <c r="Z432" i="3" s="1"/>
  <c r="Q431" i="3"/>
  <c r="Z431" i="3" s="1"/>
  <c r="Q430" i="3"/>
  <c r="Z430" i="3" s="1"/>
  <c r="Q429" i="3"/>
  <c r="Z429" i="3" s="1"/>
  <c r="Q428" i="3"/>
  <c r="Z428" i="3" s="1"/>
  <c r="Q427" i="3"/>
  <c r="Z427" i="3" s="1"/>
  <c r="Q426" i="3"/>
  <c r="Z426" i="3" s="1"/>
  <c r="Q425" i="3"/>
  <c r="Z425" i="3" s="1"/>
  <c r="Q424" i="3"/>
  <c r="Z424" i="3" s="1"/>
  <c r="Q423" i="3"/>
  <c r="Z423" i="3" s="1"/>
  <c r="Q422" i="3"/>
  <c r="Z422" i="3" s="1"/>
  <c r="Q421" i="3"/>
  <c r="Z421" i="3" s="1"/>
  <c r="Q420" i="3"/>
  <c r="Z420" i="3" s="1"/>
  <c r="Q419" i="3"/>
  <c r="Z419" i="3" s="1"/>
  <c r="Q418" i="3"/>
  <c r="Z418" i="3" s="1"/>
  <c r="Q417" i="3"/>
  <c r="Z417" i="3" s="1"/>
  <c r="Q416" i="3"/>
  <c r="Z416" i="3" s="1"/>
  <c r="Q415" i="3"/>
  <c r="Z415" i="3" s="1"/>
  <c r="Q414" i="3"/>
  <c r="Z414" i="3" s="1"/>
  <c r="Q413" i="3"/>
  <c r="Z413" i="3" s="1"/>
  <c r="Q412" i="3"/>
  <c r="Z412" i="3" s="1"/>
  <c r="Q411" i="3"/>
  <c r="Z411" i="3" s="1"/>
  <c r="Q410" i="3"/>
  <c r="Z410" i="3" s="1"/>
  <c r="Q409" i="3"/>
  <c r="Z409" i="3" s="1"/>
  <c r="Q408" i="3"/>
  <c r="Z408" i="3" s="1"/>
  <c r="Q407" i="3"/>
  <c r="Z407" i="3" s="1"/>
  <c r="Q406" i="3"/>
  <c r="Z406" i="3" s="1"/>
  <c r="Q405" i="3"/>
  <c r="Z405" i="3" s="1"/>
  <c r="Q404" i="3"/>
  <c r="Z404" i="3" s="1"/>
  <c r="Q403" i="3"/>
  <c r="Z403" i="3" s="1"/>
  <c r="Q402" i="3"/>
  <c r="Z402" i="3" s="1"/>
  <c r="Q401" i="3"/>
  <c r="Z401" i="3" s="1"/>
  <c r="Q400" i="3"/>
  <c r="Z400" i="3" s="1"/>
  <c r="Q399" i="3"/>
  <c r="Z399" i="3" s="1"/>
  <c r="Q398" i="3"/>
  <c r="Z398" i="3" s="1"/>
  <c r="Q397" i="3"/>
  <c r="Z397" i="3" s="1"/>
  <c r="Q396" i="3"/>
  <c r="Z396" i="3" s="1"/>
  <c r="Q395" i="3"/>
  <c r="Z395" i="3" s="1"/>
  <c r="Q394" i="3"/>
  <c r="Z394" i="3" s="1"/>
  <c r="Q393" i="3"/>
  <c r="Z393" i="3" s="1"/>
  <c r="Q392" i="3"/>
  <c r="Z392" i="3" s="1"/>
  <c r="Q391" i="3"/>
  <c r="Z391" i="3" s="1"/>
  <c r="Q390" i="3"/>
  <c r="Z390" i="3" s="1"/>
  <c r="Q389" i="3"/>
  <c r="Z389" i="3" s="1"/>
  <c r="Q388" i="3"/>
  <c r="Z388" i="3" s="1"/>
  <c r="Q387" i="3"/>
  <c r="Z387" i="3" s="1"/>
  <c r="Q386" i="3"/>
  <c r="Z386" i="3" s="1"/>
  <c r="Q385" i="3"/>
  <c r="Z385" i="3" s="1"/>
  <c r="Q384" i="3"/>
  <c r="Z384" i="3" s="1"/>
  <c r="Q383" i="3"/>
  <c r="Z383" i="3" s="1"/>
  <c r="Q382" i="3"/>
  <c r="Z382" i="3" s="1"/>
  <c r="Q381" i="3"/>
  <c r="Z381" i="3" s="1"/>
  <c r="Q380" i="3"/>
  <c r="Z380" i="3" s="1"/>
  <c r="Q379" i="3"/>
  <c r="Z379" i="3" s="1"/>
  <c r="Q378" i="3"/>
  <c r="Z378" i="3" s="1"/>
  <c r="Q377" i="3"/>
  <c r="Z377" i="3" s="1"/>
  <c r="Q376" i="3"/>
  <c r="Z376" i="3" s="1"/>
  <c r="Q375" i="3"/>
  <c r="Z375" i="3" s="1"/>
  <c r="Q374" i="3"/>
  <c r="Z374" i="3" s="1"/>
  <c r="Q373" i="3"/>
  <c r="Z373" i="3" s="1"/>
  <c r="Q372" i="3"/>
  <c r="Z372" i="3" s="1"/>
  <c r="Q371" i="3"/>
  <c r="Z371" i="3" s="1"/>
  <c r="Q370" i="3"/>
  <c r="Z370" i="3" s="1"/>
  <c r="Q369" i="3"/>
  <c r="Z369" i="3" s="1"/>
  <c r="Q368" i="3"/>
  <c r="Z368" i="3" s="1"/>
  <c r="Q367" i="3"/>
  <c r="Z367" i="3" s="1"/>
  <c r="Q366" i="3"/>
  <c r="Z366" i="3" s="1"/>
  <c r="Q365" i="3"/>
  <c r="Z365" i="3" s="1"/>
  <c r="Q364" i="3"/>
  <c r="Z364" i="3" s="1"/>
  <c r="Q363" i="3"/>
  <c r="Z363" i="3" s="1"/>
  <c r="Q362" i="3"/>
  <c r="Z362" i="3" s="1"/>
  <c r="Q361" i="3"/>
  <c r="Z361" i="3" s="1"/>
  <c r="Q360" i="3"/>
  <c r="Z360" i="3" s="1"/>
  <c r="Q359" i="3"/>
  <c r="Z359" i="3" s="1"/>
  <c r="Q358" i="3"/>
  <c r="Z358" i="3" s="1"/>
  <c r="Q357" i="3"/>
  <c r="Z357" i="3" s="1"/>
  <c r="Q356" i="3"/>
  <c r="Z356" i="3" s="1"/>
  <c r="Q355" i="3"/>
  <c r="Z355" i="3" s="1"/>
  <c r="Q354" i="3"/>
  <c r="Z354" i="3" s="1"/>
  <c r="Q353" i="3"/>
  <c r="Z353" i="3" s="1"/>
  <c r="Q352" i="3"/>
  <c r="Z352" i="3" s="1"/>
  <c r="Q351" i="3"/>
  <c r="Z351" i="3" s="1"/>
  <c r="Q350" i="3"/>
  <c r="Z350" i="3" s="1"/>
  <c r="Q349" i="3"/>
  <c r="Z349" i="3" s="1"/>
  <c r="Q348" i="3"/>
  <c r="Z348" i="3" s="1"/>
  <c r="Q347" i="3"/>
  <c r="Z347" i="3" s="1"/>
  <c r="Q346" i="3"/>
  <c r="Z346" i="3" s="1"/>
  <c r="Q345" i="3"/>
  <c r="Z345" i="3" s="1"/>
  <c r="Q344" i="3"/>
  <c r="Z344" i="3" s="1"/>
  <c r="Q343" i="3"/>
  <c r="Z343" i="3" s="1"/>
  <c r="Q342" i="3"/>
  <c r="Z342" i="3" s="1"/>
  <c r="Q341" i="3"/>
  <c r="Z341" i="3" s="1"/>
  <c r="Q340" i="3"/>
  <c r="Z340" i="3" s="1"/>
  <c r="Q339" i="3"/>
  <c r="Z339" i="3" s="1"/>
  <c r="Q338" i="3"/>
  <c r="Z338" i="3" s="1"/>
  <c r="Q337" i="3"/>
  <c r="Z337" i="3" s="1"/>
  <c r="Q336" i="3"/>
  <c r="Z336" i="3" s="1"/>
  <c r="Q335" i="3"/>
  <c r="Z335" i="3" s="1"/>
  <c r="Q334" i="3"/>
  <c r="Z334" i="3" s="1"/>
  <c r="Q333" i="3"/>
  <c r="Z333" i="3" s="1"/>
  <c r="Q332" i="3"/>
  <c r="Z332" i="3" s="1"/>
  <c r="Q331" i="3"/>
  <c r="Z331" i="3" s="1"/>
  <c r="Q330" i="3"/>
  <c r="Z330" i="3" s="1"/>
  <c r="Q329" i="3"/>
  <c r="Z329" i="3" s="1"/>
  <c r="Q328" i="3"/>
  <c r="Z328" i="3" s="1"/>
  <c r="Q327" i="3"/>
  <c r="Z327" i="3" s="1"/>
  <c r="Q326" i="3"/>
  <c r="Z326" i="3" s="1"/>
  <c r="Q325" i="3"/>
  <c r="Z325" i="3" s="1"/>
  <c r="Q324" i="3"/>
  <c r="Z324" i="3" s="1"/>
  <c r="Q323" i="3"/>
  <c r="Z323" i="3" s="1"/>
  <c r="Q322" i="3"/>
  <c r="Z322" i="3" s="1"/>
  <c r="Q321" i="3"/>
  <c r="Z321" i="3" s="1"/>
  <c r="Q320" i="3"/>
  <c r="Z320" i="3" s="1"/>
  <c r="Q319" i="3"/>
  <c r="Z319" i="3" s="1"/>
  <c r="Q318" i="3"/>
  <c r="Z318" i="3" s="1"/>
  <c r="Q317" i="3"/>
  <c r="Z317" i="3" s="1"/>
  <c r="Q316" i="3"/>
  <c r="Z316" i="3" s="1"/>
  <c r="Q315" i="3"/>
  <c r="Z315" i="3" s="1"/>
  <c r="Q314" i="3"/>
  <c r="Z314" i="3" s="1"/>
  <c r="Q313" i="3"/>
  <c r="Z313" i="3" s="1"/>
  <c r="Q312" i="3"/>
  <c r="Z312" i="3" s="1"/>
  <c r="Q311" i="3"/>
  <c r="Z311" i="3" s="1"/>
  <c r="Q310" i="3"/>
  <c r="Z310" i="3" s="1"/>
  <c r="Q309" i="3"/>
  <c r="Z309" i="3" s="1"/>
  <c r="Q308" i="3"/>
  <c r="Z308" i="3" s="1"/>
  <c r="Q307" i="3"/>
  <c r="Z307" i="3" s="1"/>
  <c r="Q306" i="3"/>
  <c r="Z306" i="3" s="1"/>
  <c r="Q305" i="3"/>
  <c r="Z305" i="3" s="1"/>
  <c r="Q304" i="3"/>
  <c r="Z304" i="3" s="1"/>
  <c r="Q303" i="3"/>
  <c r="Z303" i="3" s="1"/>
  <c r="Q302" i="3"/>
  <c r="Z302" i="3" s="1"/>
  <c r="Q301" i="3"/>
  <c r="Z301" i="3" s="1"/>
  <c r="Q300" i="3"/>
  <c r="Z300" i="3" s="1"/>
  <c r="Q299" i="3"/>
  <c r="Z299" i="3" s="1"/>
  <c r="Q298" i="3"/>
  <c r="Z298" i="3" s="1"/>
  <c r="Q297" i="3"/>
  <c r="Z297" i="3" s="1"/>
  <c r="Q296" i="3"/>
  <c r="Z296" i="3" s="1"/>
  <c r="Q295" i="3"/>
  <c r="Z295" i="3" s="1"/>
  <c r="Q294" i="3"/>
  <c r="Z294" i="3" s="1"/>
  <c r="Q293" i="3"/>
  <c r="Z293" i="3" s="1"/>
  <c r="Q292" i="3"/>
  <c r="Z292" i="3" s="1"/>
  <c r="Q291" i="3"/>
  <c r="Z291" i="3" s="1"/>
  <c r="Q290" i="3"/>
  <c r="Z290" i="3" s="1"/>
  <c r="Q289" i="3"/>
  <c r="Z289" i="3" s="1"/>
  <c r="Q288" i="3"/>
  <c r="Z288" i="3" s="1"/>
  <c r="Q287" i="3"/>
  <c r="Z287" i="3" s="1"/>
  <c r="Q286" i="3"/>
  <c r="Z286" i="3" s="1"/>
  <c r="Q285" i="3"/>
  <c r="Z285" i="3" s="1"/>
  <c r="Q284" i="3"/>
  <c r="Z284" i="3" s="1"/>
  <c r="Q283" i="3"/>
  <c r="Z283" i="3" s="1"/>
  <c r="Q282" i="3"/>
  <c r="Z282" i="3" s="1"/>
  <c r="Q281" i="3"/>
  <c r="Z281" i="3" s="1"/>
  <c r="Q280" i="3"/>
  <c r="Z280" i="3" s="1"/>
  <c r="Q279" i="3"/>
  <c r="Z279" i="3" s="1"/>
  <c r="Q278" i="3"/>
  <c r="Z278" i="3" s="1"/>
  <c r="Q277" i="3"/>
  <c r="Z277" i="3" s="1"/>
  <c r="Q276" i="3"/>
  <c r="Z276" i="3" s="1"/>
  <c r="Q275" i="3"/>
  <c r="Z275" i="3" s="1"/>
  <c r="Q274" i="3"/>
  <c r="Z274" i="3" s="1"/>
  <c r="Q273" i="3"/>
  <c r="Z273" i="3" s="1"/>
  <c r="Q272" i="3"/>
  <c r="Z272" i="3" s="1"/>
  <c r="Q271" i="3"/>
  <c r="Z271" i="3" s="1"/>
  <c r="Q270" i="3"/>
  <c r="Z270" i="3" s="1"/>
  <c r="Q269" i="3"/>
  <c r="Z269" i="3" s="1"/>
  <c r="Q268" i="3"/>
  <c r="Z268" i="3" s="1"/>
  <c r="Q267" i="3"/>
  <c r="Z267" i="3" s="1"/>
  <c r="Q266" i="3"/>
  <c r="Z266" i="3" s="1"/>
  <c r="Q265" i="3"/>
  <c r="Z265" i="3" s="1"/>
  <c r="Q264" i="3"/>
  <c r="Z264" i="3" s="1"/>
  <c r="Q263" i="3"/>
  <c r="Z263" i="3" s="1"/>
  <c r="Q262" i="3"/>
  <c r="Z262" i="3" s="1"/>
  <c r="Q261" i="3"/>
  <c r="Z261" i="3" s="1"/>
  <c r="Q260" i="3"/>
  <c r="Z260" i="3" s="1"/>
  <c r="Q259" i="3"/>
  <c r="Z259" i="3" s="1"/>
  <c r="Q258" i="3"/>
  <c r="Z258" i="3" s="1"/>
  <c r="Q257" i="3"/>
  <c r="Z257" i="3" s="1"/>
  <c r="Q256" i="3"/>
  <c r="Z256" i="3" s="1"/>
  <c r="Q255" i="3"/>
  <c r="Z255" i="3" s="1"/>
  <c r="Q254" i="3"/>
  <c r="Z254" i="3" s="1"/>
  <c r="Q253" i="3"/>
  <c r="Z253" i="3" s="1"/>
  <c r="Q252" i="3"/>
  <c r="Z252" i="3" s="1"/>
  <c r="Q251" i="3"/>
  <c r="Z251" i="3" s="1"/>
  <c r="Q250" i="3"/>
  <c r="Z250" i="3" s="1"/>
  <c r="Q249" i="3"/>
  <c r="Z249" i="3" s="1"/>
  <c r="Q248" i="3"/>
  <c r="Z248" i="3" s="1"/>
  <c r="Q247" i="3"/>
  <c r="Z247" i="3" s="1"/>
  <c r="Q246" i="3"/>
  <c r="Z246" i="3" s="1"/>
  <c r="Q245" i="3"/>
  <c r="Z245" i="3" s="1"/>
  <c r="Q244" i="3"/>
  <c r="Z244" i="3" s="1"/>
  <c r="Q243" i="3"/>
  <c r="Z243" i="3" s="1"/>
  <c r="Q242" i="3"/>
  <c r="Z242" i="3" s="1"/>
  <c r="Q241" i="3"/>
  <c r="Z241" i="3" s="1"/>
  <c r="Q240" i="3"/>
  <c r="Z240" i="3" s="1"/>
  <c r="Q239" i="3"/>
  <c r="Z239" i="3" s="1"/>
  <c r="Q238" i="3"/>
  <c r="Z238" i="3" s="1"/>
  <c r="Q237" i="3"/>
  <c r="Z237" i="3" s="1"/>
  <c r="Q236" i="3"/>
  <c r="Z236" i="3" s="1"/>
  <c r="Q235" i="3"/>
  <c r="Z235" i="3" s="1"/>
  <c r="Q234" i="3"/>
  <c r="Z234" i="3" s="1"/>
  <c r="Q233" i="3"/>
  <c r="Z233" i="3" s="1"/>
  <c r="Q232" i="3"/>
  <c r="Z232" i="3" s="1"/>
  <c r="Q231" i="3"/>
  <c r="Z231" i="3" s="1"/>
  <c r="Q230" i="3"/>
  <c r="Z230" i="3" s="1"/>
  <c r="Q229" i="3"/>
  <c r="Z229" i="3" s="1"/>
  <c r="Q228" i="3"/>
  <c r="Z228" i="3" s="1"/>
  <c r="Q227" i="3"/>
  <c r="Z227" i="3" s="1"/>
  <c r="Q226" i="3"/>
  <c r="Z226" i="3" s="1"/>
  <c r="Q225" i="3"/>
  <c r="Z225" i="3" s="1"/>
  <c r="Q224" i="3"/>
  <c r="Z224" i="3" s="1"/>
  <c r="Q223" i="3"/>
  <c r="Z223" i="3" s="1"/>
  <c r="Q222" i="3"/>
  <c r="Z222" i="3" s="1"/>
  <c r="Q221" i="3"/>
  <c r="Z221" i="3" s="1"/>
  <c r="Q220" i="3"/>
  <c r="Z220" i="3" s="1"/>
  <c r="Q219" i="3"/>
  <c r="Z219" i="3" s="1"/>
  <c r="Q218" i="3"/>
  <c r="Z218" i="3" s="1"/>
  <c r="Q217" i="3"/>
  <c r="Z217" i="3" s="1"/>
  <c r="Q216" i="3"/>
  <c r="Z216" i="3" s="1"/>
  <c r="Q215" i="3"/>
  <c r="Z215" i="3" s="1"/>
  <c r="Q214" i="3"/>
  <c r="Z214" i="3" s="1"/>
  <c r="Q213" i="3"/>
  <c r="Z213" i="3" s="1"/>
  <c r="Q212" i="3"/>
  <c r="Z212" i="3" s="1"/>
  <c r="Q211" i="3"/>
  <c r="Z211" i="3" s="1"/>
  <c r="Q210" i="3"/>
  <c r="Z210" i="3" s="1"/>
  <c r="Q209" i="3"/>
  <c r="Z209" i="3" s="1"/>
  <c r="Q208" i="3"/>
  <c r="Z208" i="3" s="1"/>
  <c r="Q207" i="3"/>
  <c r="Z207" i="3" s="1"/>
  <c r="Q206" i="3"/>
  <c r="Z206" i="3" s="1"/>
  <c r="Q205" i="3"/>
  <c r="Z205" i="3" s="1"/>
  <c r="Q204" i="3"/>
  <c r="Z204" i="3" s="1"/>
  <c r="Q203" i="3"/>
  <c r="Z203" i="3" s="1"/>
  <c r="Q202" i="3"/>
  <c r="Z202" i="3" s="1"/>
  <c r="Q201" i="3"/>
  <c r="Z201" i="3" s="1"/>
  <c r="Q200" i="3"/>
  <c r="Z200" i="3" s="1"/>
  <c r="Q199" i="3"/>
  <c r="Z199" i="3" s="1"/>
  <c r="Q198" i="3"/>
  <c r="Z198" i="3" s="1"/>
  <c r="Q197" i="3"/>
  <c r="Z197" i="3" s="1"/>
  <c r="Q196" i="3"/>
  <c r="Z196" i="3" s="1"/>
  <c r="Q195" i="3"/>
  <c r="Z195" i="3" s="1"/>
  <c r="Q194" i="3"/>
  <c r="Z194" i="3" s="1"/>
  <c r="Q193" i="3"/>
  <c r="Z193" i="3" s="1"/>
  <c r="Q192" i="3"/>
  <c r="Z192" i="3" s="1"/>
  <c r="Q191" i="3"/>
  <c r="Z191" i="3" s="1"/>
  <c r="Q190" i="3"/>
  <c r="Z190" i="3" s="1"/>
  <c r="Q189" i="3"/>
  <c r="Z189" i="3" s="1"/>
  <c r="Q188" i="3"/>
  <c r="Z188" i="3" s="1"/>
  <c r="Q187" i="3"/>
  <c r="Z187" i="3" s="1"/>
  <c r="Q186" i="3"/>
  <c r="Z186" i="3" s="1"/>
  <c r="Q185" i="3"/>
  <c r="Z185" i="3" s="1"/>
  <c r="Q184" i="3"/>
  <c r="Z184" i="3" s="1"/>
  <c r="Q183" i="3"/>
  <c r="Z183" i="3" s="1"/>
  <c r="Q182" i="3"/>
  <c r="Z182" i="3" s="1"/>
  <c r="Q181" i="3"/>
  <c r="Z181" i="3" s="1"/>
  <c r="Q180" i="3"/>
  <c r="Z180" i="3" s="1"/>
  <c r="Q179" i="3"/>
  <c r="Z179" i="3" s="1"/>
  <c r="Q178" i="3"/>
  <c r="Z178" i="3" s="1"/>
  <c r="Q177" i="3"/>
  <c r="Z177" i="3" s="1"/>
  <c r="Q176" i="3"/>
  <c r="Z176" i="3" s="1"/>
  <c r="Q175" i="3"/>
  <c r="Z175" i="3" s="1"/>
  <c r="Q174" i="3"/>
  <c r="Z174" i="3" s="1"/>
  <c r="Q173" i="3"/>
  <c r="Z173" i="3" s="1"/>
  <c r="Q172" i="3"/>
  <c r="Z172" i="3" s="1"/>
  <c r="Q171" i="3"/>
  <c r="Z171" i="3" s="1"/>
  <c r="Q170" i="3"/>
  <c r="Z170" i="3" s="1"/>
  <c r="Q169" i="3"/>
  <c r="Z169" i="3" s="1"/>
  <c r="Q168" i="3"/>
  <c r="Z168" i="3" s="1"/>
  <c r="Q167" i="3"/>
  <c r="Z167" i="3" s="1"/>
  <c r="Q166" i="3"/>
  <c r="Z166" i="3" s="1"/>
  <c r="Q165" i="3"/>
  <c r="Z165" i="3" s="1"/>
  <c r="Q164" i="3"/>
  <c r="Z164" i="3" s="1"/>
  <c r="Q163" i="3"/>
  <c r="Z163" i="3" s="1"/>
  <c r="Q162" i="3"/>
  <c r="Z162" i="3" s="1"/>
  <c r="Q161" i="3"/>
  <c r="Z161" i="3" s="1"/>
  <c r="Q160" i="3"/>
  <c r="Z160" i="3" s="1"/>
  <c r="Q159" i="3"/>
  <c r="Z159" i="3" s="1"/>
  <c r="Q158" i="3"/>
  <c r="Z158" i="3" s="1"/>
  <c r="Q157" i="3"/>
  <c r="Z157" i="3" s="1"/>
  <c r="Q156" i="3"/>
  <c r="Z156" i="3" s="1"/>
  <c r="Q155" i="3"/>
  <c r="Z155" i="3" s="1"/>
  <c r="Q154" i="3"/>
  <c r="Z154" i="3" s="1"/>
  <c r="Q153" i="3"/>
  <c r="Z153" i="3" s="1"/>
  <c r="Q152" i="3"/>
  <c r="Z152" i="3" s="1"/>
  <c r="Q151" i="3"/>
  <c r="Z151" i="3" s="1"/>
  <c r="Q150" i="3"/>
  <c r="Z150" i="3" s="1"/>
  <c r="Q149" i="3"/>
  <c r="Z149" i="3" s="1"/>
  <c r="Q148" i="3"/>
  <c r="Z148" i="3" s="1"/>
  <c r="Q147" i="3"/>
  <c r="Z147" i="3" s="1"/>
  <c r="Q146" i="3"/>
  <c r="Z146" i="3" s="1"/>
  <c r="Q145" i="3"/>
  <c r="Z145" i="3" s="1"/>
  <c r="Q144" i="3"/>
  <c r="Z144" i="3" s="1"/>
  <c r="Q143" i="3"/>
  <c r="Z143" i="3" s="1"/>
  <c r="Q142" i="3"/>
  <c r="Z142" i="3" s="1"/>
  <c r="Q141" i="3"/>
  <c r="Z141" i="3" s="1"/>
  <c r="Q140" i="3"/>
  <c r="Z140" i="3" s="1"/>
  <c r="Q139" i="3"/>
  <c r="Z139" i="3" s="1"/>
  <c r="Q138" i="3"/>
  <c r="Z138" i="3" s="1"/>
  <c r="Q137" i="3"/>
  <c r="Z137" i="3" s="1"/>
  <c r="Q136" i="3"/>
  <c r="Z136" i="3" s="1"/>
  <c r="Q135" i="3"/>
  <c r="Z135" i="3" s="1"/>
  <c r="Q134" i="3"/>
  <c r="Z134" i="3" s="1"/>
  <c r="Q133" i="3"/>
  <c r="Z133" i="3" s="1"/>
  <c r="Q132" i="3"/>
  <c r="Z132" i="3" s="1"/>
  <c r="Q131" i="3"/>
  <c r="Z131" i="3" s="1"/>
  <c r="Q130" i="3"/>
  <c r="Z130" i="3" s="1"/>
  <c r="Q129" i="3"/>
  <c r="Z129" i="3" s="1"/>
  <c r="Q128" i="3"/>
  <c r="Z128" i="3" s="1"/>
  <c r="Q127" i="3"/>
  <c r="Z127" i="3" s="1"/>
  <c r="Q126" i="3"/>
  <c r="Z126" i="3" s="1"/>
  <c r="Q125" i="3"/>
  <c r="Z125" i="3" s="1"/>
  <c r="Q124" i="3"/>
  <c r="Z124" i="3" s="1"/>
  <c r="Q123" i="3"/>
  <c r="Z123" i="3" s="1"/>
  <c r="Q122" i="3"/>
  <c r="Z122" i="3" s="1"/>
  <c r="Q121" i="3"/>
  <c r="Z121" i="3" s="1"/>
  <c r="Q120" i="3"/>
  <c r="Z120" i="3" s="1"/>
  <c r="Q119" i="3"/>
  <c r="Z119" i="3" s="1"/>
  <c r="Q118" i="3"/>
  <c r="Z118" i="3" s="1"/>
  <c r="Q117" i="3"/>
  <c r="Z117" i="3" s="1"/>
  <c r="Q116" i="3"/>
  <c r="Z116" i="3" s="1"/>
  <c r="Q115" i="3"/>
  <c r="Z115" i="3" s="1"/>
  <c r="Q114" i="3"/>
  <c r="Z114" i="3" s="1"/>
  <c r="Q113" i="3"/>
  <c r="Z113" i="3" s="1"/>
  <c r="Q112" i="3"/>
  <c r="Z112" i="3" s="1"/>
  <c r="Q111" i="3"/>
  <c r="Z111" i="3" s="1"/>
  <c r="Q110" i="3"/>
  <c r="Z110" i="3" s="1"/>
  <c r="Q109" i="3"/>
  <c r="Z109" i="3" s="1"/>
  <c r="Q108" i="3"/>
  <c r="Z108" i="3" s="1"/>
  <c r="Q107" i="3"/>
  <c r="Z107" i="3" s="1"/>
  <c r="Q106" i="3"/>
  <c r="Z106" i="3" s="1"/>
  <c r="Q105" i="3"/>
  <c r="Z105" i="3" s="1"/>
  <c r="Q104" i="3"/>
  <c r="Z104" i="3" s="1"/>
  <c r="Q103" i="3"/>
  <c r="Z103" i="3" s="1"/>
  <c r="Q102" i="3"/>
  <c r="Z102" i="3" s="1"/>
  <c r="Q101" i="3"/>
  <c r="Z101" i="3" s="1"/>
  <c r="Q100" i="3"/>
  <c r="Z100" i="3" s="1"/>
  <c r="Q99" i="3"/>
  <c r="Z99" i="3" s="1"/>
  <c r="Q98" i="3"/>
  <c r="Z98" i="3" s="1"/>
  <c r="Q97" i="3"/>
  <c r="Z97" i="3" s="1"/>
  <c r="Q96" i="3"/>
  <c r="Z96" i="3" s="1"/>
  <c r="Q95" i="3"/>
  <c r="Z95" i="3" s="1"/>
  <c r="Q94" i="3"/>
  <c r="Z94" i="3" s="1"/>
  <c r="Q93" i="3"/>
  <c r="Z93" i="3" s="1"/>
  <c r="Q92" i="3"/>
  <c r="Z92" i="3" s="1"/>
  <c r="Q91" i="3"/>
  <c r="Z91" i="3" s="1"/>
  <c r="Q90" i="3"/>
  <c r="Z90" i="3" s="1"/>
  <c r="Q89" i="3"/>
  <c r="Z89" i="3" s="1"/>
  <c r="Q88" i="3"/>
  <c r="Z88" i="3" s="1"/>
  <c r="Q87" i="3"/>
  <c r="Z87" i="3" s="1"/>
  <c r="Q86" i="3"/>
  <c r="Z86" i="3" s="1"/>
  <c r="Q85" i="3"/>
  <c r="Z85" i="3" s="1"/>
  <c r="Q84" i="3"/>
  <c r="Z84" i="3" s="1"/>
  <c r="Q83" i="3"/>
  <c r="Z83" i="3" s="1"/>
  <c r="Q82" i="3"/>
  <c r="Z82" i="3" s="1"/>
  <c r="Q81" i="3"/>
  <c r="Z81" i="3" s="1"/>
  <c r="Q80" i="3"/>
  <c r="Z80" i="3" s="1"/>
  <c r="Q79" i="3"/>
  <c r="Z79" i="3" s="1"/>
  <c r="Q78" i="3"/>
  <c r="Z78" i="3" s="1"/>
  <c r="Q77" i="3"/>
  <c r="Z77" i="3" s="1"/>
  <c r="Q76" i="3"/>
  <c r="Z76" i="3" s="1"/>
  <c r="Q75" i="3"/>
  <c r="Z75" i="3" s="1"/>
  <c r="Q74" i="3"/>
  <c r="Z74" i="3" s="1"/>
  <c r="Q73" i="3"/>
  <c r="Z73" i="3" s="1"/>
  <c r="Q72" i="3"/>
  <c r="Z72" i="3" s="1"/>
  <c r="Q71" i="3"/>
  <c r="Z71" i="3" s="1"/>
  <c r="Q70" i="3"/>
  <c r="Z70" i="3" s="1"/>
  <c r="Q69" i="3"/>
  <c r="Z69" i="3" s="1"/>
  <c r="Q68" i="3"/>
  <c r="Z68" i="3" s="1"/>
  <c r="Q67" i="3"/>
  <c r="Z67" i="3" s="1"/>
  <c r="Q66" i="3"/>
  <c r="Z66" i="3" s="1"/>
  <c r="Q65" i="3"/>
  <c r="Z65" i="3" s="1"/>
  <c r="Q64" i="3"/>
  <c r="Z64" i="3" s="1"/>
  <c r="Q63" i="3"/>
  <c r="Z63" i="3" s="1"/>
  <c r="Q62" i="3"/>
  <c r="Z62" i="3" s="1"/>
  <c r="Q61" i="3"/>
  <c r="Z61" i="3" s="1"/>
  <c r="Q60" i="3"/>
  <c r="Z60" i="3" s="1"/>
  <c r="Q59" i="3"/>
  <c r="Z59" i="3" s="1"/>
  <c r="Q58" i="3"/>
  <c r="Z58" i="3" s="1"/>
  <c r="Q57" i="3"/>
  <c r="Z57" i="3" s="1"/>
  <c r="Q56" i="3"/>
  <c r="Z56" i="3" s="1"/>
  <c r="Q55" i="3"/>
  <c r="Z55" i="3" s="1"/>
  <c r="Q54" i="3"/>
  <c r="Z54" i="3" s="1"/>
  <c r="Q53" i="3"/>
  <c r="Z53" i="3" s="1"/>
  <c r="Q52" i="3"/>
  <c r="Z52" i="3" s="1"/>
  <c r="Q51" i="3"/>
  <c r="Z51" i="3" s="1"/>
  <c r="Q50" i="3"/>
  <c r="Z50" i="3" s="1"/>
  <c r="Q49" i="3"/>
  <c r="Z49" i="3" s="1"/>
  <c r="Q48" i="3"/>
  <c r="Z48" i="3" s="1"/>
  <c r="Q47" i="3"/>
  <c r="Z47" i="3" s="1"/>
  <c r="Q46" i="3"/>
  <c r="Z46" i="3" s="1"/>
  <c r="Q45" i="3"/>
  <c r="Z45" i="3" s="1"/>
  <c r="Q44" i="3"/>
  <c r="Z44" i="3" s="1"/>
  <c r="Q43" i="3"/>
  <c r="Z43" i="3" s="1"/>
  <c r="Q42" i="3"/>
  <c r="Z42" i="3" s="1"/>
  <c r="Q41" i="3"/>
  <c r="Z41" i="3" s="1"/>
  <c r="Q40" i="3"/>
  <c r="Z40" i="3" s="1"/>
  <c r="Q39" i="3"/>
  <c r="Z39" i="3" s="1"/>
  <c r="Q38" i="3"/>
  <c r="Z38" i="3" s="1"/>
  <c r="Q37" i="3"/>
  <c r="Z37" i="3" s="1"/>
  <c r="Q36" i="3"/>
  <c r="Z36" i="3" s="1"/>
  <c r="Q35" i="3"/>
  <c r="Z35" i="3" s="1"/>
  <c r="Q34" i="3"/>
  <c r="Z34" i="3" s="1"/>
  <c r="Q33" i="3"/>
  <c r="Z33" i="3" s="1"/>
  <c r="Q32" i="3"/>
  <c r="Z32" i="3" s="1"/>
  <c r="Q31" i="3"/>
  <c r="Z31" i="3" s="1"/>
  <c r="Q30" i="3"/>
  <c r="Z30" i="3" s="1"/>
  <c r="Q29" i="3"/>
  <c r="Z29" i="3" s="1"/>
  <c r="Q28" i="3"/>
  <c r="Z28" i="3" s="1"/>
  <c r="Q27" i="3"/>
  <c r="Z27" i="3" s="1"/>
  <c r="Q26" i="3"/>
  <c r="Z26" i="3" s="1"/>
  <c r="Q25" i="3"/>
  <c r="Z25" i="3" s="1"/>
  <c r="Q24" i="3"/>
  <c r="Z24" i="3" s="1"/>
  <c r="Q23" i="3"/>
  <c r="Z23" i="3" s="1"/>
  <c r="Q22" i="3"/>
  <c r="Z22" i="3" s="1"/>
  <c r="Q21" i="3"/>
  <c r="Z21" i="3" s="1"/>
  <c r="Q20" i="3"/>
  <c r="Z20" i="3" s="1"/>
  <c r="Q19" i="3"/>
  <c r="Z19" i="3" s="1"/>
  <c r="Q18" i="3"/>
  <c r="Z18" i="3" s="1"/>
  <c r="Q17" i="3"/>
  <c r="Z17" i="3" s="1"/>
  <c r="Q16" i="3"/>
  <c r="Z16" i="3" s="1"/>
  <c r="Q15" i="3"/>
  <c r="Z15" i="3" s="1"/>
  <c r="Q14" i="3"/>
  <c r="Z14" i="3" s="1"/>
  <c r="Q13" i="3"/>
  <c r="Z13" i="3" s="1"/>
  <c r="Q12" i="3"/>
  <c r="Z12" i="3" s="1"/>
  <c r="Q11" i="3"/>
  <c r="Z11" i="3" s="1"/>
  <c r="Q10" i="3"/>
  <c r="Z10" i="3" s="1"/>
  <c r="Q9" i="3"/>
  <c r="Z9" i="3" s="1"/>
  <c r="Q8" i="3"/>
  <c r="Z8" i="3" s="1"/>
  <c r="Q7" i="3"/>
  <c r="Z7" i="3" s="1"/>
  <c r="Q6" i="3"/>
  <c r="Z6" i="3" s="1"/>
  <c r="Q5" i="3"/>
  <c r="Z5" i="3" s="1"/>
  <c r="Q4" i="3"/>
  <c r="Z4" i="3" s="1"/>
  <c r="Q3" i="3"/>
  <c r="Z3" i="3" s="1"/>
  <c r="Q2" i="3"/>
  <c r="Z2" i="3" s="1"/>
  <c r="P1307" i="3"/>
  <c r="Y1307" i="3" s="1"/>
  <c r="P1306" i="3"/>
  <c r="Y1306" i="3" s="1"/>
  <c r="P1305" i="3"/>
  <c r="Y1305" i="3" s="1"/>
  <c r="P1304" i="3"/>
  <c r="Y1304" i="3" s="1"/>
  <c r="P1303" i="3"/>
  <c r="Y1303" i="3" s="1"/>
  <c r="P1302" i="3"/>
  <c r="Y1302" i="3" s="1"/>
  <c r="P1301" i="3"/>
  <c r="Y1301" i="3" s="1"/>
  <c r="P1300" i="3"/>
  <c r="Y1300" i="3" s="1"/>
  <c r="P1299" i="3"/>
  <c r="Y1299" i="3" s="1"/>
  <c r="P1298" i="3"/>
  <c r="Y1298" i="3" s="1"/>
  <c r="P1297" i="3"/>
  <c r="Y1297" i="3" s="1"/>
  <c r="P1296" i="3"/>
  <c r="Y1296" i="3" s="1"/>
  <c r="P1295" i="3"/>
  <c r="Y1295" i="3" s="1"/>
  <c r="P1294" i="3"/>
  <c r="Y1294" i="3" s="1"/>
  <c r="P1293" i="3"/>
  <c r="Y1293" i="3" s="1"/>
  <c r="P1292" i="3"/>
  <c r="Y1292" i="3" s="1"/>
  <c r="P1291" i="3"/>
  <c r="Y1291" i="3" s="1"/>
  <c r="P1290" i="3"/>
  <c r="Y1290" i="3" s="1"/>
  <c r="P1289" i="3"/>
  <c r="Y1289" i="3" s="1"/>
  <c r="P1288" i="3"/>
  <c r="Y1288" i="3" s="1"/>
  <c r="P1287" i="3"/>
  <c r="Y1287" i="3" s="1"/>
  <c r="P1286" i="3"/>
  <c r="Y1286" i="3" s="1"/>
  <c r="P1285" i="3"/>
  <c r="Y1285" i="3" s="1"/>
  <c r="P1284" i="3"/>
  <c r="Y1284" i="3" s="1"/>
  <c r="P1283" i="3"/>
  <c r="Y1283" i="3" s="1"/>
  <c r="P1282" i="3"/>
  <c r="Y1282" i="3" s="1"/>
  <c r="P1281" i="3"/>
  <c r="Y1281" i="3" s="1"/>
  <c r="P1280" i="3"/>
  <c r="Y1280" i="3" s="1"/>
  <c r="P1279" i="3"/>
  <c r="Y1279" i="3" s="1"/>
  <c r="P1278" i="3"/>
  <c r="Y1278" i="3" s="1"/>
  <c r="P1277" i="3"/>
  <c r="Y1277" i="3" s="1"/>
  <c r="P1276" i="3"/>
  <c r="Y1276" i="3" s="1"/>
  <c r="P1275" i="3"/>
  <c r="Y1275" i="3" s="1"/>
  <c r="P1274" i="3"/>
  <c r="Y1274" i="3" s="1"/>
  <c r="P1273" i="3"/>
  <c r="Y1273" i="3" s="1"/>
  <c r="P1272" i="3"/>
  <c r="Y1272" i="3" s="1"/>
  <c r="P1271" i="3"/>
  <c r="Y1271" i="3" s="1"/>
  <c r="P1270" i="3"/>
  <c r="Y1270" i="3" s="1"/>
  <c r="P1269" i="3"/>
  <c r="Y1269" i="3" s="1"/>
  <c r="P1268" i="3"/>
  <c r="Y1268" i="3" s="1"/>
  <c r="P1267" i="3"/>
  <c r="Y1267" i="3" s="1"/>
  <c r="P1266" i="3"/>
  <c r="Y1266" i="3" s="1"/>
  <c r="P1265" i="3"/>
  <c r="Y1265" i="3" s="1"/>
  <c r="P1264" i="3"/>
  <c r="Y1264" i="3" s="1"/>
  <c r="P1263" i="3"/>
  <c r="Y1263" i="3" s="1"/>
  <c r="P1262" i="3"/>
  <c r="Y1262" i="3" s="1"/>
  <c r="P1261" i="3"/>
  <c r="Y1261" i="3" s="1"/>
  <c r="P1260" i="3"/>
  <c r="Y1260" i="3" s="1"/>
  <c r="P1259" i="3"/>
  <c r="Y1259" i="3" s="1"/>
  <c r="P1258" i="3"/>
  <c r="Y1258" i="3" s="1"/>
  <c r="P1257" i="3"/>
  <c r="Y1257" i="3" s="1"/>
  <c r="P1256" i="3"/>
  <c r="Y1256" i="3" s="1"/>
  <c r="P1255" i="3"/>
  <c r="Y1255" i="3" s="1"/>
  <c r="P1254" i="3"/>
  <c r="Y1254" i="3" s="1"/>
  <c r="P1253" i="3"/>
  <c r="Y1253" i="3" s="1"/>
  <c r="P1252" i="3"/>
  <c r="Y1252" i="3" s="1"/>
  <c r="P1251" i="3"/>
  <c r="Y1251" i="3" s="1"/>
  <c r="P1250" i="3"/>
  <c r="Y1250" i="3" s="1"/>
  <c r="P1249" i="3"/>
  <c r="Y1249" i="3" s="1"/>
  <c r="P1248" i="3"/>
  <c r="Y1248" i="3" s="1"/>
  <c r="P1247" i="3"/>
  <c r="Y1247" i="3" s="1"/>
  <c r="P1246" i="3"/>
  <c r="Y1246" i="3" s="1"/>
  <c r="P1245" i="3"/>
  <c r="Y1245" i="3" s="1"/>
  <c r="P1244" i="3"/>
  <c r="Y1244" i="3" s="1"/>
  <c r="P1243" i="3"/>
  <c r="Y1243" i="3" s="1"/>
  <c r="P1242" i="3"/>
  <c r="Y1242" i="3" s="1"/>
  <c r="P1241" i="3"/>
  <c r="Y1241" i="3" s="1"/>
  <c r="P1240" i="3"/>
  <c r="Y1240" i="3" s="1"/>
  <c r="P1239" i="3"/>
  <c r="Y1239" i="3" s="1"/>
  <c r="P1238" i="3"/>
  <c r="Y1238" i="3" s="1"/>
  <c r="P1237" i="3"/>
  <c r="Y1237" i="3" s="1"/>
  <c r="P1236" i="3"/>
  <c r="Y1236" i="3" s="1"/>
  <c r="P1235" i="3"/>
  <c r="Y1235" i="3" s="1"/>
  <c r="P1234" i="3"/>
  <c r="Y1234" i="3" s="1"/>
  <c r="P1233" i="3"/>
  <c r="Y1233" i="3" s="1"/>
  <c r="P1232" i="3"/>
  <c r="Y1232" i="3" s="1"/>
  <c r="P1231" i="3"/>
  <c r="Y1231" i="3" s="1"/>
  <c r="P1230" i="3"/>
  <c r="Y1230" i="3" s="1"/>
  <c r="P1229" i="3"/>
  <c r="Y1229" i="3" s="1"/>
  <c r="P1228" i="3"/>
  <c r="Y1228" i="3" s="1"/>
  <c r="P1227" i="3"/>
  <c r="Y1227" i="3" s="1"/>
  <c r="P1226" i="3"/>
  <c r="Y1226" i="3" s="1"/>
  <c r="P1225" i="3"/>
  <c r="Y1225" i="3" s="1"/>
  <c r="P1224" i="3"/>
  <c r="Y1224" i="3" s="1"/>
  <c r="P1223" i="3"/>
  <c r="Y1223" i="3" s="1"/>
  <c r="P1222" i="3"/>
  <c r="Y1222" i="3" s="1"/>
  <c r="P1221" i="3"/>
  <c r="Y1221" i="3" s="1"/>
  <c r="P1220" i="3"/>
  <c r="Y1220" i="3" s="1"/>
  <c r="P1219" i="3"/>
  <c r="Y1219" i="3" s="1"/>
  <c r="P1218" i="3"/>
  <c r="Y1218" i="3" s="1"/>
  <c r="P1217" i="3"/>
  <c r="Y1217" i="3" s="1"/>
  <c r="P1216" i="3"/>
  <c r="Y1216" i="3" s="1"/>
  <c r="P1215" i="3"/>
  <c r="Y1215" i="3" s="1"/>
  <c r="P1214" i="3"/>
  <c r="Y1214" i="3" s="1"/>
  <c r="P1213" i="3"/>
  <c r="Y1213" i="3" s="1"/>
  <c r="P1212" i="3"/>
  <c r="Y1212" i="3" s="1"/>
  <c r="P1211" i="3"/>
  <c r="Y1211" i="3" s="1"/>
  <c r="P1210" i="3"/>
  <c r="Y1210" i="3" s="1"/>
  <c r="P1209" i="3"/>
  <c r="Y1209" i="3" s="1"/>
  <c r="P1208" i="3"/>
  <c r="Y1208" i="3" s="1"/>
  <c r="P1207" i="3"/>
  <c r="Y1207" i="3" s="1"/>
  <c r="P1206" i="3"/>
  <c r="Y1206" i="3" s="1"/>
  <c r="P1205" i="3"/>
  <c r="Y1205" i="3" s="1"/>
  <c r="P1204" i="3"/>
  <c r="Y1204" i="3" s="1"/>
  <c r="P1203" i="3"/>
  <c r="Y1203" i="3" s="1"/>
  <c r="P1202" i="3"/>
  <c r="Y1202" i="3" s="1"/>
  <c r="P1201" i="3"/>
  <c r="Y1201" i="3" s="1"/>
  <c r="P1200" i="3"/>
  <c r="Y1200" i="3" s="1"/>
  <c r="P1199" i="3"/>
  <c r="Y1199" i="3" s="1"/>
  <c r="P1198" i="3"/>
  <c r="Y1198" i="3" s="1"/>
  <c r="P1197" i="3"/>
  <c r="Y1197" i="3" s="1"/>
  <c r="P1196" i="3"/>
  <c r="Y1196" i="3" s="1"/>
  <c r="P1195" i="3"/>
  <c r="Y1195" i="3" s="1"/>
  <c r="P1194" i="3"/>
  <c r="Y1194" i="3" s="1"/>
  <c r="P1193" i="3"/>
  <c r="Y1193" i="3" s="1"/>
  <c r="P1192" i="3"/>
  <c r="Y1192" i="3" s="1"/>
  <c r="P1191" i="3"/>
  <c r="Y1191" i="3" s="1"/>
  <c r="P1190" i="3"/>
  <c r="Y1190" i="3" s="1"/>
  <c r="P1189" i="3"/>
  <c r="Y1189" i="3" s="1"/>
  <c r="P1188" i="3"/>
  <c r="Y1188" i="3" s="1"/>
  <c r="P1187" i="3"/>
  <c r="Y1187" i="3" s="1"/>
  <c r="P1186" i="3"/>
  <c r="Y1186" i="3" s="1"/>
  <c r="P1185" i="3"/>
  <c r="Y1185" i="3" s="1"/>
  <c r="P1184" i="3"/>
  <c r="Y1184" i="3" s="1"/>
  <c r="P1183" i="3"/>
  <c r="Y1183" i="3" s="1"/>
  <c r="P1182" i="3"/>
  <c r="Y1182" i="3" s="1"/>
  <c r="P1181" i="3"/>
  <c r="Y1181" i="3" s="1"/>
  <c r="P1180" i="3"/>
  <c r="Y1180" i="3" s="1"/>
  <c r="P1179" i="3"/>
  <c r="Y1179" i="3" s="1"/>
  <c r="P1178" i="3"/>
  <c r="Y1178" i="3" s="1"/>
  <c r="P1177" i="3"/>
  <c r="Y1177" i="3" s="1"/>
  <c r="P1176" i="3"/>
  <c r="Y1176" i="3" s="1"/>
  <c r="P1175" i="3"/>
  <c r="Y1175" i="3" s="1"/>
  <c r="P1174" i="3"/>
  <c r="Y1174" i="3" s="1"/>
  <c r="P1173" i="3"/>
  <c r="Y1173" i="3" s="1"/>
  <c r="P1172" i="3"/>
  <c r="Y1172" i="3" s="1"/>
  <c r="P1171" i="3"/>
  <c r="Y1171" i="3" s="1"/>
  <c r="P1170" i="3"/>
  <c r="Y1170" i="3" s="1"/>
  <c r="P1169" i="3"/>
  <c r="Y1169" i="3" s="1"/>
  <c r="P1168" i="3"/>
  <c r="Y1168" i="3" s="1"/>
  <c r="P1167" i="3"/>
  <c r="Y1167" i="3" s="1"/>
  <c r="P1166" i="3"/>
  <c r="Y1166" i="3" s="1"/>
  <c r="P1165" i="3"/>
  <c r="Y1165" i="3" s="1"/>
  <c r="P1164" i="3"/>
  <c r="Y1164" i="3" s="1"/>
  <c r="P1163" i="3"/>
  <c r="Y1163" i="3" s="1"/>
  <c r="P1162" i="3"/>
  <c r="Y1162" i="3" s="1"/>
  <c r="P1161" i="3"/>
  <c r="Y1161" i="3" s="1"/>
  <c r="P1160" i="3"/>
  <c r="Y1160" i="3" s="1"/>
  <c r="P1159" i="3"/>
  <c r="Y1159" i="3" s="1"/>
  <c r="P1158" i="3"/>
  <c r="Y1158" i="3" s="1"/>
  <c r="P1157" i="3"/>
  <c r="Y1157" i="3" s="1"/>
  <c r="P1156" i="3"/>
  <c r="Y1156" i="3" s="1"/>
  <c r="P1155" i="3"/>
  <c r="Y1155" i="3" s="1"/>
  <c r="P1154" i="3"/>
  <c r="Y1154" i="3" s="1"/>
  <c r="P1153" i="3"/>
  <c r="Y1153" i="3" s="1"/>
  <c r="P1152" i="3"/>
  <c r="Y1152" i="3" s="1"/>
  <c r="P1151" i="3"/>
  <c r="Y1151" i="3" s="1"/>
  <c r="P1150" i="3"/>
  <c r="Y1150" i="3" s="1"/>
  <c r="P1149" i="3"/>
  <c r="Y1149" i="3" s="1"/>
  <c r="P1148" i="3"/>
  <c r="Y1148" i="3" s="1"/>
  <c r="P1147" i="3"/>
  <c r="Y1147" i="3" s="1"/>
  <c r="P1146" i="3"/>
  <c r="Y1146" i="3" s="1"/>
  <c r="P1145" i="3"/>
  <c r="Y1145" i="3" s="1"/>
  <c r="P1144" i="3"/>
  <c r="Y1144" i="3" s="1"/>
  <c r="P1143" i="3"/>
  <c r="Y1143" i="3" s="1"/>
  <c r="P1142" i="3"/>
  <c r="Y1142" i="3" s="1"/>
  <c r="P1141" i="3"/>
  <c r="Y1141" i="3" s="1"/>
  <c r="P1140" i="3"/>
  <c r="Y1140" i="3" s="1"/>
  <c r="P1139" i="3"/>
  <c r="Y1139" i="3" s="1"/>
  <c r="P1138" i="3"/>
  <c r="Y1138" i="3" s="1"/>
  <c r="P1137" i="3"/>
  <c r="Y1137" i="3" s="1"/>
  <c r="P1136" i="3"/>
  <c r="Y1136" i="3" s="1"/>
  <c r="P1135" i="3"/>
  <c r="Y1135" i="3" s="1"/>
  <c r="P1134" i="3"/>
  <c r="Y1134" i="3" s="1"/>
  <c r="P1133" i="3"/>
  <c r="Y1133" i="3" s="1"/>
  <c r="P1132" i="3"/>
  <c r="Y1132" i="3" s="1"/>
  <c r="P1131" i="3"/>
  <c r="Y1131" i="3" s="1"/>
  <c r="P1130" i="3"/>
  <c r="Y1130" i="3" s="1"/>
  <c r="P1129" i="3"/>
  <c r="Y1129" i="3" s="1"/>
  <c r="P1128" i="3"/>
  <c r="Y1128" i="3" s="1"/>
  <c r="P1127" i="3"/>
  <c r="Y1127" i="3" s="1"/>
  <c r="P1126" i="3"/>
  <c r="Y1126" i="3" s="1"/>
  <c r="P1125" i="3"/>
  <c r="Y1125" i="3" s="1"/>
  <c r="P1124" i="3"/>
  <c r="Y1124" i="3" s="1"/>
  <c r="P1123" i="3"/>
  <c r="Y1123" i="3" s="1"/>
  <c r="P1122" i="3"/>
  <c r="Y1122" i="3" s="1"/>
  <c r="P1121" i="3"/>
  <c r="Y1121" i="3" s="1"/>
  <c r="P1120" i="3"/>
  <c r="Y1120" i="3" s="1"/>
  <c r="P1119" i="3"/>
  <c r="Y1119" i="3" s="1"/>
  <c r="P1118" i="3"/>
  <c r="Y1118" i="3" s="1"/>
  <c r="P1117" i="3"/>
  <c r="Y1117" i="3" s="1"/>
  <c r="P1116" i="3"/>
  <c r="Y1116" i="3" s="1"/>
  <c r="P1115" i="3"/>
  <c r="Y1115" i="3" s="1"/>
  <c r="P1114" i="3"/>
  <c r="Y1114" i="3" s="1"/>
  <c r="P1113" i="3"/>
  <c r="Y1113" i="3" s="1"/>
  <c r="P1112" i="3"/>
  <c r="Y1112" i="3" s="1"/>
  <c r="P1111" i="3"/>
  <c r="Y1111" i="3" s="1"/>
  <c r="P1110" i="3"/>
  <c r="Y1110" i="3" s="1"/>
  <c r="P1109" i="3"/>
  <c r="Y1109" i="3" s="1"/>
  <c r="P1108" i="3"/>
  <c r="Y1108" i="3" s="1"/>
  <c r="P1107" i="3"/>
  <c r="Y1107" i="3" s="1"/>
  <c r="P1106" i="3"/>
  <c r="Y1106" i="3" s="1"/>
  <c r="P1105" i="3"/>
  <c r="Y1105" i="3" s="1"/>
  <c r="P1104" i="3"/>
  <c r="Y1104" i="3" s="1"/>
  <c r="P1103" i="3"/>
  <c r="Y1103" i="3" s="1"/>
  <c r="P1102" i="3"/>
  <c r="Y1102" i="3" s="1"/>
  <c r="P1101" i="3"/>
  <c r="Y1101" i="3" s="1"/>
  <c r="P1100" i="3"/>
  <c r="Y1100" i="3" s="1"/>
  <c r="P1099" i="3"/>
  <c r="Y1099" i="3" s="1"/>
  <c r="P1098" i="3"/>
  <c r="Y1098" i="3" s="1"/>
  <c r="P1097" i="3"/>
  <c r="Y1097" i="3" s="1"/>
  <c r="P1096" i="3"/>
  <c r="Y1096" i="3" s="1"/>
  <c r="P1095" i="3"/>
  <c r="Y1095" i="3" s="1"/>
  <c r="P1094" i="3"/>
  <c r="Y1094" i="3" s="1"/>
  <c r="P1093" i="3"/>
  <c r="Y1093" i="3" s="1"/>
  <c r="P1092" i="3"/>
  <c r="Y1092" i="3" s="1"/>
  <c r="P1091" i="3"/>
  <c r="Y1091" i="3" s="1"/>
  <c r="P1090" i="3"/>
  <c r="Y1090" i="3" s="1"/>
  <c r="P1089" i="3"/>
  <c r="Y1089" i="3" s="1"/>
  <c r="P1088" i="3"/>
  <c r="Y1088" i="3" s="1"/>
  <c r="P1087" i="3"/>
  <c r="Y1087" i="3" s="1"/>
  <c r="P1086" i="3"/>
  <c r="Y1086" i="3" s="1"/>
  <c r="P1085" i="3"/>
  <c r="Y1085" i="3" s="1"/>
  <c r="P1084" i="3"/>
  <c r="Y1084" i="3" s="1"/>
  <c r="P1083" i="3"/>
  <c r="Y1083" i="3" s="1"/>
  <c r="P1082" i="3"/>
  <c r="Y1082" i="3" s="1"/>
  <c r="P1081" i="3"/>
  <c r="Y1081" i="3" s="1"/>
  <c r="P1080" i="3"/>
  <c r="Y1080" i="3" s="1"/>
  <c r="P1079" i="3"/>
  <c r="Y1079" i="3" s="1"/>
  <c r="P1078" i="3"/>
  <c r="Y1078" i="3" s="1"/>
  <c r="P1077" i="3"/>
  <c r="Y1077" i="3" s="1"/>
  <c r="P1076" i="3"/>
  <c r="Y1076" i="3" s="1"/>
  <c r="P1075" i="3"/>
  <c r="Y1075" i="3" s="1"/>
  <c r="P1074" i="3"/>
  <c r="Y1074" i="3" s="1"/>
  <c r="P1073" i="3"/>
  <c r="Y1073" i="3" s="1"/>
  <c r="P1072" i="3"/>
  <c r="Y1072" i="3" s="1"/>
  <c r="P1071" i="3"/>
  <c r="Y1071" i="3" s="1"/>
  <c r="P1070" i="3"/>
  <c r="Y1070" i="3" s="1"/>
  <c r="P1069" i="3"/>
  <c r="Y1069" i="3" s="1"/>
  <c r="P1068" i="3"/>
  <c r="Y1068" i="3" s="1"/>
  <c r="P1067" i="3"/>
  <c r="Y1067" i="3" s="1"/>
  <c r="P1066" i="3"/>
  <c r="Y1066" i="3" s="1"/>
  <c r="P1065" i="3"/>
  <c r="Y1065" i="3" s="1"/>
  <c r="P1064" i="3"/>
  <c r="Y1064" i="3" s="1"/>
  <c r="P1063" i="3"/>
  <c r="Y1063" i="3" s="1"/>
  <c r="P1062" i="3"/>
  <c r="Y1062" i="3" s="1"/>
  <c r="P1061" i="3"/>
  <c r="Y1061" i="3" s="1"/>
  <c r="P1060" i="3"/>
  <c r="Y1060" i="3" s="1"/>
  <c r="P1059" i="3"/>
  <c r="Y1059" i="3" s="1"/>
  <c r="P1058" i="3"/>
  <c r="Y1058" i="3" s="1"/>
  <c r="P1057" i="3"/>
  <c r="Y1057" i="3" s="1"/>
  <c r="P1056" i="3"/>
  <c r="Y1056" i="3" s="1"/>
  <c r="P1055" i="3"/>
  <c r="Y1055" i="3" s="1"/>
  <c r="P1054" i="3"/>
  <c r="Y1054" i="3" s="1"/>
  <c r="P1053" i="3"/>
  <c r="Y1053" i="3" s="1"/>
  <c r="P1052" i="3"/>
  <c r="Y1052" i="3" s="1"/>
  <c r="P1051" i="3"/>
  <c r="Y1051" i="3" s="1"/>
  <c r="P1050" i="3"/>
  <c r="Y1050" i="3" s="1"/>
  <c r="P1049" i="3"/>
  <c r="Y1049" i="3" s="1"/>
  <c r="P1048" i="3"/>
  <c r="Y1048" i="3" s="1"/>
  <c r="P1047" i="3"/>
  <c r="Y1047" i="3" s="1"/>
  <c r="P1046" i="3"/>
  <c r="Y1046" i="3" s="1"/>
  <c r="P1045" i="3"/>
  <c r="Y1045" i="3" s="1"/>
  <c r="P1044" i="3"/>
  <c r="Y1044" i="3" s="1"/>
  <c r="P1043" i="3"/>
  <c r="Y1043" i="3" s="1"/>
  <c r="P1042" i="3"/>
  <c r="Y1042" i="3" s="1"/>
  <c r="P1041" i="3"/>
  <c r="Y1041" i="3" s="1"/>
  <c r="P1040" i="3"/>
  <c r="Y1040" i="3" s="1"/>
  <c r="P1039" i="3"/>
  <c r="Y1039" i="3" s="1"/>
  <c r="P1038" i="3"/>
  <c r="Y1038" i="3" s="1"/>
  <c r="P1037" i="3"/>
  <c r="Y1037" i="3" s="1"/>
  <c r="P1036" i="3"/>
  <c r="Y1036" i="3" s="1"/>
  <c r="P1035" i="3"/>
  <c r="Y1035" i="3" s="1"/>
  <c r="P1034" i="3"/>
  <c r="Y1034" i="3" s="1"/>
  <c r="P1033" i="3"/>
  <c r="Y1033" i="3" s="1"/>
  <c r="P1032" i="3"/>
  <c r="Y1032" i="3" s="1"/>
  <c r="P1031" i="3"/>
  <c r="Y1031" i="3" s="1"/>
  <c r="P1030" i="3"/>
  <c r="Y1030" i="3" s="1"/>
  <c r="P1029" i="3"/>
  <c r="Y1029" i="3" s="1"/>
  <c r="P1028" i="3"/>
  <c r="Y1028" i="3" s="1"/>
  <c r="P1027" i="3"/>
  <c r="Y1027" i="3" s="1"/>
  <c r="P1026" i="3"/>
  <c r="Y1026" i="3" s="1"/>
  <c r="P1025" i="3"/>
  <c r="Y1025" i="3" s="1"/>
  <c r="P1024" i="3"/>
  <c r="Y1024" i="3" s="1"/>
  <c r="P1023" i="3"/>
  <c r="Y1023" i="3" s="1"/>
  <c r="P1022" i="3"/>
  <c r="Y1022" i="3" s="1"/>
  <c r="P1021" i="3"/>
  <c r="Y1021" i="3" s="1"/>
  <c r="P1020" i="3"/>
  <c r="Y1020" i="3" s="1"/>
  <c r="P1019" i="3"/>
  <c r="Y1019" i="3" s="1"/>
  <c r="P1018" i="3"/>
  <c r="Y1018" i="3" s="1"/>
  <c r="P1017" i="3"/>
  <c r="Y1017" i="3" s="1"/>
  <c r="P1016" i="3"/>
  <c r="Y1016" i="3" s="1"/>
  <c r="P1015" i="3"/>
  <c r="Y1015" i="3" s="1"/>
  <c r="P1014" i="3"/>
  <c r="Y1014" i="3" s="1"/>
  <c r="P1013" i="3"/>
  <c r="Y1013" i="3" s="1"/>
  <c r="P1012" i="3"/>
  <c r="Y1012" i="3" s="1"/>
  <c r="P1011" i="3"/>
  <c r="Y1011" i="3" s="1"/>
  <c r="P1010" i="3"/>
  <c r="Y1010" i="3" s="1"/>
  <c r="P1009" i="3"/>
  <c r="Y1009" i="3" s="1"/>
  <c r="P1008" i="3"/>
  <c r="Y1008" i="3" s="1"/>
  <c r="P1007" i="3"/>
  <c r="Y1007" i="3" s="1"/>
  <c r="P1006" i="3"/>
  <c r="Y1006" i="3" s="1"/>
  <c r="P1005" i="3"/>
  <c r="Y1005" i="3" s="1"/>
  <c r="P1004" i="3"/>
  <c r="Y1004" i="3" s="1"/>
  <c r="P1003" i="3"/>
  <c r="Y1003" i="3" s="1"/>
  <c r="P1002" i="3"/>
  <c r="Y1002" i="3" s="1"/>
  <c r="P1001" i="3"/>
  <c r="Y1001" i="3" s="1"/>
  <c r="P1000" i="3"/>
  <c r="Y1000" i="3" s="1"/>
  <c r="P999" i="3"/>
  <c r="Y999" i="3" s="1"/>
  <c r="P998" i="3"/>
  <c r="Y998" i="3" s="1"/>
  <c r="P997" i="3"/>
  <c r="Y997" i="3" s="1"/>
  <c r="P996" i="3"/>
  <c r="Y996" i="3" s="1"/>
  <c r="P995" i="3"/>
  <c r="Y995" i="3" s="1"/>
  <c r="P994" i="3"/>
  <c r="Y994" i="3" s="1"/>
  <c r="P993" i="3"/>
  <c r="Y993" i="3" s="1"/>
  <c r="P992" i="3"/>
  <c r="Y992" i="3" s="1"/>
  <c r="P991" i="3"/>
  <c r="Y991" i="3" s="1"/>
  <c r="P990" i="3"/>
  <c r="Y990" i="3" s="1"/>
  <c r="P989" i="3"/>
  <c r="Y989" i="3" s="1"/>
  <c r="P988" i="3"/>
  <c r="Y988" i="3" s="1"/>
  <c r="P987" i="3"/>
  <c r="Y987" i="3" s="1"/>
  <c r="P986" i="3"/>
  <c r="Y986" i="3" s="1"/>
  <c r="P985" i="3"/>
  <c r="Y985" i="3" s="1"/>
  <c r="P984" i="3"/>
  <c r="Y984" i="3" s="1"/>
  <c r="P983" i="3"/>
  <c r="Y983" i="3" s="1"/>
  <c r="P982" i="3"/>
  <c r="Y982" i="3" s="1"/>
  <c r="P981" i="3"/>
  <c r="Y981" i="3" s="1"/>
  <c r="P980" i="3"/>
  <c r="Y980" i="3" s="1"/>
  <c r="P979" i="3"/>
  <c r="Y979" i="3" s="1"/>
  <c r="P978" i="3"/>
  <c r="Y978" i="3" s="1"/>
  <c r="P977" i="3"/>
  <c r="Y977" i="3" s="1"/>
  <c r="P976" i="3"/>
  <c r="Y976" i="3" s="1"/>
  <c r="P975" i="3"/>
  <c r="Y975" i="3" s="1"/>
  <c r="P974" i="3"/>
  <c r="Y974" i="3" s="1"/>
  <c r="P973" i="3"/>
  <c r="Y973" i="3" s="1"/>
  <c r="P972" i="3"/>
  <c r="Y972" i="3" s="1"/>
  <c r="P971" i="3"/>
  <c r="Y971" i="3" s="1"/>
  <c r="P970" i="3"/>
  <c r="Y970" i="3" s="1"/>
  <c r="P969" i="3"/>
  <c r="Y969" i="3" s="1"/>
  <c r="P968" i="3"/>
  <c r="Y968" i="3" s="1"/>
  <c r="P967" i="3"/>
  <c r="Y967" i="3" s="1"/>
  <c r="P966" i="3"/>
  <c r="Y966" i="3" s="1"/>
  <c r="P965" i="3"/>
  <c r="Y965" i="3" s="1"/>
  <c r="P964" i="3"/>
  <c r="Y964" i="3" s="1"/>
  <c r="P963" i="3"/>
  <c r="Y963" i="3" s="1"/>
  <c r="P962" i="3"/>
  <c r="Y962" i="3" s="1"/>
  <c r="P961" i="3"/>
  <c r="Y961" i="3" s="1"/>
  <c r="P960" i="3"/>
  <c r="Y960" i="3" s="1"/>
  <c r="P959" i="3"/>
  <c r="Y959" i="3" s="1"/>
  <c r="P958" i="3"/>
  <c r="Y958" i="3" s="1"/>
  <c r="P957" i="3"/>
  <c r="Y957" i="3" s="1"/>
  <c r="P956" i="3"/>
  <c r="Y956" i="3" s="1"/>
  <c r="P955" i="3"/>
  <c r="Y955" i="3" s="1"/>
  <c r="P954" i="3"/>
  <c r="Y954" i="3" s="1"/>
  <c r="P953" i="3"/>
  <c r="Y953" i="3" s="1"/>
  <c r="P952" i="3"/>
  <c r="Y952" i="3" s="1"/>
  <c r="P951" i="3"/>
  <c r="Y951" i="3" s="1"/>
  <c r="P950" i="3"/>
  <c r="Y950" i="3" s="1"/>
  <c r="P949" i="3"/>
  <c r="Y949" i="3" s="1"/>
  <c r="P948" i="3"/>
  <c r="Y948" i="3" s="1"/>
  <c r="P947" i="3"/>
  <c r="Y947" i="3" s="1"/>
  <c r="P946" i="3"/>
  <c r="Y946" i="3" s="1"/>
  <c r="P945" i="3"/>
  <c r="Y945" i="3" s="1"/>
  <c r="P944" i="3"/>
  <c r="Y944" i="3" s="1"/>
  <c r="P943" i="3"/>
  <c r="Y943" i="3" s="1"/>
  <c r="P942" i="3"/>
  <c r="Y942" i="3" s="1"/>
  <c r="P941" i="3"/>
  <c r="Y941" i="3" s="1"/>
  <c r="P940" i="3"/>
  <c r="Y940" i="3" s="1"/>
  <c r="P939" i="3"/>
  <c r="Y939" i="3" s="1"/>
  <c r="P938" i="3"/>
  <c r="Y938" i="3" s="1"/>
  <c r="P937" i="3"/>
  <c r="Y937" i="3" s="1"/>
  <c r="P936" i="3"/>
  <c r="Y936" i="3" s="1"/>
  <c r="P935" i="3"/>
  <c r="Y935" i="3" s="1"/>
  <c r="P934" i="3"/>
  <c r="Y934" i="3" s="1"/>
  <c r="P933" i="3"/>
  <c r="Y933" i="3" s="1"/>
  <c r="P932" i="3"/>
  <c r="Y932" i="3" s="1"/>
  <c r="P931" i="3"/>
  <c r="Y931" i="3" s="1"/>
  <c r="P930" i="3"/>
  <c r="Y930" i="3" s="1"/>
  <c r="P929" i="3"/>
  <c r="Y929" i="3" s="1"/>
  <c r="P928" i="3"/>
  <c r="Y928" i="3" s="1"/>
  <c r="P927" i="3"/>
  <c r="Y927" i="3" s="1"/>
  <c r="P926" i="3"/>
  <c r="Y926" i="3" s="1"/>
  <c r="P925" i="3"/>
  <c r="Y925" i="3" s="1"/>
  <c r="P924" i="3"/>
  <c r="Y924" i="3" s="1"/>
  <c r="P923" i="3"/>
  <c r="Y923" i="3" s="1"/>
  <c r="P922" i="3"/>
  <c r="Y922" i="3" s="1"/>
  <c r="P921" i="3"/>
  <c r="Y921" i="3" s="1"/>
  <c r="P920" i="3"/>
  <c r="Y920" i="3" s="1"/>
  <c r="P919" i="3"/>
  <c r="Y919" i="3" s="1"/>
  <c r="P918" i="3"/>
  <c r="Y918" i="3" s="1"/>
  <c r="P917" i="3"/>
  <c r="Y917" i="3" s="1"/>
  <c r="P916" i="3"/>
  <c r="Y916" i="3" s="1"/>
  <c r="P915" i="3"/>
  <c r="Y915" i="3" s="1"/>
  <c r="P914" i="3"/>
  <c r="Y914" i="3" s="1"/>
  <c r="P913" i="3"/>
  <c r="Y913" i="3" s="1"/>
  <c r="P912" i="3"/>
  <c r="Y912" i="3" s="1"/>
  <c r="P911" i="3"/>
  <c r="Y911" i="3" s="1"/>
  <c r="P910" i="3"/>
  <c r="Y910" i="3" s="1"/>
  <c r="P909" i="3"/>
  <c r="Y909" i="3" s="1"/>
  <c r="P908" i="3"/>
  <c r="Y908" i="3" s="1"/>
  <c r="P907" i="3"/>
  <c r="Y907" i="3" s="1"/>
  <c r="P906" i="3"/>
  <c r="Y906" i="3" s="1"/>
  <c r="P905" i="3"/>
  <c r="Y905" i="3" s="1"/>
  <c r="P904" i="3"/>
  <c r="Y904" i="3" s="1"/>
  <c r="P903" i="3"/>
  <c r="Y903" i="3" s="1"/>
  <c r="P902" i="3"/>
  <c r="Y902" i="3" s="1"/>
  <c r="P901" i="3"/>
  <c r="Y901" i="3" s="1"/>
  <c r="P900" i="3"/>
  <c r="Y900" i="3" s="1"/>
  <c r="P899" i="3"/>
  <c r="Y899" i="3" s="1"/>
  <c r="P898" i="3"/>
  <c r="Y898" i="3" s="1"/>
  <c r="P897" i="3"/>
  <c r="Y897" i="3" s="1"/>
  <c r="P896" i="3"/>
  <c r="Y896" i="3" s="1"/>
  <c r="P895" i="3"/>
  <c r="Y895" i="3" s="1"/>
  <c r="P894" i="3"/>
  <c r="Y894" i="3" s="1"/>
  <c r="P893" i="3"/>
  <c r="Y893" i="3" s="1"/>
  <c r="P892" i="3"/>
  <c r="Y892" i="3" s="1"/>
  <c r="P891" i="3"/>
  <c r="Y891" i="3" s="1"/>
  <c r="P890" i="3"/>
  <c r="Y890" i="3" s="1"/>
  <c r="P889" i="3"/>
  <c r="Y889" i="3" s="1"/>
  <c r="P888" i="3"/>
  <c r="Y888" i="3" s="1"/>
  <c r="P887" i="3"/>
  <c r="Y887" i="3" s="1"/>
  <c r="P886" i="3"/>
  <c r="Y886" i="3" s="1"/>
  <c r="P885" i="3"/>
  <c r="Y885" i="3" s="1"/>
  <c r="P884" i="3"/>
  <c r="Y884" i="3" s="1"/>
  <c r="P883" i="3"/>
  <c r="Y883" i="3" s="1"/>
  <c r="P882" i="3"/>
  <c r="Y882" i="3" s="1"/>
  <c r="P881" i="3"/>
  <c r="Y881" i="3" s="1"/>
  <c r="P880" i="3"/>
  <c r="Y880" i="3" s="1"/>
  <c r="P879" i="3"/>
  <c r="Y879" i="3" s="1"/>
  <c r="P878" i="3"/>
  <c r="Y878" i="3" s="1"/>
  <c r="P877" i="3"/>
  <c r="Y877" i="3" s="1"/>
  <c r="P876" i="3"/>
  <c r="Y876" i="3" s="1"/>
  <c r="P875" i="3"/>
  <c r="Y875" i="3" s="1"/>
  <c r="P874" i="3"/>
  <c r="Y874" i="3" s="1"/>
  <c r="P873" i="3"/>
  <c r="Y873" i="3" s="1"/>
  <c r="P872" i="3"/>
  <c r="Y872" i="3" s="1"/>
  <c r="P871" i="3"/>
  <c r="Y871" i="3" s="1"/>
  <c r="P870" i="3"/>
  <c r="Y870" i="3" s="1"/>
  <c r="P869" i="3"/>
  <c r="Y869" i="3" s="1"/>
  <c r="P868" i="3"/>
  <c r="Y868" i="3" s="1"/>
  <c r="P867" i="3"/>
  <c r="Y867" i="3" s="1"/>
  <c r="P866" i="3"/>
  <c r="Y866" i="3" s="1"/>
  <c r="P865" i="3"/>
  <c r="Y865" i="3" s="1"/>
  <c r="P864" i="3"/>
  <c r="Y864" i="3" s="1"/>
  <c r="P863" i="3"/>
  <c r="Y863" i="3" s="1"/>
  <c r="P862" i="3"/>
  <c r="Y862" i="3" s="1"/>
  <c r="P861" i="3"/>
  <c r="Y861" i="3" s="1"/>
  <c r="P860" i="3"/>
  <c r="Y860" i="3" s="1"/>
  <c r="P859" i="3"/>
  <c r="Y859" i="3" s="1"/>
  <c r="P858" i="3"/>
  <c r="Y858" i="3" s="1"/>
  <c r="P857" i="3"/>
  <c r="Y857" i="3" s="1"/>
  <c r="P856" i="3"/>
  <c r="Y856" i="3" s="1"/>
  <c r="P855" i="3"/>
  <c r="Y855" i="3" s="1"/>
  <c r="P854" i="3"/>
  <c r="Y854" i="3" s="1"/>
  <c r="P853" i="3"/>
  <c r="Y853" i="3" s="1"/>
  <c r="P852" i="3"/>
  <c r="Y852" i="3" s="1"/>
  <c r="P851" i="3"/>
  <c r="Y851" i="3" s="1"/>
  <c r="P850" i="3"/>
  <c r="Y850" i="3" s="1"/>
  <c r="P849" i="3"/>
  <c r="Y849" i="3" s="1"/>
  <c r="P848" i="3"/>
  <c r="Y848" i="3" s="1"/>
  <c r="P847" i="3"/>
  <c r="Y847" i="3" s="1"/>
  <c r="P846" i="3"/>
  <c r="Y846" i="3" s="1"/>
  <c r="P845" i="3"/>
  <c r="Y845" i="3" s="1"/>
  <c r="P844" i="3"/>
  <c r="Y844" i="3" s="1"/>
  <c r="P843" i="3"/>
  <c r="Y843" i="3" s="1"/>
  <c r="P842" i="3"/>
  <c r="Y842" i="3" s="1"/>
  <c r="P841" i="3"/>
  <c r="Y841" i="3" s="1"/>
  <c r="P840" i="3"/>
  <c r="Y840" i="3" s="1"/>
  <c r="P839" i="3"/>
  <c r="Y839" i="3" s="1"/>
  <c r="P838" i="3"/>
  <c r="Y838" i="3" s="1"/>
  <c r="P837" i="3"/>
  <c r="Y837" i="3" s="1"/>
  <c r="P836" i="3"/>
  <c r="Y836" i="3" s="1"/>
  <c r="P835" i="3"/>
  <c r="Y835" i="3" s="1"/>
  <c r="P834" i="3"/>
  <c r="Y834" i="3" s="1"/>
  <c r="P833" i="3"/>
  <c r="Y833" i="3" s="1"/>
  <c r="P832" i="3"/>
  <c r="Y832" i="3" s="1"/>
  <c r="P831" i="3"/>
  <c r="Y831" i="3" s="1"/>
  <c r="P830" i="3"/>
  <c r="Y830" i="3" s="1"/>
  <c r="P829" i="3"/>
  <c r="Y829" i="3" s="1"/>
  <c r="P828" i="3"/>
  <c r="Y828" i="3" s="1"/>
  <c r="P827" i="3"/>
  <c r="Y827" i="3" s="1"/>
  <c r="P826" i="3"/>
  <c r="Y826" i="3" s="1"/>
  <c r="P825" i="3"/>
  <c r="Y825" i="3" s="1"/>
  <c r="P824" i="3"/>
  <c r="Y824" i="3" s="1"/>
  <c r="P823" i="3"/>
  <c r="Y823" i="3" s="1"/>
  <c r="P822" i="3"/>
  <c r="Y822" i="3" s="1"/>
  <c r="P821" i="3"/>
  <c r="Y821" i="3" s="1"/>
  <c r="P820" i="3"/>
  <c r="Y820" i="3" s="1"/>
  <c r="P819" i="3"/>
  <c r="Y819" i="3" s="1"/>
  <c r="P818" i="3"/>
  <c r="Y818" i="3" s="1"/>
  <c r="P817" i="3"/>
  <c r="Y817" i="3" s="1"/>
  <c r="P816" i="3"/>
  <c r="Y816" i="3" s="1"/>
  <c r="P815" i="3"/>
  <c r="Y815" i="3" s="1"/>
  <c r="P814" i="3"/>
  <c r="Y814" i="3" s="1"/>
  <c r="P813" i="3"/>
  <c r="Y813" i="3" s="1"/>
  <c r="P812" i="3"/>
  <c r="Y812" i="3" s="1"/>
  <c r="P811" i="3"/>
  <c r="Y811" i="3" s="1"/>
  <c r="P810" i="3"/>
  <c r="Y810" i="3" s="1"/>
  <c r="P809" i="3"/>
  <c r="Y809" i="3" s="1"/>
  <c r="P808" i="3"/>
  <c r="Y808" i="3" s="1"/>
  <c r="P807" i="3"/>
  <c r="Y807" i="3" s="1"/>
  <c r="P806" i="3"/>
  <c r="Y806" i="3" s="1"/>
  <c r="P805" i="3"/>
  <c r="Y805" i="3" s="1"/>
  <c r="P804" i="3"/>
  <c r="Y804" i="3" s="1"/>
  <c r="P803" i="3"/>
  <c r="Y803" i="3" s="1"/>
  <c r="P802" i="3"/>
  <c r="Y802" i="3" s="1"/>
  <c r="P801" i="3"/>
  <c r="Y801" i="3" s="1"/>
  <c r="P800" i="3"/>
  <c r="Y800" i="3" s="1"/>
  <c r="P799" i="3"/>
  <c r="Y799" i="3" s="1"/>
  <c r="P798" i="3"/>
  <c r="Y798" i="3" s="1"/>
  <c r="P797" i="3"/>
  <c r="Y797" i="3" s="1"/>
  <c r="P796" i="3"/>
  <c r="Y796" i="3" s="1"/>
  <c r="P795" i="3"/>
  <c r="Y795" i="3" s="1"/>
  <c r="P794" i="3"/>
  <c r="Y794" i="3" s="1"/>
  <c r="P793" i="3"/>
  <c r="Y793" i="3" s="1"/>
  <c r="P792" i="3"/>
  <c r="Y792" i="3" s="1"/>
  <c r="P791" i="3"/>
  <c r="Y791" i="3" s="1"/>
  <c r="P790" i="3"/>
  <c r="Y790" i="3" s="1"/>
  <c r="P789" i="3"/>
  <c r="Y789" i="3" s="1"/>
  <c r="P788" i="3"/>
  <c r="Y788" i="3" s="1"/>
  <c r="P787" i="3"/>
  <c r="Y787" i="3" s="1"/>
  <c r="P786" i="3"/>
  <c r="Y786" i="3" s="1"/>
  <c r="P785" i="3"/>
  <c r="Y785" i="3" s="1"/>
  <c r="P784" i="3"/>
  <c r="Y784" i="3" s="1"/>
  <c r="P783" i="3"/>
  <c r="Y783" i="3" s="1"/>
  <c r="P782" i="3"/>
  <c r="Y782" i="3" s="1"/>
  <c r="P781" i="3"/>
  <c r="Y781" i="3" s="1"/>
  <c r="P780" i="3"/>
  <c r="Y780" i="3" s="1"/>
  <c r="P779" i="3"/>
  <c r="Y779" i="3" s="1"/>
  <c r="P778" i="3"/>
  <c r="Y778" i="3" s="1"/>
  <c r="P777" i="3"/>
  <c r="Y777" i="3" s="1"/>
  <c r="P776" i="3"/>
  <c r="Y776" i="3" s="1"/>
  <c r="P775" i="3"/>
  <c r="Y775" i="3" s="1"/>
  <c r="P774" i="3"/>
  <c r="Y774" i="3" s="1"/>
  <c r="P773" i="3"/>
  <c r="Y773" i="3" s="1"/>
  <c r="P772" i="3"/>
  <c r="Y772" i="3" s="1"/>
  <c r="P771" i="3"/>
  <c r="Y771" i="3" s="1"/>
  <c r="P770" i="3"/>
  <c r="Y770" i="3" s="1"/>
  <c r="P769" i="3"/>
  <c r="Y769" i="3" s="1"/>
  <c r="P768" i="3"/>
  <c r="Y768" i="3" s="1"/>
  <c r="P767" i="3"/>
  <c r="Y767" i="3" s="1"/>
  <c r="P766" i="3"/>
  <c r="Y766" i="3" s="1"/>
  <c r="P765" i="3"/>
  <c r="Y765" i="3" s="1"/>
  <c r="P764" i="3"/>
  <c r="Y764" i="3" s="1"/>
  <c r="P763" i="3"/>
  <c r="Y763" i="3" s="1"/>
  <c r="P762" i="3"/>
  <c r="Y762" i="3" s="1"/>
  <c r="P761" i="3"/>
  <c r="Y761" i="3" s="1"/>
  <c r="P760" i="3"/>
  <c r="Y760" i="3" s="1"/>
  <c r="P759" i="3"/>
  <c r="Y759" i="3" s="1"/>
  <c r="P758" i="3"/>
  <c r="Y758" i="3" s="1"/>
  <c r="P757" i="3"/>
  <c r="Y757" i="3" s="1"/>
  <c r="P756" i="3"/>
  <c r="Y756" i="3" s="1"/>
  <c r="P755" i="3"/>
  <c r="Y755" i="3" s="1"/>
  <c r="P754" i="3"/>
  <c r="Y754" i="3" s="1"/>
  <c r="P753" i="3"/>
  <c r="Y753" i="3" s="1"/>
  <c r="P752" i="3"/>
  <c r="Y752" i="3" s="1"/>
  <c r="P751" i="3"/>
  <c r="Y751" i="3" s="1"/>
  <c r="P750" i="3"/>
  <c r="Y750" i="3" s="1"/>
  <c r="P749" i="3"/>
  <c r="Y749" i="3" s="1"/>
  <c r="P748" i="3"/>
  <c r="Y748" i="3" s="1"/>
  <c r="P747" i="3"/>
  <c r="Y747" i="3" s="1"/>
  <c r="P746" i="3"/>
  <c r="Y746" i="3" s="1"/>
  <c r="P745" i="3"/>
  <c r="Y745" i="3" s="1"/>
  <c r="P744" i="3"/>
  <c r="Y744" i="3" s="1"/>
  <c r="P743" i="3"/>
  <c r="Y743" i="3" s="1"/>
  <c r="P742" i="3"/>
  <c r="Y742" i="3" s="1"/>
  <c r="P741" i="3"/>
  <c r="Y741" i="3" s="1"/>
  <c r="P740" i="3"/>
  <c r="Y740" i="3" s="1"/>
  <c r="P739" i="3"/>
  <c r="Y739" i="3" s="1"/>
  <c r="P738" i="3"/>
  <c r="Y738" i="3" s="1"/>
  <c r="P737" i="3"/>
  <c r="Y737" i="3" s="1"/>
  <c r="P736" i="3"/>
  <c r="Y736" i="3" s="1"/>
  <c r="P735" i="3"/>
  <c r="Y735" i="3" s="1"/>
  <c r="P734" i="3"/>
  <c r="Y734" i="3" s="1"/>
  <c r="P733" i="3"/>
  <c r="Y733" i="3" s="1"/>
  <c r="P732" i="3"/>
  <c r="Y732" i="3" s="1"/>
  <c r="P731" i="3"/>
  <c r="Y731" i="3" s="1"/>
  <c r="P730" i="3"/>
  <c r="Y730" i="3" s="1"/>
  <c r="P729" i="3"/>
  <c r="Y729" i="3" s="1"/>
  <c r="P728" i="3"/>
  <c r="Y728" i="3" s="1"/>
  <c r="P727" i="3"/>
  <c r="Y727" i="3" s="1"/>
  <c r="P726" i="3"/>
  <c r="Y726" i="3" s="1"/>
  <c r="P725" i="3"/>
  <c r="Y725" i="3" s="1"/>
  <c r="P724" i="3"/>
  <c r="Y724" i="3" s="1"/>
  <c r="P723" i="3"/>
  <c r="Y723" i="3" s="1"/>
  <c r="P722" i="3"/>
  <c r="Y722" i="3" s="1"/>
  <c r="P721" i="3"/>
  <c r="Y721" i="3" s="1"/>
  <c r="P720" i="3"/>
  <c r="Y720" i="3" s="1"/>
  <c r="P719" i="3"/>
  <c r="Y719" i="3" s="1"/>
  <c r="P718" i="3"/>
  <c r="Y718" i="3" s="1"/>
  <c r="P717" i="3"/>
  <c r="Y717" i="3" s="1"/>
  <c r="P716" i="3"/>
  <c r="Y716" i="3" s="1"/>
  <c r="P715" i="3"/>
  <c r="Y715" i="3" s="1"/>
  <c r="P714" i="3"/>
  <c r="Y714" i="3" s="1"/>
  <c r="P713" i="3"/>
  <c r="Y713" i="3" s="1"/>
  <c r="P712" i="3"/>
  <c r="Y712" i="3" s="1"/>
  <c r="P711" i="3"/>
  <c r="Y711" i="3" s="1"/>
  <c r="P710" i="3"/>
  <c r="Y710" i="3" s="1"/>
  <c r="P709" i="3"/>
  <c r="Y709" i="3" s="1"/>
  <c r="P708" i="3"/>
  <c r="Y708" i="3" s="1"/>
  <c r="P707" i="3"/>
  <c r="Y707" i="3" s="1"/>
  <c r="P706" i="3"/>
  <c r="Y706" i="3" s="1"/>
  <c r="P705" i="3"/>
  <c r="Y705" i="3" s="1"/>
  <c r="P704" i="3"/>
  <c r="Y704" i="3" s="1"/>
  <c r="P703" i="3"/>
  <c r="Y703" i="3" s="1"/>
  <c r="P702" i="3"/>
  <c r="Y702" i="3" s="1"/>
  <c r="P701" i="3"/>
  <c r="Y701" i="3" s="1"/>
  <c r="P700" i="3"/>
  <c r="Y700" i="3" s="1"/>
  <c r="P699" i="3"/>
  <c r="Y699" i="3" s="1"/>
  <c r="P698" i="3"/>
  <c r="Y698" i="3" s="1"/>
  <c r="P697" i="3"/>
  <c r="Y697" i="3" s="1"/>
  <c r="P696" i="3"/>
  <c r="Y696" i="3" s="1"/>
  <c r="P695" i="3"/>
  <c r="Y695" i="3" s="1"/>
  <c r="P694" i="3"/>
  <c r="Y694" i="3" s="1"/>
  <c r="P693" i="3"/>
  <c r="Y693" i="3" s="1"/>
  <c r="P692" i="3"/>
  <c r="Y692" i="3" s="1"/>
  <c r="P691" i="3"/>
  <c r="Y691" i="3" s="1"/>
  <c r="P690" i="3"/>
  <c r="Y690" i="3" s="1"/>
  <c r="P689" i="3"/>
  <c r="Y689" i="3" s="1"/>
  <c r="P688" i="3"/>
  <c r="Y688" i="3" s="1"/>
  <c r="P687" i="3"/>
  <c r="Y687" i="3" s="1"/>
  <c r="P686" i="3"/>
  <c r="Y686" i="3" s="1"/>
  <c r="P685" i="3"/>
  <c r="Y685" i="3" s="1"/>
  <c r="P684" i="3"/>
  <c r="Y684" i="3" s="1"/>
  <c r="P683" i="3"/>
  <c r="Y683" i="3" s="1"/>
  <c r="P682" i="3"/>
  <c r="Y682" i="3" s="1"/>
  <c r="P681" i="3"/>
  <c r="Y681" i="3" s="1"/>
  <c r="P680" i="3"/>
  <c r="Y680" i="3" s="1"/>
  <c r="P679" i="3"/>
  <c r="Y679" i="3" s="1"/>
  <c r="P678" i="3"/>
  <c r="Y678" i="3" s="1"/>
  <c r="P677" i="3"/>
  <c r="Y677" i="3" s="1"/>
  <c r="P676" i="3"/>
  <c r="Y676" i="3" s="1"/>
  <c r="P675" i="3"/>
  <c r="Y675" i="3" s="1"/>
  <c r="P674" i="3"/>
  <c r="Y674" i="3" s="1"/>
  <c r="P673" i="3"/>
  <c r="Y673" i="3" s="1"/>
  <c r="P672" i="3"/>
  <c r="Y672" i="3" s="1"/>
  <c r="P671" i="3"/>
  <c r="Y671" i="3" s="1"/>
  <c r="P670" i="3"/>
  <c r="Y670" i="3" s="1"/>
  <c r="P669" i="3"/>
  <c r="Y669" i="3" s="1"/>
  <c r="P668" i="3"/>
  <c r="Y668" i="3" s="1"/>
  <c r="P667" i="3"/>
  <c r="Y667" i="3" s="1"/>
  <c r="P666" i="3"/>
  <c r="Y666" i="3" s="1"/>
  <c r="P665" i="3"/>
  <c r="Y665" i="3" s="1"/>
  <c r="P664" i="3"/>
  <c r="Y664" i="3" s="1"/>
  <c r="P663" i="3"/>
  <c r="Y663" i="3" s="1"/>
  <c r="P662" i="3"/>
  <c r="Y662" i="3" s="1"/>
  <c r="P661" i="3"/>
  <c r="Y661" i="3" s="1"/>
  <c r="P660" i="3"/>
  <c r="Y660" i="3" s="1"/>
  <c r="P659" i="3"/>
  <c r="Y659" i="3" s="1"/>
  <c r="P658" i="3"/>
  <c r="Y658" i="3" s="1"/>
  <c r="P657" i="3"/>
  <c r="Y657" i="3" s="1"/>
  <c r="P656" i="3"/>
  <c r="Y656" i="3" s="1"/>
  <c r="P655" i="3"/>
  <c r="Y655" i="3" s="1"/>
  <c r="P654" i="3"/>
  <c r="Y654" i="3" s="1"/>
  <c r="P653" i="3"/>
  <c r="Y653" i="3" s="1"/>
  <c r="P652" i="3"/>
  <c r="Y652" i="3" s="1"/>
  <c r="P651" i="3"/>
  <c r="Y651" i="3" s="1"/>
  <c r="P650" i="3"/>
  <c r="Y650" i="3" s="1"/>
  <c r="P649" i="3"/>
  <c r="Y649" i="3" s="1"/>
  <c r="P648" i="3"/>
  <c r="Y648" i="3" s="1"/>
  <c r="P647" i="3"/>
  <c r="Y647" i="3" s="1"/>
  <c r="P646" i="3"/>
  <c r="Y646" i="3" s="1"/>
  <c r="P645" i="3"/>
  <c r="Y645" i="3" s="1"/>
  <c r="P644" i="3"/>
  <c r="Y644" i="3" s="1"/>
  <c r="P643" i="3"/>
  <c r="Y643" i="3" s="1"/>
  <c r="P642" i="3"/>
  <c r="Y642" i="3" s="1"/>
  <c r="P641" i="3"/>
  <c r="Y641" i="3" s="1"/>
  <c r="P640" i="3"/>
  <c r="Y640" i="3" s="1"/>
  <c r="P639" i="3"/>
  <c r="Y639" i="3" s="1"/>
  <c r="P638" i="3"/>
  <c r="Y638" i="3" s="1"/>
  <c r="P637" i="3"/>
  <c r="Y637" i="3" s="1"/>
  <c r="P636" i="3"/>
  <c r="Y636" i="3" s="1"/>
  <c r="P635" i="3"/>
  <c r="Y635" i="3" s="1"/>
  <c r="P634" i="3"/>
  <c r="Y634" i="3" s="1"/>
  <c r="P633" i="3"/>
  <c r="Y633" i="3" s="1"/>
  <c r="P632" i="3"/>
  <c r="Y632" i="3" s="1"/>
  <c r="P631" i="3"/>
  <c r="Y631" i="3" s="1"/>
  <c r="P630" i="3"/>
  <c r="Y630" i="3" s="1"/>
  <c r="P629" i="3"/>
  <c r="Y629" i="3" s="1"/>
  <c r="P628" i="3"/>
  <c r="Y628" i="3" s="1"/>
  <c r="P627" i="3"/>
  <c r="Y627" i="3" s="1"/>
  <c r="P626" i="3"/>
  <c r="Y626" i="3" s="1"/>
  <c r="P625" i="3"/>
  <c r="Y625" i="3" s="1"/>
  <c r="P624" i="3"/>
  <c r="Y624" i="3" s="1"/>
  <c r="P623" i="3"/>
  <c r="Y623" i="3" s="1"/>
  <c r="P622" i="3"/>
  <c r="Y622" i="3" s="1"/>
  <c r="P621" i="3"/>
  <c r="Y621" i="3" s="1"/>
  <c r="P620" i="3"/>
  <c r="Y620" i="3" s="1"/>
  <c r="P619" i="3"/>
  <c r="Y619" i="3" s="1"/>
  <c r="P618" i="3"/>
  <c r="Y618" i="3" s="1"/>
  <c r="P617" i="3"/>
  <c r="Y617" i="3" s="1"/>
  <c r="P616" i="3"/>
  <c r="Y616" i="3" s="1"/>
  <c r="P615" i="3"/>
  <c r="Y615" i="3" s="1"/>
  <c r="P614" i="3"/>
  <c r="Y614" i="3" s="1"/>
  <c r="P613" i="3"/>
  <c r="Y613" i="3" s="1"/>
  <c r="P612" i="3"/>
  <c r="Y612" i="3" s="1"/>
  <c r="P611" i="3"/>
  <c r="Y611" i="3" s="1"/>
  <c r="P610" i="3"/>
  <c r="Y610" i="3" s="1"/>
  <c r="P609" i="3"/>
  <c r="Y609" i="3" s="1"/>
  <c r="P608" i="3"/>
  <c r="Y608" i="3" s="1"/>
  <c r="P607" i="3"/>
  <c r="Y607" i="3" s="1"/>
  <c r="P606" i="3"/>
  <c r="Y606" i="3" s="1"/>
  <c r="P605" i="3"/>
  <c r="Y605" i="3" s="1"/>
  <c r="P604" i="3"/>
  <c r="Y604" i="3" s="1"/>
  <c r="P603" i="3"/>
  <c r="Y603" i="3" s="1"/>
  <c r="P602" i="3"/>
  <c r="Y602" i="3" s="1"/>
  <c r="P601" i="3"/>
  <c r="Y601" i="3" s="1"/>
  <c r="P600" i="3"/>
  <c r="Y600" i="3" s="1"/>
  <c r="P599" i="3"/>
  <c r="Y599" i="3" s="1"/>
  <c r="P598" i="3"/>
  <c r="Y598" i="3" s="1"/>
  <c r="P597" i="3"/>
  <c r="Y597" i="3" s="1"/>
  <c r="P596" i="3"/>
  <c r="Y596" i="3" s="1"/>
  <c r="P595" i="3"/>
  <c r="Y595" i="3" s="1"/>
  <c r="P594" i="3"/>
  <c r="Y594" i="3" s="1"/>
  <c r="P593" i="3"/>
  <c r="Y593" i="3" s="1"/>
  <c r="P592" i="3"/>
  <c r="Y592" i="3" s="1"/>
  <c r="P591" i="3"/>
  <c r="Y591" i="3" s="1"/>
  <c r="P590" i="3"/>
  <c r="Y590" i="3" s="1"/>
  <c r="P589" i="3"/>
  <c r="Y589" i="3" s="1"/>
  <c r="P588" i="3"/>
  <c r="Y588" i="3" s="1"/>
  <c r="P587" i="3"/>
  <c r="Y587" i="3" s="1"/>
  <c r="P586" i="3"/>
  <c r="Y586" i="3" s="1"/>
  <c r="P585" i="3"/>
  <c r="Y585" i="3" s="1"/>
  <c r="P584" i="3"/>
  <c r="Y584" i="3" s="1"/>
  <c r="P583" i="3"/>
  <c r="Y583" i="3" s="1"/>
  <c r="P582" i="3"/>
  <c r="Y582" i="3" s="1"/>
  <c r="P581" i="3"/>
  <c r="Y581" i="3" s="1"/>
  <c r="P580" i="3"/>
  <c r="Y580" i="3" s="1"/>
  <c r="P579" i="3"/>
  <c r="Y579" i="3" s="1"/>
  <c r="P578" i="3"/>
  <c r="Y578" i="3" s="1"/>
  <c r="P577" i="3"/>
  <c r="Y577" i="3" s="1"/>
  <c r="P576" i="3"/>
  <c r="Y576" i="3" s="1"/>
  <c r="P575" i="3"/>
  <c r="Y575" i="3" s="1"/>
  <c r="P574" i="3"/>
  <c r="Y574" i="3" s="1"/>
  <c r="P573" i="3"/>
  <c r="Y573" i="3" s="1"/>
  <c r="P572" i="3"/>
  <c r="Y572" i="3" s="1"/>
  <c r="P571" i="3"/>
  <c r="Y571" i="3" s="1"/>
  <c r="P570" i="3"/>
  <c r="Y570" i="3" s="1"/>
  <c r="P569" i="3"/>
  <c r="Y569" i="3" s="1"/>
  <c r="P568" i="3"/>
  <c r="Y568" i="3" s="1"/>
  <c r="P567" i="3"/>
  <c r="Y567" i="3" s="1"/>
  <c r="P566" i="3"/>
  <c r="Y566" i="3" s="1"/>
  <c r="P565" i="3"/>
  <c r="Y565" i="3" s="1"/>
  <c r="P564" i="3"/>
  <c r="Y564" i="3" s="1"/>
  <c r="P563" i="3"/>
  <c r="Y563" i="3" s="1"/>
  <c r="P562" i="3"/>
  <c r="Y562" i="3" s="1"/>
  <c r="P561" i="3"/>
  <c r="Y561" i="3" s="1"/>
  <c r="P560" i="3"/>
  <c r="Y560" i="3" s="1"/>
  <c r="P559" i="3"/>
  <c r="Y559" i="3" s="1"/>
  <c r="P558" i="3"/>
  <c r="Y558" i="3" s="1"/>
  <c r="P557" i="3"/>
  <c r="Y557" i="3" s="1"/>
  <c r="P556" i="3"/>
  <c r="Y556" i="3" s="1"/>
  <c r="P555" i="3"/>
  <c r="Y555" i="3" s="1"/>
  <c r="P554" i="3"/>
  <c r="Y554" i="3" s="1"/>
  <c r="P553" i="3"/>
  <c r="Y553" i="3" s="1"/>
  <c r="P552" i="3"/>
  <c r="Y552" i="3" s="1"/>
  <c r="P551" i="3"/>
  <c r="Y551" i="3" s="1"/>
  <c r="P550" i="3"/>
  <c r="Y550" i="3" s="1"/>
  <c r="P549" i="3"/>
  <c r="Y549" i="3" s="1"/>
  <c r="P548" i="3"/>
  <c r="Y548" i="3" s="1"/>
  <c r="P547" i="3"/>
  <c r="Y547" i="3" s="1"/>
  <c r="P546" i="3"/>
  <c r="Y546" i="3" s="1"/>
  <c r="P545" i="3"/>
  <c r="Y545" i="3" s="1"/>
  <c r="P544" i="3"/>
  <c r="Y544" i="3" s="1"/>
  <c r="P543" i="3"/>
  <c r="Y543" i="3" s="1"/>
  <c r="P542" i="3"/>
  <c r="Y542" i="3" s="1"/>
  <c r="P541" i="3"/>
  <c r="Y541" i="3" s="1"/>
  <c r="P540" i="3"/>
  <c r="Y540" i="3" s="1"/>
  <c r="P539" i="3"/>
  <c r="Y539" i="3" s="1"/>
  <c r="P538" i="3"/>
  <c r="Y538" i="3" s="1"/>
  <c r="P537" i="3"/>
  <c r="Y537" i="3" s="1"/>
  <c r="P536" i="3"/>
  <c r="Y536" i="3" s="1"/>
  <c r="P535" i="3"/>
  <c r="Y535" i="3" s="1"/>
  <c r="P534" i="3"/>
  <c r="Y534" i="3" s="1"/>
  <c r="P533" i="3"/>
  <c r="Y533" i="3" s="1"/>
  <c r="P532" i="3"/>
  <c r="Y532" i="3" s="1"/>
  <c r="P531" i="3"/>
  <c r="Y531" i="3" s="1"/>
  <c r="P530" i="3"/>
  <c r="Y530" i="3" s="1"/>
  <c r="P529" i="3"/>
  <c r="Y529" i="3" s="1"/>
  <c r="P528" i="3"/>
  <c r="Y528" i="3" s="1"/>
  <c r="P527" i="3"/>
  <c r="Y527" i="3" s="1"/>
  <c r="P526" i="3"/>
  <c r="Y526" i="3" s="1"/>
  <c r="P525" i="3"/>
  <c r="Y525" i="3" s="1"/>
  <c r="P524" i="3"/>
  <c r="Y524" i="3" s="1"/>
  <c r="P523" i="3"/>
  <c r="Y523" i="3" s="1"/>
  <c r="P522" i="3"/>
  <c r="Y522" i="3" s="1"/>
  <c r="P521" i="3"/>
  <c r="Y521" i="3" s="1"/>
  <c r="P520" i="3"/>
  <c r="Y520" i="3" s="1"/>
  <c r="P519" i="3"/>
  <c r="Y519" i="3" s="1"/>
  <c r="P518" i="3"/>
  <c r="Y518" i="3" s="1"/>
  <c r="P517" i="3"/>
  <c r="Y517" i="3" s="1"/>
  <c r="P516" i="3"/>
  <c r="Y516" i="3" s="1"/>
  <c r="P515" i="3"/>
  <c r="Y515" i="3" s="1"/>
  <c r="P514" i="3"/>
  <c r="Y514" i="3" s="1"/>
  <c r="P513" i="3"/>
  <c r="Y513" i="3" s="1"/>
  <c r="P512" i="3"/>
  <c r="Y512" i="3" s="1"/>
  <c r="P511" i="3"/>
  <c r="Y511" i="3" s="1"/>
  <c r="P510" i="3"/>
  <c r="Y510" i="3" s="1"/>
  <c r="P509" i="3"/>
  <c r="Y509" i="3" s="1"/>
  <c r="P508" i="3"/>
  <c r="Y508" i="3" s="1"/>
  <c r="P507" i="3"/>
  <c r="Y507" i="3" s="1"/>
  <c r="P506" i="3"/>
  <c r="Y506" i="3" s="1"/>
  <c r="P505" i="3"/>
  <c r="Y505" i="3" s="1"/>
  <c r="P504" i="3"/>
  <c r="Y504" i="3" s="1"/>
  <c r="P503" i="3"/>
  <c r="Y503" i="3" s="1"/>
  <c r="P502" i="3"/>
  <c r="Y502" i="3" s="1"/>
  <c r="P501" i="3"/>
  <c r="Y501" i="3" s="1"/>
  <c r="P500" i="3"/>
  <c r="Y500" i="3" s="1"/>
  <c r="P499" i="3"/>
  <c r="Y499" i="3" s="1"/>
  <c r="P498" i="3"/>
  <c r="Y498" i="3" s="1"/>
  <c r="P497" i="3"/>
  <c r="Y497" i="3" s="1"/>
  <c r="P496" i="3"/>
  <c r="Y496" i="3" s="1"/>
  <c r="P495" i="3"/>
  <c r="Y495" i="3" s="1"/>
  <c r="P494" i="3"/>
  <c r="Y494" i="3" s="1"/>
  <c r="P493" i="3"/>
  <c r="Y493" i="3" s="1"/>
  <c r="P492" i="3"/>
  <c r="Y492" i="3" s="1"/>
  <c r="P491" i="3"/>
  <c r="Y491" i="3" s="1"/>
  <c r="P490" i="3"/>
  <c r="Y490" i="3" s="1"/>
  <c r="P489" i="3"/>
  <c r="Y489" i="3" s="1"/>
  <c r="P488" i="3"/>
  <c r="Y488" i="3" s="1"/>
  <c r="P487" i="3"/>
  <c r="Y487" i="3" s="1"/>
  <c r="P486" i="3"/>
  <c r="Y486" i="3" s="1"/>
  <c r="P485" i="3"/>
  <c r="Y485" i="3" s="1"/>
  <c r="P484" i="3"/>
  <c r="Y484" i="3" s="1"/>
  <c r="P483" i="3"/>
  <c r="Y483" i="3" s="1"/>
  <c r="P482" i="3"/>
  <c r="Y482" i="3" s="1"/>
  <c r="P481" i="3"/>
  <c r="Y481" i="3" s="1"/>
  <c r="P480" i="3"/>
  <c r="Y480" i="3" s="1"/>
  <c r="P479" i="3"/>
  <c r="Y479" i="3" s="1"/>
  <c r="P478" i="3"/>
  <c r="Y478" i="3" s="1"/>
  <c r="P477" i="3"/>
  <c r="Y477" i="3" s="1"/>
  <c r="P476" i="3"/>
  <c r="Y476" i="3" s="1"/>
  <c r="P475" i="3"/>
  <c r="Y475" i="3" s="1"/>
  <c r="P474" i="3"/>
  <c r="Y474" i="3" s="1"/>
  <c r="P473" i="3"/>
  <c r="Y473" i="3" s="1"/>
  <c r="P472" i="3"/>
  <c r="Y472" i="3" s="1"/>
  <c r="P471" i="3"/>
  <c r="Y471" i="3" s="1"/>
  <c r="P470" i="3"/>
  <c r="Y470" i="3" s="1"/>
  <c r="P469" i="3"/>
  <c r="Y469" i="3" s="1"/>
  <c r="P468" i="3"/>
  <c r="Y468" i="3" s="1"/>
  <c r="P467" i="3"/>
  <c r="Y467" i="3" s="1"/>
  <c r="P466" i="3"/>
  <c r="Y466" i="3" s="1"/>
  <c r="P465" i="3"/>
  <c r="Y465" i="3" s="1"/>
  <c r="P464" i="3"/>
  <c r="Y464" i="3" s="1"/>
  <c r="P463" i="3"/>
  <c r="Y463" i="3" s="1"/>
  <c r="P462" i="3"/>
  <c r="Y462" i="3" s="1"/>
  <c r="P461" i="3"/>
  <c r="Y461" i="3" s="1"/>
  <c r="P460" i="3"/>
  <c r="Y460" i="3" s="1"/>
  <c r="P459" i="3"/>
  <c r="Y459" i="3" s="1"/>
  <c r="P458" i="3"/>
  <c r="Y458" i="3" s="1"/>
  <c r="P457" i="3"/>
  <c r="Y457" i="3" s="1"/>
  <c r="P456" i="3"/>
  <c r="Y456" i="3" s="1"/>
  <c r="P455" i="3"/>
  <c r="Y455" i="3" s="1"/>
  <c r="P454" i="3"/>
  <c r="Y454" i="3" s="1"/>
  <c r="P453" i="3"/>
  <c r="Y453" i="3" s="1"/>
  <c r="P452" i="3"/>
  <c r="Y452" i="3" s="1"/>
  <c r="P451" i="3"/>
  <c r="Y451" i="3" s="1"/>
  <c r="P450" i="3"/>
  <c r="Y450" i="3" s="1"/>
  <c r="P449" i="3"/>
  <c r="Y449" i="3" s="1"/>
  <c r="P448" i="3"/>
  <c r="Y448" i="3" s="1"/>
  <c r="P447" i="3"/>
  <c r="Y447" i="3" s="1"/>
  <c r="P446" i="3"/>
  <c r="Y446" i="3" s="1"/>
  <c r="P445" i="3"/>
  <c r="Y445" i="3" s="1"/>
  <c r="P444" i="3"/>
  <c r="Y444" i="3" s="1"/>
  <c r="P443" i="3"/>
  <c r="Y443" i="3" s="1"/>
  <c r="P442" i="3"/>
  <c r="Y442" i="3" s="1"/>
  <c r="P441" i="3"/>
  <c r="Y441" i="3" s="1"/>
  <c r="P440" i="3"/>
  <c r="Y440" i="3" s="1"/>
  <c r="P439" i="3"/>
  <c r="Y439" i="3" s="1"/>
  <c r="P438" i="3"/>
  <c r="Y438" i="3" s="1"/>
  <c r="P437" i="3"/>
  <c r="Y437" i="3" s="1"/>
  <c r="P436" i="3"/>
  <c r="Y436" i="3" s="1"/>
  <c r="P435" i="3"/>
  <c r="Y435" i="3" s="1"/>
  <c r="P434" i="3"/>
  <c r="Y434" i="3" s="1"/>
  <c r="P433" i="3"/>
  <c r="Y433" i="3" s="1"/>
  <c r="P432" i="3"/>
  <c r="Y432" i="3" s="1"/>
  <c r="P431" i="3"/>
  <c r="Y431" i="3" s="1"/>
  <c r="P430" i="3"/>
  <c r="Y430" i="3" s="1"/>
  <c r="P429" i="3"/>
  <c r="Y429" i="3" s="1"/>
  <c r="P428" i="3"/>
  <c r="Y428" i="3" s="1"/>
  <c r="P427" i="3"/>
  <c r="Y427" i="3" s="1"/>
  <c r="P426" i="3"/>
  <c r="Y426" i="3" s="1"/>
  <c r="P425" i="3"/>
  <c r="Y425" i="3" s="1"/>
  <c r="P424" i="3"/>
  <c r="Y424" i="3" s="1"/>
  <c r="P423" i="3"/>
  <c r="Y423" i="3" s="1"/>
  <c r="P422" i="3"/>
  <c r="Y422" i="3" s="1"/>
  <c r="P421" i="3"/>
  <c r="Y421" i="3" s="1"/>
  <c r="P420" i="3"/>
  <c r="Y420" i="3" s="1"/>
  <c r="P419" i="3"/>
  <c r="Y419" i="3" s="1"/>
  <c r="P418" i="3"/>
  <c r="Y418" i="3" s="1"/>
  <c r="P417" i="3"/>
  <c r="Y417" i="3" s="1"/>
  <c r="P416" i="3"/>
  <c r="Y416" i="3" s="1"/>
  <c r="P415" i="3"/>
  <c r="Y415" i="3" s="1"/>
  <c r="P414" i="3"/>
  <c r="Y414" i="3" s="1"/>
  <c r="P413" i="3"/>
  <c r="Y413" i="3" s="1"/>
  <c r="P412" i="3"/>
  <c r="Y412" i="3" s="1"/>
  <c r="P411" i="3"/>
  <c r="Y411" i="3" s="1"/>
  <c r="P410" i="3"/>
  <c r="Y410" i="3" s="1"/>
  <c r="P409" i="3"/>
  <c r="Y409" i="3" s="1"/>
  <c r="P408" i="3"/>
  <c r="Y408" i="3" s="1"/>
  <c r="P407" i="3"/>
  <c r="Y407" i="3" s="1"/>
  <c r="P406" i="3"/>
  <c r="Y406" i="3" s="1"/>
  <c r="P405" i="3"/>
  <c r="Y405" i="3" s="1"/>
  <c r="P404" i="3"/>
  <c r="Y404" i="3" s="1"/>
  <c r="P403" i="3"/>
  <c r="Y403" i="3" s="1"/>
  <c r="P402" i="3"/>
  <c r="Y402" i="3" s="1"/>
  <c r="P401" i="3"/>
  <c r="Y401" i="3" s="1"/>
  <c r="P400" i="3"/>
  <c r="Y400" i="3" s="1"/>
  <c r="P399" i="3"/>
  <c r="Y399" i="3" s="1"/>
  <c r="P398" i="3"/>
  <c r="Y398" i="3" s="1"/>
  <c r="P397" i="3"/>
  <c r="Y397" i="3" s="1"/>
  <c r="P396" i="3"/>
  <c r="Y396" i="3" s="1"/>
  <c r="P395" i="3"/>
  <c r="Y395" i="3" s="1"/>
  <c r="P394" i="3"/>
  <c r="Y394" i="3" s="1"/>
  <c r="P393" i="3"/>
  <c r="Y393" i="3" s="1"/>
  <c r="P392" i="3"/>
  <c r="Y392" i="3" s="1"/>
  <c r="P391" i="3"/>
  <c r="Y391" i="3" s="1"/>
  <c r="P390" i="3"/>
  <c r="Y390" i="3" s="1"/>
  <c r="P389" i="3"/>
  <c r="Y389" i="3" s="1"/>
  <c r="P388" i="3"/>
  <c r="Y388" i="3" s="1"/>
  <c r="P387" i="3"/>
  <c r="Y387" i="3" s="1"/>
  <c r="P386" i="3"/>
  <c r="Y386" i="3" s="1"/>
  <c r="P385" i="3"/>
  <c r="Y385" i="3" s="1"/>
  <c r="P384" i="3"/>
  <c r="Y384" i="3" s="1"/>
  <c r="P383" i="3"/>
  <c r="Y383" i="3" s="1"/>
  <c r="P382" i="3"/>
  <c r="Y382" i="3" s="1"/>
  <c r="P381" i="3"/>
  <c r="Y381" i="3" s="1"/>
  <c r="P380" i="3"/>
  <c r="Y380" i="3" s="1"/>
  <c r="P379" i="3"/>
  <c r="Y379" i="3" s="1"/>
  <c r="P378" i="3"/>
  <c r="Y378" i="3" s="1"/>
  <c r="P377" i="3"/>
  <c r="Y377" i="3" s="1"/>
  <c r="P376" i="3"/>
  <c r="Y376" i="3" s="1"/>
  <c r="P375" i="3"/>
  <c r="Y375" i="3" s="1"/>
  <c r="P374" i="3"/>
  <c r="Y374" i="3" s="1"/>
  <c r="P373" i="3"/>
  <c r="Y373" i="3" s="1"/>
  <c r="P372" i="3"/>
  <c r="Y372" i="3" s="1"/>
  <c r="P371" i="3"/>
  <c r="Y371" i="3" s="1"/>
  <c r="P370" i="3"/>
  <c r="Y370" i="3" s="1"/>
  <c r="P369" i="3"/>
  <c r="Y369" i="3" s="1"/>
  <c r="P368" i="3"/>
  <c r="Y368" i="3" s="1"/>
  <c r="P367" i="3"/>
  <c r="Y367" i="3" s="1"/>
  <c r="P366" i="3"/>
  <c r="Y366" i="3" s="1"/>
  <c r="P365" i="3"/>
  <c r="Y365" i="3" s="1"/>
  <c r="P364" i="3"/>
  <c r="Y364" i="3" s="1"/>
  <c r="P363" i="3"/>
  <c r="Y363" i="3" s="1"/>
  <c r="P362" i="3"/>
  <c r="Y362" i="3" s="1"/>
  <c r="P361" i="3"/>
  <c r="Y361" i="3" s="1"/>
  <c r="P360" i="3"/>
  <c r="Y360" i="3" s="1"/>
  <c r="P359" i="3"/>
  <c r="Y359" i="3" s="1"/>
  <c r="P358" i="3"/>
  <c r="Y358" i="3" s="1"/>
  <c r="P357" i="3"/>
  <c r="Y357" i="3" s="1"/>
  <c r="P356" i="3"/>
  <c r="Y356" i="3" s="1"/>
  <c r="P355" i="3"/>
  <c r="Y355" i="3" s="1"/>
  <c r="P354" i="3"/>
  <c r="Y354" i="3" s="1"/>
  <c r="P353" i="3"/>
  <c r="Y353" i="3" s="1"/>
  <c r="P352" i="3"/>
  <c r="Y352" i="3" s="1"/>
  <c r="P351" i="3"/>
  <c r="Y351" i="3" s="1"/>
  <c r="P350" i="3"/>
  <c r="Y350" i="3" s="1"/>
  <c r="P349" i="3"/>
  <c r="Y349" i="3" s="1"/>
  <c r="P348" i="3"/>
  <c r="Y348" i="3" s="1"/>
  <c r="P347" i="3"/>
  <c r="Y347" i="3" s="1"/>
  <c r="P346" i="3"/>
  <c r="Y346" i="3" s="1"/>
  <c r="P345" i="3"/>
  <c r="Y345" i="3" s="1"/>
  <c r="P344" i="3"/>
  <c r="Y344" i="3" s="1"/>
  <c r="P343" i="3"/>
  <c r="Y343" i="3" s="1"/>
  <c r="P342" i="3"/>
  <c r="Y342" i="3" s="1"/>
  <c r="P341" i="3"/>
  <c r="Y341" i="3" s="1"/>
  <c r="P340" i="3"/>
  <c r="Y340" i="3" s="1"/>
  <c r="P339" i="3"/>
  <c r="Y339" i="3" s="1"/>
  <c r="P338" i="3"/>
  <c r="Y338" i="3" s="1"/>
  <c r="P337" i="3"/>
  <c r="Y337" i="3" s="1"/>
  <c r="P336" i="3"/>
  <c r="Y336" i="3" s="1"/>
  <c r="P335" i="3"/>
  <c r="Y335" i="3" s="1"/>
  <c r="P334" i="3"/>
  <c r="Y334" i="3" s="1"/>
  <c r="P333" i="3"/>
  <c r="Y333" i="3" s="1"/>
  <c r="P332" i="3"/>
  <c r="Y332" i="3" s="1"/>
  <c r="P331" i="3"/>
  <c r="Y331" i="3" s="1"/>
  <c r="P330" i="3"/>
  <c r="Y330" i="3" s="1"/>
  <c r="P329" i="3"/>
  <c r="Y329" i="3" s="1"/>
  <c r="P328" i="3"/>
  <c r="Y328" i="3" s="1"/>
  <c r="P327" i="3"/>
  <c r="Y327" i="3" s="1"/>
  <c r="P326" i="3"/>
  <c r="Y326" i="3" s="1"/>
  <c r="P325" i="3"/>
  <c r="Y325" i="3" s="1"/>
  <c r="P324" i="3"/>
  <c r="Y324" i="3" s="1"/>
  <c r="P323" i="3"/>
  <c r="Y323" i="3" s="1"/>
  <c r="P322" i="3"/>
  <c r="Y322" i="3" s="1"/>
  <c r="P321" i="3"/>
  <c r="Y321" i="3" s="1"/>
  <c r="P320" i="3"/>
  <c r="Y320" i="3" s="1"/>
  <c r="P319" i="3"/>
  <c r="Y319" i="3" s="1"/>
  <c r="P318" i="3"/>
  <c r="Y318" i="3" s="1"/>
  <c r="P317" i="3"/>
  <c r="Y317" i="3" s="1"/>
  <c r="P316" i="3"/>
  <c r="Y316" i="3" s="1"/>
  <c r="P315" i="3"/>
  <c r="Y315" i="3" s="1"/>
  <c r="P314" i="3"/>
  <c r="Y314" i="3" s="1"/>
  <c r="P313" i="3"/>
  <c r="Y313" i="3" s="1"/>
  <c r="P312" i="3"/>
  <c r="Y312" i="3" s="1"/>
  <c r="P311" i="3"/>
  <c r="Y311" i="3" s="1"/>
  <c r="P310" i="3"/>
  <c r="Y310" i="3" s="1"/>
  <c r="P309" i="3"/>
  <c r="Y309" i="3" s="1"/>
  <c r="P308" i="3"/>
  <c r="Y308" i="3" s="1"/>
  <c r="P307" i="3"/>
  <c r="Y307" i="3" s="1"/>
  <c r="P306" i="3"/>
  <c r="Y306" i="3" s="1"/>
  <c r="P305" i="3"/>
  <c r="Y305" i="3" s="1"/>
  <c r="P304" i="3"/>
  <c r="Y304" i="3" s="1"/>
  <c r="P303" i="3"/>
  <c r="Y303" i="3" s="1"/>
  <c r="P302" i="3"/>
  <c r="Y302" i="3" s="1"/>
  <c r="P301" i="3"/>
  <c r="Y301" i="3" s="1"/>
  <c r="P300" i="3"/>
  <c r="Y300" i="3" s="1"/>
  <c r="P299" i="3"/>
  <c r="Y299" i="3" s="1"/>
  <c r="P298" i="3"/>
  <c r="Y298" i="3" s="1"/>
  <c r="P297" i="3"/>
  <c r="Y297" i="3" s="1"/>
  <c r="P296" i="3"/>
  <c r="Y296" i="3" s="1"/>
  <c r="P295" i="3"/>
  <c r="Y295" i="3" s="1"/>
  <c r="P294" i="3"/>
  <c r="Y294" i="3" s="1"/>
  <c r="P293" i="3"/>
  <c r="Y293" i="3" s="1"/>
  <c r="P292" i="3"/>
  <c r="Y292" i="3" s="1"/>
  <c r="P291" i="3"/>
  <c r="Y291" i="3" s="1"/>
  <c r="P290" i="3"/>
  <c r="Y290" i="3" s="1"/>
  <c r="P289" i="3"/>
  <c r="Y289" i="3" s="1"/>
  <c r="P288" i="3"/>
  <c r="Y288" i="3" s="1"/>
  <c r="P287" i="3"/>
  <c r="Y287" i="3" s="1"/>
  <c r="P286" i="3"/>
  <c r="Y286" i="3" s="1"/>
  <c r="P285" i="3"/>
  <c r="Y285" i="3" s="1"/>
  <c r="P284" i="3"/>
  <c r="Y284" i="3" s="1"/>
  <c r="P283" i="3"/>
  <c r="Y283" i="3" s="1"/>
  <c r="P282" i="3"/>
  <c r="Y282" i="3" s="1"/>
  <c r="P281" i="3"/>
  <c r="Y281" i="3" s="1"/>
  <c r="P280" i="3"/>
  <c r="Y280" i="3" s="1"/>
  <c r="P279" i="3"/>
  <c r="Y279" i="3" s="1"/>
  <c r="P278" i="3"/>
  <c r="Y278" i="3" s="1"/>
  <c r="P277" i="3"/>
  <c r="Y277" i="3" s="1"/>
  <c r="P276" i="3"/>
  <c r="Y276" i="3" s="1"/>
  <c r="P275" i="3"/>
  <c r="Y275" i="3" s="1"/>
  <c r="P274" i="3"/>
  <c r="Y274" i="3" s="1"/>
  <c r="P273" i="3"/>
  <c r="Y273" i="3" s="1"/>
  <c r="P272" i="3"/>
  <c r="Y272" i="3" s="1"/>
  <c r="P271" i="3"/>
  <c r="Y271" i="3" s="1"/>
  <c r="P270" i="3"/>
  <c r="Y270" i="3" s="1"/>
  <c r="P269" i="3"/>
  <c r="Y269" i="3" s="1"/>
  <c r="P268" i="3"/>
  <c r="Y268" i="3" s="1"/>
  <c r="P267" i="3"/>
  <c r="Y267" i="3" s="1"/>
  <c r="P266" i="3"/>
  <c r="Y266" i="3" s="1"/>
  <c r="P265" i="3"/>
  <c r="Y265" i="3" s="1"/>
  <c r="P264" i="3"/>
  <c r="Y264" i="3" s="1"/>
  <c r="P263" i="3"/>
  <c r="Y263" i="3" s="1"/>
  <c r="P262" i="3"/>
  <c r="Y262" i="3" s="1"/>
  <c r="P261" i="3"/>
  <c r="Y261" i="3" s="1"/>
  <c r="P260" i="3"/>
  <c r="Y260" i="3" s="1"/>
  <c r="P259" i="3"/>
  <c r="Y259" i="3" s="1"/>
  <c r="P258" i="3"/>
  <c r="Y258" i="3" s="1"/>
  <c r="P257" i="3"/>
  <c r="Y257" i="3" s="1"/>
  <c r="P256" i="3"/>
  <c r="Y256" i="3" s="1"/>
  <c r="P255" i="3"/>
  <c r="Y255" i="3" s="1"/>
  <c r="P254" i="3"/>
  <c r="Y254" i="3" s="1"/>
  <c r="P253" i="3"/>
  <c r="Y253" i="3" s="1"/>
  <c r="P252" i="3"/>
  <c r="Y252" i="3" s="1"/>
  <c r="P251" i="3"/>
  <c r="Y251" i="3" s="1"/>
  <c r="P250" i="3"/>
  <c r="Y250" i="3" s="1"/>
  <c r="P249" i="3"/>
  <c r="Y249" i="3" s="1"/>
  <c r="P248" i="3"/>
  <c r="Y248" i="3" s="1"/>
  <c r="P247" i="3"/>
  <c r="Y247" i="3" s="1"/>
  <c r="P246" i="3"/>
  <c r="Y246" i="3" s="1"/>
  <c r="P245" i="3"/>
  <c r="Y245" i="3" s="1"/>
  <c r="P244" i="3"/>
  <c r="Y244" i="3" s="1"/>
  <c r="P243" i="3"/>
  <c r="Y243" i="3" s="1"/>
  <c r="P242" i="3"/>
  <c r="Y242" i="3" s="1"/>
  <c r="P241" i="3"/>
  <c r="Y241" i="3" s="1"/>
  <c r="P240" i="3"/>
  <c r="Y240" i="3" s="1"/>
  <c r="P239" i="3"/>
  <c r="Y239" i="3" s="1"/>
  <c r="P238" i="3"/>
  <c r="Y238" i="3" s="1"/>
  <c r="P237" i="3"/>
  <c r="Y237" i="3" s="1"/>
  <c r="P236" i="3"/>
  <c r="Y236" i="3" s="1"/>
  <c r="P235" i="3"/>
  <c r="Y235" i="3" s="1"/>
  <c r="P234" i="3"/>
  <c r="Y234" i="3" s="1"/>
  <c r="P233" i="3"/>
  <c r="Y233" i="3" s="1"/>
  <c r="P232" i="3"/>
  <c r="Y232" i="3" s="1"/>
  <c r="P231" i="3"/>
  <c r="Y231" i="3" s="1"/>
  <c r="P230" i="3"/>
  <c r="Y230" i="3" s="1"/>
  <c r="P229" i="3"/>
  <c r="Y229" i="3" s="1"/>
  <c r="P228" i="3"/>
  <c r="Y228" i="3" s="1"/>
  <c r="P227" i="3"/>
  <c r="Y227" i="3" s="1"/>
  <c r="P226" i="3"/>
  <c r="Y226" i="3" s="1"/>
  <c r="P225" i="3"/>
  <c r="Y225" i="3" s="1"/>
  <c r="P224" i="3"/>
  <c r="Y224" i="3" s="1"/>
  <c r="P223" i="3"/>
  <c r="Y223" i="3" s="1"/>
  <c r="P222" i="3"/>
  <c r="Y222" i="3" s="1"/>
  <c r="P221" i="3"/>
  <c r="Y221" i="3" s="1"/>
  <c r="P220" i="3"/>
  <c r="Y220" i="3" s="1"/>
  <c r="P219" i="3"/>
  <c r="Y219" i="3" s="1"/>
  <c r="P218" i="3"/>
  <c r="Y218" i="3" s="1"/>
  <c r="P217" i="3"/>
  <c r="Y217" i="3" s="1"/>
  <c r="P216" i="3"/>
  <c r="Y216" i="3" s="1"/>
  <c r="P215" i="3"/>
  <c r="Y215" i="3" s="1"/>
  <c r="P214" i="3"/>
  <c r="Y214" i="3" s="1"/>
  <c r="P213" i="3"/>
  <c r="Y213" i="3" s="1"/>
  <c r="P212" i="3"/>
  <c r="Y212" i="3" s="1"/>
  <c r="P211" i="3"/>
  <c r="Y211" i="3" s="1"/>
  <c r="P210" i="3"/>
  <c r="Y210" i="3" s="1"/>
  <c r="P209" i="3"/>
  <c r="Y209" i="3" s="1"/>
  <c r="P208" i="3"/>
  <c r="Y208" i="3" s="1"/>
  <c r="P207" i="3"/>
  <c r="Y207" i="3" s="1"/>
  <c r="P206" i="3"/>
  <c r="Y206" i="3" s="1"/>
  <c r="P205" i="3"/>
  <c r="Y205" i="3" s="1"/>
  <c r="P204" i="3"/>
  <c r="Y204" i="3" s="1"/>
  <c r="P203" i="3"/>
  <c r="Y203" i="3" s="1"/>
  <c r="P202" i="3"/>
  <c r="Y202" i="3" s="1"/>
  <c r="P201" i="3"/>
  <c r="Y201" i="3" s="1"/>
  <c r="P200" i="3"/>
  <c r="Y200" i="3" s="1"/>
  <c r="P199" i="3"/>
  <c r="Y199" i="3" s="1"/>
  <c r="P198" i="3"/>
  <c r="Y198" i="3" s="1"/>
  <c r="P197" i="3"/>
  <c r="Y197" i="3" s="1"/>
  <c r="P196" i="3"/>
  <c r="Y196" i="3" s="1"/>
  <c r="P195" i="3"/>
  <c r="Y195" i="3" s="1"/>
  <c r="P194" i="3"/>
  <c r="Y194" i="3" s="1"/>
  <c r="P193" i="3"/>
  <c r="Y193" i="3" s="1"/>
  <c r="P192" i="3"/>
  <c r="Y192" i="3" s="1"/>
  <c r="P191" i="3"/>
  <c r="Y191" i="3" s="1"/>
  <c r="P190" i="3"/>
  <c r="Y190" i="3" s="1"/>
  <c r="P189" i="3"/>
  <c r="Y189" i="3" s="1"/>
  <c r="P188" i="3"/>
  <c r="Y188" i="3" s="1"/>
  <c r="P187" i="3"/>
  <c r="Y187" i="3" s="1"/>
  <c r="P186" i="3"/>
  <c r="Y186" i="3" s="1"/>
  <c r="P185" i="3"/>
  <c r="Y185" i="3" s="1"/>
  <c r="P184" i="3"/>
  <c r="Y184" i="3" s="1"/>
  <c r="P183" i="3"/>
  <c r="Y183" i="3" s="1"/>
  <c r="P182" i="3"/>
  <c r="Y182" i="3" s="1"/>
  <c r="P181" i="3"/>
  <c r="Y181" i="3" s="1"/>
  <c r="P180" i="3"/>
  <c r="Y180" i="3" s="1"/>
  <c r="P179" i="3"/>
  <c r="Y179" i="3" s="1"/>
  <c r="P178" i="3"/>
  <c r="Y178" i="3" s="1"/>
  <c r="P177" i="3"/>
  <c r="Y177" i="3" s="1"/>
  <c r="P176" i="3"/>
  <c r="Y176" i="3" s="1"/>
  <c r="P175" i="3"/>
  <c r="Y175" i="3" s="1"/>
  <c r="P174" i="3"/>
  <c r="Y174" i="3" s="1"/>
  <c r="P173" i="3"/>
  <c r="Y173" i="3" s="1"/>
  <c r="P172" i="3"/>
  <c r="Y172" i="3" s="1"/>
  <c r="P171" i="3"/>
  <c r="Y171" i="3" s="1"/>
  <c r="P170" i="3"/>
  <c r="Y170" i="3" s="1"/>
  <c r="P169" i="3"/>
  <c r="Y169" i="3" s="1"/>
  <c r="P168" i="3"/>
  <c r="Y168" i="3" s="1"/>
  <c r="P167" i="3"/>
  <c r="Y167" i="3" s="1"/>
  <c r="P166" i="3"/>
  <c r="Y166" i="3" s="1"/>
  <c r="P165" i="3"/>
  <c r="Y165" i="3" s="1"/>
  <c r="P164" i="3"/>
  <c r="Y164" i="3" s="1"/>
  <c r="P163" i="3"/>
  <c r="Y163" i="3" s="1"/>
  <c r="P162" i="3"/>
  <c r="Y162" i="3" s="1"/>
  <c r="P161" i="3"/>
  <c r="Y161" i="3" s="1"/>
  <c r="P160" i="3"/>
  <c r="Y160" i="3" s="1"/>
  <c r="P159" i="3"/>
  <c r="Y159" i="3" s="1"/>
  <c r="P158" i="3"/>
  <c r="Y158" i="3" s="1"/>
  <c r="P157" i="3"/>
  <c r="Y157" i="3" s="1"/>
  <c r="P156" i="3"/>
  <c r="Y156" i="3" s="1"/>
  <c r="P155" i="3"/>
  <c r="Y155" i="3" s="1"/>
  <c r="P154" i="3"/>
  <c r="Y154" i="3" s="1"/>
  <c r="P153" i="3"/>
  <c r="Y153" i="3" s="1"/>
  <c r="P152" i="3"/>
  <c r="Y152" i="3" s="1"/>
  <c r="P151" i="3"/>
  <c r="Y151" i="3" s="1"/>
  <c r="P150" i="3"/>
  <c r="Y150" i="3" s="1"/>
  <c r="P149" i="3"/>
  <c r="Y149" i="3" s="1"/>
  <c r="P148" i="3"/>
  <c r="Y148" i="3" s="1"/>
  <c r="P147" i="3"/>
  <c r="Y147" i="3" s="1"/>
  <c r="P146" i="3"/>
  <c r="Y146" i="3" s="1"/>
  <c r="P145" i="3"/>
  <c r="Y145" i="3" s="1"/>
  <c r="P144" i="3"/>
  <c r="Y144" i="3" s="1"/>
  <c r="P143" i="3"/>
  <c r="Y143" i="3" s="1"/>
  <c r="P142" i="3"/>
  <c r="Y142" i="3" s="1"/>
  <c r="P141" i="3"/>
  <c r="Y141" i="3" s="1"/>
  <c r="P140" i="3"/>
  <c r="Y140" i="3" s="1"/>
  <c r="P139" i="3"/>
  <c r="Y139" i="3" s="1"/>
  <c r="P138" i="3"/>
  <c r="Y138" i="3" s="1"/>
  <c r="P137" i="3"/>
  <c r="Y137" i="3" s="1"/>
  <c r="P136" i="3"/>
  <c r="Y136" i="3" s="1"/>
  <c r="P135" i="3"/>
  <c r="Y135" i="3" s="1"/>
  <c r="P134" i="3"/>
  <c r="Y134" i="3" s="1"/>
  <c r="P133" i="3"/>
  <c r="Y133" i="3" s="1"/>
  <c r="P132" i="3"/>
  <c r="Y132" i="3" s="1"/>
  <c r="P131" i="3"/>
  <c r="Y131" i="3" s="1"/>
  <c r="P130" i="3"/>
  <c r="Y130" i="3" s="1"/>
  <c r="P129" i="3"/>
  <c r="Y129" i="3" s="1"/>
  <c r="P128" i="3"/>
  <c r="Y128" i="3" s="1"/>
  <c r="P127" i="3"/>
  <c r="Y127" i="3" s="1"/>
  <c r="P126" i="3"/>
  <c r="Y126" i="3" s="1"/>
  <c r="P125" i="3"/>
  <c r="Y125" i="3" s="1"/>
  <c r="P124" i="3"/>
  <c r="Y124" i="3" s="1"/>
  <c r="P123" i="3"/>
  <c r="Y123" i="3" s="1"/>
  <c r="P122" i="3"/>
  <c r="Y122" i="3" s="1"/>
  <c r="P121" i="3"/>
  <c r="Y121" i="3" s="1"/>
  <c r="P120" i="3"/>
  <c r="Y120" i="3" s="1"/>
  <c r="P119" i="3"/>
  <c r="Y119" i="3" s="1"/>
  <c r="P118" i="3"/>
  <c r="Y118" i="3" s="1"/>
  <c r="P117" i="3"/>
  <c r="Y117" i="3" s="1"/>
  <c r="P116" i="3"/>
  <c r="Y116" i="3" s="1"/>
  <c r="P115" i="3"/>
  <c r="Y115" i="3" s="1"/>
  <c r="P114" i="3"/>
  <c r="Y114" i="3" s="1"/>
  <c r="P113" i="3"/>
  <c r="Y113" i="3" s="1"/>
  <c r="P112" i="3"/>
  <c r="Y112" i="3" s="1"/>
  <c r="P111" i="3"/>
  <c r="Y111" i="3" s="1"/>
  <c r="P110" i="3"/>
  <c r="Y110" i="3" s="1"/>
  <c r="P109" i="3"/>
  <c r="Y109" i="3" s="1"/>
  <c r="P108" i="3"/>
  <c r="Y108" i="3" s="1"/>
  <c r="P107" i="3"/>
  <c r="Y107" i="3" s="1"/>
  <c r="P106" i="3"/>
  <c r="Y106" i="3" s="1"/>
  <c r="P105" i="3"/>
  <c r="Y105" i="3" s="1"/>
  <c r="P104" i="3"/>
  <c r="Y104" i="3" s="1"/>
  <c r="P103" i="3"/>
  <c r="Y103" i="3" s="1"/>
  <c r="P102" i="3"/>
  <c r="Y102" i="3" s="1"/>
  <c r="P101" i="3"/>
  <c r="Y101" i="3" s="1"/>
  <c r="P100" i="3"/>
  <c r="Y100" i="3" s="1"/>
  <c r="P99" i="3"/>
  <c r="Y99" i="3" s="1"/>
  <c r="P98" i="3"/>
  <c r="Y98" i="3" s="1"/>
  <c r="P97" i="3"/>
  <c r="Y97" i="3" s="1"/>
  <c r="P96" i="3"/>
  <c r="Y96" i="3" s="1"/>
  <c r="P95" i="3"/>
  <c r="Y95" i="3" s="1"/>
  <c r="P94" i="3"/>
  <c r="Y94" i="3" s="1"/>
  <c r="P93" i="3"/>
  <c r="Y93" i="3" s="1"/>
  <c r="P92" i="3"/>
  <c r="Y92" i="3" s="1"/>
  <c r="P91" i="3"/>
  <c r="Y91" i="3" s="1"/>
  <c r="P90" i="3"/>
  <c r="Y90" i="3" s="1"/>
  <c r="P89" i="3"/>
  <c r="Y89" i="3" s="1"/>
  <c r="P88" i="3"/>
  <c r="Y88" i="3" s="1"/>
  <c r="P87" i="3"/>
  <c r="Y87" i="3" s="1"/>
  <c r="P86" i="3"/>
  <c r="Y86" i="3" s="1"/>
  <c r="P85" i="3"/>
  <c r="Y85" i="3" s="1"/>
  <c r="P84" i="3"/>
  <c r="Y84" i="3" s="1"/>
  <c r="P83" i="3"/>
  <c r="Y83" i="3" s="1"/>
  <c r="P82" i="3"/>
  <c r="Y82" i="3" s="1"/>
  <c r="P81" i="3"/>
  <c r="Y81" i="3" s="1"/>
  <c r="P80" i="3"/>
  <c r="Y80" i="3" s="1"/>
  <c r="P79" i="3"/>
  <c r="Y79" i="3" s="1"/>
  <c r="P78" i="3"/>
  <c r="Y78" i="3" s="1"/>
  <c r="P77" i="3"/>
  <c r="Y77" i="3" s="1"/>
  <c r="P76" i="3"/>
  <c r="Y76" i="3" s="1"/>
  <c r="P75" i="3"/>
  <c r="Y75" i="3" s="1"/>
  <c r="P74" i="3"/>
  <c r="Y74" i="3" s="1"/>
  <c r="P73" i="3"/>
  <c r="Y73" i="3" s="1"/>
  <c r="P72" i="3"/>
  <c r="Y72" i="3" s="1"/>
  <c r="P71" i="3"/>
  <c r="Y71" i="3" s="1"/>
  <c r="P70" i="3"/>
  <c r="Y70" i="3" s="1"/>
  <c r="P69" i="3"/>
  <c r="Y69" i="3" s="1"/>
  <c r="P68" i="3"/>
  <c r="Y68" i="3" s="1"/>
  <c r="P67" i="3"/>
  <c r="Y67" i="3" s="1"/>
  <c r="P66" i="3"/>
  <c r="Y66" i="3" s="1"/>
  <c r="P65" i="3"/>
  <c r="Y65" i="3" s="1"/>
  <c r="P64" i="3"/>
  <c r="Y64" i="3" s="1"/>
  <c r="P63" i="3"/>
  <c r="Y63" i="3" s="1"/>
  <c r="P62" i="3"/>
  <c r="Y62" i="3" s="1"/>
  <c r="P61" i="3"/>
  <c r="Y61" i="3" s="1"/>
  <c r="P60" i="3"/>
  <c r="Y60" i="3" s="1"/>
  <c r="P59" i="3"/>
  <c r="Y59" i="3" s="1"/>
  <c r="P58" i="3"/>
  <c r="Y58" i="3" s="1"/>
  <c r="P57" i="3"/>
  <c r="Y57" i="3" s="1"/>
  <c r="P56" i="3"/>
  <c r="Y56" i="3" s="1"/>
  <c r="P55" i="3"/>
  <c r="Y55" i="3" s="1"/>
  <c r="P54" i="3"/>
  <c r="Y54" i="3" s="1"/>
  <c r="P53" i="3"/>
  <c r="Y53" i="3" s="1"/>
  <c r="P52" i="3"/>
  <c r="Y52" i="3" s="1"/>
  <c r="P51" i="3"/>
  <c r="Y51" i="3" s="1"/>
  <c r="P50" i="3"/>
  <c r="Y50" i="3" s="1"/>
  <c r="P49" i="3"/>
  <c r="Y49" i="3" s="1"/>
  <c r="P48" i="3"/>
  <c r="Y48" i="3" s="1"/>
  <c r="P47" i="3"/>
  <c r="Y47" i="3" s="1"/>
  <c r="P46" i="3"/>
  <c r="Y46" i="3" s="1"/>
  <c r="P45" i="3"/>
  <c r="Y45" i="3" s="1"/>
  <c r="P44" i="3"/>
  <c r="Y44" i="3" s="1"/>
  <c r="P43" i="3"/>
  <c r="Y43" i="3" s="1"/>
  <c r="P42" i="3"/>
  <c r="Y42" i="3" s="1"/>
  <c r="P41" i="3"/>
  <c r="Y41" i="3" s="1"/>
  <c r="P40" i="3"/>
  <c r="Y40" i="3" s="1"/>
  <c r="P39" i="3"/>
  <c r="Y39" i="3" s="1"/>
  <c r="P38" i="3"/>
  <c r="Y38" i="3" s="1"/>
  <c r="P37" i="3"/>
  <c r="Y37" i="3" s="1"/>
  <c r="P36" i="3"/>
  <c r="Y36" i="3" s="1"/>
  <c r="P35" i="3"/>
  <c r="Y35" i="3" s="1"/>
  <c r="P34" i="3"/>
  <c r="Y34" i="3" s="1"/>
  <c r="P33" i="3"/>
  <c r="Y33" i="3" s="1"/>
  <c r="P32" i="3"/>
  <c r="Y32" i="3" s="1"/>
  <c r="P31" i="3"/>
  <c r="Y31" i="3" s="1"/>
  <c r="P30" i="3"/>
  <c r="Y30" i="3" s="1"/>
  <c r="P29" i="3"/>
  <c r="Y29" i="3" s="1"/>
  <c r="P28" i="3"/>
  <c r="Y28" i="3" s="1"/>
  <c r="P27" i="3"/>
  <c r="Y27" i="3" s="1"/>
  <c r="P26" i="3"/>
  <c r="Y26" i="3" s="1"/>
  <c r="P25" i="3"/>
  <c r="Y25" i="3" s="1"/>
  <c r="P24" i="3"/>
  <c r="Y24" i="3" s="1"/>
  <c r="P23" i="3"/>
  <c r="Y23" i="3" s="1"/>
  <c r="P22" i="3"/>
  <c r="Y22" i="3" s="1"/>
  <c r="P21" i="3"/>
  <c r="Y21" i="3" s="1"/>
  <c r="P20" i="3"/>
  <c r="Y20" i="3" s="1"/>
  <c r="P19" i="3"/>
  <c r="Y19" i="3" s="1"/>
  <c r="P18" i="3"/>
  <c r="Y18" i="3" s="1"/>
  <c r="P17" i="3"/>
  <c r="Y17" i="3" s="1"/>
  <c r="P16" i="3"/>
  <c r="Y16" i="3" s="1"/>
  <c r="P15" i="3"/>
  <c r="Y15" i="3" s="1"/>
  <c r="P14" i="3"/>
  <c r="Y14" i="3" s="1"/>
  <c r="P13" i="3"/>
  <c r="Y13" i="3" s="1"/>
  <c r="P12" i="3"/>
  <c r="Y12" i="3" s="1"/>
  <c r="P11" i="3"/>
  <c r="Y11" i="3" s="1"/>
  <c r="P10" i="3"/>
  <c r="Y10" i="3" s="1"/>
  <c r="P9" i="3"/>
  <c r="Y9" i="3" s="1"/>
  <c r="P8" i="3"/>
  <c r="Y8" i="3" s="1"/>
  <c r="P7" i="3"/>
  <c r="Y7" i="3" s="1"/>
  <c r="P6" i="3"/>
  <c r="Y6" i="3" s="1"/>
  <c r="P5" i="3"/>
  <c r="Y5" i="3" s="1"/>
  <c r="P4" i="3"/>
  <c r="Y4" i="3" s="1"/>
  <c r="P3" i="3"/>
  <c r="Y3" i="3" s="1"/>
  <c r="P2" i="3"/>
  <c r="Y2" i="3" s="1"/>
  <c r="O1307" i="3"/>
  <c r="X1307" i="3" s="1"/>
  <c r="O1306" i="3"/>
  <c r="X1306" i="3" s="1"/>
  <c r="O1305" i="3"/>
  <c r="X1305" i="3" s="1"/>
  <c r="O1304" i="3"/>
  <c r="X1304" i="3" s="1"/>
  <c r="O1303" i="3"/>
  <c r="X1303" i="3" s="1"/>
  <c r="O1302" i="3"/>
  <c r="X1302" i="3" s="1"/>
  <c r="O1301" i="3"/>
  <c r="X1301" i="3" s="1"/>
  <c r="O1300" i="3"/>
  <c r="X1300" i="3" s="1"/>
  <c r="O1299" i="3"/>
  <c r="X1299" i="3" s="1"/>
  <c r="O1298" i="3"/>
  <c r="X1298" i="3" s="1"/>
  <c r="O1297" i="3"/>
  <c r="X1297" i="3" s="1"/>
  <c r="O1296" i="3"/>
  <c r="X1296" i="3" s="1"/>
  <c r="O1295" i="3"/>
  <c r="X1295" i="3" s="1"/>
  <c r="O1294" i="3"/>
  <c r="X1294" i="3" s="1"/>
  <c r="O1293" i="3"/>
  <c r="X1293" i="3" s="1"/>
  <c r="O1292" i="3"/>
  <c r="X1292" i="3" s="1"/>
  <c r="O1291" i="3"/>
  <c r="X1291" i="3" s="1"/>
  <c r="O1290" i="3"/>
  <c r="X1290" i="3" s="1"/>
  <c r="O1289" i="3"/>
  <c r="X1289" i="3" s="1"/>
  <c r="O1288" i="3"/>
  <c r="X1288" i="3" s="1"/>
  <c r="O1287" i="3"/>
  <c r="X1287" i="3" s="1"/>
  <c r="O1286" i="3"/>
  <c r="X1286" i="3" s="1"/>
  <c r="O1285" i="3"/>
  <c r="X1285" i="3" s="1"/>
  <c r="O1284" i="3"/>
  <c r="X1284" i="3" s="1"/>
  <c r="O1283" i="3"/>
  <c r="X1283" i="3" s="1"/>
  <c r="O1282" i="3"/>
  <c r="X1282" i="3" s="1"/>
  <c r="O1281" i="3"/>
  <c r="X1281" i="3" s="1"/>
  <c r="O1280" i="3"/>
  <c r="X1280" i="3" s="1"/>
  <c r="O1279" i="3"/>
  <c r="X1279" i="3" s="1"/>
  <c r="O1278" i="3"/>
  <c r="X1278" i="3" s="1"/>
  <c r="O1277" i="3"/>
  <c r="X1277" i="3" s="1"/>
  <c r="O1276" i="3"/>
  <c r="X1276" i="3" s="1"/>
  <c r="O1275" i="3"/>
  <c r="X1275" i="3" s="1"/>
  <c r="O1274" i="3"/>
  <c r="X1274" i="3" s="1"/>
  <c r="O1273" i="3"/>
  <c r="X1273" i="3" s="1"/>
  <c r="O1272" i="3"/>
  <c r="X1272" i="3" s="1"/>
  <c r="O1271" i="3"/>
  <c r="X1271" i="3" s="1"/>
  <c r="O1270" i="3"/>
  <c r="X1270" i="3" s="1"/>
  <c r="O1269" i="3"/>
  <c r="X1269" i="3" s="1"/>
  <c r="O1268" i="3"/>
  <c r="X1268" i="3" s="1"/>
  <c r="O1267" i="3"/>
  <c r="X1267" i="3" s="1"/>
  <c r="O1266" i="3"/>
  <c r="X1266" i="3" s="1"/>
  <c r="O1265" i="3"/>
  <c r="X1265" i="3" s="1"/>
  <c r="O1264" i="3"/>
  <c r="X1264" i="3" s="1"/>
  <c r="O1263" i="3"/>
  <c r="X1263" i="3" s="1"/>
  <c r="O1262" i="3"/>
  <c r="X1262" i="3" s="1"/>
  <c r="O1261" i="3"/>
  <c r="X1261" i="3" s="1"/>
  <c r="O1260" i="3"/>
  <c r="X1260" i="3" s="1"/>
  <c r="O1259" i="3"/>
  <c r="X1259" i="3" s="1"/>
  <c r="O1258" i="3"/>
  <c r="X1258" i="3" s="1"/>
  <c r="O1257" i="3"/>
  <c r="X1257" i="3" s="1"/>
  <c r="O1256" i="3"/>
  <c r="X1256" i="3" s="1"/>
  <c r="O1255" i="3"/>
  <c r="X1255" i="3" s="1"/>
  <c r="O1254" i="3"/>
  <c r="X1254" i="3" s="1"/>
  <c r="O1253" i="3"/>
  <c r="X1253" i="3" s="1"/>
  <c r="O1252" i="3"/>
  <c r="X1252" i="3" s="1"/>
  <c r="O1251" i="3"/>
  <c r="X1251" i="3" s="1"/>
  <c r="O1250" i="3"/>
  <c r="X1250" i="3" s="1"/>
  <c r="O1249" i="3"/>
  <c r="X1249" i="3" s="1"/>
  <c r="O1248" i="3"/>
  <c r="X1248" i="3" s="1"/>
  <c r="O1247" i="3"/>
  <c r="X1247" i="3" s="1"/>
  <c r="O1246" i="3"/>
  <c r="X1246" i="3" s="1"/>
  <c r="O1245" i="3"/>
  <c r="X1245" i="3" s="1"/>
  <c r="O1244" i="3"/>
  <c r="X1244" i="3" s="1"/>
  <c r="O1243" i="3"/>
  <c r="X1243" i="3" s="1"/>
  <c r="O1242" i="3"/>
  <c r="X1242" i="3" s="1"/>
  <c r="O1241" i="3"/>
  <c r="X1241" i="3" s="1"/>
  <c r="O1240" i="3"/>
  <c r="X1240" i="3" s="1"/>
  <c r="O1239" i="3"/>
  <c r="X1239" i="3" s="1"/>
  <c r="O1238" i="3"/>
  <c r="X1238" i="3" s="1"/>
  <c r="O1237" i="3"/>
  <c r="X1237" i="3" s="1"/>
  <c r="O1236" i="3"/>
  <c r="X1236" i="3" s="1"/>
  <c r="O1235" i="3"/>
  <c r="X1235" i="3" s="1"/>
  <c r="O1234" i="3"/>
  <c r="X1234" i="3" s="1"/>
  <c r="O1233" i="3"/>
  <c r="X1233" i="3" s="1"/>
  <c r="O1232" i="3"/>
  <c r="X1232" i="3" s="1"/>
  <c r="O1231" i="3"/>
  <c r="X1231" i="3" s="1"/>
  <c r="O1230" i="3"/>
  <c r="X1230" i="3" s="1"/>
  <c r="O1229" i="3"/>
  <c r="X1229" i="3" s="1"/>
  <c r="O1228" i="3"/>
  <c r="X1228" i="3" s="1"/>
  <c r="O1227" i="3"/>
  <c r="X1227" i="3" s="1"/>
  <c r="O1226" i="3"/>
  <c r="X1226" i="3" s="1"/>
  <c r="O1225" i="3"/>
  <c r="X1225" i="3" s="1"/>
  <c r="O1224" i="3"/>
  <c r="X1224" i="3" s="1"/>
  <c r="O1223" i="3"/>
  <c r="X1223" i="3" s="1"/>
  <c r="O1222" i="3"/>
  <c r="X1222" i="3" s="1"/>
  <c r="O1221" i="3"/>
  <c r="X1221" i="3" s="1"/>
  <c r="O1220" i="3"/>
  <c r="X1220" i="3" s="1"/>
  <c r="O1219" i="3"/>
  <c r="X1219" i="3" s="1"/>
  <c r="O1218" i="3"/>
  <c r="X1218" i="3" s="1"/>
  <c r="O1217" i="3"/>
  <c r="X1217" i="3" s="1"/>
  <c r="O1216" i="3"/>
  <c r="X1216" i="3" s="1"/>
  <c r="O1215" i="3"/>
  <c r="X1215" i="3" s="1"/>
  <c r="O1214" i="3"/>
  <c r="X1214" i="3" s="1"/>
  <c r="O1213" i="3"/>
  <c r="X1213" i="3" s="1"/>
  <c r="O1212" i="3"/>
  <c r="X1212" i="3" s="1"/>
  <c r="O1211" i="3"/>
  <c r="X1211" i="3" s="1"/>
  <c r="O1210" i="3"/>
  <c r="X1210" i="3" s="1"/>
  <c r="O1209" i="3"/>
  <c r="X1209" i="3" s="1"/>
  <c r="O1208" i="3"/>
  <c r="X1208" i="3" s="1"/>
  <c r="O1207" i="3"/>
  <c r="X1207" i="3" s="1"/>
  <c r="O1206" i="3"/>
  <c r="X1206" i="3" s="1"/>
  <c r="O1205" i="3"/>
  <c r="X1205" i="3" s="1"/>
  <c r="O1204" i="3"/>
  <c r="X1204" i="3" s="1"/>
  <c r="O1203" i="3"/>
  <c r="X1203" i="3" s="1"/>
  <c r="O1202" i="3"/>
  <c r="X1202" i="3" s="1"/>
  <c r="O1201" i="3"/>
  <c r="X1201" i="3" s="1"/>
  <c r="O1200" i="3"/>
  <c r="X1200" i="3" s="1"/>
  <c r="O1199" i="3"/>
  <c r="X1199" i="3" s="1"/>
  <c r="O1198" i="3"/>
  <c r="X1198" i="3" s="1"/>
  <c r="O1197" i="3"/>
  <c r="X1197" i="3" s="1"/>
  <c r="O1196" i="3"/>
  <c r="X1196" i="3" s="1"/>
  <c r="O1195" i="3"/>
  <c r="X1195" i="3" s="1"/>
  <c r="O1194" i="3"/>
  <c r="X1194" i="3" s="1"/>
  <c r="O1193" i="3"/>
  <c r="X1193" i="3" s="1"/>
  <c r="O1192" i="3"/>
  <c r="X1192" i="3" s="1"/>
  <c r="O1191" i="3"/>
  <c r="X1191" i="3" s="1"/>
  <c r="O1190" i="3"/>
  <c r="X1190" i="3" s="1"/>
  <c r="O1189" i="3"/>
  <c r="X1189" i="3" s="1"/>
  <c r="O1188" i="3"/>
  <c r="X1188" i="3" s="1"/>
  <c r="O1187" i="3"/>
  <c r="X1187" i="3" s="1"/>
  <c r="O1186" i="3"/>
  <c r="X1186" i="3" s="1"/>
  <c r="O1185" i="3"/>
  <c r="X1185" i="3" s="1"/>
  <c r="O1184" i="3"/>
  <c r="X1184" i="3" s="1"/>
  <c r="O1183" i="3"/>
  <c r="X1183" i="3" s="1"/>
  <c r="O1182" i="3"/>
  <c r="X1182" i="3" s="1"/>
  <c r="O1181" i="3"/>
  <c r="X1181" i="3" s="1"/>
  <c r="O1180" i="3"/>
  <c r="X1180" i="3" s="1"/>
  <c r="O1179" i="3"/>
  <c r="X1179" i="3" s="1"/>
  <c r="O1178" i="3"/>
  <c r="X1178" i="3" s="1"/>
  <c r="O1177" i="3"/>
  <c r="X1177" i="3" s="1"/>
  <c r="O1176" i="3"/>
  <c r="X1176" i="3" s="1"/>
  <c r="O1175" i="3"/>
  <c r="X1175" i="3" s="1"/>
  <c r="O1174" i="3"/>
  <c r="X1174" i="3" s="1"/>
  <c r="O1173" i="3"/>
  <c r="X1173" i="3" s="1"/>
  <c r="O1172" i="3"/>
  <c r="X1172" i="3" s="1"/>
  <c r="O1171" i="3"/>
  <c r="X1171" i="3" s="1"/>
  <c r="O1170" i="3"/>
  <c r="X1170" i="3" s="1"/>
  <c r="O1169" i="3"/>
  <c r="X1169" i="3" s="1"/>
  <c r="O1168" i="3"/>
  <c r="X1168" i="3" s="1"/>
  <c r="O1167" i="3"/>
  <c r="X1167" i="3" s="1"/>
  <c r="O1166" i="3"/>
  <c r="X1166" i="3" s="1"/>
  <c r="O1165" i="3"/>
  <c r="X1165" i="3" s="1"/>
  <c r="O1164" i="3"/>
  <c r="X1164" i="3" s="1"/>
  <c r="O1163" i="3"/>
  <c r="X1163" i="3" s="1"/>
  <c r="O1162" i="3"/>
  <c r="X1162" i="3" s="1"/>
  <c r="O1161" i="3"/>
  <c r="X1161" i="3" s="1"/>
  <c r="O1160" i="3"/>
  <c r="X1160" i="3" s="1"/>
  <c r="O1159" i="3"/>
  <c r="X1159" i="3" s="1"/>
  <c r="O1158" i="3"/>
  <c r="X1158" i="3" s="1"/>
  <c r="O1157" i="3"/>
  <c r="X1157" i="3" s="1"/>
  <c r="O1156" i="3"/>
  <c r="X1156" i="3" s="1"/>
  <c r="O1155" i="3"/>
  <c r="X1155" i="3" s="1"/>
  <c r="O1154" i="3"/>
  <c r="X1154" i="3" s="1"/>
  <c r="O1153" i="3"/>
  <c r="X1153" i="3" s="1"/>
  <c r="O1152" i="3"/>
  <c r="X1152" i="3" s="1"/>
  <c r="O1151" i="3"/>
  <c r="X1151" i="3" s="1"/>
  <c r="O1150" i="3"/>
  <c r="X1150" i="3" s="1"/>
  <c r="O1149" i="3"/>
  <c r="X1149" i="3" s="1"/>
  <c r="O1148" i="3"/>
  <c r="X1148" i="3" s="1"/>
  <c r="O1147" i="3"/>
  <c r="X1147" i="3" s="1"/>
  <c r="O1146" i="3"/>
  <c r="X1146" i="3" s="1"/>
  <c r="O1145" i="3"/>
  <c r="X1145" i="3" s="1"/>
  <c r="O1144" i="3"/>
  <c r="X1144" i="3" s="1"/>
  <c r="O1143" i="3"/>
  <c r="X1143" i="3" s="1"/>
  <c r="O1142" i="3"/>
  <c r="X1142" i="3" s="1"/>
  <c r="O1141" i="3"/>
  <c r="X1141" i="3" s="1"/>
  <c r="O1140" i="3"/>
  <c r="X1140" i="3" s="1"/>
  <c r="O1139" i="3"/>
  <c r="X1139" i="3" s="1"/>
  <c r="O1138" i="3"/>
  <c r="X1138" i="3" s="1"/>
  <c r="O1137" i="3"/>
  <c r="X1137" i="3" s="1"/>
  <c r="O1136" i="3"/>
  <c r="X1136" i="3" s="1"/>
  <c r="O1135" i="3"/>
  <c r="X1135" i="3" s="1"/>
  <c r="O1134" i="3"/>
  <c r="X1134" i="3" s="1"/>
  <c r="O1133" i="3"/>
  <c r="X1133" i="3" s="1"/>
  <c r="O1132" i="3"/>
  <c r="X1132" i="3" s="1"/>
  <c r="O1131" i="3"/>
  <c r="X1131" i="3" s="1"/>
  <c r="O1130" i="3"/>
  <c r="X1130" i="3" s="1"/>
  <c r="O1129" i="3"/>
  <c r="X1129" i="3" s="1"/>
  <c r="O1128" i="3"/>
  <c r="X1128" i="3" s="1"/>
  <c r="O1127" i="3"/>
  <c r="X1127" i="3" s="1"/>
  <c r="O1126" i="3"/>
  <c r="X1126" i="3" s="1"/>
  <c r="O1125" i="3"/>
  <c r="X1125" i="3" s="1"/>
  <c r="O1124" i="3"/>
  <c r="X1124" i="3" s="1"/>
  <c r="O1123" i="3"/>
  <c r="X1123" i="3" s="1"/>
  <c r="O1122" i="3"/>
  <c r="X1122" i="3" s="1"/>
  <c r="O1121" i="3"/>
  <c r="X1121" i="3" s="1"/>
  <c r="O1120" i="3"/>
  <c r="X1120" i="3" s="1"/>
  <c r="O1119" i="3"/>
  <c r="X1119" i="3" s="1"/>
  <c r="O1118" i="3"/>
  <c r="X1118" i="3" s="1"/>
  <c r="O1117" i="3"/>
  <c r="X1117" i="3" s="1"/>
  <c r="O1116" i="3"/>
  <c r="X1116" i="3" s="1"/>
  <c r="O1115" i="3"/>
  <c r="X1115" i="3" s="1"/>
  <c r="O1114" i="3"/>
  <c r="X1114" i="3" s="1"/>
  <c r="O1113" i="3"/>
  <c r="X1113" i="3" s="1"/>
  <c r="O1112" i="3"/>
  <c r="X1112" i="3" s="1"/>
  <c r="O1111" i="3"/>
  <c r="X1111" i="3" s="1"/>
  <c r="O1110" i="3"/>
  <c r="X1110" i="3" s="1"/>
  <c r="O1109" i="3"/>
  <c r="X1109" i="3" s="1"/>
  <c r="O1108" i="3"/>
  <c r="X1108" i="3" s="1"/>
  <c r="O1107" i="3"/>
  <c r="X1107" i="3" s="1"/>
  <c r="O1106" i="3"/>
  <c r="X1106" i="3" s="1"/>
  <c r="O1105" i="3"/>
  <c r="X1105" i="3" s="1"/>
  <c r="O1104" i="3"/>
  <c r="X1104" i="3" s="1"/>
  <c r="O1103" i="3"/>
  <c r="X1103" i="3" s="1"/>
  <c r="O1102" i="3"/>
  <c r="X1102" i="3" s="1"/>
  <c r="O1101" i="3"/>
  <c r="X1101" i="3" s="1"/>
  <c r="O1100" i="3"/>
  <c r="X1100" i="3" s="1"/>
  <c r="O1099" i="3"/>
  <c r="X1099" i="3" s="1"/>
  <c r="O1098" i="3"/>
  <c r="X1098" i="3" s="1"/>
  <c r="O1097" i="3"/>
  <c r="X1097" i="3" s="1"/>
  <c r="O1096" i="3"/>
  <c r="X1096" i="3" s="1"/>
  <c r="O1095" i="3"/>
  <c r="X1095" i="3" s="1"/>
  <c r="O1094" i="3"/>
  <c r="X1094" i="3" s="1"/>
  <c r="O1093" i="3"/>
  <c r="X1093" i="3" s="1"/>
  <c r="O1092" i="3"/>
  <c r="X1092" i="3" s="1"/>
  <c r="O1091" i="3"/>
  <c r="X1091" i="3" s="1"/>
  <c r="O1090" i="3"/>
  <c r="X1090" i="3" s="1"/>
  <c r="O1089" i="3"/>
  <c r="X1089" i="3" s="1"/>
  <c r="O1088" i="3"/>
  <c r="X1088" i="3" s="1"/>
  <c r="O1087" i="3"/>
  <c r="X1087" i="3" s="1"/>
  <c r="O1086" i="3"/>
  <c r="X1086" i="3" s="1"/>
  <c r="O1085" i="3"/>
  <c r="X1085" i="3" s="1"/>
  <c r="O1084" i="3"/>
  <c r="X1084" i="3" s="1"/>
  <c r="O1083" i="3"/>
  <c r="X1083" i="3" s="1"/>
  <c r="O1082" i="3"/>
  <c r="X1082" i="3" s="1"/>
  <c r="O1081" i="3"/>
  <c r="X1081" i="3" s="1"/>
  <c r="O1080" i="3"/>
  <c r="X1080" i="3" s="1"/>
  <c r="O1079" i="3"/>
  <c r="X1079" i="3" s="1"/>
  <c r="O1078" i="3"/>
  <c r="X1078" i="3" s="1"/>
  <c r="O1077" i="3"/>
  <c r="X1077" i="3" s="1"/>
  <c r="O1076" i="3"/>
  <c r="X1076" i="3" s="1"/>
  <c r="O1075" i="3"/>
  <c r="X1075" i="3" s="1"/>
  <c r="O1074" i="3"/>
  <c r="X1074" i="3" s="1"/>
  <c r="O1073" i="3"/>
  <c r="X1073" i="3" s="1"/>
  <c r="O1072" i="3"/>
  <c r="X1072" i="3" s="1"/>
  <c r="O1071" i="3"/>
  <c r="X1071" i="3" s="1"/>
  <c r="O1070" i="3"/>
  <c r="X1070" i="3" s="1"/>
  <c r="O1069" i="3"/>
  <c r="X1069" i="3" s="1"/>
  <c r="O1068" i="3"/>
  <c r="X1068" i="3" s="1"/>
  <c r="O1067" i="3"/>
  <c r="X1067" i="3" s="1"/>
  <c r="O1066" i="3"/>
  <c r="X1066" i="3" s="1"/>
  <c r="O1065" i="3"/>
  <c r="X1065" i="3" s="1"/>
  <c r="O1064" i="3"/>
  <c r="X1064" i="3" s="1"/>
  <c r="O1063" i="3"/>
  <c r="X1063" i="3" s="1"/>
  <c r="O1062" i="3"/>
  <c r="X1062" i="3" s="1"/>
  <c r="O1061" i="3"/>
  <c r="X1061" i="3" s="1"/>
  <c r="O1060" i="3"/>
  <c r="X1060" i="3" s="1"/>
  <c r="O1059" i="3"/>
  <c r="X1059" i="3" s="1"/>
  <c r="O1058" i="3"/>
  <c r="X1058" i="3" s="1"/>
  <c r="O1057" i="3"/>
  <c r="X1057" i="3" s="1"/>
  <c r="O1056" i="3"/>
  <c r="X1056" i="3" s="1"/>
  <c r="O1055" i="3"/>
  <c r="X1055" i="3" s="1"/>
  <c r="O1054" i="3"/>
  <c r="X1054" i="3" s="1"/>
  <c r="O1053" i="3"/>
  <c r="X1053" i="3" s="1"/>
  <c r="O1052" i="3"/>
  <c r="X1052" i="3" s="1"/>
  <c r="O1051" i="3"/>
  <c r="X1051" i="3" s="1"/>
  <c r="O1050" i="3"/>
  <c r="X1050" i="3" s="1"/>
  <c r="O1049" i="3"/>
  <c r="X1049" i="3" s="1"/>
  <c r="O1048" i="3"/>
  <c r="X1048" i="3" s="1"/>
  <c r="O1047" i="3"/>
  <c r="X1047" i="3" s="1"/>
  <c r="O1046" i="3"/>
  <c r="X1046" i="3" s="1"/>
  <c r="O1045" i="3"/>
  <c r="X1045" i="3" s="1"/>
  <c r="O1044" i="3"/>
  <c r="X1044" i="3" s="1"/>
  <c r="O1043" i="3"/>
  <c r="X1043" i="3" s="1"/>
  <c r="O1042" i="3"/>
  <c r="X1042" i="3" s="1"/>
  <c r="O1041" i="3"/>
  <c r="X1041" i="3" s="1"/>
  <c r="O1040" i="3"/>
  <c r="X1040" i="3" s="1"/>
  <c r="O1039" i="3"/>
  <c r="X1039" i="3" s="1"/>
  <c r="O1038" i="3"/>
  <c r="X1038" i="3" s="1"/>
  <c r="O1037" i="3"/>
  <c r="X1037" i="3" s="1"/>
  <c r="O1036" i="3"/>
  <c r="X1036" i="3" s="1"/>
  <c r="O1035" i="3"/>
  <c r="X1035" i="3" s="1"/>
  <c r="O1034" i="3"/>
  <c r="X1034" i="3" s="1"/>
  <c r="O1033" i="3"/>
  <c r="X1033" i="3" s="1"/>
  <c r="O1032" i="3"/>
  <c r="X1032" i="3" s="1"/>
  <c r="O1031" i="3"/>
  <c r="X1031" i="3" s="1"/>
  <c r="O1030" i="3"/>
  <c r="X1030" i="3" s="1"/>
  <c r="O1029" i="3"/>
  <c r="X1029" i="3" s="1"/>
  <c r="O1028" i="3"/>
  <c r="X1028" i="3" s="1"/>
  <c r="O1027" i="3"/>
  <c r="X1027" i="3" s="1"/>
  <c r="O1026" i="3"/>
  <c r="X1026" i="3" s="1"/>
  <c r="O1025" i="3"/>
  <c r="X1025" i="3" s="1"/>
  <c r="O1024" i="3"/>
  <c r="X1024" i="3" s="1"/>
  <c r="O1023" i="3"/>
  <c r="X1023" i="3" s="1"/>
  <c r="O1022" i="3"/>
  <c r="X1022" i="3" s="1"/>
  <c r="O1021" i="3"/>
  <c r="X1021" i="3" s="1"/>
  <c r="O1020" i="3"/>
  <c r="X1020" i="3" s="1"/>
  <c r="O1019" i="3"/>
  <c r="X1019" i="3" s="1"/>
  <c r="O1018" i="3"/>
  <c r="X1018" i="3" s="1"/>
  <c r="O1017" i="3"/>
  <c r="X1017" i="3" s="1"/>
  <c r="O1016" i="3"/>
  <c r="X1016" i="3" s="1"/>
  <c r="O1015" i="3"/>
  <c r="X1015" i="3" s="1"/>
  <c r="O1014" i="3"/>
  <c r="X1014" i="3" s="1"/>
  <c r="O1013" i="3"/>
  <c r="X1013" i="3" s="1"/>
  <c r="O1012" i="3"/>
  <c r="X1012" i="3" s="1"/>
  <c r="O1011" i="3"/>
  <c r="X1011" i="3" s="1"/>
  <c r="O1010" i="3"/>
  <c r="X1010" i="3" s="1"/>
  <c r="O1009" i="3"/>
  <c r="X1009" i="3" s="1"/>
  <c r="O1008" i="3"/>
  <c r="X1008" i="3" s="1"/>
  <c r="O1007" i="3"/>
  <c r="X1007" i="3" s="1"/>
  <c r="O1006" i="3"/>
  <c r="X1006" i="3" s="1"/>
  <c r="O1005" i="3"/>
  <c r="X1005" i="3" s="1"/>
  <c r="O1004" i="3"/>
  <c r="X1004" i="3" s="1"/>
  <c r="O1003" i="3"/>
  <c r="X1003" i="3" s="1"/>
  <c r="O1002" i="3"/>
  <c r="X1002" i="3" s="1"/>
  <c r="O1001" i="3"/>
  <c r="X1001" i="3" s="1"/>
  <c r="O1000" i="3"/>
  <c r="X1000" i="3" s="1"/>
  <c r="O999" i="3"/>
  <c r="X999" i="3" s="1"/>
  <c r="O998" i="3"/>
  <c r="X998" i="3" s="1"/>
  <c r="O997" i="3"/>
  <c r="X997" i="3" s="1"/>
  <c r="O996" i="3"/>
  <c r="X996" i="3" s="1"/>
  <c r="O995" i="3"/>
  <c r="X995" i="3" s="1"/>
  <c r="O994" i="3"/>
  <c r="X994" i="3" s="1"/>
  <c r="O993" i="3"/>
  <c r="X993" i="3" s="1"/>
  <c r="O992" i="3"/>
  <c r="X992" i="3" s="1"/>
  <c r="O991" i="3"/>
  <c r="X991" i="3" s="1"/>
  <c r="O990" i="3"/>
  <c r="X990" i="3" s="1"/>
  <c r="O989" i="3"/>
  <c r="X989" i="3" s="1"/>
  <c r="O988" i="3"/>
  <c r="X988" i="3" s="1"/>
  <c r="O987" i="3"/>
  <c r="X987" i="3" s="1"/>
  <c r="O986" i="3"/>
  <c r="X986" i="3" s="1"/>
  <c r="O985" i="3"/>
  <c r="X985" i="3" s="1"/>
  <c r="O984" i="3"/>
  <c r="X984" i="3" s="1"/>
  <c r="O983" i="3"/>
  <c r="X983" i="3" s="1"/>
  <c r="O982" i="3"/>
  <c r="X982" i="3" s="1"/>
  <c r="O981" i="3"/>
  <c r="X981" i="3" s="1"/>
  <c r="O980" i="3"/>
  <c r="X980" i="3" s="1"/>
  <c r="O979" i="3"/>
  <c r="X979" i="3" s="1"/>
  <c r="O978" i="3"/>
  <c r="X978" i="3" s="1"/>
  <c r="O977" i="3"/>
  <c r="X977" i="3" s="1"/>
  <c r="O976" i="3"/>
  <c r="X976" i="3" s="1"/>
  <c r="O975" i="3"/>
  <c r="X975" i="3" s="1"/>
  <c r="O974" i="3"/>
  <c r="X974" i="3" s="1"/>
  <c r="O973" i="3"/>
  <c r="X973" i="3" s="1"/>
  <c r="O972" i="3"/>
  <c r="X972" i="3" s="1"/>
  <c r="O971" i="3"/>
  <c r="X971" i="3" s="1"/>
  <c r="O970" i="3"/>
  <c r="X970" i="3" s="1"/>
  <c r="O969" i="3"/>
  <c r="X969" i="3" s="1"/>
  <c r="O968" i="3"/>
  <c r="X968" i="3" s="1"/>
  <c r="O967" i="3"/>
  <c r="X967" i="3" s="1"/>
  <c r="O966" i="3"/>
  <c r="X966" i="3" s="1"/>
  <c r="O965" i="3"/>
  <c r="X965" i="3" s="1"/>
  <c r="O964" i="3"/>
  <c r="X964" i="3" s="1"/>
  <c r="O963" i="3"/>
  <c r="X963" i="3" s="1"/>
  <c r="O962" i="3"/>
  <c r="X962" i="3" s="1"/>
  <c r="O961" i="3"/>
  <c r="X961" i="3" s="1"/>
  <c r="O960" i="3"/>
  <c r="X960" i="3" s="1"/>
  <c r="O959" i="3"/>
  <c r="X959" i="3" s="1"/>
  <c r="O958" i="3"/>
  <c r="X958" i="3" s="1"/>
  <c r="O957" i="3"/>
  <c r="X957" i="3" s="1"/>
  <c r="O956" i="3"/>
  <c r="X956" i="3" s="1"/>
  <c r="O955" i="3"/>
  <c r="X955" i="3" s="1"/>
  <c r="O954" i="3"/>
  <c r="X954" i="3" s="1"/>
  <c r="O953" i="3"/>
  <c r="X953" i="3" s="1"/>
  <c r="O952" i="3"/>
  <c r="X952" i="3" s="1"/>
  <c r="O951" i="3"/>
  <c r="X951" i="3" s="1"/>
  <c r="O950" i="3"/>
  <c r="X950" i="3" s="1"/>
  <c r="O949" i="3"/>
  <c r="X949" i="3" s="1"/>
  <c r="O948" i="3"/>
  <c r="X948" i="3" s="1"/>
  <c r="O947" i="3"/>
  <c r="X947" i="3" s="1"/>
  <c r="O946" i="3"/>
  <c r="X946" i="3" s="1"/>
  <c r="O945" i="3"/>
  <c r="X945" i="3" s="1"/>
  <c r="O944" i="3"/>
  <c r="X944" i="3" s="1"/>
  <c r="O943" i="3"/>
  <c r="X943" i="3" s="1"/>
  <c r="O942" i="3"/>
  <c r="X942" i="3" s="1"/>
  <c r="O941" i="3"/>
  <c r="X941" i="3" s="1"/>
  <c r="O940" i="3"/>
  <c r="X940" i="3" s="1"/>
  <c r="O939" i="3"/>
  <c r="X939" i="3" s="1"/>
  <c r="O938" i="3"/>
  <c r="X938" i="3" s="1"/>
  <c r="O937" i="3"/>
  <c r="X937" i="3" s="1"/>
  <c r="O936" i="3"/>
  <c r="X936" i="3" s="1"/>
  <c r="O935" i="3"/>
  <c r="X935" i="3" s="1"/>
  <c r="O934" i="3"/>
  <c r="X934" i="3" s="1"/>
  <c r="O933" i="3"/>
  <c r="X933" i="3" s="1"/>
  <c r="O932" i="3"/>
  <c r="X932" i="3" s="1"/>
  <c r="O931" i="3"/>
  <c r="X931" i="3" s="1"/>
  <c r="O930" i="3"/>
  <c r="X930" i="3" s="1"/>
  <c r="O929" i="3"/>
  <c r="X929" i="3" s="1"/>
  <c r="O928" i="3"/>
  <c r="X928" i="3" s="1"/>
  <c r="O927" i="3"/>
  <c r="X927" i="3" s="1"/>
  <c r="O926" i="3"/>
  <c r="X926" i="3" s="1"/>
  <c r="O925" i="3"/>
  <c r="X925" i="3" s="1"/>
  <c r="O924" i="3"/>
  <c r="X924" i="3" s="1"/>
  <c r="O923" i="3"/>
  <c r="X923" i="3" s="1"/>
  <c r="O922" i="3"/>
  <c r="X922" i="3" s="1"/>
  <c r="O921" i="3"/>
  <c r="X921" i="3" s="1"/>
  <c r="O920" i="3"/>
  <c r="X920" i="3" s="1"/>
  <c r="O919" i="3"/>
  <c r="X919" i="3" s="1"/>
  <c r="O918" i="3"/>
  <c r="X918" i="3" s="1"/>
  <c r="O917" i="3"/>
  <c r="X917" i="3" s="1"/>
  <c r="O916" i="3"/>
  <c r="X916" i="3" s="1"/>
  <c r="O915" i="3"/>
  <c r="X915" i="3" s="1"/>
  <c r="O914" i="3"/>
  <c r="X914" i="3" s="1"/>
  <c r="O913" i="3"/>
  <c r="X913" i="3" s="1"/>
  <c r="O912" i="3"/>
  <c r="X912" i="3" s="1"/>
  <c r="O911" i="3"/>
  <c r="X911" i="3" s="1"/>
  <c r="O910" i="3"/>
  <c r="X910" i="3" s="1"/>
  <c r="O909" i="3"/>
  <c r="X909" i="3" s="1"/>
  <c r="O908" i="3"/>
  <c r="X908" i="3" s="1"/>
  <c r="O907" i="3"/>
  <c r="X907" i="3" s="1"/>
  <c r="O906" i="3"/>
  <c r="X906" i="3" s="1"/>
  <c r="O905" i="3"/>
  <c r="X905" i="3" s="1"/>
  <c r="O904" i="3"/>
  <c r="X904" i="3" s="1"/>
  <c r="O903" i="3"/>
  <c r="X903" i="3" s="1"/>
  <c r="O902" i="3"/>
  <c r="X902" i="3" s="1"/>
  <c r="O901" i="3"/>
  <c r="X901" i="3" s="1"/>
  <c r="O900" i="3"/>
  <c r="X900" i="3" s="1"/>
  <c r="O899" i="3"/>
  <c r="X899" i="3" s="1"/>
  <c r="O898" i="3"/>
  <c r="X898" i="3" s="1"/>
  <c r="O897" i="3"/>
  <c r="X897" i="3" s="1"/>
  <c r="O896" i="3"/>
  <c r="X896" i="3" s="1"/>
  <c r="O895" i="3"/>
  <c r="X895" i="3" s="1"/>
  <c r="O894" i="3"/>
  <c r="X894" i="3" s="1"/>
  <c r="O893" i="3"/>
  <c r="X893" i="3" s="1"/>
  <c r="O892" i="3"/>
  <c r="X892" i="3" s="1"/>
  <c r="O891" i="3"/>
  <c r="X891" i="3" s="1"/>
  <c r="O890" i="3"/>
  <c r="X890" i="3" s="1"/>
  <c r="O889" i="3"/>
  <c r="X889" i="3" s="1"/>
  <c r="O888" i="3"/>
  <c r="X888" i="3" s="1"/>
  <c r="O887" i="3"/>
  <c r="X887" i="3" s="1"/>
  <c r="O886" i="3"/>
  <c r="X886" i="3" s="1"/>
  <c r="O885" i="3"/>
  <c r="X885" i="3" s="1"/>
  <c r="O884" i="3"/>
  <c r="X884" i="3" s="1"/>
  <c r="O883" i="3"/>
  <c r="X883" i="3" s="1"/>
  <c r="O882" i="3"/>
  <c r="X882" i="3" s="1"/>
  <c r="O881" i="3"/>
  <c r="X881" i="3" s="1"/>
  <c r="O880" i="3"/>
  <c r="X880" i="3" s="1"/>
  <c r="O879" i="3"/>
  <c r="X879" i="3" s="1"/>
  <c r="O878" i="3"/>
  <c r="X878" i="3" s="1"/>
  <c r="O877" i="3"/>
  <c r="X877" i="3" s="1"/>
  <c r="O876" i="3"/>
  <c r="X876" i="3" s="1"/>
  <c r="O875" i="3"/>
  <c r="X875" i="3" s="1"/>
  <c r="O874" i="3"/>
  <c r="X874" i="3" s="1"/>
  <c r="O873" i="3"/>
  <c r="X873" i="3" s="1"/>
  <c r="O872" i="3"/>
  <c r="X872" i="3" s="1"/>
  <c r="O871" i="3"/>
  <c r="X871" i="3" s="1"/>
  <c r="O870" i="3"/>
  <c r="X870" i="3" s="1"/>
  <c r="O869" i="3"/>
  <c r="X869" i="3" s="1"/>
  <c r="O868" i="3"/>
  <c r="X868" i="3" s="1"/>
  <c r="O867" i="3"/>
  <c r="X867" i="3" s="1"/>
  <c r="O866" i="3"/>
  <c r="X866" i="3" s="1"/>
  <c r="O865" i="3"/>
  <c r="X865" i="3" s="1"/>
  <c r="O864" i="3"/>
  <c r="X864" i="3" s="1"/>
  <c r="O863" i="3"/>
  <c r="X863" i="3" s="1"/>
  <c r="O862" i="3"/>
  <c r="X862" i="3" s="1"/>
  <c r="O861" i="3"/>
  <c r="X861" i="3" s="1"/>
  <c r="O860" i="3"/>
  <c r="X860" i="3" s="1"/>
  <c r="O859" i="3"/>
  <c r="X859" i="3" s="1"/>
  <c r="O858" i="3"/>
  <c r="X858" i="3" s="1"/>
  <c r="O857" i="3"/>
  <c r="X857" i="3" s="1"/>
  <c r="O856" i="3"/>
  <c r="X856" i="3" s="1"/>
  <c r="O855" i="3"/>
  <c r="X855" i="3" s="1"/>
  <c r="O854" i="3"/>
  <c r="X854" i="3" s="1"/>
  <c r="O853" i="3"/>
  <c r="X853" i="3" s="1"/>
  <c r="O852" i="3"/>
  <c r="X852" i="3" s="1"/>
  <c r="O851" i="3"/>
  <c r="X851" i="3" s="1"/>
  <c r="O850" i="3"/>
  <c r="X850" i="3" s="1"/>
  <c r="O849" i="3"/>
  <c r="X849" i="3" s="1"/>
  <c r="O848" i="3"/>
  <c r="X848" i="3" s="1"/>
  <c r="O847" i="3"/>
  <c r="X847" i="3" s="1"/>
  <c r="O846" i="3"/>
  <c r="X846" i="3" s="1"/>
  <c r="O845" i="3"/>
  <c r="X845" i="3" s="1"/>
  <c r="O844" i="3"/>
  <c r="X844" i="3" s="1"/>
  <c r="O843" i="3"/>
  <c r="X843" i="3" s="1"/>
  <c r="O842" i="3"/>
  <c r="X842" i="3" s="1"/>
  <c r="O841" i="3"/>
  <c r="X841" i="3" s="1"/>
  <c r="O840" i="3"/>
  <c r="X840" i="3" s="1"/>
  <c r="O839" i="3"/>
  <c r="X839" i="3" s="1"/>
  <c r="O838" i="3"/>
  <c r="X838" i="3" s="1"/>
  <c r="O837" i="3"/>
  <c r="X837" i="3" s="1"/>
  <c r="O836" i="3"/>
  <c r="X836" i="3" s="1"/>
  <c r="O835" i="3"/>
  <c r="X835" i="3" s="1"/>
  <c r="O834" i="3"/>
  <c r="X834" i="3" s="1"/>
  <c r="O833" i="3"/>
  <c r="X833" i="3" s="1"/>
  <c r="O832" i="3"/>
  <c r="X832" i="3" s="1"/>
  <c r="O831" i="3"/>
  <c r="X831" i="3" s="1"/>
  <c r="O830" i="3"/>
  <c r="X830" i="3" s="1"/>
  <c r="O829" i="3"/>
  <c r="X829" i="3" s="1"/>
  <c r="O828" i="3"/>
  <c r="X828" i="3" s="1"/>
  <c r="O827" i="3"/>
  <c r="X827" i="3" s="1"/>
  <c r="O826" i="3"/>
  <c r="X826" i="3" s="1"/>
  <c r="O825" i="3"/>
  <c r="X825" i="3" s="1"/>
  <c r="O824" i="3"/>
  <c r="X824" i="3" s="1"/>
  <c r="O823" i="3"/>
  <c r="X823" i="3" s="1"/>
  <c r="O822" i="3"/>
  <c r="X822" i="3" s="1"/>
  <c r="O821" i="3"/>
  <c r="X821" i="3" s="1"/>
  <c r="O820" i="3"/>
  <c r="X820" i="3" s="1"/>
  <c r="O819" i="3"/>
  <c r="X819" i="3" s="1"/>
  <c r="O818" i="3"/>
  <c r="X818" i="3" s="1"/>
  <c r="O817" i="3"/>
  <c r="X817" i="3" s="1"/>
  <c r="O816" i="3"/>
  <c r="X816" i="3" s="1"/>
  <c r="O815" i="3"/>
  <c r="X815" i="3" s="1"/>
  <c r="O814" i="3"/>
  <c r="X814" i="3" s="1"/>
  <c r="O813" i="3"/>
  <c r="X813" i="3" s="1"/>
  <c r="O812" i="3"/>
  <c r="X812" i="3" s="1"/>
  <c r="O811" i="3"/>
  <c r="X811" i="3" s="1"/>
  <c r="O810" i="3"/>
  <c r="X810" i="3" s="1"/>
  <c r="O809" i="3"/>
  <c r="X809" i="3" s="1"/>
  <c r="O808" i="3"/>
  <c r="X808" i="3" s="1"/>
  <c r="O807" i="3"/>
  <c r="X807" i="3" s="1"/>
  <c r="O806" i="3"/>
  <c r="X806" i="3" s="1"/>
  <c r="O805" i="3"/>
  <c r="X805" i="3" s="1"/>
  <c r="O804" i="3"/>
  <c r="X804" i="3" s="1"/>
  <c r="O803" i="3"/>
  <c r="X803" i="3" s="1"/>
  <c r="O802" i="3"/>
  <c r="X802" i="3" s="1"/>
  <c r="O801" i="3"/>
  <c r="X801" i="3" s="1"/>
  <c r="O800" i="3"/>
  <c r="X800" i="3" s="1"/>
  <c r="O799" i="3"/>
  <c r="X799" i="3" s="1"/>
  <c r="O798" i="3"/>
  <c r="X798" i="3" s="1"/>
  <c r="O797" i="3"/>
  <c r="X797" i="3" s="1"/>
  <c r="O796" i="3"/>
  <c r="X796" i="3" s="1"/>
  <c r="O795" i="3"/>
  <c r="X795" i="3" s="1"/>
  <c r="O794" i="3"/>
  <c r="X794" i="3" s="1"/>
  <c r="O793" i="3"/>
  <c r="X793" i="3" s="1"/>
  <c r="O792" i="3"/>
  <c r="X792" i="3" s="1"/>
  <c r="O791" i="3"/>
  <c r="X791" i="3" s="1"/>
  <c r="O790" i="3"/>
  <c r="X790" i="3" s="1"/>
  <c r="O789" i="3"/>
  <c r="X789" i="3" s="1"/>
  <c r="O788" i="3"/>
  <c r="X788" i="3" s="1"/>
  <c r="O787" i="3"/>
  <c r="X787" i="3" s="1"/>
  <c r="O786" i="3"/>
  <c r="X786" i="3" s="1"/>
  <c r="O785" i="3"/>
  <c r="X785" i="3" s="1"/>
  <c r="O784" i="3"/>
  <c r="X784" i="3" s="1"/>
  <c r="O783" i="3"/>
  <c r="X783" i="3" s="1"/>
  <c r="O782" i="3"/>
  <c r="X782" i="3" s="1"/>
  <c r="O781" i="3"/>
  <c r="X781" i="3" s="1"/>
  <c r="O780" i="3"/>
  <c r="X780" i="3" s="1"/>
  <c r="O779" i="3"/>
  <c r="X779" i="3" s="1"/>
  <c r="O778" i="3"/>
  <c r="X778" i="3" s="1"/>
  <c r="O777" i="3"/>
  <c r="X777" i="3" s="1"/>
  <c r="O776" i="3"/>
  <c r="X776" i="3" s="1"/>
  <c r="O775" i="3"/>
  <c r="X775" i="3" s="1"/>
  <c r="O774" i="3"/>
  <c r="X774" i="3" s="1"/>
  <c r="O773" i="3"/>
  <c r="X773" i="3" s="1"/>
  <c r="O772" i="3"/>
  <c r="X772" i="3" s="1"/>
  <c r="O771" i="3"/>
  <c r="X771" i="3" s="1"/>
  <c r="O770" i="3"/>
  <c r="X770" i="3" s="1"/>
  <c r="O769" i="3"/>
  <c r="X769" i="3" s="1"/>
  <c r="O768" i="3"/>
  <c r="X768" i="3" s="1"/>
  <c r="O767" i="3"/>
  <c r="X767" i="3" s="1"/>
  <c r="O766" i="3"/>
  <c r="X766" i="3" s="1"/>
  <c r="O765" i="3"/>
  <c r="X765" i="3" s="1"/>
  <c r="O764" i="3"/>
  <c r="X764" i="3" s="1"/>
  <c r="O763" i="3"/>
  <c r="X763" i="3" s="1"/>
  <c r="O762" i="3"/>
  <c r="X762" i="3" s="1"/>
  <c r="O761" i="3"/>
  <c r="X761" i="3" s="1"/>
  <c r="O760" i="3"/>
  <c r="X760" i="3" s="1"/>
  <c r="O759" i="3"/>
  <c r="X759" i="3" s="1"/>
  <c r="O758" i="3"/>
  <c r="X758" i="3" s="1"/>
  <c r="O757" i="3"/>
  <c r="X757" i="3" s="1"/>
  <c r="O756" i="3"/>
  <c r="X756" i="3" s="1"/>
  <c r="O755" i="3"/>
  <c r="X755" i="3" s="1"/>
  <c r="O754" i="3"/>
  <c r="X754" i="3" s="1"/>
  <c r="O753" i="3"/>
  <c r="X753" i="3" s="1"/>
  <c r="O752" i="3"/>
  <c r="X752" i="3" s="1"/>
  <c r="O751" i="3"/>
  <c r="X751" i="3" s="1"/>
  <c r="O750" i="3"/>
  <c r="X750" i="3" s="1"/>
  <c r="O749" i="3"/>
  <c r="X749" i="3" s="1"/>
  <c r="O748" i="3"/>
  <c r="X748" i="3" s="1"/>
  <c r="O747" i="3"/>
  <c r="X747" i="3" s="1"/>
  <c r="O746" i="3"/>
  <c r="X746" i="3" s="1"/>
  <c r="O745" i="3"/>
  <c r="X745" i="3" s="1"/>
  <c r="O744" i="3"/>
  <c r="X744" i="3" s="1"/>
  <c r="O743" i="3"/>
  <c r="X743" i="3" s="1"/>
  <c r="O742" i="3"/>
  <c r="X742" i="3" s="1"/>
  <c r="O741" i="3"/>
  <c r="X741" i="3" s="1"/>
  <c r="O740" i="3"/>
  <c r="X740" i="3" s="1"/>
  <c r="O739" i="3"/>
  <c r="X739" i="3" s="1"/>
  <c r="O738" i="3"/>
  <c r="X738" i="3" s="1"/>
  <c r="O737" i="3"/>
  <c r="X737" i="3" s="1"/>
  <c r="O736" i="3"/>
  <c r="X736" i="3" s="1"/>
  <c r="O735" i="3"/>
  <c r="X735" i="3" s="1"/>
  <c r="O734" i="3"/>
  <c r="X734" i="3" s="1"/>
  <c r="O733" i="3"/>
  <c r="X733" i="3" s="1"/>
  <c r="O732" i="3"/>
  <c r="X732" i="3" s="1"/>
  <c r="O731" i="3"/>
  <c r="X731" i="3" s="1"/>
  <c r="O730" i="3"/>
  <c r="X730" i="3" s="1"/>
  <c r="O729" i="3"/>
  <c r="X729" i="3" s="1"/>
  <c r="O728" i="3"/>
  <c r="X728" i="3" s="1"/>
  <c r="O727" i="3"/>
  <c r="X727" i="3" s="1"/>
  <c r="O726" i="3"/>
  <c r="X726" i="3" s="1"/>
  <c r="O725" i="3"/>
  <c r="X725" i="3" s="1"/>
  <c r="O724" i="3"/>
  <c r="X724" i="3" s="1"/>
  <c r="O723" i="3"/>
  <c r="X723" i="3" s="1"/>
  <c r="O722" i="3"/>
  <c r="X722" i="3" s="1"/>
  <c r="O721" i="3"/>
  <c r="X721" i="3" s="1"/>
  <c r="O720" i="3"/>
  <c r="X720" i="3" s="1"/>
  <c r="O719" i="3"/>
  <c r="X719" i="3" s="1"/>
  <c r="O718" i="3"/>
  <c r="X718" i="3" s="1"/>
  <c r="O717" i="3"/>
  <c r="X717" i="3" s="1"/>
  <c r="O716" i="3"/>
  <c r="X716" i="3" s="1"/>
  <c r="O715" i="3"/>
  <c r="X715" i="3" s="1"/>
  <c r="O714" i="3"/>
  <c r="X714" i="3" s="1"/>
  <c r="O713" i="3"/>
  <c r="X713" i="3" s="1"/>
  <c r="O712" i="3"/>
  <c r="X712" i="3" s="1"/>
  <c r="O711" i="3"/>
  <c r="X711" i="3" s="1"/>
  <c r="O710" i="3"/>
  <c r="X710" i="3" s="1"/>
  <c r="O709" i="3"/>
  <c r="X709" i="3" s="1"/>
  <c r="O708" i="3"/>
  <c r="X708" i="3" s="1"/>
  <c r="O707" i="3"/>
  <c r="X707" i="3" s="1"/>
  <c r="O706" i="3"/>
  <c r="X706" i="3" s="1"/>
  <c r="O705" i="3"/>
  <c r="X705" i="3" s="1"/>
  <c r="O704" i="3"/>
  <c r="X704" i="3" s="1"/>
  <c r="O703" i="3"/>
  <c r="X703" i="3" s="1"/>
  <c r="O702" i="3"/>
  <c r="X702" i="3" s="1"/>
  <c r="O701" i="3"/>
  <c r="X701" i="3" s="1"/>
  <c r="O700" i="3"/>
  <c r="X700" i="3" s="1"/>
  <c r="O699" i="3"/>
  <c r="X699" i="3" s="1"/>
  <c r="O698" i="3"/>
  <c r="X698" i="3" s="1"/>
  <c r="O697" i="3"/>
  <c r="X697" i="3" s="1"/>
  <c r="O696" i="3"/>
  <c r="X696" i="3" s="1"/>
  <c r="O695" i="3"/>
  <c r="X695" i="3" s="1"/>
  <c r="O694" i="3"/>
  <c r="X694" i="3" s="1"/>
  <c r="O693" i="3"/>
  <c r="X693" i="3" s="1"/>
  <c r="O692" i="3"/>
  <c r="X692" i="3" s="1"/>
  <c r="O691" i="3"/>
  <c r="X691" i="3" s="1"/>
  <c r="O690" i="3"/>
  <c r="X690" i="3" s="1"/>
  <c r="O689" i="3"/>
  <c r="X689" i="3" s="1"/>
  <c r="O688" i="3"/>
  <c r="X688" i="3" s="1"/>
  <c r="O687" i="3"/>
  <c r="X687" i="3" s="1"/>
  <c r="O686" i="3"/>
  <c r="X686" i="3" s="1"/>
  <c r="O685" i="3"/>
  <c r="X685" i="3" s="1"/>
  <c r="O684" i="3"/>
  <c r="X684" i="3" s="1"/>
  <c r="O683" i="3"/>
  <c r="X683" i="3" s="1"/>
  <c r="O682" i="3"/>
  <c r="X682" i="3" s="1"/>
  <c r="O681" i="3"/>
  <c r="X681" i="3" s="1"/>
  <c r="O680" i="3"/>
  <c r="X680" i="3" s="1"/>
  <c r="O679" i="3"/>
  <c r="X679" i="3" s="1"/>
  <c r="O678" i="3"/>
  <c r="X678" i="3" s="1"/>
  <c r="O677" i="3"/>
  <c r="X677" i="3" s="1"/>
  <c r="O676" i="3"/>
  <c r="X676" i="3" s="1"/>
  <c r="O675" i="3"/>
  <c r="X675" i="3" s="1"/>
  <c r="O674" i="3"/>
  <c r="X674" i="3" s="1"/>
  <c r="O673" i="3"/>
  <c r="X673" i="3" s="1"/>
  <c r="O672" i="3"/>
  <c r="X672" i="3" s="1"/>
  <c r="O671" i="3"/>
  <c r="X671" i="3" s="1"/>
  <c r="O670" i="3"/>
  <c r="X670" i="3" s="1"/>
  <c r="O669" i="3"/>
  <c r="X669" i="3" s="1"/>
  <c r="O668" i="3"/>
  <c r="X668" i="3" s="1"/>
  <c r="O667" i="3"/>
  <c r="X667" i="3" s="1"/>
  <c r="O666" i="3"/>
  <c r="X666" i="3" s="1"/>
  <c r="O665" i="3"/>
  <c r="X665" i="3" s="1"/>
  <c r="O664" i="3"/>
  <c r="X664" i="3" s="1"/>
  <c r="O663" i="3"/>
  <c r="X663" i="3" s="1"/>
  <c r="O662" i="3"/>
  <c r="X662" i="3" s="1"/>
  <c r="O661" i="3"/>
  <c r="X661" i="3" s="1"/>
  <c r="O660" i="3"/>
  <c r="X660" i="3" s="1"/>
  <c r="O659" i="3"/>
  <c r="X659" i="3" s="1"/>
  <c r="O658" i="3"/>
  <c r="X658" i="3" s="1"/>
  <c r="O657" i="3"/>
  <c r="X657" i="3" s="1"/>
  <c r="O656" i="3"/>
  <c r="X656" i="3" s="1"/>
  <c r="O655" i="3"/>
  <c r="X655" i="3" s="1"/>
  <c r="O654" i="3"/>
  <c r="X654" i="3" s="1"/>
  <c r="O653" i="3"/>
  <c r="X653" i="3" s="1"/>
  <c r="O652" i="3"/>
  <c r="X652" i="3" s="1"/>
  <c r="O651" i="3"/>
  <c r="X651" i="3" s="1"/>
  <c r="O650" i="3"/>
  <c r="X650" i="3" s="1"/>
  <c r="O649" i="3"/>
  <c r="X649" i="3" s="1"/>
  <c r="O648" i="3"/>
  <c r="X648" i="3" s="1"/>
  <c r="O647" i="3"/>
  <c r="X647" i="3" s="1"/>
  <c r="O646" i="3"/>
  <c r="X646" i="3" s="1"/>
  <c r="O645" i="3"/>
  <c r="X645" i="3" s="1"/>
  <c r="O644" i="3"/>
  <c r="X644" i="3" s="1"/>
  <c r="O643" i="3"/>
  <c r="X643" i="3" s="1"/>
  <c r="O642" i="3"/>
  <c r="X642" i="3" s="1"/>
  <c r="O641" i="3"/>
  <c r="X641" i="3" s="1"/>
  <c r="O640" i="3"/>
  <c r="X640" i="3" s="1"/>
  <c r="O639" i="3"/>
  <c r="X639" i="3" s="1"/>
  <c r="O638" i="3"/>
  <c r="X638" i="3" s="1"/>
  <c r="O637" i="3"/>
  <c r="X637" i="3" s="1"/>
  <c r="O636" i="3"/>
  <c r="X636" i="3" s="1"/>
  <c r="O635" i="3"/>
  <c r="X635" i="3" s="1"/>
  <c r="O634" i="3"/>
  <c r="X634" i="3" s="1"/>
  <c r="O633" i="3"/>
  <c r="X633" i="3" s="1"/>
  <c r="O632" i="3"/>
  <c r="X632" i="3" s="1"/>
  <c r="O631" i="3"/>
  <c r="X631" i="3" s="1"/>
  <c r="O630" i="3"/>
  <c r="X630" i="3" s="1"/>
  <c r="O629" i="3"/>
  <c r="X629" i="3" s="1"/>
  <c r="O628" i="3"/>
  <c r="X628" i="3" s="1"/>
  <c r="O627" i="3"/>
  <c r="X627" i="3" s="1"/>
  <c r="O626" i="3"/>
  <c r="X626" i="3" s="1"/>
  <c r="O625" i="3"/>
  <c r="X625" i="3" s="1"/>
  <c r="O624" i="3"/>
  <c r="X624" i="3" s="1"/>
  <c r="O623" i="3"/>
  <c r="X623" i="3" s="1"/>
  <c r="O622" i="3"/>
  <c r="X622" i="3" s="1"/>
  <c r="O621" i="3"/>
  <c r="X621" i="3" s="1"/>
  <c r="O620" i="3"/>
  <c r="X620" i="3" s="1"/>
  <c r="O619" i="3"/>
  <c r="X619" i="3" s="1"/>
  <c r="O618" i="3"/>
  <c r="X618" i="3" s="1"/>
  <c r="O617" i="3"/>
  <c r="X617" i="3" s="1"/>
  <c r="O616" i="3"/>
  <c r="X616" i="3" s="1"/>
  <c r="O615" i="3"/>
  <c r="X615" i="3" s="1"/>
  <c r="O614" i="3"/>
  <c r="X614" i="3" s="1"/>
  <c r="O613" i="3"/>
  <c r="X613" i="3" s="1"/>
  <c r="O612" i="3"/>
  <c r="X612" i="3" s="1"/>
  <c r="O611" i="3"/>
  <c r="X611" i="3" s="1"/>
  <c r="O610" i="3"/>
  <c r="X610" i="3" s="1"/>
  <c r="O609" i="3"/>
  <c r="X609" i="3" s="1"/>
  <c r="O608" i="3"/>
  <c r="X608" i="3" s="1"/>
  <c r="O607" i="3"/>
  <c r="X607" i="3" s="1"/>
  <c r="O606" i="3"/>
  <c r="X606" i="3" s="1"/>
  <c r="O605" i="3"/>
  <c r="X605" i="3" s="1"/>
  <c r="O604" i="3"/>
  <c r="X604" i="3" s="1"/>
  <c r="O603" i="3"/>
  <c r="X603" i="3" s="1"/>
  <c r="O602" i="3"/>
  <c r="X602" i="3" s="1"/>
  <c r="O601" i="3"/>
  <c r="X601" i="3" s="1"/>
  <c r="O600" i="3"/>
  <c r="X600" i="3" s="1"/>
  <c r="O599" i="3"/>
  <c r="X599" i="3" s="1"/>
  <c r="O598" i="3"/>
  <c r="X598" i="3" s="1"/>
  <c r="O597" i="3"/>
  <c r="X597" i="3" s="1"/>
  <c r="O596" i="3"/>
  <c r="X596" i="3" s="1"/>
  <c r="O595" i="3"/>
  <c r="X595" i="3" s="1"/>
  <c r="O594" i="3"/>
  <c r="X594" i="3" s="1"/>
  <c r="O593" i="3"/>
  <c r="X593" i="3" s="1"/>
  <c r="O592" i="3"/>
  <c r="X592" i="3" s="1"/>
  <c r="O591" i="3"/>
  <c r="X591" i="3" s="1"/>
  <c r="O590" i="3"/>
  <c r="X590" i="3" s="1"/>
  <c r="O589" i="3"/>
  <c r="X589" i="3" s="1"/>
  <c r="O588" i="3"/>
  <c r="X588" i="3" s="1"/>
  <c r="O587" i="3"/>
  <c r="X587" i="3" s="1"/>
  <c r="O586" i="3"/>
  <c r="X586" i="3" s="1"/>
  <c r="O585" i="3"/>
  <c r="X585" i="3" s="1"/>
  <c r="O584" i="3"/>
  <c r="X584" i="3" s="1"/>
  <c r="O583" i="3"/>
  <c r="X583" i="3" s="1"/>
  <c r="O582" i="3"/>
  <c r="X582" i="3" s="1"/>
  <c r="O581" i="3"/>
  <c r="X581" i="3" s="1"/>
  <c r="O580" i="3"/>
  <c r="X580" i="3" s="1"/>
  <c r="O579" i="3"/>
  <c r="X579" i="3" s="1"/>
  <c r="O578" i="3"/>
  <c r="X578" i="3" s="1"/>
  <c r="O577" i="3"/>
  <c r="X577" i="3" s="1"/>
  <c r="O576" i="3"/>
  <c r="X576" i="3" s="1"/>
  <c r="O575" i="3"/>
  <c r="X575" i="3" s="1"/>
  <c r="O574" i="3"/>
  <c r="X574" i="3" s="1"/>
  <c r="O573" i="3"/>
  <c r="X573" i="3" s="1"/>
  <c r="O572" i="3"/>
  <c r="X572" i="3" s="1"/>
  <c r="O571" i="3"/>
  <c r="X571" i="3" s="1"/>
  <c r="O570" i="3"/>
  <c r="X570" i="3" s="1"/>
  <c r="O569" i="3"/>
  <c r="X569" i="3" s="1"/>
  <c r="O568" i="3"/>
  <c r="X568" i="3" s="1"/>
  <c r="O567" i="3"/>
  <c r="X567" i="3" s="1"/>
  <c r="O566" i="3"/>
  <c r="X566" i="3" s="1"/>
  <c r="O565" i="3"/>
  <c r="X565" i="3" s="1"/>
  <c r="O564" i="3"/>
  <c r="X564" i="3" s="1"/>
  <c r="O563" i="3"/>
  <c r="X563" i="3" s="1"/>
  <c r="O562" i="3"/>
  <c r="X562" i="3" s="1"/>
  <c r="O561" i="3"/>
  <c r="X561" i="3" s="1"/>
  <c r="O560" i="3"/>
  <c r="X560" i="3" s="1"/>
  <c r="O559" i="3"/>
  <c r="X559" i="3" s="1"/>
  <c r="O558" i="3"/>
  <c r="X558" i="3" s="1"/>
  <c r="O557" i="3"/>
  <c r="X557" i="3" s="1"/>
  <c r="O556" i="3"/>
  <c r="X556" i="3" s="1"/>
  <c r="O555" i="3"/>
  <c r="X555" i="3" s="1"/>
  <c r="O554" i="3"/>
  <c r="X554" i="3" s="1"/>
  <c r="O553" i="3"/>
  <c r="X553" i="3" s="1"/>
  <c r="O552" i="3"/>
  <c r="X552" i="3" s="1"/>
  <c r="O551" i="3"/>
  <c r="X551" i="3" s="1"/>
  <c r="O550" i="3"/>
  <c r="X550" i="3" s="1"/>
  <c r="O549" i="3"/>
  <c r="X549" i="3" s="1"/>
  <c r="O548" i="3"/>
  <c r="X548" i="3" s="1"/>
  <c r="O547" i="3"/>
  <c r="X547" i="3" s="1"/>
  <c r="O546" i="3"/>
  <c r="X546" i="3" s="1"/>
  <c r="O545" i="3"/>
  <c r="X545" i="3" s="1"/>
  <c r="O544" i="3"/>
  <c r="X544" i="3" s="1"/>
  <c r="O543" i="3"/>
  <c r="X543" i="3" s="1"/>
  <c r="O542" i="3"/>
  <c r="X542" i="3" s="1"/>
  <c r="O541" i="3"/>
  <c r="X541" i="3" s="1"/>
  <c r="O540" i="3"/>
  <c r="X540" i="3" s="1"/>
  <c r="O539" i="3"/>
  <c r="X539" i="3" s="1"/>
  <c r="O538" i="3"/>
  <c r="X538" i="3" s="1"/>
  <c r="O537" i="3"/>
  <c r="X537" i="3" s="1"/>
  <c r="O536" i="3"/>
  <c r="X536" i="3" s="1"/>
  <c r="O535" i="3"/>
  <c r="X535" i="3" s="1"/>
  <c r="O534" i="3"/>
  <c r="X534" i="3" s="1"/>
  <c r="O533" i="3"/>
  <c r="X533" i="3" s="1"/>
  <c r="O532" i="3"/>
  <c r="X532" i="3" s="1"/>
  <c r="O531" i="3"/>
  <c r="X531" i="3" s="1"/>
  <c r="O530" i="3"/>
  <c r="X530" i="3" s="1"/>
  <c r="O529" i="3"/>
  <c r="X529" i="3" s="1"/>
  <c r="O528" i="3"/>
  <c r="X528" i="3" s="1"/>
  <c r="O527" i="3"/>
  <c r="X527" i="3" s="1"/>
  <c r="O526" i="3"/>
  <c r="X526" i="3" s="1"/>
  <c r="O525" i="3"/>
  <c r="X525" i="3" s="1"/>
  <c r="O524" i="3"/>
  <c r="X524" i="3" s="1"/>
  <c r="O523" i="3"/>
  <c r="X523" i="3" s="1"/>
  <c r="O522" i="3"/>
  <c r="X522" i="3" s="1"/>
  <c r="O521" i="3"/>
  <c r="X521" i="3" s="1"/>
  <c r="O520" i="3"/>
  <c r="X520" i="3" s="1"/>
  <c r="O519" i="3"/>
  <c r="X519" i="3" s="1"/>
  <c r="O518" i="3"/>
  <c r="X518" i="3" s="1"/>
  <c r="O517" i="3"/>
  <c r="X517" i="3" s="1"/>
  <c r="O516" i="3"/>
  <c r="X516" i="3" s="1"/>
  <c r="O515" i="3"/>
  <c r="X515" i="3" s="1"/>
  <c r="O514" i="3"/>
  <c r="X514" i="3" s="1"/>
  <c r="O513" i="3"/>
  <c r="X513" i="3" s="1"/>
  <c r="O512" i="3"/>
  <c r="X512" i="3" s="1"/>
  <c r="O511" i="3"/>
  <c r="X511" i="3" s="1"/>
  <c r="O510" i="3"/>
  <c r="X510" i="3" s="1"/>
  <c r="O509" i="3"/>
  <c r="X509" i="3" s="1"/>
  <c r="O508" i="3"/>
  <c r="X508" i="3" s="1"/>
  <c r="O507" i="3"/>
  <c r="X507" i="3" s="1"/>
  <c r="O506" i="3"/>
  <c r="X506" i="3" s="1"/>
  <c r="O505" i="3"/>
  <c r="X505" i="3" s="1"/>
  <c r="O504" i="3"/>
  <c r="X504" i="3" s="1"/>
  <c r="O503" i="3"/>
  <c r="X503" i="3" s="1"/>
  <c r="O502" i="3"/>
  <c r="X502" i="3" s="1"/>
  <c r="O501" i="3"/>
  <c r="X501" i="3" s="1"/>
  <c r="O500" i="3"/>
  <c r="X500" i="3" s="1"/>
  <c r="O499" i="3"/>
  <c r="X499" i="3" s="1"/>
  <c r="O498" i="3"/>
  <c r="X498" i="3" s="1"/>
  <c r="O497" i="3"/>
  <c r="X497" i="3" s="1"/>
  <c r="O496" i="3"/>
  <c r="X496" i="3" s="1"/>
  <c r="O495" i="3"/>
  <c r="X495" i="3" s="1"/>
  <c r="O494" i="3"/>
  <c r="X494" i="3" s="1"/>
  <c r="O493" i="3"/>
  <c r="X493" i="3" s="1"/>
  <c r="O492" i="3"/>
  <c r="X492" i="3" s="1"/>
  <c r="O491" i="3"/>
  <c r="X491" i="3" s="1"/>
  <c r="O490" i="3"/>
  <c r="X490" i="3" s="1"/>
  <c r="O489" i="3"/>
  <c r="X489" i="3" s="1"/>
  <c r="O488" i="3"/>
  <c r="X488" i="3" s="1"/>
  <c r="O487" i="3"/>
  <c r="X487" i="3" s="1"/>
  <c r="O486" i="3"/>
  <c r="X486" i="3" s="1"/>
  <c r="O485" i="3"/>
  <c r="X485" i="3" s="1"/>
  <c r="O484" i="3"/>
  <c r="X484" i="3" s="1"/>
  <c r="O483" i="3"/>
  <c r="X483" i="3" s="1"/>
  <c r="O482" i="3"/>
  <c r="X482" i="3" s="1"/>
  <c r="O481" i="3"/>
  <c r="X481" i="3" s="1"/>
  <c r="O480" i="3"/>
  <c r="X480" i="3" s="1"/>
  <c r="O479" i="3"/>
  <c r="X479" i="3" s="1"/>
  <c r="O478" i="3"/>
  <c r="X478" i="3" s="1"/>
  <c r="O477" i="3"/>
  <c r="X477" i="3" s="1"/>
  <c r="O476" i="3"/>
  <c r="X476" i="3" s="1"/>
  <c r="O475" i="3"/>
  <c r="X475" i="3" s="1"/>
  <c r="O474" i="3"/>
  <c r="X474" i="3" s="1"/>
  <c r="O473" i="3"/>
  <c r="X473" i="3" s="1"/>
  <c r="O472" i="3"/>
  <c r="X472" i="3" s="1"/>
  <c r="O471" i="3"/>
  <c r="X471" i="3" s="1"/>
  <c r="O470" i="3"/>
  <c r="X470" i="3" s="1"/>
  <c r="O469" i="3"/>
  <c r="X469" i="3" s="1"/>
  <c r="O468" i="3"/>
  <c r="X468" i="3" s="1"/>
  <c r="O467" i="3"/>
  <c r="X467" i="3" s="1"/>
  <c r="O466" i="3"/>
  <c r="X466" i="3" s="1"/>
  <c r="O465" i="3"/>
  <c r="X465" i="3" s="1"/>
  <c r="O464" i="3"/>
  <c r="X464" i="3" s="1"/>
  <c r="O463" i="3"/>
  <c r="X463" i="3" s="1"/>
  <c r="O462" i="3"/>
  <c r="X462" i="3" s="1"/>
  <c r="O461" i="3"/>
  <c r="X461" i="3" s="1"/>
  <c r="O460" i="3"/>
  <c r="X460" i="3" s="1"/>
  <c r="O459" i="3"/>
  <c r="X459" i="3" s="1"/>
  <c r="O458" i="3"/>
  <c r="X458" i="3" s="1"/>
  <c r="O457" i="3"/>
  <c r="X457" i="3" s="1"/>
  <c r="O456" i="3"/>
  <c r="X456" i="3" s="1"/>
  <c r="O455" i="3"/>
  <c r="X455" i="3" s="1"/>
  <c r="O454" i="3"/>
  <c r="X454" i="3" s="1"/>
  <c r="O453" i="3"/>
  <c r="X453" i="3" s="1"/>
  <c r="O452" i="3"/>
  <c r="X452" i="3" s="1"/>
  <c r="O451" i="3"/>
  <c r="X451" i="3" s="1"/>
  <c r="O450" i="3"/>
  <c r="X450" i="3" s="1"/>
  <c r="O449" i="3"/>
  <c r="X449" i="3" s="1"/>
  <c r="O448" i="3"/>
  <c r="X448" i="3" s="1"/>
  <c r="O447" i="3"/>
  <c r="X447" i="3" s="1"/>
  <c r="O446" i="3"/>
  <c r="X446" i="3" s="1"/>
  <c r="O445" i="3"/>
  <c r="X445" i="3" s="1"/>
  <c r="O444" i="3"/>
  <c r="X444" i="3" s="1"/>
  <c r="O443" i="3"/>
  <c r="X443" i="3" s="1"/>
  <c r="O442" i="3"/>
  <c r="X442" i="3" s="1"/>
  <c r="O441" i="3"/>
  <c r="X441" i="3" s="1"/>
  <c r="O440" i="3"/>
  <c r="X440" i="3" s="1"/>
  <c r="O439" i="3"/>
  <c r="X439" i="3" s="1"/>
  <c r="O438" i="3"/>
  <c r="X438" i="3" s="1"/>
  <c r="O437" i="3"/>
  <c r="X437" i="3" s="1"/>
  <c r="O436" i="3"/>
  <c r="X436" i="3" s="1"/>
  <c r="O435" i="3"/>
  <c r="X435" i="3" s="1"/>
  <c r="O434" i="3"/>
  <c r="X434" i="3" s="1"/>
  <c r="O433" i="3"/>
  <c r="X433" i="3" s="1"/>
  <c r="O432" i="3"/>
  <c r="X432" i="3" s="1"/>
  <c r="O431" i="3"/>
  <c r="X431" i="3" s="1"/>
  <c r="O430" i="3"/>
  <c r="X430" i="3" s="1"/>
  <c r="O429" i="3"/>
  <c r="X429" i="3" s="1"/>
  <c r="O428" i="3"/>
  <c r="X428" i="3" s="1"/>
  <c r="O427" i="3"/>
  <c r="X427" i="3" s="1"/>
  <c r="O426" i="3"/>
  <c r="X426" i="3" s="1"/>
  <c r="O425" i="3"/>
  <c r="X425" i="3" s="1"/>
  <c r="O424" i="3"/>
  <c r="X424" i="3" s="1"/>
  <c r="O423" i="3"/>
  <c r="X423" i="3" s="1"/>
  <c r="O422" i="3"/>
  <c r="X422" i="3" s="1"/>
  <c r="O421" i="3"/>
  <c r="X421" i="3" s="1"/>
  <c r="O420" i="3"/>
  <c r="X420" i="3" s="1"/>
  <c r="O419" i="3"/>
  <c r="X419" i="3" s="1"/>
  <c r="O418" i="3"/>
  <c r="X418" i="3" s="1"/>
  <c r="O417" i="3"/>
  <c r="X417" i="3" s="1"/>
  <c r="O416" i="3"/>
  <c r="X416" i="3" s="1"/>
  <c r="O415" i="3"/>
  <c r="X415" i="3" s="1"/>
  <c r="O414" i="3"/>
  <c r="X414" i="3" s="1"/>
  <c r="O413" i="3"/>
  <c r="X413" i="3" s="1"/>
  <c r="O412" i="3"/>
  <c r="X412" i="3" s="1"/>
  <c r="O411" i="3"/>
  <c r="X411" i="3" s="1"/>
  <c r="O410" i="3"/>
  <c r="X410" i="3" s="1"/>
  <c r="O409" i="3"/>
  <c r="X409" i="3" s="1"/>
  <c r="O408" i="3"/>
  <c r="X408" i="3" s="1"/>
  <c r="O407" i="3"/>
  <c r="X407" i="3" s="1"/>
  <c r="O406" i="3"/>
  <c r="X406" i="3" s="1"/>
  <c r="O405" i="3"/>
  <c r="X405" i="3" s="1"/>
  <c r="O404" i="3"/>
  <c r="X404" i="3" s="1"/>
  <c r="O403" i="3"/>
  <c r="X403" i="3" s="1"/>
  <c r="O402" i="3"/>
  <c r="X402" i="3" s="1"/>
  <c r="O401" i="3"/>
  <c r="X401" i="3" s="1"/>
  <c r="O400" i="3"/>
  <c r="X400" i="3" s="1"/>
  <c r="O399" i="3"/>
  <c r="X399" i="3" s="1"/>
  <c r="O398" i="3"/>
  <c r="X398" i="3" s="1"/>
  <c r="O397" i="3"/>
  <c r="X397" i="3" s="1"/>
  <c r="O396" i="3"/>
  <c r="X396" i="3" s="1"/>
  <c r="O395" i="3"/>
  <c r="X395" i="3" s="1"/>
  <c r="O394" i="3"/>
  <c r="X394" i="3" s="1"/>
  <c r="O393" i="3"/>
  <c r="X393" i="3" s="1"/>
  <c r="O392" i="3"/>
  <c r="X392" i="3" s="1"/>
  <c r="O391" i="3"/>
  <c r="X391" i="3" s="1"/>
  <c r="O390" i="3"/>
  <c r="X390" i="3" s="1"/>
  <c r="O389" i="3"/>
  <c r="X389" i="3" s="1"/>
  <c r="O388" i="3"/>
  <c r="X388" i="3" s="1"/>
  <c r="O387" i="3"/>
  <c r="X387" i="3" s="1"/>
  <c r="O386" i="3"/>
  <c r="X386" i="3" s="1"/>
  <c r="O385" i="3"/>
  <c r="X385" i="3" s="1"/>
  <c r="O384" i="3"/>
  <c r="X384" i="3" s="1"/>
  <c r="O383" i="3"/>
  <c r="X383" i="3" s="1"/>
  <c r="O382" i="3"/>
  <c r="X382" i="3" s="1"/>
  <c r="O381" i="3"/>
  <c r="X381" i="3" s="1"/>
  <c r="O380" i="3"/>
  <c r="X380" i="3" s="1"/>
  <c r="O379" i="3"/>
  <c r="X379" i="3" s="1"/>
  <c r="O378" i="3"/>
  <c r="X378" i="3" s="1"/>
  <c r="O377" i="3"/>
  <c r="X377" i="3" s="1"/>
  <c r="O376" i="3"/>
  <c r="X376" i="3" s="1"/>
  <c r="O375" i="3"/>
  <c r="X375" i="3" s="1"/>
  <c r="O374" i="3"/>
  <c r="X374" i="3" s="1"/>
  <c r="O373" i="3"/>
  <c r="X373" i="3" s="1"/>
  <c r="O372" i="3"/>
  <c r="X372" i="3" s="1"/>
  <c r="O371" i="3"/>
  <c r="X371" i="3" s="1"/>
  <c r="O370" i="3"/>
  <c r="X370" i="3" s="1"/>
  <c r="O369" i="3"/>
  <c r="X369" i="3" s="1"/>
  <c r="O368" i="3"/>
  <c r="X368" i="3" s="1"/>
  <c r="O367" i="3"/>
  <c r="X367" i="3" s="1"/>
  <c r="O366" i="3"/>
  <c r="X366" i="3" s="1"/>
  <c r="O365" i="3"/>
  <c r="X365" i="3" s="1"/>
  <c r="O364" i="3"/>
  <c r="X364" i="3" s="1"/>
  <c r="O363" i="3"/>
  <c r="X363" i="3" s="1"/>
  <c r="O362" i="3"/>
  <c r="X362" i="3" s="1"/>
  <c r="O361" i="3"/>
  <c r="X361" i="3" s="1"/>
  <c r="O360" i="3"/>
  <c r="X360" i="3" s="1"/>
  <c r="O359" i="3"/>
  <c r="X359" i="3" s="1"/>
  <c r="O358" i="3"/>
  <c r="X358" i="3" s="1"/>
  <c r="O357" i="3"/>
  <c r="X357" i="3" s="1"/>
  <c r="O356" i="3"/>
  <c r="X356" i="3" s="1"/>
  <c r="O355" i="3"/>
  <c r="X355" i="3" s="1"/>
  <c r="O354" i="3"/>
  <c r="X354" i="3" s="1"/>
  <c r="O353" i="3"/>
  <c r="X353" i="3" s="1"/>
  <c r="O352" i="3"/>
  <c r="X352" i="3" s="1"/>
  <c r="O351" i="3"/>
  <c r="X351" i="3" s="1"/>
  <c r="O350" i="3"/>
  <c r="X350" i="3" s="1"/>
  <c r="O349" i="3"/>
  <c r="X349" i="3" s="1"/>
  <c r="O348" i="3"/>
  <c r="X348" i="3" s="1"/>
  <c r="O347" i="3"/>
  <c r="X347" i="3" s="1"/>
  <c r="O346" i="3"/>
  <c r="X346" i="3" s="1"/>
  <c r="O345" i="3"/>
  <c r="X345" i="3" s="1"/>
  <c r="O344" i="3"/>
  <c r="X344" i="3" s="1"/>
  <c r="O343" i="3"/>
  <c r="X343" i="3" s="1"/>
  <c r="O342" i="3"/>
  <c r="X342" i="3" s="1"/>
  <c r="O341" i="3"/>
  <c r="X341" i="3" s="1"/>
  <c r="O340" i="3"/>
  <c r="X340" i="3" s="1"/>
  <c r="O339" i="3"/>
  <c r="X339" i="3" s="1"/>
  <c r="O338" i="3"/>
  <c r="X338" i="3" s="1"/>
  <c r="O337" i="3"/>
  <c r="X337" i="3" s="1"/>
  <c r="O336" i="3"/>
  <c r="X336" i="3" s="1"/>
  <c r="O335" i="3"/>
  <c r="X335" i="3" s="1"/>
  <c r="O334" i="3"/>
  <c r="X334" i="3" s="1"/>
  <c r="O333" i="3"/>
  <c r="X333" i="3" s="1"/>
  <c r="O332" i="3"/>
  <c r="X332" i="3" s="1"/>
  <c r="O331" i="3"/>
  <c r="X331" i="3" s="1"/>
  <c r="O330" i="3"/>
  <c r="X330" i="3" s="1"/>
  <c r="O329" i="3"/>
  <c r="X329" i="3" s="1"/>
  <c r="O328" i="3"/>
  <c r="X328" i="3" s="1"/>
  <c r="O327" i="3"/>
  <c r="X327" i="3" s="1"/>
  <c r="O326" i="3"/>
  <c r="X326" i="3" s="1"/>
  <c r="O325" i="3"/>
  <c r="X325" i="3" s="1"/>
  <c r="O324" i="3"/>
  <c r="X324" i="3" s="1"/>
  <c r="O323" i="3"/>
  <c r="X323" i="3" s="1"/>
  <c r="O322" i="3"/>
  <c r="X322" i="3" s="1"/>
  <c r="O321" i="3"/>
  <c r="X321" i="3" s="1"/>
  <c r="O320" i="3"/>
  <c r="X320" i="3" s="1"/>
  <c r="O319" i="3"/>
  <c r="X319" i="3" s="1"/>
  <c r="O318" i="3"/>
  <c r="X318" i="3" s="1"/>
  <c r="O317" i="3"/>
  <c r="X317" i="3" s="1"/>
  <c r="O316" i="3"/>
  <c r="X316" i="3" s="1"/>
  <c r="O315" i="3"/>
  <c r="X315" i="3" s="1"/>
  <c r="O314" i="3"/>
  <c r="X314" i="3" s="1"/>
  <c r="O313" i="3"/>
  <c r="X313" i="3" s="1"/>
  <c r="O312" i="3"/>
  <c r="X312" i="3" s="1"/>
  <c r="O311" i="3"/>
  <c r="X311" i="3" s="1"/>
  <c r="O310" i="3"/>
  <c r="X310" i="3" s="1"/>
  <c r="O309" i="3"/>
  <c r="X309" i="3" s="1"/>
  <c r="O308" i="3"/>
  <c r="X308" i="3" s="1"/>
  <c r="O307" i="3"/>
  <c r="X307" i="3" s="1"/>
  <c r="O306" i="3"/>
  <c r="X306" i="3" s="1"/>
  <c r="O305" i="3"/>
  <c r="X305" i="3" s="1"/>
  <c r="O304" i="3"/>
  <c r="X304" i="3" s="1"/>
  <c r="O303" i="3"/>
  <c r="X303" i="3" s="1"/>
  <c r="O302" i="3"/>
  <c r="X302" i="3" s="1"/>
  <c r="O301" i="3"/>
  <c r="X301" i="3" s="1"/>
  <c r="O300" i="3"/>
  <c r="X300" i="3" s="1"/>
  <c r="O299" i="3"/>
  <c r="X299" i="3" s="1"/>
  <c r="O298" i="3"/>
  <c r="X298" i="3" s="1"/>
  <c r="O297" i="3"/>
  <c r="X297" i="3" s="1"/>
  <c r="O296" i="3"/>
  <c r="X296" i="3" s="1"/>
  <c r="O295" i="3"/>
  <c r="X295" i="3" s="1"/>
  <c r="O294" i="3"/>
  <c r="X294" i="3" s="1"/>
  <c r="O293" i="3"/>
  <c r="X293" i="3" s="1"/>
  <c r="O292" i="3"/>
  <c r="X292" i="3" s="1"/>
  <c r="O291" i="3"/>
  <c r="X291" i="3" s="1"/>
  <c r="O290" i="3"/>
  <c r="X290" i="3" s="1"/>
  <c r="O289" i="3"/>
  <c r="X289" i="3" s="1"/>
  <c r="O288" i="3"/>
  <c r="X288" i="3" s="1"/>
  <c r="O287" i="3"/>
  <c r="X287" i="3" s="1"/>
  <c r="O286" i="3"/>
  <c r="X286" i="3" s="1"/>
  <c r="O285" i="3"/>
  <c r="X285" i="3" s="1"/>
  <c r="O284" i="3"/>
  <c r="X284" i="3" s="1"/>
  <c r="O283" i="3"/>
  <c r="X283" i="3" s="1"/>
  <c r="O282" i="3"/>
  <c r="X282" i="3" s="1"/>
  <c r="O281" i="3"/>
  <c r="X281" i="3" s="1"/>
  <c r="O280" i="3"/>
  <c r="X280" i="3" s="1"/>
  <c r="O279" i="3"/>
  <c r="X279" i="3" s="1"/>
  <c r="O278" i="3"/>
  <c r="X278" i="3" s="1"/>
  <c r="O277" i="3"/>
  <c r="X277" i="3" s="1"/>
  <c r="O276" i="3"/>
  <c r="X276" i="3" s="1"/>
  <c r="O275" i="3"/>
  <c r="X275" i="3" s="1"/>
  <c r="O274" i="3"/>
  <c r="X274" i="3" s="1"/>
  <c r="O273" i="3"/>
  <c r="X273" i="3" s="1"/>
  <c r="O272" i="3"/>
  <c r="X272" i="3" s="1"/>
  <c r="O271" i="3"/>
  <c r="X271" i="3" s="1"/>
  <c r="O270" i="3"/>
  <c r="X270" i="3" s="1"/>
  <c r="O269" i="3"/>
  <c r="X269" i="3" s="1"/>
  <c r="O268" i="3"/>
  <c r="X268" i="3" s="1"/>
  <c r="O267" i="3"/>
  <c r="X267" i="3" s="1"/>
  <c r="O266" i="3"/>
  <c r="X266" i="3" s="1"/>
  <c r="O265" i="3"/>
  <c r="X265" i="3" s="1"/>
  <c r="O264" i="3"/>
  <c r="X264" i="3" s="1"/>
  <c r="O263" i="3"/>
  <c r="X263" i="3" s="1"/>
  <c r="O262" i="3"/>
  <c r="X262" i="3" s="1"/>
  <c r="O261" i="3"/>
  <c r="X261" i="3" s="1"/>
  <c r="O260" i="3"/>
  <c r="X260" i="3" s="1"/>
  <c r="O259" i="3"/>
  <c r="X259" i="3" s="1"/>
  <c r="O258" i="3"/>
  <c r="X258" i="3" s="1"/>
  <c r="O257" i="3"/>
  <c r="X257" i="3" s="1"/>
  <c r="O256" i="3"/>
  <c r="X256" i="3" s="1"/>
  <c r="O255" i="3"/>
  <c r="X255" i="3" s="1"/>
  <c r="O254" i="3"/>
  <c r="X254" i="3" s="1"/>
  <c r="O253" i="3"/>
  <c r="X253" i="3" s="1"/>
  <c r="O252" i="3"/>
  <c r="X252" i="3" s="1"/>
  <c r="O251" i="3"/>
  <c r="X251" i="3" s="1"/>
  <c r="O250" i="3"/>
  <c r="X250" i="3" s="1"/>
  <c r="O249" i="3"/>
  <c r="X249" i="3" s="1"/>
  <c r="O248" i="3"/>
  <c r="X248" i="3" s="1"/>
  <c r="O247" i="3"/>
  <c r="X247" i="3" s="1"/>
  <c r="O246" i="3"/>
  <c r="X246" i="3" s="1"/>
  <c r="O245" i="3"/>
  <c r="X245" i="3" s="1"/>
  <c r="O244" i="3"/>
  <c r="X244" i="3" s="1"/>
  <c r="O243" i="3"/>
  <c r="X243" i="3" s="1"/>
  <c r="O242" i="3"/>
  <c r="X242" i="3" s="1"/>
  <c r="O241" i="3"/>
  <c r="X241" i="3" s="1"/>
  <c r="O240" i="3"/>
  <c r="X240" i="3" s="1"/>
  <c r="O239" i="3"/>
  <c r="X239" i="3" s="1"/>
  <c r="O238" i="3"/>
  <c r="X238" i="3" s="1"/>
  <c r="O237" i="3"/>
  <c r="X237" i="3" s="1"/>
  <c r="O236" i="3"/>
  <c r="X236" i="3" s="1"/>
  <c r="O235" i="3"/>
  <c r="X235" i="3" s="1"/>
  <c r="O234" i="3"/>
  <c r="X234" i="3" s="1"/>
  <c r="O233" i="3"/>
  <c r="X233" i="3" s="1"/>
  <c r="O232" i="3"/>
  <c r="X232" i="3" s="1"/>
  <c r="O231" i="3"/>
  <c r="X231" i="3" s="1"/>
  <c r="O230" i="3"/>
  <c r="X230" i="3" s="1"/>
  <c r="O229" i="3"/>
  <c r="X229" i="3" s="1"/>
  <c r="O228" i="3"/>
  <c r="X228" i="3" s="1"/>
  <c r="O227" i="3"/>
  <c r="X227" i="3" s="1"/>
  <c r="O226" i="3"/>
  <c r="X226" i="3" s="1"/>
  <c r="O225" i="3"/>
  <c r="X225" i="3" s="1"/>
  <c r="O224" i="3"/>
  <c r="X224" i="3" s="1"/>
  <c r="O223" i="3"/>
  <c r="X223" i="3" s="1"/>
  <c r="O222" i="3"/>
  <c r="X222" i="3" s="1"/>
  <c r="O221" i="3"/>
  <c r="X221" i="3" s="1"/>
  <c r="O220" i="3"/>
  <c r="X220" i="3" s="1"/>
  <c r="O219" i="3"/>
  <c r="X219" i="3" s="1"/>
  <c r="O218" i="3"/>
  <c r="X218" i="3" s="1"/>
  <c r="O217" i="3"/>
  <c r="X217" i="3" s="1"/>
  <c r="O216" i="3"/>
  <c r="X216" i="3" s="1"/>
  <c r="O215" i="3"/>
  <c r="X215" i="3" s="1"/>
  <c r="O214" i="3"/>
  <c r="X214" i="3" s="1"/>
  <c r="O213" i="3"/>
  <c r="X213" i="3" s="1"/>
  <c r="O212" i="3"/>
  <c r="X212" i="3" s="1"/>
  <c r="O211" i="3"/>
  <c r="X211" i="3" s="1"/>
  <c r="O210" i="3"/>
  <c r="X210" i="3" s="1"/>
  <c r="O209" i="3"/>
  <c r="X209" i="3" s="1"/>
  <c r="O208" i="3"/>
  <c r="X208" i="3" s="1"/>
  <c r="O207" i="3"/>
  <c r="X207" i="3" s="1"/>
  <c r="O206" i="3"/>
  <c r="X206" i="3" s="1"/>
  <c r="O205" i="3"/>
  <c r="X205" i="3" s="1"/>
  <c r="O204" i="3"/>
  <c r="X204" i="3" s="1"/>
  <c r="O203" i="3"/>
  <c r="X203" i="3" s="1"/>
  <c r="O202" i="3"/>
  <c r="X202" i="3" s="1"/>
  <c r="O201" i="3"/>
  <c r="X201" i="3" s="1"/>
  <c r="O200" i="3"/>
  <c r="X200" i="3" s="1"/>
  <c r="O199" i="3"/>
  <c r="X199" i="3" s="1"/>
  <c r="O198" i="3"/>
  <c r="X198" i="3" s="1"/>
  <c r="O197" i="3"/>
  <c r="X197" i="3" s="1"/>
  <c r="O196" i="3"/>
  <c r="X196" i="3" s="1"/>
  <c r="O195" i="3"/>
  <c r="X195" i="3" s="1"/>
  <c r="O194" i="3"/>
  <c r="X194" i="3" s="1"/>
  <c r="O193" i="3"/>
  <c r="X193" i="3" s="1"/>
  <c r="O192" i="3"/>
  <c r="X192" i="3" s="1"/>
  <c r="O191" i="3"/>
  <c r="X191" i="3" s="1"/>
  <c r="O190" i="3"/>
  <c r="X190" i="3" s="1"/>
  <c r="O189" i="3"/>
  <c r="X189" i="3" s="1"/>
  <c r="O188" i="3"/>
  <c r="X188" i="3" s="1"/>
  <c r="O187" i="3"/>
  <c r="X187" i="3" s="1"/>
  <c r="O186" i="3"/>
  <c r="X186" i="3" s="1"/>
  <c r="O185" i="3"/>
  <c r="X185" i="3" s="1"/>
  <c r="O184" i="3"/>
  <c r="X184" i="3" s="1"/>
  <c r="O183" i="3"/>
  <c r="X183" i="3" s="1"/>
  <c r="O182" i="3"/>
  <c r="X182" i="3" s="1"/>
  <c r="O181" i="3"/>
  <c r="X181" i="3" s="1"/>
  <c r="O180" i="3"/>
  <c r="X180" i="3" s="1"/>
  <c r="O179" i="3"/>
  <c r="X179" i="3" s="1"/>
  <c r="O178" i="3"/>
  <c r="X178" i="3" s="1"/>
  <c r="O177" i="3"/>
  <c r="X177" i="3" s="1"/>
  <c r="O176" i="3"/>
  <c r="X176" i="3" s="1"/>
  <c r="O175" i="3"/>
  <c r="X175" i="3" s="1"/>
  <c r="O174" i="3"/>
  <c r="X174" i="3" s="1"/>
  <c r="O173" i="3"/>
  <c r="X173" i="3" s="1"/>
  <c r="O172" i="3"/>
  <c r="X172" i="3" s="1"/>
  <c r="O171" i="3"/>
  <c r="X171" i="3" s="1"/>
  <c r="O170" i="3"/>
  <c r="X170" i="3" s="1"/>
  <c r="O169" i="3"/>
  <c r="X169" i="3" s="1"/>
  <c r="O168" i="3"/>
  <c r="X168" i="3" s="1"/>
  <c r="O167" i="3"/>
  <c r="X167" i="3" s="1"/>
  <c r="O166" i="3"/>
  <c r="X166" i="3" s="1"/>
  <c r="O165" i="3"/>
  <c r="X165" i="3" s="1"/>
  <c r="O164" i="3"/>
  <c r="X164" i="3" s="1"/>
  <c r="O163" i="3"/>
  <c r="X163" i="3" s="1"/>
  <c r="O162" i="3"/>
  <c r="X162" i="3" s="1"/>
  <c r="O161" i="3"/>
  <c r="X161" i="3" s="1"/>
  <c r="O160" i="3"/>
  <c r="X160" i="3" s="1"/>
  <c r="O159" i="3"/>
  <c r="X159" i="3" s="1"/>
  <c r="O158" i="3"/>
  <c r="X158" i="3" s="1"/>
  <c r="O157" i="3"/>
  <c r="X157" i="3" s="1"/>
  <c r="O156" i="3"/>
  <c r="X156" i="3" s="1"/>
  <c r="O155" i="3"/>
  <c r="X155" i="3" s="1"/>
  <c r="O154" i="3"/>
  <c r="X154" i="3" s="1"/>
  <c r="O153" i="3"/>
  <c r="X153" i="3" s="1"/>
  <c r="O152" i="3"/>
  <c r="X152" i="3" s="1"/>
  <c r="O151" i="3"/>
  <c r="X151" i="3" s="1"/>
  <c r="O150" i="3"/>
  <c r="X150" i="3" s="1"/>
  <c r="O149" i="3"/>
  <c r="X149" i="3" s="1"/>
  <c r="O148" i="3"/>
  <c r="X148" i="3" s="1"/>
  <c r="O147" i="3"/>
  <c r="X147" i="3" s="1"/>
  <c r="O146" i="3"/>
  <c r="X146" i="3" s="1"/>
  <c r="O145" i="3"/>
  <c r="X145" i="3" s="1"/>
  <c r="O144" i="3"/>
  <c r="X144" i="3" s="1"/>
  <c r="O143" i="3"/>
  <c r="X143" i="3" s="1"/>
  <c r="O142" i="3"/>
  <c r="X142" i="3" s="1"/>
  <c r="O141" i="3"/>
  <c r="X141" i="3" s="1"/>
  <c r="O140" i="3"/>
  <c r="X140" i="3" s="1"/>
  <c r="O139" i="3"/>
  <c r="X139" i="3" s="1"/>
  <c r="O138" i="3"/>
  <c r="X138" i="3" s="1"/>
  <c r="O137" i="3"/>
  <c r="X137" i="3" s="1"/>
  <c r="O136" i="3"/>
  <c r="X136" i="3" s="1"/>
  <c r="O135" i="3"/>
  <c r="X135" i="3" s="1"/>
  <c r="O134" i="3"/>
  <c r="X134" i="3" s="1"/>
  <c r="O133" i="3"/>
  <c r="X133" i="3" s="1"/>
  <c r="O132" i="3"/>
  <c r="X132" i="3" s="1"/>
  <c r="O131" i="3"/>
  <c r="X131" i="3" s="1"/>
  <c r="O130" i="3"/>
  <c r="X130" i="3" s="1"/>
  <c r="O129" i="3"/>
  <c r="X129" i="3" s="1"/>
  <c r="O128" i="3"/>
  <c r="X128" i="3" s="1"/>
  <c r="O127" i="3"/>
  <c r="X127" i="3" s="1"/>
  <c r="O126" i="3"/>
  <c r="X126" i="3" s="1"/>
  <c r="O125" i="3"/>
  <c r="X125" i="3" s="1"/>
  <c r="O124" i="3"/>
  <c r="X124" i="3" s="1"/>
  <c r="O123" i="3"/>
  <c r="X123" i="3" s="1"/>
  <c r="O122" i="3"/>
  <c r="X122" i="3" s="1"/>
  <c r="O121" i="3"/>
  <c r="X121" i="3" s="1"/>
  <c r="O120" i="3"/>
  <c r="X120" i="3" s="1"/>
  <c r="O119" i="3"/>
  <c r="X119" i="3" s="1"/>
  <c r="O118" i="3"/>
  <c r="X118" i="3" s="1"/>
  <c r="O117" i="3"/>
  <c r="X117" i="3" s="1"/>
  <c r="O116" i="3"/>
  <c r="X116" i="3" s="1"/>
  <c r="O115" i="3"/>
  <c r="X115" i="3" s="1"/>
  <c r="O114" i="3"/>
  <c r="X114" i="3" s="1"/>
  <c r="O113" i="3"/>
  <c r="X113" i="3" s="1"/>
  <c r="O112" i="3"/>
  <c r="X112" i="3" s="1"/>
  <c r="O111" i="3"/>
  <c r="X111" i="3" s="1"/>
  <c r="O110" i="3"/>
  <c r="X110" i="3" s="1"/>
  <c r="O109" i="3"/>
  <c r="X109" i="3" s="1"/>
  <c r="O108" i="3"/>
  <c r="X108" i="3" s="1"/>
  <c r="O107" i="3"/>
  <c r="X107" i="3" s="1"/>
  <c r="O106" i="3"/>
  <c r="X106" i="3" s="1"/>
  <c r="O105" i="3"/>
  <c r="X105" i="3" s="1"/>
  <c r="O104" i="3"/>
  <c r="X104" i="3" s="1"/>
  <c r="O103" i="3"/>
  <c r="X103" i="3" s="1"/>
  <c r="O102" i="3"/>
  <c r="X102" i="3" s="1"/>
  <c r="O101" i="3"/>
  <c r="X101" i="3" s="1"/>
  <c r="O100" i="3"/>
  <c r="X100" i="3" s="1"/>
  <c r="O99" i="3"/>
  <c r="X99" i="3" s="1"/>
  <c r="O98" i="3"/>
  <c r="X98" i="3" s="1"/>
  <c r="O97" i="3"/>
  <c r="X97" i="3" s="1"/>
  <c r="O96" i="3"/>
  <c r="X96" i="3" s="1"/>
  <c r="O95" i="3"/>
  <c r="X95" i="3" s="1"/>
  <c r="O94" i="3"/>
  <c r="X94" i="3" s="1"/>
  <c r="O93" i="3"/>
  <c r="X93" i="3" s="1"/>
  <c r="O92" i="3"/>
  <c r="X92" i="3" s="1"/>
  <c r="O91" i="3"/>
  <c r="X91" i="3" s="1"/>
  <c r="O90" i="3"/>
  <c r="X90" i="3" s="1"/>
  <c r="O89" i="3"/>
  <c r="X89" i="3" s="1"/>
  <c r="O88" i="3"/>
  <c r="X88" i="3" s="1"/>
  <c r="O87" i="3"/>
  <c r="X87" i="3" s="1"/>
  <c r="O86" i="3"/>
  <c r="X86" i="3" s="1"/>
  <c r="O85" i="3"/>
  <c r="X85" i="3" s="1"/>
  <c r="O84" i="3"/>
  <c r="X84" i="3" s="1"/>
  <c r="O83" i="3"/>
  <c r="X83" i="3" s="1"/>
  <c r="O82" i="3"/>
  <c r="X82" i="3" s="1"/>
  <c r="O81" i="3"/>
  <c r="X81" i="3" s="1"/>
  <c r="O80" i="3"/>
  <c r="X80" i="3" s="1"/>
  <c r="O79" i="3"/>
  <c r="X79" i="3" s="1"/>
  <c r="O78" i="3"/>
  <c r="X78" i="3" s="1"/>
  <c r="O77" i="3"/>
  <c r="X77" i="3" s="1"/>
  <c r="O76" i="3"/>
  <c r="X76" i="3" s="1"/>
  <c r="O75" i="3"/>
  <c r="X75" i="3" s="1"/>
  <c r="O74" i="3"/>
  <c r="X74" i="3" s="1"/>
  <c r="O73" i="3"/>
  <c r="X73" i="3" s="1"/>
  <c r="O72" i="3"/>
  <c r="X72" i="3" s="1"/>
  <c r="O71" i="3"/>
  <c r="X71" i="3" s="1"/>
  <c r="O70" i="3"/>
  <c r="X70" i="3" s="1"/>
  <c r="O69" i="3"/>
  <c r="X69" i="3" s="1"/>
  <c r="O68" i="3"/>
  <c r="X68" i="3" s="1"/>
  <c r="O67" i="3"/>
  <c r="X67" i="3" s="1"/>
  <c r="O66" i="3"/>
  <c r="X66" i="3" s="1"/>
  <c r="O65" i="3"/>
  <c r="X65" i="3" s="1"/>
  <c r="O64" i="3"/>
  <c r="X64" i="3" s="1"/>
  <c r="O63" i="3"/>
  <c r="X63" i="3" s="1"/>
  <c r="O62" i="3"/>
  <c r="X62" i="3" s="1"/>
  <c r="O61" i="3"/>
  <c r="X61" i="3" s="1"/>
  <c r="O60" i="3"/>
  <c r="X60" i="3" s="1"/>
  <c r="O59" i="3"/>
  <c r="X59" i="3" s="1"/>
  <c r="O58" i="3"/>
  <c r="X58" i="3" s="1"/>
  <c r="O57" i="3"/>
  <c r="X57" i="3" s="1"/>
  <c r="O56" i="3"/>
  <c r="X56" i="3" s="1"/>
  <c r="O55" i="3"/>
  <c r="X55" i="3" s="1"/>
  <c r="O54" i="3"/>
  <c r="X54" i="3" s="1"/>
  <c r="O53" i="3"/>
  <c r="X53" i="3" s="1"/>
  <c r="O52" i="3"/>
  <c r="X52" i="3" s="1"/>
  <c r="O51" i="3"/>
  <c r="X51" i="3" s="1"/>
  <c r="O50" i="3"/>
  <c r="X50" i="3" s="1"/>
  <c r="O49" i="3"/>
  <c r="X49" i="3" s="1"/>
  <c r="O48" i="3"/>
  <c r="X48" i="3" s="1"/>
  <c r="O47" i="3"/>
  <c r="X47" i="3" s="1"/>
  <c r="O46" i="3"/>
  <c r="X46" i="3" s="1"/>
  <c r="O45" i="3"/>
  <c r="X45" i="3" s="1"/>
  <c r="O44" i="3"/>
  <c r="X44" i="3" s="1"/>
  <c r="O43" i="3"/>
  <c r="X43" i="3" s="1"/>
  <c r="O42" i="3"/>
  <c r="X42" i="3" s="1"/>
  <c r="O41" i="3"/>
  <c r="X41" i="3" s="1"/>
  <c r="O40" i="3"/>
  <c r="X40" i="3" s="1"/>
  <c r="O39" i="3"/>
  <c r="X39" i="3" s="1"/>
  <c r="O38" i="3"/>
  <c r="X38" i="3" s="1"/>
  <c r="O37" i="3"/>
  <c r="X37" i="3" s="1"/>
  <c r="O36" i="3"/>
  <c r="X36" i="3" s="1"/>
  <c r="O35" i="3"/>
  <c r="X35" i="3" s="1"/>
  <c r="O34" i="3"/>
  <c r="X34" i="3" s="1"/>
  <c r="O33" i="3"/>
  <c r="X33" i="3" s="1"/>
  <c r="O32" i="3"/>
  <c r="X32" i="3" s="1"/>
  <c r="O31" i="3"/>
  <c r="X31" i="3" s="1"/>
  <c r="O30" i="3"/>
  <c r="X30" i="3" s="1"/>
  <c r="O29" i="3"/>
  <c r="X29" i="3" s="1"/>
  <c r="O28" i="3"/>
  <c r="X28" i="3" s="1"/>
  <c r="O27" i="3"/>
  <c r="X27" i="3" s="1"/>
  <c r="O26" i="3"/>
  <c r="X26" i="3" s="1"/>
  <c r="O25" i="3"/>
  <c r="X25" i="3" s="1"/>
  <c r="O24" i="3"/>
  <c r="X24" i="3" s="1"/>
  <c r="O23" i="3"/>
  <c r="X23" i="3" s="1"/>
  <c r="O22" i="3"/>
  <c r="X22" i="3" s="1"/>
  <c r="O21" i="3"/>
  <c r="X21" i="3" s="1"/>
  <c r="O20" i="3"/>
  <c r="X20" i="3" s="1"/>
  <c r="O19" i="3"/>
  <c r="X19" i="3" s="1"/>
  <c r="O18" i="3"/>
  <c r="X18" i="3" s="1"/>
  <c r="O17" i="3"/>
  <c r="X17" i="3" s="1"/>
  <c r="O16" i="3"/>
  <c r="X16" i="3" s="1"/>
  <c r="O15" i="3"/>
  <c r="X15" i="3" s="1"/>
  <c r="O14" i="3"/>
  <c r="X14" i="3" s="1"/>
  <c r="O13" i="3"/>
  <c r="X13" i="3" s="1"/>
  <c r="O12" i="3"/>
  <c r="X12" i="3" s="1"/>
  <c r="O11" i="3"/>
  <c r="X11" i="3" s="1"/>
  <c r="O10" i="3"/>
  <c r="X10" i="3" s="1"/>
  <c r="O9" i="3"/>
  <c r="X9" i="3" s="1"/>
  <c r="O8" i="3"/>
  <c r="X8" i="3" s="1"/>
  <c r="O7" i="3"/>
  <c r="X7" i="3" s="1"/>
  <c r="O6" i="3"/>
  <c r="X6" i="3" s="1"/>
  <c r="O5" i="3"/>
  <c r="X5" i="3" s="1"/>
  <c r="O4" i="3"/>
  <c r="X4" i="3" s="1"/>
  <c r="O3" i="3"/>
  <c r="X3" i="3" s="1"/>
  <c r="O2" i="3"/>
  <c r="X2" i="3" s="1"/>
  <c r="U1307" i="3"/>
  <c r="U1306" i="3"/>
  <c r="U1305" i="3"/>
  <c r="U1304" i="3"/>
  <c r="U1303" i="3"/>
  <c r="U1302" i="3"/>
  <c r="U1301" i="3"/>
  <c r="U1300" i="3"/>
  <c r="U1299" i="3"/>
  <c r="U1298" i="3"/>
  <c r="U1297" i="3"/>
  <c r="U1296" i="3"/>
  <c r="U1295" i="3"/>
  <c r="U1294" i="3"/>
  <c r="U1293" i="3"/>
  <c r="U1292" i="3"/>
  <c r="U1291" i="3"/>
  <c r="U1290" i="3"/>
  <c r="U1289" i="3"/>
  <c r="U1288" i="3"/>
  <c r="U1287" i="3"/>
  <c r="U1286" i="3"/>
  <c r="U1285" i="3"/>
  <c r="U1284" i="3"/>
  <c r="U1283" i="3"/>
  <c r="U1282" i="3"/>
  <c r="U1281" i="3"/>
  <c r="U1280" i="3"/>
  <c r="U1279" i="3"/>
  <c r="U1278" i="3"/>
  <c r="U1277" i="3"/>
  <c r="U1276" i="3"/>
  <c r="U1275" i="3"/>
  <c r="U1274" i="3"/>
  <c r="U1273" i="3"/>
  <c r="U1272" i="3"/>
  <c r="U1271" i="3"/>
  <c r="U1270" i="3"/>
  <c r="U1269" i="3"/>
  <c r="U1268" i="3"/>
  <c r="U1267" i="3"/>
  <c r="U1266" i="3"/>
  <c r="U1265" i="3"/>
  <c r="U1264" i="3"/>
  <c r="U1263" i="3"/>
  <c r="U1262" i="3"/>
  <c r="U1261" i="3"/>
  <c r="U1260" i="3"/>
  <c r="U1259" i="3"/>
  <c r="U1258" i="3"/>
  <c r="U1257" i="3"/>
  <c r="U1256" i="3"/>
  <c r="U1255" i="3"/>
  <c r="U1254" i="3"/>
  <c r="U1253" i="3"/>
  <c r="U1252" i="3"/>
  <c r="U1251" i="3"/>
  <c r="U1250" i="3"/>
  <c r="U1249" i="3"/>
  <c r="U1248" i="3"/>
  <c r="U1247" i="3"/>
  <c r="U1246" i="3"/>
  <c r="U1245" i="3"/>
  <c r="U1244" i="3"/>
  <c r="U1243" i="3"/>
  <c r="U1242" i="3"/>
  <c r="U1241" i="3"/>
  <c r="U1240" i="3"/>
  <c r="U1239" i="3"/>
  <c r="U1238" i="3"/>
  <c r="U1237" i="3"/>
  <c r="U1236" i="3"/>
  <c r="U1235" i="3"/>
  <c r="U1234" i="3"/>
  <c r="U1233" i="3"/>
  <c r="U1232" i="3"/>
  <c r="U1231" i="3"/>
  <c r="U1230" i="3"/>
  <c r="U1229" i="3"/>
  <c r="U1228" i="3"/>
  <c r="U1227" i="3"/>
  <c r="U1226" i="3"/>
  <c r="U1225" i="3"/>
  <c r="U1224" i="3"/>
  <c r="U1223" i="3"/>
  <c r="U1222" i="3"/>
  <c r="U1221" i="3"/>
  <c r="U1220" i="3"/>
  <c r="U1219" i="3"/>
  <c r="U1218" i="3"/>
  <c r="U1217" i="3"/>
  <c r="U1216" i="3"/>
  <c r="U1215" i="3"/>
  <c r="U1214" i="3"/>
  <c r="U1213" i="3"/>
  <c r="U1212" i="3"/>
  <c r="U1211" i="3"/>
  <c r="U1210" i="3"/>
  <c r="U1209" i="3"/>
  <c r="U1208" i="3"/>
  <c r="U1207" i="3"/>
  <c r="U1206" i="3"/>
  <c r="U1205" i="3"/>
  <c r="U1204" i="3"/>
  <c r="U1203" i="3"/>
  <c r="U1202" i="3"/>
  <c r="U1201" i="3"/>
  <c r="U1200" i="3"/>
  <c r="U1199" i="3"/>
  <c r="U1198" i="3"/>
  <c r="U1197" i="3"/>
  <c r="U1196" i="3"/>
  <c r="U1195" i="3"/>
  <c r="U1194" i="3"/>
  <c r="U1193" i="3"/>
  <c r="U1192" i="3"/>
  <c r="U1191" i="3"/>
  <c r="U1190" i="3"/>
  <c r="U1189" i="3"/>
  <c r="U1188" i="3"/>
  <c r="U1187" i="3"/>
  <c r="U1186" i="3"/>
  <c r="U1185" i="3"/>
  <c r="U1184" i="3"/>
  <c r="U1183" i="3"/>
  <c r="U1182" i="3"/>
  <c r="U1181" i="3"/>
  <c r="U1180" i="3"/>
  <c r="U1179" i="3"/>
  <c r="U1178" i="3"/>
  <c r="U1177" i="3"/>
  <c r="U1176" i="3"/>
  <c r="U1175" i="3"/>
  <c r="U1174" i="3"/>
  <c r="U1173" i="3"/>
  <c r="U1172" i="3"/>
  <c r="U1171" i="3"/>
  <c r="U1170" i="3"/>
  <c r="U1169" i="3"/>
  <c r="U1168" i="3"/>
  <c r="U1167" i="3"/>
  <c r="U1166" i="3"/>
  <c r="U1165" i="3"/>
  <c r="U1164" i="3"/>
  <c r="U1163" i="3"/>
  <c r="U1162" i="3"/>
  <c r="U1161" i="3"/>
  <c r="U1160" i="3"/>
  <c r="U1159" i="3"/>
  <c r="U1158" i="3"/>
  <c r="U1157" i="3"/>
  <c r="U1156" i="3"/>
  <c r="U1155" i="3"/>
  <c r="U1154" i="3"/>
  <c r="U1153" i="3"/>
  <c r="U1152" i="3"/>
  <c r="U1151" i="3"/>
  <c r="U1150" i="3"/>
  <c r="U1149" i="3"/>
  <c r="U1148" i="3"/>
  <c r="U1147" i="3"/>
  <c r="U1146" i="3"/>
  <c r="U1145" i="3"/>
  <c r="U1144" i="3"/>
  <c r="U1143" i="3"/>
  <c r="U1142" i="3"/>
  <c r="U1141" i="3"/>
  <c r="U1140" i="3"/>
  <c r="U1139" i="3"/>
  <c r="U1138" i="3"/>
  <c r="U1137" i="3"/>
  <c r="U1136" i="3"/>
  <c r="U1135" i="3"/>
  <c r="U1134" i="3"/>
  <c r="U1133" i="3"/>
  <c r="U1132" i="3"/>
  <c r="U1131" i="3"/>
  <c r="U1130" i="3"/>
  <c r="U1129" i="3"/>
  <c r="U1128" i="3"/>
  <c r="U1127" i="3"/>
  <c r="U1126" i="3"/>
  <c r="U1125" i="3"/>
  <c r="U1124" i="3"/>
  <c r="U1123" i="3"/>
  <c r="U1122" i="3"/>
  <c r="U1121" i="3"/>
  <c r="U1120" i="3"/>
  <c r="U1119" i="3"/>
  <c r="U1118" i="3"/>
  <c r="U1117" i="3"/>
  <c r="U1116" i="3"/>
  <c r="U1115" i="3"/>
  <c r="U1114" i="3"/>
  <c r="U1113" i="3"/>
  <c r="U1112" i="3"/>
  <c r="U1111" i="3"/>
  <c r="U1110" i="3"/>
  <c r="U1109" i="3"/>
  <c r="U1108" i="3"/>
  <c r="U1107" i="3"/>
  <c r="U1106" i="3"/>
  <c r="U1105" i="3"/>
  <c r="U1104" i="3"/>
  <c r="U1103" i="3"/>
  <c r="U1102" i="3"/>
  <c r="U1101" i="3"/>
  <c r="U1100" i="3"/>
  <c r="U1099" i="3"/>
  <c r="U1098" i="3"/>
  <c r="U1097" i="3"/>
  <c r="U1096" i="3"/>
  <c r="U1095" i="3"/>
  <c r="U1094" i="3"/>
  <c r="U1093" i="3"/>
  <c r="U1092" i="3"/>
  <c r="U1091" i="3"/>
  <c r="U1090" i="3"/>
  <c r="U1089" i="3"/>
  <c r="U1088" i="3"/>
  <c r="U1087" i="3"/>
  <c r="U1086" i="3"/>
  <c r="U1085" i="3"/>
  <c r="U1084" i="3"/>
  <c r="U1083" i="3"/>
  <c r="U1082" i="3"/>
  <c r="U1081" i="3"/>
  <c r="U1080" i="3"/>
  <c r="U1079" i="3"/>
  <c r="U1078" i="3"/>
  <c r="U1077" i="3"/>
  <c r="U1076" i="3"/>
  <c r="U1075" i="3"/>
  <c r="U1074" i="3"/>
  <c r="U1073" i="3"/>
  <c r="U1072" i="3"/>
  <c r="U1071" i="3"/>
  <c r="U1070" i="3"/>
  <c r="U1069" i="3"/>
  <c r="U1068" i="3"/>
  <c r="U1067" i="3"/>
  <c r="U1066" i="3"/>
  <c r="U1065" i="3"/>
  <c r="U1064" i="3"/>
  <c r="U1063" i="3"/>
  <c r="U1062" i="3"/>
  <c r="U1061" i="3"/>
  <c r="U1060" i="3"/>
  <c r="U1059" i="3"/>
  <c r="U1058" i="3"/>
  <c r="U1057" i="3"/>
  <c r="U1056" i="3"/>
  <c r="U1055" i="3"/>
  <c r="U1054" i="3"/>
  <c r="U1053" i="3"/>
  <c r="U1052" i="3"/>
  <c r="U1051" i="3"/>
  <c r="U1050" i="3"/>
  <c r="U1049" i="3"/>
  <c r="U1048" i="3"/>
  <c r="U1047" i="3"/>
  <c r="U1046" i="3"/>
  <c r="U1045" i="3"/>
  <c r="U1044" i="3"/>
  <c r="U1043" i="3"/>
  <c r="U1042" i="3"/>
  <c r="U1041" i="3"/>
  <c r="U1040" i="3"/>
  <c r="U1039" i="3"/>
  <c r="U1038" i="3"/>
  <c r="U1037" i="3"/>
  <c r="U1036" i="3"/>
  <c r="U1035" i="3"/>
  <c r="U1034" i="3"/>
  <c r="U1033" i="3"/>
  <c r="U1032" i="3"/>
  <c r="U1031" i="3"/>
  <c r="U1030" i="3"/>
  <c r="U1029" i="3"/>
  <c r="U1028" i="3"/>
  <c r="U1027" i="3"/>
  <c r="U1026" i="3"/>
  <c r="U1025" i="3"/>
  <c r="U1024" i="3"/>
  <c r="U1023" i="3"/>
  <c r="U1022" i="3"/>
  <c r="U1021" i="3"/>
  <c r="U1020" i="3"/>
  <c r="U1019" i="3"/>
  <c r="U1018" i="3"/>
  <c r="U1017" i="3"/>
  <c r="U1016" i="3"/>
  <c r="U1015" i="3"/>
  <c r="U1014" i="3"/>
  <c r="U1013" i="3"/>
  <c r="U1012" i="3"/>
  <c r="U1011" i="3"/>
  <c r="U1010" i="3"/>
  <c r="U1009" i="3"/>
  <c r="U1008" i="3"/>
  <c r="U1007" i="3"/>
  <c r="U1006" i="3"/>
  <c r="U1005" i="3"/>
  <c r="U1004" i="3"/>
  <c r="U1003" i="3"/>
  <c r="U1002" i="3"/>
  <c r="U1001" i="3"/>
  <c r="U1000" i="3"/>
  <c r="U999" i="3"/>
  <c r="U998" i="3"/>
  <c r="U997" i="3"/>
  <c r="U996" i="3"/>
  <c r="U995" i="3"/>
  <c r="U994" i="3"/>
  <c r="U993" i="3"/>
  <c r="U992" i="3"/>
  <c r="U991" i="3"/>
  <c r="U990" i="3"/>
  <c r="U989" i="3"/>
  <c r="U988" i="3"/>
  <c r="U987" i="3"/>
  <c r="U986" i="3"/>
  <c r="U985" i="3"/>
  <c r="U984" i="3"/>
  <c r="U983" i="3"/>
  <c r="U982" i="3"/>
  <c r="U981" i="3"/>
  <c r="U980" i="3"/>
  <c r="U979" i="3"/>
  <c r="U978" i="3"/>
  <c r="U977" i="3"/>
  <c r="U976" i="3"/>
  <c r="U975" i="3"/>
  <c r="U974" i="3"/>
  <c r="U973" i="3"/>
  <c r="U972" i="3"/>
  <c r="U971" i="3"/>
  <c r="U970" i="3"/>
  <c r="U969" i="3"/>
  <c r="U968" i="3"/>
  <c r="U967" i="3"/>
  <c r="U966" i="3"/>
  <c r="U965" i="3"/>
  <c r="U964" i="3"/>
  <c r="U963" i="3"/>
  <c r="U962" i="3"/>
  <c r="U961" i="3"/>
  <c r="U960" i="3"/>
  <c r="U959" i="3"/>
  <c r="U958" i="3"/>
  <c r="U957" i="3"/>
  <c r="U956" i="3"/>
  <c r="U955" i="3"/>
  <c r="U954" i="3"/>
  <c r="U953" i="3"/>
  <c r="U952" i="3"/>
  <c r="U951" i="3"/>
  <c r="U950" i="3"/>
  <c r="U949" i="3"/>
  <c r="U948" i="3"/>
  <c r="U947" i="3"/>
  <c r="U946" i="3"/>
  <c r="U945" i="3"/>
  <c r="U944" i="3"/>
  <c r="U943" i="3"/>
  <c r="U942" i="3"/>
  <c r="U941" i="3"/>
  <c r="U940" i="3"/>
  <c r="U939" i="3"/>
  <c r="U938" i="3"/>
  <c r="U937" i="3"/>
  <c r="U936" i="3"/>
  <c r="U935" i="3"/>
  <c r="U934" i="3"/>
  <c r="U933" i="3"/>
  <c r="U932" i="3"/>
  <c r="U931" i="3"/>
  <c r="U930" i="3"/>
  <c r="U929" i="3"/>
  <c r="U928" i="3"/>
  <c r="U927" i="3"/>
  <c r="U926" i="3"/>
  <c r="U925" i="3"/>
  <c r="U924" i="3"/>
  <c r="U923" i="3"/>
  <c r="U922" i="3"/>
  <c r="U921" i="3"/>
  <c r="U920" i="3"/>
  <c r="U919" i="3"/>
  <c r="U918" i="3"/>
  <c r="U917" i="3"/>
  <c r="U916" i="3"/>
  <c r="U915" i="3"/>
  <c r="U914" i="3"/>
  <c r="U913" i="3"/>
  <c r="U912" i="3"/>
  <c r="U911" i="3"/>
  <c r="U910" i="3"/>
  <c r="U909" i="3"/>
  <c r="U908" i="3"/>
  <c r="U907" i="3"/>
  <c r="U906" i="3"/>
  <c r="U905" i="3"/>
  <c r="U904" i="3"/>
  <c r="U903" i="3"/>
  <c r="U902" i="3"/>
  <c r="U901" i="3"/>
  <c r="U900" i="3"/>
  <c r="U899" i="3"/>
  <c r="U898" i="3"/>
  <c r="U897" i="3"/>
  <c r="U896" i="3"/>
  <c r="U895" i="3"/>
  <c r="U894" i="3"/>
  <c r="U893" i="3"/>
  <c r="U892" i="3"/>
  <c r="U891" i="3"/>
  <c r="U890" i="3"/>
  <c r="U889" i="3"/>
  <c r="U888" i="3"/>
  <c r="U887" i="3"/>
  <c r="U886" i="3"/>
  <c r="U885" i="3"/>
  <c r="U884" i="3"/>
  <c r="U883" i="3"/>
  <c r="U882" i="3"/>
  <c r="U881" i="3"/>
  <c r="U880" i="3"/>
  <c r="U879" i="3"/>
  <c r="U878" i="3"/>
  <c r="U877" i="3"/>
  <c r="U876" i="3"/>
  <c r="U875" i="3"/>
  <c r="U874" i="3"/>
  <c r="U873" i="3"/>
  <c r="U872" i="3"/>
  <c r="U871" i="3"/>
  <c r="U870" i="3"/>
  <c r="U869" i="3"/>
  <c r="U868" i="3"/>
  <c r="U867" i="3"/>
  <c r="U866" i="3"/>
  <c r="U865" i="3"/>
  <c r="U864" i="3"/>
  <c r="U863" i="3"/>
  <c r="U862" i="3"/>
  <c r="U861" i="3"/>
  <c r="U860" i="3"/>
  <c r="U859" i="3"/>
  <c r="U858" i="3"/>
  <c r="U857" i="3"/>
  <c r="U856" i="3"/>
  <c r="U855" i="3"/>
  <c r="U854" i="3"/>
  <c r="U853" i="3"/>
  <c r="U852" i="3"/>
  <c r="U851" i="3"/>
  <c r="U850" i="3"/>
  <c r="U849" i="3"/>
  <c r="U848" i="3"/>
  <c r="U847" i="3"/>
  <c r="U846" i="3"/>
  <c r="U845" i="3"/>
  <c r="U844" i="3"/>
  <c r="U843" i="3"/>
  <c r="U842" i="3"/>
  <c r="U841" i="3"/>
  <c r="U840" i="3"/>
  <c r="U839" i="3"/>
  <c r="U838" i="3"/>
  <c r="U837" i="3"/>
  <c r="U836" i="3"/>
  <c r="U835" i="3"/>
  <c r="U834" i="3"/>
  <c r="U833" i="3"/>
  <c r="U832" i="3"/>
  <c r="U831" i="3"/>
  <c r="U830" i="3"/>
  <c r="U829" i="3"/>
  <c r="U828" i="3"/>
  <c r="U827" i="3"/>
  <c r="U826" i="3"/>
  <c r="U825" i="3"/>
  <c r="U824" i="3"/>
  <c r="U823" i="3"/>
  <c r="U822" i="3"/>
  <c r="U821" i="3"/>
  <c r="U820" i="3"/>
  <c r="U819" i="3"/>
  <c r="U818" i="3"/>
  <c r="U817" i="3"/>
  <c r="U816" i="3"/>
  <c r="U815" i="3"/>
  <c r="U814" i="3"/>
  <c r="U813" i="3"/>
  <c r="U812" i="3"/>
  <c r="U811" i="3"/>
  <c r="U810" i="3"/>
  <c r="U809" i="3"/>
  <c r="U808" i="3"/>
  <c r="U807" i="3"/>
  <c r="U806" i="3"/>
  <c r="U805" i="3"/>
  <c r="U804" i="3"/>
  <c r="U803" i="3"/>
  <c r="U802" i="3"/>
  <c r="U801" i="3"/>
  <c r="U800" i="3"/>
  <c r="U799" i="3"/>
  <c r="U798" i="3"/>
  <c r="U797" i="3"/>
  <c r="U796" i="3"/>
  <c r="U795" i="3"/>
  <c r="U794" i="3"/>
  <c r="U793" i="3"/>
  <c r="U792" i="3"/>
  <c r="U791" i="3"/>
  <c r="U790" i="3"/>
  <c r="U789" i="3"/>
  <c r="U788" i="3"/>
  <c r="U787" i="3"/>
  <c r="U786" i="3"/>
  <c r="U785" i="3"/>
  <c r="U784" i="3"/>
  <c r="U783" i="3"/>
  <c r="U782" i="3"/>
  <c r="U781" i="3"/>
  <c r="U780" i="3"/>
  <c r="U779" i="3"/>
  <c r="U778" i="3"/>
  <c r="U777" i="3"/>
  <c r="U776" i="3"/>
  <c r="U775" i="3"/>
  <c r="U774" i="3"/>
  <c r="U773" i="3"/>
  <c r="U772" i="3"/>
  <c r="U771" i="3"/>
  <c r="U770" i="3"/>
  <c r="U769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3" i="3"/>
  <c r="U742" i="3"/>
  <c r="U741" i="3"/>
  <c r="U740" i="3"/>
  <c r="U739" i="3"/>
  <c r="U738" i="3"/>
  <c r="U737" i="3"/>
  <c r="U736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N1307" i="3"/>
  <c r="R1307" i="3" s="1"/>
  <c r="N1306" i="3"/>
  <c r="R1306" i="3" s="1"/>
  <c r="N1305" i="3"/>
  <c r="R1305" i="3" s="1"/>
  <c r="N1304" i="3"/>
  <c r="R1304" i="3" s="1"/>
  <c r="N1303" i="3"/>
  <c r="R1303" i="3" s="1"/>
  <c r="N1302" i="3"/>
  <c r="R1302" i="3" s="1"/>
  <c r="N1301" i="3"/>
  <c r="R1301" i="3" s="1"/>
  <c r="N1300" i="3"/>
  <c r="R1300" i="3" s="1"/>
  <c r="N1299" i="3"/>
  <c r="R1299" i="3" s="1"/>
  <c r="N1298" i="3"/>
  <c r="R1298" i="3" s="1"/>
  <c r="N1297" i="3"/>
  <c r="R1297" i="3" s="1"/>
  <c r="N1296" i="3"/>
  <c r="R1296" i="3" s="1"/>
  <c r="N1295" i="3"/>
  <c r="R1295" i="3" s="1"/>
  <c r="N1294" i="3"/>
  <c r="R1294" i="3" s="1"/>
  <c r="N1293" i="3"/>
  <c r="R1293" i="3" s="1"/>
  <c r="N1292" i="3"/>
  <c r="R1292" i="3" s="1"/>
  <c r="N1291" i="3"/>
  <c r="R1291" i="3" s="1"/>
  <c r="N1290" i="3"/>
  <c r="R1290" i="3" s="1"/>
  <c r="N1289" i="3"/>
  <c r="R1289" i="3" s="1"/>
  <c r="N1288" i="3"/>
  <c r="R1288" i="3" s="1"/>
  <c r="N1287" i="3"/>
  <c r="R1287" i="3" s="1"/>
  <c r="N1286" i="3"/>
  <c r="R1286" i="3" s="1"/>
  <c r="N1285" i="3"/>
  <c r="R1285" i="3" s="1"/>
  <c r="N1284" i="3"/>
  <c r="R1284" i="3" s="1"/>
  <c r="N1283" i="3"/>
  <c r="R1283" i="3" s="1"/>
  <c r="N1282" i="3"/>
  <c r="R1282" i="3" s="1"/>
  <c r="N1281" i="3"/>
  <c r="R1281" i="3" s="1"/>
  <c r="N1280" i="3"/>
  <c r="R1280" i="3" s="1"/>
  <c r="N1279" i="3"/>
  <c r="R1279" i="3" s="1"/>
  <c r="N1278" i="3"/>
  <c r="R1278" i="3" s="1"/>
  <c r="N1277" i="3"/>
  <c r="R1277" i="3" s="1"/>
  <c r="N1276" i="3"/>
  <c r="R1276" i="3" s="1"/>
  <c r="N1275" i="3"/>
  <c r="R1275" i="3" s="1"/>
  <c r="N1274" i="3"/>
  <c r="R1274" i="3" s="1"/>
  <c r="N1273" i="3"/>
  <c r="R1273" i="3" s="1"/>
  <c r="N1272" i="3"/>
  <c r="R1272" i="3" s="1"/>
  <c r="N1271" i="3"/>
  <c r="R1271" i="3" s="1"/>
  <c r="N1270" i="3"/>
  <c r="R1270" i="3" s="1"/>
  <c r="N1269" i="3"/>
  <c r="R1269" i="3" s="1"/>
  <c r="N1268" i="3"/>
  <c r="R1268" i="3" s="1"/>
  <c r="N1267" i="3"/>
  <c r="R1267" i="3" s="1"/>
  <c r="N1266" i="3"/>
  <c r="R1266" i="3" s="1"/>
  <c r="N1265" i="3"/>
  <c r="R1265" i="3" s="1"/>
  <c r="N1264" i="3"/>
  <c r="R1264" i="3" s="1"/>
  <c r="N1263" i="3"/>
  <c r="R1263" i="3" s="1"/>
  <c r="N1262" i="3"/>
  <c r="R1262" i="3" s="1"/>
  <c r="N1261" i="3"/>
  <c r="R1261" i="3" s="1"/>
  <c r="N1260" i="3"/>
  <c r="R1260" i="3" s="1"/>
  <c r="N1259" i="3"/>
  <c r="R1259" i="3" s="1"/>
  <c r="N1258" i="3"/>
  <c r="R1258" i="3" s="1"/>
  <c r="N1257" i="3"/>
  <c r="R1257" i="3" s="1"/>
  <c r="N1256" i="3"/>
  <c r="R1256" i="3" s="1"/>
  <c r="N1255" i="3"/>
  <c r="R1255" i="3" s="1"/>
  <c r="N1254" i="3"/>
  <c r="R1254" i="3" s="1"/>
  <c r="N1253" i="3"/>
  <c r="R1253" i="3" s="1"/>
  <c r="N1252" i="3"/>
  <c r="R1252" i="3" s="1"/>
  <c r="N1251" i="3"/>
  <c r="R1251" i="3" s="1"/>
  <c r="N1250" i="3"/>
  <c r="R1250" i="3" s="1"/>
  <c r="N1249" i="3"/>
  <c r="R1249" i="3" s="1"/>
  <c r="N1248" i="3"/>
  <c r="R1248" i="3" s="1"/>
  <c r="N1247" i="3"/>
  <c r="R1247" i="3" s="1"/>
  <c r="N1246" i="3"/>
  <c r="R1246" i="3" s="1"/>
  <c r="N1245" i="3"/>
  <c r="R1245" i="3" s="1"/>
  <c r="N1244" i="3"/>
  <c r="R1244" i="3" s="1"/>
  <c r="N1243" i="3"/>
  <c r="R1243" i="3" s="1"/>
  <c r="N1242" i="3"/>
  <c r="R1242" i="3" s="1"/>
  <c r="N1241" i="3"/>
  <c r="R1241" i="3" s="1"/>
  <c r="N1240" i="3"/>
  <c r="R1240" i="3" s="1"/>
  <c r="N1239" i="3"/>
  <c r="R1239" i="3" s="1"/>
  <c r="N1238" i="3"/>
  <c r="R1238" i="3" s="1"/>
  <c r="N1237" i="3"/>
  <c r="R1237" i="3" s="1"/>
  <c r="N1236" i="3"/>
  <c r="R1236" i="3" s="1"/>
  <c r="N1235" i="3"/>
  <c r="R1235" i="3" s="1"/>
  <c r="N1234" i="3"/>
  <c r="R1234" i="3" s="1"/>
  <c r="N1233" i="3"/>
  <c r="R1233" i="3" s="1"/>
  <c r="N1232" i="3"/>
  <c r="R1232" i="3" s="1"/>
  <c r="N1231" i="3"/>
  <c r="R1231" i="3" s="1"/>
  <c r="N1230" i="3"/>
  <c r="R1230" i="3" s="1"/>
  <c r="N1229" i="3"/>
  <c r="R1229" i="3" s="1"/>
  <c r="N1228" i="3"/>
  <c r="R1228" i="3" s="1"/>
  <c r="N1227" i="3"/>
  <c r="R1227" i="3" s="1"/>
  <c r="N1226" i="3"/>
  <c r="R1226" i="3" s="1"/>
  <c r="N1225" i="3"/>
  <c r="R1225" i="3" s="1"/>
  <c r="N1224" i="3"/>
  <c r="R1224" i="3" s="1"/>
  <c r="N1223" i="3"/>
  <c r="R1223" i="3" s="1"/>
  <c r="N1222" i="3"/>
  <c r="R1222" i="3" s="1"/>
  <c r="N1221" i="3"/>
  <c r="R1221" i="3" s="1"/>
  <c r="N1220" i="3"/>
  <c r="R1220" i="3" s="1"/>
  <c r="N1219" i="3"/>
  <c r="R1219" i="3" s="1"/>
  <c r="N1218" i="3"/>
  <c r="R1218" i="3" s="1"/>
  <c r="N1217" i="3"/>
  <c r="R1217" i="3" s="1"/>
  <c r="N1216" i="3"/>
  <c r="R1216" i="3" s="1"/>
  <c r="N1215" i="3"/>
  <c r="R1215" i="3" s="1"/>
  <c r="N1214" i="3"/>
  <c r="R1214" i="3" s="1"/>
  <c r="N1213" i="3"/>
  <c r="R1213" i="3" s="1"/>
  <c r="N1212" i="3"/>
  <c r="R1212" i="3" s="1"/>
  <c r="N1211" i="3"/>
  <c r="R1211" i="3" s="1"/>
  <c r="N1210" i="3"/>
  <c r="R1210" i="3" s="1"/>
  <c r="N1209" i="3"/>
  <c r="R1209" i="3" s="1"/>
  <c r="N1208" i="3"/>
  <c r="R1208" i="3" s="1"/>
  <c r="N1207" i="3"/>
  <c r="R1207" i="3" s="1"/>
  <c r="N1206" i="3"/>
  <c r="R1206" i="3" s="1"/>
  <c r="N1205" i="3"/>
  <c r="R1205" i="3" s="1"/>
  <c r="N1204" i="3"/>
  <c r="R1204" i="3" s="1"/>
  <c r="N1203" i="3"/>
  <c r="R1203" i="3" s="1"/>
  <c r="N1202" i="3"/>
  <c r="R1202" i="3" s="1"/>
  <c r="N1201" i="3"/>
  <c r="R1201" i="3" s="1"/>
  <c r="N1200" i="3"/>
  <c r="R1200" i="3" s="1"/>
  <c r="N1199" i="3"/>
  <c r="R1199" i="3" s="1"/>
  <c r="N1198" i="3"/>
  <c r="R1198" i="3" s="1"/>
  <c r="N1197" i="3"/>
  <c r="R1197" i="3" s="1"/>
  <c r="N1196" i="3"/>
  <c r="R1196" i="3" s="1"/>
  <c r="N1195" i="3"/>
  <c r="R1195" i="3" s="1"/>
  <c r="N1194" i="3"/>
  <c r="R1194" i="3" s="1"/>
  <c r="N1193" i="3"/>
  <c r="R1193" i="3" s="1"/>
  <c r="N1192" i="3"/>
  <c r="R1192" i="3" s="1"/>
  <c r="N1191" i="3"/>
  <c r="R1191" i="3" s="1"/>
  <c r="N1190" i="3"/>
  <c r="R1190" i="3" s="1"/>
  <c r="N1189" i="3"/>
  <c r="R1189" i="3" s="1"/>
  <c r="N1188" i="3"/>
  <c r="R1188" i="3" s="1"/>
  <c r="N1187" i="3"/>
  <c r="R1187" i="3" s="1"/>
  <c r="N1186" i="3"/>
  <c r="R1186" i="3" s="1"/>
  <c r="N1185" i="3"/>
  <c r="R1185" i="3" s="1"/>
  <c r="N1184" i="3"/>
  <c r="R1184" i="3" s="1"/>
  <c r="N1183" i="3"/>
  <c r="R1183" i="3" s="1"/>
  <c r="N1182" i="3"/>
  <c r="R1182" i="3" s="1"/>
  <c r="N1181" i="3"/>
  <c r="R1181" i="3" s="1"/>
  <c r="N1180" i="3"/>
  <c r="R1180" i="3" s="1"/>
  <c r="N1179" i="3"/>
  <c r="R1179" i="3" s="1"/>
  <c r="N1178" i="3"/>
  <c r="R1178" i="3" s="1"/>
  <c r="N1177" i="3"/>
  <c r="R1177" i="3" s="1"/>
  <c r="N1176" i="3"/>
  <c r="R1176" i="3" s="1"/>
  <c r="N1175" i="3"/>
  <c r="R1175" i="3" s="1"/>
  <c r="N1174" i="3"/>
  <c r="R1174" i="3" s="1"/>
  <c r="N1173" i="3"/>
  <c r="R1173" i="3" s="1"/>
  <c r="N1172" i="3"/>
  <c r="R1172" i="3" s="1"/>
  <c r="N1171" i="3"/>
  <c r="R1171" i="3" s="1"/>
  <c r="N1170" i="3"/>
  <c r="R1170" i="3" s="1"/>
  <c r="N1169" i="3"/>
  <c r="R1169" i="3" s="1"/>
  <c r="N1168" i="3"/>
  <c r="R1168" i="3" s="1"/>
  <c r="N1167" i="3"/>
  <c r="R1167" i="3" s="1"/>
  <c r="N1166" i="3"/>
  <c r="R1166" i="3" s="1"/>
  <c r="N1165" i="3"/>
  <c r="R1165" i="3" s="1"/>
  <c r="N1164" i="3"/>
  <c r="R1164" i="3" s="1"/>
  <c r="N1163" i="3"/>
  <c r="R1163" i="3" s="1"/>
  <c r="N1162" i="3"/>
  <c r="R1162" i="3" s="1"/>
  <c r="N1161" i="3"/>
  <c r="R1161" i="3" s="1"/>
  <c r="N1160" i="3"/>
  <c r="R1160" i="3" s="1"/>
  <c r="N1159" i="3"/>
  <c r="R1159" i="3" s="1"/>
  <c r="N1158" i="3"/>
  <c r="R1158" i="3" s="1"/>
  <c r="N1157" i="3"/>
  <c r="R1157" i="3" s="1"/>
  <c r="N1156" i="3"/>
  <c r="R1156" i="3" s="1"/>
  <c r="N1155" i="3"/>
  <c r="R1155" i="3" s="1"/>
  <c r="N1154" i="3"/>
  <c r="R1154" i="3" s="1"/>
  <c r="N1153" i="3"/>
  <c r="R1153" i="3" s="1"/>
  <c r="N1152" i="3"/>
  <c r="R1152" i="3" s="1"/>
  <c r="N1151" i="3"/>
  <c r="R1151" i="3" s="1"/>
  <c r="N1150" i="3"/>
  <c r="R1150" i="3" s="1"/>
  <c r="N1149" i="3"/>
  <c r="R1149" i="3" s="1"/>
  <c r="N1148" i="3"/>
  <c r="R1148" i="3" s="1"/>
  <c r="N1147" i="3"/>
  <c r="R1147" i="3" s="1"/>
  <c r="N1146" i="3"/>
  <c r="R1146" i="3" s="1"/>
  <c r="N1145" i="3"/>
  <c r="R1145" i="3" s="1"/>
  <c r="N1144" i="3"/>
  <c r="R1144" i="3" s="1"/>
  <c r="N1143" i="3"/>
  <c r="R1143" i="3" s="1"/>
  <c r="N1142" i="3"/>
  <c r="R1142" i="3" s="1"/>
  <c r="N1141" i="3"/>
  <c r="R1141" i="3" s="1"/>
  <c r="N1140" i="3"/>
  <c r="R1140" i="3" s="1"/>
  <c r="N1139" i="3"/>
  <c r="R1139" i="3" s="1"/>
  <c r="N1138" i="3"/>
  <c r="R1138" i="3" s="1"/>
  <c r="N1137" i="3"/>
  <c r="R1137" i="3" s="1"/>
  <c r="N1136" i="3"/>
  <c r="R1136" i="3" s="1"/>
  <c r="N1135" i="3"/>
  <c r="R1135" i="3" s="1"/>
  <c r="N1134" i="3"/>
  <c r="R1134" i="3" s="1"/>
  <c r="N1133" i="3"/>
  <c r="R1133" i="3" s="1"/>
  <c r="N1132" i="3"/>
  <c r="R1132" i="3" s="1"/>
  <c r="N1131" i="3"/>
  <c r="R1131" i="3" s="1"/>
  <c r="N1130" i="3"/>
  <c r="R1130" i="3" s="1"/>
  <c r="N1129" i="3"/>
  <c r="R1129" i="3" s="1"/>
  <c r="N1128" i="3"/>
  <c r="R1128" i="3" s="1"/>
  <c r="N1127" i="3"/>
  <c r="R1127" i="3" s="1"/>
  <c r="N1126" i="3"/>
  <c r="R1126" i="3" s="1"/>
  <c r="N1125" i="3"/>
  <c r="R1125" i="3" s="1"/>
  <c r="N1124" i="3"/>
  <c r="R1124" i="3" s="1"/>
  <c r="N1123" i="3"/>
  <c r="R1123" i="3" s="1"/>
  <c r="N1122" i="3"/>
  <c r="R1122" i="3" s="1"/>
  <c r="N1121" i="3"/>
  <c r="R1121" i="3" s="1"/>
  <c r="N1120" i="3"/>
  <c r="R1120" i="3" s="1"/>
  <c r="N1119" i="3"/>
  <c r="R1119" i="3" s="1"/>
  <c r="N1118" i="3"/>
  <c r="R1118" i="3" s="1"/>
  <c r="N1117" i="3"/>
  <c r="R1117" i="3" s="1"/>
  <c r="N1116" i="3"/>
  <c r="R1116" i="3" s="1"/>
  <c r="N1115" i="3"/>
  <c r="R1115" i="3" s="1"/>
  <c r="N1114" i="3"/>
  <c r="R1114" i="3" s="1"/>
  <c r="N1113" i="3"/>
  <c r="R1113" i="3" s="1"/>
  <c r="N1112" i="3"/>
  <c r="R1112" i="3" s="1"/>
  <c r="N1111" i="3"/>
  <c r="R1111" i="3" s="1"/>
  <c r="N1110" i="3"/>
  <c r="R1110" i="3" s="1"/>
  <c r="N1109" i="3"/>
  <c r="R1109" i="3" s="1"/>
  <c r="N1108" i="3"/>
  <c r="R1108" i="3" s="1"/>
  <c r="N1107" i="3"/>
  <c r="R1107" i="3" s="1"/>
  <c r="N1106" i="3"/>
  <c r="R1106" i="3" s="1"/>
  <c r="N1105" i="3"/>
  <c r="R1105" i="3" s="1"/>
  <c r="N1104" i="3"/>
  <c r="R1104" i="3" s="1"/>
  <c r="N1103" i="3"/>
  <c r="R1103" i="3" s="1"/>
  <c r="N1102" i="3"/>
  <c r="R1102" i="3" s="1"/>
  <c r="N1101" i="3"/>
  <c r="R1101" i="3" s="1"/>
  <c r="N1100" i="3"/>
  <c r="R1100" i="3" s="1"/>
  <c r="N1099" i="3"/>
  <c r="R1099" i="3" s="1"/>
  <c r="N1098" i="3"/>
  <c r="R1098" i="3" s="1"/>
  <c r="N1097" i="3"/>
  <c r="R1097" i="3" s="1"/>
  <c r="N1096" i="3"/>
  <c r="R1096" i="3" s="1"/>
  <c r="N1095" i="3"/>
  <c r="R1095" i="3" s="1"/>
  <c r="N1094" i="3"/>
  <c r="R1094" i="3" s="1"/>
  <c r="N1093" i="3"/>
  <c r="R1093" i="3" s="1"/>
  <c r="N1092" i="3"/>
  <c r="R1092" i="3" s="1"/>
  <c r="N1091" i="3"/>
  <c r="R1091" i="3" s="1"/>
  <c r="N1090" i="3"/>
  <c r="R1090" i="3" s="1"/>
  <c r="N1089" i="3"/>
  <c r="R1089" i="3" s="1"/>
  <c r="N1088" i="3"/>
  <c r="R1088" i="3" s="1"/>
  <c r="N1087" i="3"/>
  <c r="R1087" i="3" s="1"/>
  <c r="N1086" i="3"/>
  <c r="R1086" i="3" s="1"/>
  <c r="N1085" i="3"/>
  <c r="R1085" i="3" s="1"/>
  <c r="N1084" i="3"/>
  <c r="R1084" i="3" s="1"/>
  <c r="N1083" i="3"/>
  <c r="R1083" i="3" s="1"/>
  <c r="N1082" i="3"/>
  <c r="R1082" i="3" s="1"/>
  <c r="N1081" i="3"/>
  <c r="R1081" i="3" s="1"/>
  <c r="N1080" i="3"/>
  <c r="R1080" i="3" s="1"/>
  <c r="N1079" i="3"/>
  <c r="R1079" i="3" s="1"/>
  <c r="N1078" i="3"/>
  <c r="R1078" i="3" s="1"/>
  <c r="N1077" i="3"/>
  <c r="R1077" i="3" s="1"/>
  <c r="N1076" i="3"/>
  <c r="R1076" i="3" s="1"/>
  <c r="N1075" i="3"/>
  <c r="R1075" i="3" s="1"/>
  <c r="N1074" i="3"/>
  <c r="R1074" i="3" s="1"/>
  <c r="N1073" i="3"/>
  <c r="R1073" i="3" s="1"/>
  <c r="N1072" i="3"/>
  <c r="R1072" i="3" s="1"/>
  <c r="N1071" i="3"/>
  <c r="R1071" i="3" s="1"/>
  <c r="N1070" i="3"/>
  <c r="R1070" i="3" s="1"/>
  <c r="N1069" i="3"/>
  <c r="R1069" i="3" s="1"/>
  <c r="N1068" i="3"/>
  <c r="R1068" i="3" s="1"/>
  <c r="N1067" i="3"/>
  <c r="R1067" i="3" s="1"/>
  <c r="N1066" i="3"/>
  <c r="R1066" i="3" s="1"/>
  <c r="N1065" i="3"/>
  <c r="R1065" i="3" s="1"/>
  <c r="N1064" i="3"/>
  <c r="R1064" i="3" s="1"/>
  <c r="N1063" i="3"/>
  <c r="R1063" i="3" s="1"/>
  <c r="N1062" i="3"/>
  <c r="R1062" i="3" s="1"/>
  <c r="N1061" i="3"/>
  <c r="R1061" i="3" s="1"/>
  <c r="N1060" i="3"/>
  <c r="R1060" i="3" s="1"/>
  <c r="N1059" i="3"/>
  <c r="R1059" i="3" s="1"/>
  <c r="N1058" i="3"/>
  <c r="R1058" i="3" s="1"/>
  <c r="N1057" i="3"/>
  <c r="R1057" i="3" s="1"/>
  <c r="N1056" i="3"/>
  <c r="R1056" i="3" s="1"/>
  <c r="N1055" i="3"/>
  <c r="R1055" i="3" s="1"/>
  <c r="N1054" i="3"/>
  <c r="R1054" i="3" s="1"/>
  <c r="N1053" i="3"/>
  <c r="R1053" i="3" s="1"/>
  <c r="N1052" i="3"/>
  <c r="R1052" i="3" s="1"/>
  <c r="N1051" i="3"/>
  <c r="R1051" i="3" s="1"/>
  <c r="N1050" i="3"/>
  <c r="R1050" i="3" s="1"/>
  <c r="N1049" i="3"/>
  <c r="R1049" i="3" s="1"/>
  <c r="N1048" i="3"/>
  <c r="R1048" i="3" s="1"/>
  <c r="N1047" i="3"/>
  <c r="R1047" i="3" s="1"/>
  <c r="N1046" i="3"/>
  <c r="R1046" i="3" s="1"/>
  <c r="N1045" i="3"/>
  <c r="R1045" i="3" s="1"/>
  <c r="N1044" i="3"/>
  <c r="R1044" i="3" s="1"/>
  <c r="N1043" i="3"/>
  <c r="R1043" i="3" s="1"/>
  <c r="N1042" i="3"/>
  <c r="R1042" i="3" s="1"/>
  <c r="N1041" i="3"/>
  <c r="R1041" i="3" s="1"/>
  <c r="N1040" i="3"/>
  <c r="R1040" i="3" s="1"/>
  <c r="N1039" i="3"/>
  <c r="R1039" i="3" s="1"/>
  <c r="N1038" i="3"/>
  <c r="R1038" i="3" s="1"/>
  <c r="N1037" i="3"/>
  <c r="R1037" i="3" s="1"/>
  <c r="N1036" i="3"/>
  <c r="R1036" i="3" s="1"/>
  <c r="N1035" i="3"/>
  <c r="R1035" i="3" s="1"/>
  <c r="N1034" i="3"/>
  <c r="R1034" i="3" s="1"/>
  <c r="N1033" i="3"/>
  <c r="R1033" i="3" s="1"/>
  <c r="N1032" i="3"/>
  <c r="R1032" i="3" s="1"/>
  <c r="N1031" i="3"/>
  <c r="R1031" i="3" s="1"/>
  <c r="N1030" i="3"/>
  <c r="R1030" i="3" s="1"/>
  <c r="N1029" i="3"/>
  <c r="R1029" i="3" s="1"/>
  <c r="N1028" i="3"/>
  <c r="R1028" i="3" s="1"/>
  <c r="N1027" i="3"/>
  <c r="R1027" i="3" s="1"/>
  <c r="N1026" i="3"/>
  <c r="R1026" i="3" s="1"/>
  <c r="N1025" i="3"/>
  <c r="R1025" i="3" s="1"/>
  <c r="N1024" i="3"/>
  <c r="R1024" i="3" s="1"/>
  <c r="N1023" i="3"/>
  <c r="R1023" i="3" s="1"/>
  <c r="N1022" i="3"/>
  <c r="R1022" i="3" s="1"/>
  <c r="N1021" i="3"/>
  <c r="R1021" i="3" s="1"/>
  <c r="N1020" i="3"/>
  <c r="R1020" i="3" s="1"/>
  <c r="N1019" i="3"/>
  <c r="R1019" i="3" s="1"/>
  <c r="N1018" i="3"/>
  <c r="R1018" i="3" s="1"/>
  <c r="N1017" i="3"/>
  <c r="R1017" i="3" s="1"/>
  <c r="N1016" i="3"/>
  <c r="R1016" i="3" s="1"/>
  <c r="N1015" i="3"/>
  <c r="R1015" i="3" s="1"/>
  <c r="N1014" i="3"/>
  <c r="R1014" i="3" s="1"/>
  <c r="N1013" i="3"/>
  <c r="R1013" i="3" s="1"/>
  <c r="N1012" i="3"/>
  <c r="R1012" i="3" s="1"/>
  <c r="N1011" i="3"/>
  <c r="R1011" i="3" s="1"/>
  <c r="N1010" i="3"/>
  <c r="R1010" i="3" s="1"/>
  <c r="N1009" i="3"/>
  <c r="R1009" i="3" s="1"/>
  <c r="N1008" i="3"/>
  <c r="R1008" i="3" s="1"/>
  <c r="N1007" i="3"/>
  <c r="R1007" i="3" s="1"/>
  <c r="N1006" i="3"/>
  <c r="R1006" i="3" s="1"/>
  <c r="N1005" i="3"/>
  <c r="R1005" i="3" s="1"/>
  <c r="N1004" i="3"/>
  <c r="R1004" i="3" s="1"/>
  <c r="N1003" i="3"/>
  <c r="R1003" i="3" s="1"/>
  <c r="N1002" i="3"/>
  <c r="R1002" i="3" s="1"/>
  <c r="N1001" i="3"/>
  <c r="R1001" i="3" s="1"/>
  <c r="N1000" i="3"/>
  <c r="R1000" i="3" s="1"/>
  <c r="N999" i="3"/>
  <c r="R999" i="3" s="1"/>
  <c r="N998" i="3"/>
  <c r="R998" i="3" s="1"/>
  <c r="N997" i="3"/>
  <c r="R997" i="3" s="1"/>
  <c r="N996" i="3"/>
  <c r="R996" i="3" s="1"/>
  <c r="N995" i="3"/>
  <c r="R995" i="3" s="1"/>
  <c r="N994" i="3"/>
  <c r="R994" i="3" s="1"/>
  <c r="N993" i="3"/>
  <c r="R993" i="3" s="1"/>
  <c r="N992" i="3"/>
  <c r="R992" i="3" s="1"/>
  <c r="N991" i="3"/>
  <c r="R991" i="3" s="1"/>
  <c r="N990" i="3"/>
  <c r="R990" i="3" s="1"/>
  <c r="N989" i="3"/>
  <c r="R989" i="3" s="1"/>
  <c r="N988" i="3"/>
  <c r="R988" i="3" s="1"/>
  <c r="N987" i="3"/>
  <c r="R987" i="3" s="1"/>
  <c r="N986" i="3"/>
  <c r="R986" i="3" s="1"/>
  <c r="N985" i="3"/>
  <c r="R985" i="3" s="1"/>
  <c r="N984" i="3"/>
  <c r="R984" i="3" s="1"/>
  <c r="N983" i="3"/>
  <c r="R983" i="3" s="1"/>
  <c r="N982" i="3"/>
  <c r="R982" i="3" s="1"/>
  <c r="N981" i="3"/>
  <c r="R981" i="3" s="1"/>
  <c r="N980" i="3"/>
  <c r="R980" i="3" s="1"/>
  <c r="N979" i="3"/>
  <c r="R979" i="3" s="1"/>
  <c r="N978" i="3"/>
  <c r="R978" i="3" s="1"/>
  <c r="N977" i="3"/>
  <c r="R977" i="3" s="1"/>
  <c r="N976" i="3"/>
  <c r="R976" i="3" s="1"/>
  <c r="N975" i="3"/>
  <c r="R975" i="3" s="1"/>
  <c r="N974" i="3"/>
  <c r="R974" i="3" s="1"/>
  <c r="N973" i="3"/>
  <c r="R973" i="3" s="1"/>
  <c r="N972" i="3"/>
  <c r="R972" i="3" s="1"/>
  <c r="N971" i="3"/>
  <c r="R971" i="3" s="1"/>
  <c r="N970" i="3"/>
  <c r="R970" i="3" s="1"/>
  <c r="N969" i="3"/>
  <c r="R969" i="3" s="1"/>
  <c r="N968" i="3"/>
  <c r="R968" i="3" s="1"/>
  <c r="N967" i="3"/>
  <c r="R967" i="3" s="1"/>
  <c r="N966" i="3"/>
  <c r="R966" i="3" s="1"/>
  <c r="N965" i="3"/>
  <c r="R965" i="3" s="1"/>
  <c r="N964" i="3"/>
  <c r="R964" i="3" s="1"/>
  <c r="N963" i="3"/>
  <c r="R963" i="3" s="1"/>
  <c r="N962" i="3"/>
  <c r="R962" i="3" s="1"/>
  <c r="N961" i="3"/>
  <c r="R961" i="3" s="1"/>
  <c r="N960" i="3"/>
  <c r="R960" i="3" s="1"/>
  <c r="N959" i="3"/>
  <c r="R959" i="3" s="1"/>
  <c r="N958" i="3"/>
  <c r="R958" i="3" s="1"/>
  <c r="N957" i="3"/>
  <c r="R957" i="3" s="1"/>
  <c r="N956" i="3"/>
  <c r="R956" i="3" s="1"/>
  <c r="N955" i="3"/>
  <c r="R955" i="3" s="1"/>
  <c r="N954" i="3"/>
  <c r="R954" i="3" s="1"/>
  <c r="N953" i="3"/>
  <c r="R953" i="3" s="1"/>
  <c r="N952" i="3"/>
  <c r="R952" i="3" s="1"/>
  <c r="N951" i="3"/>
  <c r="R951" i="3" s="1"/>
  <c r="N950" i="3"/>
  <c r="R950" i="3" s="1"/>
  <c r="N949" i="3"/>
  <c r="R949" i="3" s="1"/>
  <c r="N948" i="3"/>
  <c r="R948" i="3" s="1"/>
  <c r="N947" i="3"/>
  <c r="R947" i="3" s="1"/>
  <c r="N946" i="3"/>
  <c r="R946" i="3" s="1"/>
  <c r="N945" i="3"/>
  <c r="R945" i="3" s="1"/>
  <c r="N944" i="3"/>
  <c r="R944" i="3" s="1"/>
  <c r="N943" i="3"/>
  <c r="R943" i="3" s="1"/>
  <c r="N942" i="3"/>
  <c r="R942" i="3" s="1"/>
  <c r="N941" i="3"/>
  <c r="R941" i="3" s="1"/>
  <c r="N940" i="3"/>
  <c r="R940" i="3" s="1"/>
  <c r="N939" i="3"/>
  <c r="R939" i="3" s="1"/>
  <c r="N938" i="3"/>
  <c r="R938" i="3" s="1"/>
  <c r="N937" i="3"/>
  <c r="R937" i="3" s="1"/>
  <c r="N936" i="3"/>
  <c r="R936" i="3" s="1"/>
  <c r="N935" i="3"/>
  <c r="R935" i="3" s="1"/>
  <c r="N934" i="3"/>
  <c r="R934" i="3" s="1"/>
  <c r="N933" i="3"/>
  <c r="R933" i="3" s="1"/>
  <c r="N932" i="3"/>
  <c r="R932" i="3" s="1"/>
  <c r="N931" i="3"/>
  <c r="R931" i="3" s="1"/>
  <c r="N930" i="3"/>
  <c r="R930" i="3" s="1"/>
  <c r="N929" i="3"/>
  <c r="R929" i="3" s="1"/>
  <c r="N928" i="3"/>
  <c r="R928" i="3" s="1"/>
  <c r="N927" i="3"/>
  <c r="R927" i="3" s="1"/>
  <c r="N926" i="3"/>
  <c r="R926" i="3" s="1"/>
  <c r="N925" i="3"/>
  <c r="R925" i="3" s="1"/>
  <c r="N924" i="3"/>
  <c r="R924" i="3" s="1"/>
  <c r="N923" i="3"/>
  <c r="R923" i="3" s="1"/>
  <c r="N922" i="3"/>
  <c r="R922" i="3" s="1"/>
  <c r="N921" i="3"/>
  <c r="R921" i="3" s="1"/>
  <c r="N920" i="3"/>
  <c r="R920" i="3" s="1"/>
  <c r="N919" i="3"/>
  <c r="R919" i="3" s="1"/>
  <c r="N918" i="3"/>
  <c r="R918" i="3" s="1"/>
  <c r="N917" i="3"/>
  <c r="R917" i="3" s="1"/>
  <c r="N916" i="3"/>
  <c r="R916" i="3" s="1"/>
  <c r="N915" i="3"/>
  <c r="R915" i="3" s="1"/>
  <c r="N914" i="3"/>
  <c r="R914" i="3" s="1"/>
  <c r="N913" i="3"/>
  <c r="R913" i="3" s="1"/>
  <c r="N912" i="3"/>
  <c r="R912" i="3" s="1"/>
  <c r="N911" i="3"/>
  <c r="R911" i="3" s="1"/>
  <c r="N910" i="3"/>
  <c r="R910" i="3" s="1"/>
  <c r="N909" i="3"/>
  <c r="R909" i="3" s="1"/>
  <c r="N908" i="3"/>
  <c r="R908" i="3" s="1"/>
  <c r="N907" i="3"/>
  <c r="R907" i="3" s="1"/>
  <c r="N906" i="3"/>
  <c r="R906" i="3" s="1"/>
  <c r="N905" i="3"/>
  <c r="R905" i="3" s="1"/>
  <c r="N904" i="3"/>
  <c r="R904" i="3" s="1"/>
  <c r="N903" i="3"/>
  <c r="R903" i="3" s="1"/>
  <c r="N902" i="3"/>
  <c r="R902" i="3" s="1"/>
  <c r="N901" i="3"/>
  <c r="R901" i="3" s="1"/>
  <c r="N900" i="3"/>
  <c r="R900" i="3" s="1"/>
  <c r="N899" i="3"/>
  <c r="R899" i="3" s="1"/>
  <c r="N898" i="3"/>
  <c r="R898" i="3" s="1"/>
  <c r="N897" i="3"/>
  <c r="R897" i="3" s="1"/>
  <c r="N896" i="3"/>
  <c r="R896" i="3" s="1"/>
  <c r="N895" i="3"/>
  <c r="R895" i="3" s="1"/>
  <c r="N894" i="3"/>
  <c r="R894" i="3" s="1"/>
  <c r="N893" i="3"/>
  <c r="R893" i="3" s="1"/>
  <c r="N892" i="3"/>
  <c r="R892" i="3" s="1"/>
  <c r="N891" i="3"/>
  <c r="R891" i="3" s="1"/>
  <c r="N890" i="3"/>
  <c r="R890" i="3" s="1"/>
  <c r="N889" i="3"/>
  <c r="R889" i="3" s="1"/>
  <c r="N888" i="3"/>
  <c r="R888" i="3" s="1"/>
  <c r="N887" i="3"/>
  <c r="R887" i="3" s="1"/>
  <c r="N886" i="3"/>
  <c r="R886" i="3" s="1"/>
  <c r="N885" i="3"/>
  <c r="R885" i="3" s="1"/>
  <c r="N884" i="3"/>
  <c r="R884" i="3" s="1"/>
  <c r="N883" i="3"/>
  <c r="R883" i="3" s="1"/>
  <c r="N882" i="3"/>
  <c r="R882" i="3" s="1"/>
  <c r="N881" i="3"/>
  <c r="R881" i="3" s="1"/>
  <c r="N880" i="3"/>
  <c r="R880" i="3" s="1"/>
  <c r="N879" i="3"/>
  <c r="R879" i="3" s="1"/>
  <c r="N878" i="3"/>
  <c r="R878" i="3" s="1"/>
  <c r="N877" i="3"/>
  <c r="R877" i="3" s="1"/>
  <c r="N876" i="3"/>
  <c r="R876" i="3" s="1"/>
  <c r="N875" i="3"/>
  <c r="R875" i="3" s="1"/>
  <c r="N874" i="3"/>
  <c r="R874" i="3" s="1"/>
  <c r="N873" i="3"/>
  <c r="R873" i="3" s="1"/>
  <c r="N872" i="3"/>
  <c r="R872" i="3" s="1"/>
  <c r="N871" i="3"/>
  <c r="R871" i="3" s="1"/>
  <c r="N870" i="3"/>
  <c r="R870" i="3" s="1"/>
  <c r="N869" i="3"/>
  <c r="R869" i="3" s="1"/>
  <c r="N868" i="3"/>
  <c r="R868" i="3" s="1"/>
  <c r="N867" i="3"/>
  <c r="R867" i="3" s="1"/>
  <c r="N866" i="3"/>
  <c r="R866" i="3" s="1"/>
  <c r="N865" i="3"/>
  <c r="R865" i="3" s="1"/>
  <c r="N864" i="3"/>
  <c r="R864" i="3" s="1"/>
  <c r="N863" i="3"/>
  <c r="R863" i="3" s="1"/>
  <c r="N862" i="3"/>
  <c r="R862" i="3" s="1"/>
  <c r="N861" i="3"/>
  <c r="R861" i="3" s="1"/>
  <c r="N860" i="3"/>
  <c r="R860" i="3" s="1"/>
  <c r="N859" i="3"/>
  <c r="R859" i="3" s="1"/>
  <c r="N858" i="3"/>
  <c r="R858" i="3" s="1"/>
  <c r="N857" i="3"/>
  <c r="R857" i="3" s="1"/>
  <c r="N856" i="3"/>
  <c r="R856" i="3" s="1"/>
  <c r="N855" i="3"/>
  <c r="R855" i="3" s="1"/>
  <c r="N854" i="3"/>
  <c r="R854" i="3" s="1"/>
  <c r="N853" i="3"/>
  <c r="R853" i="3" s="1"/>
  <c r="N852" i="3"/>
  <c r="R852" i="3" s="1"/>
  <c r="N851" i="3"/>
  <c r="R851" i="3" s="1"/>
  <c r="N850" i="3"/>
  <c r="R850" i="3" s="1"/>
  <c r="N849" i="3"/>
  <c r="R849" i="3" s="1"/>
  <c r="N848" i="3"/>
  <c r="R848" i="3" s="1"/>
  <c r="N847" i="3"/>
  <c r="R847" i="3" s="1"/>
  <c r="N846" i="3"/>
  <c r="R846" i="3" s="1"/>
  <c r="N845" i="3"/>
  <c r="R845" i="3" s="1"/>
  <c r="N844" i="3"/>
  <c r="R844" i="3" s="1"/>
  <c r="N843" i="3"/>
  <c r="R843" i="3" s="1"/>
  <c r="N842" i="3"/>
  <c r="R842" i="3" s="1"/>
  <c r="N841" i="3"/>
  <c r="R841" i="3" s="1"/>
  <c r="N840" i="3"/>
  <c r="R840" i="3" s="1"/>
  <c r="N839" i="3"/>
  <c r="R839" i="3" s="1"/>
  <c r="N838" i="3"/>
  <c r="R838" i="3" s="1"/>
  <c r="N837" i="3"/>
  <c r="R837" i="3" s="1"/>
  <c r="N836" i="3"/>
  <c r="R836" i="3" s="1"/>
  <c r="N835" i="3"/>
  <c r="R835" i="3" s="1"/>
  <c r="N834" i="3"/>
  <c r="R834" i="3" s="1"/>
  <c r="N833" i="3"/>
  <c r="R833" i="3" s="1"/>
  <c r="N832" i="3"/>
  <c r="R832" i="3" s="1"/>
  <c r="N831" i="3"/>
  <c r="R831" i="3" s="1"/>
  <c r="N830" i="3"/>
  <c r="R830" i="3" s="1"/>
  <c r="N829" i="3"/>
  <c r="R829" i="3" s="1"/>
  <c r="N828" i="3"/>
  <c r="R828" i="3" s="1"/>
  <c r="N827" i="3"/>
  <c r="R827" i="3" s="1"/>
  <c r="N826" i="3"/>
  <c r="R826" i="3" s="1"/>
  <c r="N825" i="3"/>
  <c r="R825" i="3" s="1"/>
  <c r="N824" i="3"/>
  <c r="R824" i="3" s="1"/>
  <c r="N823" i="3"/>
  <c r="R823" i="3" s="1"/>
  <c r="N822" i="3"/>
  <c r="R822" i="3" s="1"/>
  <c r="N821" i="3"/>
  <c r="R821" i="3" s="1"/>
  <c r="N820" i="3"/>
  <c r="R820" i="3" s="1"/>
  <c r="N819" i="3"/>
  <c r="R819" i="3" s="1"/>
  <c r="N818" i="3"/>
  <c r="R818" i="3" s="1"/>
  <c r="N817" i="3"/>
  <c r="R817" i="3" s="1"/>
  <c r="N816" i="3"/>
  <c r="R816" i="3" s="1"/>
  <c r="N815" i="3"/>
  <c r="R815" i="3" s="1"/>
  <c r="N814" i="3"/>
  <c r="R814" i="3" s="1"/>
  <c r="N813" i="3"/>
  <c r="R813" i="3" s="1"/>
  <c r="N812" i="3"/>
  <c r="R812" i="3" s="1"/>
  <c r="N811" i="3"/>
  <c r="R811" i="3" s="1"/>
  <c r="N810" i="3"/>
  <c r="R810" i="3" s="1"/>
  <c r="N809" i="3"/>
  <c r="R809" i="3" s="1"/>
  <c r="N808" i="3"/>
  <c r="R808" i="3" s="1"/>
  <c r="N807" i="3"/>
  <c r="R807" i="3" s="1"/>
  <c r="N806" i="3"/>
  <c r="R806" i="3" s="1"/>
  <c r="N805" i="3"/>
  <c r="R805" i="3" s="1"/>
  <c r="N804" i="3"/>
  <c r="R804" i="3" s="1"/>
  <c r="N803" i="3"/>
  <c r="R803" i="3" s="1"/>
  <c r="N802" i="3"/>
  <c r="R802" i="3" s="1"/>
  <c r="N801" i="3"/>
  <c r="R801" i="3" s="1"/>
  <c r="N800" i="3"/>
  <c r="R800" i="3" s="1"/>
  <c r="N799" i="3"/>
  <c r="R799" i="3" s="1"/>
  <c r="N798" i="3"/>
  <c r="R798" i="3" s="1"/>
  <c r="N797" i="3"/>
  <c r="R797" i="3" s="1"/>
  <c r="N796" i="3"/>
  <c r="R796" i="3" s="1"/>
  <c r="N795" i="3"/>
  <c r="R795" i="3" s="1"/>
  <c r="N794" i="3"/>
  <c r="R794" i="3" s="1"/>
  <c r="N793" i="3"/>
  <c r="R793" i="3" s="1"/>
  <c r="N792" i="3"/>
  <c r="R792" i="3" s="1"/>
  <c r="N791" i="3"/>
  <c r="R791" i="3" s="1"/>
  <c r="N790" i="3"/>
  <c r="R790" i="3" s="1"/>
  <c r="N789" i="3"/>
  <c r="R789" i="3" s="1"/>
  <c r="N788" i="3"/>
  <c r="R788" i="3" s="1"/>
  <c r="N787" i="3"/>
  <c r="R787" i="3" s="1"/>
  <c r="N786" i="3"/>
  <c r="R786" i="3" s="1"/>
  <c r="N785" i="3"/>
  <c r="R785" i="3" s="1"/>
  <c r="N784" i="3"/>
  <c r="R784" i="3" s="1"/>
  <c r="N783" i="3"/>
  <c r="R783" i="3" s="1"/>
  <c r="N782" i="3"/>
  <c r="R782" i="3" s="1"/>
  <c r="N781" i="3"/>
  <c r="R781" i="3" s="1"/>
  <c r="N780" i="3"/>
  <c r="R780" i="3" s="1"/>
  <c r="N779" i="3"/>
  <c r="R779" i="3" s="1"/>
  <c r="N778" i="3"/>
  <c r="R778" i="3" s="1"/>
  <c r="N777" i="3"/>
  <c r="R777" i="3" s="1"/>
  <c r="N776" i="3"/>
  <c r="R776" i="3" s="1"/>
  <c r="N775" i="3"/>
  <c r="R775" i="3" s="1"/>
  <c r="N774" i="3"/>
  <c r="R774" i="3" s="1"/>
  <c r="N773" i="3"/>
  <c r="R773" i="3" s="1"/>
  <c r="N772" i="3"/>
  <c r="R772" i="3" s="1"/>
  <c r="N771" i="3"/>
  <c r="R771" i="3" s="1"/>
  <c r="N770" i="3"/>
  <c r="R770" i="3" s="1"/>
  <c r="N769" i="3"/>
  <c r="R769" i="3" s="1"/>
  <c r="N768" i="3"/>
  <c r="R768" i="3" s="1"/>
  <c r="N767" i="3"/>
  <c r="R767" i="3" s="1"/>
  <c r="N766" i="3"/>
  <c r="R766" i="3" s="1"/>
  <c r="N765" i="3"/>
  <c r="R765" i="3" s="1"/>
  <c r="N764" i="3"/>
  <c r="R764" i="3" s="1"/>
  <c r="N763" i="3"/>
  <c r="R763" i="3" s="1"/>
  <c r="N762" i="3"/>
  <c r="R762" i="3" s="1"/>
  <c r="N761" i="3"/>
  <c r="R761" i="3" s="1"/>
  <c r="N760" i="3"/>
  <c r="R760" i="3" s="1"/>
  <c r="N759" i="3"/>
  <c r="R759" i="3" s="1"/>
  <c r="N758" i="3"/>
  <c r="R758" i="3" s="1"/>
  <c r="N757" i="3"/>
  <c r="R757" i="3" s="1"/>
  <c r="N756" i="3"/>
  <c r="R756" i="3" s="1"/>
  <c r="N755" i="3"/>
  <c r="R755" i="3" s="1"/>
  <c r="N754" i="3"/>
  <c r="R754" i="3" s="1"/>
  <c r="N753" i="3"/>
  <c r="R753" i="3" s="1"/>
  <c r="N752" i="3"/>
  <c r="R752" i="3" s="1"/>
  <c r="N751" i="3"/>
  <c r="R751" i="3" s="1"/>
  <c r="N750" i="3"/>
  <c r="R750" i="3" s="1"/>
  <c r="N749" i="3"/>
  <c r="R749" i="3" s="1"/>
  <c r="N748" i="3"/>
  <c r="R748" i="3" s="1"/>
  <c r="N747" i="3"/>
  <c r="R747" i="3" s="1"/>
  <c r="N746" i="3"/>
  <c r="R746" i="3" s="1"/>
  <c r="N745" i="3"/>
  <c r="R745" i="3" s="1"/>
  <c r="N744" i="3"/>
  <c r="R744" i="3" s="1"/>
  <c r="N743" i="3"/>
  <c r="R743" i="3" s="1"/>
  <c r="N742" i="3"/>
  <c r="R742" i="3" s="1"/>
  <c r="N741" i="3"/>
  <c r="R741" i="3" s="1"/>
  <c r="N740" i="3"/>
  <c r="R740" i="3" s="1"/>
  <c r="N739" i="3"/>
  <c r="R739" i="3" s="1"/>
  <c r="N738" i="3"/>
  <c r="R738" i="3" s="1"/>
  <c r="N737" i="3"/>
  <c r="R737" i="3" s="1"/>
  <c r="N736" i="3"/>
  <c r="R736" i="3" s="1"/>
  <c r="N735" i="3"/>
  <c r="R735" i="3" s="1"/>
  <c r="N734" i="3"/>
  <c r="R734" i="3" s="1"/>
  <c r="N733" i="3"/>
  <c r="R733" i="3" s="1"/>
  <c r="N732" i="3"/>
  <c r="R732" i="3" s="1"/>
  <c r="N731" i="3"/>
  <c r="R731" i="3" s="1"/>
  <c r="N730" i="3"/>
  <c r="R730" i="3" s="1"/>
  <c r="N729" i="3"/>
  <c r="R729" i="3" s="1"/>
  <c r="N728" i="3"/>
  <c r="R728" i="3" s="1"/>
  <c r="N727" i="3"/>
  <c r="R727" i="3" s="1"/>
  <c r="N726" i="3"/>
  <c r="R726" i="3" s="1"/>
  <c r="N725" i="3"/>
  <c r="R725" i="3" s="1"/>
  <c r="N724" i="3"/>
  <c r="R724" i="3" s="1"/>
  <c r="N723" i="3"/>
  <c r="R723" i="3" s="1"/>
  <c r="N722" i="3"/>
  <c r="R722" i="3" s="1"/>
  <c r="N721" i="3"/>
  <c r="R721" i="3" s="1"/>
  <c r="N720" i="3"/>
  <c r="R720" i="3" s="1"/>
  <c r="N719" i="3"/>
  <c r="R719" i="3" s="1"/>
  <c r="N718" i="3"/>
  <c r="R718" i="3" s="1"/>
  <c r="N717" i="3"/>
  <c r="R717" i="3" s="1"/>
  <c r="N716" i="3"/>
  <c r="R716" i="3" s="1"/>
  <c r="N715" i="3"/>
  <c r="R715" i="3" s="1"/>
  <c r="N714" i="3"/>
  <c r="R714" i="3" s="1"/>
  <c r="N713" i="3"/>
  <c r="R713" i="3" s="1"/>
  <c r="N712" i="3"/>
  <c r="R712" i="3" s="1"/>
  <c r="N711" i="3"/>
  <c r="R711" i="3" s="1"/>
  <c r="N710" i="3"/>
  <c r="R710" i="3" s="1"/>
  <c r="N709" i="3"/>
  <c r="R709" i="3" s="1"/>
  <c r="N708" i="3"/>
  <c r="R708" i="3" s="1"/>
  <c r="N707" i="3"/>
  <c r="R707" i="3" s="1"/>
  <c r="N706" i="3"/>
  <c r="R706" i="3" s="1"/>
  <c r="N705" i="3"/>
  <c r="R705" i="3" s="1"/>
  <c r="N704" i="3"/>
  <c r="R704" i="3" s="1"/>
  <c r="N703" i="3"/>
  <c r="R703" i="3" s="1"/>
  <c r="N702" i="3"/>
  <c r="R702" i="3" s="1"/>
  <c r="N701" i="3"/>
  <c r="R701" i="3" s="1"/>
  <c r="N700" i="3"/>
  <c r="R700" i="3" s="1"/>
  <c r="N699" i="3"/>
  <c r="R699" i="3" s="1"/>
  <c r="N698" i="3"/>
  <c r="R698" i="3" s="1"/>
  <c r="N697" i="3"/>
  <c r="R697" i="3" s="1"/>
  <c r="N696" i="3"/>
  <c r="R696" i="3" s="1"/>
  <c r="N695" i="3"/>
  <c r="R695" i="3" s="1"/>
  <c r="N694" i="3"/>
  <c r="R694" i="3" s="1"/>
  <c r="N693" i="3"/>
  <c r="R693" i="3" s="1"/>
  <c r="N692" i="3"/>
  <c r="R692" i="3" s="1"/>
  <c r="N691" i="3"/>
  <c r="R691" i="3" s="1"/>
  <c r="N690" i="3"/>
  <c r="R690" i="3" s="1"/>
  <c r="N689" i="3"/>
  <c r="R689" i="3" s="1"/>
  <c r="N688" i="3"/>
  <c r="R688" i="3" s="1"/>
  <c r="N687" i="3"/>
  <c r="R687" i="3" s="1"/>
  <c r="N686" i="3"/>
  <c r="R686" i="3" s="1"/>
  <c r="N685" i="3"/>
  <c r="R685" i="3" s="1"/>
  <c r="N684" i="3"/>
  <c r="R684" i="3" s="1"/>
  <c r="N683" i="3"/>
  <c r="R683" i="3" s="1"/>
  <c r="N682" i="3"/>
  <c r="R682" i="3" s="1"/>
  <c r="N681" i="3"/>
  <c r="R681" i="3" s="1"/>
  <c r="N680" i="3"/>
  <c r="R680" i="3" s="1"/>
  <c r="N679" i="3"/>
  <c r="R679" i="3" s="1"/>
  <c r="N678" i="3"/>
  <c r="R678" i="3" s="1"/>
  <c r="N677" i="3"/>
  <c r="R677" i="3" s="1"/>
  <c r="N676" i="3"/>
  <c r="R676" i="3" s="1"/>
  <c r="N675" i="3"/>
  <c r="R675" i="3" s="1"/>
  <c r="N674" i="3"/>
  <c r="R674" i="3" s="1"/>
  <c r="N673" i="3"/>
  <c r="R673" i="3" s="1"/>
  <c r="N672" i="3"/>
  <c r="R672" i="3" s="1"/>
  <c r="N671" i="3"/>
  <c r="R671" i="3" s="1"/>
  <c r="N670" i="3"/>
  <c r="R670" i="3" s="1"/>
  <c r="N669" i="3"/>
  <c r="R669" i="3" s="1"/>
  <c r="N668" i="3"/>
  <c r="R668" i="3" s="1"/>
  <c r="N667" i="3"/>
  <c r="R667" i="3" s="1"/>
  <c r="N666" i="3"/>
  <c r="R666" i="3" s="1"/>
  <c r="N665" i="3"/>
  <c r="R665" i="3" s="1"/>
  <c r="N664" i="3"/>
  <c r="R664" i="3" s="1"/>
  <c r="N663" i="3"/>
  <c r="R663" i="3" s="1"/>
  <c r="N662" i="3"/>
  <c r="R662" i="3" s="1"/>
  <c r="N661" i="3"/>
  <c r="R661" i="3" s="1"/>
  <c r="N660" i="3"/>
  <c r="R660" i="3" s="1"/>
  <c r="N659" i="3"/>
  <c r="R659" i="3" s="1"/>
  <c r="N658" i="3"/>
  <c r="R658" i="3" s="1"/>
  <c r="N657" i="3"/>
  <c r="R657" i="3" s="1"/>
  <c r="N656" i="3"/>
  <c r="R656" i="3" s="1"/>
  <c r="N655" i="3"/>
  <c r="R655" i="3" s="1"/>
  <c r="N654" i="3"/>
  <c r="R654" i="3" s="1"/>
  <c r="N653" i="3"/>
  <c r="R653" i="3" s="1"/>
  <c r="N652" i="3"/>
  <c r="R652" i="3" s="1"/>
  <c r="N651" i="3"/>
  <c r="R651" i="3" s="1"/>
  <c r="N650" i="3"/>
  <c r="R650" i="3" s="1"/>
  <c r="N649" i="3"/>
  <c r="R649" i="3" s="1"/>
  <c r="N648" i="3"/>
  <c r="R648" i="3" s="1"/>
  <c r="N647" i="3"/>
  <c r="R647" i="3" s="1"/>
  <c r="N646" i="3"/>
  <c r="R646" i="3" s="1"/>
  <c r="N645" i="3"/>
  <c r="R645" i="3" s="1"/>
  <c r="N644" i="3"/>
  <c r="R644" i="3" s="1"/>
  <c r="N643" i="3"/>
  <c r="R643" i="3" s="1"/>
  <c r="N642" i="3"/>
  <c r="R642" i="3" s="1"/>
  <c r="N641" i="3"/>
  <c r="R641" i="3" s="1"/>
  <c r="N640" i="3"/>
  <c r="R640" i="3" s="1"/>
  <c r="N639" i="3"/>
  <c r="R639" i="3" s="1"/>
  <c r="N638" i="3"/>
  <c r="R638" i="3" s="1"/>
  <c r="N637" i="3"/>
  <c r="R637" i="3" s="1"/>
  <c r="N636" i="3"/>
  <c r="R636" i="3" s="1"/>
  <c r="N635" i="3"/>
  <c r="R635" i="3" s="1"/>
  <c r="N634" i="3"/>
  <c r="R634" i="3" s="1"/>
  <c r="N633" i="3"/>
  <c r="R633" i="3" s="1"/>
  <c r="N632" i="3"/>
  <c r="R632" i="3" s="1"/>
  <c r="N631" i="3"/>
  <c r="R631" i="3" s="1"/>
  <c r="N630" i="3"/>
  <c r="R630" i="3" s="1"/>
  <c r="N629" i="3"/>
  <c r="R629" i="3" s="1"/>
  <c r="N628" i="3"/>
  <c r="R628" i="3" s="1"/>
  <c r="N627" i="3"/>
  <c r="R627" i="3" s="1"/>
  <c r="N626" i="3"/>
  <c r="R626" i="3" s="1"/>
  <c r="N625" i="3"/>
  <c r="R625" i="3" s="1"/>
  <c r="N624" i="3"/>
  <c r="R624" i="3" s="1"/>
  <c r="N623" i="3"/>
  <c r="R623" i="3" s="1"/>
  <c r="N622" i="3"/>
  <c r="R622" i="3" s="1"/>
  <c r="N621" i="3"/>
  <c r="R621" i="3" s="1"/>
  <c r="N620" i="3"/>
  <c r="R620" i="3" s="1"/>
  <c r="N619" i="3"/>
  <c r="R619" i="3" s="1"/>
  <c r="N618" i="3"/>
  <c r="R618" i="3" s="1"/>
  <c r="N617" i="3"/>
  <c r="R617" i="3" s="1"/>
  <c r="N616" i="3"/>
  <c r="R616" i="3" s="1"/>
  <c r="N615" i="3"/>
  <c r="R615" i="3" s="1"/>
  <c r="N614" i="3"/>
  <c r="R614" i="3" s="1"/>
  <c r="N613" i="3"/>
  <c r="R613" i="3" s="1"/>
  <c r="N612" i="3"/>
  <c r="R612" i="3" s="1"/>
  <c r="N611" i="3"/>
  <c r="R611" i="3" s="1"/>
  <c r="N610" i="3"/>
  <c r="R610" i="3" s="1"/>
  <c r="N609" i="3"/>
  <c r="R609" i="3" s="1"/>
  <c r="N608" i="3"/>
  <c r="R608" i="3" s="1"/>
  <c r="N607" i="3"/>
  <c r="R607" i="3" s="1"/>
  <c r="N606" i="3"/>
  <c r="R606" i="3" s="1"/>
  <c r="N605" i="3"/>
  <c r="R605" i="3" s="1"/>
  <c r="N604" i="3"/>
  <c r="R604" i="3" s="1"/>
  <c r="N603" i="3"/>
  <c r="R603" i="3" s="1"/>
  <c r="N602" i="3"/>
  <c r="R602" i="3" s="1"/>
  <c r="N601" i="3"/>
  <c r="R601" i="3" s="1"/>
  <c r="N600" i="3"/>
  <c r="R600" i="3" s="1"/>
  <c r="N599" i="3"/>
  <c r="R599" i="3" s="1"/>
  <c r="N598" i="3"/>
  <c r="R598" i="3" s="1"/>
  <c r="N597" i="3"/>
  <c r="R597" i="3" s="1"/>
  <c r="N596" i="3"/>
  <c r="R596" i="3" s="1"/>
  <c r="N595" i="3"/>
  <c r="R595" i="3" s="1"/>
  <c r="N594" i="3"/>
  <c r="R594" i="3" s="1"/>
  <c r="N593" i="3"/>
  <c r="R593" i="3" s="1"/>
  <c r="N592" i="3"/>
  <c r="R592" i="3" s="1"/>
  <c r="N591" i="3"/>
  <c r="R591" i="3" s="1"/>
  <c r="N590" i="3"/>
  <c r="R590" i="3" s="1"/>
  <c r="N589" i="3"/>
  <c r="R589" i="3" s="1"/>
  <c r="N588" i="3"/>
  <c r="R588" i="3" s="1"/>
  <c r="N587" i="3"/>
  <c r="R587" i="3" s="1"/>
  <c r="N586" i="3"/>
  <c r="R586" i="3" s="1"/>
  <c r="N585" i="3"/>
  <c r="R585" i="3" s="1"/>
  <c r="N584" i="3"/>
  <c r="R584" i="3" s="1"/>
  <c r="N583" i="3"/>
  <c r="R583" i="3" s="1"/>
  <c r="N582" i="3"/>
  <c r="R582" i="3" s="1"/>
  <c r="N581" i="3"/>
  <c r="R581" i="3" s="1"/>
  <c r="N580" i="3"/>
  <c r="R580" i="3" s="1"/>
  <c r="N579" i="3"/>
  <c r="R579" i="3" s="1"/>
  <c r="N578" i="3"/>
  <c r="R578" i="3" s="1"/>
  <c r="N577" i="3"/>
  <c r="R577" i="3" s="1"/>
  <c r="N576" i="3"/>
  <c r="R576" i="3" s="1"/>
  <c r="N575" i="3"/>
  <c r="R575" i="3" s="1"/>
  <c r="N574" i="3"/>
  <c r="R574" i="3" s="1"/>
  <c r="N573" i="3"/>
  <c r="R573" i="3" s="1"/>
  <c r="N572" i="3"/>
  <c r="R572" i="3" s="1"/>
  <c r="N571" i="3"/>
  <c r="R571" i="3" s="1"/>
  <c r="N570" i="3"/>
  <c r="R570" i="3" s="1"/>
  <c r="N569" i="3"/>
  <c r="R569" i="3" s="1"/>
  <c r="N568" i="3"/>
  <c r="R568" i="3" s="1"/>
  <c r="N567" i="3"/>
  <c r="R567" i="3" s="1"/>
  <c r="N566" i="3"/>
  <c r="R566" i="3" s="1"/>
  <c r="N565" i="3"/>
  <c r="R565" i="3" s="1"/>
  <c r="N564" i="3"/>
  <c r="R564" i="3" s="1"/>
  <c r="N563" i="3"/>
  <c r="R563" i="3" s="1"/>
  <c r="N562" i="3"/>
  <c r="R562" i="3" s="1"/>
  <c r="N561" i="3"/>
  <c r="R561" i="3" s="1"/>
  <c r="N560" i="3"/>
  <c r="R560" i="3" s="1"/>
  <c r="N559" i="3"/>
  <c r="R559" i="3" s="1"/>
  <c r="N558" i="3"/>
  <c r="R558" i="3" s="1"/>
  <c r="N557" i="3"/>
  <c r="R557" i="3" s="1"/>
  <c r="N556" i="3"/>
  <c r="R556" i="3" s="1"/>
  <c r="N555" i="3"/>
  <c r="R555" i="3" s="1"/>
  <c r="N554" i="3"/>
  <c r="R554" i="3" s="1"/>
  <c r="N553" i="3"/>
  <c r="R553" i="3" s="1"/>
  <c r="N552" i="3"/>
  <c r="R552" i="3" s="1"/>
  <c r="N551" i="3"/>
  <c r="R551" i="3" s="1"/>
  <c r="N550" i="3"/>
  <c r="R550" i="3" s="1"/>
  <c r="N549" i="3"/>
  <c r="R549" i="3" s="1"/>
  <c r="N548" i="3"/>
  <c r="R548" i="3" s="1"/>
  <c r="N547" i="3"/>
  <c r="R547" i="3" s="1"/>
  <c r="N546" i="3"/>
  <c r="R546" i="3" s="1"/>
  <c r="N545" i="3"/>
  <c r="R545" i="3" s="1"/>
  <c r="N544" i="3"/>
  <c r="R544" i="3" s="1"/>
  <c r="N543" i="3"/>
  <c r="R543" i="3" s="1"/>
  <c r="N542" i="3"/>
  <c r="R542" i="3" s="1"/>
  <c r="N541" i="3"/>
  <c r="R541" i="3" s="1"/>
  <c r="N540" i="3"/>
  <c r="R540" i="3" s="1"/>
  <c r="N539" i="3"/>
  <c r="R539" i="3" s="1"/>
  <c r="N538" i="3"/>
  <c r="R538" i="3" s="1"/>
  <c r="N537" i="3"/>
  <c r="R537" i="3" s="1"/>
  <c r="N536" i="3"/>
  <c r="R536" i="3" s="1"/>
  <c r="N535" i="3"/>
  <c r="R535" i="3" s="1"/>
  <c r="N534" i="3"/>
  <c r="R534" i="3" s="1"/>
  <c r="N533" i="3"/>
  <c r="R533" i="3" s="1"/>
  <c r="N532" i="3"/>
  <c r="R532" i="3" s="1"/>
  <c r="N531" i="3"/>
  <c r="R531" i="3" s="1"/>
  <c r="N530" i="3"/>
  <c r="R530" i="3" s="1"/>
  <c r="N529" i="3"/>
  <c r="R529" i="3" s="1"/>
  <c r="N528" i="3"/>
  <c r="R528" i="3" s="1"/>
  <c r="N527" i="3"/>
  <c r="R527" i="3" s="1"/>
  <c r="N526" i="3"/>
  <c r="R526" i="3" s="1"/>
  <c r="N525" i="3"/>
  <c r="R525" i="3" s="1"/>
  <c r="N524" i="3"/>
  <c r="R524" i="3" s="1"/>
  <c r="N523" i="3"/>
  <c r="R523" i="3" s="1"/>
  <c r="N522" i="3"/>
  <c r="R522" i="3" s="1"/>
  <c r="N521" i="3"/>
  <c r="R521" i="3" s="1"/>
  <c r="N520" i="3"/>
  <c r="R520" i="3" s="1"/>
  <c r="N519" i="3"/>
  <c r="R519" i="3" s="1"/>
  <c r="N518" i="3"/>
  <c r="R518" i="3" s="1"/>
  <c r="N517" i="3"/>
  <c r="R517" i="3" s="1"/>
  <c r="N516" i="3"/>
  <c r="R516" i="3" s="1"/>
  <c r="N515" i="3"/>
  <c r="R515" i="3" s="1"/>
  <c r="N514" i="3"/>
  <c r="R514" i="3" s="1"/>
  <c r="N513" i="3"/>
  <c r="R513" i="3" s="1"/>
  <c r="N512" i="3"/>
  <c r="R512" i="3" s="1"/>
  <c r="N511" i="3"/>
  <c r="R511" i="3" s="1"/>
  <c r="N510" i="3"/>
  <c r="R510" i="3" s="1"/>
  <c r="N509" i="3"/>
  <c r="R509" i="3" s="1"/>
  <c r="N508" i="3"/>
  <c r="R508" i="3" s="1"/>
  <c r="N507" i="3"/>
  <c r="R507" i="3" s="1"/>
  <c r="N506" i="3"/>
  <c r="R506" i="3" s="1"/>
  <c r="N505" i="3"/>
  <c r="R505" i="3" s="1"/>
  <c r="N504" i="3"/>
  <c r="R504" i="3" s="1"/>
  <c r="N503" i="3"/>
  <c r="R503" i="3" s="1"/>
  <c r="N502" i="3"/>
  <c r="R502" i="3" s="1"/>
  <c r="N501" i="3"/>
  <c r="R501" i="3" s="1"/>
  <c r="N500" i="3"/>
  <c r="R500" i="3" s="1"/>
  <c r="N499" i="3"/>
  <c r="R499" i="3" s="1"/>
  <c r="N498" i="3"/>
  <c r="R498" i="3" s="1"/>
  <c r="N497" i="3"/>
  <c r="R497" i="3" s="1"/>
  <c r="N496" i="3"/>
  <c r="R496" i="3" s="1"/>
  <c r="N495" i="3"/>
  <c r="R495" i="3" s="1"/>
  <c r="N494" i="3"/>
  <c r="R494" i="3" s="1"/>
  <c r="N493" i="3"/>
  <c r="R493" i="3" s="1"/>
  <c r="N492" i="3"/>
  <c r="R492" i="3" s="1"/>
  <c r="N491" i="3"/>
  <c r="R491" i="3" s="1"/>
  <c r="N490" i="3"/>
  <c r="R490" i="3" s="1"/>
  <c r="N489" i="3"/>
  <c r="R489" i="3" s="1"/>
  <c r="N488" i="3"/>
  <c r="R488" i="3" s="1"/>
  <c r="N487" i="3"/>
  <c r="R487" i="3" s="1"/>
  <c r="N486" i="3"/>
  <c r="R486" i="3" s="1"/>
  <c r="N485" i="3"/>
  <c r="R485" i="3" s="1"/>
  <c r="N484" i="3"/>
  <c r="R484" i="3" s="1"/>
  <c r="N483" i="3"/>
  <c r="R483" i="3" s="1"/>
  <c r="N482" i="3"/>
  <c r="R482" i="3" s="1"/>
  <c r="N481" i="3"/>
  <c r="R481" i="3" s="1"/>
  <c r="N480" i="3"/>
  <c r="R480" i="3" s="1"/>
  <c r="N479" i="3"/>
  <c r="R479" i="3" s="1"/>
  <c r="N478" i="3"/>
  <c r="R478" i="3" s="1"/>
  <c r="N477" i="3"/>
  <c r="R477" i="3" s="1"/>
  <c r="N476" i="3"/>
  <c r="R476" i="3" s="1"/>
  <c r="N475" i="3"/>
  <c r="R475" i="3" s="1"/>
  <c r="N474" i="3"/>
  <c r="R474" i="3" s="1"/>
  <c r="N473" i="3"/>
  <c r="R473" i="3" s="1"/>
  <c r="N472" i="3"/>
  <c r="R472" i="3" s="1"/>
  <c r="N471" i="3"/>
  <c r="R471" i="3" s="1"/>
  <c r="N470" i="3"/>
  <c r="R470" i="3" s="1"/>
  <c r="N469" i="3"/>
  <c r="R469" i="3" s="1"/>
  <c r="N468" i="3"/>
  <c r="R468" i="3" s="1"/>
  <c r="N467" i="3"/>
  <c r="R467" i="3" s="1"/>
  <c r="N466" i="3"/>
  <c r="R466" i="3" s="1"/>
  <c r="N465" i="3"/>
  <c r="R465" i="3" s="1"/>
  <c r="N464" i="3"/>
  <c r="R464" i="3" s="1"/>
  <c r="N463" i="3"/>
  <c r="R463" i="3" s="1"/>
  <c r="N462" i="3"/>
  <c r="R462" i="3" s="1"/>
  <c r="N461" i="3"/>
  <c r="R461" i="3" s="1"/>
  <c r="N460" i="3"/>
  <c r="R460" i="3" s="1"/>
  <c r="N459" i="3"/>
  <c r="R459" i="3" s="1"/>
  <c r="N458" i="3"/>
  <c r="R458" i="3" s="1"/>
  <c r="N457" i="3"/>
  <c r="R457" i="3" s="1"/>
  <c r="N456" i="3"/>
  <c r="R456" i="3" s="1"/>
  <c r="N455" i="3"/>
  <c r="R455" i="3" s="1"/>
  <c r="N454" i="3"/>
  <c r="R454" i="3" s="1"/>
  <c r="N453" i="3"/>
  <c r="R453" i="3" s="1"/>
  <c r="N452" i="3"/>
  <c r="R452" i="3" s="1"/>
  <c r="N451" i="3"/>
  <c r="R451" i="3" s="1"/>
  <c r="N450" i="3"/>
  <c r="R450" i="3" s="1"/>
  <c r="N449" i="3"/>
  <c r="R449" i="3" s="1"/>
  <c r="N448" i="3"/>
  <c r="R448" i="3" s="1"/>
  <c r="N447" i="3"/>
  <c r="R447" i="3" s="1"/>
  <c r="N446" i="3"/>
  <c r="R446" i="3" s="1"/>
  <c r="N445" i="3"/>
  <c r="R445" i="3" s="1"/>
  <c r="N444" i="3"/>
  <c r="R444" i="3" s="1"/>
  <c r="N443" i="3"/>
  <c r="R443" i="3" s="1"/>
  <c r="N442" i="3"/>
  <c r="R442" i="3" s="1"/>
  <c r="N441" i="3"/>
  <c r="R441" i="3" s="1"/>
  <c r="N440" i="3"/>
  <c r="R440" i="3" s="1"/>
  <c r="N439" i="3"/>
  <c r="R439" i="3" s="1"/>
  <c r="N438" i="3"/>
  <c r="R438" i="3" s="1"/>
  <c r="N437" i="3"/>
  <c r="R437" i="3" s="1"/>
  <c r="N436" i="3"/>
  <c r="R436" i="3" s="1"/>
  <c r="N435" i="3"/>
  <c r="R435" i="3" s="1"/>
  <c r="N434" i="3"/>
  <c r="R434" i="3" s="1"/>
  <c r="N433" i="3"/>
  <c r="R433" i="3" s="1"/>
  <c r="N432" i="3"/>
  <c r="R432" i="3" s="1"/>
  <c r="N431" i="3"/>
  <c r="R431" i="3" s="1"/>
  <c r="N430" i="3"/>
  <c r="R430" i="3" s="1"/>
  <c r="N429" i="3"/>
  <c r="R429" i="3" s="1"/>
  <c r="N428" i="3"/>
  <c r="R428" i="3" s="1"/>
  <c r="N427" i="3"/>
  <c r="R427" i="3" s="1"/>
  <c r="N426" i="3"/>
  <c r="R426" i="3" s="1"/>
  <c r="N425" i="3"/>
  <c r="R425" i="3" s="1"/>
  <c r="N424" i="3"/>
  <c r="R424" i="3" s="1"/>
  <c r="N423" i="3"/>
  <c r="R423" i="3" s="1"/>
  <c r="N422" i="3"/>
  <c r="R422" i="3" s="1"/>
  <c r="N421" i="3"/>
  <c r="R421" i="3" s="1"/>
  <c r="N420" i="3"/>
  <c r="R420" i="3" s="1"/>
  <c r="N419" i="3"/>
  <c r="R419" i="3" s="1"/>
  <c r="N418" i="3"/>
  <c r="R418" i="3" s="1"/>
  <c r="N417" i="3"/>
  <c r="R417" i="3" s="1"/>
  <c r="N416" i="3"/>
  <c r="R416" i="3" s="1"/>
  <c r="N415" i="3"/>
  <c r="R415" i="3" s="1"/>
  <c r="N414" i="3"/>
  <c r="R414" i="3" s="1"/>
  <c r="N413" i="3"/>
  <c r="R413" i="3" s="1"/>
  <c r="N412" i="3"/>
  <c r="R412" i="3" s="1"/>
  <c r="N411" i="3"/>
  <c r="R411" i="3" s="1"/>
  <c r="N410" i="3"/>
  <c r="R410" i="3" s="1"/>
  <c r="N409" i="3"/>
  <c r="R409" i="3" s="1"/>
  <c r="N408" i="3"/>
  <c r="R408" i="3" s="1"/>
  <c r="N407" i="3"/>
  <c r="R407" i="3" s="1"/>
  <c r="N406" i="3"/>
  <c r="R406" i="3" s="1"/>
  <c r="N405" i="3"/>
  <c r="R405" i="3" s="1"/>
  <c r="N404" i="3"/>
  <c r="R404" i="3" s="1"/>
  <c r="N403" i="3"/>
  <c r="R403" i="3" s="1"/>
  <c r="N402" i="3"/>
  <c r="R402" i="3" s="1"/>
  <c r="N401" i="3"/>
  <c r="R401" i="3" s="1"/>
  <c r="N400" i="3"/>
  <c r="R400" i="3" s="1"/>
  <c r="N399" i="3"/>
  <c r="R399" i="3" s="1"/>
  <c r="N398" i="3"/>
  <c r="R398" i="3" s="1"/>
  <c r="N397" i="3"/>
  <c r="R397" i="3" s="1"/>
  <c r="N396" i="3"/>
  <c r="R396" i="3" s="1"/>
  <c r="N395" i="3"/>
  <c r="R395" i="3" s="1"/>
  <c r="N394" i="3"/>
  <c r="R394" i="3" s="1"/>
  <c r="N393" i="3"/>
  <c r="R393" i="3" s="1"/>
  <c r="N392" i="3"/>
  <c r="R392" i="3" s="1"/>
  <c r="N391" i="3"/>
  <c r="R391" i="3" s="1"/>
  <c r="N390" i="3"/>
  <c r="R390" i="3" s="1"/>
  <c r="N389" i="3"/>
  <c r="R389" i="3" s="1"/>
  <c r="N388" i="3"/>
  <c r="R388" i="3" s="1"/>
  <c r="N387" i="3"/>
  <c r="R387" i="3" s="1"/>
  <c r="N386" i="3"/>
  <c r="R386" i="3" s="1"/>
  <c r="N385" i="3"/>
  <c r="R385" i="3" s="1"/>
  <c r="N384" i="3"/>
  <c r="R384" i="3" s="1"/>
  <c r="N383" i="3"/>
  <c r="R383" i="3" s="1"/>
  <c r="N382" i="3"/>
  <c r="R382" i="3" s="1"/>
  <c r="N381" i="3"/>
  <c r="R381" i="3" s="1"/>
  <c r="N380" i="3"/>
  <c r="R380" i="3" s="1"/>
  <c r="N379" i="3"/>
  <c r="R379" i="3" s="1"/>
  <c r="N378" i="3"/>
  <c r="R378" i="3" s="1"/>
  <c r="N377" i="3"/>
  <c r="R377" i="3" s="1"/>
  <c r="N376" i="3"/>
  <c r="R376" i="3" s="1"/>
  <c r="N375" i="3"/>
  <c r="R375" i="3" s="1"/>
  <c r="N374" i="3"/>
  <c r="R374" i="3" s="1"/>
  <c r="N373" i="3"/>
  <c r="R373" i="3" s="1"/>
  <c r="N372" i="3"/>
  <c r="R372" i="3" s="1"/>
  <c r="N371" i="3"/>
  <c r="R371" i="3" s="1"/>
  <c r="N370" i="3"/>
  <c r="R370" i="3" s="1"/>
  <c r="N369" i="3"/>
  <c r="R369" i="3" s="1"/>
  <c r="N368" i="3"/>
  <c r="R368" i="3" s="1"/>
  <c r="N367" i="3"/>
  <c r="R367" i="3" s="1"/>
  <c r="N366" i="3"/>
  <c r="R366" i="3" s="1"/>
  <c r="N365" i="3"/>
  <c r="R365" i="3" s="1"/>
  <c r="N364" i="3"/>
  <c r="R364" i="3" s="1"/>
  <c r="N363" i="3"/>
  <c r="R363" i="3" s="1"/>
  <c r="N362" i="3"/>
  <c r="R362" i="3" s="1"/>
  <c r="N361" i="3"/>
  <c r="R361" i="3" s="1"/>
  <c r="N360" i="3"/>
  <c r="R360" i="3" s="1"/>
  <c r="N359" i="3"/>
  <c r="R359" i="3" s="1"/>
  <c r="N358" i="3"/>
  <c r="R358" i="3" s="1"/>
  <c r="N357" i="3"/>
  <c r="R357" i="3" s="1"/>
  <c r="N356" i="3"/>
  <c r="R356" i="3" s="1"/>
  <c r="N355" i="3"/>
  <c r="R355" i="3" s="1"/>
  <c r="N354" i="3"/>
  <c r="R354" i="3" s="1"/>
  <c r="N353" i="3"/>
  <c r="R353" i="3" s="1"/>
  <c r="N352" i="3"/>
  <c r="R352" i="3" s="1"/>
  <c r="N351" i="3"/>
  <c r="R351" i="3" s="1"/>
  <c r="N350" i="3"/>
  <c r="R350" i="3" s="1"/>
  <c r="N349" i="3"/>
  <c r="R349" i="3" s="1"/>
  <c r="N348" i="3"/>
  <c r="R348" i="3" s="1"/>
  <c r="N347" i="3"/>
  <c r="R347" i="3" s="1"/>
  <c r="N346" i="3"/>
  <c r="R346" i="3" s="1"/>
  <c r="N345" i="3"/>
  <c r="R345" i="3" s="1"/>
  <c r="N344" i="3"/>
  <c r="R344" i="3" s="1"/>
  <c r="N343" i="3"/>
  <c r="R343" i="3" s="1"/>
  <c r="N342" i="3"/>
  <c r="R342" i="3" s="1"/>
  <c r="N341" i="3"/>
  <c r="R341" i="3" s="1"/>
  <c r="N340" i="3"/>
  <c r="R340" i="3" s="1"/>
  <c r="N339" i="3"/>
  <c r="R339" i="3" s="1"/>
  <c r="N338" i="3"/>
  <c r="R338" i="3" s="1"/>
  <c r="N337" i="3"/>
  <c r="R337" i="3" s="1"/>
  <c r="N336" i="3"/>
  <c r="R336" i="3" s="1"/>
  <c r="N335" i="3"/>
  <c r="R335" i="3" s="1"/>
  <c r="N334" i="3"/>
  <c r="R334" i="3" s="1"/>
  <c r="N333" i="3"/>
  <c r="R333" i="3" s="1"/>
  <c r="N332" i="3"/>
  <c r="R332" i="3" s="1"/>
  <c r="N331" i="3"/>
  <c r="R331" i="3" s="1"/>
  <c r="N330" i="3"/>
  <c r="R330" i="3" s="1"/>
  <c r="N329" i="3"/>
  <c r="R329" i="3" s="1"/>
  <c r="N328" i="3"/>
  <c r="R328" i="3" s="1"/>
  <c r="N327" i="3"/>
  <c r="R327" i="3" s="1"/>
  <c r="N326" i="3"/>
  <c r="R326" i="3" s="1"/>
  <c r="N325" i="3"/>
  <c r="R325" i="3" s="1"/>
  <c r="N324" i="3"/>
  <c r="R324" i="3" s="1"/>
  <c r="N323" i="3"/>
  <c r="R323" i="3" s="1"/>
  <c r="N322" i="3"/>
  <c r="R322" i="3" s="1"/>
  <c r="N321" i="3"/>
  <c r="R321" i="3" s="1"/>
  <c r="N320" i="3"/>
  <c r="R320" i="3" s="1"/>
  <c r="N319" i="3"/>
  <c r="R319" i="3" s="1"/>
  <c r="N318" i="3"/>
  <c r="R318" i="3" s="1"/>
  <c r="N317" i="3"/>
  <c r="R317" i="3" s="1"/>
  <c r="N316" i="3"/>
  <c r="R316" i="3" s="1"/>
  <c r="N315" i="3"/>
  <c r="R315" i="3" s="1"/>
  <c r="N314" i="3"/>
  <c r="R314" i="3" s="1"/>
  <c r="N313" i="3"/>
  <c r="R313" i="3" s="1"/>
  <c r="N312" i="3"/>
  <c r="R312" i="3" s="1"/>
  <c r="N311" i="3"/>
  <c r="R311" i="3" s="1"/>
  <c r="N310" i="3"/>
  <c r="R310" i="3" s="1"/>
  <c r="N309" i="3"/>
  <c r="R309" i="3" s="1"/>
  <c r="N308" i="3"/>
  <c r="R308" i="3" s="1"/>
  <c r="N307" i="3"/>
  <c r="R307" i="3" s="1"/>
  <c r="N306" i="3"/>
  <c r="R306" i="3" s="1"/>
  <c r="N305" i="3"/>
  <c r="R305" i="3" s="1"/>
  <c r="N304" i="3"/>
  <c r="R304" i="3" s="1"/>
  <c r="N303" i="3"/>
  <c r="R303" i="3" s="1"/>
  <c r="N302" i="3"/>
  <c r="R302" i="3" s="1"/>
  <c r="N301" i="3"/>
  <c r="R301" i="3" s="1"/>
  <c r="N300" i="3"/>
  <c r="R300" i="3" s="1"/>
  <c r="N299" i="3"/>
  <c r="R299" i="3" s="1"/>
  <c r="N298" i="3"/>
  <c r="R298" i="3" s="1"/>
  <c r="N297" i="3"/>
  <c r="R297" i="3" s="1"/>
  <c r="N296" i="3"/>
  <c r="R296" i="3" s="1"/>
  <c r="N295" i="3"/>
  <c r="R295" i="3" s="1"/>
  <c r="N294" i="3"/>
  <c r="R294" i="3" s="1"/>
  <c r="N293" i="3"/>
  <c r="R293" i="3" s="1"/>
  <c r="N292" i="3"/>
  <c r="R292" i="3" s="1"/>
  <c r="N291" i="3"/>
  <c r="R291" i="3" s="1"/>
  <c r="N290" i="3"/>
  <c r="R290" i="3" s="1"/>
  <c r="N289" i="3"/>
  <c r="R289" i="3" s="1"/>
  <c r="N288" i="3"/>
  <c r="R288" i="3" s="1"/>
  <c r="N287" i="3"/>
  <c r="R287" i="3" s="1"/>
  <c r="N286" i="3"/>
  <c r="R286" i="3" s="1"/>
  <c r="N285" i="3"/>
  <c r="R285" i="3" s="1"/>
  <c r="N284" i="3"/>
  <c r="R284" i="3" s="1"/>
  <c r="N283" i="3"/>
  <c r="R283" i="3" s="1"/>
  <c r="N282" i="3"/>
  <c r="R282" i="3" s="1"/>
  <c r="N281" i="3"/>
  <c r="R281" i="3" s="1"/>
  <c r="N280" i="3"/>
  <c r="R280" i="3" s="1"/>
  <c r="N279" i="3"/>
  <c r="R279" i="3" s="1"/>
  <c r="N278" i="3"/>
  <c r="R278" i="3" s="1"/>
  <c r="N277" i="3"/>
  <c r="R277" i="3" s="1"/>
  <c r="N276" i="3"/>
  <c r="R276" i="3" s="1"/>
  <c r="N275" i="3"/>
  <c r="R275" i="3" s="1"/>
  <c r="N274" i="3"/>
  <c r="R274" i="3" s="1"/>
  <c r="N273" i="3"/>
  <c r="R273" i="3" s="1"/>
  <c r="N272" i="3"/>
  <c r="R272" i="3" s="1"/>
  <c r="N271" i="3"/>
  <c r="R271" i="3" s="1"/>
  <c r="N270" i="3"/>
  <c r="R270" i="3" s="1"/>
  <c r="N269" i="3"/>
  <c r="R269" i="3" s="1"/>
  <c r="N268" i="3"/>
  <c r="R268" i="3" s="1"/>
  <c r="N267" i="3"/>
  <c r="R267" i="3" s="1"/>
  <c r="N266" i="3"/>
  <c r="R266" i="3" s="1"/>
  <c r="N265" i="3"/>
  <c r="R265" i="3" s="1"/>
  <c r="N264" i="3"/>
  <c r="R264" i="3" s="1"/>
  <c r="N263" i="3"/>
  <c r="R263" i="3" s="1"/>
  <c r="N262" i="3"/>
  <c r="R262" i="3" s="1"/>
  <c r="N261" i="3"/>
  <c r="R261" i="3" s="1"/>
  <c r="N260" i="3"/>
  <c r="R260" i="3" s="1"/>
  <c r="N259" i="3"/>
  <c r="R259" i="3" s="1"/>
  <c r="N258" i="3"/>
  <c r="R258" i="3" s="1"/>
  <c r="N257" i="3"/>
  <c r="R257" i="3" s="1"/>
  <c r="N256" i="3"/>
  <c r="R256" i="3" s="1"/>
  <c r="N255" i="3"/>
  <c r="R255" i="3" s="1"/>
  <c r="N254" i="3"/>
  <c r="R254" i="3" s="1"/>
  <c r="N253" i="3"/>
  <c r="R253" i="3" s="1"/>
  <c r="N252" i="3"/>
  <c r="R252" i="3" s="1"/>
  <c r="N251" i="3"/>
  <c r="R251" i="3" s="1"/>
  <c r="N250" i="3"/>
  <c r="R250" i="3" s="1"/>
  <c r="N249" i="3"/>
  <c r="R249" i="3" s="1"/>
  <c r="N248" i="3"/>
  <c r="R248" i="3" s="1"/>
  <c r="N247" i="3"/>
  <c r="R247" i="3" s="1"/>
  <c r="N246" i="3"/>
  <c r="R246" i="3" s="1"/>
  <c r="N245" i="3"/>
  <c r="R245" i="3" s="1"/>
  <c r="N244" i="3"/>
  <c r="R244" i="3" s="1"/>
  <c r="N243" i="3"/>
  <c r="R243" i="3" s="1"/>
  <c r="N242" i="3"/>
  <c r="R242" i="3" s="1"/>
  <c r="N241" i="3"/>
  <c r="R241" i="3" s="1"/>
  <c r="N240" i="3"/>
  <c r="R240" i="3" s="1"/>
  <c r="N239" i="3"/>
  <c r="R239" i="3" s="1"/>
  <c r="N238" i="3"/>
  <c r="R238" i="3" s="1"/>
  <c r="N237" i="3"/>
  <c r="R237" i="3" s="1"/>
  <c r="N236" i="3"/>
  <c r="R236" i="3" s="1"/>
  <c r="N235" i="3"/>
  <c r="R235" i="3" s="1"/>
  <c r="N234" i="3"/>
  <c r="R234" i="3" s="1"/>
  <c r="N233" i="3"/>
  <c r="R233" i="3" s="1"/>
  <c r="N232" i="3"/>
  <c r="R232" i="3" s="1"/>
  <c r="N231" i="3"/>
  <c r="R231" i="3" s="1"/>
  <c r="N230" i="3"/>
  <c r="R230" i="3" s="1"/>
  <c r="N229" i="3"/>
  <c r="R229" i="3" s="1"/>
  <c r="N228" i="3"/>
  <c r="R228" i="3" s="1"/>
  <c r="N227" i="3"/>
  <c r="R227" i="3" s="1"/>
  <c r="N226" i="3"/>
  <c r="R226" i="3" s="1"/>
  <c r="N225" i="3"/>
  <c r="R225" i="3" s="1"/>
  <c r="N224" i="3"/>
  <c r="R224" i="3" s="1"/>
  <c r="N223" i="3"/>
  <c r="R223" i="3" s="1"/>
  <c r="N222" i="3"/>
  <c r="R222" i="3" s="1"/>
  <c r="N221" i="3"/>
  <c r="R221" i="3" s="1"/>
  <c r="N220" i="3"/>
  <c r="R220" i="3" s="1"/>
  <c r="N219" i="3"/>
  <c r="R219" i="3" s="1"/>
  <c r="N218" i="3"/>
  <c r="R218" i="3" s="1"/>
  <c r="N217" i="3"/>
  <c r="R217" i="3" s="1"/>
  <c r="N216" i="3"/>
  <c r="R216" i="3" s="1"/>
  <c r="N215" i="3"/>
  <c r="R215" i="3" s="1"/>
  <c r="N214" i="3"/>
  <c r="R214" i="3" s="1"/>
  <c r="N213" i="3"/>
  <c r="R213" i="3" s="1"/>
  <c r="N212" i="3"/>
  <c r="R212" i="3" s="1"/>
  <c r="N211" i="3"/>
  <c r="R211" i="3" s="1"/>
  <c r="N210" i="3"/>
  <c r="R210" i="3" s="1"/>
  <c r="N209" i="3"/>
  <c r="R209" i="3" s="1"/>
  <c r="N208" i="3"/>
  <c r="R208" i="3" s="1"/>
  <c r="N207" i="3"/>
  <c r="R207" i="3" s="1"/>
  <c r="N206" i="3"/>
  <c r="R206" i="3" s="1"/>
  <c r="N205" i="3"/>
  <c r="R205" i="3" s="1"/>
  <c r="N204" i="3"/>
  <c r="R204" i="3" s="1"/>
  <c r="N203" i="3"/>
  <c r="R203" i="3" s="1"/>
  <c r="N202" i="3"/>
  <c r="R202" i="3" s="1"/>
  <c r="N201" i="3"/>
  <c r="R201" i="3" s="1"/>
  <c r="N200" i="3"/>
  <c r="R200" i="3" s="1"/>
  <c r="N199" i="3"/>
  <c r="R199" i="3" s="1"/>
  <c r="N198" i="3"/>
  <c r="R198" i="3" s="1"/>
  <c r="N197" i="3"/>
  <c r="R197" i="3" s="1"/>
  <c r="N196" i="3"/>
  <c r="R196" i="3" s="1"/>
  <c r="N195" i="3"/>
  <c r="R195" i="3" s="1"/>
  <c r="N194" i="3"/>
  <c r="R194" i="3" s="1"/>
  <c r="N193" i="3"/>
  <c r="R193" i="3" s="1"/>
  <c r="N192" i="3"/>
  <c r="R192" i="3" s="1"/>
  <c r="N191" i="3"/>
  <c r="R191" i="3" s="1"/>
  <c r="N190" i="3"/>
  <c r="R190" i="3" s="1"/>
  <c r="N189" i="3"/>
  <c r="R189" i="3" s="1"/>
  <c r="N188" i="3"/>
  <c r="R188" i="3" s="1"/>
  <c r="N187" i="3"/>
  <c r="R187" i="3" s="1"/>
  <c r="N186" i="3"/>
  <c r="R186" i="3" s="1"/>
  <c r="N185" i="3"/>
  <c r="R185" i="3" s="1"/>
  <c r="N184" i="3"/>
  <c r="R184" i="3" s="1"/>
  <c r="N183" i="3"/>
  <c r="R183" i="3" s="1"/>
  <c r="N182" i="3"/>
  <c r="R182" i="3" s="1"/>
  <c r="N181" i="3"/>
  <c r="R181" i="3" s="1"/>
  <c r="N180" i="3"/>
  <c r="R180" i="3" s="1"/>
  <c r="N179" i="3"/>
  <c r="R179" i="3" s="1"/>
  <c r="N178" i="3"/>
  <c r="R178" i="3" s="1"/>
  <c r="N177" i="3"/>
  <c r="R177" i="3" s="1"/>
  <c r="N176" i="3"/>
  <c r="R176" i="3" s="1"/>
  <c r="N175" i="3"/>
  <c r="R175" i="3" s="1"/>
  <c r="N174" i="3"/>
  <c r="R174" i="3" s="1"/>
  <c r="N173" i="3"/>
  <c r="R173" i="3" s="1"/>
  <c r="N172" i="3"/>
  <c r="R172" i="3" s="1"/>
  <c r="N171" i="3"/>
  <c r="R171" i="3" s="1"/>
  <c r="N170" i="3"/>
  <c r="R170" i="3" s="1"/>
  <c r="N169" i="3"/>
  <c r="R169" i="3" s="1"/>
  <c r="N168" i="3"/>
  <c r="R168" i="3" s="1"/>
  <c r="N167" i="3"/>
  <c r="R167" i="3" s="1"/>
  <c r="N166" i="3"/>
  <c r="R166" i="3" s="1"/>
  <c r="N165" i="3"/>
  <c r="R165" i="3" s="1"/>
  <c r="N164" i="3"/>
  <c r="R164" i="3" s="1"/>
  <c r="N163" i="3"/>
  <c r="R163" i="3" s="1"/>
  <c r="N162" i="3"/>
  <c r="R162" i="3" s="1"/>
  <c r="N161" i="3"/>
  <c r="R161" i="3" s="1"/>
  <c r="N160" i="3"/>
  <c r="R160" i="3" s="1"/>
  <c r="N159" i="3"/>
  <c r="R159" i="3" s="1"/>
  <c r="N158" i="3"/>
  <c r="R158" i="3" s="1"/>
  <c r="N157" i="3"/>
  <c r="R157" i="3" s="1"/>
  <c r="N156" i="3"/>
  <c r="R156" i="3" s="1"/>
  <c r="N155" i="3"/>
  <c r="R155" i="3" s="1"/>
  <c r="N154" i="3"/>
  <c r="R154" i="3" s="1"/>
  <c r="N153" i="3"/>
  <c r="R153" i="3" s="1"/>
  <c r="N152" i="3"/>
  <c r="R152" i="3" s="1"/>
  <c r="N151" i="3"/>
  <c r="R151" i="3" s="1"/>
  <c r="N150" i="3"/>
  <c r="R150" i="3" s="1"/>
  <c r="N149" i="3"/>
  <c r="R149" i="3" s="1"/>
  <c r="N148" i="3"/>
  <c r="R148" i="3" s="1"/>
  <c r="N147" i="3"/>
  <c r="R147" i="3" s="1"/>
  <c r="N146" i="3"/>
  <c r="R146" i="3" s="1"/>
  <c r="N145" i="3"/>
  <c r="R145" i="3" s="1"/>
  <c r="N144" i="3"/>
  <c r="R144" i="3" s="1"/>
  <c r="N143" i="3"/>
  <c r="R143" i="3" s="1"/>
  <c r="N142" i="3"/>
  <c r="R142" i="3" s="1"/>
  <c r="N141" i="3"/>
  <c r="R141" i="3" s="1"/>
  <c r="N140" i="3"/>
  <c r="R140" i="3" s="1"/>
  <c r="N139" i="3"/>
  <c r="R139" i="3" s="1"/>
  <c r="N138" i="3"/>
  <c r="R138" i="3" s="1"/>
  <c r="N137" i="3"/>
  <c r="R137" i="3" s="1"/>
  <c r="N136" i="3"/>
  <c r="R136" i="3" s="1"/>
  <c r="N135" i="3"/>
  <c r="R135" i="3" s="1"/>
  <c r="N134" i="3"/>
  <c r="R134" i="3" s="1"/>
  <c r="N133" i="3"/>
  <c r="R133" i="3" s="1"/>
  <c r="N132" i="3"/>
  <c r="R132" i="3" s="1"/>
  <c r="N131" i="3"/>
  <c r="R131" i="3" s="1"/>
  <c r="N130" i="3"/>
  <c r="R130" i="3" s="1"/>
  <c r="N129" i="3"/>
  <c r="R129" i="3" s="1"/>
  <c r="N128" i="3"/>
  <c r="R128" i="3" s="1"/>
  <c r="N127" i="3"/>
  <c r="R127" i="3" s="1"/>
  <c r="N126" i="3"/>
  <c r="R126" i="3" s="1"/>
  <c r="N125" i="3"/>
  <c r="R125" i="3" s="1"/>
  <c r="N124" i="3"/>
  <c r="R124" i="3" s="1"/>
  <c r="N123" i="3"/>
  <c r="R123" i="3" s="1"/>
  <c r="N122" i="3"/>
  <c r="R122" i="3" s="1"/>
  <c r="N121" i="3"/>
  <c r="R121" i="3" s="1"/>
  <c r="N120" i="3"/>
  <c r="R120" i="3" s="1"/>
  <c r="N119" i="3"/>
  <c r="R119" i="3" s="1"/>
  <c r="N118" i="3"/>
  <c r="R118" i="3" s="1"/>
  <c r="N117" i="3"/>
  <c r="R117" i="3" s="1"/>
  <c r="N116" i="3"/>
  <c r="R116" i="3" s="1"/>
  <c r="N115" i="3"/>
  <c r="R115" i="3" s="1"/>
  <c r="N114" i="3"/>
  <c r="R114" i="3" s="1"/>
  <c r="N113" i="3"/>
  <c r="R113" i="3" s="1"/>
  <c r="N112" i="3"/>
  <c r="R112" i="3" s="1"/>
  <c r="N111" i="3"/>
  <c r="R111" i="3" s="1"/>
  <c r="N110" i="3"/>
  <c r="R110" i="3" s="1"/>
  <c r="N109" i="3"/>
  <c r="R109" i="3" s="1"/>
  <c r="N108" i="3"/>
  <c r="R108" i="3" s="1"/>
  <c r="N107" i="3"/>
  <c r="R107" i="3" s="1"/>
  <c r="N106" i="3"/>
  <c r="R106" i="3" s="1"/>
  <c r="N105" i="3"/>
  <c r="R105" i="3" s="1"/>
  <c r="N104" i="3"/>
  <c r="R104" i="3" s="1"/>
  <c r="N103" i="3"/>
  <c r="R103" i="3" s="1"/>
  <c r="N102" i="3"/>
  <c r="R102" i="3" s="1"/>
  <c r="N101" i="3"/>
  <c r="R101" i="3" s="1"/>
  <c r="N100" i="3"/>
  <c r="R100" i="3" s="1"/>
  <c r="N99" i="3"/>
  <c r="R99" i="3" s="1"/>
  <c r="N98" i="3"/>
  <c r="R98" i="3" s="1"/>
  <c r="N97" i="3"/>
  <c r="R97" i="3" s="1"/>
  <c r="N96" i="3"/>
  <c r="R96" i="3" s="1"/>
  <c r="N95" i="3"/>
  <c r="R95" i="3" s="1"/>
  <c r="N94" i="3"/>
  <c r="R94" i="3" s="1"/>
  <c r="N93" i="3"/>
  <c r="R93" i="3" s="1"/>
  <c r="N92" i="3"/>
  <c r="R92" i="3" s="1"/>
  <c r="N91" i="3"/>
  <c r="R91" i="3" s="1"/>
  <c r="N90" i="3"/>
  <c r="R90" i="3" s="1"/>
  <c r="N89" i="3"/>
  <c r="R89" i="3" s="1"/>
  <c r="N88" i="3"/>
  <c r="R88" i="3" s="1"/>
  <c r="N87" i="3"/>
  <c r="R87" i="3" s="1"/>
  <c r="N86" i="3"/>
  <c r="R86" i="3" s="1"/>
  <c r="N85" i="3"/>
  <c r="R85" i="3" s="1"/>
  <c r="N84" i="3"/>
  <c r="R84" i="3" s="1"/>
  <c r="N83" i="3"/>
  <c r="R83" i="3" s="1"/>
  <c r="N82" i="3"/>
  <c r="R82" i="3" s="1"/>
  <c r="N81" i="3"/>
  <c r="R81" i="3" s="1"/>
  <c r="N80" i="3"/>
  <c r="R80" i="3" s="1"/>
  <c r="N79" i="3"/>
  <c r="R79" i="3" s="1"/>
  <c r="N78" i="3"/>
  <c r="R78" i="3" s="1"/>
  <c r="N77" i="3"/>
  <c r="R77" i="3" s="1"/>
  <c r="N76" i="3"/>
  <c r="R76" i="3" s="1"/>
  <c r="N75" i="3"/>
  <c r="R75" i="3" s="1"/>
  <c r="N74" i="3"/>
  <c r="R74" i="3" s="1"/>
  <c r="N73" i="3"/>
  <c r="R73" i="3" s="1"/>
  <c r="N72" i="3"/>
  <c r="R72" i="3" s="1"/>
  <c r="N71" i="3"/>
  <c r="R71" i="3" s="1"/>
  <c r="N70" i="3"/>
  <c r="R70" i="3" s="1"/>
  <c r="N69" i="3"/>
  <c r="R69" i="3" s="1"/>
  <c r="N68" i="3"/>
  <c r="R68" i="3" s="1"/>
  <c r="N67" i="3"/>
  <c r="R67" i="3" s="1"/>
  <c r="N66" i="3"/>
  <c r="R66" i="3" s="1"/>
  <c r="N65" i="3"/>
  <c r="R65" i="3" s="1"/>
  <c r="N64" i="3"/>
  <c r="R64" i="3" s="1"/>
  <c r="N63" i="3"/>
  <c r="R63" i="3" s="1"/>
  <c r="N62" i="3"/>
  <c r="R62" i="3" s="1"/>
  <c r="N61" i="3"/>
  <c r="R61" i="3" s="1"/>
  <c r="N60" i="3"/>
  <c r="R60" i="3" s="1"/>
  <c r="N59" i="3"/>
  <c r="R59" i="3" s="1"/>
  <c r="N58" i="3"/>
  <c r="R58" i="3" s="1"/>
  <c r="N57" i="3"/>
  <c r="R57" i="3" s="1"/>
  <c r="N56" i="3"/>
  <c r="R56" i="3" s="1"/>
  <c r="N55" i="3"/>
  <c r="R55" i="3" s="1"/>
  <c r="N54" i="3"/>
  <c r="R54" i="3" s="1"/>
  <c r="N53" i="3"/>
  <c r="R53" i="3" s="1"/>
  <c r="N52" i="3"/>
  <c r="R52" i="3" s="1"/>
  <c r="N51" i="3"/>
  <c r="R51" i="3" s="1"/>
  <c r="N50" i="3"/>
  <c r="R50" i="3" s="1"/>
  <c r="N49" i="3"/>
  <c r="R49" i="3" s="1"/>
  <c r="N48" i="3"/>
  <c r="R48" i="3" s="1"/>
  <c r="N47" i="3"/>
  <c r="R47" i="3" s="1"/>
  <c r="N46" i="3"/>
  <c r="R46" i="3" s="1"/>
  <c r="N45" i="3"/>
  <c r="R45" i="3" s="1"/>
  <c r="N44" i="3"/>
  <c r="R44" i="3" s="1"/>
  <c r="N43" i="3"/>
  <c r="R43" i="3" s="1"/>
  <c r="N42" i="3"/>
  <c r="R42" i="3" s="1"/>
  <c r="N41" i="3"/>
  <c r="R41" i="3" s="1"/>
  <c r="N40" i="3"/>
  <c r="R40" i="3" s="1"/>
  <c r="N39" i="3"/>
  <c r="R39" i="3" s="1"/>
  <c r="N38" i="3"/>
  <c r="R38" i="3" s="1"/>
  <c r="N37" i="3"/>
  <c r="R37" i="3" s="1"/>
  <c r="N36" i="3"/>
  <c r="R36" i="3" s="1"/>
  <c r="N35" i="3"/>
  <c r="R35" i="3" s="1"/>
  <c r="N34" i="3"/>
  <c r="R34" i="3" s="1"/>
  <c r="N33" i="3"/>
  <c r="R33" i="3" s="1"/>
  <c r="N32" i="3"/>
  <c r="R32" i="3" s="1"/>
  <c r="N31" i="3"/>
  <c r="R31" i="3" s="1"/>
  <c r="N30" i="3"/>
  <c r="R30" i="3" s="1"/>
  <c r="N29" i="3"/>
  <c r="R29" i="3" s="1"/>
  <c r="N28" i="3"/>
  <c r="R28" i="3" s="1"/>
  <c r="N27" i="3"/>
  <c r="R27" i="3" s="1"/>
  <c r="N26" i="3"/>
  <c r="R26" i="3" s="1"/>
  <c r="N25" i="3"/>
  <c r="R25" i="3" s="1"/>
  <c r="N24" i="3"/>
  <c r="R24" i="3" s="1"/>
  <c r="N23" i="3"/>
  <c r="R23" i="3" s="1"/>
  <c r="N22" i="3"/>
  <c r="R22" i="3" s="1"/>
  <c r="N21" i="3"/>
  <c r="R21" i="3" s="1"/>
  <c r="N20" i="3"/>
  <c r="R20" i="3" s="1"/>
  <c r="N19" i="3"/>
  <c r="R19" i="3" s="1"/>
  <c r="N18" i="3"/>
  <c r="R18" i="3" s="1"/>
  <c r="N17" i="3"/>
  <c r="R17" i="3" s="1"/>
  <c r="N16" i="3"/>
  <c r="R16" i="3" s="1"/>
  <c r="N15" i="3"/>
  <c r="R15" i="3" s="1"/>
  <c r="N14" i="3"/>
  <c r="R14" i="3" s="1"/>
  <c r="N13" i="3"/>
  <c r="R13" i="3" s="1"/>
  <c r="N12" i="3"/>
  <c r="R12" i="3" s="1"/>
  <c r="N11" i="3"/>
  <c r="R11" i="3" s="1"/>
  <c r="N10" i="3"/>
  <c r="R10" i="3" s="1"/>
  <c r="N9" i="3"/>
  <c r="R9" i="3" s="1"/>
  <c r="N8" i="3"/>
  <c r="R8" i="3" s="1"/>
  <c r="N7" i="3"/>
  <c r="R7" i="3" s="1"/>
  <c r="N6" i="3"/>
  <c r="R6" i="3" s="1"/>
  <c r="N5" i="3"/>
  <c r="R5" i="3" s="1"/>
  <c r="N4" i="3"/>
  <c r="R4" i="3" s="1"/>
  <c r="N3" i="3"/>
  <c r="R3" i="3" s="1"/>
  <c r="N2" i="3"/>
  <c r="R2" i="3" s="1"/>
  <c r="AN1307" i="3"/>
  <c r="AM1307" i="3"/>
  <c r="AL1307" i="3"/>
  <c r="AK1307" i="3"/>
  <c r="W1307" i="3"/>
  <c r="AN1306" i="3"/>
  <c r="AM1306" i="3"/>
  <c r="AL1306" i="3"/>
  <c r="AK1306" i="3"/>
  <c r="W1306" i="3"/>
  <c r="AN1305" i="3"/>
  <c r="AM1305" i="3"/>
  <c r="AL1305" i="3"/>
  <c r="AK1305" i="3"/>
  <c r="W1305" i="3"/>
  <c r="AN1304" i="3"/>
  <c r="AM1304" i="3"/>
  <c r="AL1304" i="3"/>
  <c r="AK1304" i="3"/>
  <c r="W1304" i="3"/>
  <c r="AN1303" i="3"/>
  <c r="AM1303" i="3"/>
  <c r="AL1303" i="3"/>
  <c r="AK1303" i="3"/>
  <c r="W1303" i="3"/>
  <c r="AN1302" i="3"/>
  <c r="AM1302" i="3"/>
  <c r="AL1302" i="3"/>
  <c r="AK1302" i="3"/>
  <c r="W1302" i="3"/>
  <c r="AN1301" i="3"/>
  <c r="AM1301" i="3"/>
  <c r="AL1301" i="3"/>
  <c r="AK1301" i="3"/>
  <c r="W1301" i="3"/>
  <c r="AN1300" i="3"/>
  <c r="AM1300" i="3"/>
  <c r="AL1300" i="3"/>
  <c r="AK1300" i="3"/>
  <c r="W1300" i="3"/>
  <c r="AN1299" i="3"/>
  <c r="AM1299" i="3"/>
  <c r="AL1299" i="3"/>
  <c r="AK1299" i="3"/>
  <c r="W1299" i="3"/>
  <c r="AN1298" i="3"/>
  <c r="AM1298" i="3"/>
  <c r="AL1298" i="3"/>
  <c r="AK1298" i="3"/>
  <c r="W1298" i="3"/>
  <c r="AN1297" i="3"/>
  <c r="AM1297" i="3"/>
  <c r="AL1297" i="3"/>
  <c r="AK1297" i="3"/>
  <c r="W1297" i="3"/>
  <c r="AN1296" i="3"/>
  <c r="AM1296" i="3"/>
  <c r="AL1296" i="3"/>
  <c r="AK1296" i="3"/>
  <c r="W1296" i="3"/>
  <c r="AN1295" i="3"/>
  <c r="AM1295" i="3"/>
  <c r="AL1295" i="3"/>
  <c r="AK1295" i="3"/>
  <c r="W1295" i="3"/>
  <c r="AN1294" i="3"/>
  <c r="AM1294" i="3"/>
  <c r="AL1294" i="3"/>
  <c r="AK1294" i="3"/>
  <c r="W1294" i="3"/>
  <c r="AN1293" i="3"/>
  <c r="AM1293" i="3"/>
  <c r="AL1293" i="3"/>
  <c r="AK1293" i="3"/>
  <c r="W1293" i="3"/>
  <c r="AN1292" i="3"/>
  <c r="AM1292" i="3"/>
  <c r="AL1292" i="3"/>
  <c r="AK1292" i="3"/>
  <c r="W1292" i="3"/>
  <c r="AN1291" i="3"/>
  <c r="AM1291" i="3"/>
  <c r="AL1291" i="3"/>
  <c r="AK1291" i="3"/>
  <c r="W1291" i="3"/>
  <c r="AN1290" i="3"/>
  <c r="AM1290" i="3"/>
  <c r="AL1290" i="3"/>
  <c r="AK1290" i="3"/>
  <c r="W1290" i="3"/>
  <c r="AN1289" i="3"/>
  <c r="AM1289" i="3"/>
  <c r="AL1289" i="3"/>
  <c r="AK1289" i="3"/>
  <c r="W1289" i="3"/>
  <c r="AN1288" i="3"/>
  <c r="AM1288" i="3"/>
  <c r="AL1288" i="3"/>
  <c r="AK1288" i="3"/>
  <c r="W1288" i="3"/>
  <c r="AN1287" i="3"/>
  <c r="AM1287" i="3"/>
  <c r="AL1287" i="3"/>
  <c r="AK1287" i="3"/>
  <c r="W1287" i="3"/>
  <c r="AN1286" i="3"/>
  <c r="AM1286" i="3"/>
  <c r="AL1286" i="3"/>
  <c r="AK1286" i="3"/>
  <c r="W1286" i="3"/>
  <c r="AN1285" i="3"/>
  <c r="AM1285" i="3"/>
  <c r="AL1285" i="3"/>
  <c r="AK1285" i="3"/>
  <c r="W1285" i="3"/>
  <c r="AN1284" i="3"/>
  <c r="AM1284" i="3"/>
  <c r="AL1284" i="3"/>
  <c r="AK1284" i="3"/>
  <c r="W1284" i="3"/>
  <c r="AN1283" i="3"/>
  <c r="AM1283" i="3"/>
  <c r="AL1283" i="3"/>
  <c r="AK1283" i="3"/>
  <c r="W1283" i="3"/>
  <c r="AN1282" i="3"/>
  <c r="AM1282" i="3"/>
  <c r="AL1282" i="3"/>
  <c r="AK1282" i="3"/>
  <c r="W1282" i="3"/>
  <c r="AN1281" i="3"/>
  <c r="AM1281" i="3"/>
  <c r="AL1281" i="3"/>
  <c r="AK1281" i="3"/>
  <c r="W1281" i="3"/>
  <c r="AN1280" i="3"/>
  <c r="AM1280" i="3"/>
  <c r="AL1280" i="3"/>
  <c r="AK1280" i="3"/>
  <c r="W1280" i="3"/>
  <c r="AN1279" i="3"/>
  <c r="AM1279" i="3"/>
  <c r="AL1279" i="3"/>
  <c r="AK1279" i="3"/>
  <c r="W1279" i="3"/>
  <c r="AN1278" i="3"/>
  <c r="AM1278" i="3"/>
  <c r="AL1278" i="3"/>
  <c r="AK1278" i="3"/>
  <c r="W1278" i="3"/>
  <c r="AN1277" i="3"/>
  <c r="AM1277" i="3"/>
  <c r="AL1277" i="3"/>
  <c r="AK1277" i="3"/>
  <c r="W1277" i="3"/>
  <c r="AN1276" i="3"/>
  <c r="AM1276" i="3"/>
  <c r="AL1276" i="3"/>
  <c r="AK1276" i="3"/>
  <c r="W1276" i="3"/>
  <c r="AN1275" i="3"/>
  <c r="AM1275" i="3"/>
  <c r="AL1275" i="3"/>
  <c r="AK1275" i="3"/>
  <c r="W1275" i="3"/>
  <c r="AN1274" i="3"/>
  <c r="AM1274" i="3"/>
  <c r="AL1274" i="3"/>
  <c r="AK1274" i="3"/>
  <c r="W1274" i="3"/>
  <c r="AN1273" i="3"/>
  <c r="AM1273" i="3"/>
  <c r="AL1273" i="3"/>
  <c r="AK1273" i="3"/>
  <c r="W1273" i="3"/>
  <c r="AN1272" i="3"/>
  <c r="AM1272" i="3"/>
  <c r="AL1272" i="3"/>
  <c r="AK1272" i="3"/>
  <c r="W1272" i="3"/>
  <c r="AN1271" i="3"/>
  <c r="AM1271" i="3"/>
  <c r="AL1271" i="3"/>
  <c r="AK1271" i="3"/>
  <c r="W1271" i="3"/>
  <c r="AN1270" i="3"/>
  <c r="AM1270" i="3"/>
  <c r="AL1270" i="3"/>
  <c r="AK1270" i="3"/>
  <c r="W1270" i="3"/>
  <c r="AN1269" i="3"/>
  <c r="AM1269" i="3"/>
  <c r="AL1269" i="3"/>
  <c r="AK1269" i="3"/>
  <c r="W1269" i="3"/>
  <c r="AN1268" i="3"/>
  <c r="AM1268" i="3"/>
  <c r="AL1268" i="3"/>
  <c r="AK1268" i="3"/>
  <c r="W1268" i="3"/>
  <c r="AN1267" i="3"/>
  <c r="AM1267" i="3"/>
  <c r="AL1267" i="3"/>
  <c r="AK1267" i="3"/>
  <c r="W1267" i="3"/>
  <c r="AN1266" i="3"/>
  <c r="AM1266" i="3"/>
  <c r="AL1266" i="3"/>
  <c r="AK1266" i="3"/>
  <c r="W1266" i="3"/>
  <c r="AN1265" i="3"/>
  <c r="AM1265" i="3"/>
  <c r="AL1265" i="3"/>
  <c r="AK1265" i="3"/>
  <c r="W1265" i="3"/>
  <c r="AN1264" i="3"/>
  <c r="AM1264" i="3"/>
  <c r="AL1264" i="3"/>
  <c r="AK1264" i="3"/>
  <c r="W1264" i="3"/>
  <c r="AN1263" i="3"/>
  <c r="AM1263" i="3"/>
  <c r="AL1263" i="3"/>
  <c r="AK1263" i="3"/>
  <c r="W1263" i="3"/>
  <c r="AN1262" i="3"/>
  <c r="AM1262" i="3"/>
  <c r="AL1262" i="3"/>
  <c r="AK1262" i="3"/>
  <c r="W1262" i="3"/>
  <c r="AN1261" i="3"/>
  <c r="AM1261" i="3"/>
  <c r="AL1261" i="3"/>
  <c r="AK1261" i="3"/>
  <c r="W1261" i="3"/>
  <c r="AN1260" i="3"/>
  <c r="AM1260" i="3"/>
  <c r="AL1260" i="3"/>
  <c r="AK1260" i="3"/>
  <c r="W1260" i="3"/>
  <c r="AN1259" i="3"/>
  <c r="AM1259" i="3"/>
  <c r="AL1259" i="3"/>
  <c r="AK1259" i="3"/>
  <c r="W1259" i="3"/>
  <c r="AN1258" i="3"/>
  <c r="AM1258" i="3"/>
  <c r="AL1258" i="3"/>
  <c r="AK1258" i="3"/>
  <c r="W1258" i="3"/>
  <c r="AN1257" i="3"/>
  <c r="AM1257" i="3"/>
  <c r="AL1257" i="3"/>
  <c r="AK1257" i="3"/>
  <c r="W1257" i="3"/>
  <c r="AN1256" i="3"/>
  <c r="AM1256" i="3"/>
  <c r="AL1256" i="3"/>
  <c r="AK1256" i="3"/>
  <c r="W1256" i="3"/>
  <c r="AN1255" i="3"/>
  <c r="AM1255" i="3"/>
  <c r="AL1255" i="3"/>
  <c r="AK1255" i="3"/>
  <c r="W1255" i="3"/>
  <c r="AN1254" i="3"/>
  <c r="AM1254" i="3"/>
  <c r="AL1254" i="3"/>
  <c r="AK1254" i="3"/>
  <c r="W1254" i="3"/>
  <c r="AN1253" i="3"/>
  <c r="AM1253" i="3"/>
  <c r="AL1253" i="3"/>
  <c r="AK1253" i="3"/>
  <c r="W1253" i="3"/>
  <c r="AN1252" i="3"/>
  <c r="AM1252" i="3"/>
  <c r="AL1252" i="3"/>
  <c r="AK1252" i="3"/>
  <c r="W1252" i="3"/>
  <c r="AN1251" i="3"/>
  <c r="AM1251" i="3"/>
  <c r="AL1251" i="3"/>
  <c r="AK1251" i="3"/>
  <c r="W1251" i="3"/>
  <c r="AN1250" i="3"/>
  <c r="AM1250" i="3"/>
  <c r="AL1250" i="3"/>
  <c r="AK1250" i="3"/>
  <c r="W1250" i="3"/>
  <c r="AN1249" i="3"/>
  <c r="AM1249" i="3"/>
  <c r="AL1249" i="3"/>
  <c r="AK1249" i="3"/>
  <c r="W1249" i="3"/>
  <c r="AN1248" i="3"/>
  <c r="AM1248" i="3"/>
  <c r="AL1248" i="3"/>
  <c r="AK1248" i="3"/>
  <c r="W1248" i="3"/>
  <c r="AN1247" i="3"/>
  <c r="AM1247" i="3"/>
  <c r="AL1247" i="3"/>
  <c r="AK1247" i="3"/>
  <c r="W1247" i="3"/>
  <c r="AN1246" i="3"/>
  <c r="AM1246" i="3"/>
  <c r="AL1246" i="3"/>
  <c r="AK1246" i="3"/>
  <c r="W1246" i="3"/>
  <c r="AN1245" i="3"/>
  <c r="AM1245" i="3"/>
  <c r="AL1245" i="3"/>
  <c r="AK1245" i="3"/>
  <c r="W1245" i="3"/>
  <c r="AN1244" i="3"/>
  <c r="AM1244" i="3"/>
  <c r="AL1244" i="3"/>
  <c r="AK1244" i="3"/>
  <c r="W1244" i="3"/>
  <c r="AN1243" i="3"/>
  <c r="AM1243" i="3"/>
  <c r="AL1243" i="3"/>
  <c r="AK1243" i="3"/>
  <c r="W1243" i="3"/>
  <c r="AN1242" i="3"/>
  <c r="AM1242" i="3"/>
  <c r="AL1242" i="3"/>
  <c r="AK1242" i="3"/>
  <c r="W1242" i="3"/>
  <c r="AN1241" i="3"/>
  <c r="AM1241" i="3"/>
  <c r="AL1241" i="3"/>
  <c r="AK1241" i="3"/>
  <c r="W1241" i="3"/>
  <c r="AN1240" i="3"/>
  <c r="AM1240" i="3"/>
  <c r="AL1240" i="3"/>
  <c r="AK1240" i="3"/>
  <c r="W1240" i="3"/>
  <c r="AN1239" i="3"/>
  <c r="AM1239" i="3"/>
  <c r="AL1239" i="3"/>
  <c r="AK1239" i="3"/>
  <c r="W1239" i="3"/>
  <c r="AN1238" i="3"/>
  <c r="AM1238" i="3"/>
  <c r="AL1238" i="3"/>
  <c r="AK1238" i="3"/>
  <c r="W1238" i="3"/>
  <c r="AN1237" i="3"/>
  <c r="AM1237" i="3"/>
  <c r="AL1237" i="3"/>
  <c r="AK1237" i="3"/>
  <c r="W1237" i="3"/>
  <c r="AN1236" i="3"/>
  <c r="AM1236" i="3"/>
  <c r="AL1236" i="3"/>
  <c r="AK1236" i="3"/>
  <c r="W1236" i="3"/>
  <c r="AN1235" i="3"/>
  <c r="AM1235" i="3"/>
  <c r="AL1235" i="3"/>
  <c r="AK1235" i="3"/>
  <c r="W1235" i="3"/>
  <c r="AN1234" i="3"/>
  <c r="AM1234" i="3"/>
  <c r="AL1234" i="3"/>
  <c r="AK1234" i="3"/>
  <c r="W1234" i="3"/>
  <c r="AN1233" i="3"/>
  <c r="AM1233" i="3"/>
  <c r="AL1233" i="3"/>
  <c r="AK1233" i="3"/>
  <c r="W1233" i="3"/>
  <c r="AN1232" i="3"/>
  <c r="AM1232" i="3"/>
  <c r="AL1232" i="3"/>
  <c r="AK1232" i="3"/>
  <c r="W1232" i="3"/>
  <c r="AN1231" i="3"/>
  <c r="AM1231" i="3"/>
  <c r="AL1231" i="3"/>
  <c r="AK1231" i="3"/>
  <c r="W1231" i="3"/>
  <c r="AN1230" i="3"/>
  <c r="AM1230" i="3"/>
  <c r="AL1230" i="3"/>
  <c r="AK1230" i="3"/>
  <c r="W1230" i="3"/>
  <c r="AN1229" i="3"/>
  <c r="AM1229" i="3"/>
  <c r="AL1229" i="3"/>
  <c r="AK1229" i="3"/>
  <c r="W1229" i="3"/>
  <c r="AN1228" i="3"/>
  <c r="AM1228" i="3"/>
  <c r="AL1228" i="3"/>
  <c r="AK1228" i="3"/>
  <c r="W1228" i="3"/>
  <c r="AN1227" i="3"/>
  <c r="AM1227" i="3"/>
  <c r="AL1227" i="3"/>
  <c r="AK1227" i="3"/>
  <c r="W1227" i="3"/>
  <c r="AN1226" i="3"/>
  <c r="AM1226" i="3"/>
  <c r="AL1226" i="3"/>
  <c r="AK1226" i="3"/>
  <c r="W1226" i="3"/>
  <c r="AN1225" i="3"/>
  <c r="AM1225" i="3"/>
  <c r="AL1225" i="3"/>
  <c r="AK1225" i="3"/>
  <c r="W1225" i="3"/>
  <c r="AN1224" i="3"/>
  <c r="AM1224" i="3"/>
  <c r="AL1224" i="3"/>
  <c r="AK1224" i="3"/>
  <c r="W1224" i="3"/>
  <c r="AN1223" i="3"/>
  <c r="AM1223" i="3"/>
  <c r="AL1223" i="3"/>
  <c r="AK1223" i="3"/>
  <c r="W1223" i="3"/>
  <c r="AN1222" i="3"/>
  <c r="AM1222" i="3"/>
  <c r="AL1222" i="3"/>
  <c r="AK1222" i="3"/>
  <c r="W1222" i="3"/>
  <c r="AN1221" i="3"/>
  <c r="AM1221" i="3"/>
  <c r="AL1221" i="3"/>
  <c r="AK1221" i="3"/>
  <c r="W1221" i="3"/>
  <c r="AN1220" i="3"/>
  <c r="AM1220" i="3"/>
  <c r="AL1220" i="3"/>
  <c r="AK1220" i="3"/>
  <c r="W1220" i="3"/>
  <c r="AN1219" i="3"/>
  <c r="AM1219" i="3"/>
  <c r="AL1219" i="3"/>
  <c r="AK1219" i="3"/>
  <c r="W1219" i="3"/>
  <c r="AN1218" i="3"/>
  <c r="AM1218" i="3"/>
  <c r="AL1218" i="3"/>
  <c r="AK1218" i="3"/>
  <c r="W1218" i="3"/>
  <c r="AN1217" i="3"/>
  <c r="AM1217" i="3"/>
  <c r="AL1217" i="3"/>
  <c r="AK1217" i="3"/>
  <c r="W1217" i="3"/>
  <c r="AN1216" i="3"/>
  <c r="AM1216" i="3"/>
  <c r="AL1216" i="3"/>
  <c r="AK1216" i="3"/>
  <c r="W1216" i="3"/>
  <c r="AN1215" i="3"/>
  <c r="AM1215" i="3"/>
  <c r="AL1215" i="3"/>
  <c r="AK1215" i="3"/>
  <c r="W1215" i="3"/>
  <c r="AN1214" i="3"/>
  <c r="AM1214" i="3"/>
  <c r="AL1214" i="3"/>
  <c r="AK1214" i="3"/>
  <c r="W1214" i="3"/>
  <c r="AN1213" i="3"/>
  <c r="AM1213" i="3"/>
  <c r="AL1213" i="3"/>
  <c r="AK1213" i="3"/>
  <c r="W1213" i="3"/>
  <c r="AN1212" i="3"/>
  <c r="AM1212" i="3"/>
  <c r="AL1212" i="3"/>
  <c r="AK1212" i="3"/>
  <c r="W1212" i="3"/>
  <c r="AN1211" i="3"/>
  <c r="AM1211" i="3"/>
  <c r="AL1211" i="3"/>
  <c r="AK1211" i="3"/>
  <c r="W1211" i="3"/>
  <c r="AN1210" i="3"/>
  <c r="AM1210" i="3"/>
  <c r="AL1210" i="3"/>
  <c r="AK1210" i="3"/>
  <c r="W1210" i="3"/>
  <c r="AN1209" i="3"/>
  <c r="AM1209" i="3"/>
  <c r="AL1209" i="3"/>
  <c r="AK1209" i="3"/>
  <c r="W1209" i="3"/>
  <c r="AN1208" i="3"/>
  <c r="AM1208" i="3"/>
  <c r="AL1208" i="3"/>
  <c r="AK1208" i="3"/>
  <c r="W1208" i="3"/>
  <c r="AN1207" i="3"/>
  <c r="AM1207" i="3"/>
  <c r="AL1207" i="3"/>
  <c r="AK1207" i="3"/>
  <c r="W1207" i="3"/>
  <c r="AN1206" i="3"/>
  <c r="AM1206" i="3"/>
  <c r="AL1206" i="3"/>
  <c r="AK1206" i="3"/>
  <c r="W1206" i="3"/>
  <c r="AN1205" i="3"/>
  <c r="AM1205" i="3"/>
  <c r="AL1205" i="3"/>
  <c r="AK1205" i="3"/>
  <c r="W1205" i="3"/>
  <c r="AN1204" i="3"/>
  <c r="AM1204" i="3"/>
  <c r="AL1204" i="3"/>
  <c r="AK1204" i="3"/>
  <c r="W1204" i="3"/>
  <c r="AN1203" i="3"/>
  <c r="AM1203" i="3"/>
  <c r="AL1203" i="3"/>
  <c r="AK1203" i="3"/>
  <c r="W1203" i="3"/>
  <c r="AN1202" i="3"/>
  <c r="AM1202" i="3"/>
  <c r="AL1202" i="3"/>
  <c r="AK1202" i="3"/>
  <c r="W1202" i="3"/>
  <c r="AN1201" i="3"/>
  <c r="AM1201" i="3"/>
  <c r="AL1201" i="3"/>
  <c r="AK1201" i="3"/>
  <c r="W1201" i="3"/>
  <c r="AN1200" i="3"/>
  <c r="AM1200" i="3"/>
  <c r="AL1200" i="3"/>
  <c r="AK1200" i="3"/>
  <c r="W1200" i="3"/>
  <c r="AN1199" i="3"/>
  <c r="AM1199" i="3"/>
  <c r="AL1199" i="3"/>
  <c r="AK1199" i="3"/>
  <c r="W1199" i="3"/>
  <c r="AN1198" i="3"/>
  <c r="AM1198" i="3"/>
  <c r="AL1198" i="3"/>
  <c r="AK1198" i="3"/>
  <c r="W1198" i="3"/>
  <c r="AN1197" i="3"/>
  <c r="AM1197" i="3"/>
  <c r="AL1197" i="3"/>
  <c r="AK1197" i="3"/>
  <c r="W1197" i="3"/>
  <c r="AN1196" i="3"/>
  <c r="AM1196" i="3"/>
  <c r="AL1196" i="3"/>
  <c r="AK1196" i="3"/>
  <c r="W1196" i="3"/>
  <c r="AN1195" i="3"/>
  <c r="AM1195" i="3"/>
  <c r="AL1195" i="3"/>
  <c r="AK1195" i="3"/>
  <c r="W1195" i="3"/>
  <c r="AN1194" i="3"/>
  <c r="AM1194" i="3"/>
  <c r="AL1194" i="3"/>
  <c r="AK1194" i="3"/>
  <c r="W1194" i="3"/>
  <c r="AN1193" i="3"/>
  <c r="AM1193" i="3"/>
  <c r="AL1193" i="3"/>
  <c r="AK1193" i="3"/>
  <c r="W1193" i="3"/>
  <c r="AN1192" i="3"/>
  <c r="AM1192" i="3"/>
  <c r="AL1192" i="3"/>
  <c r="AK1192" i="3"/>
  <c r="W1192" i="3"/>
  <c r="AN1191" i="3"/>
  <c r="AM1191" i="3"/>
  <c r="AL1191" i="3"/>
  <c r="AK1191" i="3"/>
  <c r="W1191" i="3"/>
  <c r="AN1190" i="3"/>
  <c r="AM1190" i="3"/>
  <c r="AL1190" i="3"/>
  <c r="AK1190" i="3"/>
  <c r="W1190" i="3"/>
  <c r="AN1189" i="3"/>
  <c r="AM1189" i="3"/>
  <c r="AL1189" i="3"/>
  <c r="AK1189" i="3"/>
  <c r="W1189" i="3"/>
  <c r="AN1188" i="3"/>
  <c r="AM1188" i="3"/>
  <c r="AL1188" i="3"/>
  <c r="AK1188" i="3"/>
  <c r="W1188" i="3"/>
  <c r="AN1187" i="3"/>
  <c r="AM1187" i="3"/>
  <c r="AL1187" i="3"/>
  <c r="AK1187" i="3"/>
  <c r="W1187" i="3"/>
  <c r="AN1186" i="3"/>
  <c r="AM1186" i="3"/>
  <c r="AL1186" i="3"/>
  <c r="AK1186" i="3"/>
  <c r="W1186" i="3"/>
  <c r="AN1185" i="3"/>
  <c r="AM1185" i="3"/>
  <c r="AL1185" i="3"/>
  <c r="AK1185" i="3"/>
  <c r="W1185" i="3"/>
  <c r="AN1184" i="3"/>
  <c r="AM1184" i="3"/>
  <c r="AL1184" i="3"/>
  <c r="AK1184" i="3"/>
  <c r="W1184" i="3"/>
  <c r="AN1183" i="3"/>
  <c r="AM1183" i="3"/>
  <c r="AL1183" i="3"/>
  <c r="AK1183" i="3"/>
  <c r="W1183" i="3"/>
  <c r="AN1182" i="3"/>
  <c r="AM1182" i="3"/>
  <c r="AL1182" i="3"/>
  <c r="AK1182" i="3"/>
  <c r="W1182" i="3"/>
  <c r="AN1181" i="3"/>
  <c r="AM1181" i="3"/>
  <c r="AL1181" i="3"/>
  <c r="AK1181" i="3"/>
  <c r="W1181" i="3"/>
  <c r="AN1180" i="3"/>
  <c r="AM1180" i="3"/>
  <c r="AL1180" i="3"/>
  <c r="AK1180" i="3"/>
  <c r="W1180" i="3"/>
  <c r="AN1179" i="3"/>
  <c r="AM1179" i="3"/>
  <c r="AL1179" i="3"/>
  <c r="AK1179" i="3"/>
  <c r="W1179" i="3"/>
  <c r="AN1178" i="3"/>
  <c r="AM1178" i="3"/>
  <c r="AL1178" i="3"/>
  <c r="AK1178" i="3"/>
  <c r="W1178" i="3"/>
  <c r="AN1177" i="3"/>
  <c r="AM1177" i="3"/>
  <c r="AL1177" i="3"/>
  <c r="AK1177" i="3"/>
  <c r="W1177" i="3"/>
  <c r="AN1176" i="3"/>
  <c r="AM1176" i="3"/>
  <c r="AL1176" i="3"/>
  <c r="AK1176" i="3"/>
  <c r="W1176" i="3"/>
  <c r="AN1175" i="3"/>
  <c r="AM1175" i="3"/>
  <c r="AL1175" i="3"/>
  <c r="AK1175" i="3"/>
  <c r="W1175" i="3"/>
  <c r="AN1174" i="3"/>
  <c r="AM1174" i="3"/>
  <c r="AL1174" i="3"/>
  <c r="AK1174" i="3"/>
  <c r="W1174" i="3"/>
  <c r="AN1173" i="3"/>
  <c r="AM1173" i="3"/>
  <c r="AL1173" i="3"/>
  <c r="AK1173" i="3"/>
  <c r="W1173" i="3"/>
  <c r="AN1172" i="3"/>
  <c r="AM1172" i="3"/>
  <c r="AL1172" i="3"/>
  <c r="AK1172" i="3"/>
  <c r="W1172" i="3"/>
  <c r="AN1171" i="3"/>
  <c r="AM1171" i="3"/>
  <c r="AL1171" i="3"/>
  <c r="AK1171" i="3"/>
  <c r="W1171" i="3"/>
  <c r="AN1170" i="3"/>
  <c r="AM1170" i="3"/>
  <c r="AL1170" i="3"/>
  <c r="AK1170" i="3"/>
  <c r="W1170" i="3"/>
  <c r="AN1169" i="3"/>
  <c r="AM1169" i="3"/>
  <c r="AL1169" i="3"/>
  <c r="AK1169" i="3"/>
  <c r="W1169" i="3"/>
  <c r="AN1168" i="3"/>
  <c r="AM1168" i="3"/>
  <c r="AL1168" i="3"/>
  <c r="AK1168" i="3"/>
  <c r="W1168" i="3"/>
  <c r="AN1167" i="3"/>
  <c r="AM1167" i="3"/>
  <c r="AL1167" i="3"/>
  <c r="AK1167" i="3"/>
  <c r="W1167" i="3"/>
  <c r="AN1166" i="3"/>
  <c r="AM1166" i="3"/>
  <c r="AL1166" i="3"/>
  <c r="AK1166" i="3"/>
  <c r="W1166" i="3"/>
  <c r="AN1165" i="3"/>
  <c r="AM1165" i="3"/>
  <c r="AL1165" i="3"/>
  <c r="AK1165" i="3"/>
  <c r="W1165" i="3"/>
  <c r="AN1164" i="3"/>
  <c r="AM1164" i="3"/>
  <c r="AL1164" i="3"/>
  <c r="AK1164" i="3"/>
  <c r="W1164" i="3"/>
  <c r="AN1163" i="3"/>
  <c r="AM1163" i="3"/>
  <c r="AL1163" i="3"/>
  <c r="AK1163" i="3"/>
  <c r="W1163" i="3"/>
  <c r="AN1162" i="3"/>
  <c r="AM1162" i="3"/>
  <c r="AL1162" i="3"/>
  <c r="AK1162" i="3"/>
  <c r="W1162" i="3"/>
  <c r="AN1161" i="3"/>
  <c r="AM1161" i="3"/>
  <c r="AL1161" i="3"/>
  <c r="AK1161" i="3"/>
  <c r="W1161" i="3"/>
  <c r="AN1160" i="3"/>
  <c r="AM1160" i="3"/>
  <c r="AL1160" i="3"/>
  <c r="AK1160" i="3"/>
  <c r="W1160" i="3"/>
  <c r="AN1159" i="3"/>
  <c r="AM1159" i="3"/>
  <c r="AL1159" i="3"/>
  <c r="AK1159" i="3"/>
  <c r="W1159" i="3"/>
  <c r="AN1158" i="3"/>
  <c r="AM1158" i="3"/>
  <c r="AL1158" i="3"/>
  <c r="AK1158" i="3"/>
  <c r="W1158" i="3"/>
  <c r="AN1157" i="3"/>
  <c r="AM1157" i="3"/>
  <c r="AL1157" i="3"/>
  <c r="AK1157" i="3"/>
  <c r="W1157" i="3"/>
  <c r="AN1156" i="3"/>
  <c r="AM1156" i="3"/>
  <c r="AL1156" i="3"/>
  <c r="AK1156" i="3"/>
  <c r="W1156" i="3"/>
  <c r="AN1155" i="3"/>
  <c r="AM1155" i="3"/>
  <c r="AL1155" i="3"/>
  <c r="AK1155" i="3"/>
  <c r="W1155" i="3"/>
  <c r="AN1154" i="3"/>
  <c r="AM1154" i="3"/>
  <c r="AL1154" i="3"/>
  <c r="AK1154" i="3"/>
  <c r="W1154" i="3"/>
  <c r="AN1153" i="3"/>
  <c r="AM1153" i="3"/>
  <c r="AL1153" i="3"/>
  <c r="AK1153" i="3"/>
  <c r="W1153" i="3"/>
  <c r="AN1152" i="3"/>
  <c r="AM1152" i="3"/>
  <c r="AL1152" i="3"/>
  <c r="AK1152" i="3"/>
  <c r="W1152" i="3"/>
  <c r="AN1151" i="3"/>
  <c r="AM1151" i="3"/>
  <c r="AL1151" i="3"/>
  <c r="AK1151" i="3"/>
  <c r="W1151" i="3"/>
  <c r="AN1150" i="3"/>
  <c r="AM1150" i="3"/>
  <c r="AL1150" i="3"/>
  <c r="AK1150" i="3"/>
  <c r="W1150" i="3"/>
  <c r="AN1149" i="3"/>
  <c r="AM1149" i="3"/>
  <c r="AL1149" i="3"/>
  <c r="AK1149" i="3"/>
  <c r="W1149" i="3"/>
  <c r="AN1148" i="3"/>
  <c r="AM1148" i="3"/>
  <c r="AL1148" i="3"/>
  <c r="AK1148" i="3"/>
  <c r="W1148" i="3"/>
  <c r="AN1147" i="3"/>
  <c r="AM1147" i="3"/>
  <c r="AL1147" i="3"/>
  <c r="AK1147" i="3"/>
  <c r="W1147" i="3"/>
  <c r="AN1146" i="3"/>
  <c r="AM1146" i="3"/>
  <c r="AL1146" i="3"/>
  <c r="AK1146" i="3"/>
  <c r="W1146" i="3"/>
  <c r="AN1145" i="3"/>
  <c r="AM1145" i="3"/>
  <c r="AL1145" i="3"/>
  <c r="AK1145" i="3"/>
  <c r="W1145" i="3"/>
  <c r="AN1144" i="3"/>
  <c r="AM1144" i="3"/>
  <c r="AL1144" i="3"/>
  <c r="AK1144" i="3"/>
  <c r="W1144" i="3"/>
  <c r="AN1143" i="3"/>
  <c r="AM1143" i="3"/>
  <c r="AL1143" i="3"/>
  <c r="AK1143" i="3"/>
  <c r="W1143" i="3"/>
  <c r="AN1142" i="3"/>
  <c r="AM1142" i="3"/>
  <c r="AL1142" i="3"/>
  <c r="AK1142" i="3"/>
  <c r="W1142" i="3"/>
  <c r="AN1141" i="3"/>
  <c r="AM1141" i="3"/>
  <c r="AL1141" i="3"/>
  <c r="AK1141" i="3"/>
  <c r="W1141" i="3"/>
  <c r="AN1140" i="3"/>
  <c r="AM1140" i="3"/>
  <c r="AL1140" i="3"/>
  <c r="AK1140" i="3"/>
  <c r="W1140" i="3"/>
  <c r="AN1139" i="3"/>
  <c r="AM1139" i="3"/>
  <c r="AL1139" i="3"/>
  <c r="AK1139" i="3"/>
  <c r="W1139" i="3"/>
  <c r="AN1138" i="3"/>
  <c r="AM1138" i="3"/>
  <c r="AL1138" i="3"/>
  <c r="AK1138" i="3"/>
  <c r="W1138" i="3"/>
  <c r="AN1137" i="3"/>
  <c r="AM1137" i="3"/>
  <c r="AL1137" i="3"/>
  <c r="AK1137" i="3"/>
  <c r="W1137" i="3"/>
  <c r="AN1136" i="3"/>
  <c r="AM1136" i="3"/>
  <c r="AL1136" i="3"/>
  <c r="AK1136" i="3"/>
  <c r="W1136" i="3"/>
  <c r="AN1135" i="3"/>
  <c r="AM1135" i="3"/>
  <c r="AL1135" i="3"/>
  <c r="AK1135" i="3"/>
  <c r="W1135" i="3"/>
  <c r="AN1134" i="3"/>
  <c r="AM1134" i="3"/>
  <c r="AL1134" i="3"/>
  <c r="AK1134" i="3"/>
  <c r="W1134" i="3"/>
  <c r="AN1133" i="3"/>
  <c r="AM1133" i="3"/>
  <c r="AL1133" i="3"/>
  <c r="AK1133" i="3"/>
  <c r="W1133" i="3"/>
  <c r="AN1132" i="3"/>
  <c r="AM1132" i="3"/>
  <c r="AL1132" i="3"/>
  <c r="AK1132" i="3"/>
  <c r="W1132" i="3"/>
  <c r="AN1131" i="3"/>
  <c r="AM1131" i="3"/>
  <c r="AL1131" i="3"/>
  <c r="AK1131" i="3"/>
  <c r="W1131" i="3"/>
  <c r="AN1130" i="3"/>
  <c r="AM1130" i="3"/>
  <c r="AL1130" i="3"/>
  <c r="AK1130" i="3"/>
  <c r="W1130" i="3"/>
  <c r="AN1129" i="3"/>
  <c r="AM1129" i="3"/>
  <c r="AL1129" i="3"/>
  <c r="AK1129" i="3"/>
  <c r="W1129" i="3"/>
  <c r="AN1128" i="3"/>
  <c r="AM1128" i="3"/>
  <c r="AL1128" i="3"/>
  <c r="AK1128" i="3"/>
  <c r="W1128" i="3"/>
  <c r="AN1127" i="3"/>
  <c r="AM1127" i="3"/>
  <c r="AL1127" i="3"/>
  <c r="AK1127" i="3"/>
  <c r="W1127" i="3"/>
  <c r="AN1126" i="3"/>
  <c r="AM1126" i="3"/>
  <c r="AL1126" i="3"/>
  <c r="AK1126" i="3"/>
  <c r="W1126" i="3"/>
  <c r="AN1125" i="3"/>
  <c r="AM1125" i="3"/>
  <c r="AL1125" i="3"/>
  <c r="AK1125" i="3"/>
  <c r="W1125" i="3"/>
  <c r="AN1124" i="3"/>
  <c r="AM1124" i="3"/>
  <c r="AL1124" i="3"/>
  <c r="AK1124" i="3"/>
  <c r="W1124" i="3"/>
  <c r="AN1123" i="3"/>
  <c r="AM1123" i="3"/>
  <c r="AL1123" i="3"/>
  <c r="AK1123" i="3"/>
  <c r="W1123" i="3"/>
  <c r="AN1122" i="3"/>
  <c r="AM1122" i="3"/>
  <c r="AL1122" i="3"/>
  <c r="AK1122" i="3"/>
  <c r="W1122" i="3"/>
  <c r="AN1121" i="3"/>
  <c r="AM1121" i="3"/>
  <c r="AL1121" i="3"/>
  <c r="AK1121" i="3"/>
  <c r="W1121" i="3"/>
  <c r="AN1120" i="3"/>
  <c r="AM1120" i="3"/>
  <c r="AL1120" i="3"/>
  <c r="AK1120" i="3"/>
  <c r="W1120" i="3"/>
  <c r="AN1119" i="3"/>
  <c r="AM1119" i="3"/>
  <c r="AL1119" i="3"/>
  <c r="AK1119" i="3"/>
  <c r="W1119" i="3"/>
  <c r="AN1118" i="3"/>
  <c r="AM1118" i="3"/>
  <c r="AL1118" i="3"/>
  <c r="AK1118" i="3"/>
  <c r="W1118" i="3"/>
  <c r="AN1117" i="3"/>
  <c r="AM1117" i="3"/>
  <c r="AL1117" i="3"/>
  <c r="AK1117" i="3"/>
  <c r="W1117" i="3"/>
  <c r="AN1116" i="3"/>
  <c r="AM1116" i="3"/>
  <c r="AL1116" i="3"/>
  <c r="AK1116" i="3"/>
  <c r="W1116" i="3"/>
  <c r="AN1115" i="3"/>
  <c r="AM1115" i="3"/>
  <c r="AL1115" i="3"/>
  <c r="AK1115" i="3"/>
  <c r="W1115" i="3"/>
  <c r="AN1114" i="3"/>
  <c r="AM1114" i="3"/>
  <c r="AL1114" i="3"/>
  <c r="AK1114" i="3"/>
  <c r="W1114" i="3"/>
  <c r="AN1113" i="3"/>
  <c r="AM1113" i="3"/>
  <c r="AL1113" i="3"/>
  <c r="AK1113" i="3"/>
  <c r="W1113" i="3"/>
  <c r="AN1112" i="3"/>
  <c r="AM1112" i="3"/>
  <c r="AL1112" i="3"/>
  <c r="AK1112" i="3"/>
  <c r="W1112" i="3"/>
  <c r="AN1111" i="3"/>
  <c r="AM1111" i="3"/>
  <c r="AL1111" i="3"/>
  <c r="AK1111" i="3"/>
  <c r="W1111" i="3"/>
  <c r="AN1110" i="3"/>
  <c r="AM1110" i="3"/>
  <c r="AL1110" i="3"/>
  <c r="AK1110" i="3"/>
  <c r="W1110" i="3"/>
  <c r="AN1109" i="3"/>
  <c r="AM1109" i="3"/>
  <c r="AL1109" i="3"/>
  <c r="AK1109" i="3"/>
  <c r="W1109" i="3"/>
  <c r="AN1108" i="3"/>
  <c r="AM1108" i="3"/>
  <c r="AL1108" i="3"/>
  <c r="AK1108" i="3"/>
  <c r="W1108" i="3"/>
  <c r="AN1107" i="3"/>
  <c r="AM1107" i="3"/>
  <c r="AL1107" i="3"/>
  <c r="AK1107" i="3"/>
  <c r="W1107" i="3"/>
  <c r="AN1106" i="3"/>
  <c r="AM1106" i="3"/>
  <c r="AL1106" i="3"/>
  <c r="AK1106" i="3"/>
  <c r="W1106" i="3"/>
  <c r="AN1105" i="3"/>
  <c r="AM1105" i="3"/>
  <c r="AL1105" i="3"/>
  <c r="AK1105" i="3"/>
  <c r="W1105" i="3"/>
  <c r="AN1104" i="3"/>
  <c r="AM1104" i="3"/>
  <c r="AL1104" i="3"/>
  <c r="AK1104" i="3"/>
  <c r="W1104" i="3"/>
  <c r="AN1103" i="3"/>
  <c r="AM1103" i="3"/>
  <c r="AL1103" i="3"/>
  <c r="AK1103" i="3"/>
  <c r="W1103" i="3"/>
  <c r="AN1102" i="3"/>
  <c r="AM1102" i="3"/>
  <c r="AL1102" i="3"/>
  <c r="AK1102" i="3"/>
  <c r="W1102" i="3"/>
  <c r="AN1101" i="3"/>
  <c r="AM1101" i="3"/>
  <c r="AL1101" i="3"/>
  <c r="AK1101" i="3"/>
  <c r="W1101" i="3"/>
  <c r="AN1100" i="3"/>
  <c r="AM1100" i="3"/>
  <c r="AL1100" i="3"/>
  <c r="AK1100" i="3"/>
  <c r="W1100" i="3"/>
  <c r="AN1099" i="3"/>
  <c r="AM1099" i="3"/>
  <c r="AL1099" i="3"/>
  <c r="AK1099" i="3"/>
  <c r="W1099" i="3"/>
  <c r="AN1098" i="3"/>
  <c r="AM1098" i="3"/>
  <c r="AL1098" i="3"/>
  <c r="AK1098" i="3"/>
  <c r="W1098" i="3"/>
  <c r="AN1097" i="3"/>
  <c r="AM1097" i="3"/>
  <c r="AL1097" i="3"/>
  <c r="AK1097" i="3"/>
  <c r="W1097" i="3"/>
  <c r="AN1096" i="3"/>
  <c r="AM1096" i="3"/>
  <c r="AL1096" i="3"/>
  <c r="AK1096" i="3"/>
  <c r="W1096" i="3"/>
  <c r="AN1095" i="3"/>
  <c r="AM1095" i="3"/>
  <c r="AL1095" i="3"/>
  <c r="AK1095" i="3"/>
  <c r="W1095" i="3"/>
  <c r="AN1094" i="3"/>
  <c r="AM1094" i="3"/>
  <c r="AL1094" i="3"/>
  <c r="AK1094" i="3"/>
  <c r="W1094" i="3"/>
  <c r="AN1093" i="3"/>
  <c r="AM1093" i="3"/>
  <c r="AL1093" i="3"/>
  <c r="AK1093" i="3"/>
  <c r="W1093" i="3"/>
  <c r="AN1092" i="3"/>
  <c r="AM1092" i="3"/>
  <c r="AL1092" i="3"/>
  <c r="AK1092" i="3"/>
  <c r="W1092" i="3"/>
  <c r="AN1091" i="3"/>
  <c r="AM1091" i="3"/>
  <c r="AL1091" i="3"/>
  <c r="AK1091" i="3"/>
  <c r="W1091" i="3"/>
  <c r="AN1090" i="3"/>
  <c r="AM1090" i="3"/>
  <c r="AL1090" i="3"/>
  <c r="AK1090" i="3"/>
  <c r="W1090" i="3"/>
  <c r="AN1089" i="3"/>
  <c r="AM1089" i="3"/>
  <c r="AL1089" i="3"/>
  <c r="AK1089" i="3"/>
  <c r="W1089" i="3"/>
  <c r="AN1088" i="3"/>
  <c r="AM1088" i="3"/>
  <c r="AL1088" i="3"/>
  <c r="AK1088" i="3"/>
  <c r="W1088" i="3"/>
  <c r="AN1087" i="3"/>
  <c r="AM1087" i="3"/>
  <c r="AL1087" i="3"/>
  <c r="AK1087" i="3"/>
  <c r="W1087" i="3"/>
  <c r="AN1086" i="3"/>
  <c r="AM1086" i="3"/>
  <c r="AL1086" i="3"/>
  <c r="AK1086" i="3"/>
  <c r="W1086" i="3"/>
  <c r="AN1085" i="3"/>
  <c r="AM1085" i="3"/>
  <c r="AL1085" i="3"/>
  <c r="AK1085" i="3"/>
  <c r="W1085" i="3"/>
  <c r="AN1084" i="3"/>
  <c r="AM1084" i="3"/>
  <c r="AL1084" i="3"/>
  <c r="AK1084" i="3"/>
  <c r="W1084" i="3"/>
  <c r="AN1083" i="3"/>
  <c r="AM1083" i="3"/>
  <c r="AL1083" i="3"/>
  <c r="AK1083" i="3"/>
  <c r="W1083" i="3"/>
  <c r="AN1082" i="3"/>
  <c r="AM1082" i="3"/>
  <c r="AL1082" i="3"/>
  <c r="AK1082" i="3"/>
  <c r="W1082" i="3"/>
  <c r="AN1081" i="3"/>
  <c r="AM1081" i="3"/>
  <c r="AL1081" i="3"/>
  <c r="AK1081" i="3"/>
  <c r="W1081" i="3"/>
  <c r="AN1080" i="3"/>
  <c r="AM1080" i="3"/>
  <c r="AL1080" i="3"/>
  <c r="AK1080" i="3"/>
  <c r="W1080" i="3"/>
  <c r="AN1079" i="3"/>
  <c r="AM1079" i="3"/>
  <c r="AL1079" i="3"/>
  <c r="AK1079" i="3"/>
  <c r="W1079" i="3"/>
  <c r="AN1078" i="3"/>
  <c r="AM1078" i="3"/>
  <c r="AL1078" i="3"/>
  <c r="AK1078" i="3"/>
  <c r="W1078" i="3"/>
  <c r="AN1077" i="3"/>
  <c r="AM1077" i="3"/>
  <c r="AL1077" i="3"/>
  <c r="AK1077" i="3"/>
  <c r="W1077" i="3"/>
  <c r="AN1076" i="3"/>
  <c r="AM1076" i="3"/>
  <c r="AL1076" i="3"/>
  <c r="AK1076" i="3"/>
  <c r="W1076" i="3"/>
  <c r="AN1075" i="3"/>
  <c r="AM1075" i="3"/>
  <c r="AL1075" i="3"/>
  <c r="AK1075" i="3"/>
  <c r="W1075" i="3"/>
  <c r="AN1074" i="3"/>
  <c r="AM1074" i="3"/>
  <c r="AL1074" i="3"/>
  <c r="AK1074" i="3"/>
  <c r="W1074" i="3"/>
  <c r="AN1073" i="3"/>
  <c r="AM1073" i="3"/>
  <c r="AL1073" i="3"/>
  <c r="AK1073" i="3"/>
  <c r="W1073" i="3"/>
  <c r="AN1072" i="3"/>
  <c r="AM1072" i="3"/>
  <c r="AL1072" i="3"/>
  <c r="AK1072" i="3"/>
  <c r="W1072" i="3"/>
  <c r="AN1071" i="3"/>
  <c r="AM1071" i="3"/>
  <c r="AL1071" i="3"/>
  <c r="AK1071" i="3"/>
  <c r="W1071" i="3"/>
  <c r="AN1070" i="3"/>
  <c r="AM1070" i="3"/>
  <c r="AL1070" i="3"/>
  <c r="AK1070" i="3"/>
  <c r="W1070" i="3"/>
  <c r="AN1069" i="3"/>
  <c r="AM1069" i="3"/>
  <c r="AL1069" i="3"/>
  <c r="AK1069" i="3"/>
  <c r="W1069" i="3"/>
  <c r="AN1068" i="3"/>
  <c r="AM1068" i="3"/>
  <c r="AL1068" i="3"/>
  <c r="AK1068" i="3"/>
  <c r="W1068" i="3"/>
  <c r="AN1067" i="3"/>
  <c r="AM1067" i="3"/>
  <c r="AL1067" i="3"/>
  <c r="AK1067" i="3"/>
  <c r="W1067" i="3"/>
  <c r="AN1066" i="3"/>
  <c r="AM1066" i="3"/>
  <c r="AL1066" i="3"/>
  <c r="AK1066" i="3"/>
  <c r="W1066" i="3"/>
  <c r="AN1065" i="3"/>
  <c r="AM1065" i="3"/>
  <c r="AL1065" i="3"/>
  <c r="AK1065" i="3"/>
  <c r="W1065" i="3"/>
  <c r="AN1064" i="3"/>
  <c r="AM1064" i="3"/>
  <c r="AL1064" i="3"/>
  <c r="AK1064" i="3"/>
  <c r="W1064" i="3"/>
  <c r="AN1063" i="3"/>
  <c r="AM1063" i="3"/>
  <c r="AL1063" i="3"/>
  <c r="AK1063" i="3"/>
  <c r="W1063" i="3"/>
  <c r="AN1062" i="3"/>
  <c r="AM1062" i="3"/>
  <c r="AL1062" i="3"/>
  <c r="AK1062" i="3"/>
  <c r="W1062" i="3"/>
  <c r="AN1061" i="3"/>
  <c r="AM1061" i="3"/>
  <c r="AL1061" i="3"/>
  <c r="AK1061" i="3"/>
  <c r="W1061" i="3"/>
  <c r="AN1060" i="3"/>
  <c r="AM1060" i="3"/>
  <c r="AL1060" i="3"/>
  <c r="AK1060" i="3"/>
  <c r="W1060" i="3"/>
  <c r="AN1059" i="3"/>
  <c r="AM1059" i="3"/>
  <c r="AL1059" i="3"/>
  <c r="AK1059" i="3"/>
  <c r="W1059" i="3"/>
  <c r="AN1058" i="3"/>
  <c r="AM1058" i="3"/>
  <c r="AL1058" i="3"/>
  <c r="AK1058" i="3"/>
  <c r="W1058" i="3"/>
  <c r="AN1057" i="3"/>
  <c r="AM1057" i="3"/>
  <c r="AL1057" i="3"/>
  <c r="AK1057" i="3"/>
  <c r="W1057" i="3"/>
  <c r="AN1056" i="3"/>
  <c r="AM1056" i="3"/>
  <c r="AL1056" i="3"/>
  <c r="AK1056" i="3"/>
  <c r="W1056" i="3"/>
  <c r="AN1055" i="3"/>
  <c r="AM1055" i="3"/>
  <c r="AL1055" i="3"/>
  <c r="AK1055" i="3"/>
  <c r="W1055" i="3"/>
  <c r="AN1054" i="3"/>
  <c r="AM1054" i="3"/>
  <c r="AL1054" i="3"/>
  <c r="AK1054" i="3"/>
  <c r="W1054" i="3"/>
  <c r="AN1053" i="3"/>
  <c r="AM1053" i="3"/>
  <c r="AL1053" i="3"/>
  <c r="AK1053" i="3"/>
  <c r="W1053" i="3"/>
  <c r="AN1052" i="3"/>
  <c r="AM1052" i="3"/>
  <c r="AL1052" i="3"/>
  <c r="AK1052" i="3"/>
  <c r="W1052" i="3"/>
  <c r="AN1051" i="3"/>
  <c r="AM1051" i="3"/>
  <c r="AL1051" i="3"/>
  <c r="AK1051" i="3"/>
  <c r="W1051" i="3"/>
  <c r="AN1050" i="3"/>
  <c r="AM1050" i="3"/>
  <c r="AL1050" i="3"/>
  <c r="AK1050" i="3"/>
  <c r="W1050" i="3"/>
  <c r="AN1049" i="3"/>
  <c r="AM1049" i="3"/>
  <c r="AL1049" i="3"/>
  <c r="AK1049" i="3"/>
  <c r="W1049" i="3"/>
  <c r="AN1048" i="3"/>
  <c r="AM1048" i="3"/>
  <c r="AL1048" i="3"/>
  <c r="AK1048" i="3"/>
  <c r="W1048" i="3"/>
  <c r="AN1047" i="3"/>
  <c r="AM1047" i="3"/>
  <c r="AL1047" i="3"/>
  <c r="AK1047" i="3"/>
  <c r="W1047" i="3"/>
  <c r="AN1046" i="3"/>
  <c r="AM1046" i="3"/>
  <c r="AL1046" i="3"/>
  <c r="AK1046" i="3"/>
  <c r="W1046" i="3"/>
  <c r="AN1045" i="3"/>
  <c r="AM1045" i="3"/>
  <c r="AL1045" i="3"/>
  <c r="AK1045" i="3"/>
  <c r="W1045" i="3"/>
  <c r="AN1044" i="3"/>
  <c r="AM1044" i="3"/>
  <c r="AL1044" i="3"/>
  <c r="AK1044" i="3"/>
  <c r="W1044" i="3"/>
  <c r="AN1043" i="3"/>
  <c r="AM1043" i="3"/>
  <c r="AL1043" i="3"/>
  <c r="AK1043" i="3"/>
  <c r="W1043" i="3"/>
  <c r="AN1042" i="3"/>
  <c r="AM1042" i="3"/>
  <c r="AL1042" i="3"/>
  <c r="AK1042" i="3"/>
  <c r="W1042" i="3"/>
  <c r="AN1041" i="3"/>
  <c r="AM1041" i="3"/>
  <c r="AL1041" i="3"/>
  <c r="AK1041" i="3"/>
  <c r="W1041" i="3"/>
  <c r="AN1040" i="3"/>
  <c r="AM1040" i="3"/>
  <c r="AL1040" i="3"/>
  <c r="AK1040" i="3"/>
  <c r="W1040" i="3"/>
  <c r="AN1039" i="3"/>
  <c r="AM1039" i="3"/>
  <c r="AL1039" i="3"/>
  <c r="AK1039" i="3"/>
  <c r="W1039" i="3"/>
  <c r="AN1038" i="3"/>
  <c r="AM1038" i="3"/>
  <c r="AL1038" i="3"/>
  <c r="AK1038" i="3"/>
  <c r="W1038" i="3"/>
  <c r="AN1037" i="3"/>
  <c r="AM1037" i="3"/>
  <c r="AL1037" i="3"/>
  <c r="AK1037" i="3"/>
  <c r="W1037" i="3"/>
  <c r="AN1036" i="3"/>
  <c r="AM1036" i="3"/>
  <c r="AL1036" i="3"/>
  <c r="AK1036" i="3"/>
  <c r="W1036" i="3"/>
  <c r="AN1035" i="3"/>
  <c r="AM1035" i="3"/>
  <c r="AL1035" i="3"/>
  <c r="AK1035" i="3"/>
  <c r="W1035" i="3"/>
  <c r="AN1034" i="3"/>
  <c r="AM1034" i="3"/>
  <c r="AL1034" i="3"/>
  <c r="AK1034" i="3"/>
  <c r="W1034" i="3"/>
  <c r="AN1033" i="3"/>
  <c r="AM1033" i="3"/>
  <c r="AL1033" i="3"/>
  <c r="AK1033" i="3"/>
  <c r="W1033" i="3"/>
  <c r="AN1032" i="3"/>
  <c r="AM1032" i="3"/>
  <c r="AL1032" i="3"/>
  <c r="AK1032" i="3"/>
  <c r="W1032" i="3"/>
  <c r="AN1031" i="3"/>
  <c r="AM1031" i="3"/>
  <c r="AL1031" i="3"/>
  <c r="AK1031" i="3"/>
  <c r="W1031" i="3"/>
  <c r="AN1030" i="3"/>
  <c r="AM1030" i="3"/>
  <c r="AL1030" i="3"/>
  <c r="AK1030" i="3"/>
  <c r="W1030" i="3"/>
  <c r="AN1029" i="3"/>
  <c r="AM1029" i="3"/>
  <c r="AL1029" i="3"/>
  <c r="AK1029" i="3"/>
  <c r="W1029" i="3"/>
  <c r="AN1028" i="3"/>
  <c r="AM1028" i="3"/>
  <c r="AL1028" i="3"/>
  <c r="AK1028" i="3"/>
  <c r="W1028" i="3"/>
  <c r="AN1027" i="3"/>
  <c r="AM1027" i="3"/>
  <c r="AL1027" i="3"/>
  <c r="AK1027" i="3"/>
  <c r="W1027" i="3"/>
  <c r="AN1026" i="3"/>
  <c r="AM1026" i="3"/>
  <c r="AL1026" i="3"/>
  <c r="AK1026" i="3"/>
  <c r="W1026" i="3"/>
  <c r="AN1025" i="3"/>
  <c r="AM1025" i="3"/>
  <c r="AL1025" i="3"/>
  <c r="AK1025" i="3"/>
  <c r="W1025" i="3"/>
  <c r="AN1024" i="3"/>
  <c r="AM1024" i="3"/>
  <c r="AL1024" i="3"/>
  <c r="AK1024" i="3"/>
  <c r="W1024" i="3"/>
  <c r="AN1023" i="3"/>
  <c r="AM1023" i="3"/>
  <c r="AL1023" i="3"/>
  <c r="AK1023" i="3"/>
  <c r="W1023" i="3"/>
  <c r="AN1022" i="3"/>
  <c r="AM1022" i="3"/>
  <c r="AL1022" i="3"/>
  <c r="AK1022" i="3"/>
  <c r="W1022" i="3"/>
  <c r="AN1021" i="3"/>
  <c r="AM1021" i="3"/>
  <c r="AL1021" i="3"/>
  <c r="AK1021" i="3"/>
  <c r="W1021" i="3"/>
  <c r="AN1020" i="3"/>
  <c r="AM1020" i="3"/>
  <c r="AL1020" i="3"/>
  <c r="AK1020" i="3"/>
  <c r="W1020" i="3"/>
  <c r="AN1019" i="3"/>
  <c r="AM1019" i="3"/>
  <c r="AL1019" i="3"/>
  <c r="AK1019" i="3"/>
  <c r="W1019" i="3"/>
  <c r="AN1018" i="3"/>
  <c r="AM1018" i="3"/>
  <c r="AL1018" i="3"/>
  <c r="AK1018" i="3"/>
  <c r="W1018" i="3"/>
  <c r="AN1017" i="3"/>
  <c r="AM1017" i="3"/>
  <c r="AL1017" i="3"/>
  <c r="AK1017" i="3"/>
  <c r="W1017" i="3"/>
  <c r="AN1016" i="3"/>
  <c r="AM1016" i="3"/>
  <c r="AL1016" i="3"/>
  <c r="AK1016" i="3"/>
  <c r="W1016" i="3"/>
  <c r="AN1015" i="3"/>
  <c r="AM1015" i="3"/>
  <c r="AL1015" i="3"/>
  <c r="AK1015" i="3"/>
  <c r="W1015" i="3"/>
  <c r="AN1014" i="3"/>
  <c r="AM1014" i="3"/>
  <c r="AL1014" i="3"/>
  <c r="AK1014" i="3"/>
  <c r="W1014" i="3"/>
  <c r="AN1013" i="3"/>
  <c r="AM1013" i="3"/>
  <c r="AL1013" i="3"/>
  <c r="AK1013" i="3"/>
  <c r="W1013" i="3"/>
  <c r="AN1012" i="3"/>
  <c r="AM1012" i="3"/>
  <c r="AL1012" i="3"/>
  <c r="AK1012" i="3"/>
  <c r="W1012" i="3"/>
  <c r="AN1011" i="3"/>
  <c r="AM1011" i="3"/>
  <c r="AL1011" i="3"/>
  <c r="AK1011" i="3"/>
  <c r="W1011" i="3"/>
  <c r="AN1010" i="3"/>
  <c r="AM1010" i="3"/>
  <c r="AL1010" i="3"/>
  <c r="AK1010" i="3"/>
  <c r="W1010" i="3"/>
  <c r="AN1009" i="3"/>
  <c r="AM1009" i="3"/>
  <c r="AL1009" i="3"/>
  <c r="AK1009" i="3"/>
  <c r="W1009" i="3"/>
  <c r="AN1008" i="3"/>
  <c r="AM1008" i="3"/>
  <c r="AL1008" i="3"/>
  <c r="AK1008" i="3"/>
  <c r="W1008" i="3"/>
  <c r="AN1007" i="3"/>
  <c r="AM1007" i="3"/>
  <c r="AL1007" i="3"/>
  <c r="AK1007" i="3"/>
  <c r="W1007" i="3"/>
  <c r="AN1006" i="3"/>
  <c r="AM1006" i="3"/>
  <c r="AL1006" i="3"/>
  <c r="AK1006" i="3"/>
  <c r="W1006" i="3"/>
  <c r="AN1005" i="3"/>
  <c r="AM1005" i="3"/>
  <c r="AL1005" i="3"/>
  <c r="AK1005" i="3"/>
  <c r="W1005" i="3"/>
  <c r="AN1004" i="3"/>
  <c r="AM1004" i="3"/>
  <c r="AL1004" i="3"/>
  <c r="AK1004" i="3"/>
  <c r="W1004" i="3"/>
  <c r="AN1003" i="3"/>
  <c r="AM1003" i="3"/>
  <c r="AL1003" i="3"/>
  <c r="AK1003" i="3"/>
  <c r="W1003" i="3"/>
  <c r="AN1002" i="3"/>
  <c r="AM1002" i="3"/>
  <c r="AL1002" i="3"/>
  <c r="AK1002" i="3"/>
  <c r="W1002" i="3"/>
  <c r="AN1001" i="3"/>
  <c r="AM1001" i="3"/>
  <c r="AL1001" i="3"/>
  <c r="AK1001" i="3"/>
  <c r="W1001" i="3"/>
  <c r="AN1000" i="3"/>
  <c r="AM1000" i="3"/>
  <c r="AL1000" i="3"/>
  <c r="AK1000" i="3"/>
  <c r="W1000" i="3"/>
  <c r="AN999" i="3"/>
  <c r="AM999" i="3"/>
  <c r="AL999" i="3"/>
  <c r="AK999" i="3"/>
  <c r="W999" i="3"/>
  <c r="AN998" i="3"/>
  <c r="AM998" i="3"/>
  <c r="AL998" i="3"/>
  <c r="AK998" i="3"/>
  <c r="W998" i="3"/>
  <c r="AN997" i="3"/>
  <c r="AM997" i="3"/>
  <c r="AL997" i="3"/>
  <c r="AK997" i="3"/>
  <c r="W997" i="3"/>
  <c r="AN996" i="3"/>
  <c r="AM996" i="3"/>
  <c r="AL996" i="3"/>
  <c r="AK996" i="3"/>
  <c r="W996" i="3"/>
  <c r="AN995" i="3"/>
  <c r="AM995" i="3"/>
  <c r="AL995" i="3"/>
  <c r="AK995" i="3"/>
  <c r="W995" i="3"/>
  <c r="AN994" i="3"/>
  <c r="AM994" i="3"/>
  <c r="AL994" i="3"/>
  <c r="AK994" i="3"/>
  <c r="W994" i="3"/>
  <c r="AN993" i="3"/>
  <c r="AM993" i="3"/>
  <c r="AL993" i="3"/>
  <c r="AK993" i="3"/>
  <c r="W993" i="3"/>
  <c r="AN992" i="3"/>
  <c r="AM992" i="3"/>
  <c r="AL992" i="3"/>
  <c r="AK992" i="3"/>
  <c r="W992" i="3"/>
  <c r="AN991" i="3"/>
  <c r="AM991" i="3"/>
  <c r="AL991" i="3"/>
  <c r="AK991" i="3"/>
  <c r="W991" i="3"/>
  <c r="AN990" i="3"/>
  <c r="AM990" i="3"/>
  <c r="AL990" i="3"/>
  <c r="AK990" i="3"/>
  <c r="W990" i="3"/>
  <c r="AN989" i="3"/>
  <c r="AM989" i="3"/>
  <c r="AL989" i="3"/>
  <c r="AK989" i="3"/>
  <c r="W989" i="3"/>
  <c r="AN988" i="3"/>
  <c r="AM988" i="3"/>
  <c r="AL988" i="3"/>
  <c r="AK988" i="3"/>
  <c r="W988" i="3"/>
  <c r="AN987" i="3"/>
  <c r="AM987" i="3"/>
  <c r="AL987" i="3"/>
  <c r="AK987" i="3"/>
  <c r="W987" i="3"/>
  <c r="AN986" i="3"/>
  <c r="AM986" i="3"/>
  <c r="AL986" i="3"/>
  <c r="AK986" i="3"/>
  <c r="W986" i="3"/>
  <c r="AN985" i="3"/>
  <c r="AM985" i="3"/>
  <c r="AL985" i="3"/>
  <c r="AK985" i="3"/>
  <c r="W985" i="3"/>
  <c r="AN984" i="3"/>
  <c r="AM984" i="3"/>
  <c r="AL984" i="3"/>
  <c r="AK984" i="3"/>
  <c r="W984" i="3"/>
  <c r="AN983" i="3"/>
  <c r="AM983" i="3"/>
  <c r="AL983" i="3"/>
  <c r="AK983" i="3"/>
  <c r="W983" i="3"/>
  <c r="AN982" i="3"/>
  <c r="AM982" i="3"/>
  <c r="AL982" i="3"/>
  <c r="AK982" i="3"/>
  <c r="W982" i="3"/>
  <c r="AN981" i="3"/>
  <c r="AM981" i="3"/>
  <c r="AL981" i="3"/>
  <c r="AK981" i="3"/>
  <c r="W981" i="3"/>
  <c r="AN980" i="3"/>
  <c r="AM980" i="3"/>
  <c r="AL980" i="3"/>
  <c r="AK980" i="3"/>
  <c r="W980" i="3"/>
  <c r="AN979" i="3"/>
  <c r="AM979" i="3"/>
  <c r="AL979" i="3"/>
  <c r="AK979" i="3"/>
  <c r="W979" i="3"/>
  <c r="AN978" i="3"/>
  <c r="AM978" i="3"/>
  <c r="AL978" i="3"/>
  <c r="AK978" i="3"/>
  <c r="W978" i="3"/>
  <c r="AN977" i="3"/>
  <c r="AM977" i="3"/>
  <c r="AL977" i="3"/>
  <c r="AK977" i="3"/>
  <c r="W977" i="3"/>
  <c r="AN976" i="3"/>
  <c r="AM976" i="3"/>
  <c r="AL976" i="3"/>
  <c r="AK976" i="3"/>
  <c r="W976" i="3"/>
  <c r="AN975" i="3"/>
  <c r="AM975" i="3"/>
  <c r="AL975" i="3"/>
  <c r="AK975" i="3"/>
  <c r="W975" i="3"/>
  <c r="AN974" i="3"/>
  <c r="AM974" i="3"/>
  <c r="AL974" i="3"/>
  <c r="AK974" i="3"/>
  <c r="W974" i="3"/>
  <c r="AN973" i="3"/>
  <c r="AM973" i="3"/>
  <c r="AL973" i="3"/>
  <c r="AK973" i="3"/>
  <c r="W973" i="3"/>
  <c r="AN972" i="3"/>
  <c r="AM972" i="3"/>
  <c r="AL972" i="3"/>
  <c r="AK972" i="3"/>
  <c r="W972" i="3"/>
  <c r="AN971" i="3"/>
  <c r="AM971" i="3"/>
  <c r="AL971" i="3"/>
  <c r="AK971" i="3"/>
  <c r="W971" i="3"/>
  <c r="AN970" i="3"/>
  <c r="AM970" i="3"/>
  <c r="AL970" i="3"/>
  <c r="AK970" i="3"/>
  <c r="W970" i="3"/>
  <c r="AN969" i="3"/>
  <c r="AM969" i="3"/>
  <c r="AL969" i="3"/>
  <c r="AK969" i="3"/>
  <c r="W969" i="3"/>
  <c r="AN968" i="3"/>
  <c r="AM968" i="3"/>
  <c r="AL968" i="3"/>
  <c r="AK968" i="3"/>
  <c r="W968" i="3"/>
  <c r="AN967" i="3"/>
  <c r="AM967" i="3"/>
  <c r="AL967" i="3"/>
  <c r="AK967" i="3"/>
  <c r="W967" i="3"/>
  <c r="AN966" i="3"/>
  <c r="AM966" i="3"/>
  <c r="AL966" i="3"/>
  <c r="AK966" i="3"/>
  <c r="W966" i="3"/>
  <c r="AN965" i="3"/>
  <c r="AM965" i="3"/>
  <c r="AL965" i="3"/>
  <c r="AK965" i="3"/>
  <c r="W965" i="3"/>
  <c r="AN964" i="3"/>
  <c r="AM964" i="3"/>
  <c r="AL964" i="3"/>
  <c r="AK964" i="3"/>
  <c r="W964" i="3"/>
  <c r="AN963" i="3"/>
  <c r="AM963" i="3"/>
  <c r="AL963" i="3"/>
  <c r="AK963" i="3"/>
  <c r="W963" i="3"/>
  <c r="AN962" i="3"/>
  <c r="AM962" i="3"/>
  <c r="AL962" i="3"/>
  <c r="AK962" i="3"/>
  <c r="W962" i="3"/>
  <c r="AN961" i="3"/>
  <c r="AM961" i="3"/>
  <c r="AL961" i="3"/>
  <c r="AK961" i="3"/>
  <c r="W961" i="3"/>
  <c r="AN960" i="3"/>
  <c r="AM960" i="3"/>
  <c r="AL960" i="3"/>
  <c r="AK960" i="3"/>
  <c r="W960" i="3"/>
  <c r="AN959" i="3"/>
  <c r="AM959" i="3"/>
  <c r="AL959" i="3"/>
  <c r="AK959" i="3"/>
  <c r="W959" i="3"/>
  <c r="AN958" i="3"/>
  <c r="AM958" i="3"/>
  <c r="AL958" i="3"/>
  <c r="AK958" i="3"/>
  <c r="W958" i="3"/>
  <c r="AN957" i="3"/>
  <c r="AM957" i="3"/>
  <c r="AL957" i="3"/>
  <c r="AK957" i="3"/>
  <c r="W957" i="3"/>
  <c r="AN956" i="3"/>
  <c r="AM956" i="3"/>
  <c r="AL956" i="3"/>
  <c r="AK956" i="3"/>
  <c r="W956" i="3"/>
  <c r="AN955" i="3"/>
  <c r="AM955" i="3"/>
  <c r="AL955" i="3"/>
  <c r="AK955" i="3"/>
  <c r="W955" i="3"/>
  <c r="AN954" i="3"/>
  <c r="AM954" i="3"/>
  <c r="AL954" i="3"/>
  <c r="AK954" i="3"/>
  <c r="W954" i="3"/>
  <c r="AN953" i="3"/>
  <c r="AM953" i="3"/>
  <c r="AL953" i="3"/>
  <c r="AK953" i="3"/>
  <c r="W953" i="3"/>
  <c r="AN952" i="3"/>
  <c r="AM952" i="3"/>
  <c r="AL952" i="3"/>
  <c r="AK952" i="3"/>
  <c r="W952" i="3"/>
  <c r="AN951" i="3"/>
  <c r="AM951" i="3"/>
  <c r="AL951" i="3"/>
  <c r="AK951" i="3"/>
  <c r="W951" i="3"/>
  <c r="AN950" i="3"/>
  <c r="AM950" i="3"/>
  <c r="AL950" i="3"/>
  <c r="AK950" i="3"/>
  <c r="W950" i="3"/>
  <c r="AN949" i="3"/>
  <c r="AM949" i="3"/>
  <c r="AL949" i="3"/>
  <c r="AK949" i="3"/>
  <c r="W949" i="3"/>
  <c r="AN948" i="3"/>
  <c r="AM948" i="3"/>
  <c r="AL948" i="3"/>
  <c r="AK948" i="3"/>
  <c r="W948" i="3"/>
  <c r="AN947" i="3"/>
  <c r="AM947" i="3"/>
  <c r="AL947" i="3"/>
  <c r="AK947" i="3"/>
  <c r="W947" i="3"/>
  <c r="AN946" i="3"/>
  <c r="AM946" i="3"/>
  <c r="AL946" i="3"/>
  <c r="AK946" i="3"/>
  <c r="W946" i="3"/>
  <c r="AN945" i="3"/>
  <c r="AM945" i="3"/>
  <c r="AL945" i="3"/>
  <c r="AK945" i="3"/>
  <c r="W945" i="3"/>
  <c r="AN944" i="3"/>
  <c r="AM944" i="3"/>
  <c r="AL944" i="3"/>
  <c r="AK944" i="3"/>
  <c r="W944" i="3"/>
  <c r="AN943" i="3"/>
  <c r="AM943" i="3"/>
  <c r="AL943" i="3"/>
  <c r="AK943" i="3"/>
  <c r="W943" i="3"/>
  <c r="AN942" i="3"/>
  <c r="AM942" i="3"/>
  <c r="AL942" i="3"/>
  <c r="AK942" i="3"/>
  <c r="W942" i="3"/>
  <c r="AN941" i="3"/>
  <c r="AM941" i="3"/>
  <c r="AL941" i="3"/>
  <c r="AK941" i="3"/>
  <c r="W941" i="3"/>
  <c r="AN940" i="3"/>
  <c r="AM940" i="3"/>
  <c r="AL940" i="3"/>
  <c r="AK940" i="3"/>
  <c r="W940" i="3"/>
  <c r="AN939" i="3"/>
  <c r="AM939" i="3"/>
  <c r="AL939" i="3"/>
  <c r="AK939" i="3"/>
  <c r="W939" i="3"/>
  <c r="AN938" i="3"/>
  <c r="AM938" i="3"/>
  <c r="AL938" i="3"/>
  <c r="AK938" i="3"/>
  <c r="W938" i="3"/>
  <c r="AN937" i="3"/>
  <c r="AM937" i="3"/>
  <c r="AL937" i="3"/>
  <c r="AK937" i="3"/>
  <c r="W937" i="3"/>
  <c r="AN936" i="3"/>
  <c r="AM936" i="3"/>
  <c r="AL936" i="3"/>
  <c r="AK936" i="3"/>
  <c r="W936" i="3"/>
  <c r="AN935" i="3"/>
  <c r="AM935" i="3"/>
  <c r="AL935" i="3"/>
  <c r="AK935" i="3"/>
  <c r="W935" i="3"/>
  <c r="AN934" i="3"/>
  <c r="AM934" i="3"/>
  <c r="AL934" i="3"/>
  <c r="AK934" i="3"/>
  <c r="W934" i="3"/>
  <c r="AN933" i="3"/>
  <c r="AM933" i="3"/>
  <c r="AL933" i="3"/>
  <c r="AK933" i="3"/>
  <c r="W933" i="3"/>
  <c r="AN932" i="3"/>
  <c r="AM932" i="3"/>
  <c r="AL932" i="3"/>
  <c r="AK932" i="3"/>
  <c r="W932" i="3"/>
  <c r="AN931" i="3"/>
  <c r="AM931" i="3"/>
  <c r="AL931" i="3"/>
  <c r="AK931" i="3"/>
  <c r="W931" i="3"/>
  <c r="AN930" i="3"/>
  <c r="AM930" i="3"/>
  <c r="AL930" i="3"/>
  <c r="AK930" i="3"/>
  <c r="W930" i="3"/>
  <c r="AN929" i="3"/>
  <c r="AM929" i="3"/>
  <c r="AL929" i="3"/>
  <c r="AK929" i="3"/>
  <c r="W929" i="3"/>
  <c r="AN928" i="3"/>
  <c r="AM928" i="3"/>
  <c r="AL928" i="3"/>
  <c r="AK928" i="3"/>
  <c r="W928" i="3"/>
  <c r="AN927" i="3"/>
  <c r="AM927" i="3"/>
  <c r="AL927" i="3"/>
  <c r="AK927" i="3"/>
  <c r="W927" i="3"/>
  <c r="AN926" i="3"/>
  <c r="AM926" i="3"/>
  <c r="AL926" i="3"/>
  <c r="AK926" i="3"/>
  <c r="W926" i="3"/>
  <c r="AN925" i="3"/>
  <c r="AM925" i="3"/>
  <c r="AL925" i="3"/>
  <c r="AK925" i="3"/>
  <c r="W925" i="3"/>
  <c r="AN924" i="3"/>
  <c r="AM924" i="3"/>
  <c r="AL924" i="3"/>
  <c r="AK924" i="3"/>
  <c r="W924" i="3"/>
  <c r="AN923" i="3"/>
  <c r="AM923" i="3"/>
  <c r="AL923" i="3"/>
  <c r="AK923" i="3"/>
  <c r="W923" i="3"/>
  <c r="AN922" i="3"/>
  <c r="AM922" i="3"/>
  <c r="AL922" i="3"/>
  <c r="AK922" i="3"/>
  <c r="W922" i="3"/>
  <c r="AN921" i="3"/>
  <c r="AM921" i="3"/>
  <c r="AL921" i="3"/>
  <c r="AK921" i="3"/>
  <c r="W921" i="3"/>
  <c r="AN920" i="3"/>
  <c r="AM920" i="3"/>
  <c r="AL920" i="3"/>
  <c r="AK920" i="3"/>
  <c r="W920" i="3"/>
  <c r="AN919" i="3"/>
  <c r="AM919" i="3"/>
  <c r="AL919" i="3"/>
  <c r="AK919" i="3"/>
  <c r="W919" i="3"/>
  <c r="AN918" i="3"/>
  <c r="AM918" i="3"/>
  <c r="AL918" i="3"/>
  <c r="AK918" i="3"/>
  <c r="W918" i="3"/>
  <c r="AN917" i="3"/>
  <c r="AM917" i="3"/>
  <c r="AL917" i="3"/>
  <c r="AK917" i="3"/>
  <c r="W917" i="3"/>
  <c r="AN916" i="3"/>
  <c r="AM916" i="3"/>
  <c r="AL916" i="3"/>
  <c r="AK916" i="3"/>
  <c r="W916" i="3"/>
  <c r="AN915" i="3"/>
  <c r="AM915" i="3"/>
  <c r="AL915" i="3"/>
  <c r="AK915" i="3"/>
  <c r="W915" i="3"/>
  <c r="AN914" i="3"/>
  <c r="AM914" i="3"/>
  <c r="AL914" i="3"/>
  <c r="AK914" i="3"/>
  <c r="W914" i="3"/>
  <c r="AN913" i="3"/>
  <c r="AM913" i="3"/>
  <c r="AL913" i="3"/>
  <c r="AK913" i="3"/>
  <c r="W913" i="3"/>
  <c r="AN912" i="3"/>
  <c r="AM912" i="3"/>
  <c r="AL912" i="3"/>
  <c r="AK912" i="3"/>
  <c r="W912" i="3"/>
  <c r="AN911" i="3"/>
  <c r="AM911" i="3"/>
  <c r="AL911" i="3"/>
  <c r="AK911" i="3"/>
  <c r="W911" i="3"/>
  <c r="AN910" i="3"/>
  <c r="AM910" i="3"/>
  <c r="AL910" i="3"/>
  <c r="AK910" i="3"/>
  <c r="W910" i="3"/>
  <c r="AN909" i="3"/>
  <c r="AM909" i="3"/>
  <c r="AL909" i="3"/>
  <c r="AK909" i="3"/>
  <c r="W909" i="3"/>
  <c r="AN908" i="3"/>
  <c r="AM908" i="3"/>
  <c r="AL908" i="3"/>
  <c r="AK908" i="3"/>
  <c r="W908" i="3"/>
  <c r="AN907" i="3"/>
  <c r="AM907" i="3"/>
  <c r="AL907" i="3"/>
  <c r="AK907" i="3"/>
  <c r="W907" i="3"/>
  <c r="AN906" i="3"/>
  <c r="AM906" i="3"/>
  <c r="AL906" i="3"/>
  <c r="AK906" i="3"/>
  <c r="W906" i="3"/>
  <c r="AN905" i="3"/>
  <c r="AM905" i="3"/>
  <c r="AL905" i="3"/>
  <c r="AK905" i="3"/>
  <c r="W905" i="3"/>
  <c r="AN904" i="3"/>
  <c r="AM904" i="3"/>
  <c r="AL904" i="3"/>
  <c r="AK904" i="3"/>
  <c r="W904" i="3"/>
  <c r="AN903" i="3"/>
  <c r="AM903" i="3"/>
  <c r="AL903" i="3"/>
  <c r="AK903" i="3"/>
  <c r="W903" i="3"/>
  <c r="AN902" i="3"/>
  <c r="AM902" i="3"/>
  <c r="AL902" i="3"/>
  <c r="AK902" i="3"/>
  <c r="W902" i="3"/>
  <c r="AN901" i="3"/>
  <c r="AM901" i="3"/>
  <c r="AL901" i="3"/>
  <c r="AK901" i="3"/>
  <c r="W901" i="3"/>
  <c r="AN900" i="3"/>
  <c r="AM900" i="3"/>
  <c r="AL900" i="3"/>
  <c r="AK900" i="3"/>
  <c r="W900" i="3"/>
  <c r="AN899" i="3"/>
  <c r="AM899" i="3"/>
  <c r="AL899" i="3"/>
  <c r="AK899" i="3"/>
  <c r="W899" i="3"/>
  <c r="AN898" i="3"/>
  <c r="AM898" i="3"/>
  <c r="AL898" i="3"/>
  <c r="AK898" i="3"/>
  <c r="W898" i="3"/>
  <c r="AN897" i="3"/>
  <c r="AM897" i="3"/>
  <c r="AL897" i="3"/>
  <c r="AK897" i="3"/>
  <c r="W897" i="3"/>
  <c r="AN896" i="3"/>
  <c r="AM896" i="3"/>
  <c r="AL896" i="3"/>
  <c r="AK896" i="3"/>
  <c r="W896" i="3"/>
  <c r="AN895" i="3"/>
  <c r="AM895" i="3"/>
  <c r="AL895" i="3"/>
  <c r="AK895" i="3"/>
  <c r="W895" i="3"/>
  <c r="AN894" i="3"/>
  <c r="AM894" i="3"/>
  <c r="AL894" i="3"/>
  <c r="AK894" i="3"/>
  <c r="W894" i="3"/>
  <c r="AN893" i="3"/>
  <c r="AM893" i="3"/>
  <c r="AL893" i="3"/>
  <c r="AK893" i="3"/>
  <c r="W893" i="3"/>
  <c r="AN892" i="3"/>
  <c r="AM892" i="3"/>
  <c r="AL892" i="3"/>
  <c r="AK892" i="3"/>
  <c r="W892" i="3"/>
  <c r="AN891" i="3"/>
  <c r="AM891" i="3"/>
  <c r="AL891" i="3"/>
  <c r="AK891" i="3"/>
  <c r="W891" i="3"/>
  <c r="AN890" i="3"/>
  <c r="AM890" i="3"/>
  <c r="AL890" i="3"/>
  <c r="AK890" i="3"/>
  <c r="W890" i="3"/>
  <c r="AN889" i="3"/>
  <c r="AM889" i="3"/>
  <c r="AL889" i="3"/>
  <c r="AK889" i="3"/>
  <c r="W889" i="3"/>
  <c r="AN888" i="3"/>
  <c r="AM888" i="3"/>
  <c r="AL888" i="3"/>
  <c r="AK888" i="3"/>
  <c r="W888" i="3"/>
  <c r="AN887" i="3"/>
  <c r="AM887" i="3"/>
  <c r="AL887" i="3"/>
  <c r="AK887" i="3"/>
  <c r="W887" i="3"/>
  <c r="AN886" i="3"/>
  <c r="AM886" i="3"/>
  <c r="AL886" i="3"/>
  <c r="AK886" i="3"/>
  <c r="W886" i="3"/>
  <c r="AN885" i="3"/>
  <c r="AM885" i="3"/>
  <c r="AL885" i="3"/>
  <c r="AK885" i="3"/>
  <c r="W885" i="3"/>
  <c r="AN884" i="3"/>
  <c r="AM884" i="3"/>
  <c r="AL884" i="3"/>
  <c r="AK884" i="3"/>
  <c r="W884" i="3"/>
  <c r="AN883" i="3"/>
  <c r="AM883" i="3"/>
  <c r="AL883" i="3"/>
  <c r="AK883" i="3"/>
  <c r="W883" i="3"/>
  <c r="AN882" i="3"/>
  <c r="AM882" i="3"/>
  <c r="AL882" i="3"/>
  <c r="AK882" i="3"/>
  <c r="W882" i="3"/>
  <c r="AN881" i="3"/>
  <c r="AM881" i="3"/>
  <c r="AL881" i="3"/>
  <c r="AK881" i="3"/>
  <c r="W881" i="3"/>
  <c r="AN880" i="3"/>
  <c r="AM880" i="3"/>
  <c r="AL880" i="3"/>
  <c r="AK880" i="3"/>
  <c r="W880" i="3"/>
  <c r="AN879" i="3"/>
  <c r="AM879" i="3"/>
  <c r="AL879" i="3"/>
  <c r="AK879" i="3"/>
  <c r="W879" i="3"/>
  <c r="AN878" i="3"/>
  <c r="AM878" i="3"/>
  <c r="AL878" i="3"/>
  <c r="AK878" i="3"/>
  <c r="W878" i="3"/>
  <c r="AN877" i="3"/>
  <c r="AM877" i="3"/>
  <c r="AL877" i="3"/>
  <c r="AK877" i="3"/>
  <c r="W877" i="3"/>
  <c r="AN876" i="3"/>
  <c r="AM876" i="3"/>
  <c r="AL876" i="3"/>
  <c r="AK876" i="3"/>
  <c r="W876" i="3"/>
  <c r="AN875" i="3"/>
  <c r="AM875" i="3"/>
  <c r="AL875" i="3"/>
  <c r="AK875" i="3"/>
  <c r="W875" i="3"/>
  <c r="AN874" i="3"/>
  <c r="AM874" i="3"/>
  <c r="AL874" i="3"/>
  <c r="AK874" i="3"/>
  <c r="W874" i="3"/>
  <c r="AN873" i="3"/>
  <c r="AM873" i="3"/>
  <c r="AL873" i="3"/>
  <c r="AK873" i="3"/>
  <c r="W873" i="3"/>
  <c r="AN872" i="3"/>
  <c r="AM872" i="3"/>
  <c r="AL872" i="3"/>
  <c r="AK872" i="3"/>
  <c r="W872" i="3"/>
  <c r="AN871" i="3"/>
  <c r="AM871" i="3"/>
  <c r="AL871" i="3"/>
  <c r="AK871" i="3"/>
  <c r="W871" i="3"/>
  <c r="AN870" i="3"/>
  <c r="AM870" i="3"/>
  <c r="AL870" i="3"/>
  <c r="AK870" i="3"/>
  <c r="W870" i="3"/>
  <c r="AN869" i="3"/>
  <c r="AM869" i="3"/>
  <c r="AL869" i="3"/>
  <c r="AK869" i="3"/>
  <c r="W869" i="3"/>
  <c r="AN868" i="3"/>
  <c r="AM868" i="3"/>
  <c r="AL868" i="3"/>
  <c r="AK868" i="3"/>
  <c r="W868" i="3"/>
  <c r="AN867" i="3"/>
  <c r="AM867" i="3"/>
  <c r="AL867" i="3"/>
  <c r="AK867" i="3"/>
  <c r="W867" i="3"/>
  <c r="AN866" i="3"/>
  <c r="AM866" i="3"/>
  <c r="AL866" i="3"/>
  <c r="AK866" i="3"/>
  <c r="W866" i="3"/>
  <c r="AN865" i="3"/>
  <c r="AM865" i="3"/>
  <c r="AL865" i="3"/>
  <c r="AK865" i="3"/>
  <c r="W865" i="3"/>
  <c r="AN864" i="3"/>
  <c r="AM864" i="3"/>
  <c r="AL864" i="3"/>
  <c r="AK864" i="3"/>
  <c r="W864" i="3"/>
  <c r="AN863" i="3"/>
  <c r="AM863" i="3"/>
  <c r="AL863" i="3"/>
  <c r="AK863" i="3"/>
  <c r="W863" i="3"/>
  <c r="AN862" i="3"/>
  <c r="AM862" i="3"/>
  <c r="AL862" i="3"/>
  <c r="AK862" i="3"/>
  <c r="W862" i="3"/>
  <c r="AN861" i="3"/>
  <c r="AM861" i="3"/>
  <c r="AL861" i="3"/>
  <c r="AK861" i="3"/>
  <c r="W861" i="3"/>
  <c r="AN860" i="3"/>
  <c r="AM860" i="3"/>
  <c r="AL860" i="3"/>
  <c r="AK860" i="3"/>
  <c r="W860" i="3"/>
  <c r="AN859" i="3"/>
  <c r="AM859" i="3"/>
  <c r="AL859" i="3"/>
  <c r="AK859" i="3"/>
  <c r="W859" i="3"/>
  <c r="AN858" i="3"/>
  <c r="AM858" i="3"/>
  <c r="AL858" i="3"/>
  <c r="AK858" i="3"/>
  <c r="W858" i="3"/>
  <c r="AN857" i="3"/>
  <c r="AM857" i="3"/>
  <c r="AL857" i="3"/>
  <c r="AK857" i="3"/>
  <c r="W857" i="3"/>
  <c r="AN856" i="3"/>
  <c r="AM856" i="3"/>
  <c r="AL856" i="3"/>
  <c r="AK856" i="3"/>
  <c r="W856" i="3"/>
  <c r="AN855" i="3"/>
  <c r="AM855" i="3"/>
  <c r="AL855" i="3"/>
  <c r="AK855" i="3"/>
  <c r="W855" i="3"/>
  <c r="AN854" i="3"/>
  <c r="AM854" i="3"/>
  <c r="AL854" i="3"/>
  <c r="AK854" i="3"/>
  <c r="W854" i="3"/>
  <c r="AN853" i="3"/>
  <c r="AM853" i="3"/>
  <c r="AL853" i="3"/>
  <c r="AK853" i="3"/>
  <c r="W853" i="3"/>
  <c r="AN852" i="3"/>
  <c r="AM852" i="3"/>
  <c r="AL852" i="3"/>
  <c r="AK852" i="3"/>
  <c r="W852" i="3"/>
  <c r="AN851" i="3"/>
  <c r="AM851" i="3"/>
  <c r="AL851" i="3"/>
  <c r="AK851" i="3"/>
  <c r="W851" i="3"/>
  <c r="AN850" i="3"/>
  <c r="AM850" i="3"/>
  <c r="AL850" i="3"/>
  <c r="AK850" i="3"/>
  <c r="W850" i="3"/>
  <c r="AN849" i="3"/>
  <c r="AM849" i="3"/>
  <c r="AL849" i="3"/>
  <c r="AK849" i="3"/>
  <c r="W849" i="3"/>
  <c r="AN848" i="3"/>
  <c r="AM848" i="3"/>
  <c r="AL848" i="3"/>
  <c r="AK848" i="3"/>
  <c r="W848" i="3"/>
  <c r="AN847" i="3"/>
  <c r="AM847" i="3"/>
  <c r="AL847" i="3"/>
  <c r="AK847" i="3"/>
  <c r="W847" i="3"/>
  <c r="AN846" i="3"/>
  <c r="AM846" i="3"/>
  <c r="AL846" i="3"/>
  <c r="AK846" i="3"/>
  <c r="W846" i="3"/>
  <c r="AN845" i="3"/>
  <c r="AM845" i="3"/>
  <c r="AL845" i="3"/>
  <c r="AK845" i="3"/>
  <c r="W845" i="3"/>
  <c r="AN844" i="3"/>
  <c r="AM844" i="3"/>
  <c r="AL844" i="3"/>
  <c r="AK844" i="3"/>
  <c r="W844" i="3"/>
  <c r="AN843" i="3"/>
  <c r="AM843" i="3"/>
  <c r="AL843" i="3"/>
  <c r="AK843" i="3"/>
  <c r="W843" i="3"/>
  <c r="AN842" i="3"/>
  <c r="AM842" i="3"/>
  <c r="AL842" i="3"/>
  <c r="AK842" i="3"/>
  <c r="W842" i="3"/>
  <c r="AN841" i="3"/>
  <c r="AM841" i="3"/>
  <c r="AL841" i="3"/>
  <c r="AK841" i="3"/>
  <c r="W841" i="3"/>
  <c r="AN840" i="3"/>
  <c r="AM840" i="3"/>
  <c r="AL840" i="3"/>
  <c r="AK840" i="3"/>
  <c r="W840" i="3"/>
  <c r="AN839" i="3"/>
  <c r="AM839" i="3"/>
  <c r="AL839" i="3"/>
  <c r="AK839" i="3"/>
  <c r="W839" i="3"/>
  <c r="AN838" i="3"/>
  <c r="AM838" i="3"/>
  <c r="AL838" i="3"/>
  <c r="AK838" i="3"/>
  <c r="W838" i="3"/>
  <c r="AN837" i="3"/>
  <c r="AM837" i="3"/>
  <c r="AL837" i="3"/>
  <c r="AK837" i="3"/>
  <c r="W837" i="3"/>
  <c r="AN836" i="3"/>
  <c r="AM836" i="3"/>
  <c r="AL836" i="3"/>
  <c r="AK836" i="3"/>
  <c r="W836" i="3"/>
  <c r="AN835" i="3"/>
  <c r="AM835" i="3"/>
  <c r="AL835" i="3"/>
  <c r="AK835" i="3"/>
  <c r="W835" i="3"/>
  <c r="AN834" i="3"/>
  <c r="AM834" i="3"/>
  <c r="AL834" i="3"/>
  <c r="AK834" i="3"/>
  <c r="W834" i="3"/>
  <c r="AN833" i="3"/>
  <c r="AM833" i="3"/>
  <c r="AL833" i="3"/>
  <c r="AK833" i="3"/>
  <c r="W833" i="3"/>
  <c r="AN832" i="3"/>
  <c r="AM832" i="3"/>
  <c r="AL832" i="3"/>
  <c r="AK832" i="3"/>
  <c r="W832" i="3"/>
  <c r="AN831" i="3"/>
  <c r="AM831" i="3"/>
  <c r="AL831" i="3"/>
  <c r="AK831" i="3"/>
  <c r="W831" i="3"/>
  <c r="AN830" i="3"/>
  <c r="AM830" i="3"/>
  <c r="AL830" i="3"/>
  <c r="AK830" i="3"/>
  <c r="W830" i="3"/>
  <c r="AN829" i="3"/>
  <c r="AM829" i="3"/>
  <c r="AL829" i="3"/>
  <c r="AK829" i="3"/>
  <c r="W829" i="3"/>
  <c r="AN828" i="3"/>
  <c r="AM828" i="3"/>
  <c r="AL828" i="3"/>
  <c r="AK828" i="3"/>
  <c r="W828" i="3"/>
  <c r="AN827" i="3"/>
  <c r="AM827" i="3"/>
  <c r="AL827" i="3"/>
  <c r="AK827" i="3"/>
  <c r="W827" i="3"/>
  <c r="AN826" i="3"/>
  <c r="AM826" i="3"/>
  <c r="AL826" i="3"/>
  <c r="AK826" i="3"/>
  <c r="W826" i="3"/>
  <c r="AN825" i="3"/>
  <c r="AM825" i="3"/>
  <c r="AL825" i="3"/>
  <c r="AK825" i="3"/>
  <c r="W825" i="3"/>
  <c r="AN824" i="3"/>
  <c r="AM824" i="3"/>
  <c r="AL824" i="3"/>
  <c r="AK824" i="3"/>
  <c r="W824" i="3"/>
  <c r="AN823" i="3"/>
  <c r="AM823" i="3"/>
  <c r="AL823" i="3"/>
  <c r="AK823" i="3"/>
  <c r="W823" i="3"/>
  <c r="AN822" i="3"/>
  <c r="AM822" i="3"/>
  <c r="AL822" i="3"/>
  <c r="AK822" i="3"/>
  <c r="W822" i="3"/>
  <c r="AN821" i="3"/>
  <c r="AM821" i="3"/>
  <c r="AL821" i="3"/>
  <c r="AK821" i="3"/>
  <c r="W821" i="3"/>
  <c r="AN820" i="3"/>
  <c r="AM820" i="3"/>
  <c r="AL820" i="3"/>
  <c r="AK820" i="3"/>
  <c r="W820" i="3"/>
  <c r="AN819" i="3"/>
  <c r="AM819" i="3"/>
  <c r="AL819" i="3"/>
  <c r="AK819" i="3"/>
  <c r="W819" i="3"/>
  <c r="AN818" i="3"/>
  <c r="AM818" i="3"/>
  <c r="AL818" i="3"/>
  <c r="AK818" i="3"/>
  <c r="W818" i="3"/>
  <c r="AN817" i="3"/>
  <c r="AM817" i="3"/>
  <c r="AL817" i="3"/>
  <c r="AK817" i="3"/>
  <c r="W817" i="3"/>
  <c r="AN816" i="3"/>
  <c r="AM816" i="3"/>
  <c r="AL816" i="3"/>
  <c r="AK816" i="3"/>
  <c r="W816" i="3"/>
  <c r="AN815" i="3"/>
  <c r="AM815" i="3"/>
  <c r="AL815" i="3"/>
  <c r="AK815" i="3"/>
  <c r="W815" i="3"/>
  <c r="AN814" i="3"/>
  <c r="AM814" i="3"/>
  <c r="AL814" i="3"/>
  <c r="AK814" i="3"/>
  <c r="W814" i="3"/>
  <c r="AN813" i="3"/>
  <c r="AM813" i="3"/>
  <c r="AL813" i="3"/>
  <c r="AK813" i="3"/>
  <c r="W813" i="3"/>
  <c r="AN812" i="3"/>
  <c r="AM812" i="3"/>
  <c r="AL812" i="3"/>
  <c r="AK812" i="3"/>
  <c r="W812" i="3"/>
  <c r="AN811" i="3"/>
  <c r="AM811" i="3"/>
  <c r="AL811" i="3"/>
  <c r="AK811" i="3"/>
  <c r="W811" i="3"/>
  <c r="AN810" i="3"/>
  <c r="AM810" i="3"/>
  <c r="AL810" i="3"/>
  <c r="AK810" i="3"/>
  <c r="W810" i="3"/>
  <c r="AN809" i="3"/>
  <c r="AM809" i="3"/>
  <c r="AL809" i="3"/>
  <c r="AK809" i="3"/>
  <c r="W809" i="3"/>
  <c r="AN808" i="3"/>
  <c r="AM808" i="3"/>
  <c r="AL808" i="3"/>
  <c r="AK808" i="3"/>
  <c r="W808" i="3"/>
  <c r="AN807" i="3"/>
  <c r="AM807" i="3"/>
  <c r="AL807" i="3"/>
  <c r="AK807" i="3"/>
  <c r="W807" i="3"/>
  <c r="AN806" i="3"/>
  <c r="AM806" i="3"/>
  <c r="AL806" i="3"/>
  <c r="AK806" i="3"/>
  <c r="W806" i="3"/>
  <c r="AN805" i="3"/>
  <c r="AM805" i="3"/>
  <c r="AL805" i="3"/>
  <c r="AK805" i="3"/>
  <c r="W805" i="3"/>
  <c r="AN804" i="3"/>
  <c r="AM804" i="3"/>
  <c r="AL804" i="3"/>
  <c r="AK804" i="3"/>
  <c r="W804" i="3"/>
  <c r="AN803" i="3"/>
  <c r="AM803" i="3"/>
  <c r="AL803" i="3"/>
  <c r="AK803" i="3"/>
  <c r="W803" i="3"/>
  <c r="AN802" i="3"/>
  <c r="AM802" i="3"/>
  <c r="AL802" i="3"/>
  <c r="AK802" i="3"/>
  <c r="W802" i="3"/>
  <c r="AN801" i="3"/>
  <c r="AM801" i="3"/>
  <c r="AL801" i="3"/>
  <c r="AK801" i="3"/>
  <c r="W801" i="3"/>
  <c r="AN800" i="3"/>
  <c r="AM800" i="3"/>
  <c r="AL800" i="3"/>
  <c r="AK800" i="3"/>
  <c r="W800" i="3"/>
  <c r="AN799" i="3"/>
  <c r="AM799" i="3"/>
  <c r="AL799" i="3"/>
  <c r="AK799" i="3"/>
  <c r="W799" i="3"/>
  <c r="AN798" i="3"/>
  <c r="AM798" i="3"/>
  <c r="AL798" i="3"/>
  <c r="AK798" i="3"/>
  <c r="W798" i="3"/>
  <c r="AN797" i="3"/>
  <c r="AM797" i="3"/>
  <c r="AL797" i="3"/>
  <c r="AK797" i="3"/>
  <c r="W797" i="3"/>
  <c r="AN796" i="3"/>
  <c r="AM796" i="3"/>
  <c r="AL796" i="3"/>
  <c r="AK796" i="3"/>
  <c r="W796" i="3"/>
  <c r="AN795" i="3"/>
  <c r="AM795" i="3"/>
  <c r="AL795" i="3"/>
  <c r="AK795" i="3"/>
  <c r="W795" i="3"/>
  <c r="AN794" i="3"/>
  <c r="AM794" i="3"/>
  <c r="AL794" i="3"/>
  <c r="AK794" i="3"/>
  <c r="W794" i="3"/>
  <c r="AN793" i="3"/>
  <c r="AM793" i="3"/>
  <c r="AL793" i="3"/>
  <c r="AK793" i="3"/>
  <c r="W793" i="3"/>
  <c r="AN792" i="3"/>
  <c r="AM792" i="3"/>
  <c r="AL792" i="3"/>
  <c r="AK792" i="3"/>
  <c r="W792" i="3"/>
  <c r="AN791" i="3"/>
  <c r="AM791" i="3"/>
  <c r="AL791" i="3"/>
  <c r="AK791" i="3"/>
  <c r="W791" i="3"/>
  <c r="AN790" i="3"/>
  <c r="AM790" i="3"/>
  <c r="AL790" i="3"/>
  <c r="AK790" i="3"/>
  <c r="W790" i="3"/>
  <c r="AN789" i="3"/>
  <c r="AM789" i="3"/>
  <c r="AL789" i="3"/>
  <c r="AK789" i="3"/>
  <c r="W789" i="3"/>
  <c r="AN788" i="3"/>
  <c r="AM788" i="3"/>
  <c r="AL788" i="3"/>
  <c r="AK788" i="3"/>
  <c r="W788" i="3"/>
  <c r="AN787" i="3"/>
  <c r="AM787" i="3"/>
  <c r="AL787" i="3"/>
  <c r="AK787" i="3"/>
  <c r="W787" i="3"/>
  <c r="AN786" i="3"/>
  <c r="AM786" i="3"/>
  <c r="AL786" i="3"/>
  <c r="AK786" i="3"/>
  <c r="W786" i="3"/>
  <c r="AN785" i="3"/>
  <c r="AM785" i="3"/>
  <c r="AL785" i="3"/>
  <c r="AK785" i="3"/>
  <c r="W785" i="3"/>
  <c r="AN784" i="3"/>
  <c r="AM784" i="3"/>
  <c r="AL784" i="3"/>
  <c r="AK784" i="3"/>
  <c r="W784" i="3"/>
  <c r="AN783" i="3"/>
  <c r="AM783" i="3"/>
  <c r="AL783" i="3"/>
  <c r="AK783" i="3"/>
  <c r="W783" i="3"/>
  <c r="AN782" i="3"/>
  <c r="AM782" i="3"/>
  <c r="AL782" i="3"/>
  <c r="AK782" i="3"/>
  <c r="W782" i="3"/>
  <c r="AN781" i="3"/>
  <c r="AM781" i="3"/>
  <c r="AL781" i="3"/>
  <c r="AK781" i="3"/>
  <c r="W781" i="3"/>
  <c r="AN780" i="3"/>
  <c r="AM780" i="3"/>
  <c r="AL780" i="3"/>
  <c r="AK780" i="3"/>
  <c r="W780" i="3"/>
  <c r="AN779" i="3"/>
  <c r="AM779" i="3"/>
  <c r="AL779" i="3"/>
  <c r="AK779" i="3"/>
  <c r="W779" i="3"/>
  <c r="AN778" i="3"/>
  <c r="AM778" i="3"/>
  <c r="AL778" i="3"/>
  <c r="AK778" i="3"/>
  <c r="W778" i="3"/>
  <c r="AN777" i="3"/>
  <c r="AM777" i="3"/>
  <c r="AL777" i="3"/>
  <c r="AK777" i="3"/>
  <c r="W777" i="3"/>
  <c r="AN776" i="3"/>
  <c r="AM776" i="3"/>
  <c r="AL776" i="3"/>
  <c r="AK776" i="3"/>
  <c r="W776" i="3"/>
  <c r="AN775" i="3"/>
  <c r="AM775" i="3"/>
  <c r="AL775" i="3"/>
  <c r="AK775" i="3"/>
  <c r="W775" i="3"/>
  <c r="AN774" i="3"/>
  <c r="AM774" i="3"/>
  <c r="AL774" i="3"/>
  <c r="AK774" i="3"/>
  <c r="W774" i="3"/>
  <c r="AN773" i="3"/>
  <c r="AM773" i="3"/>
  <c r="AL773" i="3"/>
  <c r="AK773" i="3"/>
  <c r="W773" i="3"/>
  <c r="AN772" i="3"/>
  <c r="AM772" i="3"/>
  <c r="AL772" i="3"/>
  <c r="AK772" i="3"/>
  <c r="W772" i="3"/>
  <c r="AN771" i="3"/>
  <c r="AM771" i="3"/>
  <c r="AL771" i="3"/>
  <c r="AK771" i="3"/>
  <c r="W771" i="3"/>
  <c r="AN770" i="3"/>
  <c r="AM770" i="3"/>
  <c r="AL770" i="3"/>
  <c r="AK770" i="3"/>
  <c r="W770" i="3"/>
  <c r="AN769" i="3"/>
  <c r="AM769" i="3"/>
  <c r="AL769" i="3"/>
  <c r="AK769" i="3"/>
  <c r="W769" i="3"/>
  <c r="AN768" i="3"/>
  <c r="AM768" i="3"/>
  <c r="AL768" i="3"/>
  <c r="AK768" i="3"/>
  <c r="W768" i="3"/>
  <c r="AN767" i="3"/>
  <c r="AM767" i="3"/>
  <c r="AL767" i="3"/>
  <c r="AK767" i="3"/>
  <c r="W767" i="3"/>
  <c r="AN766" i="3"/>
  <c r="AM766" i="3"/>
  <c r="AL766" i="3"/>
  <c r="AK766" i="3"/>
  <c r="W766" i="3"/>
  <c r="AN765" i="3"/>
  <c r="AM765" i="3"/>
  <c r="AL765" i="3"/>
  <c r="AK765" i="3"/>
  <c r="W765" i="3"/>
  <c r="AN764" i="3"/>
  <c r="AM764" i="3"/>
  <c r="AL764" i="3"/>
  <c r="AK764" i="3"/>
  <c r="W764" i="3"/>
  <c r="AN763" i="3"/>
  <c r="AM763" i="3"/>
  <c r="AL763" i="3"/>
  <c r="AK763" i="3"/>
  <c r="W763" i="3"/>
  <c r="AN762" i="3"/>
  <c r="AM762" i="3"/>
  <c r="AL762" i="3"/>
  <c r="AK762" i="3"/>
  <c r="W762" i="3"/>
  <c r="AN761" i="3"/>
  <c r="AM761" i="3"/>
  <c r="AL761" i="3"/>
  <c r="AK761" i="3"/>
  <c r="W761" i="3"/>
  <c r="AN760" i="3"/>
  <c r="AM760" i="3"/>
  <c r="AL760" i="3"/>
  <c r="AK760" i="3"/>
  <c r="W760" i="3"/>
  <c r="AN759" i="3"/>
  <c r="AM759" i="3"/>
  <c r="AL759" i="3"/>
  <c r="AK759" i="3"/>
  <c r="W759" i="3"/>
  <c r="AN758" i="3"/>
  <c r="AM758" i="3"/>
  <c r="AL758" i="3"/>
  <c r="AK758" i="3"/>
  <c r="W758" i="3"/>
  <c r="AN757" i="3"/>
  <c r="AM757" i="3"/>
  <c r="AL757" i="3"/>
  <c r="AK757" i="3"/>
  <c r="W757" i="3"/>
  <c r="AN756" i="3"/>
  <c r="AM756" i="3"/>
  <c r="AL756" i="3"/>
  <c r="AK756" i="3"/>
  <c r="W756" i="3"/>
  <c r="AN755" i="3"/>
  <c r="AM755" i="3"/>
  <c r="AL755" i="3"/>
  <c r="AK755" i="3"/>
  <c r="W755" i="3"/>
  <c r="AN754" i="3"/>
  <c r="AM754" i="3"/>
  <c r="AL754" i="3"/>
  <c r="AK754" i="3"/>
  <c r="W754" i="3"/>
  <c r="AN753" i="3"/>
  <c r="AM753" i="3"/>
  <c r="AL753" i="3"/>
  <c r="AK753" i="3"/>
  <c r="W753" i="3"/>
  <c r="AN752" i="3"/>
  <c r="AM752" i="3"/>
  <c r="AL752" i="3"/>
  <c r="AK752" i="3"/>
  <c r="W752" i="3"/>
  <c r="AN751" i="3"/>
  <c r="AM751" i="3"/>
  <c r="AL751" i="3"/>
  <c r="AK751" i="3"/>
  <c r="W751" i="3"/>
  <c r="AN750" i="3"/>
  <c r="AM750" i="3"/>
  <c r="AL750" i="3"/>
  <c r="AK750" i="3"/>
  <c r="W750" i="3"/>
  <c r="AN749" i="3"/>
  <c r="AM749" i="3"/>
  <c r="AL749" i="3"/>
  <c r="AK749" i="3"/>
  <c r="W749" i="3"/>
  <c r="AN748" i="3"/>
  <c r="AM748" i="3"/>
  <c r="AL748" i="3"/>
  <c r="AK748" i="3"/>
  <c r="W748" i="3"/>
  <c r="AN747" i="3"/>
  <c r="AM747" i="3"/>
  <c r="AL747" i="3"/>
  <c r="AK747" i="3"/>
  <c r="W747" i="3"/>
  <c r="AN746" i="3"/>
  <c r="AM746" i="3"/>
  <c r="AL746" i="3"/>
  <c r="AK746" i="3"/>
  <c r="W746" i="3"/>
  <c r="AN745" i="3"/>
  <c r="AM745" i="3"/>
  <c r="AL745" i="3"/>
  <c r="AK745" i="3"/>
  <c r="W745" i="3"/>
  <c r="AN744" i="3"/>
  <c r="AM744" i="3"/>
  <c r="AL744" i="3"/>
  <c r="AK744" i="3"/>
  <c r="W744" i="3"/>
  <c r="AN743" i="3"/>
  <c r="AM743" i="3"/>
  <c r="AL743" i="3"/>
  <c r="AK743" i="3"/>
  <c r="W743" i="3"/>
  <c r="AN742" i="3"/>
  <c r="AM742" i="3"/>
  <c r="AL742" i="3"/>
  <c r="AK742" i="3"/>
  <c r="W742" i="3"/>
  <c r="AN741" i="3"/>
  <c r="AM741" i="3"/>
  <c r="AL741" i="3"/>
  <c r="AK741" i="3"/>
  <c r="W741" i="3"/>
  <c r="AN740" i="3"/>
  <c r="AM740" i="3"/>
  <c r="AL740" i="3"/>
  <c r="AK740" i="3"/>
  <c r="W740" i="3"/>
  <c r="AN739" i="3"/>
  <c r="AM739" i="3"/>
  <c r="AL739" i="3"/>
  <c r="AK739" i="3"/>
  <c r="W739" i="3"/>
  <c r="AN738" i="3"/>
  <c r="AM738" i="3"/>
  <c r="AL738" i="3"/>
  <c r="AK738" i="3"/>
  <c r="W738" i="3"/>
  <c r="AN737" i="3"/>
  <c r="AM737" i="3"/>
  <c r="AL737" i="3"/>
  <c r="AK737" i="3"/>
  <c r="W737" i="3"/>
  <c r="AN736" i="3"/>
  <c r="AM736" i="3"/>
  <c r="AL736" i="3"/>
  <c r="AK736" i="3"/>
  <c r="W736" i="3"/>
  <c r="AN735" i="3"/>
  <c r="AM735" i="3"/>
  <c r="AL735" i="3"/>
  <c r="AK735" i="3"/>
  <c r="W735" i="3"/>
  <c r="AN734" i="3"/>
  <c r="AM734" i="3"/>
  <c r="AL734" i="3"/>
  <c r="AK734" i="3"/>
  <c r="W734" i="3"/>
  <c r="AN733" i="3"/>
  <c r="AM733" i="3"/>
  <c r="AL733" i="3"/>
  <c r="AK733" i="3"/>
  <c r="W733" i="3"/>
  <c r="AN732" i="3"/>
  <c r="AM732" i="3"/>
  <c r="AL732" i="3"/>
  <c r="AK732" i="3"/>
  <c r="W732" i="3"/>
  <c r="AN731" i="3"/>
  <c r="AM731" i="3"/>
  <c r="AL731" i="3"/>
  <c r="AK731" i="3"/>
  <c r="W731" i="3"/>
  <c r="AN730" i="3"/>
  <c r="AM730" i="3"/>
  <c r="AL730" i="3"/>
  <c r="AK730" i="3"/>
  <c r="W730" i="3"/>
  <c r="AN729" i="3"/>
  <c r="AM729" i="3"/>
  <c r="AL729" i="3"/>
  <c r="AK729" i="3"/>
  <c r="W729" i="3"/>
  <c r="AN728" i="3"/>
  <c r="AM728" i="3"/>
  <c r="AL728" i="3"/>
  <c r="AK728" i="3"/>
  <c r="W728" i="3"/>
  <c r="AN727" i="3"/>
  <c r="AM727" i="3"/>
  <c r="AL727" i="3"/>
  <c r="AK727" i="3"/>
  <c r="W727" i="3"/>
  <c r="AN726" i="3"/>
  <c r="AM726" i="3"/>
  <c r="AL726" i="3"/>
  <c r="AK726" i="3"/>
  <c r="W726" i="3"/>
  <c r="AN725" i="3"/>
  <c r="AM725" i="3"/>
  <c r="AL725" i="3"/>
  <c r="AK725" i="3"/>
  <c r="W725" i="3"/>
  <c r="AN724" i="3"/>
  <c r="AM724" i="3"/>
  <c r="AL724" i="3"/>
  <c r="AK724" i="3"/>
  <c r="W724" i="3"/>
  <c r="AN723" i="3"/>
  <c r="AM723" i="3"/>
  <c r="AL723" i="3"/>
  <c r="AK723" i="3"/>
  <c r="W723" i="3"/>
  <c r="AN722" i="3"/>
  <c r="AM722" i="3"/>
  <c r="AL722" i="3"/>
  <c r="AK722" i="3"/>
  <c r="W722" i="3"/>
  <c r="AN721" i="3"/>
  <c r="AM721" i="3"/>
  <c r="AL721" i="3"/>
  <c r="AK721" i="3"/>
  <c r="W721" i="3"/>
  <c r="AN720" i="3"/>
  <c r="AM720" i="3"/>
  <c r="AL720" i="3"/>
  <c r="AK720" i="3"/>
  <c r="W720" i="3"/>
  <c r="AN719" i="3"/>
  <c r="AM719" i="3"/>
  <c r="AL719" i="3"/>
  <c r="AK719" i="3"/>
  <c r="W719" i="3"/>
  <c r="AN718" i="3"/>
  <c r="AM718" i="3"/>
  <c r="AL718" i="3"/>
  <c r="AK718" i="3"/>
  <c r="W718" i="3"/>
  <c r="AN717" i="3"/>
  <c r="AM717" i="3"/>
  <c r="AL717" i="3"/>
  <c r="AK717" i="3"/>
  <c r="W717" i="3"/>
  <c r="AN716" i="3"/>
  <c r="AM716" i="3"/>
  <c r="AL716" i="3"/>
  <c r="AK716" i="3"/>
  <c r="W716" i="3"/>
  <c r="AN715" i="3"/>
  <c r="AM715" i="3"/>
  <c r="AL715" i="3"/>
  <c r="AK715" i="3"/>
  <c r="W715" i="3"/>
  <c r="AN714" i="3"/>
  <c r="AM714" i="3"/>
  <c r="AL714" i="3"/>
  <c r="AK714" i="3"/>
  <c r="W714" i="3"/>
  <c r="AN713" i="3"/>
  <c r="AM713" i="3"/>
  <c r="AL713" i="3"/>
  <c r="AK713" i="3"/>
  <c r="W713" i="3"/>
  <c r="AN712" i="3"/>
  <c r="AM712" i="3"/>
  <c r="AL712" i="3"/>
  <c r="AK712" i="3"/>
  <c r="W712" i="3"/>
  <c r="AN711" i="3"/>
  <c r="AM711" i="3"/>
  <c r="AL711" i="3"/>
  <c r="AK711" i="3"/>
  <c r="W711" i="3"/>
  <c r="AN710" i="3"/>
  <c r="AM710" i="3"/>
  <c r="AL710" i="3"/>
  <c r="AK710" i="3"/>
  <c r="W710" i="3"/>
  <c r="AN709" i="3"/>
  <c r="AM709" i="3"/>
  <c r="AL709" i="3"/>
  <c r="AK709" i="3"/>
  <c r="W709" i="3"/>
  <c r="AN708" i="3"/>
  <c r="AM708" i="3"/>
  <c r="AL708" i="3"/>
  <c r="AK708" i="3"/>
  <c r="W708" i="3"/>
  <c r="AN707" i="3"/>
  <c r="AM707" i="3"/>
  <c r="AL707" i="3"/>
  <c r="AK707" i="3"/>
  <c r="W707" i="3"/>
  <c r="AN706" i="3"/>
  <c r="AM706" i="3"/>
  <c r="AL706" i="3"/>
  <c r="AK706" i="3"/>
  <c r="W706" i="3"/>
  <c r="AN705" i="3"/>
  <c r="AM705" i="3"/>
  <c r="AL705" i="3"/>
  <c r="AK705" i="3"/>
  <c r="W705" i="3"/>
  <c r="AN704" i="3"/>
  <c r="AM704" i="3"/>
  <c r="AL704" i="3"/>
  <c r="AK704" i="3"/>
  <c r="W704" i="3"/>
  <c r="AN703" i="3"/>
  <c r="AM703" i="3"/>
  <c r="AL703" i="3"/>
  <c r="AK703" i="3"/>
  <c r="W703" i="3"/>
  <c r="AN702" i="3"/>
  <c r="AM702" i="3"/>
  <c r="AL702" i="3"/>
  <c r="AK702" i="3"/>
  <c r="W702" i="3"/>
  <c r="AN701" i="3"/>
  <c r="AM701" i="3"/>
  <c r="AL701" i="3"/>
  <c r="AK701" i="3"/>
  <c r="W701" i="3"/>
  <c r="AN700" i="3"/>
  <c r="AM700" i="3"/>
  <c r="AL700" i="3"/>
  <c r="AK700" i="3"/>
  <c r="W700" i="3"/>
  <c r="AN699" i="3"/>
  <c r="AM699" i="3"/>
  <c r="AL699" i="3"/>
  <c r="AK699" i="3"/>
  <c r="W699" i="3"/>
  <c r="AN698" i="3"/>
  <c r="AM698" i="3"/>
  <c r="AL698" i="3"/>
  <c r="AK698" i="3"/>
  <c r="W698" i="3"/>
  <c r="AN697" i="3"/>
  <c r="AM697" i="3"/>
  <c r="AL697" i="3"/>
  <c r="AK697" i="3"/>
  <c r="W697" i="3"/>
  <c r="AN696" i="3"/>
  <c r="AM696" i="3"/>
  <c r="AL696" i="3"/>
  <c r="AK696" i="3"/>
  <c r="W696" i="3"/>
  <c r="AN695" i="3"/>
  <c r="AM695" i="3"/>
  <c r="AL695" i="3"/>
  <c r="AK695" i="3"/>
  <c r="W695" i="3"/>
  <c r="AN694" i="3"/>
  <c r="AM694" i="3"/>
  <c r="AL694" i="3"/>
  <c r="AK694" i="3"/>
  <c r="W694" i="3"/>
  <c r="AN693" i="3"/>
  <c r="AM693" i="3"/>
  <c r="AL693" i="3"/>
  <c r="AK693" i="3"/>
  <c r="W693" i="3"/>
  <c r="AN692" i="3"/>
  <c r="AM692" i="3"/>
  <c r="AL692" i="3"/>
  <c r="AK692" i="3"/>
  <c r="W692" i="3"/>
  <c r="AN691" i="3"/>
  <c r="AM691" i="3"/>
  <c r="AL691" i="3"/>
  <c r="AK691" i="3"/>
  <c r="W691" i="3"/>
  <c r="AN690" i="3"/>
  <c r="AM690" i="3"/>
  <c r="AL690" i="3"/>
  <c r="AK690" i="3"/>
  <c r="W690" i="3"/>
  <c r="AN689" i="3"/>
  <c r="AM689" i="3"/>
  <c r="AL689" i="3"/>
  <c r="AK689" i="3"/>
  <c r="W689" i="3"/>
  <c r="AN688" i="3"/>
  <c r="AM688" i="3"/>
  <c r="AL688" i="3"/>
  <c r="AK688" i="3"/>
  <c r="W688" i="3"/>
  <c r="AN687" i="3"/>
  <c r="AM687" i="3"/>
  <c r="AL687" i="3"/>
  <c r="AK687" i="3"/>
  <c r="W687" i="3"/>
  <c r="AN686" i="3"/>
  <c r="AM686" i="3"/>
  <c r="AL686" i="3"/>
  <c r="AK686" i="3"/>
  <c r="W686" i="3"/>
  <c r="AN685" i="3"/>
  <c r="AM685" i="3"/>
  <c r="AL685" i="3"/>
  <c r="AK685" i="3"/>
  <c r="W685" i="3"/>
  <c r="AN684" i="3"/>
  <c r="AM684" i="3"/>
  <c r="AL684" i="3"/>
  <c r="AK684" i="3"/>
  <c r="W684" i="3"/>
  <c r="AN683" i="3"/>
  <c r="AM683" i="3"/>
  <c r="AL683" i="3"/>
  <c r="AK683" i="3"/>
  <c r="W683" i="3"/>
  <c r="AN682" i="3"/>
  <c r="AM682" i="3"/>
  <c r="AL682" i="3"/>
  <c r="AK682" i="3"/>
  <c r="W682" i="3"/>
  <c r="AN681" i="3"/>
  <c r="AM681" i="3"/>
  <c r="AL681" i="3"/>
  <c r="AK681" i="3"/>
  <c r="W681" i="3"/>
  <c r="AN680" i="3"/>
  <c r="AM680" i="3"/>
  <c r="AL680" i="3"/>
  <c r="AK680" i="3"/>
  <c r="W680" i="3"/>
  <c r="AN679" i="3"/>
  <c r="AM679" i="3"/>
  <c r="AL679" i="3"/>
  <c r="AK679" i="3"/>
  <c r="W679" i="3"/>
  <c r="AN678" i="3"/>
  <c r="AM678" i="3"/>
  <c r="AL678" i="3"/>
  <c r="AK678" i="3"/>
  <c r="W678" i="3"/>
  <c r="AN677" i="3"/>
  <c r="AM677" i="3"/>
  <c r="AL677" i="3"/>
  <c r="AK677" i="3"/>
  <c r="W677" i="3"/>
  <c r="AN676" i="3"/>
  <c r="AM676" i="3"/>
  <c r="AL676" i="3"/>
  <c r="AK676" i="3"/>
  <c r="W676" i="3"/>
  <c r="AN675" i="3"/>
  <c r="AM675" i="3"/>
  <c r="AL675" i="3"/>
  <c r="AK675" i="3"/>
  <c r="W675" i="3"/>
  <c r="AN674" i="3"/>
  <c r="AM674" i="3"/>
  <c r="AL674" i="3"/>
  <c r="AK674" i="3"/>
  <c r="W674" i="3"/>
  <c r="AN673" i="3"/>
  <c r="AM673" i="3"/>
  <c r="AL673" i="3"/>
  <c r="AK673" i="3"/>
  <c r="W673" i="3"/>
  <c r="AN672" i="3"/>
  <c r="AM672" i="3"/>
  <c r="AL672" i="3"/>
  <c r="AK672" i="3"/>
  <c r="W672" i="3"/>
  <c r="AN671" i="3"/>
  <c r="AM671" i="3"/>
  <c r="AL671" i="3"/>
  <c r="AK671" i="3"/>
  <c r="W671" i="3"/>
  <c r="AN670" i="3"/>
  <c r="AM670" i="3"/>
  <c r="AL670" i="3"/>
  <c r="AK670" i="3"/>
  <c r="W670" i="3"/>
  <c r="AN669" i="3"/>
  <c r="AM669" i="3"/>
  <c r="AL669" i="3"/>
  <c r="AK669" i="3"/>
  <c r="W669" i="3"/>
  <c r="AN668" i="3"/>
  <c r="AM668" i="3"/>
  <c r="AL668" i="3"/>
  <c r="AK668" i="3"/>
  <c r="W668" i="3"/>
  <c r="AN667" i="3"/>
  <c r="AM667" i="3"/>
  <c r="AL667" i="3"/>
  <c r="AK667" i="3"/>
  <c r="W667" i="3"/>
  <c r="AN666" i="3"/>
  <c r="AM666" i="3"/>
  <c r="AL666" i="3"/>
  <c r="AK666" i="3"/>
  <c r="W666" i="3"/>
  <c r="AN665" i="3"/>
  <c r="AM665" i="3"/>
  <c r="AL665" i="3"/>
  <c r="AK665" i="3"/>
  <c r="W665" i="3"/>
  <c r="AN664" i="3"/>
  <c r="AM664" i="3"/>
  <c r="AL664" i="3"/>
  <c r="AK664" i="3"/>
  <c r="W664" i="3"/>
  <c r="AN663" i="3"/>
  <c r="AM663" i="3"/>
  <c r="AL663" i="3"/>
  <c r="AK663" i="3"/>
  <c r="W663" i="3"/>
  <c r="AN662" i="3"/>
  <c r="AM662" i="3"/>
  <c r="AL662" i="3"/>
  <c r="AK662" i="3"/>
  <c r="W662" i="3"/>
  <c r="AN661" i="3"/>
  <c r="AM661" i="3"/>
  <c r="AL661" i="3"/>
  <c r="AK661" i="3"/>
  <c r="W661" i="3"/>
  <c r="AN660" i="3"/>
  <c r="AM660" i="3"/>
  <c r="AL660" i="3"/>
  <c r="AK660" i="3"/>
  <c r="W660" i="3"/>
  <c r="AN659" i="3"/>
  <c r="AM659" i="3"/>
  <c r="AL659" i="3"/>
  <c r="AK659" i="3"/>
  <c r="W659" i="3"/>
  <c r="AN658" i="3"/>
  <c r="AM658" i="3"/>
  <c r="AL658" i="3"/>
  <c r="AK658" i="3"/>
  <c r="W658" i="3"/>
  <c r="AN657" i="3"/>
  <c r="AM657" i="3"/>
  <c r="AL657" i="3"/>
  <c r="AK657" i="3"/>
  <c r="W657" i="3"/>
  <c r="AN656" i="3"/>
  <c r="AM656" i="3"/>
  <c r="AL656" i="3"/>
  <c r="AK656" i="3"/>
  <c r="W656" i="3"/>
  <c r="AN655" i="3"/>
  <c r="AM655" i="3"/>
  <c r="AL655" i="3"/>
  <c r="AK655" i="3"/>
  <c r="W655" i="3"/>
  <c r="AN654" i="3"/>
  <c r="AM654" i="3"/>
  <c r="AL654" i="3"/>
  <c r="AK654" i="3"/>
  <c r="W654" i="3"/>
  <c r="AN653" i="3"/>
  <c r="AM653" i="3"/>
  <c r="AL653" i="3"/>
  <c r="AK653" i="3"/>
  <c r="W653" i="3"/>
  <c r="AN652" i="3"/>
  <c r="AM652" i="3"/>
  <c r="AL652" i="3"/>
  <c r="AK652" i="3"/>
  <c r="W652" i="3"/>
  <c r="AN651" i="3"/>
  <c r="AM651" i="3"/>
  <c r="AL651" i="3"/>
  <c r="AK651" i="3"/>
  <c r="W651" i="3"/>
  <c r="AN650" i="3"/>
  <c r="AM650" i="3"/>
  <c r="AL650" i="3"/>
  <c r="AK650" i="3"/>
  <c r="W650" i="3"/>
  <c r="AN649" i="3"/>
  <c r="AM649" i="3"/>
  <c r="AL649" i="3"/>
  <c r="AK649" i="3"/>
  <c r="W649" i="3"/>
  <c r="AN648" i="3"/>
  <c r="AM648" i="3"/>
  <c r="AL648" i="3"/>
  <c r="AK648" i="3"/>
  <c r="W648" i="3"/>
  <c r="AN647" i="3"/>
  <c r="AM647" i="3"/>
  <c r="AL647" i="3"/>
  <c r="AK647" i="3"/>
  <c r="W647" i="3"/>
  <c r="AN646" i="3"/>
  <c r="AM646" i="3"/>
  <c r="AL646" i="3"/>
  <c r="AK646" i="3"/>
  <c r="W646" i="3"/>
  <c r="AN645" i="3"/>
  <c r="AM645" i="3"/>
  <c r="AL645" i="3"/>
  <c r="AK645" i="3"/>
  <c r="W645" i="3"/>
  <c r="AN644" i="3"/>
  <c r="AM644" i="3"/>
  <c r="AL644" i="3"/>
  <c r="AK644" i="3"/>
  <c r="W644" i="3"/>
  <c r="AN643" i="3"/>
  <c r="AM643" i="3"/>
  <c r="AL643" i="3"/>
  <c r="AK643" i="3"/>
  <c r="W643" i="3"/>
  <c r="AN642" i="3"/>
  <c r="AM642" i="3"/>
  <c r="AL642" i="3"/>
  <c r="AK642" i="3"/>
  <c r="W642" i="3"/>
  <c r="AN641" i="3"/>
  <c r="AM641" i="3"/>
  <c r="AL641" i="3"/>
  <c r="AK641" i="3"/>
  <c r="W641" i="3"/>
  <c r="AN640" i="3"/>
  <c r="AM640" i="3"/>
  <c r="AL640" i="3"/>
  <c r="AK640" i="3"/>
  <c r="W640" i="3"/>
  <c r="AN639" i="3"/>
  <c r="AM639" i="3"/>
  <c r="AL639" i="3"/>
  <c r="AK639" i="3"/>
  <c r="W639" i="3"/>
  <c r="AN638" i="3"/>
  <c r="AM638" i="3"/>
  <c r="AL638" i="3"/>
  <c r="AK638" i="3"/>
  <c r="W638" i="3"/>
  <c r="AN637" i="3"/>
  <c r="AM637" i="3"/>
  <c r="AL637" i="3"/>
  <c r="AK637" i="3"/>
  <c r="W637" i="3"/>
  <c r="AN636" i="3"/>
  <c r="AM636" i="3"/>
  <c r="AL636" i="3"/>
  <c r="AK636" i="3"/>
  <c r="W636" i="3"/>
  <c r="AN635" i="3"/>
  <c r="AM635" i="3"/>
  <c r="AL635" i="3"/>
  <c r="AK635" i="3"/>
  <c r="W635" i="3"/>
  <c r="AN634" i="3"/>
  <c r="AM634" i="3"/>
  <c r="AL634" i="3"/>
  <c r="AK634" i="3"/>
  <c r="W634" i="3"/>
  <c r="AN633" i="3"/>
  <c r="AM633" i="3"/>
  <c r="AL633" i="3"/>
  <c r="AK633" i="3"/>
  <c r="W633" i="3"/>
  <c r="AN632" i="3"/>
  <c r="AM632" i="3"/>
  <c r="AL632" i="3"/>
  <c r="AK632" i="3"/>
  <c r="W632" i="3"/>
  <c r="AN631" i="3"/>
  <c r="AM631" i="3"/>
  <c r="AL631" i="3"/>
  <c r="AK631" i="3"/>
  <c r="W631" i="3"/>
  <c r="AN630" i="3"/>
  <c r="AM630" i="3"/>
  <c r="AL630" i="3"/>
  <c r="AK630" i="3"/>
  <c r="W630" i="3"/>
  <c r="AN629" i="3"/>
  <c r="AM629" i="3"/>
  <c r="AL629" i="3"/>
  <c r="AK629" i="3"/>
  <c r="W629" i="3"/>
  <c r="AN628" i="3"/>
  <c r="AM628" i="3"/>
  <c r="AL628" i="3"/>
  <c r="AK628" i="3"/>
  <c r="W628" i="3"/>
  <c r="AN627" i="3"/>
  <c r="AM627" i="3"/>
  <c r="AL627" i="3"/>
  <c r="AK627" i="3"/>
  <c r="W627" i="3"/>
  <c r="AN626" i="3"/>
  <c r="AM626" i="3"/>
  <c r="AL626" i="3"/>
  <c r="AK626" i="3"/>
  <c r="W626" i="3"/>
  <c r="AN625" i="3"/>
  <c r="AM625" i="3"/>
  <c r="AL625" i="3"/>
  <c r="AK625" i="3"/>
  <c r="W625" i="3"/>
  <c r="AN624" i="3"/>
  <c r="AM624" i="3"/>
  <c r="AL624" i="3"/>
  <c r="AK624" i="3"/>
  <c r="W624" i="3"/>
  <c r="AN623" i="3"/>
  <c r="AM623" i="3"/>
  <c r="AL623" i="3"/>
  <c r="AK623" i="3"/>
  <c r="W623" i="3"/>
  <c r="AN622" i="3"/>
  <c r="AM622" i="3"/>
  <c r="AL622" i="3"/>
  <c r="AK622" i="3"/>
  <c r="W622" i="3"/>
  <c r="AN621" i="3"/>
  <c r="AM621" i="3"/>
  <c r="AL621" i="3"/>
  <c r="AK621" i="3"/>
  <c r="W621" i="3"/>
  <c r="AN620" i="3"/>
  <c r="AM620" i="3"/>
  <c r="AL620" i="3"/>
  <c r="AK620" i="3"/>
  <c r="W620" i="3"/>
  <c r="AN619" i="3"/>
  <c r="AM619" i="3"/>
  <c r="AL619" i="3"/>
  <c r="AK619" i="3"/>
  <c r="W619" i="3"/>
  <c r="AN618" i="3"/>
  <c r="AM618" i="3"/>
  <c r="AL618" i="3"/>
  <c r="AK618" i="3"/>
  <c r="W618" i="3"/>
  <c r="AN617" i="3"/>
  <c r="AM617" i="3"/>
  <c r="AL617" i="3"/>
  <c r="AK617" i="3"/>
  <c r="W617" i="3"/>
  <c r="AN616" i="3"/>
  <c r="AM616" i="3"/>
  <c r="AL616" i="3"/>
  <c r="AK616" i="3"/>
  <c r="W616" i="3"/>
  <c r="AN615" i="3"/>
  <c r="AM615" i="3"/>
  <c r="AL615" i="3"/>
  <c r="AK615" i="3"/>
  <c r="W615" i="3"/>
  <c r="AN614" i="3"/>
  <c r="AM614" i="3"/>
  <c r="AL614" i="3"/>
  <c r="AK614" i="3"/>
  <c r="W614" i="3"/>
  <c r="AN613" i="3"/>
  <c r="AM613" i="3"/>
  <c r="AL613" i="3"/>
  <c r="AK613" i="3"/>
  <c r="W613" i="3"/>
  <c r="AN612" i="3"/>
  <c r="AM612" i="3"/>
  <c r="AL612" i="3"/>
  <c r="AK612" i="3"/>
  <c r="W612" i="3"/>
  <c r="AN611" i="3"/>
  <c r="AM611" i="3"/>
  <c r="AL611" i="3"/>
  <c r="AK611" i="3"/>
  <c r="W611" i="3"/>
  <c r="AN610" i="3"/>
  <c r="AM610" i="3"/>
  <c r="AL610" i="3"/>
  <c r="AK610" i="3"/>
  <c r="W610" i="3"/>
  <c r="AN609" i="3"/>
  <c r="AM609" i="3"/>
  <c r="AL609" i="3"/>
  <c r="AK609" i="3"/>
  <c r="W609" i="3"/>
  <c r="AN608" i="3"/>
  <c r="AM608" i="3"/>
  <c r="AL608" i="3"/>
  <c r="AK608" i="3"/>
  <c r="W608" i="3"/>
  <c r="AN607" i="3"/>
  <c r="AM607" i="3"/>
  <c r="AL607" i="3"/>
  <c r="AK607" i="3"/>
  <c r="W607" i="3"/>
  <c r="AN606" i="3"/>
  <c r="AM606" i="3"/>
  <c r="AL606" i="3"/>
  <c r="AK606" i="3"/>
  <c r="W606" i="3"/>
  <c r="AN605" i="3"/>
  <c r="AM605" i="3"/>
  <c r="AL605" i="3"/>
  <c r="AK605" i="3"/>
  <c r="W605" i="3"/>
  <c r="AN604" i="3"/>
  <c r="AM604" i="3"/>
  <c r="AL604" i="3"/>
  <c r="AK604" i="3"/>
  <c r="W604" i="3"/>
  <c r="AN603" i="3"/>
  <c r="AM603" i="3"/>
  <c r="AL603" i="3"/>
  <c r="AK603" i="3"/>
  <c r="W603" i="3"/>
  <c r="AN602" i="3"/>
  <c r="AM602" i="3"/>
  <c r="AL602" i="3"/>
  <c r="AK602" i="3"/>
  <c r="W602" i="3"/>
  <c r="AN601" i="3"/>
  <c r="AM601" i="3"/>
  <c r="AL601" i="3"/>
  <c r="AK601" i="3"/>
  <c r="W601" i="3"/>
  <c r="AN600" i="3"/>
  <c r="AM600" i="3"/>
  <c r="AL600" i="3"/>
  <c r="AK600" i="3"/>
  <c r="W600" i="3"/>
  <c r="AN599" i="3"/>
  <c r="AM599" i="3"/>
  <c r="AL599" i="3"/>
  <c r="AK599" i="3"/>
  <c r="W599" i="3"/>
  <c r="AN598" i="3"/>
  <c r="AM598" i="3"/>
  <c r="AL598" i="3"/>
  <c r="AK598" i="3"/>
  <c r="W598" i="3"/>
  <c r="AN597" i="3"/>
  <c r="AM597" i="3"/>
  <c r="AL597" i="3"/>
  <c r="AK597" i="3"/>
  <c r="W597" i="3"/>
  <c r="AN596" i="3"/>
  <c r="AM596" i="3"/>
  <c r="AL596" i="3"/>
  <c r="AK596" i="3"/>
  <c r="W596" i="3"/>
  <c r="AN595" i="3"/>
  <c r="AM595" i="3"/>
  <c r="AL595" i="3"/>
  <c r="AK595" i="3"/>
  <c r="W595" i="3"/>
  <c r="AN594" i="3"/>
  <c r="AM594" i="3"/>
  <c r="AL594" i="3"/>
  <c r="AK594" i="3"/>
  <c r="W594" i="3"/>
  <c r="AN593" i="3"/>
  <c r="AM593" i="3"/>
  <c r="AL593" i="3"/>
  <c r="AK593" i="3"/>
  <c r="W593" i="3"/>
  <c r="AN592" i="3"/>
  <c r="AM592" i="3"/>
  <c r="AL592" i="3"/>
  <c r="AK592" i="3"/>
  <c r="W592" i="3"/>
  <c r="AN591" i="3"/>
  <c r="AM591" i="3"/>
  <c r="AL591" i="3"/>
  <c r="AK591" i="3"/>
  <c r="W591" i="3"/>
  <c r="AN590" i="3"/>
  <c r="AM590" i="3"/>
  <c r="AL590" i="3"/>
  <c r="AK590" i="3"/>
  <c r="W590" i="3"/>
  <c r="AN589" i="3"/>
  <c r="AM589" i="3"/>
  <c r="AL589" i="3"/>
  <c r="AK589" i="3"/>
  <c r="W589" i="3"/>
  <c r="AN588" i="3"/>
  <c r="AM588" i="3"/>
  <c r="AL588" i="3"/>
  <c r="AK588" i="3"/>
  <c r="W588" i="3"/>
  <c r="AN587" i="3"/>
  <c r="AM587" i="3"/>
  <c r="AL587" i="3"/>
  <c r="AK587" i="3"/>
  <c r="W587" i="3"/>
  <c r="AN586" i="3"/>
  <c r="AM586" i="3"/>
  <c r="AL586" i="3"/>
  <c r="AK586" i="3"/>
  <c r="W586" i="3"/>
  <c r="AN585" i="3"/>
  <c r="AM585" i="3"/>
  <c r="AL585" i="3"/>
  <c r="AK585" i="3"/>
  <c r="W585" i="3"/>
  <c r="AN584" i="3"/>
  <c r="AM584" i="3"/>
  <c r="AL584" i="3"/>
  <c r="AK584" i="3"/>
  <c r="W584" i="3"/>
  <c r="AN583" i="3"/>
  <c r="AM583" i="3"/>
  <c r="AL583" i="3"/>
  <c r="AK583" i="3"/>
  <c r="W583" i="3"/>
  <c r="AN582" i="3"/>
  <c r="AM582" i="3"/>
  <c r="AL582" i="3"/>
  <c r="AK582" i="3"/>
  <c r="W582" i="3"/>
  <c r="AN581" i="3"/>
  <c r="AM581" i="3"/>
  <c r="AL581" i="3"/>
  <c r="AK581" i="3"/>
  <c r="W581" i="3"/>
  <c r="AN580" i="3"/>
  <c r="AM580" i="3"/>
  <c r="AL580" i="3"/>
  <c r="AK580" i="3"/>
  <c r="W580" i="3"/>
  <c r="AN579" i="3"/>
  <c r="AM579" i="3"/>
  <c r="AL579" i="3"/>
  <c r="AK579" i="3"/>
  <c r="W579" i="3"/>
  <c r="AN578" i="3"/>
  <c r="AM578" i="3"/>
  <c r="AL578" i="3"/>
  <c r="AK578" i="3"/>
  <c r="W578" i="3"/>
  <c r="AN577" i="3"/>
  <c r="AM577" i="3"/>
  <c r="AL577" i="3"/>
  <c r="AK577" i="3"/>
  <c r="W577" i="3"/>
  <c r="AN576" i="3"/>
  <c r="AM576" i="3"/>
  <c r="AL576" i="3"/>
  <c r="AK576" i="3"/>
  <c r="W576" i="3"/>
  <c r="AN575" i="3"/>
  <c r="AM575" i="3"/>
  <c r="AL575" i="3"/>
  <c r="AK575" i="3"/>
  <c r="W575" i="3"/>
  <c r="AN574" i="3"/>
  <c r="AM574" i="3"/>
  <c r="AL574" i="3"/>
  <c r="AK574" i="3"/>
  <c r="W574" i="3"/>
  <c r="AN573" i="3"/>
  <c r="AM573" i="3"/>
  <c r="AL573" i="3"/>
  <c r="AK573" i="3"/>
  <c r="W573" i="3"/>
  <c r="AN572" i="3"/>
  <c r="AM572" i="3"/>
  <c r="AL572" i="3"/>
  <c r="AK572" i="3"/>
  <c r="W572" i="3"/>
  <c r="AN571" i="3"/>
  <c r="AM571" i="3"/>
  <c r="AL571" i="3"/>
  <c r="AK571" i="3"/>
  <c r="W571" i="3"/>
  <c r="AN570" i="3"/>
  <c r="AM570" i="3"/>
  <c r="AL570" i="3"/>
  <c r="AK570" i="3"/>
  <c r="W570" i="3"/>
  <c r="AN569" i="3"/>
  <c r="AM569" i="3"/>
  <c r="AL569" i="3"/>
  <c r="AK569" i="3"/>
  <c r="W569" i="3"/>
  <c r="AN568" i="3"/>
  <c r="AM568" i="3"/>
  <c r="AL568" i="3"/>
  <c r="AK568" i="3"/>
  <c r="W568" i="3"/>
  <c r="AN567" i="3"/>
  <c r="AM567" i="3"/>
  <c r="AL567" i="3"/>
  <c r="AK567" i="3"/>
  <c r="W567" i="3"/>
  <c r="AN566" i="3"/>
  <c r="AM566" i="3"/>
  <c r="AL566" i="3"/>
  <c r="AK566" i="3"/>
  <c r="W566" i="3"/>
  <c r="AN565" i="3"/>
  <c r="AM565" i="3"/>
  <c r="AL565" i="3"/>
  <c r="AK565" i="3"/>
  <c r="W565" i="3"/>
  <c r="AN564" i="3"/>
  <c r="AM564" i="3"/>
  <c r="AL564" i="3"/>
  <c r="AK564" i="3"/>
  <c r="W564" i="3"/>
  <c r="AN563" i="3"/>
  <c r="AM563" i="3"/>
  <c r="AL563" i="3"/>
  <c r="AK563" i="3"/>
  <c r="W563" i="3"/>
  <c r="AN562" i="3"/>
  <c r="AM562" i="3"/>
  <c r="AL562" i="3"/>
  <c r="AK562" i="3"/>
  <c r="W562" i="3"/>
  <c r="AN561" i="3"/>
  <c r="AM561" i="3"/>
  <c r="AL561" i="3"/>
  <c r="AK561" i="3"/>
  <c r="W561" i="3"/>
  <c r="AN560" i="3"/>
  <c r="AM560" i="3"/>
  <c r="AL560" i="3"/>
  <c r="AK560" i="3"/>
  <c r="W560" i="3"/>
  <c r="AN559" i="3"/>
  <c r="AM559" i="3"/>
  <c r="AL559" i="3"/>
  <c r="AK559" i="3"/>
  <c r="W559" i="3"/>
  <c r="AN558" i="3"/>
  <c r="AM558" i="3"/>
  <c r="AL558" i="3"/>
  <c r="AK558" i="3"/>
  <c r="W558" i="3"/>
  <c r="AN557" i="3"/>
  <c r="AM557" i="3"/>
  <c r="AL557" i="3"/>
  <c r="AK557" i="3"/>
  <c r="W557" i="3"/>
  <c r="AN556" i="3"/>
  <c r="AM556" i="3"/>
  <c r="AL556" i="3"/>
  <c r="AK556" i="3"/>
  <c r="W556" i="3"/>
  <c r="AN555" i="3"/>
  <c r="AM555" i="3"/>
  <c r="AL555" i="3"/>
  <c r="AK555" i="3"/>
  <c r="W555" i="3"/>
  <c r="AN554" i="3"/>
  <c r="AM554" i="3"/>
  <c r="AL554" i="3"/>
  <c r="AK554" i="3"/>
  <c r="W554" i="3"/>
  <c r="AN553" i="3"/>
  <c r="AM553" i="3"/>
  <c r="AL553" i="3"/>
  <c r="AK553" i="3"/>
  <c r="W553" i="3"/>
  <c r="AN552" i="3"/>
  <c r="AM552" i="3"/>
  <c r="AL552" i="3"/>
  <c r="AK552" i="3"/>
  <c r="W552" i="3"/>
  <c r="AN551" i="3"/>
  <c r="AM551" i="3"/>
  <c r="AL551" i="3"/>
  <c r="AK551" i="3"/>
  <c r="W551" i="3"/>
  <c r="AN550" i="3"/>
  <c r="AM550" i="3"/>
  <c r="AL550" i="3"/>
  <c r="AK550" i="3"/>
  <c r="W550" i="3"/>
  <c r="AN549" i="3"/>
  <c r="AM549" i="3"/>
  <c r="AL549" i="3"/>
  <c r="AK549" i="3"/>
  <c r="W549" i="3"/>
  <c r="AN548" i="3"/>
  <c r="AM548" i="3"/>
  <c r="AL548" i="3"/>
  <c r="AK548" i="3"/>
  <c r="W548" i="3"/>
  <c r="AN547" i="3"/>
  <c r="AM547" i="3"/>
  <c r="AL547" i="3"/>
  <c r="AK547" i="3"/>
  <c r="W547" i="3"/>
  <c r="AN546" i="3"/>
  <c r="AM546" i="3"/>
  <c r="AL546" i="3"/>
  <c r="AK546" i="3"/>
  <c r="W546" i="3"/>
  <c r="AN545" i="3"/>
  <c r="AM545" i="3"/>
  <c r="AL545" i="3"/>
  <c r="AK545" i="3"/>
  <c r="W545" i="3"/>
  <c r="AN544" i="3"/>
  <c r="AM544" i="3"/>
  <c r="AL544" i="3"/>
  <c r="AK544" i="3"/>
  <c r="W544" i="3"/>
  <c r="AN543" i="3"/>
  <c r="AM543" i="3"/>
  <c r="AL543" i="3"/>
  <c r="AK543" i="3"/>
  <c r="W543" i="3"/>
  <c r="AN542" i="3"/>
  <c r="AM542" i="3"/>
  <c r="AL542" i="3"/>
  <c r="AK542" i="3"/>
  <c r="W542" i="3"/>
  <c r="AN541" i="3"/>
  <c r="AM541" i="3"/>
  <c r="AL541" i="3"/>
  <c r="AK541" i="3"/>
  <c r="W541" i="3"/>
  <c r="AN540" i="3"/>
  <c r="AM540" i="3"/>
  <c r="AL540" i="3"/>
  <c r="AK540" i="3"/>
  <c r="W540" i="3"/>
  <c r="AN539" i="3"/>
  <c r="AM539" i="3"/>
  <c r="AL539" i="3"/>
  <c r="AK539" i="3"/>
  <c r="W539" i="3"/>
  <c r="AN538" i="3"/>
  <c r="AM538" i="3"/>
  <c r="AL538" i="3"/>
  <c r="AK538" i="3"/>
  <c r="W538" i="3"/>
  <c r="AN537" i="3"/>
  <c r="AM537" i="3"/>
  <c r="AL537" i="3"/>
  <c r="AK537" i="3"/>
  <c r="W537" i="3"/>
  <c r="AN536" i="3"/>
  <c r="AM536" i="3"/>
  <c r="AL536" i="3"/>
  <c r="AK536" i="3"/>
  <c r="W536" i="3"/>
  <c r="AN535" i="3"/>
  <c r="AM535" i="3"/>
  <c r="AL535" i="3"/>
  <c r="AK535" i="3"/>
  <c r="W535" i="3"/>
  <c r="AN534" i="3"/>
  <c r="AM534" i="3"/>
  <c r="AL534" i="3"/>
  <c r="AK534" i="3"/>
  <c r="W534" i="3"/>
  <c r="AN533" i="3"/>
  <c r="AM533" i="3"/>
  <c r="AL533" i="3"/>
  <c r="AK533" i="3"/>
  <c r="W533" i="3"/>
  <c r="AN532" i="3"/>
  <c r="AM532" i="3"/>
  <c r="AL532" i="3"/>
  <c r="AK532" i="3"/>
  <c r="W532" i="3"/>
  <c r="AN531" i="3"/>
  <c r="AM531" i="3"/>
  <c r="AL531" i="3"/>
  <c r="AK531" i="3"/>
  <c r="W531" i="3"/>
  <c r="AN530" i="3"/>
  <c r="AM530" i="3"/>
  <c r="AL530" i="3"/>
  <c r="AK530" i="3"/>
  <c r="W530" i="3"/>
  <c r="AN529" i="3"/>
  <c r="AM529" i="3"/>
  <c r="AL529" i="3"/>
  <c r="AK529" i="3"/>
  <c r="W529" i="3"/>
  <c r="AN528" i="3"/>
  <c r="AM528" i="3"/>
  <c r="AL528" i="3"/>
  <c r="AK528" i="3"/>
  <c r="W528" i="3"/>
  <c r="AN527" i="3"/>
  <c r="AM527" i="3"/>
  <c r="AL527" i="3"/>
  <c r="AK527" i="3"/>
  <c r="W527" i="3"/>
  <c r="AN526" i="3"/>
  <c r="AM526" i="3"/>
  <c r="AL526" i="3"/>
  <c r="AK526" i="3"/>
  <c r="W526" i="3"/>
  <c r="AN525" i="3"/>
  <c r="AM525" i="3"/>
  <c r="AL525" i="3"/>
  <c r="AK525" i="3"/>
  <c r="W525" i="3"/>
  <c r="AN524" i="3"/>
  <c r="AM524" i="3"/>
  <c r="AL524" i="3"/>
  <c r="AK524" i="3"/>
  <c r="W524" i="3"/>
  <c r="AN523" i="3"/>
  <c r="AM523" i="3"/>
  <c r="AL523" i="3"/>
  <c r="AK523" i="3"/>
  <c r="W523" i="3"/>
  <c r="AN522" i="3"/>
  <c r="AM522" i="3"/>
  <c r="AL522" i="3"/>
  <c r="AK522" i="3"/>
  <c r="W522" i="3"/>
  <c r="AN521" i="3"/>
  <c r="AM521" i="3"/>
  <c r="AL521" i="3"/>
  <c r="AK521" i="3"/>
  <c r="W521" i="3"/>
  <c r="AN520" i="3"/>
  <c r="AM520" i="3"/>
  <c r="AL520" i="3"/>
  <c r="AK520" i="3"/>
  <c r="W520" i="3"/>
  <c r="AN519" i="3"/>
  <c r="AM519" i="3"/>
  <c r="AL519" i="3"/>
  <c r="AK519" i="3"/>
  <c r="W519" i="3"/>
  <c r="AN518" i="3"/>
  <c r="AM518" i="3"/>
  <c r="AL518" i="3"/>
  <c r="AK518" i="3"/>
  <c r="W518" i="3"/>
  <c r="AN517" i="3"/>
  <c r="AM517" i="3"/>
  <c r="AL517" i="3"/>
  <c r="AK517" i="3"/>
  <c r="W517" i="3"/>
  <c r="AN516" i="3"/>
  <c r="AM516" i="3"/>
  <c r="AL516" i="3"/>
  <c r="AK516" i="3"/>
  <c r="W516" i="3"/>
  <c r="AN515" i="3"/>
  <c r="AM515" i="3"/>
  <c r="AL515" i="3"/>
  <c r="AK515" i="3"/>
  <c r="W515" i="3"/>
  <c r="AN514" i="3"/>
  <c r="AM514" i="3"/>
  <c r="AL514" i="3"/>
  <c r="AK514" i="3"/>
  <c r="W514" i="3"/>
  <c r="AN513" i="3"/>
  <c r="AM513" i="3"/>
  <c r="AL513" i="3"/>
  <c r="AK513" i="3"/>
  <c r="W513" i="3"/>
  <c r="AN512" i="3"/>
  <c r="AM512" i="3"/>
  <c r="AL512" i="3"/>
  <c r="AK512" i="3"/>
  <c r="W512" i="3"/>
  <c r="AN511" i="3"/>
  <c r="AM511" i="3"/>
  <c r="AL511" i="3"/>
  <c r="AK511" i="3"/>
  <c r="W511" i="3"/>
  <c r="AN510" i="3"/>
  <c r="AM510" i="3"/>
  <c r="AL510" i="3"/>
  <c r="AK510" i="3"/>
  <c r="W510" i="3"/>
  <c r="AN509" i="3"/>
  <c r="AM509" i="3"/>
  <c r="AL509" i="3"/>
  <c r="AK509" i="3"/>
  <c r="W509" i="3"/>
  <c r="AN508" i="3"/>
  <c r="AM508" i="3"/>
  <c r="AL508" i="3"/>
  <c r="AK508" i="3"/>
  <c r="W508" i="3"/>
  <c r="AN507" i="3"/>
  <c r="AM507" i="3"/>
  <c r="AL507" i="3"/>
  <c r="AK507" i="3"/>
  <c r="W507" i="3"/>
  <c r="AN506" i="3"/>
  <c r="AM506" i="3"/>
  <c r="AL506" i="3"/>
  <c r="AK506" i="3"/>
  <c r="W506" i="3"/>
  <c r="AN505" i="3"/>
  <c r="AM505" i="3"/>
  <c r="AL505" i="3"/>
  <c r="AK505" i="3"/>
  <c r="W505" i="3"/>
  <c r="AN504" i="3"/>
  <c r="AM504" i="3"/>
  <c r="AL504" i="3"/>
  <c r="AK504" i="3"/>
  <c r="W504" i="3"/>
  <c r="AN503" i="3"/>
  <c r="AM503" i="3"/>
  <c r="AL503" i="3"/>
  <c r="AK503" i="3"/>
  <c r="W503" i="3"/>
  <c r="AN502" i="3"/>
  <c r="AM502" i="3"/>
  <c r="AL502" i="3"/>
  <c r="AK502" i="3"/>
  <c r="W502" i="3"/>
  <c r="AN501" i="3"/>
  <c r="AM501" i="3"/>
  <c r="AL501" i="3"/>
  <c r="AK501" i="3"/>
  <c r="W501" i="3"/>
  <c r="AN500" i="3"/>
  <c r="AM500" i="3"/>
  <c r="AL500" i="3"/>
  <c r="AK500" i="3"/>
  <c r="W500" i="3"/>
  <c r="AN499" i="3"/>
  <c r="AM499" i="3"/>
  <c r="AL499" i="3"/>
  <c r="AK499" i="3"/>
  <c r="W499" i="3"/>
  <c r="AN498" i="3"/>
  <c r="AM498" i="3"/>
  <c r="AL498" i="3"/>
  <c r="AK498" i="3"/>
  <c r="W498" i="3"/>
  <c r="AN497" i="3"/>
  <c r="AM497" i="3"/>
  <c r="AL497" i="3"/>
  <c r="AK497" i="3"/>
  <c r="W497" i="3"/>
  <c r="AN496" i="3"/>
  <c r="AM496" i="3"/>
  <c r="AL496" i="3"/>
  <c r="AK496" i="3"/>
  <c r="W496" i="3"/>
  <c r="AN495" i="3"/>
  <c r="AM495" i="3"/>
  <c r="AL495" i="3"/>
  <c r="AK495" i="3"/>
  <c r="W495" i="3"/>
  <c r="AN494" i="3"/>
  <c r="AM494" i="3"/>
  <c r="AL494" i="3"/>
  <c r="AK494" i="3"/>
  <c r="W494" i="3"/>
  <c r="AN493" i="3"/>
  <c r="AM493" i="3"/>
  <c r="AL493" i="3"/>
  <c r="AK493" i="3"/>
  <c r="W493" i="3"/>
  <c r="AN492" i="3"/>
  <c r="AM492" i="3"/>
  <c r="AL492" i="3"/>
  <c r="AK492" i="3"/>
  <c r="W492" i="3"/>
  <c r="AN491" i="3"/>
  <c r="AM491" i="3"/>
  <c r="AL491" i="3"/>
  <c r="AK491" i="3"/>
  <c r="W491" i="3"/>
  <c r="AN490" i="3"/>
  <c r="AM490" i="3"/>
  <c r="AL490" i="3"/>
  <c r="AK490" i="3"/>
  <c r="W490" i="3"/>
  <c r="AN489" i="3"/>
  <c r="AM489" i="3"/>
  <c r="AL489" i="3"/>
  <c r="AK489" i="3"/>
  <c r="W489" i="3"/>
  <c r="AN488" i="3"/>
  <c r="AM488" i="3"/>
  <c r="AL488" i="3"/>
  <c r="AK488" i="3"/>
  <c r="W488" i="3"/>
  <c r="AN487" i="3"/>
  <c r="AM487" i="3"/>
  <c r="AL487" i="3"/>
  <c r="AK487" i="3"/>
  <c r="W487" i="3"/>
  <c r="AN486" i="3"/>
  <c r="AM486" i="3"/>
  <c r="AL486" i="3"/>
  <c r="AK486" i="3"/>
  <c r="W486" i="3"/>
  <c r="AN485" i="3"/>
  <c r="AM485" i="3"/>
  <c r="AL485" i="3"/>
  <c r="AK485" i="3"/>
  <c r="W485" i="3"/>
  <c r="AN484" i="3"/>
  <c r="AM484" i="3"/>
  <c r="AL484" i="3"/>
  <c r="AK484" i="3"/>
  <c r="W484" i="3"/>
  <c r="AN483" i="3"/>
  <c r="AM483" i="3"/>
  <c r="AL483" i="3"/>
  <c r="AK483" i="3"/>
  <c r="W483" i="3"/>
  <c r="AN482" i="3"/>
  <c r="AM482" i="3"/>
  <c r="AL482" i="3"/>
  <c r="AK482" i="3"/>
  <c r="W482" i="3"/>
  <c r="AN481" i="3"/>
  <c r="AM481" i="3"/>
  <c r="AL481" i="3"/>
  <c r="AK481" i="3"/>
  <c r="W481" i="3"/>
  <c r="AN480" i="3"/>
  <c r="AM480" i="3"/>
  <c r="AL480" i="3"/>
  <c r="AK480" i="3"/>
  <c r="W480" i="3"/>
  <c r="AN479" i="3"/>
  <c r="AM479" i="3"/>
  <c r="AL479" i="3"/>
  <c r="AK479" i="3"/>
  <c r="W479" i="3"/>
  <c r="AN478" i="3"/>
  <c r="AM478" i="3"/>
  <c r="AL478" i="3"/>
  <c r="AK478" i="3"/>
  <c r="W478" i="3"/>
  <c r="AN477" i="3"/>
  <c r="AM477" i="3"/>
  <c r="AL477" i="3"/>
  <c r="AK477" i="3"/>
  <c r="W477" i="3"/>
  <c r="AN476" i="3"/>
  <c r="AM476" i="3"/>
  <c r="AL476" i="3"/>
  <c r="AK476" i="3"/>
  <c r="W476" i="3"/>
  <c r="AN475" i="3"/>
  <c r="AM475" i="3"/>
  <c r="AL475" i="3"/>
  <c r="AK475" i="3"/>
  <c r="W475" i="3"/>
  <c r="AN474" i="3"/>
  <c r="AM474" i="3"/>
  <c r="AL474" i="3"/>
  <c r="AK474" i="3"/>
  <c r="W474" i="3"/>
  <c r="AN473" i="3"/>
  <c r="AM473" i="3"/>
  <c r="AL473" i="3"/>
  <c r="AK473" i="3"/>
  <c r="W473" i="3"/>
  <c r="AN472" i="3"/>
  <c r="AM472" i="3"/>
  <c r="AL472" i="3"/>
  <c r="AK472" i="3"/>
  <c r="W472" i="3"/>
  <c r="AN471" i="3"/>
  <c r="AM471" i="3"/>
  <c r="AL471" i="3"/>
  <c r="AK471" i="3"/>
  <c r="W471" i="3"/>
  <c r="AN470" i="3"/>
  <c r="AM470" i="3"/>
  <c r="AL470" i="3"/>
  <c r="AK470" i="3"/>
  <c r="W470" i="3"/>
  <c r="AN469" i="3"/>
  <c r="AM469" i="3"/>
  <c r="AL469" i="3"/>
  <c r="AK469" i="3"/>
  <c r="W469" i="3"/>
  <c r="AN468" i="3"/>
  <c r="AM468" i="3"/>
  <c r="AL468" i="3"/>
  <c r="AK468" i="3"/>
  <c r="W468" i="3"/>
  <c r="AN467" i="3"/>
  <c r="AM467" i="3"/>
  <c r="AL467" i="3"/>
  <c r="AK467" i="3"/>
  <c r="W467" i="3"/>
  <c r="AN466" i="3"/>
  <c r="AM466" i="3"/>
  <c r="AL466" i="3"/>
  <c r="AK466" i="3"/>
  <c r="W466" i="3"/>
  <c r="AN465" i="3"/>
  <c r="AM465" i="3"/>
  <c r="AL465" i="3"/>
  <c r="AK465" i="3"/>
  <c r="W465" i="3"/>
  <c r="AN464" i="3"/>
  <c r="AM464" i="3"/>
  <c r="AL464" i="3"/>
  <c r="AK464" i="3"/>
  <c r="W464" i="3"/>
  <c r="AN463" i="3"/>
  <c r="AM463" i="3"/>
  <c r="AL463" i="3"/>
  <c r="AK463" i="3"/>
  <c r="W463" i="3"/>
  <c r="AN462" i="3"/>
  <c r="AM462" i="3"/>
  <c r="AL462" i="3"/>
  <c r="AK462" i="3"/>
  <c r="W462" i="3"/>
  <c r="AN461" i="3"/>
  <c r="AM461" i="3"/>
  <c r="AL461" i="3"/>
  <c r="AK461" i="3"/>
  <c r="W461" i="3"/>
  <c r="AN460" i="3"/>
  <c r="AM460" i="3"/>
  <c r="AL460" i="3"/>
  <c r="AK460" i="3"/>
  <c r="W460" i="3"/>
  <c r="AN459" i="3"/>
  <c r="AM459" i="3"/>
  <c r="AL459" i="3"/>
  <c r="AK459" i="3"/>
  <c r="W459" i="3"/>
  <c r="AN458" i="3"/>
  <c r="AM458" i="3"/>
  <c r="AL458" i="3"/>
  <c r="AK458" i="3"/>
  <c r="W458" i="3"/>
  <c r="AN457" i="3"/>
  <c r="AM457" i="3"/>
  <c r="AL457" i="3"/>
  <c r="AK457" i="3"/>
  <c r="W457" i="3"/>
  <c r="AN456" i="3"/>
  <c r="AM456" i="3"/>
  <c r="AL456" i="3"/>
  <c r="AK456" i="3"/>
  <c r="W456" i="3"/>
  <c r="AN455" i="3"/>
  <c r="AM455" i="3"/>
  <c r="AL455" i="3"/>
  <c r="AK455" i="3"/>
  <c r="W455" i="3"/>
  <c r="AN454" i="3"/>
  <c r="AM454" i="3"/>
  <c r="AL454" i="3"/>
  <c r="AK454" i="3"/>
  <c r="W454" i="3"/>
  <c r="AN453" i="3"/>
  <c r="AM453" i="3"/>
  <c r="AL453" i="3"/>
  <c r="AK453" i="3"/>
  <c r="W453" i="3"/>
  <c r="AN452" i="3"/>
  <c r="AM452" i="3"/>
  <c r="AL452" i="3"/>
  <c r="AK452" i="3"/>
  <c r="W452" i="3"/>
  <c r="AN451" i="3"/>
  <c r="AM451" i="3"/>
  <c r="AL451" i="3"/>
  <c r="AK451" i="3"/>
  <c r="W451" i="3"/>
  <c r="AN450" i="3"/>
  <c r="AM450" i="3"/>
  <c r="AL450" i="3"/>
  <c r="AK450" i="3"/>
  <c r="W450" i="3"/>
  <c r="AN449" i="3"/>
  <c r="AM449" i="3"/>
  <c r="AL449" i="3"/>
  <c r="AK449" i="3"/>
  <c r="W449" i="3"/>
  <c r="AN448" i="3"/>
  <c r="AM448" i="3"/>
  <c r="AL448" i="3"/>
  <c r="AK448" i="3"/>
  <c r="W448" i="3"/>
  <c r="AN447" i="3"/>
  <c r="AM447" i="3"/>
  <c r="AL447" i="3"/>
  <c r="AK447" i="3"/>
  <c r="W447" i="3"/>
  <c r="AN446" i="3"/>
  <c r="AM446" i="3"/>
  <c r="AL446" i="3"/>
  <c r="AK446" i="3"/>
  <c r="W446" i="3"/>
  <c r="AN445" i="3"/>
  <c r="AM445" i="3"/>
  <c r="AL445" i="3"/>
  <c r="AK445" i="3"/>
  <c r="W445" i="3"/>
  <c r="AN444" i="3"/>
  <c r="AM444" i="3"/>
  <c r="AL444" i="3"/>
  <c r="AK444" i="3"/>
  <c r="W444" i="3"/>
  <c r="AN443" i="3"/>
  <c r="AM443" i="3"/>
  <c r="AL443" i="3"/>
  <c r="AK443" i="3"/>
  <c r="W443" i="3"/>
  <c r="AN442" i="3"/>
  <c r="AM442" i="3"/>
  <c r="AL442" i="3"/>
  <c r="AK442" i="3"/>
  <c r="W442" i="3"/>
  <c r="AN441" i="3"/>
  <c r="AM441" i="3"/>
  <c r="AL441" i="3"/>
  <c r="AK441" i="3"/>
  <c r="W441" i="3"/>
  <c r="AN440" i="3"/>
  <c r="AM440" i="3"/>
  <c r="AL440" i="3"/>
  <c r="AK440" i="3"/>
  <c r="W440" i="3"/>
  <c r="AN439" i="3"/>
  <c r="AM439" i="3"/>
  <c r="AL439" i="3"/>
  <c r="AK439" i="3"/>
  <c r="W439" i="3"/>
  <c r="AN438" i="3"/>
  <c r="AM438" i="3"/>
  <c r="AL438" i="3"/>
  <c r="AK438" i="3"/>
  <c r="W438" i="3"/>
  <c r="AN437" i="3"/>
  <c r="AM437" i="3"/>
  <c r="AL437" i="3"/>
  <c r="AK437" i="3"/>
  <c r="W437" i="3"/>
  <c r="AN436" i="3"/>
  <c r="AM436" i="3"/>
  <c r="AL436" i="3"/>
  <c r="AK436" i="3"/>
  <c r="W436" i="3"/>
  <c r="AN435" i="3"/>
  <c r="AM435" i="3"/>
  <c r="AL435" i="3"/>
  <c r="AK435" i="3"/>
  <c r="W435" i="3"/>
  <c r="AN434" i="3"/>
  <c r="AM434" i="3"/>
  <c r="AL434" i="3"/>
  <c r="AK434" i="3"/>
  <c r="W434" i="3"/>
  <c r="AN433" i="3"/>
  <c r="AM433" i="3"/>
  <c r="AL433" i="3"/>
  <c r="AK433" i="3"/>
  <c r="W433" i="3"/>
  <c r="AN432" i="3"/>
  <c r="AM432" i="3"/>
  <c r="AL432" i="3"/>
  <c r="AK432" i="3"/>
  <c r="W432" i="3"/>
  <c r="AN431" i="3"/>
  <c r="AM431" i="3"/>
  <c r="AL431" i="3"/>
  <c r="AK431" i="3"/>
  <c r="W431" i="3"/>
  <c r="AN430" i="3"/>
  <c r="AM430" i="3"/>
  <c r="AL430" i="3"/>
  <c r="AK430" i="3"/>
  <c r="W430" i="3"/>
  <c r="AN429" i="3"/>
  <c r="AM429" i="3"/>
  <c r="AL429" i="3"/>
  <c r="AK429" i="3"/>
  <c r="W429" i="3"/>
  <c r="AN428" i="3"/>
  <c r="AM428" i="3"/>
  <c r="AL428" i="3"/>
  <c r="AK428" i="3"/>
  <c r="W428" i="3"/>
  <c r="AN427" i="3"/>
  <c r="AM427" i="3"/>
  <c r="AL427" i="3"/>
  <c r="AK427" i="3"/>
  <c r="W427" i="3"/>
  <c r="AN426" i="3"/>
  <c r="AM426" i="3"/>
  <c r="AL426" i="3"/>
  <c r="AK426" i="3"/>
  <c r="W426" i="3"/>
  <c r="AN425" i="3"/>
  <c r="AM425" i="3"/>
  <c r="AL425" i="3"/>
  <c r="AK425" i="3"/>
  <c r="W425" i="3"/>
  <c r="AN424" i="3"/>
  <c r="AM424" i="3"/>
  <c r="AL424" i="3"/>
  <c r="AK424" i="3"/>
  <c r="W424" i="3"/>
  <c r="AN423" i="3"/>
  <c r="AM423" i="3"/>
  <c r="AL423" i="3"/>
  <c r="AK423" i="3"/>
  <c r="W423" i="3"/>
  <c r="AN422" i="3"/>
  <c r="AM422" i="3"/>
  <c r="AL422" i="3"/>
  <c r="AK422" i="3"/>
  <c r="W422" i="3"/>
  <c r="AN421" i="3"/>
  <c r="AM421" i="3"/>
  <c r="AL421" i="3"/>
  <c r="AK421" i="3"/>
  <c r="W421" i="3"/>
  <c r="AN420" i="3"/>
  <c r="AM420" i="3"/>
  <c r="AL420" i="3"/>
  <c r="AK420" i="3"/>
  <c r="W420" i="3"/>
  <c r="AN419" i="3"/>
  <c r="AM419" i="3"/>
  <c r="AL419" i="3"/>
  <c r="AK419" i="3"/>
  <c r="W419" i="3"/>
  <c r="AN418" i="3"/>
  <c r="AM418" i="3"/>
  <c r="AL418" i="3"/>
  <c r="AK418" i="3"/>
  <c r="W418" i="3"/>
  <c r="AN417" i="3"/>
  <c r="AM417" i="3"/>
  <c r="AL417" i="3"/>
  <c r="AK417" i="3"/>
  <c r="W417" i="3"/>
  <c r="AN416" i="3"/>
  <c r="AM416" i="3"/>
  <c r="AL416" i="3"/>
  <c r="AK416" i="3"/>
  <c r="W416" i="3"/>
  <c r="AN415" i="3"/>
  <c r="AM415" i="3"/>
  <c r="AL415" i="3"/>
  <c r="AK415" i="3"/>
  <c r="W415" i="3"/>
  <c r="AN414" i="3"/>
  <c r="AM414" i="3"/>
  <c r="AL414" i="3"/>
  <c r="AK414" i="3"/>
  <c r="W414" i="3"/>
  <c r="AN413" i="3"/>
  <c r="AM413" i="3"/>
  <c r="AL413" i="3"/>
  <c r="AK413" i="3"/>
  <c r="W413" i="3"/>
  <c r="AN412" i="3"/>
  <c r="AM412" i="3"/>
  <c r="AL412" i="3"/>
  <c r="AK412" i="3"/>
  <c r="W412" i="3"/>
  <c r="AN411" i="3"/>
  <c r="AM411" i="3"/>
  <c r="AL411" i="3"/>
  <c r="AK411" i="3"/>
  <c r="W411" i="3"/>
  <c r="AN410" i="3"/>
  <c r="AM410" i="3"/>
  <c r="AL410" i="3"/>
  <c r="AK410" i="3"/>
  <c r="W410" i="3"/>
  <c r="AN409" i="3"/>
  <c r="AM409" i="3"/>
  <c r="AL409" i="3"/>
  <c r="AK409" i="3"/>
  <c r="W409" i="3"/>
  <c r="AN408" i="3"/>
  <c r="AM408" i="3"/>
  <c r="AL408" i="3"/>
  <c r="AK408" i="3"/>
  <c r="W408" i="3"/>
  <c r="AN407" i="3"/>
  <c r="AM407" i="3"/>
  <c r="AL407" i="3"/>
  <c r="AK407" i="3"/>
  <c r="W407" i="3"/>
  <c r="AN406" i="3"/>
  <c r="AM406" i="3"/>
  <c r="AL406" i="3"/>
  <c r="AK406" i="3"/>
  <c r="W406" i="3"/>
  <c r="AN405" i="3"/>
  <c r="AM405" i="3"/>
  <c r="AL405" i="3"/>
  <c r="AK405" i="3"/>
  <c r="W405" i="3"/>
  <c r="AN404" i="3"/>
  <c r="AM404" i="3"/>
  <c r="AL404" i="3"/>
  <c r="AK404" i="3"/>
  <c r="W404" i="3"/>
  <c r="AN403" i="3"/>
  <c r="AM403" i="3"/>
  <c r="AL403" i="3"/>
  <c r="AK403" i="3"/>
  <c r="W403" i="3"/>
  <c r="AN402" i="3"/>
  <c r="AM402" i="3"/>
  <c r="AL402" i="3"/>
  <c r="AK402" i="3"/>
  <c r="W402" i="3"/>
  <c r="AN401" i="3"/>
  <c r="AM401" i="3"/>
  <c r="AL401" i="3"/>
  <c r="AK401" i="3"/>
  <c r="W401" i="3"/>
  <c r="AN400" i="3"/>
  <c r="AM400" i="3"/>
  <c r="AL400" i="3"/>
  <c r="AK400" i="3"/>
  <c r="W400" i="3"/>
  <c r="AN399" i="3"/>
  <c r="AM399" i="3"/>
  <c r="AL399" i="3"/>
  <c r="AK399" i="3"/>
  <c r="W399" i="3"/>
  <c r="AN398" i="3"/>
  <c r="AM398" i="3"/>
  <c r="AL398" i="3"/>
  <c r="AK398" i="3"/>
  <c r="W398" i="3"/>
  <c r="AN397" i="3"/>
  <c r="AM397" i="3"/>
  <c r="AL397" i="3"/>
  <c r="AK397" i="3"/>
  <c r="W397" i="3"/>
  <c r="AN396" i="3"/>
  <c r="AM396" i="3"/>
  <c r="AL396" i="3"/>
  <c r="AK396" i="3"/>
  <c r="W396" i="3"/>
  <c r="AN395" i="3"/>
  <c r="AM395" i="3"/>
  <c r="AL395" i="3"/>
  <c r="AK395" i="3"/>
  <c r="W395" i="3"/>
  <c r="AN394" i="3"/>
  <c r="AM394" i="3"/>
  <c r="AL394" i="3"/>
  <c r="AK394" i="3"/>
  <c r="W394" i="3"/>
  <c r="AN393" i="3"/>
  <c r="AM393" i="3"/>
  <c r="AL393" i="3"/>
  <c r="AK393" i="3"/>
  <c r="W393" i="3"/>
  <c r="AN392" i="3"/>
  <c r="AM392" i="3"/>
  <c r="AL392" i="3"/>
  <c r="AK392" i="3"/>
  <c r="W392" i="3"/>
  <c r="AN391" i="3"/>
  <c r="AM391" i="3"/>
  <c r="AL391" i="3"/>
  <c r="AK391" i="3"/>
  <c r="W391" i="3"/>
  <c r="AN390" i="3"/>
  <c r="AM390" i="3"/>
  <c r="AL390" i="3"/>
  <c r="AK390" i="3"/>
  <c r="W390" i="3"/>
  <c r="AN389" i="3"/>
  <c r="AM389" i="3"/>
  <c r="AL389" i="3"/>
  <c r="AK389" i="3"/>
  <c r="W389" i="3"/>
  <c r="AN388" i="3"/>
  <c r="AM388" i="3"/>
  <c r="AL388" i="3"/>
  <c r="AK388" i="3"/>
  <c r="W388" i="3"/>
  <c r="AN387" i="3"/>
  <c r="AM387" i="3"/>
  <c r="AL387" i="3"/>
  <c r="AK387" i="3"/>
  <c r="W387" i="3"/>
  <c r="AN386" i="3"/>
  <c r="AM386" i="3"/>
  <c r="AL386" i="3"/>
  <c r="AK386" i="3"/>
  <c r="W386" i="3"/>
  <c r="AN385" i="3"/>
  <c r="AM385" i="3"/>
  <c r="AL385" i="3"/>
  <c r="AK385" i="3"/>
  <c r="W385" i="3"/>
  <c r="AN384" i="3"/>
  <c r="AM384" i="3"/>
  <c r="AL384" i="3"/>
  <c r="AK384" i="3"/>
  <c r="W384" i="3"/>
  <c r="AN383" i="3"/>
  <c r="AM383" i="3"/>
  <c r="AL383" i="3"/>
  <c r="AK383" i="3"/>
  <c r="W383" i="3"/>
  <c r="AN382" i="3"/>
  <c r="AM382" i="3"/>
  <c r="AL382" i="3"/>
  <c r="AK382" i="3"/>
  <c r="W382" i="3"/>
  <c r="AN381" i="3"/>
  <c r="AM381" i="3"/>
  <c r="AL381" i="3"/>
  <c r="AK381" i="3"/>
  <c r="W381" i="3"/>
  <c r="AN380" i="3"/>
  <c r="AM380" i="3"/>
  <c r="AL380" i="3"/>
  <c r="AK380" i="3"/>
  <c r="W380" i="3"/>
  <c r="AN379" i="3"/>
  <c r="AM379" i="3"/>
  <c r="AL379" i="3"/>
  <c r="AK379" i="3"/>
  <c r="W379" i="3"/>
  <c r="AN378" i="3"/>
  <c r="AM378" i="3"/>
  <c r="AL378" i="3"/>
  <c r="AK378" i="3"/>
  <c r="W378" i="3"/>
  <c r="AN377" i="3"/>
  <c r="AM377" i="3"/>
  <c r="AL377" i="3"/>
  <c r="AK377" i="3"/>
  <c r="W377" i="3"/>
  <c r="AN376" i="3"/>
  <c r="AM376" i="3"/>
  <c r="AL376" i="3"/>
  <c r="AK376" i="3"/>
  <c r="W376" i="3"/>
  <c r="AN375" i="3"/>
  <c r="AM375" i="3"/>
  <c r="AL375" i="3"/>
  <c r="AK375" i="3"/>
  <c r="W375" i="3"/>
  <c r="AN374" i="3"/>
  <c r="AM374" i="3"/>
  <c r="AL374" i="3"/>
  <c r="AK374" i="3"/>
  <c r="W374" i="3"/>
  <c r="AN373" i="3"/>
  <c r="AM373" i="3"/>
  <c r="AL373" i="3"/>
  <c r="AK373" i="3"/>
  <c r="W373" i="3"/>
  <c r="AN372" i="3"/>
  <c r="AM372" i="3"/>
  <c r="AL372" i="3"/>
  <c r="AK372" i="3"/>
  <c r="W372" i="3"/>
  <c r="AN371" i="3"/>
  <c r="AM371" i="3"/>
  <c r="AL371" i="3"/>
  <c r="AK371" i="3"/>
  <c r="W371" i="3"/>
  <c r="AN370" i="3"/>
  <c r="AM370" i="3"/>
  <c r="AL370" i="3"/>
  <c r="AK370" i="3"/>
  <c r="W370" i="3"/>
  <c r="AN369" i="3"/>
  <c r="AM369" i="3"/>
  <c r="AL369" i="3"/>
  <c r="AK369" i="3"/>
  <c r="W369" i="3"/>
  <c r="AN368" i="3"/>
  <c r="AM368" i="3"/>
  <c r="AL368" i="3"/>
  <c r="AK368" i="3"/>
  <c r="W368" i="3"/>
  <c r="AN367" i="3"/>
  <c r="AM367" i="3"/>
  <c r="AL367" i="3"/>
  <c r="AK367" i="3"/>
  <c r="W367" i="3"/>
  <c r="AN366" i="3"/>
  <c r="AM366" i="3"/>
  <c r="AL366" i="3"/>
  <c r="AK366" i="3"/>
  <c r="W366" i="3"/>
  <c r="AN365" i="3"/>
  <c r="AM365" i="3"/>
  <c r="AL365" i="3"/>
  <c r="AK365" i="3"/>
  <c r="W365" i="3"/>
  <c r="AN364" i="3"/>
  <c r="AM364" i="3"/>
  <c r="AL364" i="3"/>
  <c r="AK364" i="3"/>
  <c r="W364" i="3"/>
  <c r="AN363" i="3"/>
  <c r="AM363" i="3"/>
  <c r="AL363" i="3"/>
  <c r="AK363" i="3"/>
  <c r="W363" i="3"/>
  <c r="AN362" i="3"/>
  <c r="AM362" i="3"/>
  <c r="AL362" i="3"/>
  <c r="AK362" i="3"/>
  <c r="W362" i="3"/>
  <c r="AN361" i="3"/>
  <c r="AM361" i="3"/>
  <c r="AL361" i="3"/>
  <c r="AK361" i="3"/>
  <c r="W361" i="3"/>
  <c r="AN360" i="3"/>
  <c r="AM360" i="3"/>
  <c r="AL360" i="3"/>
  <c r="AK360" i="3"/>
  <c r="W360" i="3"/>
  <c r="AN359" i="3"/>
  <c r="AM359" i="3"/>
  <c r="AL359" i="3"/>
  <c r="AK359" i="3"/>
  <c r="W359" i="3"/>
  <c r="AN358" i="3"/>
  <c r="AM358" i="3"/>
  <c r="AL358" i="3"/>
  <c r="AK358" i="3"/>
  <c r="W358" i="3"/>
  <c r="AN357" i="3"/>
  <c r="AM357" i="3"/>
  <c r="AL357" i="3"/>
  <c r="AK357" i="3"/>
  <c r="W357" i="3"/>
  <c r="AN356" i="3"/>
  <c r="AM356" i="3"/>
  <c r="AL356" i="3"/>
  <c r="AK356" i="3"/>
  <c r="W356" i="3"/>
  <c r="AN355" i="3"/>
  <c r="AM355" i="3"/>
  <c r="AL355" i="3"/>
  <c r="AK355" i="3"/>
  <c r="W355" i="3"/>
  <c r="AN354" i="3"/>
  <c r="AM354" i="3"/>
  <c r="AL354" i="3"/>
  <c r="AK354" i="3"/>
  <c r="W354" i="3"/>
  <c r="AN353" i="3"/>
  <c r="AM353" i="3"/>
  <c r="AL353" i="3"/>
  <c r="AK353" i="3"/>
  <c r="W353" i="3"/>
  <c r="AN352" i="3"/>
  <c r="AM352" i="3"/>
  <c r="AL352" i="3"/>
  <c r="AK352" i="3"/>
  <c r="W352" i="3"/>
  <c r="AN351" i="3"/>
  <c r="AM351" i="3"/>
  <c r="AL351" i="3"/>
  <c r="AK351" i="3"/>
  <c r="W351" i="3"/>
  <c r="AN350" i="3"/>
  <c r="AM350" i="3"/>
  <c r="AL350" i="3"/>
  <c r="AK350" i="3"/>
  <c r="W350" i="3"/>
  <c r="AN349" i="3"/>
  <c r="AM349" i="3"/>
  <c r="AL349" i="3"/>
  <c r="AK349" i="3"/>
  <c r="W349" i="3"/>
  <c r="AN348" i="3"/>
  <c r="AM348" i="3"/>
  <c r="AL348" i="3"/>
  <c r="AK348" i="3"/>
  <c r="W348" i="3"/>
  <c r="AN347" i="3"/>
  <c r="AM347" i="3"/>
  <c r="AL347" i="3"/>
  <c r="AK347" i="3"/>
  <c r="W347" i="3"/>
  <c r="AN346" i="3"/>
  <c r="AM346" i="3"/>
  <c r="AL346" i="3"/>
  <c r="AK346" i="3"/>
  <c r="W346" i="3"/>
  <c r="AN345" i="3"/>
  <c r="AM345" i="3"/>
  <c r="AL345" i="3"/>
  <c r="AK345" i="3"/>
  <c r="W345" i="3"/>
  <c r="AN344" i="3"/>
  <c r="AM344" i="3"/>
  <c r="AL344" i="3"/>
  <c r="AK344" i="3"/>
  <c r="W344" i="3"/>
  <c r="AN343" i="3"/>
  <c r="AM343" i="3"/>
  <c r="AL343" i="3"/>
  <c r="AK343" i="3"/>
  <c r="W343" i="3"/>
  <c r="AN342" i="3"/>
  <c r="AM342" i="3"/>
  <c r="AL342" i="3"/>
  <c r="AK342" i="3"/>
  <c r="W342" i="3"/>
  <c r="AN341" i="3"/>
  <c r="AM341" i="3"/>
  <c r="AL341" i="3"/>
  <c r="AK341" i="3"/>
  <c r="W341" i="3"/>
  <c r="AN340" i="3"/>
  <c r="AM340" i="3"/>
  <c r="AL340" i="3"/>
  <c r="AK340" i="3"/>
  <c r="W340" i="3"/>
  <c r="AN339" i="3"/>
  <c r="AM339" i="3"/>
  <c r="AL339" i="3"/>
  <c r="AK339" i="3"/>
  <c r="W339" i="3"/>
  <c r="AN338" i="3"/>
  <c r="AM338" i="3"/>
  <c r="AL338" i="3"/>
  <c r="AK338" i="3"/>
  <c r="W338" i="3"/>
  <c r="AN337" i="3"/>
  <c r="AM337" i="3"/>
  <c r="AL337" i="3"/>
  <c r="AK337" i="3"/>
  <c r="W337" i="3"/>
  <c r="AN336" i="3"/>
  <c r="AM336" i="3"/>
  <c r="AL336" i="3"/>
  <c r="AK336" i="3"/>
  <c r="W336" i="3"/>
  <c r="AN335" i="3"/>
  <c r="AM335" i="3"/>
  <c r="AL335" i="3"/>
  <c r="AK335" i="3"/>
  <c r="W335" i="3"/>
  <c r="AN334" i="3"/>
  <c r="AM334" i="3"/>
  <c r="AL334" i="3"/>
  <c r="AK334" i="3"/>
  <c r="W334" i="3"/>
  <c r="AN333" i="3"/>
  <c r="AM333" i="3"/>
  <c r="AL333" i="3"/>
  <c r="AK333" i="3"/>
  <c r="W333" i="3"/>
  <c r="AN332" i="3"/>
  <c r="AM332" i="3"/>
  <c r="AL332" i="3"/>
  <c r="AK332" i="3"/>
  <c r="W332" i="3"/>
  <c r="AN331" i="3"/>
  <c r="AM331" i="3"/>
  <c r="AL331" i="3"/>
  <c r="AK331" i="3"/>
  <c r="W331" i="3"/>
  <c r="AN330" i="3"/>
  <c r="AM330" i="3"/>
  <c r="AL330" i="3"/>
  <c r="AK330" i="3"/>
  <c r="W330" i="3"/>
  <c r="AN329" i="3"/>
  <c r="AM329" i="3"/>
  <c r="AL329" i="3"/>
  <c r="AK329" i="3"/>
  <c r="W329" i="3"/>
  <c r="AN328" i="3"/>
  <c r="AM328" i="3"/>
  <c r="AL328" i="3"/>
  <c r="AK328" i="3"/>
  <c r="W328" i="3"/>
  <c r="AN327" i="3"/>
  <c r="AM327" i="3"/>
  <c r="AL327" i="3"/>
  <c r="AK327" i="3"/>
  <c r="W327" i="3"/>
  <c r="AN326" i="3"/>
  <c r="AM326" i="3"/>
  <c r="AL326" i="3"/>
  <c r="AK326" i="3"/>
  <c r="W326" i="3"/>
  <c r="AN325" i="3"/>
  <c r="AM325" i="3"/>
  <c r="AL325" i="3"/>
  <c r="AK325" i="3"/>
  <c r="W325" i="3"/>
  <c r="AN324" i="3"/>
  <c r="AM324" i="3"/>
  <c r="AL324" i="3"/>
  <c r="AK324" i="3"/>
  <c r="W324" i="3"/>
  <c r="AN323" i="3"/>
  <c r="AM323" i="3"/>
  <c r="AL323" i="3"/>
  <c r="AK323" i="3"/>
  <c r="W323" i="3"/>
  <c r="AN322" i="3"/>
  <c r="AM322" i="3"/>
  <c r="AL322" i="3"/>
  <c r="AK322" i="3"/>
  <c r="W322" i="3"/>
  <c r="AN321" i="3"/>
  <c r="AM321" i="3"/>
  <c r="AL321" i="3"/>
  <c r="AK321" i="3"/>
  <c r="W321" i="3"/>
  <c r="AN320" i="3"/>
  <c r="AM320" i="3"/>
  <c r="AL320" i="3"/>
  <c r="AK320" i="3"/>
  <c r="W320" i="3"/>
  <c r="AN319" i="3"/>
  <c r="AM319" i="3"/>
  <c r="AL319" i="3"/>
  <c r="AK319" i="3"/>
  <c r="W319" i="3"/>
  <c r="AN318" i="3"/>
  <c r="AM318" i="3"/>
  <c r="AL318" i="3"/>
  <c r="AK318" i="3"/>
  <c r="W318" i="3"/>
  <c r="AN317" i="3"/>
  <c r="AM317" i="3"/>
  <c r="AL317" i="3"/>
  <c r="AK317" i="3"/>
  <c r="W317" i="3"/>
  <c r="AN316" i="3"/>
  <c r="AM316" i="3"/>
  <c r="AL316" i="3"/>
  <c r="AK316" i="3"/>
  <c r="W316" i="3"/>
  <c r="AN315" i="3"/>
  <c r="AM315" i="3"/>
  <c r="AL315" i="3"/>
  <c r="AK315" i="3"/>
  <c r="W315" i="3"/>
  <c r="AN314" i="3"/>
  <c r="AM314" i="3"/>
  <c r="AL314" i="3"/>
  <c r="AK314" i="3"/>
  <c r="W314" i="3"/>
  <c r="AN313" i="3"/>
  <c r="AM313" i="3"/>
  <c r="AL313" i="3"/>
  <c r="AK313" i="3"/>
  <c r="W313" i="3"/>
  <c r="AN312" i="3"/>
  <c r="AM312" i="3"/>
  <c r="AL312" i="3"/>
  <c r="AK312" i="3"/>
  <c r="W312" i="3"/>
  <c r="AN311" i="3"/>
  <c r="AM311" i="3"/>
  <c r="AL311" i="3"/>
  <c r="AK311" i="3"/>
  <c r="W311" i="3"/>
  <c r="AN310" i="3"/>
  <c r="AM310" i="3"/>
  <c r="AL310" i="3"/>
  <c r="AK310" i="3"/>
  <c r="W310" i="3"/>
  <c r="AN309" i="3"/>
  <c r="AM309" i="3"/>
  <c r="AL309" i="3"/>
  <c r="AK309" i="3"/>
  <c r="W309" i="3"/>
  <c r="AN308" i="3"/>
  <c r="AM308" i="3"/>
  <c r="AL308" i="3"/>
  <c r="AK308" i="3"/>
  <c r="W308" i="3"/>
  <c r="AN307" i="3"/>
  <c r="AM307" i="3"/>
  <c r="AL307" i="3"/>
  <c r="AK307" i="3"/>
  <c r="W307" i="3"/>
  <c r="AN306" i="3"/>
  <c r="AM306" i="3"/>
  <c r="AL306" i="3"/>
  <c r="AK306" i="3"/>
  <c r="W306" i="3"/>
  <c r="AN305" i="3"/>
  <c r="AM305" i="3"/>
  <c r="AL305" i="3"/>
  <c r="AK305" i="3"/>
  <c r="W305" i="3"/>
  <c r="AN304" i="3"/>
  <c r="AM304" i="3"/>
  <c r="AL304" i="3"/>
  <c r="AK304" i="3"/>
  <c r="W304" i="3"/>
  <c r="AN303" i="3"/>
  <c r="AM303" i="3"/>
  <c r="AL303" i="3"/>
  <c r="AK303" i="3"/>
  <c r="W303" i="3"/>
  <c r="AN302" i="3"/>
  <c r="AM302" i="3"/>
  <c r="AL302" i="3"/>
  <c r="AK302" i="3"/>
  <c r="W302" i="3"/>
  <c r="AN301" i="3"/>
  <c r="AM301" i="3"/>
  <c r="AL301" i="3"/>
  <c r="AK301" i="3"/>
  <c r="W301" i="3"/>
  <c r="AN300" i="3"/>
  <c r="AM300" i="3"/>
  <c r="AL300" i="3"/>
  <c r="AK300" i="3"/>
  <c r="W300" i="3"/>
  <c r="AN299" i="3"/>
  <c r="AM299" i="3"/>
  <c r="AL299" i="3"/>
  <c r="AK299" i="3"/>
  <c r="W299" i="3"/>
  <c r="AN298" i="3"/>
  <c r="AM298" i="3"/>
  <c r="AL298" i="3"/>
  <c r="AK298" i="3"/>
  <c r="W298" i="3"/>
  <c r="AN297" i="3"/>
  <c r="AM297" i="3"/>
  <c r="AL297" i="3"/>
  <c r="AK297" i="3"/>
  <c r="W297" i="3"/>
  <c r="AN296" i="3"/>
  <c r="AM296" i="3"/>
  <c r="AL296" i="3"/>
  <c r="AK296" i="3"/>
  <c r="W296" i="3"/>
  <c r="AN295" i="3"/>
  <c r="AM295" i="3"/>
  <c r="AL295" i="3"/>
  <c r="AK295" i="3"/>
  <c r="W295" i="3"/>
  <c r="AN294" i="3"/>
  <c r="AM294" i="3"/>
  <c r="AL294" i="3"/>
  <c r="AK294" i="3"/>
  <c r="W294" i="3"/>
  <c r="AN293" i="3"/>
  <c r="AM293" i="3"/>
  <c r="AL293" i="3"/>
  <c r="AK293" i="3"/>
  <c r="W293" i="3"/>
  <c r="AN292" i="3"/>
  <c r="AM292" i="3"/>
  <c r="AL292" i="3"/>
  <c r="AK292" i="3"/>
  <c r="W292" i="3"/>
  <c r="AN291" i="3"/>
  <c r="AM291" i="3"/>
  <c r="AL291" i="3"/>
  <c r="AK291" i="3"/>
  <c r="W291" i="3"/>
  <c r="AN290" i="3"/>
  <c r="AM290" i="3"/>
  <c r="AL290" i="3"/>
  <c r="AK290" i="3"/>
  <c r="W290" i="3"/>
  <c r="AN289" i="3"/>
  <c r="AM289" i="3"/>
  <c r="AL289" i="3"/>
  <c r="AK289" i="3"/>
  <c r="W289" i="3"/>
  <c r="AN288" i="3"/>
  <c r="AM288" i="3"/>
  <c r="AL288" i="3"/>
  <c r="AK288" i="3"/>
  <c r="W288" i="3"/>
  <c r="AN287" i="3"/>
  <c r="AM287" i="3"/>
  <c r="AL287" i="3"/>
  <c r="AK287" i="3"/>
  <c r="W287" i="3"/>
  <c r="AN286" i="3"/>
  <c r="AM286" i="3"/>
  <c r="AL286" i="3"/>
  <c r="AK286" i="3"/>
  <c r="W286" i="3"/>
  <c r="AN285" i="3"/>
  <c r="AM285" i="3"/>
  <c r="AL285" i="3"/>
  <c r="AK285" i="3"/>
  <c r="W285" i="3"/>
  <c r="AN284" i="3"/>
  <c r="AM284" i="3"/>
  <c r="AL284" i="3"/>
  <c r="AK284" i="3"/>
  <c r="W284" i="3"/>
  <c r="AN283" i="3"/>
  <c r="AM283" i="3"/>
  <c r="AL283" i="3"/>
  <c r="AK283" i="3"/>
  <c r="W283" i="3"/>
  <c r="AN282" i="3"/>
  <c r="AM282" i="3"/>
  <c r="AL282" i="3"/>
  <c r="AK282" i="3"/>
  <c r="W282" i="3"/>
  <c r="AN281" i="3"/>
  <c r="AM281" i="3"/>
  <c r="AL281" i="3"/>
  <c r="AK281" i="3"/>
  <c r="W281" i="3"/>
  <c r="AN280" i="3"/>
  <c r="AM280" i="3"/>
  <c r="AL280" i="3"/>
  <c r="AK280" i="3"/>
  <c r="W280" i="3"/>
  <c r="AN279" i="3"/>
  <c r="AM279" i="3"/>
  <c r="AL279" i="3"/>
  <c r="AK279" i="3"/>
  <c r="W279" i="3"/>
  <c r="AN278" i="3"/>
  <c r="AM278" i="3"/>
  <c r="AL278" i="3"/>
  <c r="AK278" i="3"/>
  <c r="W278" i="3"/>
  <c r="AN277" i="3"/>
  <c r="AM277" i="3"/>
  <c r="AL277" i="3"/>
  <c r="AK277" i="3"/>
  <c r="W277" i="3"/>
  <c r="AN276" i="3"/>
  <c r="AM276" i="3"/>
  <c r="AL276" i="3"/>
  <c r="AK276" i="3"/>
  <c r="W276" i="3"/>
  <c r="AN275" i="3"/>
  <c r="AM275" i="3"/>
  <c r="AL275" i="3"/>
  <c r="AK275" i="3"/>
  <c r="W275" i="3"/>
  <c r="AN274" i="3"/>
  <c r="AM274" i="3"/>
  <c r="AL274" i="3"/>
  <c r="AK274" i="3"/>
  <c r="W274" i="3"/>
  <c r="AN273" i="3"/>
  <c r="AM273" i="3"/>
  <c r="AL273" i="3"/>
  <c r="AK273" i="3"/>
  <c r="W273" i="3"/>
  <c r="AN272" i="3"/>
  <c r="AM272" i="3"/>
  <c r="AL272" i="3"/>
  <c r="AK272" i="3"/>
  <c r="W272" i="3"/>
  <c r="AN271" i="3"/>
  <c r="AM271" i="3"/>
  <c r="AL271" i="3"/>
  <c r="AK271" i="3"/>
  <c r="W271" i="3"/>
  <c r="AN270" i="3"/>
  <c r="AM270" i="3"/>
  <c r="AL270" i="3"/>
  <c r="AK270" i="3"/>
  <c r="W270" i="3"/>
  <c r="AN269" i="3"/>
  <c r="AM269" i="3"/>
  <c r="AL269" i="3"/>
  <c r="AK269" i="3"/>
  <c r="W269" i="3"/>
  <c r="AN268" i="3"/>
  <c r="AM268" i="3"/>
  <c r="AL268" i="3"/>
  <c r="AK268" i="3"/>
  <c r="W268" i="3"/>
  <c r="AN267" i="3"/>
  <c r="AM267" i="3"/>
  <c r="AL267" i="3"/>
  <c r="AK267" i="3"/>
  <c r="W267" i="3"/>
  <c r="AN266" i="3"/>
  <c r="AM266" i="3"/>
  <c r="AL266" i="3"/>
  <c r="AK266" i="3"/>
  <c r="W266" i="3"/>
  <c r="AN265" i="3"/>
  <c r="AM265" i="3"/>
  <c r="AL265" i="3"/>
  <c r="AK265" i="3"/>
  <c r="W265" i="3"/>
  <c r="AN264" i="3"/>
  <c r="AM264" i="3"/>
  <c r="AL264" i="3"/>
  <c r="AK264" i="3"/>
  <c r="W264" i="3"/>
  <c r="AN263" i="3"/>
  <c r="AM263" i="3"/>
  <c r="AL263" i="3"/>
  <c r="AK263" i="3"/>
  <c r="W263" i="3"/>
  <c r="AN262" i="3"/>
  <c r="AM262" i="3"/>
  <c r="AL262" i="3"/>
  <c r="AK262" i="3"/>
  <c r="W262" i="3"/>
  <c r="AN261" i="3"/>
  <c r="AM261" i="3"/>
  <c r="AL261" i="3"/>
  <c r="AK261" i="3"/>
  <c r="W261" i="3"/>
  <c r="AN260" i="3"/>
  <c r="AM260" i="3"/>
  <c r="AL260" i="3"/>
  <c r="AK260" i="3"/>
  <c r="W260" i="3"/>
  <c r="AN259" i="3"/>
  <c r="AM259" i="3"/>
  <c r="AL259" i="3"/>
  <c r="AK259" i="3"/>
  <c r="W259" i="3"/>
  <c r="AN258" i="3"/>
  <c r="AM258" i="3"/>
  <c r="AL258" i="3"/>
  <c r="AK258" i="3"/>
  <c r="W258" i="3"/>
  <c r="AN257" i="3"/>
  <c r="AM257" i="3"/>
  <c r="AL257" i="3"/>
  <c r="AK257" i="3"/>
  <c r="W257" i="3"/>
  <c r="AN256" i="3"/>
  <c r="AM256" i="3"/>
  <c r="AL256" i="3"/>
  <c r="AK256" i="3"/>
  <c r="W256" i="3"/>
  <c r="AN255" i="3"/>
  <c r="AM255" i="3"/>
  <c r="AL255" i="3"/>
  <c r="AK255" i="3"/>
  <c r="W255" i="3"/>
  <c r="AN254" i="3"/>
  <c r="AM254" i="3"/>
  <c r="AL254" i="3"/>
  <c r="AK254" i="3"/>
  <c r="W254" i="3"/>
  <c r="AN253" i="3"/>
  <c r="AM253" i="3"/>
  <c r="AL253" i="3"/>
  <c r="AK253" i="3"/>
  <c r="W253" i="3"/>
  <c r="AN252" i="3"/>
  <c r="AM252" i="3"/>
  <c r="AL252" i="3"/>
  <c r="AK252" i="3"/>
  <c r="W252" i="3"/>
  <c r="AN251" i="3"/>
  <c r="AM251" i="3"/>
  <c r="AL251" i="3"/>
  <c r="AK251" i="3"/>
  <c r="W251" i="3"/>
  <c r="AN250" i="3"/>
  <c r="AM250" i="3"/>
  <c r="AL250" i="3"/>
  <c r="AK250" i="3"/>
  <c r="W250" i="3"/>
  <c r="AN249" i="3"/>
  <c r="AM249" i="3"/>
  <c r="AL249" i="3"/>
  <c r="AK249" i="3"/>
  <c r="W249" i="3"/>
  <c r="AN248" i="3"/>
  <c r="AM248" i="3"/>
  <c r="AL248" i="3"/>
  <c r="AK248" i="3"/>
  <c r="W248" i="3"/>
  <c r="AN247" i="3"/>
  <c r="AM247" i="3"/>
  <c r="AL247" i="3"/>
  <c r="AK247" i="3"/>
  <c r="W247" i="3"/>
  <c r="AN246" i="3"/>
  <c r="AM246" i="3"/>
  <c r="AL246" i="3"/>
  <c r="AK246" i="3"/>
  <c r="W246" i="3"/>
  <c r="AN245" i="3"/>
  <c r="AM245" i="3"/>
  <c r="AL245" i="3"/>
  <c r="AK245" i="3"/>
  <c r="W245" i="3"/>
  <c r="AN244" i="3"/>
  <c r="AM244" i="3"/>
  <c r="AL244" i="3"/>
  <c r="AK244" i="3"/>
  <c r="W244" i="3"/>
  <c r="AN243" i="3"/>
  <c r="AM243" i="3"/>
  <c r="AL243" i="3"/>
  <c r="AK243" i="3"/>
  <c r="W243" i="3"/>
  <c r="AN242" i="3"/>
  <c r="AM242" i="3"/>
  <c r="AL242" i="3"/>
  <c r="AK242" i="3"/>
  <c r="W242" i="3"/>
  <c r="AN241" i="3"/>
  <c r="AM241" i="3"/>
  <c r="AL241" i="3"/>
  <c r="AK241" i="3"/>
  <c r="W241" i="3"/>
  <c r="AN240" i="3"/>
  <c r="AM240" i="3"/>
  <c r="AL240" i="3"/>
  <c r="AK240" i="3"/>
  <c r="W240" i="3"/>
  <c r="AN239" i="3"/>
  <c r="AM239" i="3"/>
  <c r="AL239" i="3"/>
  <c r="AK239" i="3"/>
  <c r="W239" i="3"/>
  <c r="AN238" i="3"/>
  <c r="AM238" i="3"/>
  <c r="AL238" i="3"/>
  <c r="AK238" i="3"/>
  <c r="W238" i="3"/>
  <c r="AN237" i="3"/>
  <c r="AM237" i="3"/>
  <c r="AL237" i="3"/>
  <c r="AK237" i="3"/>
  <c r="W237" i="3"/>
  <c r="AN236" i="3"/>
  <c r="AM236" i="3"/>
  <c r="AL236" i="3"/>
  <c r="AK236" i="3"/>
  <c r="W236" i="3"/>
  <c r="AN235" i="3"/>
  <c r="AM235" i="3"/>
  <c r="AL235" i="3"/>
  <c r="AK235" i="3"/>
  <c r="W235" i="3"/>
  <c r="AN234" i="3"/>
  <c r="AM234" i="3"/>
  <c r="AL234" i="3"/>
  <c r="AK234" i="3"/>
  <c r="W234" i="3"/>
  <c r="AN233" i="3"/>
  <c r="AM233" i="3"/>
  <c r="AL233" i="3"/>
  <c r="AK233" i="3"/>
  <c r="W233" i="3"/>
  <c r="AN232" i="3"/>
  <c r="AM232" i="3"/>
  <c r="AL232" i="3"/>
  <c r="AK232" i="3"/>
  <c r="W232" i="3"/>
  <c r="AN231" i="3"/>
  <c r="AM231" i="3"/>
  <c r="AL231" i="3"/>
  <c r="AK231" i="3"/>
  <c r="W231" i="3"/>
  <c r="AN230" i="3"/>
  <c r="AM230" i="3"/>
  <c r="AL230" i="3"/>
  <c r="AK230" i="3"/>
  <c r="W230" i="3"/>
  <c r="AN229" i="3"/>
  <c r="AM229" i="3"/>
  <c r="AL229" i="3"/>
  <c r="AK229" i="3"/>
  <c r="W229" i="3"/>
  <c r="AN228" i="3"/>
  <c r="AM228" i="3"/>
  <c r="AL228" i="3"/>
  <c r="AK228" i="3"/>
  <c r="W228" i="3"/>
  <c r="AN227" i="3"/>
  <c r="AM227" i="3"/>
  <c r="AL227" i="3"/>
  <c r="AK227" i="3"/>
  <c r="W227" i="3"/>
  <c r="AN226" i="3"/>
  <c r="AM226" i="3"/>
  <c r="AL226" i="3"/>
  <c r="AK226" i="3"/>
  <c r="W226" i="3"/>
  <c r="AN225" i="3"/>
  <c r="AM225" i="3"/>
  <c r="AL225" i="3"/>
  <c r="AK225" i="3"/>
  <c r="W225" i="3"/>
  <c r="AN224" i="3"/>
  <c r="AM224" i="3"/>
  <c r="AL224" i="3"/>
  <c r="AK224" i="3"/>
  <c r="W224" i="3"/>
  <c r="AN223" i="3"/>
  <c r="AM223" i="3"/>
  <c r="AL223" i="3"/>
  <c r="AK223" i="3"/>
  <c r="W223" i="3"/>
  <c r="AN222" i="3"/>
  <c r="AM222" i="3"/>
  <c r="AL222" i="3"/>
  <c r="AK222" i="3"/>
  <c r="W222" i="3"/>
  <c r="AN221" i="3"/>
  <c r="AM221" i="3"/>
  <c r="AL221" i="3"/>
  <c r="AK221" i="3"/>
  <c r="W221" i="3"/>
  <c r="AN220" i="3"/>
  <c r="AM220" i="3"/>
  <c r="AL220" i="3"/>
  <c r="AK220" i="3"/>
  <c r="W220" i="3"/>
  <c r="AN219" i="3"/>
  <c r="AM219" i="3"/>
  <c r="AL219" i="3"/>
  <c r="AK219" i="3"/>
  <c r="W219" i="3"/>
  <c r="AN218" i="3"/>
  <c r="AM218" i="3"/>
  <c r="AL218" i="3"/>
  <c r="AK218" i="3"/>
  <c r="W218" i="3"/>
  <c r="AN217" i="3"/>
  <c r="AM217" i="3"/>
  <c r="AL217" i="3"/>
  <c r="AK217" i="3"/>
  <c r="W217" i="3"/>
  <c r="AN216" i="3"/>
  <c r="AM216" i="3"/>
  <c r="AL216" i="3"/>
  <c r="AK216" i="3"/>
  <c r="W216" i="3"/>
  <c r="AN215" i="3"/>
  <c r="AM215" i="3"/>
  <c r="AL215" i="3"/>
  <c r="AK215" i="3"/>
  <c r="W215" i="3"/>
  <c r="AN214" i="3"/>
  <c r="AM214" i="3"/>
  <c r="AL214" i="3"/>
  <c r="AK214" i="3"/>
  <c r="W214" i="3"/>
  <c r="AN213" i="3"/>
  <c r="AM213" i="3"/>
  <c r="AL213" i="3"/>
  <c r="AK213" i="3"/>
  <c r="W213" i="3"/>
  <c r="AN212" i="3"/>
  <c r="AM212" i="3"/>
  <c r="AL212" i="3"/>
  <c r="AK212" i="3"/>
  <c r="W212" i="3"/>
  <c r="AN211" i="3"/>
  <c r="AM211" i="3"/>
  <c r="AL211" i="3"/>
  <c r="AK211" i="3"/>
  <c r="W211" i="3"/>
  <c r="AN210" i="3"/>
  <c r="AM210" i="3"/>
  <c r="AL210" i="3"/>
  <c r="AK210" i="3"/>
  <c r="W210" i="3"/>
  <c r="AN209" i="3"/>
  <c r="AM209" i="3"/>
  <c r="AL209" i="3"/>
  <c r="AK209" i="3"/>
  <c r="W209" i="3"/>
  <c r="AN208" i="3"/>
  <c r="AM208" i="3"/>
  <c r="AL208" i="3"/>
  <c r="AK208" i="3"/>
  <c r="W208" i="3"/>
  <c r="AN207" i="3"/>
  <c r="AM207" i="3"/>
  <c r="AL207" i="3"/>
  <c r="AK207" i="3"/>
  <c r="W207" i="3"/>
  <c r="AN206" i="3"/>
  <c r="AM206" i="3"/>
  <c r="AL206" i="3"/>
  <c r="AK206" i="3"/>
  <c r="W206" i="3"/>
  <c r="AN205" i="3"/>
  <c r="AM205" i="3"/>
  <c r="AL205" i="3"/>
  <c r="AK205" i="3"/>
  <c r="W205" i="3"/>
  <c r="AN204" i="3"/>
  <c r="AM204" i="3"/>
  <c r="AL204" i="3"/>
  <c r="AK204" i="3"/>
  <c r="W204" i="3"/>
  <c r="AN203" i="3"/>
  <c r="AM203" i="3"/>
  <c r="AL203" i="3"/>
  <c r="AK203" i="3"/>
  <c r="W203" i="3"/>
  <c r="AN202" i="3"/>
  <c r="AM202" i="3"/>
  <c r="AL202" i="3"/>
  <c r="AK202" i="3"/>
  <c r="W202" i="3"/>
  <c r="AN201" i="3"/>
  <c r="AM201" i="3"/>
  <c r="AL201" i="3"/>
  <c r="AK201" i="3"/>
  <c r="W201" i="3"/>
  <c r="AN200" i="3"/>
  <c r="AM200" i="3"/>
  <c r="AL200" i="3"/>
  <c r="AK200" i="3"/>
  <c r="W200" i="3"/>
  <c r="AN199" i="3"/>
  <c r="AM199" i="3"/>
  <c r="AL199" i="3"/>
  <c r="AK199" i="3"/>
  <c r="W199" i="3"/>
  <c r="AN198" i="3"/>
  <c r="AM198" i="3"/>
  <c r="AL198" i="3"/>
  <c r="AK198" i="3"/>
  <c r="W198" i="3"/>
  <c r="AN197" i="3"/>
  <c r="AM197" i="3"/>
  <c r="AL197" i="3"/>
  <c r="AK197" i="3"/>
  <c r="W197" i="3"/>
  <c r="AN196" i="3"/>
  <c r="AM196" i="3"/>
  <c r="AL196" i="3"/>
  <c r="AK196" i="3"/>
  <c r="W196" i="3"/>
  <c r="AN195" i="3"/>
  <c r="AM195" i="3"/>
  <c r="AL195" i="3"/>
  <c r="AK195" i="3"/>
  <c r="W195" i="3"/>
  <c r="AN194" i="3"/>
  <c r="AM194" i="3"/>
  <c r="AL194" i="3"/>
  <c r="AK194" i="3"/>
  <c r="W194" i="3"/>
  <c r="AN193" i="3"/>
  <c r="AM193" i="3"/>
  <c r="AL193" i="3"/>
  <c r="AK193" i="3"/>
  <c r="W193" i="3"/>
  <c r="AN192" i="3"/>
  <c r="AM192" i="3"/>
  <c r="AL192" i="3"/>
  <c r="AK192" i="3"/>
  <c r="W192" i="3"/>
  <c r="AN191" i="3"/>
  <c r="AM191" i="3"/>
  <c r="AL191" i="3"/>
  <c r="AK191" i="3"/>
  <c r="W191" i="3"/>
  <c r="AN190" i="3"/>
  <c r="AM190" i="3"/>
  <c r="AL190" i="3"/>
  <c r="AK190" i="3"/>
  <c r="W190" i="3"/>
  <c r="AN189" i="3"/>
  <c r="AM189" i="3"/>
  <c r="AL189" i="3"/>
  <c r="AK189" i="3"/>
  <c r="W189" i="3"/>
  <c r="AN188" i="3"/>
  <c r="AM188" i="3"/>
  <c r="AL188" i="3"/>
  <c r="AK188" i="3"/>
  <c r="W188" i="3"/>
  <c r="AN187" i="3"/>
  <c r="AM187" i="3"/>
  <c r="AL187" i="3"/>
  <c r="AK187" i="3"/>
  <c r="W187" i="3"/>
  <c r="AN186" i="3"/>
  <c r="AM186" i="3"/>
  <c r="AL186" i="3"/>
  <c r="AK186" i="3"/>
  <c r="W186" i="3"/>
  <c r="AN185" i="3"/>
  <c r="AM185" i="3"/>
  <c r="AL185" i="3"/>
  <c r="AK185" i="3"/>
  <c r="W185" i="3"/>
  <c r="AN184" i="3"/>
  <c r="AM184" i="3"/>
  <c r="AL184" i="3"/>
  <c r="AK184" i="3"/>
  <c r="W184" i="3"/>
  <c r="AN183" i="3"/>
  <c r="AM183" i="3"/>
  <c r="AL183" i="3"/>
  <c r="AK183" i="3"/>
  <c r="W183" i="3"/>
  <c r="AN182" i="3"/>
  <c r="AM182" i="3"/>
  <c r="AL182" i="3"/>
  <c r="AK182" i="3"/>
  <c r="W182" i="3"/>
  <c r="AN181" i="3"/>
  <c r="AM181" i="3"/>
  <c r="AL181" i="3"/>
  <c r="AK181" i="3"/>
  <c r="W181" i="3"/>
  <c r="AN180" i="3"/>
  <c r="AM180" i="3"/>
  <c r="AL180" i="3"/>
  <c r="AK180" i="3"/>
  <c r="W180" i="3"/>
  <c r="AN179" i="3"/>
  <c r="AM179" i="3"/>
  <c r="AL179" i="3"/>
  <c r="AK179" i="3"/>
  <c r="W179" i="3"/>
  <c r="AN178" i="3"/>
  <c r="AM178" i="3"/>
  <c r="AL178" i="3"/>
  <c r="AK178" i="3"/>
  <c r="W178" i="3"/>
  <c r="AN177" i="3"/>
  <c r="AM177" i="3"/>
  <c r="AL177" i="3"/>
  <c r="AK177" i="3"/>
  <c r="W177" i="3"/>
  <c r="AN176" i="3"/>
  <c r="AM176" i="3"/>
  <c r="AL176" i="3"/>
  <c r="AK176" i="3"/>
  <c r="W176" i="3"/>
  <c r="AN175" i="3"/>
  <c r="AM175" i="3"/>
  <c r="AL175" i="3"/>
  <c r="AK175" i="3"/>
  <c r="W175" i="3"/>
  <c r="AN174" i="3"/>
  <c r="AM174" i="3"/>
  <c r="AL174" i="3"/>
  <c r="AK174" i="3"/>
  <c r="W174" i="3"/>
  <c r="AN173" i="3"/>
  <c r="AM173" i="3"/>
  <c r="AL173" i="3"/>
  <c r="AK173" i="3"/>
  <c r="W173" i="3"/>
  <c r="AN172" i="3"/>
  <c r="AM172" i="3"/>
  <c r="AL172" i="3"/>
  <c r="AK172" i="3"/>
  <c r="W172" i="3"/>
  <c r="AN171" i="3"/>
  <c r="AM171" i="3"/>
  <c r="AL171" i="3"/>
  <c r="AK171" i="3"/>
  <c r="W171" i="3"/>
  <c r="AN170" i="3"/>
  <c r="AM170" i="3"/>
  <c r="AL170" i="3"/>
  <c r="AK170" i="3"/>
  <c r="W170" i="3"/>
  <c r="AN169" i="3"/>
  <c r="AM169" i="3"/>
  <c r="AL169" i="3"/>
  <c r="AK169" i="3"/>
  <c r="W169" i="3"/>
  <c r="AN168" i="3"/>
  <c r="AM168" i="3"/>
  <c r="AL168" i="3"/>
  <c r="AK168" i="3"/>
  <c r="W168" i="3"/>
  <c r="AN167" i="3"/>
  <c r="AM167" i="3"/>
  <c r="AL167" i="3"/>
  <c r="AK167" i="3"/>
  <c r="W167" i="3"/>
  <c r="AN166" i="3"/>
  <c r="AM166" i="3"/>
  <c r="AL166" i="3"/>
  <c r="AK166" i="3"/>
  <c r="W166" i="3"/>
  <c r="AN165" i="3"/>
  <c r="AM165" i="3"/>
  <c r="AL165" i="3"/>
  <c r="AK165" i="3"/>
  <c r="W165" i="3"/>
  <c r="AN164" i="3"/>
  <c r="AM164" i="3"/>
  <c r="AL164" i="3"/>
  <c r="AK164" i="3"/>
  <c r="W164" i="3"/>
  <c r="AN163" i="3"/>
  <c r="AM163" i="3"/>
  <c r="AL163" i="3"/>
  <c r="AK163" i="3"/>
  <c r="W163" i="3"/>
  <c r="AN162" i="3"/>
  <c r="AM162" i="3"/>
  <c r="AL162" i="3"/>
  <c r="AK162" i="3"/>
  <c r="W162" i="3"/>
  <c r="AN161" i="3"/>
  <c r="AM161" i="3"/>
  <c r="AL161" i="3"/>
  <c r="AK161" i="3"/>
  <c r="W161" i="3"/>
  <c r="AN160" i="3"/>
  <c r="AM160" i="3"/>
  <c r="AL160" i="3"/>
  <c r="AK160" i="3"/>
  <c r="W160" i="3"/>
  <c r="AN159" i="3"/>
  <c r="AM159" i="3"/>
  <c r="AL159" i="3"/>
  <c r="AK159" i="3"/>
  <c r="W159" i="3"/>
  <c r="AN158" i="3"/>
  <c r="AM158" i="3"/>
  <c r="AL158" i="3"/>
  <c r="AK158" i="3"/>
  <c r="W158" i="3"/>
  <c r="AN157" i="3"/>
  <c r="AM157" i="3"/>
  <c r="AL157" i="3"/>
  <c r="AK157" i="3"/>
  <c r="W157" i="3"/>
  <c r="AN156" i="3"/>
  <c r="AM156" i="3"/>
  <c r="AL156" i="3"/>
  <c r="AK156" i="3"/>
  <c r="W156" i="3"/>
  <c r="AN155" i="3"/>
  <c r="AM155" i="3"/>
  <c r="AL155" i="3"/>
  <c r="AK155" i="3"/>
  <c r="W155" i="3"/>
  <c r="AN154" i="3"/>
  <c r="AM154" i="3"/>
  <c r="AL154" i="3"/>
  <c r="AK154" i="3"/>
  <c r="W154" i="3"/>
  <c r="AN153" i="3"/>
  <c r="AM153" i="3"/>
  <c r="AL153" i="3"/>
  <c r="AK153" i="3"/>
  <c r="W153" i="3"/>
  <c r="AN152" i="3"/>
  <c r="AM152" i="3"/>
  <c r="AL152" i="3"/>
  <c r="AK152" i="3"/>
  <c r="W152" i="3"/>
  <c r="AN151" i="3"/>
  <c r="AM151" i="3"/>
  <c r="AL151" i="3"/>
  <c r="AK151" i="3"/>
  <c r="W151" i="3"/>
  <c r="AN150" i="3"/>
  <c r="AM150" i="3"/>
  <c r="AL150" i="3"/>
  <c r="AK150" i="3"/>
  <c r="W150" i="3"/>
  <c r="AN149" i="3"/>
  <c r="AM149" i="3"/>
  <c r="AL149" i="3"/>
  <c r="AK149" i="3"/>
  <c r="W149" i="3"/>
  <c r="AN148" i="3"/>
  <c r="AM148" i="3"/>
  <c r="AL148" i="3"/>
  <c r="AK148" i="3"/>
  <c r="W148" i="3"/>
  <c r="AN147" i="3"/>
  <c r="AM147" i="3"/>
  <c r="AL147" i="3"/>
  <c r="AK147" i="3"/>
  <c r="W147" i="3"/>
  <c r="AN146" i="3"/>
  <c r="AM146" i="3"/>
  <c r="AL146" i="3"/>
  <c r="AK146" i="3"/>
  <c r="W146" i="3"/>
  <c r="AN145" i="3"/>
  <c r="AM145" i="3"/>
  <c r="AL145" i="3"/>
  <c r="AK145" i="3"/>
  <c r="W145" i="3"/>
  <c r="AN144" i="3"/>
  <c r="AM144" i="3"/>
  <c r="AL144" i="3"/>
  <c r="AK144" i="3"/>
  <c r="W144" i="3"/>
  <c r="AN143" i="3"/>
  <c r="AM143" i="3"/>
  <c r="AL143" i="3"/>
  <c r="AK143" i="3"/>
  <c r="W143" i="3"/>
  <c r="AN142" i="3"/>
  <c r="AM142" i="3"/>
  <c r="AL142" i="3"/>
  <c r="AK142" i="3"/>
  <c r="W142" i="3"/>
  <c r="AN141" i="3"/>
  <c r="AM141" i="3"/>
  <c r="AL141" i="3"/>
  <c r="AK141" i="3"/>
  <c r="W141" i="3"/>
  <c r="AN140" i="3"/>
  <c r="AM140" i="3"/>
  <c r="AL140" i="3"/>
  <c r="AK140" i="3"/>
  <c r="W140" i="3"/>
  <c r="AN139" i="3"/>
  <c r="AM139" i="3"/>
  <c r="AL139" i="3"/>
  <c r="AK139" i="3"/>
  <c r="W139" i="3"/>
  <c r="AN138" i="3"/>
  <c r="AM138" i="3"/>
  <c r="AL138" i="3"/>
  <c r="AK138" i="3"/>
  <c r="W138" i="3"/>
  <c r="AN137" i="3"/>
  <c r="AM137" i="3"/>
  <c r="AL137" i="3"/>
  <c r="AK137" i="3"/>
  <c r="W137" i="3"/>
  <c r="AN136" i="3"/>
  <c r="AM136" i="3"/>
  <c r="AL136" i="3"/>
  <c r="AK136" i="3"/>
  <c r="W136" i="3"/>
  <c r="AN135" i="3"/>
  <c r="AM135" i="3"/>
  <c r="AL135" i="3"/>
  <c r="AK135" i="3"/>
  <c r="W135" i="3"/>
  <c r="AN134" i="3"/>
  <c r="AM134" i="3"/>
  <c r="AL134" i="3"/>
  <c r="AK134" i="3"/>
  <c r="W134" i="3"/>
  <c r="AN133" i="3"/>
  <c r="AM133" i="3"/>
  <c r="AL133" i="3"/>
  <c r="AK133" i="3"/>
  <c r="W133" i="3"/>
  <c r="AN132" i="3"/>
  <c r="AM132" i="3"/>
  <c r="AL132" i="3"/>
  <c r="AK132" i="3"/>
  <c r="W132" i="3"/>
  <c r="AN131" i="3"/>
  <c r="AM131" i="3"/>
  <c r="AL131" i="3"/>
  <c r="AK131" i="3"/>
  <c r="W131" i="3"/>
  <c r="AN130" i="3"/>
  <c r="AM130" i="3"/>
  <c r="AL130" i="3"/>
  <c r="AK130" i="3"/>
  <c r="W130" i="3"/>
  <c r="AN129" i="3"/>
  <c r="AM129" i="3"/>
  <c r="AL129" i="3"/>
  <c r="AK129" i="3"/>
  <c r="W129" i="3"/>
  <c r="AN128" i="3"/>
  <c r="AM128" i="3"/>
  <c r="AL128" i="3"/>
  <c r="AK128" i="3"/>
  <c r="W128" i="3"/>
  <c r="AN127" i="3"/>
  <c r="AM127" i="3"/>
  <c r="AL127" i="3"/>
  <c r="AK127" i="3"/>
  <c r="W127" i="3"/>
  <c r="AN126" i="3"/>
  <c r="AM126" i="3"/>
  <c r="AL126" i="3"/>
  <c r="AK126" i="3"/>
  <c r="W126" i="3"/>
  <c r="AN125" i="3"/>
  <c r="AM125" i="3"/>
  <c r="AL125" i="3"/>
  <c r="AK125" i="3"/>
  <c r="W125" i="3"/>
  <c r="AN124" i="3"/>
  <c r="AM124" i="3"/>
  <c r="AL124" i="3"/>
  <c r="AK124" i="3"/>
  <c r="W124" i="3"/>
  <c r="AN123" i="3"/>
  <c r="AM123" i="3"/>
  <c r="AL123" i="3"/>
  <c r="AK123" i="3"/>
  <c r="W123" i="3"/>
  <c r="AN122" i="3"/>
  <c r="AM122" i="3"/>
  <c r="AL122" i="3"/>
  <c r="AK122" i="3"/>
  <c r="W122" i="3"/>
  <c r="AN121" i="3"/>
  <c r="AM121" i="3"/>
  <c r="AL121" i="3"/>
  <c r="AK121" i="3"/>
  <c r="W121" i="3"/>
  <c r="AN120" i="3"/>
  <c r="AM120" i="3"/>
  <c r="AL120" i="3"/>
  <c r="AK120" i="3"/>
  <c r="W120" i="3"/>
  <c r="AN119" i="3"/>
  <c r="AM119" i="3"/>
  <c r="AL119" i="3"/>
  <c r="AK119" i="3"/>
  <c r="W119" i="3"/>
  <c r="AN118" i="3"/>
  <c r="AM118" i="3"/>
  <c r="AL118" i="3"/>
  <c r="AK118" i="3"/>
  <c r="W118" i="3"/>
  <c r="AN117" i="3"/>
  <c r="AM117" i="3"/>
  <c r="AL117" i="3"/>
  <c r="AK117" i="3"/>
  <c r="W117" i="3"/>
  <c r="AN116" i="3"/>
  <c r="AM116" i="3"/>
  <c r="AL116" i="3"/>
  <c r="AK116" i="3"/>
  <c r="W116" i="3"/>
  <c r="AN115" i="3"/>
  <c r="AM115" i="3"/>
  <c r="AL115" i="3"/>
  <c r="AK115" i="3"/>
  <c r="W115" i="3"/>
  <c r="AN114" i="3"/>
  <c r="AM114" i="3"/>
  <c r="AL114" i="3"/>
  <c r="AK114" i="3"/>
  <c r="W114" i="3"/>
  <c r="AN113" i="3"/>
  <c r="AM113" i="3"/>
  <c r="AL113" i="3"/>
  <c r="AK113" i="3"/>
  <c r="W113" i="3"/>
  <c r="AN112" i="3"/>
  <c r="AM112" i="3"/>
  <c r="AL112" i="3"/>
  <c r="AK112" i="3"/>
  <c r="W112" i="3"/>
  <c r="AN111" i="3"/>
  <c r="AM111" i="3"/>
  <c r="AL111" i="3"/>
  <c r="AK111" i="3"/>
  <c r="W111" i="3"/>
  <c r="AN110" i="3"/>
  <c r="AM110" i="3"/>
  <c r="AL110" i="3"/>
  <c r="AK110" i="3"/>
  <c r="W110" i="3"/>
  <c r="AN109" i="3"/>
  <c r="AM109" i="3"/>
  <c r="AL109" i="3"/>
  <c r="AK109" i="3"/>
  <c r="W109" i="3"/>
  <c r="AN108" i="3"/>
  <c r="AM108" i="3"/>
  <c r="AL108" i="3"/>
  <c r="AK108" i="3"/>
  <c r="W108" i="3"/>
  <c r="AN107" i="3"/>
  <c r="AM107" i="3"/>
  <c r="AL107" i="3"/>
  <c r="AK107" i="3"/>
  <c r="W107" i="3"/>
  <c r="AN106" i="3"/>
  <c r="AM106" i="3"/>
  <c r="AL106" i="3"/>
  <c r="AK106" i="3"/>
  <c r="W106" i="3"/>
  <c r="AN105" i="3"/>
  <c r="AM105" i="3"/>
  <c r="AL105" i="3"/>
  <c r="AK105" i="3"/>
  <c r="W105" i="3"/>
  <c r="AN104" i="3"/>
  <c r="AM104" i="3"/>
  <c r="AL104" i="3"/>
  <c r="AK104" i="3"/>
  <c r="W104" i="3"/>
  <c r="AN103" i="3"/>
  <c r="AM103" i="3"/>
  <c r="AL103" i="3"/>
  <c r="AK103" i="3"/>
  <c r="W103" i="3"/>
  <c r="AN102" i="3"/>
  <c r="AM102" i="3"/>
  <c r="AL102" i="3"/>
  <c r="AK102" i="3"/>
  <c r="W102" i="3"/>
  <c r="AN101" i="3"/>
  <c r="AM101" i="3"/>
  <c r="AL101" i="3"/>
  <c r="AK101" i="3"/>
  <c r="W101" i="3"/>
  <c r="AN100" i="3"/>
  <c r="AM100" i="3"/>
  <c r="AL100" i="3"/>
  <c r="AK100" i="3"/>
  <c r="W100" i="3"/>
  <c r="AN99" i="3"/>
  <c r="AM99" i="3"/>
  <c r="AL99" i="3"/>
  <c r="AK99" i="3"/>
  <c r="W99" i="3"/>
  <c r="AN98" i="3"/>
  <c r="AM98" i="3"/>
  <c r="AL98" i="3"/>
  <c r="AK98" i="3"/>
  <c r="W98" i="3"/>
  <c r="AN97" i="3"/>
  <c r="AM97" i="3"/>
  <c r="AL97" i="3"/>
  <c r="AK97" i="3"/>
  <c r="W97" i="3"/>
  <c r="AN96" i="3"/>
  <c r="AM96" i="3"/>
  <c r="AL96" i="3"/>
  <c r="AK96" i="3"/>
  <c r="W96" i="3"/>
  <c r="AN95" i="3"/>
  <c r="AM95" i="3"/>
  <c r="AL95" i="3"/>
  <c r="AK95" i="3"/>
  <c r="W95" i="3"/>
  <c r="AN94" i="3"/>
  <c r="AM94" i="3"/>
  <c r="AL94" i="3"/>
  <c r="AK94" i="3"/>
  <c r="W94" i="3"/>
  <c r="AN93" i="3"/>
  <c r="AM93" i="3"/>
  <c r="AL93" i="3"/>
  <c r="AK93" i="3"/>
  <c r="W93" i="3"/>
  <c r="AN92" i="3"/>
  <c r="AM92" i="3"/>
  <c r="AL92" i="3"/>
  <c r="AK92" i="3"/>
  <c r="W92" i="3"/>
  <c r="AN91" i="3"/>
  <c r="AM91" i="3"/>
  <c r="AL91" i="3"/>
  <c r="AK91" i="3"/>
  <c r="W91" i="3"/>
  <c r="AN90" i="3"/>
  <c r="AM90" i="3"/>
  <c r="AL90" i="3"/>
  <c r="AK90" i="3"/>
  <c r="W90" i="3"/>
  <c r="AN89" i="3"/>
  <c r="AM89" i="3"/>
  <c r="AL89" i="3"/>
  <c r="AK89" i="3"/>
  <c r="W89" i="3"/>
  <c r="AN88" i="3"/>
  <c r="AM88" i="3"/>
  <c r="AL88" i="3"/>
  <c r="AK88" i="3"/>
  <c r="W88" i="3"/>
  <c r="AN87" i="3"/>
  <c r="AM87" i="3"/>
  <c r="AL87" i="3"/>
  <c r="AK87" i="3"/>
  <c r="W87" i="3"/>
  <c r="AN86" i="3"/>
  <c r="AM86" i="3"/>
  <c r="AL86" i="3"/>
  <c r="AK86" i="3"/>
  <c r="W86" i="3"/>
  <c r="AN85" i="3"/>
  <c r="AM85" i="3"/>
  <c r="AL85" i="3"/>
  <c r="AK85" i="3"/>
  <c r="W85" i="3"/>
  <c r="AN84" i="3"/>
  <c r="AM84" i="3"/>
  <c r="AL84" i="3"/>
  <c r="AK84" i="3"/>
  <c r="W84" i="3"/>
  <c r="AN83" i="3"/>
  <c r="AM83" i="3"/>
  <c r="AL83" i="3"/>
  <c r="AK83" i="3"/>
  <c r="W83" i="3"/>
  <c r="AN82" i="3"/>
  <c r="AM82" i="3"/>
  <c r="AL82" i="3"/>
  <c r="AK82" i="3"/>
  <c r="W82" i="3"/>
  <c r="AN81" i="3"/>
  <c r="AM81" i="3"/>
  <c r="AL81" i="3"/>
  <c r="AK81" i="3"/>
  <c r="W81" i="3"/>
  <c r="AN80" i="3"/>
  <c r="AM80" i="3"/>
  <c r="AL80" i="3"/>
  <c r="AK80" i="3"/>
  <c r="W80" i="3"/>
  <c r="AN79" i="3"/>
  <c r="AM79" i="3"/>
  <c r="AL79" i="3"/>
  <c r="AK79" i="3"/>
  <c r="W79" i="3"/>
  <c r="AN78" i="3"/>
  <c r="AM78" i="3"/>
  <c r="AL78" i="3"/>
  <c r="AK78" i="3"/>
  <c r="W78" i="3"/>
  <c r="AN77" i="3"/>
  <c r="AM77" i="3"/>
  <c r="AL77" i="3"/>
  <c r="AK77" i="3"/>
  <c r="W77" i="3"/>
  <c r="AN76" i="3"/>
  <c r="AM76" i="3"/>
  <c r="AL76" i="3"/>
  <c r="AK76" i="3"/>
  <c r="W76" i="3"/>
  <c r="AN75" i="3"/>
  <c r="AM75" i="3"/>
  <c r="AL75" i="3"/>
  <c r="AK75" i="3"/>
  <c r="W75" i="3"/>
  <c r="AN74" i="3"/>
  <c r="AM74" i="3"/>
  <c r="AL74" i="3"/>
  <c r="AK74" i="3"/>
  <c r="W74" i="3"/>
  <c r="AN73" i="3"/>
  <c r="AM73" i="3"/>
  <c r="AL73" i="3"/>
  <c r="AK73" i="3"/>
  <c r="W73" i="3"/>
  <c r="AN72" i="3"/>
  <c r="AM72" i="3"/>
  <c r="AL72" i="3"/>
  <c r="AK72" i="3"/>
  <c r="W72" i="3"/>
  <c r="AN71" i="3"/>
  <c r="AM71" i="3"/>
  <c r="AL71" i="3"/>
  <c r="AK71" i="3"/>
  <c r="W71" i="3"/>
  <c r="AN70" i="3"/>
  <c r="AM70" i="3"/>
  <c r="AL70" i="3"/>
  <c r="AK70" i="3"/>
  <c r="W70" i="3"/>
  <c r="AN69" i="3"/>
  <c r="AM69" i="3"/>
  <c r="AL69" i="3"/>
  <c r="AK69" i="3"/>
  <c r="W69" i="3"/>
  <c r="AN68" i="3"/>
  <c r="AM68" i="3"/>
  <c r="AL68" i="3"/>
  <c r="AK68" i="3"/>
  <c r="W68" i="3"/>
  <c r="AN67" i="3"/>
  <c r="AM67" i="3"/>
  <c r="AL67" i="3"/>
  <c r="AK67" i="3"/>
  <c r="W67" i="3"/>
  <c r="AN66" i="3"/>
  <c r="AM66" i="3"/>
  <c r="AL66" i="3"/>
  <c r="AK66" i="3"/>
  <c r="W66" i="3"/>
  <c r="AN65" i="3"/>
  <c r="AM65" i="3"/>
  <c r="AL65" i="3"/>
  <c r="AK65" i="3"/>
  <c r="W65" i="3"/>
  <c r="AN64" i="3"/>
  <c r="AM64" i="3"/>
  <c r="AL64" i="3"/>
  <c r="AK64" i="3"/>
  <c r="W64" i="3"/>
  <c r="AN63" i="3"/>
  <c r="AM63" i="3"/>
  <c r="AL63" i="3"/>
  <c r="AK63" i="3"/>
  <c r="W63" i="3"/>
  <c r="AN62" i="3"/>
  <c r="AM62" i="3"/>
  <c r="AL62" i="3"/>
  <c r="AK62" i="3"/>
  <c r="W62" i="3"/>
  <c r="AN61" i="3"/>
  <c r="AM61" i="3"/>
  <c r="AL61" i="3"/>
  <c r="AK61" i="3"/>
  <c r="W61" i="3"/>
  <c r="AN60" i="3"/>
  <c r="AM60" i="3"/>
  <c r="AL60" i="3"/>
  <c r="AK60" i="3"/>
  <c r="W60" i="3"/>
  <c r="AN59" i="3"/>
  <c r="AM59" i="3"/>
  <c r="AL59" i="3"/>
  <c r="AK59" i="3"/>
  <c r="W59" i="3"/>
  <c r="AN58" i="3"/>
  <c r="AM58" i="3"/>
  <c r="AL58" i="3"/>
  <c r="AK58" i="3"/>
  <c r="W58" i="3"/>
  <c r="AN57" i="3"/>
  <c r="AM57" i="3"/>
  <c r="AL57" i="3"/>
  <c r="AK57" i="3"/>
  <c r="W57" i="3"/>
  <c r="AN56" i="3"/>
  <c r="AM56" i="3"/>
  <c r="AL56" i="3"/>
  <c r="AK56" i="3"/>
  <c r="W56" i="3"/>
  <c r="AN55" i="3"/>
  <c r="AM55" i="3"/>
  <c r="AL55" i="3"/>
  <c r="AK55" i="3"/>
  <c r="W55" i="3"/>
  <c r="AN54" i="3"/>
  <c r="AM54" i="3"/>
  <c r="AL54" i="3"/>
  <c r="AK54" i="3"/>
  <c r="W54" i="3"/>
  <c r="AN53" i="3"/>
  <c r="AM53" i="3"/>
  <c r="AL53" i="3"/>
  <c r="AK53" i="3"/>
  <c r="W53" i="3"/>
  <c r="AN52" i="3"/>
  <c r="AM52" i="3"/>
  <c r="AL52" i="3"/>
  <c r="AK52" i="3"/>
  <c r="W52" i="3"/>
  <c r="AN51" i="3"/>
  <c r="AM51" i="3"/>
  <c r="AL51" i="3"/>
  <c r="AK51" i="3"/>
  <c r="W51" i="3"/>
  <c r="AN50" i="3"/>
  <c r="AM50" i="3"/>
  <c r="AL50" i="3"/>
  <c r="AK50" i="3"/>
  <c r="W50" i="3"/>
  <c r="AN49" i="3"/>
  <c r="AM49" i="3"/>
  <c r="AL49" i="3"/>
  <c r="AK49" i="3"/>
  <c r="W49" i="3"/>
  <c r="AN48" i="3"/>
  <c r="AM48" i="3"/>
  <c r="AL48" i="3"/>
  <c r="AK48" i="3"/>
  <c r="W48" i="3"/>
  <c r="AN47" i="3"/>
  <c r="AM47" i="3"/>
  <c r="AL47" i="3"/>
  <c r="AK47" i="3"/>
  <c r="W47" i="3"/>
  <c r="AN46" i="3"/>
  <c r="AM46" i="3"/>
  <c r="AL46" i="3"/>
  <c r="AK46" i="3"/>
  <c r="W46" i="3"/>
  <c r="AN45" i="3"/>
  <c r="AM45" i="3"/>
  <c r="AL45" i="3"/>
  <c r="AK45" i="3"/>
  <c r="W45" i="3"/>
  <c r="AN44" i="3"/>
  <c r="AM44" i="3"/>
  <c r="AL44" i="3"/>
  <c r="AK44" i="3"/>
  <c r="W44" i="3"/>
  <c r="AN43" i="3"/>
  <c r="AM43" i="3"/>
  <c r="AL43" i="3"/>
  <c r="AK43" i="3"/>
  <c r="W43" i="3"/>
  <c r="AN42" i="3"/>
  <c r="AM42" i="3"/>
  <c r="AL42" i="3"/>
  <c r="AK42" i="3"/>
  <c r="W42" i="3"/>
  <c r="AN41" i="3"/>
  <c r="AM41" i="3"/>
  <c r="AL41" i="3"/>
  <c r="AK41" i="3"/>
  <c r="W41" i="3"/>
  <c r="AN40" i="3"/>
  <c r="AM40" i="3"/>
  <c r="AL40" i="3"/>
  <c r="AK40" i="3"/>
  <c r="W40" i="3"/>
  <c r="AN39" i="3"/>
  <c r="AM39" i="3"/>
  <c r="AL39" i="3"/>
  <c r="AK39" i="3"/>
  <c r="W39" i="3"/>
  <c r="AN38" i="3"/>
  <c r="AM38" i="3"/>
  <c r="AL38" i="3"/>
  <c r="AK38" i="3"/>
  <c r="W38" i="3"/>
  <c r="AN37" i="3"/>
  <c r="AM37" i="3"/>
  <c r="AL37" i="3"/>
  <c r="AK37" i="3"/>
  <c r="W37" i="3"/>
  <c r="AN36" i="3"/>
  <c r="AM36" i="3"/>
  <c r="AL36" i="3"/>
  <c r="AK36" i="3"/>
  <c r="W36" i="3"/>
  <c r="AN35" i="3"/>
  <c r="AM35" i="3"/>
  <c r="AL35" i="3"/>
  <c r="AK35" i="3"/>
  <c r="W35" i="3"/>
  <c r="AN34" i="3"/>
  <c r="AM34" i="3"/>
  <c r="AL34" i="3"/>
  <c r="AK34" i="3"/>
  <c r="W34" i="3"/>
  <c r="AN33" i="3"/>
  <c r="AM33" i="3"/>
  <c r="AL33" i="3"/>
  <c r="AK33" i="3"/>
  <c r="W33" i="3"/>
  <c r="AN32" i="3"/>
  <c r="AM32" i="3"/>
  <c r="AL32" i="3"/>
  <c r="AK32" i="3"/>
  <c r="W32" i="3"/>
  <c r="AN31" i="3"/>
  <c r="AM31" i="3"/>
  <c r="AL31" i="3"/>
  <c r="AK31" i="3"/>
  <c r="W31" i="3"/>
  <c r="AN30" i="3"/>
  <c r="AM30" i="3"/>
  <c r="AL30" i="3"/>
  <c r="AK30" i="3"/>
  <c r="W30" i="3"/>
  <c r="AN29" i="3"/>
  <c r="AM29" i="3"/>
  <c r="AL29" i="3"/>
  <c r="AK29" i="3"/>
  <c r="W29" i="3"/>
  <c r="AN28" i="3"/>
  <c r="AM28" i="3"/>
  <c r="AL28" i="3"/>
  <c r="AK28" i="3"/>
  <c r="W28" i="3"/>
  <c r="AN27" i="3"/>
  <c r="AM27" i="3"/>
  <c r="AL27" i="3"/>
  <c r="AK27" i="3"/>
  <c r="W27" i="3"/>
  <c r="AN26" i="3"/>
  <c r="AM26" i="3"/>
  <c r="AL26" i="3"/>
  <c r="AK26" i="3"/>
  <c r="W26" i="3"/>
  <c r="AN25" i="3"/>
  <c r="AM25" i="3"/>
  <c r="AL25" i="3"/>
  <c r="AK25" i="3"/>
  <c r="W25" i="3"/>
  <c r="AN24" i="3"/>
  <c r="AM24" i="3"/>
  <c r="AL24" i="3"/>
  <c r="AK24" i="3"/>
  <c r="W24" i="3"/>
  <c r="AN23" i="3"/>
  <c r="AM23" i="3"/>
  <c r="AL23" i="3"/>
  <c r="AK23" i="3"/>
  <c r="W23" i="3"/>
  <c r="AN22" i="3"/>
  <c r="AM22" i="3"/>
  <c r="AL22" i="3"/>
  <c r="AK22" i="3"/>
  <c r="W22" i="3"/>
  <c r="AN21" i="3"/>
  <c r="AM21" i="3"/>
  <c r="AL21" i="3"/>
  <c r="AK21" i="3"/>
  <c r="W21" i="3"/>
  <c r="AN20" i="3"/>
  <c r="AM20" i="3"/>
  <c r="AL20" i="3"/>
  <c r="AK20" i="3"/>
  <c r="W20" i="3"/>
  <c r="AN19" i="3"/>
  <c r="AM19" i="3"/>
  <c r="AL19" i="3"/>
  <c r="AK19" i="3"/>
  <c r="W19" i="3"/>
  <c r="AN18" i="3"/>
  <c r="AM18" i="3"/>
  <c r="AL18" i="3"/>
  <c r="AK18" i="3"/>
  <c r="W18" i="3"/>
  <c r="AN17" i="3"/>
  <c r="AM17" i="3"/>
  <c r="AL17" i="3"/>
  <c r="AK17" i="3"/>
  <c r="W17" i="3"/>
  <c r="AN16" i="3"/>
  <c r="AM16" i="3"/>
  <c r="AL16" i="3"/>
  <c r="AK16" i="3"/>
  <c r="W16" i="3"/>
  <c r="AN15" i="3"/>
  <c r="AM15" i="3"/>
  <c r="AL15" i="3"/>
  <c r="AK15" i="3"/>
  <c r="W15" i="3"/>
  <c r="AN14" i="3"/>
  <c r="AM14" i="3"/>
  <c r="AL14" i="3"/>
  <c r="AK14" i="3"/>
  <c r="W14" i="3"/>
  <c r="AN13" i="3"/>
  <c r="AM13" i="3"/>
  <c r="AL13" i="3"/>
  <c r="AK13" i="3"/>
  <c r="W13" i="3"/>
  <c r="AN12" i="3"/>
  <c r="AM12" i="3"/>
  <c r="AL12" i="3"/>
  <c r="AK12" i="3"/>
  <c r="W12" i="3"/>
  <c r="AN11" i="3"/>
  <c r="AM11" i="3"/>
  <c r="AL11" i="3"/>
  <c r="AK11" i="3"/>
  <c r="W11" i="3"/>
  <c r="AN10" i="3"/>
  <c r="AM10" i="3"/>
  <c r="AL10" i="3"/>
  <c r="AK10" i="3"/>
  <c r="W10" i="3"/>
  <c r="AN9" i="3"/>
  <c r="AM9" i="3"/>
  <c r="AL9" i="3"/>
  <c r="AK9" i="3"/>
  <c r="W9" i="3"/>
  <c r="AN8" i="3"/>
  <c r="AM8" i="3"/>
  <c r="AL8" i="3"/>
  <c r="AK8" i="3"/>
  <c r="W8" i="3"/>
  <c r="AN7" i="3"/>
  <c r="AM7" i="3"/>
  <c r="AL7" i="3"/>
  <c r="AK7" i="3"/>
  <c r="W7" i="3"/>
  <c r="AN6" i="3"/>
  <c r="AM6" i="3"/>
  <c r="AL6" i="3"/>
  <c r="AK6" i="3"/>
  <c r="W6" i="3"/>
  <c r="AN5" i="3"/>
  <c r="AM5" i="3"/>
  <c r="AL5" i="3"/>
  <c r="AK5" i="3"/>
  <c r="W5" i="3"/>
  <c r="AN4" i="3"/>
  <c r="AM4" i="3"/>
  <c r="AL4" i="3"/>
  <c r="AK4" i="3"/>
  <c r="W4" i="3"/>
  <c r="AN3" i="3"/>
  <c r="AM3" i="3"/>
  <c r="AL3" i="3"/>
  <c r="AK3" i="3"/>
  <c r="W3" i="3"/>
  <c r="AN2" i="3"/>
  <c r="AM2" i="3"/>
  <c r="AL2" i="3"/>
  <c r="AK2" i="3"/>
  <c r="W2" i="3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E2" i="3" l="1"/>
  <c r="AP1013" i="3"/>
  <c r="AP1015" i="3"/>
  <c r="AO1001" i="3"/>
  <c r="AP999" i="3"/>
  <c r="AO998" i="3"/>
  <c r="AO997" i="3"/>
  <c r="AP995" i="3"/>
  <c r="AQ993" i="3"/>
  <c r="AQ992" i="3"/>
  <c r="AO991" i="3"/>
  <c r="AO988" i="3"/>
  <c r="AO986" i="3"/>
  <c r="AP980" i="3"/>
  <c r="AO979" i="3"/>
  <c r="AP977" i="3"/>
  <c r="AQ975" i="3"/>
  <c r="AP974" i="3"/>
  <c r="AQ972" i="3"/>
  <c r="AO969" i="3"/>
  <c r="AQ965" i="3"/>
  <c r="AQ962" i="3"/>
  <c r="AQ960" i="3"/>
  <c r="AO959" i="3"/>
  <c r="AP957" i="3"/>
  <c r="AO956" i="3"/>
  <c r="AP954" i="3"/>
  <c r="AO953" i="3"/>
  <c r="AP951" i="3"/>
  <c r="AQ949" i="3"/>
  <c r="AQ946" i="3"/>
  <c r="AP945" i="3"/>
  <c r="AQ943" i="3"/>
  <c r="AO942" i="3"/>
  <c r="AO941" i="3"/>
  <c r="AO938" i="3"/>
  <c r="AQ936" i="3"/>
  <c r="AP935" i="3"/>
  <c r="AO931" i="3"/>
  <c r="AO929" i="3"/>
  <c r="AO928" i="3"/>
  <c r="AP926" i="3"/>
  <c r="AP923" i="3"/>
  <c r="AO922" i="3"/>
  <c r="AQ917" i="3"/>
  <c r="AP915" i="3"/>
  <c r="AQ911" i="3"/>
  <c r="AO909" i="3"/>
  <c r="AQ905" i="3"/>
  <c r="AP904" i="3"/>
  <c r="AQ902" i="3"/>
  <c r="AQ900" i="3"/>
  <c r="AO899" i="3"/>
  <c r="AO898" i="3"/>
  <c r="AO896" i="3"/>
  <c r="AO894" i="3"/>
  <c r="AP892" i="3"/>
  <c r="AQ890" i="3"/>
  <c r="AQ888" i="3"/>
  <c r="AP887" i="3"/>
  <c r="AQ885" i="3"/>
  <c r="AO884" i="3"/>
  <c r="AO882" i="3"/>
  <c r="AQ880" i="3"/>
  <c r="AP879" i="3"/>
  <c r="AO876" i="3"/>
  <c r="AP874" i="3"/>
  <c r="AQ872" i="3"/>
  <c r="AP871" i="3"/>
  <c r="AO866" i="3"/>
  <c r="AQ864" i="3"/>
  <c r="AO863" i="3"/>
  <c r="AP861" i="3"/>
  <c r="AQ859" i="3"/>
  <c r="AP858" i="3"/>
  <c r="AP855" i="3"/>
  <c r="AP853" i="3"/>
  <c r="AP851" i="3"/>
  <c r="AP848" i="3"/>
  <c r="AO843" i="3"/>
  <c r="AQ841" i="3"/>
  <c r="AQ839" i="3"/>
  <c r="AQ838" i="3"/>
  <c r="AP837" i="3"/>
  <c r="AP834" i="3"/>
  <c r="AQ832" i="3"/>
  <c r="AQ830" i="3"/>
  <c r="AP828" i="3"/>
  <c r="AO827" i="3"/>
  <c r="AP825" i="3"/>
  <c r="AO824" i="3"/>
  <c r="AO822" i="3"/>
  <c r="AP820" i="3"/>
  <c r="AP818" i="3"/>
  <c r="AP816" i="3"/>
  <c r="AP812" i="3"/>
  <c r="AP810" i="3"/>
  <c r="AQ808" i="3"/>
  <c r="AQ806" i="3"/>
  <c r="AQ804" i="3"/>
  <c r="AO803" i="3"/>
  <c r="AP801" i="3"/>
  <c r="AQ799" i="3"/>
  <c r="AO798" i="3"/>
  <c r="AP796" i="3"/>
  <c r="AP795" i="3"/>
  <c r="AP793" i="3"/>
  <c r="AP789" i="3"/>
  <c r="AQ787" i="3"/>
  <c r="AQ784" i="3"/>
  <c r="AO783" i="3"/>
  <c r="AP781" i="3"/>
  <c r="AP779" i="3"/>
  <c r="AP775" i="3"/>
  <c r="AP773" i="3"/>
  <c r="AQ771" i="3"/>
  <c r="AQ769" i="3"/>
  <c r="AQ767" i="3"/>
  <c r="AQ765" i="3"/>
  <c r="AQ763" i="3"/>
  <c r="AQ758" i="3"/>
  <c r="AQ756" i="3"/>
  <c r="AO755" i="3"/>
  <c r="AO750" i="3"/>
  <c r="AQ748" i="3"/>
  <c r="AQ746" i="3"/>
  <c r="AQ744" i="3"/>
  <c r="AO743" i="3"/>
  <c r="AP741" i="3"/>
  <c r="AO740" i="3"/>
  <c r="AO738" i="3"/>
  <c r="AO736" i="3"/>
  <c r="AO734" i="3"/>
  <c r="AQ682" i="3"/>
  <c r="AQ680" i="3"/>
  <c r="AP679" i="3"/>
  <c r="AQ673" i="3"/>
  <c r="AP672" i="3"/>
  <c r="AQ666" i="3"/>
  <c r="AP661" i="3"/>
  <c r="AP659" i="3"/>
  <c r="AP655" i="3"/>
  <c r="AO654" i="3"/>
  <c r="AO652" i="3"/>
  <c r="AQ644" i="3"/>
  <c r="AQ639" i="3"/>
  <c r="AO638" i="3"/>
  <c r="AP634" i="3"/>
  <c r="AO633" i="3"/>
  <c r="AP631" i="3"/>
  <c r="AQ627" i="3"/>
  <c r="AO626" i="3"/>
  <c r="AP624" i="3"/>
  <c r="AO623" i="3"/>
  <c r="AQ620" i="3"/>
  <c r="AO619" i="3"/>
  <c r="AQ615" i="3"/>
  <c r="AP612" i="3"/>
  <c r="AP610" i="3"/>
  <c r="AO608" i="3"/>
  <c r="AP607" i="3"/>
  <c r="AO605" i="3"/>
  <c r="AP602" i="3"/>
  <c r="AQ600" i="3"/>
  <c r="AQ596" i="3"/>
  <c r="AP593" i="3"/>
  <c r="AQ590" i="3"/>
  <c r="AO589" i="3"/>
  <c r="AQ587" i="3"/>
  <c r="AO584" i="3"/>
  <c r="AP580" i="3"/>
  <c r="AQ578" i="3"/>
  <c r="AQ576" i="3"/>
  <c r="AO575" i="3"/>
  <c r="AP573" i="3"/>
  <c r="AQ569" i="3"/>
  <c r="AP566" i="3"/>
  <c r="AP564" i="3"/>
  <c r="AO561" i="3"/>
  <c r="AO559" i="3"/>
  <c r="AO556" i="3"/>
  <c r="AQ553" i="3"/>
  <c r="AP552" i="3"/>
  <c r="AP548" i="3"/>
  <c r="AO546" i="3"/>
  <c r="AP540" i="3"/>
  <c r="AP538" i="3"/>
  <c r="AP534" i="3"/>
  <c r="AO531" i="3"/>
  <c r="AO529" i="3"/>
  <c r="AP526" i="3"/>
  <c r="AP524" i="3"/>
  <c r="AQ520" i="3"/>
  <c r="AQ518" i="3"/>
  <c r="AQ513" i="3"/>
  <c r="AQ511" i="3"/>
  <c r="AO510" i="3"/>
  <c r="AQ504" i="3"/>
  <c r="AP499" i="3"/>
  <c r="AO497" i="3"/>
  <c r="AO495" i="3"/>
  <c r="AQ493" i="3"/>
  <c r="AQ491" i="3"/>
  <c r="AP488" i="3"/>
  <c r="AP486" i="3"/>
  <c r="AP484" i="3"/>
  <c r="AQ482" i="3"/>
  <c r="AQ480" i="3"/>
  <c r="AQ478" i="3"/>
  <c r="AQ475" i="3"/>
  <c r="AQ473" i="3"/>
  <c r="AP472" i="3"/>
  <c r="AO465" i="3"/>
  <c r="AP463" i="3"/>
  <c r="AO460" i="3"/>
  <c r="AQ456" i="3"/>
  <c r="AO455" i="3"/>
  <c r="AQ451" i="3"/>
  <c r="AP450" i="3"/>
  <c r="AO447" i="3"/>
  <c r="AP445" i="3"/>
  <c r="AO444" i="3"/>
  <c r="AQ441" i="3"/>
  <c r="AP437" i="3"/>
  <c r="AP435" i="3"/>
  <c r="AP433" i="3"/>
  <c r="AQ431" i="3"/>
  <c r="AO430" i="3"/>
  <c r="AQ427" i="3"/>
  <c r="AP426" i="3"/>
  <c r="AP424" i="3"/>
  <c r="AP422" i="3"/>
  <c r="AP419" i="3"/>
  <c r="AO417" i="3"/>
  <c r="AP414" i="3"/>
  <c r="AP412" i="3"/>
  <c r="AP409" i="3"/>
  <c r="AO407" i="3"/>
  <c r="AQ405" i="3"/>
  <c r="AQ403" i="3"/>
  <c r="AP399" i="3"/>
  <c r="AO397" i="3"/>
  <c r="AO395" i="3"/>
  <c r="AQ391" i="3"/>
  <c r="AQ387" i="3"/>
  <c r="AQ385" i="3"/>
  <c r="AO384" i="3"/>
  <c r="AO382" i="3"/>
  <c r="AQ379" i="3"/>
  <c r="AO378" i="3"/>
  <c r="AO374" i="3"/>
  <c r="AO372" i="3"/>
  <c r="AP370" i="3"/>
  <c r="AQ368" i="3"/>
  <c r="AQ366" i="3"/>
  <c r="AP365" i="3"/>
  <c r="AO364" i="3"/>
  <c r="AQ362" i="3"/>
  <c r="AP353" i="3"/>
  <c r="AQ350" i="3"/>
  <c r="AP345" i="3"/>
  <c r="AP343" i="3"/>
  <c r="AQ340" i="3"/>
  <c r="AO338" i="3"/>
  <c r="AO335" i="3"/>
  <c r="AP333" i="3"/>
  <c r="AQ329" i="3"/>
  <c r="AQ327" i="3"/>
  <c r="AQ324" i="3"/>
  <c r="AP320" i="3"/>
  <c r="AQ318" i="3"/>
  <c r="AO316" i="3"/>
  <c r="AP314" i="3"/>
  <c r="AQ311" i="3"/>
  <c r="AQ307" i="3"/>
  <c r="AO306" i="3"/>
  <c r="AQ303" i="3"/>
  <c r="AQ301" i="3"/>
  <c r="AO296" i="3"/>
  <c r="AQ293" i="3"/>
  <c r="AQ291" i="3"/>
  <c r="AP290" i="3"/>
  <c r="AP286" i="3"/>
  <c r="AQ284" i="3"/>
  <c r="AO283" i="3"/>
  <c r="AO281" i="3"/>
  <c r="AP277" i="3"/>
  <c r="AP275" i="3"/>
  <c r="AQ271" i="3"/>
  <c r="AQ269" i="3"/>
  <c r="AP268" i="3"/>
  <c r="AP266" i="3"/>
  <c r="AP262" i="3"/>
  <c r="AO258" i="3"/>
  <c r="AP256" i="3"/>
  <c r="AP254" i="3"/>
  <c r="AQ251" i="3"/>
  <c r="AQ242" i="3"/>
  <c r="AO238" i="3"/>
  <c r="AQ235" i="3"/>
  <c r="AP231" i="3"/>
  <c r="AP229" i="3"/>
  <c r="AP227" i="3"/>
  <c r="AP225" i="3"/>
  <c r="AP223" i="3"/>
  <c r="AO218" i="3"/>
  <c r="AP215" i="3"/>
  <c r="AP211" i="3"/>
  <c r="AO210" i="3"/>
  <c r="AQ207" i="3"/>
  <c r="AP205" i="3"/>
  <c r="AO203" i="3"/>
  <c r="AO201" i="3"/>
  <c r="AQ198" i="3"/>
  <c r="AQ196" i="3"/>
  <c r="AO192" i="3"/>
  <c r="AO190" i="3"/>
  <c r="AQ187" i="3"/>
  <c r="AQ185" i="3"/>
  <c r="AQ183" i="3"/>
  <c r="AP179" i="3"/>
  <c r="AQ176" i="3"/>
  <c r="AP172" i="3"/>
  <c r="AP170" i="3"/>
  <c r="AP162" i="3"/>
  <c r="AP158" i="3"/>
  <c r="AQ15" i="3"/>
  <c r="AP9" i="3"/>
  <c r="AO733" i="3"/>
  <c r="AQ732" i="3"/>
  <c r="AP732" i="3"/>
  <c r="AO732" i="3"/>
  <c r="AQ731" i="3"/>
  <c r="AP731" i="3"/>
  <c r="AO731" i="3"/>
  <c r="AQ730" i="3"/>
  <c r="AP730" i="3"/>
  <c r="AO730" i="3"/>
  <c r="AQ729" i="3"/>
  <c r="AP729" i="3"/>
  <c r="AO729" i="3"/>
  <c r="AQ728" i="3"/>
  <c r="AP728" i="3"/>
  <c r="AO728" i="3"/>
  <c r="AQ727" i="3"/>
  <c r="AP727" i="3"/>
  <c r="AO727" i="3"/>
  <c r="AQ726" i="3"/>
  <c r="AP726" i="3"/>
  <c r="AO726" i="3"/>
  <c r="AQ725" i="3"/>
  <c r="AP725" i="3"/>
  <c r="AO725" i="3"/>
  <c r="AQ724" i="3"/>
  <c r="AP724" i="3"/>
  <c r="AO724" i="3"/>
  <c r="AQ723" i="3"/>
  <c r="AP723" i="3"/>
  <c r="AO723" i="3"/>
  <c r="AQ722" i="3"/>
  <c r="AP722" i="3"/>
  <c r="AO722" i="3"/>
  <c r="AQ721" i="3"/>
  <c r="AP721" i="3"/>
  <c r="AO721" i="3"/>
  <c r="AQ720" i="3"/>
  <c r="AP720" i="3"/>
  <c r="AO720" i="3"/>
  <c r="AQ719" i="3"/>
  <c r="AP719" i="3"/>
  <c r="AO719" i="3"/>
  <c r="AQ718" i="3"/>
  <c r="AP718" i="3"/>
  <c r="AO718" i="3"/>
  <c r="AQ717" i="3"/>
  <c r="AP717" i="3"/>
  <c r="AO717" i="3"/>
  <c r="AQ716" i="3"/>
  <c r="AP716" i="3"/>
  <c r="AO716" i="3"/>
  <c r="AQ715" i="3"/>
  <c r="AP715" i="3"/>
  <c r="AO715" i="3"/>
  <c r="AQ714" i="3"/>
  <c r="AP714" i="3"/>
  <c r="AO714" i="3"/>
  <c r="AQ713" i="3"/>
  <c r="AP713" i="3"/>
  <c r="AO713" i="3"/>
  <c r="AQ712" i="3"/>
  <c r="AP712" i="3"/>
  <c r="AO712" i="3"/>
  <c r="AQ711" i="3"/>
  <c r="AP711" i="3"/>
  <c r="AO711" i="3"/>
  <c r="AQ710" i="3"/>
  <c r="AP710" i="3"/>
  <c r="AO710" i="3"/>
  <c r="AQ709" i="3"/>
  <c r="AP709" i="3"/>
  <c r="AO709" i="3"/>
  <c r="AQ708" i="3"/>
  <c r="AP708" i="3"/>
  <c r="AO708" i="3"/>
  <c r="AQ707" i="3"/>
  <c r="AP707" i="3"/>
  <c r="AO707" i="3"/>
  <c r="AQ706" i="3"/>
  <c r="AP706" i="3"/>
  <c r="AO706" i="3"/>
  <c r="AQ705" i="3"/>
  <c r="AP705" i="3"/>
  <c r="AO705" i="3"/>
  <c r="AQ704" i="3"/>
  <c r="AP704" i="3"/>
  <c r="AO704" i="3"/>
  <c r="AQ703" i="3"/>
  <c r="AP703" i="3"/>
  <c r="AO703" i="3"/>
  <c r="AQ702" i="3"/>
  <c r="AP702" i="3"/>
  <c r="AO702" i="3"/>
  <c r="AQ701" i="3"/>
  <c r="AP701" i="3"/>
  <c r="AO701" i="3"/>
  <c r="AQ700" i="3"/>
  <c r="AP700" i="3"/>
  <c r="AO700" i="3"/>
  <c r="AQ699" i="3"/>
  <c r="AP699" i="3"/>
  <c r="AO699" i="3"/>
  <c r="AQ698" i="3"/>
  <c r="AP698" i="3"/>
  <c r="AO698" i="3"/>
  <c r="AQ697" i="3"/>
  <c r="AP697" i="3"/>
  <c r="AO697" i="3"/>
  <c r="AQ696" i="3"/>
  <c r="AP696" i="3"/>
  <c r="AO696" i="3"/>
  <c r="AQ695" i="3"/>
  <c r="AP695" i="3"/>
  <c r="AO695" i="3"/>
  <c r="AQ694" i="3"/>
  <c r="AP694" i="3"/>
  <c r="AO694" i="3"/>
  <c r="AQ693" i="3"/>
  <c r="AP693" i="3"/>
  <c r="AO693" i="3"/>
  <c r="AQ692" i="3"/>
  <c r="AP692" i="3"/>
  <c r="AO692" i="3"/>
  <c r="AQ691" i="3"/>
  <c r="AP691" i="3"/>
  <c r="AO691" i="3"/>
  <c r="AQ690" i="3"/>
  <c r="AP690" i="3"/>
  <c r="AO690" i="3"/>
  <c r="AQ689" i="3"/>
  <c r="AP689" i="3"/>
  <c r="AO689" i="3"/>
  <c r="AQ688" i="3"/>
  <c r="AP688" i="3"/>
  <c r="AO688" i="3"/>
  <c r="AQ687" i="3"/>
  <c r="AP687" i="3"/>
  <c r="AO687" i="3"/>
  <c r="AQ686" i="3"/>
  <c r="AP686" i="3"/>
  <c r="AO686" i="3"/>
  <c r="AQ685" i="3"/>
  <c r="AP685" i="3"/>
  <c r="AO685" i="3"/>
  <c r="AQ684" i="3"/>
  <c r="AP684" i="3"/>
  <c r="AO684" i="3"/>
  <c r="AQ683" i="3"/>
  <c r="AP683" i="3"/>
  <c r="AO681" i="3"/>
  <c r="AP678" i="3"/>
  <c r="AO676" i="3"/>
  <c r="AO674" i="3"/>
  <c r="AP671" i="3"/>
  <c r="AQ665" i="3"/>
  <c r="AP663" i="3"/>
  <c r="AP658" i="3"/>
  <c r="AO656" i="3"/>
  <c r="AP653" i="3"/>
  <c r="AO651" i="3"/>
  <c r="AQ648" i="3"/>
  <c r="AO646" i="3"/>
  <c r="AO644" i="3"/>
  <c r="AO642" i="3"/>
  <c r="AO637" i="3"/>
  <c r="AQ631" i="3"/>
  <c r="AO629" i="3"/>
  <c r="AQ623" i="3"/>
  <c r="AP621" i="3"/>
  <c r="AP619" i="3"/>
  <c r="AP616" i="3"/>
  <c r="AO614" i="3"/>
  <c r="AQ611" i="3"/>
  <c r="AP608" i="3"/>
  <c r="AO606" i="3"/>
  <c r="AQ602" i="3"/>
  <c r="AQ599" i="3"/>
  <c r="AP595" i="3"/>
  <c r="AP592" i="3"/>
  <c r="AP590" i="3"/>
  <c r="AP587" i="3"/>
  <c r="AO585" i="3"/>
  <c r="AP582" i="3"/>
  <c r="AQ579" i="3"/>
  <c r="AP577" i="3"/>
  <c r="AO572" i="3"/>
  <c r="AO567" i="3"/>
  <c r="AO562" i="3"/>
  <c r="AP559" i="3"/>
  <c r="AP557" i="3"/>
  <c r="AO555" i="3"/>
  <c r="AO550" i="3"/>
  <c r="AP545" i="3"/>
  <c r="AQ542" i="3"/>
  <c r="AQ535" i="3"/>
  <c r="AO534" i="3"/>
  <c r="AO532" i="3"/>
  <c r="AQ529" i="3"/>
  <c r="AQ526" i="3"/>
  <c r="AP522" i="3"/>
  <c r="AP520" i="3"/>
  <c r="AP517" i="3"/>
  <c r="AQ514" i="3"/>
  <c r="AP512" i="3"/>
  <c r="AP507" i="3"/>
  <c r="AP504" i="3"/>
  <c r="AO502" i="3"/>
  <c r="AO499" i="3"/>
  <c r="AP496" i="3"/>
  <c r="AP491" i="3"/>
  <c r="AO486" i="3"/>
  <c r="AQ483" i="3"/>
  <c r="AO481" i="3"/>
  <c r="AO479" i="3"/>
  <c r="AQ476" i="3"/>
  <c r="AP474" i="3"/>
  <c r="AO472" i="3"/>
  <c r="AQ469" i="3"/>
  <c r="AP467" i="3"/>
  <c r="AP455" i="3"/>
  <c r="AQ452" i="3"/>
  <c r="AO448" i="3"/>
  <c r="AQ445" i="3"/>
  <c r="AP441" i="3"/>
  <c r="AO439" i="3"/>
  <c r="AP434" i="3"/>
  <c r="AO432" i="3"/>
  <c r="AQ429" i="3"/>
  <c r="AP425" i="3"/>
  <c r="AO423" i="3"/>
  <c r="AO421" i="3"/>
  <c r="AO413" i="3"/>
  <c r="AO411" i="3"/>
  <c r="AP403" i="3"/>
  <c r="AQ400" i="3"/>
  <c r="AP398" i="3"/>
  <c r="AO396" i="3"/>
  <c r="AQ393" i="3"/>
  <c r="AP388" i="3"/>
  <c r="AP384" i="3"/>
  <c r="AQ381" i="3"/>
  <c r="AO379" i="3"/>
  <c r="AO377" i="3"/>
  <c r="AO375" i="3"/>
  <c r="AQ372" i="3"/>
  <c r="AO368" i="3"/>
  <c r="AP355" i="3"/>
  <c r="AQ352" i="3"/>
  <c r="AP350" i="3"/>
  <c r="AO345" i="3"/>
  <c r="AQ342" i="3"/>
  <c r="AP340" i="3"/>
  <c r="AQ337" i="3"/>
  <c r="AP330" i="3"/>
  <c r="AQ328" i="3"/>
  <c r="AO326" i="3"/>
  <c r="AP321" i="3"/>
  <c r="AP319" i="3"/>
  <c r="AO317" i="3"/>
  <c r="AQ314" i="3"/>
  <c r="AP308" i="3"/>
  <c r="AQ305" i="3"/>
  <c r="AP299" i="3"/>
  <c r="AO297" i="3"/>
  <c r="AQ294" i="3"/>
  <c r="AO292" i="3"/>
  <c r="AO287" i="3"/>
  <c r="AQ278" i="3"/>
  <c r="AP274" i="3"/>
  <c r="AP269" i="3"/>
  <c r="AO267" i="3"/>
  <c r="AO264" i="3"/>
  <c r="AQ261" i="3"/>
  <c r="AP259" i="3"/>
  <c r="AP253" i="3"/>
  <c r="AP249" i="3"/>
  <c r="AQ246" i="3"/>
  <c r="AP242" i="3"/>
  <c r="AQ239" i="3"/>
  <c r="AP237" i="3"/>
  <c r="AP235" i="3"/>
  <c r="AQ232" i="3"/>
  <c r="AP230" i="3"/>
  <c r="AO228" i="3"/>
  <c r="AQ225" i="3"/>
  <c r="AO223" i="3"/>
  <c r="AP220" i="3"/>
  <c r="AQ217" i="3"/>
  <c r="AO215" i="3"/>
  <c r="AQ209" i="3"/>
  <c r="AP203" i="3"/>
  <c r="AQ200" i="3"/>
  <c r="AO196" i="3"/>
  <c r="AO194" i="3"/>
  <c r="AP187" i="3"/>
  <c r="AO185" i="3"/>
  <c r="AQ182" i="3"/>
  <c r="AQ180" i="3"/>
  <c r="AP178" i="3"/>
  <c r="AO176" i="3"/>
  <c r="AQ173" i="3"/>
  <c r="AP171" i="3"/>
  <c r="AP169" i="3"/>
  <c r="AP166" i="3"/>
  <c r="AO164" i="3"/>
  <c r="AO162" i="3"/>
  <c r="AQ159" i="3"/>
  <c r="AO19" i="3"/>
  <c r="AO13" i="3"/>
  <c r="AP7" i="3"/>
  <c r="AO2" i="3"/>
  <c r="AO158" i="3"/>
  <c r="AQ157" i="3"/>
  <c r="AP157" i="3"/>
  <c r="AO157" i="3"/>
  <c r="AQ156" i="3"/>
  <c r="AP156" i="3"/>
  <c r="AO156" i="3"/>
  <c r="AQ155" i="3"/>
  <c r="AP155" i="3"/>
  <c r="AO155" i="3"/>
  <c r="AQ154" i="3"/>
  <c r="AP154" i="3"/>
  <c r="AO154" i="3"/>
  <c r="AQ153" i="3"/>
  <c r="AP153" i="3"/>
  <c r="AO153" i="3"/>
  <c r="AQ152" i="3"/>
  <c r="AP152" i="3"/>
  <c r="AO152" i="3"/>
  <c r="AQ151" i="3"/>
  <c r="AP151" i="3"/>
  <c r="AO151" i="3"/>
  <c r="AQ150" i="3"/>
  <c r="AP150" i="3"/>
  <c r="AO150" i="3"/>
  <c r="AQ149" i="3"/>
  <c r="AP149" i="3"/>
  <c r="AO149" i="3"/>
  <c r="AQ148" i="3"/>
  <c r="AP148" i="3"/>
  <c r="AO148" i="3"/>
  <c r="AQ147" i="3"/>
  <c r="AP147" i="3"/>
  <c r="AO147" i="3"/>
  <c r="AQ146" i="3"/>
  <c r="AP146" i="3"/>
  <c r="AO146" i="3"/>
  <c r="AQ145" i="3"/>
  <c r="AP145" i="3"/>
  <c r="AO145" i="3"/>
  <c r="AQ144" i="3"/>
  <c r="AP144" i="3"/>
  <c r="AO144" i="3"/>
  <c r="AQ143" i="3"/>
  <c r="AP143" i="3"/>
  <c r="AO143" i="3"/>
  <c r="AQ142" i="3"/>
  <c r="AP142" i="3"/>
  <c r="AO142" i="3"/>
  <c r="AQ141" i="3"/>
  <c r="AP141" i="3"/>
  <c r="AO141" i="3"/>
  <c r="AQ140" i="3"/>
  <c r="AP140" i="3"/>
  <c r="AO140" i="3"/>
  <c r="AQ139" i="3"/>
  <c r="AP139" i="3"/>
  <c r="AO139" i="3"/>
  <c r="AQ138" i="3"/>
  <c r="AP138" i="3"/>
  <c r="AO138" i="3"/>
  <c r="AQ137" i="3"/>
  <c r="AP137" i="3"/>
  <c r="AO137" i="3"/>
  <c r="AQ136" i="3"/>
  <c r="AP136" i="3"/>
  <c r="AO136" i="3"/>
  <c r="AQ135" i="3"/>
  <c r="AP135" i="3"/>
  <c r="AO135" i="3"/>
  <c r="AQ134" i="3"/>
  <c r="AP134" i="3"/>
  <c r="AO134" i="3"/>
  <c r="AQ133" i="3"/>
  <c r="AP133" i="3"/>
  <c r="AO133" i="3"/>
  <c r="AQ132" i="3"/>
  <c r="AP132" i="3"/>
  <c r="AO132" i="3"/>
  <c r="AQ131" i="3"/>
  <c r="AP131" i="3"/>
  <c r="AO131" i="3"/>
  <c r="AQ130" i="3"/>
  <c r="AP130" i="3"/>
  <c r="AO130" i="3"/>
  <c r="AQ129" i="3"/>
  <c r="AP129" i="3"/>
  <c r="AO129" i="3"/>
  <c r="AQ128" i="3"/>
  <c r="AP128" i="3"/>
  <c r="AO128" i="3"/>
  <c r="AQ127" i="3"/>
  <c r="AP127" i="3"/>
  <c r="AO127" i="3"/>
  <c r="AQ126" i="3"/>
  <c r="AP126" i="3"/>
  <c r="AO126" i="3"/>
  <c r="AQ125" i="3"/>
  <c r="AP125" i="3"/>
  <c r="AO125" i="3"/>
  <c r="AQ124" i="3"/>
  <c r="AP124" i="3"/>
  <c r="AO124" i="3"/>
  <c r="AQ123" i="3"/>
  <c r="AP123" i="3"/>
  <c r="AO123" i="3"/>
  <c r="AQ122" i="3"/>
  <c r="AP122" i="3"/>
  <c r="AO122" i="3"/>
  <c r="AQ121" i="3"/>
  <c r="AP121" i="3"/>
  <c r="AO121" i="3"/>
  <c r="AQ120" i="3"/>
  <c r="AP120" i="3"/>
  <c r="AO120" i="3"/>
  <c r="AQ119" i="3"/>
  <c r="AP119" i="3"/>
  <c r="AO119" i="3"/>
  <c r="AQ118" i="3"/>
  <c r="AP118" i="3"/>
  <c r="AO118" i="3"/>
  <c r="AQ117" i="3"/>
  <c r="AP117" i="3"/>
  <c r="AO117" i="3"/>
  <c r="AQ116" i="3"/>
  <c r="AP116" i="3"/>
  <c r="AO116" i="3"/>
  <c r="AQ115" i="3"/>
  <c r="AP115" i="3"/>
  <c r="AO115" i="3"/>
  <c r="AQ114" i="3"/>
  <c r="AP114" i="3"/>
  <c r="AO114" i="3"/>
  <c r="AQ113" i="3"/>
  <c r="AP113" i="3"/>
  <c r="AO113" i="3"/>
  <c r="AQ112" i="3"/>
  <c r="AP112" i="3"/>
  <c r="AO112" i="3"/>
  <c r="AQ111" i="3"/>
  <c r="AP111" i="3"/>
  <c r="AO111" i="3"/>
  <c r="AQ110" i="3"/>
  <c r="AP110" i="3"/>
  <c r="AO110" i="3"/>
  <c r="AQ109" i="3"/>
  <c r="AP109" i="3"/>
  <c r="AO109" i="3"/>
  <c r="AQ108" i="3"/>
  <c r="AP108" i="3"/>
  <c r="AO108" i="3"/>
  <c r="AQ107" i="3"/>
  <c r="AP107" i="3"/>
  <c r="AO107" i="3"/>
  <c r="AQ106" i="3"/>
  <c r="AP106" i="3"/>
  <c r="AO106" i="3"/>
  <c r="AQ105" i="3"/>
  <c r="AP105" i="3"/>
  <c r="AO105" i="3"/>
  <c r="AQ104" i="3"/>
  <c r="AP104" i="3"/>
  <c r="AO104" i="3"/>
  <c r="AQ103" i="3"/>
  <c r="AP103" i="3"/>
  <c r="AO103" i="3"/>
  <c r="AQ102" i="3"/>
  <c r="AP102" i="3"/>
  <c r="AO102" i="3"/>
  <c r="AQ101" i="3"/>
  <c r="AP101" i="3"/>
  <c r="AO101" i="3"/>
  <c r="AQ100" i="3"/>
  <c r="AP100" i="3"/>
  <c r="AO100" i="3"/>
  <c r="AQ99" i="3"/>
  <c r="AP99" i="3"/>
  <c r="AO99" i="3"/>
  <c r="AQ98" i="3"/>
  <c r="AP98" i="3"/>
  <c r="AO98" i="3"/>
  <c r="AQ97" i="3"/>
  <c r="AP97" i="3"/>
  <c r="AO97" i="3"/>
  <c r="AQ96" i="3"/>
  <c r="AP96" i="3"/>
  <c r="AO96" i="3"/>
  <c r="AQ95" i="3"/>
  <c r="AP95" i="3"/>
  <c r="AO95" i="3"/>
  <c r="AQ94" i="3"/>
  <c r="AP94" i="3"/>
  <c r="AO94" i="3"/>
  <c r="AQ93" i="3"/>
  <c r="AP93" i="3"/>
  <c r="AO93" i="3"/>
  <c r="AQ92" i="3"/>
  <c r="AP92" i="3"/>
  <c r="AO92" i="3"/>
  <c r="AQ91" i="3"/>
  <c r="AP91" i="3"/>
  <c r="AO91" i="3"/>
  <c r="AQ90" i="3"/>
  <c r="AP90" i="3"/>
  <c r="AO90" i="3"/>
  <c r="AQ89" i="3"/>
  <c r="AP89" i="3"/>
  <c r="AO89" i="3"/>
  <c r="AQ88" i="3"/>
  <c r="AP88" i="3"/>
  <c r="AO88" i="3"/>
  <c r="AQ87" i="3"/>
  <c r="AP87" i="3"/>
  <c r="AO87" i="3"/>
  <c r="AQ86" i="3"/>
  <c r="AP86" i="3"/>
  <c r="AO86" i="3"/>
  <c r="AQ85" i="3"/>
  <c r="AP85" i="3"/>
  <c r="AO85" i="3"/>
  <c r="AQ84" i="3"/>
  <c r="AP84" i="3"/>
  <c r="AO84" i="3"/>
  <c r="AQ83" i="3"/>
  <c r="AP83" i="3"/>
  <c r="AO83" i="3"/>
  <c r="AQ82" i="3"/>
  <c r="AP82" i="3"/>
  <c r="AO82" i="3"/>
  <c r="AQ81" i="3"/>
  <c r="AP81" i="3"/>
  <c r="AO81" i="3"/>
  <c r="AQ80" i="3"/>
  <c r="AP80" i="3"/>
  <c r="AO80" i="3"/>
  <c r="AQ79" i="3"/>
  <c r="AP79" i="3"/>
  <c r="AO79" i="3"/>
  <c r="AQ78" i="3"/>
  <c r="AP78" i="3"/>
  <c r="AO78" i="3"/>
  <c r="AQ77" i="3"/>
  <c r="AP77" i="3"/>
  <c r="AO77" i="3"/>
  <c r="AQ76" i="3"/>
  <c r="AP76" i="3"/>
  <c r="AO76" i="3"/>
  <c r="AQ75" i="3"/>
  <c r="AP75" i="3"/>
  <c r="AO75" i="3"/>
  <c r="AQ74" i="3"/>
  <c r="AP74" i="3"/>
  <c r="AO74" i="3"/>
  <c r="AQ73" i="3"/>
  <c r="AP73" i="3"/>
  <c r="AO73" i="3"/>
  <c r="AQ72" i="3"/>
  <c r="AP72" i="3"/>
  <c r="AO72" i="3"/>
  <c r="AQ71" i="3"/>
  <c r="AP71" i="3"/>
  <c r="AO71" i="3"/>
  <c r="AQ70" i="3"/>
  <c r="AP70" i="3"/>
  <c r="AO70" i="3"/>
  <c r="AQ69" i="3"/>
  <c r="AP69" i="3"/>
  <c r="AO69" i="3"/>
  <c r="AQ68" i="3"/>
  <c r="AP68" i="3"/>
  <c r="AO68" i="3"/>
  <c r="AQ67" i="3"/>
  <c r="AP67" i="3"/>
  <c r="AO67" i="3"/>
  <c r="AQ66" i="3"/>
  <c r="AP66" i="3"/>
  <c r="AO66" i="3"/>
  <c r="AQ65" i="3"/>
  <c r="AP65" i="3"/>
  <c r="AO65" i="3"/>
  <c r="AQ64" i="3"/>
  <c r="AP64" i="3"/>
  <c r="AO64" i="3"/>
  <c r="AQ63" i="3"/>
  <c r="AP63" i="3"/>
  <c r="AO63" i="3"/>
  <c r="AQ62" i="3"/>
  <c r="AP62" i="3"/>
  <c r="AO62" i="3"/>
  <c r="AQ61" i="3"/>
  <c r="AP61" i="3"/>
  <c r="AO61" i="3"/>
  <c r="AQ60" i="3"/>
  <c r="AP60" i="3"/>
  <c r="AO60" i="3"/>
  <c r="AQ59" i="3"/>
  <c r="AP59" i="3"/>
  <c r="AO59" i="3"/>
  <c r="AQ58" i="3"/>
  <c r="AP58" i="3"/>
  <c r="AO58" i="3"/>
  <c r="AQ57" i="3"/>
  <c r="AP57" i="3"/>
  <c r="AO57" i="3"/>
  <c r="AQ56" i="3"/>
  <c r="AP56" i="3"/>
  <c r="AO56" i="3"/>
  <c r="AQ55" i="3"/>
  <c r="AP55" i="3"/>
  <c r="AO55" i="3"/>
  <c r="AQ54" i="3"/>
  <c r="AP54" i="3"/>
  <c r="AO54" i="3"/>
  <c r="AQ53" i="3"/>
  <c r="AP53" i="3"/>
  <c r="AO53" i="3"/>
  <c r="AQ52" i="3"/>
  <c r="AP52" i="3"/>
  <c r="AO52" i="3"/>
  <c r="AQ51" i="3"/>
  <c r="AP51" i="3"/>
  <c r="AO51" i="3"/>
  <c r="AQ50" i="3"/>
  <c r="AP50" i="3"/>
  <c r="AO50" i="3"/>
  <c r="AQ49" i="3"/>
  <c r="AP49" i="3"/>
  <c r="AO49" i="3"/>
  <c r="AQ48" i="3"/>
  <c r="AP48" i="3"/>
  <c r="AO48" i="3"/>
  <c r="AQ47" i="3"/>
  <c r="AP47" i="3"/>
  <c r="AO47" i="3"/>
  <c r="AQ46" i="3"/>
  <c r="AP46" i="3"/>
  <c r="AO46" i="3"/>
  <c r="AQ45" i="3"/>
  <c r="AP45" i="3"/>
  <c r="AO45" i="3"/>
  <c r="AQ44" i="3"/>
  <c r="AP44" i="3"/>
  <c r="AO44" i="3"/>
  <c r="AQ43" i="3"/>
  <c r="AP43" i="3"/>
  <c r="AO43" i="3"/>
  <c r="AQ42" i="3"/>
  <c r="AP42" i="3"/>
  <c r="AO42" i="3"/>
  <c r="AQ41" i="3"/>
  <c r="AP41" i="3"/>
  <c r="AO41" i="3"/>
  <c r="AQ40" i="3"/>
  <c r="AP40" i="3"/>
  <c r="AO40" i="3"/>
  <c r="AQ39" i="3"/>
  <c r="AP39" i="3"/>
  <c r="AO39" i="3"/>
  <c r="AQ38" i="3"/>
  <c r="AP38" i="3"/>
  <c r="AO38" i="3"/>
  <c r="AQ37" i="3"/>
  <c r="AP37" i="3"/>
  <c r="AO37" i="3"/>
  <c r="AQ36" i="3"/>
  <c r="AP36" i="3"/>
  <c r="AO36" i="3"/>
  <c r="AQ35" i="3"/>
  <c r="AP35" i="3"/>
  <c r="AO35" i="3"/>
  <c r="AQ34" i="3"/>
  <c r="AP34" i="3"/>
  <c r="AO34" i="3"/>
  <c r="AQ33" i="3"/>
  <c r="AP33" i="3"/>
  <c r="AO33" i="3"/>
  <c r="AQ32" i="3"/>
  <c r="AP32" i="3"/>
  <c r="AO32" i="3"/>
  <c r="AQ31" i="3"/>
  <c r="AP31" i="3"/>
  <c r="AO31" i="3"/>
  <c r="AQ30" i="3"/>
  <c r="AP30" i="3"/>
  <c r="AO30" i="3"/>
  <c r="AQ29" i="3"/>
  <c r="AP29" i="3"/>
  <c r="AO29" i="3"/>
  <c r="AQ28" i="3"/>
  <c r="AP28" i="3"/>
  <c r="AO28" i="3"/>
  <c r="AQ27" i="3"/>
  <c r="AP27" i="3"/>
  <c r="AO27" i="3"/>
  <c r="AQ26" i="3"/>
  <c r="AP26" i="3"/>
  <c r="AO26" i="3"/>
  <c r="AQ25" i="3"/>
  <c r="AP25" i="3"/>
  <c r="AO25" i="3"/>
  <c r="AQ24" i="3"/>
  <c r="AP24" i="3"/>
  <c r="AO24" i="3"/>
  <c r="AQ23" i="3"/>
  <c r="AP23" i="3"/>
  <c r="AO23" i="3"/>
  <c r="AQ22" i="3"/>
  <c r="AP22" i="3"/>
  <c r="AO22" i="3"/>
  <c r="AQ21" i="3"/>
  <c r="AP21" i="3"/>
  <c r="AO21" i="3"/>
  <c r="AQ20" i="3"/>
  <c r="AQ18" i="3"/>
  <c r="AO16" i="3"/>
  <c r="AP13" i="3"/>
  <c r="AQ10" i="3"/>
  <c r="AO8" i="3"/>
  <c r="AP5" i="3"/>
  <c r="AQ2" i="3"/>
  <c r="AP1007" i="3"/>
  <c r="AP1001" i="3"/>
  <c r="AO1000" i="3"/>
  <c r="AO999" i="3"/>
  <c r="AQ997" i="3"/>
  <c r="AQ996" i="3"/>
  <c r="AO995" i="3"/>
  <c r="AP993" i="3"/>
  <c r="AO992" i="3"/>
  <c r="AQ990" i="3"/>
  <c r="AP988" i="3"/>
  <c r="AQ983" i="3"/>
  <c r="AQ981" i="3"/>
  <c r="AQ979" i="3"/>
  <c r="AO978" i="3"/>
  <c r="AO976" i="3"/>
  <c r="AQ974" i="3"/>
  <c r="AO973" i="3"/>
  <c r="AO971" i="3"/>
  <c r="AO968" i="3"/>
  <c r="AP966" i="3"/>
  <c r="AO965" i="3"/>
  <c r="AP963" i="3"/>
  <c r="AP962" i="3"/>
  <c r="AQ956" i="3"/>
  <c r="AO955" i="3"/>
  <c r="AQ953" i="3"/>
  <c r="AO952" i="3"/>
  <c r="AP950" i="3"/>
  <c r="AQ948" i="3"/>
  <c r="AP947" i="3"/>
  <c r="AQ945" i="3"/>
  <c r="AO944" i="3"/>
  <c r="AO943" i="3"/>
  <c r="AQ941" i="3"/>
  <c r="AO940" i="3"/>
  <c r="AP939" i="3"/>
  <c r="AQ937" i="3"/>
  <c r="AQ934" i="3"/>
  <c r="AP933" i="3"/>
  <c r="AP931" i="3"/>
  <c r="AO930" i="3"/>
  <c r="AP925" i="3"/>
  <c r="AQ923" i="3"/>
  <c r="AO920" i="3"/>
  <c r="AQ915" i="3"/>
  <c r="AO914" i="3"/>
  <c r="AO913" i="3"/>
  <c r="AP911" i="3"/>
  <c r="AQ909" i="3"/>
  <c r="AP908" i="3"/>
  <c r="AQ906" i="3"/>
  <c r="AP905" i="3"/>
  <c r="AP903" i="3"/>
  <c r="AQ901" i="3"/>
  <c r="AP900" i="3"/>
  <c r="AP898" i="3"/>
  <c r="AQ896" i="3"/>
  <c r="AQ893" i="3"/>
  <c r="AQ891" i="3"/>
  <c r="AO890" i="3"/>
  <c r="AQ881" i="3"/>
  <c r="AO880" i="3"/>
  <c r="AQ876" i="3"/>
  <c r="AQ874" i="3"/>
  <c r="AP873" i="3"/>
  <c r="AQ871" i="3"/>
  <c r="AO868" i="3"/>
  <c r="AP866" i="3"/>
  <c r="AP865" i="3"/>
  <c r="AO862" i="3"/>
  <c r="AO859" i="3"/>
  <c r="AO857" i="3"/>
  <c r="AQ855" i="3"/>
  <c r="AQ851" i="3"/>
  <c r="AQ850" i="3"/>
  <c r="AO849" i="3"/>
  <c r="AO847" i="3"/>
  <c r="AQ845" i="3"/>
  <c r="AP844" i="3"/>
  <c r="AP842" i="3"/>
  <c r="AQ840" i="3"/>
  <c r="AP839" i="3"/>
  <c r="AP835" i="3"/>
  <c r="AO834" i="3"/>
  <c r="AP830" i="3"/>
  <c r="AO829" i="3"/>
  <c r="AQ825" i="3"/>
  <c r="AQ824" i="3"/>
  <c r="AQ822" i="3"/>
  <c r="AO821" i="3"/>
  <c r="AO819" i="3"/>
  <c r="AO818" i="3"/>
  <c r="AO816" i="3"/>
  <c r="AQ814" i="3"/>
  <c r="AQ812" i="3"/>
  <c r="AO811" i="3"/>
  <c r="AQ809" i="3"/>
  <c r="AQ807" i="3"/>
  <c r="AQ803" i="3"/>
  <c r="AO802" i="3"/>
  <c r="AP800" i="3"/>
  <c r="AQ796" i="3"/>
  <c r="AQ794" i="3"/>
  <c r="AO793" i="3"/>
  <c r="AP791" i="3"/>
  <c r="AO786" i="3"/>
  <c r="AP784" i="3"/>
  <c r="AQ780" i="3"/>
  <c r="AQ778" i="3"/>
  <c r="AO777" i="3"/>
  <c r="AQ773" i="3"/>
  <c r="AP772" i="3"/>
  <c r="AQ768" i="3"/>
  <c r="AQ766" i="3"/>
  <c r="AP765" i="3"/>
  <c r="AP763" i="3"/>
  <c r="AQ761" i="3"/>
  <c r="AQ759" i="3"/>
  <c r="AO758" i="3"/>
  <c r="AP756" i="3"/>
  <c r="AP753" i="3"/>
  <c r="AP751" i="3"/>
  <c r="AO749" i="3"/>
  <c r="AQ747" i="3"/>
  <c r="AP744" i="3"/>
  <c r="AP742" i="3"/>
  <c r="AQ740" i="3"/>
  <c r="AQ738" i="3"/>
  <c r="AQ735" i="3"/>
  <c r="AP680" i="3"/>
  <c r="AO678" i="3"/>
  <c r="AQ676" i="3"/>
  <c r="AP670" i="3"/>
  <c r="AP669" i="3"/>
  <c r="AP667" i="3"/>
  <c r="AO666" i="3"/>
  <c r="AP664" i="3"/>
  <c r="AO662" i="3"/>
  <c r="AO661" i="3"/>
  <c r="AP657" i="3"/>
  <c r="AQ655" i="3"/>
  <c r="AQ653" i="3"/>
  <c r="AP651" i="3"/>
  <c r="AQ649" i="3"/>
  <c r="AO648" i="3"/>
  <c r="AP646" i="3"/>
  <c r="AP644" i="3"/>
  <c r="AO643" i="3"/>
  <c r="AQ641" i="3"/>
  <c r="AO640" i="3"/>
  <c r="AQ636" i="3"/>
  <c r="AQ634" i="3"/>
  <c r="AP633" i="3"/>
  <c r="AP629" i="3"/>
  <c r="AO628" i="3"/>
  <c r="AP626" i="3"/>
  <c r="AP623" i="3"/>
  <c r="AO621" i="3"/>
  <c r="AQ618" i="3"/>
  <c r="AQ616" i="3"/>
  <c r="AP615" i="3"/>
  <c r="AP613" i="3"/>
  <c r="AO610" i="3"/>
  <c r="AQ607" i="3"/>
  <c r="AP606" i="3"/>
  <c r="AQ604" i="3"/>
  <c r="AO603" i="3"/>
  <c r="AP601" i="3"/>
  <c r="AO598" i="3"/>
  <c r="AQ595" i="3"/>
  <c r="AO594" i="3"/>
  <c r="AO593" i="3"/>
  <c r="AO591" i="3"/>
  <c r="AP589" i="3"/>
  <c r="AO588" i="3"/>
  <c r="AQ585" i="3"/>
  <c r="AQ584" i="3"/>
  <c r="AQ582" i="3"/>
  <c r="AP575" i="3"/>
  <c r="AO574" i="3"/>
  <c r="AP572" i="3"/>
  <c r="AO570" i="3"/>
  <c r="AQ564" i="3"/>
  <c r="AP563" i="3"/>
  <c r="AP561" i="3"/>
  <c r="AP556" i="3"/>
  <c r="AQ554" i="3"/>
  <c r="AO553" i="3"/>
  <c r="AO551" i="3"/>
  <c r="AP549" i="3"/>
  <c r="AQ547" i="3"/>
  <c r="AP543" i="3"/>
  <c r="AO542" i="3"/>
  <c r="AO540" i="3"/>
  <c r="AO538" i="3"/>
  <c r="AQ536" i="3"/>
  <c r="AO535" i="3"/>
  <c r="AP533" i="3"/>
  <c r="AQ531" i="3"/>
  <c r="AP527" i="3"/>
  <c r="AQ525" i="3"/>
  <c r="AQ523" i="3"/>
  <c r="AQ521" i="3"/>
  <c r="AO520" i="3"/>
  <c r="AP518" i="3"/>
  <c r="AP516" i="3"/>
  <c r="AO515" i="3"/>
  <c r="AO513" i="3"/>
  <c r="AQ509" i="3"/>
  <c r="AQ507" i="3"/>
  <c r="AQ505" i="3"/>
  <c r="AP502" i="3"/>
  <c r="AO501" i="3"/>
  <c r="AP497" i="3"/>
  <c r="AO492" i="3"/>
  <c r="AO491" i="3"/>
  <c r="AP489" i="3"/>
  <c r="AP487" i="3"/>
  <c r="AP480" i="3"/>
  <c r="AQ472" i="3"/>
  <c r="AQ470" i="3"/>
  <c r="AO469" i="3"/>
  <c r="AQ465" i="3"/>
  <c r="AO464" i="3"/>
  <c r="AQ461" i="3"/>
  <c r="AP460" i="3"/>
  <c r="AO458" i="3"/>
  <c r="AQ454" i="3"/>
  <c r="AO453" i="3"/>
  <c r="AO450" i="3"/>
  <c r="AQ448" i="3"/>
  <c r="AQ446" i="3"/>
  <c r="AO445" i="3"/>
  <c r="AQ443" i="3"/>
  <c r="AP442" i="3"/>
  <c r="AP440" i="3"/>
  <c r="AP438" i="3"/>
  <c r="AQ436" i="3"/>
  <c r="AQ434" i="3"/>
  <c r="AQ432" i="3"/>
  <c r="AO429" i="3"/>
  <c r="AQ426" i="3"/>
  <c r="AP420" i="3"/>
  <c r="AO418" i="3"/>
  <c r="AP415" i="3"/>
  <c r="AQ411" i="3"/>
  <c r="AQ407" i="3"/>
  <c r="AP406" i="3"/>
  <c r="AP404" i="3"/>
  <c r="AP402" i="3"/>
  <c r="AO399" i="3"/>
  <c r="AQ396" i="3"/>
  <c r="AO389" i="3"/>
  <c r="AO387" i="3"/>
  <c r="AO385" i="3"/>
  <c r="AQ377" i="3"/>
  <c r="AO376" i="3"/>
  <c r="AO369" i="3"/>
  <c r="AO360" i="3"/>
  <c r="AO358" i="3"/>
  <c r="AQ354" i="3"/>
  <c r="AO353" i="3"/>
  <c r="AO351" i="3"/>
  <c r="AP348" i="3"/>
  <c r="AO346" i="3"/>
  <c r="AQ343" i="3"/>
  <c r="AO342" i="3"/>
  <c r="AO336" i="3"/>
  <c r="AQ332" i="3"/>
  <c r="AO331" i="3"/>
  <c r="AO329" i="3"/>
  <c r="AO327" i="3"/>
  <c r="AP322" i="3"/>
  <c r="AQ320" i="3"/>
  <c r="AP318" i="3"/>
  <c r="AO312" i="3"/>
  <c r="AO310" i="3"/>
  <c r="AQ306" i="3"/>
  <c r="AQ304" i="3"/>
  <c r="AO300" i="3"/>
  <c r="AP296" i="3"/>
  <c r="AQ292" i="3"/>
  <c r="AP291" i="3"/>
  <c r="AO289" i="3"/>
  <c r="AQ287" i="3"/>
  <c r="AO286" i="3"/>
  <c r="AQ283" i="3"/>
  <c r="AP282" i="3"/>
  <c r="AO279" i="3"/>
  <c r="AO277" i="3"/>
  <c r="AO274" i="3"/>
  <c r="AP272" i="3"/>
  <c r="AO270" i="3"/>
  <c r="AQ267" i="3"/>
  <c r="AQ265" i="3"/>
  <c r="AP264" i="3"/>
  <c r="AO262" i="3"/>
  <c r="AP260" i="3"/>
  <c r="AQ258" i="3"/>
  <c r="AQ256" i="3"/>
  <c r="AP252" i="3"/>
  <c r="AQ249" i="3"/>
  <c r="AO248" i="3"/>
  <c r="AP246" i="3"/>
  <c r="AP244" i="3"/>
  <c r="AO242" i="3"/>
  <c r="AP240" i="3"/>
  <c r="AO237" i="3"/>
  <c r="AQ234" i="3"/>
  <c r="AO233" i="3"/>
  <c r="AO231" i="3"/>
  <c r="AO224" i="3"/>
  <c r="AP222" i="3"/>
  <c r="AQ220" i="3"/>
  <c r="AQ218" i="3"/>
  <c r="AO217" i="3"/>
  <c r="AQ213" i="3"/>
  <c r="AP210" i="3"/>
  <c r="AP204" i="3"/>
  <c r="AP200" i="3"/>
  <c r="AP198" i="3"/>
  <c r="AP196" i="3"/>
  <c r="AP194" i="3"/>
  <c r="AP188" i="3"/>
  <c r="AP186" i="3"/>
  <c r="AP184" i="3"/>
  <c r="AP182" i="3"/>
  <c r="AQ174" i="3"/>
  <c r="AO171" i="3"/>
  <c r="AQ168" i="3"/>
  <c r="AO167" i="3"/>
  <c r="AO165" i="3"/>
  <c r="AO163" i="3"/>
  <c r="AO161" i="3"/>
  <c r="AO159" i="3"/>
  <c r="AP20" i="3"/>
  <c r="AQ17" i="3"/>
  <c r="AP16" i="3"/>
  <c r="AO14" i="3"/>
  <c r="AP10" i="3"/>
  <c r="AQ8" i="3"/>
  <c r="AQ4" i="3"/>
  <c r="AP2" i="3"/>
  <c r="AO1306" i="3"/>
  <c r="AQ1298" i="3"/>
  <c r="AP1296" i="3"/>
  <c r="AP1294" i="3"/>
  <c r="AQ1291" i="3"/>
  <c r="AQ1289" i="3"/>
  <c r="AP1287" i="3"/>
  <c r="AQ1284" i="3"/>
  <c r="AO1282" i="3"/>
  <c r="AQ1278" i="3"/>
  <c r="AQ1275" i="3"/>
  <c r="AP1273" i="3"/>
  <c r="AO1271" i="3"/>
  <c r="AO1269" i="3"/>
  <c r="AP1264" i="3"/>
  <c r="AO1262" i="3"/>
  <c r="AO1254" i="3"/>
  <c r="AQ1251" i="3"/>
  <c r="AP1249" i="3"/>
  <c r="AP1247" i="3"/>
  <c r="AQ1242" i="3"/>
  <c r="AO1241" i="3"/>
  <c r="AP1239" i="3"/>
  <c r="AO1237" i="3"/>
  <c r="AP1235" i="3"/>
  <c r="AO1233" i="3"/>
  <c r="AP1231" i="3"/>
  <c r="AQ1227" i="3"/>
  <c r="AP1226" i="3"/>
  <c r="AQ1222" i="3"/>
  <c r="AO1220" i="3"/>
  <c r="AO1219" i="3"/>
  <c r="AP1217" i="3"/>
  <c r="AP1216" i="3"/>
  <c r="AP1214" i="3"/>
  <c r="AQ1211" i="3"/>
  <c r="AO1210" i="3"/>
  <c r="AO1208" i="3"/>
  <c r="AP1206" i="3"/>
  <c r="AO1204" i="3"/>
  <c r="AQ1199" i="3"/>
  <c r="AO1195" i="3"/>
  <c r="AO1193" i="3"/>
  <c r="AQ1190" i="3"/>
  <c r="AP1186" i="3"/>
  <c r="AO1184" i="3"/>
  <c r="AP1179" i="3"/>
  <c r="AP1177" i="3"/>
  <c r="AP1171" i="3"/>
  <c r="AO1169" i="3"/>
  <c r="AO1167" i="3"/>
  <c r="AP1162" i="3"/>
  <c r="AQ1159" i="3"/>
  <c r="AQ1157" i="3"/>
  <c r="AP1155" i="3"/>
  <c r="AO1153" i="3"/>
  <c r="AP1151" i="3"/>
  <c r="AP1149" i="3"/>
  <c r="AO1147" i="3"/>
  <c r="AQ1144" i="3"/>
  <c r="AO1142" i="3"/>
  <c r="AO1140" i="3"/>
  <c r="AQ1137" i="3"/>
  <c r="AP1135" i="3"/>
  <c r="AP1133" i="3"/>
  <c r="AO1127" i="3"/>
  <c r="AP1125" i="3"/>
  <c r="AP1123" i="3"/>
  <c r="AP1120" i="3"/>
  <c r="AP1109" i="3"/>
  <c r="AP1107" i="3"/>
  <c r="AQ1105" i="3"/>
  <c r="AQ1103" i="3"/>
  <c r="AQ1098" i="3"/>
  <c r="AQ1096" i="3"/>
  <c r="AQ1094" i="3"/>
  <c r="AP1092" i="3"/>
  <c r="AO1090" i="3"/>
  <c r="AQ1087" i="3"/>
  <c r="AQ1085" i="3"/>
  <c r="AP1083" i="3"/>
  <c r="AO1081" i="3"/>
  <c r="AQ1078" i="3"/>
  <c r="AO1076" i="3"/>
  <c r="AQ1073" i="3"/>
  <c r="AQ1071" i="3"/>
  <c r="AO1065" i="3"/>
  <c r="AQ1062" i="3"/>
  <c r="AP1058" i="3"/>
  <c r="AO1056" i="3"/>
  <c r="AQ1053" i="3"/>
  <c r="AP1051" i="3"/>
  <c r="AQ1048" i="3"/>
  <c r="AQ1046" i="3"/>
  <c r="AQ1044" i="3"/>
  <c r="AP1040" i="3"/>
  <c r="AO1038" i="3"/>
  <c r="AO1036" i="3"/>
  <c r="AP1033" i="3"/>
  <c r="AQ1029" i="3"/>
  <c r="AO1020" i="3"/>
  <c r="AQ1018" i="3"/>
  <c r="AQ1016" i="3"/>
  <c r="AO1015" i="3"/>
  <c r="AP1012" i="3"/>
  <c r="AO1011" i="3"/>
  <c r="AQ1009" i="3"/>
  <c r="AP1008" i="3"/>
  <c r="AQ1006" i="3"/>
  <c r="AO1005" i="3"/>
  <c r="AP1002" i="3"/>
  <c r="AQ994" i="3"/>
  <c r="AQ988" i="3"/>
  <c r="AO987" i="3"/>
  <c r="AO984" i="3"/>
  <c r="AP982" i="3"/>
  <c r="AO980" i="3"/>
  <c r="AO975" i="3"/>
  <c r="AP972" i="3"/>
  <c r="AO970" i="3"/>
  <c r="AP968" i="3"/>
  <c r="AO966" i="3"/>
  <c r="AP961" i="3"/>
  <c r="AP959" i="3"/>
  <c r="AO957" i="3"/>
  <c r="AQ954" i="3"/>
  <c r="AP952" i="3"/>
  <c r="AO950" i="3"/>
  <c r="AO948" i="3"/>
  <c r="AP943" i="3"/>
  <c r="AP941" i="3"/>
  <c r="AQ932" i="3"/>
  <c r="AP930" i="3"/>
  <c r="AQ927" i="3"/>
  <c r="AQ925" i="3"/>
  <c r="AO923" i="3"/>
  <c r="AP921" i="3"/>
  <c r="AP919" i="3"/>
  <c r="AQ916" i="3"/>
  <c r="AQ914" i="3"/>
  <c r="AP912" i="3"/>
  <c r="AO910" i="3"/>
  <c r="AQ907" i="3"/>
  <c r="AO903" i="3"/>
  <c r="AO901" i="3"/>
  <c r="AP896" i="3"/>
  <c r="AP894" i="3"/>
  <c r="AO892" i="3"/>
  <c r="AQ889" i="3"/>
  <c r="AQ887" i="3"/>
  <c r="AP880" i="3"/>
  <c r="AP878" i="3"/>
  <c r="AQ875" i="3"/>
  <c r="AO873" i="3"/>
  <c r="AO869" i="3"/>
  <c r="AQ866" i="3"/>
  <c r="AP864" i="3"/>
  <c r="AO860" i="3"/>
  <c r="AQ857" i="3"/>
  <c r="AQ854" i="3"/>
  <c r="AQ852" i="3"/>
  <c r="AP850" i="3"/>
  <c r="AO848" i="3"/>
  <c r="AO846" i="3"/>
  <c r="AO841" i="3"/>
  <c r="AO838" i="3"/>
  <c r="AP836" i="3"/>
  <c r="AO831" i="3"/>
  <c r="AQ828" i="3"/>
  <c r="AP823" i="3"/>
  <c r="AP821" i="3"/>
  <c r="AO820" i="3"/>
  <c r="AQ817" i="3"/>
  <c r="AP811" i="3"/>
  <c r="AP809" i="3"/>
  <c r="AP807" i="3"/>
  <c r="AO805" i="3"/>
  <c r="AQ802" i="3"/>
  <c r="AP798" i="3"/>
  <c r="AO796" i="3"/>
  <c r="AP794" i="3"/>
  <c r="AP792" i="3"/>
  <c r="AP790" i="3"/>
  <c r="AQ785" i="3"/>
  <c r="AQ783" i="3"/>
  <c r="AQ779" i="3"/>
  <c r="AP777" i="3"/>
  <c r="AO775" i="3"/>
  <c r="AO773" i="3"/>
  <c r="AO771" i="3"/>
  <c r="AP769" i="3"/>
  <c r="AP761" i="3"/>
  <c r="AO759" i="3"/>
  <c r="AO757" i="3"/>
  <c r="AQ754" i="3"/>
  <c r="AP752" i="3"/>
  <c r="AP750" i="3"/>
  <c r="AP748" i="3"/>
  <c r="AP746" i="3"/>
  <c r="AQ743" i="3"/>
  <c r="AQ741" i="3"/>
  <c r="AQ739" i="3"/>
  <c r="AQ737" i="3"/>
  <c r="AO735" i="3"/>
  <c r="AO683" i="3"/>
  <c r="AO680" i="3"/>
  <c r="AQ677" i="3"/>
  <c r="AP675" i="3"/>
  <c r="AO673" i="3"/>
  <c r="AQ670" i="3"/>
  <c r="AO668" i="3"/>
  <c r="AP665" i="3"/>
  <c r="AO663" i="3"/>
  <c r="AP660" i="3"/>
  <c r="AQ656" i="3"/>
  <c r="AP652" i="3"/>
  <c r="AO649" i="3"/>
  <c r="AQ646" i="3"/>
  <c r="AP642" i="3"/>
  <c r="AP640" i="3"/>
  <c r="AO635" i="3"/>
  <c r="AP632" i="3"/>
  <c r="AO630" i="3"/>
  <c r="AP627" i="3"/>
  <c r="AQ624" i="3"/>
  <c r="AO622" i="3"/>
  <c r="AO617" i="3"/>
  <c r="AP614" i="3"/>
  <c r="AO612" i="3"/>
  <c r="AP603" i="3"/>
  <c r="AQ597" i="3"/>
  <c r="AQ591" i="3"/>
  <c r="AP581" i="3"/>
  <c r="AO578" i="3"/>
  <c r="AQ575" i="3"/>
  <c r="AO573" i="3"/>
  <c r="AO568" i="3"/>
  <c r="AP565" i="3"/>
  <c r="AQ562" i="3"/>
  <c r="AP560" i="3"/>
  <c r="AO557" i="3"/>
  <c r="AO554" i="3"/>
  <c r="AO549" i="3"/>
  <c r="AQ546" i="3"/>
  <c r="AP544" i="3"/>
  <c r="AP542" i="3"/>
  <c r="AP531" i="3"/>
  <c r="AQ528" i="3"/>
  <c r="AO524" i="3"/>
  <c r="AP521" i="3"/>
  <c r="AO519" i="3"/>
  <c r="AQ510" i="3"/>
  <c r="AO508" i="3"/>
  <c r="AO503" i="3"/>
  <c r="AP500" i="3"/>
  <c r="AQ494" i="3"/>
  <c r="AQ489" i="3"/>
  <c r="AO487" i="3"/>
  <c r="AQ484" i="3"/>
  <c r="AP482" i="3"/>
  <c r="AO474" i="3"/>
  <c r="AQ468" i="3"/>
  <c r="AP466" i="3"/>
  <c r="AQ463" i="3"/>
  <c r="AQ460" i="3"/>
  <c r="AP458" i="3"/>
  <c r="AO456" i="3"/>
  <c r="AQ453" i="3"/>
  <c r="AP451" i="3"/>
  <c r="AP448" i="3"/>
  <c r="AO446" i="3"/>
  <c r="AO443" i="3"/>
  <c r="AO438" i="3"/>
  <c r="AQ435" i="3"/>
  <c r="AO431" i="3"/>
  <c r="AQ428" i="3"/>
  <c r="AO426" i="3"/>
  <c r="AQ423" i="3"/>
  <c r="AP421" i="3"/>
  <c r="AQ418" i="3"/>
  <c r="AP416" i="3"/>
  <c r="AO414" i="3"/>
  <c r="AP411" i="3"/>
  <c r="AQ408" i="3"/>
  <c r="AO406" i="3"/>
  <c r="AO401" i="3"/>
  <c r="AQ398" i="3"/>
  <c r="AP396" i="3"/>
  <c r="AO394" i="3"/>
  <c r="AP391" i="3"/>
  <c r="AP386" i="3"/>
  <c r="AQ383" i="3"/>
  <c r="AO381" i="3"/>
  <c r="AQ378" i="3"/>
  <c r="AP374" i="3"/>
  <c r="AQ371" i="3"/>
  <c r="AO367" i="3"/>
  <c r="AQ364" i="3"/>
  <c r="AP362" i="3"/>
  <c r="AP356" i="3"/>
  <c r="AP354" i="3"/>
  <c r="AQ351" i="3"/>
  <c r="AP349" i="3"/>
  <c r="AO347" i="3"/>
  <c r="AO340" i="3"/>
  <c r="AP331" i="3"/>
  <c r="AP327" i="3"/>
  <c r="AO325" i="3"/>
  <c r="AQ322" i="3"/>
  <c r="AQ319" i="3"/>
  <c r="AO315" i="3"/>
  <c r="AQ312" i="3"/>
  <c r="AP310" i="3"/>
  <c r="AP305" i="3"/>
  <c r="AQ302" i="3"/>
  <c r="AP298" i="3"/>
  <c r="AP295" i="3"/>
  <c r="AP293" i="3"/>
  <c r="AO288" i="3"/>
  <c r="AQ282" i="3"/>
  <c r="AP280" i="3"/>
  <c r="AO278" i="3"/>
  <c r="AO275" i="3"/>
  <c r="AQ272" i="3"/>
  <c r="AP270" i="3"/>
  <c r="AP267" i="3"/>
  <c r="AO265" i="3"/>
  <c r="AO263" i="3"/>
  <c r="AO260" i="3"/>
  <c r="AQ257" i="3"/>
  <c r="AO253" i="3"/>
  <c r="AQ250" i="3"/>
  <c r="AQ247" i="3"/>
  <c r="AO245" i="3"/>
  <c r="AO243" i="3"/>
  <c r="AQ240" i="3"/>
  <c r="AP238" i="3"/>
  <c r="AP233" i="3"/>
  <c r="AQ230" i="3"/>
  <c r="AP228" i="3"/>
  <c r="AO226" i="3"/>
  <c r="AP217" i="3"/>
  <c r="AQ214" i="3"/>
  <c r="AP212" i="3"/>
  <c r="AO209" i="3"/>
  <c r="AQ206" i="3"/>
  <c r="AO202" i="3"/>
  <c r="AO200" i="3"/>
  <c r="AQ197" i="3"/>
  <c r="AP195" i="3"/>
  <c r="AO193" i="3"/>
  <c r="AQ190" i="3"/>
  <c r="AO188" i="3"/>
  <c r="AP181" i="3"/>
  <c r="AQ178" i="3"/>
  <c r="AP176" i="3"/>
  <c r="AO174" i="3"/>
  <c r="AO169" i="3"/>
  <c r="AQ166" i="3"/>
  <c r="AP164" i="3"/>
  <c r="AQ161" i="3"/>
  <c r="AQ158" i="3"/>
  <c r="AP18" i="3"/>
  <c r="AP15" i="3"/>
  <c r="AQ12" i="3"/>
  <c r="AQ9" i="3"/>
  <c r="AO7" i="3"/>
  <c r="AP4" i="3"/>
  <c r="AP1306" i="3"/>
  <c r="AQ1304" i="3"/>
  <c r="AO1299" i="3"/>
  <c r="AQ1296" i="3"/>
  <c r="AQ1294" i="3"/>
  <c r="AQ1292" i="3"/>
  <c r="AQ1286" i="3"/>
  <c r="AP1271" i="3"/>
  <c r="AQ1266" i="3"/>
  <c r="AQ1264" i="3"/>
  <c r="AQ1262" i="3"/>
  <c r="AO1258" i="3"/>
  <c r="AP1255" i="3"/>
  <c r="AO1248" i="3"/>
  <c r="AQ1245" i="3"/>
  <c r="AQ1243" i="3"/>
  <c r="AQ1239" i="3"/>
  <c r="AO1238" i="3"/>
  <c r="AP1236" i="3"/>
  <c r="AP1234" i="3"/>
  <c r="AQ1232" i="3"/>
  <c r="AO1231" i="3"/>
  <c r="AO1229" i="3"/>
  <c r="AQ1225" i="3"/>
  <c r="AP1224" i="3"/>
  <c r="AQ1221" i="3"/>
  <c r="AP1220" i="3"/>
  <c r="AQ1218" i="3"/>
  <c r="AO1216" i="3"/>
  <c r="AP1210" i="3"/>
  <c r="AQ1206" i="3"/>
  <c r="AO1202" i="3"/>
  <c r="AP1200" i="3"/>
  <c r="AP1196" i="3"/>
  <c r="AP1194" i="3"/>
  <c r="AO1192" i="3"/>
  <c r="AP1190" i="3"/>
  <c r="AQ1187" i="3"/>
  <c r="AP1183" i="3"/>
  <c r="AO1181" i="3"/>
  <c r="AO1179" i="3"/>
  <c r="AO1177" i="3"/>
  <c r="AP1175" i="3"/>
  <c r="AO1173" i="3"/>
  <c r="AO1171" i="3"/>
  <c r="AP1164" i="3"/>
  <c r="AO1162" i="3"/>
  <c r="AP1160" i="3"/>
  <c r="AP1158" i="3"/>
  <c r="AP1156" i="3"/>
  <c r="AP1154" i="3"/>
  <c r="AO1152" i="3"/>
  <c r="AP1150" i="3"/>
  <c r="AP1146" i="3"/>
  <c r="AQ1142" i="3"/>
  <c r="AP1140" i="3"/>
  <c r="AO1138" i="3"/>
  <c r="AO1136" i="3"/>
  <c r="AO1130" i="3"/>
  <c r="AP1128" i="3"/>
  <c r="AP1126" i="3"/>
  <c r="AO1124" i="3"/>
  <c r="AO1122" i="3"/>
  <c r="AO1120" i="3"/>
  <c r="AP1118" i="3"/>
  <c r="AP1114" i="3"/>
  <c r="AO1112" i="3"/>
  <c r="AO1110" i="3"/>
  <c r="AP1108" i="3"/>
  <c r="AO1107" i="3"/>
  <c r="AP1105" i="3"/>
  <c r="AP1103" i="3"/>
  <c r="AQ1101" i="3"/>
  <c r="AO1097" i="3"/>
  <c r="AP1095" i="3"/>
  <c r="AP1089" i="3"/>
  <c r="AP1087" i="3"/>
  <c r="AQ1082" i="3"/>
  <c r="AQ1080" i="3"/>
  <c r="AO1079" i="3"/>
  <c r="AQ1076" i="3"/>
  <c r="AP1070" i="3"/>
  <c r="AO1068" i="3"/>
  <c r="AQ1065" i="3"/>
  <c r="AO1064" i="3"/>
  <c r="AQ1061" i="3"/>
  <c r="AQ1059" i="3"/>
  <c r="AP1055" i="3"/>
  <c r="AQ1049" i="3"/>
  <c r="AO1047" i="3"/>
  <c r="AO1045" i="3"/>
  <c r="AO1043" i="3"/>
  <c r="AO1041" i="3"/>
  <c r="AP1039" i="3"/>
  <c r="AO1037" i="3"/>
  <c r="AO1035" i="3"/>
  <c r="AO1033" i="3"/>
  <c r="AP1031" i="3"/>
  <c r="AO1029" i="3"/>
  <c r="AP1027" i="3"/>
  <c r="AQ1025" i="3"/>
  <c r="AO1024" i="3"/>
  <c r="AQ1022" i="3"/>
  <c r="AQ1020" i="3"/>
  <c r="AP1018" i="3"/>
  <c r="AQ1014" i="3"/>
  <c r="AO1013" i="3"/>
  <c r="AQ1011" i="3"/>
  <c r="AQ1010" i="3"/>
  <c r="AO1007" i="3"/>
  <c r="AO1004" i="3"/>
  <c r="AO1003" i="3"/>
  <c r="AQ999" i="3"/>
  <c r="AO996" i="3"/>
  <c r="AO993" i="3"/>
  <c r="AP991" i="3"/>
  <c r="AO989" i="3"/>
  <c r="AQ986" i="3"/>
  <c r="AO985" i="3"/>
  <c r="AO983" i="3"/>
  <c r="AO981" i="3"/>
  <c r="AQ978" i="3"/>
  <c r="AQ976" i="3"/>
  <c r="AO974" i="3"/>
  <c r="AO972" i="3"/>
  <c r="AP970" i="3"/>
  <c r="AQ966" i="3"/>
  <c r="AP964" i="3"/>
  <c r="AQ961" i="3"/>
  <c r="AQ959" i="3"/>
  <c r="AQ957" i="3"/>
  <c r="AQ955" i="3"/>
  <c r="AP953" i="3"/>
  <c r="AO951" i="3"/>
  <c r="AO949" i="3"/>
  <c r="AQ940" i="3"/>
  <c r="AO939" i="3"/>
  <c r="AP937" i="3"/>
  <c r="AO935" i="3"/>
  <c r="AO933" i="3"/>
  <c r="AQ930" i="3"/>
  <c r="AP928" i="3"/>
  <c r="AO926" i="3"/>
  <c r="AO924" i="3"/>
  <c r="AP922" i="3"/>
  <c r="AQ919" i="3"/>
  <c r="AO918" i="3"/>
  <c r="AO916" i="3"/>
  <c r="AQ913" i="3"/>
  <c r="AP910" i="3"/>
  <c r="AO908" i="3"/>
  <c r="AP906" i="3"/>
  <c r="AO904" i="3"/>
  <c r="AO895" i="3"/>
  <c r="AO893" i="3"/>
  <c r="AP891" i="3"/>
  <c r="AP889" i="3"/>
  <c r="AO887" i="3"/>
  <c r="AO885" i="3"/>
  <c r="AO883" i="3"/>
  <c r="AO881" i="3"/>
  <c r="AO879" i="3"/>
  <c r="AO877" i="3"/>
  <c r="AP875" i="3"/>
  <c r="AQ870" i="3"/>
  <c r="AQ868" i="3"/>
  <c r="AO867" i="3"/>
  <c r="AO865" i="3"/>
  <c r="AQ862" i="3"/>
  <c r="AQ860" i="3"/>
  <c r="AO858" i="3"/>
  <c r="AP856" i="3"/>
  <c r="AP854" i="3"/>
  <c r="AP852" i="3"/>
  <c r="AQ849" i="3"/>
  <c r="AP843" i="3"/>
  <c r="AP841" i="3"/>
  <c r="AO832" i="3"/>
  <c r="AO830" i="3"/>
  <c r="AO828" i="3"/>
  <c r="AO826" i="3"/>
  <c r="AP824" i="3"/>
  <c r="AQ821" i="3"/>
  <c r="AP817" i="3"/>
  <c r="AP815" i="3"/>
  <c r="AP813" i="3"/>
  <c r="AO809" i="3"/>
  <c r="AO807" i="3"/>
  <c r="AP805" i="3"/>
  <c r="AP803" i="3"/>
  <c r="AO801" i="3"/>
  <c r="AO799" i="3"/>
  <c r="AO797" i="3"/>
  <c r="AQ790" i="3"/>
  <c r="AQ788" i="3"/>
  <c r="AQ786" i="3"/>
  <c r="AO784" i="3"/>
  <c r="AP782" i="3"/>
  <c r="AP780" i="3"/>
  <c r="AP778" i="3"/>
  <c r="AP770" i="3"/>
  <c r="AP768" i="3"/>
  <c r="AP766" i="3"/>
  <c r="AO761" i="3"/>
  <c r="AP759" i="3"/>
  <c r="AP757" i="3"/>
  <c r="AP755" i="3"/>
  <c r="AQ750" i="3"/>
  <c r="AO748" i="3"/>
  <c r="AO746" i="3"/>
  <c r="AO744" i="3"/>
  <c r="AP739" i="3"/>
  <c r="AP737" i="3"/>
  <c r="AP735" i="3"/>
  <c r="AP733" i="3"/>
  <c r="AP681" i="3"/>
  <c r="AO679" i="3"/>
  <c r="AO677" i="3"/>
  <c r="AQ674" i="3"/>
  <c r="AQ672" i="3"/>
  <c r="AO670" i="3"/>
  <c r="AQ667" i="3"/>
  <c r="AP654" i="3"/>
  <c r="AQ651" i="3"/>
  <c r="AP649" i="3"/>
  <c r="AO647" i="3"/>
  <c r="AO645" i="3"/>
  <c r="AQ640" i="3"/>
  <c r="AQ637" i="3"/>
  <c r="AQ632" i="3"/>
  <c r="AP630" i="3"/>
  <c r="AO625" i="3"/>
  <c r="AO618" i="3"/>
  <c r="AQ612" i="3"/>
  <c r="AO609" i="3"/>
  <c r="AQ603" i="3"/>
  <c r="AO601" i="3"/>
  <c r="AQ598" i="3"/>
  <c r="AO596" i="3"/>
  <c r="AQ593" i="3"/>
  <c r="AP586" i="3"/>
  <c r="AP584" i="3"/>
  <c r="AO579" i="3"/>
  <c r="AP576" i="3"/>
  <c r="AP574" i="3"/>
  <c r="AQ571" i="3"/>
  <c r="AO569" i="3"/>
  <c r="AQ566" i="3"/>
  <c r="AO564" i="3"/>
  <c r="AQ558" i="3"/>
  <c r="AP554" i="3"/>
  <c r="AQ551" i="3"/>
  <c r="AP547" i="3"/>
  <c r="AQ544" i="3"/>
  <c r="AQ541" i="3"/>
  <c r="AO528" i="3"/>
  <c r="AP523" i="3"/>
  <c r="AO521" i="3"/>
  <c r="AO516" i="3"/>
  <c r="AP513" i="3"/>
  <c r="AO511" i="3"/>
  <c r="AQ508" i="3"/>
  <c r="AP506" i="3"/>
  <c r="AQ503" i="3"/>
  <c r="AP501" i="3"/>
  <c r="AQ498" i="3"/>
  <c r="AO496" i="3"/>
  <c r="AO494" i="3"/>
  <c r="AO489" i="3"/>
  <c r="AO484" i="3"/>
  <c r="AQ481" i="3"/>
  <c r="AP479" i="3"/>
  <c r="AQ477" i="3"/>
  <c r="AP473" i="3"/>
  <c r="AP470" i="3"/>
  <c r="AO468" i="3"/>
  <c r="AQ462" i="3"/>
  <c r="AO461" i="3"/>
  <c r="AQ458" i="3"/>
  <c r="AP456" i="3"/>
  <c r="AP454" i="3"/>
  <c r="AO452" i="3"/>
  <c r="AQ449" i="3"/>
  <c r="AQ442" i="3"/>
  <c r="AQ440" i="3"/>
  <c r="AO436" i="3"/>
  <c r="AO434" i="3"/>
  <c r="AP431" i="3"/>
  <c r="AP429" i="3"/>
  <c r="AO427" i="3"/>
  <c r="AQ424" i="3"/>
  <c r="AQ421" i="3"/>
  <c r="AP417" i="3"/>
  <c r="AQ414" i="3"/>
  <c r="AO410" i="3"/>
  <c r="AP407" i="3"/>
  <c r="AP405" i="3"/>
  <c r="AO400" i="3"/>
  <c r="AO398" i="3"/>
  <c r="AQ395" i="3"/>
  <c r="AQ392" i="3"/>
  <c r="AO390" i="3"/>
  <c r="AO388" i="3"/>
  <c r="AQ382" i="3"/>
  <c r="AP378" i="3"/>
  <c r="AP375" i="3"/>
  <c r="AO373" i="3"/>
  <c r="AQ370" i="3"/>
  <c r="AP368" i="3"/>
  <c r="AO366" i="3"/>
  <c r="AP363" i="3"/>
  <c r="AQ361" i="3"/>
  <c r="AQ359" i="3"/>
  <c r="AQ357" i="3"/>
  <c r="AO355" i="3"/>
  <c r="AO348" i="3"/>
  <c r="AO343" i="3"/>
  <c r="AO341" i="3"/>
  <c r="AQ338" i="3"/>
  <c r="AQ335" i="3"/>
  <c r="AQ333" i="3"/>
  <c r="AQ331" i="3"/>
  <c r="AP329" i="3"/>
  <c r="AQ326" i="3"/>
  <c r="AP324" i="3"/>
  <c r="AQ321" i="3"/>
  <c r="AP317" i="3"/>
  <c r="AP315" i="3"/>
  <c r="AP313" i="3"/>
  <c r="AQ310" i="3"/>
  <c r="AP307" i="3"/>
  <c r="AO305" i="3"/>
  <c r="AP303" i="3"/>
  <c r="AQ300" i="3"/>
  <c r="AQ297" i="3"/>
  <c r="AQ295" i="3"/>
  <c r="AQ290" i="3"/>
  <c r="AP288" i="3"/>
  <c r="AQ285" i="3"/>
  <c r="AP283" i="3"/>
  <c r="AQ280" i="3"/>
  <c r="AP278" i="3"/>
  <c r="AO276" i="3"/>
  <c r="AO273" i="3"/>
  <c r="AO271" i="3"/>
  <c r="AQ268" i="3"/>
  <c r="AQ263" i="3"/>
  <c r="AP257" i="3"/>
  <c r="AQ254" i="3"/>
  <c r="AQ245" i="3"/>
  <c r="AP243" i="3"/>
  <c r="AO241" i="3"/>
  <c r="AP239" i="3"/>
  <c r="AQ236" i="3"/>
  <c r="AO232" i="3"/>
  <c r="AO230" i="3"/>
  <c r="AQ227" i="3"/>
  <c r="AO225" i="3"/>
  <c r="AO220" i="3"/>
  <c r="AP218" i="3"/>
  <c r="AO216" i="3"/>
  <c r="AP213" i="3"/>
  <c r="AO211" i="3"/>
  <c r="AP208" i="3"/>
  <c r="AO206" i="3"/>
  <c r="AO204" i="3"/>
  <c r="AQ201" i="3"/>
  <c r="AP199" i="3"/>
  <c r="AO197" i="3"/>
  <c r="AQ194" i="3"/>
  <c r="AP192" i="3"/>
  <c r="AP189" i="3"/>
  <c r="AO187" i="3"/>
  <c r="AO182" i="3"/>
  <c r="AQ179" i="3"/>
  <c r="AO175" i="3"/>
  <c r="AO173" i="3"/>
  <c r="AO168" i="3"/>
  <c r="AO166" i="3"/>
  <c r="AQ163" i="3"/>
  <c r="AP159" i="3"/>
  <c r="AP19" i="3"/>
  <c r="AQ13" i="3"/>
  <c r="AO11" i="3"/>
  <c r="AO6" i="3"/>
  <c r="AO3" i="3"/>
  <c r="AO1305" i="3"/>
  <c r="AO1304" i="3"/>
  <c r="AQ1302" i="3"/>
  <c r="AO1301" i="3"/>
  <c r="AO1297" i="3"/>
  <c r="AP1295" i="3"/>
  <c r="AP1293" i="3"/>
  <c r="AP1292" i="3"/>
  <c r="AQ1290" i="3"/>
  <c r="AQ1288" i="3"/>
  <c r="AO1286" i="3"/>
  <c r="AP1284" i="3"/>
  <c r="AO1283" i="3"/>
  <c r="AQ1281" i="3"/>
  <c r="AP1278" i="3"/>
  <c r="AO1277" i="3"/>
  <c r="AP1275" i="3"/>
  <c r="AO1274" i="3"/>
  <c r="AP1272" i="3"/>
  <c r="AQ1270" i="3"/>
  <c r="AP1267" i="3"/>
  <c r="AQ1263" i="3"/>
  <c r="AP1260" i="3"/>
  <c r="AQ1256" i="3"/>
  <c r="AO1256" i="3"/>
  <c r="AQ1254" i="3"/>
  <c r="AO1253" i="3"/>
  <c r="AP1251" i="3"/>
  <c r="AQ1247" i="3"/>
  <c r="AP1246" i="3"/>
  <c r="AQ1244" i="3"/>
  <c r="AO1243" i="3"/>
  <c r="AQ1241" i="3"/>
  <c r="AQ1238" i="3"/>
  <c r="AP1237" i="3"/>
  <c r="AO1236" i="3"/>
  <c r="AQ1234" i="3"/>
  <c r="AP1233" i="3"/>
  <c r="AQ1231" i="3"/>
  <c r="AP1230" i="3"/>
  <c r="AP1221" i="3"/>
  <c r="AQ1217" i="3"/>
  <c r="AO1217" i="3"/>
  <c r="AQ1215" i="3"/>
  <c r="AQ1214" i="3"/>
  <c r="AQ1195" i="3"/>
  <c r="AQ1191" i="3"/>
  <c r="AO1190" i="3"/>
  <c r="AQ1188" i="3"/>
  <c r="AQ1184" i="3"/>
  <c r="AO1183" i="3"/>
  <c r="AQ1181" i="3"/>
  <c r="AQ1179" i="3"/>
  <c r="AO1178" i="3"/>
  <c r="AQ1176" i="3"/>
  <c r="AO1175" i="3"/>
  <c r="AP1173" i="3"/>
  <c r="AP1170" i="3"/>
  <c r="AP1168" i="3"/>
  <c r="AQ1166" i="3"/>
  <c r="AO1165" i="3"/>
  <c r="AP1163" i="3"/>
  <c r="AO1160" i="3"/>
  <c r="AQ1154" i="3"/>
  <c r="AP1153" i="3"/>
  <c r="AQ1151" i="3"/>
  <c r="AO1149" i="3"/>
  <c r="AP1147" i="3"/>
  <c r="AQ1143" i="3"/>
  <c r="AP1142" i="3"/>
  <c r="AQ1138" i="3"/>
  <c r="AP1137" i="3"/>
  <c r="AQ1133" i="3"/>
  <c r="AP1132" i="3"/>
  <c r="AO1131" i="3"/>
  <c r="AP1129" i="3"/>
  <c r="AP1124" i="3"/>
  <c r="AP1121" i="3"/>
  <c r="AO1119" i="3"/>
  <c r="AO1118" i="3"/>
  <c r="AP1116" i="3"/>
  <c r="AQ1114" i="3"/>
  <c r="AP1111" i="3"/>
  <c r="AQ1109" i="3"/>
  <c r="AO1108" i="3"/>
  <c r="AP1106" i="3"/>
  <c r="AO1105" i="3"/>
  <c r="AO1102" i="3"/>
  <c r="AO1100" i="3"/>
  <c r="AP1099" i="3"/>
  <c r="AQ1095" i="3"/>
  <c r="AO1093" i="3"/>
  <c r="AP1091" i="3"/>
  <c r="AQ1089" i="3"/>
  <c r="AO1088" i="3"/>
  <c r="AP1086" i="3"/>
  <c r="AQ1084" i="3"/>
  <c r="AO1083" i="3"/>
  <c r="AQ1081" i="3"/>
  <c r="AQ1079" i="3"/>
  <c r="AO1078" i="3"/>
  <c r="AO1077" i="3"/>
  <c r="AO1075" i="3"/>
  <c r="AO1074" i="3"/>
  <c r="AO1072" i="3"/>
  <c r="AO1070" i="3"/>
  <c r="AP1068" i="3"/>
  <c r="AQ1066" i="3"/>
  <c r="AP1065" i="3"/>
  <c r="AO1062" i="3"/>
  <c r="AQ1060" i="3"/>
  <c r="AQ1058" i="3"/>
  <c r="AP1057" i="3"/>
  <c r="AQ1055" i="3"/>
  <c r="AO1054" i="3"/>
  <c r="AP1052" i="3"/>
  <c r="AO1049" i="3"/>
  <c r="AQ1045" i="3"/>
  <c r="AP1044" i="3"/>
  <c r="AQ1042" i="3"/>
  <c r="AQ1040" i="3"/>
  <c r="AO1039" i="3"/>
  <c r="AO1034" i="3"/>
  <c r="AP1032" i="3"/>
  <c r="AO1031" i="3"/>
  <c r="AP1029" i="3"/>
  <c r="AQ1027" i="3"/>
  <c r="AO1025" i="3"/>
  <c r="AP1023" i="3"/>
  <c r="AO1023" i="3"/>
  <c r="AP1021" i="3"/>
  <c r="AO1019" i="3"/>
  <c r="AP1017" i="3"/>
  <c r="AP1307" i="3"/>
  <c r="AP1305" i="3"/>
  <c r="AQ1303" i="3"/>
  <c r="AO1303" i="3"/>
  <c r="AP1301" i="3"/>
  <c r="AQ1299" i="3"/>
  <c r="AP1298" i="3"/>
  <c r="AP1297" i="3"/>
  <c r="AQ1293" i="3"/>
  <c r="AO1291" i="3"/>
  <c r="AP1288" i="3"/>
  <c r="AP1285" i="3"/>
  <c r="AQ1283" i="3"/>
  <c r="AP1282" i="3"/>
  <c r="AP1279" i="3"/>
  <c r="AO1278" i="3"/>
  <c r="AQ1276" i="3"/>
  <c r="AQ1274" i="3"/>
  <c r="AQ1272" i="3"/>
  <c r="AQ1268" i="3"/>
  <c r="AP1265" i="3"/>
  <c r="AQ1261" i="3"/>
  <c r="AO1260" i="3"/>
  <c r="AQ1258" i="3"/>
  <c r="AO1257" i="3"/>
  <c r="AQ1255" i="3"/>
  <c r="AP1253" i="3"/>
  <c r="AO1252" i="3"/>
  <c r="AO1250" i="3"/>
  <c r="AP1248" i="3"/>
  <c r="AQ1246" i="3"/>
  <c r="AO1245" i="3"/>
  <c r="AP1243" i="3"/>
  <c r="AP1242" i="3"/>
  <c r="AQ1240" i="3"/>
  <c r="AO1239" i="3"/>
  <c r="AO1235" i="3"/>
  <c r="AO1230" i="3"/>
  <c r="AP1229" i="3"/>
  <c r="AO1228" i="3"/>
  <c r="AP1227" i="3"/>
  <c r="AO1226" i="3"/>
  <c r="AO1225" i="3"/>
  <c r="AO1224" i="3"/>
  <c r="AO1223" i="3"/>
  <c r="AO1215" i="3"/>
  <c r="AO1214" i="3"/>
  <c r="AQ1212" i="3"/>
  <c r="AP1212" i="3"/>
  <c r="AO1211" i="3"/>
  <c r="AQ1209" i="3"/>
  <c r="AP1208" i="3"/>
  <c r="AO1206" i="3"/>
  <c r="AO1205" i="3"/>
  <c r="AP1204" i="3"/>
  <c r="AO1203" i="3"/>
  <c r="AQ1201" i="3"/>
  <c r="AO1198" i="3"/>
  <c r="AQ1196" i="3"/>
  <c r="AO1194" i="3"/>
  <c r="AP1192" i="3"/>
  <c r="AO1191" i="3"/>
  <c r="AP1189" i="3"/>
  <c r="AP1187" i="3"/>
  <c r="AO1186" i="3"/>
  <c r="AP1184" i="3"/>
  <c r="AP1181" i="3"/>
  <c r="AQ1174" i="3"/>
  <c r="AQ1172" i="3"/>
  <c r="AQ1170" i="3"/>
  <c r="AP1169" i="3"/>
  <c r="AQ1167" i="3"/>
  <c r="AQ1165" i="3"/>
  <c r="AO1164" i="3"/>
  <c r="AQ1162" i="3"/>
  <c r="AO1161" i="3"/>
  <c r="AO1159" i="3"/>
  <c r="AO1157" i="3"/>
  <c r="AO1154" i="3"/>
  <c r="AP1152" i="3"/>
  <c r="AQ1150" i="3"/>
  <c r="AQ1147" i="3"/>
  <c r="AQ1145" i="3"/>
  <c r="AP1144" i="3"/>
  <c r="AO1141" i="3"/>
  <c r="AO1139" i="3"/>
  <c r="AQ1135" i="3"/>
  <c r="AP1134" i="3"/>
  <c r="AP1131" i="3"/>
  <c r="AO1129" i="3"/>
  <c r="AQ1127" i="3"/>
  <c r="AO1126" i="3"/>
  <c r="AQ1122" i="3"/>
  <c r="AO1121" i="3"/>
  <c r="AQ1118" i="3"/>
  <c r="AO1116" i="3"/>
  <c r="AQ1112" i="3"/>
  <c r="AQ1110" i="3"/>
  <c r="AO1106" i="3"/>
  <c r="AP1104" i="3"/>
  <c r="AO1101" i="3"/>
  <c r="AQ1099" i="3"/>
  <c r="AQ1097" i="3"/>
  <c r="AO1095" i="3"/>
  <c r="AP1093" i="3"/>
  <c r="AO1092" i="3"/>
  <c r="AQ1086" i="3"/>
  <c r="AP1085" i="3"/>
  <c r="AQ1083" i="3"/>
  <c r="AQ1077" i="3"/>
  <c r="AP1076" i="3"/>
  <c r="AQ1074" i="3"/>
  <c r="AQ1072" i="3"/>
  <c r="AQ1069" i="3"/>
  <c r="AQ1067" i="3"/>
  <c r="AO1066" i="3"/>
  <c r="AO1063" i="3"/>
  <c r="AO1061" i="3"/>
  <c r="AO1058" i="3"/>
  <c r="AP1056" i="3"/>
  <c r="AQ1054" i="3"/>
  <c r="AP1053" i="3"/>
  <c r="AQ1051" i="3"/>
  <c r="AQ1047" i="3"/>
  <c r="AP1045" i="3"/>
  <c r="AP1043" i="3"/>
  <c r="AO1042" i="3"/>
  <c r="AP1037" i="3"/>
  <c r="AQ1035" i="3"/>
  <c r="AQ1033" i="3"/>
  <c r="AP986" i="3"/>
  <c r="AQ984" i="3"/>
  <c r="AQ982" i="3"/>
  <c r="AP981" i="3"/>
  <c r="AP979" i="3"/>
  <c r="AP978" i="3"/>
  <c r="AQ970" i="3"/>
  <c r="AP969" i="3"/>
  <c r="AQ967" i="3"/>
  <c r="AQ963" i="3"/>
  <c r="AP960" i="3"/>
  <c r="AQ958" i="3"/>
  <c r="AQ951" i="3"/>
  <c r="AP948" i="3"/>
  <c r="AP946" i="3"/>
  <c r="AQ944" i="3"/>
  <c r="AQ939" i="3"/>
  <c r="AO937" i="3"/>
  <c r="AQ935" i="3"/>
  <c r="AQ933" i="3"/>
  <c r="AP932" i="3"/>
  <c r="AQ928" i="3"/>
  <c r="AQ926" i="3"/>
  <c r="AO925" i="3"/>
  <c r="AQ921" i="3"/>
  <c r="AP920" i="3"/>
  <c r="AQ918" i="3"/>
  <c r="AP917" i="3"/>
  <c r="AP914" i="3"/>
  <c r="AQ912" i="3"/>
  <c r="AO911" i="3"/>
  <c r="AO905" i="3"/>
  <c r="AO902" i="3"/>
  <c r="AQ898" i="3"/>
  <c r="AO897" i="3"/>
  <c r="AQ895" i="3"/>
  <c r="AP890" i="3"/>
  <c r="AP888" i="3"/>
  <c r="AP886" i="3"/>
  <c r="AQ884" i="3"/>
  <c r="AP883" i="3"/>
  <c r="AQ879" i="3"/>
  <c r="AQ877" i="3"/>
  <c r="AP876" i="3"/>
  <c r="AO875" i="3"/>
  <c r="AQ873" i="3"/>
  <c r="AO870" i="3"/>
  <c r="AQ865" i="3"/>
  <c r="AQ863" i="3"/>
  <c r="AQ861" i="3"/>
  <c r="AP860" i="3"/>
  <c r="AQ858" i="3"/>
  <c r="AQ856" i="3"/>
  <c r="AQ853" i="3"/>
  <c r="AO852" i="3"/>
  <c r="AQ848" i="3"/>
  <c r="AQ846" i="3"/>
  <c r="AP845" i="3"/>
  <c r="AQ843" i="3"/>
  <c r="AO842" i="3"/>
  <c r="AP840" i="3"/>
  <c r="AO839" i="3"/>
  <c r="AO837" i="3"/>
  <c r="AO835" i="3"/>
  <c r="AQ833" i="3"/>
  <c r="AP832" i="3"/>
  <c r="AQ827" i="3"/>
  <c r="AQ818" i="3"/>
  <c r="AQ815" i="3"/>
  <c r="AO814" i="3"/>
  <c r="AQ810" i="3"/>
  <c r="AQ805" i="3"/>
  <c r="AO804" i="3"/>
  <c r="AQ800" i="3"/>
  <c r="AQ798" i="3"/>
  <c r="AO795" i="3"/>
  <c r="AQ793" i="3"/>
  <c r="AQ791" i="3"/>
  <c r="AO790" i="3"/>
  <c r="AO788" i="3"/>
  <c r="AP786" i="3"/>
  <c r="AQ782" i="3"/>
  <c r="AO781" i="3"/>
  <c r="AO779" i="3"/>
  <c r="AQ777" i="3"/>
  <c r="AQ775" i="3"/>
  <c r="AP771" i="3"/>
  <c r="AO770" i="3"/>
  <c r="AO768" i="3"/>
  <c r="AO765" i="3"/>
  <c r="AO763" i="3"/>
  <c r="AO760" i="3"/>
  <c r="AP758" i="3"/>
  <c r="AP754" i="3"/>
  <c r="AO753" i="3"/>
  <c r="AO751" i="3"/>
  <c r="AP749" i="3"/>
  <c r="AQ745" i="3"/>
  <c r="AO739" i="3"/>
  <c r="AO737" i="3"/>
  <c r="AQ733" i="3"/>
  <c r="AP682" i="3"/>
  <c r="AQ678" i="3"/>
  <c r="AO675" i="3"/>
  <c r="AP673" i="3"/>
  <c r="AP668" i="3"/>
  <c r="AQ664" i="3"/>
  <c r="AP662" i="3"/>
  <c r="AQ660" i="3"/>
  <c r="AO659" i="3"/>
  <c r="AO657" i="3"/>
  <c r="AQ647" i="3"/>
  <c r="AP639" i="3"/>
  <c r="AP637" i="3"/>
  <c r="AO636" i="3"/>
  <c r="AO634" i="3"/>
  <c r="AO632" i="3"/>
  <c r="AQ628" i="3"/>
  <c r="AO627" i="3"/>
  <c r="AP625" i="3"/>
  <c r="AQ621" i="3"/>
  <c r="AP620" i="3"/>
  <c r="AP618" i="3"/>
  <c r="AO615" i="3"/>
  <c r="AO613" i="3"/>
  <c r="AO611" i="3"/>
  <c r="AQ605" i="3"/>
  <c r="AP604" i="3"/>
  <c r="AO602" i="3"/>
  <c r="AP600" i="3"/>
  <c r="AP598" i="3"/>
  <c r="AP594" i="3"/>
  <c r="AQ588" i="3"/>
  <c r="AP585" i="3"/>
  <c r="AQ583" i="3"/>
  <c r="AO582" i="3"/>
  <c r="AO580" i="3"/>
  <c r="AO577" i="3"/>
  <c r="AQ574" i="3"/>
  <c r="AP571" i="3"/>
  <c r="AP569" i="3"/>
  <c r="AP567" i="3"/>
  <c r="AQ563" i="3"/>
  <c r="AQ561" i="3"/>
  <c r="AQ559" i="3"/>
  <c r="AQ557" i="3"/>
  <c r="AO552" i="3"/>
  <c r="AP550" i="3"/>
  <c r="AO545" i="3"/>
  <c r="AO543" i="3"/>
  <c r="AQ539" i="3"/>
  <c r="AQ537" i="3"/>
  <c r="AP536" i="3"/>
  <c r="AQ534" i="3"/>
  <c r="AO533" i="3"/>
  <c r="AP529" i="3"/>
  <c r="AO527" i="3"/>
  <c r="AO526" i="3"/>
  <c r="AP519" i="3"/>
  <c r="AQ517" i="3"/>
  <c r="AQ515" i="3"/>
  <c r="AO514" i="3"/>
  <c r="AP510" i="3"/>
  <c r="AP508" i="3"/>
  <c r="AQ506" i="3"/>
  <c r="AO505" i="3"/>
  <c r="AP503" i="3"/>
  <c r="AQ499" i="3"/>
  <c r="AO498" i="3"/>
  <c r="AQ496" i="3"/>
  <c r="AP494" i="3"/>
  <c r="AP492" i="3"/>
  <c r="AQ490" i="3"/>
  <c r="AQ488" i="3"/>
  <c r="AQ486" i="3"/>
  <c r="AP485" i="3"/>
  <c r="AP483" i="3"/>
  <c r="AP481" i="3"/>
  <c r="AO480" i="3"/>
  <c r="AP478" i="3"/>
  <c r="AP476" i="3"/>
  <c r="AQ474" i="3"/>
  <c r="AO473" i="3"/>
  <c r="AP471" i="3"/>
  <c r="AP469" i="3"/>
  <c r="AO467" i="3"/>
  <c r="AP465" i="3"/>
  <c r="AO462" i="3"/>
  <c r="AO459" i="3"/>
  <c r="AP457" i="3"/>
  <c r="AQ455" i="3"/>
  <c r="AO454" i="3"/>
  <c r="AQ450" i="3"/>
  <c r="AP449" i="3"/>
  <c r="AQ447" i="3"/>
  <c r="AP446" i="3"/>
  <c r="AQ444" i="3"/>
  <c r="AP443" i="3"/>
  <c r="AQ439" i="3"/>
  <c r="AQ433" i="3"/>
  <c r="AP432" i="3"/>
  <c r="AP430" i="3"/>
  <c r="AP428" i="3"/>
  <c r="AO424" i="3"/>
  <c r="AO422" i="3"/>
  <c r="AO420" i="3"/>
  <c r="AP418" i="3"/>
  <c r="AQ415" i="3"/>
  <c r="AQ413" i="3"/>
  <c r="AO412" i="3"/>
  <c r="AQ409" i="3"/>
  <c r="AO408" i="3"/>
  <c r="AQ406" i="3"/>
  <c r="AO403" i="3"/>
  <c r="AP401" i="3"/>
  <c r="AP394" i="3"/>
  <c r="AP392" i="3"/>
  <c r="AQ390" i="3"/>
  <c r="AQ388" i="3"/>
  <c r="AQ386" i="3"/>
  <c r="AQ384" i="3"/>
  <c r="AO383" i="3"/>
  <c r="AP381" i="3"/>
  <c r="AP379" i="3"/>
  <c r="AQ375" i="3"/>
  <c r="AQ373" i="3"/>
  <c r="AP371" i="3"/>
  <c r="AP369" i="3"/>
  <c r="AQ365" i="3"/>
  <c r="AP364" i="3"/>
  <c r="AQ360" i="3"/>
  <c r="AP359" i="3"/>
  <c r="AP357" i="3"/>
  <c r="AQ355" i="3"/>
  <c r="AO352" i="3"/>
  <c r="AQ349" i="3"/>
  <c r="AP347" i="3"/>
  <c r="AQ345" i="3"/>
  <c r="AQ339" i="3"/>
  <c r="AP338" i="3"/>
  <c r="AP336" i="3"/>
  <c r="AQ334" i="3"/>
  <c r="AQ330" i="3"/>
  <c r="AQ325" i="3"/>
  <c r="AO324" i="3"/>
  <c r="AO322" i="3"/>
  <c r="AO320" i="3"/>
  <c r="AQ316" i="3"/>
  <c r="AO314" i="3"/>
  <c r="AP312" i="3"/>
  <c r="AQ309" i="3"/>
  <c r="AO308" i="3"/>
  <c r="AP306" i="3"/>
  <c r="AP304" i="3"/>
  <c r="AP302" i="3"/>
  <c r="AP300" i="3"/>
  <c r="AQ298" i="3"/>
  <c r="AP294" i="3"/>
  <c r="AO291" i="3"/>
  <c r="AQ288" i="3"/>
  <c r="AP285" i="3"/>
  <c r="AP281" i="3"/>
  <c r="AQ279" i="3"/>
  <c r="AQ277" i="3"/>
  <c r="AQ275" i="3"/>
  <c r="AQ273" i="3"/>
  <c r="AO272" i="3"/>
  <c r="AO268" i="3"/>
  <c r="AQ266" i="3"/>
  <c r="AQ264" i="3"/>
  <c r="AQ262" i="3"/>
  <c r="AQ260" i="3"/>
  <c r="AO259" i="3"/>
  <c r="AO257" i="3"/>
  <c r="AO255" i="3"/>
  <c r="AO254" i="3"/>
  <c r="AO252" i="3"/>
  <c r="AO250" i="3"/>
  <c r="AO249" i="3"/>
  <c r="AO247" i="3"/>
  <c r="AP245" i="3"/>
  <c r="AQ241" i="3"/>
  <c r="AQ237" i="3"/>
  <c r="AO236" i="3"/>
  <c r="AP234" i="3"/>
  <c r="AQ228" i="3"/>
  <c r="AQ226" i="3"/>
  <c r="AQ224" i="3"/>
  <c r="AQ222" i="3"/>
  <c r="AP221" i="3"/>
  <c r="AP219" i="3"/>
  <c r="AP216" i="3"/>
  <c r="AO214" i="3"/>
  <c r="AQ212" i="3"/>
  <c r="AQ210" i="3"/>
  <c r="AQ208" i="3"/>
  <c r="AO207" i="3"/>
  <c r="AO205" i="3"/>
  <c r="AQ195" i="3"/>
  <c r="AQ191" i="3"/>
  <c r="AP190" i="3"/>
  <c r="AO184" i="3"/>
  <c r="AO181" i="3"/>
  <c r="AO179" i="3"/>
  <c r="AO177" i="3"/>
  <c r="AQ171" i="3"/>
  <c r="AP161" i="3"/>
  <c r="AQ16" i="3"/>
  <c r="AO12" i="3"/>
  <c r="AO10" i="3"/>
  <c r="AQ7" i="3"/>
  <c r="AQ5" i="3"/>
  <c r="AP3" i="3"/>
  <c r="AQ1307" i="3"/>
  <c r="AQ1301" i="3"/>
  <c r="AQ1300" i="3"/>
  <c r="AP1299" i="3"/>
  <c r="AO1295" i="3"/>
  <c r="AO1294" i="3"/>
  <c r="AO1293" i="3"/>
  <c r="AP1290" i="3"/>
  <c r="AO1289" i="3"/>
  <c r="AO1288" i="3"/>
  <c r="AP1286" i="3"/>
  <c r="AO1284" i="3"/>
  <c r="AQ1282" i="3"/>
  <c r="AP1281" i="3"/>
  <c r="AP1280" i="3"/>
  <c r="AO1279" i="3"/>
  <c r="AO1273" i="3"/>
  <c r="AQ1271" i="3"/>
  <c r="AP1270" i="3"/>
  <c r="AP1268" i="3"/>
  <c r="AO1267" i="3"/>
  <c r="AQ1265" i="3"/>
  <c r="AO1264" i="3"/>
  <c r="AP1262" i="3"/>
  <c r="AQ1260" i="3"/>
  <c r="AO1259" i="3"/>
  <c r="AP1257" i="3"/>
  <c r="AP1256" i="3"/>
  <c r="AP1254" i="3"/>
  <c r="AQ1252" i="3"/>
  <c r="AQ1249" i="3"/>
  <c r="AO1247" i="3"/>
  <c r="AP1245" i="3"/>
  <c r="AO1212" i="3"/>
  <c r="AP1211" i="3"/>
  <c r="AP1209" i="3"/>
  <c r="AQ1207" i="3"/>
  <c r="AO1207" i="3"/>
  <c r="AQ1204" i="3"/>
  <c r="AQ1202" i="3"/>
  <c r="AP1202" i="3"/>
  <c r="AQ1200" i="3"/>
  <c r="AO1199" i="3"/>
  <c r="AQ1197" i="3"/>
  <c r="AQ1192" i="3"/>
  <c r="AP1191" i="3"/>
  <c r="AP1188" i="3"/>
  <c r="AQ1186" i="3"/>
  <c r="AO1185" i="3"/>
  <c r="AQ1183" i="3"/>
  <c r="AO1182" i="3"/>
  <c r="AP1180" i="3"/>
  <c r="AQ1178" i="3"/>
  <c r="AO1176" i="3"/>
  <c r="AO1168" i="3"/>
  <c r="AP1166" i="3"/>
  <c r="AQ1164" i="3"/>
  <c r="AQ1161" i="3"/>
  <c r="AQ1160" i="3"/>
  <c r="AQ1158" i="3"/>
  <c r="AP1157" i="3"/>
  <c r="AQ1155" i="3"/>
  <c r="AQ1153" i="3"/>
  <c r="AO1150" i="3"/>
  <c r="AO1148" i="3"/>
  <c r="AO1145" i="3"/>
  <c r="AP1143" i="3"/>
  <c r="AP1141" i="3"/>
  <c r="AQ1139" i="3"/>
  <c r="AP1138" i="3"/>
  <c r="AO1135" i="3"/>
  <c r="AO1132" i="3"/>
  <c r="AP1130" i="3"/>
  <c r="AQ1128" i="3"/>
  <c r="AO1128" i="3"/>
  <c r="AQ1126" i="3"/>
  <c r="AQ1124" i="3"/>
  <c r="AP1122" i="3"/>
  <c r="AP1119" i="3"/>
  <c r="AQ1117" i="3"/>
  <c r="AQ1115" i="3"/>
  <c r="AQ1113" i="3"/>
  <c r="AP1112" i="3"/>
  <c r="AO1109" i="3"/>
  <c r="AQ1107" i="3"/>
  <c r="AO1104" i="3"/>
  <c r="AP1102" i="3"/>
  <c r="AQ1100" i="3"/>
  <c r="AO1099" i="3"/>
  <c r="AP1097" i="3"/>
  <c r="AP1094" i="3"/>
  <c r="AQ1090" i="3"/>
  <c r="AO1089" i="3"/>
  <c r="AO1085" i="3"/>
  <c r="AO1082" i="3"/>
  <c r="AP1080" i="3"/>
  <c r="AP1077" i="3"/>
  <c r="AP1075" i="3"/>
  <c r="AP1074" i="3"/>
  <c r="AP1072" i="3"/>
  <c r="AP1067" i="3"/>
  <c r="AQ1063" i="3"/>
  <c r="AP1062" i="3"/>
  <c r="AP1060" i="3"/>
  <c r="AQ1052" i="3"/>
  <c r="AO1051" i="3"/>
  <c r="AP1049" i="3"/>
  <c r="AP1047" i="3"/>
  <c r="AQ1041" i="3"/>
  <c r="AO1040" i="3"/>
  <c r="AP1038" i="3"/>
  <c r="AP1036" i="3"/>
  <c r="AP1035" i="3"/>
  <c r="AQ1031" i="3"/>
  <c r="AQ1030" i="3"/>
  <c r="AO1028" i="3"/>
  <c r="AQ1026" i="3"/>
  <c r="AP1025" i="3"/>
  <c r="AQ1023" i="3"/>
  <c r="AQ1021" i="3"/>
  <c r="AO1021" i="3"/>
  <c r="AP1019" i="3"/>
  <c r="AO1018" i="3"/>
  <c r="AO1017" i="3"/>
  <c r="AP1014" i="3"/>
  <c r="AQ1305" i="3"/>
  <c r="AP1304" i="3"/>
  <c r="AP1302" i="3"/>
  <c r="AO1300" i="3"/>
  <c r="AQ1297" i="3"/>
  <c r="AQ1295" i="3"/>
  <c r="AP1291" i="3"/>
  <c r="AP1289" i="3"/>
  <c r="AO1287" i="3"/>
  <c r="AO1285" i="3"/>
  <c r="AP1283" i="3"/>
  <c r="AQ1280" i="3"/>
  <c r="AQ1279" i="3"/>
  <c r="AP1277" i="3"/>
  <c r="AO1276" i="3"/>
  <c r="AQ1273" i="3"/>
  <c r="AP1269" i="3"/>
  <c r="AP1266" i="3"/>
  <c r="AQ1259" i="3"/>
  <c r="AQ1257" i="3"/>
  <c r="AQ1253" i="3"/>
  <c r="AO1251" i="3"/>
  <c r="AO1249" i="3"/>
  <c r="AP1244" i="3"/>
  <c r="AP1240" i="3"/>
  <c r="AQ1236" i="3"/>
  <c r="AQ1230" i="3"/>
  <c r="AQ1228" i="3"/>
  <c r="AO1227" i="3"/>
  <c r="AQ1223" i="3"/>
  <c r="AQ1205" i="3"/>
  <c r="AP1203" i="3"/>
  <c r="AP1201" i="3"/>
  <c r="AP1199" i="3"/>
  <c r="AP1197" i="3"/>
  <c r="AP1195" i="3"/>
  <c r="AP1193" i="3"/>
  <c r="AQ1189" i="3"/>
  <c r="AP1185" i="3"/>
  <c r="AQ1182" i="3"/>
  <c r="AP1178" i="3"/>
  <c r="AP1176" i="3"/>
  <c r="AO1174" i="3"/>
  <c r="AP1172" i="3"/>
  <c r="AO1170" i="3"/>
  <c r="AO1163" i="3"/>
  <c r="AO1158" i="3"/>
  <c r="AO1156" i="3"/>
  <c r="AQ1149" i="3"/>
  <c r="AP1145" i="3"/>
  <c r="AO1143" i="3"/>
  <c r="AQ1140" i="3"/>
  <c r="AP1136" i="3"/>
  <c r="AO1134" i="3"/>
  <c r="AQ1131" i="3"/>
  <c r="AQ1129" i="3"/>
  <c r="AP1127" i="3"/>
  <c r="AO1125" i="3"/>
  <c r="AO1123" i="3"/>
  <c r="AQ1120" i="3"/>
  <c r="AQ1116" i="3"/>
  <c r="AO1114" i="3"/>
  <c r="AQ1111" i="3"/>
  <c r="AP1101" i="3"/>
  <c r="AO1098" i="3"/>
  <c r="AO1096" i="3"/>
  <c r="AQ1093" i="3"/>
  <c r="AO1091" i="3"/>
  <c r="AQ1088" i="3"/>
  <c r="AP1084" i="3"/>
  <c r="AP1082" i="3"/>
  <c r="AO1080" i="3"/>
  <c r="AP1073" i="3"/>
  <c r="AP1071" i="3"/>
  <c r="AP1069" i="3"/>
  <c r="AO1067" i="3"/>
  <c r="AQ1064" i="3"/>
  <c r="AO1060" i="3"/>
  <c r="AQ1057" i="3"/>
  <c r="AO1053" i="3"/>
  <c r="AQ1050" i="3"/>
  <c r="AP1042" i="3"/>
  <c r="AQ1039" i="3"/>
  <c r="AQ1037" i="3"/>
  <c r="AQ1034" i="3"/>
  <c r="AQ1032" i="3"/>
  <c r="AP1030" i="3"/>
  <c r="AO1026" i="3"/>
  <c r="AP1024" i="3"/>
  <c r="AO1022" i="3"/>
  <c r="AP1020" i="3"/>
  <c r="AP1016" i="3"/>
  <c r="AQ1012" i="3"/>
  <c r="AP1010" i="3"/>
  <c r="AO1009" i="3"/>
  <c r="AO1008" i="3"/>
  <c r="AP1006" i="3"/>
  <c r="AP1005" i="3"/>
  <c r="AP1004" i="3"/>
  <c r="AQ1002" i="3"/>
  <c r="AQ1000" i="3"/>
  <c r="AQ998" i="3"/>
  <c r="AQ995" i="3"/>
  <c r="AO994" i="3"/>
  <c r="AP992" i="3"/>
  <c r="AP990" i="3"/>
  <c r="AP989" i="3"/>
  <c r="AP985" i="3"/>
  <c r="AP983" i="3"/>
  <c r="AQ980" i="3"/>
  <c r="AP976" i="3"/>
  <c r="AQ973" i="3"/>
  <c r="AQ971" i="3"/>
  <c r="AQ969" i="3"/>
  <c r="AP967" i="3"/>
  <c r="AP965" i="3"/>
  <c r="AO963" i="3"/>
  <c r="AO961" i="3"/>
  <c r="AP958" i="3"/>
  <c r="AP956" i="3"/>
  <c r="AO954" i="3"/>
  <c r="AP949" i="3"/>
  <c r="AO947" i="3"/>
  <c r="AP944" i="3"/>
  <c r="AP942" i="3"/>
  <c r="AP940" i="3"/>
  <c r="AQ938" i="3"/>
  <c r="AO936" i="3"/>
  <c r="AO934" i="3"/>
  <c r="AP929" i="3"/>
  <c r="AO927" i="3"/>
  <c r="AP924" i="3"/>
  <c r="AP909" i="3"/>
  <c r="AP907" i="3"/>
  <c r="AO900" i="3"/>
  <c r="AQ897" i="3"/>
  <c r="AP895" i="3"/>
  <c r="AP893" i="3"/>
  <c r="AO891" i="3"/>
  <c r="AO889" i="3"/>
  <c r="AQ886" i="3"/>
  <c r="AP884" i="3"/>
  <c r="AP882" i="3"/>
  <c r="AP877" i="3"/>
  <c r="AP872" i="3"/>
  <c r="AP870" i="3"/>
  <c r="AP868" i="3"/>
  <c r="AP862" i="3"/>
  <c r="AO855" i="3"/>
  <c r="AO853" i="3"/>
  <c r="AO851" i="3"/>
  <c r="AP846" i="3"/>
  <c r="AO844" i="3"/>
  <c r="AQ836" i="3"/>
  <c r="AQ834" i="3"/>
  <c r="AQ831" i="3"/>
  <c r="AQ829" i="3"/>
  <c r="AP827" i="3"/>
  <c r="AO825" i="3"/>
  <c r="AO823" i="3"/>
  <c r="AQ820" i="3"/>
  <c r="AP814" i="3"/>
  <c r="AO812" i="3"/>
  <c r="AO810" i="3"/>
  <c r="AO808" i="3"/>
  <c r="AO806" i="3"/>
  <c r="AQ792" i="3"/>
  <c r="AP788" i="3"/>
  <c r="AQ781" i="3"/>
  <c r="AQ776" i="3"/>
  <c r="AQ774" i="3"/>
  <c r="AQ772" i="3"/>
  <c r="AQ770" i="3"/>
  <c r="AO766" i="3"/>
  <c r="AP764" i="3"/>
  <c r="AO762" i="3"/>
  <c r="AQ752" i="3"/>
  <c r="AO742" i="3"/>
  <c r="AQ736" i="3"/>
  <c r="AQ734" i="3"/>
  <c r="AQ681" i="3"/>
  <c r="AQ679" i="3"/>
  <c r="AP677" i="3"/>
  <c r="AO672" i="3"/>
  <c r="AQ669" i="3"/>
  <c r="AO665" i="3"/>
  <c r="AQ662" i="3"/>
  <c r="AQ659" i="3"/>
  <c r="AO658" i="3"/>
  <c r="AO655" i="3"/>
  <c r="AQ652" i="3"/>
  <c r="AP650" i="3"/>
  <c r="AP647" i="3"/>
  <c r="AP645" i="3"/>
  <c r="AQ642" i="3"/>
  <c r="AP638" i="3"/>
  <c r="AP635" i="3"/>
  <c r="AQ629" i="3"/>
  <c r="AQ626" i="3"/>
  <c r="AO624" i="3"/>
  <c r="AO616" i="3"/>
  <c r="AQ613" i="3"/>
  <c r="AQ610" i="3"/>
  <c r="AP609" i="3"/>
  <c r="AQ606" i="3"/>
  <c r="AO604" i="3"/>
  <c r="AO599" i="3"/>
  <c r="AP596" i="3"/>
  <c r="AP591" i="3"/>
  <c r="AP588" i="3"/>
  <c r="AO586" i="3"/>
  <c r="AO583" i="3"/>
  <c r="AO581" i="3"/>
  <c r="AP578" i="3"/>
  <c r="AO576" i="3"/>
  <c r="AQ573" i="3"/>
  <c r="AO571" i="3"/>
  <c r="AP568" i="3"/>
  <c r="AO566" i="3"/>
  <c r="AQ560" i="3"/>
  <c r="AQ556" i="3"/>
  <c r="AP551" i="3"/>
  <c r="AQ548" i="3"/>
  <c r="AP546" i="3"/>
  <c r="AO544" i="3"/>
  <c r="AP541" i="3"/>
  <c r="AP539" i="3"/>
  <c r="AP537" i="3"/>
  <c r="AP535" i="3"/>
  <c r="AQ532" i="3"/>
  <c r="AP530" i="3"/>
  <c r="AP528" i="3"/>
  <c r="AO525" i="3"/>
  <c r="AO523" i="3"/>
  <c r="AO518" i="3"/>
  <c r="AP515" i="3"/>
  <c r="AQ512" i="3"/>
  <c r="AP505" i="3"/>
  <c r="AQ502" i="3"/>
  <c r="AO500" i="3"/>
  <c r="AQ497" i="3"/>
  <c r="AP493" i="3"/>
  <c r="AO482" i="3"/>
  <c r="AP477" i="3"/>
  <c r="AP475" i="3"/>
  <c r="AO470" i="3"/>
  <c r="AQ467" i="3"/>
  <c r="AQ464" i="3"/>
  <c r="AP462" i="3"/>
  <c r="AQ459" i="3"/>
  <c r="AQ457" i="3"/>
  <c r="AP444" i="3"/>
  <c r="AO441" i="3"/>
  <c r="AQ438" i="3"/>
  <c r="AP436" i="3"/>
  <c r="AO433" i="3"/>
  <c r="AQ430" i="3"/>
  <c r="AO428" i="3"/>
  <c r="AO419" i="3"/>
  <c r="AQ416" i="3"/>
  <c r="AO409" i="3"/>
  <c r="AO404" i="3"/>
  <c r="AQ401" i="3"/>
  <c r="AP393" i="3"/>
  <c r="AO391" i="3"/>
  <c r="AP389" i="3"/>
  <c r="AO386" i="3"/>
  <c r="AP383" i="3"/>
  <c r="AQ380" i="3"/>
  <c r="AP376" i="3"/>
  <c r="AP373" i="3"/>
  <c r="AO371" i="3"/>
  <c r="AP366" i="3"/>
  <c r="AQ363" i="3"/>
  <c r="AP361" i="3"/>
  <c r="AO359" i="3"/>
  <c r="AO357" i="3"/>
  <c r="AP352" i="3"/>
  <c r="AO350" i="3"/>
  <c r="AQ347" i="3"/>
  <c r="AQ344" i="3"/>
  <c r="AP342" i="3"/>
  <c r="AP337" i="3"/>
  <c r="AP335" i="3"/>
  <c r="AO333" i="3"/>
  <c r="AP328" i="3"/>
  <c r="AP325" i="3"/>
  <c r="AP323" i="3"/>
  <c r="AO321" i="3"/>
  <c r="AO318" i="3"/>
  <c r="AO313" i="3"/>
  <c r="AO311" i="3"/>
  <c r="AQ308" i="3"/>
  <c r="AO303" i="3"/>
  <c r="AO301" i="3"/>
  <c r="AO298" i="3"/>
  <c r="AO293" i="3"/>
  <c r="AO290" i="3"/>
  <c r="AO285" i="3"/>
  <c r="AO280" i="3"/>
  <c r="AQ274" i="3"/>
  <c r="AP265" i="3"/>
  <c r="AQ259" i="3"/>
  <c r="AP255" i="3"/>
  <c r="AQ252" i="3"/>
  <c r="AP250" i="3"/>
  <c r="AP247" i="3"/>
  <c r="AQ244" i="3"/>
  <c r="AO240" i="3"/>
  <c r="AO235" i="3"/>
  <c r="AP232" i="3"/>
  <c r="AQ229" i="3"/>
  <c r="AO227" i="3"/>
  <c r="AO222" i="3"/>
  <c r="AQ219" i="3"/>
  <c r="AQ216" i="3"/>
  <c r="AO212" i="3"/>
  <c r="AP207" i="3"/>
  <c r="AQ204" i="3"/>
  <c r="AP202" i="3"/>
  <c r="AQ199" i="3"/>
  <c r="AP197" i="3"/>
  <c r="AO195" i="3"/>
  <c r="AQ192" i="3"/>
  <c r="AQ189" i="3"/>
  <c r="AP185" i="3"/>
  <c r="AO183" i="3"/>
  <c r="AO180" i="3"/>
  <c r="AO178" i="3"/>
  <c r="AQ175" i="3"/>
  <c r="AP173" i="3"/>
  <c r="AQ170" i="3"/>
  <c r="AP168" i="3"/>
  <c r="AQ165" i="3"/>
  <c r="AP163" i="3"/>
  <c r="AQ160" i="3"/>
  <c r="AO18" i="3"/>
  <c r="AO15" i="3"/>
  <c r="AP12" i="3"/>
  <c r="AQ6" i="3"/>
  <c r="AO4" i="3"/>
  <c r="AQ1306" i="3"/>
  <c r="AP1303" i="3"/>
  <c r="AO1302" i="3"/>
  <c r="AP1300" i="3"/>
  <c r="AO1298" i="3"/>
  <c r="AO1296" i="3"/>
  <c r="AO1292" i="3"/>
  <c r="AO1290" i="3"/>
  <c r="AQ1287" i="3"/>
  <c r="AQ1285" i="3"/>
  <c r="AO1281" i="3"/>
  <c r="AO1280" i="3"/>
  <c r="AQ1277" i="3"/>
  <c r="AP1276" i="3"/>
  <c r="AP1274" i="3"/>
  <c r="AO1272" i="3"/>
  <c r="AO1270" i="3"/>
  <c r="AO1268" i="3"/>
  <c r="AO1266" i="3"/>
  <c r="AP1263" i="3"/>
  <c r="AP1261" i="3"/>
  <c r="AP1259" i="3"/>
  <c r="AQ1250" i="3"/>
  <c r="AQ1248" i="3"/>
  <c r="AO1246" i="3"/>
  <c r="AO1244" i="3"/>
  <c r="AO1242" i="3"/>
  <c r="AO1240" i="3"/>
  <c r="AP1238" i="3"/>
  <c r="AQ1235" i="3"/>
  <c r="AO1234" i="3"/>
  <c r="AP1232" i="3"/>
  <c r="AQ1226" i="3"/>
  <c r="AP1225" i="3"/>
  <c r="AP1222" i="3"/>
  <c r="AO1221" i="3"/>
  <c r="AQ1219" i="3"/>
  <c r="AP1218" i="3"/>
  <c r="AQ1216" i="3"/>
  <c r="AQ1213" i="3"/>
  <c r="AP1213" i="3"/>
  <c r="AO1213" i="3"/>
  <c r="AQ1208" i="3"/>
  <c r="AQ1203" i="3"/>
  <c r="AO1201" i="3"/>
  <c r="AQ1198" i="3"/>
  <c r="AO1197" i="3"/>
  <c r="AQ1194" i="3"/>
  <c r="AO1188" i="3"/>
  <c r="AQ1185" i="3"/>
  <c r="AQ1180" i="3"/>
  <c r="AP1174" i="3"/>
  <c r="AO1172" i="3"/>
  <c r="AQ1169" i="3"/>
  <c r="AP1167" i="3"/>
  <c r="AP1165" i="3"/>
  <c r="AO1155" i="3"/>
  <c r="AQ1152" i="3"/>
  <c r="AO1151" i="3"/>
  <c r="AQ1148" i="3"/>
  <c r="AQ1146" i="3"/>
  <c r="AO1144" i="3"/>
  <c r="AQ1141" i="3"/>
  <c r="AO1137" i="3"/>
  <c r="AQ1134" i="3"/>
  <c r="AO1133" i="3"/>
  <c r="AQ1130" i="3"/>
  <c r="AQ1125" i="3"/>
  <c r="AO1117" i="3"/>
  <c r="AO1115" i="3"/>
  <c r="AO1113" i="3"/>
  <c r="AO1111" i="3"/>
  <c r="AQ1108" i="3"/>
  <c r="AQ1106" i="3"/>
  <c r="AQ1104" i="3"/>
  <c r="AO1103" i="3"/>
  <c r="AP1096" i="3"/>
  <c r="AO1094" i="3"/>
  <c r="AQ1091" i="3"/>
  <c r="AO1087" i="3"/>
  <c r="AP1078" i="3"/>
  <c r="AQ1075" i="3"/>
  <c r="AO1073" i="3"/>
  <c r="AO1071" i="3"/>
  <c r="AO1069" i="3"/>
  <c r="AP1066" i="3"/>
  <c r="AP1064" i="3"/>
  <c r="AP1059" i="3"/>
  <c r="AO1057" i="3"/>
  <c r="AO1055" i="3"/>
  <c r="AP1050" i="3"/>
  <c r="AP1048" i="3"/>
  <c r="AP1046" i="3"/>
  <c r="AQ1043" i="3"/>
  <c r="AP1041" i="3"/>
  <c r="AQ1036" i="3"/>
  <c r="AQ1028" i="3"/>
  <c r="AO1027" i="3"/>
  <c r="AQ1024" i="3"/>
  <c r="AP1022" i="3"/>
  <c r="AQ1019" i="3"/>
  <c r="AQ1015" i="3"/>
  <c r="AQ1013" i="3"/>
  <c r="AO1012" i="3"/>
  <c r="AP1009" i="3"/>
  <c r="AQ1007" i="3"/>
  <c r="AO1006" i="3"/>
  <c r="AQ1004" i="3"/>
  <c r="AQ1003" i="3"/>
  <c r="AO1002" i="3"/>
  <c r="AP1000" i="3"/>
  <c r="AP998" i="3"/>
  <c r="AP996" i="3"/>
  <c r="AP994" i="3"/>
  <c r="AQ991" i="3"/>
  <c r="AQ989" i="3"/>
  <c r="AP987" i="3"/>
  <c r="AP984" i="3"/>
  <c r="AO982" i="3"/>
  <c r="AQ977" i="3"/>
  <c r="AO964" i="3"/>
  <c r="AP955" i="3"/>
  <c r="AQ952" i="3"/>
  <c r="AQ950" i="3"/>
  <c r="AQ947" i="3"/>
  <c r="AO946" i="3"/>
  <c r="AO932" i="3"/>
  <c r="AQ929" i="3"/>
  <c r="AQ922" i="3"/>
  <c r="AO921" i="3"/>
  <c r="AO919" i="3"/>
  <c r="AO917" i="3"/>
  <c r="AO915" i="3"/>
  <c r="AP913" i="3"/>
  <c r="AQ910" i="3"/>
  <c r="AQ908" i="3"/>
  <c r="AO906" i="3"/>
  <c r="AQ903" i="3"/>
  <c r="AP901" i="3"/>
  <c r="AP899" i="3"/>
  <c r="AP885" i="3"/>
  <c r="AQ882" i="3"/>
  <c r="AO878" i="3"/>
  <c r="AO871" i="3"/>
  <c r="AP869" i="3"/>
  <c r="AP867" i="3"/>
  <c r="AO864" i="3"/>
  <c r="AP859" i="3"/>
  <c r="AP857" i="3"/>
  <c r="AO850" i="3"/>
  <c r="AQ847" i="3"/>
  <c r="AO845" i="3"/>
  <c r="AQ842" i="3"/>
  <c r="AP838" i="3"/>
  <c r="AO836" i="3"/>
  <c r="AP833" i="3"/>
  <c r="AP826" i="3"/>
  <c r="AP822" i="3"/>
  <c r="AP819" i="3"/>
  <c r="AQ816" i="3"/>
  <c r="AQ813" i="3"/>
  <c r="AQ811" i="3"/>
  <c r="AP804" i="3"/>
  <c r="AQ801" i="3"/>
  <c r="AP799" i="3"/>
  <c r="AP797" i="3"/>
  <c r="AO794" i="3"/>
  <c r="AO792" i="3"/>
  <c r="AQ789" i="3"/>
  <c r="AP787" i="3"/>
  <c r="AP785" i="3"/>
  <c r="AP783" i="3"/>
  <c r="AP776" i="3"/>
  <c r="AP774" i="3"/>
  <c r="AO772" i="3"/>
  <c r="AP767" i="3"/>
  <c r="AQ764" i="3"/>
  <c r="AQ762" i="3"/>
  <c r="AQ760" i="3"/>
  <c r="AO756" i="3"/>
  <c r="AO754" i="3"/>
  <c r="AO752" i="3"/>
  <c r="AQ749" i="3"/>
  <c r="AO747" i="3"/>
  <c r="AO745" i="3"/>
  <c r="AP743" i="3"/>
  <c r="AO741" i="3"/>
  <c r="AO682" i="3"/>
  <c r="AQ675" i="3"/>
  <c r="AO671" i="3"/>
  <c r="AO669" i="3"/>
  <c r="AO667" i="3"/>
  <c r="AO664" i="3"/>
  <c r="AQ661" i="3"/>
  <c r="AQ658" i="3"/>
  <c r="AP656" i="3"/>
  <c r="AO653" i="3"/>
  <c r="AQ650" i="3"/>
  <c r="AP648" i="3"/>
  <c r="AQ645" i="3"/>
  <c r="AQ643" i="3"/>
  <c r="AP641" i="3"/>
  <c r="AO639" i="3"/>
  <c r="AP636" i="3"/>
  <c r="AQ633" i="3"/>
  <c r="AO631" i="3"/>
  <c r="AQ625" i="3"/>
  <c r="AP622" i="3"/>
  <c r="AO620" i="3"/>
  <c r="AQ617" i="3"/>
  <c r="AQ614" i="3"/>
  <c r="AP611" i="3"/>
  <c r="AQ608" i="3"/>
  <c r="AP605" i="3"/>
  <c r="AO600" i="3"/>
  <c r="AP597" i="3"/>
  <c r="AO595" i="3"/>
  <c r="AQ592" i="3"/>
  <c r="AQ589" i="3"/>
  <c r="AQ586" i="3"/>
  <c r="AP583" i="3"/>
  <c r="AQ580" i="3"/>
  <c r="AQ577" i="3"/>
  <c r="AQ572" i="3"/>
  <c r="AP570" i="3"/>
  <c r="AQ567" i="3"/>
  <c r="AO565" i="3"/>
  <c r="AP562" i="3"/>
  <c r="AO560" i="3"/>
  <c r="AO558" i="3"/>
  <c r="AP555" i="3"/>
  <c r="AQ552" i="3"/>
  <c r="AQ549" i="3"/>
  <c r="AO547" i="3"/>
  <c r="AQ543" i="3"/>
  <c r="AQ540" i="3"/>
  <c r="AQ538" i="3"/>
  <c r="AO536" i="3"/>
  <c r="AQ533" i="3"/>
  <c r="AQ530" i="3"/>
  <c r="AP525" i="3"/>
  <c r="AQ522" i="3"/>
  <c r="AQ519" i="3"/>
  <c r="AQ516" i="3"/>
  <c r="AP514" i="3"/>
  <c r="AP511" i="3"/>
  <c r="AO509" i="3"/>
  <c r="AO506" i="3"/>
  <c r="AQ500" i="3"/>
  <c r="AP498" i="3"/>
  <c r="AQ495" i="3"/>
  <c r="AQ492" i="3"/>
  <c r="AP490" i="3"/>
  <c r="AQ487" i="3"/>
  <c r="AO485" i="3"/>
  <c r="AQ479" i="3"/>
  <c r="AO477" i="3"/>
  <c r="AO475" i="3"/>
  <c r="AQ471" i="3"/>
  <c r="AQ466" i="3"/>
  <c r="AP464" i="3"/>
  <c r="AP453" i="3"/>
  <c r="AO451" i="3"/>
  <c r="AO449" i="3"/>
  <c r="AP447" i="3"/>
  <c r="AO440" i="3"/>
  <c r="AQ437" i="3"/>
  <c r="AO435" i="3"/>
  <c r="AP427" i="3"/>
  <c r="AO425" i="3"/>
  <c r="AQ422" i="3"/>
  <c r="AQ419" i="3"/>
  <c r="AO415" i="3"/>
  <c r="AQ412" i="3"/>
  <c r="AP410" i="3"/>
  <c r="AO405" i="3"/>
  <c r="AQ402" i="3"/>
  <c r="AP400" i="3"/>
  <c r="AQ397" i="3"/>
  <c r="AP395" i="3"/>
  <c r="AO393" i="3"/>
  <c r="AP390" i="3"/>
  <c r="AP387" i="3"/>
  <c r="AP382" i="3"/>
  <c r="AO380" i="3"/>
  <c r="AP377" i="3"/>
  <c r="AQ374" i="3"/>
  <c r="AP372" i="3"/>
  <c r="AQ369" i="3"/>
  <c r="AP367" i="3"/>
  <c r="AO362" i="3"/>
  <c r="AP360" i="3"/>
  <c r="AP358" i="3"/>
  <c r="AO356" i="3"/>
  <c r="AQ353" i="3"/>
  <c r="AP351" i="3"/>
  <c r="AQ348" i="3"/>
  <c r="AP346" i="3"/>
  <c r="AO344" i="3"/>
  <c r="AP341" i="3"/>
  <c r="AP339" i="3"/>
  <c r="AO337" i="3"/>
  <c r="AP334" i="3"/>
  <c r="AO332" i="3"/>
  <c r="AP326" i="3"/>
  <c r="AQ323" i="3"/>
  <c r="AO319" i="3"/>
  <c r="AP316" i="3"/>
  <c r="AQ313" i="3"/>
  <c r="AO309" i="3"/>
  <c r="AO304" i="3"/>
  <c r="AP301" i="3"/>
  <c r="AO299" i="3"/>
  <c r="AQ296" i="3"/>
  <c r="AO294" i="3"/>
  <c r="AP289" i="3"/>
  <c r="AQ286" i="3"/>
  <c r="AO284" i="3"/>
  <c r="AO282" i="3"/>
  <c r="AP279" i="3"/>
  <c r="AQ276" i="3"/>
  <c r="AP271" i="3"/>
  <c r="AO269" i="3"/>
  <c r="AO266" i="3"/>
  <c r="AP261" i="3"/>
  <c r="AO256" i="3"/>
  <c r="AP251" i="3"/>
  <c r="AQ248" i="3"/>
  <c r="AO244" i="3"/>
  <c r="AQ238" i="3"/>
  <c r="AP236" i="3"/>
  <c r="AQ233" i="3"/>
  <c r="AP226" i="3"/>
  <c r="AQ223" i="3"/>
  <c r="AO221" i="3"/>
  <c r="AQ215" i="3"/>
  <c r="AO213" i="3"/>
  <c r="AO208" i="3"/>
  <c r="AQ205" i="3"/>
  <c r="AQ202" i="3"/>
  <c r="AO198" i="3"/>
  <c r="AP193" i="3"/>
  <c r="AO191" i="3"/>
  <c r="AQ188" i="3"/>
  <c r="AO186" i="3"/>
  <c r="AP183" i="3"/>
  <c r="AP180" i="3"/>
  <c r="AQ177" i="3"/>
  <c r="AP175" i="3"/>
  <c r="AQ172" i="3"/>
  <c r="AO170" i="3"/>
  <c r="AQ167" i="3"/>
  <c r="AP165" i="3"/>
  <c r="AQ162" i="3"/>
  <c r="AO160" i="3"/>
  <c r="AQ19" i="3"/>
  <c r="AO17" i="3"/>
  <c r="AP14" i="3"/>
  <c r="AP11" i="3"/>
  <c r="AP8" i="3"/>
  <c r="AO5" i="3"/>
  <c r="AO1307" i="3"/>
  <c r="AO1275" i="3"/>
  <c r="AQ1269" i="3"/>
  <c r="AQ1267" i="3"/>
  <c r="AO1265" i="3"/>
  <c r="AO1263" i="3"/>
  <c r="AO1261" i="3"/>
  <c r="AP1258" i="3"/>
  <c r="AO1255" i="3"/>
  <c r="AP1252" i="3"/>
  <c r="AP1250" i="3"/>
  <c r="AP1241" i="3"/>
  <c r="AQ1237" i="3"/>
  <c r="AQ1233" i="3"/>
  <c r="AO1232" i="3"/>
  <c r="AQ1229" i="3"/>
  <c r="AP1228" i="3"/>
  <c r="AQ1224" i="3"/>
  <c r="AP1223" i="3"/>
  <c r="AO1222" i="3"/>
  <c r="AQ1220" i="3"/>
  <c r="AP1219" i="3"/>
  <c r="AO1218" i="3"/>
  <c r="AP1215" i="3"/>
  <c r="AQ1210" i="3"/>
  <c r="AO1209" i="3"/>
  <c r="AP1207" i="3"/>
  <c r="AP1205" i="3"/>
  <c r="AO1200" i="3"/>
  <c r="AP1198" i="3"/>
  <c r="AO1196" i="3"/>
  <c r="AQ1193" i="3"/>
  <c r="AO1189" i="3"/>
  <c r="AO1187" i="3"/>
  <c r="AP1182" i="3"/>
  <c r="AO1180" i="3"/>
  <c r="AQ1177" i="3"/>
  <c r="AQ1175" i="3"/>
  <c r="AQ1173" i="3"/>
  <c r="AQ1171" i="3"/>
  <c r="AQ1168" i="3"/>
  <c r="AO1166" i="3"/>
  <c r="AQ1163" i="3"/>
  <c r="AP1161" i="3"/>
  <c r="AP1159" i="3"/>
  <c r="AQ1156" i="3"/>
  <c r="AP1148" i="3"/>
  <c r="AO1146" i="3"/>
  <c r="AP1139" i="3"/>
  <c r="AQ1136" i="3"/>
  <c r="AQ1132" i="3"/>
  <c r="AQ1123" i="3"/>
  <c r="AQ1121" i="3"/>
  <c r="AQ1119" i="3"/>
  <c r="AP1117" i="3"/>
  <c r="AP1115" i="3"/>
  <c r="AP1113" i="3"/>
  <c r="AP1110" i="3"/>
  <c r="AQ1102" i="3"/>
  <c r="AP1100" i="3"/>
  <c r="AP1098" i="3"/>
  <c r="AQ1092" i="3"/>
  <c r="AP1090" i="3"/>
  <c r="AP1088" i="3"/>
  <c r="AO1086" i="3"/>
  <c r="AO1084" i="3"/>
  <c r="AP1081" i="3"/>
  <c r="AP1079" i="3"/>
  <c r="AQ1070" i="3"/>
  <c r="AQ1068" i="3"/>
  <c r="AP1063" i="3"/>
  <c r="AP1061" i="3"/>
  <c r="AO1059" i="3"/>
  <c r="AQ1056" i="3"/>
  <c r="AP1054" i="3"/>
  <c r="AO1052" i="3"/>
  <c r="AO1050" i="3"/>
  <c r="AO1048" i="3"/>
  <c r="AO1046" i="3"/>
  <c r="AO1044" i="3"/>
  <c r="AQ1038" i="3"/>
  <c r="AP1034" i="3"/>
  <c r="AO1032" i="3"/>
  <c r="AO1030" i="3"/>
  <c r="AP1028" i="3"/>
  <c r="AP1026" i="3"/>
  <c r="AQ1017" i="3"/>
  <c r="AO1016" i="3"/>
  <c r="AO1014" i="3"/>
  <c r="AP1011" i="3"/>
  <c r="AO1010" i="3"/>
  <c r="AQ1008" i="3"/>
  <c r="AQ1005" i="3"/>
  <c r="AP1003" i="3"/>
  <c r="AQ1001" i="3"/>
  <c r="AP997" i="3"/>
  <c r="AO990" i="3"/>
  <c r="AQ987" i="3"/>
  <c r="AQ985" i="3"/>
  <c r="AO977" i="3"/>
  <c r="AP975" i="3"/>
  <c r="AP973" i="3"/>
  <c r="AP971" i="3"/>
  <c r="AQ968" i="3"/>
  <c r="AO967" i="3"/>
  <c r="AQ964" i="3"/>
  <c r="AO962" i="3"/>
  <c r="AO960" i="3"/>
  <c r="AO958" i="3"/>
  <c r="AO945" i="3"/>
  <c r="AQ942" i="3"/>
  <c r="AP938" i="3"/>
  <c r="AP936" i="3"/>
  <c r="AP934" i="3"/>
  <c r="AQ931" i="3"/>
  <c r="AP927" i="3"/>
  <c r="AQ924" i="3"/>
  <c r="AQ920" i="3"/>
  <c r="AP918" i="3"/>
  <c r="AP916" i="3"/>
  <c r="AO912" i="3"/>
  <c r="AO907" i="3"/>
  <c r="AQ904" i="3"/>
  <c r="AP902" i="3"/>
  <c r="AQ899" i="3"/>
  <c r="AP897" i="3"/>
  <c r="AQ894" i="3"/>
  <c r="AQ892" i="3"/>
  <c r="AO888" i="3"/>
  <c r="AO886" i="3"/>
  <c r="AQ883" i="3"/>
  <c r="AP881" i="3"/>
  <c r="AQ878" i="3"/>
  <c r="AO874" i="3"/>
  <c r="AO872" i="3"/>
  <c r="AQ869" i="3"/>
  <c r="AQ867" i="3"/>
  <c r="AP863" i="3"/>
  <c r="AO861" i="3"/>
  <c r="AO856" i="3"/>
  <c r="AO854" i="3"/>
  <c r="AP849" i="3"/>
  <c r="AP847" i="3"/>
  <c r="AQ844" i="3"/>
  <c r="AO840" i="3"/>
  <c r="AQ837" i="3"/>
  <c r="AQ835" i="3"/>
  <c r="AO833" i="3"/>
  <c r="AP831" i="3"/>
  <c r="AP829" i="3"/>
  <c r="AQ826" i="3"/>
  <c r="AQ823" i="3"/>
  <c r="AQ819" i="3"/>
  <c r="AO817" i="3"/>
  <c r="AO815" i="3"/>
  <c r="AO813" i="3"/>
  <c r="AP808" i="3"/>
  <c r="AP806" i="3"/>
  <c r="AP802" i="3"/>
  <c r="AO800" i="3"/>
  <c r="AQ797" i="3"/>
  <c r="AQ795" i="3"/>
  <c r="AO791" i="3"/>
  <c r="AO789" i="3"/>
  <c r="AO787" i="3"/>
  <c r="AO785" i="3"/>
  <c r="AO782" i="3"/>
  <c r="AO780" i="3"/>
  <c r="AO778" i="3"/>
  <c r="AO776" i="3"/>
  <c r="AO774" i="3"/>
  <c r="AO769" i="3"/>
  <c r="AO767" i="3"/>
  <c r="AO764" i="3"/>
  <c r="AP762" i="3"/>
  <c r="AP760" i="3"/>
  <c r="AQ757" i="3"/>
  <c r="AQ755" i="3"/>
  <c r="AQ753" i="3"/>
  <c r="AQ751" i="3"/>
  <c r="AP747" i="3"/>
  <c r="AP745" i="3"/>
  <c r="AQ742" i="3"/>
  <c r="AP740" i="3"/>
  <c r="AP738" i="3"/>
  <c r="AP736" i="3"/>
  <c r="AP734" i="3"/>
  <c r="AP676" i="3"/>
  <c r="AP674" i="3"/>
  <c r="AQ671" i="3"/>
  <c r="AQ668" i="3"/>
  <c r="AP666" i="3"/>
  <c r="AQ663" i="3"/>
  <c r="AO660" i="3"/>
  <c r="AQ657" i="3"/>
  <c r="AQ654" i="3"/>
  <c r="AO650" i="3"/>
  <c r="AP643" i="3"/>
  <c r="AO641" i="3"/>
  <c r="AQ638" i="3"/>
  <c r="AQ635" i="3"/>
  <c r="AQ630" i="3"/>
  <c r="AP628" i="3"/>
  <c r="AQ622" i="3"/>
  <c r="AQ619" i="3"/>
  <c r="AP617" i="3"/>
  <c r="AQ609" i="3"/>
  <c r="AO607" i="3"/>
  <c r="AQ601" i="3"/>
  <c r="AP599" i="3"/>
  <c r="AO597" i="3"/>
  <c r="AQ594" i="3"/>
  <c r="AO592" i="3"/>
  <c r="AO590" i="3"/>
  <c r="AO587" i="3"/>
  <c r="AQ581" i="3"/>
  <c r="AP579" i="3"/>
  <c r="AQ570" i="3"/>
  <c r="AQ568" i="3"/>
  <c r="AQ565" i="3"/>
  <c r="AO563" i="3"/>
  <c r="AP558" i="3"/>
  <c r="AQ555" i="3"/>
  <c r="AP553" i="3"/>
  <c r="AQ550" i="3"/>
  <c r="AO548" i="3"/>
  <c r="AQ545" i="3"/>
  <c r="AO541" i="3"/>
  <c r="AO539" i="3"/>
  <c r="AO537" i="3"/>
  <c r="AP532" i="3"/>
  <c r="AO530" i="3"/>
  <c r="AQ527" i="3"/>
  <c r="AQ524" i="3"/>
  <c r="AO522" i="3"/>
  <c r="AO517" i="3"/>
  <c r="AO512" i="3"/>
  <c r="AP509" i="3"/>
  <c r="AO507" i="3"/>
  <c r="AO504" i="3"/>
  <c r="AQ501" i="3"/>
  <c r="AP495" i="3"/>
  <c r="AO493" i="3"/>
  <c r="AO490" i="3"/>
  <c r="AO488" i="3"/>
  <c r="AQ485" i="3"/>
  <c r="AO483" i="3"/>
  <c r="AO478" i="3"/>
  <c r="AO476" i="3"/>
  <c r="AO471" i="3"/>
  <c r="AP468" i="3"/>
  <c r="AO466" i="3"/>
  <c r="AO463" i="3"/>
  <c r="AP461" i="3"/>
  <c r="AP459" i="3"/>
  <c r="AO457" i="3"/>
  <c r="AP452" i="3"/>
  <c r="AO442" i="3"/>
  <c r="AP439" i="3"/>
  <c r="AO437" i="3"/>
  <c r="AQ425" i="3"/>
  <c r="AP423" i="3"/>
  <c r="AQ420" i="3"/>
  <c r="AQ417" i="3"/>
  <c r="AO416" i="3"/>
  <c r="AP413" i="3"/>
  <c r="AQ410" i="3"/>
  <c r="AP408" i="3"/>
  <c r="AQ404" i="3"/>
  <c r="AO402" i="3"/>
  <c r="AQ399" i="3"/>
  <c r="AP397" i="3"/>
  <c r="AQ394" i="3"/>
  <c r="AO392" i="3"/>
  <c r="AQ389" i="3"/>
  <c r="AP385" i="3"/>
  <c r="AP380" i="3"/>
  <c r="AQ376" i="3"/>
  <c r="AO370" i="3"/>
  <c r="AQ367" i="3"/>
  <c r="AO365" i="3"/>
  <c r="AO363" i="3"/>
  <c r="AO361" i="3"/>
  <c r="AQ358" i="3"/>
  <c r="AQ356" i="3"/>
  <c r="AO354" i="3"/>
  <c r="AO349" i="3"/>
  <c r="AQ346" i="3"/>
  <c r="AP344" i="3"/>
  <c r="AQ341" i="3"/>
  <c r="AO339" i="3"/>
  <c r="AQ336" i="3"/>
  <c r="AO334" i="3"/>
  <c r="AP332" i="3"/>
  <c r="AO330" i="3"/>
  <c r="AO328" i="3"/>
  <c r="AO323" i="3"/>
  <c r="AQ317" i="3"/>
  <c r="AQ315" i="3"/>
  <c r="AP311" i="3"/>
  <c r="AP309" i="3"/>
  <c r="AO307" i="3"/>
  <c r="AO302" i="3"/>
  <c r="AQ299" i="3"/>
  <c r="AP297" i="3"/>
  <c r="AO295" i="3"/>
  <c r="AP292" i="3"/>
  <c r="AQ289" i="3"/>
  <c r="AP287" i="3"/>
  <c r="AP284" i="3"/>
  <c r="AQ281" i="3"/>
  <c r="AP276" i="3"/>
  <c r="AP273" i="3"/>
  <c r="AQ270" i="3"/>
  <c r="AP263" i="3"/>
  <c r="AO261" i="3"/>
  <c r="AP258" i="3"/>
  <c r="AQ255" i="3"/>
  <c r="AQ253" i="3"/>
  <c r="AO251" i="3"/>
  <c r="AP248" i="3"/>
  <c r="AO246" i="3"/>
  <c r="AQ243" i="3"/>
  <c r="AP241" i="3"/>
  <c r="AO239" i="3"/>
  <c r="AO234" i="3"/>
  <c r="AQ231" i="3"/>
  <c r="AO229" i="3"/>
  <c r="AP224" i="3"/>
  <c r="AQ221" i="3"/>
  <c r="AO219" i="3"/>
  <c r="AP214" i="3"/>
  <c r="AQ211" i="3"/>
  <c r="AP209" i="3"/>
  <c r="AP206" i="3"/>
  <c r="AQ203" i="3"/>
  <c r="AP201" i="3"/>
  <c r="AO199" i="3"/>
  <c r="AQ193" i="3"/>
  <c r="AP191" i="3"/>
  <c r="AO189" i="3"/>
  <c r="AQ186" i="3"/>
  <c r="AQ184" i="3"/>
  <c r="AQ181" i="3"/>
  <c r="AP177" i="3"/>
  <c r="AP174" i="3"/>
  <c r="AO172" i="3"/>
  <c r="AQ169" i="3"/>
  <c r="AP167" i="3"/>
  <c r="AQ164" i="3"/>
  <c r="AP160" i="3"/>
  <c r="AO20" i="3"/>
  <c r="AP17" i="3"/>
  <c r="AQ14" i="3"/>
  <c r="AQ11" i="3"/>
  <c r="AO9" i="3"/>
  <c r="AP6" i="3"/>
  <c r="AQ3" i="3"/>
  <c r="AE1305" i="3"/>
  <c r="AE1300" i="3"/>
  <c r="AE1297" i="3"/>
  <c r="AE1295" i="3"/>
  <c r="AE1292" i="3"/>
  <c r="AE1289" i="3"/>
  <c r="AE1286" i="3"/>
  <c r="AE1283" i="3"/>
  <c r="AE1279" i="3"/>
  <c r="AE1276" i="3"/>
  <c r="AE1273" i="3"/>
  <c r="AE1270" i="3"/>
  <c r="AE1267" i="3"/>
  <c r="AE1265" i="3"/>
  <c r="AE1261" i="3"/>
  <c r="AE1258" i="3"/>
  <c r="AE1255" i="3"/>
  <c r="AE1253" i="3"/>
  <c r="AE1250" i="3"/>
  <c r="AE1247" i="3"/>
  <c r="AE1244" i="3"/>
  <c r="AE1241" i="3"/>
  <c r="AE1238" i="3"/>
  <c r="AE1235" i="3"/>
  <c r="AE1231" i="3"/>
  <c r="AE1228" i="3"/>
  <c r="AE1225" i="3"/>
  <c r="AE1221" i="3"/>
  <c r="AE1218" i="3"/>
  <c r="AE1215" i="3"/>
  <c r="AE1212" i="3"/>
  <c r="AE1209" i="3"/>
  <c r="AE1206" i="3"/>
  <c r="AE1202" i="3"/>
  <c r="AE1199" i="3"/>
  <c r="AE1196" i="3"/>
  <c r="AE1193" i="3"/>
  <c r="AE1190" i="3"/>
  <c r="AE1187" i="3"/>
  <c r="AE1184" i="3"/>
  <c r="AE1180" i="3"/>
  <c r="AE1177" i="3"/>
  <c r="AE1174" i="3"/>
  <c r="AE1171" i="3"/>
  <c r="AE1170" i="3"/>
  <c r="AE1168" i="3"/>
  <c r="AE1165" i="3"/>
  <c r="AE1162" i="3"/>
  <c r="AE1158" i="3"/>
  <c r="AE1155" i="3"/>
  <c r="AE1150" i="3"/>
  <c r="AE1147" i="3"/>
  <c r="AE1143" i="3"/>
  <c r="AE1139" i="3"/>
  <c r="AE1137" i="3"/>
  <c r="AE1134" i="3"/>
  <c r="AE1131" i="3"/>
  <c r="AE1128" i="3"/>
  <c r="AE1125" i="3"/>
  <c r="AE1122" i="3"/>
  <c r="AE1119" i="3"/>
  <c r="AE1116" i="3"/>
  <c r="AE1112" i="3"/>
  <c r="AE1109" i="3"/>
  <c r="AE1106" i="3"/>
  <c r="AE1102" i="3"/>
  <c r="AE1099" i="3"/>
  <c r="AE1096" i="3"/>
  <c r="AE1093" i="3"/>
  <c r="AE1090" i="3"/>
  <c r="AE1088" i="3"/>
  <c r="AE1085" i="3"/>
  <c r="AE1082" i="3"/>
  <c r="AE1079" i="3"/>
  <c r="AE1076" i="3"/>
  <c r="AE1073" i="3"/>
  <c r="AE1071" i="3"/>
  <c r="AE1067" i="3"/>
  <c r="AE1062" i="3"/>
  <c r="AE1059" i="3"/>
  <c r="AE1056" i="3"/>
  <c r="AE1053" i="3"/>
  <c r="AE1050" i="3"/>
  <c r="AE1047" i="3"/>
  <c r="AE1046" i="3"/>
  <c r="AE1045" i="3"/>
  <c r="AE1042" i="3"/>
  <c r="AE1041" i="3"/>
  <c r="AE1039" i="3"/>
  <c r="AE1036" i="3"/>
  <c r="AE1033" i="3"/>
  <c r="AE1029" i="3"/>
  <c r="AE1026" i="3"/>
  <c r="AE1020" i="3"/>
  <c r="AE1017" i="3"/>
  <c r="AE1014" i="3"/>
  <c r="AE1011" i="3"/>
  <c r="AE1007" i="3"/>
  <c r="AE1004" i="3"/>
  <c r="AE1001" i="3"/>
  <c r="AE998" i="3"/>
  <c r="AE995" i="3"/>
  <c r="AE992" i="3"/>
  <c r="AE990" i="3"/>
  <c r="AE986" i="3"/>
  <c r="AE983" i="3"/>
  <c r="AE980" i="3"/>
  <c r="AE977" i="3"/>
  <c r="AE974" i="3"/>
  <c r="AE971" i="3"/>
  <c r="AE968" i="3"/>
  <c r="AE965" i="3"/>
  <c r="AE962" i="3"/>
  <c r="AE960" i="3"/>
  <c r="AE957" i="3"/>
  <c r="AE953" i="3"/>
  <c r="AE950" i="3"/>
  <c r="AE947" i="3"/>
  <c r="AE944" i="3"/>
  <c r="AE941" i="3"/>
  <c r="AE938" i="3"/>
  <c r="AE935" i="3"/>
  <c r="AE933" i="3"/>
  <c r="AE930" i="3"/>
  <c r="AE927" i="3"/>
  <c r="AE923" i="3"/>
  <c r="AE921" i="3"/>
  <c r="AE918" i="3"/>
  <c r="AE914" i="3"/>
  <c r="AE911" i="3"/>
  <c r="AE908" i="3"/>
  <c r="AE905" i="3"/>
  <c r="AE902" i="3"/>
  <c r="AE898" i="3"/>
  <c r="AE382" i="3"/>
  <c r="AE380" i="3"/>
  <c r="AE378" i="3"/>
  <c r="AE374" i="3"/>
  <c r="AE371" i="3"/>
  <c r="AE367" i="3"/>
  <c r="AE365" i="3"/>
  <c r="AE363" i="3"/>
  <c r="AE361" i="3"/>
  <c r="AE359" i="3"/>
  <c r="AE355" i="3"/>
  <c r="AE351" i="3"/>
  <c r="AE345" i="3"/>
  <c r="AE343" i="3"/>
  <c r="AE339" i="3"/>
  <c r="AE335" i="3"/>
  <c r="AE331" i="3"/>
  <c r="AE329" i="3"/>
  <c r="AE325" i="3"/>
  <c r="AE321" i="3"/>
  <c r="AE317" i="3"/>
  <c r="AE309" i="3"/>
  <c r="AE307" i="3"/>
  <c r="AE305" i="3"/>
  <c r="AE301" i="3"/>
  <c r="AE299" i="3"/>
  <c r="AE297" i="3"/>
  <c r="AE292" i="3"/>
  <c r="AE288" i="3"/>
  <c r="AE286" i="3"/>
  <c r="AE284" i="3"/>
  <c r="AE280" i="3"/>
  <c r="AE278" i="3"/>
  <c r="AE276" i="3"/>
  <c r="AE271" i="3"/>
  <c r="AE269" i="3"/>
  <c r="AE267" i="3"/>
  <c r="AE253" i="3"/>
  <c r="AE250" i="3"/>
  <c r="AE248" i="3"/>
  <c r="AE244" i="3"/>
  <c r="AE240" i="3"/>
  <c r="AE238" i="3"/>
  <c r="AE236" i="3"/>
  <c r="AE232" i="3"/>
  <c r="AE230" i="3"/>
  <c r="AE226" i="3"/>
  <c r="AE224" i="3"/>
  <c r="AE220" i="3"/>
  <c r="AE218" i="3"/>
  <c r="AE214" i="3"/>
  <c r="AE212" i="3"/>
  <c r="AE210" i="3"/>
  <c r="AE206" i="3"/>
  <c r="AE202" i="3"/>
  <c r="AE200" i="3"/>
  <c r="AE196" i="3"/>
  <c r="AE192" i="3"/>
  <c r="AE189" i="3"/>
  <c r="AE185" i="3"/>
  <c r="AE179" i="3"/>
  <c r="AE175" i="3"/>
  <c r="AE173" i="3"/>
  <c r="AE169" i="3"/>
  <c r="AE165" i="3"/>
  <c r="AE161" i="3"/>
  <c r="AE159" i="3"/>
  <c r="AE155" i="3"/>
  <c r="AE151" i="3"/>
  <c r="AE147" i="3"/>
  <c r="AE141" i="3"/>
  <c r="AE139" i="3"/>
  <c r="AE135" i="3"/>
  <c r="AE133" i="3"/>
  <c r="AE131" i="3"/>
  <c r="AE129" i="3"/>
  <c r="AE125" i="3"/>
  <c r="AE121" i="3"/>
  <c r="AE119" i="3"/>
  <c r="AE115" i="3"/>
  <c r="AE111" i="3"/>
  <c r="AE105" i="3"/>
  <c r="AE101" i="3"/>
  <c r="AE97" i="3"/>
  <c r="AE95" i="3"/>
  <c r="AE91" i="3"/>
  <c r="AE87" i="3"/>
  <c r="AE83" i="3"/>
  <c r="AE81" i="3"/>
  <c r="AE77" i="3"/>
  <c r="AE73" i="3"/>
  <c r="AE71" i="3"/>
  <c r="AE69" i="3"/>
  <c r="AE54" i="3"/>
  <c r="AE52" i="3"/>
  <c r="AE50" i="3"/>
  <c r="AE46" i="3"/>
  <c r="AE44" i="3"/>
  <c r="AE42" i="3"/>
  <c r="AE38" i="3"/>
  <c r="AE36" i="3"/>
  <c r="AE30" i="3"/>
  <c r="AE28" i="3"/>
  <c r="AE26" i="3"/>
  <c r="AE22" i="3"/>
  <c r="AE20" i="3"/>
  <c r="AE16" i="3"/>
  <c r="AE12" i="3"/>
  <c r="AE6" i="3"/>
  <c r="AE1307" i="3"/>
  <c r="AE1304" i="3"/>
  <c r="AE1302" i="3"/>
  <c r="AE1301" i="3"/>
  <c r="AE1298" i="3"/>
  <c r="AE1296" i="3"/>
  <c r="AE1293" i="3"/>
  <c r="AE1290" i="3"/>
  <c r="AE1287" i="3"/>
  <c r="AE1285" i="3"/>
  <c r="AE1282" i="3"/>
  <c r="AE1278" i="3"/>
  <c r="AE1275" i="3"/>
  <c r="AE1272" i="3"/>
  <c r="AE1269" i="3"/>
  <c r="AE1266" i="3"/>
  <c r="AE1263" i="3"/>
  <c r="AE1260" i="3"/>
  <c r="AE1257" i="3"/>
  <c r="AE1254" i="3"/>
  <c r="AE1251" i="3"/>
  <c r="AE1248" i="3"/>
  <c r="AE1246" i="3"/>
  <c r="AE1242" i="3"/>
  <c r="AE1240" i="3"/>
  <c r="AE1237" i="3"/>
  <c r="AE1234" i="3"/>
  <c r="AE1232" i="3"/>
  <c r="AE1230" i="3"/>
  <c r="AE1227" i="3"/>
  <c r="AE1224" i="3"/>
  <c r="AE1222" i="3"/>
  <c r="AE1219" i="3"/>
  <c r="AE1216" i="3"/>
  <c r="AE1214" i="3"/>
  <c r="AE1211" i="3"/>
  <c r="AE1208" i="3"/>
  <c r="AE1205" i="3"/>
  <c r="AE1203" i="3"/>
  <c r="AE1200" i="3"/>
  <c r="AE1197" i="3"/>
  <c r="AE1194" i="3"/>
  <c r="AE1192" i="3"/>
  <c r="AE1189" i="3"/>
  <c r="AE1186" i="3"/>
  <c r="AE1183" i="3"/>
  <c r="AE1181" i="3"/>
  <c r="AE1178" i="3"/>
  <c r="AE1176" i="3"/>
  <c r="AE1173" i="3"/>
  <c r="AE1169" i="3"/>
  <c r="AE1166" i="3"/>
  <c r="AE1163" i="3"/>
  <c r="AE1160" i="3"/>
  <c r="AE1157" i="3"/>
  <c r="AE1154" i="3"/>
  <c r="AE1152" i="3"/>
  <c r="AE1149" i="3"/>
  <c r="AE1146" i="3"/>
  <c r="AE1144" i="3"/>
  <c r="AE1141" i="3"/>
  <c r="AE1138" i="3"/>
  <c r="AE1135" i="3"/>
  <c r="AE1132" i="3"/>
  <c r="AE1129" i="3"/>
  <c r="AE1126" i="3"/>
  <c r="AE1123" i="3"/>
  <c r="AE1120" i="3"/>
  <c r="AE1117" i="3"/>
  <c r="AE1114" i="3"/>
  <c r="AE1111" i="3"/>
  <c r="AE1108" i="3"/>
  <c r="AE1105" i="3"/>
  <c r="AE1103" i="3"/>
  <c r="AE1101" i="3"/>
  <c r="AE1098" i="3"/>
  <c r="AE1095" i="3"/>
  <c r="AE1092" i="3"/>
  <c r="AE1089" i="3"/>
  <c r="AE1087" i="3"/>
  <c r="AE1084" i="3"/>
  <c r="AE1081" i="3"/>
  <c r="AE1078" i="3"/>
  <c r="AE1075" i="3"/>
  <c r="AE1072" i="3"/>
  <c r="AE1065" i="3"/>
  <c r="AE1063" i="3"/>
  <c r="AE1060" i="3"/>
  <c r="AE1058" i="3"/>
  <c r="AE1055" i="3"/>
  <c r="AE1052" i="3"/>
  <c r="AE1049" i="3"/>
  <c r="AE1044" i="3"/>
  <c r="AE1040" i="3"/>
  <c r="AE1037" i="3"/>
  <c r="AE1035" i="3"/>
  <c r="AE1032" i="3"/>
  <c r="AE1030" i="3"/>
  <c r="AE1027" i="3"/>
  <c r="AE1023" i="3"/>
  <c r="AE1021" i="3"/>
  <c r="AE1018" i="3"/>
  <c r="AE1015" i="3"/>
  <c r="AE1012" i="3"/>
  <c r="AE1010" i="3"/>
  <c r="AE1008" i="3"/>
  <c r="AE1005" i="3"/>
  <c r="AE1002" i="3"/>
  <c r="AE999" i="3"/>
  <c r="AE996" i="3"/>
  <c r="AE993" i="3"/>
  <c r="AE991" i="3"/>
  <c r="AE988" i="3"/>
  <c r="AE985" i="3"/>
  <c r="AE982" i="3"/>
  <c r="AE979" i="3"/>
  <c r="AE976" i="3"/>
  <c r="AE973" i="3"/>
  <c r="AE970" i="3"/>
  <c r="AE967" i="3"/>
  <c r="AE964" i="3"/>
  <c r="AE961" i="3"/>
  <c r="AE958" i="3"/>
  <c r="AE956" i="3"/>
  <c r="AE954" i="3"/>
  <c r="AE951" i="3"/>
  <c r="AE948" i="3"/>
  <c r="AE945" i="3"/>
  <c r="AE942" i="3"/>
  <c r="AE939" i="3"/>
  <c r="AE936" i="3"/>
  <c r="AE934" i="3"/>
  <c r="AE931" i="3"/>
  <c r="AE928" i="3"/>
  <c r="AE925" i="3"/>
  <c r="AE922" i="3"/>
  <c r="AE919" i="3"/>
  <c r="AE916" i="3"/>
  <c r="AE913" i="3"/>
  <c r="AE910" i="3"/>
  <c r="AE907" i="3"/>
  <c r="AE904" i="3"/>
  <c r="AE901" i="3"/>
  <c r="AE899" i="3"/>
  <c r="AE896" i="3"/>
  <c r="AE384" i="3"/>
  <c r="AE381" i="3"/>
  <c r="AE376" i="3"/>
  <c r="AE370" i="3"/>
  <c r="AE366" i="3"/>
  <c r="AE364" i="3"/>
  <c r="AE358" i="3"/>
  <c r="AE354" i="3"/>
  <c r="AE348" i="3"/>
  <c r="AE342" i="3"/>
  <c r="AE340" i="3"/>
  <c r="AE336" i="3"/>
  <c r="AE332" i="3"/>
  <c r="AE324" i="3"/>
  <c r="AE320" i="3"/>
  <c r="AE308" i="3"/>
  <c r="AE302" i="3"/>
  <c r="AE298" i="3"/>
  <c r="AE296" i="3"/>
  <c r="AE291" i="3"/>
  <c r="AE289" i="3"/>
  <c r="AE285" i="3"/>
  <c r="AE281" i="3"/>
  <c r="AE277" i="3"/>
  <c r="AE272" i="3"/>
  <c r="AE257" i="3"/>
  <c r="AE254" i="3"/>
  <c r="AE252" i="3"/>
  <c r="AE243" i="3"/>
  <c r="AE241" i="3"/>
  <c r="AE237" i="3"/>
  <c r="AE235" i="3"/>
  <c r="AE233" i="3"/>
  <c r="AE229" i="3"/>
  <c r="AE227" i="3"/>
  <c r="AE221" i="3"/>
  <c r="AE217" i="3"/>
  <c r="AE211" i="3"/>
  <c r="AE209" i="3"/>
  <c r="AE205" i="3"/>
  <c r="AE203" i="3"/>
  <c r="AE199" i="3"/>
  <c r="AE195" i="3"/>
  <c r="AE184" i="3"/>
  <c r="AE180" i="3"/>
  <c r="AE176" i="3"/>
  <c r="AE172" i="3"/>
  <c r="AE166" i="3"/>
  <c r="AE162" i="3"/>
  <c r="AE158" i="3"/>
  <c r="AE154" i="3"/>
  <c r="AE150" i="3"/>
  <c r="AE148" i="3"/>
  <c r="AE146" i="3"/>
  <c r="AE142" i="3"/>
  <c r="AE140" i="3"/>
  <c r="AE136" i="3"/>
  <c r="AE132" i="3"/>
  <c r="AE130" i="3"/>
  <c r="AE127" i="3"/>
  <c r="AE123" i="3"/>
  <c r="AE117" i="3"/>
  <c r="AE113" i="3"/>
  <c r="AE109" i="3"/>
  <c r="AE107" i="3"/>
  <c r="AE103" i="3"/>
  <c r="AE99" i="3"/>
  <c r="AE96" i="3"/>
  <c r="AE92" i="3"/>
  <c r="AE88" i="3"/>
  <c r="AE84" i="3"/>
  <c r="AE80" i="3"/>
  <c r="AE76" i="3"/>
  <c r="AE72" i="3"/>
  <c r="AE68" i="3"/>
  <c r="AE66" i="3"/>
  <c r="AE61" i="3"/>
  <c r="AE59" i="3"/>
  <c r="AE53" i="3"/>
  <c r="AE49" i="3"/>
  <c r="AE45" i="3"/>
  <c r="AE41" i="3"/>
  <c r="AE39" i="3"/>
  <c r="AE35" i="3"/>
  <c r="AE31" i="3"/>
  <c r="AE27" i="3"/>
  <c r="AE23" i="3"/>
  <c r="AE21" i="3"/>
  <c r="AE17" i="3"/>
  <c r="AE15" i="3"/>
  <c r="AE11" i="3"/>
  <c r="AE3" i="3"/>
  <c r="AE1306" i="3"/>
  <c r="AE1303" i="3"/>
  <c r="AE1299" i="3"/>
  <c r="AE1294" i="3"/>
  <c r="AE1291" i="3"/>
  <c r="AE1288" i="3"/>
  <c r="AE1284" i="3"/>
  <c r="AE1281" i="3"/>
  <c r="AE1280" i="3"/>
  <c r="AE1277" i="3"/>
  <c r="AE1274" i="3"/>
  <c r="AE1271" i="3"/>
  <c r="AE1268" i="3"/>
  <c r="AE1264" i="3"/>
  <c r="AE1262" i="3"/>
  <c r="AE1259" i="3"/>
  <c r="AE1256" i="3"/>
  <c r="AE1252" i="3"/>
  <c r="AE1249" i="3"/>
  <c r="AE1245" i="3"/>
  <c r="AE1243" i="3"/>
  <c r="AE1239" i="3"/>
  <c r="AE1236" i="3"/>
  <c r="AE1233" i="3"/>
  <c r="AE1229" i="3"/>
  <c r="AE1226" i="3"/>
  <c r="AE1223" i="3"/>
  <c r="AE1220" i="3"/>
  <c r="AE1217" i="3"/>
  <c r="AE1213" i="3"/>
  <c r="AE1210" i="3"/>
  <c r="AE1207" i="3"/>
  <c r="AE1204" i="3"/>
  <c r="AE1201" i="3"/>
  <c r="AE1198" i="3"/>
  <c r="AE1195" i="3"/>
  <c r="AE1191" i="3"/>
  <c r="AE1188" i="3"/>
  <c r="AE1185" i="3"/>
  <c r="AE1182" i="3"/>
  <c r="AE1179" i="3"/>
  <c r="AE1175" i="3"/>
  <c r="AE1172" i="3"/>
  <c r="AE1167" i="3"/>
  <c r="AE1164" i="3"/>
  <c r="AE1161" i="3"/>
  <c r="AE1159" i="3"/>
  <c r="AE1156" i="3"/>
  <c r="AE1153" i="3"/>
  <c r="AE1151" i="3"/>
  <c r="AE1148" i="3"/>
  <c r="AE1145" i="3"/>
  <c r="AE1142" i="3"/>
  <c r="AE1140" i="3"/>
  <c r="AE1136" i="3"/>
  <c r="AE1133" i="3"/>
  <c r="AE1130" i="3"/>
  <c r="AE1127" i="3"/>
  <c r="AE1124" i="3"/>
  <c r="AE1121" i="3"/>
  <c r="AE1118" i="3"/>
  <c r="AE1115" i="3"/>
  <c r="AE1113" i="3"/>
  <c r="AE1110" i="3"/>
  <c r="AE1107" i="3"/>
  <c r="AE1104" i="3"/>
  <c r="AE1100" i="3"/>
  <c r="AE1097" i="3"/>
  <c r="AE1094" i="3"/>
  <c r="AE1091" i="3"/>
  <c r="AE1086" i="3"/>
  <c r="AE1083" i="3"/>
  <c r="AE1080" i="3"/>
  <c r="AE1077" i="3"/>
  <c r="AE1074" i="3"/>
  <c r="AE1070" i="3"/>
  <c r="AE1069" i="3"/>
  <c r="AE1068" i="3"/>
  <c r="AE1066" i="3"/>
  <c r="AE1064" i="3"/>
  <c r="AE1061" i="3"/>
  <c r="AE1057" i="3"/>
  <c r="AE1054" i="3"/>
  <c r="AE1051" i="3"/>
  <c r="AE1048" i="3"/>
  <c r="AE1043" i="3"/>
  <c r="AE1038" i="3"/>
  <c r="AE1034" i="3"/>
  <c r="AE1031" i="3"/>
  <c r="AE1028" i="3"/>
  <c r="AE1025" i="3"/>
  <c r="AE1024" i="3"/>
  <c r="AE1022" i="3"/>
  <c r="AE1019" i="3"/>
  <c r="AE1016" i="3"/>
  <c r="AE1013" i="3"/>
  <c r="AE1009" i="3"/>
  <c r="AE1006" i="3"/>
  <c r="AE1003" i="3"/>
  <c r="AE1000" i="3"/>
  <c r="AE997" i="3"/>
  <c r="AE994" i="3"/>
  <c r="AE989" i="3"/>
  <c r="AE987" i="3"/>
  <c r="AE984" i="3"/>
  <c r="AE981" i="3"/>
  <c r="AE978" i="3"/>
  <c r="AE975" i="3"/>
  <c r="AE972" i="3"/>
  <c r="AE969" i="3"/>
  <c r="AE966" i="3"/>
  <c r="AE963" i="3"/>
  <c r="AE959" i="3"/>
  <c r="AE955" i="3"/>
  <c r="AE952" i="3"/>
  <c r="AE949" i="3"/>
  <c r="AE946" i="3"/>
  <c r="AE943" i="3"/>
  <c r="AE940" i="3"/>
  <c r="AE937" i="3"/>
  <c r="AE932" i="3"/>
  <c r="AE929" i="3"/>
  <c r="AE926" i="3"/>
  <c r="AE924" i="3"/>
  <c r="AE920" i="3"/>
  <c r="AE917" i="3"/>
  <c r="AE915" i="3"/>
  <c r="AE912" i="3"/>
  <c r="AE909" i="3"/>
  <c r="AE906" i="3"/>
  <c r="AE903" i="3"/>
  <c r="AE900" i="3"/>
  <c r="AE897" i="3"/>
  <c r="AE383" i="3"/>
  <c r="AE377" i="3"/>
  <c r="AE375" i="3"/>
  <c r="AE373" i="3"/>
  <c r="AE368" i="3"/>
  <c r="AE362" i="3"/>
  <c r="AE360" i="3"/>
  <c r="AE356" i="3"/>
  <c r="AE352" i="3"/>
  <c r="AE350" i="3"/>
  <c r="AE346" i="3"/>
  <c r="AE344" i="3"/>
  <c r="AE338" i="3"/>
  <c r="AE334" i="3"/>
  <c r="AE330" i="3"/>
  <c r="AE328" i="3"/>
  <c r="AE326" i="3"/>
  <c r="AE322" i="3"/>
  <c r="AE318" i="3"/>
  <c r="AE316" i="3"/>
  <c r="AE314" i="3"/>
  <c r="AE312" i="3"/>
  <c r="AE310" i="3"/>
  <c r="AE306" i="3"/>
  <c r="AE304" i="3"/>
  <c r="AE300" i="3"/>
  <c r="AE294" i="3"/>
  <c r="AE290" i="3"/>
  <c r="AE282" i="3"/>
  <c r="AE274" i="3"/>
  <c r="AE270" i="3"/>
  <c r="AE264" i="3"/>
  <c r="AE263" i="3"/>
  <c r="AE262" i="3"/>
  <c r="AE261" i="3"/>
  <c r="AE259" i="3"/>
  <c r="AE258" i="3"/>
  <c r="AE256" i="3"/>
  <c r="AE247" i="3"/>
  <c r="AE245" i="3"/>
  <c r="AE239" i="3"/>
  <c r="AE234" i="3"/>
  <c r="AE228" i="3"/>
  <c r="AE223" i="3"/>
  <c r="AE219" i="3"/>
  <c r="AE215" i="3"/>
  <c r="AE213" i="3"/>
  <c r="AE208" i="3"/>
  <c r="AE204" i="3"/>
  <c r="AE198" i="3"/>
  <c r="AE194" i="3"/>
  <c r="AE191" i="3"/>
  <c r="AE187" i="3"/>
  <c r="AE183" i="3"/>
  <c r="AE181" i="3"/>
  <c r="AE177" i="3"/>
  <c r="AE171" i="3"/>
  <c r="AE167" i="3"/>
  <c r="AE163" i="3"/>
  <c r="AE157" i="3"/>
  <c r="AE153" i="3"/>
  <c r="AE144" i="3"/>
  <c r="AE138" i="3"/>
  <c r="AE134" i="3"/>
  <c r="AE128" i="3"/>
  <c r="AE126" i="3"/>
  <c r="AE124" i="3"/>
  <c r="AE122" i="3"/>
  <c r="AE120" i="3"/>
  <c r="AE116" i="3"/>
  <c r="AE112" i="3"/>
  <c r="AE108" i="3"/>
  <c r="AE106" i="3"/>
  <c r="AE104" i="3"/>
  <c r="AE102" i="3"/>
  <c r="AE98" i="3"/>
  <c r="AE93" i="3"/>
  <c r="AE89" i="3"/>
  <c r="AE85" i="3"/>
  <c r="AE79" i="3"/>
  <c r="AE75" i="3"/>
  <c r="AE67" i="3"/>
  <c r="AE65" i="3"/>
  <c r="AE63" i="3"/>
  <c r="AE57" i="3"/>
  <c r="AE55" i="3"/>
  <c r="AE51" i="3"/>
  <c r="AE47" i="3"/>
  <c r="AE43" i="3"/>
  <c r="AE37" i="3"/>
  <c r="AE33" i="3"/>
  <c r="AE29" i="3"/>
  <c r="AE24" i="3"/>
  <c r="AE18" i="3"/>
  <c r="AE14" i="3"/>
  <c r="AE10" i="3"/>
  <c r="AE8" i="3"/>
  <c r="AE4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79" i="3"/>
  <c r="AE372" i="3"/>
  <c r="AE369" i="3"/>
  <c r="AE357" i="3"/>
  <c r="AE353" i="3"/>
  <c r="AE349" i="3"/>
  <c r="AE347" i="3"/>
  <c r="AE341" i="3"/>
  <c r="AE337" i="3"/>
  <c r="AE333" i="3"/>
  <c r="AE327" i="3"/>
  <c r="AE323" i="3"/>
  <c r="AE319" i="3"/>
  <c r="AE315" i="3"/>
  <c r="AE313" i="3"/>
  <c r="AE311" i="3"/>
  <c r="AE303" i="3"/>
  <c r="AE295" i="3"/>
  <c r="AE293" i="3"/>
  <c r="AE287" i="3"/>
  <c r="AE283" i="3"/>
  <c r="AE279" i="3"/>
  <c r="AE275" i="3"/>
  <c r="AE273" i="3"/>
  <c r="AE268" i="3"/>
  <c r="AE266" i="3"/>
  <c r="AE265" i="3"/>
  <c r="AE260" i="3"/>
  <c r="AE255" i="3"/>
  <c r="AE251" i="3"/>
  <c r="AE249" i="3"/>
  <c r="AE246" i="3"/>
  <c r="AE242" i="3"/>
  <c r="AE231" i="3"/>
  <c r="AE225" i="3"/>
  <c r="AE222" i="3"/>
  <c r="AE216" i="3"/>
  <c r="AE207" i="3"/>
  <c r="AE201" i="3"/>
  <c r="AE197" i="3"/>
  <c r="AE193" i="3"/>
  <c r="AE190" i="3"/>
  <c r="AE188" i="3"/>
  <c r="AE186" i="3"/>
  <c r="AE182" i="3"/>
  <c r="AE178" i="3"/>
  <c r="AE174" i="3"/>
  <c r="AE170" i="3"/>
  <c r="AE168" i="3"/>
  <c r="AE164" i="3"/>
  <c r="AE160" i="3"/>
  <c r="AE156" i="3"/>
  <c r="AE152" i="3"/>
  <c r="AE149" i="3"/>
  <c r="AE145" i="3"/>
  <c r="AE143" i="3"/>
  <c r="AE137" i="3"/>
  <c r="AE118" i="3"/>
  <c r="AE114" i="3"/>
  <c r="AE110" i="3"/>
  <c r="AE100" i="3"/>
  <c r="AE94" i="3"/>
  <c r="AE90" i="3"/>
  <c r="AE86" i="3"/>
  <c r="AE82" i="3"/>
  <c r="AE78" i="3"/>
  <c r="AE74" i="3"/>
  <c r="AE70" i="3"/>
  <c r="AE64" i="3"/>
  <c r="AE62" i="3"/>
  <c r="AE60" i="3"/>
  <c r="AE58" i="3"/>
  <c r="AE56" i="3"/>
  <c r="AE48" i="3"/>
  <c r="AE40" i="3"/>
  <c r="AE34" i="3"/>
  <c r="AE32" i="3"/>
  <c r="AE25" i="3"/>
  <c r="AE19" i="3"/>
  <c r="AE13" i="3"/>
  <c r="AE9" i="3"/>
  <c r="AE7" i="3"/>
  <c r="AE5" i="3"/>
  <c r="S1307" i="3"/>
  <c r="AD1307" i="3"/>
  <c r="S1306" i="3"/>
  <c r="AD1306" i="3"/>
  <c r="S1305" i="3"/>
  <c r="AD1305" i="3"/>
  <c r="S1304" i="3"/>
  <c r="AD1304" i="3"/>
  <c r="S1303" i="3"/>
  <c r="AD1303" i="3"/>
  <c r="S1302" i="3"/>
  <c r="AD1302" i="3"/>
  <c r="S1301" i="3"/>
  <c r="AD1301" i="3"/>
  <c r="S1300" i="3"/>
  <c r="AD1300" i="3"/>
  <c r="S1299" i="3"/>
  <c r="AD1299" i="3"/>
  <c r="S1298" i="3"/>
  <c r="AD1298" i="3"/>
  <c r="S1297" i="3"/>
  <c r="AD1297" i="3"/>
  <c r="S1296" i="3"/>
  <c r="AD1296" i="3"/>
  <c r="S1295" i="3"/>
  <c r="AD1295" i="3"/>
  <c r="S1294" i="3"/>
  <c r="AD1294" i="3"/>
  <c r="S1293" i="3"/>
  <c r="AD1293" i="3"/>
  <c r="S1292" i="3"/>
  <c r="AD1292" i="3"/>
  <c r="S1291" i="3"/>
  <c r="AD1291" i="3"/>
  <c r="S1290" i="3"/>
  <c r="AD1290" i="3"/>
  <c r="S1289" i="3"/>
  <c r="AD1289" i="3"/>
  <c r="S1288" i="3"/>
  <c r="AD1288" i="3"/>
  <c r="S1287" i="3"/>
  <c r="AD1287" i="3"/>
  <c r="S1286" i="3"/>
  <c r="AD1286" i="3"/>
  <c r="S1285" i="3"/>
  <c r="AD1285" i="3"/>
  <c r="S1284" i="3"/>
  <c r="AD1284" i="3"/>
  <c r="S1283" i="3"/>
  <c r="AD1283" i="3"/>
  <c r="S1282" i="3"/>
  <c r="AD1282" i="3"/>
  <c r="S1281" i="3"/>
  <c r="AD1281" i="3"/>
  <c r="S1280" i="3"/>
  <c r="AD1280" i="3"/>
  <c r="S1279" i="3"/>
  <c r="AD1279" i="3"/>
  <c r="S1278" i="3"/>
  <c r="AD1278" i="3"/>
  <c r="S1277" i="3"/>
  <c r="AD1277" i="3"/>
  <c r="S1276" i="3"/>
  <c r="AD1276" i="3"/>
  <c r="S1275" i="3"/>
  <c r="AD1275" i="3"/>
  <c r="S1274" i="3"/>
  <c r="AD1274" i="3"/>
  <c r="S1273" i="3"/>
  <c r="AD1273" i="3"/>
  <c r="S1272" i="3"/>
  <c r="AD1272" i="3"/>
  <c r="S1271" i="3"/>
  <c r="AD1271" i="3"/>
  <c r="S1270" i="3"/>
  <c r="AD1270" i="3"/>
  <c r="S1269" i="3"/>
  <c r="AD1269" i="3"/>
  <c r="S1268" i="3"/>
  <c r="AD1268" i="3"/>
  <c r="S1267" i="3"/>
  <c r="AD1267" i="3"/>
  <c r="S1266" i="3"/>
  <c r="AD1266" i="3"/>
  <c r="S1265" i="3"/>
  <c r="AD1265" i="3"/>
  <c r="S1264" i="3"/>
  <c r="AD1264" i="3"/>
  <c r="S1263" i="3"/>
  <c r="AD1263" i="3"/>
  <c r="S1262" i="3"/>
  <c r="AD1262" i="3"/>
  <c r="S1261" i="3"/>
  <c r="AD1261" i="3"/>
  <c r="S1260" i="3"/>
  <c r="AD1260" i="3"/>
  <c r="S1259" i="3"/>
  <c r="AD1259" i="3"/>
  <c r="S1258" i="3"/>
  <c r="AD1258" i="3"/>
  <c r="S1257" i="3"/>
  <c r="AD1257" i="3"/>
  <c r="S1256" i="3"/>
  <c r="AD1256" i="3"/>
  <c r="S1255" i="3"/>
  <c r="AD1255" i="3"/>
  <c r="S1254" i="3"/>
  <c r="AD1254" i="3"/>
  <c r="S1253" i="3"/>
  <c r="AD1253" i="3"/>
  <c r="S1252" i="3"/>
  <c r="AD1252" i="3"/>
  <c r="S1251" i="3"/>
  <c r="AD1251" i="3"/>
  <c r="S1250" i="3"/>
  <c r="AD1250" i="3"/>
  <c r="S1249" i="3"/>
  <c r="AD1249" i="3"/>
  <c r="S1248" i="3"/>
  <c r="AD1248" i="3"/>
  <c r="S1247" i="3"/>
  <c r="AD1247" i="3"/>
  <c r="S1246" i="3"/>
  <c r="AD1246" i="3"/>
  <c r="S1245" i="3"/>
  <c r="AD1245" i="3"/>
  <c r="S1244" i="3"/>
  <c r="AD1244" i="3"/>
  <c r="S1243" i="3"/>
  <c r="AD1243" i="3"/>
  <c r="S1242" i="3"/>
  <c r="AD1242" i="3"/>
  <c r="S1241" i="3"/>
  <c r="AD1241" i="3"/>
  <c r="S1240" i="3"/>
  <c r="AD1240" i="3"/>
  <c r="S1239" i="3"/>
  <c r="AD1239" i="3"/>
  <c r="S1238" i="3"/>
  <c r="AD1238" i="3"/>
  <c r="S1237" i="3"/>
  <c r="AD1237" i="3"/>
  <c r="S1236" i="3"/>
  <c r="AD1236" i="3"/>
  <c r="S1235" i="3"/>
  <c r="AD1235" i="3"/>
  <c r="S1234" i="3"/>
  <c r="AD1234" i="3"/>
  <c r="S1233" i="3"/>
  <c r="AD1233" i="3"/>
  <c r="S1232" i="3"/>
  <c r="AD1232" i="3"/>
  <c r="S1231" i="3"/>
  <c r="AD1231" i="3"/>
  <c r="S1230" i="3"/>
  <c r="AD1230" i="3"/>
  <c r="S1229" i="3"/>
  <c r="AD1229" i="3"/>
  <c r="S1228" i="3"/>
  <c r="AD1228" i="3"/>
  <c r="S1227" i="3"/>
  <c r="AD1227" i="3"/>
  <c r="S1226" i="3"/>
  <c r="AD1226" i="3"/>
  <c r="S1225" i="3"/>
  <c r="AD1225" i="3"/>
  <c r="S1224" i="3"/>
  <c r="AD1224" i="3"/>
  <c r="S1223" i="3"/>
  <c r="AD1223" i="3"/>
  <c r="S1222" i="3"/>
  <c r="AD1222" i="3"/>
  <c r="S1221" i="3"/>
  <c r="AD1221" i="3"/>
  <c r="S1220" i="3"/>
  <c r="AD1220" i="3"/>
  <c r="S1219" i="3"/>
  <c r="AD1219" i="3"/>
  <c r="S1218" i="3"/>
  <c r="AD1218" i="3"/>
  <c r="S1217" i="3"/>
  <c r="AD1217" i="3"/>
  <c r="S1216" i="3"/>
  <c r="AD1216" i="3"/>
  <c r="S1215" i="3"/>
  <c r="AD1215" i="3"/>
  <c r="S1214" i="3"/>
  <c r="AD1214" i="3"/>
  <c r="S1213" i="3"/>
  <c r="AD1213" i="3"/>
  <c r="S1212" i="3"/>
  <c r="AD1212" i="3"/>
  <c r="S1211" i="3"/>
  <c r="AD1211" i="3"/>
  <c r="S1210" i="3"/>
  <c r="AD1210" i="3"/>
  <c r="S1209" i="3"/>
  <c r="AD1209" i="3"/>
  <c r="S1208" i="3"/>
  <c r="AD1208" i="3"/>
  <c r="S1207" i="3"/>
  <c r="AD1207" i="3"/>
  <c r="S1206" i="3"/>
  <c r="AD1206" i="3"/>
  <c r="S1205" i="3"/>
  <c r="AD1205" i="3"/>
  <c r="S1204" i="3"/>
  <c r="AD1204" i="3"/>
  <c r="S1203" i="3"/>
  <c r="AD1203" i="3"/>
  <c r="S1202" i="3"/>
  <c r="AD1202" i="3"/>
  <c r="S1201" i="3"/>
  <c r="AD1201" i="3"/>
  <c r="S1200" i="3"/>
  <c r="AD1200" i="3"/>
  <c r="S1199" i="3"/>
  <c r="AD1199" i="3"/>
  <c r="S1198" i="3"/>
  <c r="AD1198" i="3"/>
  <c r="S1197" i="3"/>
  <c r="AD1197" i="3"/>
  <c r="S1196" i="3"/>
  <c r="AD1196" i="3"/>
  <c r="S1195" i="3"/>
  <c r="AD1195" i="3"/>
  <c r="S1194" i="3"/>
  <c r="AD1194" i="3"/>
  <c r="S1193" i="3"/>
  <c r="AD1193" i="3"/>
  <c r="S1192" i="3"/>
  <c r="AD1192" i="3"/>
  <c r="S1191" i="3"/>
  <c r="AD1191" i="3"/>
  <c r="S1190" i="3"/>
  <c r="AD1190" i="3"/>
  <c r="S1189" i="3"/>
  <c r="AD1189" i="3"/>
  <c r="S1188" i="3"/>
  <c r="AD1188" i="3"/>
  <c r="S1187" i="3"/>
  <c r="AD1187" i="3"/>
  <c r="S1186" i="3"/>
  <c r="AD1186" i="3"/>
  <c r="S1185" i="3"/>
  <c r="AD1185" i="3"/>
  <c r="S1184" i="3"/>
  <c r="AD1184" i="3"/>
  <c r="S1183" i="3"/>
  <c r="AD1183" i="3"/>
  <c r="S1182" i="3"/>
  <c r="AD1182" i="3"/>
  <c r="S1181" i="3"/>
  <c r="AD1181" i="3"/>
  <c r="S1180" i="3"/>
  <c r="AD1180" i="3"/>
  <c r="S1179" i="3"/>
  <c r="AD1179" i="3"/>
  <c r="S1178" i="3"/>
  <c r="AD1178" i="3"/>
  <c r="S1177" i="3"/>
  <c r="AD1177" i="3"/>
  <c r="S1176" i="3"/>
  <c r="AD1176" i="3"/>
  <c r="S1175" i="3"/>
  <c r="AD1175" i="3"/>
  <c r="S1174" i="3"/>
  <c r="AD1174" i="3"/>
  <c r="S1173" i="3"/>
  <c r="AD1173" i="3"/>
  <c r="S1172" i="3"/>
  <c r="AD1172" i="3"/>
  <c r="S1171" i="3"/>
  <c r="AD1171" i="3"/>
  <c r="S1170" i="3"/>
  <c r="AD1170" i="3"/>
  <c r="S1169" i="3"/>
  <c r="AD1169" i="3"/>
  <c r="S1168" i="3"/>
  <c r="AD1168" i="3"/>
  <c r="S1167" i="3"/>
  <c r="AD1167" i="3"/>
  <c r="S1166" i="3"/>
  <c r="AD1166" i="3"/>
  <c r="S1165" i="3"/>
  <c r="AD1165" i="3"/>
  <c r="S1164" i="3"/>
  <c r="AD1164" i="3"/>
  <c r="S1163" i="3"/>
  <c r="AD1163" i="3"/>
  <c r="S1162" i="3"/>
  <c r="AD1162" i="3"/>
  <c r="S1161" i="3"/>
  <c r="AD1161" i="3"/>
  <c r="S1160" i="3"/>
  <c r="AD1160" i="3"/>
  <c r="S1159" i="3"/>
  <c r="AD1159" i="3"/>
  <c r="S1158" i="3"/>
  <c r="AD1158" i="3"/>
  <c r="S1157" i="3"/>
  <c r="AD1157" i="3"/>
  <c r="S1156" i="3"/>
  <c r="AD1156" i="3"/>
  <c r="S1155" i="3"/>
  <c r="AD1155" i="3"/>
  <c r="S1154" i="3"/>
  <c r="AD1154" i="3"/>
  <c r="S1153" i="3"/>
  <c r="AD1153" i="3"/>
  <c r="S1152" i="3"/>
  <c r="AD1152" i="3"/>
  <c r="S1151" i="3"/>
  <c r="AD1151" i="3"/>
  <c r="S1150" i="3"/>
  <c r="AD1150" i="3"/>
  <c r="S1149" i="3"/>
  <c r="AD1149" i="3"/>
  <c r="S1148" i="3"/>
  <c r="AD1148" i="3"/>
  <c r="S1147" i="3"/>
  <c r="AD1147" i="3"/>
  <c r="S1146" i="3"/>
  <c r="AD1146" i="3"/>
  <c r="S1145" i="3"/>
  <c r="AD1145" i="3"/>
  <c r="S1144" i="3"/>
  <c r="AD1144" i="3"/>
  <c r="S1143" i="3"/>
  <c r="AD1143" i="3"/>
  <c r="S1142" i="3"/>
  <c r="AD1142" i="3"/>
  <c r="S1141" i="3"/>
  <c r="AD1141" i="3"/>
  <c r="S1140" i="3"/>
  <c r="AD1140" i="3"/>
  <c r="S1139" i="3"/>
  <c r="AD1139" i="3"/>
  <c r="S1138" i="3"/>
  <c r="AD1138" i="3"/>
  <c r="S1137" i="3"/>
  <c r="AD1137" i="3"/>
  <c r="S1136" i="3"/>
  <c r="AD1136" i="3"/>
  <c r="S1135" i="3"/>
  <c r="AD1135" i="3"/>
  <c r="S1134" i="3"/>
  <c r="AD1134" i="3"/>
  <c r="S1133" i="3"/>
  <c r="AD1133" i="3"/>
  <c r="S1132" i="3"/>
  <c r="AD1132" i="3"/>
  <c r="S1131" i="3"/>
  <c r="AD1131" i="3"/>
  <c r="S1130" i="3"/>
  <c r="AD1130" i="3"/>
  <c r="S1129" i="3"/>
  <c r="AD1129" i="3"/>
  <c r="S1128" i="3"/>
  <c r="AD1128" i="3"/>
  <c r="S1127" i="3"/>
  <c r="AD1127" i="3"/>
  <c r="S1126" i="3"/>
  <c r="AD1126" i="3"/>
  <c r="S1125" i="3"/>
  <c r="AD1125" i="3"/>
  <c r="S1124" i="3"/>
  <c r="AD1124" i="3"/>
  <c r="S1123" i="3"/>
  <c r="AD1123" i="3"/>
  <c r="S1122" i="3"/>
  <c r="AD1122" i="3"/>
  <c r="S1121" i="3"/>
  <c r="AD1121" i="3"/>
  <c r="S1120" i="3"/>
  <c r="AD1120" i="3"/>
  <c r="S1119" i="3"/>
  <c r="AD1119" i="3"/>
  <c r="S1118" i="3"/>
  <c r="AD1118" i="3"/>
  <c r="S1117" i="3"/>
  <c r="AD1117" i="3"/>
  <c r="S1116" i="3"/>
  <c r="AD1116" i="3"/>
  <c r="S1115" i="3"/>
  <c r="AD1115" i="3"/>
  <c r="S1114" i="3"/>
  <c r="AD1114" i="3"/>
  <c r="S1113" i="3"/>
  <c r="AD1113" i="3"/>
  <c r="S1112" i="3"/>
  <c r="AD1112" i="3"/>
  <c r="S1111" i="3"/>
  <c r="AD1111" i="3"/>
  <c r="S1110" i="3"/>
  <c r="AD1110" i="3"/>
  <c r="S1109" i="3"/>
  <c r="AD1109" i="3"/>
  <c r="S1108" i="3"/>
  <c r="AD1108" i="3"/>
  <c r="S1107" i="3"/>
  <c r="AD1107" i="3"/>
  <c r="S1106" i="3"/>
  <c r="AD1106" i="3"/>
  <c r="S1105" i="3"/>
  <c r="AD1105" i="3"/>
  <c r="S1104" i="3"/>
  <c r="AD1104" i="3"/>
  <c r="S1103" i="3"/>
  <c r="AD1103" i="3"/>
  <c r="S1102" i="3"/>
  <c r="AD1102" i="3"/>
  <c r="S1101" i="3"/>
  <c r="AD1101" i="3"/>
  <c r="S1100" i="3"/>
  <c r="AD1100" i="3"/>
  <c r="S1099" i="3"/>
  <c r="AD1099" i="3"/>
  <c r="S1098" i="3"/>
  <c r="AD1098" i="3"/>
  <c r="S1097" i="3"/>
  <c r="AD1097" i="3"/>
  <c r="S1096" i="3"/>
  <c r="AD1096" i="3"/>
  <c r="S1095" i="3"/>
  <c r="AD1095" i="3"/>
  <c r="S1094" i="3"/>
  <c r="AD1094" i="3"/>
  <c r="S1093" i="3"/>
  <c r="AD1093" i="3"/>
  <c r="S1092" i="3"/>
  <c r="AD1092" i="3"/>
  <c r="S1091" i="3"/>
  <c r="AD1091" i="3"/>
  <c r="S1090" i="3"/>
  <c r="AD1090" i="3"/>
  <c r="S1089" i="3"/>
  <c r="AD1089" i="3"/>
  <c r="S1088" i="3"/>
  <c r="AD1088" i="3"/>
  <c r="S1087" i="3"/>
  <c r="AD1087" i="3"/>
  <c r="S1086" i="3"/>
  <c r="AD1086" i="3"/>
  <c r="S1085" i="3"/>
  <c r="AD1085" i="3"/>
  <c r="S1084" i="3"/>
  <c r="AD1084" i="3"/>
  <c r="S1083" i="3"/>
  <c r="AD1083" i="3"/>
  <c r="S1082" i="3"/>
  <c r="AD1082" i="3"/>
  <c r="S1081" i="3"/>
  <c r="AD1081" i="3"/>
  <c r="S1080" i="3"/>
  <c r="AD1080" i="3"/>
  <c r="S1079" i="3"/>
  <c r="AD1079" i="3"/>
  <c r="S1078" i="3"/>
  <c r="AD1078" i="3"/>
  <c r="S1077" i="3"/>
  <c r="AD1077" i="3"/>
  <c r="S1076" i="3"/>
  <c r="AD1076" i="3"/>
  <c r="S1075" i="3"/>
  <c r="AD1075" i="3"/>
  <c r="S1074" i="3"/>
  <c r="AD1074" i="3"/>
  <c r="S1073" i="3"/>
  <c r="AD1073" i="3"/>
  <c r="S1072" i="3"/>
  <c r="AD1072" i="3"/>
  <c r="S1071" i="3"/>
  <c r="AD1071" i="3"/>
  <c r="S1070" i="3"/>
  <c r="AD1070" i="3"/>
  <c r="S1069" i="3"/>
  <c r="AD1069" i="3"/>
  <c r="S1068" i="3"/>
  <c r="AD1068" i="3"/>
  <c r="S1067" i="3"/>
  <c r="AD1067" i="3"/>
  <c r="S1066" i="3"/>
  <c r="AD1066" i="3"/>
  <c r="S1065" i="3"/>
  <c r="AD1065" i="3"/>
  <c r="S1064" i="3"/>
  <c r="AD1064" i="3"/>
  <c r="S1063" i="3"/>
  <c r="AD1063" i="3"/>
  <c r="S1062" i="3"/>
  <c r="AD1062" i="3"/>
  <c r="S1061" i="3"/>
  <c r="AD1061" i="3"/>
  <c r="S1060" i="3"/>
  <c r="AD1060" i="3"/>
  <c r="S1059" i="3"/>
  <c r="AD1059" i="3"/>
  <c r="S1058" i="3"/>
  <c r="AD1058" i="3"/>
  <c r="S1057" i="3"/>
  <c r="AD1057" i="3"/>
  <c r="S1056" i="3"/>
  <c r="AD1056" i="3"/>
  <c r="S1055" i="3"/>
  <c r="AD1055" i="3"/>
  <c r="S1054" i="3"/>
  <c r="AD1054" i="3"/>
  <c r="S1053" i="3"/>
  <c r="AD1053" i="3"/>
  <c r="S1052" i="3"/>
  <c r="AD1052" i="3"/>
  <c r="S1051" i="3"/>
  <c r="AD1051" i="3"/>
  <c r="S1050" i="3"/>
  <c r="AD1050" i="3"/>
  <c r="S1049" i="3"/>
  <c r="AD1049" i="3"/>
  <c r="S1048" i="3"/>
  <c r="AD1048" i="3"/>
  <c r="S1047" i="3"/>
  <c r="AD1047" i="3"/>
  <c r="S1046" i="3"/>
  <c r="AD1046" i="3"/>
  <c r="S1045" i="3"/>
  <c r="AD1045" i="3"/>
  <c r="S1044" i="3"/>
  <c r="AD1044" i="3"/>
  <c r="S1043" i="3"/>
  <c r="AD1043" i="3"/>
  <c r="S1042" i="3"/>
  <c r="AD1042" i="3"/>
  <c r="S1041" i="3"/>
  <c r="AD1041" i="3"/>
  <c r="S1040" i="3"/>
  <c r="AD1040" i="3"/>
  <c r="S1039" i="3"/>
  <c r="AD1039" i="3"/>
  <c r="S1038" i="3"/>
  <c r="AD1038" i="3"/>
  <c r="S1037" i="3"/>
  <c r="AD1037" i="3"/>
  <c r="S1036" i="3"/>
  <c r="AD1036" i="3"/>
  <c r="S1035" i="3"/>
  <c r="AD1035" i="3"/>
  <c r="S1034" i="3"/>
  <c r="AD1034" i="3"/>
  <c r="S1033" i="3"/>
  <c r="AD1033" i="3"/>
  <c r="S1032" i="3"/>
  <c r="AD1032" i="3"/>
  <c r="S1031" i="3"/>
  <c r="AD1031" i="3"/>
  <c r="S1030" i="3"/>
  <c r="AD1030" i="3"/>
  <c r="S1029" i="3"/>
  <c r="AD1029" i="3"/>
  <c r="S1028" i="3"/>
  <c r="AD1028" i="3"/>
  <c r="S1027" i="3"/>
  <c r="AD1027" i="3"/>
  <c r="S1026" i="3"/>
  <c r="AD1026" i="3"/>
  <c r="S1025" i="3"/>
  <c r="AD1025" i="3"/>
  <c r="S1024" i="3"/>
  <c r="AD1024" i="3"/>
  <c r="S1023" i="3"/>
  <c r="AD1023" i="3"/>
  <c r="S1022" i="3"/>
  <c r="AD1022" i="3"/>
  <c r="S1021" i="3"/>
  <c r="AD1021" i="3"/>
  <c r="S1020" i="3"/>
  <c r="AD1020" i="3"/>
  <c r="S1019" i="3"/>
  <c r="AD1019" i="3"/>
  <c r="S1018" i="3"/>
  <c r="AD1018" i="3"/>
  <c r="S1017" i="3"/>
  <c r="AD1017" i="3"/>
  <c r="S1016" i="3"/>
  <c r="AD1016" i="3"/>
  <c r="S1015" i="3"/>
  <c r="AD1015" i="3"/>
  <c r="S1014" i="3"/>
  <c r="AD1014" i="3"/>
  <c r="S1013" i="3"/>
  <c r="AD1013" i="3"/>
  <c r="S1012" i="3"/>
  <c r="AD1012" i="3"/>
  <c r="S1011" i="3"/>
  <c r="AD1011" i="3"/>
  <c r="S1010" i="3"/>
  <c r="AD1010" i="3"/>
  <c r="S1009" i="3"/>
  <c r="AD1009" i="3"/>
  <c r="S1008" i="3"/>
  <c r="AD1008" i="3"/>
  <c r="S1007" i="3"/>
  <c r="AD1007" i="3"/>
  <c r="S1006" i="3"/>
  <c r="AD1006" i="3"/>
  <c r="S1005" i="3"/>
  <c r="AD1005" i="3"/>
  <c r="S1004" i="3"/>
  <c r="AD1004" i="3"/>
  <c r="S1003" i="3"/>
  <c r="AD1003" i="3"/>
  <c r="S1002" i="3"/>
  <c r="AD1002" i="3"/>
  <c r="S1001" i="3"/>
  <c r="AD1001" i="3"/>
  <c r="S1000" i="3"/>
  <c r="AD1000" i="3"/>
  <c r="S999" i="3"/>
  <c r="AD999" i="3"/>
  <c r="S998" i="3"/>
  <c r="AD998" i="3"/>
  <c r="S997" i="3"/>
  <c r="AD997" i="3"/>
  <c r="S996" i="3"/>
  <c r="AD996" i="3"/>
  <c r="S995" i="3"/>
  <c r="AD995" i="3"/>
  <c r="S994" i="3"/>
  <c r="AD994" i="3"/>
  <c r="S993" i="3"/>
  <c r="AD993" i="3"/>
  <c r="S992" i="3"/>
  <c r="AD992" i="3"/>
  <c r="S991" i="3"/>
  <c r="AD991" i="3"/>
  <c r="S990" i="3"/>
  <c r="AD990" i="3"/>
  <c r="S989" i="3"/>
  <c r="AD989" i="3"/>
  <c r="S988" i="3"/>
  <c r="AD988" i="3"/>
  <c r="S987" i="3"/>
  <c r="AD987" i="3"/>
  <c r="S986" i="3"/>
  <c r="AD986" i="3"/>
  <c r="S985" i="3"/>
  <c r="AD985" i="3"/>
  <c r="S984" i="3"/>
  <c r="AD984" i="3"/>
  <c r="S983" i="3"/>
  <c r="AD983" i="3"/>
  <c r="S982" i="3"/>
  <c r="AD982" i="3"/>
  <c r="S981" i="3"/>
  <c r="AD981" i="3"/>
  <c r="S980" i="3"/>
  <c r="AD980" i="3"/>
  <c r="S979" i="3"/>
  <c r="AD979" i="3"/>
  <c r="S978" i="3"/>
  <c r="AD978" i="3"/>
  <c r="S977" i="3"/>
  <c r="AD977" i="3"/>
  <c r="S976" i="3"/>
  <c r="AD976" i="3"/>
  <c r="S975" i="3"/>
  <c r="AD975" i="3"/>
  <c r="S974" i="3"/>
  <c r="AD974" i="3"/>
  <c r="S973" i="3"/>
  <c r="AD973" i="3"/>
  <c r="S972" i="3"/>
  <c r="AD972" i="3"/>
  <c r="S971" i="3"/>
  <c r="AD971" i="3"/>
  <c r="S970" i="3"/>
  <c r="AD970" i="3"/>
  <c r="S969" i="3"/>
  <c r="AD969" i="3"/>
  <c r="S968" i="3"/>
  <c r="AD968" i="3"/>
  <c r="S967" i="3"/>
  <c r="AD967" i="3"/>
  <c r="S966" i="3"/>
  <c r="AD966" i="3"/>
  <c r="S965" i="3"/>
  <c r="AD965" i="3"/>
  <c r="S964" i="3"/>
  <c r="AD964" i="3"/>
  <c r="S963" i="3"/>
  <c r="AD963" i="3"/>
  <c r="S962" i="3"/>
  <c r="AD962" i="3"/>
  <c r="S961" i="3"/>
  <c r="AD961" i="3"/>
  <c r="S960" i="3"/>
  <c r="AD960" i="3"/>
  <c r="S959" i="3"/>
  <c r="AD959" i="3"/>
  <c r="S958" i="3"/>
  <c r="AD958" i="3"/>
  <c r="S957" i="3"/>
  <c r="AD957" i="3"/>
  <c r="S956" i="3"/>
  <c r="AD956" i="3"/>
  <c r="S955" i="3"/>
  <c r="AD955" i="3"/>
  <c r="S954" i="3"/>
  <c r="AD954" i="3"/>
  <c r="S953" i="3"/>
  <c r="AD953" i="3"/>
  <c r="S952" i="3"/>
  <c r="AD952" i="3"/>
  <c r="S951" i="3"/>
  <c r="AD951" i="3"/>
  <c r="S950" i="3"/>
  <c r="AD950" i="3"/>
  <c r="S949" i="3"/>
  <c r="AD949" i="3"/>
  <c r="S948" i="3"/>
  <c r="AD948" i="3"/>
  <c r="S947" i="3"/>
  <c r="AD947" i="3"/>
  <c r="S946" i="3"/>
  <c r="AD946" i="3"/>
  <c r="S945" i="3"/>
  <c r="AD945" i="3"/>
  <c r="S944" i="3"/>
  <c r="AD944" i="3"/>
  <c r="S943" i="3"/>
  <c r="AD943" i="3"/>
  <c r="S942" i="3"/>
  <c r="AD942" i="3"/>
  <c r="S941" i="3"/>
  <c r="AD941" i="3"/>
  <c r="S940" i="3"/>
  <c r="AD940" i="3"/>
  <c r="S939" i="3"/>
  <c r="AD939" i="3"/>
  <c r="S938" i="3"/>
  <c r="AD938" i="3"/>
  <c r="S937" i="3"/>
  <c r="AD937" i="3"/>
  <c r="S936" i="3"/>
  <c r="AD936" i="3"/>
  <c r="S935" i="3"/>
  <c r="AD935" i="3"/>
  <c r="S934" i="3"/>
  <c r="AD934" i="3"/>
  <c r="S933" i="3"/>
  <c r="AD933" i="3"/>
  <c r="S932" i="3"/>
  <c r="AD932" i="3"/>
  <c r="S931" i="3"/>
  <c r="AD931" i="3"/>
  <c r="S930" i="3"/>
  <c r="AD930" i="3"/>
  <c r="S929" i="3"/>
  <c r="AD929" i="3"/>
  <c r="S928" i="3"/>
  <c r="AD928" i="3"/>
  <c r="S927" i="3"/>
  <c r="AD927" i="3"/>
  <c r="S926" i="3"/>
  <c r="AD926" i="3"/>
  <c r="S925" i="3"/>
  <c r="AD925" i="3"/>
  <c r="S924" i="3"/>
  <c r="AD924" i="3"/>
  <c r="S923" i="3"/>
  <c r="AD923" i="3"/>
  <c r="S922" i="3"/>
  <c r="AD922" i="3"/>
  <c r="S921" i="3"/>
  <c r="AD921" i="3"/>
  <c r="S920" i="3"/>
  <c r="AD920" i="3"/>
  <c r="S919" i="3"/>
  <c r="AD919" i="3"/>
  <c r="S918" i="3"/>
  <c r="AD918" i="3"/>
  <c r="S917" i="3"/>
  <c r="AD917" i="3"/>
  <c r="S916" i="3"/>
  <c r="AD916" i="3"/>
  <c r="S915" i="3"/>
  <c r="AD915" i="3"/>
  <c r="S914" i="3"/>
  <c r="AD914" i="3"/>
  <c r="S913" i="3"/>
  <c r="AD913" i="3"/>
  <c r="S912" i="3"/>
  <c r="AD912" i="3"/>
  <c r="S911" i="3"/>
  <c r="AD911" i="3"/>
  <c r="S910" i="3"/>
  <c r="AD910" i="3"/>
  <c r="S909" i="3"/>
  <c r="AD909" i="3"/>
  <c r="S908" i="3"/>
  <c r="AD908" i="3"/>
  <c r="S907" i="3"/>
  <c r="AD907" i="3"/>
  <c r="S906" i="3"/>
  <c r="AD906" i="3"/>
  <c r="S905" i="3"/>
  <c r="AD905" i="3"/>
  <c r="S904" i="3"/>
  <c r="AD904" i="3"/>
  <c r="S903" i="3"/>
  <c r="AD903" i="3"/>
  <c r="S902" i="3"/>
  <c r="AD902" i="3"/>
  <c r="S901" i="3"/>
  <c r="AD901" i="3"/>
  <c r="S900" i="3"/>
  <c r="AD900" i="3"/>
  <c r="S899" i="3"/>
  <c r="AD899" i="3"/>
  <c r="S898" i="3"/>
  <c r="AD898" i="3"/>
  <c r="S897" i="3"/>
  <c r="AD897" i="3"/>
  <c r="S896" i="3"/>
  <c r="AD896" i="3"/>
  <c r="S895" i="3"/>
  <c r="AD895" i="3"/>
  <c r="S894" i="3"/>
  <c r="AD894" i="3"/>
  <c r="S893" i="3"/>
  <c r="AD893" i="3"/>
  <c r="S892" i="3"/>
  <c r="AD892" i="3"/>
  <c r="S891" i="3"/>
  <c r="AD891" i="3"/>
  <c r="S890" i="3"/>
  <c r="AD890" i="3"/>
  <c r="S889" i="3"/>
  <c r="AD889" i="3"/>
  <c r="S888" i="3"/>
  <c r="AD888" i="3"/>
  <c r="S887" i="3"/>
  <c r="AD887" i="3"/>
  <c r="S886" i="3"/>
  <c r="AD886" i="3"/>
  <c r="S885" i="3"/>
  <c r="AD885" i="3"/>
  <c r="S884" i="3"/>
  <c r="AD884" i="3"/>
  <c r="S883" i="3"/>
  <c r="AD883" i="3"/>
  <c r="S882" i="3"/>
  <c r="AD882" i="3"/>
  <c r="S881" i="3"/>
  <c r="AD881" i="3"/>
  <c r="S880" i="3"/>
  <c r="AD880" i="3"/>
  <c r="S879" i="3"/>
  <c r="AD879" i="3"/>
  <c r="S878" i="3"/>
  <c r="AD878" i="3"/>
  <c r="S877" i="3"/>
  <c r="AD877" i="3"/>
  <c r="S876" i="3"/>
  <c r="AD876" i="3"/>
  <c r="S875" i="3"/>
  <c r="AD875" i="3"/>
  <c r="S874" i="3"/>
  <c r="AD874" i="3"/>
  <c r="S873" i="3"/>
  <c r="AD873" i="3"/>
  <c r="S872" i="3"/>
  <c r="AD872" i="3"/>
  <c r="S871" i="3"/>
  <c r="AD871" i="3"/>
  <c r="S870" i="3"/>
  <c r="AD870" i="3"/>
  <c r="S869" i="3"/>
  <c r="AD869" i="3"/>
  <c r="S868" i="3"/>
  <c r="AD868" i="3"/>
  <c r="S867" i="3"/>
  <c r="AD867" i="3"/>
  <c r="S866" i="3"/>
  <c r="AD866" i="3"/>
  <c r="S865" i="3"/>
  <c r="AD865" i="3"/>
  <c r="S864" i="3"/>
  <c r="AD864" i="3"/>
  <c r="S863" i="3"/>
  <c r="AD863" i="3"/>
  <c r="S862" i="3"/>
  <c r="AD862" i="3"/>
  <c r="S861" i="3"/>
  <c r="AD861" i="3"/>
  <c r="S860" i="3"/>
  <c r="AD860" i="3"/>
  <c r="S859" i="3"/>
  <c r="AD859" i="3"/>
  <c r="S858" i="3"/>
  <c r="AD858" i="3"/>
  <c r="S857" i="3"/>
  <c r="AD857" i="3"/>
  <c r="S856" i="3"/>
  <c r="AD856" i="3"/>
  <c r="S855" i="3"/>
  <c r="AD855" i="3"/>
  <c r="S854" i="3"/>
  <c r="AD854" i="3"/>
  <c r="S853" i="3"/>
  <c r="AD853" i="3"/>
  <c r="S852" i="3"/>
  <c r="AD852" i="3"/>
  <c r="S851" i="3"/>
  <c r="AD851" i="3"/>
  <c r="S850" i="3"/>
  <c r="AD850" i="3"/>
  <c r="S849" i="3"/>
  <c r="AD849" i="3"/>
  <c r="S848" i="3"/>
  <c r="AD848" i="3"/>
  <c r="S847" i="3"/>
  <c r="AD847" i="3"/>
  <c r="S846" i="3"/>
  <c r="AD846" i="3"/>
  <c r="S845" i="3"/>
  <c r="AD845" i="3"/>
  <c r="S844" i="3"/>
  <c r="AD844" i="3"/>
  <c r="S843" i="3"/>
  <c r="AD843" i="3"/>
  <c r="S842" i="3"/>
  <c r="AD842" i="3"/>
  <c r="S841" i="3"/>
  <c r="AD841" i="3"/>
  <c r="S840" i="3"/>
  <c r="AD840" i="3"/>
  <c r="S839" i="3"/>
  <c r="AD839" i="3"/>
  <c r="S838" i="3"/>
  <c r="AD838" i="3"/>
  <c r="S837" i="3"/>
  <c r="AD837" i="3"/>
  <c r="S836" i="3"/>
  <c r="AD836" i="3"/>
  <c r="S835" i="3"/>
  <c r="AD835" i="3"/>
  <c r="S834" i="3"/>
  <c r="AD834" i="3"/>
  <c r="S833" i="3"/>
  <c r="AD833" i="3"/>
  <c r="S832" i="3"/>
  <c r="AD832" i="3"/>
  <c r="S831" i="3"/>
  <c r="AD831" i="3"/>
  <c r="S830" i="3"/>
  <c r="AD830" i="3"/>
  <c r="S829" i="3"/>
  <c r="AD829" i="3"/>
  <c r="S828" i="3"/>
  <c r="AD828" i="3"/>
  <c r="S827" i="3"/>
  <c r="AD827" i="3"/>
  <c r="S826" i="3"/>
  <c r="AD826" i="3"/>
  <c r="S825" i="3"/>
  <c r="AD825" i="3"/>
  <c r="S824" i="3"/>
  <c r="AD824" i="3"/>
  <c r="S823" i="3"/>
  <c r="AD823" i="3"/>
  <c r="S822" i="3"/>
  <c r="AD822" i="3"/>
  <c r="S821" i="3"/>
  <c r="AD821" i="3"/>
  <c r="S820" i="3"/>
  <c r="AD820" i="3"/>
  <c r="S819" i="3"/>
  <c r="AD819" i="3"/>
  <c r="S818" i="3"/>
  <c r="AD818" i="3"/>
  <c r="S817" i="3"/>
  <c r="AD817" i="3"/>
  <c r="S816" i="3"/>
  <c r="AD816" i="3"/>
  <c r="S815" i="3"/>
  <c r="AD815" i="3"/>
  <c r="S814" i="3"/>
  <c r="AD814" i="3"/>
  <c r="S813" i="3"/>
  <c r="AD813" i="3"/>
  <c r="S812" i="3"/>
  <c r="AD812" i="3"/>
  <c r="S811" i="3"/>
  <c r="AD811" i="3"/>
  <c r="S810" i="3"/>
  <c r="AD810" i="3"/>
  <c r="S809" i="3"/>
  <c r="AD809" i="3"/>
  <c r="S808" i="3"/>
  <c r="AD808" i="3"/>
  <c r="S807" i="3"/>
  <c r="AD807" i="3"/>
  <c r="S806" i="3"/>
  <c r="AD806" i="3"/>
  <c r="S805" i="3"/>
  <c r="AD805" i="3"/>
  <c r="S804" i="3"/>
  <c r="AD804" i="3"/>
  <c r="S803" i="3"/>
  <c r="AD803" i="3"/>
  <c r="S802" i="3"/>
  <c r="AD802" i="3"/>
  <c r="S801" i="3"/>
  <c r="AD801" i="3"/>
  <c r="S800" i="3"/>
  <c r="AD800" i="3"/>
  <c r="S799" i="3"/>
  <c r="AD799" i="3"/>
  <c r="S798" i="3"/>
  <c r="AD798" i="3"/>
  <c r="S797" i="3"/>
  <c r="AD797" i="3"/>
  <c r="S796" i="3"/>
  <c r="AD796" i="3"/>
  <c r="S795" i="3"/>
  <c r="AD795" i="3"/>
  <c r="S794" i="3"/>
  <c r="AD794" i="3"/>
  <c r="S793" i="3"/>
  <c r="AD793" i="3"/>
  <c r="S792" i="3"/>
  <c r="AD792" i="3"/>
  <c r="S791" i="3"/>
  <c r="AD791" i="3"/>
  <c r="S790" i="3"/>
  <c r="AD790" i="3"/>
  <c r="S789" i="3"/>
  <c r="AD789" i="3"/>
  <c r="S788" i="3"/>
  <c r="AD788" i="3"/>
  <c r="S787" i="3"/>
  <c r="AD787" i="3"/>
  <c r="S786" i="3"/>
  <c r="AD786" i="3"/>
  <c r="S785" i="3"/>
  <c r="AD785" i="3"/>
  <c r="S784" i="3"/>
  <c r="AD784" i="3"/>
  <c r="S783" i="3"/>
  <c r="AD783" i="3"/>
  <c r="S782" i="3"/>
  <c r="AD782" i="3"/>
  <c r="S781" i="3"/>
  <c r="AD781" i="3"/>
  <c r="S780" i="3"/>
  <c r="AD780" i="3"/>
  <c r="S779" i="3"/>
  <c r="AD779" i="3"/>
  <c r="S778" i="3"/>
  <c r="AD778" i="3"/>
  <c r="S777" i="3"/>
  <c r="AD777" i="3"/>
  <c r="S776" i="3"/>
  <c r="AD776" i="3"/>
  <c r="S775" i="3"/>
  <c r="AD775" i="3"/>
  <c r="S774" i="3"/>
  <c r="AD774" i="3"/>
  <c r="S773" i="3"/>
  <c r="AD773" i="3"/>
  <c r="S772" i="3"/>
  <c r="AD772" i="3"/>
  <c r="S771" i="3"/>
  <c r="AD771" i="3"/>
  <c r="S770" i="3"/>
  <c r="AD770" i="3"/>
  <c r="S769" i="3"/>
  <c r="AD769" i="3"/>
  <c r="S768" i="3"/>
  <c r="AD768" i="3"/>
  <c r="S767" i="3"/>
  <c r="AD767" i="3"/>
  <c r="S766" i="3"/>
  <c r="AD766" i="3"/>
  <c r="S765" i="3"/>
  <c r="AD765" i="3"/>
  <c r="S764" i="3"/>
  <c r="AD764" i="3"/>
  <c r="S763" i="3"/>
  <c r="AD763" i="3"/>
  <c r="S762" i="3"/>
  <c r="AD762" i="3"/>
  <c r="S761" i="3"/>
  <c r="AD761" i="3"/>
  <c r="S760" i="3"/>
  <c r="AD760" i="3"/>
  <c r="S759" i="3"/>
  <c r="AD759" i="3"/>
  <c r="S758" i="3"/>
  <c r="AD758" i="3"/>
  <c r="S757" i="3"/>
  <c r="AD757" i="3"/>
  <c r="S756" i="3"/>
  <c r="AD756" i="3"/>
  <c r="S755" i="3"/>
  <c r="AD755" i="3"/>
  <c r="S754" i="3"/>
  <c r="AD754" i="3"/>
  <c r="S753" i="3"/>
  <c r="AD753" i="3"/>
  <c r="S752" i="3"/>
  <c r="AD752" i="3"/>
  <c r="S751" i="3"/>
  <c r="AD751" i="3"/>
  <c r="S750" i="3"/>
  <c r="AD750" i="3"/>
  <c r="S749" i="3"/>
  <c r="AD749" i="3"/>
  <c r="S748" i="3"/>
  <c r="AD748" i="3"/>
  <c r="S747" i="3"/>
  <c r="AD747" i="3"/>
  <c r="S746" i="3"/>
  <c r="AD746" i="3"/>
  <c r="S745" i="3"/>
  <c r="AD745" i="3"/>
  <c r="S744" i="3"/>
  <c r="AD744" i="3"/>
  <c r="S743" i="3"/>
  <c r="AD743" i="3"/>
  <c r="S742" i="3"/>
  <c r="AD742" i="3"/>
  <c r="S741" i="3"/>
  <c r="AD741" i="3"/>
  <c r="S740" i="3"/>
  <c r="AD740" i="3"/>
  <c r="S739" i="3"/>
  <c r="AD739" i="3"/>
  <c r="S738" i="3"/>
  <c r="AD738" i="3"/>
  <c r="S737" i="3"/>
  <c r="AD737" i="3"/>
  <c r="S736" i="3"/>
  <c r="AD736" i="3"/>
  <c r="S735" i="3"/>
  <c r="AD735" i="3"/>
  <c r="S734" i="3"/>
  <c r="AD734" i="3"/>
  <c r="S733" i="3"/>
  <c r="AD733" i="3"/>
  <c r="S732" i="3"/>
  <c r="AD732" i="3"/>
  <c r="S731" i="3"/>
  <c r="AD731" i="3"/>
  <c r="S730" i="3"/>
  <c r="AD730" i="3"/>
  <c r="S729" i="3"/>
  <c r="AD729" i="3"/>
  <c r="S728" i="3"/>
  <c r="AD728" i="3"/>
  <c r="S727" i="3"/>
  <c r="AD727" i="3"/>
  <c r="S726" i="3"/>
  <c r="AD726" i="3"/>
  <c r="S725" i="3"/>
  <c r="AD725" i="3"/>
  <c r="S724" i="3"/>
  <c r="AD724" i="3"/>
  <c r="S723" i="3"/>
  <c r="AD723" i="3"/>
  <c r="S722" i="3"/>
  <c r="AD722" i="3"/>
  <c r="S721" i="3"/>
  <c r="AD721" i="3"/>
  <c r="S720" i="3"/>
  <c r="AD720" i="3"/>
  <c r="S719" i="3"/>
  <c r="AD719" i="3"/>
  <c r="S718" i="3"/>
  <c r="AD718" i="3"/>
  <c r="S717" i="3"/>
  <c r="AD717" i="3"/>
  <c r="S716" i="3"/>
  <c r="AD716" i="3"/>
  <c r="S715" i="3"/>
  <c r="AD715" i="3"/>
  <c r="S714" i="3"/>
  <c r="AD714" i="3"/>
  <c r="S713" i="3"/>
  <c r="AD713" i="3"/>
  <c r="S712" i="3"/>
  <c r="AD712" i="3"/>
  <c r="S711" i="3"/>
  <c r="AD711" i="3"/>
  <c r="S710" i="3"/>
  <c r="AD710" i="3"/>
  <c r="S709" i="3"/>
  <c r="AD709" i="3"/>
  <c r="S708" i="3"/>
  <c r="AD708" i="3"/>
  <c r="S707" i="3"/>
  <c r="AD707" i="3"/>
  <c r="S706" i="3"/>
  <c r="AD706" i="3"/>
  <c r="S705" i="3"/>
  <c r="AD705" i="3"/>
  <c r="S704" i="3"/>
  <c r="AD704" i="3"/>
  <c r="S703" i="3"/>
  <c r="AD703" i="3"/>
  <c r="S702" i="3"/>
  <c r="AD702" i="3"/>
  <c r="S701" i="3"/>
  <c r="AD701" i="3"/>
  <c r="S700" i="3"/>
  <c r="AD700" i="3"/>
  <c r="S699" i="3"/>
  <c r="AD699" i="3"/>
  <c r="S698" i="3"/>
  <c r="AD698" i="3"/>
  <c r="S697" i="3"/>
  <c r="AD697" i="3"/>
  <c r="S696" i="3"/>
  <c r="AD696" i="3"/>
  <c r="S695" i="3"/>
  <c r="AD695" i="3"/>
  <c r="S694" i="3"/>
  <c r="AD694" i="3"/>
  <c r="S693" i="3"/>
  <c r="AD693" i="3"/>
  <c r="S692" i="3"/>
  <c r="AD692" i="3"/>
  <c r="S691" i="3"/>
  <c r="AD691" i="3"/>
  <c r="S690" i="3"/>
  <c r="AD690" i="3"/>
  <c r="S689" i="3"/>
  <c r="AD689" i="3"/>
  <c r="S688" i="3"/>
  <c r="AD688" i="3"/>
  <c r="S687" i="3"/>
  <c r="AD687" i="3"/>
  <c r="S686" i="3"/>
  <c r="AD686" i="3"/>
  <c r="S685" i="3"/>
  <c r="AD685" i="3"/>
  <c r="S684" i="3"/>
  <c r="AD684" i="3"/>
  <c r="S683" i="3"/>
  <c r="AD683" i="3"/>
  <c r="S682" i="3"/>
  <c r="AD682" i="3"/>
  <c r="S681" i="3"/>
  <c r="AD681" i="3"/>
  <c r="S680" i="3"/>
  <c r="AD680" i="3"/>
  <c r="S679" i="3"/>
  <c r="AD679" i="3"/>
  <c r="S678" i="3"/>
  <c r="AD678" i="3"/>
  <c r="S677" i="3"/>
  <c r="AD677" i="3"/>
  <c r="S676" i="3"/>
  <c r="AD676" i="3"/>
  <c r="S675" i="3"/>
  <c r="AD675" i="3"/>
  <c r="S674" i="3"/>
  <c r="AD674" i="3"/>
  <c r="S673" i="3"/>
  <c r="AD673" i="3"/>
  <c r="S672" i="3"/>
  <c r="AD672" i="3"/>
  <c r="S671" i="3"/>
  <c r="AD671" i="3"/>
  <c r="S670" i="3"/>
  <c r="AD670" i="3"/>
  <c r="S669" i="3"/>
  <c r="AD669" i="3"/>
  <c r="S668" i="3"/>
  <c r="AD668" i="3"/>
  <c r="S667" i="3"/>
  <c r="AD667" i="3"/>
  <c r="S666" i="3"/>
  <c r="AD666" i="3"/>
  <c r="S665" i="3"/>
  <c r="AD665" i="3"/>
  <c r="S664" i="3"/>
  <c r="AD664" i="3"/>
  <c r="S663" i="3"/>
  <c r="AD663" i="3"/>
  <c r="S662" i="3"/>
  <c r="AD662" i="3"/>
  <c r="S661" i="3"/>
  <c r="AD661" i="3"/>
  <c r="S660" i="3"/>
  <c r="AD660" i="3"/>
  <c r="S659" i="3"/>
  <c r="AD659" i="3"/>
  <c r="S658" i="3"/>
  <c r="AD658" i="3"/>
  <c r="S657" i="3"/>
  <c r="AD657" i="3"/>
  <c r="S656" i="3"/>
  <c r="AD656" i="3"/>
  <c r="S655" i="3"/>
  <c r="AD655" i="3"/>
  <c r="S654" i="3"/>
  <c r="AD654" i="3"/>
  <c r="S653" i="3"/>
  <c r="AD653" i="3"/>
  <c r="S652" i="3"/>
  <c r="AD652" i="3"/>
  <c r="S651" i="3"/>
  <c r="AD651" i="3"/>
  <c r="S650" i="3"/>
  <c r="AD650" i="3"/>
  <c r="S649" i="3"/>
  <c r="AD649" i="3"/>
  <c r="S648" i="3"/>
  <c r="AD648" i="3"/>
  <c r="S647" i="3"/>
  <c r="AD647" i="3"/>
  <c r="S646" i="3"/>
  <c r="AD646" i="3"/>
  <c r="S645" i="3"/>
  <c r="AD645" i="3"/>
  <c r="S644" i="3"/>
  <c r="AD644" i="3"/>
  <c r="S643" i="3"/>
  <c r="AD643" i="3"/>
  <c r="S642" i="3"/>
  <c r="AD642" i="3"/>
  <c r="S641" i="3"/>
  <c r="AD641" i="3"/>
  <c r="S640" i="3"/>
  <c r="AD640" i="3"/>
  <c r="S639" i="3"/>
  <c r="AD639" i="3"/>
  <c r="S638" i="3"/>
  <c r="AD638" i="3"/>
  <c r="S637" i="3"/>
  <c r="AD637" i="3"/>
  <c r="S636" i="3"/>
  <c r="AD636" i="3"/>
  <c r="S635" i="3"/>
  <c r="AD635" i="3"/>
  <c r="S634" i="3"/>
  <c r="AD634" i="3"/>
  <c r="S633" i="3"/>
  <c r="AD633" i="3"/>
  <c r="S632" i="3"/>
  <c r="AD632" i="3"/>
  <c r="S631" i="3"/>
  <c r="AD631" i="3"/>
  <c r="S630" i="3"/>
  <c r="AD630" i="3"/>
  <c r="S629" i="3"/>
  <c r="AD629" i="3"/>
  <c r="S628" i="3"/>
  <c r="AD628" i="3"/>
  <c r="S627" i="3"/>
  <c r="AD627" i="3"/>
  <c r="S626" i="3"/>
  <c r="AD626" i="3"/>
  <c r="S625" i="3"/>
  <c r="AD625" i="3"/>
  <c r="S624" i="3"/>
  <c r="AD624" i="3"/>
  <c r="S623" i="3"/>
  <c r="AD623" i="3"/>
  <c r="S622" i="3"/>
  <c r="AD622" i="3"/>
  <c r="S621" i="3"/>
  <c r="AD621" i="3"/>
  <c r="S620" i="3"/>
  <c r="AD620" i="3"/>
  <c r="S619" i="3"/>
  <c r="AD619" i="3"/>
  <c r="S618" i="3"/>
  <c r="AD618" i="3"/>
  <c r="S617" i="3"/>
  <c r="AD617" i="3"/>
  <c r="S616" i="3"/>
  <c r="AD616" i="3"/>
  <c r="S615" i="3"/>
  <c r="AD615" i="3"/>
  <c r="S614" i="3"/>
  <c r="AD614" i="3"/>
  <c r="S613" i="3"/>
  <c r="AD613" i="3"/>
  <c r="S612" i="3"/>
  <c r="AD612" i="3"/>
  <c r="S611" i="3"/>
  <c r="AD611" i="3"/>
  <c r="S610" i="3"/>
  <c r="AD610" i="3"/>
  <c r="S609" i="3"/>
  <c r="AD609" i="3"/>
  <c r="S608" i="3"/>
  <c r="AD608" i="3"/>
  <c r="S607" i="3"/>
  <c r="AD607" i="3"/>
  <c r="S606" i="3"/>
  <c r="AD606" i="3"/>
  <c r="S605" i="3"/>
  <c r="AD605" i="3"/>
  <c r="S604" i="3"/>
  <c r="AD604" i="3"/>
  <c r="S603" i="3"/>
  <c r="AD603" i="3"/>
  <c r="S602" i="3"/>
  <c r="AD602" i="3"/>
  <c r="S601" i="3"/>
  <c r="AD601" i="3"/>
  <c r="S600" i="3"/>
  <c r="AD600" i="3"/>
  <c r="S599" i="3"/>
  <c r="AD599" i="3"/>
  <c r="S598" i="3"/>
  <c r="AD598" i="3"/>
  <c r="S597" i="3"/>
  <c r="AD597" i="3"/>
  <c r="S596" i="3"/>
  <c r="AD596" i="3"/>
  <c r="S595" i="3"/>
  <c r="AD595" i="3"/>
  <c r="S594" i="3"/>
  <c r="AD594" i="3"/>
  <c r="S593" i="3"/>
  <c r="AD593" i="3"/>
  <c r="S592" i="3"/>
  <c r="AD592" i="3"/>
  <c r="S591" i="3"/>
  <c r="AD591" i="3"/>
  <c r="S590" i="3"/>
  <c r="AD590" i="3"/>
  <c r="S589" i="3"/>
  <c r="AD589" i="3"/>
  <c r="S588" i="3"/>
  <c r="AD588" i="3"/>
  <c r="S587" i="3"/>
  <c r="AD587" i="3"/>
  <c r="S586" i="3"/>
  <c r="AD586" i="3"/>
  <c r="S585" i="3"/>
  <c r="AD585" i="3"/>
  <c r="S584" i="3"/>
  <c r="AD584" i="3"/>
  <c r="S583" i="3"/>
  <c r="AD583" i="3"/>
  <c r="S582" i="3"/>
  <c r="AD582" i="3"/>
  <c r="S581" i="3"/>
  <c r="AD581" i="3"/>
  <c r="S580" i="3"/>
  <c r="AD580" i="3"/>
  <c r="S579" i="3"/>
  <c r="AD579" i="3"/>
  <c r="S578" i="3"/>
  <c r="AD578" i="3"/>
  <c r="S577" i="3"/>
  <c r="AD577" i="3"/>
  <c r="S576" i="3"/>
  <c r="AD576" i="3"/>
  <c r="S575" i="3"/>
  <c r="AD575" i="3"/>
  <c r="S574" i="3"/>
  <c r="AD574" i="3"/>
  <c r="S573" i="3"/>
  <c r="AD573" i="3"/>
  <c r="S572" i="3"/>
  <c r="AD572" i="3"/>
  <c r="S571" i="3"/>
  <c r="AD571" i="3"/>
  <c r="S570" i="3"/>
  <c r="AD570" i="3"/>
  <c r="S569" i="3"/>
  <c r="AD569" i="3"/>
  <c r="S568" i="3"/>
  <c r="AD568" i="3"/>
  <c r="S567" i="3"/>
  <c r="AD567" i="3"/>
  <c r="S566" i="3"/>
  <c r="AD566" i="3"/>
  <c r="S565" i="3"/>
  <c r="AD565" i="3"/>
  <c r="S564" i="3"/>
  <c r="AD564" i="3"/>
  <c r="S563" i="3"/>
  <c r="AD563" i="3"/>
  <c r="S562" i="3"/>
  <c r="AD562" i="3"/>
  <c r="S561" i="3"/>
  <c r="AD561" i="3"/>
  <c r="S560" i="3"/>
  <c r="AD560" i="3"/>
  <c r="S559" i="3"/>
  <c r="AD559" i="3"/>
  <c r="S558" i="3"/>
  <c r="AD558" i="3"/>
  <c r="S557" i="3"/>
  <c r="AD557" i="3"/>
  <c r="S556" i="3"/>
  <c r="AD556" i="3"/>
  <c r="S555" i="3"/>
  <c r="AD555" i="3"/>
  <c r="S554" i="3"/>
  <c r="AD554" i="3"/>
  <c r="S553" i="3"/>
  <c r="AD553" i="3"/>
  <c r="S552" i="3"/>
  <c r="AD552" i="3"/>
  <c r="S551" i="3"/>
  <c r="AD551" i="3"/>
  <c r="S550" i="3"/>
  <c r="AD550" i="3"/>
  <c r="S549" i="3"/>
  <c r="AD549" i="3"/>
  <c r="S548" i="3"/>
  <c r="AD548" i="3"/>
  <c r="S547" i="3"/>
  <c r="AD547" i="3"/>
  <c r="S546" i="3"/>
  <c r="AD546" i="3"/>
  <c r="S545" i="3"/>
  <c r="AD545" i="3"/>
  <c r="S544" i="3"/>
  <c r="AD544" i="3"/>
  <c r="S543" i="3"/>
  <c r="AD543" i="3"/>
  <c r="S542" i="3"/>
  <c r="AD542" i="3"/>
  <c r="S541" i="3"/>
  <c r="AD541" i="3"/>
  <c r="S540" i="3"/>
  <c r="AD540" i="3"/>
  <c r="S539" i="3"/>
  <c r="AD539" i="3"/>
  <c r="S538" i="3"/>
  <c r="AD538" i="3"/>
  <c r="S537" i="3"/>
  <c r="AD537" i="3"/>
  <c r="S536" i="3"/>
  <c r="AD536" i="3"/>
  <c r="S535" i="3"/>
  <c r="AD535" i="3"/>
  <c r="S534" i="3"/>
  <c r="AD534" i="3"/>
  <c r="S533" i="3"/>
  <c r="AD533" i="3"/>
  <c r="S532" i="3"/>
  <c r="AD532" i="3"/>
  <c r="S531" i="3"/>
  <c r="AD531" i="3"/>
  <c r="S530" i="3"/>
  <c r="AD530" i="3"/>
  <c r="S529" i="3"/>
  <c r="AD529" i="3"/>
  <c r="S528" i="3"/>
  <c r="AD528" i="3"/>
  <c r="S527" i="3"/>
  <c r="AD527" i="3"/>
  <c r="S526" i="3"/>
  <c r="AD526" i="3"/>
  <c r="S525" i="3"/>
  <c r="AD525" i="3"/>
  <c r="S524" i="3"/>
  <c r="AD524" i="3"/>
  <c r="S523" i="3"/>
  <c r="AD523" i="3"/>
  <c r="S522" i="3"/>
  <c r="AD522" i="3"/>
  <c r="S521" i="3"/>
  <c r="AD521" i="3"/>
  <c r="S520" i="3"/>
  <c r="AD520" i="3"/>
  <c r="S519" i="3"/>
  <c r="AD519" i="3"/>
  <c r="S518" i="3"/>
  <c r="AD518" i="3"/>
  <c r="S517" i="3"/>
  <c r="AD517" i="3"/>
  <c r="S516" i="3"/>
  <c r="AD516" i="3"/>
  <c r="S515" i="3"/>
  <c r="AD515" i="3"/>
  <c r="S514" i="3"/>
  <c r="AD514" i="3"/>
  <c r="S513" i="3"/>
  <c r="AD513" i="3"/>
  <c r="S512" i="3"/>
  <c r="AD512" i="3"/>
  <c r="S511" i="3"/>
  <c r="AD511" i="3"/>
  <c r="S510" i="3"/>
  <c r="AD510" i="3"/>
  <c r="S509" i="3"/>
  <c r="AD509" i="3"/>
  <c r="S508" i="3"/>
  <c r="AD508" i="3"/>
  <c r="S507" i="3"/>
  <c r="AD507" i="3"/>
  <c r="S506" i="3"/>
  <c r="AD506" i="3"/>
  <c r="S505" i="3"/>
  <c r="AD505" i="3"/>
  <c r="S504" i="3"/>
  <c r="AD504" i="3"/>
  <c r="S503" i="3"/>
  <c r="AD503" i="3"/>
  <c r="S502" i="3"/>
  <c r="AD502" i="3"/>
  <c r="S501" i="3"/>
  <c r="AD501" i="3"/>
  <c r="S500" i="3"/>
  <c r="AD500" i="3"/>
  <c r="S499" i="3"/>
  <c r="AD499" i="3"/>
  <c r="S498" i="3"/>
  <c r="AD498" i="3"/>
  <c r="S497" i="3"/>
  <c r="AD497" i="3"/>
  <c r="S496" i="3"/>
  <c r="AD496" i="3"/>
  <c r="S495" i="3"/>
  <c r="AD495" i="3"/>
  <c r="S494" i="3"/>
  <c r="AD494" i="3"/>
  <c r="S493" i="3"/>
  <c r="AD493" i="3"/>
  <c r="S492" i="3"/>
  <c r="AD492" i="3"/>
  <c r="S491" i="3"/>
  <c r="AD491" i="3"/>
  <c r="S490" i="3"/>
  <c r="AD490" i="3"/>
  <c r="S489" i="3"/>
  <c r="AD489" i="3"/>
  <c r="S488" i="3"/>
  <c r="AD488" i="3"/>
  <c r="S487" i="3"/>
  <c r="AD487" i="3"/>
  <c r="S486" i="3"/>
  <c r="AD486" i="3"/>
  <c r="S485" i="3"/>
  <c r="AD485" i="3"/>
  <c r="S484" i="3"/>
  <c r="AD484" i="3"/>
  <c r="S483" i="3"/>
  <c r="AD483" i="3"/>
  <c r="S482" i="3"/>
  <c r="AD482" i="3"/>
  <c r="S481" i="3"/>
  <c r="AD481" i="3"/>
  <c r="S480" i="3"/>
  <c r="AD480" i="3"/>
  <c r="S479" i="3"/>
  <c r="AD479" i="3"/>
  <c r="S478" i="3"/>
  <c r="AD478" i="3"/>
  <c r="S477" i="3"/>
  <c r="AD477" i="3"/>
  <c r="S476" i="3"/>
  <c r="AD476" i="3"/>
  <c r="S475" i="3"/>
  <c r="AD475" i="3"/>
  <c r="S474" i="3"/>
  <c r="AD474" i="3"/>
  <c r="S473" i="3"/>
  <c r="AD473" i="3"/>
  <c r="S472" i="3"/>
  <c r="AD472" i="3"/>
  <c r="S471" i="3"/>
  <c r="AD471" i="3"/>
  <c r="S470" i="3"/>
  <c r="AD470" i="3"/>
  <c r="S469" i="3"/>
  <c r="AD469" i="3"/>
  <c r="S468" i="3"/>
  <c r="AD468" i="3"/>
  <c r="S467" i="3"/>
  <c r="AD467" i="3"/>
  <c r="S466" i="3"/>
  <c r="AD466" i="3"/>
  <c r="S465" i="3"/>
  <c r="AD465" i="3"/>
  <c r="S464" i="3"/>
  <c r="AD464" i="3"/>
  <c r="S463" i="3"/>
  <c r="AD463" i="3"/>
  <c r="S462" i="3"/>
  <c r="AD462" i="3"/>
  <c r="S461" i="3"/>
  <c r="AD461" i="3"/>
  <c r="S460" i="3"/>
  <c r="AD460" i="3"/>
  <c r="S459" i="3"/>
  <c r="AD459" i="3"/>
  <c r="S458" i="3"/>
  <c r="AD458" i="3"/>
  <c r="S457" i="3"/>
  <c r="AD457" i="3"/>
  <c r="S456" i="3"/>
  <c r="AD456" i="3"/>
  <c r="S455" i="3"/>
  <c r="AD455" i="3"/>
  <c r="S454" i="3"/>
  <c r="AD454" i="3"/>
  <c r="S453" i="3"/>
  <c r="AD453" i="3"/>
  <c r="S452" i="3"/>
  <c r="AD452" i="3"/>
  <c r="S451" i="3"/>
  <c r="AD451" i="3"/>
  <c r="S450" i="3"/>
  <c r="AD450" i="3"/>
  <c r="S449" i="3"/>
  <c r="AD449" i="3"/>
  <c r="S448" i="3"/>
  <c r="AD448" i="3"/>
  <c r="S447" i="3"/>
  <c r="AD447" i="3"/>
  <c r="S446" i="3"/>
  <c r="AD446" i="3"/>
  <c r="S445" i="3"/>
  <c r="AD445" i="3"/>
  <c r="S444" i="3"/>
  <c r="AD444" i="3"/>
  <c r="S443" i="3"/>
  <c r="AD443" i="3"/>
  <c r="S442" i="3"/>
  <c r="AD442" i="3"/>
  <c r="S441" i="3"/>
  <c r="AD441" i="3"/>
  <c r="S440" i="3"/>
  <c r="AD440" i="3"/>
  <c r="S439" i="3"/>
  <c r="AD439" i="3"/>
  <c r="S438" i="3"/>
  <c r="AD438" i="3"/>
  <c r="S437" i="3"/>
  <c r="AD437" i="3"/>
  <c r="S436" i="3"/>
  <c r="AD436" i="3"/>
  <c r="S435" i="3"/>
  <c r="AD435" i="3"/>
  <c r="S434" i="3"/>
  <c r="AD434" i="3"/>
  <c r="S433" i="3"/>
  <c r="AD433" i="3"/>
  <c r="S432" i="3"/>
  <c r="AD432" i="3"/>
  <c r="S431" i="3"/>
  <c r="AD431" i="3"/>
  <c r="S430" i="3"/>
  <c r="AD430" i="3"/>
  <c r="S429" i="3"/>
  <c r="AD429" i="3"/>
  <c r="S428" i="3"/>
  <c r="AD428" i="3"/>
  <c r="S427" i="3"/>
  <c r="AD427" i="3"/>
  <c r="S426" i="3"/>
  <c r="AD426" i="3"/>
  <c r="S425" i="3"/>
  <c r="AD425" i="3"/>
  <c r="S424" i="3"/>
  <c r="AD424" i="3"/>
  <c r="S423" i="3"/>
  <c r="AD423" i="3"/>
  <c r="S422" i="3"/>
  <c r="AD422" i="3"/>
  <c r="S421" i="3"/>
  <c r="AD421" i="3"/>
  <c r="S420" i="3"/>
  <c r="AD420" i="3"/>
  <c r="S419" i="3"/>
  <c r="AD419" i="3"/>
  <c r="S418" i="3"/>
  <c r="AD418" i="3"/>
  <c r="S417" i="3"/>
  <c r="AD417" i="3"/>
  <c r="S416" i="3"/>
  <c r="AD416" i="3"/>
  <c r="S415" i="3"/>
  <c r="AD415" i="3"/>
  <c r="S414" i="3"/>
  <c r="AD414" i="3"/>
  <c r="S413" i="3"/>
  <c r="AD413" i="3"/>
  <c r="S412" i="3"/>
  <c r="AD412" i="3"/>
  <c r="S411" i="3"/>
  <c r="AD411" i="3"/>
  <c r="S410" i="3"/>
  <c r="AD410" i="3"/>
  <c r="S409" i="3"/>
  <c r="AD409" i="3"/>
  <c r="S408" i="3"/>
  <c r="AD408" i="3"/>
  <c r="S407" i="3"/>
  <c r="AD407" i="3"/>
  <c r="S406" i="3"/>
  <c r="AD406" i="3"/>
  <c r="S405" i="3"/>
  <c r="AD405" i="3"/>
  <c r="S404" i="3"/>
  <c r="AD404" i="3"/>
  <c r="S403" i="3"/>
  <c r="AD403" i="3"/>
  <c r="S402" i="3"/>
  <c r="AD402" i="3"/>
  <c r="S401" i="3"/>
  <c r="AD401" i="3"/>
  <c r="S400" i="3"/>
  <c r="AD400" i="3"/>
  <c r="S399" i="3"/>
  <c r="AD399" i="3"/>
  <c r="S398" i="3"/>
  <c r="AD398" i="3"/>
  <c r="S397" i="3"/>
  <c r="AD397" i="3"/>
  <c r="S396" i="3"/>
  <c r="AD396" i="3"/>
  <c r="S395" i="3"/>
  <c r="AD395" i="3"/>
  <c r="S394" i="3"/>
  <c r="AD394" i="3"/>
  <c r="S393" i="3"/>
  <c r="AD393" i="3"/>
  <c r="S392" i="3"/>
  <c r="AD392" i="3"/>
  <c r="S391" i="3"/>
  <c r="AD391" i="3"/>
  <c r="S390" i="3"/>
  <c r="AD390" i="3"/>
  <c r="S389" i="3"/>
  <c r="AD389" i="3"/>
  <c r="S388" i="3"/>
  <c r="AD388" i="3"/>
  <c r="S387" i="3"/>
  <c r="AD387" i="3"/>
  <c r="S386" i="3"/>
  <c r="AD386" i="3"/>
  <c r="S385" i="3"/>
  <c r="AD385" i="3"/>
  <c r="S384" i="3"/>
  <c r="AD384" i="3"/>
  <c r="S383" i="3"/>
  <c r="AD383" i="3"/>
  <c r="S382" i="3"/>
  <c r="AD382" i="3"/>
  <c r="S381" i="3"/>
  <c r="AD381" i="3"/>
  <c r="S380" i="3"/>
  <c r="AD380" i="3"/>
  <c r="S379" i="3"/>
  <c r="AD379" i="3"/>
  <c r="S378" i="3"/>
  <c r="AD378" i="3"/>
  <c r="S377" i="3"/>
  <c r="AD377" i="3"/>
  <c r="S376" i="3"/>
  <c r="AD376" i="3"/>
  <c r="S375" i="3"/>
  <c r="AD375" i="3"/>
  <c r="S374" i="3"/>
  <c r="AD374" i="3"/>
  <c r="S373" i="3"/>
  <c r="AD373" i="3"/>
  <c r="S372" i="3"/>
  <c r="AD372" i="3"/>
  <c r="S371" i="3"/>
  <c r="AD371" i="3"/>
  <c r="S370" i="3"/>
  <c r="AD370" i="3"/>
  <c r="S369" i="3"/>
  <c r="AD369" i="3"/>
  <c r="S368" i="3"/>
  <c r="AD368" i="3"/>
  <c r="S367" i="3"/>
  <c r="AD367" i="3"/>
  <c r="S366" i="3"/>
  <c r="AD366" i="3"/>
  <c r="S365" i="3"/>
  <c r="AD365" i="3"/>
  <c r="S364" i="3"/>
  <c r="AD364" i="3"/>
  <c r="S363" i="3"/>
  <c r="AD363" i="3"/>
  <c r="S362" i="3"/>
  <c r="AD362" i="3"/>
  <c r="S361" i="3"/>
  <c r="AD361" i="3"/>
  <c r="S360" i="3"/>
  <c r="AD360" i="3"/>
  <c r="S359" i="3"/>
  <c r="AD359" i="3"/>
  <c r="S358" i="3"/>
  <c r="AD358" i="3"/>
  <c r="S357" i="3"/>
  <c r="AD357" i="3"/>
  <c r="S356" i="3"/>
  <c r="AD356" i="3"/>
  <c r="S355" i="3"/>
  <c r="AD355" i="3"/>
  <c r="S354" i="3"/>
  <c r="AD354" i="3"/>
  <c r="S353" i="3"/>
  <c r="AD353" i="3"/>
  <c r="S352" i="3"/>
  <c r="AD352" i="3"/>
  <c r="S351" i="3"/>
  <c r="AD351" i="3"/>
  <c r="S350" i="3"/>
  <c r="AD350" i="3"/>
  <c r="S349" i="3"/>
  <c r="AD349" i="3"/>
  <c r="S348" i="3"/>
  <c r="AD348" i="3"/>
  <c r="S347" i="3"/>
  <c r="AD347" i="3"/>
  <c r="S346" i="3"/>
  <c r="AD346" i="3"/>
  <c r="S345" i="3"/>
  <c r="AD345" i="3"/>
  <c r="S344" i="3"/>
  <c r="AD344" i="3"/>
  <c r="S343" i="3"/>
  <c r="AD343" i="3"/>
  <c r="S342" i="3"/>
  <c r="AD342" i="3"/>
  <c r="S341" i="3"/>
  <c r="AD341" i="3"/>
  <c r="S340" i="3"/>
  <c r="AD340" i="3"/>
  <c r="S339" i="3"/>
  <c r="AD339" i="3"/>
  <c r="S338" i="3"/>
  <c r="AD338" i="3"/>
  <c r="S337" i="3"/>
  <c r="AD337" i="3"/>
  <c r="S336" i="3"/>
  <c r="AD336" i="3"/>
  <c r="S335" i="3"/>
  <c r="AD335" i="3"/>
  <c r="S334" i="3"/>
  <c r="AD334" i="3"/>
  <c r="S333" i="3"/>
  <c r="AD333" i="3"/>
  <c r="S332" i="3"/>
  <c r="AD332" i="3"/>
  <c r="S331" i="3"/>
  <c r="AD331" i="3"/>
  <c r="S330" i="3"/>
  <c r="AD330" i="3"/>
  <c r="S329" i="3"/>
  <c r="AD329" i="3"/>
  <c r="S328" i="3"/>
  <c r="AD328" i="3"/>
  <c r="S327" i="3"/>
  <c r="AD327" i="3"/>
  <c r="S326" i="3"/>
  <c r="AD326" i="3"/>
  <c r="S325" i="3"/>
  <c r="AD325" i="3"/>
  <c r="S324" i="3"/>
  <c r="AD324" i="3"/>
  <c r="S323" i="3"/>
  <c r="AD323" i="3"/>
  <c r="S322" i="3"/>
  <c r="AD322" i="3"/>
  <c r="S321" i="3"/>
  <c r="AD321" i="3"/>
  <c r="S320" i="3"/>
  <c r="AD320" i="3"/>
  <c r="S319" i="3"/>
  <c r="AD319" i="3"/>
  <c r="S318" i="3"/>
  <c r="AD318" i="3"/>
  <c r="S317" i="3"/>
  <c r="AD317" i="3"/>
  <c r="S316" i="3"/>
  <c r="AD316" i="3"/>
  <c r="S315" i="3"/>
  <c r="AD315" i="3"/>
  <c r="S314" i="3"/>
  <c r="AD314" i="3"/>
  <c r="S313" i="3"/>
  <c r="AD313" i="3"/>
  <c r="S312" i="3"/>
  <c r="AD312" i="3"/>
  <c r="S311" i="3"/>
  <c r="AD311" i="3"/>
  <c r="S310" i="3"/>
  <c r="AD310" i="3"/>
  <c r="S309" i="3"/>
  <c r="AD309" i="3"/>
  <c r="S308" i="3"/>
  <c r="AD308" i="3"/>
  <c r="S307" i="3"/>
  <c r="AD307" i="3"/>
  <c r="S306" i="3"/>
  <c r="AD306" i="3"/>
  <c r="S305" i="3"/>
  <c r="AD305" i="3"/>
  <c r="S304" i="3"/>
  <c r="AD304" i="3"/>
  <c r="S303" i="3"/>
  <c r="AD303" i="3"/>
  <c r="S302" i="3"/>
  <c r="AD302" i="3"/>
  <c r="S301" i="3"/>
  <c r="AD301" i="3"/>
  <c r="S300" i="3"/>
  <c r="AD300" i="3"/>
  <c r="S299" i="3"/>
  <c r="AD299" i="3"/>
  <c r="S298" i="3"/>
  <c r="AD298" i="3"/>
  <c r="S297" i="3"/>
  <c r="AD297" i="3"/>
  <c r="S296" i="3"/>
  <c r="AD296" i="3"/>
  <c r="S295" i="3"/>
  <c r="AD295" i="3"/>
  <c r="S294" i="3"/>
  <c r="AD294" i="3"/>
  <c r="S293" i="3"/>
  <c r="AD293" i="3"/>
  <c r="S292" i="3"/>
  <c r="AD292" i="3"/>
  <c r="S291" i="3"/>
  <c r="AD291" i="3"/>
  <c r="S290" i="3"/>
  <c r="AD290" i="3"/>
  <c r="S289" i="3"/>
  <c r="AD289" i="3"/>
  <c r="S288" i="3"/>
  <c r="AD288" i="3"/>
  <c r="S287" i="3"/>
  <c r="AD287" i="3"/>
  <c r="S286" i="3"/>
  <c r="AD286" i="3"/>
  <c r="S285" i="3"/>
  <c r="AD285" i="3"/>
  <c r="S284" i="3"/>
  <c r="AD284" i="3"/>
  <c r="S283" i="3"/>
  <c r="AD283" i="3"/>
  <c r="S282" i="3"/>
  <c r="AD282" i="3"/>
  <c r="S281" i="3"/>
  <c r="AD281" i="3"/>
  <c r="S280" i="3"/>
  <c r="AD280" i="3"/>
  <c r="S279" i="3"/>
  <c r="AD279" i="3"/>
  <c r="S278" i="3"/>
  <c r="AD278" i="3"/>
  <c r="S277" i="3"/>
  <c r="AD277" i="3"/>
  <c r="S276" i="3"/>
  <c r="AD276" i="3"/>
  <c r="S275" i="3"/>
  <c r="AD275" i="3"/>
  <c r="S274" i="3"/>
  <c r="AD274" i="3"/>
  <c r="S273" i="3"/>
  <c r="AD273" i="3"/>
  <c r="S272" i="3"/>
  <c r="AD272" i="3"/>
  <c r="S271" i="3"/>
  <c r="AD271" i="3"/>
  <c r="S270" i="3"/>
  <c r="AD270" i="3"/>
  <c r="S269" i="3"/>
  <c r="AD269" i="3"/>
  <c r="S268" i="3"/>
  <c r="AD268" i="3"/>
  <c r="S267" i="3"/>
  <c r="AD267" i="3"/>
  <c r="S266" i="3"/>
  <c r="AD266" i="3"/>
  <c r="S265" i="3"/>
  <c r="AD265" i="3"/>
  <c r="S264" i="3"/>
  <c r="AD264" i="3"/>
  <c r="S263" i="3"/>
  <c r="AD263" i="3"/>
  <c r="S262" i="3"/>
  <c r="AD262" i="3"/>
  <c r="S261" i="3"/>
  <c r="AD261" i="3"/>
  <c r="S260" i="3"/>
  <c r="AD260" i="3"/>
  <c r="S259" i="3"/>
  <c r="AD259" i="3"/>
  <c r="S258" i="3"/>
  <c r="AD258" i="3"/>
  <c r="S257" i="3"/>
  <c r="AD257" i="3"/>
  <c r="S256" i="3"/>
  <c r="AD256" i="3"/>
  <c r="S255" i="3"/>
  <c r="AD255" i="3"/>
  <c r="S254" i="3"/>
  <c r="AD254" i="3"/>
  <c r="S253" i="3"/>
  <c r="AD253" i="3"/>
  <c r="S252" i="3"/>
  <c r="AD252" i="3"/>
  <c r="S251" i="3"/>
  <c r="AD251" i="3"/>
  <c r="S250" i="3"/>
  <c r="AD250" i="3"/>
  <c r="S249" i="3"/>
  <c r="AD249" i="3"/>
  <c r="S248" i="3"/>
  <c r="AD248" i="3"/>
  <c r="S247" i="3"/>
  <c r="AD247" i="3"/>
  <c r="S246" i="3"/>
  <c r="AD246" i="3"/>
  <c r="S245" i="3"/>
  <c r="AD245" i="3"/>
  <c r="S244" i="3"/>
  <c r="AD244" i="3"/>
  <c r="S243" i="3"/>
  <c r="AD243" i="3"/>
  <c r="S242" i="3"/>
  <c r="AD242" i="3"/>
  <c r="S241" i="3"/>
  <c r="AD241" i="3"/>
  <c r="S240" i="3"/>
  <c r="AD240" i="3"/>
  <c r="S239" i="3"/>
  <c r="AD239" i="3"/>
  <c r="S238" i="3"/>
  <c r="AD238" i="3"/>
  <c r="S237" i="3"/>
  <c r="AD237" i="3"/>
  <c r="S236" i="3"/>
  <c r="AD236" i="3"/>
  <c r="S235" i="3"/>
  <c r="AD235" i="3"/>
  <c r="S234" i="3"/>
  <c r="AD234" i="3"/>
  <c r="S233" i="3"/>
  <c r="AD233" i="3"/>
  <c r="S232" i="3"/>
  <c r="AD232" i="3"/>
  <c r="S231" i="3"/>
  <c r="AD231" i="3"/>
  <c r="S230" i="3"/>
  <c r="AD230" i="3"/>
  <c r="S229" i="3"/>
  <c r="AD229" i="3"/>
  <c r="S228" i="3"/>
  <c r="AD228" i="3"/>
  <c r="S227" i="3"/>
  <c r="AD227" i="3"/>
  <c r="S226" i="3"/>
  <c r="AD226" i="3"/>
  <c r="S225" i="3"/>
  <c r="AD225" i="3"/>
  <c r="S224" i="3"/>
  <c r="AD224" i="3"/>
  <c r="S223" i="3"/>
  <c r="AD223" i="3"/>
  <c r="S222" i="3"/>
  <c r="AD222" i="3"/>
  <c r="S221" i="3"/>
  <c r="AD221" i="3"/>
  <c r="S220" i="3"/>
  <c r="AD220" i="3"/>
  <c r="S219" i="3"/>
  <c r="AD219" i="3"/>
  <c r="S218" i="3"/>
  <c r="AD218" i="3"/>
  <c r="S217" i="3"/>
  <c r="AD217" i="3"/>
  <c r="S216" i="3"/>
  <c r="AD216" i="3"/>
  <c r="S215" i="3"/>
  <c r="AD215" i="3"/>
  <c r="S214" i="3"/>
  <c r="AD214" i="3"/>
  <c r="S213" i="3"/>
  <c r="AD213" i="3"/>
  <c r="S212" i="3"/>
  <c r="AD212" i="3"/>
  <c r="S211" i="3"/>
  <c r="AD211" i="3"/>
  <c r="S210" i="3"/>
  <c r="AD210" i="3"/>
  <c r="S209" i="3"/>
  <c r="AD209" i="3"/>
  <c r="S208" i="3"/>
  <c r="AD208" i="3"/>
  <c r="S207" i="3"/>
  <c r="AD207" i="3"/>
  <c r="S206" i="3"/>
  <c r="AD206" i="3"/>
  <c r="S205" i="3"/>
  <c r="AD205" i="3"/>
  <c r="S204" i="3"/>
  <c r="AD204" i="3"/>
  <c r="S203" i="3"/>
  <c r="AD203" i="3"/>
  <c r="S202" i="3"/>
  <c r="AD202" i="3"/>
  <c r="S201" i="3"/>
  <c r="AD201" i="3"/>
  <c r="S200" i="3"/>
  <c r="AD200" i="3"/>
  <c r="S199" i="3"/>
  <c r="AD199" i="3"/>
  <c r="S198" i="3"/>
  <c r="AD198" i="3"/>
  <c r="S197" i="3"/>
  <c r="AD197" i="3"/>
  <c r="S196" i="3"/>
  <c r="AD196" i="3"/>
  <c r="S195" i="3"/>
  <c r="AD195" i="3"/>
  <c r="S194" i="3"/>
  <c r="AD194" i="3"/>
  <c r="S193" i="3"/>
  <c r="AD193" i="3"/>
  <c r="S192" i="3"/>
  <c r="AD192" i="3"/>
  <c r="S191" i="3"/>
  <c r="AD191" i="3"/>
  <c r="S190" i="3"/>
  <c r="AD190" i="3"/>
  <c r="S189" i="3"/>
  <c r="AD189" i="3"/>
  <c r="S188" i="3"/>
  <c r="AD188" i="3"/>
  <c r="S187" i="3"/>
  <c r="AD187" i="3"/>
  <c r="S186" i="3"/>
  <c r="AD186" i="3"/>
  <c r="S185" i="3"/>
  <c r="AD185" i="3"/>
  <c r="S184" i="3"/>
  <c r="AD184" i="3"/>
  <c r="S183" i="3"/>
  <c r="AD183" i="3"/>
  <c r="S182" i="3"/>
  <c r="AD182" i="3"/>
  <c r="S181" i="3"/>
  <c r="AD181" i="3"/>
  <c r="S180" i="3"/>
  <c r="AD180" i="3"/>
  <c r="S179" i="3"/>
  <c r="AD179" i="3"/>
  <c r="S178" i="3"/>
  <c r="AD178" i="3"/>
  <c r="S177" i="3"/>
  <c r="AD177" i="3"/>
  <c r="S176" i="3"/>
  <c r="AD176" i="3"/>
  <c r="S175" i="3"/>
  <c r="AD175" i="3"/>
  <c r="S174" i="3"/>
  <c r="AD174" i="3"/>
  <c r="S173" i="3"/>
  <c r="AD173" i="3"/>
  <c r="S172" i="3"/>
  <c r="AD172" i="3"/>
  <c r="S171" i="3"/>
  <c r="AD171" i="3"/>
  <c r="S170" i="3"/>
  <c r="AD170" i="3"/>
  <c r="S169" i="3"/>
  <c r="AD169" i="3"/>
  <c r="S168" i="3"/>
  <c r="AD168" i="3"/>
  <c r="S167" i="3"/>
  <c r="AD167" i="3"/>
  <c r="S166" i="3"/>
  <c r="AD166" i="3"/>
  <c r="S165" i="3"/>
  <c r="AD165" i="3"/>
  <c r="S164" i="3"/>
  <c r="AD164" i="3"/>
  <c r="S163" i="3"/>
  <c r="AD163" i="3"/>
  <c r="S162" i="3"/>
  <c r="AD162" i="3"/>
  <c r="S161" i="3"/>
  <c r="AD161" i="3"/>
  <c r="S160" i="3"/>
  <c r="AD160" i="3"/>
  <c r="S159" i="3"/>
  <c r="AD159" i="3"/>
  <c r="S158" i="3"/>
  <c r="AD158" i="3"/>
  <c r="S157" i="3"/>
  <c r="AD157" i="3"/>
  <c r="S156" i="3"/>
  <c r="AD156" i="3"/>
  <c r="S155" i="3"/>
  <c r="AD155" i="3"/>
  <c r="S154" i="3"/>
  <c r="AD154" i="3"/>
  <c r="S153" i="3"/>
  <c r="AD153" i="3"/>
  <c r="S152" i="3"/>
  <c r="AD152" i="3"/>
  <c r="S151" i="3"/>
  <c r="AD151" i="3"/>
  <c r="S150" i="3"/>
  <c r="AD150" i="3"/>
  <c r="S149" i="3"/>
  <c r="AD149" i="3"/>
  <c r="S148" i="3"/>
  <c r="AD148" i="3"/>
  <c r="S147" i="3"/>
  <c r="AD147" i="3"/>
  <c r="S146" i="3"/>
  <c r="AD146" i="3"/>
  <c r="S145" i="3"/>
  <c r="AD145" i="3"/>
  <c r="S144" i="3"/>
  <c r="AD144" i="3"/>
  <c r="S143" i="3"/>
  <c r="AD143" i="3"/>
  <c r="S142" i="3"/>
  <c r="AD142" i="3"/>
  <c r="S141" i="3"/>
  <c r="AD141" i="3"/>
  <c r="S140" i="3"/>
  <c r="AD140" i="3"/>
  <c r="S139" i="3"/>
  <c r="AD139" i="3"/>
  <c r="S138" i="3"/>
  <c r="AD138" i="3"/>
  <c r="S137" i="3"/>
  <c r="AD137" i="3"/>
  <c r="S136" i="3"/>
  <c r="AD136" i="3"/>
  <c r="S135" i="3"/>
  <c r="AD135" i="3"/>
  <c r="S134" i="3"/>
  <c r="AD134" i="3"/>
  <c r="S133" i="3"/>
  <c r="AD133" i="3"/>
  <c r="S132" i="3"/>
  <c r="AD132" i="3"/>
  <c r="S131" i="3"/>
  <c r="AD131" i="3"/>
  <c r="S130" i="3"/>
  <c r="AD130" i="3"/>
  <c r="S129" i="3"/>
  <c r="AD129" i="3"/>
  <c r="S128" i="3"/>
  <c r="AD128" i="3"/>
  <c r="S127" i="3"/>
  <c r="AD127" i="3"/>
  <c r="S126" i="3"/>
  <c r="AD126" i="3"/>
  <c r="S125" i="3"/>
  <c r="AD125" i="3"/>
  <c r="S124" i="3"/>
  <c r="AD124" i="3"/>
  <c r="S123" i="3"/>
  <c r="AD123" i="3"/>
  <c r="S122" i="3"/>
  <c r="AD122" i="3"/>
  <c r="S121" i="3"/>
  <c r="AD121" i="3"/>
  <c r="S120" i="3"/>
  <c r="AD120" i="3"/>
  <c r="S119" i="3"/>
  <c r="AD119" i="3"/>
  <c r="S118" i="3"/>
  <c r="AD118" i="3"/>
  <c r="S117" i="3"/>
  <c r="AD117" i="3"/>
  <c r="S116" i="3"/>
  <c r="AD116" i="3"/>
  <c r="S115" i="3"/>
  <c r="AD115" i="3"/>
  <c r="S114" i="3"/>
  <c r="AD114" i="3"/>
  <c r="S113" i="3"/>
  <c r="AD113" i="3"/>
  <c r="S112" i="3"/>
  <c r="AD112" i="3"/>
  <c r="S111" i="3"/>
  <c r="AD111" i="3"/>
  <c r="S110" i="3"/>
  <c r="AD110" i="3"/>
  <c r="S109" i="3"/>
  <c r="AD109" i="3"/>
  <c r="S108" i="3"/>
  <c r="AD108" i="3"/>
  <c r="S107" i="3"/>
  <c r="AD107" i="3"/>
  <c r="S106" i="3"/>
  <c r="AD106" i="3"/>
  <c r="S105" i="3"/>
  <c r="AD105" i="3"/>
  <c r="S104" i="3"/>
  <c r="AD104" i="3"/>
  <c r="S103" i="3"/>
  <c r="AD103" i="3"/>
  <c r="S102" i="3"/>
  <c r="AD102" i="3"/>
  <c r="S101" i="3"/>
  <c r="AD101" i="3"/>
  <c r="S100" i="3"/>
  <c r="AD100" i="3"/>
  <c r="S99" i="3"/>
  <c r="AD99" i="3"/>
  <c r="S98" i="3"/>
  <c r="AD98" i="3"/>
  <c r="S97" i="3"/>
  <c r="AD97" i="3"/>
  <c r="S96" i="3"/>
  <c r="AD96" i="3"/>
  <c r="S95" i="3"/>
  <c r="AD95" i="3"/>
  <c r="S94" i="3"/>
  <c r="AD94" i="3"/>
  <c r="S93" i="3"/>
  <c r="AD93" i="3"/>
  <c r="S92" i="3"/>
  <c r="AD92" i="3"/>
  <c r="S91" i="3"/>
  <c r="AD91" i="3"/>
  <c r="S90" i="3"/>
  <c r="AD90" i="3"/>
  <c r="S89" i="3"/>
  <c r="AD89" i="3"/>
  <c r="S88" i="3"/>
  <c r="AD88" i="3"/>
  <c r="S87" i="3"/>
  <c r="AD87" i="3"/>
  <c r="S86" i="3"/>
  <c r="AD86" i="3"/>
  <c r="S85" i="3"/>
  <c r="AD85" i="3"/>
  <c r="S84" i="3"/>
  <c r="AD84" i="3"/>
  <c r="S83" i="3"/>
  <c r="AD83" i="3"/>
  <c r="S82" i="3"/>
  <c r="AD82" i="3"/>
  <c r="S81" i="3"/>
  <c r="AD81" i="3"/>
  <c r="S80" i="3"/>
  <c r="AD80" i="3"/>
  <c r="S79" i="3"/>
  <c r="AD79" i="3"/>
  <c r="S78" i="3"/>
  <c r="AD78" i="3"/>
  <c r="S77" i="3"/>
  <c r="AD77" i="3"/>
  <c r="S76" i="3"/>
  <c r="AD76" i="3"/>
  <c r="S75" i="3"/>
  <c r="AD75" i="3"/>
  <c r="S74" i="3"/>
  <c r="AD74" i="3"/>
  <c r="S73" i="3"/>
  <c r="AD73" i="3"/>
  <c r="S72" i="3"/>
  <c r="AD72" i="3"/>
  <c r="S71" i="3"/>
  <c r="AD71" i="3"/>
  <c r="S70" i="3"/>
  <c r="AD70" i="3"/>
  <c r="S69" i="3"/>
  <c r="AD69" i="3"/>
  <c r="S68" i="3"/>
  <c r="AD68" i="3"/>
  <c r="S67" i="3"/>
  <c r="AD67" i="3"/>
  <c r="S66" i="3"/>
  <c r="AD66" i="3"/>
  <c r="S65" i="3"/>
  <c r="AD65" i="3"/>
  <c r="S64" i="3"/>
  <c r="AD64" i="3"/>
  <c r="S63" i="3"/>
  <c r="AD63" i="3"/>
  <c r="S62" i="3"/>
  <c r="AD62" i="3"/>
  <c r="S61" i="3"/>
  <c r="AD61" i="3"/>
  <c r="S60" i="3"/>
  <c r="AD60" i="3"/>
  <c r="S59" i="3"/>
  <c r="AD59" i="3"/>
  <c r="S58" i="3"/>
  <c r="AD58" i="3"/>
  <c r="S57" i="3"/>
  <c r="AD57" i="3"/>
  <c r="S56" i="3"/>
  <c r="AD56" i="3"/>
  <c r="S55" i="3"/>
  <c r="AD55" i="3"/>
  <c r="S54" i="3"/>
  <c r="AD54" i="3"/>
  <c r="S53" i="3"/>
  <c r="AD53" i="3"/>
  <c r="S52" i="3"/>
  <c r="AD52" i="3"/>
  <c r="S51" i="3"/>
  <c r="AD51" i="3"/>
  <c r="S50" i="3"/>
  <c r="AD50" i="3"/>
  <c r="S49" i="3"/>
  <c r="AD49" i="3"/>
  <c r="S48" i="3"/>
  <c r="AD48" i="3"/>
  <c r="S47" i="3"/>
  <c r="AD47" i="3"/>
  <c r="S46" i="3"/>
  <c r="AD46" i="3"/>
  <c r="S45" i="3"/>
  <c r="AD45" i="3"/>
  <c r="S44" i="3"/>
  <c r="AD44" i="3"/>
  <c r="S43" i="3"/>
  <c r="AD43" i="3"/>
  <c r="S42" i="3"/>
  <c r="AD42" i="3"/>
  <c r="S41" i="3"/>
  <c r="AD41" i="3"/>
  <c r="S40" i="3"/>
  <c r="AD40" i="3"/>
  <c r="S39" i="3"/>
  <c r="AD39" i="3"/>
  <c r="S38" i="3"/>
  <c r="AD38" i="3"/>
  <c r="S37" i="3"/>
  <c r="AD37" i="3"/>
  <c r="S36" i="3"/>
  <c r="AD36" i="3"/>
  <c r="S35" i="3"/>
  <c r="AD35" i="3"/>
  <c r="S34" i="3"/>
  <c r="AD34" i="3"/>
  <c r="S33" i="3"/>
  <c r="AD33" i="3"/>
  <c r="S32" i="3"/>
  <c r="AD32" i="3"/>
  <c r="S31" i="3"/>
  <c r="AD31" i="3"/>
  <c r="S30" i="3"/>
  <c r="AD30" i="3"/>
  <c r="S29" i="3"/>
  <c r="AD29" i="3"/>
  <c r="S28" i="3"/>
  <c r="AD28" i="3"/>
  <c r="S27" i="3"/>
  <c r="AD27" i="3"/>
  <c r="S26" i="3"/>
  <c r="AD26" i="3"/>
  <c r="S25" i="3"/>
  <c r="AD25" i="3"/>
  <c r="S24" i="3"/>
  <c r="AD24" i="3"/>
  <c r="S23" i="3"/>
  <c r="AD23" i="3"/>
  <c r="S22" i="3"/>
  <c r="AD22" i="3"/>
  <c r="S21" i="3"/>
  <c r="AD21" i="3"/>
  <c r="S20" i="3"/>
  <c r="AD20" i="3"/>
  <c r="S19" i="3"/>
  <c r="AD19" i="3"/>
  <c r="S18" i="3"/>
  <c r="AD18" i="3"/>
  <c r="S17" i="3"/>
  <c r="AD17" i="3"/>
  <c r="S16" i="3"/>
  <c r="AD16" i="3"/>
  <c r="S15" i="3"/>
  <c r="AD15" i="3"/>
  <c r="S14" i="3"/>
  <c r="AD14" i="3"/>
  <c r="S13" i="3"/>
  <c r="AD13" i="3"/>
  <c r="S12" i="3"/>
  <c r="AD12" i="3"/>
  <c r="S11" i="3"/>
  <c r="AD11" i="3"/>
  <c r="S10" i="3"/>
  <c r="AD10" i="3"/>
  <c r="S9" i="3"/>
  <c r="AD9" i="3"/>
  <c r="S8" i="3"/>
  <c r="AD8" i="3"/>
  <c r="S7" i="3"/>
  <c r="AD7" i="3"/>
  <c r="S6" i="3"/>
  <c r="AD6" i="3"/>
  <c r="S5" i="3"/>
  <c r="AD5" i="3"/>
  <c r="S4" i="3"/>
  <c r="AD4" i="3"/>
  <c r="S3" i="3"/>
  <c r="AD3" i="3"/>
  <c r="S2" i="3"/>
  <c r="AD2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</calcChain>
</file>

<file path=xl/sharedStrings.xml><?xml version="1.0" encoding="utf-8"?>
<sst xmlns="http://schemas.openxmlformats.org/spreadsheetml/2006/main" count="16549" uniqueCount="372">
  <si>
    <t>Atif, Ali (2021)</t>
  </si>
  <si>
    <t>Azmi et al (2021)</t>
  </si>
  <si>
    <t>Bannier et al (2022)</t>
  </si>
  <si>
    <t>Bauer, Hann (2010)</t>
  </si>
  <si>
    <t>Capelle-Blancard et al (2019)</t>
  </si>
  <si>
    <t>Chava (2010)</t>
  </si>
  <si>
    <t>Chava (2014)</t>
  </si>
  <si>
    <t>Chen et al (2020)</t>
  </si>
  <si>
    <t>Chen, Gao (2011)</t>
  </si>
  <si>
    <t>Chodnicka-Jaworska (2022)</t>
  </si>
  <si>
    <t>Christ et al (2022)</t>
  </si>
  <si>
    <t>Cubas, Martinez (2018)</t>
  </si>
  <si>
    <t>Delis et al (2021)</t>
  </si>
  <si>
    <t>Devalle et al (2017)</t>
  </si>
  <si>
    <t>Ding et al (2022)</t>
  </si>
  <si>
    <t>Drago et al (2018)</t>
  </si>
  <si>
    <t>Drago, Carnevale (2020)</t>
  </si>
  <si>
    <t>Du et al (2015)</t>
  </si>
  <si>
    <t>Du et al (2022)</t>
  </si>
  <si>
    <t>Eichholtz et al (2019)</t>
  </si>
  <si>
    <t>Eliwa et al (2021)</t>
  </si>
  <si>
    <t>Fard et al (2020)</t>
  </si>
  <si>
    <t>Ferriani (2022)</t>
  </si>
  <si>
    <t>Fonseka et al (2019a)</t>
  </si>
  <si>
    <t>Fonseka et al (2019b)</t>
  </si>
  <si>
    <t>Ge, Liu (2015)</t>
  </si>
  <si>
    <t>Hachenberg, Schiereck (2018)</t>
  </si>
  <si>
    <t>Hamrouni et al (2019a)</t>
  </si>
  <si>
    <t>Höck et al (2020)</t>
  </si>
  <si>
    <t>Hoepner et al (2016)</t>
  </si>
  <si>
    <t>Hui et al (2024)</t>
  </si>
  <si>
    <t>Jang et al (2020)</t>
  </si>
  <si>
    <t>Jiraporn et al (2014)</t>
  </si>
  <si>
    <t>Jung et al (2016)</t>
  </si>
  <si>
    <t>Kim, Kim (2022)</t>
  </si>
  <si>
    <t>Kölbel et al (2020)</t>
  </si>
  <si>
    <t>Kordschia (2020)</t>
  </si>
  <si>
    <t>Lee (2022)</t>
  </si>
  <si>
    <t>Lemma et al (2017)</t>
  </si>
  <si>
    <t>Li et al (2014)</t>
  </si>
  <si>
    <t>Li et al (2022)</t>
  </si>
  <si>
    <t>Maaloul, Wegener (2021)</t>
  </si>
  <si>
    <t>Nandy, Lodh (2012)</t>
  </si>
  <si>
    <t>Nemoto, Liu (2020)</t>
  </si>
  <si>
    <t>Ofogbe et al (2021)</t>
  </si>
  <si>
    <t>Oikonomou et al (2014)</t>
  </si>
  <si>
    <t>Okimoto, Takaoka (2022)</t>
  </si>
  <si>
    <t>Palea, Drogo (2020)</t>
  </si>
  <si>
    <t>Safiullah et al (2021)</t>
  </si>
  <si>
    <t>Salvi et al (2021)</t>
  </si>
  <si>
    <t>Sandra et al (2021)</t>
  </si>
  <si>
    <t>Schneider (2010)</t>
  </si>
  <si>
    <t>Seltzer et al (2022)</t>
  </si>
  <si>
    <t>Shad et al (2022)</t>
  </si>
  <si>
    <t>Srivisal et al (2021)</t>
  </si>
  <si>
    <t>Sze et al (2021)</t>
  </si>
  <si>
    <t>Tan et al (2021)</t>
  </si>
  <si>
    <t>Temiz (2022)</t>
  </si>
  <si>
    <t>Truong, Kim (2019)</t>
  </si>
  <si>
    <t>Wang et al (2020)</t>
  </si>
  <si>
    <t>Wang et al (2022a)</t>
  </si>
  <si>
    <t>Weber et al (2010)</t>
  </si>
  <si>
    <t>Yilmaz (2022)</t>
  </si>
  <si>
    <t>Zhou et al (2018)</t>
  </si>
  <si>
    <t>Zhu, Zhao (2022)</t>
  </si>
  <si>
    <t>study</t>
  </si>
  <si>
    <t>outcome</t>
  </si>
  <si>
    <t>rating</t>
  </si>
  <si>
    <t>CER_measure</t>
  </si>
  <si>
    <t>ES_measure</t>
  </si>
  <si>
    <t>NA</t>
  </si>
  <si>
    <t>industry</t>
  </si>
  <si>
    <t>sample_start</t>
  </si>
  <si>
    <t>sample_end</t>
  </si>
  <si>
    <t>disclosure</t>
  </si>
  <si>
    <t>performance</t>
  </si>
  <si>
    <t>bivariate</t>
  </si>
  <si>
    <t>partial</t>
  </si>
  <si>
    <t>non-sensitive</t>
  </si>
  <si>
    <t>sensitive</t>
  </si>
  <si>
    <t>loand (interest rate)</t>
  </si>
  <si>
    <t>derivativ (CDS spread)</t>
  </si>
  <si>
    <t>bond (yield)</t>
  </si>
  <si>
    <t>country</t>
  </si>
  <si>
    <t>COD_instrument</t>
  </si>
  <si>
    <t>United States</t>
  </si>
  <si>
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</si>
  <si>
    <t>United States,Austria,Belgium,Bulgaria,Croatia,Cyprus,Czechia,Denmark,Estonia,Finland,France,Germany,Greece,Hungary,Ireland,Italy,Latvia,Lithuania,Luxembourg,Malta,Netherlands,Poland,Portugal,Romania,Slovak Republic,Slovenia,Spain,Sweden</t>
  </si>
  <si>
    <t>Austria,Belgium,Bulgaria,Croatia,Cyprus,Czechia,Denmark,Estonia,Finland,France,Germany,Greece,Hungary,Ireland,Italy,Latvia,Lithuania,Luxembourg,Malta,Netherlands,Poland,Portugal,Romania,Slovak Republic,Slovenia,Spain,Sweden</t>
  </si>
  <si>
    <t>Norway,New Zealand,Sweden,Finland,Canada,Austria,Switzerland,Denmark,Netherlands,Australia,Japan,United Kingdom,Germany,France,Belgium,Spain,Portugal,Italy,Ireland,Greece</t>
  </si>
  <si>
    <t>Worldwide</t>
  </si>
  <si>
    <t>Austria,Belgium,Bulgaria,Croatia,Cyprus,Czechia,Denmark,Estonia,Finland,France,Germany,Greece,Hungary,Ireland,Italy,Latvia,Lithuania,Luxembourg,Malta,Netherlands,Poland,Portugal,Romania,Slovak Republic,Slovenia,Spain,Sweden,United Kingdom</t>
  </si>
  <si>
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</si>
  <si>
    <t>Spain,Italy</t>
  </si>
  <si>
    <t>China</t>
  </si>
  <si>
    <t>Austria,Belgium,Czechia,Denmark,Finland,France,Germany,Greece,Hungary,Italy,Netherlands,Norway,Poland,Portugal,Spain,Sweden,Switzerland,United Kingdom</t>
  </si>
  <si>
    <t>Austria,Belgium,Cyprus,Czechia,Denmark,Finland,France,Germany,Greece,Ireland,Italy,Netherlands,Poland,Portugal,Spain,Sweden,United Kingdom</t>
  </si>
  <si>
    <t>Austria,Belgium,Denmark,Finland,France,Germany,Greece,Ireland,Italy,Netherlands,Norway,Portugal,Spain,Sweden,United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</si>
  <si>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</si>
  <si>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Kingdom, United States</t>
  </si>
  <si>
    <t>France</t>
  </si>
  <si>
    <t>Europe</t>
  </si>
  <si>
    <t>Australia, Austria, Brazil, Canada, China, Finland, France, Germany, Greece, Hungary, India, Indonesia, Italy, Japan, Mexico, Netherlands, Norway, Poland, Portugal, Romania, Russian Federation, South Korea, Spain, Sweden, Switzerland, United Kingdom, United States</t>
  </si>
  <si>
    <t>South Korea</t>
  </si>
  <si>
    <t>Australia</t>
  </si>
  <si>
    <t>Austria,Belgium,Cyprus,Czechia,Denmark,Finland,France,Germany,Greece,Guernsey,Hungary,Ireland,Isle of Man,Italy,Jersey,Luxembourg,Malta,Netherlands,Norway,Poland,Portugal,Spain,Sweden,Switzerland,Ukraine,United Kingdom</t>
  </si>
  <si>
    <t>South Africa</t>
  </si>
  <si>
    <t>Australia,Hong Kong,China,India,Indonesia,Japan,Malaysia,Mongolia,New Zealand,Pakistan,China,Philippines,Korea, Rep.,Sri Lanka,Thailand,Viet Nam,Australia,Austria,Belgium,Canada,Chile,Czechia,Denmark,Estonia,Finland,France,Germany,Hungary,Iceland,Ireland,Israel,Italy,Japan,Latvia,Lithuania,Mexico,Netherlands,New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</si>
  <si>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Australia,Hong Kong,China,India,Indonesia,Japan,Malaysia,Mongolia,New Zealand,Pakistan,China,Philippines,Korea, Rep.,Sri Lanka,Thailand,Viet Nam</t>
  </si>
  <si>
    <t>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</si>
  <si>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Nigeria</t>
  </si>
  <si>
    <t>Japan</t>
  </si>
  <si>
    <t>Austria,Belgium,Finland,France,Germany,Greece,Ireland,Italy,Luxembourg,Netherlands,Portugal,Spain</t>
  </si>
  <si>
    <t>Malaysia</t>
  </si>
  <si>
    <t>Japan,China</t>
  </si>
  <si>
    <t>Australia,China,Hong Kong,Indonesia,Japan,Malaysia,New Zealand,Philippines,Singapore,Korea, Rep.,Thailand</t>
  </si>
  <si>
    <t>Argentina,Brazil,Chile,China,Colombia,Greece,India,Indonesia,Malaysia,Mexico,Peru,Philippines,Russian Federation,South Africa,China,Thailand,Turkiye</t>
  </si>
  <si>
    <t>Australia,Brazil,Canada,Denmark,France,Germany,Italy,Japan,Malaysia,Mexico,Portugal,South Africa,Spain,Thailand,Turkiye,United Kingdom,United States</t>
  </si>
  <si>
    <t>Germany</t>
  </si>
  <si>
    <t>Australia,Austria,Belgium,Canada,Denmark,Finland,France,Germany,Greece,Hungary,Ireland,Italy,Japan,Luxembourg,Netherlands,Norway,Poland,Portugal,Russian Federation,Spain,Sweden,Switzerland,United Kingdom,United States</t>
  </si>
  <si>
    <t>regulation_sample_start</t>
  </si>
  <si>
    <t>regulation_sample_end</t>
  </si>
  <si>
    <t>with ETS/CT</t>
  </si>
  <si>
    <t>without ETS/CT</t>
  </si>
  <si>
    <t xml:space="preserve">Atif, M., and Searat Ali (2021). Environmental, social and governance disclosure and default risk. In Business Strategy and the Environment, 30, 8, 3937–3959. https://doi.org/10.1002/bse.2850. </t>
  </si>
  <si>
    <t xml:space="preserve">Azmi, W., Hassan, M. K., Houston, R. &amp; Karim, M. S. (2021). ESG activities and Banking Performance: International Evidence from Emerging Economies. In Journal of International Financial Markets, Institutions and Money, 70, 101277. https://doi.org/10.1016/j.intfin.2020.101277 </t>
  </si>
  <si>
    <t xml:space="preserve">Bannier, C., et al (2020). Corporate Social Responsibility and Credit Risk. In SSRN Electronic Journal. https://doi.org/10.2139/ssrn.3686025. </t>
  </si>
  <si>
    <t xml:space="preserve">Bauer, R. &amp; Hann, D. (2010). Corporate Environmental Management and Credit Risk. In SSRN Electronic Journal. https://doi.org/10.2139/ssrn.1660470. </t>
  </si>
  <si>
    <t xml:space="preserve">Capelle-Blancard, G., et al (2019). Sovereign bond yield spreads and sustainability: An empirical analysis of OECD countries. In Journal of Banking and Finance,  98, 156–169. https://doi.org/10.1016/j.jbankfin.2018.11.011. </t>
  </si>
  <si>
    <t>Chava, S. (2010). Do Environmental Concerns Affect the Cost of Bank Loans? (Mays Business School, Texas A&amp;M University, Texas, US)</t>
  </si>
  <si>
    <t xml:space="preserve">Chava, S. (2014). Environmental externalities and cost of capital. In Management Science, 60/9, 2223–2247. https://doi.org/10.1287/mnsc.2013.1863. </t>
  </si>
  <si>
    <t xml:space="preserve">Chen, I., et al (2020). Do banks value borrowers’ environmental record? evidence from financial contracts. In Journal of Business Ethics, 174/3, 687–713. https://doi.org/10.1007/s10551-020-04621-2. </t>
  </si>
  <si>
    <t xml:space="preserve">Chen, Li. &amp; Gao, L. S. (2011). The pricing of climate risk. In SSRN Electronic Journal. https://doi.org/10.2139/ssrn.1940727. </t>
  </si>
  <si>
    <t xml:space="preserve">Chodnicka-Jaworska, P. (2022). Environmental, social, and governance impact on energy sector default risk—long-term issuer credit ratings perspective. In Frontiers in Energy Research, 10. https://doi.org/10.3389/fenrg.2022.817679. </t>
  </si>
  <si>
    <t xml:space="preserve">Christ, J., et al (2022). Corporate Sustainability Performance and the cost of debt – an analysis of the impact of country- and industry-specific climate risk exposures. In SSRN Electronic Journal. https://doi.org/10.2139/ssrn.4135247. </t>
  </si>
  <si>
    <t xml:space="preserve">Cubas-Díaz, M. &amp; Sedano M.A.M. (2018). Do credit ratings take into account the sustainability performance of companies? In Sustainability, 10/11, 4272. https://doi.org/10.3390/su10114272. </t>
  </si>
  <si>
    <t xml:space="preserve">Delis, M., et al (2021). Being stranded with fossil fuel reserves? climate policy risk and the pricing of Bank Loans. In Swiss Finance InstituteResearch Paper Series, 18/10. https://doi.org/10.2139/ssrn.3451335. </t>
  </si>
  <si>
    <t xml:space="preserve">Devalle, A., et al (2017). The linkage between ESG performance and Credit Ratings: A firm-level perspective analysis. In International Journal of Business and Management, 12/9, 53. https://doi.org/10.5539/ijbm.v12n9p53. </t>
  </si>
  <si>
    <t>Ding, X., et al (2022). Environmental administrative penalty, corporate environmental disclosures and the cost of debt. In Journal of Cleaner Production, 332, 2022, 129919. https://doi.org/10.1016/j.jclepro.2021.129919.</t>
  </si>
  <si>
    <t xml:space="preserve">Drago, D., et al (2018). Do corporate social responsibility ratings affect credit default swap spreads? In Corporate Social Responsibility and Environmental Management, 26/3, 644–652. https://doi.org/10.1002/csr.1709. </t>
  </si>
  <si>
    <t xml:space="preserve">Drago, D. &amp;Carnevale, C. (2020). Do CSR ratings affect loan spreads? evidence from European syndicated loan market. In Sustainability, 12/18, 7639. https://doi.org/10.3390/su12187639. </t>
  </si>
  <si>
    <t xml:space="preserve">Du, X., et al (2015). Do lenders applaud corporate environmental performance? evidence from Chinese private-owned firms. In Journal of Business Ethics, 143/1, 179–207. https://doi.org/10.1007/s10551-015-2758-2. </t>
  </si>
  <si>
    <t xml:space="preserve">Du, M, et al (2022). Will environmental information disclosure affect bank credit decisions and corporate debt financing costs? evidence from China’s heavily polluting industries. In Environmental Science and Pollution Research, 29/31, 47661–47672. https://doi.org/10.1007/s11356-022-19229-4. </t>
  </si>
  <si>
    <t xml:space="preserve">Eichholtz, P., et al (2019). Environmental performance and the cost of debt: Evidence from commercial mortgages and REIT bonds. In Journal of Banking &amp; Finance, 102, 19–32. https://doi.org/10.1016/j.jbankfin.2019.02.015. </t>
  </si>
  <si>
    <t>Eliwa, Y., et al (2021). ESG practices and the cost of debt: Evidence from EU countries. In Critical Perspectives on Accounting, 79, 102097. https://doi.org/10.1016/j.cpa.2019.102097.</t>
  </si>
  <si>
    <t xml:space="preserve">Fard, A., et al (2020). Environmental regulation and the cost of Bank Loans: International Evidence. In Journal of Financial Stability, 51, 100797. https://doi.org/10.1016/j.jfs.2020.100797. </t>
  </si>
  <si>
    <t xml:space="preserve">Ferriani, F. (2022). Issuing bonds during the covid-19 pandemic: Is there an ESG premium? In SSRN Electronic Journal. https://doi.org/10.2139/ssrn.4042802. </t>
  </si>
  <si>
    <t xml:space="preserve">Fonseka, M., et al (2019). The effect of environmental information disclosure and energy product type on the cost of debt: Evidence from energy firms in China. In Pacific-Basin Finance Journal, 54, 159–182. https://doi.org/10.1016/j.pacfin.2018.05.001. </t>
  </si>
  <si>
    <t>Fonseka, M., Gao‐Liang T., et al (2019). Impact of environmental information disclosure and real estate segments on cost of debt: Evidence from the Chinese real estate industry. In Economics of Transition and Institutional Change, 28/1, 195–221. https://doi.org/10.1111/ecot.12238.</t>
  </si>
  <si>
    <t>Ge, W. &amp; Liu, M. (2015). Corporate Social Responsibility and the cost of corporate bonds. In Journal of Accounting and Public Policy, 34/6, 597–624. https://doi.org/10.1016/j.jaccpubpol.2015.05.008.</t>
  </si>
  <si>
    <t>Hachenberg, B. &amp; Schiereck, D. (2018). Are green bonds priced differently from conventional bonds? In Journal of Asset Management, 19/6, 371–383. https://doi.org/10.1057/s41260-018-0088-5.</t>
  </si>
  <si>
    <t xml:space="preserve">Hamrouni, A., et al (2019). Are Corporate Social Responsibility Disclosures relevant for lenders? empirical evidence from France. In Management Decision, 58/2, 267–279. https://doi.org/10.1108/md-06-2019-0757. </t>
  </si>
  <si>
    <t xml:space="preserve">Höck, A., et al (2020). The effect of environmental sustainability on credit risk. In Journal of Asset Management, 21/2, 85–93. https://doi.org/10.1057/s41260-020-00155-4. </t>
  </si>
  <si>
    <t xml:space="preserve">Hoepner, A., et al (2016). The effects of corporate and country sustainability characteristics on the cost of debt: An international investigation. In Journal of Business Finance &amp; Accounting, 43/1–2, 158–190. https://doi.org/10.1111/jbfa.12183. </t>
  </si>
  <si>
    <t>Hui, Z., Li, H., &amp; Elamer, A. A. (2024). Financing sustainability: How environmental disclosures shape bank lending decisions in emerging markets. Corporate Social Responsibility and Environmental Management, 31(5), 3940–3967. https://doi.org/10.1002/csr.2789</t>
  </si>
  <si>
    <t xml:space="preserve">Jang, G., et al (2020). ESG scores and the Credit Market. In Sustainability, 12/8, 3456. https://doi.org/10.3390/su12083456. </t>
  </si>
  <si>
    <t xml:space="preserve">Jiraporn, P., et al (2014). Does Corporate Social Responsibility (CSR) improve credit ratings? evidence from geographic identification. In Financial Management, 43/3, 505–531. https://doi.org/10.1111/fima.12044. </t>
  </si>
  <si>
    <t xml:space="preserve">Jung, J., et al (2016). Carbon risk, carbon risk awareness and the cost of debt financing. In Journal of Business Ethics, 150/4, 1151–1171. https://doi.org/10.1007/s10551-016-3207-6. </t>
  </si>
  <si>
    <t xml:space="preserve">Kim, Y. &amp; Kim, S. (2022). Environmental risk and credit ratings, and the moderating effect of market competition. In International Journal of Environmental Research and Public Health, 19/9, 5341. https://doi.org/10.3390/ijerph19095341. </t>
  </si>
  <si>
    <t xml:space="preserve">Kölbel, J., et al (2020). Does the CDS market reflect regulatory climate risk disclosures? In SSRN Electronic Journal. https://doi.org/10.2139/ssrn.3616324. </t>
  </si>
  <si>
    <t xml:space="preserve">Kordsachia, O. (2020). A risk management perspective on CSR and the marginal cost of debt: Empirical evidence from Europe. In Review of Managerial Science, 15/6, 1611–1643. https://doi.org/10.1007/s11846-020-00392-2. </t>
  </si>
  <si>
    <t xml:space="preserve">Lee, J. (2022). Voluntary disclosure of carbon emissions information, managerial ability, and credit ratings. In Sustainability, 14/12, 7504. https://doi.org/10.3390/su14127504. </t>
  </si>
  <si>
    <t xml:space="preserve">Lemma, T., et al (2017). Corporate Carbon Risk, voluntary disclosure, and cost of capital: south african evidence. In Business Strategy and the Environment, 28/1, 111–126. https://doi.org/10.1002/bse.2242. </t>
  </si>
  <si>
    <t xml:space="preserve">Li, Y., et al (2014). Carbon emissions and the cost of capital: Australian evidence. In Review of Accounting and Finance, 13/4, 400–420. https://doi.org/10.1108/raf-08-2012-0074. </t>
  </si>
  <si>
    <t xml:space="preserve">Maaloul, A. &amp; Wegener, M. (2021). The effect of environmental, social, and governance (ESG) performance and disclosure on cost of debt: The mediating effect of corporate reputation. In Corporate Reputation Review, 26/1, 1–18. https://doi.org/10.1057/s41299-021-00130-8. </t>
  </si>
  <si>
    <t xml:space="preserve">Nandy, M. &amp; Lodh, S. (2012). Do banks value the eco-friendliness of firms in their corporate lending decision? some empirical evidence. In International Review of Financial Analysis, 25, 83–93. https://doi.org/10.1016/j.irfa.2012.06.008. </t>
  </si>
  <si>
    <t>Nemoto, N. &amp; Liu, L. (2020). Measuring the Effect of Environmental, Social, and Governance on Sovereign Funding Costs (Asian Development Bank Institute, No. 1088). Tokyo, Japan</t>
  </si>
  <si>
    <t xml:space="preserve">Ofogbe, N., et al (2021). The relationship between the corporate social responsibility and the cost of the capital of the companies listed on the Nigerian Stock Exchange. In Ekonomski Horizonti, 23/3, 277–292. https://doi.org/10.5937/ekonhor2103289o. </t>
  </si>
  <si>
    <t xml:space="preserve">Oikonomou, I., et al (2014). The effects of corporate social performance on the cost of corporate debt and credit ratings. In Financial Review, 49/1, 49–75. https://doi.org/10.1111/fire.12025. </t>
  </si>
  <si>
    <t>Okimoto, T. &amp; Takaoka, s. (2022). Sustainability and Credit Spreads in Japan (Faculty of Economics, Keio University and Research Institute of Economy, Trade and Industry), Tokyo, Japan. https://doi.org/10.2139/ssrn.4368358.</t>
  </si>
  <si>
    <t xml:space="preserve">Palea, V. &amp; Drogo, F. (2020). Carbon emissions and the cost of debt in the eurozone: The role of public policies, climate‐related disclosure and corporate governance. In Business Strategy and the Environment, 29/8, 2953–2972. https://doi.org/10.1002/bse.2550. </t>
  </si>
  <si>
    <t xml:space="preserve">Safiullah, M., et al (2021). Carbon Emissions and credit ratings. In Energy Economics, 100, 105330. https://doi.org/10.1016/j.eneco.2021.105330. </t>
  </si>
  <si>
    <t xml:space="preserve">Salvi, A., et al. (2021). CSR in the bond market: Pricing stakeholders and the moderating role of the institutional context. In Global Finance Journal, 50, 100522. https://doi.org/10.1016/j.gfj.2020.100522. </t>
  </si>
  <si>
    <t xml:space="preserve">Sandra, O., et al (2021). Long-run relationship of corporate social responsibility and cost of capital of quoted companies in Nigeria Stock Exchange: Nigeria evidence. In Universal Journal of Accounting and Finance, 9/5, 946–960. https://doi.org/10.13189/ujaf.2021.090506. </t>
  </si>
  <si>
    <t xml:space="preserve">Schneider, T. (2010). Is environmental performance a determinant of bond pricing? evidence from the U.S. pulp and Paper and Chemical Industries. In SSRN Electronic Journal. https://doi.org/10.2139/ssrn.1299761. </t>
  </si>
  <si>
    <t xml:space="preserve">Seltzer, L., et al (2022). Climate regulatory risks and corporate bonds. In SSRN Electronic Journal. https://doi.org/10.2139/ssrn.4090897. </t>
  </si>
  <si>
    <t xml:space="preserve">Shad, M., et al (2022). The efficacy of sustainability reporting towards cost of debt and equity reduction. In Environmental Science and Pollution Research, 27/18, 22511–22522. https://doi.org/10.1007/s11356-020-08398-9. </t>
  </si>
  <si>
    <t xml:space="preserve">Srivisal, N. , et al (2021). Environmental, social and governance and creditworthiness: Two contrary evidence from major Asian markets. In Asian Academy of Management Journal of Accounting and Finance, 17/2, 161–187. https://doi.org/10.21315/aamjaf2021.17.2.7. </t>
  </si>
  <si>
    <t xml:space="preserve">Sze, A., et al (2021). Is the cost of corporate debt influenced by ESG factors? evidence from the EMEAP region. In SSRN Electronic Journal. https://doi.org/10.2139/ssrn.3995764. </t>
  </si>
  <si>
    <t xml:space="preserve">Tan, J., et al (2021). The impact of air pollution on the cost of debt financing: Evidence from the bond market. In Business Strategy and the Environment, 31/1, 464–482. https://doi.org/10.1002/bse.2904. </t>
  </si>
  <si>
    <t xml:space="preserve">Temiz, H. (2022). Environmental performance and cost of finance: Evidence from emerging markets. In Sustainability Accounting, Management and Policy Journal, 13/5, 1229–1250. https://doi.org/10.1108/sampj-12-2021-0537. </t>
  </si>
  <si>
    <t xml:space="preserve">Truong, T. &amp; Kim, J. (2019). Do corporate social responsibility activities reduce credit risk? short and long-term perspectives. In Sustainability, 11/24, 6962. https://doi.org/10.3390/su11246962. </t>
  </si>
  <si>
    <t xml:space="preserve">Wang, Y., et al (2020). Corporate carbon dioxide emissions and the cost of debt financing: Evidence from the Global Tourism Industry. In International Journal of Tourism Research, 23/1, 56–69. https://doi.org/10.1002/jtr.2392. </t>
  </si>
  <si>
    <t xml:space="preserve">Wang, A., et al (2022). Air Pollution, environmental violation risk, and the cost of debt: Evidence from China. In International Journal of Environmental Research and Public Health, 19/6, 3584. https://doi.org/10.3390/ijerph19063584. </t>
  </si>
  <si>
    <t xml:space="preserve">Weber, O., et al (2010). Incorporating sustainability criteria into credit risk management. In Business Strategy and the Environment, 19/1, 39–50. https://doi.org/10.1002/bse.636. </t>
  </si>
  <si>
    <t xml:space="preserve">Yilmaz, I. (2022). ESG-based sustainability performance and its impact on cost of capital: International evidence from the energy sector. In International Journal of Applied Economics, Finance and Accounting, 12/2, 21–30. https://doi.org/10.33094/ijaefa.v12i2.529. </t>
  </si>
  <si>
    <t xml:space="preserve">Zhou, Z., et al (2018). Carbon risk, cost of debt financing and the moderation effect of media attention: Evidence from Chinese companies operating in high‐carbon industries. In Business Strategy and the Environment, 27/8, 1131–1144. https://doi.org/10.1002/bse.2056. </t>
  </si>
  <si>
    <t xml:space="preserve">Zhu, B. &amp; Zhao, Y. (2022). Carbon risk and the cost of bank loans: Evidence from China. In Technological Forecasting and Social Change, 180, 121741. https://doi.org/10.1016/j.techfore.2022.121741. </t>
  </si>
  <si>
    <t>source</t>
  </si>
  <si>
    <t>pp_end_lag0</t>
  </si>
  <si>
    <t>pp_mid_lag0</t>
  </si>
  <si>
    <t>pp_start_lag0</t>
  </si>
  <si>
    <t>country_region</t>
  </si>
  <si>
    <t>region</t>
  </si>
  <si>
    <t>development</t>
  </si>
  <si>
    <t>note</t>
  </si>
  <si>
    <t>single</t>
  </si>
  <si>
    <t>multi (44)</t>
  </si>
  <si>
    <t>multi (28)</t>
  </si>
  <si>
    <t>multi (27)</t>
  </si>
  <si>
    <t>multi (20)</t>
  </si>
  <si>
    <t>global</t>
  </si>
  <si>
    <t>multi (2)</t>
  </si>
  <si>
    <t>multi (18)</t>
  </si>
  <si>
    <t>multi (17)</t>
  </si>
  <si>
    <t>multi (15)</t>
  </si>
  <si>
    <t>region label</t>
  </si>
  <si>
    <t>multi (26)</t>
  </si>
  <si>
    <t>multi (50)</t>
  </si>
  <si>
    <t>multi (16)</t>
  </si>
  <si>
    <t>multi (34)</t>
  </si>
  <si>
    <t>multi (12)</t>
  </si>
  <si>
    <t>multi (11)</t>
  </si>
  <si>
    <t>multi (24)</t>
  </si>
  <si>
    <t>country_short</t>
  </si>
  <si>
    <t>1_US</t>
  </si>
  <si>
    <t>culture</t>
  </si>
  <si>
    <t>2_Europe</t>
  </si>
  <si>
    <t>3_AsiaPac</t>
  </si>
  <si>
    <t>99_NCE</t>
  </si>
  <si>
    <t>1_developed</t>
  </si>
  <si>
    <t>2_developing</t>
  </si>
  <si>
    <t>1_western</t>
  </si>
  <si>
    <t>2_non_western</t>
  </si>
  <si>
    <t>law</t>
  </si>
  <si>
    <t>1_common law</t>
  </si>
  <si>
    <t>2_civil law</t>
  </si>
  <si>
    <t>pp_window_class</t>
  </si>
  <si>
    <t>sample_mid</t>
  </si>
  <si>
    <t>sample_median</t>
  </si>
  <si>
    <t>pp_share_lag0</t>
  </si>
  <si>
    <t>sample_post share_2016</t>
  </si>
  <si>
    <t>sample_post share_2017</t>
  </si>
  <si>
    <t>sample_post share_2018</t>
  </si>
  <si>
    <t>sample_post share_2019</t>
  </si>
  <si>
    <t>pp_share_lag1</t>
  </si>
  <si>
    <t>pp_share_lag2</t>
  </si>
  <si>
    <t>pp_share_lag3</t>
  </si>
  <si>
    <t>pp_median split</t>
  </si>
  <si>
    <t>pp_tertial split</t>
  </si>
  <si>
    <t>q_status</t>
  </si>
  <si>
    <t>q_VHB</t>
  </si>
  <si>
    <t>field</t>
  </si>
  <si>
    <t>Li, Y., Chen, R., &amp; Xiang, E. (2022). Corporate social responsibility, green financial system guidelines, and cost of debt financing: Evidence from pollution‐intensive industries in China. Corporate Social Responsibility and Environmental Management, 29(3), 593-608.</t>
  </si>
  <si>
    <t xml:space="preserve">journal </t>
  </si>
  <si>
    <t>journal vhb ranking</t>
  </si>
  <si>
    <t>jounal Journal impact factor</t>
  </si>
  <si>
    <t>publication status</t>
  </si>
  <si>
    <t>Business Strategy and the Environment</t>
  </si>
  <si>
    <t>B</t>
  </si>
  <si>
    <t>Journal of International Financial Markets, Institutions and Money</t>
  </si>
  <si>
    <t>SSRN Working Paper</t>
  </si>
  <si>
    <t>-</t>
  </si>
  <si>
    <t>n/a</t>
  </si>
  <si>
    <t>Journal of Banking &amp; Finance</t>
  </si>
  <si>
    <t>A</t>
  </si>
  <si>
    <t>Working Paper (Mays Business School, Texas A&amp;M)</t>
  </si>
  <si>
    <t>Management Science</t>
  </si>
  <si>
    <t>A+</t>
  </si>
  <si>
    <t>Journal of Business Ethics</t>
  </si>
  <si>
    <t>Frontiers in Energy Research</t>
  </si>
  <si>
    <t>nicht gelistet (VHB-2024)</t>
  </si>
  <si>
    <t>Sustainability (MDPI)</t>
  </si>
  <si>
    <t>nicht in VHB-2024 (JQ3: C)</t>
  </si>
  <si>
    <t>Swiss Finance Institute Research Paper 18-10</t>
  </si>
  <si>
    <t>International Journal of Business and Management (CCSE)</t>
  </si>
  <si>
    <t>nicht gelistet</t>
  </si>
  <si>
    <t>Journal of Cleaner Production</t>
  </si>
  <si>
    <t>Corporate Social Responsibility and Environmental Management</t>
  </si>
  <si>
    <t>Environmental Science and Pollution Research</t>
  </si>
  <si>
    <t>Critical Perspectives on Accounting</t>
  </si>
  <si>
    <t>Journal of Financial Stability</t>
  </si>
  <si>
    <t>Pacific-Basin Finance Journal</t>
  </si>
  <si>
    <t>C</t>
  </si>
  <si>
    <t>Economics of Transition and Institutional Change</t>
  </si>
  <si>
    <t>prufen</t>
  </si>
  <si>
    <t>Journal of Accounting and Public Policy</t>
  </si>
  <si>
    <t>Journal of Asset Management</t>
  </si>
  <si>
    <t>Management Decision</t>
  </si>
  <si>
    <t>Journal of Business Finance &amp; Accounting</t>
  </si>
  <si>
    <t>Financial Management</t>
  </si>
  <si>
    <t>International Journal of Environmental Research and Public Health (IJERPH)</t>
  </si>
  <si>
    <t>Review of Managerial Science</t>
  </si>
  <si>
    <t>Review of Accounting and Finance</t>
  </si>
  <si>
    <t>Corporate Reputation Review</t>
  </si>
  <si>
    <t>International Review of Financial Analysis</t>
  </si>
  <si>
    <t>ADBI Working Paper No. 1088</t>
  </si>
  <si>
    <t>Ekonomski Horizonti</t>
  </si>
  <si>
    <t>Financial Review</t>
  </si>
  <si>
    <t>Working Paper (Keio Univ. / RIETI; SSRN)</t>
  </si>
  <si>
    <t>Energy Economics</t>
  </si>
  <si>
    <t>Global Finance Journal</t>
  </si>
  <si>
    <t>Universal Journal of Accounting and Finance</t>
  </si>
  <si>
    <t>NBER/SSRN Working Paper (NBER WP 29994)</t>
  </si>
  <si>
    <t>Asian Academy of Management Journal of Accounting and Finance</t>
  </si>
  <si>
    <t>Sustainability Accounting, Management and Policy Journal</t>
  </si>
  <si>
    <t>International Journal of Tourism Research</t>
  </si>
  <si>
    <t>International Journal of Applied Economics, Finance and Accounting</t>
  </si>
  <si>
    <t>Technological Forecasting and Social Change</t>
  </si>
  <si>
    <t>publication year</t>
  </si>
  <si>
    <t>jounal field</t>
  </si>
  <si>
    <t>0_published</t>
  </si>
  <si>
    <t>1_not published</t>
  </si>
  <si>
    <t>journal vhb ranking_moderator</t>
  </si>
  <si>
    <t>source_short</t>
  </si>
  <si>
    <t>journal VHB ranking_moderator</t>
  </si>
  <si>
    <t>1_VHB high</t>
  </si>
  <si>
    <t>0_VHB low</t>
  </si>
  <si>
    <t>Nachhaltigkeit</t>
  </si>
  <si>
    <t>Finance</t>
  </si>
  <si>
    <t>Management</t>
  </si>
  <si>
    <t>Umweltwissenschaften</t>
  </si>
  <si>
    <t>Accounting</t>
  </si>
  <si>
    <t>Economics</t>
  </si>
  <si>
    <t>Public Health</t>
  </si>
  <si>
    <t>Tourismus</t>
  </si>
  <si>
    <t>journal field_moderator</t>
  </si>
  <si>
    <t>1_fin/acc/econ</t>
  </si>
  <si>
    <t>2_sust</t>
  </si>
  <si>
    <t>3_mgmt</t>
  </si>
  <si>
    <t>country_legal</t>
  </si>
  <si>
    <t>country_culture</t>
  </si>
  <si>
    <t>country_econ</t>
  </si>
  <si>
    <t>99_NA</t>
  </si>
  <si>
    <t>pp_median_lag0</t>
  </si>
  <si>
    <t>pp_end_lag1</t>
  </si>
  <si>
    <t>pp_end_lag2</t>
  </si>
  <si>
    <t>pp_end_lag3</t>
  </si>
  <si>
    <t>Financial Markets, Institutions &amp; Instruments, 33 (2024), 239–265</t>
  </si>
  <si>
    <t>Journal of Financial and Economic Practice, 12(2), 2012, 115–131</t>
  </si>
  <si>
    <t>International Review of Financial Analysis, 88 (2023)</t>
  </si>
  <si>
    <t>Journal of Financial Econometrics, 22(1), Winter 2024, 30–69 (DOI 10.1093/jjfinec/nbac027) — Titel geändert zu "Ask BERT: How Regulatory Disclosure..."</t>
  </si>
  <si>
    <t>International Review of Financial Analysis, 91 (2024), 103052</t>
  </si>
  <si>
    <r>
      <t xml:space="preserve">Contemporary Accounting Research, 28(5), 2011, 1537–1561 — </t>
    </r>
    <r>
      <rPr>
        <b/>
        <sz val="11"/>
        <color theme="1"/>
        <rFont val="Aptos Narrow"/>
        <family val="2"/>
        <scheme val="minor"/>
      </rPr>
      <t>war bereits 2011 published, offenbar Fehler bei Ersterfassung</t>
    </r>
  </si>
  <si>
    <t>Finance Research Letters, 44 (2021/22), 102052</t>
  </si>
  <si>
    <t>Bannier, C. E., Bofinger, Y., &amp; Rock, B. (2022). Corporate social responsibility and credit risk. Finance Research Letters, 44, 102052.</t>
  </si>
  <si>
    <t>Chen, L. H., &amp; Silva Gao, L. (2012). The pricing of climate risk. Journal of Financial and Economic Practice, Vol12 (2), Spring, 115-131.</t>
  </si>
  <si>
    <t>Delis, M. D., Greiff, K. D., Iosifidi, M., &amp; Ongena, S. (2024). Being stranded with fossil fuel reserves? Climate policy risk and the pricing of bank loans. Financial markets, institutions &amp; instruments, 33(3), 239-265.</t>
  </si>
  <si>
    <t>Ferriani, F. (2023). Issuing bonds during the Covid-19 pandemic: Was there an ESG premium?. International Review of Financial Analysis, 88, 102653.</t>
  </si>
  <si>
    <t>Kölbel, J. F., Leippold, M., Rillaerts, J., &amp; Wang, Q. (2024). Ask BERT: How regulatory disclosure of transition and physical climate risks affects the CDS term structure. Journal of Financial Econometrics, 22(1), 30-69.</t>
  </si>
  <si>
    <t>Okimoto, T., &amp; Takaoka, S. (2024). Sustainability and credit spreads in Japan. International Review of Financial Analysis, 91, 103052.</t>
  </si>
  <si>
    <t>Schneider, T. E. (2011). Is environmental performance a determinant of bond pricing? Evidence from the US pulp and paper and chemical industries. Contemporary Accounting Research, 28(5), 1537-1561.</t>
  </si>
  <si>
    <t>sample_size
no_firms_source</t>
  </si>
  <si>
    <t>sample_size
no_firm-years_source</t>
  </si>
  <si>
    <t>sample_size
no_firms_rounded</t>
  </si>
  <si>
    <t>sample_size
no_firm-years_rounded</t>
  </si>
  <si>
    <t>calculated</t>
  </si>
  <si>
    <t>coded</t>
  </si>
  <si>
    <t>ES (corr_coeff)</t>
  </si>
  <si>
    <t>ES_source</t>
  </si>
  <si>
    <t>T-Statistic available</t>
  </si>
  <si>
    <t>p-Value available</t>
  </si>
  <si>
    <t>Regression Cofficient and Standard Error  available</t>
  </si>
  <si>
    <t>Correlation coefficient available</t>
  </si>
  <si>
    <t>t-statistic available</t>
  </si>
  <si>
    <t>(t-statistic)/WURZEL((t-statistic)^2+(no_firm-years))</t>
  </si>
  <si>
    <t>if</t>
  </si>
  <si>
    <t>then</t>
  </si>
  <si>
    <t>corr_coeff</t>
  </si>
  <si>
    <t>((RegCoeff/StdErr))/(WURZEL(((RegCoeff/StdErr))^2+(no_firm-years)))</t>
  </si>
  <si>
    <t>(TINV(p-Value;no_firm-years))/(WURZEL((TINV(p-Value;no_firm-years))^2+(no_firm-years)</t>
  </si>
  <si>
    <t>a) Shad: Key sagt 2022, die ESPR-Version ist 2020 — klären/harmonisieren.</t>
  </si>
  <si>
    <t>&gt;&gt;</t>
  </si>
  <si>
    <t>geklärt; 2022</t>
  </si>
  <si>
    <t>b) Lemma: 2017 (online-first) vs. BSE 28(1) 2019 — Konvention: journal/year = kodierte Version, Version of Record in reference_verified.</t>
  </si>
  <si>
    <t>geklärt; spalte L komplett aktualisiert</t>
  </si>
  <si>
    <t>c) Li (green financial system): zwei fast identische Zeilen (2021-WP + 2022-VoR) — auf eine konsolidieren.</t>
  </si>
  <si>
    <t>geklärt; beides das gleiche paper</t>
  </si>
  <si>
    <t>d) Neue Referenz-Spalte: Header setzen (reference_verified) + die 7 Leerzeilen prüfen.</t>
  </si>
  <si>
    <t>source_verfified</t>
  </si>
  <si>
    <t>e) Sharfman &amp; Fernando (2008, SMJ): steht im COE-Korpus und berichtet auch Cost-of-Debt-Ergebnisse — bitte den Ausschlussgrund bei uns in einem Satz dokumentieren (vermutlich kein extrahierbares r?). Nur Begründung, kein Nachziehen.</t>
  </si>
  <si>
    <t>geklärt; nicht ausreichend daten im paper um den partiellen corr-coeff zu rechnen (insb fehlt stderr aus der regression)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</si>
</sst>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/>
    <xf numFmtId="1" fontId="1" fillId="4" borderId="0" xfId="0" applyNumberFormat="1" applyFont="1" applyFill="1" applyAlignment="1">
      <alignment vertical="top" wrapText="1"/>
    </xf>
    <xf numFmtId="1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5" borderId="0" xfId="0" applyFont="1" applyFill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6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1" fillId="7" borderId="0" xfId="0" applyFont="1" applyFill="1" applyAlignment="1">
      <alignment horizontal="left" vertical="top" wrapText="1"/>
    </xf>
  </cellXfs>
  <cellStyles count="2">
    <cellStyle name="Standard" xfId="0" builtinId="0"/>
    <cellStyle name="Standard 2" xfId="1" xr:uid="{68639882-A746-4EB0-A77A-DD66E861E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4C23-469F-43B5-BB9E-9322CAFB67BA}">
  <dimension ref="A1:AS1307"/>
  <sheetViews>
    <sheetView tabSelected="1" workbookViewId="0">
      <pane ySplit="1" topLeftCell="A2" activePane="bottomLeft" state="frozen"/>
      <selection activeCell="D48" sqref="D48"/>
      <selection pane="bottomLeft"/>
    </sheetView>
  </sheetViews>
  <sheetFormatPr baseColWidth="10" defaultRowHeight="14.4" x14ac:dyDescent="0.3"/>
  <cols>
    <col min="1" max="1" width="25.44140625" bestFit="1" customWidth="1"/>
    <col min="2" max="2" width="12" customWidth="1"/>
    <col min="3" max="3" width="12" style="1" customWidth="1"/>
    <col min="4" max="7" width="12" style="2" customWidth="1"/>
    <col min="8" max="9" width="12" customWidth="1"/>
    <col min="10" max="17" width="12" style="2" customWidth="1"/>
    <col min="18" max="40" width="12" customWidth="1"/>
    <col min="41" max="43" width="13.109375" customWidth="1"/>
    <col min="44" max="45" width="27.21875" customWidth="1"/>
  </cols>
  <sheetData>
    <row r="1" spans="1:45" s="9" customFormat="1" ht="57.6" x14ac:dyDescent="0.3">
      <c r="A1" s="14" t="s">
        <v>65</v>
      </c>
      <c r="B1" s="14" t="s">
        <v>66</v>
      </c>
      <c r="C1" s="15" t="s">
        <v>348</v>
      </c>
      <c r="D1" s="11" t="s">
        <v>344</v>
      </c>
      <c r="E1" s="11" t="s">
        <v>345</v>
      </c>
      <c r="F1" s="11" t="s">
        <v>342</v>
      </c>
      <c r="G1" s="11" t="s">
        <v>343</v>
      </c>
      <c r="H1" s="11" t="s">
        <v>69</v>
      </c>
      <c r="I1" s="11" t="s">
        <v>349</v>
      </c>
      <c r="J1" s="12" t="s">
        <v>72</v>
      </c>
      <c r="K1" s="12" t="s">
        <v>73</v>
      </c>
      <c r="L1" s="12" t="s">
        <v>228</v>
      </c>
      <c r="M1" s="12" t="s">
        <v>229</v>
      </c>
      <c r="N1" s="12" t="s">
        <v>231</v>
      </c>
      <c r="O1" s="12" t="s">
        <v>232</v>
      </c>
      <c r="P1" s="12" t="s">
        <v>233</v>
      </c>
      <c r="Q1" s="12" t="s">
        <v>234</v>
      </c>
      <c r="R1" s="13" t="s">
        <v>230</v>
      </c>
      <c r="S1" s="13" t="s">
        <v>190</v>
      </c>
      <c r="T1" s="13" t="s">
        <v>324</v>
      </c>
      <c r="U1" s="13" t="s">
        <v>189</v>
      </c>
      <c r="V1" s="13" t="s">
        <v>191</v>
      </c>
      <c r="W1" s="13" t="s">
        <v>227</v>
      </c>
      <c r="X1" s="13" t="s">
        <v>235</v>
      </c>
      <c r="Y1" s="13" t="s">
        <v>236</v>
      </c>
      <c r="Z1" s="13" t="s">
        <v>237</v>
      </c>
      <c r="AA1" s="13" t="s">
        <v>325</v>
      </c>
      <c r="AB1" s="13" t="s">
        <v>326</v>
      </c>
      <c r="AC1" s="13" t="s">
        <v>327</v>
      </c>
      <c r="AD1" s="13" t="s">
        <v>238</v>
      </c>
      <c r="AE1" s="13" t="s">
        <v>239</v>
      </c>
      <c r="AF1" s="16" t="s">
        <v>84</v>
      </c>
      <c r="AG1" s="16" t="s">
        <v>68</v>
      </c>
      <c r="AH1" s="16" t="s">
        <v>71</v>
      </c>
      <c r="AI1" s="16" t="s">
        <v>120</v>
      </c>
      <c r="AJ1" s="16" t="s">
        <v>121</v>
      </c>
      <c r="AK1" s="16" t="s">
        <v>192</v>
      </c>
      <c r="AL1" s="16" t="s">
        <v>322</v>
      </c>
      <c r="AM1" s="16" t="s">
        <v>321</v>
      </c>
      <c r="AN1" s="16" t="s">
        <v>320</v>
      </c>
      <c r="AO1" s="18" t="s">
        <v>240</v>
      </c>
      <c r="AP1" s="18" t="s">
        <v>241</v>
      </c>
      <c r="AQ1" s="18" t="s">
        <v>242</v>
      </c>
      <c r="AR1" s="8" t="s">
        <v>83</v>
      </c>
      <c r="AS1" s="8" t="s">
        <v>188</v>
      </c>
    </row>
    <row r="2" spans="1:45" x14ac:dyDescent="0.3">
      <c r="A2" t="s">
        <v>0</v>
      </c>
      <c r="B2">
        <v>1</v>
      </c>
      <c r="C2" s="1">
        <v>-5.7746583721674752E-2</v>
      </c>
      <c r="D2" s="2">
        <v>170</v>
      </c>
      <c r="E2" s="4">
        <v>2036</v>
      </c>
      <c r="F2" s="4" t="s">
        <v>346</v>
      </c>
      <c r="G2" s="4" t="s">
        <v>347</v>
      </c>
      <c r="H2" t="s">
        <v>77</v>
      </c>
      <c r="I2" t="s">
        <v>350</v>
      </c>
      <c r="J2" s="3">
        <v>2006</v>
      </c>
      <c r="K2" s="3">
        <v>2017</v>
      </c>
      <c r="L2" s="6">
        <f>ROUND(AVERAGE(J2:K2),100)</f>
        <v>2011.5</v>
      </c>
      <c r="M2" s="6">
        <f>ROUND(MEDIAN(J2:K2),100)</f>
        <v>2011.5</v>
      </c>
      <c r="N2" s="7">
        <f t="shared" ref="N2:N65" si="0">MAX(0,$K2-MAX($J2,2016)+1)/($K2-$J2+1)</f>
        <v>0.16666666666666666</v>
      </c>
      <c r="O2" s="7">
        <f t="shared" ref="O2:O65" si="1">MAX(0,$K2-MAX($J2,2017)+1)/($K2-$J2+1)</f>
        <v>8.3333333333333329E-2</v>
      </c>
      <c r="P2" s="7">
        <f t="shared" ref="P2:P65" si="2">MAX(0,$K2-MAX($J2,2018)+1)/($K2-$J2+1)</f>
        <v>0</v>
      </c>
      <c r="Q2" s="7">
        <f>MAX(0,$K2-MAX($J2,2019)+1)/($K2-$J2+1)</f>
        <v>0</v>
      </c>
      <c r="R2" s="10" t="str">
        <f t="shared" ref="R2:R65" si="3">IF(N2&gt;=0.5,"1_Post","0_Pre")</f>
        <v>0_Pre</v>
      </c>
      <c r="S2" s="10" t="str">
        <f t="shared" ref="S2:S65" si="4">IF($L2&gt;=2016,"1_Post","0_Pre")</f>
        <v>0_Pre</v>
      </c>
      <c r="T2" s="10" t="str">
        <f t="shared" ref="T2:T65" si="5">IF($M2&gt;=2016,"1_Post","0_Pre")</f>
        <v>0_Pre</v>
      </c>
      <c r="U2" s="10" t="str">
        <f t="shared" ref="U2:U65" si="6">IF($K2&gt;=2016,"1_Post","0_Pre")</f>
        <v>1_Post</v>
      </c>
      <c r="V2" s="10" t="str">
        <f>IF($J2&lt;=2017,"0_Pre","1_Post")</f>
        <v>0_Pre</v>
      </c>
      <c r="W2" s="10" t="str">
        <f t="shared" ref="W2:W65" si="7">IF($K2&lt;=2015,"clean_pre",IF($J2&gt;=2016,"clean_post","straddle"))</f>
        <v>straddle</v>
      </c>
      <c r="X2" s="10" t="str">
        <f t="shared" ref="X2:X65" si="8">IF(O2&gt;=0.5,"1_Post","0_Pre")</f>
        <v>0_Pre</v>
      </c>
      <c r="Y2" s="10" t="str">
        <f t="shared" ref="Y2:Y65" si="9">IF(P2&gt;=0.5,"1_Post","0_Pre")</f>
        <v>0_Pre</v>
      </c>
      <c r="Z2" s="10" t="str">
        <f t="shared" ref="Z2:Z65" si="10">IF(Q2&gt;=0.5,"1_Post","0_Pre")</f>
        <v>0_Pre</v>
      </c>
      <c r="AA2" s="10" t="str">
        <f>IF($K2&gt;=2017,"1_Post","0_Pre")</f>
        <v>1_Post</v>
      </c>
      <c r="AB2" s="10" t="str">
        <f>IF($K2&gt;=2018,"1_Post","0_Pre")</f>
        <v>0_Pre</v>
      </c>
      <c r="AC2" s="10" t="str">
        <f>IF($K2&gt;=2019,"1_Post","0_Pre")</f>
        <v>0_Pre</v>
      </c>
      <c r="AD2" s="10" t="str">
        <f>IF(L2&lt;MEDIAN($L$2:$L$1307),"1_pre sample median","2_post sample median")</f>
        <v>1_pre sample median</v>
      </c>
      <c r="AE2" s="10" t="str">
        <f>IF(L2&lt;=PERCENTILE($L$2:$L$1307,0.33),"1_pre sample first tertile",IF(L2&gt;=PERCENTILE($L$2:$L$1307,0.67),"3_post sample third tertile","2_in sample second tertile"))</f>
        <v>2_in sample second tertile</v>
      </c>
      <c r="AF2" t="s">
        <v>81</v>
      </c>
      <c r="AG2" t="s">
        <v>75</v>
      </c>
      <c r="AH2" t="s">
        <v>78</v>
      </c>
      <c r="AI2" t="s">
        <v>122</v>
      </c>
      <c r="AJ2" t="s">
        <v>123</v>
      </c>
      <c r="AK2" t="str">
        <f>VLOOKUP(MID($AR2,1,255),country_lookup!$B:$F,2,FALSE)</f>
        <v>1_US</v>
      </c>
      <c r="AL2" t="str">
        <f>VLOOKUP(MID($AR2,1,255),country_lookup!$B:$F,3,FALSE)</f>
        <v>1_developed</v>
      </c>
      <c r="AM2" t="str">
        <f>VLOOKUP(MID($AR2,1,255),country_lookup!$B:$F,4,FALSE)</f>
        <v>1_western</v>
      </c>
      <c r="AN2" t="str">
        <f>VLOOKUP(MID($AR2,1,255),country_lookup!$B:$F,5,FALSE)</f>
        <v>1_common law</v>
      </c>
      <c r="AO2" s="10" t="str">
        <f>VLOOKUP(MID($AS2,1,255),source_lookup!$B:$K,4,FALSE)</f>
        <v>0_published</v>
      </c>
      <c r="AP2" s="10" t="str">
        <f>VLOOKUP(MID($AS2,1,255),source_lookup!$B:$K,6,FALSE)</f>
        <v>1_VHB high</v>
      </c>
      <c r="AQ2" s="10" t="str">
        <f>VLOOKUP(MID($AS2,1,255),source_lookup!$B:$K,10,FALSE)</f>
        <v>2_sust</v>
      </c>
      <c r="AR2" t="s">
        <v>85</v>
      </c>
      <c r="AS2" t="s">
        <v>124</v>
      </c>
    </row>
    <row r="3" spans="1:45" x14ac:dyDescent="0.3">
      <c r="A3" t="s">
        <v>1</v>
      </c>
      <c r="B3">
        <v>2</v>
      </c>
      <c r="C3" s="1">
        <v>0.10885031345291861</v>
      </c>
      <c r="D3" s="2">
        <v>36</v>
      </c>
      <c r="E3" s="4">
        <v>251</v>
      </c>
      <c r="F3" s="4" t="s">
        <v>347</v>
      </c>
      <c r="G3" s="4" t="s">
        <v>346</v>
      </c>
      <c r="H3" t="s">
        <v>77</v>
      </c>
      <c r="I3" t="s">
        <v>351</v>
      </c>
      <c r="J3" s="3">
        <v>2011</v>
      </c>
      <c r="K3" s="3">
        <v>2017</v>
      </c>
      <c r="L3" s="6">
        <f t="shared" ref="L3:L66" si="11">ROUND(AVERAGE(J3:K3),100)</f>
        <v>2014</v>
      </c>
      <c r="M3" s="6">
        <f t="shared" ref="M3:M66" si="12">ROUND(MEDIAN(J3:K3),100)</f>
        <v>2014</v>
      </c>
      <c r="N3" s="7">
        <f t="shared" si="0"/>
        <v>0.2857142857142857</v>
      </c>
      <c r="O3" s="7">
        <f t="shared" si="1"/>
        <v>0.14285714285714285</v>
      </c>
      <c r="P3" s="7">
        <f t="shared" si="2"/>
        <v>0</v>
      </c>
      <c r="Q3" s="7">
        <f t="shared" ref="Q3:Q66" si="13">MAX(0,$K3-MAX($J3,2019)+1)/($K3-$J3+1)</f>
        <v>0</v>
      </c>
      <c r="R3" s="10" t="str">
        <f t="shared" si="3"/>
        <v>0_Pre</v>
      </c>
      <c r="S3" s="10" t="str">
        <f t="shared" si="4"/>
        <v>0_Pre</v>
      </c>
      <c r="T3" s="10" t="str">
        <f t="shared" si="5"/>
        <v>0_Pre</v>
      </c>
      <c r="U3" s="10" t="str">
        <f t="shared" si="6"/>
        <v>1_Post</v>
      </c>
      <c r="V3" s="10" t="str">
        <f t="shared" ref="V3:V66" si="14">IF($J3&lt;=2017,"0_Pre","1_Post")</f>
        <v>0_Pre</v>
      </c>
      <c r="W3" s="10" t="str">
        <f t="shared" si="7"/>
        <v>straddle</v>
      </c>
      <c r="X3" s="10" t="str">
        <f t="shared" si="8"/>
        <v>0_Pre</v>
      </c>
      <c r="Y3" s="10" t="str">
        <f t="shared" si="9"/>
        <v>0_Pre</v>
      </c>
      <c r="Z3" s="10" t="str">
        <f t="shared" si="10"/>
        <v>0_Pre</v>
      </c>
      <c r="AA3" s="10" t="str">
        <f t="shared" ref="AA3:AA66" si="15">IF($K3&gt;=2017,"1_Post","0_Pre")</f>
        <v>1_Post</v>
      </c>
      <c r="AB3" s="10" t="str">
        <f t="shared" ref="AB3:AB66" si="16">IF($K3&gt;=2018,"1_Post","0_Pre")</f>
        <v>0_Pre</v>
      </c>
      <c r="AC3" s="10" t="str">
        <f t="shared" ref="AC3:AC66" si="17">IF($K3&gt;=2019,"1_Post","0_Pre")</f>
        <v>0_Pre</v>
      </c>
      <c r="AD3" s="10" t="str">
        <f t="shared" ref="AD3:AD66" si="18">IF(L3&lt;MEDIAN($L$2:$L$1307),"1_pre sample median","2_post sample median")</f>
        <v>2_post sample median</v>
      </c>
      <c r="AE3" s="10" t="str">
        <f t="shared" ref="AE3:AE66" si="19">IF(L3&lt;=PERCENTILE($L$2:$L$1307,0.33),"1_pre sample first tertile",IF(L3&gt;=PERCENTILE($L$2:$L$1307,0.67),"3_post sample third tertile","2_in sample second tertile"))</f>
        <v>3_post sample third tertile</v>
      </c>
      <c r="AF3" t="s">
        <v>80</v>
      </c>
      <c r="AG3" t="s">
        <v>75</v>
      </c>
      <c r="AH3" t="s">
        <v>78</v>
      </c>
      <c r="AI3" t="s">
        <v>70</v>
      </c>
      <c r="AJ3" t="s">
        <v>70</v>
      </c>
      <c r="AK3" t="str">
        <f>VLOOKUP(MID($AR3,1,255),country_lookup!$B:$F,2,FALSE)</f>
        <v>99_NCE</v>
      </c>
      <c r="AL3" t="str">
        <f>VLOOKUP(MID($AR3,1,255),country_lookup!$B:$F,3,FALSE)</f>
        <v>99_NCE</v>
      </c>
      <c r="AM3" t="str">
        <f>VLOOKUP(MID($AR3,1,255),country_lookup!$B:$F,4,FALSE)</f>
        <v>99_NCE</v>
      </c>
      <c r="AN3" t="str">
        <f>VLOOKUP(MID($AR3,1,255),country_lookup!$B:$F,5,FALSE)</f>
        <v>99_NCE</v>
      </c>
      <c r="AO3" s="10" t="str">
        <f>VLOOKUP(MID($AS3,1,255),source_lookup!$B:$K,4,FALSE)</f>
        <v>0_published</v>
      </c>
      <c r="AP3" s="10" t="str">
        <f>VLOOKUP(MID($AS3,1,255),source_lookup!$B:$K,6,FALSE)</f>
        <v>1_VHB high</v>
      </c>
      <c r="AQ3" s="10" t="str">
        <f>VLOOKUP(MID($AS3,1,255),source_lookup!$B:$K,10,FALSE)</f>
        <v>1_fin/acc/econ</v>
      </c>
      <c r="AR3" t="s">
        <v>86</v>
      </c>
      <c r="AS3" t="s">
        <v>125</v>
      </c>
    </row>
    <row r="4" spans="1:45" x14ac:dyDescent="0.3">
      <c r="A4" t="s">
        <v>1</v>
      </c>
      <c r="B4">
        <v>3</v>
      </c>
      <c r="C4" s="1">
        <v>6.1742838275345081E-2</v>
      </c>
      <c r="D4" s="2">
        <v>36</v>
      </c>
      <c r="E4" s="4">
        <v>251</v>
      </c>
      <c r="F4" s="4" t="s">
        <v>347</v>
      </c>
      <c r="G4" s="4" t="s">
        <v>346</v>
      </c>
      <c r="H4" t="s">
        <v>77</v>
      </c>
      <c r="I4" t="s">
        <v>351</v>
      </c>
      <c r="J4" s="3">
        <v>2011</v>
      </c>
      <c r="K4" s="3">
        <v>2017</v>
      </c>
      <c r="L4" s="6">
        <f t="shared" si="11"/>
        <v>2014</v>
      </c>
      <c r="M4" s="6">
        <f t="shared" si="12"/>
        <v>2014</v>
      </c>
      <c r="N4" s="7">
        <f t="shared" si="0"/>
        <v>0.2857142857142857</v>
      </c>
      <c r="O4" s="7">
        <f t="shared" si="1"/>
        <v>0.14285714285714285</v>
      </c>
      <c r="P4" s="7">
        <f t="shared" si="2"/>
        <v>0</v>
      </c>
      <c r="Q4" s="7">
        <f t="shared" si="13"/>
        <v>0</v>
      </c>
      <c r="R4" s="10" t="str">
        <f t="shared" si="3"/>
        <v>0_Pre</v>
      </c>
      <c r="S4" s="10" t="str">
        <f t="shared" si="4"/>
        <v>0_Pre</v>
      </c>
      <c r="T4" s="10" t="str">
        <f t="shared" si="5"/>
        <v>0_Pre</v>
      </c>
      <c r="U4" s="10" t="str">
        <f t="shared" si="6"/>
        <v>1_Post</v>
      </c>
      <c r="V4" s="10" t="str">
        <f t="shared" si="14"/>
        <v>0_Pre</v>
      </c>
      <c r="W4" s="10" t="str">
        <f t="shared" si="7"/>
        <v>straddle</v>
      </c>
      <c r="X4" s="10" t="str">
        <f t="shared" si="8"/>
        <v>0_Pre</v>
      </c>
      <c r="Y4" s="10" t="str">
        <f t="shared" si="9"/>
        <v>0_Pre</v>
      </c>
      <c r="Z4" s="10" t="str">
        <f t="shared" si="10"/>
        <v>0_Pre</v>
      </c>
      <c r="AA4" s="10" t="str">
        <f t="shared" si="15"/>
        <v>1_Post</v>
      </c>
      <c r="AB4" s="10" t="str">
        <f t="shared" si="16"/>
        <v>0_Pre</v>
      </c>
      <c r="AC4" s="10" t="str">
        <f t="shared" si="17"/>
        <v>0_Pre</v>
      </c>
      <c r="AD4" s="10" t="str">
        <f t="shared" si="18"/>
        <v>2_post sample median</v>
      </c>
      <c r="AE4" s="10" t="str">
        <f t="shared" si="19"/>
        <v>3_post sample third tertile</v>
      </c>
      <c r="AF4" t="s">
        <v>80</v>
      </c>
      <c r="AG4" t="s">
        <v>75</v>
      </c>
      <c r="AH4" t="s">
        <v>78</v>
      </c>
      <c r="AI4" t="s">
        <v>70</v>
      </c>
      <c r="AJ4" t="s">
        <v>70</v>
      </c>
      <c r="AK4" t="str">
        <f>VLOOKUP(MID($AR4,1,255),country_lookup!$B:$F,2,FALSE)</f>
        <v>99_NCE</v>
      </c>
      <c r="AL4" t="str">
        <f>VLOOKUP(MID($AR4,1,255),country_lookup!$B:$F,3,FALSE)</f>
        <v>99_NCE</v>
      </c>
      <c r="AM4" t="str">
        <f>VLOOKUP(MID($AR4,1,255),country_lookup!$B:$F,4,FALSE)</f>
        <v>99_NCE</v>
      </c>
      <c r="AN4" t="str">
        <f>VLOOKUP(MID($AR4,1,255),country_lookup!$B:$F,5,FALSE)</f>
        <v>99_NCE</v>
      </c>
      <c r="AO4" s="10" t="str">
        <f>VLOOKUP(MID($AS4,1,255),source_lookup!$B:$K,4,FALSE)</f>
        <v>0_published</v>
      </c>
      <c r="AP4" s="10" t="str">
        <f>VLOOKUP(MID($AS4,1,255),source_lookup!$B:$K,6,FALSE)</f>
        <v>1_VHB high</v>
      </c>
      <c r="AQ4" s="10" t="str">
        <f>VLOOKUP(MID($AS4,1,255),source_lookup!$B:$K,10,FALSE)</f>
        <v>1_fin/acc/econ</v>
      </c>
      <c r="AR4" t="s">
        <v>86</v>
      </c>
      <c r="AS4" t="s">
        <v>125</v>
      </c>
    </row>
    <row r="5" spans="1:45" x14ac:dyDescent="0.3">
      <c r="A5" t="s">
        <v>2</v>
      </c>
      <c r="B5">
        <v>4</v>
      </c>
      <c r="C5" s="1">
        <v>-2.5709774607483169E-2</v>
      </c>
      <c r="D5" s="2">
        <v>1300</v>
      </c>
      <c r="E5" s="4">
        <v>20806</v>
      </c>
      <c r="F5" s="4" t="s">
        <v>346</v>
      </c>
      <c r="G5" s="4" t="s">
        <v>347</v>
      </c>
      <c r="H5" t="s">
        <v>77</v>
      </c>
      <c r="I5" t="s">
        <v>352</v>
      </c>
      <c r="J5" s="3">
        <v>2003</v>
      </c>
      <c r="K5" s="3">
        <v>2018</v>
      </c>
      <c r="L5" s="6">
        <f t="shared" si="11"/>
        <v>2010.5</v>
      </c>
      <c r="M5" s="6">
        <f t="shared" si="12"/>
        <v>2010.5</v>
      </c>
      <c r="N5" s="7">
        <f t="shared" si="0"/>
        <v>0.1875</v>
      </c>
      <c r="O5" s="7">
        <f t="shared" si="1"/>
        <v>0.125</v>
      </c>
      <c r="P5" s="7">
        <f t="shared" si="2"/>
        <v>6.25E-2</v>
      </c>
      <c r="Q5" s="7">
        <f t="shared" si="13"/>
        <v>0</v>
      </c>
      <c r="R5" s="10" t="str">
        <f t="shared" si="3"/>
        <v>0_Pre</v>
      </c>
      <c r="S5" s="10" t="str">
        <f t="shared" si="4"/>
        <v>0_Pre</v>
      </c>
      <c r="T5" s="10" t="str">
        <f t="shared" si="5"/>
        <v>0_Pre</v>
      </c>
      <c r="U5" s="10" t="str">
        <f t="shared" si="6"/>
        <v>1_Post</v>
      </c>
      <c r="V5" s="10" t="str">
        <f t="shared" si="14"/>
        <v>0_Pre</v>
      </c>
      <c r="W5" s="10" t="str">
        <f t="shared" si="7"/>
        <v>straddle</v>
      </c>
      <c r="X5" s="10" t="str">
        <f t="shared" si="8"/>
        <v>0_Pre</v>
      </c>
      <c r="Y5" s="10" t="str">
        <f t="shared" si="9"/>
        <v>0_Pre</v>
      </c>
      <c r="Z5" s="10" t="str">
        <f t="shared" si="10"/>
        <v>0_Pre</v>
      </c>
      <c r="AA5" s="10" t="str">
        <f t="shared" si="15"/>
        <v>1_Post</v>
      </c>
      <c r="AB5" s="10" t="str">
        <f t="shared" si="16"/>
        <v>1_Post</v>
      </c>
      <c r="AC5" s="10" t="str">
        <f t="shared" si="17"/>
        <v>0_Pre</v>
      </c>
      <c r="AD5" s="10" t="str">
        <f t="shared" si="18"/>
        <v>1_pre sample median</v>
      </c>
      <c r="AE5" s="10" t="str">
        <f t="shared" si="19"/>
        <v>1_pre sample first tertile</v>
      </c>
      <c r="AF5" t="s">
        <v>81</v>
      </c>
      <c r="AG5" t="s">
        <v>75</v>
      </c>
      <c r="AH5" t="s">
        <v>78</v>
      </c>
      <c r="AI5" t="s">
        <v>122</v>
      </c>
      <c r="AJ5" t="s">
        <v>70</v>
      </c>
      <c r="AK5" t="str">
        <f>VLOOKUP(MID($AR5,1,255),country_lookup!$B:$F,2,FALSE)</f>
        <v>99_NCE</v>
      </c>
      <c r="AL5" t="str">
        <f>VLOOKUP(MID($AR5,1,255),country_lookup!$B:$F,3,FALSE)</f>
        <v>99_NCE</v>
      </c>
      <c r="AM5" t="str">
        <f>VLOOKUP(MID($AR5,1,255),country_lookup!$B:$F,4,FALSE)</f>
        <v>1_western</v>
      </c>
      <c r="AN5" t="str">
        <f>VLOOKUP(MID($AR5,1,255),country_lookup!$B:$F,5,FALSE)</f>
        <v>99_NCE</v>
      </c>
      <c r="AO5" s="10" t="str">
        <f>VLOOKUP(MID($AS5,1,255),source_lookup!$B:$K,4,FALSE)</f>
        <v>0_published</v>
      </c>
      <c r="AP5" s="10" t="str">
        <f>VLOOKUP(MID($AS5,1,255),source_lookup!$B:$K,6,FALSE)</f>
        <v>1_VHB high</v>
      </c>
      <c r="AQ5" s="10" t="str">
        <f>VLOOKUP(MID($AS5,1,255),source_lookup!$B:$K,10,FALSE)</f>
        <v>1_fin/acc/econ</v>
      </c>
      <c r="AR5" t="s">
        <v>87</v>
      </c>
      <c r="AS5" t="s">
        <v>126</v>
      </c>
    </row>
    <row r="6" spans="1:45" x14ac:dyDescent="0.3">
      <c r="A6" t="s">
        <v>2</v>
      </c>
      <c r="B6">
        <v>5</v>
      </c>
      <c r="C6" s="1">
        <v>-1.9358559275960401E-2</v>
      </c>
      <c r="D6" s="2">
        <v>1300</v>
      </c>
      <c r="E6" s="4">
        <v>20806</v>
      </c>
      <c r="F6" s="4" t="s">
        <v>346</v>
      </c>
      <c r="G6" s="4" t="s">
        <v>347</v>
      </c>
      <c r="H6" t="s">
        <v>77</v>
      </c>
      <c r="I6" t="s">
        <v>352</v>
      </c>
      <c r="J6" s="3">
        <v>2003</v>
      </c>
      <c r="K6" s="3">
        <v>2018</v>
      </c>
      <c r="L6" s="6">
        <f t="shared" si="11"/>
        <v>2010.5</v>
      </c>
      <c r="M6" s="6">
        <f t="shared" si="12"/>
        <v>2010.5</v>
      </c>
      <c r="N6" s="7">
        <f t="shared" si="0"/>
        <v>0.1875</v>
      </c>
      <c r="O6" s="7">
        <f t="shared" si="1"/>
        <v>0.125</v>
      </c>
      <c r="P6" s="7">
        <f t="shared" si="2"/>
        <v>6.25E-2</v>
      </c>
      <c r="Q6" s="7">
        <f t="shared" si="13"/>
        <v>0</v>
      </c>
      <c r="R6" s="10" t="str">
        <f t="shared" si="3"/>
        <v>0_Pre</v>
      </c>
      <c r="S6" s="10" t="str">
        <f t="shared" si="4"/>
        <v>0_Pre</v>
      </c>
      <c r="T6" s="10" t="str">
        <f t="shared" si="5"/>
        <v>0_Pre</v>
      </c>
      <c r="U6" s="10" t="str">
        <f t="shared" si="6"/>
        <v>1_Post</v>
      </c>
      <c r="V6" s="10" t="str">
        <f t="shared" si="14"/>
        <v>0_Pre</v>
      </c>
      <c r="W6" s="10" t="str">
        <f t="shared" si="7"/>
        <v>straddle</v>
      </c>
      <c r="X6" s="10" t="str">
        <f t="shared" si="8"/>
        <v>0_Pre</v>
      </c>
      <c r="Y6" s="10" t="str">
        <f t="shared" si="9"/>
        <v>0_Pre</v>
      </c>
      <c r="Z6" s="10" t="str">
        <f t="shared" si="10"/>
        <v>0_Pre</v>
      </c>
      <c r="AA6" s="10" t="str">
        <f t="shared" si="15"/>
        <v>1_Post</v>
      </c>
      <c r="AB6" s="10" t="str">
        <f t="shared" si="16"/>
        <v>1_Post</v>
      </c>
      <c r="AC6" s="10" t="str">
        <f t="shared" si="17"/>
        <v>0_Pre</v>
      </c>
      <c r="AD6" s="10" t="str">
        <f t="shared" si="18"/>
        <v>1_pre sample median</v>
      </c>
      <c r="AE6" s="10" t="str">
        <f t="shared" si="19"/>
        <v>1_pre sample first tertile</v>
      </c>
      <c r="AF6" t="s">
        <v>81</v>
      </c>
      <c r="AG6" t="s">
        <v>75</v>
      </c>
      <c r="AH6" t="s">
        <v>78</v>
      </c>
      <c r="AI6" t="s">
        <v>122</v>
      </c>
      <c r="AJ6" t="s">
        <v>70</v>
      </c>
      <c r="AK6" t="str">
        <f>VLOOKUP(MID($AR6,1,255),country_lookup!$B:$F,2,FALSE)</f>
        <v>99_NCE</v>
      </c>
      <c r="AL6" t="str">
        <f>VLOOKUP(MID($AR6,1,255),country_lookup!$B:$F,3,FALSE)</f>
        <v>99_NCE</v>
      </c>
      <c r="AM6" t="str">
        <f>VLOOKUP(MID($AR6,1,255),country_lookup!$B:$F,4,FALSE)</f>
        <v>1_western</v>
      </c>
      <c r="AN6" t="str">
        <f>VLOOKUP(MID($AR6,1,255),country_lookup!$B:$F,5,FALSE)</f>
        <v>99_NCE</v>
      </c>
      <c r="AO6" s="10" t="str">
        <f>VLOOKUP(MID($AS6,1,255),source_lookup!$B:$K,4,FALSE)</f>
        <v>0_published</v>
      </c>
      <c r="AP6" s="10" t="str">
        <f>VLOOKUP(MID($AS6,1,255),source_lookup!$B:$K,6,FALSE)</f>
        <v>1_VHB high</v>
      </c>
      <c r="AQ6" s="10" t="str">
        <f>VLOOKUP(MID($AS6,1,255),source_lookup!$B:$K,10,FALSE)</f>
        <v>1_fin/acc/econ</v>
      </c>
      <c r="AR6" t="s">
        <v>87</v>
      </c>
      <c r="AS6" t="s">
        <v>126</v>
      </c>
    </row>
    <row r="7" spans="1:45" x14ac:dyDescent="0.3">
      <c r="A7" t="s">
        <v>2</v>
      </c>
      <c r="B7">
        <v>6</v>
      </c>
      <c r="C7" s="1">
        <v>2.0468974559530374E-2</v>
      </c>
      <c r="D7" s="2">
        <v>687</v>
      </c>
      <c r="E7" s="4">
        <v>10998</v>
      </c>
      <c r="F7" s="4" t="s">
        <v>346</v>
      </c>
      <c r="G7" s="4" t="s">
        <v>347</v>
      </c>
      <c r="H7" t="s">
        <v>77</v>
      </c>
      <c r="I7" t="s">
        <v>352</v>
      </c>
      <c r="J7" s="3">
        <v>2003</v>
      </c>
      <c r="K7" s="3">
        <v>2018</v>
      </c>
      <c r="L7" s="6">
        <f t="shared" si="11"/>
        <v>2010.5</v>
      </c>
      <c r="M7" s="6">
        <f t="shared" si="12"/>
        <v>2010.5</v>
      </c>
      <c r="N7" s="7">
        <f t="shared" si="0"/>
        <v>0.1875</v>
      </c>
      <c r="O7" s="7">
        <f t="shared" si="1"/>
        <v>0.125</v>
      </c>
      <c r="P7" s="7">
        <f t="shared" si="2"/>
        <v>6.25E-2</v>
      </c>
      <c r="Q7" s="7">
        <f t="shared" si="13"/>
        <v>0</v>
      </c>
      <c r="R7" s="10" t="str">
        <f t="shared" si="3"/>
        <v>0_Pre</v>
      </c>
      <c r="S7" s="10" t="str">
        <f t="shared" si="4"/>
        <v>0_Pre</v>
      </c>
      <c r="T7" s="10" t="str">
        <f t="shared" si="5"/>
        <v>0_Pre</v>
      </c>
      <c r="U7" s="10" t="str">
        <f t="shared" si="6"/>
        <v>1_Post</v>
      </c>
      <c r="V7" s="10" t="str">
        <f t="shared" si="14"/>
        <v>0_Pre</v>
      </c>
      <c r="W7" s="10" t="str">
        <f t="shared" si="7"/>
        <v>straddle</v>
      </c>
      <c r="X7" s="10" t="str">
        <f t="shared" si="8"/>
        <v>0_Pre</v>
      </c>
      <c r="Y7" s="10" t="str">
        <f t="shared" si="9"/>
        <v>0_Pre</v>
      </c>
      <c r="Z7" s="10" t="str">
        <f t="shared" si="10"/>
        <v>0_Pre</v>
      </c>
      <c r="AA7" s="10" t="str">
        <f t="shared" si="15"/>
        <v>1_Post</v>
      </c>
      <c r="AB7" s="10" t="str">
        <f t="shared" si="16"/>
        <v>1_Post</v>
      </c>
      <c r="AC7" s="10" t="str">
        <f t="shared" si="17"/>
        <v>0_Pre</v>
      </c>
      <c r="AD7" s="10" t="str">
        <f t="shared" si="18"/>
        <v>1_pre sample median</v>
      </c>
      <c r="AE7" s="10" t="str">
        <f t="shared" si="19"/>
        <v>1_pre sample first tertile</v>
      </c>
      <c r="AF7" t="s">
        <v>67</v>
      </c>
      <c r="AG7" t="s">
        <v>75</v>
      </c>
      <c r="AH7" t="s">
        <v>78</v>
      </c>
      <c r="AI7" t="s">
        <v>122</v>
      </c>
      <c r="AJ7" t="s">
        <v>70</v>
      </c>
      <c r="AK7" t="str">
        <f>VLOOKUP(MID($AR7,1,255),country_lookup!$B:$F,2,FALSE)</f>
        <v>99_NCE</v>
      </c>
      <c r="AL7" t="str">
        <f>VLOOKUP(MID($AR7,1,255),country_lookup!$B:$F,3,FALSE)</f>
        <v>99_NCE</v>
      </c>
      <c r="AM7" t="str">
        <f>VLOOKUP(MID($AR7,1,255),country_lookup!$B:$F,4,FALSE)</f>
        <v>1_western</v>
      </c>
      <c r="AN7" t="str">
        <f>VLOOKUP(MID($AR7,1,255),country_lookup!$B:$F,5,FALSE)</f>
        <v>99_NCE</v>
      </c>
      <c r="AO7" s="10" t="str">
        <f>VLOOKUP(MID($AS7,1,255),source_lookup!$B:$K,4,FALSE)</f>
        <v>0_published</v>
      </c>
      <c r="AP7" s="10" t="str">
        <f>VLOOKUP(MID($AS7,1,255),source_lookup!$B:$K,6,FALSE)</f>
        <v>1_VHB high</v>
      </c>
      <c r="AQ7" s="10" t="str">
        <f>VLOOKUP(MID($AS7,1,255),source_lookup!$B:$K,10,FALSE)</f>
        <v>1_fin/acc/econ</v>
      </c>
      <c r="AR7" t="s">
        <v>87</v>
      </c>
      <c r="AS7" t="s">
        <v>126</v>
      </c>
    </row>
    <row r="8" spans="1:45" x14ac:dyDescent="0.3">
      <c r="A8" t="s">
        <v>2</v>
      </c>
      <c r="B8">
        <v>7</v>
      </c>
      <c r="C8" s="1">
        <v>-4.8716061864435426E-3</v>
      </c>
      <c r="D8" s="2">
        <v>1300</v>
      </c>
      <c r="E8" s="4">
        <v>20806</v>
      </c>
      <c r="F8" s="4" t="s">
        <v>346</v>
      </c>
      <c r="G8" s="4" t="s">
        <v>347</v>
      </c>
      <c r="H8" t="s">
        <v>77</v>
      </c>
      <c r="I8" t="s">
        <v>352</v>
      </c>
      <c r="J8" s="3">
        <v>2003</v>
      </c>
      <c r="K8" s="3">
        <v>2018</v>
      </c>
      <c r="L8" s="6">
        <f t="shared" si="11"/>
        <v>2010.5</v>
      </c>
      <c r="M8" s="6">
        <f t="shared" si="12"/>
        <v>2010.5</v>
      </c>
      <c r="N8" s="7">
        <f t="shared" si="0"/>
        <v>0.1875</v>
      </c>
      <c r="O8" s="7">
        <f t="shared" si="1"/>
        <v>0.125</v>
      </c>
      <c r="P8" s="7">
        <f t="shared" si="2"/>
        <v>6.25E-2</v>
      </c>
      <c r="Q8" s="7">
        <f t="shared" si="13"/>
        <v>0</v>
      </c>
      <c r="R8" s="10" t="str">
        <f t="shared" si="3"/>
        <v>0_Pre</v>
      </c>
      <c r="S8" s="10" t="str">
        <f t="shared" si="4"/>
        <v>0_Pre</v>
      </c>
      <c r="T8" s="10" t="str">
        <f t="shared" si="5"/>
        <v>0_Pre</v>
      </c>
      <c r="U8" s="10" t="str">
        <f t="shared" si="6"/>
        <v>1_Post</v>
      </c>
      <c r="V8" s="10" t="str">
        <f t="shared" si="14"/>
        <v>0_Pre</v>
      </c>
      <c r="W8" s="10" t="str">
        <f t="shared" si="7"/>
        <v>straddle</v>
      </c>
      <c r="X8" s="10" t="str">
        <f t="shared" si="8"/>
        <v>0_Pre</v>
      </c>
      <c r="Y8" s="10" t="str">
        <f t="shared" si="9"/>
        <v>0_Pre</v>
      </c>
      <c r="Z8" s="10" t="str">
        <f t="shared" si="10"/>
        <v>0_Pre</v>
      </c>
      <c r="AA8" s="10" t="str">
        <f t="shared" si="15"/>
        <v>1_Post</v>
      </c>
      <c r="AB8" s="10" t="str">
        <f t="shared" si="16"/>
        <v>1_Post</v>
      </c>
      <c r="AC8" s="10" t="str">
        <f t="shared" si="17"/>
        <v>0_Pre</v>
      </c>
      <c r="AD8" s="10" t="str">
        <f t="shared" si="18"/>
        <v>1_pre sample median</v>
      </c>
      <c r="AE8" s="10" t="str">
        <f t="shared" si="19"/>
        <v>1_pre sample first tertile</v>
      </c>
      <c r="AF8" t="s">
        <v>81</v>
      </c>
      <c r="AG8" t="s">
        <v>75</v>
      </c>
      <c r="AH8" t="s">
        <v>78</v>
      </c>
      <c r="AI8" t="s">
        <v>122</v>
      </c>
      <c r="AJ8" t="s">
        <v>70</v>
      </c>
      <c r="AK8" t="str">
        <f>VLOOKUP(MID($AR8,1,255),country_lookup!$B:$F,2,FALSE)</f>
        <v>99_NCE</v>
      </c>
      <c r="AL8" t="str">
        <f>VLOOKUP(MID($AR8,1,255),country_lookup!$B:$F,3,FALSE)</f>
        <v>99_NCE</v>
      </c>
      <c r="AM8" t="str">
        <f>VLOOKUP(MID($AR8,1,255),country_lookup!$B:$F,4,FALSE)</f>
        <v>1_western</v>
      </c>
      <c r="AN8" t="str">
        <f>VLOOKUP(MID($AR8,1,255),country_lookup!$B:$F,5,FALSE)</f>
        <v>99_NCE</v>
      </c>
      <c r="AO8" s="10" t="str">
        <f>VLOOKUP(MID($AS8,1,255),source_lookup!$B:$K,4,FALSE)</f>
        <v>0_published</v>
      </c>
      <c r="AP8" s="10" t="str">
        <f>VLOOKUP(MID($AS8,1,255),source_lookup!$B:$K,6,FALSE)</f>
        <v>1_VHB high</v>
      </c>
      <c r="AQ8" s="10" t="str">
        <f>VLOOKUP(MID($AS8,1,255),source_lookup!$B:$K,10,FALSE)</f>
        <v>1_fin/acc/econ</v>
      </c>
      <c r="AR8" t="s">
        <v>87</v>
      </c>
      <c r="AS8" t="s">
        <v>126</v>
      </c>
    </row>
    <row r="9" spans="1:45" x14ac:dyDescent="0.3">
      <c r="A9" t="s">
        <v>2</v>
      </c>
      <c r="B9">
        <v>8</v>
      </c>
      <c r="C9" s="1">
        <v>-1.2456323369722166E-2</v>
      </c>
      <c r="D9" s="2">
        <v>1300</v>
      </c>
      <c r="E9" s="4">
        <v>20806</v>
      </c>
      <c r="F9" s="4" t="s">
        <v>346</v>
      </c>
      <c r="G9" s="4" t="s">
        <v>347</v>
      </c>
      <c r="H9" t="s">
        <v>77</v>
      </c>
      <c r="I9" t="s">
        <v>352</v>
      </c>
      <c r="J9" s="3">
        <v>2003</v>
      </c>
      <c r="K9" s="3">
        <v>2018</v>
      </c>
      <c r="L9" s="6">
        <f t="shared" si="11"/>
        <v>2010.5</v>
      </c>
      <c r="M9" s="6">
        <f t="shared" si="12"/>
        <v>2010.5</v>
      </c>
      <c r="N9" s="7">
        <f t="shared" si="0"/>
        <v>0.1875</v>
      </c>
      <c r="O9" s="7">
        <f t="shared" si="1"/>
        <v>0.125</v>
      </c>
      <c r="P9" s="7">
        <f t="shared" si="2"/>
        <v>6.25E-2</v>
      </c>
      <c r="Q9" s="7">
        <f t="shared" si="13"/>
        <v>0</v>
      </c>
      <c r="R9" s="10" t="str">
        <f t="shared" si="3"/>
        <v>0_Pre</v>
      </c>
      <c r="S9" s="10" t="str">
        <f t="shared" si="4"/>
        <v>0_Pre</v>
      </c>
      <c r="T9" s="10" t="str">
        <f t="shared" si="5"/>
        <v>0_Pre</v>
      </c>
      <c r="U9" s="10" t="str">
        <f t="shared" si="6"/>
        <v>1_Post</v>
      </c>
      <c r="V9" s="10" t="str">
        <f t="shared" si="14"/>
        <v>0_Pre</v>
      </c>
      <c r="W9" s="10" t="str">
        <f t="shared" si="7"/>
        <v>straddle</v>
      </c>
      <c r="X9" s="10" t="str">
        <f t="shared" si="8"/>
        <v>0_Pre</v>
      </c>
      <c r="Y9" s="10" t="str">
        <f t="shared" si="9"/>
        <v>0_Pre</v>
      </c>
      <c r="Z9" s="10" t="str">
        <f t="shared" si="10"/>
        <v>0_Pre</v>
      </c>
      <c r="AA9" s="10" t="str">
        <f t="shared" si="15"/>
        <v>1_Post</v>
      </c>
      <c r="AB9" s="10" t="str">
        <f t="shared" si="16"/>
        <v>1_Post</v>
      </c>
      <c r="AC9" s="10" t="str">
        <f t="shared" si="17"/>
        <v>0_Pre</v>
      </c>
      <c r="AD9" s="10" t="str">
        <f t="shared" si="18"/>
        <v>1_pre sample median</v>
      </c>
      <c r="AE9" s="10" t="str">
        <f t="shared" si="19"/>
        <v>1_pre sample first tertile</v>
      </c>
      <c r="AF9" t="s">
        <v>81</v>
      </c>
      <c r="AG9" t="s">
        <v>75</v>
      </c>
      <c r="AH9" t="s">
        <v>78</v>
      </c>
      <c r="AI9" t="s">
        <v>122</v>
      </c>
      <c r="AJ9" t="s">
        <v>70</v>
      </c>
      <c r="AK9" t="str">
        <f>VLOOKUP(MID($AR9,1,255),country_lookup!$B:$F,2,FALSE)</f>
        <v>99_NCE</v>
      </c>
      <c r="AL9" t="str">
        <f>VLOOKUP(MID($AR9,1,255),country_lookup!$B:$F,3,FALSE)</f>
        <v>99_NCE</v>
      </c>
      <c r="AM9" t="str">
        <f>VLOOKUP(MID($AR9,1,255),country_lookup!$B:$F,4,FALSE)</f>
        <v>1_western</v>
      </c>
      <c r="AN9" t="str">
        <f>VLOOKUP(MID($AR9,1,255),country_lookup!$B:$F,5,FALSE)</f>
        <v>99_NCE</v>
      </c>
      <c r="AO9" s="10" t="str">
        <f>VLOOKUP(MID($AS9,1,255),source_lookup!$B:$K,4,FALSE)</f>
        <v>0_published</v>
      </c>
      <c r="AP9" s="10" t="str">
        <f>VLOOKUP(MID($AS9,1,255),source_lookup!$B:$K,6,FALSE)</f>
        <v>1_VHB high</v>
      </c>
      <c r="AQ9" s="10" t="str">
        <f>VLOOKUP(MID($AS9,1,255),source_lookup!$B:$K,10,FALSE)</f>
        <v>1_fin/acc/econ</v>
      </c>
      <c r="AR9" t="s">
        <v>87</v>
      </c>
      <c r="AS9" t="s">
        <v>126</v>
      </c>
    </row>
    <row r="10" spans="1:45" x14ac:dyDescent="0.3">
      <c r="A10" t="s">
        <v>2</v>
      </c>
      <c r="B10">
        <v>9</v>
      </c>
      <c r="C10" s="1">
        <v>-1.1441842321549439E-2</v>
      </c>
      <c r="D10" s="2">
        <v>687</v>
      </c>
      <c r="E10" s="4">
        <v>10998</v>
      </c>
      <c r="F10" s="4" t="s">
        <v>346</v>
      </c>
      <c r="G10" s="4" t="s">
        <v>347</v>
      </c>
      <c r="H10" t="s">
        <v>77</v>
      </c>
      <c r="I10" t="s">
        <v>352</v>
      </c>
      <c r="J10" s="3">
        <v>2003</v>
      </c>
      <c r="K10" s="3">
        <v>2018</v>
      </c>
      <c r="L10" s="6">
        <f t="shared" si="11"/>
        <v>2010.5</v>
      </c>
      <c r="M10" s="6">
        <f t="shared" si="12"/>
        <v>2010.5</v>
      </c>
      <c r="N10" s="7">
        <f t="shared" si="0"/>
        <v>0.1875</v>
      </c>
      <c r="O10" s="7">
        <f t="shared" si="1"/>
        <v>0.125</v>
      </c>
      <c r="P10" s="7">
        <f t="shared" si="2"/>
        <v>6.25E-2</v>
      </c>
      <c r="Q10" s="7">
        <f t="shared" si="13"/>
        <v>0</v>
      </c>
      <c r="R10" s="10" t="str">
        <f t="shared" si="3"/>
        <v>0_Pre</v>
      </c>
      <c r="S10" s="10" t="str">
        <f t="shared" si="4"/>
        <v>0_Pre</v>
      </c>
      <c r="T10" s="10" t="str">
        <f t="shared" si="5"/>
        <v>0_Pre</v>
      </c>
      <c r="U10" s="10" t="str">
        <f t="shared" si="6"/>
        <v>1_Post</v>
      </c>
      <c r="V10" s="10" t="str">
        <f t="shared" si="14"/>
        <v>0_Pre</v>
      </c>
      <c r="W10" s="10" t="str">
        <f t="shared" si="7"/>
        <v>straddle</v>
      </c>
      <c r="X10" s="10" t="str">
        <f t="shared" si="8"/>
        <v>0_Pre</v>
      </c>
      <c r="Y10" s="10" t="str">
        <f t="shared" si="9"/>
        <v>0_Pre</v>
      </c>
      <c r="Z10" s="10" t="str">
        <f t="shared" si="10"/>
        <v>0_Pre</v>
      </c>
      <c r="AA10" s="10" t="str">
        <f t="shared" si="15"/>
        <v>1_Post</v>
      </c>
      <c r="AB10" s="10" t="str">
        <f t="shared" si="16"/>
        <v>1_Post</v>
      </c>
      <c r="AC10" s="10" t="str">
        <f t="shared" si="17"/>
        <v>0_Pre</v>
      </c>
      <c r="AD10" s="10" t="str">
        <f t="shared" si="18"/>
        <v>1_pre sample median</v>
      </c>
      <c r="AE10" s="10" t="str">
        <f t="shared" si="19"/>
        <v>1_pre sample first tertile</v>
      </c>
      <c r="AF10" t="s">
        <v>67</v>
      </c>
      <c r="AG10" t="s">
        <v>75</v>
      </c>
      <c r="AH10" t="s">
        <v>78</v>
      </c>
      <c r="AI10" t="s">
        <v>122</v>
      </c>
      <c r="AJ10" t="s">
        <v>70</v>
      </c>
      <c r="AK10" t="str">
        <f>VLOOKUP(MID($AR10,1,255),country_lookup!$B:$F,2,FALSE)</f>
        <v>99_NCE</v>
      </c>
      <c r="AL10" t="str">
        <f>VLOOKUP(MID($AR10,1,255),country_lookup!$B:$F,3,FALSE)</f>
        <v>99_NCE</v>
      </c>
      <c r="AM10" t="str">
        <f>VLOOKUP(MID($AR10,1,255),country_lookup!$B:$F,4,FALSE)</f>
        <v>1_western</v>
      </c>
      <c r="AN10" t="str">
        <f>VLOOKUP(MID($AR10,1,255),country_lookup!$B:$F,5,FALSE)</f>
        <v>99_NCE</v>
      </c>
      <c r="AO10" s="10" t="str">
        <f>VLOOKUP(MID($AS10,1,255),source_lookup!$B:$K,4,FALSE)</f>
        <v>0_published</v>
      </c>
      <c r="AP10" s="10" t="str">
        <f>VLOOKUP(MID($AS10,1,255),source_lookup!$B:$K,6,FALSE)</f>
        <v>1_VHB high</v>
      </c>
      <c r="AQ10" s="10" t="str">
        <f>VLOOKUP(MID($AS10,1,255),source_lookup!$B:$K,10,FALSE)</f>
        <v>1_fin/acc/econ</v>
      </c>
      <c r="AR10" t="s">
        <v>87</v>
      </c>
      <c r="AS10" t="s">
        <v>126</v>
      </c>
    </row>
    <row r="11" spans="1:45" x14ac:dyDescent="0.3">
      <c r="A11" t="s">
        <v>2</v>
      </c>
      <c r="B11">
        <v>10</v>
      </c>
      <c r="C11" s="1">
        <v>-2.944708801320961E-2</v>
      </c>
      <c r="D11" s="2">
        <v>695</v>
      </c>
      <c r="E11" s="4">
        <v>11124</v>
      </c>
      <c r="F11" s="4" t="s">
        <v>346</v>
      </c>
      <c r="G11" s="4" t="s">
        <v>347</v>
      </c>
      <c r="H11" t="s">
        <v>77</v>
      </c>
      <c r="I11" t="s">
        <v>352</v>
      </c>
      <c r="J11" s="3">
        <v>2003</v>
      </c>
      <c r="K11" s="3">
        <v>2018</v>
      </c>
      <c r="L11" s="6">
        <f t="shared" si="11"/>
        <v>2010.5</v>
      </c>
      <c r="M11" s="6">
        <f t="shared" si="12"/>
        <v>2010.5</v>
      </c>
      <c r="N11" s="7">
        <f t="shared" si="0"/>
        <v>0.1875</v>
      </c>
      <c r="O11" s="7">
        <f t="shared" si="1"/>
        <v>0.125</v>
      </c>
      <c r="P11" s="7">
        <f t="shared" si="2"/>
        <v>6.25E-2</v>
      </c>
      <c r="Q11" s="7">
        <f t="shared" si="13"/>
        <v>0</v>
      </c>
      <c r="R11" s="10" t="str">
        <f t="shared" si="3"/>
        <v>0_Pre</v>
      </c>
      <c r="S11" s="10" t="str">
        <f t="shared" si="4"/>
        <v>0_Pre</v>
      </c>
      <c r="T11" s="10" t="str">
        <f t="shared" si="5"/>
        <v>0_Pre</v>
      </c>
      <c r="U11" s="10" t="str">
        <f t="shared" si="6"/>
        <v>1_Post</v>
      </c>
      <c r="V11" s="10" t="str">
        <f t="shared" si="14"/>
        <v>0_Pre</v>
      </c>
      <c r="W11" s="10" t="str">
        <f t="shared" si="7"/>
        <v>straddle</v>
      </c>
      <c r="X11" s="10" t="str">
        <f t="shared" si="8"/>
        <v>0_Pre</v>
      </c>
      <c r="Y11" s="10" t="str">
        <f t="shared" si="9"/>
        <v>0_Pre</v>
      </c>
      <c r="Z11" s="10" t="str">
        <f t="shared" si="10"/>
        <v>0_Pre</v>
      </c>
      <c r="AA11" s="10" t="str">
        <f t="shared" si="15"/>
        <v>1_Post</v>
      </c>
      <c r="AB11" s="10" t="str">
        <f t="shared" si="16"/>
        <v>1_Post</v>
      </c>
      <c r="AC11" s="10" t="str">
        <f t="shared" si="17"/>
        <v>0_Pre</v>
      </c>
      <c r="AD11" s="10" t="str">
        <f t="shared" si="18"/>
        <v>1_pre sample median</v>
      </c>
      <c r="AE11" s="10" t="str">
        <f t="shared" si="19"/>
        <v>1_pre sample first tertile</v>
      </c>
      <c r="AF11" t="s">
        <v>81</v>
      </c>
      <c r="AG11" t="s">
        <v>75</v>
      </c>
      <c r="AH11" t="s">
        <v>78</v>
      </c>
      <c r="AI11" t="s">
        <v>122</v>
      </c>
      <c r="AJ11" t="s">
        <v>123</v>
      </c>
      <c r="AK11" t="str">
        <f>VLOOKUP(MID($AR11,1,255),country_lookup!$B:$F,2,FALSE)</f>
        <v>1_US</v>
      </c>
      <c r="AL11" t="str">
        <f>VLOOKUP(MID($AR11,1,255),country_lookup!$B:$F,3,FALSE)</f>
        <v>1_developed</v>
      </c>
      <c r="AM11" t="str">
        <f>VLOOKUP(MID($AR11,1,255),country_lookup!$B:$F,4,FALSE)</f>
        <v>1_western</v>
      </c>
      <c r="AN11" t="str">
        <f>VLOOKUP(MID($AR11,1,255),country_lookup!$B:$F,5,FALSE)</f>
        <v>1_common law</v>
      </c>
      <c r="AO11" s="10" t="str">
        <f>VLOOKUP(MID($AS11,1,255),source_lookup!$B:$K,4,FALSE)</f>
        <v>0_published</v>
      </c>
      <c r="AP11" s="10" t="str">
        <f>VLOOKUP(MID($AS11,1,255),source_lookup!$B:$K,6,FALSE)</f>
        <v>1_VHB high</v>
      </c>
      <c r="AQ11" s="10" t="str">
        <f>VLOOKUP(MID($AS11,1,255),source_lookup!$B:$K,10,FALSE)</f>
        <v>1_fin/acc/econ</v>
      </c>
      <c r="AR11" t="s">
        <v>85</v>
      </c>
      <c r="AS11" t="s">
        <v>126</v>
      </c>
    </row>
    <row r="12" spans="1:45" x14ac:dyDescent="0.3">
      <c r="A12" t="s">
        <v>2</v>
      </c>
      <c r="B12">
        <v>11</v>
      </c>
      <c r="C12" s="1">
        <v>-3.1785909623346369E-2</v>
      </c>
      <c r="D12" s="2">
        <v>695</v>
      </c>
      <c r="E12" s="4">
        <v>11124</v>
      </c>
      <c r="F12" s="4" t="s">
        <v>346</v>
      </c>
      <c r="G12" s="4" t="s">
        <v>347</v>
      </c>
      <c r="H12" t="s">
        <v>77</v>
      </c>
      <c r="I12" t="s">
        <v>352</v>
      </c>
      <c r="J12" s="3">
        <v>2003</v>
      </c>
      <c r="K12" s="3">
        <v>2018</v>
      </c>
      <c r="L12" s="6">
        <f t="shared" si="11"/>
        <v>2010.5</v>
      </c>
      <c r="M12" s="6">
        <f t="shared" si="12"/>
        <v>2010.5</v>
      </c>
      <c r="N12" s="7">
        <f t="shared" si="0"/>
        <v>0.1875</v>
      </c>
      <c r="O12" s="7">
        <f t="shared" si="1"/>
        <v>0.125</v>
      </c>
      <c r="P12" s="7">
        <f t="shared" si="2"/>
        <v>6.25E-2</v>
      </c>
      <c r="Q12" s="7">
        <f t="shared" si="13"/>
        <v>0</v>
      </c>
      <c r="R12" s="10" t="str">
        <f t="shared" si="3"/>
        <v>0_Pre</v>
      </c>
      <c r="S12" s="10" t="str">
        <f t="shared" si="4"/>
        <v>0_Pre</v>
      </c>
      <c r="T12" s="10" t="str">
        <f t="shared" si="5"/>
        <v>0_Pre</v>
      </c>
      <c r="U12" s="10" t="str">
        <f t="shared" si="6"/>
        <v>1_Post</v>
      </c>
      <c r="V12" s="10" t="str">
        <f t="shared" si="14"/>
        <v>0_Pre</v>
      </c>
      <c r="W12" s="10" t="str">
        <f t="shared" si="7"/>
        <v>straddle</v>
      </c>
      <c r="X12" s="10" t="str">
        <f t="shared" si="8"/>
        <v>0_Pre</v>
      </c>
      <c r="Y12" s="10" t="str">
        <f t="shared" si="9"/>
        <v>0_Pre</v>
      </c>
      <c r="Z12" s="10" t="str">
        <f t="shared" si="10"/>
        <v>0_Pre</v>
      </c>
      <c r="AA12" s="10" t="str">
        <f t="shared" si="15"/>
        <v>1_Post</v>
      </c>
      <c r="AB12" s="10" t="str">
        <f t="shared" si="16"/>
        <v>1_Post</v>
      </c>
      <c r="AC12" s="10" t="str">
        <f t="shared" si="17"/>
        <v>0_Pre</v>
      </c>
      <c r="AD12" s="10" t="str">
        <f t="shared" si="18"/>
        <v>1_pre sample median</v>
      </c>
      <c r="AE12" s="10" t="str">
        <f t="shared" si="19"/>
        <v>1_pre sample first tertile</v>
      </c>
      <c r="AF12" t="s">
        <v>81</v>
      </c>
      <c r="AG12" t="s">
        <v>75</v>
      </c>
      <c r="AH12" t="s">
        <v>78</v>
      </c>
      <c r="AI12" t="s">
        <v>122</v>
      </c>
      <c r="AJ12" t="s">
        <v>123</v>
      </c>
      <c r="AK12" t="str">
        <f>VLOOKUP(MID($AR12,1,255),country_lookup!$B:$F,2,FALSE)</f>
        <v>1_US</v>
      </c>
      <c r="AL12" t="str">
        <f>VLOOKUP(MID($AR12,1,255),country_lookup!$B:$F,3,FALSE)</f>
        <v>1_developed</v>
      </c>
      <c r="AM12" t="str">
        <f>VLOOKUP(MID($AR12,1,255),country_lookup!$B:$F,4,FALSE)</f>
        <v>1_western</v>
      </c>
      <c r="AN12" t="str">
        <f>VLOOKUP(MID($AR12,1,255),country_lookup!$B:$F,5,FALSE)</f>
        <v>1_common law</v>
      </c>
      <c r="AO12" s="10" t="str">
        <f>VLOOKUP(MID($AS12,1,255),source_lookup!$B:$K,4,FALSE)</f>
        <v>0_published</v>
      </c>
      <c r="AP12" s="10" t="str">
        <f>VLOOKUP(MID($AS12,1,255),source_lookup!$B:$K,6,FALSE)</f>
        <v>1_VHB high</v>
      </c>
      <c r="AQ12" s="10" t="str">
        <f>VLOOKUP(MID($AS12,1,255),source_lookup!$B:$K,10,FALSE)</f>
        <v>1_fin/acc/econ</v>
      </c>
      <c r="AR12" t="s">
        <v>85</v>
      </c>
      <c r="AS12" t="s">
        <v>126</v>
      </c>
    </row>
    <row r="13" spans="1:45" x14ac:dyDescent="0.3">
      <c r="A13" t="s">
        <v>2</v>
      </c>
      <c r="B13">
        <v>12</v>
      </c>
      <c r="C13" s="1">
        <v>1.5250182312394609E-2</v>
      </c>
      <c r="D13" s="2">
        <v>454</v>
      </c>
      <c r="E13" s="4">
        <v>7265</v>
      </c>
      <c r="F13" s="4" t="s">
        <v>346</v>
      </c>
      <c r="G13" s="4" t="s">
        <v>347</v>
      </c>
      <c r="H13" t="s">
        <v>77</v>
      </c>
      <c r="I13" t="s">
        <v>352</v>
      </c>
      <c r="J13" s="3">
        <v>2003</v>
      </c>
      <c r="K13" s="3">
        <v>2018</v>
      </c>
      <c r="L13" s="6">
        <f t="shared" si="11"/>
        <v>2010.5</v>
      </c>
      <c r="M13" s="6">
        <f t="shared" si="12"/>
        <v>2010.5</v>
      </c>
      <c r="N13" s="7">
        <f t="shared" si="0"/>
        <v>0.1875</v>
      </c>
      <c r="O13" s="7">
        <f t="shared" si="1"/>
        <v>0.125</v>
      </c>
      <c r="P13" s="7">
        <f t="shared" si="2"/>
        <v>6.25E-2</v>
      </c>
      <c r="Q13" s="7">
        <f t="shared" si="13"/>
        <v>0</v>
      </c>
      <c r="R13" s="10" t="str">
        <f t="shared" si="3"/>
        <v>0_Pre</v>
      </c>
      <c r="S13" s="10" t="str">
        <f t="shared" si="4"/>
        <v>0_Pre</v>
      </c>
      <c r="T13" s="10" t="str">
        <f t="shared" si="5"/>
        <v>0_Pre</v>
      </c>
      <c r="U13" s="10" t="str">
        <f t="shared" si="6"/>
        <v>1_Post</v>
      </c>
      <c r="V13" s="10" t="str">
        <f t="shared" si="14"/>
        <v>0_Pre</v>
      </c>
      <c r="W13" s="10" t="str">
        <f t="shared" si="7"/>
        <v>straddle</v>
      </c>
      <c r="X13" s="10" t="str">
        <f t="shared" si="8"/>
        <v>0_Pre</v>
      </c>
      <c r="Y13" s="10" t="str">
        <f t="shared" si="9"/>
        <v>0_Pre</v>
      </c>
      <c r="Z13" s="10" t="str">
        <f t="shared" si="10"/>
        <v>0_Pre</v>
      </c>
      <c r="AA13" s="10" t="str">
        <f t="shared" si="15"/>
        <v>1_Post</v>
      </c>
      <c r="AB13" s="10" t="str">
        <f t="shared" si="16"/>
        <v>1_Post</v>
      </c>
      <c r="AC13" s="10" t="str">
        <f t="shared" si="17"/>
        <v>0_Pre</v>
      </c>
      <c r="AD13" s="10" t="str">
        <f t="shared" si="18"/>
        <v>1_pre sample median</v>
      </c>
      <c r="AE13" s="10" t="str">
        <f t="shared" si="19"/>
        <v>1_pre sample first tertile</v>
      </c>
      <c r="AF13" t="s">
        <v>67</v>
      </c>
      <c r="AG13" t="s">
        <v>75</v>
      </c>
      <c r="AH13" t="s">
        <v>78</v>
      </c>
      <c r="AI13" t="s">
        <v>122</v>
      </c>
      <c r="AJ13" t="s">
        <v>123</v>
      </c>
      <c r="AK13" t="str">
        <f>VLOOKUP(MID($AR13,1,255),country_lookup!$B:$F,2,FALSE)</f>
        <v>1_US</v>
      </c>
      <c r="AL13" t="str">
        <f>VLOOKUP(MID($AR13,1,255),country_lookup!$B:$F,3,FALSE)</f>
        <v>1_developed</v>
      </c>
      <c r="AM13" t="str">
        <f>VLOOKUP(MID($AR13,1,255),country_lookup!$B:$F,4,FALSE)</f>
        <v>1_western</v>
      </c>
      <c r="AN13" t="str">
        <f>VLOOKUP(MID($AR13,1,255),country_lookup!$B:$F,5,FALSE)</f>
        <v>1_common law</v>
      </c>
      <c r="AO13" s="10" t="str">
        <f>VLOOKUP(MID($AS13,1,255),source_lookup!$B:$K,4,FALSE)</f>
        <v>0_published</v>
      </c>
      <c r="AP13" s="10" t="str">
        <f>VLOOKUP(MID($AS13,1,255),source_lookup!$B:$K,6,FALSE)</f>
        <v>1_VHB high</v>
      </c>
      <c r="AQ13" s="10" t="str">
        <f>VLOOKUP(MID($AS13,1,255),source_lookup!$B:$K,10,FALSE)</f>
        <v>1_fin/acc/econ</v>
      </c>
      <c r="AR13" t="s">
        <v>85</v>
      </c>
      <c r="AS13" t="s">
        <v>126</v>
      </c>
    </row>
    <row r="14" spans="1:45" x14ac:dyDescent="0.3">
      <c r="A14" t="s">
        <v>2</v>
      </c>
      <c r="B14">
        <v>13</v>
      </c>
      <c r="C14" s="1">
        <v>-3.7674298971924099E-2</v>
      </c>
      <c r="D14" s="2">
        <v>605</v>
      </c>
      <c r="E14" s="4">
        <v>9682</v>
      </c>
      <c r="F14" s="4" t="s">
        <v>346</v>
      </c>
      <c r="G14" s="4" t="s">
        <v>347</v>
      </c>
      <c r="H14" t="s">
        <v>77</v>
      </c>
      <c r="I14" t="s">
        <v>352</v>
      </c>
      <c r="J14" s="3">
        <v>2003</v>
      </c>
      <c r="K14" s="3">
        <v>2018</v>
      </c>
      <c r="L14" s="6">
        <f t="shared" si="11"/>
        <v>2010.5</v>
      </c>
      <c r="M14" s="6">
        <f t="shared" si="12"/>
        <v>2010.5</v>
      </c>
      <c r="N14" s="7">
        <f t="shared" si="0"/>
        <v>0.1875</v>
      </c>
      <c r="O14" s="7">
        <f t="shared" si="1"/>
        <v>0.125</v>
      </c>
      <c r="P14" s="7">
        <f t="shared" si="2"/>
        <v>6.25E-2</v>
      </c>
      <c r="Q14" s="7">
        <f t="shared" si="13"/>
        <v>0</v>
      </c>
      <c r="R14" s="10" t="str">
        <f t="shared" si="3"/>
        <v>0_Pre</v>
      </c>
      <c r="S14" s="10" t="str">
        <f t="shared" si="4"/>
        <v>0_Pre</v>
      </c>
      <c r="T14" s="10" t="str">
        <f t="shared" si="5"/>
        <v>0_Pre</v>
      </c>
      <c r="U14" s="10" t="str">
        <f t="shared" si="6"/>
        <v>1_Post</v>
      </c>
      <c r="V14" s="10" t="str">
        <f t="shared" si="14"/>
        <v>0_Pre</v>
      </c>
      <c r="W14" s="10" t="str">
        <f t="shared" si="7"/>
        <v>straddle</v>
      </c>
      <c r="X14" s="10" t="str">
        <f t="shared" si="8"/>
        <v>0_Pre</v>
      </c>
      <c r="Y14" s="10" t="str">
        <f t="shared" si="9"/>
        <v>0_Pre</v>
      </c>
      <c r="Z14" s="10" t="str">
        <f t="shared" si="10"/>
        <v>0_Pre</v>
      </c>
      <c r="AA14" s="10" t="str">
        <f t="shared" si="15"/>
        <v>1_Post</v>
      </c>
      <c r="AB14" s="10" t="str">
        <f t="shared" si="16"/>
        <v>1_Post</v>
      </c>
      <c r="AC14" s="10" t="str">
        <f t="shared" si="17"/>
        <v>0_Pre</v>
      </c>
      <c r="AD14" s="10" t="str">
        <f t="shared" si="18"/>
        <v>1_pre sample median</v>
      </c>
      <c r="AE14" s="10" t="str">
        <f t="shared" si="19"/>
        <v>1_pre sample first tertile</v>
      </c>
      <c r="AF14" t="s">
        <v>81</v>
      </c>
      <c r="AG14" t="s">
        <v>75</v>
      </c>
      <c r="AH14" t="s">
        <v>78</v>
      </c>
      <c r="AI14" t="s">
        <v>122</v>
      </c>
      <c r="AJ14" t="s">
        <v>70</v>
      </c>
      <c r="AK14" t="str">
        <f>VLOOKUP(MID($AR14,1,255),country_lookup!$B:$F,2,FALSE)</f>
        <v>2_Europe</v>
      </c>
      <c r="AL14" t="str">
        <f>VLOOKUP(MID($AR14,1,255),country_lookup!$B:$F,3,FALSE)</f>
        <v>99_NCE</v>
      </c>
      <c r="AM14" t="str">
        <f>VLOOKUP(MID($AR14,1,255),country_lookup!$B:$F,4,FALSE)</f>
        <v>1_western</v>
      </c>
      <c r="AN14" t="str">
        <f>VLOOKUP(MID($AR14,1,255),country_lookup!$B:$F,5,FALSE)</f>
        <v>2_civil law</v>
      </c>
      <c r="AO14" s="10" t="str">
        <f>VLOOKUP(MID($AS14,1,255),source_lookup!$B:$K,4,FALSE)</f>
        <v>0_published</v>
      </c>
      <c r="AP14" s="10" t="str">
        <f>VLOOKUP(MID($AS14,1,255),source_lookup!$B:$K,6,FALSE)</f>
        <v>1_VHB high</v>
      </c>
      <c r="AQ14" s="10" t="str">
        <f>VLOOKUP(MID($AS14,1,255),source_lookup!$B:$K,10,FALSE)</f>
        <v>1_fin/acc/econ</v>
      </c>
      <c r="AR14" t="s">
        <v>88</v>
      </c>
      <c r="AS14" t="s">
        <v>126</v>
      </c>
    </row>
    <row r="15" spans="1:45" x14ac:dyDescent="0.3">
      <c r="A15" t="s">
        <v>2</v>
      </c>
      <c r="B15">
        <v>14</v>
      </c>
      <c r="C15" s="1">
        <v>-2.837208903054534E-2</v>
      </c>
      <c r="D15" s="2">
        <v>605</v>
      </c>
      <c r="E15" s="4">
        <v>9682</v>
      </c>
      <c r="F15" s="4" t="s">
        <v>346</v>
      </c>
      <c r="G15" s="4" t="s">
        <v>347</v>
      </c>
      <c r="H15" t="s">
        <v>77</v>
      </c>
      <c r="I15" t="s">
        <v>352</v>
      </c>
      <c r="J15" s="3">
        <v>2003</v>
      </c>
      <c r="K15" s="3">
        <v>2018</v>
      </c>
      <c r="L15" s="6">
        <f t="shared" si="11"/>
        <v>2010.5</v>
      </c>
      <c r="M15" s="6">
        <f t="shared" si="12"/>
        <v>2010.5</v>
      </c>
      <c r="N15" s="7">
        <f t="shared" si="0"/>
        <v>0.1875</v>
      </c>
      <c r="O15" s="7">
        <f t="shared" si="1"/>
        <v>0.125</v>
      </c>
      <c r="P15" s="7">
        <f t="shared" si="2"/>
        <v>6.25E-2</v>
      </c>
      <c r="Q15" s="7">
        <f t="shared" si="13"/>
        <v>0</v>
      </c>
      <c r="R15" s="10" t="str">
        <f t="shared" si="3"/>
        <v>0_Pre</v>
      </c>
      <c r="S15" s="10" t="str">
        <f t="shared" si="4"/>
        <v>0_Pre</v>
      </c>
      <c r="T15" s="10" t="str">
        <f t="shared" si="5"/>
        <v>0_Pre</v>
      </c>
      <c r="U15" s="10" t="str">
        <f t="shared" si="6"/>
        <v>1_Post</v>
      </c>
      <c r="V15" s="10" t="str">
        <f t="shared" si="14"/>
        <v>0_Pre</v>
      </c>
      <c r="W15" s="10" t="str">
        <f t="shared" si="7"/>
        <v>straddle</v>
      </c>
      <c r="X15" s="10" t="str">
        <f t="shared" si="8"/>
        <v>0_Pre</v>
      </c>
      <c r="Y15" s="10" t="str">
        <f t="shared" si="9"/>
        <v>0_Pre</v>
      </c>
      <c r="Z15" s="10" t="str">
        <f t="shared" si="10"/>
        <v>0_Pre</v>
      </c>
      <c r="AA15" s="10" t="str">
        <f t="shared" si="15"/>
        <v>1_Post</v>
      </c>
      <c r="AB15" s="10" t="str">
        <f t="shared" si="16"/>
        <v>1_Post</v>
      </c>
      <c r="AC15" s="10" t="str">
        <f t="shared" si="17"/>
        <v>0_Pre</v>
      </c>
      <c r="AD15" s="10" t="str">
        <f t="shared" si="18"/>
        <v>1_pre sample median</v>
      </c>
      <c r="AE15" s="10" t="str">
        <f t="shared" si="19"/>
        <v>1_pre sample first tertile</v>
      </c>
      <c r="AF15" t="s">
        <v>81</v>
      </c>
      <c r="AG15" t="s">
        <v>75</v>
      </c>
      <c r="AH15" t="s">
        <v>78</v>
      </c>
      <c r="AI15" t="s">
        <v>122</v>
      </c>
      <c r="AJ15" t="s">
        <v>70</v>
      </c>
      <c r="AK15" t="str">
        <f>VLOOKUP(MID($AR15,1,255),country_lookup!$B:$F,2,FALSE)</f>
        <v>2_Europe</v>
      </c>
      <c r="AL15" t="str">
        <f>VLOOKUP(MID($AR15,1,255),country_lookup!$B:$F,3,FALSE)</f>
        <v>99_NCE</v>
      </c>
      <c r="AM15" t="str">
        <f>VLOOKUP(MID($AR15,1,255),country_lookup!$B:$F,4,FALSE)</f>
        <v>1_western</v>
      </c>
      <c r="AN15" t="str">
        <f>VLOOKUP(MID($AR15,1,255),country_lookup!$B:$F,5,FALSE)</f>
        <v>2_civil law</v>
      </c>
      <c r="AO15" s="10" t="str">
        <f>VLOOKUP(MID($AS15,1,255),source_lookup!$B:$K,4,FALSE)</f>
        <v>0_published</v>
      </c>
      <c r="AP15" s="10" t="str">
        <f>VLOOKUP(MID($AS15,1,255),source_lookup!$B:$K,6,FALSE)</f>
        <v>1_VHB high</v>
      </c>
      <c r="AQ15" s="10" t="str">
        <f>VLOOKUP(MID($AS15,1,255),source_lookup!$B:$K,10,FALSE)</f>
        <v>1_fin/acc/econ</v>
      </c>
      <c r="AR15" t="s">
        <v>88</v>
      </c>
      <c r="AS15" t="s">
        <v>126</v>
      </c>
    </row>
    <row r="16" spans="1:45" x14ac:dyDescent="0.3">
      <c r="A16" t="s">
        <v>2</v>
      </c>
      <c r="B16">
        <v>15</v>
      </c>
      <c r="C16" s="1">
        <v>3.5269542888893175E-2</v>
      </c>
      <c r="D16" s="2">
        <v>233</v>
      </c>
      <c r="E16" s="4">
        <v>3733</v>
      </c>
      <c r="F16" s="4" t="s">
        <v>346</v>
      </c>
      <c r="G16" s="4" t="s">
        <v>347</v>
      </c>
      <c r="H16" t="s">
        <v>77</v>
      </c>
      <c r="I16" t="s">
        <v>352</v>
      </c>
      <c r="J16" s="3">
        <v>2003</v>
      </c>
      <c r="K16" s="3">
        <v>2018</v>
      </c>
      <c r="L16" s="6">
        <f t="shared" si="11"/>
        <v>2010.5</v>
      </c>
      <c r="M16" s="6">
        <f t="shared" si="12"/>
        <v>2010.5</v>
      </c>
      <c r="N16" s="7">
        <f t="shared" si="0"/>
        <v>0.1875</v>
      </c>
      <c r="O16" s="7">
        <f t="shared" si="1"/>
        <v>0.125</v>
      </c>
      <c r="P16" s="7">
        <f t="shared" si="2"/>
        <v>6.25E-2</v>
      </c>
      <c r="Q16" s="7">
        <f t="shared" si="13"/>
        <v>0</v>
      </c>
      <c r="R16" s="10" t="str">
        <f t="shared" si="3"/>
        <v>0_Pre</v>
      </c>
      <c r="S16" s="10" t="str">
        <f t="shared" si="4"/>
        <v>0_Pre</v>
      </c>
      <c r="T16" s="10" t="str">
        <f t="shared" si="5"/>
        <v>0_Pre</v>
      </c>
      <c r="U16" s="10" t="str">
        <f t="shared" si="6"/>
        <v>1_Post</v>
      </c>
      <c r="V16" s="10" t="str">
        <f t="shared" si="14"/>
        <v>0_Pre</v>
      </c>
      <c r="W16" s="10" t="str">
        <f t="shared" si="7"/>
        <v>straddle</v>
      </c>
      <c r="X16" s="10" t="str">
        <f t="shared" si="8"/>
        <v>0_Pre</v>
      </c>
      <c r="Y16" s="10" t="str">
        <f t="shared" si="9"/>
        <v>0_Pre</v>
      </c>
      <c r="Z16" s="10" t="str">
        <f t="shared" si="10"/>
        <v>0_Pre</v>
      </c>
      <c r="AA16" s="10" t="str">
        <f t="shared" si="15"/>
        <v>1_Post</v>
      </c>
      <c r="AB16" s="10" t="str">
        <f t="shared" si="16"/>
        <v>1_Post</v>
      </c>
      <c r="AC16" s="10" t="str">
        <f t="shared" si="17"/>
        <v>0_Pre</v>
      </c>
      <c r="AD16" s="10" t="str">
        <f t="shared" si="18"/>
        <v>1_pre sample median</v>
      </c>
      <c r="AE16" s="10" t="str">
        <f t="shared" si="19"/>
        <v>1_pre sample first tertile</v>
      </c>
      <c r="AF16" t="s">
        <v>67</v>
      </c>
      <c r="AG16" t="s">
        <v>75</v>
      </c>
      <c r="AH16" t="s">
        <v>78</v>
      </c>
      <c r="AI16" t="s">
        <v>122</v>
      </c>
      <c r="AJ16" t="s">
        <v>70</v>
      </c>
      <c r="AK16" t="str">
        <f>VLOOKUP(MID($AR16,1,255),country_lookup!$B:$F,2,FALSE)</f>
        <v>2_Europe</v>
      </c>
      <c r="AL16" t="str">
        <f>VLOOKUP(MID($AR16,1,255),country_lookup!$B:$F,3,FALSE)</f>
        <v>99_NCE</v>
      </c>
      <c r="AM16" t="str">
        <f>VLOOKUP(MID($AR16,1,255),country_lookup!$B:$F,4,FALSE)</f>
        <v>1_western</v>
      </c>
      <c r="AN16" t="str">
        <f>VLOOKUP(MID($AR16,1,255),country_lookup!$B:$F,5,FALSE)</f>
        <v>2_civil law</v>
      </c>
      <c r="AO16" s="10" t="str">
        <f>VLOOKUP(MID($AS16,1,255),source_lookup!$B:$K,4,FALSE)</f>
        <v>0_published</v>
      </c>
      <c r="AP16" s="10" t="str">
        <f>VLOOKUP(MID($AS16,1,255),source_lookup!$B:$K,6,FALSE)</f>
        <v>1_VHB high</v>
      </c>
      <c r="AQ16" s="10" t="str">
        <f>VLOOKUP(MID($AS16,1,255),source_lookup!$B:$K,10,FALSE)</f>
        <v>1_fin/acc/econ</v>
      </c>
      <c r="AR16" t="s">
        <v>88</v>
      </c>
      <c r="AS16" t="s">
        <v>126</v>
      </c>
    </row>
    <row r="17" spans="1:45" x14ac:dyDescent="0.3">
      <c r="A17" t="s">
        <v>2</v>
      </c>
      <c r="B17">
        <v>16</v>
      </c>
      <c r="C17" s="1">
        <v>1.7477550304301767E-3</v>
      </c>
      <c r="D17" s="2">
        <v>418</v>
      </c>
      <c r="E17" s="4">
        <v>6681</v>
      </c>
      <c r="F17" s="4" t="s">
        <v>346</v>
      </c>
      <c r="G17" s="4" t="s">
        <v>347</v>
      </c>
      <c r="H17" t="s">
        <v>77</v>
      </c>
      <c r="I17" t="s">
        <v>352</v>
      </c>
      <c r="J17" s="3">
        <v>2003</v>
      </c>
      <c r="K17" s="3">
        <v>2018</v>
      </c>
      <c r="L17" s="6">
        <f t="shared" si="11"/>
        <v>2010.5</v>
      </c>
      <c r="M17" s="6">
        <f t="shared" si="12"/>
        <v>2010.5</v>
      </c>
      <c r="N17" s="7">
        <f t="shared" si="0"/>
        <v>0.1875</v>
      </c>
      <c r="O17" s="7">
        <f t="shared" si="1"/>
        <v>0.125</v>
      </c>
      <c r="P17" s="7">
        <f t="shared" si="2"/>
        <v>6.25E-2</v>
      </c>
      <c r="Q17" s="7">
        <f t="shared" si="13"/>
        <v>0</v>
      </c>
      <c r="R17" s="10" t="str">
        <f t="shared" si="3"/>
        <v>0_Pre</v>
      </c>
      <c r="S17" s="10" t="str">
        <f t="shared" si="4"/>
        <v>0_Pre</v>
      </c>
      <c r="T17" s="10" t="str">
        <f t="shared" si="5"/>
        <v>0_Pre</v>
      </c>
      <c r="U17" s="10" t="str">
        <f t="shared" si="6"/>
        <v>1_Post</v>
      </c>
      <c r="V17" s="10" t="str">
        <f t="shared" si="14"/>
        <v>0_Pre</v>
      </c>
      <c r="W17" s="10" t="str">
        <f t="shared" si="7"/>
        <v>straddle</v>
      </c>
      <c r="X17" s="10" t="str">
        <f t="shared" si="8"/>
        <v>0_Pre</v>
      </c>
      <c r="Y17" s="10" t="str">
        <f t="shared" si="9"/>
        <v>0_Pre</v>
      </c>
      <c r="Z17" s="10" t="str">
        <f t="shared" si="10"/>
        <v>0_Pre</v>
      </c>
      <c r="AA17" s="10" t="str">
        <f t="shared" si="15"/>
        <v>1_Post</v>
      </c>
      <c r="AB17" s="10" t="str">
        <f t="shared" si="16"/>
        <v>1_Post</v>
      </c>
      <c r="AC17" s="10" t="str">
        <f t="shared" si="17"/>
        <v>0_Pre</v>
      </c>
      <c r="AD17" s="10" t="str">
        <f t="shared" si="18"/>
        <v>1_pre sample median</v>
      </c>
      <c r="AE17" s="10" t="str">
        <f t="shared" si="19"/>
        <v>1_pre sample first tertile</v>
      </c>
      <c r="AF17" t="s">
        <v>67</v>
      </c>
      <c r="AG17" t="s">
        <v>75</v>
      </c>
      <c r="AH17" t="s">
        <v>78</v>
      </c>
      <c r="AI17" t="s">
        <v>122</v>
      </c>
      <c r="AJ17" t="s">
        <v>123</v>
      </c>
      <c r="AK17" t="str">
        <f>VLOOKUP(MID($AR17,1,255),country_lookup!$B:$F,2,FALSE)</f>
        <v>1_US</v>
      </c>
      <c r="AL17" t="str">
        <f>VLOOKUP(MID($AR17,1,255),country_lookup!$B:$F,3,FALSE)</f>
        <v>1_developed</v>
      </c>
      <c r="AM17" t="str">
        <f>VLOOKUP(MID($AR17,1,255),country_lookup!$B:$F,4,FALSE)</f>
        <v>1_western</v>
      </c>
      <c r="AN17" t="str">
        <f>VLOOKUP(MID($AR17,1,255),country_lookup!$B:$F,5,FALSE)</f>
        <v>1_common law</v>
      </c>
      <c r="AO17" s="10" t="str">
        <f>VLOOKUP(MID($AS17,1,255),source_lookup!$B:$K,4,FALSE)</f>
        <v>0_published</v>
      </c>
      <c r="AP17" s="10" t="str">
        <f>VLOOKUP(MID($AS17,1,255),source_lookup!$B:$K,6,FALSE)</f>
        <v>1_VHB high</v>
      </c>
      <c r="AQ17" s="10" t="str">
        <f>VLOOKUP(MID($AS17,1,255),source_lookup!$B:$K,10,FALSE)</f>
        <v>1_fin/acc/econ</v>
      </c>
      <c r="AR17" t="s">
        <v>85</v>
      </c>
      <c r="AS17" t="s">
        <v>126</v>
      </c>
    </row>
    <row r="18" spans="1:45" x14ac:dyDescent="0.3">
      <c r="A18" t="s">
        <v>2</v>
      </c>
      <c r="B18">
        <v>17</v>
      </c>
      <c r="C18" s="1">
        <v>-1.4152206267747261E-2</v>
      </c>
      <c r="D18" s="2">
        <v>374</v>
      </c>
      <c r="E18" s="4">
        <v>5988</v>
      </c>
      <c r="F18" s="4" t="s">
        <v>346</v>
      </c>
      <c r="G18" s="4" t="s">
        <v>347</v>
      </c>
      <c r="H18" t="s">
        <v>77</v>
      </c>
      <c r="I18" t="s">
        <v>352</v>
      </c>
      <c r="J18" s="3">
        <v>2003</v>
      </c>
      <c r="K18" s="3">
        <v>2018</v>
      </c>
      <c r="L18" s="6">
        <f t="shared" si="11"/>
        <v>2010.5</v>
      </c>
      <c r="M18" s="6">
        <f t="shared" si="12"/>
        <v>2010.5</v>
      </c>
      <c r="N18" s="7">
        <f t="shared" si="0"/>
        <v>0.1875</v>
      </c>
      <c r="O18" s="7">
        <f t="shared" si="1"/>
        <v>0.125</v>
      </c>
      <c r="P18" s="7">
        <f t="shared" si="2"/>
        <v>6.25E-2</v>
      </c>
      <c r="Q18" s="7">
        <f t="shared" si="13"/>
        <v>0</v>
      </c>
      <c r="R18" s="10" t="str">
        <f t="shared" si="3"/>
        <v>0_Pre</v>
      </c>
      <c r="S18" s="10" t="str">
        <f t="shared" si="4"/>
        <v>0_Pre</v>
      </c>
      <c r="T18" s="10" t="str">
        <f t="shared" si="5"/>
        <v>0_Pre</v>
      </c>
      <c r="U18" s="10" t="str">
        <f t="shared" si="6"/>
        <v>1_Post</v>
      </c>
      <c r="V18" s="10" t="str">
        <f t="shared" si="14"/>
        <v>0_Pre</v>
      </c>
      <c r="W18" s="10" t="str">
        <f t="shared" si="7"/>
        <v>straddle</v>
      </c>
      <c r="X18" s="10" t="str">
        <f t="shared" si="8"/>
        <v>0_Pre</v>
      </c>
      <c r="Y18" s="10" t="str">
        <f t="shared" si="9"/>
        <v>0_Pre</v>
      </c>
      <c r="Z18" s="10" t="str">
        <f t="shared" si="10"/>
        <v>0_Pre</v>
      </c>
      <c r="AA18" s="10" t="str">
        <f t="shared" si="15"/>
        <v>1_Post</v>
      </c>
      <c r="AB18" s="10" t="str">
        <f t="shared" si="16"/>
        <v>1_Post</v>
      </c>
      <c r="AC18" s="10" t="str">
        <f t="shared" si="17"/>
        <v>0_Pre</v>
      </c>
      <c r="AD18" s="10" t="str">
        <f t="shared" si="18"/>
        <v>1_pre sample median</v>
      </c>
      <c r="AE18" s="10" t="str">
        <f t="shared" si="19"/>
        <v>1_pre sample first tertile</v>
      </c>
      <c r="AF18" t="s">
        <v>67</v>
      </c>
      <c r="AG18" t="s">
        <v>75</v>
      </c>
      <c r="AH18" t="s">
        <v>78</v>
      </c>
      <c r="AI18" t="s">
        <v>122</v>
      </c>
      <c r="AJ18" t="s">
        <v>123</v>
      </c>
      <c r="AK18" t="str">
        <f>VLOOKUP(MID($AR18,1,255),country_lookup!$B:$F,2,FALSE)</f>
        <v>1_US</v>
      </c>
      <c r="AL18" t="str">
        <f>VLOOKUP(MID($AR18,1,255),country_lookup!$B:$F,3,FALSE)</f>
        <v>1_developed</v>
      </c>
      <c r="AM18" t="str">
        <f>VLOOKUP(MID($AR18,1,255),country_lookup!$B:$F,4,FALSE)</f>
        <v>1_western</v>
      </c>
      <c r="AN18" t="str">
        <f>VLOOKUP(MID($AR18,1,255),country_lookup!$B:$F,5,FALSE)</f>
        <v>1_common law</v>
      </c>
      <c r="AO18" s="10" t="str">
        <f>VLOOKUP(MID($AS18,1,255),source_lookup!$B:$K,4,FALSE)</f>
        <v>0_published</v>
      </c>
      <c r="AP18" s="10" t="str">
        <f>VLOOKUP(MID($AS18,1,255),source_lookup!$B:$K,6,FALSE)</f>
        <v>1_VHB high</v>
      </c>
      <c r="AQ18" s="10" t="str">
        <f>VLOOKUP(MID($AS18,1,255),source_lookup!$B:$K,10,FALSE)</f>
        <v>1_fin/acc/econ</v>
      </c>
      <c r="AR18" t="s">
        <v>85</v>
      </c>
      <c r="AS18" t="s">
        <v>126</v>
      </c>
    </row>
    <row r="19" spans="1:45" x14ac:dyDescent="0.3">
      <c r="A19" t="s">
        <v>2</v>
      </c>
      <c r="B19">
        <v>18</v>
      </c>
      <c r="C19" s="1">
        <v>2.3684189055169315E-2</v>
      </c>
      <c r="D19" s="2">
        <v>216</v>
      </c>
      <c r="E19" s="4">
        <v>3462</v>
      </c>
      <c r="F19" s="4" t="s">
        <v>346</v>
      </c>
      <c r="G19" s="4" t="s">
        <v>347</v>
      </c>
      <c r="H19" t="s">
        <v>77</v>
      </c>
      <c r="I19" t="s">
        <v>352</v>
      </c>
      <c r="J19" s="3">
        <v>2003</v>
      </c>
      <c r="K19" s="3">
        <v>2018</v>
      </c>
      <c r="L19" s="6">
        <f t="shared" si="11"/>
        <v>2010.5</v>
      </c>
      <c r="M19" s="6">
        <f t="shared" si="12"/>
        <v>2010.5</v>
      </c>
      <c r="N19" s="7">
        <f t="shared" si="0"/>
        <v>0.1875</v>
      </c>
      <c r="O19" s="7">
        <f t="shared" si="1"/>
        <v>0.125</v>
      </c>
      <c r="P19" s="7">
        <f t="shared" si="2"/>
        <v>6.25E-2</v>
      </c>
      <c r="Q19" s="7">
        <f t="shared" si="13"/>
        <v>0</v>
      </c>
      <c r="R19" s="10" t="str">
        <f t="shared" si="3"/>
        <v>0_Pre</v>
      </c>
      <c r="S19" s="10" t="str">
        <f t="shared" si="4"/>
        <v>0_Pre</v>
      </c>
      <c r="T19" s="10" t="str">
        <f t="shared" si="5"/>
        <v>0_Pre</v>
      </c>
      <c r="U19" s="10" t="str">
        <f t="shared" si="6"/>
        <v>1_Post</v>
      </c>
      <c r="V19" s="10" t="str">
        <f t="shared" si="14"/>
        <v>0_Pre</v>
      </c>
      <c r="W19" s="10" t="str">
        <f t="shared" si="7"/>
        <v>straddle</v>
      </c>
      <c r="X19" s="10" t="str">
        <f t="shared" si="8"/>
        <v>0_Pre</v>
      </c>
      <c r="Y19" s="10" t="str">
        <f t="shared" si="9"/>
        <v>0_Pre</v>
      </c>
      <c r="Z19" s="10" t="str">
        <f t="shared" si="10"/>
        <v>0_Pre</v>
      </c>
      <c r="AA19" s="10" t="str">
        <f t="shared" si="15"/>
        <v>1_Post</v>
      </c>
      <c r="AB19" s="10" t="str">
        <f t="shared" si="16"/>
        <v>1_Post</v>
      </c>
      <c r="AC19" s="10" t="str">
        <f t="shared" si="17"/>
        <v>0_Pre</v>
      </c>
      <c r="AD19" s="10" t="str">
        <f t="shared" si="18"/>
        <v>1_pre sample median</v>
      </c>
      <c r="AE19" s="10" t="str">
        <f t="shared" si="19"/>
        <v>1_pre sample first tertile</v>
      </c>
      <c r="AF19" t="s">
        <v>67</v>
      </c>
      <c r="AG19" t="s">
        <v>75</v>
      </c>
      <c r="AH19" t="s">
        <v>78</v>
      </c>
      <c r="AI19" t="s">
        <v>122</v>
      </c>
      <c r="AJ19" t="s">
        <v>123</v>
      </c>
      <c r="AK19" t="str">
        <f>VLOOKUP(MID($AR19,1,255),country_lookup!$B:$F,2,FALSE)</f>
        <v>1_US</v>
      </c>
      <c r="AL19" t="str">
        <f>VLOOKUP(MID($AR19,1,255),country_lookup!$B:$F,3,FALSE)</f>
        <v>1_developed</v>
      </c>
      <c r="AM19" t="str">
        <f>VLOOKUP(MID($AR19,1,255),country_lookup!$B:$F,4,FALSE)</f>
        <v>1_western</v>
      </c>
      <c r="AN19" t="str">
        <f>VLOOKUP(MID($AR19,1,255),country_lookup!$B:$F,5,FALSE)</f>
        <v>1_common law</v>
      </c>
      <c r="AO19" s="10" t="str">
        <f>VLOOKUP(MID($AS19,1,255),source_lookup!$B:$K,4,FALSE)</f>
        <v>0_published</v>
      </c>
      <c r="AP19" s="10" t="str">
        <f>VLOOKUP(MID($AS19,1,255),source_lookup!$B:$K,6,FALSE)</f>
        <v>1_VHB high</v>
      </c>
      <c r="AQ19" s="10" t="str">
        <f>VLOOKUP(MID($AS19,1,255),source_lookup!$B:$K,10,FALSE)</f>
        <v>1_fin/acc/econ</v>
      </c>
      <c r="AR19" t="s">
        <v>85</v>
      </c>
      <c r="AS19" t="s">
        <v>126</v>
      </c>
    </row>
    <row r="20" spans="1:45" x14ac:dyDescent="0.3">
      <c r="A20" t="s">
        <v>2</v>
      </c>
      <c r="B20">
        <v>19</v>
      </c>
      <c r="C20" s="1">
        <v>3.4891254246298624E-2</v>
      </c>
      <c r="D20" s="2">
        <v>199</v>
      </c>
      <c r="E20" s="4">
        <v>3183</v>
      </c>
      <c r="F20" s="4" t="s">
        <v>346</v>
      </c>
      <c r="G20" s="4" t="s">
        <v>347</v>
      </c>
      <c r="H20" t="s">
        <v>77</v>
      </c>
      <c r="I20" t="s">
        <v>352</v>
      </c>
      <c r="J20" s="3">
        <v>2003</v>
      </c>
      <c r="K20" s="3">
        <v>2018</v>
      </c>
      <c r="L20" s="6">
        <f t="shared" si="11"/>
        <v>2010.5</v>
      </c>
      <c r="M20" s="6">
        <f t="shared" si="12"/>
        <v>2010.5</v>
      </c>
      <c r="N20" s="7">
        <f t="shared" si="0"/>
        <v>0.1875</v>
      </c>
      <c r="O20" s="7">
        <f t="shared" si="1"/>
        <v>0.125</v>
      </c>
      <c r="P20" s="7">
        <f t="shared" si="2"/>
        <v>6.25E-2</v>
      </c>
      <c r="Q20" s="7">
        <f t="shared" si="13"/>
        <v>0</v>
      </c>
      <c r="R20" s="10" t="str">
        <f t="shared" si="3"/>
        <v>0_Pre</v>
      </c>
      <c r="S20" s="10" t="str">
        <f t="shared" si="4"/>
        <v>0_Pre</v>
      </c>
      <c r="T20" s="10" t="str">
        <f t="shared" si="5"/>
        <v>0_Pre</v>
      </c>
      <c r="U20" s="10" t="str">
        <f t="shared" si="6"/>
        <v>1_Post</v>
      </c>
      <c r="V20" s="10" t="str">
        <f t="shared" si="14"/>
        <v>0_Pre</v>
      </c>
      <c r="W20" s="10" t="str">
        <f t="shared" si="7"/>
        <v>straddle</v>
      </c>
      <c r="X20" s="10" t="str">
        <f t="shared" si="8"/>
        <v>0_Pre</v>
      </c>
      <c r="Y20" s="10" t="str">
        <f t="shared" si="9"/>
        <v>0_Pre</v>
      </c>
      <c r="Z20" s="10" t="str">
        <f t="shared" si="10"/>
        <v>0_Pre</v>
      </c>
      <c r="AA20" s="10" t="str">
        <f t="shared" si="15"/>
        <v>1_Post</v>
      </c>
      <c r="AB20" s="10" t="str">
        <f t="shared" si="16"/>
        <v>1_Post</v>
      </c>
      <c r="AC20" s="10" t="str">
        <f t="shared" si="17"/>
        <v>0_Pre</v>
      </c>
      <c r="AD20" s="10" t="str">
        <f t="shared" si="18"/>
        <v>1_pre sample median</v>
      </c>
      <c r="AE20" s="10" t="str">
        <f t="shared" si="19"/>
        <v>1_pre sample first tertile</v>
      </c>
      <c r="AF20" t="s">
        <v>67</v>
      </c>
      <c r="AG20" t="s">
        <v>75</v>
      </c>
      <c r="AH20" t="s">
        <v>78</v>
      </c>
      <c r="AI20" t="s">
        <v>122</v>
      </c>
      <c r="AJ20" t="s">
        <v>123</v>
      </c>
      <c r="AK20" t="str">
        <f>VLOOKUP(MID($AR20,1,255),country_lookup!$B:$F,2,FALSE)</f>
        <v>1_US</v>
      </c>
      <c r="AL20" t="str">
        <f>VLOOKUP(MID($AR20,1,255),country_lookup!$B:$F,3,FALSE)</f>
        <v>1_developed</v>
      </c>
      <c r="AM20" t="str">
        <f>VLOOKUP(MID($AR20,1,255),country_lookup!$B:$F,4,FALSE)</f>
        <v>1_western</v>
      </c>
      <c r="AN20" t="str">
        <f>VLOOKUP(MID($AR20,1,255),country_lookup!$B:$F,5,FALSE)</f>
        <v>1_common law</v>
      </c>
      <c r="AO20" s="10" t="str">
        <f>VLOOKUP(MID($AS20,1,255),source_lookup!$B:$K,4,FALSE)</f>
        <v>0_published</v>
      </c>
      <c r="AP20" s="10" t="str">
        <f>VLOOKUP(MID($AS20,1,255),source_lookup!$B:$K,6,FALSE)</f>
        <v>1_VHB high</v>
      </c>
      <c r="AQ20" s="10" t="str">
        <f>VLOOKUP(MID($AS20,1,255),source_lookup!$B:$K,10,FALSE)</f>
        <v>1_fin/acc/econ</v>
      </c>
      <c r="AR20" t="s">
        <v>85</v>
      </c>
      <c r="AS20" t="s">
        <v>126</v>
      </c>
    </row>
    <row r="21" spans="1:45" x14ac:dyDescent="0.3">
      <c r="A21" t="s">
        <v>3</v>
      </c>
      <c r="B21">
        <v>20</v>
      </c>
      <c r="C21" s="1">
        <v>-2.4642411337016109E-2</v>
      </c>
      <c r="D21" s="2">
        <v>582</v>
      </c>
      <c r="E21" s="4">
        <v>6984</v>
      </c>
      <c r="F21" s="4" t="s">
        <v>346</v>
      </c>
      <c r="G21" s="4" t="s">
        <v>346</v>
      </c>
      <c r="H21" t="s">
        <v>77</v>
      </c>
      <c r="I21" t="s">
        <v>350</v>
      </c>
      <c r="J21" s="3">
        <v>1995</v>
      </c>
      <c r="K21" s="3">
        <v>2006</v>
      </c>
      <c r="L21" s="6">
        <f t="shared" si="11"/>
        <v>2000.5</v>
      </c>
      <c r="M21" s="6">
        <f t="shared" si="12"/>
        <v>2000.5</v>
      </c>
      <c r="N21" s="7">
        <f t="shared" si="0"/>
        <v>0</v>
      </c>
      <c r="O21" s="7">
        <f t="shared" si="1"/>
        <v>0</v>
      </c>
      <c r="P21" s="7">
        <f t="shared" si="2"/>
        <v>0</v>
      </c>
      <c r="Q21" s="7">
        <f t="shared" si="13"/>
        <v>0</v>
      </c>
      <c r="R21" s="10" t="str">
        <f t="shared" si="3"/>
        <v>0_Pre</v>
      </c>
      <c r="S21" s="10" t="str">
        <f t="shared" si="4"/>
        <v>0_Pre</v>
      </c>
      <c r="T21" s="10" t="str">
        <f t="shared" si="5"/>
        <v>0_Pre</v>
      </c>
      <c r="U21" s="10" t="str">
        <f t="shared" si="6"/>
        <v>0_Pre</v>
      </c>
      <c r="V21" s="10" t="str">
        <f t="shared" si="14"/>
        <v>0_Pre</v>
      </c>
      <c r="W21" s="10" t="str">
        <f t="shared" si="7"/>
        <v>clean_pre</v>
      </c>
      <c r="X21" s="10" t="str">
        <f t="shared" si="8"/>
        <v>0_Pre</v>
      </c>
      <c r="Y21" s="10" t="str">
        <f t="shared" si="9"/>
        <v>0_Pre</v>
      </c>
      <c r="Z21" s="10" t="str">
        <f t="shared" si="10"/>
        <v>0_Pre</v>
      </c>
      <c r="AA21" s="10" t="str">
        <f t="shared" si="15"/>
        <v>0_Pre</v>
      </c>
      <c r="AB21" s="10" t="str">
        <f t="shared" si="16"/>
        <v>0_Pre</v>
      </c>
      <c r="AC21" s="10" t="str">
        <f t="shared" si="17"/>
        <v>0_Pre</v>
      </c>
      <c r="AD21" s="10" t="str">
        <f t="shared" si="18"/>
        <v>1_pre sample median</v>
      </c>
      <c r="AE21" s="10" t="str">
        <f t="shared" si="19"/>
        <v>1_pre sample first tertile</v>
      </c>
      <c r="AF21" t="s">
        <v>82</v>
      </c>
      <c r="AG21" t="s">
        <v>75</v>
      </c>
      <c r="AH21" t="s">
        <v>78</v>
      </c>
      <c r="AI21" t="s">
        <v>123</v>
      </c>
      <c r="AJ21" t="s">
        <v>123</v>
      </c>
      <c r="AK21" t="str">
        <f>VLOOKUP(MID($AR21,1,255),country_lookup!$B:$F,2,FALSE)</f>
        <v>1_US</v>
      </c>
      <c r="AL21" t="str">
        <f>VLOOKUP(MID($AR21,1,255),country_lookup!$B:$F,3,FALSE)</f>
        <v>1_developed</v>
      </c>
      <c r="AM21" t="str">
        <f>VLOOKUP(MID($AR21,1,255),country_lookup!$B:$F,4,FALSE)</f>
        <v>1_western</v>
      </c>
      <c r="AN21" t="str">
        <f>VLOOKUP(MID($AR21,1,255),country_lookup!$B:$F,5,FALSE)</f>
        <v>1_common law</v>
      </c>
      <c r="AO21" s="10" t="str">
        <f>VLOOKUP(MID($AS21,1,255),source_lookup!$B:$K,4,FALSE)</f>
        <v>1_not published</v>
      </c>
      <c r="AP21" s="10" t="str">
        <f>VLOOKUP(MID($AS21,1,255),source_lookup!$B:$K,6,FALSE)</f>
        <v>99_NA</v>
      </c>
      <c r="AQ21" s="10" t="str">
        <f>VLOOKUP(MID($AS21,1,255),source_lookup!$B:$K,10,FALSE)</f>
        <v>1_fin/acc/econ</v>
      </c>
      <c r="AR21" t="s">
        <v>85</v>
      </c>
      <c r="AS21" t="s">
        <v>127</v>
      </c>
    </row>
    <row r="22" spans="1:45" x14ac:dyDescent="0.3">
      <c r="A22" t="s">
        <v>3</v>
      </c>
      <c r="B22">
        <v>21</v>
      </c>
      <c r="C22" s="1">
        <v>-3.479987965720157E-2</v>
      </c>
      <c r="D22" s="2">
        <v>582</v>
      </c>
      <c r="E22" s="4">
        <v>6984</v>
      </c>
      <c r="F22" s="4" t="s">
        <v>346</v>
      </c>
      <c r="G22" s="4" t="s">
        <v>346</v>
      </c>
      <c r="H22" t="s">
        <v>77</v>
      </c>
      <c r="I22" t="s">
        <v>350</v>
      </c>
      <c r="J22" s="3">
        <v>1995</v>
      </c>
      <c r="K22" s="3">
        <v>2006</v>
      </c>
      <c r="L22" s="6">
        <f t="shared" si="11"/>
        <v>2000.5</v>
      </c>
      <c r="M22" s="6">
        <f t="shared" si="12"/>
        <v>2000.5</v>
      </c>
      <c r="N22" s="7">
        <f t="shared" si="0"/>
        <v>0</v>
      </c>
      <c r="O22" s="7">
        <f t="shared" si="1"/>
        <v>0</v>
      </c>
      <c r="P22" s="7">
        <f t="shared" si="2"/>
        <v>0</v>
      </c>
      <c r="Q22" s="7">
        <f t="shared" si="13"/>
        <v>0</v>
      </c>
      <c r="R22" s="10" t="str">
        <f t="shared" si="3"/>
        <v>0_Pre</v>
      </c>
      <c r="S22" s="10" t="str">
        <f t="shared" si="4"/>
        <v>0_Pre</v>
      </c>
      <c r="T22" s="10" t="str">
        <f t="shared" si="5"/>
        <v>0_Pre</v>
      </c>
      <c r="U22" s="10" t="str">
        <f t="shared" si="6"/>
        <v>0_Pre</v>
      </c>
      <c r="V22" s="10" t="str">
        <f t="shared" si="14"/>
        <v>0_Pre</v>
      </c>
      <c r="W22" s="10" t="str">
        <f t="shared" si="7"/>
        <v>clean_pre</v>
      </c>
      <c r="X22" s="10" t="str">
        <f t="shared" si="8"/>
        <v>0_Pre</v>
      </c>
      <c r="Y22" s="10" t="str">
        <f t="shared" si="9"/>
        <v>0_Pre</v>
      </c>
      <c r="Z22" s="10" t="str">
        <f t="shared" si="10"/>
        <v>0_Pre</v>
      </c>
      <c r="AA22" s="10" t="str">
        <f t="shared" si="15"/>
        <v>0_Pre</v>
      </c>
      <c r="AB22" s="10" t="str">
        <f t="shared" si="16"/>
        <v>0_Pre</v>
      </c>
      <c r="AC22" s="10" t="str">
        <f t="shared" si="17"/>
        <v>0_Pre</v>
      </c>
      <c r="AD22" s="10" t="str">
        <f t="shared" si="18"/>
        <v>1_pre sample median</v>
      </c>
      <c r="AE22" s="10" t="str">
        <f t="shared" si="19"/>
        <v>1_pre sample first tertile</v>
      </c>
      <c r="AF22" t="s">
        <v>82</v>
      </c>
      <c r="AG22" t="s">
        <v>75</v>
      </c>
      <c r="AH22" t="s">
        <v>78</v>
      </c>
      <c r="AI22" t="s">
        <v>123</v>
      </c>
      <c r="AJ22" t="s">
        <v>123</v>
      </c>
      <c r="AK22" t="str">
        <f>VLOOKUP(MID($AR22,1,255),country_lookup!$B:$F,2,FALSE)</f>
        <v>1_US</v>
      </c>
      <c r="AL22" t="str">
        <f>VLOOKUP(MID($AR22,1,255),country_lookup!$B:$F,3,FALSE)</f>
        <v>1_developed</v>
      </c>
      <c r="AM22" t="str">
        <f>VLOOKUP(MID($AR22,1,255),country_lookup!$B:$F,4,FALSE)</f>
        <v>1_western</v>
      </c>
      <c r="AN22" t="str">
        <f>VLOOKUP(MID($AR22,1,255),country_lookup!$B:$F,5,FALSE)</f>
        <v>1_common law</v>
      </c>
      <c r="AO22" s="10" t="str">
        <f>VLOOKUP(MID($AS22,1,255),source_lookup!$B:$K,4,FALSE)</f>
        <v>1_not published</v>
      </c>
      <c r="AP22" s="10" t="str">
        <f>VLOOKUP(MID($AS22,1,255),source_lookup!$B:$K,6,FALSE)</f>
        <v>99_NA</v>
      </c>
      <c r="AQ22" s="10" t="str">
        <f>VLOOKUP(MID($AS22,1,255),source_lookup!$B:$K,10,FALSE)</f>
        <v>1_fin/acc/econ</v>
      </c>
      <c r="AR22" t="s">
        <v>85</v>
      </c>
      <c r="AS22" t="s">
        <v>127</v>
      </c>
    </row>
    <row r="23" spans="1:45" x14ac:dyDescent="0.3">
      <c r="A23" t="s">
        <v>3</v>
      </c>
      <c r="B23">
        <v>22</v>
      </c>
      <c r="C23" s="1">
        <v>-5.7223074369103517E-2</v>
      </c>
      <c r="D23" s="2">
        <v>582</v>
      </c>
      <c r="E23" s="4">
        <v>6984</v>
      </c>
      <c r="F23" s="4" t="s">
        <v>346</v>
      </c>
      <c r="G23" s="4" t="s">
        <v>346</v>
      </c>
      <c r="H23" t="s">
        <v>77</v>
      </c>
      <c r="I23" t="s">
        <v>350</v>
      </c>
      <c r="J23" s="3">
        <v>1995</v>
      </c>
      <c r="K23" s="3">
        <v>2006</v>
      </c>
      <c r="L23" s="6">
        <f t="shared" si="11"/>
        <v>2000.5</v>
      </c>
      <c r="M23" s="6">
        <f t="shared" si="12"/>
        <v>2000.5</v>
      </c>
      <c r="N23" s="7">
        <f t="shared" si="0"/>
        <v>0</v>
      </c>
      <c r="O23" s="7">
        <f t="shared" si="1"/>
        <v>0</v>
      </c>
      <c r="P23" s="7">
        <f t="shared" si="2"/>
        <v>0</v>
      </c>
      <c r="Q23" s="7">
        <f t="shared" si="13"/>
        <v>0</v>
      </c>
      <c r="R23" s="10" t="str">
        <f t="shared" si="3"/>
        <v>0_Pre</v>
      </c>
      <c r="S23" s="10" t="str">
        <f t="shared" si="4"/>
        <v>0_Pre</v>
      </c>
      <c r="T23" s="10" t="str">
        <f t="shared" si="5"/>
        <v>0_Pre</v>
      </c>
      <c r="U23" s="10" t="str">
        <f t="shared" si="6"/>
        <v>0_Pre</v>
      </c>
      <c r="V23" s="10" t="str">
        <f t="shared" si="14"/>
        <v>0_Pre</v>
      </c>
      <c r="W23" s="10" t="str">
        <f t="shared" si="7"/>
        <v>clean_pre</v>
      </c>
      <c r="X23" s="10" t="str">
        <f t="shared" si="8"/>
        <v>0_Pre</v>
      </c>
      <c r="Y23" s="10" t="str">
        <f t="shared" si="9"/>
        <v>0_Pre</v>
      </c>
      <c r="Z23" s="10" t="str">
        <f t="shared" si="10"/>
        <v>0_Pre</v>
      </c>
      <c r="AA23" s="10" t="str">
        <f t="shared" si="15"/>
        <v>0_Pre</v>
      </c>
      <c r="AB23" s="10" t="str">
        <f t="shared" si="16"/>
        <v>0_Pre</v>
      </c>
      <c r="AC23" s="10" t="str">
        <f t="shared" si="17"/>
        <v>0_Pre</v>
      </c>
      <c r="AD23" s="10" t="str">
        <f t="shared" si="18"/>
        <v>1_pre sample median</v>
      </c>
      <c r="AE23" s="10" t="str">
        <f t="shared" si="19"/>
        <v>1_pre sample first tertile</v>
      </c>
      <c r="AF23" t="s">
        <v>82</v>
      </c>
      <c r="AG23" t="s">
        <v>75</v>
      </c>
      <c r="AH23" t="s">
        <v>78</v>
      </c>
      <c r="AI23" t="s">
        <v>123</v>
      </c>
      <c r="AJ23" t="s">
        <v>123</v>
      </c>
      <c r="AK23" t="str">
        <f>VLOOKUP(MID($AR23,1,255),country_lookup!$B:$F,2,FALSE)</f>
        <v>1_US</v>
      </c>
      <c r="AL23" t="str">
        <f>VLOOKUP(MID($AR23,1,255),country_lookup!$B:$F,3,FALSE)</f>
        <v>1_developed</v>
      </c>
      <c r="AM23" t="str">
        <f>VLOOKUP(MID($AR23,1,255),country_lookup!$B:$F,4,FALSE)</f>
        <v>1_western</v>
      </c>
      <c r="AN23" t="str">
        <f>VLOOKUP(MID($AR23,1,255),country_lookup!$B:$F,5,FALSE)</f>
        <v>1_common law</v>
      </c>
      <c r="AO23" s="10" t="str">
        <f>VLOOKUP(MID($AS23,1,255),source_lookup!$B:$K,4,FALSE)</f>
        <v>1_not published</v>
      </c>
      <c r="AP23" s="10" t="str">
        <f>VLOOKUP(MID($AS23,1,255),source_lookup!$B:$K,6,FALSE)</f>
        <v>99_NA</v>
      </c>
      <c r="AQ23" s="10" t="str">
        <f>VLOOKUP(MID($AS23,1,255),source_lookup!$B:$K,10,FALSE)</f>
        <v>1_fin/acc/econ</v>
      </c>
      <c r="AR23" t="s">
        <v>85</v>
      </c>
      <c r="AS23" t="s">
        <v>127</v>
      </c>
    </row>
    <row r="24" spans="1:45" x14ac:dyDescent="0.3">
      <c r="A24" t="s">
        <v>3</v>
      </c>
      <c r="B24">
        <v>23</v>
      </c>
      <c r="C24" s="1">
        <v>-3.635250287271842E-2</v>
      </c>
      <c r="D24" s="2">
        <v>582</v>
      </c>
      <c r="E24" s="4">
        <v>6984</v>
      </c>
      <c r="F24" s="4" t="s">
        <v>346</v>
      </c>
      <c r="G24" s="4" t="s">
        <v>346</v>
      </c>
      <c r="H24" t="s">
        <v>77</v>
      </c>
      <c r="I24" t="s">
        <v>350</v>
      </c>
      <c r="J24" s="3">
        <v>1995</v>
      </c>
      <c r="K24" s="3">
        <v>2006</v>
      </c>
      <c r="L24" s="6">
        <f t="shared" si="11"/>
        <v>2000.5</v>
      </c>
      <c r="M24" s="6">
        <f t="shared" si="12"/>
        <v>2000.5</v>
      </c>
      <c r="N24" s="7">
        <f t="shared" si="0"/>
        <v>0</v>
      </c>
      <c r="O24" s="7">
        <f t="shared" si="1"/>
        <v>0</v>
      </c>
      <c r="P24" s="7">
        <f t="shared" si="2"/>
        <v>0</v>
      </c>
      <c r="Q24" s="7">
        <f t="shared" si="13"/>
        <v>0</v>
      </c>
      <c r="R24" s="10" t="str">
        <f t="shared" si="3"/>
        <v>0_Pre</v>
      </c>
      <c r="S24" s="10" t="str">
        <f t="shared" si="4"/>
        <v>0_Pre</v>
      </c>
      <c r="T24" s="10" t="str">
        <f t="shared" si="5"/>
        <v>0_Pre</v>
      </c>
      <c r="U24" s="10" t="str">
        <f t="shared" si="6"/>
        <v>0_Pre</v>
      </c>
      <c r="V24" s="10" t="str">
        <f t="shared" si="14"/>
        <v>0_Pre</v>
      </c>
      <c r="W24" s="10" t="str">
        <f t="shared" si="7"/>
        <v>clean_pre</v>
      </c>
      <c r="X24" s="10" t="str">
        <f t="shared" si="8"/>
        <v>0_Pre</v>
      </c>
      <c r="Y24" s="10" t="str">
        <f t="shared" si="9"/>
        <v>0_Pre</v>
      </c>
      <c r="Z24" s="10" t="str">
        <f t="shared" si="10"/>
        <v>0_Pre</v>
      </c>
      <c r="AA24" s="10" t="str">
        <f t="shared" si="15"/>
        <v>0_Pre</v>
      </c>
      <c r="AB24" s="10" t="str">
        <f t="shared" si="16"/>
        <v>0_Pre</v>
      </c>
      <c r="AC24" s="10" t="str">
        <f t="shared" si="17"/>
        <v>0_Pre</v>
      </c>
      <c r="AD24" s="10" t="str">
        <f t="shared" si="18"/>
        <v>1_pre sample median</v>
      </c>
      <c r="AE24" s="10" t="str">
        <f t="shared" si="19"/>
        <v>1_pre sample first tertile</v>
      </c>
      <c r="AF24" t="s">
        <v>82</v>
      </c>
      <c r="AG24" t="s">
        <v>75</v>
      </c>
      <c r="AH24" t="s">
        <v>78</v>
      </c>
      <c r="AI24" t="s">
        <v>123</v>
      </c>
      <c r="AJ24" t="s">
        <v>123</v>
      </c>
      <c r="AK24" t="str">
        <f>VLOOKUP(MID($AR24,1,255),country_lookup!$B:$F,2,FALSE)</f>
        <v>1_US</v>
      </c>
      <c r="AL24" t="str">
        <f>VLOOKUP(MID($AR24,1,255),country_lookup!$B:$F,3,FALSE)</f>
        <v>1_developed</v>
      </c>
      <c r="AM24" t="str">
        <f>VLOOKUP(MID($AR24,1,255),country_lookup!$B:$F,4,FALSE)</f>
        <v>1_western</v>
      </c>
      <c r="AN24" t="str">
        <f>VLOOKUP(MID($AR24,1,255),country_lookup!$B:$F,5,FALSE)</f>
        <v>1_common law</v>
      </c>
      <c r="AO24" s="10" t="str">
        <f>VLOOKUP(MID($AS24,1,255),source_lookup!$B:$K,4,FALSE)</f>
        <v>1_not published</v>
      </c>
      <c r="AP24" s="10" t="str">
        <f>VLOOKUP(MID($AS24,1,255),source_lookup!$B:$K,6,FALSE)</f>
        <v>99_NA</v>
      </c>
      <c r="AQ24" s="10" t="str">
        <f>VLOOKUP(MID($AS24,1,255),source_lookup!$B:$K,10,FALSE)</f>
        <v>1_fin/acc/econ</v>
      </c>
      <c r="AR24" t="s">
        <v>85</v>
      </c>
      <c r="AS24" t="s">
        <v>127</v>
      </c>
    </row>
    <row r="25" spans="1:45" x14ac:dyDescent="0.3">
      <c r="A25" t="s">
        <v>3</v>
      </c>
      <c r="B25">
        <v>24</v>
      </c>
      <c r="C25" s="1">
        <v>-2.296860005936819E-2</v>
      </c>
      <c r="D25" s="2">
        <v>582</v>
      </c>
      <c r="E25" s="4">
        <v>6984</v>
      </c>
      <c r="F25" s="4" t="s">
        <v>346</v>
      </c>
      <c r="G25" s="4" t="s">
        <v>346</v>
      </c>
      <c r="H25" t="s">
        <v>77</v>
      </c>
      <c r="I25" t="s">
        <v>350</v>
      </c>
      <c r="J25" s="3">
        <v>1995</v>
      </c>
      <c r="K25" s="3">
        <v>2006</v>
      </c>
      <c r="L25" s="6">
        <f t="shared" si="11"/>
        <v>2000.5</v>
      </c>
      <c r="M25" s="6">
        <f t="shared" si="12"/>
        <v>2000.5</v>
      </c>
      <c r="N25" s="7">
        <f t="shared" si="0"/>
        <v>0</v>
      </c>
      <c r="O25" s="7">
        <f t="shared" si="1"/>
        <v>0</v>
      </c>
      <c r="P25" s="7">
        <f t="shared" si="2"/>
        <v>0</v>
      </c>
      <c r="Q25" s="7">
        <f t="shared" si="13"/>
        <v>0</v>
      </c>
      <c r="R25" s="10" t="str">
        <f t="shared" si="3"/>
        <v>0_Pre</v>
      </c>
      <c r="S25" s="10" t="str">
        <f t="shared" si="4"/>
        <v>0_Pre</v>
      </c>
      <c r="T25" s="10" t="str">
        <f t="shared" si="5"/>
        <v>0_Pre</v>
      </c>
      <c r="U25" s="10" t="str">
        <f t="shared" si="6"/>
        <v>0_Pre</v>
      </c>
      <c r="V25" s="10" t="str">
        <f t="shared" si="14"/>
        <v>0_Pre</v>
      </c>
      <c r="W25" s="10" t="str">
        <f t="shared" si="7"/>
        <v>clean_pre</v>
      </c>
      <c r="X25" s="10" t="str">
        <f t="shared" si="8"/>
        <v>0_Pre</v>
      </c>
      <c r="Y25" s="10" t="str">
        <f t="shared" si="9"/>
        <v>0_Pre</v>
      </c>
      <c r="Z25" s="10" t="str">
        <f t="shared" si="10"/>
        <v>0_Pre</v>
      </c>
      <c r="AA25" s="10" t="str">
        <f t="shared" si="15"/>
        <v>0_Pre</v>
      </c>
      <c r="AB25" s="10" t="str">
        <f t="shared" si="16"/>
        <v>0_Pre</v>
      </c>
      <c r="AC25" s="10" t="str">
        <f t="shared" si="17"/>
        <v>0_Pre</v>
      </c>
      <c r="AD25" s="10" t="str">
        <f t="shared" si="18"/>
        <v>1_pre sample median</v>
      </c>
      <c r="AE25" s="10" t="str">
        <f t="shared" si="19"/>
        <v>1_pre sample first tertile</v>
      </c>
      <c r="AF25" t="s">
        <v>67</v>
      </c>
      <c r="AG25" t="s">
        <v>75</v>
      </c>
      <c r="AH25" t="s">
        <v>78</v>
      </c>
      <c r="AI25" t="s">
        <v>123</v>
      </c>
      <c r="AJ25" t="s">
        <v>123</v>
      </c>
      <c r="AK25" t="str">
        <f>VLOOKUP(MID($AR25,1,255),country_lookup!$B:$F,2,FALSE)</f>
        <v>1_US</v>
      </c>
      <c r="AL25" t="str">
        <f>VLOOKUP(MID($AR25,1,255),country_lookup!$B:$F,3,FALSE)</f>
        <v>1_developed</v>
      </c>
      <c r="AM25" t="str">
        <f>VLOOKUP(MID($AR25,1,255),country_lookup!$B:$F,4,FALSE)</f>
        <v>1_western</v>
      </c>
      <c r="AN25" t="str">
        <f>VLOOKUP(MID($AR25,1,255),country_lookup!$B:$F,5,FALSE)</f>
        <v>1_common law</v>
      </c>
      <c r="AO25" s="10" t="str">
        <f>VLOOKUP(MID($AS25,1,255),source_lookup!$B:$K,4,FALSE)</f>
        <v>1_not published</v>
      </c>
      <c r="AP25" s="10" t="str">
        <f>VLOOKUP(MID($AS25,1,255),source_lookup!$B:$K,6,FALSE)</f>
        <v>99_NA</v>
      </c>
      <c r="AQ25" s="10" t="str">
        <f>VLOOKUP(MID($AS25,1,255),source_lookup!$B:$K,10,FALSE)</f>
        <v>1_fin/acc/econ</v>
      </c>
      <c r="AR25" t="s">
        <v>85</v>
      </c>
      <c r="AS25" t="s">
        <v>127</v>
      </c>
    </row>
    <row r="26" spans="1:45" x14ac:dyDescent="0.3">
      <c r="A26" t="s">
        <v>3</v>
      </c>
      <c r="B26">
        <v>25</v>
      </c>
      <c r="C26" s="1">
        <v>-2.6076942321420337E-2</v>
      </c>
      <c r="D26" s="2">
        <v>582</v>
      </c>
      <c r="E26" s="4">
        <v>6984</v>
      </c>
      <c r="F26" s="4" t="s">
        <v>346</v>
      </c>
      <c r="G26" s="4" t="s">
        <v>346</v>
      </c>
      <c r="H26" t="s">
        <v>77</v>
      </c>
      <c r="I26" t="s">
        <v>350</v>
      </c>
      <c r="J26" s="3">
        <v>1995</v>
      </c>
      <c r="K26" s="3">
        <v>2006</v>
      </c>
      <c r="L26" s="6">
        <f t="shared" si="11"/>
        <v>2000.5</v>
      </c>
      <c r="M26" s="6">
        <f t="shared" si="12"/>
        <v>2000.5</v>
      </c>
      <c r="N26" s="7">
        <f t="shared" si="0"/>
        <v>0</v>
      </c>
      <c r="O26" s="7">
        <f t="shared" si="1"/>
        <v>0</v>
      </c>
      <c r="P26" s="7">
        <f t="shared" si="2"/>
        <v>0</v>
      </c>
      <c r="Q26" s="7">
        <f t="shared" si="13"/>
        <v>0</v>
      </c>
      <c r="R26" s="10" t="str">
        <f t="shared" si="3"/>
        <v>0_Pre</v>
      </c>
      <c r="S26" s="10" t="str">
        <f t="shared" si="4"/>
        <v>0_Pre</v>
      </c>
      <c r="T26" s="10" t="str">
        <f t="shared" si="5"/>
        <v>0_Pre</v>
      </c>
      <c r="U26" s="10" t="str">
        <f t="shared" si="6"/>
        <v>0_Pre</v>
      </c>
      <c r="V26" s="10" t="str">
        <f t="shared" si="14"/>
        <v>0_Pre</v>
      </c>
      <c r="W26" s="10" t="str">
        <f t="shared" si="7"/>
        <v>clean_pre</v>
      </c>
      <c r="X26" s="10" t="str">
        <f t="shared" si="8"/>
        <v>0_Pre</v>
      </c>
      <c r="Y26" s="10" t="str">
        <f t="shared" si="9"/>
        <v>0_Pre</v>
      </c>
      <c r="Z26" s="10" t="str">
        <f t="shared" si="10"/>
        <v>0_Pre</v>
      </c>
      <c r="AA26" s="10" t="str">
        <f t="shared" si="15"/>
        <v>0_Pre</v>
      </c>
      <c r="AB26" s="10" t="str">
        <f t="shared" si="16"/>
        <v>0_Pre</v>
      </c>
      <c r="AC26" s="10" t="str">
        <f t="shared" si="17"/>
        <v>0_Pre</v>
      </c>
      <c r="AD26" s="10" t="str">
        <f t="shared" si="18"/>
        <v>1_pre sample median</v>
      </c>
      <c r="AE26" s="10" t="str">
        <f t="shared" si="19"/>
        <v>1_pre sample first tertile</v>
      </c>
      <c r="AF26" t="s">
        <v>67</v>
      </c>
      <c r="AG26" t="s">
        <v>75</v>
      </c>
      <c r="AH26" t="s">
        <v>78</v>
      </c>
      <c r="AI26" t="s">
        <v>123</v>
      </c>
      <c r="AJ26" t="s">
        <v>123</v>
      </c>
      <c r="AK26" t="str">
        <f>VLOOKUP(MID($AR26,1,255),country_lookup!$B:$F,2,FALSE)</f>
        <v>1_US</v>
      </c>
      <c r="AL26" t="str">
        <f>VLOOKUP(MID($AR26,1,255),country_lookup!$B:$F,3,FALSE)</f>
        <v>1_developed</v>
      </c>
      <c r="AM26" t="str">
        <f>VLOOKUP(MID($AR26,1,255),country_lookup!$B:$F,4,FALSE)</f>
        <v>1_western</v>
      </c>
      <c r="AN26" t="str">
        <f>VLOOKUP(MID($AR26,1,255),country_lookup!$B:$F,5,FALSE)</f>
        <v>1_common law</v>
      </c>
      <c r="AO26" s="10" t="str">
        <f>VLOOKUP(MID($AS26,1,255),source_lookup!$B:$K,4,FALSE)</f>
        <v>1_not published</v>
      </c>
      <c r="AP26" s="10" t="str">
        <f>VLOOKUP(MID($AS26,1,255),source_lookup!$B:$K,6,FALSE)</f>
        <v>99_NA</v>
      </c>
      <c r="AQ26" s="10" t="str">
        <f>VLOOKUP(MID($AS26,1,255),source_lookup!$B:$K,10,FALSE)</f>
        <v>1_fin/acc/econ</v>
      </c>
      <c r="AR26" t="s">
        <v>85</v>
      </c>
      <c r="AS26" t="s">
        <v>127</v>
      </c>
    </row>
    <row r="27" spans="1:45" x14ac:dyDescent="0.3">
      <c r="A27" t="s">
        <v>3</v>
      </c>
      <c r="B27">
        <v>26</v>
      </c>
      <c r="C27" s="1">
        <v>-1.2915945490656552E-2</v>
      </c>
      <c r="D27" s="2">
        <v>1094</v>
      </c>
      <c r="E27" s="4">
        <v>13128</v>
      </c>
      <c r="F27" s="4" t="s">
        <v>346</v>
      </c>
      <c r="G27" s="4" t="s">
        <v>346</v>
      </c>
      <c r="H27" t="s">
        <v>77</v>
      </c>
      <c r="I27" t="s">
        <v>350</v>
      </c>
      <c r="J27" s="3">
        <v>1995</v>
      </c>
      <c r="K27" s="3">
        <v>2006</v>
      </c>
      <c r="L27" s="6">
        <f t="shared" si="11"/>
        <v>2000.5</v>
      </c>
      <c r="M27" s="6">
        <f t="shared" si="12"/>
        <v>2000.5</v>
      </c>
      <c r="N27" s="7">
        <f t="shared" si="0"/>
        <v>0</v>
      </c>
      <c r="O27" s="7">
        <f t="shared" si="1"/>
        <v>0</v>
      </c>
      <c r="P27" s="7">
        <f t="shared" si="2"/>
        <v>0</v>
      </c>
      <c r="Q27" s="7">
        <f t="shared" si="13"/>
        <v>0</v>
      </c>
      <c r="R27" s="10" t="str">
        <f t="shared" si="3"/>
        <v>0_Pre</v>
      </c>
      <c r="S27" s="10" t="str">
        <f t="shared" si="4"/>
        <v>0_Pre</v>
      </c>
      <c r="T27" s="10" t="str">
        <f t="shared" si="5"/>
        <v>0_Pre</v>
      </c>
      <c r="U27" s="10" t="str">
        <f t="shared" si="6"/>
        <v>0_Pre</v>
      </c>
      <c r="V27" s="10" t="str">
        <f t="shared" si="14"/>
        <v>0_Pre</v>
      </c>
      <c r="W27" s="10" t="str">
        <f t="shared" si="7"/>
        <v>clean_pre</v>
      </c>
      <c r="X27" s="10" t="str">
        <f t="shared" si="8"/>
        <v>0_Pre</v>
      </c>
      <c r="Y27" s="10" t="str">
        <f t="shared" si="9"/>
        <v>0_Pre</v>
      </c>
      <c r="Z27" s="10" t="str">
        <f t="shared" si="10"/>
        <v>0_Pre</v>
      </c>
      <c r="AA27" s="10" t="str">
        <f t="shared" si="15"/>
        <v>0_Pre</v>
      </c>
      <c r="AB27" s="10" t="str">
        <f t="shared" si="16"/>
        <v>0_Pre</v>
      </c>
      <c r="AC27" s="10" t="str">
        <f t="shared" si="17"/>
        <v>0_Pre</v>
      </c>
      <c r="AD27" s="10" t="str">
        <f t="shared" si="18"/>
        <v>1_pre sample median</v>
      </c>
      <c r="AE27" s="10" t="str">
        <f t="shared" si="19"/>
        <v>1_pre sample first tertile</v>
      </c>
      <c r="AF27" t="s">
        <v>67</v>
      </c>
      <c r="AG27" t="s">
        <v>75</v>
      </c>
      <c r="AH27" t="s">
        <v>78</v>
      </c>
      <c r="AI27" t="s">
        <v>123</v>
      </c>
      <c r="AJ27" t="s">
        <v>123</v>
      </c>
      <c r="AK27" t="str">
        <f>VLOOKUP(MID($AR27,1,255),country_lookup!$B:$F,2,FALSE)</f>
        <v>1_US</v>
      </c>
      <c r="AL27" t="str">
        <f>VLOOKUP(MID($AR27,1,255),country_lookup!$B:$F,3,FALSE)</f>
        <v>1_developed</v>
      </c>
      <c r="AM27" t="str">
        <f>VLOOKUP(MID($AR27,1,255),country_lookup!$B:$F,4,FALSE)</f>
        <v>1_western</v>
      </c>
      <c r="AN27" t="str">
        <f>VLOOKUP(MID($AR27,1,255),country_lookup!$B:$F,5,FALSE)</f>
        <v>1_common law</v>
      </c>
      <c r="AO27" s="10" t="str">
        <f>VLOOKUP(MID($AS27,1,255),source_lookup!$B:$K,4,FALSE)</f>
        <v>1_not published</v>
      </c>
      <c r="AP27" s="10" t="str">
        <f>VLOOKUP(MID($AS27,1,255),source_lookup!$B:$K,6,FALSE)</f>
        <v>99_NA</v>
      </c>
      <c r="AQ27" s="10" t="str">
        <f>VLOOKUP(MID($AS27,1,255),source_lookup!$B:$K,10,FALSE)</f>
        <v>1_fin/acc/econ</v>
      </c>
      <c r="AR27" t="s">
        <v>85</v>
      </c>
      <c r="AS27" t="s">
        <v>127</v>
      </c>
    </row>
    <row r="28" spans="1:45" x14ac:dyDescent="0.3">
      <c r="A28" t="s">
        <v>3</v>
      </c>
      <c r="B28">
        <v>27</v>
      </c>
      <c r="C28" s="1">
        <v>-1.8237897155310594E-2</v>
      </c>
      <c r="D28" s="2">
        <v>1094</v>
      </c>
      <c r="E28" s="4">
        <v>13128</v>
      </c>
      <c r="F28" s="4" t="s">
        <v>346</v>
      </c>
      <c r="G28" s="4" t="s">
        <v>346</v>
      </c>
      <c r="H28" t="s">
        <v>77</v>
      </c>
      <c r="I28" t="s">
        <v>350</v>
      </c>
      <c r="J28" s="3">
        <v>1995</v>
      </c>
      <c r="K28" s="3">
        <v>2006</v>
      </c>
      <c r="L28" s="6">
        <f t="shared" si="11"/>
        <v>2000.5</v>
      </c>
      <c r="M28" s="6">
        <f t="shared" si="12"/>
        <v>2000.5</v>
      </c>
      <c r="N28" s="7">
        <f t="shared" si="0"/>
        <v>0</v>
      </c>
      <c r="O28" s="7">
        <f t="shared" si="1"/>
        <v>0</v>
      </c>
      <c r="P28" s="7">
        <f t="shared" si="2"/>
        <v>0</v>
      </c>
      <c r="Q28" s="7">
        <f t="shared" si="13"/>
        <v>0</v>
      </c>
      <c r="R28" s="10" t="str">
        <f t="shared" si="3"/>
        <v>0_Pre</v>
      </c>
      <c r="S28" s="10" t="str">
        <f t="shared" si="4"/>
        <v>0_Pre</v>
      </c>
      <c r="T28" s="10" t="str">
        <f t="shared" si="5"/>
        <v>0_Pre</v>
      </c>
      <c r="U28" s="10" t="str">
        <f t="shared" si="6"/>
        <v>0_Pre</v>
      </c>
      <c r="V28" s="10" t="str">
        <f t="shared" si="14"/>
        <v>0_Pre</v>
      </c>
      <c r="W28" s="10" t="str">
        <f t="shared" si="7"/>
        <v>clean_pre</v>
      </c>
      <c r="X28" s="10" t="str">
        <f t="shared" si="8"/>
        <v>0_Pre</v>
      </c>
      <c r="Y28" s="10" t="str">
        <f t="shared" si="9"/>
        <v>0_Pre</v>
      </c>
      <c r="Z28" s="10" t="str">
        <f t="shared" si="10"/>
        <v>0_Pre</v>
      </c>
      <c r="AA28" s="10" t="str">
        <f t="shared" si="15"/>
        <v>0_Pre</v>
      </c>
      <c r="AB28" s="10" t="str">
        <f t="shared" si="16"/>
        <v>0_Pre</v>
      </c>
      <c r="AC28" s="10" t="str">
        <f t="shared" si="17"/>
        <v>0_Pre</v>
      </c>
      <c r="AD28" s="10" t="str">
        <f t="shared" si="18"/>
        <v>1_pre sample median</v>
      </c>
      <c r="AE28" s="10" t="str">
        <f t="shared" si="19"/>
        <v>1_pre sample first tertile</v>
      </c>
      <c r="AF28" t="s">
        <v>67</v>
      </c>
      <c r="AG28" t="s">
        <v>75</v>
      </c>
      <c r="AH28" t="s">
        <v>78</v>
      </c>
      <c r="AI28" t="s">
        <v>123</v>
      </c>
      <c r="AJ28" t="s">
        <v>123</v>
      </c>
      <c r="AK28" t="str">
        <f>VLOOKUP(MID($AR28,1,255),country_lookup!$B:$F,2,FALSE)</f>
        <v>1_US</v>
      </c>
      <c r="AL28" t="str">
        <f>VLOOKUP(MID($AR28,1,255),country_lookup!$B:$F,3,FALSE)</f>
        <v>1_developed</v>
      </c>
      <c r="AM28" t="str">
        <f>VLOOKUP(MID($AR28,1,255),country_lookup!$B:$F,4,FALSE)</f>
        <v>1_western</v>
      </c>
      <c r="AN28" t="str">
        <f>VLOOKUP(MID($AR28,1,255),country_lookup!$B:$F,5,FALSE)</f>
        <v>1_common law</v>
      </c>
      <c r="AO28" s="10" t="str">
        <f>VLOOKUP(MID($AS28,1,255),source_lookup!$B:$K,4,FALSE)</f>
        <v>1_not published</v>
      </c>
      <c r="AP28" s="10" t="str">
        <f>VLOOKUP(MID($AS28,1,255),source_lookup!$B:$K,6,FALSE)</f>
        <v>99_NA</v>
      </c>
      <c r="AQ28" s="10" t="str">
        <f>VLOOKUP(MID($AS28,1,255),source_lookup!$B:$K,10,FALSE)</f>
        <v>1_fin/acc/econ</v>
      </c>
      <c r="AR28" t="s">
        <v>85</v>
      </c>
      <c r="AS28" t="s">
        <v>127</v>
      </c>
    </row>
    <row r="29" spans="1:45" x14ac:dyDescent="0.3">
      <c r="A29" t="s">
        <v>3</v>
      </c>
      <c r="B29">
        <v>28</v>
      </c>
      <c r="C29" s="1">
        <v>-4.1486166394761124E-2</v>
      </c>
      <c r="D29" s="2">
        <v>582</v>
      </c>
      <c r="E29" s="4">
        <v>6984</v>
      </c>
      <c r="F29" s="4" t="s">
        <v>346</v>
      </c>
      <c r="G29" s="4" t="s">
        <v>346</v>
      </c>
      <c r="H29" t="s">
        <v>77</v>
      </c>
      <c r="I29" t="s">
        <v>350</v>
      </c>
      <c r="J29" s="3">
        <v>1995</v>
      </c>
      <c r="K29" s="3">
        <v>2006</v>
      </c>
      <c r="L29" s="6">
        <f t="shared" si="11"/>
        <v>2000.5</v>
      </c>
      <c r="M29" s="6">
        <f t="shared" si="12"/>
        <v>2000.5</v>
      </c>
      <c r="N29" s="7">
        <f t="shared" si="0"/>
        <v>0</v>
      </c>
      <c r="O29" s="7">
        <f t="shared" si="1"/>
        <v>0</v>
      </c>
      <c r="P29" s="7">
        <f t="shared" si="2"/>
        <v>0</v>
      </c>
      <c r="Q29" s="7">
        <f t="shared" si="13"/>
        <v>0</v>
      </c>
      <c r="R29" s="10" t="str">
        <f t="shared" si="3"/>
        <v>0_Pre</v>
      </c>
      <c r="S29" s="10" t="str">
        <f t="shared" si="4"/>
        <v>0_Pre</v>
      </c>
      <c r="T29" s="10" t="str">
        <f t="shared" si="5"/>
        <v>0_Pre</v>
      </c>
      <c r="U29" s="10" t="str">
        <f t="shared" si="6"/>
        <v>0_Pre</v>
      </c>
      <c r="V29" s="10" t="str">
        <f t="shared" si="14"/>
        <v>0_Pre</v>
      </c>
      <c r="W29" s="10" t="str">
        <f t="shared" si="7"/>
        <v>clean_pre</v>
      </c>
      <c r="X29" s="10" t="str">
        <f t="shared" si="8"/>
        <v>0_Pre</v>
      </c>
      <c r="Y29" s="10" t="str">
        <f t="shared" si="9"/>
        <v>0_Pre</v>
      </c>
      <c r="Z29" s="10" t="str">
        <f t="shared" si="10"/>
        <v>0_Pre</v>
      </c>
      <c r="AA29" s="10" t="str">
        <f t="shared" si="15"/>
        <v>0_Pre</v>
      </c>
      <c r="AB29" s="10" t="str">
        <f t="shared" si="16"/>
        <v>0_Pre</v>
      </c>
      <c r="AC29" s="10" t="str">
        <f t="shared" si="17"/>
        <v>0_Pre</v>
      </c>
      <c r="AD29" s="10" t="str">
        <f t="shared" si="18"/>
        <v>1_pre sample median</v>
      </c>
      <c r="AE29" s="10" t="str">
        <f t="shared" si="19"/>
        <v>1_pre sample first tertile</v>
      </c>
      <c r="AF29" t="s">
        <v>82</v>
      </c>
      <c r="AG29" t="s">
        <v>75</v>
      </c>
      <c r="AH29" t="s">
        <v>78</v>
      </c>
      <c r="AI29" t="s">
        <v>123</v>
      </c>
      <c r="AJ29" t="s">
        <v>123</v>
      </c>
      <c r="AK29" t="str">
        <f>VLOOKUP(MID($AR29,1,255),country_lookup!$B:$F,2,FALSE)</f>
        <v>1_US</v>
      </c>
      <c r="AL29" t="str">
        <f>VLOOKUP(MID($AR29,1,255),country_lookup!$B:$F,3,FALSE)</f>
        <v>1_developed</v>
      </c>
      <c r="AM29" t="str">
        <f>VLOOKUP(MID($AR29,1,255),country_lookup!$B:$F,4,FALSE)</f>
        <v>1_western</v>
      </c>
      <c r="AN29" t="str">
        <f>VLOOKUP(MID($AR29,1,255),country_lookup!$B:$F,5,FALSE)</f>
        <v>1_common law</v>
      </c>
      <c r="AO29" s="10" t="str">
        <f>VLOOKUP(MID($AS29,1,255),source_lookup!$B:$K,4,FALSE)</f>
        <v>1_not published</v>
      </c>
      <c r="AP29" s="10" t="str">
        <f>VLOOKUP(MID($AS29,1,255),source_lookup!$B:$K,6,FALSE)</f>
        <v>99_NA</v>
      </c>
      <c r="AQ29" s="10" t="str">
        <f>VLOOKUP(MID($AS29,1,255),source_lookup!$B:$K,10,FALSE)</f>
        <v>1_fin/acc/econ</v>
      </c>
      <c r="AR29" t="s">
        <v>85</v>
      </c>
      <c r="AS29" t="s">
        <v>127</v>
      </c>
    </row>
    <row r="30" spans="1:45" x14ac:dyDescent="0.3">
      <c r="A30" t="s">
        <v>3</v>
      </c>
      <c r="B30">
        <v>29</v>
      </c>
      <c r="C30" s="1">
        <v>3.5897905617877593E-4</v>
      </c>
      <c r="D30" s="2">
        <v>582</v>
      </c>
      <c r="E30" s="4">
        <v>6984</v>
      </c>
      <c r="F30" s="4" t="s">
        <v>346</v>
      </c>
      <c r="G30" s="4" t="s">
        <v>346</v>
      </c>
      <c r="H30" t="s">
        <v>77</v>
      </c>
      <c r="I30" t="s">
        <v>350</v>
      </c>
      <c r="J30" s="3">
        <v>1995</v>
      </c>
      <c r="K30" s="3">
        <v>2006</v>
      </c>
      <c r="L30" s="6">
        <f t="shared" si="11"/>
        <v>2000.5</v>
      </c>
      <c r="M30" s="6">
        <f t="shared" si="12"/>
        <v>2000.5</v>
      </c>
      <c r="N30" s="7">
        <f t="shared" si="0"/>
        <v>0</v>
      </c>
      <c r="O30" s="7">
        <f t="shared" si="1"/>
        <v>0</v>
      </c>
      <c r="P30" s="7">
        <f t="shared" si="2"/>
        <v>0</v>
      </c>
      <c r="Q30" s="7">
        <f t="shared" si="13"/>
        <v>0</v>
      </c>
      <c r="R30" s="10" t="str">
        <f t="shared" si="3"/>
        <v>0_Pre</v>
      </c>
      <c r="S30" s="10" t="str">
        <f t="shared" si="4"/>
        <v>0_Pre</v>
      </c>
      <c r="T30" s="10" t="str">
        <f t="shared" si="5"/>
        <v>0_Pre</v>
      </c>
      <c r="U30" s="10" t="str">
        <f t="shared" si="6"/>
        <v>0_Pre</v>
      </c>
      <c r="V30" s="10" t="str">
        <f t="shared" si="14"/>
        <v>0_Pre</v>
      </c>
      <c r="W30" s="10" t="str">
        <f t="shared" si="7"/>
        <v>clean_pre</v>
      </c>
      <c r="X30" s="10" t="str">
        <f t="shared" si="8"/>
        <v>0_Pre</v>
      </c>
      <c r="Y30" s="10" t="str">
        <f t="shared" si="9"/>
        <v>0_Pre</v>
      </c>
      <c r="Z30" s="10" t="str">
        <f t="shared" si="10"/>
        <v>0_Pre</v>
      </c>
      <c r="AA30" s="10" t="str">
        <f t="shared" si="15"/>
        <v>0_Pre</v>
      </c>
      <c r="AB30" s="10" t="str">
        <f t="shared" si="16"/>
        <v>0_Pre</v>
      </c>
      <c r="AC30" s="10" t="str">
        <f t="shared" si="17"/>
        <v>0_Pre</v>
      </c>
      <c r="AD30" s="10" t="str">
        <f t="shared" si="18"/>
        <v>1_pre sample median</v>
      </c>
      <c r="AE30" s="10" t="str">
        <f t="shared" si="19"/>
        <v>1_pre sample first tertile</v>
      </c>
      <c r="AF30" t="s">
        <v>82</v>
      </c>
      <c r="AG30" t="s">
        <v>75</v>
      </c>
      <c r="AH30" t="s">
        <v>78</v>
      </c>
      <c r="AI30" t="s">
        <v>123</v>
      </c>
      <c r="AJ30" t="s">
        <v>123</v>
      </c>
      <c r="AK30" t="str">
        <f>VLOOKUP(MID($AR30,1,255),country_lookup!$B:$F,2,FALSE)</f>
        <v>1_US</v>
      </c>
      <c r="AL30" t="str">
        <f>VLOOKUP(MID($AR30,1,255),country_lookup!$B:$F,3,FALSE)</f>
        <v>1_developed</v>
      </c>
      <c r="AM30" t="str">
        <f>VLOOKUP(MID($AR30,1,255),country_lookup!$B:$F,4,FALSE)</f>
        <v>1_western</v>
      </c>
      <c r="AN30" t="str">
        <f>VLOOKUP(MID($AR30,1,255),country_lookup!$B:$F,5,FALSE)</f>
        <v>1_common law</v>
      </c>
      <c r="AO30" s="10" t="str">
        <f>VLOOKUP(MID($AS30,1,255),source_lookup!$B:$K,4,FALSE)</f>
        <v>1_not published</v>
      </c>
      <c r="AP30" s="10" t="str">
        <f>VLOOKUP(MID($AS30,1,255),source_lookup!$B:$K,6,FALSE)</f>
        <v>99_NA</v>
      </c>
      <c r="AQ30" s="10" t="str">
        <f>VLOOKUP(MID($AS30,1,255),source_lookup!$B:$K,10,FALSE)</f>
        <v>1_fin/acc/econ</v>
      </c>
      <c r="AR30" t="s">
        <v>85</v>
      </c>
      <c r="AS30" t="s">
        <v>127</v>
      </c>
    </row>
    <row r="31" spans="1:45" x14ac:dyDescent="0.3">
      <c r="A31" t="s">
        <v>3</v>
      </c>
      <c r="B31">
        <v>30</v>
      </c>
      <c r="C31" s="1">
        <v>-1.734804442327402E-2</v>
      </c>
      <c r="D31" s="2">
        <v>582</v>
      </c>
      <c r="E31" s="4">
        <v>6984</v>
      </c>
      <c r="F31" s="4" t="s">
        <v>346</v>
      </c>
      <c r="G31" s="4" t="s">
        <v>346</v>
      </c>
      <c r="H31" t="s">
        <v>77</v>
      </c>
      <c r="I31" t="s">
        <v>350</v>
      </c>
      <c r="J31" s="3">
        <v>1995</v>
      </c>
      <c r="K31" s="3">
        <v>2006</v>
      </c>
      <c r="L31" s="6">
        <f t="shared" si="11"/>
        <v>2000.5</v>
      </c>
      <c r="M31" s="6">
        <f t="shared" si="12"/>
        <v>2000.5</v>
      </c>
      <c r="N31" s="7">
        <f t="shared" si="0"/>
        <v>0</v>
      </c>
      <c r="O31" s="7">
        <f t="shared" si="1"/>
        <v>0</v>
      </c>
      <c r="P31" s="7">
        <f t="shared" si="2"/>
        <v>0</v>
      </c>
      <c r="Q31" s="7">
        <f t="shared" si="13"/>
        <v>0</v>
      </c>
      <c r="R31" s="10" t="str">
        <f t="shared" si="3"/>
        <v>0_Pre</v>
      </c>
      <c r="S31" s="10" t="str">
        <f t="shared" si="4"/>
        <v>0_Pre</v>
      </c>
      <c r="T31" s="10" t="str">
        <f t="shared" si="5"/>
        <v>0_Pre</v>
      </c>
      <c r="U31" s="10" t="str">
        <f t="shared" si="6"/>
        <v>0_Pre</v>
      </c>
      <c r="V31" s="10" t="str">
        <f t="shared" si="14"/>
        <v>0_Pre</v>
      </c>
      <c r="W31" s="10" t="str">
        <f t="shared" si="7"/>
        <v>clean_pre</v>
      </c>
      <c r="X31" s="10" t="str">
        <f t="shared" si="8"/>
        <v>0_Pre</v>
      </c>
      <c r="Y31" s="10" t="str">
        <f t="shared" si="9"/>
        <v>0_Pre</v>
      </c>
      <c r="Z31" s="10" t="str">
        <f t="shared" si="10"/>
        <v>0_Pre</v>
      </c>
      <c r="AA31" s="10" t="str">
        <f t="shared" si="15"/>
        <v>0_Pre</v>
      </c>
      <c r="AB31" s="10" t="str">
        <f t="shared" si="16"/>
        <v>0_Pre</v>
      </c>
      <c r="AC31" s="10" t="str">
        <f t="shared" si="17"/>
        <v>0_Pre</v>
      </c>
      <c r="AD31" s="10" t="str">
        <f t="shared" si="18"/>
        <v>1_pre sample median</v>
      </c>
      <c r="AE31" s="10" t="str">
        <f t="shared" si="19"/>
        <v>1_pre sample first tertile</v>
      </c>
      <c r="AF31" t="s">
        <v>82</v>
      </c>
      <c r="AG31" t="s">
        <v>75</v>
      </c>
      <c r="AH31" t="s">
        <v>78</v>
      </c>
      <c r="AI31" t="s">
        <v>123</v>
      </c>
      <c r="AJ31" t="s">
        <v>123</v>
      </c>
      <c r="AK31" t="str">
        <f>VLOOKUP(MID($AR31,1,255),country_lookup!$B:$F,2,FALSE)</f>
        <v>1_US</v>
      </c>
      <c r="AL31" t="str">
        <f>VLOOKUP(MID($AR31,1,255),country_lookup!$B:$F,3,FALSE)</f>
        <v>1_developed</v>
      </c>
      <c r="AM31" t="str">
        <f>VLOOKUP(MID($AR31,1,255),country_lookup!$B:$F,4,FALSE)</f>
        <v>1_western</v>
      </c>
      <c r="AN31" t="str">
        <f>VLOOKUP(MID($AR31,1,255),country_lookup!$B:$F,5,FALSE)</f>
        <v>1_common law</v>
      </c>
      <c r="AO31" s="10" t="str">
        <f>VLOOKUP(MID($AS31,1,255),source_lookup!$B:$K,4,FALSE)</f>
        <v>1_not published</v>
      </c>
      <c r="AP31" s="10" t="str">
        <f>VLOOKUP(MID($AS31,1,255),source_lookup!$B:$K,6,FALSE)</f>
        <v>99_NA</v>
      </c>
      <c r="AQ31" s="10" t="str">
        <f>VLOOKUP(MID($AS31,1,255),source_lookup!$B:$K,10,FALSE)</f>
        <v>1_fin/acc/econ</v>
      </c>
      <c r="AR31" t="s">
        <v>85</v>
      </c>
      <c r="AS31" t="s">
        <v>127</v>
      </c>
    </row>
    <row r="32" spans="1:45" x14ac:dyDescent="0.3">
      <c r="A32" t="s">
        <v>3</v>
      </c>
      <c r="B32">
        <v>31</v>
      </c>
      <c r="C32" s="1">
        <v>-3.1335443960556833E-2</v>
      </c>
      <c r="D32" s="2">
        <v>582</v>
      </c>
      <c r="E32" s="4">
        <v>6984</v>
      </c>
      <c r="F32" s="4" t="s">
        <v>346</v>
      </c>
      <c r="G32" s="4" t="s">
        <v>346</v>
      </c>
      <c r="H32" t="s">
        <v>77</v>
      </c>
      <c r="I32" t="s">
        <v>350</v>
      </c>
      <c r="J32" s="3">
        <v>1995</v>
      </c>
      <c r="K32" s="3">
        <v>2006</v>
      </c>
      <c r="L32" s="6">
        <f t="shared" si="11"/>
        <v>2000.5</v>
      </c>
      <c r="M32" s="6">
        <f t="shared" si="12"/>
        <v>2000.5</v>
      </c>
      <c r="N32" s="7">
        <f t="shared" si="0"/>
        <v>0</v>
      </c>
      <c r="O32" s="7">
        <f t="shared" si="1"/>
        <v>0</v>
      </c>
      <c r="P32" s="7">
        <f t="shared" si="2"/>
        <v>0</v>
      </c>
      <c r="Q32" s="7">
        <f t="shared" si="13"/>
        <v>0</v>
      </c>
      <c r="R32" s="10" t="str">
        <f t="shared" si="3"/>
        <v>0_Pre</v>
      </c>
      <c r="S32" s="10" t="str">
        <f t="shared" si="4"/>
        <v>0_Pre</v>
      </c>
      <c r="T32" s="10" t="str">
        <f t="shared" si="5"/>
        <v>0_Pre</v>
      </c>
      <c r="U32" s="10" t="str">
        <f t="shared" si="6"/>
        <v>0_Pre</v>
      </c>
      <c r="V32" s="10" t="str">
        <f t="shared" si="14"/>
        <v>0_Pre</v>
      </c>
      <c r="W32" s="10" t="str">
        <f t="shared" si="7"/>
        <v>clean_pre</v>
      </c>
      <c r="X32" s="10" t="str">
        <f t="shared" si="8"/>
        <v>0_Pre</v>
      </c>
      <c r="Y32" s="10" t="str">
        <f t="shared" si="9"/>
        <v>0_Pre</v>
      </c>
      <c r="Z32" s="10" t="str">
        <f t="shared" si="10"/>
        <v>0_Pre</v>
      </c>
      <c r="AA32" s="10" t="str">
        <f t="shared" si="15"/>
        <v>0_Pre</v>
      </c>
      <c r="AB32" s="10" t="str">
        <f t="shared" si="16"/>
        <v>0_Pre</v>
      </c>
      <c r="AC32" s="10" t="str">
        <f t="shared" si="17"/>
        <v>0_Pre</v>
      </c>
      <c r="AD32" s="10" t="str">
        <f t="shared" si="18"/>
        <v>1_pre sample median</v>
      </c>
      <c r="AE32" s="10" t="str">
        <f t="shared" si="19"/>
        <v>1_pre sample first tertile</v>
      </c>
      <c r="AF32" t="s">
        <v>82</v>
      </c>
      <c r="AG32" t="s">
        <v>75</v>
      </c>
      <c r="AH32" t="s">
        <v>78</v>
      </c>
      <c r="AI32" t="s">
        <v>123</v>
      </c>
      <c r="AJ32" t="s">
        <v>123</v>
      </c>
      <c r="AK32" t="str">
        <f>VLOOKUP(MID($AR32,1,255),country_lookup!$B:$F,2,FALSE)</f>
        <v>1_US</v>
      </c>
      <c r="AL32" t="str">
        <f>VLOOKUP(MID($AR32,1,255),country_lookup!$B:$F,3,FALSE)</f>
        <v>1_developed</v>
      </c>
      <c r="AM32" t="str">
        <f>VLOOKUP(MID($AR32,1,255),country_lookup!$B:$F,4,FALSE)</f>
        <v>1_western</v>
      </c>
      <c r="AN32" t="str">
        <f>VLOOKUP(MID($AR32,1,255),country_lookup!$B:$F,5,FALSE)</f>
        <v>1_common law</v>
      </c>
      <c r="AO32" s="10" t="str">
        <f>VLOOKUP(MID($AS32,1,255),source_lookup!$B:$K,4,FALSE)</f>
        <v>1_not published</v>
      </c>
      <c r="AP32" s="10" t="str">
        <f>VLOOKUP(MID($AS32,1,255),source_lookup!$B:$K,6,FALSE)</f>
        <v>99_NA</v>
      </c>
      <c r="AQ32" s="10" t="str">
        <f>VLOOKUP(MID($AS32,1,255),source_lookup!$B:$K,10,FALSE)</f>
        <v>1_fin/acc/econ</v>
      </c>
      <c r="AR32" t="s">
        <v>85</v>
      </c>
      <c r="AS32" t="s">
        <v>127</v>
      </c>
    </row>
    <row r="33" spans="1:45" x14ac:dyDescent="0.3">
      <c r="A33" t="s">
        <v>3</v>
      </c>
      <c r="B33">
        <v>32</v>
      </c>
      <c r="C33" s="1">
        <v>-2.3925088201495553E-2</v>
      </c>
      <c r="D33" s="2">
        <v>582</v>
      </c>
      <c r="E33" s="4">
        <v>6984</v>
      </c>
      <c r="F33" s="4" t="s">
        <v>346</v>
      </c>
      <c r="G33" s="4" t="s">
        <v>346</v>
      </c>
      <c r="H33" t="s">
        <v>77</v>
      </c>
      <c r="I33" t="s">
        <v>350</v>
      </c>
      <c r="J33" s="3">
        <v>1995</v>
      </c>
      <c r="K33" s="3">
        <v>2006</v>
      </c>
      <c r="L33" s="6">
        <f t="shared" si="11"/>
        <v>2000.5</v>
      </c>
      <c r="M33" s="6">
        <f t="shared" si="12"/>
        <v>2000.5</v>
      </c>
      <c r="N33" s="7">
        <f t="shared" si="0"/>
        <v>0</v>
      </c>
      <c r="O33" s="7">
        <f t="shared" si="1"/>
        <v>0</v>
      </c>
      <c r="P33" s="7">
        <f t="shared" si="2"/>
        <v>0</v>
      </c>
      <c r="Q33" s="7">
        <f t="shared" si="13"/>
        <v>0</v>
      </c>
      <c r="R33" s="10" t="str">
        <f t="shared" si="3"/>
        <v>0_Pre</v>
      </c>
      <c r="S33" s="10" t="str">
        <f t="shared" si="4"/>
        <v>0_Pre</v>
      </c>
      <c r="T33" s="10" t="str">
        <f t="shared" si="5"/>
        <v>0_Pre</v>
      </c>
      <c r="U33" s="10" t="str">
        <f t="shared" si="6"/>
        <v>0_Pre</v>
      </c>
      <c r="V33" s="10" t="str">
        <f t="shared" si="14"/>
        <v>0_Pre</v>
      </c>
      <c r="W33" s="10" t="str">
        <f t="shared" si="7"/>
        <v>clean_pre</v>
      </c>
      <c r="X33" s="10" t="str">
        <f t="shared" si="8"/>
        <v>0_Pre</v>
      </c>
      <c r="Y33" s="10" t="str">
        <f t="shared" si="9"/>
        <v>0_Pre</v>
      </c>
      <c r="Z33" s="10" t="str">
        <f t="shared" si="10"/>
        <v>0_Pre</v>
      </c>
      <c r="AA33" s="10" t="str">
        <f t="shared" si="15"/>
        <v>0_Pre</v>
      </c>
      <c r="AB33" s="10" t="str">
        <f t="shared" si="16"/>
        <v>0_Pre</v>
      </c>
      <c r="AC33" s="10" t="str">
        <f t="shared" si="17"/>
        <v>0_Pre</v>
      </c>
      <c r="AD33" s="10" t="str">
        <f t="shared" si="18"/>
        <v>1_pre sample median</v>
      </c>
      <c r="AE33" s="10" t="str">
        <f t="shared" si="19"/>
        <v>1_pre sample first tertile</v>
      </c>
      <c r="AF33" t="s">
        <v>82</v>
      </c>
      <c r="AG33" t="s">
        <v>75</v>
      </c>
      <c r="AH33" t="s">
        <v>78</v>
      </c>
      <c r="AI33" t="s">
        <v>123</v>
      </c>
      <c r="AJ33" t="s">
        <v>123</v>
      </c>
      <c r="AK33" t="str">
        <f>VLOOKUP(MID($AR33,1,255),country_lookup!$B:$F,2,FALSE)</f>
        <v>1_US</v>
      </c>
      <c r="AL33" t="str">
        <f>VLOOKUP(MID($AR33,1,255),country_lookup!$B:$F,3,FALSE)</f>
        <v>1_developed</v>
      </c>
      <c r="AM33" t="str">
        <f>VLOOKUP(MID($AR33,1,255),country_lookup!$B:$F,4,FALSE)</f>
        <v>1_western</v>
      </c>
      <c r="AN33" t="str">
        <f>VLOOKUP(MID($AR33,1,255),country_lookup!$B:$F,5,FALSE)</f>
        <v>1_common law</v>
      </c>
      <c r="AO33" s="10" t="str">
        <f>VLOOKUP(MID($AS33,1,255),source_lookup!$B:$K,4,FALSE)</f>
        <v>1_not published</v>
      </c>
      <c r="AP33" s="10" t="str">
        <f>VLOOKUP(MID($AS33,1,255),source_lookup!$B:$K,6,FALSE)</f>
        <v>99_NA</v>
      </c>
      <c r="AQ33" s="10" t="str">
        <f>VLOOKUP(MID($AS33,1,255),source_lookup!$B:$K,10,FALSE)</f>
        <v>1_fin/acc/econ</v>
      </c>
      <c r="AR33" t="s">
        <v>85</v>
      </c>
      <c r="AS33" t="s">
        <v>127</v>
      </c>
    </row>
    <row r="34" spans="1:45" x14ac:dyDescent="0.3">
      <c r="A34" t="s">
        <v>3</v>
      </c>
      <c r="B34">
        <v>33</v>
      </c>
      <c r="C34" s="1">
        <v>-5.1452986935021728E-3</v>
      </c>
      <c r="D34" s="2">
        <v>582</v>
      </c>
      <c r="E34" s="4">
        <v>6984</v>
      </c>
      <c r="F34" s="4" t="s">
        <v>346</v>
      </c>
      <c r="G34" s="4" t="s">
        <v>346</v>
      </c>
      <c r="H34" t="s">
        <v>77</v>
      </c>
      <c r="I34" t="s">
        <v>350</v>
      </c>
      <c r="J34" s="3">
        <v>1995</v>
      </c>
      <c r="K34" s="3">
        <v>2006</v>
      </c>
      <c r="L34" s="6">
        <f t="shared" si="11"/>
        <v>2000.5</v>
      </c>
      <c r="M34" s="6">
        <f t="shared" si="12"/>
        <v>2000.5</v>
      </c>
      <c r="N34" s="7">
        <f t="shared" si="0"/>
        <v>0</v>
      </c>
      <c r="O34" s="7">
        <f t="shared" si="1"/>
        <v>0</v>
      </c>
      <c r="P34" s="7">
        <f t="shared" si="2"/>
        <v>0</v>
      </c>
      <c r="Q34" s="7">
        <f t="shared" si="13"/>
        <v>0</v>
      </c>
      <c r="R34" s="10" t="str">
        <f t="shared" si="3"/>
        <v>0_Pre</v>
      </c>
      <c r="S34" s="10" t="str">
        <f t="shared" si="4"/>
        <v>0_Pre</v>
      </c>
      <c r="T34" s="10" t="str">
        <f t="shared" si="5"/>
        <v>0_Pre</v>
      </c>
      <c r="U34" s="10" t="str">
        <f t="shared" si="6"/>
        <v>0_Pre</v>
      </c>
      <c r="V34" s="10" t="str">
        <f t="shared" si="14"/>
        <v>0_Pre</v>
      </c>
      <c r="W34" s="10" t="str">
        <f t="shared" si="7"/>
        <v>clean_pre</v>
      </c>
      <c r="X34" s="10" t="str">
        <f t="shared" si="8"/>
        <v>0_Pre</v>
      </c>
      <c r="Y34" s="10" t="str">
        <f t="shared" si="9"/>
        <v>0_Pre</v>
      </c>
      <c r="Z34" s="10" t="str">
        <f t="shared" si="10"/>
        <v>0_Pre</v>
      </c>
      <c r="AA34" s="10" t="str">
        <f t="shared" si="15"/>
        <v>0_Pre</v>
      </c>
      <c r="AB34" s="10" t="str">
        <f t="shared" si="16"/>
        <v>0_Pre</v>
      </c>
      <c r="AC34" s="10" t="str">
        <f t="shared" si="17"/>
        <v>0_Pre</v>
      </c>
      <c r="AD34" s="10" t="str">
        <f t="shared" si="18"/>
        <v>1_pre sample median</v>
      </c>
      <c r="AE34" s="10" t="str">
        <f t="shared" si="19"/>
        <v>1_pre sample first tertile</v>
      </c>
      <c r="AF34" t="s">
        <v>82</v>
      </c>
      <c r="AG34" t="s">
        <v>75</v>
      </c>
      <c r="AH34" t="s">
        <v>78</v>
      </c>
      <c r="AI34" t="s">
        <v>123</v>
      </c>
      <c r="AJ34" t="s">
        <v>123</v>
      </c>
      <c r="AK34" t="str">
        <f>VLOOKUP(MID($AR34,1,255),country_lookup!$B:$F,2,FALSE)</f>
        <v>1_US</v>
      </c>
      <c r="AL34" t="str">
        <f>VLOOKUP(MID($AR34,1,255),country_lookup!$B:$F,3,FALSE)</f>
        <v>1_developed</v>
      </c>
      <c r="AM34" t="str">
        <f>VLOOKUP(MID($AR34,1,255),country_lookup!$B:$F,4,FALSE)</f>
        <v>1_western</v>
      </c>
      <c r="AN34" t="str">
        <f>VLOOKUP(MID($AR34,1,255),country_lookup!$B:$F,5,FALSE)</f>
        <v>1_common law</v>
      </c>
      <c r="AO34" s="10" t="str">
        <f>VLOOKUP(MID($AS34,1,255),source_lookup!$B:$K,4,FALSE)</f>
        <v>1_not published</v>
      </c>
      <c r="AP34" s="10" t="str">
        <f>VLOOKUP(MID($AS34,1,255),source_lookup!$B:$K,6,FALSE)</f>
        <v>99_NA</v>
      </c>
      <c r="AQ34" s="10" t="str">
        <f>VLOOKUP(MID($AS34,1,255),source_lookup!$B:$K,10,FALSE)</f>
        <v>1_fin/acc/econ</v>
      </c>
      <c r="AR34" t="s">
        <v>85</v>
      </c>
      <c r="AS34" t="s">
        <v>127</v>
      </c>
    </row>
    <row r="35" spans="1:45" x14ac:dyDescent="0.3">
      <c r="A35" t="s">
        <v>3</v>
      </c>
      <c r="B35">
        <v>34</v>
      </c>
      <c r="C35" s="1">
        <v>-2.5718324331463753E-2</v>
      </c>
      <c r="D35" s="2">
        <v>582</v>
      </c>
      <c r="E35" s="4">
        <v>6984</v>
      </c>
      <c r="F35" s="4" t="s">
        <v>346</v>
      </c>
      <c r="G35" s="4" t="s">
        <v>346</v>
      </c>
      <c r="H35" t="s">
        <v>77</v>
      </c>
      <c r="I35" t="s">
        <v>350</v>
      </c>
      <c r="J35" s="3">
        <v>1995</v>
      </c>
      <c r="K35" s="3">
        <v>2006</v>
      </c>
      <c r="L35" s="6">
        <f t="shared" si="11"/>
        <v>2000.5</v>
      </c>
      <c r="M35" s="6">
        <f t="shared" si="12"/>
        <v>2000.5</v>
      </c>
      <c r="N35" s="7">
        <f t="shared" si="0"/>
        <v>0</v>
      </c>
      <c r="O35" s="7">
        <f t="shared" si="1"/>
        <v>0</v>
      </c>
      <c r="P35" s="7">
        <f t="shared" si="2"/>
        <v>0</v>
      </c>
      <c r="Q35" s="7">
        <f t="shared" si="13"/>
        <v>0</v>
      </c>
      <c r="R35" s="10" t="str">
        <f t="shared" si="3"/>
        <v>0_Pre</v>
      </c>
      <c r="S35" s="10" t="str">
        <f t="shared" si="4"/>
        <v>0_Pre</v>
      </c>
      <c r="T35" s="10" t="str">
        <f t="shared" si="5"/>
        <v>0_Pre</v>
      </c>
      <c r="U35" s="10" t="str">
        <f t="shared" si="6"/>
        <v>0_Pre</v>
      </c>
      <c r="V35" s="10" t="str">
        <f t="shared" si="14"/>
        <v>0_Pre</v>
      </c>
      <c r="W35" s="10" t="str">
        <f t="shared" si="7"/>
        <v>clean_pre</v>
      </c>
      <c r="X35" s="10" t="str">
        <f t="shared" si="8"/>
        <v>0_Pre</v>
      </c>
      <c r="Y35" s="10" t="str">
        <f t="shared" si="9"/>
        <v>0_Pre</v>
      </c>
      <c r="Z35" s="10" t="str">
        <f t="shared" si="10"/>
        <v>0_Pre</v>
      </c>
      <c r="AA35" s="10" t="str">
        <f t="shared" si="15"/>
        <v>0_Pre</v>
      </c>
      <c r="AB35" s="10" t="str">
        <f t="shared" si="16"/>
        <v>0_Pre</v>
      </c>
      <c r="AC35" s="10" t="str">
        <f t="shared" si="17"/>
        <v>0_Pre</v>
      </c>
      <c r="AD35" s="10" t="str">
        <f t="shared" si="18"/>
        <v>1_pre sample median</v>
      </c>
      <c r="AE35" s="10" t="str">
        <f t="shared" si="19"/>
        <v>1_pre sample first tertile</v>
      </c>
      <c r="AF35" t="s">
        <v>82</v>
      </c>
      <c r="AG35" t="s">
        <v>75</v>
      </c>
      <c r="AH35" t="s">
        <v>78</v>
      </c>
      <c r="AI35" t="s">
        <v>123</v>
      </c>
      <c r="AJ35" t="s">
        <v>123</v>
      </c>
      <c r="AK35" t="str">
        <f>VLOOKUP(MID($AR35,1,255),country_lookup!$B:$F,2,FALSE)</f>
        <v>1_US</v>
      </c>
      <c r="AL35" t="str">
        <f>VLOOKUP(MID($AR35,1,255),country_lookup!$B:$F,3,FALSE)</f>
        <v>1_developed</v>
      </c>
      <c r="AM35" t="str">
        <f>VLOOKUP(MID($AR35,1,255),country_lookup!$B:$F,4,FALSE)</f>
        <v>1_western</v>
      </c>
      <c r="AN35" t="str">
        <f>VLOOKUP(MID($AR35,1,255),country_lookup!$B:$F,5,FALSE)</f>
        <v>1_common law</v>
      </c>
      <c r="AO35" s="10" t="str">
        <f>VLOOKUP(MID($AS35,1,255),source_lookup!$B:$K,4,FALSE)</f>
        <v>1_not published</v>
      </c>
      <c r="AP35" s="10" t="str">
        <f>VLOOKUP(MID($AS35,1,255),source_lookup!$B:$K,6,FALSE)</f>
        <v>99_NA</v>
      </c>
      <c r="AQ35" s="10" t="str">
        <f>VLOOKUP(MID($AS35,1,255),source_lookup!$B:$K,10,FALSE)</f>
        <v>1_fin/acc/econ</v>
      </c>
      <c r="AR35" t="s">
        <v>85</v>
      </c>
      <c r="AS35" t="s">
        <v>127</v>
      </c>
    </row>
    <row r="36" spans="1:45" x14ac:dyDescent="0.3">
      <c r="A36" t="s">
        <v>3</v>
      </c>
      <c r="B36">
        <v>35</v>
      </c>
      <c r="C36" s="1">
        <v>-2.9423539590885804E-2</v>
      </c>
      <c r="D36" s="2">
        <v>582</v>
      </c>
      <c r="E36" s="4">
        <v>6984</v>
      </c>
      <c r="F36" s="4" t="s">
        <v>346</v>
      </c>
      <c r="G36" s="4" t="s">
        <v>346</v>
      </c>
      <c r="H36" t="s">
        <v>77</v>
      </c>
      <c r="I36" t="s">
        <v>350</v>
      </c>
      <c r="J36" s="3">
        <v>1995</v>
      </c>
      <c r="K36" s="3">
        <v>2006</v>
      </c>
      <c r="L36" s="6">
        <f t="shared" si="11"/>
        <v>2000.5</v>
      </c>
      <c r="M36" s="6">
        <f t="shared" si="12"/>
        <v>2000.5</v>
      </c>
      <c r="N36" s="7">
        <f t="shared" si="0"/>
        <v>0</v>
      </c>
      <c r="O36" s="7">
        <f t="shared" si="1"/>
        <v>0</v>
      </c>
      <c r="P36" s="7">
        <f t="shared" si="2"/>
        <v>0</v>
      </c>
      <c r="Q36" s="7">
        <f t="shared" si="13"/>
        <v>0</v>
      </c>
      <c r="R36" s="10" t="str">
        <f t="shared" si="3"/>
        <v>0_Pre</v>
      </c>
      <c r="S36" s="10" t="str">
        <f t="shared" si="4"/>
        <v>0_Pre</v>
      </c>
      <c r="T36" s="10" t="str">
        <f t="shared" si="5"/>
        <v>0_Pre</v>
      </c>
      <c r="U36" s="10" t="str">
        <f t="shared" si="6"/>
        <v>0_Pre</v>
      </c>
      <c r="V36" s="10" t="str">
        <f t="shared" si="14"/>
        <v>0_Pre</v>
      </c>
      <c r="W36" s="10" t="str">
        <f t="shared" si="7"/>
        <v>clean_pre</v>
      </c>
      <c r="X36" s="10" t="str">
        <f t="shared" si="8"/>
        <v>0_Pre</v>
      </c>
      <c r="Y36" s="10" t="str">
        <f t="shared" si="9"/>
        <v>0_Pre</v>
      </c>
      <c r="Z36" s="10" t="str">
        <f t="shared" si="10"/>
        <v>0_Pre</v>
      </c>
      <c r="AA36" s="10" t="str">
        <f t="shared" si="15"/>
        <v>0_Pre</v>
      </c>
      <c r="AB36" s="10" t="str">
        <f t="shared" si="16"/>
        <v>0_Pre</v>
      </c>
      <c r="AC36" s="10" t="str">
        <f t="shared" si="17"/>
        <v>0_Pre</v>
      </c>
      <c r="AD36" s="10" t="str">
        <f t="shared" si="18"/>
        <v>1_pre sample median</v>
      </c>
      <c r="AE36" s="10" t="str">
        <f t="shared" si="19"/>
        <v>1_pre sample first tertile</v>
      </c>
      <c r="AF36" t="s">
        <v>82</v>
      </c>
      <c r="AG36" t="s">
        <v>75</v>
      </c>
      <c r="AH36" t="s">
        <v>78</v>
      </c>
      <c r="AI36" t="s">
        <v>123</v>
      </c>
      <c r="AJ36" t="s">
        <v>123</v>
      </c>
      <c r="AK36" t="str">
        <f>VLOOKUP(MID($AR36,1,255),country_lookup!$B:$F,2,FALSE)</f>
        <v>1_US</v>
      </c>
      <c r="AL36" t="str">
        <f>VLOOKUP(MID($AR36,1,255),country_lookup!$B:$F,3,FALSE)</f>
        <v>1_developed</v>
      </c>
      <c r="AM36" t="str">
        <f>VLOOKUP(MID($AR36,1,255),country_lookup!$B:$F,4,FALSE)</f>
        <v>1_western</v>
      </c>
      <c r="AN36" t="str">
        <f>VLOOKUP(MID($AR36,1,255),country_lookup!$B:$F,5,FALSE)</f>
        <v>1_common law</v>
      </c>
      <c r="AO36" s="10" t="str">
        <f>VLOOKUP(MID($AS36,1,255),source_lookup!$B:$K,4,FALSE)</f>
        <v>1_not published</v>
      </c>
      <c r="AP36" s="10" t="str">
        <f>VLOOKUP(MID($AS36,1,255),source_lookup!$B:$K,6,FALSE)</f>
        <v>99_NA</v>
      </c>
      <c r="AQ36" s="10" t="str">
        <f>VLOOKUP(MID($AS36,1,255),source_lookup!$B:$K,10,FALSE)</f>
        <v>1_fin/acc/econ</v>
      </c>
      <c r="AR36" t="s">
        <v>85</v>
      </c>
      <c r="AS36" t="s">
        <v>127</v>
      </c>
    </row>
    <row r="37" spans="1:45" x14ac:dyDescent="0.3">
      <c r="A37" t="s">
        <v>3</v>
      </c>
      <c r="B37">
        <v>36</v>
      </c>
      <c r="C37" s="1">
        <v>-2.6435550243792429E-2</v>
      </c>
      <c r="D37" s="2">
        <v>582</v>
      </c>
      <c r="E37" s="4">
        <v>6984</v>
      </c>
      <c r="F37" s="4" t="s">
        <v>346</v>
      </c>
      <c r="G37" s="4" t="s">
        <v>346</v>
      </c>
      <c r="H37" t="s">
        <v>77</v>
      </c>
      <c r="I37" t="s">
        <v>350</v>
      </c>
      <c r="J37" s="3">
        <v>1995</v>
      </c>
      <c r="K37" s="3">
        <v>2006</v>
      </c>
      <c r="L37" s="6">
        <f t="shared" si="11"/>
        <v>2000.5</v>
      </c>
      <c r="M37" s="6">
        <f t="shared" si="12"/>
        <v>2000.5</v>
      </c>
      <c r="N37" s="7">
        <f t="shared" si="0"/>
        <v>0</v>
      </c>
      <c r="O37" s="7">
        <f t="shared" si="1"/>
        <v>0</v>
      </c>
      <c r="P37" s="7">
        <f t="shared" si="2"/>
        <v>0</v>
      </c>
      <c r="Q37" s="7">
        <f t="shared" si="13"/>
        <v>0</v>
      </c>
      <c r="R37" s="10" t="str">
        <f t="shared" si="3"/>
        <v>0_Pre</v>
      </c>
      <c r="S37" s="10" t="str">
        <f t="shared" si="4"/>
        <v>0_Pre</v>
      </c>
      <c r="T37" s="10" t="str">
        <f t="shared" si="5"/>
        <v>0_Pre</v>
      </c>
      <c r="U37" s="10" t="str">
        <f t="shared" si="6"/>
        <v>0_Pre</v>
      </c>
      <c r="V37" s="10" t="str">
        <f t="shared" si="14"/>
        <v>0_Pre</v>
      </c>
      <c r="W37" s="10" t="str">
        <f t="shared" si="7"/>
        <v>clean_pre</v>
      </c>
      <c r="X37" s="10" t="str">
        <f t="shared" si="8"/>
        <v>0_Pre</v>
      </c>
      <c r="Y37" s="10" t="str">
        <f t="shared" si="9"/>
        <v>0_Pre</v>
      </c>
      <c r="Z37" s="10" t="str">
        <f t="shared" si="10"/>
        <v>0_Pre</v>
      </c>
      <c r="AA37" s="10" t="str">
        <f t="shared" si="15"/>
        <v>0_Pre</v>
      </c>
      <c r="AB37" s="10" t="str">
        <f t="shared" si="16"/>
        <v>0_Pre</v>
      </c>
      <c r="AC37" s="10" t="str">
        <f t="shared" si="17"/>
        <v>0_Pre</v>
      </c>
      <c r="AD37" s="10" t="str">
        <f t="shared" si="18"/>
        <v>1_pre sample median</v>
      </c>
      <c r="AE37" s="10" t="str">
        <f t="shared" si="19"/>
        <v>1_pre sample first tertile</v>
      </c>
      <c r="AF37" t="s">
        <v>82</v>
      </c>
      <c r="AG37" t="s">
        <v>75</v>
      </c>
      <c r="AH37" t="s">
        <v>78</v>
      </c>
      <c r="AI37" t="s">
        <v>123</v>
      </c>
      <c r="AJ37" t="s">
        <v>123</v>
      </c>
      <c r="AK37" t="str">
        <f>VLOOKUP(MID($AR37,1,255),country_lookup!$B:$F,2,FALSE)</f>
        <v>1_US</v>
      </c>
      <c r="AL37" t="str">
        <f>VLOOKUP(MID($AR37,1,255),country_lookup!$B:$F,3,FALSE)</f>
        <v>1_developed</v>
      </c>
      <c r="AM37" t="str">
        <f>VLOOKUP(MID($AR37,1,255),country_lookup!$B:$F,4,FALSE)</f>
        <v>1_western</v>
      </c>
      <c r="AN37" t="str">
        <f>VLOOKUP(MID($AR37,1,255),country_lookup!$B:$F,5,FALSE)</f>
        <v>1_common law</v>
      </c>
      <c r="AO37" s="10" t="str">
        <f>VLOOKUP(MID($AS37,1,255),source_lookup!$B:$K,4,FALSE)</f>
        <v>1_not published</v>
      </c>
      <c r="AP37" s="10" t="str">
        <f>VLOOKUP(MID($AS37,1,255),source_lookup!$B:$K,6,FALSE)</f>
        <v>99_NA</v>
      </c>
      <c r="AQ37" s="10" t="str">
        <f>VLOOKUP(MID($AS37,1,255),source_lookup!$B:$K,10,FALSE)</f>
        <v>1_fin/acc/econ</v>
      </c>
      <c r="AR37" t="s">
        <v>85</v>
      </c>
      <c r="AS37" t="s">
        <v>127</v>
      </c>
    </row>
    <row r="38" spans="1:45" x14ac:dyDescent="0.3">
      <c r="A38" t="s">
        <v>3</v>
      </c>
      <c r="B38">
        <v>37</v>
      </c>
      <c r="C38" s="1">
        <v>-3.4202649165964674E-2</v>
      </c>
      <c r="D38" s="2">
        <v>582</v>
      </c>
      <c r="E38" s="4">
        <v>6984</v>
      </c>
      <c r="F38" s="4" t="s">
        <v>346</v>
      </c>
      <c r="G38" s="4" t="s">
        <v>346</v>
      </c>
      <c r="H38" t="s">
        <v>77</v>
      </c>
      <c r="I38" t="s">
        <v>350</v>
      </c>
      <c r="J38" s="3">
        <v>1995</v>
      </c>
      <c r="K38" s="3">
        <v>2006</v>
      </c>
      <c r="L38" s="6">
        <f t="shared" si="11"/>
        <v>2000.5</v>
      </c>
      <c r="M38" s="6">
        <f t="shared" si="12"/>
        <v>2000.5</v>
      </c>
      <c r="N38" s="7">
        <f t="shared" si="0"/>
        <v>0</v>
      </c>
      <c r="O38" s="7">
        <f t="shared" si="1"/>
        <v>0</v>
      </c>
      <c r="P38" s="7">
        <f t="shared" si="2"/>
        <v>0</v>
      </c>
      <c r="Q38" s="7">
        <f t="shared" si="13"/>
        <v>0</v>
      </c>
      <c r="R38" s="10" t="str">
        <f t="shared" si="3"/>
        <v>0_Pre</v>
      </c>
      <c r="S38" s="10" t="str">
        <f t="shared" si="4"/>
        <v>0_Pre</v>
      </c>
      <c r="T38" s="10" t="str">
        <f t="shared" si="5"/>
        <v>0_Pre</v>
      </c>
      <c r="U38" s="10" t="str">
        <f t="shared" si="6"/>
        <v>0_Pre</v>
      </c>
      <c r="V38" s="10" t="str">
        <f t="shared" si="14"/>
        <v>0_Pre</v>
      </c>
      <c r="W38" s="10" t="str">
        <f t="shared" si="7"/>
        <v>clean_pre</v>
      </c>
      <c r="X38" s="10" t="str">
        <f t="shared" si="8"/>
        <v>0_Pre</v>
      </c>
      <c r="Y38" s="10" t="str">
        <f t="shared" si="9"/>
        <v>0_Pre</v>
      </c>
      <c r="Z38" s="10" t="str">
        <f t="shared" si="10"/>
        <v>0_Pre</v>
      </c>
      <c r="AA38" s="10" t="str">
        <f t="shared" si="15"/>
        <v>0_Pre</v>
      </c>
      <c r="AB38" s="10" t="str">
        <f t="shared" si="16"/>
        <v>0_Pre</v>
      </c>
      <c r="AC38" s="10" t="str">
        <f t="shared" si="17"/>
        <v>0_Pre</v>
      </c>
      <c r="AD38" s="10" t="str">
        <f t="shared" si="18"/>
        <v>1_pre sample median</v>
      </c>
      <c r="AE38" s="10" t="str">
        <f t="shared" si="19"/>
        <v>1_pre sample first tertile</v>
      </c>
      <c r="AF38" t="s">
        <v>82</v>
      </c>
      <c r="AG38" t="s">
        <v>75</v>
      </c>
      <c r="AH38" t="s">
        <v>78</v>
      </c>
      <c r="AI38" t="s">
        <v>123</v>
      </c>
      <c r="AJ38" t="s">
        <v>123</v>
      </c>
      <c r="AK38" t="str">
        <f>VLOOKUP(MID($AR38,1,255),country_lookup!$B:$F,2,FALSE)</f>
        <v>1_US</v>
      </c>
      <c r="AL38" t="str">
        <f>VLOOKUP(MID($AR38,1,255),country_lookup!$B:$F,3,FALSE)</f>
        <v>1_developed</v>
      </c>
      <c r="AM38" t="str">
        <f>VLOOKUP(MID($AR38,1,255),country_lookup!$B:$F,4,FALSE)</f>
        <v>1_western</v>
      </c>
      <c r="AN38" t="str">
        <f>VLOOKUP(MID($AR38,1,255),country_lookup!$B:$F,5,FALSE)</f>
        <v>1_common law</v>
      </c>
      <c r="AO38" s="10" t="str">
        <f>VLOOKUP(MID($AS38,1,255),source_lookup!$B:$K,4,FALSE)</f>
        <v>1_not published</v>
      </c>
      <c r="AP38" s="10" t="str">
        <f>VLOOKUP(MID($AS38,1,255),source_lookup!$B:$K,6,FALSE)</f>
        <v>99_NA</v>
      </c>
      <c r="AQ38" s="10" t="str">
        <f>VLOOKUP(MID($AS38,1,255),source_lookup!$B:$K,10,FALSE)</f>
        <v>1_fin/acc/econ</v>
      </c>
      <c r="AR38" t="s">
        <v>85</v>
      </c>
      <c r="AS38" t="s">
        <v>127</v>
      </c>
    </row>
    <row r="39" spans="1:45" x14ac:dyDescent="0.3">
      <c r="A39" t="s">
        <v>3</v>
      </c>
      <c r="B39">
        <v>38</v>
      </c>
      <c r="C39" s="1">
        <v>-4.8405367043744887E-2</v>
      </c>
      <c r="D39" s="2">
        <v>582</v>
      </c>
      <c r="E39" s="4">
        <v>6984</v>
      </c>
      <c r="F39" s="4" t="s">
        <v>346</v>
      </c>
      <c r="G39" s="4" t="s">
        <v>346</v>
      </c>
      <c r="H39" t="s">
        <v>77</v>
      </c>
      <c r="I39" t="s">
        <v>350</v>
      </c>
      <c r="J39" s="3">
        <v>1995</v>
      </c>
      <c r="K39" s="3">
        <v>2006</v>
      </c>
      <c r="L39" s="6">
        <f t="shared" si="11"/>
        <v>2000.5</v>
      </c>
      <c r="M39" s="6">
        <f t="shared" si="12"/>
        <v>2000.5</v>
      </c>
      <c r="N39" s="7">
        <f t="shared" si="0"/>
        <v>0</v>
      </c>
      <c r="O39" s="7">
        <f t="shared" si="1"/>
        <v>0</v>
      </c>
      <c r="P39" s="7">
        <f t="shared" si="2"/>
        <v>0</v>
      </c>
      <c r="Q39" s="7">
        <f t="shared" si="13"/>
        <v>0</v>
      </c>
      <c r="R39" s="10" t="str">
        <f t="shared" si="3"/>
        <v>0_Pre</v>
      </c>
      <c r="S39" s="10" t="str">
        <f t="shared" si="4"/>
        <v>0_Pre</v>
      </c>
      <c r="T39" s="10" t="str">
        <f t="shared" si="5"/>
        <v>0_Pre</v>
      </c>
      <c r="U39" s="10" t="str">
        <f t="shared" si="6"/>
        <v>0_Pre</v>
      </c>
      <c r="V39" s="10" t="str">
        <f t="shared" si="14"/>
        <v>0_Pre</v>
      </c>
      <c r="W39" s="10" t="str">
        <f t="shared" si="7"/>
        <v>clean_pre</v>
      </c>
      <c r="X39" s="10" t="str">
        <f t="shared" si="8"/>
        <v>0_Pre</v>
      </c>
      <c r="Y39" s="10" t="str">
        <f t="shared" si="9"/>
        <v>0_Pre</v>
      </c>
      <c r="Z39" s="10" t="str">
        <f t="shared" si="10"/>
        <v>0_Pre</v>
      </c>
      <c r="AA39" s="10" t="str">
        <f t="shared" si="15"/>
        <v>0_Pre</v>
      </c>
      <c r="AB39" s="10" t="str">
        <f t="shared" si="16"/>
        <v>0_Pre</v>
      </c>
      <c r="AC39" s="10" t="str">
        <f t="shared" si="17"/>
        <v>0_Pre</v>
      </c>
      <c r="AD39" s="10" t="str">
        <f t="shared" si="18"/>
        <v>1_pre sample median</v>
      </c>
      <c r="AE39" s="10" t="str">
        <f t="shared" si="19"/>
        <v>1_pre sample first tertile</v>
      </c>
      <c r="AF39" t="s">
        <v>82</v>
      </c>
      <c r="AG39" t="s">
        <v>75</v>
      </c>
      <c r="AH39" t="s">
        <v>78</v>
      </c>
      <c r="AI39" t="s">
        <v>123</v>
      </c>
      <c r="AJ39" t="s">
        <v>123</v>
      </c>
      <c r="AK39" t="str">
        <f>VLOOKUP(MID($AR39,1,255),country_lookup!$B:$F,2,FALSE)</f>
        <v>1_US</v>
      </c>
      <c r="AL39" t="str">
        <f>VLOOKUP(MID($AR39,1,255),country_lookup!$B:$F,3,FALSE)</f>
        <v>1_developed</v>
      </c>
      <c r="AM39" t="str">
        <f>VLOOKUP(MID($AR39,1,255),country_lookup!$B:$F,4,FALSE)</f>
        <v>1_western</v>
      </c>
      <c r="AN39" t="str">
        <f>VLOOKUP(MID($AR39,1,255),country_lookup!$B:$F,5,FALSE)</f>
        <v>1_common law</v>
      </c>
      <c r="AO39" s="10" t="str">
        <f>VLOOKUP(MID($AS39,1,255),source_lookup!$B:$K,4,FALSE)</f>
        <v>1_not published</v>
      </c>
      <c r="AP39" s="10" t="str">
        <f>VLOOKUP(MID($AS39,1,255),source_lookup!$B:$K,6,FALSE)</f>
        <v>99_NA</v>
      </c>
      <c r="AQ39" s="10" t="str">
        <f>VLOOKUP(MID($AS39,1,255),source_lookup!$B:$K,10,FALSE)</f>
        <v>1_fin/acc/econ</v>
      </c>
      <c r="AR39" t="s">
        <v>85</v>
      </c>
      <c r="AS39" t="s">
        <v>127</v>
      </c>
    </row>
    <row r="40" spans="1:45" x14ac:dyDescent="0.3">
      <c r="A40" t="s">
        <v>3</v>
      </c>
      <c r="B40">
        <v>39</v>
      </c>
      <c r="C40" s="1">
        <v>-1.7948925052894168E-3</v>
      </c>
      <c r="D40" s="2">
        <v>582</v>
      </c>
      <c r="E40" s="4">
        <v>6984</v>
      </c>
      <c r="F40" s="4" t="s">
        <v>346</v>
      </c>
      <c r="G40" s="4" t="s">
        <v>346</v>
      </c>
      <c r="H40" t="s">
        <v>77</v>
      </c>
      <c r="I40" t="s">
        <v>350</v>
      </c>
      <c r="J40" s="3">
        <v>1995</v>
      </c>
      <c r="K40" s="3">
        <v>2006</v>
      </c>
      <c r="L40" s="6">
        <f t="shared" si="11"/>
        <v>2000.5</v>
      </c>
      <c r="M40" s="6">
        <f t="shared" si="12"/>
        <v>2000.5</v>
      </c>
      <c r="N40" s="7">
        <f t="shared" si="0"/>
        <v>0</v>
      </c>
      <c r="O40" s="7">
        <f t="shared" si="1"/>
        <v>0</v>
      </c>
      <c r="P40" s="7">
        <f t="shared" si="2"/>
        <v>0</v>
      </c>
      <c r="Q40" s="7">
        <f t="shared" si="13"/>
        <v>0</v>
      </c>
      <c r="R40" s="10" t="str">
        <f t="shared" si="3"/>
        <v>0_Pre</v>
      </c>
      <c r="S40" s="10" t="str">
        <f t="shared" si="4"/>
        <v>0_Pre</v>
      </c>
      <c r="T40" s="10" t="str">
        <f t="shared" si="5"/>
        <v>0_Pre</v>
      </c>
      <c r="U40" s="10" t="str">
        <f t="shared" si="6"/>
        <v>0_Pre</v>
      </c>
      <c r="V40" s="10" t="str">
        <f t="shared" si="14"/>
        <v>0_Pre</v>
      </c>
      <c r="W40" s="10" t="str">
        <f t="shared" si="7"/>
        <v>clean_pre</v>
      </c>
      <c r="X40" s="10" t="str">
        <f t="shared" si="8"/>
        <v>0_Pre</v>
      </c>
      <c r="Y40" s="10" t="str">
        <f t="shared" si="9"/>
        <v>0_Pre</v>
      </c>
      <c r="Z40" s="10" t="str">
        <f t="shared" si="10"/>
        <v>0_Pre</v>
      </c>
      <c r="AA40" s="10" t="str">
        <f t="shared" si="15"/>
        <v>0_Pre</v>
      </c>
      <c r="AB40" s="10" t="str">
        <f t="shared" si="16"/>
        <v>0_Pre</v>
      </c>
      <c r="AC40" s="10" t="str">
        <f t="shared" si="17"/>
        <v>0_Pre</v>
      </c>
      <c r="AD40" s="10" t="str">
        <f t="shared" si="18"/>
        <v>1_pre sample median</v>
      </c>
      <c r="AE40" s="10" t="str">
        <f t="shared" si="19"/>
        <v>1_pre sample first tertile</v>
      </c>
      <c r="AF40" t="s">
        <v>67</v>
      </c>
      <c r="AG40" t="s">
        <v>75</v>
      </c>
      <c r="AH40" t="s">
        <v>78</v>
      </c>
      <c r="AI40" t="s">
        <v>123</v>
      </c>
      <c r="AJ40" t="s">
        <v>123</v>
      </c>
      <c r="AK40" t="str">
        <f>VLOOKUP(MID($AR40,1,255),country_lookup!$B:$F,2,FALSE)</f>
        <v>1_US</v>
      </c>
      <c r="AL40" t="str">
        <f>VLOOKUP(MID($AR40,1,255),country_lookup!$B:$F,3,FALSE)</f>
        <v>1_developed</v>
      </c>
      <c r="AM40" t="str">
        <f>VLOOKUP(MID($AR40,1,255),country_lookup!$B:$F,4,FALSE)</f>
        <v>1_western</v>
      </c>
      <c r="AN40" t="str">
        <f>VLOOKUP(MID($AR40,1,255),country_lookup!$B:$F,5,FALSE)</f>
        <v>1_common law</v>
      </c>
      <c r="AO40" s="10" t="str">
        <f>VLOOKUP(MID($AS40,1,255),source_lookup!$B:$K,4,FALSE)</f>
        <v>1_not published</v>
      </c>
      <c r="AP40" s="10" t="str">
        <f>VLOOKUP(MID($AS40,1,255),source_lookup!$B:$K,6,FALSE)</f>
        <v>99_NA</v>
      </c>
      <c r="AQ40" s="10" t="str">
        <f>VLOOKUP(MID($AS40,1,255),source_lookup!$B:$K,10,FALSE)</f>
        <v>1_fin/acc/econ</v>
      </c>
      <c r="AR40" t="s">
        <v>85</v>
      </c>
      <c r="AS40" t="s">
        <v>127</v>
      </c>
    </row>
    <row r="41" spans="1:45" x14ac:dyDescent="0.3">
      <c r="A41" t="s">
        <v>3</v>
      </c>
      <c r="B41">
        <v>40</v>
      </c>
      <c r="C41" s="1">
        <v>-8.136589779852604E-3</v>
      </c>
      <c r="D41" s="2">
        <v>582</v>
      </c>
      <c r="E41" s="4">
        <v>6984</v>
      </c>
      <c r="F41" s="4" t="s">
        <v>346</v>
      </c>
      <c r="G41" s="4" t="s">
        <v>346</v>
      </c>
      <c r="H41" t="s">
        <v>77</v>
      </c>
      <c r="I41" t="s">
        <v>350</v>
      </c>
      <c r="J41" s="3">
        <v>1995</v>
      </c>
      <c r="K41" s="3">
        <v>2006</v>
      </c>
      <c r="L41" s="6">
        <f t="shared" si="11"/>
        <v>2000.5</v>
      </c>
      <c r="M41" s="6">
        <f t="shared" si="12"/>
        <v>2000.5</v>
      </c>
      <c r="N41" s="7">
        <f t="shared" si="0"/>
        <v>0</v>
      </c>
      <c r="O41" s="7">
        <f t="shared" si="1"/>
        <v>0</v>
      </c>
      <c r="P41" s="7">
        <f t="shared" si="2"/>
        <v>0</v>
      </c>
      <c r="Q41" s="7">
        <f t="shared" si="13"/>
        <v>0</v>
      </c>
      <c r="R41" s="10" t="str">
        <f t="shared" si="3"/>
        <v>0_Pre</v>
      </c>
      <c r="S41" s="10" t="str">
        <f t="shared" si="4"/>
        <v>0_Pre</v>
      </c>
      <c r="T41" s="10" t="str">
        <f t="shared" si="5"/>
        <v>0_Pre</v>
      </c>
      <c r="U41" s="10" t="str">
        <f t="shared" si="6"/>
        <v>0_Pre</v>
      </c>
      <c r="V41" s="10" t="str">
        <f t="shared" si="14"/>
        <v>0_Pre</v>
      </c>
      <c r="W41" s="10" t="str">
        <f t="shared" si="7"/>
        <v>clean_pre</v>
      </c>
      <c r="X41" s="10" t="str">
        <f t="shared" si="8"/>
        <v>0_Pre</v>
      </c>
      <c r="Y41" s="10" t="str">
        <f t="shared" si="9"/>
        <v>0_Pre</v>
      </c>
      <c r="Z41" s="10" t="str">
        <f t="shared" si="10"/>
        <v>0_Pre</v>
      </c>
      <c r="AA41" s="10" t="str">
        <f t="shared" si="15"/>
        <v>0_Pre</v>
      </c>
      <c r="AB41" s="10" t="str">
        <f t="shared" si="16"/>
        <v>0_Pre</v>
      </c>
      <c r="AC41" s="10" t="str">
        <f t="shared" si="17"/>
        <v>0_Pre</v>
      </c>
      <c r="AD41" s="10" t="str">
        <f t="shared" si="18"/>
        <v>1_pre sample median</v>
      </c>
      <c r="AE41" s="10" t="str">
        <f t="shared" si="19"/>
        <v>1_pre sample first tertile</v>
      </c>
      <c r="AF41" t="s">
        <v>67</v>
      </c>
      <c r="AG41" t="s">
        <v>75</v>
      </c>
      <c r="AH41" t="s">
        <v>78</v>
      </c>
      <c r="AI41" t="s">
        <v>123</v>
      </c>
      <c r="AJ41" t="s">
        <v>123</v>
      </c>
      <c r="AK41" t="str">
        <f>VLOOKUP(MID($AR41,1,255),country_lookup!$B:$F,2,FALSE)</f>
        <v>1_US</v>
      </c>
      <c r="AL41" t="str">
        <f>VLOOKUP(MID($AR41,1,255),country_lookup!$B:$F,3,FALSE)</f>
        <v>1_developed</v>
      </c>
      <c r="AM41" t="str">
        <f>VLOOKUP(MID($AR41,1,255),country_lookup!$B:$F,4,FALSE)</f>
        <v>1_western</v>
      </c>
      <c r="AN41" t="str">
        <f>VLOOKUP(MID($AR41,1,255),country_lookup!$B:$F,5,FALSE)</f>
        <v>1_common law</v>
      </c>
      <c r="AO41" s="10" t="str">
        <f>VLOOKUP(MID($AS41,1,255),source_lookup!$B:$K,4,FALSE)</f>
        <v>1_not published</v>
      </c>
      <c r="AP41" s="10" t="str">
        <f>VLOOKUP(MID($AS41,1,255),source_lookup!$B:$K,6,FALSE)</f>
        <v>99_NA</v>
      </c>
      <c r="AQ41" s="10" t="str">
        <f>VLOOKUP(MID($AS41,1,255),source_lookup!$B:$K,10,FALSE)</f>
        <v>1_fin/acc/econ</v>
      </c>
      <c r="AR41" t="s">
        <v>85</v>
      </c>
      <c r="AS41" t="s">
        <v>127</v>
      </c>
    </row>
    <row r="42" spans="1:45" x14ac:dyDescent="0.3">
      <c r="A42" t="s">
        <v>3</v>
      </c>
      <c r="B42">
        <v>41</v>
      </c>
      <c r="C42" s="1">
        <v>4.7863871758494224E-4</v>
      </c>
      <c r="D42" s="2">
        <v>582</v>
      </c>
      <c r="E42" s="4">
        <v>6984</v>
      </c>
      <c r="F42" s="4" t="s">
        <v>346</v>
      </c>
      <c r="G42" s="4" t="s">
        <v>346</v>
      </c>
      <c r="H42" t="s">
        <v>77</v>
      </c>
      <c r="I42" t="s">
        <v>350</v>
      </c>
      <c r="J42" s="3">
        <v>1995</v>
      </c>
      <c r="K42" s="3">
        <v>2006</v>
      </c>
      <c r="L42" s="6">
        <f t="shared" si="11"/>
        <v>2000.5</v>
      </c>
      <c r="M42" s="6">
        <f t="shared" si="12"/>
        <v>2000.5</v>
      </c>
      <c r="N42" s="7">
        <f t="shared" si="0"/>
        <v>0</v>
      </c>
      <c r="O42" s="7">
        <f t="shared" si="1"/>
        <v>0</v>
      </c>
      <c r="P42" s="7">
        <f t="shared" si="2"/>
        <v>0</v>
      </c>
      <c r="Q42" s="7">
        <f t="shared" si="13"/>
        <v>0</v>
      </c>
      <c r="R42" s="10" t="str">
        <f t="shared" si="3"/>
        <v>0_Pre</v>
      </c>
      <c r="S42" s="10" t="str">
        <f t="shared" si="4"/>
        <v>0_Pre</v>
      </c>
      <c r="T42" s="10" t="str">
        <f t="shared" si="5"/>
        <v>0_Pre</v>
      </c>
      <c r="U42" s="10" t="str">
        <f t="shared" si="6"/>
        <v>0_Pre</v>
      </c>
      <c r="V42" s="10" t="str">
        <f t="shared" si="14"/>
        <v>0_Pre</v>
      </c>
      <c r="W42" s="10" t="str">
        <f t="shared" si="7"/>
        <v>clean_pre</v>
      </c>
      <c r="X42" s="10" t="str">
        <f t="shared" si="8"/>
        <v>0_Pre</v>
      </c>
      <c r="Y42" s="10" t="str">
        <f t="shared" si="9"/>
        <v>0_Pre</v>
      </c>
      <c r="Z42" s="10" t="str">
        <f t="shared" si="10"/>
        <v>0_Pre</v>
      </c>
      <c r="AA42" s="10" t="str">
        <f t="shared" si="15"/>
        <v>0_Pre</v>
      </c>
      <c r="AB42" s="10" t="str">
        <f t="shared" si="16"/>
        <v>0_Pre</v>
      </c>
      <c r="AC42" s="10" t="str">
        <f t="shared" si="17"/>
        <v>0_Pre</v>
      </c>
      <c r="AD42" s="10" t="str">
        <f t="shared" si="18"/>
        <v>1_pre sample median</v>
      </c>
      <c r="AE42" s="10" t="str">
        <f t="shared" si="19"/>
        <v>1_pre sample first tertile</v>
      </c>
      <c r="AF42" t="s">
        <v>67</v>
      </c>
      <c r="AG42" t="s">
        <v>75</v>
      </c>
      <c r="AH42" t="s">
        <v>78</v>
      </c>
      <c r="AI42" t="s">
        <v>123</v>
      </c>
      <c r="AJ42" t="s">
        <v>123</v>
      </c>
      <c r="AK42" t="str">
        <f>VLOOKUP(MID($AR42,1,255),country_lookup!$B:$F,2,FALSE)</f>
        <v>1_US</v>
      </c>
      <c r="AL42" t="str">
        <f>VLOOKUP(MID($AR42,1,255),country_lookup!$B:$F,3,FALSE)</f>
        <v>1_developed</v>
      </c>
      <c r="AM42" t="str">
        <f>VLOOKUP(MID($AR42,1,255),country_lookup!$B:$F,4,FALSE)</f>
        <v>1_western</v>
      </c>
      <c r="AN42" t="str">
        <f>VLOOKUP(MID($AR42,1,255),country_lookup!$B:$F,5,FALSE)</f>
        <v>1_common law</v>
      </c>
      <c r="AO42" s="10" t="str">
        <f>VLOOKUP(MID($AS42,1,255),source_lookup!$B:$K,4,FALSE)</f>
        <v>1_not published</v>
      </c>
      <c r="AP42" s="10" t="str">
        <f>VLOOKUP(MID($AS42,1,255),source_lookup!$B:$K,6,FALSE)</f>
        <v>99_NA</v>
      </c>
      <c r="AQ42" s="10" t="str">
        <f>VLOOKUP(MID($AS42,1,255),source_lookup!$B:$K,10,FALSE)</f>
        <v>1_fin/acc/econ</v>
      </c>
      <c r="AR42" t="s">
        <v>85</v>
      </c>
      <c r="AS42" t="s">
        <v>127</v>
      </c>
    </row>
    <row r="43" spans="1:45" x14ac:dyDescent="0.3">
      <c r="A43" t="s">
        <v>3</v>
      </c>
      <c r="B43">
        <v>42</v>
      </c>
      <c r="C43" s="1">
        <v>-2.4881510645536852E-2</v>
      </c>
      <c r="D43" s="2">
        <v>582</v>
      </c>
      <c r="E43" s="4">
        <v>6984</v>
      </c>
      <c r="F43" s="4" t="s">
        <v>346</v>
      </c>
      <c r="G43" s="4" t="s">
        <v>346</v>
      </c>
      <c r="H43" t="s">
        <v>77</v>
      </c>
      <c r="I43" t="s">
        <v>350</v>
      </c>
      <c r="J43" s="3">
        <v>1995</v>
      </c>
      <c r="K43" s="3">
        <v>2006</v>
      </c>
      <c r="L43" s="6">
        <f t="shared" si="11"/>
        <v>2000.5</v>
      </c>
      <c r="M43" s="6">
        <f t="shared" si="12"/>
        <v>2000.5</v>
      </c>
      <c r="N43" s="7">
        <f t="shared" si="0"/>
        <v>0</v>
      </c>
      <c r="O43" s="7">
        <f t="shared" si="1"/>
        <v>0</v>
      </c>
      <c r="P43" s="7">
        <f t="shared" si="2"/>
        <v>0</v>
      </c>
      <c r="Q43" s="7">
        <f t="shared" si="13"/>
        <v>0</v>
      </c>
      <c r="R43" s="10" t="str">
        <f t="shared" si="3"/>
        <v>0_Pre</v>
      </c>
      <c r="S43" s="10" t="str">
        <f t="shared" si="4"/>
        <v>0_Pre</v>
      </c>
      <c r="T43" s="10" t="str">
        <f t="shared" si="5"/>
        <v>0_Pre</v>
      </c>
      <c r="U43" s="10" t="str">
        <f t="shared" si="6"/>
        <v>0_Pre</v>
      </c>
      <c r="V43" s="10" t="str">
        <f t="shared" si="14"/>
        <v>0_Pre</v>
      </c>
      <c r="W43" s="10" t="str">
        <f t="shared" si="7"/>
        <v>clean_pre</v>
      </c>
      <c r="X43" s="10" t="str">
        <f t="shared" si="8"/>
        <v>0_Pre</v>
      </c>
      <c r="Y43" s="10" t="str">
        <f t="shared" si="9"/>
        <v>0_Pre</v>
      </c>
      <c r="Z43" s="10" t="str">
        <f t="shared" si="10"/>
        <v>0_Pre</v>
      </c>
      <c r="AA43" s="10" t="str">
        <f t="shared" si="15"/>
        <v>0_Pre</v>
      </c>
      <c r="AB43" s="10" t="str">
        <f t="shared" si="16"/>
        <v>0_Pre</v>
      </c>
      <c r="AC43" s="10" t="str">
        <f t="shared" si="17"/>
        <v>0_Pre</v>
      </c>
      <c r="AD43" s="10" t="str">
        <f t="shared" si="18"/>
        <v>1_pre sample median</v>
      </c>
      <c r="AE43" s="10" t="str">
        <f t="shared" si="19"/>
        <v>1_pre sample first tertile</v>
      </c>
      <c r="AF43" t="s">
        <v>67</v>
      </c>
      <c r="AG43" t="s">
        <v>75</v>
      </c>
      <c r="AH43" t="s">
        <v>78</v>
      </c>
      <c r="AI43" t="s">
        <v>123</v>
      </c>
      <c r="AJ43" t="s">
        <v>123</v>
      </c>
      <c r="AK43" t="str">
        <f>VLOOKUP(MID($AR43,1,255),country_lookup!$B:$F,2,FALSE)</f>
        <v>1_US</v>
      </c>
      <c r="AL43" t="str">
        <f>VLOOKUP(MID($AR43,1,255),country_lookup!$B:$F,3,FALSE)</f>
        <v>1_developed</v>
      </c>
      <c r="AM43" t="str">
        <f>VLOOKUP(MID($AR43,1,255),country_lookup!$B:$F,4,FALSE)</f>
        <v>1_western</v>
      </c>
      <c r="AN43" t="str">
        <f>VLOOKUP(MID($AR43,1,255),country_lookup!$B:$F,5,FALSE)</f>
        <v>1_common law</v>
      </c>
      <c r="AO43" s="10" t="str">
        <f>VLOOKUP(MID($AS43,1,255),source_lookup!$B:$K,4,FALSE)</f>
        <v>1_not published</v>
      </c>
      <c r="AP43" s="10" t="str">
        <f>VLOOKUP(MID($AS43,1,255),source_lookup!$B:$K,6,FALSE)</f>
        <v>99_NA</v>
      </c>
      <c r="AQ43" s="10" t="str">
        <f>VLOOKUP(MID($AS43,1,255),source_lookup!$B:$K,10,FALSE)</f>
        <v>1_fin/acc/econ</v>
      </c>
      <c r="AR43" t="s">
        <v>85</v>
      </c>
      <c r="AS43" t="s">
        <v>127</v>
      </c>
    </row>
    <row r="44" spans="1:45" x14ac:dyDescent="0.3">
      <c r="A44" t="s">
        <v>3</v>
      </c>
      <c r="B44">
        <v>43</v>
      </c>
      <c r="C44" s="1">
        <v>-2.2490332170502662E-2</v>
      </c>
      <c r="D44" s="2">
        <v>582</v>
      </c>
      <c r="E44" s="4">
        <v>6984</v>
      </c>
      <c r="F44" s="4" t="s">
        <v>346</v>
      </c>
      <c r="G44" s="4" t="s">
        <v>346</v>
      </c>
      <c r="H44" t="s">
        <v>77</v>
      </c>
      <c r="I44" t="s">
        <v>350</v>
      </c>
      <c r="J44" s="3">
        <v>1995</v>
      </c>
      <c r="K44" s="3">
        <v>2006</v>
      </c>
      <c r="L44" s="6">
        <f t="shared" si="11"/>
        <v>2000.5</v>
      </c>
      <c r="M44" s="6">
        <f t="shared" si="12"/>
        <v>2000.5</v>
      </c>
      <c r="N44" s="7">
        <f t="shared" si="0"/>
        <v>0</v>
      </c>
      <c r="O44" s="7">
        <f t="shared" si="1"/>
        <v>0</v>
      </c>
      <c r="P44" s="7">
        <f t="shared" si="2"/>
        <v>0</v>
      </c>
      <c r="Q44" s="7">
        <f t="shared" si="13"/>
        <v>0</v>
      </c>
      <c r="R44" s="10" t="str">
        <f t="shared" si="3"/>
        <v>0_Pre</v>
      </c>
      <c r="S44" s="10" t="str">
        <f t="shared" si="4"/>
        <v>0_Pre</v>
      </c>
      <c r="T44" s="10" t="str">
        <f t="shared" si="5"/>
        <v>0_Pre</v>
      </c>
      <c r="U44" s="10" t="str">
        <f t="shared" si="6"/>
        <v>0_Pre</v>
      </c>
      <c r="V44" s="10" t="str">
        <f t="shared" si="14"/>
        <v>0_Pre</v>
      </c>
      <c r="W44" s="10" t="str">
        <f t="shared" si="7"/>
        <v>clean_pre</v>
      </c>
      <c r="X44" s="10" t="str">
        <f t="shared" si="8"/>
        <v>0_Pre</v>
      </c>
      <c r="Y44" s="10" t="str">
        <f t="shared" si="9"/>
        <v>0_Pre</v>
      </c>
      <c r="Z44" s="10" t="str">
        <f t="shared" si="10"/>
        <v>0_Pre</v>
      </c>
      <c r="AA44" s="10" t="str">
        <f t="shared" si="15"/>
        <v>0_Pre</v>
      </c>
      <c r="AB44" s="10" t="str">
        <f t="shared" si="16"/>
        <v>0_Pre</v>
      </c>
      <c r="AC44" s="10" t="str">
        <f t="shared" si="17"/>
        <v>0_Pre</v>
      </c>
      <c r="AD44" s="10" t="str">
        <f t="shared" si="18"/>
        <v>1_pre sample median</v>
      </c>
      <c r="AE44" s="10" t="str">
        <f t="shared" si="19"/>
        <v>1_pre sample first tertile</v>
      </c>
      <c r="AF44" t="s">
        <v>67</v>
      </c>
      <c r="AG44" t="s">
        <v>75</v>
      </c>
      <c r="AH44" t="s">
        <v>78</v>
      </c>
      <c r="AI44" t="s">
        <v>123</v>
      </c>
      <c r="AJ44" t="s">
        <v>123</v>
      </c>
      <c r="AK44" t="str">
        <f>VLOOKUP(MID($AR44,1,255),country_lookup!$B:$F,2,FALSE)</f>
        <v>1_US</v>
      </c>
      <c r="AL44" t="str">
        <f>VLOOKUP(MID($AR44,1,255),country_lookup!$B:$F,3,FALSE)</f>
        <v>1_developed</v>
      </c>
      <c r="AM44" t="str">
        <f>VLOOKUP(MID($AR44,1,255),country_lookup!$B:$F,4,FALSE)</f>
        <v>1_western</v>
      </c>
      <c r="AN44" t="str">
        <f>VLOOKUP(MID($AR44,1,255),country_lookup!$B:$F,5,FALSE)</f>
        <v>1_common law</v>
      </c>
      <c r="AO44" s="10" t="str">
        <f>VLOOKUP(MID($AS44,1,255),source_lookup!$B:$K,4,FALSE)</f>
        <v>1_not published</v>
      </c>
      <c r="AP44" s="10" t="str">
        <f>VLOOKUP(MID($AS44,1,255),source_lookup!$B:$K,6,FALSE)</f>
        <v>99_NA</v>
      </c>
      <c r="AQ44" s="10" t="str">
        <f>VLOOKUP(MID($AS44,1,255),source_lookup!$B:$K,10,FALSE)</f>
        <v>1_fin/acc/econ</v>
      </c>
      <c r="AR44" t="s">
        <v>85</v>
      </c>
      <c r="AS44" t="s">
        <v>127</v>
      </c>
    </row>
    <row r="45" spans="1:45" x14ac:dyDescent="0.3">
      <c r="A45" t="s">
        <v>3</v>
      </c>
      <c r="B45">
        <v>44</v>
      </c>
      <c r="C45" s="1">
        <v>-1.6391175597515149E-2</v>
      </c>
      <c r="D45" s="2">
        <v>582</v>
      </c>
      <c r="E45" s="4">
        <v>6984</v>
      </c>
      <c r="F45" s="4" t="s">
        <v>346</v>
      </c>
      <c r="G45" s="4" t="s">
        <v>346</v>
      </c>
      <c r="H45" t="s">
        <v>77</v>
      </c>
      <c r="I45" t="s">
        <v>350</v>
      </c>
      <c r="J45" s="3">
        <v>1995</v>
      </c>
      <c r="K45" s="3">
        <v>2006</v>
      </c>
      <c r="L45" s="6">
        <f t="shared" si="11"/>
        <v>2000.5</v>
      </c>
      <c r="M45" s="6">
        <f t="shared" si="12"/>
        <v>2000.5</v>
      </c>
      <c r="N45" s="7">
        <f t="shared" si="0"/>
        <v>0</v>
      </c>
      <c r="O45" s="7">
        <f t="shared" si="1"/>
        <v>0</v>
      </c>
      <c r="P45" s="7">
        <f t="shared" si="2"/>
        <v>0</v>
      </c>
      <c r="Q45" s="7">
        <f t="shared" si="13"/>
        <v>0</v>
      </c>
      <c r="R45" s="10" t="str">
        <f t="shared" si="3"/>
        <v>0_Pre</v>
      </c>
      <c r="S45" s="10" t="str">
        <f t="shared" si="4"/>
        <v>0_Pre</v>
      </c>
      <c r="T45" s="10" t="str">
        <f t="shared" si="5"/>
        <v>0_Pre</v>
      </c>
      <c r="U45" s="10" t="str">
        <f t="shared" si="6"/>
        <v>0_Pre</v>
      </c>
      <c r="V45" s="10" t="str">
        <f t="shared" si="14"/>
        <v>0_Pre</v>
      </c>
      <c r="W45" s="10" t="str">
        <f t="shared" si="7"/>
        <v>clean_pre</v>
      </c>
      <c r="X45" s="10" t="str">
        <f t="shared" si="8"/>
        <v>0_Pre</v>
      </c>
      <c r="Y45" s="10" t="str">
        <f t="shared" si="9"/>
        <v>0_Pre</v>
      </c>
      <c r="Z45" s="10" t="str">
        <f t="shared" si="10"/>
        <v>0_Pre</v>
      </c>
      <c r="AA45" s="10" t="str">
        <f t="shared" si="15"/>
        <v>0_Pre</v>
      </c>
      <c r="AB45" s="10" t="str">
        <f t="shared" si="16"/>
        <v>0_Pre</v>
      </c>
      <c r="AC45" s="10" t="str">
        <f t="shared" si="17"/>
        <v>0_Pre</v>
      </c>
      <c r="AD45" s="10" t="str">
        <f t="shared" si="18"/>
        <v>1_pre sample median</v>
      </c>
      <c r="AE45" s="10" t="str">
        <f t="shared" si="19"/>
        <v>1_pre sample first tertile</v>
      </c>
      <c r="AF45" t="s">
        <v>67</v>
      </c>
      <c r="AG45" t="s">
        <v>75</v>
      </c>
      <c r="AH45" t="s">
        <v>78</v>
      </c>
      <c r="AI45" t="s">
        <v>123</v>
      </c>
      <c r="AJ45" t="s">
        <v>123</v>
      </c>
      <c r="AK45" t="str">
        <f>VLOOKUP(MID($AR45,1,255),country_lookup!$B:$F,2,FALSE)</f>
        <v>1_US</v>
      </c>
      <c r="AL45" t="str">
        <f>VLOOKUP(MID($AR45,1,255),country_lookup!$B:$F,3,FALSE)</f>
        <v>1_developed</v>
      </c>
      <c r="AM45" t="str">
        <f>VLOOKUP(MID($AR45,1,255),country_lookup!$B:$F,4,FALSE)</f>
        <v>1_western</v>
      </c>
      <c r="AN45" t="str">
        <f>VLOOKUP(MID($AR45,1,255),country_lookup!$B:$F,5,FALSE)</f>
        <v>1_common law</v>
      </c>
      <c r="AO45" s="10" t="str">
        <f>VLOOKUP(MID($AS45,1,255),source_lookup!$B:$K,4,FALSE)</f>
        <v>1_not published</v>
      </c>
      <c r="AP45" s="10" t="str">
        <f>VLOOKUP(MID($AS45,1,255),source_lookup!$B:$K,6,FALSE)</f>
        <v>99_NA</v>
      </c>
      <c r="AQ45" s="10" t="str">
        <f>VLOOKUP(MID($AS45,1,255),source_lookup!$B:$K,10,FALSE)</f>
        <v>1_fin/acc/econ</v>
      </c>
      <c r="AR45" t="s">
        <v>85</v>
      </c>
      <c r="AS45" t="s">
        <v>127</v>
      </c>
    </row>
    <row r="46" spans="1:45" x14ac:dyDescent="0.3">
      <c r="A46" t="s">
        <v>3</v>
      </c>
      <c r="B46">
        <v>45</v>
      </c>
      <c r="C46" s="1">
        <v>-2.3327290645317314E-2</v>
      </c>
      <c r="D46" s="2">
        <v>582</v>
      </c>
      <c r="E46" s="4">
        <v>6984</v>
      </c>
      <c r="F46" s="4" t="s">
        <v>346</v>
      </c>
      <c r="G46" s="4" t="s">
        <v>346</v>
      </c>
      <c r="H46" t="s">
        <v>77</v>
      </c>
      <c r="I46" t="s">
        <v>350</v>
      </c>
      <c r="J46" s="3">
        <v>1995</v>
      </c>
      <c r="K46" s="3">
        <v>2006</v>
      </c>
      <c r="L46" s="6">
        <f t="shared" si="11"/>
        <v>2000.5</v>
      </c>
      <c r="M46" s="6">
        <f t="shared" si="12"/>
        <v>2000.5</v>
      </c>
      <c r="N46" s="7">
        <f t="shared" si="0"/>
        <v>0</v>
      </c>
      <c r="O46" s="7">
        <f t="shared" si="1"/>
        <v>0</v>
      </c>
      <c r="P46" s="7">
        <f t="shared" si="2"/>
        <v>0</v>
      </c>
      <c r="Q46" s="7">
        <f t="shared" si="13"/>
        <v>0</v>
      </c>
      <c r="R46" s="10" t="str">
        <f t="shared" si="3"/>
        <v>0_Pre</v>
      </c>
      <c r="S46" s="10" t="str">
        <f t="shared" si="4"/>
        <v>0_Pre</v>
      </c>
      <c r="T46" s="10" t="str">
        <f t="shared" si="5"/>
        <v>0_Pre</v>
      </c>
      <c r="U46" s="10" t="str">
        <f t="shared" si="6"/>
        <v>0_Pre</v>
      </c>
      <c r="V46" s="10" t="str">
        <f t="shared" si="14"/>
        <v>0_Pre</v>
      </c>
      <c r="W46" s="10" t="str">
        <f t="shared" si="7"/>
        <v>clean_pre</v>
      </c>
      <c r="X46" s="10" t="str">
        <f t="shared" si="8"/>
        <v>0_Pre</v>
      </c>
      <c r="Y46" s="10" t="str">
        <f t="shared" si="9"/>
        <v>0_Pre</v>
      </c>
      <c r="Z46" s="10" t="str">
        <f t="shared" si="10"/>
        <v>0_Pre</v>
      </c>
      <c r="AA46" s="10" t="str">
        <f t="shared" si="15"/>
        <v>0_Pre</v>
      </c>
      <c r="AB46" s="10" t="str">
        <f t="shared" si="16"/>
        <v>0_Pre</v>
      </c>
      <c r="AC46" s="10" t="str">
        <f t="shared" si="17"/>
        <v>0_Pre</v>
      </c>
      <c r="AD46" s="10" t="str">
        <f t="shared" si="18"/>
        <v>1_pre sample median</v>
      </c>
      <c r="AE46" s="10" t="str">
        <f t="shared" si="19"/>
        <v>1_pre sample first tertile</v>
      </c>
      <c r="AF46" t="s">
        <v>67</v>
      </c>
      <c r="AG46" t="s">
        <v>75</v>
      </c>
      <c r="AH46" t="s">
        <v>78</v>
      </c>
      <c r="AI46" t="s">
        <v>123</v>
      </c>
      <c r="AJ46" t="s">
        <v>123</v>
      </c>
      <c r="AK46" t="str">
        <f>VLOOKUP(MID($AR46,1,255),country_lookup!$B:$F,2,FALSE)</f>
        <v>1_US</v>
      </c>
      <c r="AL46" t="str">
        <f>VLOOKUP(MID($AR46,1,255),country_lookup!$B:$F,3,FALSE)</f>
        <v>1_developed</v>
      </c>
      <c r="AM46" t="str">
        <f>VLOOKUP(MID($AR46,1,255),country_lookup!$B:$F,4,FALSE)</f>
        <v>1_western</v>
      </c>
      <c r="AN46" t="str">
        <f>VLOOKUP(MID($AR46,1,255),country_lookup!$B:$F,5,FALSE)</f>
        <v>1_common law</v>
      </c>
      <c r="AO46" s="10" t="str">
        <f>VLOOKUP(MID($AS46,1,255),source_lookup!$B:$K,4,FALSE)</f>
        <v>1_not published</v>
      </c>
      <c r="AP46" s="10" t="str">
        <f>VLOOKUP(MID($AS46,1,255),source_lookup!$B:$K,6,FALSE)</f>
        <v>99_NA</v>
      </c>
      <c r="AQ46" s="10" t="str">
        <f>VLOOKUP(MID($AS46,1,255),source_lookup!$B:$K,10,FALSE)</f>
        <v>1_fin/acc/econ</v>
      </c>
      <c r="AR46" t="s">
        <v>85</v>
      </c>
      <c r="AS46" t="s">
        <v>127</v>
      </c>
    </row>
    <row r="47" spans="1:45" x14ac:dyDescent="0.3">
      <c r="A47" t="s">
        <v>3</v>
      </c>
      <c r="B47">
        <v>46</v>
      </c>
      <c r="C47" s="1">
        <v>-1.9022448598768692E-2</v>
      </c>
      <c r="D47" s="2">
        <v>582</v>
      </c>
      <c r="E47" s="4">
        <v>6984</v>
      </c>
      <c r="F47" s="4" t="s">
        <v>346</v>
      </c>
      <c r="G47" s="4" t="s">
        <v>346</v>
      </c>
      <c r="H47" t="s">
        <v>77</v>
      </c>
      <c r="I47" t="s">
        <v>350</v>
      </c>
      <c r="J47" s="3">
        <v>1995</v>
      </c>
      <c r="K47" s="3">
        <v>2006</v>
      </c>
      <c r="L47" s="6">
        <f t="shared" si="11"/>
        <v>2000.5</v>
      </c>
      <c r="M47" s="6">
        <f t="shared" si="12"/>
        <v>2000.5</v>
      </c>
      <c r="N47" s="7">
        <f t="shared" si="0"/>
        <v>0</v>
      </c>
      <c r="O47" s="7">
        <f t="shared" si="1"/>
        <v>0</v>
      </c>
      <c r="P47" s="7">
        <f t="shared" si="2"/>
        <v>0</v>
      </c>
      <c r="Q47" s="7">
        <f t="shared" si="13"/>
        <v>0</v>
      </c>
      <c r="R47" s="10" t="str">
        <f t="shared" si="3"/>
        <v>0_Pre</v>
      </c>
      <c r="S47" s="10" t="str">
        <f t="shared" si="4"/>
        <v>0_Pre</v>
      </c>
      <c r="T47" s="10" t="str">
        <f t="shared" si="5"/>
        <v>0_Pre</v>
      </c>
      <c r="U47" s="10" t="str">
        <f t="shared" si="6"/>
        <v>0_Pre</v>
      </c>
      <c r="V47" s="10" t="str">
        <f t="shared" si="14"/>
        <v>0_Pre</v>
      </c>
      <c r="W47" s="10" t="str">
        <f t="shared" si="7"/>
        <v>clean_pre</v>
      </c>
      <c r="X47" s="10" t="str">
        <f t="shared" si="8"/>
        <v>0_Pre</v>
      </c>
      <c r="Y47" s="10" t="str">
        <f t="shared" si="9"/>
        <v>0_Pre</v>
      </c>
      <c r="Z47" s="10" t="str">
        <f t="shared" si="10"/>
        <v>0_Pre</v>
      </c>
      <c r="AA47" s="10" t="str">
        <f t="shared" si="15"/>
        <v>0_Pre</v>
      </c>
      <c r="AB47" s="10" t="str">
        <f t="shared" si="16"/>
        <v>0_Pre</v>
      </c>
      <c r="AC47" s="10" t="str">
        <f t="shared" si="17"/>
        <v>0_Pre</v>
      </c>
      <c r="AD47" s="10" t="str">
        <f t="shared" si="18"/>
        <v>1_pre sample median</v>
      </c>
      <c r="AE47" s="10" t="str">
        <f t="shared" si="19"/>
        <v>1_pre sample first tertile</v>
      </c>
      <c r="AF47" t="s">
        <v>67</v>
      </c>
      <c r="AG47" t="s">
        <v>75</v>
      </c>
      <c r="AH47" t="s">
        <v>78</v>
      </c>
      <c r="AI47" t="s">
        <v>123</v>
      </c>
      <c r="AJ47" t="s">
        <v>123</v>
      </c>
      <c r="AK47" t="str">
        <f>VLOOKUP(MID($AR47,1,255),country_lookup!$B:$F,2,FALSE)</f>
        <v>1_US</v>
      </c>
      <c r="AL47" t="str">
        <f>VLOOKUP(MID($AR47,1,255),country_lookup!$B:$F,3,FALSE)</f>
        <v>1_developed</v>
      </c>
      <c r="AM47" t="str">
        <f>VLOOKUP(MID($AR47,1,255),country_lookup!$B:$F,4,FALSE)</f>
        <v>1_western</v>
      </c>
      <c r="AN47" t="str">
        <f>VLOOKUP(MID($AR47,1,255),country_lookup!$B:$F,5,FALSE)</f>
        <v>1_common law</v>
      </c>
      <c r="AO47" s="10" t="str">
        <f>VLOOKUP(MID($AS47,1,255),source_lookup!$B:$K,4,FALSE)</f>
        <v>1_not published</v>
      </c>
      <c r="AP47" s="10" t="str">
        <f>VLOOKUP(MID($AS47,1,255),source_lookup!$B:$K,6,FALSE)</f>
        <v>99_NA</v>
      </c>
      <c r="AQ47" s="10" t="str">
        <f>VLOOKUP(MID($AS47,1,255),source_lookup!$B:$K,10,FALSE)</f>
        <v>1_fin/acc/econ</v>
      </c>
      <c r="AR47" t="s">
        <v>85</v>
      </c>
      <c r="AS47" t="s">
        <v>127</v>
      </c>
    </row>
    <row r="48" spans="1:45" x14ac:dyDescent="0.3">
      <c r="A48" t="s">
        <v>3</v>
      </c>
      <c r="B48">
        <v>47</v>
      </c>
      <c r="C48" s="1">
        <v>-1.6032338035584723E-2</v>
      </c>
      <c r="D48" s="2">
        <v>582</v>
      </c>
      <c r="E48" s="4">
        <v>6984</v>
      </c>
      <c r="F48" s="4" t="s">
        <v>346</v>
      </c>
      <c r="G48" s="4" t="s">
        <v>346</v>
      </c>
      <c r="H48" t="s">
        <v>77</v>
      </c>
      <c r="I48" t="s">
        <v>350</v>
      </c>
      <c r="J48" s="3">
        <v>1995</v>
      </c>
      <c r="K48" s="3">
        <v>2006</v>
      </c>
      <c r="L48" s="6">
        <f t="shared" si="11"/>
        <v>2000.5</v>
      </c>
      <c r="M48" s="6">
        <f t="shared" si="12"/>
        <v>2000.5</v>
      </c>
      <c r="N48" s="7">
        <f t="shared" si="0"/>
        <v>0</v>
      </c>
      <c r="O48" s="7">
        <f t="shared" si="1"/>
        <v>0</v>
      </c>
      <c r="P48" s="7">
        <f t="shared" si="2"/>
        <v>0</v>
      </c>
      <c r="Q48" s="7">
        <f t="shared" si="13"/>
        <v>0</v>
      </c>
      <c r="R48" s="10" t="str">
        <f t="shared" si="3"/>
        <v>0_Pre</v>
      </c>
      <c r="S48" s="10" t="str">
        <f t="shared" si="4"/>
        <v>0_Pre</v>
      </c>
      <c r="T48" s="10" t="str">
        <f t="shared" si="5"/>
        <v>0_Pre</v>
      </c>
      <c r="U48" s="10" t="str">
        <f t="shared" si="6"/>
        <v>0_Pre</v>
      </c>
      <c r="V48" s="10" t="str">
        <f t="shared" si="14"/>
        <v>0_Pre</v>
      </c>
      <c r="W48" s="10" t="str">
        <f t="shared" si="7"/>
        <v>clean_pre</v>
      </c>
      <c r="X48" s="10" t="str">
        <f t="shared" si="8"/>
        <v>0_Pre</v>
      </c>
      <c r="Y48" s="10" t="str">
        <f t="shared" si="9"/>
        <v>0_Pre</v>
      </c>
      <c r="Z48" s="10" t="str">
        <f t="shared" si="10"/>
        <v>0_Pre</v>
      </c>
      <c r="AA48" s="10" t="str">
        <f t="shared" si="15"/>
        <v>0_Pre</v>
      </c>
      <c r="AB48" s="10" t="str">
        <f t="shared" si="16"/>
        <v>0_Pre</v>
      </c>
      <c r="AC48" s="10" t="str">
        <f t="shared" si="17"/>
        <v>0_Pre</v>
      </c>
      <c r="AD48" s="10" t="str">
        <f t="shared" si="18"/>
        <v>1_pre sample median</v>
      </c>
      <c r="AE48" s="10" t="str">
        <f t="shared" si="19"/>
        <v>1_pre sample first tertile</v>
      </c>
      <c r="AF48" t="s">
        <v>67</v>
      </c>
      <c r="AG48" t="s">
        <v>75</v>
      </c>
      <c r="AH48" t="s">
        <v>78</v>
      </c>
      <c r="AI48" t="s">
        <v>123</v>
      </c>
      <c r="AJ48" t="s">
        <v>123</v>
      </c>
      <c r="AK48" t="str">
        <f>VLOOKUP(MID($AR48,1,255),country_lookup!$B:$F,2,FALSE)</f>
        <v>1_US</v>
      </c>
      <c r="AL48" t="str">
        <f>VLOOKUP(MID($AR48,1,255),country_lookup!$B:$F,3,FALSE)</f>
        <v>1_developed</v>
      </c>
      <c r="AM48" t="str">
        <f>VLOOKUP(MID($AR48,1,255),country_lookup!$B:$F,4,FALSE)</f>
        <v>1_western</v>
      </c>
      <c r="AN48" t="str">
        <f>VLOOKUP(MID($AR48,1,255),country_lookup!$B:$F,5,FALSE)</f>
        <v>1_common law</v>
      </c>
      <c r="AO48" s="10" t="str">
        <f>VLOOKUP(MID($AS48,1,255),source_lookup!$B:$K,4,FALSE)</f>
        <v>1_not published</v>
      </c>
      <c r="AP48" s="10" t="str">
        <f>VLOOKUP(MID($AS48,1,255),source_lookup!$B:$K,6,FALSE)</f>
        <v>99_NA</v>
      </c>
      <c r="AQ48" s="10" t="str">
        <f>VLOOKUP(MID($AS48,1,255),source_lookup!$B:$K,10,FALSE)</f>
        <v>1_fin/acc/econ</v>
      </c>
      <c r="AR48" t="s">
        <v>85</v>
      </c>
      <c r="AS48" t="s">
        <v>127</v>
      </c>
    </row>
    <row r="49" spans="1:45" x14ac:dyDescent="0.3">
      <c r="A49" t="s">
        <v>3</v>
      </c>
      <c r="B49">
        <v>48</v>
      </c>
      <c r="C49" s="1">
        <v>-2.0696692736072209E-2</v>
      </c>
      <c r="D49" s="2">
        <v>582</v>
      </c>
      <c r="E49" s="4">
        <v>6984</v>
      </c>
      <c r="F49" s="4" t="s">
        <v>346</v>
      </c>
      <c r="G49" s="4" t="s">
        <v>346</v>
      </c>
      <c r="H49" t="s">
        <v>77</v>
      </c>
      <c r="I49" t="s">
        <v>350</v>
      </c>
      <c r="J49" s="3">
        <v>1995</v>
      </c>
      <c r="K49" s="3">
        <v>2006</v>
      </c>
      <c r="L49" s="6">
        <f t="shared" si="11"/>
        <v>2000.5</v>
      </c>
      <c r="M49" s="6">
        <f t="shared" si="12"/>
        <v>2000.5</v>
      </c>
      <c r="N49" s="7">
        <f t="shared" si="0"/>
        <v>0</v>
      </c>
      <c r="O49" s="7">
        <f t="shared" si="1"/>
        <v>0</v>
      </c>
      <c r="P49" s="7">
        <f t="shared" si="2"/>
        <v>0</v>
      </c>
      <c r="Q49" s="7">
        <f t="shared" si="13"/>
        <v>0</v>
      </c>
      <c r="R49" s="10" t="str">
        <f t="shared" si="3"/>
        <v>0_Pre</v>
      </c>
      <c r="S49" s="10" t="str">
        <f t="shared" si="4"/>
        <v>0_Pre</v>
      </c>
      <c r="T49" s="10" t="str">
        <f t="shared" si="5"/>
        <v>0_Pre</v>
      </c>
      <c r="U49" s="10" t="str">
        <f t="shared" si="6"/>
        <v>0_Pre</v>
      </c>
      <c r="V49" s="10" t="str">
        <f t="shared" si="14"/>
        <v>0_Pre</v>
      </c>
      <c r="W49" s="10" t="str">
        <f t="shared" si="7"/>
        <v>clean_pre</v>
      </c>
      <c r="X49" s="10" t="str">
        <f t="shared" si="8"/>
        <v>0_Pre</v>
      </c>
      <c r="Y49" s="10" t="str">
        <f t="shared" si="9"/>
        <v>0_Pre</v>
      </c>
      <c r="Z49" s="10" t="str">
        <f t="shared" si="10"/>
        <v>0_Pre</v>
      </c>
      <c r="AA49" s="10" t="str">
        <f t="shared" si="15"/>
        <v>0_Pre</v>
      </c>
      <c r="AB49" s="10" t="str">
        <f t="shared" si="16"/>
        <v>0_Pre</v>
      </c>
      <c r="AC49" s="10" t="str">
        <f t="shared" si="17"/>
        <v>0_Pre</v>
      </c>
      <c r="AD49" s="10" t="str">
        <f t="shared" si="18"/>
        <v>1_pre sample median</v>
      </c>
      <c r="AE49" s="10" t="str">
        <f t="shared" si="19"/>
        <v>1_pre sample first tertile</v>
      </c>
      <c r="AF49" t="s">
        <v>67</v>
      </c>
      <c r="AG49" t="s">
        <v>75</v>
      </c>
      <c r="AH49" t="s">
        <v>78</v>
      </c>
      <c r="AI49" t="s">
        <v>123</v>
      </c>
      <c r="AJ49" t="s">
        <v>123</v>
      </c>
      <c r="AK49" t="str">
        <f>VLOOKUP(MID($AR49,1,255),country_lookup!$B:$F,2,FALSE)</f>
        <v>1_US</v>
      </c>
      <c r="AL49" t="str">
        <f>VLOOKUP(MID($AR49,1,255),country_lookup!$B:$F,3,FALSE)</f>
        <v>1_developed</v>
      </c>
      <c r="AM49" t="str">
        <f>VLOOKUP(MID($AR49,1,255),country_lookup!$B:$F,4,FALSE)</f>
        <v>1_western</v>
      </c>
      <c r="AN49" t="str">
        <f>VLOOKUP(MID($AR49,1,255),country_lookup!$B:$F,5,FALSE)</f>
        <v>1_common law</v>
      </c>
      <c r="AO49" s="10" t="str">
        <f>VLOOKUP(MID($AS49,1,255),source_lookup!$B:$K,4,FALSE)</f>
        <v>1_not published</v>
      </c>
      <c r="AP49" s="10" t="str">
        <f>VLOOKUP(MID($AS49,1,255),source_lookup!$B:$K,6,FALSE)</f>
        <v>99_NA</v>
      </c>
      <c r="AQ49" s="10" t="str">
        <f>VLOOKUP(MID($AS49,1,255),source_lookup!$B:$K,10,FALSE)</f>
        <v>1_fin/acc/econ</v>
      </c>
      <c r="AR49" t="s">
        <v>85</v>
      </c>
      <c r="AS49" t="s">
        <v>127</v>
      </c>
    </row>
    <row r="50" spans="1:45" x14ac:dyDescent="0.3">
      <c r="A50" t="s">
        <v>3</v>
      </c>
      <c r="B50">
        <v>49</v>
      </c>
      <c r="C50" s="1">
        <v>-8.8544701667076231E-3</v>
      </c>
      <c r="D50" s="2">
        <v>582</v>
      </c>
      <c r="E50" s="4">
        <v>6984</v>
      </c>
      <c r="F50" s="4" t="s">
        <v>346</v>
      </c>
      <c r="G50" s="4" t="s">
        <v>346</v>
      </c>
      <c r="H50" t="s">
        <v>77</v>
      </c>
      <c r="I50" t="s">
        <v>350</v>
      </c>
      <c r="J50" s="3">
        <v>1995</v>
      </c>
      <c r="K50" s="3">
        <v>2006</v>
      </c>
      <c r="L50" s="6">
        <f t="shared" si="11"/>
        <v>2000.5</v>
      </c>
      <c r="M50" s="6">
        <f t="shared" si="12"/>
        <v>2000.5</v>
      </c>
      <c r="N50" s="7">
        <f t="shared" si="0"/>
        <v>0</v>
      </c>
      <c r="O50" s="7">
        <f t="shared" si="1"/>
        <v>0</v>
      </c>
      <c r="P50" s="7">
        <f t="shared" si="2"/>
        <v>0</v>
      </c>
      <c r="Q50" s="7">
        <f t="shared" si="13"/>
        <v>0</v>
      </c>
      <c r="R50" s="10" t="str">
        <f t="shared" si="3"/>
        <v>0_Pre</v>
      </c>
      <c r="S50" s="10" t="str">
        <f t="shared" si="4"/>
        <v>0_Pre</v>
      </c>
      <c r="T50" s="10" t="str">
        <f t="shared" si="5"/>
        <v>0_Pre</v>
      </c>
      <c r="U50" s="10" t="str">
        <f t="shared" si="6"/>
        <v>0_Pre</v>
      </c>
      <c r="V50" s="10" t="str">
        <f t="shared" si="14"/>
        <v>0_Pre</v>
      </c>
      <c r="W50" s="10" t="str">
        <f t="shared" si="7"/>
        <v>clean_pre</v>
      </c>
      <c r="X50" s="10" t="str">
        <f t="shared" si="8"/>
        <v>0_Pre</v>
      </c>
      <c r="Y50" s="10" t="str">
        <f t="shared" si="9"/>
        <v>0_Pre</v>
      </c>
      <c r="Z50" s="10" t="str">
        <f t="shared" si="10"/>
        <v>0_Pre</v>
      </c>
      <c r="AA50" s="10" t="str">
        <f t="shared" si="15"/>
        <v>0_Pre</v>
      </c>
      <c r="AB50" s="10" t="str">
        <f t="shared" si="16"/>
        <v>0_Pre</v>
      </c>
      <c r="AC50" s="10" t="str">
        <f t="shared" si="17"/>
        <v>0_Pre</v>
      </c>
      <c r="AD50" s="10" t="str">
        <f t="shared" si="18"/>
        <v>1_pre sample median</v>
      </c>
      <c r="AE50" s="10" t="str">
        <f t="shared" si="19"/>
        <v>1_pre sample first tertile</v>
      </c>
      <c r="AF50" t="s">
        <v>67</v>
      </c>
      <c r="AG50" t="s">
        <v>75</v>
      </c>
      <c r="AH50" t="s">
        <v>78</v>
      </c>
      <c r="AI50" t="s">
        <v>123</v>
      </c>
      <c r="AJ50" t="s">
        <v>123</v>
      </c>
      <c r="AK50" t="str">
        <f>VLOOKUP(MID($AR50,1,255),country_lookup!$B:$F,2,FALSE)</f>
        <v>1_US</v>
      </c>
      <c r="AL50" t="str">
        <f>VLOOKUP(MID($AR50,1,255),country_lookup!$B:$F,3,FALSE)</f>
        <v>1_developed</v>
      </c>
      <c r="AM50" t="str">
        <f>VLOOKUP(MID($AR50,1,255),country_lookup!$B:$F,4,FALSE)</f>
        <v>1_western</v>
      </c>
      <c r="AN50" t="str">
        <f>VLOOKUP(MID($AR50,1,255),country_lookup!$B:$F,5,FALSE)</f>
        <v>1_common law</v>
      </c>
      <c r="AO50" s="10" t="str">
        <f>VLOOKUP(MID($AS50,1,255),source_lookup!$B:$K,4,FALSE)</f>
        <v>1_not published</v>
      </c>
      <c r="AP50" s="10" t="str">
        <f>VLOOKUP(MID($AS50,1,255),source_lookup!$B:$K,6,FALSE)</f>
        <v>99_NA</v>
      </c>
      <c r="AQ50" s="10" t="str">
        <f>VLOOKUP(MID($AS50,1,255),source_lookup!$B:$K,10,FALSE)</f>
        <v>1_fin/acc/econ</v>
      </c>
      <c r="AR50" t="s">
        <v>85</v>
      </c>
      <c r="AS50" t="s">
        <v>127</v>
      </c>
    </row>
    <row r="51" spans="1:45" x14ac:dyDescent="0.3">
      <c r="A51" t="s">
        <v>3</v>
      </c>
      <c r="B51">
        <v>50</v>
      </c>
      <c r="C51" s="1">
        <v>-3.5586535462779137E-2</v>
      </c>
      <c r="D51" s="2">
        <v>1094</v>
      </c>
      <c r="E51" s="4">
        <v>13128</v>
      </c>
      <c r="F51" s="4" t="s">
        <v>346</v>
      </c>
      <c r="G51" s="4" t="s">
        <v>346</v>
      </c>
      <c r="H51" t="s">
        <v>77</v>
      </c>
      <c r="I51" t="s">
        <v>350</v>
      </c>
      <c r="J51" s="3">
        <v>1995</v>
      </c>
      <c r="K51" s="3">
        <v>2006</v>
      </c>
      <c r="L51" s="6">
        <f t="shared" si="11"/>
        <v>2000.5</v>
      </c>
      <c r="M51" s="6">
        <f t="shared" si="12"/>
        <v>2000.5</v>
      </c>
      <c r="N51" s="7">
        <f t="shared" si="0"/>
        <v>0</v>
      </c>
      <c r="O51" s="7">
        <f t="shared" si="1"/>
        <v>0</v>
      </c>
      <c r="P51" s="7">
        <f t="shared" si="2"/>
        <v>0</v>
      </c>
      <c r="Q51" s="7">
        <f t="shared" si="13"/>
        <v>0</v>
      </c>
      <c r="R51" s="10" t="str">
        <f t="shared" si="3"/>
        <v>0_Pre</v>
      </c>
      <c r="S51" s="10" t="str">
        <f t="shared" si="4"/>
        <v>0_Pre</v>
      </c>
      <c r="T51" s="10" t="str">
        <f t="shared" si="5"/>
        <v>0_Pre</v>
      </c>
      <c r="U51" s="10" t="str">
        <f t="shared" si="6"/>
        <v>0_Pre</v>
      </c>
      <c r="V51" s="10" t="str">
        <f t="shared" si="14"/>
        <v>0_Pre</v>
      </c>
      <c r="W51" s="10" t="str">
        <f t="shared" si="7"/>
        <v>clean_pre</v>
      </c>
      <c r="X51" s="10" t="str">
        <f t="shared" si="8"/>
        <v>0_Pre</v>
      </c>
      <c r="Y51" s="10" t="str">
        <f t="shared" si="9"/>
        <v>0_Pre</v>
      </c>
      <c r="Z51" s="10" t="str">
        <f t="shared" si="10"/>
        <v>0_Pre</v>
      </c>
      <c r="AA51" s="10" t="str">
        <f t="shared" si="15"/>
        <v>0_Pre</v>
      </c>
      <c r="AB51" s="10" t="str">
        <f t="shared" si="16"/>
        <v>0_Pre</v>
      </c>
      <c r="AC51" s="10" t="str">
        <f t="shared" si="17"/>
        <v>0_Pre</v>
      </c>
      <c r="AD51" s="10" t="str">
        <f t="shared" si="18"/>
        <v>1_pre sample median</v>
      </c>
      <c r="AE51" s="10" t="str">
        <f t="shared" si="19"/>
        <v>1_pre sample first tertile</v>
      </c>
      <c r="AF51" t="s">
        <v>67</v>
      </c>
      <c r="AG51" t="s">
        <v>75</v>
      </c>
      <c r="AH51" t="s">
        <v>78</v>
      </c>
      <c r="AI51" t="s">
        <v>123</v>
      </c>
      <c r="AJ51" t="s">
        <v>123</v>
      </c>
      <c r="AK51" t="str">
        <f>VLOOKUP(MID($AR51,1,255),country_lookup!$B:$F,2,FALSE)</f>
        <v>1_US</v>
      </c>
      <c r="AL51" t="str">
        <f>VLOOKUP(MID($AR51,1,255),country_lookup!$B:$F,3,FALSE)</f>
        <v>1_developed</v>
      </c>
      <c r="AM51" t="str">
        <f>VLOOKUP(MID($AR51,1,255),country_lookup!$B:$F,4,FALSE)</f>
        <v>1_western</v>
      </c>
      <c r="AN51" t="str">
        <f>VLOOKUP(MID($AR51,1,255),country_lookup!$B:$F,5,FALSE)</f>
        <v>1_common law</v>
      </c>
      <c r="AO51" s="10" t="str">
        <f>VLOOKUP(MID($AS51,1,255),source_lookup!$B:$K,4,FALSE)</f>
        <v>1_not published</v>
      </c>
      <c r="AP51" s="10" t="str">
        <f>VLOOKUP(MID($AS51,1,255),source_lookup!$B:$K,6,FALSE)</f>
        <v>99_NA</v>
      </c>
      <c r="AQ51" s="10" t="str">
        <f>VLOOKUP(MID($AS51,1,255),source_lookup!$B:$K,10,FALSE)</f>
        <v>1_fin/acc/econ</v>
      </c>
      <c r="AR51" t="s">
        <v>85</v>
      </c>
      <c r="AS51" t="s">
        <v>127</v>
      </c>
    </row>
    <row r="52" spans="1:45" x14ac:dyDescent="0.3">
      <c r="A52" t="s">
        <v>3</v>
      </c>
      <c r="B52">
        <v>51</v>
      </c>
      <c r="C52" s="1">
        <v>-7.4183563490232149E-3</v>
      </c>
      <c r="D52" s="2">
        <v>1094</v>
      </c>
      <c r="E52" s="4">
        <v>13128</v>
      </c>
      <c r="F52" s="4" t="s">
        <v>346</v>
      </c>
      <c r="G52" s="4" t="s">
        <v>346</v>
      </c>
      <c r="H52" t="s">
        <v>77</v>
      </c>
      <c r="I52" t="s">
        <v>350</v>
      </c>
      <c r="J52" s="3">
        <v>1995</v>
      </c>
      <c r="K52" s="3">
        <v>2006</v>
      </c>
      <c r="L52" s="6">
        <f t="shared" si="11"/>
        <v>2000.5</v>
      </c>
      <c r="M52" s="6">
        <f t="shared" si="12"/>
        <v>2000.5</v>
      </c>
      <c r="N52" s="7">
        <f t="shared" si="0"/>
        <v>0</v>
      </c>
      <c r="O52" s="7">
        <f t="shared" si="1"/>
        <v>0</v>
      </c>
      <c r="P52" s="7">
        <f t="shared" si="2"/>
        <v>0</v>
      </c>
      <c r="Q52" s="7">
        <f t="shared" si="13"/>
        <v>0</v>
      </c>
      <c r="R52" s="10" t="str">
        <f t="shared" si="3"/>
        <v>0_Pre</v>
      </c>
      <c r="S52" s="10" t="str">
        <f t="shared" si="4"/>
        <v>0_Pre</v>
      </c>
      <c r="T52" s="10" t="str">
        <f t="shared" si="5"/>
        <v>0_Pre</v>
      </c>
      <c r="U52" s="10" t="str">
        <f t="shared" si="6"/>
        <v>0_Pre</v>
      </c>
      <c r="V52" s="10" t="str">
        <f t="shared" si="14"/>
        <v>0_Pre</v>
      </c>
      <c r="W52" s="10" t="str">
        <f t="shared" si="7"/>
        <v>clean_pre</v>
      </c>
      <c r="X52" s="10" t="str">
        <f t="shared" si="8"/>
        <v>0_Pre</v>
      </c>
      <c r="Y52" s="10" t="str">
        <f t="shared" si="9"/>
        <v>0_Pre</v>
      </c>
      <c r="Z52" s="10" t="str">
        <f t="shared" si="10"/>
        <v>0_Pre</v>
      </c>
      <c r="AA52" s="10" t="str">
        <f t="shared" si="15"/>
        <v>0_Pre</v>
      </c>
      <c r="AB52" s="10" t="str">
        <f t="shared" si="16"/>
        <v>0_Pre</v>
      </c>
      <c r="AC52" s="10" t="str">
        <f t="shared" si="17"/>
        <v>0_Pre</v>
      </c>
      <c r="AD52" s="10" t="str">
        <f t="shared" si="18"/>
        <v>1_pre sample median</v>
      </c>
      <c r="AE52" s="10" t="str">
        <f t="shared" si="19"/>
        <v>1_pre sample first tertile</v>
      </c>
      <c r="AF52" t="s">
        <v>67</v>
      </c>
      <c r="AG52" t="s">
        <v>75</v>
      </c>
      <c r="AH52" t="s">
        <v>78</v>
      </c>
      <c r="AI52" t="s">
        <v>123</v>
      </c>
      <c r="AJ52" t="s">
        <v>123</v>
      </c>
      <c r="AK52" t="str">
        <f>VLOOKUP(MID($AR52,1,255),country_lookup!$B:$F,2,FALSE)</f>
        <v>1_US</v>
      </c>
      <c r="AL52" t="str">
        <f>VLOOKUP(MID($AR52,1,255),country_lookup!$B:$F,3,FALSE)</f>
        <v>1_developed</v>
      </c>
      <c r="AM52" t="str">
        <f>VLOOKUP(MID($AR52,1,255),country_lookup!$B:$F,4,FALSE)</f>
        <v>1_western</v>
      </c>
      <c r="AN52" t="str">
        <f>VLOOKUP(MID($AR52,1,255),country_lookup!$B:$F,5,FALSE)</f>
        <v>1_common law</v>
      </c>
      <c r="AO52" s="10" t="str">
        <f>VLOOKUP(MID($AS52,1,255),source_lookup!$B:$K,4,FALSE)</f>
        <v>1_not published</v>
      </c>
      <c r="AP52" s="10" t="str">
        <f>VLOOKUP(MID($AS52,1,255),source_lookup!$B:$K,6,FALSE)</f>
        <v>99_NA</v>
      </c>
      <c r="AQ52" s="10" t="str">
        <f>VLOOKUP(MID($AS52,1,255),source_lookup!$B:$K,10,FALSE)</f>
        <v>1_fin/acc/econ</v>
      </c>
      <c r="AR52" t="s">
        <v>85</v>
      </c>
      <c r="AS52" t="s">
        <v>127</v>
      </c>
    </row>
    <row r="53" spans="1:45" x14ac:dyDescent="0.3">
      <c r="A53" t="s">
        <v>3</v>
      </c>
      <c r="B53">
        <v>52</v>
      </c>
      <c r="C53" s="1">
        <v>1.5009984168554698E-2</v>
      </c>
      <c r="D53" s="2">
        <v>1094</v>
      </c>
      <c r="E53" s="4">
        <v>13128</v>
      </c>
      <c r="F53" s="4" t="s">
        <v>346</v>
      </c>
      <c r="G53" s="4" t="s">
        <v>346</v>
      </c>
      <c r="H53" t="s">
        <v>77</v>
      </c>
      <c r="I53" t="s">
        <v>350</v>
      </c>
      <c r="J53" s="3">
        <v>1995</v>
      </c>
      <c r="K53" s="3">
        <v>2006</v>
      </c>
      <c r="L53" s="6">
        <f t="shared" si="11"/>
        <v>2000.5</v>
      </c>
      <c r="M53" s="6">
        <f t="shared" si="12"/>
        <v>2000.5</v>
      </c>
      <c r="N53" s="7">
        <f t="shared" si="0"/>
        <v>0</v>
      </c>
      <c r="O53" s="7">
        <f t="shared" si="1"/>
        <v>0</v>
      </c>
      <c r="P53" s="7">
        <f t="shared" si="2"/>
        <v>0</v>
      </c>
      <c r="Q53" s="7">
        <f t="shared" si="13"/>
        <v>0</v>
      </c>
      <c r="R53" s="10" t="str">
        <f t="shared" si="3"/>
        <v>0_Pre</v>
      </c>
      <c r="S53" s="10" t="str">
        <f t="shared" si="4"/>
        <v>0_Pre</v>
      </c>
      <c r="T53" s="10" t="str">
        <f t="shared" si="5"/>
        <v>0_Pre</v>
      </c>
      <c r="U53" s="10" t="str">
        <f t="shared" si="6"/>
        <v>0_Pre</v>
      </c>
      <c r="V53" s="10" t="str">
        <f t="shared" si="14"/>
        <v>0_Pre</v>
      </c>
      <c r="W53" s="10" t="str">
        <f t="shared" si="7"/>
        <v>clean_pre</v>
      </c>
      <c r="X53" s="10" t="str">
        <f t="shared" si="8"/>
        <v>0_Pre</v>
      </c>
      <c r="Y53" s="10" t="str">
        <f t="shared" si="9"/>
        <v>0_Pre</v>
      </c>
      <c r="Z53" s="10" t="str">
        <f t="shared" si="10"/>
        <v>0_Pre</v>
      </c>
      <c r="AA53" s="10" t="str">
        <f t="shared" si="15"/>
        <v>0_Pre</v>
      </c>
      <c r="AB53" s="10" t="str">
        <f t="shared" si="16"/>
        <v>0_Pre</v>
      </c>
      <c r="AC53" s="10" t="str">
        <f t="shared" si="17"/>
        <v>0_Pre</v>
      </c>
      <c r="AD53" s="10" t="str">
        <f t="shared" si="18"/>
        <v>1_pre sample median</v>
      </c>
      <c r="AE53" s="10" t="str">
        <f t="shared" si="19"/>
        <v>1_pre sample first tertile</v>
      </c>
      <c r="AF53" t="s">
        <v>67</v>
      </c>
      <c r="AG53" t="s">
        <v>75</v>
      </c>
      <c r="AH53" t="s">
        <v>78</v>
      </c>
      <c r="AI53" t="s">
        <v>123</v>
      </c>
      <c r="AJ53" t="s">
        <v>123</v>
      </c>
      <c r="AK53" t="str">
        <f>VLOOKUP(MID($AR53,1,255),country_lookup!$B:$F,2,FALSE)</f>
        <v>1_US</v>
      </c>
      <c r="AL53" t="str">
        <f>VLOOKUP(MID($AR53,1,255),country_lookup!$B:$F,3,FALSE)</f>
        <v>1_developed</v>
      </c>
      <c r="AM53" t="str">
        <f>VLOOKUP(MID($AR53,1,255),country_lookup!$B:$F,4,FALSE)</f>
        <v>1_western</v>
      </c>
      <c r="AN53" t="str">
        <f>VLOOKUP(MID($AR53,1,255),country_lookup!$B:$F,5,FALSE)</f>
        <v>1_common law</v>
      </c>
      <c r="AO53" s="10" t="str">
        <f>VLOOKUP(MID($AS53,1,255),source_lookup!$B:$K,4,FALSE)</f>
        <v>1_not published</v>
      </c>
      <c r="AP53" s="10" t="str">
        <f>VLOOKUP(MID($AS53,1,255),source_lookup!$B:$K,6,FALSE)</f>
        <v>99_NA</v>
      </c>
      <c r="AQ53" s="10" t="str">
        <f>VLOOKUP(MID($AS53,1,255),source_lookup!$B:$K,10,FALSE)</f>
        <v>1_fin/acc/econ</v>
      </c>
      <c r="AR53" t="s">
        <v>85</v>
      </c>
      <c r="AS53" t="s">
        <v>127</v>
      </c>
    </row>
    <row r="54" spans="1:45" x14ac:dyDescent="0.3">
      <c r="A54" t="s">
        <v>3</v>
      </c>
      <c r="B54">
        <v>53</v>
      </c>
      <c r="C54" s="1">
        <v>-3.6656170221920407E-3</v>
      </c>
      <c r="D54" s="2">
        <v>1094</v>
      </c>
      <c r="E54" s="4">
        <v>13128</v>
      </c>
      <c r="F54" s="4" t="s">
        <v>346</v>
      </c>
      <c r="G54" s="4" t="s">
        <v>346</v>
      </c>
      <c r="H54" t="s">
        <v>77</v>
      </c>
      <c r="I54" t="s">
        <v>350</v>
      </c>
      <c r="J54" s="3">
        <v>1995</v>
      </c>
      <c r="K54" s="3">
        <v>2006</v>
      </c>
      <c r="L54" s="6">
        <f t="shared" si="11"/>
        <v>2000.5</v>
      </c>
      <c r="M54" s="6">
        <f t="shared" si="12"/>
        <v>2000.5</v>
      </c>
      <c r="N54" s="7">
        <f t="shared" si="0"/>
        <v>0</v>
      </c>
      <c r="O54" s="7">
        <f t="shared" si="1"/>
        <v>0</v>
      </c>
      <c r="P54" s="7">
        <f t="shared" si="2"/>
        <v>0</v>
      </c>
      <c r="Q54" s="7">
        <f t="shared" si="13"/>
        <v>0</v>
      </c>
      <c r="R54" s="10" t="str">
        <f t="shared" si="3"/>
        <v>0_Pre</v>
      </c>
      <c r="S54" s="10" t="str">
        <f t="shared" si="4"/>
        <v>0_Pre</v>
      </c>
      <c r="T54" s="10" t="str">
        <f t="shared" si="5"/>
        <v>0_Pre</v>
      </c>
      <c r="U54" s="10" t="str">
        <f t="shared" si="6"/>
        <v>0_Pre</v>
      </c>
      <c r="V54" s="10" t="str">
        <f t="shared" si="14"/>
        <v>0_Pre</v>
      </c>
      <c r="W54" s="10" t="str">
        <f t="shared" si="7"/>
        <v>clean_pre</v>
      </c>
      <c r="X54" s="10" t="str">
        <f t="shared" si="8"/>
        <v>0_Pre</v>
      </c>
      <c r="Y54" s="10" t="str">
        <f t="shared" si="9"/>
        <v>0_Pre</v>
      </c>
      <c r="Z54" s="10" t="str">
        <f t="shared" si="10"/>
        <v>0_Pre</v>
      </c>
      <c r="AA54" s="10" t="str">
        <f t="shared" si="15"/>
        <v>0_Pre</v>
      </c>
      <c r="AB54" s="10" t="str">
        <f t="shared" si="16"/>
        <v>0_Pre</v>
      </c>
      <c r="AC54" s="10" t="str">
        <f t="shared" si="17"/>
        <v>0_Pre</v>
      </c>
      <c r="AD54" s="10" t="str">
        <f t="shared" si="18"/>
        <v>1_pre sample median</v>
      </c>
      <c r="AE54" s="10" t="str">
        <f t="shared" si="19"/>
        <v>1_pre sample first tertile</v>
      </c>
      <c r="AF54" t="s">
        <v>67</v>
      </c>
      <c r="AG54" t="s">
        <v>75</v>
      </c>
      <c r="AH54" t="s">
        <v>78</v>
      </c>
      <c r="AI54" t="s">
        <v>123</v>
      </c>
      <c r="AJ54" t="s">
        <v>123</v>
      </c>
      <c r="AK54" t="str">
        <f>VLOOKUP(MID($AR54,1,255),country_lookup!$B:$F,2,FALSE)</f>
        <v>1_US</v>
      </c>
      <c r="AL54" t="str">
        <f>VLOOKUP(MID($AR54,1,255),country_lookup!$B:$F,3,FALSE)</f>
        <v>1_developed</v>
      </c>
      <c r="AM54" t="str">
        <f>VLOOKUP(MID($AR54,1,255),country_lookup!$B:$F,4,FALSE)</f>
        <v>1_western</v>
      </c>
      <c r="AN54" t="str">
        <f>VLOOKUP(MID($AR54,1,255),country_lookup!$B:$F,5,FALSE)</f>
        <v>1_common law</v>
      </c>
      <c r="AO54" s="10" t="str">
        <f>VLOOKUP(MID($AS54,1,255),source_lookup!$B:$K,4,FALSE)</f>
        <v>1_not published</v>
      </c>
      <c r="AP54" s="10" t="str">
        <f>VLOOKUP(MID($AS54,1,255),source_lookup!$B:$K,6,FALSE)</f>
        <v>99_NA</v>
      </c>
      <c r="AQ54" s="10" t="str">
        <f>VLOOKUP(MID($AS54,1,255),source_lookup!$B:$K,10,FALSE)</f>
        <v>1_fin/acc/econ</v>
      </c>
      <c r="AR54" t="s">
        <v>85</v>
      </c>
      <c r="AS54" t="s">
        <v>127</v>
      </c>
    </row>
    <row r="55" spans="1:45" x14ac:dyDescent="0.3">
      <c r="A55" t="s">
        <v>3</v>
      </c>
      <c r="B55">
        <v>54</v>
      </c>
      <c r="C55" s="1">
        <v>6.2838330461602527E-3</v>
      </c>
      <c r="D55" s="2">
        <v>1094</v>
      </c>
      <c r="E55" s="4">
        <v>13128</v>
      </c>
      <c r="F55" s="4" t="s">
        <v>346</v>
      </c>
      <c r="G55" s="4" t="s">
        <v>346</v>
      </c>
      <c r="H55" t="s">
        <v>77</v>
      </c>
      <c r="I55" t="s">
        <v>350</v>
      </c>
      <c r="J55" s="3">
        <v>1995</v>
      </c>
      <c r="K55" s="3">
        <v>2006</v>
      </c>
      <c r="L55" s="6">
        <f t="shared" si="11"/>
        <v>2000.5</v>
      </c>
      <c r="M55" s="6">
        <f t="shared" si="12"/>
        <v>2000.5</v>
      </c>
      <c r="N55" s="7">
        <f t="shared" si="0"/>
        <v>0</v>
      </c>
      <c r="O55" s="7">
        <f t="shared" si="1"/>
        <v>0</v>
      </c>
      <c r="P55" s="7">
        <f t="shared" si="2"/>
        <v>0</v>
      </c>
      <c r="Q55" s="7">
        <f t="shared" si="13"/>
        <v>0</v>
      </c>
      <c r="R55" s="10" t="str">
        <f t="shared" si="3"/>
        <v>0_Pre</v>
      </c>
      <c r="S55" s="10" t="str">
        <f t="shared" si="4"/>
        <v>0_Pre</v>
      </c>
      <c r="T55" s="10" t="str">
        <f t="shared" si="5"/>
        <v>0_Pre</v>
      </c>
      <c r="U55" s="10" t="str">
        <f t="shared" si="6"/>
        <v>0_Pre</v>
      </c>
      <c r="V55" s="10" t="str">
        <f t="shared" si="14"/>
        <v>0_Pre</v>
      </c>
      <c r="W55" s="10" t="str">
        <f t="shared" si="7"/>
        <v>clean_pre</v>
      </c>
      <c r="X55" s="10" t="str">
        <f t="shared" si="8"/>
        <v>0_Pre</v>
      </c>
      <c r="Y55" s="10" t="str">
        <f t="shared" si="9"/>
        <v>0_Pre</v>
      </c>
      <c r="Z55" s="10" t="str">
        <f t="shared" si="10"/>
        <v>0_Pre</v>
      </c>
      <c r="AA55" s="10" t="str">
        <f t="shared" si="15"/>
        <v>0_Pre</v>
      </c>
      <c r="AB55" s="10" t="str">
        <f t="shared" si="16"/>
        <v>0_Pre</v>
      </c>
      <c r="AC55" s="10" t="str">
        <f t="shared" si="17"/>
        <v>0_Pre</v>
      </c>
      <c r="AD55" s="10" t="str">
        <f t="shared" si="18"/>
        <v>1_pre sample median</v>
      </c>
      <c r="AE55" s="10" t="str">
        <f t="shared" si="19"/>
        <v>1_pre sample first tertile</v>
      </c>
      <c r="AF55" t="s">
        <v>67</v>
      </c>
      <c r="AG55" t="s">
        <v>75</v>
      </c>
      <c r="AH55" t="s">
        <v>78</v>
      </c>
      <c r="AI55" t="s">
        <v>123</v>
      </c>
      <c r="AJ55" t="s">
        <v>123</v>
      </c>
      <c r="AK55" t="str">
        <f>VLOOKUP(MID($AR55,1,255),country_lookup!$B:$F,2,FALSE)</f>
        <v>1_US</v>
      </c>
      <c r="AL55" t="str">
        <f>VLOOKUP(MID($AR55,1,255),country_lookup!$B:$F,3,FALSE)</f>
        <v>1_developed</v>
      </c>
      <c r="AM55" t="str">
        <f>VLOOKUP(MID($AR55,1,255),country_lookup!$B:$F,4,FALSE)</f>
        <v>1_western</v>
      </c>
      <c r="AN55" t="str">
        <f>VLOOKUP(MID($AR55,1,255),country_lookup!$B:$F,5,FALSE)</f>
        <v>1_common law</v>
      </c>
      <c r="AO55" s="10" t="str">
        <f>VLOOKUP(MID($AS55,1,255),source_lookup!$B:$K,4,FALSE)</f>
        <v>1_not published</v>
      </c>
      <c r="AP55" s="10" t="str">
        <f>VLOOKUP(MID($AS55,1,255),source_lookup!$B:$K,6,FALSE)</f>
        <v>99_NA</v>
      </c>
      <c r="AQ55" s="10" t="str">
        <f>VLOOKUP(MID($AS55,1,255),source_lookup!$B:$K,10,FALSE)</f>
        <v>1_fin/acc/econ</v>
      </c>
      <c r="AR55" t="s">
        <v>85</v>
      </c>
      <c r="AS55" t="s">
        <v>127</v>
      </c>
    </row>
    <row r="56" spans="1:45" x14ac:dyDescent="0.3">
      <c r="A56" t="s">
        <v>3</v>
      </c>
      <c r="B56">
        <v>55</v>
      </c>
      <c r="C56" s="1">
        <v>-1.6580385084595192E-2</v>
      </c>
      <c r="D56" s="2">
        <v>1094</v>
      </c>
      <c r="E56" s="4">
        <v>13128</v>
      </c>
      <c r="F56" s="4" t="s">
        <v>346</v>
      </c>
      <c r="G56" s="4" t="s">
        <v>346</v>
      </c>
      <c r="H56" t="s">
        <v>77</v>
      </c>
      <c r="I56" t="s">
        <v>350</v>
      </c>
      <c r="J56" s="3">
        <v>1995</v>
      </c>
      <c r="K56" s="3">
        <v>2006</v>
      </c>
      <c r="L56" s="6">
        <f t="shared" si="11"/>
        <v>2000.5</v>
      </c>
      <c r="M56" s="6">
        <f t="shared" si="12"/>
        <v>2000.5</v>
      </c>
      <c r="N56" s="7">
        <f t="shared" si="0"/>
        <v>0</v>
      </c>
      <c r="O56" s="7">
        <f t="shared" si="1"/>
        <v>0</v>
      </c>
      <c r="P56" s="7">
        <f t="shared" si="2"/>
        <v>0</v>
      </c>
      <c r="Q56" s="7">
        <f t="shared" si="13"/>
        <v>0</v>
      </c>
      <c r="R56" s="10" t="str">
        <f t="shared" si="3"/>
        <v>0_Pre</v>
      </c>
      <c r="S56" s="10" t="str">
        <f t="shared" si="4"/>
        <v>0_Pre</v>
      </c>
      <c r="T56" s="10" t="str">
        <f t="shared" si="5"/>
        <v>0_Pre</v>
      </c>
      <c r="U56" s="10" t="str">
        <f t="shared" si="6"/>
        <v>0_Pre</v>
      </c>
      <c r="V56" s="10" t="str">
        <f t="shared" si="14"/>
        <v>0_Pre</v>
      </c>
      <c r="W56" s="10" t="str">
        <f t="shared" si="7"/>
        <v>clean_pre</v>
      </c>
      <c r="X56" s="10" t="str">
        <f t="shared" si="8"/>
        <v>0_Pre</v>
      </c>
      <c r="Y56" s="10" t="str">
        <f t="shared" si="9"/>
        <v>0_Pre</v>
      </c>
      <c r="Z56" s="10" t="str">
        <f t="shared" si="10"/>
        <v>0_Pre</v>
      </c>
      <c r="AA56" s="10" t="str">
        <f t="shared" si="15"/>
        <v>0_Pre</v>
      </c>
      <c r="AB56" s="10" t="str">
        <f t="shared" si="16"/>
        <v>0_Pre</v>
      </c>
      <c r="AC56" s="10" t="str">
        <f t="shared" si="17"/>
        <v>0_Pre</v>
      </c>
      <c r="AD56" s="10" t="str">
        <f t="shared" si="18"/>
        <v>1_pre sample median</v>
      </c>
      <c r="AE56" s="10" t="str">
        <f t="shared" si="19"/>
        <v>1_pre sample first tertile</v>
      </c>
      <c r="AF56" t="s">
        <v>67</v>
      </c>
      <c r="AG56" t="s">
        <v>75</v>
      </c>
      <c r="AH56" t="s">
        <v>78</v>
      </c>
      <c r="AI56" t="s">
        <v>123</v>
      </c>
      <c r="AJ56" t="s">
        <v>123</v>
      </c>
      <c r="AK56" t="str">
        <f>VLOOKUP(MID($AR56,1,255),country_lookup!$B:$F,2,FALSE)</f>
        <v>1_US</v>
      </c>
      <c r="AL56" t="str">
        <f>VLOOKUP(MID($AR56,1,255),country_lookup!$B:$F,3,FALSE)</f>
        <v>1_developed</v>
      </c>
      <c r="AM56" t="str">
        <f>VLOOKUP(MID($AR56,1,255),country_lookup!$B:$F,4,FALSE)</f>
        <v>1_western</v>
      </c>
      <c r="AN56" t="str">
        <f>VLOOKUP(MID($AR56,1,255),country_lookup!$B:$F,5,FALSE)</f>
        <v>1_common law</v>
      </c>
      <c r="AO56" s="10" t="str">
        <f>VLOOKUP(MID($AS56,1,255),source_lookup!$B:$K,4,FALSE)</f>
        <v>1_not published</v>
      </c>
      <c r="AP56" s="10" t="str">
        <f>VLOOKUP(MID($AS56,1,255),source_lookup!$B:$K,6,FALSE)</f>
        <v>99_NA</v>
      </c>
      <c r="AQ56" s="10" t="str">
        <f>VLOOKUP(MID($AS56,1,255),source_lookup!$B:$K,10,FALSE)</f>
        <v>1_fin/acc/econ</v>
      </c>
      <c r="AR56" t="s">
        <v>85</v>
      </c>
      <c r="AS56" t="s">
        <v>127</v>
      </c>
    </row>
    <row r="57" spans="1:45" x14ac:dyDescent="0.3">
      <c r="A57" t="s">
        <v>3</v>
      </c>
      <c r="B57">
        <v>56</v>
      </c>
      <c r="C57" s="1">
        <v>-2.7133210238654028E-2</v>
      </c>
      <c r="D57" s="2">
        <v>1094</v>
      </c>
      <c r="E57" s="4">
        <v>13128</v>
      </c>
      <c r="F57" s="4" t="s">
        <v>346</v>
      </c>
      <c r="G57" s="4" t="s">
        <v>346</v>
      </c>
      <c r="H57" t="s">
        <v>77</v>
      </c>
      <c r="I57" t="s">
        <v>350</v>
      </c>
      <c r="J57" s="3">
        <v>1995</v>
      </c>
      <c r="K57" s="3">
        <v>2006</v>
      </c>
      <c r="L57" s="6">
        <f t="shared" si="11"/>
        <v>2000.5</v>
      </c>
      <c r="M57" s="6">
        <f t="shared" si="12"/>
        <v>2000.5</v>
      </c>
      <c r="N57" s="7">
        <f t="shared" si="0"/>
        <v>0</v>
      </c>
      <c r="O57" s="7">
        <f t="shared" si="1"/>
        <v>0</v>
      </c>
      <c r="P57" s="7">
        <f t="shared" si="2"/>
        <v>0</v>
      </c>
      <c r="Q57" s="7">
        <f t="shared" si="13"/>
        <v>0</v>
      </c>
      <c r="R57" s="10" t="str">
        <f t="shared" si="3"/>
        <v>0_Pre</v>
      </c>
      <c r="S57" s="10" t="str">
        <f t="shared" si="4"/>
        <v>0_Pre</v>
      </c>
      <c r="T57" s="10" t="str">
        <f t="shared" si="5"/>
        <v>0_Pre</v>
      </c>
      <c r="U57" s="10" t="str">
        <f t="shared" si="6"/>
        <v>0_Pre</v>
      </c>
      <c r="V57" s="10" t="str">
        <f t="shared" si="14"/>
        <v>0_Pre</v>
      </c>
      <c r="W57" s="10" t="str">
        <f t="shared" si="7"/>
        <v>clean_pre</v>
      </c>
      <c r="X57" s="10" t="str">
        <f t="shared" si="8"/>
        <v>0_Pre</v>
      </c>
      <c r="Y57" s="10" t="str">
        <f t="shared" si="9"/>
        <v>0_Pre</v>
      </c>
      <c r="Z57" s="10" t="str">
        <f t="shared" si="10"/>
        <v>0_Pre</v>
      </c>
      <c r="AA57" s="10" t="str">
        <f t="shared" si="15"/>
        <v>0_Pre</v>
      </c>
      <c r="AB57" s="10" t="str">
        <f t="shared" si="16"/>
        <v>0_Pre</v>
      </c>
      <c r="AC57" s="10" t="str">
        <f t="shared" si="17"/>
        <v>0_Pre</v>
      </c>
      <c r="AD57" s="10" t="str">
        <f t="shared" si="18"/>
        <v>1_pre sample median</v>
      </c>
      <c r="AE57" s="10" t="str">
        <f t="shared" si="19"/>
        <v>1_pre sample first tertile</v>
      </c>
      <c r="AF57" t="s">
        <v>67</v>
      </c>
      <c r="AG57" t="s">
        <v>75</v>
      </c>
      <c r="AH57" t="s">
        <v>78</v>
      </c>
      <c r="AI57" t="s">
        <v>123</v>
      </c>
      <c r="AJ57" t="s">
        <v>123</v>
      </c>
      <c r="AK57" t="str">
        <f>VLOOKUP(MID($AR57,1,255),country_lookup!$B:$F,2,FALSE)</f>
        <v>1_US</v>
      </c>
      <c r="AL57" t="str">
        <f>VLOOKUP(MID($AR57,1,255),country_lookup!$B:$F,3,FALSE)</f>
        <v>1_developed</v>
      </c>
      <c r="AM57" t="str">
        <f>VLOOKUP(MID($AR57,1,255),country_lookup!$B:$F,4,FALSE)</f>
        <v>1_western</v>
      </c>
      <c r="AN57" t="str">
        <f>VLOOKUP(MID($AR57,1,255),country_lookup!$B:$F,5,FALSE)</f>
        <v>1_common law</v>
      </c>
      <c r="AO57" s="10" t="str">
        <f>VLOOKUP(MID($AS57,1,255),source_lookup!$B:$K,4,FALSE)</f>
        <v>1_not published</v>
      </c>
      <c r="AP57" s="10" t="str">
        <f>VLOOKUP(MID($AS57,1,255),source_lookup!$B:$K,6,FALSE)</f>
        <v>99_NA</v>
      </c>
      <c r="AQ57" s="10" t="str">
        <f>VLOOKUP(MID($AS57,1,255),source_lookup!$B:$K,10,FALSE)</f>
        <v>1_fin/acc/econ</v>
      </c>
      <c r="AR57" t="s">
        <v>85</v>
      </c>
      <c r="AS57" t="s">
        <v>127</v>
      </c>
    </row>
    <row r="58" spans="1:45" x14ac:dyDescent="0.3">
      <c r="A58" t="s">
        <v>3</v>
      </c>
      <c r="B58">
        <v>57</v>
      </c>
      <c r="C58" s="1">
        <v>-2.0331379992321132E-2</v>
      </c>
      <c r="D58" s="2">
        <v>1094</v>
      </c>
      <c r="E58" s="4">
        <v>13128</v>
      </c>
      <c r="F58" s="4" t="s">
        <v>346</v>
      </c>
      <c r="G58" s="4" t="s">
        <v>346</v>
      </c>
      <c r="H58" t="s">
        <v>77</v>
      </c>
      <c r="I58" t="s">
        <v>350</v>
      </c>
      <c r="J58" s="3">
        <v>1995</v>
      </c>
      <c r="K58" s="3">
        <v>2006</v>
      </c>
      <c r="L58" s="6">
        <f t="shared" si="11"/>
        <v>2000.5</v>
      </c>
      <c r="M58" s="6">
        <f t="shared" si="12"/>
        <v>2000.5</v>
      </c>
      <c r="N58" s="7">
        <f t="shared" si="0"/>
        <v>0</v>
      </c>
      <c r="O58" s="7">
        <f t="shared" si="1"/>
        <v>0</v>
      </c>
      <c r="P58" s="7">
        <f t="shared" si="2"/>
        <v>0</v>
      </c>
      <c r="Q58" s="7">
        <f t="shared" si="13"/>
        <v>0</v>
      </c>
      <c r="R58" s="10" t="str">
        <f t="shared" si="3"/>
        <v>0_Pre</v>
      </c>
      <c r="S58" s="10" t="str">
        <f t="shared" si="4"/>
        <v>0_Pre</v>
      </c>
      <c r="T58" s="10" t="str">
        <f t="shared" si="5"/>
        <v>0_Pre</v>
      </c>
      <c r="U58" s="10" t="str">
        <f t="shared" si="6"/>
        <v>0_Pre</v>
      </c>
      <c r="V58" s="10" t="str">
        <f t="shared" si="14"/>
        <v>0_Pre</v>
      </c>
      <c r="W58" s="10" t="str">
        <f t="shared" si="7"/>
        <v>clean_pre</v>
      </c>
      <c r="X58" s="10" t="str">
        <f t="shared" si="8"/>
        <v>0_Pre</v>
      </c>
      <c r="Y58" s="10" t="str">
        <f t="shared" si="9"/>
        <v>0_Pre</v>
      </c>
      <c r="Z58" s="10" t="str">
        <f t="shared" si="10"/>
        <v>0_Pre</v>
      </c>
      <c r="AA58" s="10" t="str">
        <f t="shared" si="15"/>
        <v>0_Pre</v>
      </c>
      <c r="AB58" s="10" t="str">
        <f t="shared" si="16"/>
        <v>0_Pre</v>
      </c>
      <c r="AC58" s="10" t="str">
        <f t="shared" si="17"/>
        <v>0_Pre</v>
      </c>
      <c r="AD58" s="10" t="str">
        <f t="shared" si="18"/>
        <v>1_pre sample median</v>
      </c>
      <c r="AE58" s="10" t="str">
        <f t="shared" si="19"/>
        <v>1_pre sample first tertile</v>
      </c>
      <c r="AF58" t="s">
        <v>67</v>
      </c>
      <c r="AG58" t="s">
        <v>75</v>
      </c>
      <c r="AH58" t="s">
        <v>78</v>
      </c>
      <c r="AI58" t="s">
        <v>123</v>
      </c>
      <c r="AJ58" t="s">
        <v>123</v>
      </c>
      <c r="AK58" t="str">
        <f>VLOOKUP(MID($AR58,1,255),country_lookup!$B:$F,2,FALSE)</f>
        <v>1_US</v>
      </c>
      <c r="AL58" t="str">
        <f>VLOOKUP(MID($AR58,1,255),country_lookup!$B:$F,3,FALSE)</f>
        <v>1_developed</v>
      </c>
      <c r="AM58" t="str">
        <f>VLOOKUP(MID($AR58,1,255),country_lookup!$B:$F,4,FALSE)</f>
        <v>1_western</v>
      </c>
      <c r="AN58" t="str">
        <f>VLOOKUP(MID($AR58,1,255),country_lookup!$B:$F,5,FALSE)</f>
        <v>1_common law</v>
      </c>
      <c r="AO58" s="10" t="str">
        <f>VLOOKUP(MID($AS58,1,255),source_lookup!$B:$K,4,FALSE)</f>
        <v>1_not published</v>
      </c>
      <c r="AP58" s="10" t="str">
        <f>VLOOKUP(MID($AS58,1,255),source_lookup!$B:$K,6,FALSE)</f>
        <v>99_NA</v>
      </c>
      <c r="AQ58" s="10" t="str">
        <f>VLOOKUP(MID($AS58,1,255),source_lookup!$B:$K,10,FALSE)</f>
        <v>1_fin/acc/econ</v>
      </c>
      <c r="AR58" t="s">
        <v>85</v>
      </c>
      <c r="AS58" t="s">
        <v>127</v>
      </c>
    </row>
    <row r="59" spans="1:45" x14ac:dyDescent="0.3">
      <c r="A59" t="s">
        <v>3</v>
      </c>
      <c r="B59">
        <v>58</v>
      </c>
      <c r="C59" s="1">
        <v>8.7277181796796256E-5</v>
      </c>
      <c r="D59" s="2">
        <v>1094</v>
      </c>
      <c r="E59" s="4">
        <v>13128</v>
      </c>
      <c r="F59" s="4" t="s">
        <v>346</v>
      </c>
      <c r="G59" s="4" t="s">
        <v>346</v>
      </c>
      <c r="H59" t="s">
        <v>77</v>
      </c>
      <c r="I59" t="s">
        <v>350</v>
      </c>
      <c r="J59" s="3">
        <v>1995</v>
      </c>
      <c r="K59" s="3">
        <v>2006</v>
      </c>
      <c r="L59" s="6">
        <f t="shared" si="11"/>
        <v>2000.5</v>
      </c>
      <c r="M59" s="6">
        <f t="shared" si="12"/>
        <v>2000.5</v>
      </c>
      <c r="N59" s="7">
        <f t="shared" si="0"/>
        <v>0</v>
      </c>
      <c r="O59" s="7">
        <f t="shared" si="1"/>
        <v>0</v>
      </c>
      <c r="P59" s="7">
        <f t="shared" si="2"/>
        <v>0</v>
      </c>
      <c r="Q59" s="7">
        <f t="shared" si="13"/>
        <v>0</v>
      </c>
      <c r="R59" s="10" t="str">
        <f t="shared" si="3"/>
        <v>0_Pre</v>
      </c>
      <c r="S59" s="10" t="str">
        <f t="shared" si="4"/>
        <v>0_Pre</v>
      </c>
      <c r="T59" s="10" t="str">
        <f t="shared" si="5"/>
        <v>0_Pre</v>
      </c>
      <c r="U59" s="10" t="str">
        <f t="shared" si="6"/>
        <v>0_Pre</v>
      </c>
      <c r="V59" s="10" t="str">
        <f t="shared" si="14"/>
        <v>0_Pre</v>
      </c>
      <c r="W59" s="10" t="str">
        <f t="shared" si="7"/>
        <v>clean_pre</v>
      </c>
      <c r="X59" s="10" t="str">
        <f t="shared" si="8"/>
        <v>0_Pre</v>
      </c>
      <c r="Y59" s="10" t="str">
        <f t="shared" si="9"/>
        <v>0_Pre</v>
      </c>
      <c r="Z59" s="10" t="str">
        <f t="shared" si="10"/>
        <v>0_Pre</v>
      </c>
      <c r="AA59" s="10" t="str">
        <f t="shared" si="15"/>
        <v>0_Pre</v>
      </c>
      <c r="AB59" s="10" t="str">
        <f t="shared" si="16"/>
        <v>0_Pre</v>
      </c>
      <c r="AC59" s="10" t="str">
        <f t="shared" si="17"/>
        <v>0_Pre</v>
      </c>
      <c r="AD59" s="10" t="str">
        <f t="shared" si="18"/>
        <v>1_pre sample median</v>
      </c>
      <c r="AE59" s="10" t="str">
        <f t="shared" si="19"/>
        <v>1_pre sample first tertile</v>
      </c>
      <c r="AF59" t="s">
        <v>67</v>
      </c>
      <c r="AG59" t="s">
        <v>75</v>
      </c>
      <c r="AH59" t="s">
        <v>78</v>
      </c>
      <c r="AI59" t="s">
        <v>123</v>
      </c>
      <c r="AJ59" t="s">
        <v>123</v>
      </c>
      <c r="AK59" t="str">
        <f>VLOOKUP(MID($AR59,1,255),country_lookup!$B:$F,2,FALSE)</f>
        <v>1_US</v>
      </c>
      <c r="AL59" t="str">
        <f>VLOOKUP(MID($AR59,1,255),country_lookup!$B:$F,3,FALSE)</f>
        <v>1_developed</v>
      </c>
      <c r="AM59" t="str">
        <f>VLOOKUP(MID($AR59,1,255),country_lookup!$B:$F,4,FALSE)</f>
        <v>1_western</v>
      </c>
      <c r="AN59" t="str">
        <f>VLOOKUP(MID($AR59,1,255),country_lookup!$B:$F,5,FALSE)</f>
        <v>1_common law</v>
      </c>
      <c r="AO59" s="10" t="str">
        <f>VLOOKUP(MID($AS59,1,255),source_lookup!$B:$K,4,FALSE)</f>
        <v>1_not published</v>
      </c>
      <c r="AP59" s="10" t="str">
        <f>VLOOKUP(MID($AS59,1,255),source_lookup!$B:$K,6,FALSE)</f>
        <v>99_NA</v>
      </c>
      <c r="AQ59" s="10" t="str">
        <f>VLOOKUP(MID($AS59,1,255),source_lookup!$B:$K,10,FALSE)</f>
        <v>1_fin/acc/econ</v>
      </c>
      <c r="AR59" t="s">
        <v>85</v>
      </c>
      <c r="AS59" t="s">
        <v>127</v>
      </c>
    </row>
    <row r="60" spans="1:45" x14ac:dyDescent="0.3">
      <c r="A60" t="s">
        <v>3</v>
      </c>
      <c r="B60">
        <v>59</v>
      </c>
      <c r="C60" s="1">
        <v>-1.7627251581946685E-2</v>
      </c>
      <c r="D60" s="2">
        <v>1094</v>
      </c>
      <c r="E60" s="4">
        <v>13128</v>
      </c>
      <c r="F60" s="4" t="s">
        <v>346</v>
      </c>
      <c r="G60" s="4" t="s">
        <v>346</v>
      </c>
      <c r="H60" t="s">
        <v>77</v>
      </c>
      <c r="I60" t="s">
        <v>350</v>
      </c>
      <c r="J60" s="3">
        <v>1995</v>
      </c>
      <c r="K60" s="3">
        <v>2006</v>
      </c>
      <c r="L60" s="6">
        <f t="shared" si="11"/>
        <v>2000.5</v>
      </c>
      <c r="M60" s="6">
        <f t="shared" si="12"/>
        <v>2000.5</v>
      </c>
      <c r="N60" s="7">
        <f t="shared" si="0"/>
        <v>0</v>
      </c>
      <c r="O60" s="7">
        <f t="shared" si="1"/>
        <v>0</v>
      </c>
      <c r="P60" s="7">
        <f t="shared" si="2"/>
        <v>0</v>
      </c>
      <c r="Q60" s="7">
        <f t="shared" si="13"/>
        <v>0</v>
      </c>
      <c r="R60" s="10" t="str">
        <f t="shared" si="3"/>
        <v>0_Pre</v>
      </c>
      <c r="S60" s="10" t="str">
        <f t="shared" si="4"/>
        <v>0_Pre</v>
      </c>
      <c r="T60" s="10" t="str">
        <f t="shared" si="5"/>
        <v>0_Pre</v>
      </c>
      <c r="U60" s="10" t="str">
        <f t="shared" si="6"/>
        <v>0_Pre</v>
      </c>
      <c r="V60" s="10" t="str">
        <f t="shared" si="14"/>
        <v>0_Pre</v>
      </c>
      <c r="W60" s="10" t="str">
        <f t="shared" si="7"/>
        <v>clean_pre</v>
      </c>
      <c r="X60" s="10" t="str">
        <f t="shared" si="8"/>
        <v>0_Pre</v>
      </c>
      <c r="Y60" s="10" t="str">
        <f t="shared" si="9"/>
        <v>0_Pre</v>
      </c>
      <c r="Z60" s="10" t="str">
        <f t="shared" si="10"/>
        <v>0_Pre</v>
      </c>
      <c r="AA60" s="10" t="str">
        <f t="shared" si="15"/>
        <v>0_Pre</v>
      </c>
      <c r="AB60" s="10" t="str">
        <f t="shared" si="16"/>
        <v>0_Pre</v>
      </c>
      <c r="AC60" s="10" t="str">
        <f t="shared" si="17"/>
        <v>0_Pre</v>
      </c>
      <c r="AD60" s="10" t="str">
        <f t="shared" si="18"/>
        <v>1_pre sample median</v>
      </c>
      <c r="AE60" s="10" t="str">
        <f t="shared" si="19"/>
        <v>1_pre sample first tertile</v>
      </c>
      <c r="AF60" t="s">
        <v>67</v>
      </c>
      <c r="AG60" t="s">
        <v>75</v>
      </c>
      <c r="AH60" t="s">
        <v>78</v>
      </c>
      <c r="AI60" t="s">
        <v>123</v>
      </c>
      <c r="AJ60" t="s">
        <v>123</v>
      </c>
      <c r="AK60" t="str">
        <f>VLOOKUP(MID($AR60,1,255),country_lookup!$B:$F,2,FALSE)</f>
        <v>1_US</v>
      </c>
      <c r="AL60" t="str">
        <f>VLOOKUP(MID($AR60,1,255),country_lookup!$B:$F,3,FALSE)</f>
        <v>1_developed</v>
      </c>
      <c r="AM60" t="str">
        <f>VLOOKUP(MID($AR60,1,255),country_lookup!$B:$F,4,FALSE)</f>
        <v>1_western</v>
      </c>
      <c r="AN60" t="str">
        <f>VLOOKUP(MID($AR60,1,255),country_lookup!$B:$F,5,FALSE)</f>
        <v>1_common law</v>
      </c>
      <c r="AO60" s="10" t="str">
        <f>VLOOKUP(MID($AS60,1,255),source_lookup!$B:$K,4,FALSE)</f>
        <v>1_not published</v>
      </c>
      <c r="AP60" s="10" t="str">
        <f>VLOOKUP(MID($AS60,1,255),source_lookup!$B:$K,6,FALSE)</f>
        <v>99_NA</v>
      </c>
      <c r="AQ60" s="10" t="str">
        <f>VLOOKUP(MID($AS60,1,255),source_lookup!$B:$K,10,FALSE)</f>
        <v>1_fin/acc/econ</v>
      </c>
      <c r="AR60" t="s">
        <v>85</v>
      </c>
      <c r="AS60" t="s">
        <v>127</v>
      </c>
    </row>
    <row r="61" spans="1:45" x14ac:dyDescent="0.3">
      <c r="A61" t="s">
        <v>3</v>
      </c>
      <c r="B61">
        <v>60</v>
      </c>
      <c r="C61" s="1">
        <v>5.1492854772504206E-3</v>
      </c>
      <c r="D61" s="2">
        <v>1094</v>
      </c>
      <c r="E61" s="4">
        <v>13128</v>
      </c>
      <c r="F61" s="4" t="s">
        <v>346</v>
      </c>
      <c r="G61" s="4" t="s">
        <v>346</v>
      </c>
      <c r="H61" t="s">
        <v>77</v>
      </c>
      <c r="I61" t="s">
        <v>350</v>
      </c>
      <c r="J61" s="3">
        <v>1995</v>
      </c>
      <c r="K61" s="3">
        <v>2006</v>
      </c>
      <c r="L61" s="6">
        <f t="shared" si="11"/>
        <v>2000.5</v>
      </c>
      <c r="M61" s="6">
        <f t="shared" si="12"/>
        <v>2000.5</v>
      </c>
      <c r="N61" s="7">
        <f t="shared" si="0"/>
        <v>0</v>
      </c>
      <c r="O61" s="7">
        <f t="shared" si="1"/>
        <v>0</v>
      </c>
      <c r="P61" s="7">
        <f t="shared" si="2"/>
        <v>0</v>
      </c>
      <c r="Q61" s="7">
        <f t="shared" si="13"/>
        <v>0</v>
      </c>
      <c r="R61" s="10" t="str">
        <f t="shared" si="3"/>
        <v>0_Pre</v>
      </c>
      <c r="S61" s="10" t="str">
        <f t="shared" si="4"/>
        <v>0_Pre</v>
      </c>
      <c r="T61" s="10" t="str">
        <f t="shared" si="5"/>
        <v>0_Pre</v>
      </c>
      <c r="U61" s="10" t="str">
        <f t="shared" si="6"/>
        <v>0_Pre</v>
      </c>
      <c r="V61" s="10" t="str">
        <f t="shared" si="14"/>
        <v>0_Pre</v>
      </c>
      <c r="W61" s="10" t="str">
        <f t="shared" si="7"/>
        <v>clean_pre</v>
      </c>
      <c r="X61" s="10" t="str">
        <f t="shared" si="8"/>
        <v>0_Pre</v>
      </c>
      <c r="Y61" s="10" t="str">
        <f t="shared" si="9"/>
        <v>0_Pre</v>
      </c>
      <c r="Z61" s="10" t="str">
        <f t="shared" si="10"/>
        <v>0_Pre</v>
      </c>
      <c r="AA61" s="10" t="str">
        <f t="shared" si="15"/>
        <v>0_Pre</v>
      </c>
      <c r="AB61" s="10" t="str">
        <f t="shared" si="16"/>
        <v>0_Pre</v>
      </c>
      <c r="AC61" s="10" t="str">
        <f t="shared" si="17"/>
        <v>0_Pre</v>
      </c>
      <c r="AD61" s="10" t="str">
        <f t="shared" si="18"/>
        <v>1_pre sample median</v>
      </c>
      <c r="AE61" s="10" t="str">
        <f t="shared" si="19"/>
        <v>1_pre sample first tertile</v>
      </c>
      <c r="AF61" t="s">
        <v>67</v>
      </c>
      <c r="AG61" t="s">
        <v>75</v>
      </c>
      <c r="AH61" t="s">
        <v>78</v>
      </c>
      <c r="AI61" t="s">
        <v>123</v>
      </c>
      <c r="AJ61" t="s">
        <v>123</v>
      </c>
      <c r="AK61" t="str">
        <f>VLOOKUP(MID($AR61,1,255),country_lookup!$B:$F,2,FALSE)</f>
        <v>1_US</v>
      </c>
      <c r="AL61" t="str">
        <f>VLOOKUP(MID($AR61,1,255),country_lookup!$B:$F,3,FALSE)</f>
        <v>1_developed</v>
      </c>
      <c r="AM61" t="str">
        <f>VLOOKUP(MID($AR61,1,255),country_lookup!$B:$F,4,FALSE)</f>
        <v>1_western</v>
      </c>
      <c r="AN61" t="str">
        <f>VLOOKUP(MID($AR61,1,255),country_lookup!$B:$F,5,FALSE)</f>
        <v>1_common law</v>
      </c>
      <c r="AO61" s="10" t="str">
        <f>VLOOKUP(MID($AS61,1,255),source_lookup!$B:$K,4,FALSE)</f>
        <v>1_not published</v>
      </c>
      <c r="AP61" s="10" t="str">
        <f>VLOOKUP(MID($AS61,1,255),source_lookup!$B:$K,6,FALSE)</f>
        <v>99_NA</v>
      </c>
      <c r="AQ61" s="10" t="str">
        <f>VLOOKUP(MID($AS61,1,255),source_lookup!$B:$K,10,FALSE)</f>
        <v>1_fin/acc/econ</v>
      </c>
      <c r="AR61" t="s">
        <v>85</v>
      </c>
      <c r="AS61" t="s">
        <v>127</v>
      </c>
    </row>
    <row r="62" spans="1:45" x14ac:dyDescent="0.3">
      <c r="A62" t="s">
        <v>3</v>
      </c>
      <c r="B62">
        <v>61</v>
      </c>
      <c r="C62" s="1">
        <v>-5.0670535966098593E-2</v>
      </c>
      <c r="D62" s="2">
        <v>582</v>
      </c>
      <c r="E62" s="4">
        <v>6984</v>
      </c>
      <c r="F62" s="4" t="s">
        <v>346</v>
      </c>
      <c r="G62" s="4" t="s">
        <v>346</v>
      </c>
      <c r="H62" t="s">
        <v>77</v>
      </c>
      <c r="I62" t="s">
        <v>350</v>
      </c>
      <c r="J62" s="3">
        <v>1995</v>
      </c>
      <c r="K62" s="3">
        <v>2006</v>
      </c>
      <c r="L62" s="6">
        <f t="shared" si="11"/>
        <v>2000.5</v>
      </c>
      <c r="M62" s="6">
        <f t="shared" si="12"/>
        <v>2000.5</v>
      </c>
      <c r="N62" s="7">
        <f t="shared" si="0"/>
        <v>0</v>
      </c>
      <c r="O62" s="7">
        <f t="shared" si="1"/>
        <v>0</v>
      </c>
      <c r="P62" s="7">
        <f t="shared" si="2"/>
        <v>0</v>
      </c>
      <c r="Q62" s="7">
        <f t="shared" si="13"/>
        <v>0</v>
      </c>
      <c r="R62" s="10" t="str">
        <f t="shared" si="3"/>
        <v>0_Pre</v>
      </c>
      <c r="S62" s="10" t="str">
        <f t="shared" si="4"/>
        <v>0_Pre</v>
      </c>
      <c r="T62" s="10" t="str">
        <f t="shared" si="5"/>
        <v>0_Pre</v>
      </c>
      <c r="U62" s="10" t="str">
        <f t="shared" si="6"/>
        <v>0_Pre</v>
      </c>
      <c r="V62" s="10" t="str">
        <f t="shared" si="14"/>
        <v>0_Pre</v>
      </c>
      <c r="W62" s="10" t="str">
        <f t="shared" si="7"/>
        <v>clean_pre</v>
      </c>
      <c r="X62" s="10" t="str">
        <f t="shared" si="8"/>
        <v>0_Pre</v>
      </c>
      <c r="Y62" s="10" t="str">
        <f t="shared" si="9"/>
        <v>0_Pre</v>
      </c>
      <c r="Z62" s="10" t="str">
        <f t="shared" si="10"/>
        <v>0_Pre</v>
      </c>
      <c r="AA62" s="10" t="str">
        <f t="shared" si="15"/>
        <v>0_Pre</v>
      </c>
      <c r="AB62" s="10" t="str">
        <f t="shared" si="16"/>
        <v>0_Pre</v>
      </c>
      <c r="AC62" s="10" t="str">
        <f t="shared" si="17"/>
        <v>0_Pre</v>
      </c>
      <c r="AD62" s="10" t="str">
        <f t="shared" si="18"/>
        <v>1_pre sample median</v>
      </c>
      <c r="AE62" s="10" t="str">
        <f t="shared" si="19"/>
        <v>1_pre sample first tertile</v>
      </c>
      <c r="AF62" t="s">
        <v>82</v>
      </c>
      <c r="AG62" t="s">
        <v>75</v>
      </c>
      <c r="AH62" t="s">
        <v>78</v>
      </c>
      <c r="AI62" t="s">
        <v>123</v>
      </c>
      <c r="AJ62" t="s">
        <v>123</v>
      </c>
      <c r="AK62" t="str">
        <f>VLOOKUP(MID($AR62,1,255),country_lookup!$B:$F,2,FALSE)</f>
        <v>1_US</v>
      </c>
      <c r="AL62" t="str">
        <f>VLOOKUP(MID($AR62,1,255),country_lookup!$B:$F,3,FALSE)</f>
        <v>1_developed</v>
      </c>
      <c r="AM62" t="str">
        <f>VLOOKUP(MID($AR62,1,255),country_lookup!$B:$F,4,FALSE)</f>
        <v>1_western</v>
      </c>
      <c r="AN62" t="str">
        <f>VLOOKUP(MID($AR62,1,255),country_lookup!$B:$F,5,FALSE)</f>
        <v>1_common law</v>
      </c>
      <c r="AO62" s="10" t="str">
        <f>VLOOKUP(MID($AS62,1,255),source_lookup!$B:$K,4,FALSE)</f>
        <v>1_not published</v>
      </c>
      <c r="AP62" s="10" t="str">
        <f>VLOOKUP(MID($AS62,1,255),source_lookup!$B:$K,6,FALSE)</f>
        <v>99_NA</v>
      </c>
      <c r="AQ62" s="10" t="str">
        <f>VLOOKUP(MID($AS62,1,255),source_lookup!$B:$K,10,FALSE)</f>
        <v>1_fin/acc/econ</v>
      </c>
      <c r="AR62" t="s">
        <v>85</v>
      </c>
      <c r="AS62" t="s">
        <v>127</v>
      </c>
    </row>
    <row r="63" spans="1:45" x14ac:dyDescent="0.3">
      <c r="A63" t="s">
        <v>3</v>
      </c>
      <c r="B63">
        <v>62</v>
      </c>
      <c r="C63" s="1">
        <v>-3.6113654614173638E-2</v>
      </c>
      <c r="D63" s="2">
        <v>582</v>
      </c>
      <c r="E63" s="4">
        <v>6984</v>
      </c>
      <c r="F63" s="4" t="s">
        <v>346</v>
      </c>
      <c r="G63" s="4" t="s">
        <v>346</v>
      </c>
      <c r="H63" t="s">
        <v>77</v>
      </c>
      <c r="I63" t="s">
        <v>350</v>
      </c>
      <c r="J63" s="3">
        <v>1995</v>
      </c>
      <c r="K63" s="3">
        <v>2006</v>
      </c>
      <c r="L63" s="6">
        <f t="shared" si="11"/>
        <v>2000.5</v>
      </c>
      <c r="M63" s="6">
        <f t="shared" si="12"/>
        <v>2000.5</v>
      </c>
      <c r="N63" s="7">
        <f t="shared" si="0"/>
        <v>0</v>
      </c>
      <c r="O63" s="7">
        <f t="shared" si="1"/>
        <v>0</v>
      </c>
      <c r="P63" s="7">
        <f t="shared" si="2"/>
        <v>0</v>
      </c>
      <c r="Q63" s="7">
        <f t="shared" si="13"/>
        <v>0</v>
      </c>
      <c r="R63" s="10" t="str">
        <f t="shared" si="3"/>
        <v>0_Pre</v>
      </c>
      <c r="S63" s="10" t="str">
        <f t="shared" si="4"/>
        <v>0_Pre</v>
      </c>
      <c r="T63" s="10" t="str">
        <f t="shared" si="5"/>
        <v>0_Pre</v>
      </c>
      <c r="U63" s="10" t="str">
        <f t="shared" si="6"/>
        <v>0_Pre</v>
      </c>
      <c r="V63" s="10" t="str">
        <f t="shared" si="14"/>
        <v>0_Pre</v>
      </c>
      <c r="W63" s="10" t="str">
        <f t="shared" si="7"/>
        <v>clean_pre</v>
      </c>
      <c r="X63" s="10" t="str">
        <f t="shared" si="8"/>
        <v>0_Pre</v>
      </c>
      <c r="Y63" s="10" t="str">
        <f t="shared" si="9"/>
        <v>0_Pre</v>
      </c>
      <c r="Z63" s="10" t="str">
        <f t="shared" si="10"/>
        <v>0_Pre</v>
      </c>
      <c r="AA63" s="10" t="str">
        <f t="shared" si="15"/>
        <v>0_Pre</v>
      </c>
      <c r="AB63" s="10" t="str">
        <f t="shared" si="16"/>
        <v>0_Pre</v>
      </c>
      <c r="AC63" s="10" t="str">
        <f t="shared" si="17"/>
        <v>0_Pre</v>
      </c>
      <c r="AD63" s="10" t="str">
        <f t="shared" si="18"/>
        <v>1_pre sample median</v>
      </c>
      <c r="AE63" s="10" t="str">
        <f t="shared" si="19"/>
        <v>1_pre sample first tertile</v>
      </c>
      <c r="AF63" t="s">
        <v>82</v>
      </c>
      <c r="AG63" t="s">
        <v>75</v>
      </c>
      <c r="AH63" t="s">
        <v>78</v>
      </c>
      <c r="AI63" t="s">
        <v>123</v>
      </c>
      <c r="AJ63" t="s">
        <v>123</v>
      </c>
      <c r="AK63" t="str">
        <f>VLOOKUP(MID($AR63,1,255),country_lookup!$B:$F,2,FALSE)</f>
        <v>1_US</v>
      </c>
      <c r="AL63" t="str">
        <f>VLOOKUP(MID($AR63,1,255),country_lookup!$B:$F,3,FALSE)</f>
        <v>1_developed</v>
      </c>
      <c r="AM63" t="str">
        <f>VLOOKUP(MID($AR63,1,255),country_lookup!$B:$F,4,FALSE)</f>
        <v>1_western</v>
      </c>
      <c r="AN63" t="str">
        <f>VLOOKUP(MID($AR63,1,255),country_lookup!$B:$F,5,FALSE)</f>
        <v>1_common law</v>
      </c>
      <c r="AO63" s="10" t="str">
        <f>VLOOKUP(MID($AS63,1,255),source_lookup!$B:$K,4,FALSE)</f>
        <v>1_not published</v>
      </c>
      <c r="AP63" s="10" t="str">
        <f>VLOOKUP(MID($AS63,1,255),source_lookup!$B:$K,6,FALSE)</f>
        <v>99_NA</v>
      </c>
      <c r="AQ63" s="10" t="str">
        <f>VLOOKUP(MID($AS63,1,255),source_lookup!$B:$K,10,FALSE)</f>
        <v>1_fin/acc/econ</v>
      </c>
      <c r="AR63" t="s">
        <v>85</v>
      </c>
      <c r="AS63" t="s">
        <v>127</v>
      </c>
    </row>
    <row r="64" spans="1:45" x14ac:dyDescent="0.3">
      <c r="A64" t="s">
        <v>3</v>
      </c>
      <c r="B64">
        <v>63</v>
      </c>
      <c r="C64" s="1">
        <v>-4.5470213314342195E-3</v>
      </c>
      <c r="D64" s="2">
        <v>582</v>
      </c>
      <c r="E64" s="4">
        <v>6984</v>
      </c>
      <c r="F64" s="4" t="s">
        <v>346</v>
      </c>
      <c r="G64" s="4" t="s">
        <v>346</v>
      </c>
      <c r="H64" t="s">
        <v>77</v>
      </c>
      <c r="I64" t="s">
        <v>350</v>
      </c>
      <c r="J64" s="3">
        <v>1995</v>
      </c>
      <c r="K64" s="3">
        <v>2006</v>
      </c>
      <c r="L64" s="6">
        <f t="shared" si="11"/>
        <v>2000.5</v>
      </c>
      <c r="M64" s="6">
        <f t="shared" si="12"/>
        <v>2000.5</v>
      </c>
      <c r="N64" s="7">
        <f t="shared" si="0"/>
        <v>0</v>
      </c>
      <c r="O64" s="7">
        <f t="shared" si="1"/>
        <v>0</v>
      </c>
      <c r="P64" s="7">
        <f t="shared" si="2"/>
        <v>0</v>
      </c>
      <c r="Q64" s="7">
        <f t="shared" si="13"/>
        <v>0</v>
      </c>
      <c r="R64" s="10" t="str">
        <f t="shared" si="3"/>
        <v>0_Pre</v>
      </c>
      <c r="S64" s="10" t="str">
        <f t="shared" si="4"/>
        <v>0_Pre</v>
      </c>
      <c r="T64" s="10" t="str">
        <f t="shared" si="5"/>
        <v>0_Pre</v>
      </c>
      <c r="U64" s="10" t="str">
        <f t="shared" si="6"/>
        <v>0_Pre</v>
      </c>
      <c r="V64" s="10" t="str">
        <f t="shared" si="14"/>
        <v>0_Pre</v>
      </c>
      <c r="W64" s="10" t="str">
        <f t="shared" si="7"/>
        <v>clean_pre</v>
      </c>
      <c r="X64" s="10" t="str">
        <f t="shared" si="8"/>
        <v>0_Pre</v>
      </c>
      <c r="Y64" s="10" t="str">
        <f t="shared" si="9"/>
        <v>0_Pre</v>
      </c>
      <c r="Z64" s="10" t="str">
        <f t="shared" si="10"/>
        <v>0_Pre</v>
      </c>
      <c r="AA64" s="10" t="str">
        <f t="shared" si="15"/>
        <v>0_Pre</v>
      </c>
      <c r="AB64" s="10" t="str">
        <f t="shared" si="16"/>
        <v>0_Pre</v>
      </c>
      <c r="AC64" s="10" t="str">
        <f t="shared" si="17"/>
        <v>0_Pre</v>
      </c>
      <c r="AD64" s="10" t="str">
        <f t="shared" si="18"/>
        <v>1_pre sample median</v>
      </c>
      <c r="AE64" s="10" t="str">
        <f t="shared" si="19"/>
        <v>1_pre sample first tertile</v>
      </c>
      <c r="AF64" t="s">
        <v>82</v>
      </c>
      <c r="AG64" t="s">
        <v>75</v>
      </c>
      <c r="AH64" t="s">
        <v>78</v>
      </c>
      <c r="AI64" t="s">
        <v>123</v>
      </c>
      <c r="AJ64" t="s">
        <v>123</v>
      </c>
      <c r="AK64" t="str">
        <f>VLOOKUP(MID($AR64,1,255),country_lookup!$B:$F,2,FALSE)</f>
        <v>1_US</v>
      </c>
      <c r="AL64" t="str">
        <f>VLOOKUP(MID($AR64,1,255),country_lookup!$B:$F,3,FALSE)</f>
        <v>1_developed</v>
      </c>
      <c r="AM64" t="str">
        <f>VLOOKUP(MID($AR64,1,255),country_lookup!$B:$F,4,FALSE)</f>
        <v>1_western</v>
      </c>
      <c r="AN64" t="str">
        <f>VLOOKUP(MID($AR64,1,255),country_lookup!$B:$F,5,FALSE)</f>
        <v>1_common law</v>
      </c>
      <c r="AO64" s="10" t="str">
        <f>VLOOKUP(MID($AS64,1,255),source_lookup!$B:$K,4,FALSE)</f>
        <v>1_not published</v>
      </c>
      <c r="AP64" s="10" t="str">
        <f>VLOOKUP(MID($AS64,1,255),source_lookup!$B:$K,6,FALSE)</f>
        <v>99_NA</v>
      </c>
      <c r="AQ64" s="10" t="str">
        <f>VLOOKUP(MID($AS64,1,255),source_lookup!$B:$K,10,FALSE)</f>
        <v>1_fin/acc/econ</v>
      </c>
      <c r="AR64" t="s">
        <v>85</v>
      </c>
      <c r="AS64" t="s">
        <v>127</v>
      </c>
    </row>
    <row r="65" spans="1:45" x14ac:dyDescent="0.3">
      <c r="A65" t="s">
        <v>3</v>
      </c>
      <c r="B65">
        <v>64</v>
      </c>
      <c r="C65" s="1">
        <v>1.4118436460032344E-2</v>
      </c>
      <c r="D65" s="2">
        <v>582</v>
      </c>
      <c r="E65" s="4">
        <v>6984</v>
      </c>
      <c r="F65" s="4" t="s">
        <v>346</v>
      </c>
      <c r="G65" s="4" t="s">
        <v>346</v>
      </c>
      <c r="H65" t="s">
        <v>77</v>
      </c>
      <c r="I65" t="s">
        <v>350</v>
      </c>
      <c r="J65" s="3">
        <v>1995</v>
      </c>
      <c r="K65" s="3">
        <v>2006</v>
      </c>
      <c r="L65" s="6">
        <f t="shared" si="11"/>
        <v>2000.5</v>
      </c>
      <c r="M65" s="6">
        <f t="shared" si="12"/>
        <v>2000.5</v>
      </c>
      <c r="N65" s="7">
        <f t="shared" si="0"/>
        <v>0</v>
      </c>
      <c r="O65" s="7">
        <f t="shared" si="1"/>
        <v>0</v>
      </c>
      <c r="P65" s="7">
        <f t="shared" si="2"/>
        <v>0</v>
      </c>
      <c r="Q65" s="7">
        <f t="shared" si="13"/>
        <v>0</v>
      </c>
      <c r="R65" s="10" t="str">
        <f t="shared" si="3"/>
        <v>0_Pre</v>
      </c>
      <c r="S65" s="10" t="str">
        <f t="shared" si="4"/>
        <v>0_Pre</v>
      </c>
      <c r="T65" s="10" t="str">
        <f t="shared" si="5"/>
        <v>0_Pre</v>
      </c>
      <c r="U65" s="10" t="str">
        <f t="shared" si="6"/>
        <v>0_Pre</v>
      </c>
      <c r="V65" s="10" t="str">
        <f t="shared" si="14"/>
        <v>0_Pre</v>
      </c>
      <c r="W65" s="10" t="str">
        <f t="shared" si="7"/>
        <v>clean_pre</v>
      </c>
      <c r="X65" s="10" t="str">
        <f t="shared" si="8"/>
        <v>0_Pre</v>
      </c>
      <c r="Y65" s="10" t="str">
        <f t="shared" si="9"/>
        <v>0_Pre</v>
      </c>
      <c r="Z65" s="10" t="str">
        <f t="shared" si="10"/>
        <v>0_Pre</v>
      </c>
      <c r="AA65" s="10" t="str">
        <f t="shared" si="15"/>
        <v>0_Pre</v>
      </c>
      <c r="AB65" s="10" t="str">
        <f t="shared" si="16"/>
        <v>0_Pre</v>
      </c>
      <c r="AC65" s="10" t="str">
        <f t="shared" si="17"/>
        <v>0_Pre</v>
      </c>
      <c r="AD65" s="10" t="str">
        <f t="shared" si="18"/>
        <v>1_pre sample median</v>
      </c>
      <c r="AE65" s="10" t="str">
        <f t="shared" si="19"/>
        <v>1_pre sample first tertile</v>
      </c>
      <c r="AF65" t="s">
        <v>82</v>
      </c>
      <c r="AG65" t="s">
        <v>75</v>
      </c>
      <c r="AH65" t="s">
        <v>78</v>
      </c>
      <c r="AI65" t="s">
        <v>123</v>
      </c>
      <c r="AJ65" t="s">
        <v>123</v>
      </c>
      <c r="AK65" t="str">
        <f>VLOOKUP(MID($AR65,1,255),country_lookup!$B:$F,2,FALSE)</f>
        <v>1_US</v>
      </c>
      <c r="AL65" t="str">
        <f>VLOOKUP(MID($AR65,1,255),country_lookup!$B:$F,3,FALSE)</f>
        <v>1_developed</v>
      </c>
      <c r="AM65" t="str">
        <f>VLOOKUP(MID($AR65,1,255),country_lookup!$B:$F,4,FALSE)</f>
        <v>1_western</v>
      </c>
      <c r="AN65" t="str">
        <f>VLOOKUP(MID($AR65,1,255),country_lookup!$B:$F,5,FALSE)</f>
        <v>1_common law</v>
      </c>
      <c r="AO65" s="10" t="str">
        <f>VLOOKUP(MID($AS65,1,255),source_lookup!$B:$K,4,FALSE)</f>
        <v>1_not published</v>
      </c>
      <c r="AP65" s="10" t="str">
        <f>VLOOKUP(MID($AS65,1,255),source_lookup!$B:$K,6,FALSE)</f>
        <v>99_NA</v>
      </c>
      <c r="AQ65" s="10" t="str">
        <f>VLOOKUP(MID($AS65,1,255),source_lookup!$B:$K,10,FALSE)</f>
        <v>1_fin/acc/econ</v>
      </c>
      <c r="AR65" t="s">
        <v>85</v>
      </c>
      <c r="AS65" t="s">
        <v>127</v>
      </c>
    </row>
    <row r="66" spans="1:45" x14ac:dyDescent="0.3">
      <c r="A66" t="s">
        <v>3</v>
      </c>
      <c r="B66">
        <v>65</v>
      </c>
      <c r="C66" s="1">
        <v>-1.3281054480706546E-2</v>
      </c>
      <c r="D66" s="2">
        <v>582</v>
      </c>
      <c r="E66" s="4">
        <v>6984</v>
      </c>
      <c r="F66" s="4" t="s">
        <v>346</v>
      </c>
      <c r="G66" s="4" t="s">
        <v>346</v>
      </c>
      <c r="H66" t="s">
        <v>77</v>
      </c>
      <c r="I66" t="s">
        <v>350</v>
      </c>
      <c r="J66" s="3">
        <v>1995</v>
      </c>
      <c r="K66" s="3">
        <v>2006</v>
      </c>
      <c r="L66" s="6">
        <f t="shared" si="11"/>
        <v>2000.5</v>
      </c>
      <c r="M66" s="6">
        <f t="shared" si="12"/>
        <v>2000.5</v>
      </c>
      <c r="N66" s="7">
        <f t="shared" ref="N66:N129" si="20">MAX(0,$K66-MAX($J66,2016)+1)/($K66-$J66+1)</f>
        <v>0</v>
      </c>
      <c r="O66" s="7">
        <f t="shared" ref="O66:O129" si="21">MAX(0,$K66-MAX($J66,2017)+1)/($K66-$J66+1)</f>
        <v>0</v>
      </c>
      <c r="P66" s="7">
        <f t="shared" ref="P66:P129" si="22">MAX(0,$K66-MAX($J66,2018)+1)/($K66-$J66+1)</f>
        <v>0</v>
      </c>
      <c r="Q66" s="7">
        <f t="shared" si="13"/>
        <v>0</v>
      </c>
      <c r="R66" s="10" t="str">
        <f t="shared" ref="R66:R129" si="23">IF(N66&gt;=0.5,"1_Post","0_Pre")</f>
        <v>0_Pre</v>
      </c>
      <c r="S66" s="10" t="str">
        <f t="shared" ref="S66:S129" si="24">IF($L66&gt;=2016,"1_Post","0_Pre")</f>
        <v>0_Pre</v>
      </c>
      <c r="T66" s="10" t="str">
        <f t="shared" ref="T66:T129" si="25">IF($M66&gt;=2016,"1_Post","0_Pre")</f>
        <v>0_Pre</v>
      </c>
      <c r="U66" s="10" t="str">
        <f t="shared" ref="U66:U129" si="26">IF($K66&gt;=2016,"1_Post","0_Pre")</f>
        <v>0_Pre</v>
      </c>
      <c r="V66" s="10" t="str">
        <f t="shared" si="14"/>
        <v>0_Pre</v>
      </c>
      <c r="W66" s="10" t="str">
        <f t="shared" ref="W66:W129" si="27">IF($K66&lt;=2015,"clean_pre",IF($J66&gt;=2016,"clean_post","straddle"))</f>
        <v>clean_pre</v>
      </c>
      <c r="X66" s="10" t="str">
        <f t="shared" ref="X66:X129" si="28">IF(O66&gt;=0.5,"1_Post","0_Pre")</f>
        <v>0_Pre</v>
      </c>
      <c r="Y66" s="10" t="str">
        <f t="shared" ref="Y66:Y129" si="29">IF(P66&gt;=0.5,"1_Post","0_Pre")</f>
        <v>0_Pre</v>
      </c>
      <c r="Z66" s="10" t="str">
        <f t="shared" ref="Z66:Z129" si="30">IF(Q66&gt;=0.5,"1_Post","0_Pre")</f>
        <v>0_Pre</v>
      </c>
      <c r="AA66" s="10" t="str">
        <f t="shared" si="15"/>
        <v>0_Pre</v>
      </c>
      <c r="AB66" s="10" t="str">
        <f t="shared" si="16"/>
        <v>0_Pre</v>
      </c>
      <c r="AC66" s="10" t="str">
        <f t="shared" si="17"/>
        <v>0_Pre</v>
      </c>
      <c r="AD66" s="10" t="str">
        <f t="shared" si="18"/>
        <v>1_pre sample median</v>
      </c>
      <c r="AE66" s="10" t="str">
        <f t="shared" si="19"/>
        <v>1_pre sample first tertile</v>
      </c>
      <c r="AF66" t="s">
        <v>82</v>
      </c>
      <c r="AG66" t="s">
        <v>75</v>
      </c>
      <c r="AH66" t="s">
        <v>78</v>
      </c>
      <c r="AI66" t="s">
        <v>123</v>
      </c>
      <c r="AJ66" t="s">
        <v>123</v>
      </c>
      <c r="AK66" t="str">
        <f>VLOOKUP(MID($AR66,1,255),country_lookup!$B:$F,2,FALSE)</f>
        <v>1_US</v>
      </c>
      <c r="AL66" t="str">
        <f>VLOOKUP(MID($AR66,1,255),country_lookup!$B:$F,3,FALSE)</f>
        <v>1_developed</v>
      </c>
      <c r="AM66" t="str">
        <f>VLOOKUP(MID($AR66,1,255),country_lookup!$B:$F,4,FALSE)</f>
        <v>1_western</v>
      </c>
      <c r="AN66" t="str">
        <f>VLOOKUP(MID($AR66,1,255),country_lookup!$B:$F,5,FALSE)</f>
        <v>1_common law</v>
      </c>
      <c r="AO66" s="10" t="str">
        <f>VLOOKUP(MID($AS66,1,255),source_lookup!$B:$K,4,FALSE)</f>
        <v>1_not published</v>
      </c>
      <c r="AP66" s="10" t="str">
        <f>VLOOKUP(MID($AS66,1,255),source_lookup!$B:$K,6,FALSE)</f>
        <v>99_NA</v>
      </c>
      <c r="AQ66" s="10" t="str">
        <f>VLOOKUP(MID($AS66,1,255),source_lookup!$B:$K,10,FALSE)</f>
        <v>1_fin/acc/econ</v>
      </c>
      <c r="AR66" t="s">
        <v>85</v>
      </c>
      <c r="AS66" t="s">
        <v>127</v>
      </c>
    </row>
    <row r="67" spans="1:45" x14ac:dyDescent="0.3">
      <c r="A67" t="s">
        <v>3</v>
      </c>
      <c r="B67">
        <v>66</v>
      </c>
      <c r="C67" s="1">
        <v>-3.0857499292762009E-2</v>
      </c>
      <c r="D67" s="2">
        <v>582</v>
      </c>
      <c r="E67" s="4">
        <v>6984</v>
      </c>
      <c r="F67" s="4" t="s">
        <v>346</v>
      </c>
      <c r="G67" s="4" t="s">
        <v>346</v>
      </c>
      <c r="H67" t="s">
        <v>77</v>
      </c>
      <c r="I67" t="s">
        <v>350</v>
      </c>
      <c r="J67" s="3">
        <v>1995</v>
      </c>
      <c r="K67" s="3">
        <v>2006</v>
      </c>
      <c r="L67" s="6">
        <f t="shared" ref="L67:L130" si="31">ROUND(AVERAGE(J67:K67),100)</f>
        <v>2000.5</v>
      </c>
      <c r="M67" s="6">
        <f t="shared" ref="M67:M130" si="32">ROUND(MEDIAN(J67:K67),100)</f>
        <v>2000.5</v>
      </c>
      <c r="N67" s="7">
        <f t="shared" si="20"/>
        <v>0</v>
      </c>
      <c r="O67" s="7">
        <f t="shared" si="21"/>
        <v>0</v>
      </c>
      <c r="P67" s="7">
        <f t="shared" si="22"/>
        <v>0</v>
      </c>
      <c r="Q67" s="7">
        <f t="shared" ref="Q67:Q130" si="33">MAX(0,$K67-MAX($J67,2019)+1)/($K67-$J67+1)</f>
        <v>0</v>
      </c>
      <c r="R67" s="10" t="str">
        <f t="shared" si="23"/>
        <v>0_Pre</v>
      </c>
      <c r="S67" s="10" t="str">
        <f t="shared" si="24"/>
        <v>0_Pre</v>
      </c>
      <c r="T67" s="10" t="str">
        <f t="shared" si="25"/>
        <v>0_Pre</v>
      </c>
      <c r="U67" s="10" t="str">
        <f t="shared" si="26"/>
        <v>0_Pre</v>
      </c>
      <c r="V67" s="10" t="str">
        <f t="shared" ref="V67:V130" si="34">IF($J67&lt;=2017,"0_Pre","1_Post")</f>
        <v>0_Pre</v>
      </c>
      <c r="W67" s="10" t="str">
        <f t="shared" si="27"/>
        <v>clean_pre</v>
      </c>
      <c r="X67" s="10" t="str">
        <f t="shared" si="28"/>
        <v>0_Pre</v>
      </c>
      <c r="Y67" s="10" t="str">
        <f t="shared" si="29"/>
        <v>0_Pre</v>
      </c>
      <c r="Z67" s="10" t="str">
        <f t="shared" si="30"/>
        <v>0_Pre</v>
      </c>
      <c r="AA67" s="10" t="str">
        <f t="shared" ref="AA67:AA130" si="35">IF($K67&gt;=2017,"1_Post","0_Pre")</f>
        <v>0_Pre</v>
      </c>
      <c r="AB67" s="10" t="str">
        <f t="shared" ref="AB67:AB130" si="36">IF($K67&gt;=2018,"1_Post","0_Pre")</f>
        <v>0_Pre</v>
      </c>
      <c r="AC67" s="10" t="str">
        <f t="shared" ref="AC67:AC130" si="37">IF($K67&gt;=2019,"1_Post","0_Pre")</f>
        <v>0_Pre</v>
      </c>
      <c r="AD67" s="10" t="str">
        <f t="shared" ref="AD67:AD130" si="38">IF(L67&lt;MEDIAN($L$2:$L$1307),"1_pre sample median","2_post sample median")</f>
        <v>1_pre sample median</v>
      </c>
      <c r="AE67" s="10" t="str">
        <f t="shared" ref="AE67:AE130" si="39">IF(L67&lt;=PERCENTILE($L$2:$L$1307,0.33),"1_pre sample first tertile",IF(L67&gt;=PERCENTILE($L$2:$L$1307,0.67),"3_post sample third tertile","2_in sample second tertile"))</f>
        <v>1_pre sample first tertile</v>
      </c>
      <c r="AF67" t="s">
        <v>82</v>
      </c>
      <c r="AG67" t="s">
        <v>75</v>
      </c>
      <c r="AH67" t="s">
        <v>78</v>
      </c>
      <c r="AI67" t="s">
        <v>123</v>
      </c>
      <c r="AJ67" t="s">
        <v>123</v>
      </c>
      <c r="AK67" t="str">
        <f>VLOOKUP(MID($AR67,1,255),country_lookup!$B:$F,2,FALSE)</f>
        <v>1_US</v>
      </c>
      <c r="AL67" t="str">
        <f>VLOOKUP(MID($AR67,1,255),country_lookup!$B:$F,3,FALSE)</f>
        <v>1_developed</v>
      </c>
      <c r="AM67" t="str">
        <f>VLOOKUP(MID($AR67,1,255),country_lookup!$B:$F,4,FALSE)</f>
        <v>1_western</v>
      </c>
      <c r="AN67" t="str">
        <f>VLOOKUP(MID($AR67,1,255),country_lookup!$B:$F,5,FALSE)</f>
        <v>1_common law</v>
      </c>
      <c r="AO67" s="10" t="str">
        <f>VLOOKUP(MID($AS67,1,255),source_lookup!$B:$K,4,FALSE)</f>
        <v>1_not published</v>
      </c>
      <c r="AP67" s="10" t="str">
        <f>VLOOKUP(MID($AS67,1,255),source_lookup!$B:$K,6,FALSE)</f>
        <v>99_NA</v>
      </c>
      <c r="AQ67" s="10" t="str">
        <f>VLOOKUP(MID($AS67,1,255),source_lookup!$B:$K,10,FALSE)</f>
        <v>1_fin/acc/econ</v>
      </c>
      <c r="AR67" t="s">
        <v>85</v>
      </c>
      <c r="AS67" t="s">
        <v>127</v>
      </c>
    </row>
    <row r="68" spans="1:45" x14ac:dyDescent="0.3">
      <c r="A68" t="s">
        <v>3</v>
      </c>
      <c r="B68">
        <v>67</v>
      </c>
      <c r="C68" s="1">
        <v>-6.5811405967884573E-3</v>
      </c>
      <c r="D68" s="2">
        <v>582</v>
      </c>
      <c r="E68" s="4">
        <v>6984</v>
      </c>
      <c r="F68" s="4" t="s">
        <v>346</v>
      </c>
      <c r="G68" s="4" t="s">
        <v>346</v>
      </c>
      <c r="H68" t="s">
        <v>77</v>
      </c>
      <c r="I68" t="s">
        <v>350</v>
      </c>
      <c r="J68" s="3">
        <v>1995</v>
      </c>
      <c r="K68" s="3">
        <v>2006</v>
      </c>
      <c r="L68" s="6">
        <f t="shared" si="31"/>
        <v>2000.5</v>
      </c>
      <c r="M68" s="6">
        <f t="shared" si="32"/>
        <v>2000.5</v>
      </c>
      <c r="N68" s="7">
        <f t="shared" si="20"/>
        <v>0</v>
      </c>
      <c r="O68" s="7">
        <f t="shared" si="21"/>
        <v>0</v>
      </c>
      <c r="P68" s="7">
        <f t="shared" si="22"/>
        <v>0</v>
      </c>
      <c r="Q68" s="7">
        <f t="shared" si="33"/>
        <v>0</v>
      </c>
      <c r="R68" s="10" t="str">
        <f t="shared" si="23"/>
        <v>0_Pre</v>
      </c>
      <c r="S68" s="10" t="str">
        <f t="shared" si="24"/>
        <v>0_Pre</v>
      </c>
      <c r="T68" s="10" t="str">
        <f t="shared" si="25"/>
        <v>0_Pre</v>
      </c>
      <c r="U68" s="10" t="str">
        <f t="shared" si="26"/>
        <v>0_Pre</v>
      </c>
      <c r="V68" s="10" t="str">
        <f t="shared" si="34"/>
        <v>0_Pre</v>
      </c>
      <c r="W68" s="10" t="str">
        <f t="shared" si="27"/>
        <v>clean_pre</v>
      </c>
      <c r="X68" s="10" t="str">
        <f t="shared" si="28"/>
        <v>0_Pre</v>
      </c>
      <c r="Y68" s="10" t="str">
        <f t="shared" si="29"/>
        <v>0_Pre</v>
      </c>
      <c r="Z68" s="10" t="str">
        <f t="shared" si="30"/>
        <v>0_Pre</v>
      </c>
      <c r="AA68" s="10" t="str">
        <f t="shared" si="35"/>
        <v>0_Pre</v>
      </c>
      <c r="AB68" s="10" t="str">
        <f t="shared" si="36"/>
        <v>0_Pre</v>
      </c>
      <c r="AC68" s="10" t="str">
        <f t="shared" si="37"/>
        <v>0_Pre</v>
      </c>
      <c r="AD68" s="10" t="str">
        <f t="shared" si="38"/>
        <v>1_pre sample median</v>
      </c>
      <c r="AE68" s="10" t="str">
        <f t="shared" si="39"/>
        <v>1_pre sample first tertile</v>
      </c>
      <c r="AF68" t="s">
        <v>82</v>
      </c>
      <c r="AG68" t="s">
        <v>75</v>
      </c>
      <c r="AH68" t="s">
        <v>78</v>
      </c>
      <c r="AI68" t="s">
        <v>123</v>
      </c>
      <c r="AJ68" t="s">
        <v>123</v>
      </c>
      <c r="AK68" t="str">
        <f>VLOOKUP(MID($AR68,1,255),country_lookup!$B:$F,2,FALSE)</f>
        <v>1_US</v>
      </c>
      <c r="AL68" t="str">
        <f>VLOOKUP(MID($AR68,1,255),country_lookup!$B:$F,3,FALSE)</f>
        <v>1_developed</v>
      </c>
      <c r="AM68" t="str">
        <f>VLOOKUP(MID($AR68,1,255),country_lookup!$B:$F,4,FALSE)</f>
        <v>1_western</v>
      </c>
      <c r="AN68" t="str">
        <f>VLOOKUP(MID($AR68,1,255),country_lookup!$B:$F,5,FALSE)</f>
        <v>1_common law</v>
      </c>
      <c r="AO68" s="10" t="str">
        <f>VLOOKUP(MID($AS68,1,255),source_lookup!$B:$K,4,FALSE)</f>
        <v>1_not published</v>
      </c>
      <c r="AP68" s="10" t="str">
        <f>VLOOKUP(MID($AS68,1,255),source_lookup!$B:$K,6,FALSE)</f>
        <v>99_NA</v>
      </c>
      <c r="AQ68" s="10" t="str">
        <f>VLOOKUP(MID($AS68,1,255),source_lookup!$B:$K,10,FALSE)</f>
        <v>1_fin/acc/econ</v>
      </c>
      <c r="AR68" t="s">
        <v>85</v>
      </c>
      <c r="AS68" t="s">
        <v>127</v>
      </c>
    </row>
    <row r="69" spans="1:45" x14ac:dyDescent="0.3">
      <c r="A69" t="s">
        <v>3</v>
      </c>
      <c r="B69">
        <v>68</v>
      </c>
      <c r="C69" s="1">
        <v>1.0529469244852671E-2</v>
      </c>
      <c r="D69" s="2">
        <v>582</v>
      </c>
      <c r="E69" s="4">
        <v>6984</v>
      </c>
      <c r="F69" s="4" t="s">
        <v>346</v>
      </c>
      <c r="G69" s="4" t="s">
        <v>346</v>
      </c>
      <c r="H69" t="s">
        <v>77</v>
      </c>
      <c r="I69" t="s">
        <v>350</v>
      </c>
      <c r="J69" s="3">
        <v>1995</v>
      </c>
      <c r="K69" s="3">
        <v>2006</v>
      </c>
      <c r="L69" s="6">
        <f t="shared" si="31"/>
        <v>2000.5</v>
      </c>
      <c r="M69" s="6">
        <f t="shared" si="32"/>
        <v>2000.5</v>
      </c>
      <c r="N69" s="7">
        <f t="shared" si="20"/>
        <v>0</v>
      </c>
      <c r="O69" s="7">
        <f t="shared" si="21"/>
        <v>0</v>
      </c>
      <c r="P69" s="7">
        <f t="shared" si="22"/>
        <v>0</v>
      </c>
      <c r="Q69" s="7">
        <f t="shared" si="33"/>
        <v>0</v>
      </c>
      <c r="R69" s="10" t="str">
        <f t="shared" si="23"/>
        <v>0_Pre</v>
      </c>
      <c r="S69" s="10" t="str">
        <f t="shared" si="24"/>
        <v>0_Pre</v>
      </c>
      <c r="T69" s="10" t="str">
        <f t="shared" si="25"/>
        <v>0_Pre</v>
      </c>
      <c r="U69" s="10" t="str">
        <f t="shared" si="26"/>
        <v>0_Pre</v>
      </c>
      <c r="V69" s="10" t="str">
        <f t="shared" si="34"/>
        <v>0_Pre</v>
      </c>
      <c r="W69" s="10" t="str">
        <f t="shared" si="27"/>
        <v>clean_pre</v>
      </c>
      <c r="X69" s="10" t="str">
        <f t="shared" si="28"/>
        <v>0_Pre</v>
      </c>
      <c r="Y69" s="10" t="str">
        <f t="shared" si="29"/>
        <v>0_Pre</v>
      </c>
      <c r="Z69" s="10" t="str">
        <f t="shared" si="30"/>
        <v>0_Pre</v>
      </c>
      <c r="AA69" s="10" t="str">
        <f t="shared" si="35"/>
        <v>0_Pre</v>
      </c>
      <c r="AB69" s="10" t="str">
        <f t="shared" si="36"/>
        <v>0_Pre</v>
      </c>
      <c r="AC69" s="10" t="str">
        <f t="shared" si="37"/>
        <v>0_Pre</v>
      </c>
      <c r="AD69" s="10" t="str">
        <f t="shared" si="38"/>
        <v>1_pre sample median</v>
      </c>
      <c r="AE69" s="10" t="str">
        <f t="shared" si="39"/>
        <v>1_pre sample first tertile</v>
      </c>
      <c r="AF69" t="s">
        <v>82</v>
      </c>
      <c r="AG69" t="s">
        <v>75</v>
      </c>
      <c r="AH69" t="s">
        <v>78</v>
      </c>
      <c r="AI69" t="s">
        <v>123</v>
      </c>
      <c r="AJ69" t="s">
        <v>123</v>
      </c>
      <c r="AK69" t="str">
        <f>VLOOKUP(MID($AR69,1,255),country_lookup!$B:$F,2,FALSE)</f>
        <v>1_US</v>
      </c>
      <c r="AL69" t="str">
        <f>VLOOKUP(MID($AR69,1,255),country_lookup!$B:$F,3,FALSE)</f>
        <v>1_developed</v>
      </c>
      <c r="AM69" t="str">
        <f>VLOOKUP(MID($AR69,1,255),country_lookup!$B:$F,4,FALSE)</f>
        <v>1_western</v>
      </c>
      <c r="AN69" t="str">
        <f>VLOOKUP(MID($AR69,1,255),country_lookup!$B:$F,5,FALSE)</f>
        <v>1_common law</v>
      </c>
      <c r="AO69" s="10" t="str">
        <f>VLOOKUP(MID($AS69,1,255),source_lookup!$B:$K,4,FALSE)</f>
        <v>1_not published</v>
      </c>
      <c r="AP69" s="10" t="str">
        <f>VLOOKUP(MID($AS69,1,255),source_lookup!$B:$K,6,FALSE)</f>
        <v>99_NA</v>
      </c>
      <c r="AQ69" s="10" t="str">
        <f>VLOOKUP(MID($AS69,1,255),source_lookup!$B:$K,10,FALSE)</f>
        <v>1_fin/acc/econ</v>
      </c>
      <c r="AR69" t="s">
        <v>85</v>
      </c>
      <c r="AS69" t="s">
        <v>127</v>
      </c>
    </row>
    <row r="70" spans="1:45" x14ac:dyDescent="0.3">
      <c r="A70" t="s">
        <v>3</v>
      </c>
      <c r="B70">
        <v>69</v>
      </c>
      <c r="C70" s="1">
        <v>-1.4477305460520241E-2</v>
      </c>
      <c r="D70" s="2">
        <v>582</v>
      </c>
      <c r="E70" s="4">
        <v>6984</v>
      </c>
      <c r="F70" s="4" t="s">
        <v>346</v>
      </c>
      <c r="G70" s="4" t="s">
        <v>346</v>
      </c>
      <c r="H70" t="s">
        <v>77</v>
      </c>
      <c r="I70" t="s">
        <v>350</v>
      </c>
      <c r="J70" s="3">
        <v>1995</v>
      </c>
      <c r="K70" s="3">
        <v>2006</v>
      </c>
      <c r="L70" s="6">
        <f t="shared" si="31"/>
        <v>2000.5</v>
      </c>
      <c r="M70" s="6">
        <f t="shared" si="32"/>
        <v>2000.5</v>
      </c>
      <c r="N70" s="7">
        <f t="shared" si="20"/>
        <v>0</v>
      </c>
      <c r="O70" s="7">
        <f t="shared" si="21"/>
        <v>0</v>
      </c>
      <c r="P70" s="7">
        <f t="shared" si="22"/>
        <v>0</v>
      </c>
      <c r="Q70" s="7">
        <f t="shared" si="33"/>
        <v>0</v>
      </c>
      <c r="R70" s="10" t="str">
        <f t="shared" si="23"/>
        <v>0_Pre</v>
      </c>
      <c r="S70" s="10" t="str">
        <f t="shared" si="24"/>
        <v>0_Pre</v>
      </c>
      <c r="T70" s="10" t="str">
        <f t="shared" si="25"/>
        <v>0_Pre</v>
      </c>
      <c r="U70" s="10" t="str">
        <f t="shared" si="26"/>
        <v>0_Pre</v>
      </c>
      <c r="V70" s="10" t="str">
        <f t="shared" si="34"/>
        <v>0_Pre</v>
      </c>
      <c r="W70" s="10" t="str">
        <f t="shared" si="27"/>
        <v>clean_pre</v>
      </c>
      <c r="X70" s="10" t="str">
        <f t="shared" si="28"/>
        <v>0_Pre</v>
      </c>
      <c r="Y70" s="10" t="str">
        <f t="shared" si="29"/>
        <v>0_Pre</v>
      </c>
      <c r="Z70" s="10" t="str">
        <f t="shared" si="30"/>
        <v>0_Pre</v>
      </c>
      <c r="AA70" s="10" t="str">
        <f t="shared" si="35"/>
        <v>0_Pre</v>
      </c>
      <c r="AB70" s="10" t="str">
        <f t="shared" si="36"/>
        <v>0_Pre</v>
      </c>
      <c r="AC70" s="10" t="str">
        <f t="shared" si="37"/>
        <v>0_Pre</v>
      </c>
      <c r="AD70" s="10" t="str">
        <f t="shared" si="38"/>
        <v>1_pre sample median</v>
      </c>
      <c r="AE70" s="10" t="str">
        <f t="shared" si="39"/>
        <v>1_pre sample first tertile</v>
      </c>
      <c r="AF70" t="s">
        <v>67</v>
      </c>
      <c r="AG70" t="s">
        <v>75</v>
      </c>
      <c r="AH70" t="s">
        <v>78</v>
      </c>
      <c r="AI70" t="s">
        <v>123</v>
      </c>
      <c r="AJ70" t="s">
        <v>123</v>
      </c>
      <c r="AK70" t="str">
        <f>VLOOKUP(MID($AR70,1,255),country_lookup!$B:$F,2,FALSE)</f>
        <v>1_US</v>
      </c>
      <c r="AL70" t="str">
        <f>VLOOKUP(MID($AR70,1,255),country_lookup!$B:$F,3,FALSE)</f>
        <v>1_developed</v>
      </c>
      <c r="AM70" t="str">
        <f>VLOOKUP(MID($AR70,1,255),country_lookup!$B:$F,4,FALSE)</f>
        <v>1_western</v>
      </c>
      <c r="AN70" t="str">
        <f>VLOOKUP(MID($AR70,1,255),country_lookup!$B:$F,5,FALSE)</f>
        <v>1_common law</v>
      </c>
      <c r="AO70" s="10" t="str">
        <f>VLOOKUP(MID($AS70,1,255),source_lookup!$B:$K,4,FALSE)</f>
        <v>1_not published</v>
      </c>
      <c r="AP70" s="10" t="str">
        <f>VLOOKUP(MID($AS70,1,255),source_lookup!$B:$K,6,FALSE)</f>
        <v>99_NA</v>
      </c>
      <c r="AQ70" s="10" t="str">
        <f>VLOOKUP(MID($AS70,1,255),source_lookup!$B:$K,10,FALSE)</f>
        <v>1_fin/acc/econ</v>
      </c>
      <c r="AR70" t="s">
        <v>85</v>
      </c>
      <c r="AS70" t="s">
        <v>127</v>
      </c>
    </row>
    <row r="71" spans="1:45" x14ac:dyDescent="0.3">
      <c r="A71" t="s">
        <v>3</v>
      </c>
      <c r="B71">
        <v>70</v>
      </c>
      <c r="C71" s="1">
        <v>-2.0577109476352232E-2</v>
      </c>
      <c r="D71" s="2">
        <v>582</v>
      </c>
      <c r="E71" s="4">
        <v>6984</v>
      </c>
      <c r="F71" s="4" t="s">
        <v>346</v>
      </c>
      <c r="G71" s="4" t="s">
        <v>346</v>
      </c>
      <c r="H71" t="s">
        <v>77</v>
      </c>
      <c r="I71" t="s">
        <v>350</v>
      </c>
      <c r="J71" s="3">
        <v>1995</v>
      </c>
      <c r="K71" s="3">
        <v>2006</v>
      </c>
      <c r="L71" s="6">
        <f t="shared" si="31"/>
        <v>2000.5</v>
      </c>
      <c r="M71" s="6">
        <f t="shared" si="32"/>
        <v>2000.5</v>
      </c>
      <c r="N71" s="7">
        <f t="shared" si="20"/>
        <v>0</v>
      </c>
      <c r="O71" s="7">
        <f t="shared" si="21"/>
        <v>0</v>
      </c>
      <c r="P71" s="7">
        <f t="shared" si="22"/>
        <v>0</v>
      </c>
      <c r="Q71" s="7">
        <f t="shared" si="33"/>
        <v>0</v>
      </c>
      <c r="R71" s="10" t="str">
        <f t="shared" si="23"/>
        <v>0_Pre</v>
      </c>
      <c r="S71" s="10" t="str">
        <f t="shared" si="24"/>
        <v>0_Pre</v>
      </c>
      <c r="T71" s="10" t="str">
        <f t="shared" si="25"/>
        <v>0_Pre</v>
      </c>
      <c r="U71" s="10" t="str">
        <f t="shared" si="26"/>
        <v>0_Pre</v>
      </c>
      <c r="V71" s="10" t="str">
        <f t="shared" si="34"/>
        <v>0_Pre</v>
      </c>
      <c r="W71" s="10" t="str">
        <f t="shared" si="27"/>
        <v>clean_pre</v>
      </c>
      <c r="X71" s="10" t="str">
        <f t="shared" si="28"/>
        <v>0_Pre</v>
      </c>
      <c r="Y71" s="10" t="str">
        <f t="shared" si="29"/>
        <v>0_Pre</v>
      </c>
      <c r="Z71" s="10" t="str">
        <f t="shared" si="30"/>
        <v>0_Pre</v>
      </c>
      <c r="AA71" s="10" t="str">
        <f t="shared" si="35"/>
        <v>0_Pre</v>
      </c>
      <c r="AB71" s="10" t="str">
        <f t="shared" si="36"/>
        <v>0_Pre</v>
      </c>
      <c r="AC71" s="10" t="str">
        <f t="shared" si="37"/>
        <v>0_Pre</v>
      </c>
      <c r="AD71" s="10" t="str">
        <f t="shared" si="38"/>
        <v>1_pre sample median</v>
      </c>
      <c r="AE71" s="10" t="str">
        <f t="shared" si="39"/>
        <v>1_pre sample first tertile</v>
      </c>
      <c r="AF71" t="s">
        <v>67</v>
      </c>
      <c r="AG71" t="s">
        <v>75</v>
      </c>
      <c r="AH71" t="s">
        <v>78</v>
      </c>
      <c r="AI71" t="s">
        <v>123</v>
      </c>
      <c r="AJ71" t="s">
        <v>123</v>
      </c>
      <c r="AK71" t="str">
        <f>VLOOKUP(MID($AR71,1,255),country_lookup!$B:$F,2,FALSE)</f>
        <v>1_US</v>
      </c>
      <c r="AL71" t="str">
        <f>VLOOKUP(MID($AR71,1,255),country_lookup!$B:$F,3,FALSE)</f>
        <v>1_developed</v>
      </c>
      <c r="AM71" t="str">
        <f>VLOOKUP(MID($AR71,1,255),country_lookup!$B:$F,4,FALSE)</f>
        <v>1_western</v>
      </c>
      <c r="AN71" t="str">
        <f>VLOOKUP(MID($AR71,1,255),country_lookup!$B:$F,5,FALSE)</f>
        <v>1_common law</v>
      </c>
      <c r="AO71" s="10" t="str">
        <f>VLOOKUP(MID($AS71,1,255),source_lookup!$B:$K,4,FALSE)</f>
        <v>1_not published</v>
      </c>
      <c r="AP71" s="10" t="str">
        <f>VLOOKUP(MID($AS71,1,255),source_lookup!$B:$K,6,FALSE)</f>
        <v>99_NA</v>
      </c>
      <c r="AQ71" s="10" t="str">
        <f>VLOOKUP(MID($AS71,1,255),source_lookup!$B:$K,10,FALSE)</f>
        <v>1_fin/acc/econ</v>
      </c>
      <c r="AR71" t="s">
        <v>85</v>
      </c>
      <c r="AS71" t="s">
        <v>127</v>
      </c>
    </row>
    <row r="72" spans="1:45" x14ac:dyDescent="0.3">
      <c r="A72" t="s">
        <v>3</v>
      </c>
      <c r="B72">
        <v>71</v>
      </c>
      <c r="C72" s="1">
        <v>-1.1486572685923567E-2</v>
      </c>
      <c r="D72" s="2">
        <v>582</v>
      </c>
      <c r="E72" s="4">
        <v>6984</v>
      </c>
      <c r="F72" s="4" t="s">
        <v>346</v>
      </c>
      <c r="G72" s="4" t="s">
        <v>346</v>
      </c>
      <c r="H72" t="s">
        <v>77</v>
      </c>
      <c r="I72" t="s">
        <v>350</v>
      </c>
      <c r="J72" s="3">
        <v>1995</v>
      </c>
      <c r="K72" s="3">
        <v>2006</v>
      </c>
      <c r="L72" s="6">
        <f t="shared" si="31"/>
        <v>2000.5</v>
      </c>
      <c r="M72" s="6">
        <f t="shared" si="32"/>
        <v>2000.5</v>
      </c>
      <c r="N72" s="7">
        <f t="shared" si="20"/>
        <v>0</v>
      </c>
      <c r="O72" s="7">
        <f t="shared" si="21"/>
        <v>0</v>
      </c>
      <c r="P72" s="7">
        <f t="shared" si="22"/>
        <v>0</v>
      </c>
      <c r="Q72" s="7">
        <f t="shared" si="33"/>
        <v>0</v>
      </c>
      <c r="R72" s="10" t="str">
        <f t="shared" si="23"/>
        <v>0_Pre</v>
      </c>
      <c r="S72" s="10" t="str">
        <f t="shared" si="24"/>
        <v>0_Pre</v>
      </c>
      <c r="T72" s="10" t="str">
        <f t="shared" si="25"/>
        <v>0_Pre</v>
      </c>
      <c r="U72" s="10" t="str">
        <f t="shared" si="26"/>
        <v>0_Pre</v>
      </c>
      <c r="V72" s="10" t="str">
        <f t="shared" si="34"/>
        <v>0_Pre</v>
      </c>
      <c r="W72" s="10" t="str">
        <f t="shared" si="27"/>
        <v>clean_pre</v>
      </c>
      <c r="X72" s="10" t="str">
        <f t="shared" si="28"/>
        <v>0_Pre</v>
      </c>
      <c r="Y72" s="10" t="str">
        <f t="shared" si="29"/>
        <v>0_Pre</v>
      </c>
      <c r="Z72" s="10" t="str">
        <f t="shared" si="30"/>
        <v>0_Pre</v>
      </c>
      <c r="AA72" s="10" t="str">
        <f t="shared" si="35"/>
        <v>0_Pre</v>
      </c>
      <c r="AB72" s="10" t="str">
        <f t="shared" si="36"/>
        <v>0_Pre</v>
      </c>
      <c r="AC72" s="10" t="str">
        <f t="shared" si="37"/>
        <v>0_Pre</v>
      </c>
      <c r="AD72" s="10" t="str">
        <f t="shared" si="38"/>
        <v>1_pre sample median</v>
      </c>
      <c r="AE72" s="10" t="str">
        <f t="shared" si="39"/>
        <v>1_pre sample first tertile</v>
      </c>
      <c r="AF72" t="s">
        <v>67</v>
      </c>
      <c r="AG72" t="s">
        <v>75</v>
      </c>
      <c r="AH72" t="s">
        <v>78</v>
      </c>
      <c r="AI72" t="s">
        <v>123</v>
      </c>
      <c r="AJ72" t="s">
        <v>123</v>
      </c>
      <c r="AK72" t="str">
        <f>VLOOKUP(MID($AR72,1,255),country_lookup!$B:$F,2,FALSE)</f>
        <v>1_US</v>
      </c>
      <c r="AL72" t="str">
        <f>VLOOKUP(MID($AR72,1,255),country_lookup!$B:$F,3,FALSE)</f>
        <v>1_developed</v>
      </c>
      <c r="AM72" t="str">
        <f>VLOOKUP(MID($AR72,1,255),country_lookup!$B:$F,4,FALSE)</f>
        <v>1_western</v>
      </c>
      <c r="AN72" t="str">
        <f>VLOOKUP(MID($AR72,1,255),country_lookup!$B:$F,5,FALSE)</f>
        <v>1_common law</v>
      </c>
      <c r="AO72" s="10" t="str">
        <f>VLOOKUP(MID($AS72,1,255),source_lookup!$B:$K,4,FALSE)</f>
        <v>1_not published</v>
      </c>
      <c r="AP72" s="10" t="str">
        <f>VLOOKUP(MID($AS72,1,255),source_lookup!$B:$K,6,FALSE)</f>
        <v>99_NA</v>
      </c>
      <c r="AQ72" s="10" t="str">
        <f>VLOOKUP(MID($AS72,1,255),source_lookup!$B:$K,10,FALSE)</f>
        <v>1_fin/acc/econ</v>
      </c>
      <c r="AR72" t="s">
        <v>85</v>
      </c>
      <c r="AS72" t="s">
        <v>127</v>
      </c>
    </row>
    <row r="73" spans="1:45" x14ac:dyDescent="0.3">
      <c r="A73" t="s">
        <v>3</v>
      </c>
      <c r="B73">
        <v>72</v>
      </c>
      <c r="C73" s="1">
        <v>3.5897905617877593E-4</v>
      </c>
      <c r="D73" s="2">
        <v>582</v>
      </c>
      <c r="E73" s="4">
        <v>6984</v>
      </c>
      <c r="F73" s="4" t="s">
        <v>346</v>
      </c>
      <c r="G73" s="4" t="s">
        <v>346</v>
      </c>
      <c r="H73" t="s">
        <v>77</v>
      </c>
      <c r="I73" t="s">
        <v>350</v>
      </c>
      <c r="J73" s="3">
        <v>1995</v>
      </c>
      <c r="K73" s="3">
        <v>2006</v>
      </c>
      <c r="L73" s="6">
        <f t="shared" si="31"/>
        <v>2000.5</v>
      </c>
      <c r="M73" s="6">
        <f t="shared" si="32"/>
        <v>2000.5</v>
      </c>
      <c r="N73" s="7">
        <f t="shared" si="20"/>
        <v>0</v>
      </c>
      <c r="O73" s="7">
        <f t="shared" si="21"/>
        <v>0</v>
      </c>
      <c r="P73" s="7">
        <f t="shared" si="22"/>
        <v>0</v>
      </c>
      <c r="Q73" s="7">
        <f t="shared" si="33"/>
        <v>0</v>
      </c>
      <c r="R73" s="10" t="str">
        <f t="shared" si="23"/>
        <v>0_Pre</v>
      </c>
      <c r="S73" s="10" t="str">
        <f t="shared" si="24"/>
        <v>0_Pre</v>
      </c>
      <c r="T73" s="10" t="str">
        <f t="shared" si="25"/>
        <v>0_Pre</v>
      </c>
      <c r="U73" s="10" t="str">
        <f t="shared" si="26"/>
        <v>0_Pre</v>
      </c>
      <c r="V73" s="10" t="str">
        <f t="shared" si="34"/>
        <v>0_Pre</v>
      </c>
      <c r="W73" s="10" t="str">
        <f t="shared" si="27"/>
        <v>clean_pre</v>
      </c>
      <c r="X73" s="10" t="str">
        <f t="shared" si="28"/>
        <v>0_Pre</v>
      </c>
      <c r="Y73" s="10" t="str">
        <f t="shared" si="29"/>
        <v>0_Pre</v>
      </c>
      <c r="Z73" s="10" t="str">
        <f t="shared" si="30"/>
        <v>0_Pre</v>
      </c>
      <c r="AA73" s="10" t="str">
        <f t="shared" si="35"/>
        <v>0_Pre</v>
      </c>
      <c r="AB73" s="10" t="str">
        <f t="shared" si="36"/>
        <v>0_Pre</v>
      </c>
      <c r="AC73" s="10" t="str">
        <f t="shared" si="37"/>
        <v>0_Pre</v>
      </c>
      <c r="AD73" s="10" t="str">
        <f t="shared" si="38"/>
        <v>1_pre sample median</v>
      </c>
      <c r="AE73" s="10" t="str">
        <f t="shared" si="39"/>
        <v>1_pre sample first tertile</v>
      </c>
      <c r="AF73" t="s">
        <v>67</v>
      </c>
      <c r="AG73" t="s">
        <v>75</v>
      </c>
      <c r="AH73" t="s">
        <v>78</v>
      </c>
      <c r="AI73" t="s">
        <v>123</v>
      </c>
      <c r="AJ73" t="s">
        <v>123</v>
      </c>
      <c r="AK73" t="str">
        <f>VLOOKUP(MID($AR73,1,255),country_lookup!$B:$F,2,FALSE)</f>
        <v>1_US</v>
      </c>
      <c r="AL73" t="str">
        <f>VLOOKUP(MID($AR73,1,255),country_lookup!$B:$F,3,FALSE)</f>
        <v>1_developed</v>
      </c>
      <c r="AM73" t="str">
        <f>VLOOKUP(MID($AR73,1,255),country_lookup!$B:$F,4,FALSE)</f>
        <v>1_western</v>
      </c>
      <c r="AN73" t="str">
        <f>VLOOKUP(MID($AR73,1,255),country_lookup!$B:$F,5,FALSE)</f>
        <v>1_common law</v>
      </c>
      <c r="AO73" s="10" t="str">
        <f>VLOOKUP(MID($AS73,1,255),source_lookup!$B:$K,4,FALSE)</f>
        <v>1_not published</v>
      </c>
      <c r="AP73" s="10" t="str">
        <f>VLOOKUP(MID($AS73,1,255),source_lookup!$B:$K,6,FALSE)</f>
        <v>99_NA</v>
      </c>
      <c r="AQ73" s="10" t="str">
        <f>VLOOKUP(MID($AS73,1,255),source_lookup!$B:$K,10,FALSE)</f>
        <v>1_fin/acc/econ</v>
      </c>
      <c r="AR73" t="s">
        <v>85</v>
      </c>
      <c r="AS73" t="s">
        <v>127</v>
      </c>
    </row>
    <row r="74" spans="1:45" x14ac:dyDescent="0.3">
      <c r="A74" t="s">
        <v>3</v>
      </c>
      <c r="B74">
        <v>73</v>
      </c>
      <c r="C74" s="1">
        <v>-2.6183153741258462E-4</v>
      </c>
      <c r="D74" s="2">
        <v>1094</v>
      </c>
      <c r="E74" s="4">
        <v>13128</v>
      </c>
      <c r="F74" s="4" t="s">
        <v>346</v>
      </c>
      <c r="G74" s="4" t="s">
        <v>346</v>
      </c>
      <c r="H74" t="s">
        <v>77</v>
      </c>
      <c r="I74" t="s">
        <v>350</v>
      </c>
      <c r="J74" s="3">
        <v>1995</v>
      </c>
      <c r="K74" s="3">
        <v>2006</v>
      </c>
      <c r="L74" s="6">
        <f t="shared" si="31"/>
        <v>2000.5</v>
      </c>
      <c r="M74" s="6">
        <f t="shared" si="32"/>
        <v>2000.5</v>
      </c>
      <c r="N74" s="7">
        <f t="shared" si="20"/>
        <v>0</v>
      </c>
      <c r="O74" s="7">
        <f t="shared" si="21"/>
        <v>0</v>
      </c>
      <c r="P74" s="7">
        <f t="shared" si="22"/>
        <v>0</v>
      </c>
      <c r="Q74" s="7">
        <f t="shared" si="33"/>
        <v>0</v>
      </c>
      <c r="R74" s="10" t="str">
        <f t="shared" si="23"/>
        <v>0_Pre</v>
      </c>
      <c r="S74" s="10" t="str">
        <f t="shared" si="24"/>
        <v>0_Pre</v>
      </c>
      <c r="T74" s="10" t="str">
        <f t="shared" si="25"/>
        <v>0_Pre</v>
      </c>
      <c r="U74" s="10" t="str">
        <f t="shared" si="26"/>
        <v>0_Pre</v>
      </c>
      <c r="V74" s="10" t="str">
        <f t="shared" si="34"/>
        <v>0_Pre</v>
      </c>
      <c r="W74" s="10" t="str">
        <f t="shared" si="27"/>
        <v>clean_pre</v>
      </c>
      <c r="X74" s="10" t="str">
        <f t="shared" si="28"/>
        <v>0_Pre</v>
      </c>
      <c r="Y74" s="10" t="str">
        <f t="shared" si="29"/>
        <v>0_Pre</v>
      </c>
      <c r="Z74" s="10" t="str">
        <f t="shared" si="30"/>
        <v>0_Pre</v>
      </c>
      <c r="AA74" s="10" t="str">
        <f t="shared" si="35"/>
        <v>0_Pre</v>
      </c>
      <c r="AB74" s="10" t="str">
        <f t="shared" si="36"/>
        <v>0_Pre</v>
      </c>
      <c r="AC74" s="10" t="str">
        <f t="shared" si="37"/>
        <v>0_Pre</v>
      </c>
      <c r="AD74" s="10" t="str">
        <f t="shared" si="38"/>
        <v>1_pre sample median</v>
      </c>
      <c r="AE74" s="10" t="str">
        <f t="shared" si="39"/>
        <v>1_pre sample first tertile</v>
      </c>
      <c r="AF74" t="s">
        <v>67</v>
      </c>
      <c r="AG74" t="s">
        <v>75</v>
      </c>
      <c r="AH74" t="s">
        <v>78</v>
      </c>
      <c r="AI74" t="s">
        <v>123</v>
      </c>
      <c r="AJ74" t="s">
        <v>123</v>
      </c>
      <c r="AK74" t="str">
        <f>VLOOKUP(MID($AR74,1,255),country_lookup!$B:$F,2,FALSE)</f>
        <v>1_US</v>
      </c>
      <c r="AL74" t="str">
        <f>VLOOKUP(MID($AR74,1,255),country_lookup!$B:$F,3,FALSE)</f>
        <v>1_developed</v>
      </c>
      <c r="AM74" t="str">
        <f>VLOOKUP(MID($AR74,1,255),country_lookup!$B:$F,4,FALSE)</f>
        <v>1_western</v>
      </c>
      <c r="AN74" t="str">
        <f>VLOOKUP(MID($AR74,1,255),country_lookup!$B:$F,5,FALSE)</f>
        <v>1_common law</v>
      </c>
      <c r="AO74" s="10" t="str">
        <f>VLOOKUP(MID($AS74,1,255),source_lookup!$B:$K,4,FALSE)</f>
        <v>1_not published</v>
      </c>
      <c r="AP74" s="10" t="str">
        <f>VLOOKUP(MID($AS74,1,255),source_lookup!$B:$K,6,FALSE)</f>
        <v>99_NA</v>
      </c>
      <c r="AQ74" s="10" t="str">
        <f>VLOOKUP(MID($AS74,1,255),source_lookup!$B:$K,10,FALSE)</f>
        <v>1_fin/acc/econ</v>
      </c>
      <c r="AR74" t="s">
        <v>85</v>
      </c>
      <c r="AS74" t="s">
        <v>127</v>
      </c>
    </row>
    <row r="75" spans="1:45" x14ac:dyDescent="0.3">
      <c r="A75" t="s">
        <v>3</v>
      </c>
      <c r="B75">
        <v>74</v>
      </c>
      <c r="C75" s="1">
        <v>-1.0385424557472852E-2</v>
      </c>
      <c r="D75" s="2">
        <v>1094</v>
      </c>
      <c r="E75" s="4">
        <v>13128</v>
      </c>
      <c r="F75" s="4" t="s">
        <v>346</v>
      </c>
      <c r="G75" s="4" t="s">
        <v>346</v>
      </c>
      <c r="H75" t="s">
        <v>77</v>
      </c>
      <c r="I75" t="s">
        <v>350</v>
      </c>
      <c r="J75" s="3">
        <v>1995</v>
      </c>
      <c r="K75" s="3">
        <v>2006</v>
      </c>
      <c r="L75" s="6">
        <f t="shared" si="31"/>
        <v>2000.5</v>
      </c>
      <c r="M75" s="6">
        <f t="shared" si="32"/>
        <v>2000.5</v>
      </c>
      <c r="N75" s="7">
        <f t="shared" si="20"/>
        <v>0</v>
      </c>
      <c r="O75" s="7">
        <f t="shared" si="21"/>
        <v>0</v>
      </c>
      <c r="P75" s="7">
        <f t="shared" si="22"/>
        <v>0</v>
      </c>
      <c r="Q75" s="7">
        <f t="shared" si="33"/>
        <v>0</v>
      </c>
      <c r="R75" s="10" t="str">
        <f t="shared" si="23"/>
        <v>0_Pre</v>
      </c>
      <c r="S75" s="10" t="str">
        <f t="shared" si="24"/>
        <v>0_Pre</v>
      </c>
      <c r="T75" s="10" t="str">
        <f t="shared" si="25"/>
        <v>0_Pre</v>
      </c>
      <c r="U75" s="10" t="str">
        <f t="shared" si="26"/>
        <v>0_Pre</v>
      </c>
      <c r="V75" s="10" t="str">
        <f t="shared" si="34"/>
        <v>0_Pre</v>
      </c>
      <c r="W75" s="10" t="str">
        <f t="shared" si="27"/>
        <v>clean_pre</v>
      </c>
      <c r="X75" s="10" t="str">
        <f t="shared" si="28"/>
        <v>0_Pre</v>
      </c>
      <c r="Y75" s="10" t="str">
        <f t="shared" si="29"/>
        <v>0_Pre</v>
      </c>
      <c r="Z75" s="10" t="str">
        <f t="shared" si="30"/>
        <v>0_Pre</v>
      </c>
      <c r="AA75" s="10" t="str">
        <f t="shared" si="35"/>
        <v>0_Pre</v>
      </c>
      <c r="AB75" s="10" t="str">
        <f t="shared" si="36"/>
        <v>0_Pre</v>
      </c>
      <c r="AC75" s="10" t="str">
        <f t="shared" si="37"/>
        <v>0_Pre</v>
      </c>
      <c r="AD75" s="10" t="str">
        <f t="shared" si="38"/>
        <v>1_pre sample median</v>
      </c>
      <c r="AE75" s="10" t="str">
        <f t="shared" si="39"/>
        <v>1_pre sample first tertile</v>
      </c>
      <c r="AF75" t="s">
        <v>67</v>
      </c>
      <c r="AG75" t="s">
        <v>75</v>
      </c>
      <c r="AH75" t="s">
        <v>78</v>
      </c>
      <c r="AI75" t="s">
        <v>123</v>
      </c>
      <c r="AJ75" t="s">
        <v>123</v>
      </c>
      <c r="AK75" t="str">
        <f>VLOOKUP(MID($AR75,1,255),country_lookup!$B:$F,2,FALSE)</f>
        <v>1_US</v>
      </c>
      <c r="AL75" t="str">
        <f>VLOOKUP(MID($AR75,1,255),country_lookup!$B:$F,3,FALSE)</f>
        <v>1_developed</v>
      </c>
      <c r="AM75" t="str">
        <f>VLOOKUP(MID($AR75,1,255),country_lookup!$B:$F,4,FALSE)</f>
        <v>1_western</v>
      </c>
      <c r="AN75" t="str">
        <f>VLOOKUP(MID($AR75,1,255),country_lookup!$B:$F,5,FALSE)</f>
        <v>1_common law</v>
      </c>
      <c r="AO75" s="10" t="str">
        <f>VLOOKUP(MID($AS75,1,255),source_lookup!$B:$K,4,FALSE)</f>
        <v>1_not published</v>
      </c>
      <c r="AP75" s="10" t="str">
        <f>VLOOKUP(MID($AS75,1,255),source_lookup!$B:$K,6,FALSE)</f>
        <v>99_NA</v>
      </c>
      <c r="AQ75" s="10" t="str">
        <f>VLOOKUP(MID($AS75,1,255),source_lookup!$B:$K,10,FALSE)</f>
        <v>1_fin/acc/econ</v>
      </c>
      <c r="AR75" t="s">
        <v>85</v>
      </c>
      <c r="AS75" t="s">
        <v>127</v>
      </c>
    </row>
    <row r="76" spans="1:45" x14ac:dyDescent="0.3">
      <c r="A76" t="s">
        <v>3</v>
      </c>
      <c r="B76">
        <v>75</v>
      </c>
      <c r="C76" s="1">
        <v>-2.1290805254492923E-2</v>
      </c>
      <c r="D76" s="2">
        <v>1094</v>
      </c>
      <c r="E76" s="4">
        <v>13128</v>
      </c>
      <c r="F76" s="4" t="s">
        <v>346</v>
      </c>
      <c r="G76" s="4" t="s">
        <v>346</v>
      </c>
      <c r="H76" t="s">
        <v>77</v>
      </c>
      <c r="I76" t="s">
        <v>350</v>
      </c>
      <c r="J76" s="3">
        <v>1995</v>
      </c>
      <c r="K76" s="3">
        <v>2006</v>
      </c>
      <c r="L76" s="6">
        <f t="shared" si="31"/>
        <v>2000.5</v>
      </c>
      <c r="M76" s="6">
        <f t="shared" si="32"/>
        <v>2000.5</v>
      </c>
      <c r="N76" s="7">
        <f t="shared" si="20"/>
        <v>0</v>
      </c>
      <c r="O76" s="7">
        <f t="shared" si="21"/>
        <v>0</v>
      </c>
      <c r="P76" s="7">
        <f t="shared" si="22"/>
        <v>0</v>
      </c>
      <c r="Q76" s="7">
        <f t="shared" si="33"/>
        <v>0</v>
      </c>
      <c r="R76" s="10" t="str">
        <f t="shared" si="23"/>
        <v>0_Pre</v>
      </c>
      <c r="S76" s="10" t="str">
        <f t="shared" si="24"/>
        <v>0_Pre</v>
      </c>
      <c r="T76" s="10" t="str">
        <f t="shared" si="25"/>
        <v>0_Pre</v>
      </c>
      <c r="U76" s="10" t="str">
        <f t="shared" si="26"/>
        <v>0_Pre</v>
      </c>
      <c r="V76" s="10" t="str">
        <f t="shared" si="34"/>
        <v>0_Pre</v>
      </c>
      <c r="W76" s="10" t="str">
        <f t="shared" si="27"/>
        <v>clean_pre</v>
      </c>
      <c r="X76" s="10" t="str">
        <f t="shared" si="28"/>
        <v>0_Pre</v>
      </c>
      <c r="Y76" s="10" t="str">
        <f t="shared" si="29"/>
        <v>0_Pre</v>
      </c>
      <c r="Z76" s="10" t="str">
        <f t="shared" si="30"/>
        <v>0_Pre</v>
      </c>
      <c r="AA76" s="10" t="str">
        <f t="shared" si="35"/>
        <v>0_Pre</v>
      </c>
      <c r="AB76" s="10" t="str">
        <f t="shared" si="36"/>
        <v>0_Pre</v>
      </c>
      <c r="AC76" s="10" t="str">
        <f t="shared" si="37"/>
        <v>0_Pre</v>
      </c>
      <c r="AD76" s="10" t="str">
        <f t="shared" si="38"/>
        <v>1_pre sample median</v>
      </c>
      <c r="AE76" s="10" t="str">
        <f t="shared" si="39"/>
        <v>1_pre sample first tertile</v>
      </c>
      <c r="AF76" t="s">
        <v>67</v>
      </c>
      <c r="AG76" t="s">
        <v>75</v>
      </c>
      <c r="AH76" t="s">
        <v>78</v>
      </c>
      <c r="AI76" t="s">
        <v>123</v>
      </c>
      <c r="AJ76" t="s">
        <v>123</v>
      </c>
      <c r="AK76" t="str">
        <f>VLOOKUP(MID($AR76,1,255),country_lookup!$B:$F,2,FALSE)</f>
        <v>1_US</v>
      </c>
      <c r="AL76" t="str">
        <f>VLOOKUP(MID($AR76,1,255),country_lookup!$B:$F,3,FALSE)</f>
        <v>1_developed</v>
      </c>
      <c r="AM76" t="str">
        <f>VLOOKUP(MID($AR76,1,255),country_lookup!$B:$F,4,FALSE)</f>
        <v>1_western</v>
      </c>
      <c r="AN76" t="str">
        <f>VLOOKUP(MID($AR76,1,255),country_lookup!$B:$F,5,FALSE)</f>
        <v>1_common law</v>
      </c>
      <c r="AO76" s="10" t="str">
        <f>VLOOKUP(MID($AS76,1,255),source_lookup!$B:$K,4,FALSE)</f>
        <v>1_not published</v>
      </c>
      <c r="AP76" s="10" t="str">
        <f>VLOOKUP(MID($AS76,1,255),source_lookup!$B:$K,6,FALSE)</f>
        <v>99_NA</v>
      </c>
      <c r="AQ76" s="10" t="str">
        <f>VLOOKUP(MID($AS76,1,255),source_lookup!$B:$K,10,FALSE)</f>
        <v>1_fin/acc/econ</v>
      </c>
      <c r="AR76" t="s">
        <v>85</v>
      </c>
      <c r="AS76" t="s">
        <v>127</v>
      </c>
    </row>
    <row r="77" spans="1:45" x14ac:dyDescent="0.3">
      <c r="A77" t="s">
        <v>3</v>
      </c>
      <c r="B77">
        <v>76</v>
      </c>
      <c r="C77" s="1">
        <v>-1.0473256111489999E-3</v>
      </c>
      <c r="D77" s="2">
        <v>1094</v>
      </c>
      <c r="E77" s="4">
        <v>13128</v>
      </c>
      <c r="F77" s="4" t="s">
        <v>346</v>
      </c>
      <c r="G77" s="4" t="s">
        <v>346</v>
      </c>
      <c r="H77" t="s">
        <v>77</v>
      </c>
      <c r="I77" t="s">
        <v>350</v>
      </c>
      <c r="J77" s="3">
        <v>1995</v>
      </c>
      <c r="K77" s="3">
        <v>2006</v>
      </c>
      <c r="L77" s="6">
        <f t="shared" si="31"/>
        <v>2000.5</v>
      </c>
      <c r="M77" s="6">
        <f t="shared" si="32"/>
        <v>2000.5</v>
      </c>
      <c r="N77" s="7">
        <f t="shared" si="20"/>
        <v>0</v>
      </c>
      <c r="O77" s="7">
        <f t="shared" si="21"/>
        <v>0</v>
      </c>
      <c r="P77" s="7">
        <f t="shared" si="22"/>
        <v>0</v>
      </c>
      <c r="Q77" s="7">
        <f t="shared" si="33"/>
        <v>0</v>
      </c>
      <c r="R77" s="10" t="str">
        <f t="shared" si="23"/>
        <v>0_Pre</v>
      </c>
      <c r="S77" s="10" t="str">
        <f t="shared" si="24"/>
        <v>0_Pre</v>
      </c>
      <c r="T77" s="10" t="str">
        <f t="shared" si="25"/>
        <v>0_Pre</v>
      </c>
      <c r="U77" s="10" t="str">
        <f t="shared" si="26"/>
        <v>0_Pre</v>
      </c>
      <c r="V77" s="10" t="str">
        <f t="shared" si="34"/>
        <v>0_Pre</v>
      </c>
      <c r="W77" s="10" t="str">
        <f t="shared" si="27"/>
        <v>clean_pre</v>
      </c>
      <c r="X77" s="10" t="str">
        <f t="shared" si="28"/>
        <v>0_Pre</v>
      </c>
      <c r="Y77" s="10" t="str">
        <f t="shared" si="29"/>
        <v>0_Pre</v>
      </c>
      <c r="Z77" s="10" t="str">
        <f t="shared" si="30"/>
        <v>0_Pre</v>
      </c>
      <c r="AA77" s="10" t="str">
        <f t="shared" si="35"/>
        <v>0_Pre</v>
      </c>
      <c r="AB77" s="10" t="str">
        <f t="shared" si="36"/>
        <v>0_Pre</v>
      </c>
      <c r="AC77" s="10" t="str">
        <f t="shared" si="37"/>
        <v>0_Pre</v>
      </c>
      <c r="AD77" s="10" t="str">
        <f t="shared" si="38"/>
        <v>1_pre sample median</v>
      </c>
      <c r="AE77" s="10" t="str">
        <f t="shared" si="39"/>
        <v>1_pre sample first tertile</v>
      </c>
      <c r="AF77" t="s">
        <v>67</v>
      </c>
      <c r="AG77" t="s">
        <v>75</v>
      </c>
      <c r="AH77" t="s">
        <v>78</v>
      </c>
      <c r="AI77" t="s">
        <v>123</v>
      </c>
      <c r="AJ77" t="s">
        <v>123</v>
      </c>
      <c r="AK77" t="str">
        <f>VLOOKUP(MID($AR77,1,255),country_lookup!$B:$F,2,FALSE)</f>
        <v>1_US</v>
      </c>
      <c r="AL77" t="str">
        <f>VLOOKUP(MID($AR77,1,255),country_lookup!$B:$F,3,FALSE)</f>
        <v>1_developed</v>
      </c>
      <c r="AM77" t="str">
        <f>VLOOKUP(MID($AR77,1,255),country_lookup!$B:$F,4,FALSE)</f>
        <v>1_western</v>
      </c>
      <c r="AN77" t="str">
        <f>VLOOKUP(MID($AR77,1,255),country_lookup!$B:$F,5,FALSE)</f>
        <v>1_common law</v>
      </c>
      <c r="AO77" s="10" t="str">
        <f>VLOOKUP(MID($AS77,1,255),source_lookup!$B:$K,4,FALSE)</f>
        <v>1_not published</v>
      </c>
      <c r="AP77" s="10" t="str">
        <f>VLOOKUP(MID($AS77,1,255),source_lookup!$B:$K,6,FALSE)</f>
        <v>99_NA</v>
      </c>
      <c r="AQ77" s="10" t="str">
        <f>VLOOKUP(MID($AS77,1,255),source_lookup!$B:$K,10,FALSE)</f>
        <v>1_fin/acc/econ</v>
      </c>
      <c r="AR77" t="s">
        <v>85</v>
      </c>
      <c r="AS77" t="s">
        <v>127</v>
      </c>
    </row>
    <row r="78" spans="1:45" x14ac:dyDescent="0.3">
      <c r="A78" t="s">
        <v>3</v>
      </c>
      <c r="B78">
        <v>77</v>
      </c>
      <c r="C78" s="1">
        <v>-5.5436715876674848E-2</v>
      </c>
      <c r="D78" s="2">
        <v>582</v>
      </c>
      <c r="E78" s="4">
        <v>6984</v>
      </c>
      <c r="F78" s="4" t="s">
        <v>346</v>
      </c>
      <c r="G78" s="4" t="s">
        <v>346</v>
      </c>
      <c r="H78" t="s">
        <v>77</v>
      </c>
      <c r="I78" t="s">
        <v>350</v>
      </c>
      <c r="J78" s="3">
        <v>1995</v>
      </c>
      <c r="K78" s="3">
        <v>2006</v>
      </c>
      <c r="L78" s="6">
        <f t="shared" si="31"/>
        <v>2000.5</v>
      </c>
      <c r="M78" s="6">
        <f t="shared" si="32"/>
        <v>2000.5</v>
      </c>
      <c r="N78" s="7">
        <f t="shared" si="20"/>
        <v>0</v>
      </c>
      <c r="O78" s="7">
        <f t="shared" si="21"/>
        <v>0</v>
      </c>
      <c r="P78" s="7">
        <f t="shared" si="22"/>
        <v>0</v>
      </c>
      <c r="Q78" s="7">
        <f t="shared" si="33"/>
        <v>0</v>
      </c>
      <c r="R78" s="10" t="str">
        <f t="shared" si="23"/>
        <v>0_Pre</v>
      </c>
      <c r="S78" s="10" t="str">
        <f t="shared" si="24"/>
        <v>0_Pre</v>
      </c>
      <c r="T78" s="10" t="str">
        <f t="shared" si="25"/>
        <v>0_Pre</v>
      </c>
      <c r="U78" s="10" t="str">
        <f t="shared" si="26"/>
        <v>0_Pre</v>
      </c>
      <c r="V78" s="10" t="str">
        <f t="shared" si="34"/>
        <v>0_Pre</v>
      </c>
      <c r="W78" s="10" t="str">
        <f t="shared" si="27"/>
        <v>clean_pre</v>
      </c>
      <c r="X78" s="10" t="str">
        <f t="shared" si="28"/>
        <v>0_Pre</v>
      </c>
      <c r="Y78" s="10" t="str">
        <f t="shared" si="29"/>
        <v>0_Pre</v>
      </c>
      <c r="Z78" s="10" t="str">
        <f t="shared" si="30"/>
        <v>0_Pre</v>
      </c>
      <c r="AA78" s="10" t="str">
        <f t="shared" si="35"/>
        <v>0_Pre</v>
      </c>
      <c r="AB78" s="10" t="str">
        <f t="shared" si="36"/>
        <v>0_Pre</v>
      </c>
      <c r="AC78" s="10" t="str">
        <f t="shared" si="37"/>
        <v>0_Pre</v>
      </c>
      <c r="AD78" s="10" t="str">
        <f t="shared" si="38"/>
        <v>1_pre sample median</v>
      </c>
      <c r="AE78" s="10" t="str">
        <f t="shared" si="39"/>
        <v>1_pre sample first tertile</v>
      </c>
      <c r="AF78" t="s">
        <v>82</v>
      </c>
      <c r="AG78" t="s">
        <v>75</v>
      </c>
      <c r="AH78" t="s">
        <v>78</v>
      </c>
      <c r="AI78" t="s">
        <v>123</v>
      </c>
      <c r="AJ78" t="s">
        <v>123</v>
      </c>
      <c r="AK78" t="str">
        <f>VLOOKUP(MID($AR78,1,255),country_lookup!$B:$F,2,FALSE)</f>
        <v>1_US</v>
      </c>
      <c r="AL78" t="str">
        <f>VLOOKUP(MID($AR78,1,255),country_lookup!$B:$F,3,FALSE)</f>
        <v>1_developed</v>
      </c>
      <c r="AM78" t="str">
        <f>VLOOKUP(MID($AR78,1,255),country_lookup!$B:$F,4,FALSE)</f>
        <v>1_western</v>
      </c>
      <c r="AN78" t="str">
        <f>VLOOKUP(MID($AR78,1,255),country_lookup!$B:$F,5,FALSE)</f>
        <v>1_common law</v>
      </c>
      <c r="AO78" s="10" t="str">
        <f>VLOOKUP(MID($AS78,1,255),source_lookup!$B:$K,4,FALSE)</f>
        <v>1_not published</v>
      </c>
      <c r="AP78" s="10" t="str">
        <f>VLOOKUP(MID($AS78,1,255),source_lookup!$B:$K,6,FALSE)</f>
        <v>99_NA</v>
      </c>
      <c r="AQ78" s="10" t="str">
        <f>VLOOKUP(MID($AS78,1,255),source_lookup!$B:$K,10,FALSE)</f>
        <v>1_fin/acc/econ</v>
      </c>
      <c r="AR78" t="s">
        <v>85</v>
      </c>
      <c r="AS78" t="s">
        <v>127</v>
      </c>
    </row>
    <row r="79" spans="1:45" x14ac:dyDescent="0.3">
      <c r="A79" t="s">
        <v>3</v>
      </c>
      <c r="B79">
        <v>78</v>
      </c>
      <c r="C79" s="1">
        <v>-3.9576328041339884E-2</v>
      </c>
      <c r="D79" s="2">
        <v>582</v>
      </c>
      <c r="E79" s="4">
        <v>6984</v>
      </c>
      <c r="F79" s="4" t="s">
        <v>346</v>
      </c>
      <c r="G79" s="4" t="s">
        <v>346</v>
      </c>
      <c r="H79" t="s">
        <v>77</v>
      </c>
      <c r="I79" t="s">
        <v>350</v>
      </c>
      <c r="J79" s="3">
        <v>1995</v>
      </c>
      <c r="K79" s="3">
        <v>2006</v>
      </c>
      <c r="L79" s="6">
        <f t="shared" si="31"/>
        <v>2000.5</v>
      </c>
      <c r="M79" s="6">
        <f t="shared" si="32"/>
        <v>2000.5</v>
      </c>
      <c r="N79" s="7">
        <f t="shared" si="20"/>
        <v>0</v>
      </c>
      <c r="O79" s="7">
        <f t="shared" si="21"/>
        <v>0</v>
      </c>
      <c r="P79" s="7">
        <f t="shared" si="22"/>
        <v>0</v>
      </c>
      <c r="Q79" s="7">
        <f t="shared" si="33"/>
        <v>0</v>
      </c>
      <c r="R79" s="10" t="str">
        <f t="shared" si="23"/>
        <v>0_Pre</v>
      </c>
      <c r="S79" s="10" t="str">
        <f t="shared" si="24"/>
        <v>0_Pre</v>
      </c>
      <c r="T79" s="10" t="str">
        <f t="shared" si="25"/>
        <v>0_Pre</v>
      </c>
      <c r="U79" s="10" t="str">
        <f t="shared" si="26"/>
        <v>0_Pre</v>
      </c>
      <c r="V79" s="10" t="str">
        <f t="shared" si="34"/>
        <v>0_Pre</v>
      </c>
      <c r="W79" s="10" t="str">
        <f t="shared" si="27"/>
        <v>clean_pre</v>
      </c>
      <c r="X79" s="10" t="str">
        <f t="shared" si="28"/>
        <v>0_Pre</v>
      </c>
      <c r="Y79" s="10" t="str">
        <f t="shared" si="29"/>
        <v>0_Pre</v>
      </c>
      <c r="Z79" s="10" t="str">
        <f t="shared" si="30"/>
        <v>0_Pre</v>
      </c>
      <c r="AA79" s="10" t="str">
        <f t="shared" si="35"/>
        <v>0_Pre</v>
      </c>
      <c r="AB79" s="10" t="str">
        <f t="shared" si="36"/>
        <v>0_Pre</v>
      </c>
      <c r="AC79" s="10" t="str">
        <f t="shared" si="37"/>
        <v>0_Pre</v>
      </c>
      <c r="AD79" s="10" t="str">
        <f t="shared" si="38"/>
        <v>1_pre sample median</v>
      </c>
      <c r="AE79" s="10" t="str">
        <f t="shared" si="39"/>
        <v>1_pre sample first tertile</v>
      </c>
      <c r="AF79" t="s">
        <v>82</v>
      </c>
      <c r="AG79" t="s">
        <v>75</v>
      </c>
      <c r="AH79" t="s">
        <v>78</v>
      </c>
      <c r="AI79" t="s">
        <v>123</v>
      </c>
      <c r="AJ79" t="s">
        <v>123</v>
      </c>
      <c r="AK79" t="str">
        <f>VLOOKUP(MID($AR79,1,255),country_lookup!$B:$F,2,FALSE)</f>
        <v>1_US</v>
      </c>
      <c r="AL79" t="str">
        <f>VLOOKUP(MID($AR79,1,255),country_lookup!$B:$F,3,FALSE)</f>
        <v>1_developed</v>
      </c>
      <c r="AM79" t="str">
        <f>VLOOKUP(MID($AR79,1,255),country_lookup!$B:$F,4,FALSE)</f>
        <v>1_western</v>
      </c>
      <c r="AN79" t="str">
        <f>VLOOKUP(MID($AR79,1,255),country_lookup!$B:$F,5,FALSE)</f>
        <v>1_common law</v>
      </c>
      <c r="AO79" s="10" t="str">
        <f>VLOOKUP(MID($AS79,1,255),source_lookup!$B:$K,4,FALSE)</f>
        <v>1_not published</v>
      </c>
      <c r="AP79" s="10" t="str">
        <f>VLOOKUP(MID($AS79,1,255),source_lookup!$B:$K,6,FALSE)</f>
        <v>99_NA</v>
      </c>
      <c r="AQ79" s="10" t="str">
        <f>VLOOKUP(MID($AS79,1,255),source_lookup!$B:$K,10,FALSE)</f>
        <v>1_fin/acc/econ</v>
      </c>
      <c r="AR79" t="s">
        <v>85</v>
      </c>
      <c r="AS79" t="s">
        <v>127</v>
      </c>
    </row>
    <row r="80" spans="1:45" x14ac:dyDescent="0.3">
      <c r="A80" t="s">
        <v>3</v>
      </c>
      <c r="B80">
        <v>79</v>
      </c>
      <c r="C80" s="1">
        <v>-8.784824289618122E-2</v>
      </c>
      <c r="D80" s="2">
        <v>582</v>
      </c>
      <c r="E80" s="4">
        <v>6984</v>
      </c>
      <c r="F80" s="4" t="s">
        <v>346</v>
      </c>
      <c r="G80" s="4" t="s">
        <v>346</v>
      </c>
      <c r="H80" t="s">
        <v>77</v>
      </c>
      <c r="I80" t="s">
        <v>350</v>
      </c>
      <c r="J80" s="3">
        <v>1995</v>
      </c>
      <c r="K80" s="3">
        <v>2006</v>
      </c>
      <c r="L80" s="6">
        <f t="shared" si="31"/>
        <v>2000.5</v>
      </c>
      <c r="M80" s="6">
        <f t="shared" si="32"/>
        <v>2000.5</v>
      </c>
      <c r="N80" s="7">
        <f t="shared" si="20"/>
        <v>0</v>
      </c>
      <c r="O80" s="7">
        <f t="shared" si="21"/>
        <v>0</v>
      </c>
      <c r="P80" s="7">
        <f t="shared" si="22"/>
        <v>0</v>
      </c>
      <c r="Q80" s="7">
        <f t="shared" si="33"/>
        <v>0</v>
      </c>
      <c r="R80" s="10" t="str">
        <f t="shared" si="23"/>
        <v>0_Pre</v>
      </c>
      <c r="S80" s="10" t="str">
        <f t="shared" si="24"/>
        <v>0_Pre</v>
      </c>
      <c r="T80" s="10" t="str">
        <f t="shared" si="25"/>
        <v>0_Pre</v>
      </c>
      <c r="U80" s="10" t="str">
        <f t="shared" si="26"/>
        <v>0_Pre</v>
      </c>
      <c r="V80" s="10" t="str">
        <f t="shared" si="34"/>
        <v>0_Pre</v>
      </c>
      <c r="W80" s="10" t="str">
        <f t="shared" si="27"/>
        <v>clean_pre</v>
      </c>
      <c r="X80" s="10" t="str">
        <f t="shared" si="28"/>
        <v>0_Pre</v>
      </c>
      <c r="Y80" s="10" t="str">
        <f t="shared" si="29"/>
        <v>0_Pre</v>
      </c>
      <c r="Z80" s="10" t="str">
        <f t="shared" si="30"/>
        <v>0_Pre</v>
      </c>
      <c r="AA80" s="10" t="str">
        <f t="shared" si="35"/>
        <v>0_Pre</v>
      </c>
      <c r="AB80" s="10" t="str">
        <f t="shared" si="36"/>
        <v>0_Pre</v>
      </c>
      <c r="AC80" s="10" t="str">
        <f t="shared" si="37"/>
        <v>0_Pre</v>
      </c>
      <c r="AD80" s="10" t="str">
        <f t="shared" si="38"/>
        <v>1_pre sample median</v>
      </c>
      <c r="AE80" s="10" t="str">
        <f t="shared" si="39"/>
        <v>1_pre sample first tertile</v>
      </c>
      <c r="AF80" t="s">
        <v>82</v>
      </c>
      <c r="AG80" t="s">
        <v>75</v>
      </c>
      <c r="AH80" t="s">
        <v>78</v>
      </c>
      <c r="AI80" t="s">
        <v>123</v>
      </c>
      <c r="AJ80" t="s">
        <v>123</v>
      </c>
      <c r="AK80" t="str">
        <f>VLOOKUP(MID($AR80,1,255),country_lookup!$B:$F,2,FALSE)</f>
        <v>1_US</v>
      </c>
      <c r="AL80" t="str">
        <f>VLOOKUP(MID($AR80,1,255),country_lookup!$B:$F,3,FALSE)</f>
        <v>1_developed</v>
      </c>
      <c r="AM80" t="str">
        <f>VLOOKUP(MID($AR80,1,255),country_lookup!$B:$F,4,FALSE)</f>
        <v>1_western</v>
      </c>
      <c r="AN80" t="str">
        <f>VLOOKUP(MID($AR80,1,255),country_lookup!$B:$F,5,FALSE)</f>
        <v>1_common law</v>
      </c>
      <c r="AO80" s="10" t="str">
        <f>VLOOKUP(MID($AS80,1,255),source_lookup!$B:$K,4,FALSE)</f>
        <v>1_not published</v>
      </c>
      <c r="AP80" s="10" t="str">
        <f>VLOOKUP(MID($AS80,1,255),source_lookup!$B:$K,6,FALSE)</f>
        <v>99_NA</v>
      </c>
      <c r="AQ80" s="10" t="str">
        <f>VLOOKUP(MID($AS80,1,255),source_lookup!$B:$K,10,FALSE)</f>
        <v>1_fin/acc/econ</v>
      </c>
      <c r="AR80" t="s">
        <v>85</v>
      </c>
      <c r="AS80" t="s">
        <v>127</v>
      </c>
    </row>
    <row r="81" spans="1:45" x14ac:dyDescent="0.3">
      <c r="A81" t="s">
        <v>3</v>
      </c>
      <c r="B81">
        <v>80</v>
      </c>
      <c r="C81" s="1">
        <v>2.2849034552726476E-2</v>
      </c>
      <c r="D81" s="2">
        <v>582</v>
      </c>
      <c r="E81" s="4">
        <v>6984</v>
      </c>
      <c r="F81" s="4" t="s">
        <v>346</v>
      </c>
      <c r="G81" s="4" t="s">
        <v>346</v>
      </c>
      <c r="H81" t="s">
        <v>77</v>
      </c>
      <c r="I81" t="s">
        <v>350</v>
      </c>
      <c r="J81" s="3">
        <v>1995</v>
      </c>
      <c r="K81" s="3">
        <v>2006</v>
      </c>
      <c r="L81" s="6">
        <f t="shared" si="31"/>
        <v>2000.5</v>
      </c>
      <c r="M81" s="6">
        <f t="shared" si="32"/>
        <v>2000.5</v>
      </c>
      <c r="N81" s="7">
        <f t="shared" si="20"/>
        <v>0</v>
      </c>
      <c r="O81" s="7">
        <f t="shared" si="21"/>
        <v>0</v>
      </c>
      <c r="P81" s="7">
        <f t="shared" si="22"/>
        <v>0</v>
      </c>
      <c r="Q81" s="7">
        <f t="shared" si="33"/>
        <v>0</v>
      </c>
      <c r="R81" s="10" t="str">
        <f t="shared" si="23"/>
        <v>0_Pre</v>
      </c>
      <c r="S81" s="10" t="str">
        <f t="shared" si="24"/>
        <v>0_Pre</v>
      </c>
      <c r="T81" s="10" t="str">
        <f t="shared" si="25"/>
        <v>0_Pre</v>
      </c>
      <c r="U81" s="10" t="str">
        <f t="shared" si="26"/>
        <v>0_Pre</v>
      </c>
      <c r="V81" s="10" t="str">
        <f t="shared" si="34"/>
        <v>0_Pre</v>
      </c>
      <c r="W81" s="10" t="str">
        <f t="shared" si="27"/>
        <v>clean_pre</v>
      </c>
      <c r="X81" s="10" t="str">
        <f t="shared" si="28"/>
        <v>0_Pre</v>
      </c>
      <c r="Y81" s="10" t="str">
        <f t="shared" si="29"/>
        <v>0_Pre</v>
      </c>
      <c r="Z81" s="10" t="str">
        <f t="shared" si="30"/>
        <v>0_Pre</v>
      </c>
      <c r="AA81" s="10" t="str">
        <f t="shared" si="35"/>
        <v>0_Pre</v>
      </c>
      <c r="AB81" s="10" t="str">
        <f t="shared" si="36"/>
        <v>0_Pre</v>
      </c>
      <c r="AC81" s="10" t="str">
        <f t="shared" si="37"/>
        <v>0_Pre</v>
      </c>
      <c r="AD81" s="10" t="str">
        <f t="shared" si="38"/>
        <v>1_pre sample median</v>
      </c>
      <c r="AE81" s="10" t="str">
        <f t="shared" si="39"/>
        <v>1_pre sample first tertile</v>
      </c>
      <c r="AF81" t="s">
        <v>82</v>
      </c>
      <c r="AG81" t="s">
        <v>75</v>
      </c>
      <c r="AH81" t="s">
        <v>78</v>
      </c>
      <c r="AI81" t="s">
        <v>123</v>
      </c>
      <c r="AJ81" t="s">
        <v>123</v>
      </c>
      <c r="AK81" t="str">
        <f>VLOOKUP(MID($AR81,1,255),country_lookup!$B:$F,2,FALSE)</f>
        <v>1_US</v>
      </c>
      <c r="AL81" t="str">
        <f>VLOOKUP(MID($AR81,1,255),country_lookup!$B:$F,3,FALSE)</f>
        <v>1_developed</v>
      </c>
      <c r="AM81" t="str">
        <f>VLOOKUP(MID($AR81,1,255),country_lookup!$B:$F,4,FALSE)</f>
        <v>1_western</v>
      </c>
      <c r="AN81" t="str">
        <f>VLOOKUP(MID($AR81,1,255),country_lookup!$B:$F,5,FALSE)</f>
        <v>1_common law</v>
      </c>
      <c r="AO81" s="10" t="str">
        <f>VLOOKUP(MID($AS81,1,255),source_lookup!$B:$K,4,FALSE)</f>
        <v>1_not published</v>
      </c>
      <c r="AP81" s="10" t="str">
        <f>VLOOKUP(MID($AS81,1,255),source_lookup!$B:$K,6,FALSE)</f>
        <v>99_NA</v>
      </c>
      <c r="AQ81" s="10" t="str">
        <f>VLOOKUP(MID($AS81,1,255),source_lookup!$B:$K,10,FALSE)</f>
        <v>1_fin/acc/econ</v>
      </c>
      <c r="AR81" t="s">
        <v>85</v>
      </c>
      <c r="AS81" t="s">
        <v>127</v>
      </c>
    </row>
    <row r="82" spans="1:45" x14ac:dyDescent="0.3">
      <c r="A82" t="s">
        <v>3</v>
      </c>
      <c r="B82">
        <v>81</v>
      </c>
      <c r="C82" s="1">
        <v>-1.4836168866458487E-2</v>
      </c>
      <c r="D82" s="2">
        <v>582</v>
      </c>
      <c r="E82" s="4">
        <v>6984</v>
      </c>
      <c r="F82" s="4" t="s">
        <v>346</v>
      </c>
      <c r="G82" s="4" t="s">
        <v>346</v>
      </c>
      <c r="H82" t="s">
        <v>77</v>
      </c>
      <c r="I82" t="s">
        <v>350</v>
      </c>
      <c r="J82" s="3">
        <v>1995</v>
      </c>
      <c r="K82" s="3">
        <v>2006</v>
      </c>
      <c r="L82" s="6">
        <f t="shared" si="31"/>
        <v>2000.5</v>
      </c>
      <c r="M82" s="6">
        <f t="shared" si="32"/>
        <v>2000.5</v>
      </c>
      <c r="N82" s="7">
        <f t="shared" si="20"/>
        <v>0</v>
      </c>
      <c r="O82" s="7">
        <f t="shared" si="21"/>
        <v>0</v>
      </c>
      <c r="P82" s="7">
        <f t="shared" si="22"/>
        <v>0</v>
      </c>
      <c r="Q82" s="7">
        <f t="shared" si="33"/>
        <v>0</v>
      </c>
      <c r="R82" s="10" t="str">
        <f t="shared" si="23"/>
        <v>0_Pre</v>
      </c>
      <c r="S82" s="10" t="str">
        <f t="shared" si="24"/>
        <v>0_Pre</v>
      </c>
      <c r="T82" s="10" t="str">
        <f t="shared" si="25"/>
        <v>0_Pre</v>
      </c>
      <c r="U82" s="10" t="str">
        <f t="shared" si="26"/>
        <v>0_Pre</v>
      </c>
      <c r="V82" s="10" t="str">
        <f t="shared" si="34"/>
        <v>0_Pre</v>
      </c>
      <c r="W82" s="10" t="str">
        <f t="shared" si="27"/>
        <v>clean_pre</v>
      </c>
      <c r="X82" s="10" t="str">
        <f t="shared" si="28"/>
        <v>0_Pre</v>
      </c>
      <c r="Y82" s="10" t="str">
        <f t="shared" si="29"/>
        <v>0_Pre</v>
      </c>
      <c r="Z82" s="10" t="str">
        <f t="shared" si="30"/>
        <v>0_Pre</v>
      </c>
      <c r="AA82" s="10" t="str">
        <f t="shared" si="35"/>
        <v>0_Pre</v>
      </c>
      <c r="AB82" s="10" t="str">
        <f t="shared" si="36"/>
        <v>0_Pre</v>
      </c>
      <c r="AC82" s="10" t="str">
        <f t="shared" si="37"/>
        <v>0_Pre</v>
      </c>
      <c r="AD82" s="10" t="str">
        <f t="shared" si="38"/>
        <v>1_pre sample median</v>
      </c>
      <c r="AE82" s="10" t="str">
        <f t="shared" si="39"/>
        <v>1_pre sample first tertile</v>
      </c>
      <c r="AF82" t="s">
        <v>82</v>
      </c>
      <c r="AG82" t="s">
        <v>75</v>
      </c>
      <c r="AH82" t="s">
        <v>78</v>
      </c>
      <c r="AI82" t="s">
        <v>123</v>
      </c>
      <c r="AJ82" t="s">
        <v>123</v>
      </c>
      <c r="AK82" t="str">
        <f>VLOOKUP(MID($AR82,1,255),country_lookup!$B:$F,2,FALSE)</f>
        <v>1_US</v>
      </c>
      <c r="AL82" t="str">
        <f>VLOOKUP(MID($AR82,1,255),country_lookup!$B:$F,3,FALSE)</f>
        <v>1_developed</v>
      </c>
      <c r="AM82" t="str">
        <f>VLOOKUP(MID($AR82,1,255),country_lookup!$B:$F,4,FALSE)</f>
        <v>1_western</v>
      </c>
      <c r="AN82" t="str">
        <f>VLOOKUP(MID($AR82,1,255),country_lookup!$B:$F,5,FALSE)</f>
        <v>1_common law</v>
      </c>
      <c r="AO82" s="10" t="str">
        <f>VLOOKUP(MID($AS82,1,255),source_lookup!$B:$K,4,FALSE)</f>
        <v>1_not published</v>
      </c>
      <c r="AP82" s="10" t="str">
        <f>VLOOKUP(MID($AS82,1,255),source_lookup!$B:$K,6,FALSE)</f>
        <v>99_NA</v>
      </c>
      <c r="AQ82" s="10" t="str">
        <f>VLOOKUP(MID($AS82,1,255),source_lookup!$B:$K,10,FALSE)</f>
        <v>1_fin/acc/econ</v>
      </c>
      <c r="AR82" t="s">
        <v>85</v>
      </c>
      <c r="AS82" t="s">
        <v>127</v>
      </c>
    </row>
    <row r="83" spans="1:45" x14ac:dyDescent="0.3">
      <c r="A83" t="s">
        <v>3</v>
      </c>
      <c r="B83">
        <v>82</v>
      </c>
      <c r="C83" s="1">
        <v>-2.763083550217562E-2</v>
      </c>
      <c r="D83" s="2">
        <v>582</v>
      </c>
      <c r="E83" s="4">
        <v>6984</v>
      </c>
      <c r="F83" s="4" t="s">
        <v>346</v>
      </c>
      <c r="G83" s="4" t="s">
        <v>346</v>
      </c>
      <c r="H83" t="s">
        <v>77</v>
      </c>
      <c r="I83" t="s">
        <v>350</v>
      </c>
      <c r="J83" s="3">
        <v>1995</v>
      </c>
      <c r="K83" s="3">
        <v>2006</v>
      </c>
      <c r="L83" s="6">
        <f t="shared" si="31"/>
        <v>2000.5</v>
      </c>
      <c r="M83" s="6">
        <f t="shared" si="32"/>
        <v>2000.5</v>
      </c>
      <c r="N83" s="7">
        <f t="shared" si="20"/>
        <v>0</v>
      </c>
      <c r="O83" s="7">
        <f t="shared" si="21"/>
        <v>0</v>
      </c>
      <c r="P83" s="7">
        <f t="shared" si="22"/>
        <v>0</v>
      </c>
      <c r="Q83" s="7">
        <f t="shared" si="33"/>
        <v>0</v>
      </c>
      <c r="R83" s="10" t="str">
        <f t="shared" si="23"/>
        <v>0_Pre</v>
      </c>
      <c r="S83" s="10" t="str">
        <f t="shared" si="24"/>
        <v>0_Pre</v>
      </c>
      <c r="T83" s="10" t="str">
        <f t="shared" si="25"/>
        <v>0_Pre</v>
      </c>
      <c r="U83" s="10" t="str">
        <f t="shared" si="26"/>
        <v>0_Pre</v>
      </c>
      <c r="V83" s="10" t="str">
        <f t="shared" si="34"/>
        <v>0_Pre</v>
      </c>
      <c r="W83" s="10" t="str">
        <f t="shared" si="27"/>
        <v>clean_pre</v>
      </c>
      <c r="X83" s="10" t="str">
        <f t="shared" si="28"/>
        <v>0_Pre</v>
      </c>
      <c r="Y83" s="10" t="str">
        <f t="shared" si="29"/>
        <v>0_Pre</v>
      </c>
      <c r="Z83" s="10" t="str">
        <f t="shared" si="30"/>
        <v>0_Pre</v>
      </c>
      <c r="AA83" s="10" t="str">
        <f t="shared" si="35"/>
        <v>0_Pre</v>
      </c>
      <c r="AB83" s="10" t="str">
        <f t="shared" si="36"/>
        <v>0_Pre</v>
      </c>
      <c r="AC83" s="10" t="str">
        <f t="shared" si="37"/>
        <v>0_Pre</v>
      </c>
      <c r="AD83" s="10" t="str">
        <f t="shared" si="38"/>
        <v>1_pre sample median</v>
      </c>
      <c r="AE83" s="10" t="str">
        <f t="shared" si="39"/>
        <v>1_pre sample first tertile</v>
      </c>
      <c r="AF83" t="s">
        <v>82</v>
      </c>
      <c r="AG83" t="s">
        <v>75</v>
      </c>
      <c r="AH83" t="s">
        <v>78</v>
      </c>
      <c r="AI83" t="s">
        <v>123</v>
      </c>
      <c r="AJ83" t="s">
        <v>123</v>
      </c>
      <c r="AK83" t="str">
        <f>VLOOKUP(MID($AR83,1,255),country_lookup!$B:$F,2,FALSE)</f>
        <v>1_US</v>
      </c>
      <c r="AL83" t="str">
        <f>VLOOKUP(MID($AR83,1,255),country_lookup!$B:$F,3,FALSE)</f>
        <v>1_developed</v>
      </c>
      <c r="AM83" t="str">
        <f>VLOOKUP(MID($AR83,1,255),country_lookup!$B:$F,4,FALSE)</f>
        <v>1_western</v>
      </c>
      <c r="AN83" t="str">
        <f>VLOOKUP(MID($AR83,1,255),country_lookup!$B:$F,5,FALSE)</f>
        <v>1_common law</v>
      </c>
      <c r="AO83" s="10" t="str">
        <f>VLOOKUP(MID($AS83,1,255),source_lookup!$B:$K,4,FALSE)</f>
        <v>1_not published</v>
      </c>
      <c r="AP83" s="10" t="str">
        <f>VLOOKUP(MID($AS83,1,255),source_lookup!$B:$K,6,FALSE)</f>
        <v>99_NA</v>
      </c>
      <c r="AQ83" s="10" t="str">
        <f>VLOOKUP(MID($AS83,1,255),source_lookup!$B:$K,10,FALSE)</f>
        <v>1_fin/acc/econ</v>
      </c>
      <c r="AR83" t="s">
        <v>85</v>
      </c>
      <c r="AS83" t="s">
        <v>127</v>
      </c>
    </row>
    <row r="84" spans="1:45" x14ac:dyDescent="0.3">
      <c r="A84" t="s">
        <v>3</v>
      </c>
      <c r="B84">
        <v>83</v>
      </c>
      <c r="C84" s="1">
        <v>-6.4600673306519932E-2</v>
      </c>
      <c r="D84" s="2">
        <v>582</v>
      </c>
      <c r="E84" s="4">
        <v>6984</v>
      </c>
      <c r="F84" s="4" t="s">
        <v>346</v>
      </c>
      <c r="G84" s="4" t="s">
        <v>346</v>
      </c>
      <c r="H84" t="s">
        <v>77</v>
      </c>
      <c r="I84" t="s">
        <v>350</v>
      </c>
      <c r="J84" s="3">
        <v>1995</v>
      </c>
      <c r="K84" s="3">
        <v>2006</v>
      </c>
      <c r="L84" s="6">
        <f t="shared" si="31"/>
        <v>2000.5</v>
      </c>
      <c r="M84" s="6">
        <f t="shared" si="32"/>
        <v>2000.5</v>
      </c>
      <c r="N84" s="7">
        <f t="shared" si="20"/>
        <v>0</v>
      </c>
      <c r="O84" s="7">
        <f t="shared" si="21"/>
        <v>0</v>
      </c>
      <c r="P84" s="7">
        <f t="shared" si="22"/>
        <v>0</v>
      </c>
      <c r="Q84" s="7">
        <f t="shared" si="33"/>
        <v>0</v>
      </c>
      <c r="R84" s="10" t="str">
        <f t="shared" si="23"/>
        <v>0_Pre</v>
      </c>
      <c r="S84" s="10" t="str">
        <f t="shared" si="24"/>
        <v>0_Pre</v>
      </c>
      <c r="T84" s="10" t="str">
        <f t="shared" si="25"/>
        <v>0_Pre</v>
      </c>
      <c r="U84" s="10" t="str">
        <f t="shared" si="26"/>
        <v>0_Pre</v>
      </c>
      <c r="V84" s="10" t="str">
        <f t="shared" si="34"/>
        <v>0_Pre</v>
      </c>
      <c r="W84" s="10" t="str">
        <f t="shared" si="27"/>
        <v>clean_pre</v>
      </c>
      <c r="X84" s="10" t="str">
        <f t="shared" si="28"/>
        <v>0_Pre</v>
      </c>
      <c r="Y84" s="10" t="str">
        <f t="shared" si="29"/>
        <v>0_Pre</v>
      </c>
      <c r="Z84" s="10" t="str">
        <f t="shared" si="30"/>
        <v>0_Pre</v>
      </c>
      <c r="AA84" s="10" t="str">
        <f t="shared" si="35"/>
        <v>0_Pre</v>
      </c>
      <c r="AB84" s="10" t="str">
        <f t="shared" si="36"/>
        <v>0_Pre</v>
      </c>
      <c r="AC84" s="10" t="str">
        <f t="shared" si="37"/>
        <v>0_Pre</v>
      </c>
      <c r="AD84" s="10" t="str">
        <f t="shared" si="38"/>
        <v>1_pre sample median</v>
      </c>
      <c r="AE84" s="10" t="str">
        <f t="shared" si="39"/>
        <v>1_pre sample first tertile</v>
      </c>
      <c r="AF84" t="s">
        <v>82</v>
      </c>
      <c r="AG84" t="s">
        <v>75</v>
      </c>
      <c r="AH84" t="s">
        <v>78</v>
      </c>
      <c r="AI84" t="s">
        <v>123</v>
      </c>
      <c r="AJ84" t="s">
        <v>123</v>
      </c>
      <c r="AK84" t="str">
        <f>VLOOKUP(MID($AR84,1,255),country_lookup!$B:$F,2,FALSE)</f>
        <v>1_US</v>
      </c>
      <c r="AL84" t="str">
        <f>VLOOKUP(MID($AR84,1,255),country_lookup!$B:$F,3,FALSE)</f>
        <v>1_developed</v>
      </c>
      <c r="AM84" t="str">
        <f>VLOOKUP(MID($AR84,1,255),country_lookup!$B:$F,4,FALSE)</f>
        <v>1_western</v>
      </c>
      <c r="AN84" t="str">
        <f>VLOOKUP(MID($AR84,1,255),country_lookup!$B:$F,5,FALSE)</f>
        <v>1_common law</v>
      </c>
      <c r="AO84" s="10" t="str">
        <f>VLOOKUP(MID($AS84,1,255),source_lookup!$B:$K,4,FALSE)</f>
        <v>1_not published</v>
      </c>
      <c r="AP84" s="10" t="str">
        <f>VLOOKUP(MID($AS84,1,255),source_lookup!$B:$K,6,FALSE)</f>
        <v>99_NA</v>
      </c>
      <c r="AQ84" s="10" t="str">
        <f>VLOOKUP(MID($AS84,1,255),source_lookup!$B:$K,10,FALSE)</f>
        <v>1_fin/acc/econ</v>
      </c>
      <c r="AR84" t="s">
        <v>85</v>
      </c>
      <c r="AS84" t="s">
        <v>127</v>
      </c>
    </row>
    <row r="85" spans="1:45" x14ac:dyDescent="0.3">
      <c r="A85" t="s">
        <v>3</v>
      </c>
      <c r="B85">
        <v>84</v>
      </c>
      <c r="C85" s="1">
        <v>-3.0738009805628304E-2</v>
      </c>
      <c r="D85" s="2">
        <v>582</v>
      </c>
      <c r="E85" s="4">
        <v>6984</v>
      </c>
      <c r="F85" s="4" t="s">
        <v>346</v>
      </c>
      <c r="G85" s="4" t="s">
        <v>346</v>
      </c>
      <c r="H85" t="s">
        <v>77</v>
      </c>
      <c r="I85" t="s">
        <v>350</v>
      </c>
      <c r="J85" s="3">
        <v>1995</v>
      </c>
      <c r="K85" s="3">
        <v>2006</v>
      </c>
      <c r="L85" s="6">
        <f t="shared" si="31"/>
        <v>2000.5</v>
      </c>
      <c r="M85" s="6">
        <f t="shared" si="32"/>
        <v>2000.5</v>
      </c>
      <c r="N85" s="7">
        <f t="shared" si="20"/>
        <v>0</v>
      </c>
      <c r="O85" s="7">
        <f t="shared" si="21"/>
        <v>0</v>
      </c>
      <c r="P85" s="7">
        <f t="shared" si="22"/>
        <v>0</v>
      </c>
      <c r="Q85" s="7">
        <f t="shared" si="33"/>
        <v>0</v>
      </c>
      <c r="R85" s="10" t="str">
        <f t="shared" si="23"/>
        <v>0_Pre</v>
      </c>
      <c r="S85" s="10" t="str">
        <f t="shared" si="24"/>
        <v>0_Pre</v>
      </c>
      <c r="T85" s="10" t="str">
        <f t="shared" si="25"/>
        <v>0_Pre</v>
      </c>
      <c r="U85" s="10" t="str">
        <f t="shared" si="26"/>
        <v>0_Pre</v>
      </c>
      <c r="V85" s="10" t="str">
        <f t="shared" si="34"/>
        <v>0_Pre</v>
      </c>
      <c r="W85" s="10" t="str">
        <f t="shared" si="27"/>
        <v>clean_pre</v>
      </c>
      <c r="X85" s="10" t="str">
        <f t="shared" si="28"/>
        <v>0_Pre</v>
      </c>
      <c r="Y85" s="10" t="str">
        <f t="shared" si="29"/>
        <v>0_Pre</v>
      </c>
      <c r="Z85" s="10" t="str">
        <f t="shared" si="30"/>
        <v>0_Pre</v>
      </c>
      <c r="AA85" s="10" t="str">
        <f t="shared" si="35"/>
        <v>0_Pre</v>
      </c>
      <c r="AB85" s="10" t="str">
        <f t="shared" si="36"/>
        <v>0_Pre</v>
      </c>
      <c r="AC85" s="10" t="str">
        <f t="shared" si="37"/>
        <v>0_Pre</v>
      </c>
      <c r="AD85" s="10" t="str">
        <f t="shared" si="38"/>
        <v>1_pre sample median</v>
      </c>
      <c r="AE85" s="10" t="str">
        <f t="shared" si="39"/>
        <v>1_pre sample first tertile</v>
      </c>
      <c r="AF85" t="s">
        <v>82</v>
      </c>
      <c r="AG85" t="s">
        <v>75</v>
      </c>
      <c r="AH85" t="s">
        <v>78</v>
      </c>
      <c r="AI85" t="s">
        <v>123</v>
      </c>
      <c r="AJ85" t="s">
        <v>123</v>
      </c>
      <c r="AK85" t="str">
        <f>VLOOKUP(MID($AR85,1,255),country_lookup!$B:$F,2,FALSE)</f>
        <v>1_US</v>
      </c>
      <c r="AL85" t="str">
        <f>VLOOKUP(MID($AR85,1,255),country_lookup!$B:$F,3,FALSE)</f>
        <v>1_developed</v>
      </c>
      <c r="AM85" t="str">
        <f>VLOOKUP(MID($AR85,1,255),country_lookup!$B:$F,4,FALSE)</f>
        <v>1_western</v>
      </c>
      <c r="AN85" t="str">
        <f>VLOOKUP(MID($AR85,1,255),country_lookup!$B:$F,5,FALSE)</f>
        <v>1_common law</v>
      </c>
      <c r="AO85" s="10" t="str">
        <f>VLOOKUP(MID($AS85,1,255),source_lookup!$B:$K,4,FALSE)</f>
        <v>1_not published</v>
      </c>
      <c r="AP85" s="10" t="str">
        <f>VLOOKUP(MID($AS85,1,255),source_lookup!$B:$K,6,FALSE)</f>
        <v>99_NA</v>
      </c>
      <c r="AQ85" s="10" t="str">
        <f>VLOOKUP(MID($AS85,1,255),source_lookup!$B:$K,10,FALSE)</f>
        <v>1_fin/acc/econ</v>
      </c>
      <c r="AR85" t="s">
        <v>85</v>
      </c>
      <c r="AS85" t="s">
        <v>127</v>
      </c>
    </row>
    <row r="86" spans="1:45" x14ac:dyDescent="0.3">
      <c r="A86" t="s">
        <v>3</v>
      </c>
      <c r="B86">
        <v>85</v>
      </c>
      <c r="C86" s="1">
        <v>-2.1055437165108416E-2</v>
      </c>
      <c r="D86" s="2">
        <v>582</v>
      </c>
      <c r="E86" s="4">
        <v>6984</v>
      </c>
      <c r="F86" s="4" t="s">
        <v>346</v>
      </c>
      <c r="G86" s="4" t="s">
        <v>346</v>
      </c>
      <c r="H86" t="s">
        <v>77</v>
      </c>
      <c r="I86" t="s">
        <v>350</v>
      </c>
      <c r="J86" s="3">
        <v>1995</v>
      </c>
      <c r="K86" s="3">
        <v>2006</v>
      </c>
      <c r="L86" s="6">
        <f t="shared" si="31"/>
        <v>2000.5</v>
      </c>
      <c r="M86" s="6">
        <f t="shared" si="32"/>
        <v>2000.5</v>
      </c>
      <c r="N86" s="7">
        <f t="shared" si="20"/>
        <v>0</v>
      </c>
      <c r="O86" s="7">
        <f t="shared" si="21"/>
        <v>0</v>
      </c>
      <c r="P86" s="7">
        <f t="shared" si="22"/>
        <v>0</v>
      </c>
      <c r="Q86" s="7">
        <f t="shared" si="33"/>
        <v>0</v>
      </c>
      <c r="R86" s="10" t="str">
        <f t="shared" si="23"/>
        <v>0_Pre</v>
      </c>
      <c r="S86" s="10" t="str">
        <f t="shared" si="24"/>
        <v>0_Pre</v>
      </c>
      <c r="T86" s="10" t="str">
        <f t="shared" si="25"/>
        <v>0_Pre</v>
      </c>
      <c r="U86" s="10" t="str">
        <f t="shared" si="26"/>
        <v>0_Pre</v>
      </c>
      <c r="V86" s="10" t="str">
        <f t="shared" si="34"/>
        <v>0_Pre</v>
      </c>
      <c r="W86" s="10" t="str">
        <f t="shared" si="27"/>
        <v>clean_pre</v>
      </c>
      <c r="X86" s="10" t="str">
        <f t="shared" si="28"/>
        <v>0_Pre</v>
      </c>
      <c r="Y86" s="10" t="str">
        <f t="shared" si="29"/>
        <v>0_Pre</v>
      </c>
      <c r="Z86" s="10" t="str">
        <f t="shared" si="30"/>
        <v>0_Pre</v>
      </c>
      <c r="AA86" s="10" t="str">
        <f t="shared" si="35"/>
        <v>0_Pre</v>
      </c>
      <c r="AB86" s="10" t="str">
        <f t="shared" si="36"/>
        <v>0_Pre</v>
      </c>
      <c r="AC86" s="10" t="str">
        <f t="shared" si="37"/>
        <v>0_Pre</v>
      </c>
      <c r="AD86" s="10" t="str">
        <f t="shared" si="38"/>
        <v>1_pre sample median</v>
      </c>
      <c r="AE86" s="10" t="str">
        <f t="shared" si="39"/>
        <v>1_pre sample first tertile</v>
      </c>
      <c r="AF86" t="s">
        <v>67</v>
      </c>
      <c r="AG86" t="s">
        <v>75</v>
      </c>
      <c r="AH86" t="s">
        <v>78</v>
      </c>
      <c r="AI86" t="s">
        <v>123</v>
      </c>
      <c r="AJ86" t="s">
        <v>123</v>
      </c>
      <c r="AK86" t="str">
        <f>VLOOKUP(MID($AR86,1,255),country_lookup!$B:$F,2,FALSE)</f>
        <v>1_US</v>
      </c>
      <c r="AL86" t="str">
        <f>VLOOKUP(MID($AR86,1,255),country_lookup!$B:$F,3,FALSE)</f>
        <v>1_developed</v>
      </c>
      <c r="AM86" t="str">
        <f>VLOOKUP(MID($AR86,1,255),country_lookup!$B:$F,4,FALSE)</f>
        <v>1_western</v>
      </c>
      <c r="AN86" t="str">
        <f>VLOOKUP(MID($AR86,1,255),country_lookup!$B:$F,5,FALSE)</f>
        <v>1_common law</v>
      </c>
      <c r="AO86" s="10" t="str">
        <f>VLOOKUP(MID($AS86,1,255),source_lookup!$B:$K,4,FALSE)</f>
        <v>1_not published</v>
      </c>
      <c r="AP86" s="10" t="str">
        <f>VLOOKUP(MID($AS86,1,255),source_lookup!$B:$K,6,FALSE)</f>
        <v>99_NA</v>
      </c>
      <c r="AQ86" s="10" t="str">
        <f>VLOOKUP(MID($AS86,1,255),source_lookup!$B:$K,10,FALSE)</f>
        <v>1_fin/acc/econ</v>
      </c>
      <c r="AR86" t="s">
        <v>85</v>
      </c>
      <c r="AS86" t="s">
        <v>127</v>
      </c>
    </row>
    <row r="87" spans="1:45" x14ac:dyDescent="0.3">
      <c r="A87" t="s">
        <v>3</v>
      </c>
      <c r="B87">
        <v>86</v>
      </c>
      <c r="C87" s="1">
        <v>2.033794031259184E-2</v>
      </c>
      <c r="D87" s="2">
        <v>582</v>
      </c>
      <c r="E87" s="4">
        <v>6984</v>
      </c>
      <c r="F87" s="4" t="s">
        <v>346</v>
      </c>
      <c r="G87" s="4" t="s">
        <v>346</v>
      </c>
      <c r="H87" t="s">
        <v>77</v>
      </c>
      <c r="I87" t="s">
        <v>350</v>
      </c>
      <c r="J87" s="3">
        <v>1995</v>
      </c>
      <c r="K87" s="3">
        <v>2006</v>
      </c>
      <c r="L87" s="6">
        <f t="shared" si="31"/>
        <v>2000.5</v>
      </c>
      <c r="M87" s="6">
        <f t="shared" si="32"/>
        <v>2000.5</v>
      </c>
      <c r="N87" s="7">
        <f t="shared" si="20"/>
        <v>0</v>
      </c>
      <c r="O87" s="7">
        <f t="shared" si="21"/>
        <v>0</v>
      </c>
      <c r="P87" s="7">
        <f t="shared" si="22"/>
        <v>0</v>
      </c>
      <c r="Q87" s="7">
        <f t="shared" si="33"/>
        <v>0</v>
      </c>
      <c r="R87" s="10" t="str">
        <f t="shared" si="23"/>
        <v>0_Pre</v>
      </c>
      <c r="S87" s="10" t="str">
        <f t="shared" si="24"/>
        <v>0_Pre</v>
      </c>
      <c r="T87" s="10" t="str">
        <f t="shared" si="25"/>
        <v>0_Pre</v>
      </c>
      <c r="U87" s="10" t="str">
        <f t="shared" si="26"/>
        <v>0_Pre</v>
      </c>
      <c r="V87" s="10" t="str">
        <f t="shared" si="34"/>
        <v>0_Pre</v>
      </c>
      <c r="W87" s="10" t="str">
        <f t="shared" si="27"/>
        <v>clean_pre</v>
      </c>
      <c r="X87" s="10" t="str">
        <f t="shared" si="28"/>
        <v>0_Pre</v>
      </c>
      <c r="Y87" s="10" t="str">
        <f t="shared" si="29"/>
        <v>0_Pre</v>
      </c>
      <c r="Z87" s="10" t="str">
        <f t="shared" si="30"/>
        <v>0_Pre</v>
      </c>
      <c r="AA87" s="10" t="str">
        <f t="shared" si="35"/>
        <v>0_Pre</v>
      </c>
      <c r="AB87" s="10" t="str">
        <f t="shared" si="36"/>
        <v>0_Pre</v>
      </c>
      <c r="AC87" s="10" t="str">
        <f t="shared" si="37"/>
        <v>0_Pre</v>
      </c>
      <c r="AD87" s="10" t="str">
        <f t="shared" si="38"/>
        <v>1_pre sample median</v>
      </c>
      <c r="AE87" s="10" t="str">
        <f t="shared" si="39"/>
        <v>1_pre sample first tertile</v>
      </c>
      <c r="AF87" t="s">
        <v>67</v>
      </c>
      <c r="AG87" t="s">
        <v>75</v>
      </c>
      <c r="AH87" t="s">
        <v>78</v>
      </c>
      <c r="AI87" t="s">
        <v>123</v>
      </c>
      <c r="AJ87" t="s">
        <v>123</v>
      </c>
      <c r="AK87" t="str">
        <f>VLOOKUP(MID($AR87,1,255),country_lookup!$B:$F,2,FALSE)</f>
        <v>1_US</v>
      </c>
      <c r="AL87" t="str">
        <f>VLOOKUP(MID($AR87,1,255),country_lookup!$B:$F,3,FALSE)</f>
        <v>1_developed</v>
      </c>
      <c r="AM87" t="str">
        <f>VLOOKUP(MID($AR87,1,255),country_lookup!$B:$F,4,FALSE)</f>
        <v>1_western</v>
      </c>
      <c r="AN87" t="str">
        <f>VLOOKUP(MID($AR87,1,255),country_lookup!$B:$F,5,FALSE)</f>
        <v>1_common law</v>
      </c>
      <c r="AO87" s="10" t="str">
        <f>VLOOKUP(MID($AS87,1,255),source_lookup!$B:$K,4,FALSE)</f>
        <v>1_not published</v>
      </c>
      <c r="AP87" s="10" t="str">
        <f>VLOOKUP(MID($AS87,1,255),source_lookup!$B:$K,6,FALSE)</f>
        <v>99_NA</v>
      </c>
      <c r="AQ87" s="10" t="str">
        <f>VLOOKUP(MID($AS87,1,255),source_lookup!$B:$K,10,FALSE)</f>
        <v>1_fin/acc/econ</v>
      </c>
      <c r="AR87" t="s">
        <v>85</v>
      </c>
      <c r="AS87" t="s">
        <v>127</v>
      </c>
    </row>
    <row r="88" spans="1:45" x14ac:dyDescent="0.3">
      <c r="A88" t="s">
        <v>3</v>
      </c>
      <c r="B88">
        <v>87</v>
      </c>
      <c r="C88" s="1">
        <v>-8.6151781707746438E-3</v>
      </c>
      <c r="D88" s="2">
        <v>582</v>
      </c>
      <c r="E88" s="4">
        <v>6984</v>
      </c>
      <c r="F88" s="4" t="s">
        <v>346</v>
      </c>
      <c r="G88" s="4" t="s">
        <v>346</v>
      </c>
      <c r="H88" t="s">
        <v>77</v>
      </c>
      <c r="I88" t="s">
        <v>350</v>
      </c>
      <c r="J88" s="3">
        <v>1995</v>
      </c>
      <c r="K88" s="3">
        <v>2006</v>
      </c>
      <c r="L88" s="6">
        <f t="shared" si="31"/>
        <v>2000.5</v>
      </c>
      <c r="M88" s="6">
        <f t="shared" si="32"/>
        <v>2000.5</v>
      </c>
      <c r="N88" s="7">
        <f t="shared" si="20"/>
        <v>0</v>
      </c>
      <c r="O88" s="7">
        <f t="shared" si="21"/>
        <v>0</v>
      </c>
      <c r="P88" s="7">
        <f t="shared" si="22"/>
        <v>0</v>
      </c>
      <c r="Q88" s="7">
        <f t="shared" si="33"/>
        <v>0</v>
      </c>
      <c r="R88" s="10" t="str">
        <f t="shared" si="23"/>
        <v>0_Pre</v>
      </c>
      <c r="S88" s="10" t="str">
        <f t="shared" si="24"/>
        <v>0_Pre</v>
      </c>
      <c r="T88" s="10" t="str">
        <f t="shared" si="25"/>
        <v>0_Pre</v>
      </c>
      <c r="U88" s="10" t="str">
        <f t="shared" si="26"/>
        <v>0_Pre</v>
      </c>
      <c r="V88" s="10" t="str">
        <f t="shared" si="34"/>
        <v>0_Pre</v>
      </c>
      <c r="W88" s="10" t="str">
        <f t="shared" si="27"/>
        <v>clean_pre</v>
      </c>
      <c r="X88" s="10" t="str">
        <f t="shared" si="28"/>
        <v>0_Pre</v>
      </c>
      <c r="Y88" s="10" t="str">
        <f t="shared" si="29"/>
        <v>0_Pre</v>
      </c>
      <c r="Z88" s="10" t="str">
        <f t="shared" si="30"/>
        <v>0_Pre</v>
      </c>
      <c r="AA88" s="10" t="str">
        <f t="shared" si="35"/>
        <v>0_Pre</v>
      </c>
      <c r="AB88" s="10" t="str">
        <f t="shared" si="36"/>
        <v>0_Pre</v>
      </c>
      <c r="AC88" s="10" t="str">
        <f t="shared" si="37"/>
        <v>0_Pre</v>
      </c>
      <c r="AD88" s="10" t="str">
        <f t="shared" si="38"/>
        <v>1_pre sample median</v>
      </c>
      <c r="AE88" s="10" t="str">
        <f t="shared" si="39"/>
        <v>1_pre sample first tertile</v>
      </c>
      <c r="AF88" t="s">
        <v>67</v>
      </c>
      <c r="AG88" t="s">
        <v>75</v>
      </c>
      <c r="AH88" t="s">
        <v>78</v>
      </c>
      <c r="AI88" t="s">
        <v>123</v>
      </c>
      <c r="AJ88" t="s">
        <v>123</v>
      </c>
      <c r="AK88" t="str">
        <f>VLOOKUP(MID($AR88,1,255),country_lookup!$B:$F,2,FALSE)</f>
        <v>1_US</v>
      </c>
      <c r="AL88" t="str">
        <f>VLOOKUP(MID($AR88,1,255),country_lookup!$B:$F,3,FALSE)</f>
        <v>1_developed</v>
      </c>
      <c r="AM88" t="str">
        <f>VLOOKUP(MID($AR88,1,255),country_lookup!$B:$F,4,FALSE)</f>
        <v>1_western</v>
      </c>
      <c r="AN88" t="str">
        <f>VLOOKUP(MID($AR88,1,255),country_lookup!$B:$F,5,FALSE)</f>
        <v>1_common law</v>
      </c>
      <c r="AO88" s="10" t="str">
        <f>VLOOKUP(MID($AS88,1,255),source_lookup!$B:$K,4,FALSE)</f>
        <v>1_not published</v>
      </c>
      <c r="AP88" s="10" t="str">
        <f>VLOOKUP(MID($AS88,1,255),source_lookup!$B:$K,6,FALSE)</f>
        <v>99_NA</v>
      </c>
      <c r="AQ88" s="10" t="str">
        <f>VLOOKUP(MID($AS88,1,255),source_lookup!$B:$K,10,FALSE)</f>
        <v>1_fin/acc/econ</v>
      </c>
      <c r="AR88" t="s">
        <v>85</v>
      </c>
      <c r="AS88" t="s">
        <v>127</v>
      </c>
    </row>
    <row r="89" spans="1:45" x14ac:dyDescent="0.3">
      <c r="A89" t="s">
        <v>3</v>
      </c>
      <c r="B89">
        <v>88</v>
      </c>
      <c r="C89" s="1">
        <v>-5.6627681751296989E-2</v>
      </c>
      <c r="D89" s="2">
        <v>582</v>
      </c>
      <c r="E89" s="4">
        <v>6984</v>
      </c>
      <c r="F89" s="4" t="s">
        <v>346</v>
      </c>
      <c r="G89" s="4" t="s">
        <v>346</v>
      </c>
      <c r="H89" t="s">
        <v>77</v>
      </c>
      <c r="I89" t="s">
        <v>350</v>
      </c>
      <c r="J89" s="3">
        <v>1995</v>
      </c>
      <c r="K89" s="3">
        <v>2006</v>
      </c>
      <c r="L89" s="6">
        <f t="shared" si="31"/>
        <v>2000.5</v>
      </c>
      <c r="M89" s="6">
        <f t="shared" si="32"/>
        <v>2000.5</v>
      </c>
      <c r="N89" s="7">
        <f t="shared" si="20"/>
        <v>0</v>
      </c>
      <c r="O89" s="7">
        <f t="shared" si="21"/>
        <v>0</v>
      </c>
      <c r="P89" s="7">
        <f t="shared" si="22"/>
        <v>0</v>
      </c>
      <c r="Q89" s="7">
        <f t="shared" si="33"/>
        <v>0</v>
      </c>
      <c r="R89" s="10" t="str">
        <f t="shared" si="23"/>
        <v>0_Pre</v>
      </c>
      <c r="S89" s="10" t="str">
        <f t="shared" si="24"/>
        <v>0_Pre</v>
      </c>
      <c r="T89" s="10" t="str">
        <f t="shared" si="25"/>
        <v>0_Pre</v>
      </c>
      <c r="U89" s="10" t="str">
        <f t="shared" si="26"/>
        <v>0_Pre</v>
      </c>
      <c r="V89" s="10" t="str">
        <f t="shared" si="34"/>
        <v>0_Pre</v>
      </c>
      <c r="W89" s="10" t="str">
        <f t="shared" si="27"/>
        <v>clean_pre</v>
      </c>
      <c r="X89" s="10" t="str">
        <f t="shared" si="28"/>
        <v>0_Pre</v>
      </c>
      <c r="Y89" s="10" t="str">
        <f t="shared" si="29"/>
        <v>0_Pre</v>
      </c>
      <c r="Z89" s="10" t="str">
        <f t="shared" si="30"/>
        <v>0_Pre</v>
      </c>
      <c r="AA89" s="10" t="str">
        <f t="shared" si="35"/>
        <v>0_Pre</v>
      </c>
      <c r="AB89" s="10" t="str">
        <f t="shared" si="36"/>
        <v>0_Pre</v>
      </c>
      <c r="AC89" s="10" t="str">
        <f t="shared" si="37"/>
        <v>0_Pre</v>
      </c>
      <c r="AD89" s="10" t="str">
        <f t="shared" si="38"/>
        <v>1_pre sample median</v>
      </c>
      <c r="AE89" s="10" t="str">
        <f t="shared" si="39"/>
        <v>1_pre sample first tertile</v>
      </c>
      <c r="AF89" t="s">
        <v>67</v>
      </c>
      <c r="AG89" t="s">
        <v>75</v>
      </c>
      <c r="AH89" t="s">
        <v>78</v>
      </c>
      <c r="AI89" t="s">
        <v>123</v>
      </c>
      <c r="AJ89" t="s">
        <v>123</v>
      </c>
      <c r="AK89" t="str">
        <f>VLOOKUP(MID($AR89,1,255),country_lookup!$B:$F,2,FALSE)</f>
        <v>1_US</v>
      </c>
      <c r="AL89" t="str">
        <f>VLOOKUP(MID($AR89,1,255),country_lookup!$B:$F,3,FALSE)</f>
        <v>1_developed</v>
      </c>
      <c r="AM89" t="str">
        <f>VLOOKUP(MID($AR89,1,255),country_lookup!$B:$F,4,FALSE)</f>
        <v>1_western</v>
      </c>
      <c r="AN89" t="str">
        <f>VLOOKUP(MID($AR89,1,255),country_lookup!$B:$F,5,FALSE)</f>
        <v>1_common law</v>
      </c>
      <c r="AO89" s="10" t="str">
        <f>VLOOKUP(MID($AS89,1,255),source_lookup!$B:$K,4,FALSE)</f>
        <v>1_not published</v>
      </c>
      <c r="AP89" s="10" t="str">
        <f>VLOOKUP(MID($AS89,1,255),source_lookup!$B:$K,6,FALSE)</f>
        <v>99_NA</v>
      </c>
      <c r="AQ89" s="10" t="str">
        <f>VLOOKUP(MID($AS89,1,255),source_lookup!$B:$K,10,FALSE)</f>
        <v>1_fin/acc/econ</v>
      </c>
      <c r="AR89" t="s">
        <v>85</v>
      </c>
      <c r="AS89" t="s">
        <v>127</v>
      </c>
    </row>
    <row r="90" spans="1:45" x14ac:dyDescent="0.3">
      <c r="A90" t="s">
        <v>3</v>
      </c>
      <c r="B90">
        <v>89</v>
      </c>
      <c r="C90" s="1">
        <v>-1.117078226658059E-2</v>
      </c>
      <c r="D90" s="2">
        <v>1094</v>
      </c>
      <c r="E90" s="4">
        <v>13128</v>
      </c>
      <c r="F90" s="4" t="s">
        <v>346</v>
      </c>
      <c r="G90" s="4" t="s">
        <v>346</v>
      </c>
      <c r="H90" t="s">
        <v>77</v>
      </c>
      <c r="I90" t="s">
        <v>350</v>
      </c>
      <c r="J90" s="3">
        <v>1995</v>
      </c>
      <c r="K90" s="3">
        <v>2006</v>
      </c>
      <c r="L90" s="6">
        <f t="shared" si="31"/>
        <v>2000.5</v>
      </c>
      <c r="M90" s="6">
        <f t="shared" si="32"/>
        <v>2000.5</v>
      </c>
      <c r="N90" s="7">
        <f t="shared" si="20"/>
        <v>0</v>
      </c>
      <c r="O90" s="7">
        <f t="shared" si="21"/>
        <v>0</v>
      </c>
      <c r="P90" s="7">
        <f t="shared" si="22"/>
        <v>0</v>
      </c>
      <c r="Q90" s="7">
        <f t="shared" si="33"/>
        <v>0</v>
      </c>
      <c r="R90" s="10" t="str">
        <f t="shared" si="23"/>
        <v>0_Pre</v>
      </c>
      <c r="S90" s="10" t="str">
        <f t="shared" si="24"/>
        <v>0_Pre</v>
      </c>
      <c r="T90" s="10" t="str">
        <f t="shared" si="25"/>
        <v>0_Pre</v>
      </c>
      <c r="U90" s="10" t="str">
        <f t="shared" si="26"/>
        <v>0_Pre</v>
      </c>
      <c r="V90" s="10" t="str">
        <f t="shared" si="34"/>
        <v>0_Pre</v>
      </c>
      <c r="W90" s="10" t="str">
        <f t="shared" si="27"/>
        <v>clean_pre</v>
      </c>
      <c r="X90" s="10" t="str">
        <f t="shared" si="28"/>
        <v>0_Pre</v>
      </c>
      <c r="Y90" s="10" t="str">
        <f t="shared" si="29"/>
        <v>0_Pre</v>
      </c>
      <c r="Z90" s="10" t="str">
        <f t="shared" si="30"/>
        <v>0_Pre</v>
      </c>
      <c r="AA90" s="10" t="str">
        <f t="shared" si="35"/>
        <v>0_Pre</v>
      </c>
      <c r="AB90" s="10" t="str">
        <f t="shared" si="36"/>
        <v>0_Pre</v>
      </c>
      <c r="AC90" s="10" t="str">
        <f t="shared" si="37"/>
        <v>0_Pre</v>
      </c>
      <c r="AD90" s="10" t="str">
        <f t="shared" si="38"/>
        <v>1_pre sample median</v>
      </c>
      <c r="AE90" s="10" t="str">
        <f t="shared" si="39"/>
        <v>1_pre sample first tertile</v>
      </c>
      <c r="AF90" t="s">
        <v>67</v>
      </c>
      <c r="AG90" t="s">
        <v>75</v>
      </c>
      <c r="AH90" t="s">
        <v>78</v>
      </c>
      <c r="AI90" t="s">
        <v>123</v>
      </c>
      <c r="AJ90" t="s">
        <v>123</v>
      </c>
      <c r="AK90" t="str">
        <f>VLOOKUP(MID($AR90,1,255),country_lookup!$B:$F,2,FALSE)</f>
        <v>1_US</v>
      </c>
      <c r="AL90" t="str">
        <f>VLOOKUP(MID($AR90,1,255),country_lookup!$B:$F,3,FALSE)</f>
        <v>1_developed</v>
      </c>
      <c r="AM90" t="str">
        <f>VLOOKUP(MID($AR90,1,255),country_lookup!$B:$F,4,FALSE)</f>
        <v>1_western</v>
      </c>
      <c r="AN90" t="str">
        <f>VLOOKUP(MID($AR90,1,255),country_lookup!$B:$F,5,FALSE)</f>
        <v>1_common law</v>
      </c>
      <c r="AO90" s="10" t="str">
        <f>VLOOKUP(MID($AS90,1,255),source_lookup!$B:$K,4,FALSE)</f>
        <v>1_not published</v>
      </c>
      <c r="AP90" s="10" t="str">
        <f>VLOOKUP(MID($AS90,1,255),source_lookup!$B:$K,6,FALSE)</f>
        <v>99_NA</v>
      </c>
      <c r="AQ90" s="10" t="str">
        <f>VLOOKUP(MID($AS90,1,255),source_lookup!$B:$K,10,FALSE)</f>
        <v>1_fin/acc/econ</v>
      </c>
      <c r="AR90" t="s">
        <v>85</v>
      </c>
      <c r="AS90" t="s">
        <v>127</v>
      </c>
    </row>
    <row r="91" spans="1:45" x14ac:dyDescent="0.3">
      <c r="A91" t="s">
        <v>3</v>
      </c>
      <c r="B91">
        <v>90</v>
      </c>
      <c r="C91" s="1">
        <v>-1.5795199237770518E-2</v>
      </c>
      <c r="D91" s="2">
        <v>1094</v>
      </c>
      <c r="E91" s="4">
        <v>13128</v>
      </c>
      <c r="F91" s="4" t="s">
        <v>346</v>
      </c>
      <c r="G91" s="4" t="s">
        <v>346</v>
      </c>
      <c r="H91" t="s">
        <v>77</v>
      </c>
      <c r="I91" t="s">
        <v>350</v>
      </c>
      <c r="J91" s="3">
        <v>1995</v>
      </c>
      <c r="K91" s="3">
        <v>2006</v>
      </c>
      <c r="L91" s="6">
        <f t="shared" si="31"/>
        <v>2000.5</v>
      </c>
      <c r="M91" s="6">
        <f t="shared" si="32"/>
        <v>2000.5</v>
      </c>
      <c r="N91" s="7">
        <f t="shared" si="20"/>
        <v>0</v>
      </c>
      <c r="O91" s="7">
        <f t="shared" si="21"/>
        <v>0</v>
      </c>
      <c r="P91" s="7">
        <f t="shared" si="22"/>
        <v>0</v>
      </c>
      <c r="Q91" s="7">
        <f t="shared" si="33"/>
        <v>0</v>
      </c>
      <c r="R91" s="10" t="str">
        <f t="shared" si="23"/>
        <v>0_Pre</v>
      </c>
      <c r="S91" s="10" t="str">
        <f t="shared" si="24"/>
        <v>0_Pre</v>
      </c>
      <c r="T91" s="10" t="str">
        <f t="shared" si="25"/>
        <v>0_Pre</v>
      </c>
      <c r="U91" s="10" t="str">
        <f t="shared" si="26"/>
        <v>0_Pre</v>
      </c>
      <c r="V91" s="10" t="str">
        <f t="shared" si="34"/>
        <v>0_Pre</v>
      </c>
      <c r="W91" s="10" t="str">
        <f t="shared" si="27"/>
        <v>clean_pre</v>
      </c>
      <c r="X91" s="10" t="str">
        <f t="shared" si="28"/>
        <v>0_Pre</v>
      </c>
      <c r="Y91" s="10" t="str">
        <f t="shared" si="29"/>
        <v>0_Pre</v>
      </c>
      <c r="Z91" s="10" t="str">
        <f t="shared" si="30"/>
        <v>0_Pre</v>
      </c>
      <c r="AA91" s="10" t="str">
        <f t="shared" si="35"/>
        <v>0_Pre</v>
      </c>
      <c r="AB91" s="10" t="str">
        <f t="shared" si="36"/>
        <v>0_Pre</v>
      </c>
      <c r="AC91" s="10" t="str">
        <f t="shared" si="37"/>
        <v>0_Pre</v>
      </c>
      <c r="AD91" s="10" t="str">
        <f t="shared" si="38"/>
        <v>1_pre sample median</v>
      </c>
      <c r="AE91" s="10" t="str">
        <f t="shared" si="39"/>
        <v>1_pre sample first tertile</v>
      </c>
      <c r="AF91" t="s">
        <v>67</v>
      </c>
      <c r="AG91" t="s">
        <v>75</v>
      </c>
      <c r="AH91" t="s">
        <v>78</v>
      </c>
      <c r="AI91" t="s">
        <v>123</v>
      </c>
      <c r="AJ91" t="s">
        <v>123</v>
      </c>
      <c r="AK91" t="str">
        <f>VLOOKUP(MID($AR91,1,255),country_lookup!$B:$F,2,FALSE)</f>
        <v>1_US</v>
      </c>
      <c r="AL91" t="str">
        <f>VLOOKUP(MID($AR91,1,255),country_lookup!$B:$F,3,FALSE)</f>
        <v>1_developed</v>
      </c>
      <c r="AM91" t="str">
        <f>VLOOKUP(MID($AR91,1,255),country_lookup!$B:$F,4,FALSE)</f>
        <v>1_western</v>
      </c>
      <c r="AN91" t="str">
        <f>VLOOKUP(MID($AR91,1,255),country_lookup!$B:$F,5,FALSE)</f>
        <v>1_common law</v>
      </c>
      <c r="AO91" s="10" t="str">
        <f>VLOOKUP(MID($AS91,1,255),source_lookup!$B:$K,4,FALSE)</f>
        <v>1_not published</v>
      </c>
      <c r="AP91" s="10" t="str">
        <f>VLOOKUP(MID($AS91,1,255),source_lookup!$B:$K,6,FALSE)</f>
        <v>99_NA</v>
      </c>
      <c r="AQ91" s="10" t="str">
        <f>VLOOKUP(MID($AS91,1,255),source_lookup!$B:$K,10,FALSE)</f>
        <v>1_fin/acc/econ</v>
      </c>
      <c r="AR91" t="s">
        <v>85</v>
      </c>
      <c r="AS91" t="s">
        <v>127</v>
      </c>
    </row>
    <row r="92" spans="1:45" x14ac:dyDescent="0.3">
      <c r="A92" t="s">
        <v>3</v>
      </c>
      <c r="B92">
        <v>91</v>
      </c>
      <c r="C92" s="1">
        <v>-1.5882443579263765E-2</v>
      </c>
      <c r="D92" s="2">
        <v>1094</v>
      </c>
      <c r="E92" s="4">
        <v>13128</v>
      </c>
      <c r="F92" s="4" t="s">
        <v>346</v>
      </c>
      <c r="G92" s="4" t="s">
        <v>346</v>
      </c>
      <c r="H92" t="s">
        <v>77</v>
      </c>
      <c r="I92" t="s">
        <v>350</v>
      </c>
      <c r="J92" s="3">
        <v>1995</v>
      </c>
      <c r="K92" s="3">
        <v>2006</v>
      </c>
      <c r="L92" s="6">
        <f t="shared" si="31"/>
        <v>2000.5</v>
      </c>
      <c r="M92" s="6">
        <f t="shared" si="32"/>
        <v>2000.5</v>
      </c>
      <c r="N92" s="7">
        <f t="shared" si="20"/>
        <v>0</v>
      </c>
      <c r="O92" s="7">
        <f t="shared" si="21"/>
        <v>0</v>
      </c>
      <c r="P92" s="7">
        <f t="shared" si="22"/>
        <v>0</v>
      </c>
      <c r="Q92" s="7">
        <f t="shared" si="33"/>
        <v>0</v>
      </c>
      <c r="R92" s="10" t="str">
        <f t="shared" si="23"/>
        <v>0_Pre</v>
      </c>
      <c r="S92" s="10" t="str">
        <f t="shared" si="24"/>
        <v>0_Pre</v>
      </c>
      <c r="T92" s="10" t="str">
        <f t="shared" si="25"/>
        <v>0_Pre</v>
      </c>
      <c r="U92" s="10" t="str">
        <f t="shared" si="26"/>
        <v>0_Pre</v>
      </c>
      <c r="V92" s="10" t="str">
        <f t="shared" si="34"/>
        <v>0_Pre</v>
      </c>
      <c r="W92" s="10" t="str">
        <f t="shared" si="27"/>
        <v>clean_pre</v>
      </c>
      <c r="X92" s="10" t="str">
        <f t="shared" si="28"/>
        <v>0_Pre</v>
      </c>
      <c r="Y92" s="10" t="str">
        <f t="shared" si="29"/>
        <v>0_Pre</v>
      </c>
      <c r="Z92" s="10" t="str">
        <f t="shared" si="30"/>
        <v>0_Pre</v>
      </c>
      <c r="AA92" s="10" t="str">
        <f t="shared" si="35"/>
        <v>0_Pre</v>
      </c>
      <c r="AB92" s="10" t="str">
        <f t="shared" si="36"/>
        <v>0_Pre</v>
      </c>
      <c r="AC92" s="10" t="str">
        <f t="shared" si="37"/>
        <v>0_Pre</v>
      </c>
      <c r="AD92" s="10" t="str">
        <f t="shared" si="38"/>
        <v>1_pre sample median</v>
      </c>
      <c r="AE92" s="10" t="str">
        <f t="shared" si="39"/>
        <v>1_pre sample first tertile</v>
      </c>
      <c r="AF92" t="s">
        <v>67</v>
      </c>
      <c r="AG92" t="s">
        <v>75</v>
      </c>
      <c r="AH92" t="s">
        <v>78</v>
      </c>
      <c r="AI92" t="s">
        <v>123</v>
      </c>
      <c r="AJ92" t="s">
        <v>123</v>
      </c>
      <c r="AK92" t="str">
        <f>VLOOKUP(MID($AR92,1,255),country_lookup!$B:$F,2,FALSE)</f>
        <v>1_US</v>
      </c>
      <c r="AL92" t="str">
        <f>VLOOKUP(MID($AR92,1,255),country_lookup!$B:$F,3,FALSE)</f>
        <v>1_developed</v>
      </c>
      <c r="AM92" t="str">
        <f>VLOOKUP(MID($AR92,1,255),country_lookup!$B:$F,4,FALSE)</f>
        <v>1_western</v>
      </c>
      <c r="AN92" t="str">
        <f>VLOOKUP(MID($AR92,1,255),country_lookup!$B:$F,5,FALSE)</f>
        <v>1_common law</v>
      </c>
      <c r="AO92" s="10" t="str">
        <f>VLOOKUP(MID($AS92,1,255),source_lookup!$B:$K,4,FALSE)</f>
        <v>1_not published</v>
      </c>
      <c r="AP92" s="10" t="str">
        <f>VLOOKUP(MID($AS92,1,255),source_lookup!$B:$K,6,FALSE)</f>
        <v>99_NA</v>
      </c>
      <c r="AQ92" s="10" t="str">
        <f>VLOOKUP(MID($AS92,1,255),source_lookup!$B:$K,10,FALSE)</f>
        <v>1_fin/acc/econ</v>
      </c>
      <c r="AR92" t="s">
        <v>85</v>
      </c>
      <c r="AS92" t="s">
        <v>127</v>
      </c>
    </row>
    <row r="93" spans="1:45" x14ac:dyDescent="0.3">
      <c r="A93" t="s">
        <v>3</v>
      </c>
      <c r="B93">
        <v>92</v>
      </c>
      <c r="C93" s="1">
        <v>-2.3732707093030832E-2</v>
      </c>
      <c r="D93" s="2">
        <v>1094</v>
      </c>
      <c r="E93" s="4">
        <v>13128</v>
      </c>
      <c r="F93" s="4" t="s">
        <v>346</v>
      </c>
      <c r="G93" s="4" t="s">
        <v>346</v>
      </c>
      <c r="H93" t="s">
        <v>77</v>
      </c>
      <c r="I93" t="s">
        <v>350</v>
      </c>
      <c r="J93" s="3">
        <v>1995</v>
      </c>
      <c r="K93" s="3">
        <v>2006</v>
      </c>
      <c r="L93" s="6">
        <f t="shared" si="31"/>
        <v>2000.5</v>
      </c>
      <c r="M93" s="6">
        <f t="shared" si="32"/>
        <v>2000.5</v>
      </c>
      <c r="N93" s="7">
        <f t="shared" si="20"/>
        <v>0</v>
      </c>
      <c r="O93" s="7">
        <f t="shared" si="21"/>
        <v>0</v>
      </c>
      <c r="P93" s="7">
        <f t="shared" si="22"/>
        <v>0</v>
      </c>
      <c r="Q93" s="7">
        <f t="shared" si="33"/>
        <v>0</v>
      </c>
      <c r="R93" s="10" t="str">
        <f t="shared" si="23"/>
        <v>0_Pre</v>
      </c>
      <c r="S93" s="10" t="str">
        <f t="shared" si="24"/>
        <v>0_Pre</v>
      </c>
      <c r="T93" s="10" t="str">
        <f t="shared" si="25"/>
        <v>0_Pre</v>
      </c>
      <c r="U93" s="10" t="str">
        <f t="shared" si="26"/>
        <v>0_Pre</v>
      </c>
      <c r="V93" s="10" t="str">
        <f t="shared" si="34"/>
        <v>0_Pre</v>
      </c>
      <c r="W93" s="10" t="str">
        <f t="shared" si="27"/>
        <v>clean_pre</v>
      </c>
      <c r="X93" s="10" t="str">
        <f t="shared" si="28"/>
        <v>0_Pre</v>
      </c>
      <c r="Y93" s="10" t="str">
        <f t="shared" si="29"/>
        <v>0_Pre</v>
      </c>
      <c r="Z93" s="10" t="str">
        <f t="shared" si="30"/>
        <v>0_Pre</v>
      </c>
      <c r="AA93" s="10" t="str">
        <f t="shared" si="35"/>
        <v>0_Pre</v>
      </c>
      <c r="AB93" s="10" t="str">
        <f t="shared" si="36"/>
        <v>0_Pre</v>
      </c>
      <c r="AC93" s="10" t="str">
        <f t="shared" si="37"/>
        <v>0_Pre</v>
      </c>
      <c r="AD93" s="10" t="str">
        <f t="shared" si="38"/>
        <v>1_pre sample median</v>
      </c>
      <c r="AE93" s="10" t="str">
        <f t="shared" si="39"/>
        <v>1_pre sample first tertile</v>
      </c>
      <c r="AF93" t="s">
        <v>67</v>
      </c>
      <c r="AG93" t="s">
        <v>75</v>
      </c>
      <c r="AH93" t="s">
        <v>78</v>
      </c>
      <c r="AI93" t="s">
        <v>123</v>
      </c>
      <c r="AJ93" t="s">
        <v>123</v>
      </c>
      <c r="AK93" t="str">
        <f>VLOOKUP(MID($AR93,1,255),country_lookup!$B:$F,2,FALSE)</f>
        <v>1_US</v>
      </c>
      <c r="AL93" t="str">
        <f>VLOOKUP(MID($AR93,1,255),country_lookup!$B:$F,3,FALSE)</f>
        <v>1_developed</v>
      </c>
      <c r="AM93" t="str">
        <f>VLOOKUP(MID($AR93,1,255),country_lookup!$B:$F,4,FALSE)</f>
        <v>1_western</v>
      </c>
      <c r="AN93" t="str">
        <f>VLOOKUP(MID($AR93,1,255),country_lookup!$B:$F,5,FALSE)</f>
        <v>1_common law</v>
      </c>
      <c r="AO93" s="10" t="str">
        <f>VLOOKUP(MID($AS93,1,255),source_lookup!$B:$K,4,FALSE)</f>
        <v>1_not published</v>
      </c>
      <c r="AP93" s="10" t="str">
        <f>VLOOKUP(MID($AS93,1,255),source_lookup!$B:$K,6,FALSE)</f>
        <v>99_NA</v>
      </c>
      <c r="AQ93" s="10" t="str">
        <f>VLOOKUP(MID($AS93,1,255),source_lookup!$B:$K,10,FALSE)</f>
        <v>1_fin/acc/econ</v>
      </c>
      <c r="AR93" t="s">
        <v>85</v>
      </c>
      <c r="AS93" t="s">
        <v>127</v>
      </c>
    </row>
    <row r="94" spans="1:45" x14ac:dyDescent="0.3">
      <c r="A94" t="s">
        <v>3</v>
      </c>
      <c r="B94">
        <v>93</v>
      </c>
      <c r="C94" s="1">
        <v>-6.4362844967574287E-2</v>
      </c>
      <c r="D94" s="2">
        <v>582</v>
      </c>
      <c r="E94" s="4">
        <v>6984</v>
      </c>
      <c r="F94" s="4" t="s">
        <v>346</v>
      </c>
      <c r="G94" s="4" t="s">
        <v>346</v>
      </c>
      <c r="H94" t="s">
        <v>77</v>
      </c>
      <c r="I94" t="s">
        <v>350</v>
      </c>
      <c r="J94" s="3">
        <v>1995</v>
      </c>
      <c r="K94" s="3">
        <v>2006</v>
      </c>
      <c r="L94" s="6">
        <f t="shared" si="31"/>
        <v>2000.5</v>
      </c>
      <c r="M94" s="6">
        <f t="shared" si="32"/>
        <v>2000.5</v>
      </c>
      <c r="N94" s="7">
        <f t="shared" si="20"/>
        <v>0</v>
      </c>
      <c r="O94" s="7">
        <f t="shared" si="21"/>
        <v>0</v>
      </c>
      <c r="P94" s="7">
        <f t="shared" si="22"/>
        <v>0</v>
      </c>
      <c r="Q94" s="7">
        <f t="shared" si="33"/>
        <v>0</v>
      </c>
      <c r="R94" s="10" t="str">
        <f t="shared" si="23"/>
        <v>0_Pre</v>
      </c>
      <c r="S94" s="10" t="str">
        <f t="shared" si="24"/>
        <v>0_Pre</v>
      </c>
      <c r="T94" s="10" t="str">
        <f t="shared" si="25"/>
        <v>0_Pre</v>
      </c>
      <c r="U94" s="10" t="str">
        <f t="shared" si="26"/>
        <v>0_Pre</v>
      </c>
      <c r="V94" s="10" t="str">
        <f t="shared" si="34"/>
        <v>0_Pre</v>
      </c>
      <c r="W94" s="10" t="str">
        <f t="shared" si="27"/>
        <v>clean_pre</v>
      </c>
      <c r="X94" s="10" t="str">
        <f t="shared" si="28"/>
        <v>0_Pre</v>
      </c>
      <c r="Y94" s="10" t="str">
        <f t="shared" si="29"/>
        <v>0_Pre</v>
      </c>
      <c r="Z94" s="10" t="str">
        <f t="shared" si="30"/>
        <v>0_Pre</v>
      </c>
      <c r="AA94" s="10" t="str">
        <f t="shared" si="35"/>
        <v>0_Pre</v>
      </c>
      <c r="AB94" s="10" t="str">
        <f t="shared" si="36"/>
        <v>0_Pre</v>
      </c>
      <c r="AC94" s="10" t="str">
        <f t="shared" si="37"/>
        <v>0_Pre</v>
      </c>
      <c r="AD94" s="10" t="str">
        <f t="shared" si="38"/>
        <v>1_pre sample median</v>
      </c>
      <c r="AE94" s="10" t="str">
        <f t="shared" si="39"/>
        <v>1_pre sample first tertile</v>
      </c>
      <c r="AF94" t="s">
        <v>82</v>
      </c>
      <c r="AG94" t="s">
        <v>75</v>
      </c>
      <c r="AH94" t="s">
        <v>78</v>
      </c>
      <c r="AI94" t="s">
        <v>123</v>
      </c>
      <c r="AJ94" t="s">
        <v>123</v>
      </c>
      <c r="AK94" t="str">
        <f>VLOOKUP(MID($AR94,1,255),country_lookup!$B:$F,2,FALSE)</f>
        <v>1_US</v>
      </c>
      <c r="AL94" t="str">
        <f>VLOOKUP(MID($AR94,1,255),country_lookup!$B:$F,3,FALSE)</f>
        <v>1_developed</v>
      </c>
      <c r="AM94" t="str">
        <f>VLOOKUP(MID($AR94,1,255),country_lookup!$B:$F,4,FALSE)</f>
        <v>1_western</v>
      </c>
      <c r="AN94" t="str">
        <f>VLOOKUP(MID($AR94,1,255),country_lookup!$B:$F,5,FALSE)</f>
        <v>1_common law</v>
      </c>
      <c r="AO94" s="10" t="str">
        <f>VLOOKUP(MID($AS94,1,255),source_lookup!$B:$K,4,FALSE)</f>
        <v>1_not published</v>
      </c>
      <c r="AP94" s="10" t="str">
        <f>VLOOKUP(MID($AS94,1,255),source_lookup!$B:$K,6,FALSE)</f>
        <v>99_NA</v>
      </c>
      <c r="AQ94" s="10" t="str">
        <f>VLOOKUP(MID($AS94,1,255),source_lookup!$B:$K,10,FALSE)</f>
        <v>1_fin/acc/econ</v>
      </c>
      <c r="AR94" t="s">
        <v>85</v>
      </c>
      <c r="AS94" t="s">
        <v>127</v>
      </c>
    </row>
    <row r="95" spans="1:45" x14ac:dyDescent="0.3">
      <c r="A95" t="s">
        <v>3</v>
      </c>
      <c r="B95">
        <v>94</v>
      </c>
      <c r="C95" s="1">
        <v>-3.0499026882862559E-2</v>
      </c>
      <c r="D95" s="2">
        <v>582</v>
      </c>
      <c r="E95" s="4">
        <v>6984</v>
      </c>
      <c r="F95" s="4" t="s">
        <v>346</v>
      </c>
      <c r="G95" s="4" t="s">
        <v>346</v>
      </c>
      <c r="H95" t="s">
        <v>77</v>
      </c>
      <c r="I95" t="s">
        <v>350</v>
      </c>
      <c r="J95" s="3">
        <v>1995</v>
      </c>
      <c r="K95" s="3">
        <v>2006</v>
      </c>
      <c r="L95" s="6">
        <f t="shared" si="31"/>
        <v>2000.5</v>
      </c>
      <c r="M95" s="6">
        <f t="shared" si="32"/>
        <v>2000.5</v>
      </c>
      <c r="N95" s="7">
        <f t="shared" si="20"/>
        <v>0</v>
      </c>
      <c r="O95" s="7">
        <f t="shared" si="21"/>
        <v>0</v>
      </c>
      <c r="P95" s="7">
        <f t="shared" si="22"/>
        <v>0</v>
      </c>
      <c r="Q95" s="7">
        <f t="shared" si="33"/>
        <v>0</v>
      </c>
      <c r="R95" s="10" t="str">
        <f t="shared" si="23"/>
        <v>0_Pre</v>
      </c>
      <c r="S95" s="10" t="str">
        <f t="shared" si="24"/>
        <v>0_Pre</v>
      </c>
      <c r="T95" s="10" t="str">
        <f t="shared" si="25"/>
        <v>0_Pre</v>
      </c>
      <c r="U95" s="10" t="str">
        <f t="shared" si="26"/>
        <v>0_Pre</v>
      </c>
      <c r="V95" s="10" t="str">
        <f t="shared" si="34"/>
        <v>0_Pre</v>
      </c>
      <c r="W95" s="10" t="str">
        <f t="shared" si="27"/>
        <v>clean_pre</v>
      </c>
      <c r="X95" s="10" t="str">
        <f t="shared" si="28"/>
        <v>0_Pre</v>
      </c>
      <c r="Y95" s="10" t="str">
        <f t="shared" si="29"/>
        <v>0_Pre</v>
      </c>
      <c r="Z95" s="10" t="str">
        <f t="shared" si="30"/>
        <v>0_Pre</v>
      </c>
      <c r="AA95" s="10" t="str">
        <f t="shared" si="35"/>
        <v>0_Pre</v>
      </c>
      <c r="AB95" s="10" t="str">
        <f t="shared" si="36"/>
        <v>0_Pre</v>
      </c>
      <c r="AC95" s="10" t="str">
        <f t="shared" si="37"/>
        <v>0_Pre</v>
      </c>
      <c r="AD95" s="10" t="str">
        <f t="shared" si="38"/>
        <v>1_pre sample median</v>
      </c>
      <c r="AE95" s="10" t="str">
        <f t="shared" si="39"/>
        <v>1_pre sample first tertile</v>
      </c>
      <c r="AF95" t="s">
        <v>67</v>
      </c>
      <c r="AG95" t="s">
        <v>75</v>
      </c>
      <c r="AH95" t="s">
        <v>78</v>
      </c>
      <c r="AI95" t="s">
        <v>123</v>
      </c>
      <c r="AJ95" t="s">
        <v>123</v>
      </c>
      <c r="AK95" t="str">
        <f>VLOOKUP(MID($AR95,1,255),country_lookup!$B:$F,2,FALSE)</f>
        <v>1_US</v>
      </c>
      <c r="AL95" t="str">
        <f>VLOOKUP(MID($AR95,1,255),country_lookup!$B:$F,3,FALSE)</f>
        <v>1_developed</v>
      </c>
      <c r="AM95" t="str">
        <f>VLOOKUP(MID($AR95,1,255),country_lookup!$B:$F,4,FALSE)</f>
        <v>1_western</v>
      </c>
      <c r="AN95" t="str">
        <f>VLOOKUP(MID($AR95,1,255),country_lookup!$B:$F,5,FALSE)</f>
        <v>1_common law</v>
      </c>
      <c r="AO95" s="10" t="str">
        <f>VLOOKUP(MID($AS95,1,255),source_lookup!$B:$K,4,FALSE)</f>
        <v>1_not published</v>
      </c>
      <c r="AP95" s="10" t="str">
        <f>VLOOKUP(MID($AS95,1,255),source_lookup!$B:$K,6,FALSE)</f>
        <v>99_NA</v>
      </c>
      <c r="AQ95" s="10" t="str">
        <f>VLOOKUP(MID($AS95,1,255),source_lookup!$B:$K,10,FALSE)</f>
        <v>1_fin/acc/econ</v>
      </c>
      <c r="AR95" t="s">
        <v>85</v>
      </c>
      <c r="AS95" t="s">
        <v>127</v>
      </c>
    </row>
    <row r="96" spans="1:45" x14ac:dyDescent="0.3">
      <c r="A96" t="s">
        <v>3</v>
      </c>
      <c r="B96">
        <v>95</v>
      </c>
      <c r="C96" s="1">
        <v>-2.4866305509251733E-2</v>
      </c>
      <c r="D96" s="2">
        <v>1094</v>
      </c>
      <c r="E96" s="4">
        <v>13128</v>
      </c>
      <c r="F96" s="4" t="s">
        <v>346</v>
      </c>
      <c r="G96" s="4" t="s">
        <v>346</v>
      </c>
      <c r="H96" t="s">
        <v>77</v>
      </c>
      <c r="I96" t="s">
        <v>350</v>
      </c>
      <c r="J96" s="3">
        <v>1995</v>
      </c>
      <c r="K96" s="3">
        <v>2006</v>
      </c>
      <c r="L96" s="6">
        <f t="shared" si="31"/>
        <v>2000.5</v>
      </c>
      <c r="M96" s="6">
        <f t="shared" si="32"/>
        <v>2000.5</v>
      </c>
      <c r="N96" s="7">
        <f t="shared" si="20"/>
        <v>0</v>
      </c>
      <c r="O96" s="7">
        <f t="shared" si="21"/>
        <v>0</v>
      </c>
      <c r="P96" s="7">
        <f t="shared" si="22"/>
        <v>0</v>
      </c>
      <c r="Q96" s="7">
        <f t="shared" si="33"/>
        <v>0</v>
      </c>
      <c r="R96" s="10" t="str">
        <f t="shared" si="23"/>
        <v>0_Pre</v>
      </c>
      <c r="S96" s="10" t="str">
        <f t="shared" si="24"/>
        <v>0_Pre</v>
      </c>
      <c r="T96" s="10" t="str">
        <f t="shared" si="25"/>
        <v>0_Pre</v>
      </c>
      <c r="U96" s="10" t="str">
        <f t="shared" si="26"/>
        <v>0_Pre</v>
      </c>
      <c r="V96" s="10" t="str">
        <f t="shared" si="34"/>
        <v>0_Pre</v>
      </c>
      <c r="W96" s="10" t="str">
        <f t="shared" si="27"/>
        <v>clean_pre</v>
      </c>
      <c r="X96" s="10" t="str">
        <f t="shared" si="28"/>
        <v>0_Pre</v>
      </c>
      <c r="Y96" s="10" t="str">
        <f t="shared" si="29"/>
        <v>0_Pre</v>
      </c>
      <c r="Z96" s="10" t="str">
        <f t="shared" si="30"/>
        <v>0_Pre</v>
      </c>
      <c r="AA96" s="10" t="str">
        <f t="shared" si="35"/>
        <v>0_Pre</v>
      </c>
      <c r="AB96" s="10" t="str">
        <f t="shared" si="36"/>
        <v>0_Pre</v>
      </c>
      <c r="AC96" s="10" t="str">
        <f t="shared" si="37"/>
        <v>0_Pre</v>
      </c>
      <c r="AD96" s="10" t="str">
        <f t="shared" si="38"/>
        <v>1_pre sample median</v>
      </c>
      <c r="AE96" s="10" t="str">
        <f t="shared" si="39"/>
        <v>1_pre sample first tertile</v>
      </c>
      <c r="AF96" t="s">
        <v>67</v>
      </c>
      <c r="AG96" t="s">
        <v>75</v>
      </c>
      <c r="AH96" t="s">
        <v>78</v>
      </c>
      <c r="AI96" t="s">
        <v>123</v>
      </c>
      <c r="AJ96" t="s">
        <v>123</v>
      </c>
      <c r="AK96" t="str">
        <f>VLOOKUP(MID($AR96,1,255),country_lookup!$B:$F,2,FALSE)</f>
        <v>1_US</v>
      </c>
      <c r="AL96" t="str">
        <f>VLOOKUP(MID($AR96,1,255),country_lookup!$B:$F,3,FALSE)</f>
        <v>1_developed</v>
      </c>
      <c r="AM96" t="str">
        <f>VLOOKUP(MID($AR96,1,255),country_lookup!$B:$F,4,FALSE)</f>
        <v>1_western</v>
      </c>
      <c r="AN96" t="str">
        <f>VLOOKUP(MID($AR96,1,255),country_lookup!$B:$F,5,FALSE)</f>
        <v>1_common law</v>
      </c>
      <c r="AO96" s="10" t="str">
        <f>VLOOKUP(MID($AS96,1,255),source_lookup!$B:$K,4,FALSE)</f>
        <v>1_not published</v>
      </c>
      <c r="AP96" s="10" t="str">
        <f>VLOOKUP(MID($AS96,1,255),source_lookup!$B:$K,6,FALSE)</f>
        <v>99_NA</v>
      </c>
      <c r="AQ96" s="10" t="str">
        <f>VLOOKUP(MID($AS96,1,255),source_lookup!$B:$K,10,FALSE)</f>
        <v>1_fin/acc/econ</v>
      </c>
      <c r="AR96" t="s">
        <v>85</v>
      </c>
      <c r="AS96" t="s">
        <v>127</v>
      </c>
    </row>
    <row r="97" spans="1:45" x14ac:dyDescent="0.3">
      <c r="A97" t="s">
        <v>3</v>
      </c>
      <c r="B97">
        <v>96</v>
      </c>
      <c r="C97" s="1">
        <v>-1.5434261734366923E-2</v>
      </c>
      <c r="D97" s="2">
        <v>582</v>
      </c>
      <c r="E97" s="4">
        <v>6984</v>
      </c>
      <c r="F97" s="4" t="s">
        <v>346</v>
      </c>
      <c r="G97" s="4" t="s">
        <v>346</v>
      </c>
      <c r="H97" t="s">
        <v>77</v>
      </c>
      <c r="I97" t="s">
        <v>350</v>
      </c>
      <c r="J97" s="3">
        <v>1995</v>
      </c>
      <c r="K97" s="3">
        <v>2006</v>
      </c>
      <c r="L97" s="6">
        <f t="shared" si="31"/>
        <v>2000.5</v>
      </c>
      <c r="M97" s="6">
        <f t="shared" si="32"/>
        <v>2000.5</v>
      </c>
      <c r="N97" s="7">
        <f t="shared" si="20"/>
        <v>0</v>
      </c>
      <c r="O97" s="7">
        <f t="shared" si="21"/>
        <v>0</v>
      </c>
      <c r="P97" s="7">
        <f t="shared" si="22"/>
        <v>0</v>
      </c>
      <c r="Q97" s="7">
        <f t="shared" si="33"/>
        <v>0</v>
      </c>
      <c r="R97" s="10" t="str">
        <f t="shared" si="23"/>
        <v>0_Pre</v>
      </c>
      <c r="S97" s="10" t="str">
        <f t="shared" si="24"/>
        <v>0_Pre</v>
      </c>
      <c r="T97" s="10" t="str">
        <f t="shared" si="25"/>
        <v>0_Pre</v>
      </c>
      <c r="U97" s="10" t="str">
        <f t="shared" si="26"/>
        <v>0_Pre</v>
      </c>
      <c r="V97" s="10" t="str">
        <f t="shared" si="34"/>
        <v>0_Pre</v>
      </c>
      <c r="W97" s="10" t="str">
        <f t="shared" si="27"/>
        <v>clean_pre</v>
      </c>
      <c r="X97" s="10" t="str">
        <f t="shared" si="28"/>
        <v>0_Pre</v>
      </c>
      <c r="Y97" s="10" t="str">
        <f t="shared" si="29"/>
        <v>0_Pre</v>
      </c>
      <c r="Z97" s="10" t="str">
        <f t="shared" si="30"/>
        <v>0_Pre</v>
      </c>
      <c r="AA97" s="10" t="str">
        <f t="shared" si="35"/>
        <v>0_Pre</v>
      </c>
      <c r="AB97" s="10" t="str">
        <f t="shared" si="36"/>
        <v>0_Pre</v>
      </c>
      <c r="AC97" s="10" t="str">
        <f t="shared" si="37"/>
        <v>0_Pre</v>
      </c>
      <c r="AD97" s="10" t="str">
        <f t="shared" si="38"/>
        <v>1_pre sample median</v>
      </c>
      <c r="AE97" s="10" t="str">
        <f t="shared" si="39"/>
        <v>1_pre sample first tertile</v>
      </c>
      <c r="AF97" t="s">
        <v>82</v>
      </c>
      <c r="AG97" t="s">
        <v>75</v>
      </c>
      <c r="AH97" t="s">
        <v>78</v>
      </c>
      <c r="AI97" t="s">
        <v>123</v>
      </c>
      <c r="AJ97" t="s">
        <v>123</v>
      </c>
      <c r="AK97" t="str">
        <f>VLOOKUP(MID($AR97,1,255),country_lookup!$B:$F,2,FALSE)</f>
        <v>1_US</v>
      </c>
      <c r="AL97" t="str">
        <f>VLOOKUP(MID($AR97,1,255),country_lookup!$B:$F,3,FALSE)</f>
        <v>1_developed</v>
      </c>
      <c r="AM97" t="str">
        <f>VLOOKUP(MID($AR97,1,255),country_lookup!$B:$F,4,FALSE)</f>
        <v>1_western</v>
      </c>
      <c r="AN97" t="str">
        <f>VLOOKUP(MID($AR97,1,255),country_lookup!$B:$F,5,FALSE)</f>
        <v>1_common law</v>
      </c>
      <c r="AO97" s="10" t="str">
        <f>VLOOKUP(MID($AS97,1,255),source_lookup!$B:$K,4,FALSE)</f>
        <v>1_not published</v>
      </c>
      <c r="AP97" s="10" t="str">
        <f>VLOOKUP(MID($AS97,1,255),source_lookup!$B:$K,6,FALSE)</f>
        <v>99_NA</v>
      </c>
      <c r="AQ97" s="10" t="str">
        <f>VLOOKUP(MID($AS97,1,255),source_lookup!$B:$K,10,FALSE)</f>
        <v>1_fin/acc/econ</v>
      </c>
      <c r="AR97" t="s">
        <v>85</v>
      </c>
      <c r="AS97" t="s">
        <v>127</v>
      </c>
    </row>
    <row r="98" spans="1:45" x14ac:dyDescent="0.3">
      <c r="A98" t="s">
        <v>3</v>
      </c>
      <c r="B98">
        <v>97</v>
      </c>
      <c r="C98" s="1">
        <v>3.6233079519605929E-2</v>
      </c>
      <c r="D98" s="2">
        <v>582</v>
      </c>
      <c r="E98" s="4">
        <v>6984</v>
      </c>
      <c r="F98" s="4" t="s">
        <v>346</v>
      </c>
      <c r="G98" s="4" t="s">
        <v>346</v>
      </c>
      <c r="H98" t="s">
        <v>77</v>
      </c>
      <c r="I98" t="s">
        <v>350</v>
      </c>
      <c r="J98" s="3">
        <v>1995</v>
      </c>
      <c r="K98" s="3">
        <v>2006</v>
      </c>
      <c r="L98" s="6">
        <f t="shared" si="31"/>
        <v>2000.5</v>
      </c>
      <c r="M98" s="6">
        <f t="shared" si="32"/>
        <v>2000.5</v>
      </c>
      <c r="N98" s="7">
        <f t="shared" si="20"/>
        <v>0</v>
      </c>
      <c r="O98" s="7">
        <f t="shared" si="21"/>
        <v>0</v>
      </c>
      <c r="P98" s="7">
        <f t="shared" si="22"/>
        <v>0</v>
      </c>
      <c r="Q98" s="7">
        <f t="shared" si="33"/>
        <v>0</v>
      </c>
      <c r="R98" s="10" t="str">
        <f t="shared" si="23"/>
        <v>0_Pre</v>
      </c>
      <c r="S98" s="10" t="str">
        <f t="shared" si="24"/>
        <v>0_Pre</v>
      </c>
      <c r="T98" s="10" t="str">
        <f t="shared" si="25"/>
        <v>0_Pre</v>
      </c>
      <c r="U98" s="10" t="str">
        <f t="shared" si="26"/>
        <v>0_Pre</v>
      </c>
      <c r="V98" s="10" t="str">
        <f t="shared" si="34"/>
        <v>0_Pre</v>
      </c>
      <c r="W98" s="10" t="str">
        <f t="shared" si="27"/>
        <v>clean_pre</v>
      </c>
      <c r="X98" s="10" t="str">
        <f t="shared" si="28"/>
        <v>0_Pre</v>
      </c>
      <c r="Y98" s="10" t="str">
        <f t="shared" si="29"/>
        <v>0_Pre</v>
      </c>
      <c r="Z98" s="10" t="str">
        <f t="shared" si="30"/>
        <v>0_Pre</v>
      </c>
      <c r="AA98" s="10" t="str">
        <f t="shared" si="35"/>
        <v>0_Pre</v>
      </c>
      <c r="AB98" s="10" t="str">
        <f t="shared" si="36"/>
        <v>0_Pre</v>
      </c>
      <c r="AC98" s="10" t="str">
        <f t="shared" si="37"/>
        <v>0_Pre</v>
      </c>
      <c r="AD98" s="10" t="str">
        <f t="shared" si="38"/>
        <v>1_pre sample median</v>
      </c>
      <c r="AE98" s="10" t="str">
        <f t="shared" si="39"/>
        <v>1_pre sample first tertile</v>
      </c>
      <c r="AF98" t="s">
        <v>82</v>
      </c>
      <c r="AG98" t="s">
        <v>75</v>
      </c>
      <c r="AH98" t="s">
        <v>78</v>
      </c>
      <c r="AI98" t="s">
        <v>123</v>
      </c>
      <c r="AJ98" t="s">
        <v>123</v>
      </c>
      <c r="AK98" t="str">
        <f>VLOOKUP(MID($AR98,1,255),country_lookup!$B:$F,2,FALSE)</f>
        <v>1_US</v>
      </c>
      <c r="AL98" t="str">
        <f>VLOOKUP(MID($AR98,1,255),country_lookup!$B:$F,3,FALSE)</f>
        <v>1_developed</v>
      </c>
      <c r="AM98" t="str">
        <f>VLOOKUP(MID($AR98,1,255),country_lookup!$B:$F,4,FALSE)</f>
        <v>1_western</v>
      </c>
      <c r="AN98" t="str">
        <f>VLOOKUP(MID($AR98,1,255),country_lookup!$B:$F,5,FALSE)</f>
        <v>1_common law</v>
      </c>
      <c r="AO98" s="10" t="str">
        <f>VLOOKUP(MID($AS98,1,255),source_lookup!$B:$K,4,FALSE)</f>
        <v>1_not published</v>
      </c>
      <c r="AP98" s="10" t="str">
        <f>VLOOKUP(MID($AS98,1,255),source_lookup!$B:$K,6,FALSE)</f>
        <v>99_NA</v>
      </c>
      <c r="AQ98" s="10" t="str">
        <f>VLOOKUP(MID($AS98,1,255),source_lookup!$B:$K,10,FALSE)</f>
        <v>1_fin/acc/econ</v>
      </c>
      <c r="AR98" t="s">
        <v>85</v>
      </c>
      <c r="AS98" t="s">
        <v>127</v>
      </c>
    </row>
    <row r="99" spans="1:45" x14ac:dyDescent="0.3">
      <c r="A99" t="s">
        <v>3</v>
      </c>
      <c r="B99">
        <v>98</v>
      </c>
      <c r="C99" s="1">
        <v>-4.18442110990438E-2</v>
      </c>
      <c r="D99" s="2">
        <v>582</v>
      </c>
      <c r="E99" s="4">
        <v>6984</v>
      </c>
      <c r="F99" s="4" t="s">
        <v>346</v>
      </c>
      <c r="G99" s="4" t="s">
        <v>346</v>
      </c>
      <c r="H99" t="s">
        <v>77</v>
      </c>
      <c r="I99" t="s">
        <v>350</v>
      </c>
      <c r="J99" s="3">
        <v>1995</v>
      </c>
      <c r="K99" s="3">
        <v>2006</v>
      </c>
      <c r="L99" s="6">
        <f t="shared" si="31"/>
        <v>2000.5</v>
      </c>
      <c r="M99" s="6">
        <f t="shared" si="32"/>
        <v>2000.5</v>
      </c>
      <c r="N99" s="7">
        <f t="shared" si="20"/>
        <v>0</v>
      </c>
      <c r="O99" s="7">
        <f t="shared" si="21"/>
        <v>0</v>
      </c>
      <c r="P99" s="7">
        <f t="shared" si="22"/>
        <v>0</v>
      </c>
      <c r="Q99" s="7">
        <f t="shared" si="33"/>
        <v>0</v>
      </c>
      <c r="R99" s="10" t="str">
        <f t="shared" si="23"/>
        <v>0_Pre</v>
      </c>
      <c r="S99" s="10" t="str">
        <f t="shared" si="24"/>
        <v>0_Pre</v>
      </c>
      <c r="T99" s="10" t="str">
        <f t="shared" si="25"/>
        <v>0_Pre</v>
      </c>
      <c r="U99" s="10" t="str">
        <f t="shared" si="26"/>
        <v>0_Pre</v>
      </c>
      <c r="V99" s="10" t="str">
        <f t="shared" si="34"/>
        <v>0_Pre</v>
      </c>
      <c r="W99" s="10" t="str">
        <f t="shared" si="27"/>
        <v>clean_pre</v>
      </c>
      <c r="X99" s="10" t="str">
        <f t="shared" si="28"/>
        <v>0_Pre</v>
      </c>
      <c r="Y99" s="10" t="str">
        <f t="shared" si="29"/>
        <v>0_Pre</v>
      </c>
      <c r="Z99" s="10" t="str">
        <f t="shared" si="30"/>
        <v>0_Pre</v>
      </c>
      <c r="AA99" s="10" t="str">
        <f t="shared" si="35"/>
        <v>0_Pre</v>
      </c>
      <c r="AB99" s="10" t="str">
        <f t="shared" si="36"/>
        <v>0_Pre</v>
      </c>
      <c r="AC99" s="10" t="str">
        <f t="shared" si="37"/>
        <v>0_Pre</v>
      </c>
      <c r="AD99" s="10" t="str">
        <f t="shared" si="38"/>
        <v>1_pre sample median</v>
      </c>
      <c r="AE99" s="10" t="str">
        <f t="shared" si="39"/>
        <v>1_pre sample first tertile</v>
      </c>
      <c r="AF99" t="s">
        <v>82</v>
      </c>
      <c r="AG99" t="s">
        <v>75</v>
      </c>
      <c r="AH99" t="s">
        <v>78</v>
      </c>
      <c r="AI99" t="s">
        <v>123</v>
      </c>
      <c r="AJ99" t="s">
        <v>123</v>
      </c>
      <c r="AK99" t="str">
        <f>VLOOKUP(MID($AR99,1,255),country_lookup!$B:$F,2,FALSE)</f>
        <v>1_US</v>
      </c>
      <c r="AL99" t="str">
        <f>VLOOKUP(MID($AR99,1,255),country_lookup!$B:$F,3,FALSE)</f>
        <v>1_developed</v>
      </c>
      <c r="AM99" t="str">
        <f>VLOOKUP(MID($AR99,1,255),country_lookup!$B:$F,4,FALSE)</f>
        <v>1_western</v>
      </c>
      <c r="AN99" t="str">
        <f>VLOOKUP(MID($AR99,1,255),country_lookup!$B:$F,5,FALSE)</f>
        <v>1_common law</v>
      </c>
      <c r="AO99" s="10" t="str">
        <f>VLOOKUP(MID($AS99,1,255),source_lookup!$B:$K,4,FALSE)</f>
        <v>1_not published</v>
      </c>
      <c r="AP99" s="10" t="str">
        <f>VLOOKUP(MID($AS99,1,255),source_lookup!$B:$K,6,FALSE)</f>
        <v>99_NA</v>
      </c>
      <c r="AQ99" s="10" t="str">
        <f>VLOOKUP(MID($AS99,1,255),source_lookup!$B:$K,10,FALSE)</f>
        <v>1_fin/acc/econ</v>
      </c>
      <c r="AR99" t="s">
        <v>85</v>
      </c>
      <c r="AS99" t="s">
        <v>127</v>
      </c>
    </row>
    <row r="100" spans="1:45" x14ac:dyDescent="0.3">
      <c r="A100" t="s">
        <v>3</v>
      </c>
      <c r="B100">
        <v>99</v>
      </c>
      <c r="C100" s="1">
        <v>3.635250287271842E-2</v>
      </c>
      <c r="D100" s="2">
        <v>582</v>
      </c>
      <c r="E100" s="4">
        <v>6984</v>
      </c>
      <c r="F100" s="4" t="s">
        <v>346</v>
      </c>
      <c r="G100" s="4" t="s">
        <v>346</v>
      </c>
      <c r="H100" t="s">
        <v>77</v>
      </c>
      <c r="I100" t="s">
        <v>350</v>
      </c>
      <c r="J100" s="3">
        <v>1995</v>
      </c>
      <c r="K100" s="3">
        <v>2006</v>
      </c>
      <c r="L100" s="6">
        <f t="shared" si="31"/>
        <v>2000.5</v>
      </c>
      <c r="M100" s="6">
        <f t="shared" si="32"/>
        <v>2000.5</v>
      </c>
      <c r="N100" s="7">
        <f t="shared" si="20"/>
        <v>0</v>
      </c>
      <c r="O100" s="7">
        <f t="shared" si="21"/>
        <v>0</v>
      </c>
      <c r="P100" s="7">
        <f t="shared" si="22"/>
        <v>0</v>
      </c>
      <c r="Q100" s="7">
        <f t="shared" si="33"/>
        <v>0</v>
      </c>
      <c r="R100" s="10" t="str">
        <f t="shared" si="23"/>
        <v>0_Pre</v>
      </c>
      <c r="S100" s="10" t="str">
        <f t="shared" si="24"/>
        <v>0_Pre</v>
      </c>
      <c r="T100" s="10" t="str">
        <f t="shared" si="25"/>
        <v>0_Pre</v>
      </c>
      <c r="U100" s="10" t="str">
        <f t="shared" si="26"/>
        <v>0_Pre</v>
      </c>
      <c r="V100" s="10" t="str">
        <f t="shared" si="34"/>
        <v>0_Pre</v>
      </c>
      <c r="W100" s="10" t="str">
        <f t="shared" si="27"/>
        <v>clean_pre</v>
      </c>
      <c r="X100" s="10" t="str">
        <f t="shared" si="28"/>
        <v>0_Pre</v>
      </c>
      <c r="Y100" s="10" t="str">
        <f t="shared" si="29"/>
        <v>0_Pre</v>
      </c>
      <c r="Z100" s="10" t="str">
        <f t="shared" si="30"/>
        <v>0_Pre</v>
      </c>
      <c r="AA100" s="10" t="str">
        <f t="shared" si="35"/>
        <v>0_Pre</v>
      </c>
      <c r="AB100" s="10" t="str">
        <f t="shared" si="36"/>
        <v>0_Pre</v>
      </c>
      <c r="AC100" s="10" t="str">
        <f t="shared" si="37"/>
        <v>0_Pre</v>
      </c>
      <c r="AD100" s="10" t="str">
        <f t="shared" si="38"/>
        <v>1_pre sample median</v>
      </c>
      <c r="AE100" s="10" t="str">
        <f t="shared" si="39"/>
        <v>1_pre sample first tertile</v>
      </c>
      <c r="AF100" t="s">
        <v>82</v>
      </c>
      <c r="AG100" t="s">
        <v>75</v>
      </c>
      <c r="AH100" t="s">
        <v>78</v>
      </c>
      <c r="AI100" t="s">
        <v>123</v>
      </c>
      <c r="AJ100" t="s">
        <v>123</v>
      </c>
      <c r="AK100" t="str">
        <f>VLOOKUP(MID($AR100,1,255),country_lookup!$B:$F,2,FALSE)</f>
        <v>1_US</v>
      </c>
      <c r="AL100" t="str">
        <f>VLOOKUP(MID($AR100,1,255),country_lookup!$B:$F,3,FALSE)</f>
        <v>1_developed</v>
      </c>
      <c r="AM100" t="str">
        <f>VLOOKUP(MID($AR100,1,255),country_lookup!$B:$F,4,FALSE)</f>
        <v>1_western</v>
      </c>
      <c r="AN100" t="str">
        <f>VLOOKUP(MID($AR100,1,255),country_lookup!$B:$F,5,FALSE)</f>
        <v>1_common law</v>
      </c>
      <c r="AO100" s="10" t="str">
        <f>VLOOKUP(MID($AS100,1,255),source_lookup!$B:$K,4,FALSE)</f>
        <v>1_not published</v>
      </c>
      <c r="AP100" s="10" t="str">
        <f>VLOOKUP(MID($AS100,1,255),source_lookup!$B:$K,6,FALSE)</f>
        <v>99_NA</v>
      </c>
      <c r="AQ100" s="10" t="str">
        <f>VLOOKUP(MID($AS100,1,255),source_lookup!$B:$K,10,FALSE)</f>
        <v>1_fin/acc/econ</v>
      </c>
      <c r="AR100" t="s">
        <v>85</v>
      </c>
      <c r="AS100" t="s">
        <v>127</v>
      </c>
    </row>
    <row r="101" spans="1:45" x14ac:dyDescent="0.3">
      <c r="A101" t="s">
        <v>3</v>
      </c>
      <c r="B101">
        <v>100</v>
      </c>
      <c r="C101" s="1">
        <v>-4.5304458429068883E-2</v>
      </c>
      <c r="D101" s="2">
        <v>582</v>
      </c>
      <c r="E101" s="4">
        <v>6984</v>
      </c>
      <c r="F101" s="4" t="s">
        <v>346</v>
      </c>
      <c r="G101" s="4" t="s">
        <v>346</v>
      </c>
      <c r="H101" t="s">
        <v>77</v>
      </c>
      <c r="I101" t="s">
        <v>350</v>
      </c>
      <c r="J101" s="3">
        <v>1995</v>
      </c>
      <c r="K101" s="3">
        <v>2006</v>
      </c>
      <c r="L101" s="6">
        <f t="shared" si="31"/>
        <v>2000.5</v>
      </c>
      <c r="M101" s="6">
        <f t="shared" si="32"/>
        <v>2000.5</v>
      </c>
      <c r="N101" s="7">
        <f t="shared" si="20"/>
        <v>0</v>
      </c>
      <c r="O101" s="7">
        <f t="shared" si="21"/>
        <v>0</v>
      </c>
      <c r="P101" s="7">
        <f t="shared" si="22"/>
        <v>0</v>
      </c>
      <c r="Q101" s="7">
        <f t="shared" si="33"/>
        <v>0</v>
      </c>
      <c r="R101" s="10" t="str">
        <f t="shared" si="23"/>
        <v>0_Pre</v>
      </c>
      <c r="S101" s="10" t="str">
        <f t="shared" si="24"/>
        <v>0_Pre</v>
      </c>
      <c r="T101" s="10" t="str">
        <f t="shared" si="25"/>
        <v>0_Pre</v>
      </c>
      <c r="U101" s="10" t="str">
        <f t="shared" si="26"/>
        <v>0_Pre</v>
      </c>
      <c r="V101" s="10" t="str">
        <f t="shared" si="34"/>
        <v>0_Pre</v>
      </c>
      <c r="W101" s="10" t="str">
        <f t="shared" si="27"/>
        <v>clean_pre</v>
      </c>
      <c r="X101" s="10" t="str">
        <f t="shared" si="28"/>
        <v>0_Pre</v>
      </c>
      <c r="Y101" s="10" t="str">
        <f t="shared" si="29"/>
        <v>0_Pre</v>
      </c>
      <c r="Z101" s="10" t="str">
        <f t="shared" si="30"/>
        <v>0_Pre</v>
      </c>
      <c r="AA101" s="10" t="str">
        <f t="shared" si="35"/>
        <v>0_Pre</v>
      </c>
      <c r="AB101" s="10" t="str">
        <f t="shared" si="36"/>
        <v>0_Pre</v>
      </c>
      <c r="AC101" s="10" t="str">
        <f t="shared" si="37"/>
        <v>0_Pre</v>
      </c>
      <c r="AD101" s="10" t="str">
        <f t="shared" si="38"/>
        <v>1_pre sample median</v>
      </c>
      <c r="AE101" s="10" t="str">
        <f t="shared" si="39"/>
        <v>1_pre sample first tertile</v>
      </c>
      <c r="AF101" t="s">
        <v>82</v>
      </c>
      <c r="AG101" t="s">
        <v>75</v>
      </c>
      <c r="AH101" t="s">
        <v>78</v>
      </c>
      <c r="AI101" t="s">
        <v>123</v>
      </c>
      <c r="AJ101" t="s">
        <v>123</v>
      </c>
      <c r="AK101" t="str">
        <f>VLOOKUP(MID($AR101,1,255),country_lookup!$B:$F,2,FALSE)</f>
        <v>1_US</v>
      </c>
      <c r="AL101" t="str">
        <f>VLOOKUP(MID($AR101,1,255),country_lookup!$B:$F,3,FALSE)</f>
        <v>1_developed</v>
      </c>
      <c r="AM101" t="str">
        <f>VLOOKUP(MID($AR101,1,255),country_lookup!$B:$F,4,FALSE)</f>
        <v>1_western</v>
      </c>
      <c r="AN101" t="str">
        <f>VLOOKUP(MID($AR101,1,255),country_lookup!$B:$F,5,FALSE)</f>
        <v>1_common law</v>
      </c>
      <c r="AO101" s="10" t="str">
        <f>VLOOKUP(MID($AS101,1,255),source_lookup!$B:$K,4,FALSE)</f>
        <v>1_not published</v>
      </c>
      <c r="AP101" s="10" t="str">
        <f>VLOOKUP(MID($AS101,1,255),source_lookup!$B:$K,6,FALSE)</f>
        <v>99_NA</v>
      </c>
      <c r="AQ101" s="10" t="str">
        <f>VLOOKUP(MID($AS101,1,255),source_lookup!$B:$K,10,FALSE)</f>
        <v>1_fin/acc/econ</v>
      </c>
      <c r="AR101" t="s">
        <v>85</v>
      </c>
      <c r="AS101" t="s">
        <v>127</v>
      </c>
    </row>
    <row r="102" spans="1:45" x14ac:dyDescent="0.3">
      <c r="A102" t="s">
        <v>3</v>
      </c>
      <c r="B102">
        <v>101</v>
      </c>
      <c r="C102" s="1">
        <v>-5.0551335735173793E-2</v>
      </c>
      <c r="D102" s="2">
        <v>582</v>
      </c>
      <c r="E102" s="4">
        <v>6984</v>
      </c>
      <c r="F102" s="4" t="s">
        <v>346</v>
      </c>
      <c r="G102" s="4" t="s">
        <v>346</v>
      </c>
      <c r="H102" t="s">
        <v>77</v>
      </c>
      <c r="I102" t="s">
        <v>350</v>
      </c>
      <c r="J102" s="3">
        <v>1995</v>
      </c>
      <c r="K102" s="3">
        <v>2006</v>
      </c>
      <c r="L102" s="6">
        <f t="shared" si="31"/>
        <v>2000.5</v>
      </c>
      <c r="M102" s="6">
        <f t="shared" si="32"/>
        <v>2000.5</v>
      </c>
      <c r="N102" s="7">
        <f t="shared" si="20"/>
        <v>0</v>
      </c>
      <c r="O102" s="7">
        <f t="shared" si="21"/>
        <v>0</v>
      </c>
      <c r="P102" s="7">
        <f t="shared" si="22"/>
        <v>0</v>
      </c>
      <c r="Q102" s="7">
        <f t="shared" si="33"/>
        <v>0</v>
      </c>
      <c r="R102" s="10" t="str">
        <f t="shared" si="23"/>
        <v>0_Pre</v>
      </c>
      <c r="S102" s="10" t="str">
        <f t="shared" si="24"/>
        <v>0_Pre</v>
      </c>
      <c r="T102" s="10" t="str">
        <f t="shared" si="25"/>
        <v>0_Pre</v>
      </c>
      <c r="U102" s="10" t="str">
        <f t="shared" si="26"/>
        <v>0_Pre</v>
      </c>
      <c r="V102" s="10" t="str">
        <f t="shared" si="34"/>
        <v>0_Pre</v>
      </c>
      <c r="W102" s="10" t="str">
        <f t="shared" si="27"/>
        <v>clean_pre</v>
      </c>
      <c r="X102" s="10" t="str">
        <f t="shared" si="28"/>
        <v>0_Pre</v>
      </c>
      <c r="Y102" s="10" t="str">
        <f t="shared" si="29"/>
        <v>0_Pre</v>
      </c>
      <c r="Z102" s="10" t="str">
        <f t="shared" si="30"/>
        <v>0_Pre</v>
      </c>
      <c r="AA102" s="10" t="str">
        <f t="shared" si="35"/>
        <v>0_Pre</v>
      </c>
      <c r="AB102" s="10" t="str">
        <f t="shared" si="36"/>
        <v>0_Pre</v>
      </c>
      <c r="AC102" s="10" t="str">
        <f t="shared" si="37"/>
        <v>0_Pre</v>
      </c>
      <c r="AD102" s="10" t="str">
        <f t="shared" si="38"/>
        <v>1_pre sample median</v>
      </c>
      <c r="AE102" s="10" t="str">
        <f t="shared" si="39"/>
        <v>1_pre sample first tertile</v>
      </c>
      <c r="AF102" t="s">
        <v>82</v>
      </c>
      <c r="AG102" t="s">
        <v>75</v>
      </c>
      <c r="AH102" t="s">
        <v>78</v>
      </c>
      <c r="AI102" t="s">
        <v>123</v>
      </c>
      <c r="AJ102" t="s">
        <v>123</v>
      </c>
      <c r="AK102" t="str">
        <f>VLOOKUP(MID($AR102,1,255),country_lookup!$B:$F,2,FALSE)</f>
        <v>1_US</v>
      </c>
      <c r="AL102" t="str">
        <f>VLOOKUP(MID($AR102,1,255),country_lookup!$B:$F,3,FALSE)</f>
        <v>1_developed</v>
      </c>
      <c r="AM102" t="str">
        <f>VLOOKUP(MID($AR102,1,255),country_lookup!$B:$F,4,FALSE)</f>
        <v>1_western</v>
      </c>
      <c r="AN102" t="str">
        <f>VLOOKUP(MID($AR102,1,255),country_lookup!$B:$F,5,FALSE)</f>
        <v>1_common law</v>
      </c>
      <c r="AO102" s="10" t="str">
        <f>VLOOKUP(MID($AS102,1,255),source_lookup!$B:$K,4,FALSE)</f>
        <v>1_not published</v>
      </c>
      <c r="AP102" s="10" t="str">
        <f>VLOOKUP(MID($AS102,1,255),source_lookup!$B:$K,6,FALSE)</f>
        <v>99_NA</v>
      </c>
      <c r="AQ102" s="10" t="str">
        <f>VLOOKUP(MID($AS102,1,255),source_lookup!$B:$K,10,FALSE)</f>
        <v>1_fin/acc/econ</v>
      </c>
      <c r="AR102" t="s">
        <v>85</v>
      </c>
      <c r="AS102" t="s">
        <v>127</v>
      </c>
    </row>
    <row r="103" spans="1:45" x14ac:dyDescent="0.3">
      <c r="A103" t="s">
        <v>3</v>
      </c>
      <c r="B103">
        <v>102</v>
      </c>
      <c r="C103" s="1">
        <v>-4.1303571096395014E-2</v>
      </c>
      <c r="D103" s="2">
        <v>582</v>
      </c>
      <c r="E103" s="4">
        <v>2910</v>
      </c>
      <c r="F103" s="4" t="s">
        <v>346</v>
      </c>
      <c r="G103" s="4" t="s">
        <v>346</v>
      </c>
      <c r="H103" t="s">
        <v>77</v>
      </c>
      <c r="I103" t="s">
        <v>350</v>
      </c>
      <c r="J103" s="3">
        <v>2002</v>
      </c>
      <c r="K103" s="3">
        <v>2006</v>
      </c>
      <c r="L103" s="6">
        <f t="shared" si="31"/>
        <v>2004</v>
      </c>
      <c r="M103" s="6">
        <f t="shared" si="32"/>
        <v>2004</v>
      </c>
      <c r="N103" s="7">
        <f t="shared" si="20"/>
        <v>0</v>
      </c>
      <c r="O103" s="7">
        <f t="shared" si="21"/>
        <v>0</v>
      </c>
      <c r="P103" s="7">
        <f t="shared" si="22"/>
        <v>0</v>
      </c>
      <c r="Q103" s="7">
        <f t="shared" si="33"/>
        <v>0</v>
      </c>
      <c r="R103" s="10" t="str">
        <f t="shared" si="23"/>
        <v>0_Pre</v>
      </c>
      <c r="S103" s="10" t="str">
        <f t="shared" si="24"/>
        <v>0_Pre</v>
      </c>
      <c r="T103" s="10" t="str">
        <f t="shared" si="25"/>
        <v>0_Pre</v>
      </c>
      <c r="U103" s="10" t="str">
        <f t="shared" si="26"/>
        <v>0_Pre</v>
      </c>
      <c r="V103" s="10" t="str">
        <f t="shared" si="34"/>
        <v>0_Pre</v>
      </c>
      <c r="W103" s="10" t="str">
        <f t="shared" si="27"/>
        <v>clean_pre</v>
      </c>
      <c r="X103" s="10" t="str">
        <f t="shared" si="28"/>
        <v>0_Pre</v>
      </c>
      <c r="Y103" s="10" t="str">
        <f t="shared" si="29"/>
        <v>0_Pre</v>
      </c>
      <c r="Z103" s="10" t="str">
        <f t="shared" si="30"/>
        <v>0_Pre</v>
      </c>
      <c r="AA103" s="10" t="str">
        <f t="shared" si="35"/>
        <v>0_Pre</v>
      </c>
      <c r="AB103" s="10" t="str">
        <f t="shared" si="36"/>
        <v>0_Pre</v>
      </c>
      <c r="AC103" s="10" t="str">
        <f t="shared" si="37"/>
        <v>0_Pre</v>
      </c>
      <c r="AD103" s="10" t="str">
        <f t="shared" si="38"/>
        <v>1_pre sample median</v>
      </c>
      <c r="AE103" s="10" t="str">
        <f t="shared" si="39"/>
        <v>1_pre sample first tertile</v>
      </c>
      <c r="AF103" t="s">
        <v>82</v>
      </c>
      <c r="AG103" t="s">
        <v>75</v>
      </c>
      <c r="AH103" t="s">
        <v>78</v>
      </c>
      <c r="AI103" t="s">
        <v>123</v>
      </c>
      <c r="AJ103" t="s">
        <v>123</v>
      </c>
      <c r="AK103" t="str">
        <f>VLOOKUP(MID($AR103,1,255),country_lookup!$B:$F,2,FALSE)</f>
        <v>1_US</v>
      </c>
      <c r="AL103" t="str">
        <f>VLOOKUP(MID($AR103,1,255),country_lookup!$B:$F,3,FALSE)</f>
        <v>1_developed</v>
      </c>
      <c r="AM103" t="str">
        <f>VLOOKUP(MID($AR103,1,255),country_lookup!$B:$F,4,FALSE)</f>
        <v>1_western</v>
      </c>
      <c r="AN103" t="str">
        <f>VLOOKUP(MID($AR103,1,255),country_lookup!$B:$F,5,FALSE)</f>
        <v>1_common law</v>
      </c>
      <c r="AO103" s="10" t="str">
        <f>VLOOKUP(MID($AS103,1,255),source_lookup!$B:$K,4,FALSE)</f>
        <v>1_not published</v>
      </c>
      <c r="AP103" s="10" t="str">
        <f>VLOOKUP(MID($AS103,1,255),source_lookup!$B:$K,6,FALSE)</f>
        <v>99_NA</v>
      </c>
      <c r="AQ103" s="10" t="str">
        <f>VLOOKUP(MID($AS103,1,255),source_lookup!$B:$K,10,FALSE)</f>
        <v>1_fin/acc/econ</v>
      </c>
      <c r="AR103" t="s">
        <v>85</v>
      </c>
      <c r="AS103" t="s">
        <v>127</v>
      </c>
    </row>
    <row r="104" spans="1:45" x14ac:dyDescent="0.3">
      <c r="A104" t="s">
        <v>3</v>
      </c>
      <c r="B104">
        <v>103</v>
      </c>
      <c r="C104" s="1">
        <v>5.9319276136880726E-3</v>
      </c>
      <c r="D104" s="2">
        <v>582</v>
      </c>
      <c r="E104" s="4">
        <v>2910</v>
      </c>
      <c r="F104" s="4" t="s">
        <v>346</v>
      </c>
      <c r="G104" s="4" t="s">
        <v>346</v>
      </c>
      <c r="H104" t="s">
        <v>77</v>
      </c>
      <c r="I104" t="s">
        <v>350</v>
      </c>
      <c r="J104" s="3">
        <v>2002</v>
      </c>
      <c r="K104" s="3">
        <v>2006</v>
      </c>
      <c r="L104" s="6">
        <f t="shared" si="31"/>
        <v>2004</v>
      </c>
      <c r="M104" s="6">
        <f t="shared" si="32"/>
        <v>2004</v>
      </c>
      <c r="N104" s="7">
        <f t="shared" si="20"/>
        <v>0</v>
      </c>
      <c r="O104" s="7">
        <f t="shared" si="21"/>
        <v>0</v>
      </c>
      <c r="P104" s="7">
        <f t="shared" si="22"/>
        <v>0</v>
      </c>
      <c r="Q104" s="7">
        <f t="shared" si="33"/>
        <v>0</v>
      </c>
      <c r="R104" s="10" t="str">
        <f t="shared" si="23"/>
        <v>0_Pre</v>
      </c>
      <c r="S104" s="10" t="str">
        <f t="shared" si="24"/>
        <v>0_Pre</v>
      </c>
      <c r="T104" s="10" t="str">
        <f t="shared" si="25"/>
        <v>0_Pre</v>
      </c>
      <c r="U104" s="10" t="str">
        <f t="shared" si="26"/>
        <v>0_Pre</v>
      </c>
      <c r="V104" s="10" t="str">
        <f t="shared" si="34"/>
        <v>0_Pre</v>
      </c>
      <c r="W104" s="10" t="str">
        <f t="shared" si="27"/>
        <v>clean_pre</v>
      </c>
      <c r="X104" s="10" t="str">
        <f t="shared" si="28"/>
        <v>0_Pre</v>
      </c>
      <c r="Y104" s="10" t="str">
        <f t="shared" si="29"/>
        <v>0_Pre</v>
      </c>
      <c r="Z104" s="10" t="str">
        <f t="shared" si="30"/>
        <v>0_Pre</v>
      </c>
      <c r="AA104" s="10" t="str">
        <f t="shared" si="35"/>
        <v>0_Pre</v>
      </c>
      <c r="AB104" s="10" t="str">
        <f t="shared" si="36"/>
        <v>0_Pre</v>
      </c>
      <c r="AC104" s="10" t="str">
        <f t="shared" si="37"/>
        <v>0_Pre</v>
      </c>
      <c r="AD104" s="10" t="str">
        <f t="shared" si="38"/>
        <v>1_pre sample median</v>
      </c>
      <c r="AE104" s="10" t="str">
        <f t="shared" si="39"/>
        <v>1_pre sample first tertile</v>
      </c>
      <c r="AF104" t="s">
        <v>82</v>
      </c>
      <c r="AG104" t="s">
        <v>75</v>
      </c>
      <c r="AH104" t="s">
        <v>78</v>
      </c>
      <c r="AI104" t="s">
        <v>123</v>
      </c>
      <c r="AJ104" t="s">
        <v>123</v>
      </c>
      <c r="AK104" t="str">
        <f>VLOOKUP(MID($AR104,1,255),country_lookup!$B:$F,2,FALSE)</f>
        <v>1_US</v>
      </c>
      <c r="AL104" t="str">
        <f>VLOOKUP(MID($AR104,1,255),country_lookup!$B:$F,3,FALSE)</f>
        <v>1_developed</v>
      </c>
      <c r="AM104" t="str">
        <f>VLOOKUP(MID($AR104,1,255),country_lookup!$B:$F,4,FALSE)</f>
        <v>1_western</v>
      </c>
      <c r="AN104" t="str">
        <f>VLOOKUP(MID($AR104,1,255),country_lookup!$B:$F,5,FALSE)</f>
        <v>1_common law</v>
      </c>
      <c r="AO104" s="10" t="str">
        <f>VLOOKUP(MID($AS104,1,255),source_lookup!$B:$K,4,FALSE)</f>
        <v>1_not published</v>
      </c>
      <c r="AP104" s="10" t="str">
        <f>VLOOKUP(MID($AS104,1,255),source_lookup!$B:$K,6,FALSE)</f>
        <v>99_NA</v>
      </c>
      <c r="AQ104" s="10" t="str">
        <f>VLOOKUP(MID($AS104,1,255),source_lookup!$B:$K,10,FALSE)</f>
        <v>1_fin/acc/econ</v>
      </c>
      <c r="AR104" t="s">
        <v>85</v>
      </c>
      <c r="AS104" t="s">
        <v>127</v>
      </c>
    </row>
    <row r="105" spans="1:45" x14ac:dyDescent="0.3">
      <c r="A105" t="s">
        <v>3</v>
      </c>
      <c r="B105">
        <v>104</v>
      </c>
      <c r="C105" s="1">
        <v>-8.7123413001977679E-3</v>
      </c>
      <c r="D105" s="2">
        <v>582</v>
      </c>
      <c r="E105" s="4">
        <v>2910</v>
      </c>
      <c r="F105" s="4" t="s">
        <v>346</v>
      </c>
      <c r="G105" s="4" t="s">
        <v>346</v>
      </c>
      <c r="H105" t="s">
        <v>77</v>
      </c>
      <c r="I105" t="s">
        <v>350</v>
      </c>
      <c r="J105" s="3">
        <v>2002</v>
      </c>
      <c r="K105" s="3">
        <v>2006</v>
      </c>
      <c r="L105" s="6">
        <f t="shared" si="31"/>
        <v>2004</v>
      </c>
      <c r="M105" s="6">
        <f t="shared" si="32"/>
        <v>2004</v>
      </c>
      <c r="N105" s="7">
        <f t="shared" si="20"/>
        <v>0</v>
      </c>
      <c r="O105" s="7">
        <f t="shared" si="21"/>
        <v>0</v>
      </c>
      <c r="P105" s="7">
        <f t="shared" si="22"/>
        <v>0</v>
      </c>
      <c r="Q105" s="7">
        <f t="shared" si="33"/>
        <v>0</v>
      </c>
      <c r="R105" s="10" t="str">
        <f t="shared" si="23"/>
        <v>0_Pre</v>
      </c>
      <c r="S105" s="10" t="str">
        <f t="shared" si="24"/>
        <v>0_Pre</v>
      </c>
      <c r="T105" s="10" t="str">
        <f t="shared" si="25"/>
        <v>0_Pre</v>
      </c>
      <c r="U105" s="10" t="str">
        <f t="shared" si="26"/>
        <v>0_Pre</v>
      </c>
      <c r="V105" s="10" t="str">
        <f t="shared" si="34"/>
        <v>0_Pre</v>
      </c>
      <c r="W105" s="10" t="str">
        <f t="shared" si="27"/>
        <v>clean_pre</v>
      </c>
      <c r="X105" s="10" t="str">
        <f t="shared" si="28"/>
        <v>0_Pre</v>
      </c>
      <c r="Y105" s="10" t="str">
        <f t="shared" si="29"/>
        <v>0_Pre</v>
      </c>
      <c r="Z105" s="10" t="str">
        <f t="shared" si="30"/>
        <v>0_Pre</v>
      </c>
      <c r="AA105" s="10" t="str">
        <f t="shared" si="35"/>
        <v>0_Pre</v>
      </c>
      <c r="AB105" s="10" t="str">
        <f t="shared" si="36"/>
        <v>0_Pre</v>
      </c>
      <c r="AC105" s="10" t="str">
        <f t="shared" si="37"/>
        <v>0_Pre</v>
      </c>
      <c r="AD105" s="10" t="str">
        <f t="shared" si="38"/>
        <v>1_pre sample median</v>
      </c>
      <c r="AE105" s="10" t="str">
        <f t="shared" si="39"/>
        <v>1_pre sample first tertile</v>
      </c>
      <c r="AF105" t="s">
        <v>82</v>
      </c>
      <c r="AG105" t="s">
        <v>75</v>
      </c>
      <c r="AH105" t="s">
        <v>78</v>
      </c>
      <c r="AI105" t="s">
        <v>123</v>
      </c>
      <c r="AJ105" t="s">
        <v>123</v>
      </c>
      <c r="AK105" t="str">
        <f>VLOOKUP(MID($AR105,1,255),country_lookup!$B:$F,2,FALSE)</f>
        <v>1_US</v>
      </c>
      <c r="AL105" t="str">
        <f>VLOOKUP(MID($AR105,1,255),country_lookup!$B:$F,3,FALSE)</f>
        <v>1_developed</v>
      </c>
      <c r="AM105" t="str">
        <f>VLOOKUP(MID($AR105,1,255),country_lookup!$B:$F,4,FALSE)</f>
        <v>1_western</v>
      </c>
      <c r="AN105" t="str">
        <f>VLOOKUP(MID($AR105,1,255),country_lookup!$B:$F,5,FALSE)</f>
        <v>1_common law</v>
      </c>
      <c r="AO105" s="10" t="str">
        <f>VLOOKUP(MID($AS105,1,255),source_lookup!$B:$K,4,FALSE)</f>
        <v>1_not published</v>
      </c>
      <c r="AP105" s="10" t="str">
        <f>VLOOKUP(MID($AS105,1,255),source_lookup!$B:$K,6,FALSE)</f>
        <v>99_NA</v>
      </c>
      <c r="AQ105" s="10" t="str">
        <f>VLOOKUP(MID($AS105,1,255),source_lookup!$B:$K,10,FALSE)</f>
        <v>1_fin/acc/econ</v>
      </c>
      <c r="AR105" t="s">
        <v>85</v>
      </c>
      <c r="AS105" t="s">
        <v>127</v>
      </c>
    </row>
    <row r="106" spans="1:45" x14ac:dyDescent="0.3">
      <c r="A106" t="s">
        <v>3</v>
      </c>
      <c r="B106">
        <v>105</v>
      </c>
      <c r="C106" s="1">
        <v>-4.3522082072191826E-2</v>
      </c>
      <c r="D106" s="2">
        <v>582</v>
      </c>
      <c r="E106" s="4">
        <v>2910</v>
      </c>
      <c r="F106" s="4" t="s">
        <v>346</v>
      </c>
      <c r="G106" s="4" t="s">
        <v>346</v>
      </c>
      <c r="H106" t="s">
        <v>77</v>
      </c>
      <c r="I106" t="s">
        <v>350</v>
      </c>
      <c r="J106" s="3">
        <v>2002</v>
      </c>
      <c r="K106" s="3">
        <v>2006</v>
      </c>
      <c r="L106" s="6">
        <f t="shared" si="31"/>
        <v>2004</v>
      </c>
      <c r="M106" s="6">
        <f t="shared" si="32"/>
        <v>2004</v>
      </c>
      <c r="N106" s="7">
        <f t="shared" si="20"/>
        <v>0</v>
      </c>
      <c r="O106" s="7">
        <f t="shared" si="21"/>
        <v>0</v>
      </c>
      <c r="P106" s="7">
        <f t="shared" si="22"/>
        <v>0</v>
      </c>
      <c r="Q106" s="7">
        <f t="shared" si="33"/>
        <v>0</v>
      </c>
      <c r="R106" s="10" t="str">
        <f t="shared" si="23"/>
        <v>0_Pre</v>
      </c>
      <c r="S106" s="10" t="str">
        <f t="shared" si="24"/>
        <v>0_Pre</v>
      </c>
      <c r="T106" s="10" t="str">
        <f t="shared" si="25"/>
        <v>0_Pre</v>
      </c>
      <c r="U106" s="10" t="str">
        <f t="shared" si="26"/>
        <v>0_Pre</v>
      </c>
      <c r="V106" s="10" t="str">
        <f t="shared" si="34"/>
        <v>0_Pre</v>
      </c>
      <c r="W106" s="10" t="str">
        <f t="shared" si="27"/>
        <v>clean_pre</v>
      </c>
      <c r="X106" s="10" t="str">
        <f t="shared" si="28"/>
        <v>0_Pre</v>
      </c>
      <c r="Y106" s="10" t="str">
        <f t="shared" si="29"/>
        <v>0_Pre</v>
      </c>
      <c r="Z106" s="10" t="str">
        <f t="shared" si="30"/>
        <v>0_Pre</v>
      </c>
      <c r="AA106" s="10" t="str">
        <f t="shared" si="35"/>
        <v>0_Pre</v>
      </c>
      <c r="AB106" s="10" t="str">
        <f t="shared" si="36"/>
        <v>0_Pre</v>
      </c>
      <c r="AC106" s="10" t="str">
        <f t="shared" si="37"/>
        <v>0_Pre</v>
      </c>
      <c r="AD106" s="10" t="str">
        <f t="shared" si="38"/>
        <v>1_pre sample median</v>
      </c>
      <c r="AE106" s="10" t="str">
        <f t="shared" si="39"/>
        <v>1_pre sample first tertile</v>
      </c>
      <c r="AF106" t="s">
        <v>82</v>
      </c>
      <c r="AG106" t="s">
        <v>75</v>
      </c>
      <c r="AH106" t="s">
        <v>78</v>
      </c>
      <c r="AI106" t="s">
        <v>123</v>
      </c>
      <c r="AJ106" t="s">
        <v>123</v>
      </c>
      <c r="AK106" t="str">
        <f>VLOOKUP(MID($AR106,1,255),country_lookup!$B:$F,2,FALSE)</f>
        <v>1_US</v>
      </c>
      <c r="AL106" t="str">
        <f>VLOOKUP(MID($AR106,1,255),country_lookup!$B:$F,3,FALSE)</f>
        <v>1_developed</v>
      </c>
      <c r="AM106" t="str">
        <f>VLOOKUP(MID($AR106,1,255),country_lookup!$B:$F,4,FALSE)</f>
        <v>1_western</v>
      </c>
      <c r="AN106" t="str">
        <f>VLOOKUP(MID($AR106,1,255),country_lookup!$B:$F,5,FALSE)</f>
        <v>1_common law</v>
      </c>
      <c r="AO106" s="10" t="str">
        <f>VLOOKUP(MID($AS106,1,255),source_lookup!$B:$K,4,FALSE)</f>
        <v>1_not published</v>
      </c>
      <c r="AP106" s="10" t="str">
        <f>VLOOKUP(MID($AS106,1,255),source_lookup!$B:$K,6,FALSE)</f>
        <v>99_NA</v>
      </c>
      <c r="AQ106" s="10" t="str">
        <f>VLOOKUP(MID($AS106,1,255),source_lookup!$B:$K,10,FALSE)</f>
        <v>1_fin/acc/econ</v>
      </c>
      <c r="AR106" t="s">
        <v>85</v>
      </c>
      <c r="AS106" t="s">
        <v>127</v>
      </c>
    </row>
    <row r="107" spans="1:45" x14ac:dyDescent="0.3">
      <c r="A107" t="s">
        <v>3</v>
      </c>
      <c r="B107">
        <v>106</v>
      </c>
      <c r="C107" s="1">
        <v>-5.4973416148236878E-2</v>
      </c>
      <c r="D107" s="2">
        <v>582</v>
      </c>
      <c r="E107" s="4">
        <v>2910</v>
      </c>
      <c r="F107" s="4" t="s">
        <v>346</v>
      </c>
      <c r="G107" s="4" t="s">
        <v>346</v>
      </c>
      <c r="H107" t="s">
        <v>77</v>
      </c>
      <c r="I107" t="s">
        <v>350</v>
      </c>
      <c r="J107" s="3">
        <v>2002</v>
      </c>
      <c r="K107" s="3">
        <v>2006</v>
      </c>
      <c r="L107" s="6">
        <f t="shared" si="31"/>
        <v>2004</v>
      </c>
      <c r="M107" s="6">
        <f t="shared" si="32"/>
        <v>2004</v>
      </c>
      <c r="N107" s="7">
        <f t="shared" si="20"/>
        <v>0</v>
      </c>
      <c r="O107" s="7">
        <f t="shared" si="21"/>
        <v>0</v>
      </c>
      <c r="P107" s="7">
        <f t="shared" si="22"/>
        <v>0</v>
      </c>
      <c r="Q107" s="7">
        <f t="shared" si="33"/>
        <v>0</v>
      </c>
      <c r="R107" s="10" t="str">
        <f t="shared" si="23"/>
        <v>0_Pre</v>
      </c>
      <c r="S107" s="10" t="str">
        <f t="shared" si="24"/>
        <v>0_Pre</v>
      </c>
      <c r="T107" s="10" t="str">
        <f t="shared" si="25"/>
        <v>0_Pre</v>
      </c>
      <c r="U107" s="10" t="str">
        <f t="shared" si="26"/>
        <v>0_Pre</v>
      </c>
      <c r="V107" s="10" t="str">
        <f t="shared" si="34"/>
        <v>0_Pre</v>
      </c>
      <c r="W107" s="10" t="str">
        <f t="shared" si="27"/>
        <v>clean_pre</v>
      </c>
      <c r="X107" s="10" t="str">
        <f t="shared" si="28"/>
        <v>0_Pre</v>
      </c>
      <c r="Y107" s="10" t="str">
        <f t="shared" si="29"/>
        <v>0_Pre</v>
      </c>
      <c r="Z107" s="10" t="str">
        <f t="shared" si="30"/>
        <v>0_Pre</v>
      </c>
      <c r="AA107" s="10" t="str">
        <f t="shared" si="35"/>
        <v>0_Pre</v>
      </c>
      <c r="AB107" s="10" t="str">
        <f t="shared" si="36"/>
        <v>0_Pre</v>
      </c>
      <c r="AC107" s="10" t="str">
        <f t="shared" si="37"/>
        <v>0_Pre</v>
      </c>
      <c r="AD107" s="10" t="str">
        <f t="shared" si="38"/>
        <v>1_pre sample median</v>
      </c>
      <c r="AE107" s="10" t="str">
        <f t="shared" si="39"/>
        <v>1_pre sample first tertile</v>
      </c>
      <c r="AF107" t="s">
        <v>82</v>
      </c>
      <c r="AG107" t="s">
        <v>75</v>
      </c>
      <c r="AH107" t="s">
        <v>78</v>
      </c>
      <c r="AI107" t="s">
        <v>123</v>
      </c>
      <c r="AJ107" t="s">
        <v>123</v>
      </c>
      <c r="AK107" t="str">
        <f>VLOOKUP(MID($AR107,1,255),country_lookup!$B:$F,2,FALSE)</f>
        <v>1_US</v>
      </c>
      <c r="AL107" t="str">
        <f>VLOOKUP(MID($AR107,1,255),country_lookup!$B:$F,3,FALSE)</f>
        <v>1_developed</v>
      </c>
      <c r="AM107" t="str">
        <f>VLOOKUP(MID($AR107,1,255),country_lookup!$B:$F,4,FALSE)</f>
        <v>1_western</v>
      </c>
      <c r="AN107" t="str">
        <f>VLOOKUP(MID($AR107,1,255),country_lookup!$B:$F,5,FALSE)</f>
        <v>1_common law</v>
      </c>
      <c r="AO107" s="10" t="str">
        <f>VLOOKUP(MID($AS107,1,255),source_lookup!$B:$K,4,FALSE)</f>
        <v>1_not published</v>
      </c>
      <c r="AP107" s="10" t="str">
        <f>VLOOKUP(MID($AS107,1,255),source_lookup!$B:$K,6,FALSE)</f>
        <v>99_NA</v>
      </c>
      <c r="AQ107" s="10" t="str">
        <f>VLOOKUP(MID($AS107,1,255),source_lookup!$B:$K,10,FALSE)</f>
        <v>1_fin/acc/econ</v>
      </c>
      <c r="AR107" t="s">
        <v>85</v>
      </c>
      <c r="AS107" t="s">
        <v>127</v>
      </c>
    </row>
    <row r="108" spans="1:45" x14ac:dyDescent="0.3">
      <c r="A108" t="s">
        <v>3</v>
      </c>
      <c r="B108">
        <v>107</v>
      </c>
      <c r="C108" s="1">
        <v>-1.8349134172673733E-2</v>
      </c>
      <c r="D108" s="2">
        <v>582</v>
      </c>
      <c r="E108" s="4">
        <v>2910</v>
      </c>
      <c r="F108" s="4" t="s">
        <v>346</v>
      </c>
      <c r="G108" s="4" t="s">
        <v>346</v>
      </c>
      <c r="H108" t="s">
        <v>77</v>
      </c>
      <c r="I108" t="s">
        <v>350</v>
      </c>
      <c r="J108" s="3">
        <v>2002</v>
      </c>
      <c r="K108" s="3">
        <v>2006</v>
      </c>
      <c r="L108" s="6">
        <f t="shared" si="31"/>
        <v>2004</v>
      </c>
      <c r="M108" s="6">
        <f t="shared" si="32"/>
        <v>2004</v>
      </c>
      <c r="N108" s="7">
        <f t="shared" si="20"/>
        <v>0</v>
      </c>
      <c r="O108" s="7">
        <f t="shared" si="21"/>
        <v>0</v>
      </c>
      <c r="P108" s="7">
        <f t="shared" si="22"/>
        <v>0</v>
      </c>
      <c r="Q108" s="7">
        <f t="shared" si="33"/>
        <v>0</v>
      </c>
      <c r="R108" s="10" t="str">
        <f t="shared" si="23"/>
        <v>0_Pre</v>
      </c>
      <c r="S108" s="10" t="str">
        <f t="shared" si="24"/>
        <v>0_Pre</v>
      </c>
      <c r="T108" s="10" t="str">
        <f t="shared" si="25"/>
        <v>0_Pre</v>
      </c>
      <c r="U108" s="10" t="str">
        <f t="shared" si="26"/>
        <v>0_Pre</v>
      </c>
      <c r="V108" s="10" t="str">
        <f t="shared" si="34"/>
        <v>0_Pre</v>
      </c>
      <c r="W108" s="10" t="str">
        <f t="shared" si="27"/>
        <v>clean_pre</v>
      </c>
      <c r="X108" s="10" t="str">
        <f t="shared" si="28"/>
        <v>0_Pre</v>
      </c>
      <c r="Y108" s="10" t="str">
        <f t="shared" si="29"/>
        <v>0_Pre</v>
      </c>
      <c r="Z108" s="10" t="str">
        <f t="shared" si="30"/>
        <v>0_Pre</v>
      </c>
      <c r="AA108" s="10" t="str">
        <f t="shared" si="35"/>
        <v>0_Pre</v>
      </c>
      <c r="AB108" s="10" t="str">
        <f t="shared" si="36"/>
        <v>0_Pre</v>
      </c>
      <c r="AC108" s="10" t="str">
        <f t="shared" si="37"/>
        <v>0_Pre</v>
      </c>
      <c r="AD108" s="10" t="str">
        <f t="shared" si="38"/>
        <v>1_pre sample median</v>
      </c>
      <c r="AE108" s="10" t="str">
        <f t="shared" si="39"/>
        <v>1_pre sample first tertile</v>
      </c>
      <c r="AF108" t="s">
        <v>82</v>
      </c>
      <c r="AG108" t="s">
        <v>75</v>
      </c>
      <c r="AH108" t="s">
        <v>78</v>
      </c>
      <c r="AI108" t="s">
        <v>123</v>
      </c>
      <c r="AJ108" t="s">
        <v>123</v>
      </c>
      <c r="AK108" t="str">
        <f>VLOOKUP(MID($AR108,1,255),country_lookup!$B:$F,2,FALSE)</f>
        <v>1_US</v>
      </c>
      <c r="AL108" t="str">
        <f>VLOOKUP(MID($AR108,1,255),country_lookup!$B:$F,3,FALSE)</f>
        <v>1_developed</v>
      </c>
      <c r="AM108" t="str">
        <f>VLOOKUP(MID($AR108,1,255),country_lookup!$B:$F,4,FALSE)</f>
        <v>1_western</v>
      </c>
      <c r="AN108" t="str">
        <f>VLOOKUP(MID($AR108,1,255),country_lookup!$B:$F,5,FALSE)</f>
        <v>1_common law</v>
      </c>
      <c r="AO108" s="10" t="str">
        <f>VLOOKUP(MID($AS108,1,255),source_lookup!$B:$K,4,FALSE)</f>
        <v>1_not published</v>
      </c>
      <c r="AP108" s="10" t="str">
        <f>VLOOKUP(MID($AS108,1,255),source_lookup!$B:$K,6,FALSE)</f>
        <v>99_NA</v>
      </c>
      <c r="AQ108" s="10" t="str">
        <f>VLOOKUP(MID($AS108,1,255),source_lookup!$B:$K,10,FALSE)</f>
        <v>1_fin/acc/econ</v>
      </c>
      <c r="AR108" t="s">
        <v>85</v>
      </c>
      <c r="AS108" t="s">
        <v>127</v>
      </c>
    </row>
    <row r="109" spans="1:45" x14ac:dyDescent="0.3">
      <c r="A109" t="s">
        <v>3</v>
      </c>
      <c r="B109">
        <v>108</v>
      </c>
      <c r="C109" s="1">
        <v>-5.0542965581302259E-2</v>
      </c>
      <c r="D109" s="2">
        <v>582</v>
      </c>
      <c r="E109" s="4">
        <v>2910</v>
      </c>
      <c r="F109" s="4" t="s">
        <v>346</v>
      </c>
      <c r="G109" s="4" t="s">
        <v>346</v>
      </c>
      <c r="H109" t="s">
        <v>77</v>
      </c>
      <c r="I109" t="s">
        <v>350</v>
      </c>
      <c r="J109" s="3">
        <v>2002</v>
      </c>
      <c r="K109" s="3">
        <v>2006</v>
      </c>
      <c r="L109" s="6">
        <f t="shared" si="31"/>
        <v>2004</v>
      </c>
      <c r="M109" s="6">
        <f t="shared" si="32"/>
        <v>2004</v>
      </c>
      <c r="N109" s="7">
        <f t="shared" si="20"/>
        <v>0</v>
      </c>
      <c r="O109" s="7">
        <f t="shared" si="21"/>
        <v>0</v>
      </c>
      <c r="P109" s="7">
        <f t="shared" si="22"/>
        <v>0</v>
      </c>
      <c r="Q109" s="7">
        <f t="shared" si="33"/>
        <v>0</v>
      </c>
      <c r="R109" s="10" t="str">
        <f t="shared" si="23"/>
        <v>0_Pre</v>
      </c>
      <c r="S109" s="10" t="str">
        <f t="shared" si="24"/>
        <v>0_Pre</v>
      </c>
      <c r="T109" s="10" t="str">
        <f t="shared" si="25"/>
        <v>0_Pre</v>
      </c>
      <c r="U109" s="10" t="str">
        <f t="shared" si="26"/>
        <v>0_Pre</v>
      </c>
      <c r="V109" s="10" t="str">
        <f t="shared" si="34"/>
        <v>0_Pre</v>
      </c>
      <c r="W109" s="10" t="str">
        <f t="shared" si="27"/>
        <v>clean_pre</v>
      </c>
      <c r="X109" s="10" t="str">
        <f t="shared" si="28"/>
        <v>0_Pre</v>
      </c>
      <c r="Y109" s="10" t="str">
        <f t="shared" si="29"/>
        <v>0_Pre</v>
      </c>
      <c r="Z109" s="10" t="str">
        <f t="shared" si="30"/>
        <v>0_Pre</v>
      </c>
      <c r="AA109" s="10" t="str">
        <f t="shared" si="35"/>
        <v>0_Pre</v>
      </c>
      <c r="AB109" s="10" t="str">
        <f t="shared" si="36"/>
        <v>0_Pre</v>
      </c>
      <c r="AC109" s="10" t="str">
        <f t="shared" si="37"/>
        <v>0_Pre</v>
      </c>
      <c r="AD109" s="10" t="str">
        <f t="shared" si="38"/>
        <v>1_pre sample median</v>
      </c>
      <c r="AE109" s="10" t="str">
        <f t="shared" si="39"/>
        <v>1_pre sample first tertile</v>
      </c>
      <c r="AF109" t="s">
        <v>82</v>
      </c>
      <c r="AG109" t="s">
        <v>75</v>
      </c>
      <c r="AH109" t="s">
        <v>78</v>
      </c>
      <c r="AI109" t="s">
        <v>123</v>
      </c>
      <c r="AJ109" t="s">
        <v>123</v>
      </c>
      <c r="AK109" t="str">
        <f>VLOOKUP(MID($AR109,1,255),country_lookup!$B:$F,2,FALSE)</f>
        <v>1_US</v>
      </c>
      <c r="AL109" t="str">
        <f>VLOOKUP(MID($AR109,1,255),country_lookup!$B:$F,3,FALSE)</f>
        <v>1_developed</v>
      </c>
      <c r="AM109" t="str">
        <f>VLOOKUP(MID($AR109,1,255),country_lookup!$B:$F,4,FALSE)</f>
        <v>1_western</v>
      </c>
      <c r="AN109" t="str">
        <f>VLOOKUP(MID($AR109,1,255),country_lookup!$B:$F,5,FALSE)</f>
        <v>1_common law</v>
      </c>
      <c r="AO109" s="10" t="str">
        <f>VLOOKUP(MID($AS109,1,255),source_lookup!$B:$K,4,FALSE)</f>
        <v>1_not published</v>
      </c>
      <c r="AP109" s="10" t="str">
        <f>VLOOKUP(MID($AS109,1,255),source_lookup!$B:$K,6,FALSE)</f>
        <v>99_NA</v>
      </c>
      <c r="AQ109" s="10" t="str">
        <f>VLOOKUP(MID($AS109,1,255),source_lookup!$B:$K,10,FALSE)</f>
        <v>1_fin/acc/econ</v>
      </c>
      <c r="AR109" t="s">
        <v>85</v>
      </c>
      <c r="AS109" t="s">
        <v>127</v>
      </c>
    </row>
    <row r="110" spans="1:45" x14ac:dyDescent="0.3">
      <c r="A110" t="s">
        <v>3</v>
      </c>
      <c r="B110">
        <v>109</v>
      </c>
      <c r="C110" s="1">
        <v>-5.2831422520413195E-3</v>
      </c>
      <c r="D110" s="2">
        <v>582</v>
      </c>
      <c r="E110" s="4">
        <v>2910</v>
      </c>
      <c r="F110" s="4" t="s">
        <v>346</v>
      </c>
      <c r="G110" s="4" t="s">
        <v>346</v>
      </c>
      <c r="H110" t="s">
        <v>77</v>
      </c>
      <c r="I110" t="s">
        <v>350</v>
      </c>
      <c r="J110" s="3">
        <v>2002</v>
      </c>
      <c r="K110" s="3">
        <v>2006</v>
      </c>
      <c r="L110" s="6">
        <f t="shared" si="31"/>
        <v>2004</v>
      </c>
      <c r="M110" s="6">
        <f t="shared" si="32"/>
        <v>2004</v>
      </c>
      <c r="N110" s="7">
        <f t="shared" si="20"/>
        <v>0</v>
      </c>
      <c r="O110" s="7">
        <f t="shared" si="21"/>
        <v>0</v>
      </c>
      <c r="P110" s="7">
        <f t="shared" si="22"/>
        <v>0</v>
      </c>
      <c r="Q110" s="7">
        <f t="shared" si="33"/>
        <v>0</v>
      </c>
      <c r="R110" s="10" t="str">
        <f t="shared" si="23"/>
        <v>0_Pre</v>
      </c>
      <c r="S110" s="10" t="str">
        <f t="shared" si="24"/>
        <v>0_Pre</v>
      </c>
      <c r="T110" s="10" t="str">
        <f t="shared" si="25"/>
        <v>0_Pre</v>
      </c>
      <c r="U110" s="10" t="str">
        <f t="shared" si="26"/>
        <v>0_Pre</v>
      </c>
      <c r="V110" s="10" t="str">
        <f t="shared" si="34"/>
        <v>0_Pre</v>
      </c>
      <c r="W110" s="10" t="str">
        <f t="shared" si="27"/>
        <v>clean_pre</v>
      </c>
      <c r="X110" s="10" t="str">
        <f t="shared" si="28"/>
        <v>0_Pre</v>
      </c>
      <c r="Y110" s="10" t="str">
        <f t="shared" si="29"/>
        <v>0_Pre</v>
      </c>
      <c r="Z110" s="10" t="str">
        <f t="shared" si="30"/>
        <v>0_Pre</v>
      </c>
      <c r="AA110" s="10" t="str">
        <f t="shared" si="35"/>
        <v>0_Pre</v>
      </c>
      <c r="AB110" s="10" t="str">
        <f t="shared" si="36"/>
        <v>0_Pre</v>
      </c>
      <c r="AC110" s="10" t="str">
        <f t="shared" si="37"/>
        <v>0_Pre</v>
      </c>
      <c r="AD110" s="10" t="str">
        <f t="shared" si="38"/>
        <v>1_pre sample median</v>
      </c>
      <c r="AE110" s="10" t="str">
        <f t="shared" si="39"/>
        <v>1_pre sample first tertile</v>
      </c>
      <c r="AF110" t="s">
        <v>82</v>
      </c>
      <c r="AG110" t="s">
        <v>75</v>
      </c>
      <c r="AH110" t="s">
        <v>78</v>
      </c>
      <c r="AI110" t="s">
        <v>123</v>
      </c>
      <c r="AJ110" t="s">
        <v>123</v>
      </c>
      <c r="AK110" t="str">
        <f>VLOOKUP(MID($AR110,1,255),country_lookup!$B:$F,2,FALSE)</f>
        <v>1_US</v>
      </c>
      <c r="AL110" t="str">
        <f>VLOOKUP(MID($AR110,1,255),country_lookup!$B:$F,3,FALSE)</f>
        <v>1_developed</v>
      </c>
      <c r="AM110" t="str">
        <f>VLOOKUP(MID($AR110,1,255),country_lookup!$B:$F,4,FALSE)</f>
        <v>1_western</v>
      </c>
      <c r="AN110" t="str">
        <f>VLOOKUP(MID($AR110,1,255),country_lookup!$B:$F,5,FALSE)</f>
        <v>1_common law</v>
      </c>
      <c r="AO110" s="10" t="str">
        <f>VLOOKUP(MID($AS110,1,255),source_lookup!$B:$K,4,FALSE)</f>
        <v>1_not published</v>
      </c>
      <c r="AP110" s="10" t="str">
        <f>VLOOKUP(MID($AS110,1,255),source_lookup!$B:$K,6,FALSE)</f>
        <v>99_NA</v>
      </c>
      <c r="AQ110" s="10" t="str">
        <f>VLOOKUP(MID($AS110,1,255),source_lookup!$B:$K,10,FALSE)</f>
        <v>1_fin/acc/econ</v>
      </c>
      <c r="AR110" t="s">
        <v>85</v>
      </c>
      <c r="AS110" t="s">
        <v>127</v>
      </c>
    </row>
    <row r="111" spans="1:45" x14ac:dyDescent="0.3">
      <c r="A111" t="s">
        <v>3</v>
      </c>
      <c r="B111">
        <v>110</v>
      </c>
      <c r="C111" s="1">
        <v>-1.4828449424979474E-2</v>
      </c>
      <c r="D111" s="2">
        <v>582</v>
      </c>
      <c r="E111" s="4">
        <v>2910</v>
      </c>
      <c r="F111" s="4" t="s">
        <v>346</v>
      </c>
      <c r="G111" s="4" t="s">
        <v>346</v>
      </c>
      <c r="H111" t="s">
        <v>77</v>
      </c>
      <c r="I111" t="s">
        <v>350</v>
      </c>
      <c r="J111" s="3">
        <v>2002</v>
      </c>
      <c r="K111" s="3">
        <v>2006</v>
      </c>
      <c r="L111" s="6">
        <f t="shared" si="31"/>
        <v>2004</v>
      </c>
      <c r="M111" s="6">
        <f t="shared" si="32"/>
        <v>2004</v>
      </c>
      <c r="N111" s="7">
        <f t="shared" si="20"/>
        <v>0</v>
      </c>
      <c r="O111" s="7">
        <f t="shared" si="21"/>
        <v>0</v>
      </c>
      <c r="P111" s="7">
        <f t="shared" si="22"/>
        <v>0</v>
      </c>
      <c r="Q111" s="7">
        <f t="shared" si="33"/>
        <v>0</v>
      </c>
      <c r="R111" s="10" t="str">
        <f t="shared" si="23"/>
        <v>0_Pre</v>
      </c>
      <c r="S111" s="10" t="str">
        <f t="shared" si="24"/>
        <v>0_Pre</v>
      </c>
      <c r="T111" s="10" t="str">
        <f t="shared" si="25"/>
        <v>0_Pre</v>
      </c>
      <c r="U111" s="10" t="str">
        <f t="shared" si="26"/>
        <v>0_Pre</v>
      </c>
      <c r="V111" s="10" t="str">
        <f t="shared" si="34"/>
        <v>0_Pre</v>
      </c>
      <c r="W111" s="10" t="str">
        <f t="shared" si="27"/>
        <v>clean_pre</v>
      </c>
      <c r="X111" s="10" t="str">
        <f t="shared" si="28"/>
        <v>0_Pre</v>
      </c>
      <c r="Y111" s="10" t="str">
        <f t="shared" si="29"/>
        <v>0_Pre</v>
      </c>
      <c r="Z111" s="10" t="str">
        <f t="shared" si="30"/>
        <v>0_Pre</v>
      </c>
      <c r="AA111" s="10" t="str">
        <f t="shared" si="35"/>
        <v>0_Pre</v>
      </c>
      <c r="AB111" s="10" t="str">
        <f t="shared" si="36"/>
        <v>0_Pre</v>
      </c>
      <c r="AC111" s="10" t="str">
        <f t="shared" si="37"/>
        <v>0_Pre</v>
      </c>
      <c r="AD111" s="10" t="str">
        <f t="shared" si="38"/>
        <v>1_pre sample median</v>
      </c>
      <c r="AE111" s="10" t="str">
        <f t="shared" si="39"/>
        <v>1_pre sample first tertile</v>
      </c>
      <c r="AF111" t="s">
        <v>82</v>
      </c>
      <c r="AG111" t="s">
        <v>75</v>
      </c>
      <c r="AH111" t="s">
        <v>78</v>
      </c>
      <c r="AI111" t="s">
        <v>123</v>
      </c>
      <c r="AJ111" t="s">
        <v>123</v>
      </c>
      <c r="AK111" t="str">
        <f>VLOOKUP(MID($AR111,1,255),country_lookup!$B:$F,2,FALSE)</f>
        <v>1_US</v>
      </c>
      <c r="AL111" t="str">
        <f>VLOOKUP(MID($AR111,1,255),country_lookup!$B:$F,3,FALSE)</f>
        <v>1_developed</v>
      </c>
      <c r="AM111" t="str">
        <f>VLOOKUP(MID($AR111,1,255),country_lookup!$B:$F,4,FALSE)</f>
        <v>1_western</v>
      </c>
      <c r="AN111" t="str">
        <f>VLOOKUP(MID($AR111,1,255),country_lookup!$B:$F,5,FALSE)</f>
        <v>1_common law</v>
      </c>
      <c r="AO111" s="10" t="str">
        <f>VLOOKUP(MID($AS111,1,255),source_lookup!$B:$K,4,FALSE)</f>
        <v>1_not published</v>
      </c>
      <c r="AP111" s="10" t="str">
        <f>VLOOKUP(MID($AS111,1,255),source_lookup!$B:$K,6,FALSE)</f>
        <v>99_NA</v>
      </c>
      <c r="AQ111" s="10" t="str">
        <f>VLOOKUP(MID($AS111,1,255),source_lookup!$B:$K,10,FALSE)</f>
        <v>1_fin/acc/econ</v>
      </c>
      <c r="AR111" t="s">
        <v>85</v>
      </c>
      <c r="AS111" t="s">
        <v>127</v>
      </c>
    </row>
    <row r="112" spans="1:45" x14ac:dyDescent="0.3">
      <c r="A112" t="s">
        <v>3</v>
      </c>
      <c r="B112">
        <v>111</v>
      </c>
      <c r="C112" s="1">
        <v>-5.7187440830993856E-2</v>
      </c>
      <c r="D112" s="2">
        <v>582</v>
      </c>
      <c r="E112" s="4">
        <v>2910</v>
      </c>
      <c r="F112" s="4" t="s">
        <v>346</v>
      </c>
      <c r="G112" s="4" t="s">
        <v>346</v>
      </c>
      <c r="H112" t="s">
        <v>77</v>
      </c>
      <c r="I112" t="s">
        <v>350</v>
      </c>
      <c r="J112" s="3">
        <v>2002</v>
      </c>
      <c r="K112" s="3">
        <v>2006</v>
      </c>
      <c r="L112" s="6">
        <f t="shared" si="31"/>
        <v>2004</v>
      </c>
      <c r="M112" s="6">
        <f t="shared" si="32"/>
        <v>2004</v>
      </c>
      <c r="N112" s="7">
        <f t="shared" si="20"/>
        <v>0</v>
      </c>
      <c r="O112" s="7">
        <f t="shared" si="21"/>
        <v>0</v>
      </c>
      <c r="P112" s="7">
        <f t="shared" si="22"/>
        <v>0</v>
      </c>
      <c r="Q112" s="7">
        <f t="shared" si="33"/>
        <v>0</v>
      </c>
      <c r="R112" s="10" t="str">
        <f t="shared" si="23"/>
        <v>0_Pre</v>
      </c>
      <c r="S112" s="10" t="str">
        <f t="shared" si="24"/>
        <v>0_Pre</v>
      </c>
      <c r="T112" s="10" t="str">
        <f t="shared" si="25"/>
        <v>0_Pre</v>
      </c>
      <c r="U112" s="10" t="str">
        <f t="shared" si="26"/>
        <v>0_Pre</v>
      </c>
      <c r="V112" s="10" t="str">
        <f t="shared" si="34"/>
        <v>0_Pre</v>
      </c>
      <c r="W112" s="10" t="str">
        <f t="shared" si="27"/>
        <v>clean_pre</v>
      </c>
      <c r="X112" s="10" t="str">
        <f t="shared" si="28"/>
        <v>0_Pre</v>
      </c>
      <c r="Y112" s="10" t="str">
        <f t="shared" si="29"/>
        <v>0_Pre</v>
      </c>
      <c r="Z112" s="10" t="str">
        <f t="shared" si="30"/>
        <v>0_Pre</v>
      </c>
      <c r="AA112" s="10" t="str">
        <f t="shared" si="35"/>
        <v>0_Pre</v>
      </c>
      <c r="AB112" s="10" t="str">
        <f t="shared" si="36"/>
        <v>0_Pre</v>
      </c>
      <c r="AC112" s="10" t="str">
        <f t="shared" si="37"/>
        <v>0_Pre</v>
      </c>
      <c r="AD112" s="10" t="str">
        <f t="shared" si="38"/>
        <v>1_pre sample median</v>
      </c>
      <c r="AE112" s="10" t="str">
        <f t="shared" si="39"/>
        <v>1_pre sample first tertile</v>
      </c>
      <c r="AF112" t="s">
        <v>82</v>
      </c>
      <c r="AG112" t="s">
        <v>75</v>
      </c>
      <c r="AH112" t="s">
        <v>78</v>
      </c>
      <c r="AI112" t="s">
        <v>123</v>
      </c>
      <c r="AJ112" t="s">
        <v>123</v>
      </c>
      <c r="AK112" t="str">
        <f>VLOOKUP(MID($AR112,1,255),country_lookup!$B:$F,2,FALSE)</f>
        <v>1_US</v>
      </c>
      <c r="AL112" t="str">
        <f>VLOOKUP(MID($AR112,1,255),country_lookup!$B:$F,3,FALSE)</f>
        <v>1_developed</v>
      </c>
      <c r="AM112" t="str">
        <f>VLOOKUP(MID($AR112,1,255),country_lookup!$B:$F,4,FALSE)</f>
        <v>1_western</v>
      </c>
      <c r="AN112" t="str">
        <f>VLOOKUP(MID($AR112,1,255),country_lookup!$B:$F,5,FALSE)</f>
        <v>1_common law</v>
      </c>
      <c r="AO112" s="10" t="str">
        <f>VLOOKUP(MID($AS112,1,255),source_lookup!$B:$K,4,FALSE)</f>
        <v>1_not published</v>
      </c>
      <c r="AP112" s="10" t="str">
        <f>VLOOKUP(MID($AS112,1,255),source_lookup!$B:$K,6,FALSE)</f>
        <v>99_NA</v>
      </c>
      <c r="AQ112" s="10" t="str">
        <f>VLOOKUP(MID($AS112,1,255),source_lookup!$B:$K,10,FALSE)</f>
        <v>1_fin/acc/econ</v>
      </c>
      <c r="AR112" t="s">
        <v>85</v>
      </c>
      <c r="AS112" t="s">
        <v>127</v>
      </c>
    </row>
    <row r="113" spans="1:45" x14ac:dyDescent="0.3">
      <c r="A113" t="s">
        <v>3</v>
      </c>
      <c r="B113">
        <v>112</v>
      </c>
      <c r="C113" s="1">
        <v>-4.5739949396266966E-2</v>
      </c>
      <c r="D113" s="2">
        <v>582</v>
      </c>
      <c r="E113" s="4">
        <v>2910</v>
      </c>
      <c r="F113" s="4" t="s">
        <v>346</v>
      </c>
      <c r="G113" s="4" t="s">
        <v>346</v>
      </c>
      <c r="H113" t="s">
        <v>77</v>
      </c>
      <c r="I113" t="s">
        <v>350</v>
      </c>
      <c r="J113" s="3">
        <v>2002</v>
      </c>
      <c r="K113" s="3">
        <v>2006</v>
      </c>
      <c r="L113" s="6">
        <f t="shared" si="31"/>
        <v>2004</v>
      </c>
      <c r="M113" s="6">
        <f t="shared" si="32"/>
        <v>2004</v>
      </c>
      <c r="N113" s="7">
        <f t="shared" si="20"/>
        <v>0</v>
      </c>
      <c r="O113" s="7">
        <f t="shared" si="21"/>
        <v>0</v>
      </c>
      <c r="P113" s="7">
        <f t="shared" si="22"/>
        <v>0</v>
      </c>
      <c r="Q113" s="7">
        <f t="shared" si="33"/>
        <v>0</v>
      </c>
      <c r="R113" s="10" t="str">
        <f t="shared" si="23"/>
        <v>0_Pre</v>
      </c>
      <c r="S113" s="10" t="str">
        <f t="shared" si="24"/>
        <v>0_Pre</v>
      </c>
      <c r="T113" s="10" t="str">
        <f t="shared" si="25"/>
        <v>0_Pre</v>
      </c>
      <c r="U113" s="10" t="str">
        <f t="shared" si="26"/>
        <v>0_Pre</v>
      </c>
      <c r="V113" s="10" t="str">
        <f t="shared" si="34"/>
        <v>0_Pre</v>
      </c>
      <c r="W113" s="10" t="str">
        <f t="shared" si="27"/>
        <v>clean_pre</v>
      </c>
      <c r="X113" s="10" t="str">
        <f t="shared" si="28"/>
        <v>0_Pre</v>
      </c>
      <c r="Y113" s="10" t="str">
        <f t="shared" si="29"/>
        <v>0_Pre</v>
      </c>
      <c r="Z113" s="10" t="str">
        <f t="shared" si="30"/>
        <v>0_Pre</v>
      </c>
      <c r="AA113" s="10" t="str">
        <f t="shared" si="35"/>
        <v>0_Pre</v>
      </c>
      <c r="AB113" s="10" t="str">
        <f t="shared" si="36"/>
        <v>0_Pre</v>
      </c>
      <c r="AC113" s="10" t="str">
        <f t="shared" si="37"/>
        <v>0_Pre</v>
      </c>
      <c r="AD113" s="10" t="str">
        <f t="shared" si="38"/>
        <v>1_pre sample median</v>
      </c>
      <c r="AE113" s="10" t="str">
        <f t="shared" si="39"/>
        <v>1_pre sample first tertile</v>
      </c>
      <c r="AF113" t="s">
        <v>82</v>
      </c>
      <c r="AG113" t="s">
        <v>75</v>
      </c>
      <c r="AH113" t="s">
        <v>78</v>
      </c>
      <c r="AI113" t="s">
        <v>123</v>
      </c>
      <c r="AJ113" t="s">
        <v>123</v>
      </c>
      <c r="AK113" t="str">
        <f>VLOOKUP(MID($AR113,1,255),country_lookup!$B:$F,2,FALSE)</f>
        <v>1_US</v>
      </c>
      <c r="AL113" t="str">
        <f>VLOOKUP(MID($AR113,1,255),country_lookup!$B:$F,3,FALSE)</f>
        <v>1_developed</v>
      </c>
      <c r="AM113" t="str">
        <f>VLOOKUP(MID($AR113,1,255),country_lookup!$B:$F,4,FALSE)</f>
        <v>1_western</v>
      </c>
      <c r="AN113" t="str">
        <f>VLOOKUP(MID($AR113,1,255),country_lookup!$B:$F,5,FALSE)</f>
        <v>1_common law</v>
      </c>
      <c r="AO113" s="10" t="str">
        <f>VLOOKUP(MID($AS113,1,255),source_lookup!$B:$K,4,FALSE)</f>
        <v>1_not published</v>
      </c>
      <c r="AP113" s="10" t="str">
        <f>VLOOKUP(MID($AS113,1,255),source_lookup!$B:$K,6,FALSE)</f>
        <v>99_NA</v>
      </c>
      <c r="AQ113" s="10" t="str">
        <f>VLOOKUP(MID($AS113,1,255),source_lookup!$B:$K,10,FALSE)</f>
        <v>1_fin/acc/econ</v>
      </c>
      <c r="AR113" t="s">
        <v>85</v>
      </c>
      <c r="AS113" t="s">
        <v>127</v>
      </c>
    </row>
    <row r="114" spans="1:45" x14ac:dyDescent="0.3">
      <c r="A114" t="s">
        <v>3</v>
      </c>
      <c r="B114">
        <v>113</v>
      </c>
      <c r="C114" s="1">
        <v>-8.7123413001977679E-3</v>
      </c>
      <c r="D114" s="2">
        <v>582</v>
      </c>
      <c r="E114" s="4">
        <v>2910</v>
      </c>
      <c r="F114" s="4" t="s">
        <v>346</v>
      </c>
      <c r="G114" s="4" t="s">
        <v>346</v>
      </c>
      <c r="H114" t="s">
        <v>77</v>
      </c>
      <c r="I114" t="s">
        <v>350</v>
      </c>
      <c r="J114" s="3">
        <v>2002</v>
      </c>
      <c r="K114" s="3">
        <v>2006</v>
      </c>
      <c r="L114" s="6">
        <f t="shared" si="31"/>
        <v>2004</v>
      </c>
      <c r="M114" s="6">
        <f t="shared" si="32"/>
        <v>2004</v>
      </c>
      <c r="N114" s="7">
        <f t="shared" si="20"/>
        <v>0</v>
      </c>
      <c r="O114" s="7">
        <f t="shared" si="21"/>
        <v>0</v>
      </c>
      <c r="P114" s="7">
        <f t="shared" si="22"/>
        <v>0</v>
      </c>
      <c r="Q114" s="7">
        <f t="shared" si="33"/>
        <v>0</v>
      </c>
      <c r="R114" s="10" t="str">
        <f t="shared" si="23"/>
        <v>0_Pre</v>
      </c>
      <c r="S114" s="10" t="str">
        <f t="shared" si="24"/>
        <v>0_Pre</v>
      </c>
      <c r="T114" s="10" t="str">
        <f t="shared" si="25"/>
        <v>0_Pre</v>
      </c>
      <c r="U114" s="10" t="str">
        <f t="shared" si="26"/>
        <v>0_Pre</v>
      </c>
      <c r="V114" s="10" t="str">
        <f t="shared" si="34"/>
        <v>0_Pre</v>
      </c>
      <c r="W114" s="10" t="str">
        <f t="shared" si="27"/>
        <v>clean_pre</v>
      </c>
      <c r="X114" s="10" t="str">
        <f t="shared" si="28"/>
        <v>0_Pre</v>
      </c>
      <c r="Y114" s="10" t="str">
        <f t="shared" si="29"/>
        <v>0_Pre</v>
      </c>
      <c r="Z114" s="10" t="str">
        <f t="shared" si="30"/>
        <v>0_Pre</v>
      </c>
      <c r="AA114" s="10" t="str">
        <f t="shared" si="35"/>
        <v>0_Pre</v>
      </c>
      <c r="AB114" s="10" t="str">
        <f t="shared" si="36"/>
        <v>0_Pre</v>
      </c>
      <c r="AC114" s="10" t="str">
        <f t="shared" si="37"/>
        <v>0_Pre</v>
      </c>
      <c r="AD114" s="10" t="str">
        <f t="shared" si="38"/>
        <v>1_pre sample median</v>
      </c>
      <c r="AE114" s="10" t="str">
        <f t="shared" si="39"/>
        <v>1_pre sample first tertile</v>
      </c>
      <c r="AF114" t="s">
        <v>82</v>
      </c>
      <c r="AG114" t="s">
        <v>75</v>
      </c>
      <c r="AH114" t="s">
        <v>78</v>
      </c>
      <c r="AI114" t="s">
        <v>123</v>
      </c>
      <c r="AJ114" t="s">
        <v>123</v>
      </c>
      <c r="AK114" t="str">
        <f>VLOOKUP(MID($AR114,1,255),country_lookup!$B:$F,2,FALSE)</f>
        <v>1_US</v>
      </c>
      <c r="AL114" t="str">
        <f>VLOOKUP(MID($AR114,1,255),country_lookup!$B:$F,3,FALSE)</f>
        <v>1_developed</v>
      </c>
      <c r="AM114" t="str">
        <f>VLOOKUP(MID($AR114,1,255),country_lookup!$B:$F,4,FALSE)</f>
        <v>1_western</v>
      </c>
      <c r="AN114" t="str">
        <f>VLOOKUP(MID($AR114,1,255),country_lookup!$B:$F,5,FALSE)</f>
        <v>1_common law</v>
      </c>
      <c r="AO114" s="10" t="str">
        <f>VLOOKUP(MID($AS114,1,255),source_lookup!$B:$K,4,FALSE)</f>
        <v>1_not published</v>
      </c>
      <c r="AP114" s="10" t="str">
        <f>VLOOKUP(MID($AS114,1,255),source_lookup!$B:$K,6,FALSE)</f>
        <v>99_NA</v>
      </c>
      <c r="AQ114" s="10" t="str">
        <f>VLOOKUP(MID($AS114,1,255),source_lookup!$B:$K,10,FALSE)</f>
        <v>1_fin/acc/econ</v>
      </c>
      <c r="AR114" t="s">
        <v>85</v>
      </c>
      <c r="AS114" t="s">
        <v>127</v>
      </c>
    </row>
    <row r="115" spans="1:45" x14ac:dyDescent="0.3">
      <c r="A115" t="s">
        <v>3</v>
      </c>
      <c r="B115">
        <v>114</v>
      </c>
      <c r="C115" s="1">
        <v>1.1863229083120687E-2</v>
      </c>
      <c r="D115" s="2">
        <v>582</v>
      </c>
      <c r="E115" s="4">
        <v>2910</v>
      </c>
      <c r="F115" s="4" t="s">
        <v>346</v>
      </c>
      <c r="G115" s="4" t="s">
        <v>346</v>
      </c>
      <c r="H115" t="s">
        <v>77</v>
      </c>
      <c r="I115" t="s">
        <v>350</v>
      </c>
      <c r="J115" s="3">
        <v>2002</v>
      </c>
      <c r="K115" s="3">
        <v>2006</v>
      </c>
      <c r="L115" s="6">
        <f t="shared" si="31"/>
        <v>2004</v>
      </c>
      <c r="M115" s="6">
        <f t="shared" si="32"/>
        <v>2004</v>
      </c>
      <c r="N115" s="7">
        <f t="shared" si="20"/>
        <v>0</v>
      </c>
      <c r="O115" s="7">
        <f t="shared" si="21"/>
        <v>0</v>
      </c>
      <c r="P115" s="7">
        <f t="shared" si="22"/>
        <v>0</v>
      </c>
      <c r="Q115" s="7">
        <f t="shared" si="33"/>
        <v>0</v>
      </c>
      <c r="R115" s="10" t="str">
        <f t="shared" si="23"/>
        <v>0_Pre</v>
      </c>
      <c r="S115" s="10" t="str">
        <f t="shared" si="24"/>
        <v>0_Pre</v>
      </c>
      <c r="T115" s="10" t="str">
        <f t="shared" si="25"/>
        <v>0_Pre</v>
      </c>
      <c r="U115" s="10" t="str">
        <f t="shared" si="26"/>
        <v>0_Pre</v>
      </c>
      <c r="V115" s="10" t="str">
        <f t="shared" si="34"/>
        <v>0_Pre</v>
      </c>
      <c r="W115" s="10" t="str">
        <f t="shared" si="27"/>
        <v>clean_pre</v>
      </c>
      <c r="X115" s="10" t="str">
        <f t="shared" si="28"/>
        <v>0_Pre</v>
      </c>
      <c r="Y115" s="10" t="str">
        <f t="shared" si="29"/>
        <v>0_Pre</v>
      </c>
      <c r="Z115" s="10" t="str">
        <f t="shared" si="30"/>
        <v>0_Pre</v>
      </c>
      <c r="AA115" s="10" t="str">
        <f t="shared" si="35"/>
        <v>0_Pre</v>
      </c>
      <c r="AB115" s="10" t="str">
        <f t="shared" si="36"/>
        <v>0_Pre</v>
      </c>
      <c r="AC115" s="10" t="str">
        <f t="shared" si="37"/>
        <v>0_Pre</v>
      </c>
      <c r="AD115" s="10" t="str">
        <f t="shared" si="38"/>
        <v>1_pre sample median</v>
      </c>
      <c r="AE115" s="10" t="str">
        <f t="shared" si="39"/>
        <v>1_pre sample first tertile</v>
      </c>
      <c r="AF115" t="s">
        <v>82</v>
      </c>
      <c r="AG115" t="s">
        <v>75</v>
      </c>
      <c r="AH115" t="s">
        <v>78</v>
      </c>
      <c r="AI115" t="s">
        <v>123</v>
      </c>
      <c r="AJ115" t="s">
        <v>123</v>
      </c>
      <c r="AK115" t="str">
        <f>VLOOKUP(MID($AR115,1,255),country_lookup!$B:$F,2,FALSE)</f>
        <v>1_US</v>
      </c>
      <c r="AL115" t="str">
        <f>VLOOKUP(MID($AR115,1,255),country_lookup!$B:$F,3,FALSE)</f>
        <v>1_developed</v>
      </c>
      <c r="AM115" t="str">
        <f>VLOOKUP(MID($AR115,1,255),country_lookup!$B:$F,4,FALSE)</f>
        <v>1_western</v>
      </c>
      <c r="AN115" t="str">
        <f>VLOOKUP(MID($AR115,1,255),country_lookup!$B:$F,5,FALSE)</f>
        <v>1_common law</v>
      </c>
      <c r="AO115" s="10" t="str">
        <f>VLOOKUP(MID($AS115,1,255),source_lookup!$B:$K,4,FALSE)</f>
        <v>1_not published</v>
      </c>
      <c r="AP115" s="10" t="str">
        <f>VLOOKUP(MID($AS115,1,255),source_lookup!$B:$K,6,FALSE)</f>
        <v>99_NA</v>
      </c>
      <c r="AQ115" s="10" t="str">
        <f>VLOOKUP(MID($AS115,1,255),source_lookup!$B:$K,10,FALSE)</f>
        <v>1_fin/acc/econ</v>
      </c>
      <c r="AR115" t="s">
        <v>85</v>
      </c>
      <c r="AS115" t="s">
        <v>127</v>
      </c>
    </row>
    <row r="116" spans="1:45" x14ac:dyDescent="0.3">
      <c r="A116" t="s">
        <v>3</v>
      </c>
      <c r="B116">
        <v>115</v>
      </c>
      <c r="C116" s="1">
        <v>-2.7806292417657057E-3</v>
      </c>
      <c r="D116" s="2">
        <v>582</v>
      </c>
      <c r="E116" s="4">
        <v>2910</v>
      </c>
      <c r="F116" s="4" t="s">
        <v>346</v>
      </c>
      <c r="G116" s="4" t="s">
        <v>346</v>
      </c>
      <c r="H116" t="s">
        <v>77</v>
      </c>
      <c r="I116" t="s">
        <v>350</v>
      </c>
      <c r="J116" s="3">
        <v>2002</v>
      </c>
      <c r="K116" s="3">
        <v>2006</v>
      </c>
      <c r="L116" s="6">
        <f t="shared" si="31"/>
        <v>2004</v>
      </c>
      <c r="M116" s="6">
        <f t="shared" si="32"/>
        <v>2004</v>
      </c>
      <c r="N116" s="7">
        <f t="shared" si="20"/>
        <v>0</v>
      </c>
      <c r="O116" s="7">
        <f t="shared" si="21"/>
        <v>0</v>
      </c>
      <c r="P116" s="7">
        <f t="shared" si="22"/>
        <v>0</v>
      </c>
      <c r="Q116" s="7">
        <f t="shared" si="33"/>
        <v>0</v>
      </c>
      <c r="R116" s="10" t="str">
        <f t="shared" si="23"/>
        <v>0_Pre</v>
      </c>
      <c r="S116" s="10" t="str">
        <f t="shared" si="24"/>
        <v>0_Pre</v>
      </c>
      <c r="T116" s="10" t="str">
        <f t="shared" si="25"/>
        <v>0_Pre</v>
      </c>
      <c r="U116" s="10" t="str">
        <f t="shared" si="26"/>
        <v>0_Pre</v>
      </c>
      <c r="V116" s="10" t="str">
        <f t="shared" si="34"/>
        <v>0_Pre</v>
      </c>
      <c r="W116" s="10" t="str">
        <f t="shared" si="27"/>
        <v>clean_pre</v>
      </c>
      <c r="X116" s="10" t="str">
        <f t="shared" si="28"/>
        <v>0_Pre</v>
      </c>
      <c r="Y116" s="10" t="str">
        <f t="shared" si="29"/>
        <v>0_Pre</v>
      </c>
      <c r="Z116" s="10" t="str">
        <f t="shared" si="30"/>
        <v>0_Pre</v>
      </c>
      <c r="AA116" s="10" t="str">
        <f t="shared" si="35"/>
        <v>0_Pre</v>
      </c>
      <c r="AB116" s="10" t="str">
        <f t="shared" si="36"/>
        <v>0_Pre</v>
      </c>
      <c r="AC116" s="10" t="str">
        <f t="shared" si="37"/>
        <v>0_Pre</v>
      </c>
      <c r="AD116" s="10" t="str">
        <f t="shared" si="38"/>
        <v>1_pre sample median</v>
      </c>
      <c r="AE116" s="10" t="str">
        <f t="shared" si="39"/>
        <v>1_pre sample first tertile</v>
      </c>
      <c r="AF116" t="s">
        <v>82</v>
      </c>
      <c r="AG116" t="s">
        <v>75</v>
      </c>
      <c r="AH116" t="s">
        <v>78</v>
      </c>
      <c r="AI116" t="s">
        <v>123</v>
      </c>
      <c r="AJ116" t="s">
        <v>123</v>
      </c>
      <c r="AK116" t="str">
        <f>VLOOKUP(MID($AR116,1,255),country_lookup!$B:$F,2,FALSE)</f>
        <v>1_US</v>
      </c>
      <c r="AL116" t="str">
        <f>VLOOKUP(MID($AR116,1,255),country_lookup!$B:$F,3,FALSE)</f>
        <v>1_developed</v>
      </c>
      <c r="AM116" t="str">
        <f>VLOOKUP(MID($AR116,1,255),country_lookup!$B:$F,4,FALSE)</f>
        <v>1_western</v>
      </c>
      <c r="AN116" t="str">
        <f>VLOOKUP(MID($AR116,1,255),country_lookup!$B:$F,5,FALSE)</f>
        <v>1_common law</v>
      </c>
      <c r="AO116" s="10" t="str">
        <f>VLOOKUP(MID($AS116,1,255),source_lookup!$B:$K,4,FALSE)</f>
        <v>1_not published</v>
      </c>
      <c r="AP116" s="10" t="str">
        <f>VLOOKUP(MID($AS116,1,255),source_lookup!$B:$K,6,FALSE)</f>
        <v>99_NA</v>
      </c>
      <c r="AQ116" s="10" t="str">
        <f>VLOOKUP(MID($AS116,1,255),source_lookup!$B:$K,10,FALSE)</f>
        <v>1_fin/acc/econ</v>
      </c>
      <c r="AR116" t="s">
        <v>85</v>
      </c>
      <c r="AS116" t="s">
        <v>127</v>
      </c>
    </row>
    <row r="117" spans="1:45" x14ac:dyDescent="0.3">
      <c r="A117" t="s">
        <v>3</v>
      </c>
      <c r="B117">
        <v>116</v>
      </c>
      <c r="C117" s="1">
        <v>-5.0727629099562334E-2</v>
      </c>
      <c r="D117" s="2">
        <v>582</v>
      </c>
      <c r="E117" s="4">
        <v>2910</v>
      </c>
      <c r="F117" s="4" t="s">
        <v>346</v>
      </c>
      <c r="G117" s="4" t="s">
        <v>346</v>
      </c>
      <c r="H117" t="s">
        <v>77</v>
      </c>
      <c r="I117" t="s">
        <v>350</v>
      </c>
      <c r="J117" s="3">
        <v>2002</v>
      </c>
      <c r="K117" s="3">
        <v>2006</v>
      </c>
      <c r="L117" s="6">
        <f t="shared" si="31"/>
        <v>2004</v>
      </c>
      <c r="M117" s="6">
        <f t="shared" si="32"/>
        <v>2004</v>
      </c>
      <c r="N117" s="7">
        <f t="shared" si="20"/>
        <v>0</v>
      </c>
      <c r="O117" s="7">
        <f t="shared" si="21"/>
        <v>0</v>
      </c>
      <c r="P117" s="7">
        <f t="shared" si="22"/>
        <v>0</v>
      </c>
      <c r="Q117" s="7">
        <f t="shared" si="33"/>
        <v>0</v>
      </c>
      <c r="R117" s="10" t="str">
        <f t="shared" si="23"/>
        <v>0_Pre</v>
      </c>
      <c r="S117" s="10" t="str">
        <f t="shared" si="24"/>
        <v>0_Pre</v>
      </c>
      <c r="T117" s="10" t="str">
        <f t="shared" si="25"/>
        <v>0_Pre</v>
      </c>
      <c r="U117" s="10" t="str">
        <f t="shared" si="26"/>
        <v>0_Pre</v>
      </c>
      <c r="V117" s="10" t="str">
        <f t="shared" si="34"/>
        <v>0_Pre</v>
      </c>
      <c r="W117" s="10" t="str">
        <f t="shared" si="27"/>
        <v>clean_pre</v>
      </c>
      <c r="X117" s="10" t="str">
        <f t="shared" si="28"/>
        <v>0_Pre</v>
      </c>
      <c r="Y117" s="10" t="str">
        <f t="shared" si="29"/>
        <v>0_Pre</v>
      </c>
      <c r="Z117" s="10" t="str">
        <f t="shared" si="30"/>
        <v>0_Pre</v>
      </c>
      <c r="AA117" s="10" t="str">
        <f t="shared" si="35"/>
        <v>0_Pre</v>
      </c>
      <c r="AB117" s="10" t="str">
        <f t="shared" si="36"/>
        <v>0_Pre</v>
      </c>
      <c r="AC117" s="10" t="str">
        <f t="shared" si="37"/>
        <v>0_Pre</v>
      </c>
      <c r="AD117" s="10" t="str">
        <f t="shared" si="38"/>
        <v>1_pre sample median</v>
      </c>
      <c r="AE117" s="10" t="str">
        <f t="shared" si="39"/>
        <v>1_pre sample first tertile</v>
      </c>
      <c r="AF117" t="s">
        <v>82</v>
      </c>
      <c r="AG117" t="s">
        <v>75</v>
      </c>
      <c r="AH117" t="s">
        <v>78</v>
      </c>
      <c r="AI117" t="s">
        <v>123</v>
      </c>
      <c r="AJ117" t="s">
        <v>123</v>
      </c>
      <c r="AK117" t="str">
        <f>VLOOKUP(MID($AR117,1,255),country_lookup!$B:$F,2,FALSE)</f>
        <v>1_US</v>
      </c>
      <c r="AL117" t="str">
        <f>VLOOKUP(MID($AR117,1,255),country_lookup!$B:$F,3,FALSE)</f>
        <v>1_developed</v>
      </c>
      <c r="AM117" t="str">
        <f>VLOOKUP(MID($AR117,1,255),country_lookup!$B:$F,4,FALSE)</f>
        <v>1_western</v>
      </c>
      <c r="AN117" t="str">
        <f>VLOOKUP(MID($AR117,1,255),country_lookup!$B:$F,5,FALSE)</f>
        <v>1_common law</v>
      </c>
      <c r="AO117" s="10" t="str">
        <f>VLOOKUP(MID($AS117,1,255),source_lookup!$B:$K,4,FALSE)</f>
        <v>1_not published</v>
      </c>
      <c r="AP117" s="10" t="str">
        <f>VLOOKUP(MID($AS117,1,255),source_lookup!$B:$K,6,FALSE)</f>
        <v>99_NA</v>
      </c>
      <c r="AQ117" s="10" t="str">
        <f>VLOOKUP(MID($AS117,1,255),source_lookup!$B:$K,10,FALSE)</f>
        <v>1_fin/acc/econ</v>
      </c>
      <c r="AR117" t="s">
        <v>85</v>
      </c>
      <c r="AS117" t="s">
        <v>127</v>
      </c>
    </row>
    <row r="118" spans="1:45" x14ac:dyDescent="0.3">
      <c r="A118" t="s">
        <v>3</v>
      </c>
      <c r="B118">
        <v>117</v>
      </c>
      <c r="C118" s="1">
        <v>-3.7234737419100876E-2</v>
      </c>
      <c r="D118" s="2">
        <v>582</v>
      </c>
      <c r="E118" s="4">
        <v>2910</v>
      </c>
      <c r="F118" s="4" t="s">
        <v>346</v>
      </c>
      <c r="G118" s="4" t="s">
        <v>346</v>
      </c>
      <c r="H118" t="s">
        <v>77</v>
      </c>
      <c r="I118" t="s">
        <v>350</v>
      </c>
      <c r="J118" s="3">
        <v>2002</v>
      </c>
      <c r="K118" s="3">
        <v>2006</v>
      </c>
      <c r="L118" s="6">
        <f t="shared" si="31"/>
        <v>2004</v>
      </c>
      <c r="M118" s="6">
        <f t="shared" si="32"/>
        <v>2004</v>
      </c>
      <c r="N118" s="7">
        <f t="shared" si="20"/>
        <v>0</v>
      </c>
      <c r="O118" s="7">
        <f t="shared" si="21"/>
        <v>0</v>
      </c>
      <c r="P118" s="7">
        <f t="shared" si="22"/>
        <v>0</v>
      </c>
      <c r="Q118" s="7">
        <f t="shared" si="33"/>
        <v>0</v>
      </c>
      <c r="R118" s="10" t="str">
        <f t="shared" si="23"/>
        <v>0_Pre</v>
      </c>
      <c r="S118" s="10" t="str">
        <f t="shared" si="24"/>
        <v>0_Pre</v>
      </c>
      <c r="T118" s="10" t="str">
        <f t="shared" si="25"/>
        <v>0_Pre</v>
      </c>
      <c r="U118" s="10" t="str">
        <f t="shared" si="26"/>
        <v>0_Pre</v>
      </c>
      <c r="V118" s="10" t="str">
        <f t="shared" si="34"/>
        <v>0_Pre</v>
      </c>
      <c r="W118" s="10" t="str">
        <f t="shared" si="27"/>
        <v>clean_pre</v>
      </c>
      <c r="X118" s="10" t="str">
        <f t="shared" si="28"/>
        <v>0_Pre</v>
      </c>
      <c r="Y118" s="10" t="str">
        <f t="shared" si="29"/>
        <v>0_Pre</v>
      </c>
      <c r="Z118" s="10" t="str">
        <f t="shared" si="30"/>
        <v>0_Pre</v>
      </c>
      <c r="AA118" s="10" t="str">
        <f t="shared" si="35"/>
        <v>0_Pre</v>
      </c>
      <c r="AB118" s="10" t="str">
        <f t="shared" si="36"/>
        <v>0_Pre</v>
      </c>
      <c r="AC118" s="10" t="str">
        <f t="shared" si="37"/>
        <v>0_Pre</v>
      </c>
      <c r="AD118" s="10" t="str">
        <f t="shared" si="38"/>
        <v>1_pre sample median</v>
      </c>
      <c r="AE118" s="10" t="str">
        <f t="shared" si="39"/>
        <v>1_pre sample first tertile</v>
      </c>
      <c r="AF118" t="s">
        <v>82</v>
      </c>
      <c r="AG118" t="s">
        <v>75</v>
      </c>
      <c r="AH118" t="s">
        <v>78</v>
      </c>
      <c r="AI118" t="s">
        <v>123</v>
      </c>
      <c r="AJ118" t="s">
        <v>123</v>
      </c>
      <c r="AK118" t="str">
        <f>VLOOKUP(MID($AR118,1,255),country_lookup!$B:$F,2,FALSE)</f>
        <v>1_US</v>
      </c>
      <c r="AL118" t="str">
        <f>VLOOKUP(MID($AR118,1,255),country_lookup!$B:$F,3,FALSE)</f>
        <v>1_developed</v>
      </c>
      <c r="AM118" t="str">
        <f>VLOOKUP(MID($AR118,1,255),country_lookup!$B:$F,4,FALSE)</f>
        <v>1_western</v>
      </c>
      <c r="AN118" t="str">
        <f>VLOOKUP(MID($AR118,1,255),country_lookup!$B:$F,5,FALSE)</f>
        <v>1_common law</v>
      </c>
      <c r="AO118" s="10" t="str">
        <f>VLOOKUP(MID($AS118,1,255),source_lookup!$B:$K,4,FALSE)</f>
        <v>1_not published</v>
      </c>
      <c r="AP118" s="10" t="str">
        <f>VLOOKUP(MID($AS118,1,255),source_lookup!$B:$K,6,FALSE)</f>
        <v>99_NA</v>
      </c>
      <c r="AQ118" s="10" t="str">
        <f>VLOOKUP(MID($AS118,1,255),source_lookup!$B:$K,10,FALSE)</f>
        <v>1_fin/acc/econ</v>
      </c>
      <c r="AR118" t="s">
        <v>85</v>
      </c>
      <c r="AS118" t="s">
        <v>127</v>
      </c>
    </row>
    <row r="119" spans="1:45" x14ac:dyDescent="0.3">
      <c r="A119" t="s">
        <v>3</v>
      </c>
      <c r="B119">
        <v>118</v>
      </c>
      <c r="C119" s="1">
        <v>-1.4087177959113515E-2</v>
      </c>
      <c r="D119" s="2">
        <v>582</v>
      </c>
      <c r="E119" s="4">
        <v>2910</v>
      </c>
      <c r="F119" s="4" t="s">
        <v>346</v>
      </c>
      <c r="G119" s="4" t="s">
        <v>346</v>
      </c>
      <c r="H119" t="s">
        <v>77</v>
      </c>
      <c r="I119" t="s">
        <v>350</v>
      </c>
      <c r="J119" s="3">
        <v>2002</v>
      </c>
      <c r="K119" s="3">
        <v>2006</v>
      </c>
      <c r="L119" s="6">
        <f t="shared" si="31"/>
        <v>2004</v>
      </c>
      <c r="M119" s="6">
        <f t="shared" si="32"/>
        <v>2004</v>
      </c>
      <c r="N119" s="7">
        <f t="shared" si="20"/>
        <v>0</v>
      </c>
      <c r="O119" s="7">
        <f t="shared" si="21"/>
        <v>0</v>
      </c>
      <c r="P119" s="7">
        <f t="shared" si="22"/>
        <v>0</v>
      </c>
      <c r="Q119" s="7">
        <f t="shared" si="33"/>
        <v>0</v>
      </c>
      <c r="R119" s="10" t="str">
        <f t="shared" si="23"/>
        <v>0_Pre</v>
      </c>
      <c r="S119" s="10" t="str">
        <f t="shared" si="24"/>
        <v>0_Pre</v>
      </c>
      <c r="T119" s="10" t="str">
        <f t="shared" si="25"/>
        <v>0_Pre</v>
      </c>
      <c r="U119" s="10" t="str">
        <f t="shared" si="26"/>
        <v>0_Pre</v>
      </c>
      <c r="V119" s="10" t="str">
        <f t="shared" si="34"/>
        <v>0_Pre</v>
      </c>
      <c r="W119" s="10" t="str">
        <f t="shared" si="27"/>
        <v>clean_pre</v>
      </c>
      <c r="X119" s="10" t="str">
        <f t="shared" si="28"/>
        <v>0_Pre</v>
      </c>
      <c r="Y119" s="10" t="str">
        <f t="shared" si="29"/>
        <v>0_Pre</v>
      </c>
      <c r="Z119" s="10" t="str">
        <f t="shared" si="30"/>
        <v>0_Pre</v>
      </c>
      <c r="AA119" s="10" t="str">
        <f t="shared" si="35"/>
        <v>0_Pre</v>
      </c>
      <c r="AB119" s="10" t="str">
        <f t="shared" si="36"/>
        <v>0_Pre</v>
      </c>
      <c r="AC119" s="10" t="str">
        <f t="shared" si="37"/>
        <v>0_Pre</v>
      </c>
      <c r="AD119" s="10" t="str">
        <f t="shared" si="38"/>
        <v>1_pre sample median</v>
      </c>
      <c r="AE119" s="10" t="str">
        <f t="shared" si="39"/>
        <v>1_pre sample first tertile</v>
      </c>
      <c r="AF119" t="s">
        <v>82</v>
      </c>
      <c r="AG119" t="s">
        <v>75</v>
      </c>
      <c r="AH119" t="s">
        <v>78</v>
      </c>
      <c r="AI119" t="s">
        <v>123</v>
      </c>
      <c r="AJ119" t="s">
        <v>123</v>
      </c>
      <c r="AK119" t="str">
        <f>VLOOKUP(MID($AR119,1,255),country_lookup!$B:$F,2,FALSE)</f>
        <v>1_US</v>
      </c>
      <c r="AL119" t="str">
        <f>VLOOKUP(MID($AR119,1,255),country_lookup!$B:$F,3,FALSE)</f>
        <v>1_developed</v>
      </c>
      <c r="AM119" t="str">
        <f>VLOOKUP(MID($AR119,1,255),country_lookup!$B:$F,4,FALSE)</f>
        <v>1_western</v>
      </c>
      <c r="AN119" t="str">
        <f>VLOOKUP(MID($AR119,1,255),country_lookup!$B:$F,5,FALSE)</f>
        <v>1_common law</v>
      </c>
      <c r="AO119" s="10" t="str">
        <f>VLOOKUP(MID($AS119,1,255),source_lookup!$B:$K,4,FALSE)</f>
        <v>1_not published</v>
      </c>
      <c r="AP119" s="10" t="str">
        <f>VLOOKUP(MID($AS119,1,255),source_lookup!$B:$K,6,FALSE)</f>
        <v>99_NA</v>
      </c>
      <c r="AQ119" s="10" t="str">
        <f>VLOOKUP(MID($AS119,1,255),source_lookup!$B:$K,10,FALSE)</f>
        <v>1_fin/acc/econ</v>
      </c>
      <c r="AR119" t="s">
        <v>85</v>
      </c>
      <c r="AS119" t="s">
        <v>127</v>
      </c>
    </row>
    <row r="120" spans="1:45" x14ac:dyDescent="0.3">
      <c r="A120" t="s">
        <v>3</v>
      </c>
      <c r="B120">
        <v>119</v>
      </c>
      <c r="C120" s="1">
        <v>-6.4929674224727799E-2</v>
      </c>
      <c r="D120" s="2">
        <v>582</v>
      </c>
      <c r="E120" s="4">
        <v>2910</v>
      </c>
      <c r="F120" s="4" t="s">
        <v>346</v>
      </c>
      <c r="G120" s="4" t="s">
        <v>346</v>
      </c>
      <c r="H120" t="s">
        <v>77</v>
      </c>
      <c r="I120" t="s">
        <v>350</v>
      </c>
      <c r="J120" s="3">
        <v>2002</v>
      </c>
      <c r="K120" s="3">
        <v>2006</v>
      </c>
      <c r="L120" s="6">
        <f t="shared" si="31"/>
        <v>2004</v>
      </c>
      <c r="M120" s="6">
        <f t="shared" si="32"/>
        <v>2004</v>
      </c>
      <c r="N120" s="7">
        <f t="shared" si="20"/>
        <v>0</v>
      </c>
      <c r="O120" s="7">
        <f t="shared" si="21"/>
        <v>0</v>
      </c>
      <c r="P120" s="7">
        <f t="shared" si="22"/>
        <v>0</v>
      </c>
      <c r="Q120" s="7">
        <f t="shared" si="33"/>
        <v>0</v>
      </c>
      <c r="R120" s="10" t="str">
        <f t="shared" si="23"/>
        <v>0_Pre</v>
      </c>
      <c r="S120" s="10" t="str">
        <f t="shared" si="24"/>
        <v>0_Pre</v>
      </c>
      <c r="T120" s="10" t="str">
        <f t="shared" si="25"/>
        <v>0_Pre</v>
      </c>
      <c r="U120" s="10" t="str">
        <f t="shared" si="26"/>
        <v>0_Pre</v>
      </c>
      <c r="V120" s="10" t="str">
        <f t="shared" si="34"/>
        <v>0_Pre</v>
      </c>
      <c r="W120" s="10" t="str">
        <f t="shared" si="27"/>
        <v>clean_pre</v>
      </c>
      <c r="X120" s="10" t="str">
        <f t="shared" si="28"/>
        <v>0_Pre</v>
      </c>
      <c r="Y120" s="10" t="str">
        <f t="shared" si="29"/>
        <v>0_Pre</v>
      </c>
      <c r="Z120" s="10" t="str">
        <f t="shared" si="30"/>
        <v>0_Pre</v>
      </c>
      <c r="AA120" s="10" t="str">
        <f t="shared" si="35"/>
        <v>0_Pre</v>
      </c>
      <c r="AB120" s="10" t="str">
        <f t="shared" si="36"/>
        <v>0_Pre</v>
      </c>
      <c r="AC120" s="10" t="str">
        <f t="shared" si="37"/>
        <v>0_Pre</v>
      </c>
      <c r="AD120" s="10" t="str">
        <f t="shared" si="38"/>
        <v>1_pre sample median</v>
      </c>
      <c r="AE120" s="10" t="str">
        <f t="shared" si="39"/>
        <v>1_pre sample first tertile</v>
      </c>
      <c r="AF120" t="s">
        <v>82</v>
      </c>
      <c r="AG120" t="s">
        <v>75</v>
      </c>
      <c r="AH120" t="s">
        <v>78</v>
      </c>
      <c r="AI120" t="s">
        <v>123</v>
      </c>
      <c r="AJ120" t="s">
        <v>123</v>
      </c>
      <c r="AK120" t="str">
        <f>VLOOKUP(MID($AR120,1,255),country_lookup!$B:$F,2,FALSE)</f>
        <v>1_US</v>
      </c>
      <c r="AL120" t="str">
        <f>VLOOKUP(MID($AR120,1,255),country_lookup!$B:$F,3,FALSE)</f>
        <v>1_developed</v>
      </c>
      <c r="AM120" t="str">
        <f>VLOOKUP(MID($AR120,1,255),country_lookup!$B:$F,4,FALSE)</f>
        <v>1_western</v>
      </c>
      <c r="AN120" t="str">
        <f>VLOOKUP(MID($AR120,1,255),country_lookup!$B:$F,5,FALSE)</f>
        <v>1_common law</v>
      </c>
      <c r="AO120" s="10" t="str">
        <f>VLOOKUP(MID($AS120,1,255),source_lookup!$B:$K,4,FALSE)</f>
        <v>1_not published</v>
      </c>
      <c r="AP120" s="10" t="str">
        <f>VLOOKUP(MID($AS120,1,255),source_lookup!$B:$K,6,FALSE)</f>
        <v>99_NA</v>
      </c>
      <c r="AQ120" s="10" t="str">
        <f>VLOOKUP(MID($AS120,1,255),source_lookup!$B:$K,10,FALSE)</f>
        <v>1_fin/acc/econ</v>
      </c>
      <c r="AR120" t="s">
        <v>85</v>
      </c>
      <c r="AS120" t="s">
        <v>127</v>
      </c>
    </row>
    <row r="121" spans="1:45" x14ac:dyDescent="0.3">
      <c r="A121" t="s">
        <v>3</v>
      </c>
      <c r="B121">
        <v>120</v>
      </c>
      <c r="C121" s="1">
        <v>-5.0542965581302259E-2</v>
      </c>
      <c r="D121" s="2">
        <v>582</v>
      </c>
      <c r="E121" s="4">
        <v>2910</v>
      </c>
      <c r="F121" s="4" t="s">
        <v>346</v>
      </c>
      <c r="G121" s="4" t="s">
        <v>346</v>
      </c>
      <c r="H121" t="s">
        <v>77</v>
      </c>
      <c r="I121" t="s">
        <v>350</v>
      </c>
      <c r="J121" s="3">
        <v>2002</v>
      </c>
      <c r="K121" s="3">
        <v>2006</v>
      </c>
      <c r="L121" s="6">
        <f t="shared" si="31"/>
        <v>2004</v>
      </c>
      <c r="M121" s="6">
        <f t="shared" si="32"/>
        <v>2004</v>
      </c>
      <c r="N121" s="7">
        <f t="shared" si="20"/>
        <v>0</v>
      </c>
      <c r="O121" s="7">
        <f t="shared" si="21"/>
        <v>0</v>
      </c>
      <c r="P121" s="7">
        <f t="shared" si="22"/>
        <v>0</v>
      </c>
      <c r="Q121" s="7">
        <f t="shared" si="33"/>
        <v>0</v>
      </c>
      <c r="R121" s="10" t="str">
        <f t="shared" si="23"/>
        <v>0_Pre</v>
      </c>
      <c r="S121" s="10" t="str">
        <f t="shared" si="24"/>
        <v>0_Pre</v>
      </c>
      <c r="T121" s="10" t="str">
        <f t="shared" si="25"/>
        <v>0_Pre</v>
      </c>
      <c r="U121" s="10" t="str">
        <f t="shared" si="26"/>
        <v>0_Pre</v>
      </c>
      <c r="V121" s="10" t="str">
        <f t="shared" si="34"/>
        <v>0_Pre</v>
      </c>
      <c r="W121" s="10" t="str">
        <f t="shared" si="27"/>
        <v>clean_pre</v>
      </c>
      <c r="X121" s="10" t="str">
        <f t="shared" si="28"/>
        <v>0_Pre</v>
      </c>
      <c r="Y121" s="10" t="str">
        <f t="shared" si="29"/>
        <v>0_Pre</v>
      </c>
      <c r="Z121" s="10" t="str">
        <f t="shared" si="30"/>
        <v>0_Pre</v>
      </c>
      <c r="AA121" s="10" t="str">
        <f t="shared" si="35"/>
        <v>0_Pre</v>
      </c>
      <c r="AB121" s="10" t="str">
        <f t="shared" si="36"/>
        <v>0_Pre</v>
      </c>
      <c r="AC121" s="10" t="str">
        <f t="shared" si="37"/>
        <v>0_Pre</v>
      </c>
      <c r="AD121" s="10" t="str">
        <f t="shared" si="38"/>
        <v>1_pre sample median</v>
      </c>
      <c r="AE121" s="10" t="str">
        <f t="shared" si="39"/>
        <v>1_pre sample first tertile</v>
      </c>
      <c r="AF121" t="s">
        <v>82</v>
      </c>
      <c r="AG121" t="s">
        <v>75</v>
      </c>
      <c r="AH121" t="s">
        <v>78</v>
      </c>
      <c r="AI121" t="s">
        <v>123</v>
      </c>
      <c r="AJ121" t="s">
        <v>123</v>
      </c>
      <c r="AK121" t="str">
        <f>VLOOKUP(MID($AR121,1,255),country_lookup!$B:$F,2,FALSE)</f>
        <v>1_US</v>
      </c>
      <c r="AL121" t="str">
        <f>VLOOKUP(MID($AR121,1,255),country_lookup!$B:$F,3,FALSE)</f>
        <v>1_developed</v>
      </c>
      <c r="AM121" t="str">
        <f>VLOOKUP(MID($AR121,1,255),country_lookup!$B:$F,4,FALSE)</f>
        <v>1_western</v>
      </c>
      <c r="AN121" t="str">
        <f>VLOOKUP(MID($AR121,1,255),country_lookup!$B:$F,5,FALSE)</f>
        <v>1_common law</v>
      </c>
      <c r="AO121" s="10" t="str">
        <f>VLOOKUP(MID($AS121,1,255),source_lookup!$B:$K,4,FALSE)</f>
        <v>1_not published</v>
      </c>
      <c r="AP121" s="10" t="str">
        <f>VLOOKUP(MID($AS121,1,255),source_lookup!$B:$K,6,FALSE)</f>
        <v>99_NA</v>
      </c>
      <c r="AQ121" s="10" t="str">
        <f>VLOOKUP(MID($AS121,1,255),source_lookup!$B:$K,10,FALSE)</f>
        <v>1_fin/acc/econ</v>
      </c>
      <c r="AR121" t="s">
        <v>85</v>
      </c>
      <c r="AS121" t="s">
        <v>127</v>
      </c>
    </row>
    <row r="122" spans="1:45" x14ac:dyDescent="0.3">
      <c r="A122" t="s">
        <v>3</v>
      </c>
      <c r="B122">
        <v>121</v>
      </c>
      <c r="C122" s="1">
        <v>1.4643133802863268E-2</v>
      </c>
      <c r="D122" s="2">
        <v>582</v>
      </c>
      <c r="E122" s="4">
        <v>2910</v>
      </c>
      <c r="F122" s="4" t="s">
        <v>346</v>
      </c>
      <c r="G122" s="4" t="s">
        <v>346</v>
      </c>
      <c r="H122" t="s">
        <v>77</v>
      </c>
      <c r="I122" t="s">
        <v>350</v>
      </c>
      <c r="J122" s="3">
        <v>2002</v>
      </c>
      <c r="K122" s="3">
        <v>2006</v>
      </c>
      <c r="L122" s="6">
        <f t="shared" si="31"/>
        <v>2004</v>
      </c>
      <c r="M122" s="6">
        <f t="shared" si="32"/>
        <v>2004</v>
      </c>
      <c r="N122" s="7">
        <f t="shared" si="20"/>
        <v>0</v>
      </c>
      <c r="O122" s="7">
        <f t="shared" si="21"/>
        <v>0</v>
      </c>
      <c r="P122" s="7">
        <f t="shared" si="22"/>
        <v>0</v>
      </c>
      <c r="Q122" s="7">
        <f t="shared" si="33"/>
        <v>0</v>
      </c>
      <c r="R122" s="10" t="str">
        <f t="shared" si="23"/>
        <v>0_Pre</v>
      </c>
      <c r="S122" s="10" t="str">
        <f t="shared" si="24"/>
        <v>0_Pre</v>
      </c>
      <c r="T122" s="10" t="str">
        <f t="shared" si="25"/>
        <v>0_Pre</v>
      </c>
      <c r="U122" s="10" t="str">
        <f t="shared" si="26"/>
        <v>0_Pre</v>
      </c>
      <c r="V122" s="10" t="str">
        <f t="shared" si="34"/>
        <v>0_Pre</v>
      </c>
      <c r="W122" s="10" t="str">
        <f t="shared" si="27"/>
        <v>clean_pre</v>
      </c>
      <c r="X122" s="10" t="str">
        <f t="shared" si="28"/>
        <v>0_Pre</v>
      </c>
      <c r="Y122" s="10" t="str">
        <f t="shared" si="29"/>
        <v>0_Pre</v>
      </c>
      <c r="Z122" s="10" t="str">
        <f t="shared" si="30"/>
        <v>0_Pre</v>
      </c>
      <c r="AA122" s="10" t="str">
        <f t="shared" si="35"/>
        <v>0_Pre</v>
      </c>
      <c r="AB122" s="10" t="str">
        <f t="shared" si="36"/>
        <v>0_Pre</v>
      </c>
      <c r="AC122" s="10" t="str">
        <f t="shared" si="37"/>
        <v>0_Pre</v>
      </c>
      <c r="AD122" s="10" t="str">
        <f t="shared" si="38"/>
        <v>1_pre sample median</v>
      </c>
      <c r="AE122" s="10" t="str">
        <f t="shared" si="39"/>
        <v>1_pre sample first tertile</v>
      </c>
      <c r="AF122" t="s">
        <v>82</v>
      </c>
      <c r="AG122" t="s">
        <v>75</v>
      </c>
      <c r="AH122" t="s">
        <v>78</v>
      </c>
      <c r="AI122" t="s">
        <v>123</v>
      </c>
      <c r="AJ122" t="s">
        <v>123</v>
      </c>
      <c r="AK122" t="str">
        <f>VLOOKUP(MID($AR122,1,255),country_lookup!$B:$F,2,FALSE)</f>
        <v>1_US</v>
      </c>
      <c r="AL122" t="str">
        <f>VLOOKUP(MID($AR122,1,255),country_lookup!$B:$F,3,FALSE)</f>
        <v>1_developed</v>
      </c>
      <c r="AM122" t="str">
        <f>VLOOKUP(MID($AR122,1,255),country_lookup!$B:$F,4,FALSE)</f>
        <v>1_western</v>
      </c>
      <c r="AN122" t="str">
        <f>VLOOKUP(MID($AR122,1,255),country_lookup!$B:$F,5,FALSE)</f>
        <v>1_common law</v>
      </c>
      <c r="AO122" s="10" t="str">
        <f>VLOOKUP(MID($AS122,1,255),source_lookup!$B:$K,4,FALSE)</f>
        <v>1_not published</v>
      </c>
      <c r="AP122" s="10" t="str">
        <f>VLOOKUP(MID($AS122,1,255),source_lookup!$B:$K,6,FALSE)</f>
        <v>99_NA</v>
      </c>
      <c r="AQ122" s="10" t="str">
        <f>VLOOKUP(MID($AS122,1,255),source_lookup!$B:$K,10,FALSE)</f>
        <v>1_fin/acc/econ</v>
      </c>
      <c r="AR122" t="s">
        <v>85</v>
      </c>
      <c r="AS122" t="s">
        <v>127</v>
      </c>
    </row>
    <row r="123" spans="1:45" x14ac:dyDescent="0.3">
      <c r="A123" t="s">
        <v>3</v>
      </c>
      <c r="B123">
        <v>122</v>
      </c>
      <c r="C123" s="1">
        <v>-0.11036193057635417</v>
      </c>
      <c r="D123" s="2">
        <v>582</v>
      </c>
      <c r="E123" s="4">
        <v>2910</v>
      </c>
      <c r="F123" s="4" t="s">
        <v>346</v>
      </c>
      <c r="G123" s="4" t="s">
        <v>346</v>
      </c>
      <c r="H123" t="s">
        <v>77</v>
      </c>
      <c r="I123" t="s">
        <v>350</v>
      </c>
      <c r="J123" s="3">
        <v>2002</v>
      </c>
      <c r="K123" s="3">
        <v>2006</v>
      </c>
      <c r="L123" s="6">
        <f t="shared" si="31"/>
        <v>2004</v>
      </c>
      <c r="M123" s="6">
        <f t="shared" si="32"/>
        <v>2004</v>
      </c>
      <c r="N123" s="7">
        <f t="shared" si="20"/>
        <v>0</v>
      </c>
      <c r="O123" s="7">
        <f t="shared" si="21"/>
        <v>0</v>
      </c>
      <c r="P123" s="7">
        <f t="shared" si="22"/>
        <v>0</v>
      </c>
      <c r="Q123" s="7">
        <f t="shared" si="33"/>
        <v>0</v>
      </c>
      <c r="R123" s="10" t="str">
        <f t="shared" si="23"/>
        <v>0_Pre</v>
      </c>
      <c r="S123" s="10" t="str">
        <f t="shared" si="24"/>
        <v>0_Pre</v>
      </c>
      <c r="T123" s="10" t="str">
        <f t="shared" si="25"/>
        <v>0_Pre</v>
      </c>
      <c r="U123" s="10" t="str">
        <f t="shared" si="26"/>
        <v>0_Pre</v>
      </c>
      <c r="V123" s="10" t="str">
        <f t="shared" si="34"/>
        <v>0_Pre</v>
      </c>
      <c r="W123" s="10" t="str">
        <f t="shared" si="27"/>
        <v>clean_pre</v>
      </c>
      <c r="X123" s="10" t="str">
        <f t="shared" si="28"/>
        <v>0_Pre</v>
      </c>
      <c r="Y123" s="10" t="str">
        <f t="shared" si="29"/>
        <v>0_Pre</v>
      </c>
      <c r="Z123" s="10" t="str">
        <f t="shared" si="30"/>
        <v>0_Pre</v>
      </c>
      <c r="AA123" s="10" t="str">
        <f t="shared" si="35"/>
        <v>0_Pre</v>
      </c>
      <c r="AB123" s="10" t="str">
        <f t="shared" si="36"/>
        <v>0_Pre</v>
      </c>
      <c r="AC123" s="10" t="str">
        <f t="shared" si="37"/>
        <v>0_Pre</v>
      </c>
      <c r="AD123" s="10" t="str">
        <f t="shared" si="38"/>
        <v>1_pre sample median</v>
      </c>
      <c r="AE123" s="10" t="str">
        <f t="shared" si="39"/>
        <v>1_pre sample first tertile</v>
      </c>
      <c r="AF123" t="s">
        <v>82</v>
      </c>
      <c r="AG123" t="s">
        <v>75</v>
      </c>
      <c r="AH123" t="s">
        <v>78</v>
      </c>
      <c r="AI123" t="s">
        <v>123</v>
      </c>
      <c r="AJ123" t="s">
        <v>123</v>
      </c>
      <c r="AK123" t="str">
        <f>VLOOKUP(MID($AR123,1,255),country_lookup!$B:$F,2,FALSE)</f>
        <v>1_US</v>
      </c>
      <c r="AL123" t="str">
        <f>VLOOKUP(MID($AR123,1,255),country_lookup!$B:$F,3,FALSE)</f>
        <v>1_developed</v>
      </c>
      <c r="AM123" t="str">
        <f>VLOOKUP(MID($AR123,1,255),country_lookup!$B:$F,4,FALSE)</f>
        <v>1_western</v>
      </c>
      <c r="AN123" t="str">
        <f>VLOOKUP(MID($AR123,1,255),country_lookup!$B:$F,5,FALSE)</f>
        <v>1_common law</v>
      </c>
      <c r="AO123" s="10" t="str">
        <f>VLOOKUP(MID($AS123,1,255),source_lookup!$B:$K,4,FALSE)</f>
        <v>1_not published</v>
      </c>
      <c r="AP123" s="10" t="str">
        <f>VLOOKUP(MID($AS123,1,255),source_lookup!$B:$K,6,FALSE)</f>
        <v>99_NA</v>
      </c>
      <c r="AQ123" s="10" t="str">
        <f>VLOOKUP(MID($AS123,1,255),source_lookup!$B:$K,10,FALSE)</f>
        <v>1_fin/acc/econ</v>
      </c>
      <c r="AR123" t="s">
        <v>85</v>
      </c>
      <c r="AS123" t="s">
        <v>127</v>
      </c>
    </row>
    <row r="124" spans="1:45" x14ac:dyDescent="0.3">
      <c r="A124" t="s">
        <v>3</v>
      </c>
      <c r="B124">
        <v>123</v>
      </c>
      <c r="C124" s="1">
        <v>-1.8719695137980802E-2</v>
      </c>
      <c r="D124" s="2">
        <v>582</v>
      </c>
      <c r="E124" s="4">
        <v>2910</v>
      </c>
      <c r="F124" s="4" t="s">
        <v>346</v>
      </c>
      <c r="G124" s="4" t="s">
        <v>346</v>
      </c>
      <c r="H124" t="s">
        <v>77</v>
      </c>
      <c r="I124" t="s">
        <v>350</v>
      </c>
      <c r="J124" s="3">
        <v>2002</v>
      </c>
      <c r="K124" s="3">
        <v>2006</v>
      </c>
      <c r="L124" s="6">
        <f t="shared" si="31"/>
        <v>2004</v>
      </c>
      <c r="M124" s="6">
        <f t="shared" si="32"/>
        <v>2004</v>
      </c>
      <c r="N124" s="7">
        <f t="shared" si="20"/>
        <v>0</v>
      </c>
      <c r="O124" s="7">
        <f t="shared" si="21"/>
        <v>0</v>
      </c>
      <c r="P124" s="7">
        <f t="shared" si="22"/>
        <v>0</v>
      </c>
      <c r="Q124" s="7">
        <f t="shared" si="33"/>
        <v>0</v>
      </c>
      <c r="R124" s="10" t="str">
        <f t="shared" si="23"/>
        <v>0_Pre</v>
      </c>
      <c r="S124" s="10" t="str">
        <f t="shared" si="24"/>
        <v>0_Pre</v>
      </c>
      <c r="T124" s="10" t="str">
        <f t="shared" si="25"/>
        <v>0_Pre</v>
      </c>
      <c r="U124" s="10" t="str">
        <f t="shared" si="26"/>
        <v>0_Pre</v>
      </c>
      <c r="V124" s="10" t="str">
        <f t="shared" si="34"/>
        <v>0_Pre</v>
      </c>
      <c r="W124" s="10" t="str">
        <f t="shared" si="27"/>
        <v>clean_pre</v>
      </c>
      <c r="X124" s="10" t="str">
        <f t="shared" si="28"/>
        <v>0_Pre</v>
      </c>
      <c r="Y124" s="10" t="str">
        <f t="shared" si="29"/>
        <v>0_Pre</v>
      </c>
      <c r="Z124" s="10" t="str">
        <f t="shared" si="30"/>
        <v>0_Pre</v>
      </c>
      <c r="AA124" s="10" t="str">
        <f t="shared" si="35"/>
        <v>0_Pre</v>
      </c>
      <c r="AB124" s="10" t="str">
        <f t="shared" si="36"/>
        <v>0_Pre</v>
      </c>
      <c r="AC124" s="10" t="str">
        <f t="shared" si="37"/>
        <v>0_Pre</v>
      </c>
      <c r="AD124" s="10" t="str">
        <f t="shared" si="38"/>
        <v>1_pre sample median</v>
      </c>
      <c r="AE124" s="10" t="str">
        <f t="shared" si="39"/>
        <v>1_pre sample first tertile</v>
      </c>
      <c r="AF124" t="s">
        <v>82</v>
      </c>
      <c r="AG124" t="s">
        <v>75</v>
      </c>
      <c r="AH124" t="s">
        <v>78</v>
      </c>
      <c r="AI124" t="s">
        <v>123</v>
      </c>
      <c r="AJ124" t="s">
        <v>123</v>
      </c>
      <c r="AK124" t="str">
        <f>VLOOKUP(MID($AR124,1,255),country_lookup!$B:$F,2,FALSE)</f>
        <v>1_US</v>
      </c>
      <c r="AL124" t="str">
        <f>VLOOKUP(MID($AR124,1,255),country_lookup!$B:$F,3,FALSE)</f>
        <v>1_developed</v>
      </c>
      <c r="AM124" t="str">
        <f>VLOOKUP(MID($AR124,1,255),country_lookup!$B:$F,4,FALSE)</f>
        <v>1_western</v>
      </c>
      <c r="AN124" t="str">
        <f>VLOOKUP(MID($AR124,1,255),country_lookup!$B:$F,5,FALSE)</f>
        <v>1_common law</v>
      </c>
      <c r="AO124" s="10" t="str">
        <f>VLOOKUP(MID($AS124,1,255),source_lookup!$B:$K,4,FALSE)</f>
        <v>1_not published</v>
      </c>
      <c r="AP124" s="10" t="str">
        <f>VLOOKUP(MID($AS124,1,255),source_lookup!$B:$K,6,FALSE)</f>
        <v>99_NA</v>
      </c>
      <c r="AQ124" s="10" t="str">
        <f>VLOOKUP(MID($AS124,1,255),source_lookup!$B:$K,10,FALSE)</f>
        <v>1_fin/acc/econ</v>
      </c>
      <c r="AR124" t="s">
        <v>85</v>
      </c>
      <c r="AS124" t="s">
        <v>127</v>
      </c>
    </row>
    <row r="125" spans="1:45" x14ac:dyDescent="0.3">
      <c r="A125" t="s">
        <v>3</v>
      </c>
      <c r="B125">
        <v>124</v>
      </c>
      <c r="C125" s="1">
        <v>-1.0195150080411247E-2</v>
      </c>
      <c r="D125" s="2">
        <v>582</v>
      </c>
      <c r="E125" s="4">
        <v>2910</v>
      </c>
      <c r="F125" s="4" t="s">
        <v>346</v>
      </c>
      <c r="G125" s="4" t="s">
        <v>346</v>
      </c>
      <c r="H125" t="s">
        <v>77</v>
      </c>
      <c r="I125" t="s">
        <v>350</v>
      </c>
      <c r="J125" s="3">
        <v>2002</v>
      </c>
      <c r="K125" s="3">
        <v>2006</v>
      </c>
      <c r="L125" s="6">
        <f t="shared" si="31"/>
        <v>2004</v>
      </c>
      <c r="M125" s="6">
        <f t="shared" si="32"/>
        <v>2004</v>
      </c>
      <c r="N125" s="7">
        <f t="shared" si="20"/>
        <v>0</v>
      </c>
      <c r="O125" s="7">
        <f t="shared" si="21"/>
        <v>0</v>
      </c>
      <c r="P125" s="7">
        <f t="shared" si="22"/>
        <v>0</v>
      </c>
      <c r="Q125" s="7">
        <f t="shared" si="33"/>
        <v>0</v>
      </c>
      <c r="R125" s="10" t="str">
        <f t="shared" si="23"/>
        <v>0_Pre</v>
      </c>
      <c r="S125" s="10" t="str">
        <f t="shared" si="24"/>
        <v>0_Pre</v>
      </c>
      <c r="T125" s="10" t="str">
        <f t="shared" si="25"/>
        <v>0_Pre</v>
      </c>
      <c r="U125" s="10" t="str">
        <f t="shared" si="26"/>
        <v>0_Pre</v>
      </c>
      <c r="V125" s="10" t="str">
        <f t="shared" si="34"/>
        <v>0_Pre</v>
      </c>
      <c r="W125" s="10" t="str">
        <f t="shared" si="27"/>
        <v>clean_pre</v>
      </c>
      <c r="X125" s="10" t="str">
        <f t="shared" si="28"/>
        <v>0_Pre</v>
      </c>
      <c r="Y125" s="10" t="str">
        <f t="shared" si="29"/>
        <v>0_Pre</v>
      </c>
      <c r="Z125" s="10" t="str">
        <f t="shared" si="30"/>
        <v>0_Pre</v>
      </c>
      <c r="AA125" s="10" t="str">
        <f t="shared" si="35"/>
        <v>0_Pre</v>
      </c>
      <c r="AB125" s="10" t="str">
        <f t="shared" si="36"/>
        <v>0_Pre</v>
      </c>
      <c r="AC125" s="10" t="str">
        <f t="shared" si="37"/>
        <v>0_Pre</v>
      </c>
      <c r="AD125" s="10" t="str">
        <f t="shared" si="38"/>
        <v>1_pre sample median</v>
      </c>
      <c r="AE125" s="10" t="str">
        <f t="shared" si="39"/>
        <v>1_pre sample first tertile</v>
      </c>
      <c r="AF125" t="s">
        <v>67</v>
      </c>
      <c r="AG125" t="s">
        <v>75</v>
      </c>
      <c r="AH125" t="s">
        <v>78</v>
      </c>
      <c r="AI125" t="s">
        <v>123</v>
      </c>
      <c r="AJ125" t="s">
        <v>123</v>
      </c>
      <c r="AK125" t="str">
        <f>VLOOKUP(MID($AR125,1,255),country_lookup!$B:$F,2,FALSE)</f>
        <v>1_US</v>
      </c>
      <c r="AL125" t="str">
        <f>VLOOKUP(MID($AR125,1,255),country_lookup!$B:$F,3,FALSE)</f>
        <v>1_developed</v>
      </c>
      <c r="AM125" t="str">
        <f>VLOOKUP(MID($AR125,1,255),country_lookup!$B:$F,4,FALSE)</f>
        <v>1_western</v>
      </c>
      <c r="AN125" t="str">
        <f>VLOOKUP(MID($AR125,1,255),country_lookup!$B:$F,5,FALSE)</f>
        <v>1_common law</v>
      </c>
      <c r="AO125" s="10" t="str">
        <f>VLOOKUP(MID($AS125,1,255),source_lookup!$B:$K,4,FALSE)</f>
        <v>1_not published</v>
      </c>
      <c r="AP125" s="10" t="str">
        <f>VLOOKUP(MID($AS125,1,255),source_lookup!$B:$K,6,FALSE)</f>
        <v>99_NA</v>
      </c>
      <c r="AQ125" s="10" t="str">
        <f>VLOOKUP(MID($AS125,1,255),source_lookup!$B:$K,10,FALSE)</f>
        <v>1_fin/acc/econ</v>
      </c>
      <c r="AR125" t="s">
        <v>85</v>
      </c>
      <c r="AS125" t="s">
        <v>127</v>
      </c>
    </row>
    <row r="126" spans="1:45" x14ac:dyDescent="0.3">
      <c r="A126" t="s">
        <v>3</v>
      </c>
      <c r="B126">
        <v>125</v>
      </c>
      <c r="C126" s="1">
        <v>-1.223390034661887E-2</v>
      </c>
      <c r="D126" s="2">
        <v>582</v>
      </c>
      <c r="E126" s="4">
        <v>2910</v>
      </c>
      <c r="F126" s="4" t="s">
        <v>346</v>
      </c>
      <c r="G126" s="4" t="s">
        <v>346</v>
      </c>
      <c r="H126" t="s">
        <v>77</v>
      </c>
      <c r="I126" t="s">
        <v>350</v>
      </c>
      <c r="J126" s="3">
        <v>2002</v>
      </c>
      <c r="K126" s="3">
        <v>2006</v>
      </c>
      <c r="L126" s="6">
        <f t="shared" si="31"/>
        <v>2004</v>
      </c>
      <c r="M126" s="6">
        <f t="shared" si="32"/>
        <v>2004</v>
      </c>
      <c r="N126" s="7">
        <f t="shared" si="20"/>
        <v>0</v>
      </c>
      <c r="O126" s="7">
        <f t="shared" si="21"/>
        <v>0</v>
      </c>
      <c r="P126" s="7">
        <f t="shared" si="22"/>
        <v>0</v>
      </c>
      <c r="Q126" s="7">
        <f t="shared" si="33"/>
        <v>0</v>
      </c>
      <c r="R126" s="10" t="str">
        <f t="shared" si="23"/>
        <v>0_Pre</v>
      </c>
      <c r="S126" s="10" t="str">
        <f t="shared" si="24"/>
        <v>0_Pre</v>
      </c>
      <c r="T126" s="10" t="str">
        <f t="shared" si="25"/>
        <v>0_Pre</v>
      </c>
      <c r="U126" s="10" t="str">
        <f t="shared" si="26"/>
        <v>0_Pre</v>
      </c>
      <c r="V126" s="10" t="str">
        <f t="shared" si="34"/>
        <v>0_Pre</v>
      </c>
      <c r="W126" s="10" t="str">
        <f t="shared" si="27"/>
        <v>clean_pre</v>
      </c>
      <c r="X126" s="10" t="str">
        <f t="shared" si="28"/>
        <v>0_Pre</v>
      </c>
      <c r="Y126" s="10" t="str">
        <f t="shared" si="29"/>
        <v>0_Pre</v>
      </c>
      <c r="Z126" s="10" t="str">
        <f t="shared" si="30"/>
        <v>0_Pre</v>
      </c>
      <c r="AA126" s="10" t="str">
        <f t="shared" si="35"/>
        <v>0_Pre</v>
      </c>
      <c r="AB126" s="10" t="str">
        <f t="shared" si="36"/>
        <v>0_Pre</v>
      </c>
      <c r="AC126" s="10" t="str">
        <f t="shared" si="37"/>
        <v>0_Pre</v>
      </c>
      <c r="AD126" s="10" t="str">
        <f t="shared" si="38"/>
        <v>1_pre sample median</v>
      </c>
      <c r="AE126" s="10" t="str">
        <f t="shared" si="39"/>
        <v>1_pre sample first tertile</v>
      </c>
      <c r="AF126" t="s">
        <v>67</v>
      </c>
      <c r="AG126" t="s">
        <v>75</v>
      </c>
      <c r="AH126" t="s">
        <v>78</v>
      </c>
      <c r="AI126" t="s">
        <v>123</v>
      </c>
      <c r="AJ126" t="s">
        <v>123</v>
      </c>
      <c r="AK126" t="str">
        <f>VLOOKUP(MID($AR126,1,255),country_lookup!$B:$F,2,FALSE)</f>
        <v>1_US</v>
      </c>
      <c r="AL126" t="str">
        <f>VLOOKUP(MID($AR126,1,255),country_lookup!$B:$F,3,FALSE)</f>
        <v>1_developed</v>
      </c>
      <c r="AM126" t="str">
        <f>VLOOKUP(MID($AR126,1,255),country_lookup!$B:$F,4,FALSE)</f>
        <v>1_western</v>
      </c>
      <c r="AN126" t="str">
        <f>VLOOKUP(MID($AR126,1,255),country_lookup!$B:$F,5,FALSE)</f>
        <v>1_common law</v>
      </c>
      <c r="AO126" s="10" t="str">
        <f>VLOOKUP(MID($AS126,1,255),source_lookup!$B:$K,4,FALSE)</f>
        <v>1_not published</v>
      </c>
      <c r="AP126" s="10" t="str">
        <f>VLOOKUP(MID($AS126,1,255),source_lookup!$B:$K,6,FALSE)</f>
        <v>99_NA</v>
      </c>
      <c r="AQ126" s="10" t="str">
        <f>VLOOKUP(MID($AS126,1,255),source_lookup!$B:$K,10,FALSE)</f>
        <v>1_fin/acc/econ</v>
      </c>
      <c r="AR126" t="s">
        <v>85</v>
      </c>
      <c r="AS126" t="s">
        <v>127</v>
      </c>
    </row>
    <row r="127" spans="1:45" x14ac:dyDescent="0.3">
      <c r="A127" t="s">
        <v>3</v>
      </c>
      <c r="B127">
        <v>126</v>
      </c>
      <c r="C127" s="1">
        <v>4.2636092338723562E-3</v>
      </c>
      <c r="D127" s="2">
        <v>582</v>
      </c>
      <c r="E127" s="4">
        <v>2910</v>
      </c>
      <c r="F127" s="4" t="s">
        <v>346</v>
      </c>
      <c r="G127" s="4" t="s">
        <v>346</v>
      </c>
      <c r="H127" t="s">
        <v>77</v>
      </c>
      <c r="I127" t="s">
        <v>350</v>
      </c>
      <c r="J127" s="3">
        <v>2002</v>
      </c>
      <c r="K127" s="3">
        <v>2006</v>
      </c>
      <c r="L127" s="6">
        <f t="shared" si="31"/>
        <v>2004</v>
      </c>
      <c r="M127" s="6">
        <f t="shared" si="32"/>
        <v>2004</v>
      </c>
      <c r="N127" s="7">
        <f t="shared" si="20"/>
        <v>0</v>
      </c>
      <c r="O127" s="7">
        <f t="shared" si="21"/>
        <v>0</v>
      </c>
      <c r="P127" s="7">
        <f t="shared" si="22"/>
        <v>0</v>
      </c>
      <c r="Q127" s="7">
        <f t="shared" si="33"/>
        <v>0</v>
      </c>
      <c r="R127" s="10" t="str">
        <f t="shared" si="23"/>
        <v>0_Pre</v>
      </c>
      <c r="S127" s="10" t="str">
        <f t="shared" si="24"/>
        <v>0_Pre</v>
      </c>
      <c r="T127" s="10" t="str">
        <f t="shared" si="25"/>
        <v>0_Pre</v>
      </c>
      <c r="U127" s="10" t="str">
        <f t="shared" si="26"/>
        <v>0_Pre</v>
      </c>
      <c r="V127" s="10" t="str">
        <f t="shared" si="34"/>
        <v>0_Pre</v>
      </c>
      <c r="W127" s="10" t="str">
        <f t="shared" si="27"/>
        <v>clean_pre</v>
      </c>
      <c r="X127" s="10" t="str">
        <f t="shared" si="28"/>
        <v>0_Pre</v>
      </c>
      <c r="Y127" s="10" t="str">
        <f t="shared" si="29"/>
        <v>0_Pre</v>
      </c>
      <c r="Z127" s="10" t="str">
        <f t="shared" si="30"/>
        <v>0_Pre</v>
      </c>
      <c r="AA127" s="10" t="str">
        <f t="shared" si="35"/>
        <v>0_Pre</v>
      </c>
      <c r="AB127" s="10" t="str">
        <f t="shared" si="36"/>
        <v>0_Pre</v>
      </c>
      <c r="AC127" s="10" t="str">
        <f t="shared" si="37"/>
        <v>0_Pre</v>
      </c>
      <c r="AD127" s="10" t="str">
        <f t="shared" si="38"/>
        <v>1_pre sample median</v>
      </c>
      <c r="AE127" s="10" t="str">
        <f t="shared" si="39"/>
        <v>1_pre sample first tertile</v>
      </c>
      <c r="AF127" t="s">
        <v>67</v>
      </c>
      <c r="AG127" t="s">
        <v>75</v>
      </c>
      <c r="AH127" t="s">
        <v>78</v>
      </c>
      <c r="AI127" t="s">
        <v>123</v>
      </c>
      <c r="AJ127" t="s">
        <v>123</v>
      </c>
      <c r="AK127" t="str">
        <f>VLOOKUP(MID($AR127,1,255),country_lookup!$B:$F,2,FALSE)</f>
        <v>1_US</v>
      </c>
      <c r="AL127" t="str">
        <f>VLOOKUP(MID($AR127,1,255),country_lookup!$B:$F,3,FALSE)</f>
        <v>1_developed</v>
      </c>
      <c r="AM127" t="str">
        <f>VLOOKUP(MID($AR127,1,255),country_lookup!$B:$F,4,FALSE)</f>
        <v>1_western</v>
      </c>
      <c r="AN127" t="str">
        <f>VLOOKUP(MID($AR127,1,255),country_lookup!$B:$F,5,FALSE)</f>
        <v>1_common law</v>
      </c>
      <c r="AO127" s="10" t="str">
        <f>VLOOKUP(MID($AS127,1,255),source_lookup!$B:$K,4,FALSE)</f>
        <v>1_not published</v>
      </c>
      <c r="AP127" s="10" t="str">
        <f>VLOOKUP(MID($AS127,1,255),source_lookup!$B:$K,6,FALSE)</f>
        <v>99_NA</v>
      </c>
      <c r="AQ127" s="10" t="str">
        <f>VLOOKUP(MID($AS127,1,255),source_lookup!$B:$K,10,FALSE)</f>
        <v>1_fin/acc/econ</v>
      </c>
      <c r="AR127" t="s">
        <v>85</v>
      </c>
      <c r="AS127" t="s">
        <v>127</v>
      </c>
    </row>
    <row r="128" spans="1:45" x14ac:dyDescent="0.3">
      <c r="A128" t="s">
        <v>3</v>
      </c>
      <c r="B128">
        <v>127</v>
      </c>
      <c r="C128" s="1">
        <v>-1.2419234096638941E-2</v>
      </c>
      <c r="D128" s="2">
        <v>582</v>
      </c>
      <c r="E128" s="4">
        <v>2910</v>
      </c>
      <c r="F128" s="4" t="s">
        <v>346</v>
      </c>
      <c r="G128" s="4" t="s">
        <v>346</v>
      </c>
      <c r="H128" t="s">
        <v>77</v>
      </c>
      <c r="I128" t="s">
        <v>350</v>
      </c>
      <c r="J128" s="3">
        <v>2002</v>
      </c>
      <c r="K128" s="3">
        <v>2006</v>
      </c>
      <c r="L128" s="6">
        <f t="shared" si="31"/>
        <v>2004</v>
      </c>
      <c r="M128" s="6">
        <f t="shared" si="32"/>
        <v>2004</v>
      </c>
      <c r="N128" s="7">
        <f t="shared" si="20"/>
        <v>0</v>
      </c>
      <c r="O128" s="7">
        <f t="shared" si="21"/>
        <v>0</v>
      </c>
      <c r="P128" s="7">
        <f t="shared" si="22"/>
        <v>0</v>
      </c>
      <c r="Q128" s="7">
        <f t="shared" si="33"/>
        <v>0</v>
      </c>
      <c r="R128" s="10" t="str">
        <f t="shared" si="23"/>
        <v>0_Pre</v>
      </c>
      <c r="S128" s="10" t="str">
        <f t="shared" si="24"/>
        <v>0_Pre</v>
      </c>
      <c r="T128" s="10" t="str">
        <f t="shared" si="25"/>
        <v>0_Pre</v>
      </c>
      <c r="U128" s="10" t="str">
        <f t="shared" si="26"/>
        <v>0_Pre</v>
      </c>
      <c r="V128" s="10" t="str">
        <f t="shared" si="34"/>
        <v>0_Pre</v>
      </c>
      <c r="W128" s="10" t="str">
        <f t="shared" si="27"/>
        <v>clean_pre</v>
      </c>
      <c r="X128" s="10" t="str">
        <f t="shared" si="28"/>
        <v>0_Pre</v>
      </c>
      <c r="Y128" s="10" t="str">
        <f t="shared" si="29"/>
        <v>0_Pre</v>
      </c>
      <c r="Z128" s="10" t="str">
        <f t="shared" si="30"/>
        <v>0_Pre</v>
      </c>
      <c r="AA128" s="10" t="str">
        <f t="shared" si="35"/>
        <v>0_Pre</v>
      </c>
      <c r="AB128" s="10" t="str">
        <f t="shared" si="36"/>
        <v>0_Pre</v>
      </c>
      <c r="AC128" s="10" t="str">
        <f t="shared" si="37"/>
        <v>0_Pre</v>
      </c>
      <c r="AD128" s="10" t="str">
        <f t="shared" si="38"/>
        <v>1_pre sample median</v>
      </c>
      <c r="AE128" s="10" t="str">
        <f t="shared" si="39"/>
        <v>1_pre sample first tertile</v>
      </c>
      <c r="AF128" t="s">
        <v>67</v>
      </c>
      <c r="AG128" t="s">
        <v>75</v>
      </c>
      <c r="AH128" t="s">
        <v>78</v>
      </c>
      <c r="AI128" t="s">
        <v>123</v>
      </c>
      <c r="AJ128" t="s">
        <v>123</v>
      </c>
      <c r="AK128" t="str">
        <f>VLOOKUP(MID($AR128,1,255),country_lookup!$B:$F,2,FALSE)</f>
        <v>1_US</v>
      </c>
      <c r="AL128" t="str">
        <f>VLOOKUP(MID($AR128,1,255),country_lookup!$B:$F,3,FALSE)</f>
        <v>1_developed</v>
      </c>
      <c r="AM128" t="str">
        <f>VLOOKUP(MID($AR128,1,255),country_lookup!$B:$F,4,FALSE)</f>
        <v>1_western</v>
      </c>
      <c r="AN128" t="str">
        <f>VLOOKUP(MID($AR128,1,255),country_lookup!$B:$F,5,FALSE)</f>
        <v>1_common law</v>
      </c>
      <c r="AO128" s="10" t="str">
        <f>VLOOKUP(MID($AS128,1,255),source_lookup!$B:$K,4,FALSE)</f>
        <v>1_not published</v>
      </c>
      <c r="AP128" s="10" t="str">
        <f>VLOOKUP(MID($AS128,1,255),source_lookup!$B:$K,6,FALSE)</f>
        <v>99_NA</v>
      </c>
      <c r="AQ128" s="10" t="str">
        <f>VLOOKUP(MID($AS128,1,255),source_lookup!$B:$K,10,FALSE)</f>
        <v>1_fin/acc/econ</v>
      </c>
      <c r="AR128" t="s">
        <v>85</v>
      </c>
      <c r="AS128" t="s">
        <v>127</v>
      </c>
    </row>
    <row r="129" spans="1:45" x14ac:dyDescent="0.3">
      <c r="A129" t="s">
        <v>3</v>
      </c>
      <c r="B129">
        <v>128</v>
      </c>
      <c r="C129" s="1">
        <v>-2.7240159832148704E-2</v>
      </c>
      <c r="D129" s="2">
        <v>582</v>
      </c>
      <c r="E129" s="4">
        <v>2910</v>
      </c>
      <c r="F129" s="4" t="s">
        <v>346</v>
      </c>
      <c r="G129" s="4" t="s">
        <v>346</v>
      </c>
      <c r="H129" t="s">
        <v>77</v>
      </c>
      <c r="I129" t="s">
        <v>350</v>
      </c>
      <c r="J129" s="3">
        <v>2002</v>
      </c>
      <c r="K129" s="3">
        <v>2006</v>
      </c>
      <c r="L129" s="6">
        <f t="shared" si="31"/>
        <v>2004</v>
      </c>
      <c r="M129" s="6">
        <f t="shared" si="32"/>
        <v>2004</v>
      </c>
      <c r="N129" s="7">
        <f t="shared" si="20"/>
        <v>0</v>
      </c>
      <c r="O129" s="7">
        <f t="shared" si="21"/>
        <v>0</v>
      </c>
      <c r="P129" s="7">
        <f t="shared" si="22"/>
        <v>0</v>
      </c>
      <c r="Q129" s="7">
        <f t="shared" si="33"/>
        <v>0</v>
      </c>
      <c r="R129" s="10" t="str">
        <f t="shared" si="23"/>
        <v>0_Pre</v>
      </c>
      <c r="S129" s="10" t="str">
        <f t="shared" si="24"/>
        <v>0_Pre</v>
      </c>
      <c r="T129" s="10" t="str">
        <f t="shared" si="25"/>
        <v>0_Pre</v>
      </c>
      <c r="U129" s="10" t="str">
        <f t="shared" si="26"/>
        <v>0_Pre</v>
      </c>
      <c r="V129" s="10" t="str">
        <f t="shared" si="34"/>
        <v>0_Pre</v>
      </c>
      <c r="W129" s="10" t="str">
        <f t="shared" si="27"/>
        <v>clean_pre</v>
      </c>
      <c r="X129" s="10" t="str">
        <f t="shared" si="28"/>
        <v>0_Pre</v>
      </c>
      <c r="Y129" s="10" t="str">
        <f t="shared" si="29"/>
        <v>0_Pre</v>
      </c>
      <c r="Z129" s="10" t="str">
        <f t="shared" si="30"/>
        <v>0_Pre</v>
      </c>
      <c r="AA129" s="10" t="str">
        <f t="shared" si="35"/>
        <v>0_Pre</v>
      </c>
      <c r="AB129" s="10" t="str">
        <f t="shared" si="36"/>
        <v>0_Pre</v>
      </c>
      <c r="AC129" s="10" t="str">
        <f t="shared" si="37"/>
        <v>0_Pre</v>
      </c>
      <c r="AD129" s="10" t="str">
        <f t="shared" si="38"/>
        <v>1_pre sample median</v>
      </c>
      <c r="AE129" s="10" t="str">
        <f t="shared" si="39"/>
        <v>1_pre sample first tertile</v>
      </c>
      <c r="AF129" t="s">
        <v>67</v>
      </c>
      <c r="AG129" t="s">
        <v>75</v>
      </c>
      <c r="AH129" t="s">
        <v>78</v>
      </c>
      <c r="AI129" t="s">
        <v>123</v>
      </c>
      <c r="AJ129" t="s">
        <v>123</v>
      </c>
      <c r="AK129" t="str">
        <f>VLOOKUP(MID($AR129,1,255),country_lookup!$B:$F,2,FALSE)</f>
        <v>1_US</v>
      </c>
      <c r="AL129" t="str">
        <f>VLOOKUP(MID($AR129,1,255),country_lookup!$B:$F,3,FALSE)</f>
        <v>1_developed</v>
      </c>
      <c r="AM129" t="str">
        <f>VLOOKUP(MID($AR129,1,255),country_lookup!$B:$F,4,FALSE)</f>
        <v>1_western</v>
      </c>
      <c r="AN129" t="str">
        <f>VLOOKUP(MID($AR129,1,255),country_lookup!$B:$F,5,FALSE)</f>
        <v>1_common law</v>
      </c>
      <c r="AO129" s="10" t="str">
        <f>VLOOKUP(MID($AS129,1,255),source_lookup!$B:$K,4,FALSE)</f>
        <v>1_not published</v>
      </c>
      <c r="AP129" s="10" t="str">
        <f>VLOOKUP(MID($AS129,1,255),source_lookup!$B:$K,6,FALSE)</f>
        <v>99_NA</v>
      </c>
      <c r="AQ129" s="10" t="str">
        <f>VLOOKUP(MID($AS129,1,255),source_lookup!$B:$K,10,FALSE)</f>
        <v>1_fin/acc/econ</v>
      </c>
      <c r="AR129" t="s">
        <v>85</v>
      </c>
      <c r="AS129" t="s">
        <v>127</v>
      </c>
    </row>
    <row r="130" spans="1:45" x14ac:dyDescent="0.3">
      <c r="A130" t="s">
        <v>3</v>
      </c>
      <c r="B130">
        <v>129</v>
      </c>
      <c r="C130" s="1">
        <v>-1.5384387046809599E-2</v>
      </c>
      <c r="D130" s="2">
        <v>582</v>
      </c>
      <c r="E130" s="4">
        <v>2910</v>
      </c>
      <c r="F130" s="4" t="s">
        <v>346</v>
      </c>
      <c r="G130" s="4" t="s">
        <v>346</v>
      </c>
      <c r="H130" t="s">
        <v>77</v>
      </c>
      <c r="I130" t="s">
        <v>350</v>
      </c>
      <c r="J130" s="3">
        <v>2002</v>
      </c>
      <c r="K130" s="3">
        <v>2006</v>
      </c>
      <c r="L130" s="6">
        <f t="shared" si="31"/>
        <v>2004</v>
      </c>
      <c r="M130" s="6">
        <f t="shared" si="32"/>
        <v>2004</v>
      </c>
      <c r="N130" s="7">
        <f t="shared" ref="N130:N193" si="40">MAX(0,$K130-MAX($J130,2016)+1)/($K130-$J130+1)</f>
        <v>0</v>
      </c>
      <c r="O130" s="7">
        <f t="shared" ref="O130:O193" si="41">MAX(0,$K130-MAX($J130,2017)+1)/($K130-$J130+1)</f>
        <v>0</v>
      </c>
      <c r="P130" s="7">
        <f t="shared" ref="P130:P193" si="42">MAX(0,$K130-MAX($J130,2018)+1)/($K130-$J130+1)</f>
        <v>0</v>
      </c>
      <c r="Q130" s="7">
        <f t="shared" si="33"/>
        <v>0</v>
      </c>
      <c r="R130" s="10" t="str">
        <f t="shared" ref="R130:R193" si="43">IF(N130&gt;=0.5,"1_Post","0_Pre")</f>
        <v>0_Pre</v>
      </c>
      <c r="S130" s="10" t="str">
        <f t="shared" ref="S130:S193" si="44">IF($L130&gt;=2016,"1_Post","0_Pre")</f>
        <v>0_Pre</v>
      </c>
      <c r="T130" s="10" t="str">
        <f t="shared" ref="T130:T193" si="45">IF($M130&gt;=2016,"1_Post","0_Pre")</f>
        <v>0_Pre</v>
      </c>
      <c r="U130" s="10" t="str">
        <f t="shared" ref="U130:U193" si="46">IF($K130&gt;=2016,"1_Post","0_Pre")</f>
        <v>0_Pre</v>
      </c>
      <c r="V130" s="10" t="str">
        <f t="shared" si="34"/>
        <v>0_Pre</v>
      </c>
      <c r="W130" s="10" t="str">
        <f t="shared" ref="W130:W193" si="47">IF($K130&lt;=2015,"clean_pre",IF($J130&gt;=2016,"clean_post","straddle"))</f>
        <v>clean_pre</v>
      </c>
      <c r="X130" s="10" t="str">
        <f t="shared" ref="X130:X193" si="48">IF(O130&gt;=0.5,"1_Post","0_Pre")</f>
        <v>0_Pre</v>
      </c>
      <c r="Y130" s="10" t="str">
        <f t="shared" ref="Y130:Y193" si="49">IF(P130&gt;=0.5,"1_Post","0_Pre")</f>
        <v>0_Pre</v>
      </c>
      <c r="Z130" s="10" t="str">
        <f t="shared" ref="Z130:Z193" si="50">IF(Q130&gt;=0.5,"1_Post","0_Pre")</f>
        <v>0_Pre</v>
      </c>
      <c r="AA130" s="10" t="str">
        <f t="shared" si="35"/>
        <v>0_Pre</v>
      </c>
      <c r="AB130" s="10" t="str">
        <f t="shared" si="36"/>
        <v>0_Pre</v>
      </c>
      <c r="AC130" s="10" t="str">
        <f t="shared" si="37"/>
        <v>0_Pre</v>
      </c>
      <c r="AD130" s="10" t="str">
        <f t="shared" si="38"/>
        <v>1_pre sample median</v>
      </c>
      <c r="AE130" s="10" t="str">
        <f t="shared" si="39"/>
        <v>1_pre sample first tertile</v>
      </c>
      <c r="AF130" t="s">
        <v>67</v>
      </c>
      <c r="AG130" t="s">
        <v>75</v>
      </c>
      <c r="AH130" t="s">
        <v>78</v>
      </c>
      <c r="AI130" t="s">
        <v>123</v>
      </c>
      <c r="AJ130" t="s">
        <v>123</v>
      </c>
      <c r="AK130" t="str">
        <f>VLOOKUP(MID($AR130,1,255),country_lookup!$B:$F,2,FALSE)</f>
        <v>1_US</v>
      </c>
      <c r="AL130" t="str">
        <f>VLOOKUP(MID($AR130,1,255),country_lookup!$B:$F,3,FALSE)</f>
        <v>1_developed</v>
      </c>
      <c r="AM130" t="str">
        <f>VLOOKUP(MID($AR130,1,255),country_lookup!$B:$F,4,FALSE)</f>
        <v>1_western</v>
      </c>
      <c r="AN130" t="str">
        <f>VLOOKUP(MID($AR130,1,255),country_lookup!$B:$F,5,FALSE)</f>
        <v>1_common law</v>
      </c>
      <c r="AO130" s="10" t="str">
        <f>VLOOKUP(MID($AS130,1,255),source_lookup!$B:$K,4,FALSE)</f>
        <v>1_not published</v>
      </c>
      <c r="AP130" s="10" t="str">
        <f>VLOOKUP(MID($AS130,1,255),source_lookup!$B:$K,6,FALSE)</f>
        <v>99_NA</v>
      </c>
      <c r="AQ130" s="10" t="str">
        <f>VLOOKUP(MID($AS130,1,255),source_lookup!$B:$K,10,FALSE)</f>
        <v>1_fin/acc/econ</v>
      </c>
      <c r="AR130" t="s">
        <v>85</v>
      </c>
      <c r="AS130" t="s">
        <v>127</v>
      </c>
    </row>
    <row r="131" spans="1:45" x14ac:dyDescent="0.3">
      <c r="A131" t="s">
        <v>3</v>
      </c>
      <c r="B131">
        <v>130</v>
      </c>
      <c r="C131" s="1">
        <v>-2.0201860333998661E-2</v>
      </c>
      <c r="D131" s="2">
        <v>582</v>
      </c>
      <c r="E131" s="4">
        <v>2910</v>
      </c>
      <c r="F131" s="4" t="s">
        <v>346</v>
      </c>
      <c r="G131" s="4" t="s">
        <v>346</v>
      </c>
      <c r="H131" t="s">
        <v>77</v>
      </c>
      <c r="I131" t="s">
        <v>350</v>
      </c>
      <c r="J131" s="3">
        <v>2002</v>
      </c>
      <c r="K131" s="3">
        <v>2006</v>
      </c>
      <c r="L131" s="6">
        <f t="shared" ref="L131:L194" si="51">ROUND(AVERAGE(J131:K131),100)</f>
        <v>2004</v>
      </c>
      <c r="M131" s="6">
        <f t="shared" ref="M131:M194" si="52">ROUND(MEDIAN(J131:K131),100)</f>
        <v>2004</v>
      </c>
      <c r="N131" s="7">
        <f t="shared" si="40"/>
        <v>0</v>
      </c>
      <c r="O131" s="7">
        <f t="shared" si="41"/>
        <v>0</v>
      </c>
      <c r="P131" s="7">
        <f t="shared" si="42"/>
        <v>0</v>
      </c>
      <c r="Q131" s="7">
        <f t="shared" ref="Q131:Q194" si="53">MAX(0,$K131-MAX($J131,2019)+1)/($K131-$J131+1)</f>
        <v>0</v>
      </c>
      <c r="R131" s="10" t="str">
        <f t="shared" si="43"/>
        <v>0_Pre</v>
      </c>
      <c r="S131" s="10" t="str">
        <f t="shared" si="44"/>
        <v>0_Pre</v>
      </c>
      <c r="T131" s="10" t="str">
        <f t="shared" si="45"/>
        <v>0_Pre</v>
      </c>
      <c r="U131" s="10" t="str">
        <f t="shared" si="46"/>
        <v>0_Pre</v>
      </c>
      <c r="V131" s="10" t="str">
        <f t="shared" ref="V131:V194" si="54">IF($J131&lt;=2017,"0_Pre","1_Post")</f>
        <v>0_Pre</v>
      </c>
      <c r="W131" s="10" t="str">
        <f t="shared" si="47"/>
        <v>clean_pre</v>
      </c>
      <c r="X131" s="10" t="str">
        <f t="shared" si="48"/>
        <v>0_Pre</v>
      </c>
      <c r="Y131" s="10" t="str">
        <f t="shared" si="49"/>
        <v>0_Pre</v>
      </c>
      <c r="Z131" s="10" t="str">
        <f t="shared" si="50"/>
        <v>0_Pre</v>
      </c>
      <c r="AA131" s="10" t="str">
        <f t="shared" ref="AA131:AA194" si="55">IF($K131&gt;=2017,"1_Post","0_Pre")</f>
        <v>0_Pre</v>
      </c>
      <c r="AB131" s="10" t="str">
        <f t="shared" ref="AB131:AB194" si="56">IF($K131&gt;=2018,"1_Post","0_Pre")</f>
        <v>0_Pre</v>
      </c>
      <c r="AC131" s="10" t="str">
        <f t="shared" ref="AC131:AC194" si="57">IF($K131&gt;=2019,"1_Post","0_Pre")</f>
        <v>0_Pre</v>
      </c>
      <c r="AD131" s="10" t="str">
        <f t="shared" ref="AD131:AD194" si="58">IF(L131&lt;MEDIAN($L$2:$L$1307),"1_pre sample median","2_post sample median")</f>
        <v>1_pre sample median</v>
      </c>
      <c r="AE131" s="10" t="str">
        <f t="shared" ref="AE131:AE194" si="59">IF(L131&lt;=PERCENTILE($L$2:$L$1307,0.33),"1_pre sample first tertile",IF(L131&gt;=PERCENTILE($L$2:$L$1307,0.67),"3_post sample third tertile","2_in sample second tertile"))</f>
        <v>1_pre sample first tertile</v>
      </c>
      <c r="AF131" t="s">
        <v>67</v>
      </c>
      <c r="AG131" t="s">
        <v>75</v>
      </c>
      <c r="AH131" t="s">
        <v>78</v>
      </c>
      <c r="AI131" t="s">
        <v>123</v>
      </c>
      <c r="AJ131" t="s">
        <v>123</v>
      </c>
      <c r="AK131" t="str">
        <f>VLOOKUP(MID($AR131,1,255),country_lookup!$B:$F,2,FALSE)</f>
        <v>1_US</v>
      </c>
      <c r="AL131" t="str">
        <f>VLOOKUP(MID($AR131,1,255),country_lookup!$B:$F,3,FALSE)</f>
        <v>1_developed</v>
      </c>
      <c r="AM131" t="str">
        <f>VLOOKUP(MID($AR131,1,255),country_lookup!$B:$F,4,FALSE)</f>
        <v>1_western</v>
      </c>
      <c r="AN131" t="str">
        <f>VLOOKUP(MID($AR131,1,255),country_lookup!$B:$F,5,FALSE)</f>
        <v>1_common law</v>
      </c>
      <c r="AO131" s="10" t="str">
        <f>VLOOKUP(MID($AS131,1,255),source_lookup!$B:$K,4,FALSE)</f>
        <v>1_not published</v>
      </c>
      <c r="AP131" s="10" t="str">
        <f>VLOOKUP(MID($AS131,1,255),source_lookup!$B:$K,6,FALSE)</f>
        <v>99_NA</v>
      </c>
      <c r="AQ131" s="10" t="str">
        <f>VLOOKUP(MID($AS131,1,255),source_lookup!$B:$K,10,FALSE)</f>
        <v>1_fin/acc/econ</v>
      </c>
      <c r="AR131" t="s">
        <v>85</v>
      </c>
      <c r="AS131" t="s">
        <v>127</v>
      </c>
    </row>
    <row r="132" spans="1:45" x14ac:dyDescent="0.3">
      <c r="A132" t="s">
        <v>3</v>
      </c>
      <c r="B132">
        <v>131</v>
      </c>
      <c r="C132" s="1">
        <v>-3.8344611542576741E-2</v>
      </c>
      <c r="D132" s="2">
        <v>582</v>
      </c>
      <c r="E132" s="4">
        <v>2910</v>
      </c>
      <c r="F132" s="4" t="s">
        <v>346</v>
      </c>
      <c r="G132" s="4" t="s">
        <v>346</v>
      </c>
      <c r="H132" t="s">
        <v>77</v>
      </c>
      <c r="I132" t="s">
        <v>350</v>
      </c>
      <c r="J132" s="3">
        <v>2002</v>
      </c>
      <c r="K132" s="3">
        <v>2006</v>
      </c>
      <c r="L132" s="6">
        <f t="shared" si="51"/>
        <v>2004</v>
      </c>
      <c r="M132" s="6">
        <f t="shared" si="52"/>
        <v>2004</v>
      </c>
      <c r="N132" s="7">
        <f t="shared" si="40"/>
        <v>0</v>
      </c>
      <c r="O132" s="7">
        <f t="shared" si="41"/>
        <v>0</v>
      </c>
      <c r="P132" s="7">
        <f t="shared" si="42"/>
        <v>0</v>
      </c>
      <c r="Q132" s="7">
        <f t="shared" si="53"/>
        <v>0</v>
      </c>
      <c r="R132" s="10" t="str">
        <f t="shared" si="43"/>
        <v>0_Pre</v>
      </c>
      <c r="S132" s="10" t="str">
        <f t="shared" si="44"/>
        <v>0_Pre</v>
      </c>
      <c r="T132" s="10" t="str">
        <f t="shared" si="45"/>
        <v>0_Pre</v>
      </c>
      <c r="U132" s="10" t="str">
        <f t="shared" si="46"/>
        <v>0_Pre</v>
      </c>
      <c r="V132" s="10" t="str">
        <f t="shared" si="54"/>
        <v>0_Pre</v>
      </c>
      <c r="W132" s="10" t="str">
        <f t="shared" si="47"/>
        <v>clean_pre</v>
      </c>
      <c r="X132" s="10" t="str">
        <f t="shared" si="48"/>
        <v>0_Pre</v>
      </c>
      <c r="Y132" s="10" t="str">
        <f t="shared" si="49"/>
        <v>0_Pre</v>
      </c>
      <c r="Z132" s="10" t="str">
        <f t="shared" si="50"/>
        <v>0_Pre</v>
      </c>
      <c r="AA132" s="10" t="str">
        <f t="shared" si="55"/>
        <v>0_Pre</v>
      </c>
      <c r="AB132" s="10" t="str">
        <f t="shared" si="56"/>
        <v>0_Pre</v>
      </c>
      <c r="AC132" s="10" t="str">
        <f t="shared" si="57"/>
        <v>0_Pre</v>
      </c>
      <c r="AD132" s="10" t="str">
        <f t="shared" si="58"/>
        <v>1_pre sample median</v>
      </c>
      <c r="AE132" s="10" t="str">
        <f t="shared" si="59"/>
        <v>1_pre sample first tertile</v>
      </c>
      <c r="AF132" t="s">
        <v>67</v>
      </c>
      <c r="AG132" t="s">
        <v>75</v>
      </c>
      <c r="AH132" t="s">
        <v>78</v>
      </c>
      <c r="AI132" t="s">
        <v>123</v>
      </c>
      <c r="AJ132" t="s">
        <v>123</v>
      </c>
      <c r="AK132" t="str">
        <f>VLOOKUP(MID($AR132,1,255),country_lookup!$B:$F,2,FALSE)</f>
        <v>1_US</v>
      </c>
      <c r="AL132" t="str">
        <f>VLOOKUP(MID($AR132,1,255),country_lookup!$B:$F,3,FALSE)</f>
        <v>1_developed</v>
      </c>
      <c r="AM132" t="str">
        <f>VLOOKUP(MID($AR132,1,255),country_lookup!$B:$F,4,FALSE)</f>
        <v>1_western</v>
      </c>
      <c r="AN132" t="str">
        <f>VLOOKUP(MID($AR132,1,255),country_lookup!$B:$F,5,FALSE)</f>
        <v>1_common law</v>
      </c>
      <c r="AO132" s="10" t="str">
        <f>VLOOKUP(MID($AS132,1,255),source_lookup!$B:$K,4,FALSE)</f>
        <v>1_not published</v>
      </c>
      <c r="AP132" s="10" t="str">
        <f>VLOOKUP(MID($AS132,1,255),source_lookup!$B:$K,6,FALSE)</f>
        <v>99_NA</v>
      </c>
      <c r="AQ132" s="10" t="str">
        <f>VLOOKUP(MID($AS132,1,255),source_lookup!$B:$K,10,FALSE)</f>
        <v>1_fin/acc/econ</v>
      </c>
      <c r="AR132" t="s">
        <v>85</v>
      </c>
      <c r="AS132" t="s">
        <v>127</v>
      </c>
    </row>
    <row r="133" spans="1:45" x14ac:dyDescent="0.3">
      <c r="A133" t="s">
        <v>3</v>
      </c>
      <c r="B133">
        <v>132</v>
      </c>
      <c r="C133" s="1">
        <v>-1.2419234096638941E-2</v>
      </c>
      <c r="D133" s="2">
        <v>582</v>
      </c>
      <c r="E133" s="4">
        <v>2910</v>
      </c>
      <c r="F133" s="4" t="s">
        <v>346</v>
      </c>
      <c r="G133" s="4" t="s">
        <v>346</v>
      </c>
      <c r="H133" t="s">
        <v>77</v>
      </c>
      <c r="I133" t="s">
        <v>350</v>
      </c>
      <c r="J133" s="3">
        <v>2002</v>
      </c>
      <c r="K133" s="3">
        <v>2006</v>
      </c>
      <c r="L133" s="6">
        <f t="shared" si="51"/>
        <v>2004</v>
      </c>
      <c r="M133" s="6">
        <f t="shared" si="52"/>
        <v>2004</v>
      </c>
      <c r="N133" s="7">
        <f t="shared" si="40"/>
        <v>0</v>
      </c>
      <c r="O133" s="7">
        <f t="shared" si="41"/>
        <v>0</v>
      </c>
      <c r="P133" s="7">
        <f t="shared" si="42"/>
        <v>0</v>
      </c>
      <c r="Q133" s="7">
        <f t="shared" si="53"/>
        <v>0</v>
      </c>
      <c r="R133" s="10" t="str">
        <f t="shared" si="43"/>
        <v>0_Pre</v>
      </c>
      <c r="S133" s="10" t="str">
        <f t="shared" si="44"/>
        <v>0_Pre</v>
      </c>
      <c r="T133" s="10" t="str">
        <f t="shared" si="45"/>
        <v>0_Pre</v>
      </c>
      <c r="U133" s="10" t="str">
        <f t="shared" si="46"/>
        <v>0_Pre</v>
      </c>
      <c r="V133" s="10" t="str">
        <f t="shared" si="54"/>
        <v>0_Pre</v>
      </c>
      <c r="W133" s="10" t="str">
        <f t="shared" si="47"/>
        <v>clean_pre</v>
      </c>
      <c r="X133" s="10" t="str">
        <f t="shared" si="48"/>
        <v>0_Pre</v>
      </c>
      <c r="Y133" s="10" t="str">
        <f t="shared" si="49"/>
        <v>0_Pre</v>
      </c>
      <c r="Z133" s="10" t="str">
        <f t="shared" si="50"/>
        <v>0_Pre</v>
      </c>
      <c r="AA133" s="10" t="str">
        <f t="shared" si="55"/>
        <v>0_Pre</v>
      </c>
      <c r="AB133" s="10" t="str">
        <f t="shared" si="56"/>
        <v>0_Pre</v>
      </c>
      <c r="AC133" s="10" t="str">
        <f t="shared" si="57"/>
        <v>0_Pre</v>
      </c>
      <c r="AD133" s="10" t="str">
        <f t="shared" si="58"/>
        <v>1_pre sample median</v>
      </c>
      <c r="AE133" s="10" t="str">
        <f t="shared" si="59"/>
        <v>1_pre sample first tertile</v>
      </c>
      <c r="AF133" t="s">
        <v>67</v>
      </c>
      <c r="AG133" t="s">
        <v>75</v>
      </c>
      <c r="AH133" t="s">
        <v>78</v>
      </c>
      <c r="AI133" t="s">
        <v>123</v>
      </c>
      <c r="AJ133" t="s">
        <v>123</v>
      </c>
      <c r="AK133" t="str">
        <f>VLOOKUP(MID($AR133,1,255),country_lookup!$B:$F,2,FALSE)</f>
        <v>1_US</v>
      </c>
      <c r="AL133" t="str">
        <f>VLOOKUP(MID($AR133,1,255),country_lookup!$B:$F,3,FALSE)</f>
        <v>1_developed</v>
      </c>
      <c r="AM133" t="str">
        <f>VLOOKUP(MID($AR133,1,255),country_lookup!$B:$F,4,FALSE)</f>
        <v>1_western</v>
      </c>
      <c r="AN133" t="str">
        <f>VLOOKUP(MID($AR133,1,255),country_lookup!$B:$F,5,FALSE)</f>
        <v>1_common law</v>
      </c>
      <c r="AO133" s="10" t="str">
        <f>VLOOKUP(MID($AS133,1,255),source_lookup!$B:$K,4,FALSE)</f>
        <v>1_not published</v>
      </c>
      <c r="AP133" s="10" t="str">
        <f>VLOOKUP(MID($AS133,1,255),source_lookup!$B:$K,6,FALSE)</f>
        <v>99_NA</v>
      </c>
      <c r="AQ133" s="10" t="str">
        <f>VLOOKUP(MID($AS133,1,255),source_lookup!$B:$K,10,FALSE)</f>
        <v>1_fin/acc/econ</v>
      </c>
      <c r="AR133" t="s">
        <v>85</v>
      </c>
      <c r="AS133" t="s">
        <v>127</v>
      </c>
    </row>
    <row r="134" spans="1:45" x14ac:dyDescent="0.3">
      <c r="A134" t="s">
        <v>3</v>
      </c>
      <c r="B134">
        <v>133</v>
      </c>
      <c r="C134" s="1">
        <v>-3.6864748552274118E-2</v>
      </c>
      <c r="D134" s="2">
        <v>582</v>
      </c>
      <c r="E134" s="4">
        <v>2910</v>
      </c>
      <c r="F134" s="4" t="s">
        <v>346</v>
      </c>
      <c r="G134" s="4" t="s">
        <v>346</v>
      </c>
      <c r="H134" t="s">
        <v>77</v>
      </c>
      <c r="I134" t="s">
        <v>350</v>
      </c>
      <c r="J134" s="3">
        <v>2002</v>
      </c>
      <c r="K134" s="3">
        <v>2006</v>
      </c>
      <c r="L134" s="6">
        <f t="shared" si="51"/>
        <v>2004</v>
      </c>
      <c r="M134" s="6">
        <f t="shared" si="52"/>
        <v>2004</v>
      </c>
      <c r="N134" s="7">
        <f t="shared" si="40"/>
        <v>0</v>
      </c>
      <c r="O134" s="7">
        <f t="shared" si="41"/>
        <v>0</v>
      </c>
      <c r="P134" s="7">
        <f t="shared" si="42"/>
        <v>0</v>
      </c>
      <c r="Q134" s="7">
        <f t="shared" si="53"/>
        <v>0</v>
      </c>
      <c r="R134" s="10" t="str">
        <f t="shared" si="43"/>
        <v>0_Pre</v>
      </c>
      <c r="S134" s="10" t="str">
        <f t="shared" si="44"/>
        <v>0_Pre</v>
      </c>
      <c r="T134" s="10" t="str">
        <f t="shared" si="45"/>
        <v>0_Pre</v>
      </c>
      <c r="U134" s="10" t="str">
        <f t="shared" si="46"/>
        <v>0_Pre</v>
      </c>
      <c r="V134" s="10" t="str">
        <f t="shared" si="54"/>
        <v>0_Pre</v>
      </c>
      <c r="W134" s="10" t="str">
        <f t="shared" si="47"/>
        <v>clean_pre</v>
      </c>
      <c r="X134" s="10" t="str">
        <f t="shared" si="48"/>
        <v>0_Pre</v>
      </c>
      <c r="Y134" s="10" t="str">
        <f t="shared" si="49"/>
        <v>0_Pre</v>
      </c>
      <c r="Z134" s="10" t="str">
        <f t="shared" si="50"/>
        <v>0_Pre</v>
      </c>
      <c r="AA134" s="10" t="str">
        <f t="shared" si="55"/>
        <v>0_Pre</v>
      </c>
      <c r="AB134" s="10" t="str">
        <f t="shared" si="56"/>
        <v>0_Pre</v>
      </c>
      <c r="AC134" s="10" t="str">
        <f t="shared" si="57"/>
        <v>0_Pre</v>
      </c>
      <c r="AD134" s="10" t="str">
        <f t="shared" si="58"/>
        <v>1_pre sample median</v>
      </c>
      <c r="AE134" s="10" t="str">
        <f t="shared" si="59"/>
        <v>1_pre sample first tertile</v>
      </c>
      <c r="AF134" t="s">
        <v>67</v>
      </c>
      <c r="AG134" t="s">
        <v>75</v>
      </c>
      <c r="AH134" t="s">
        <v>78</v>
      </c>
      <c r="AI134" t="s">
        <v>123</v>
      </c>
      <c r="AJ134" t="s">
        <v>123</v>
      </c>
      <c r="AK134" t="str">
        <f>VLOOKUP(MID($AR134,1,255),country_lookup!$B:$F,2,FALSE)</f>
        <v>1_US</v>
      </c>
      <c r="AL134" t="str">
        <f>VLOOKUP(MID($AR134,1,255),country_lookup!$B:$F,3,FALSE)</f>
        <v>1_developed</v>
      </c>
      <c r="AM134" t="str">
        <f>VLOOKUP(MID($AR134,1,255),country_lookup!$B:$F,4,FALSE)</f>
        <v>1_western</v>
      </c>
      <c r="AN134" t="str">
        <f>VLOOKUP(MID($AR134,1,255),country_lookup!$B:$F,5,FALSE)</f>
        <v>1_common law</v>
      </c>
      <c r="AO134" s="10" t="str">
        <f>VLOOKUP(MID($AS134,1,255),source_lookup!$B:$K,4,FALSE)</f>
        <v>1_not published</v>
      </c>
      <c r="AP134" s="10" t="str">
        <f>VLOOKUP(MID($AS134,1,255),source_lookup!$B:$K,6,FALSE)</f>
        <v>99_NA</v>
      </c>
      <c r="AQ134" s="10" t="str">
        <f>VLOOKUP(MID($AS134,1,255),source_lookup!$B:$K,10,FALSE)</f>
        <v>1_fin/acc/econ</v>
      </c>
      <c r="AR134" t="s">
        <v>85</v>
      </c>
      <c r="AS134" t="s">
        <v>127</v>
      </c>
    </row>
    <row r="135" spans="1:45" x14ac:dyDescent="0.3">
      <c r="A135" t="s">
        <v>3</v>
      </c>
      <c r="B135">
        <v>134</v>
      </c>
      <c r="C135" s="1">
        <v>-5.3758263027079613E-3</v>
      </c>
      <c r="D135" s="2">
        <v>582</v>
      </c>
      <c r="E135" s="4">
        <v>2910</v>
      </c>
      <c r="F135" s="4" t="s">
        <v>346</v>
      </c>
      <c r="G135" s="4" t="s">
        <v>346</v>
      </c>
      <c r="H135" t="s">
        <v>77</v>
      </c>
      <c r="I135" t="s">
        <v>350</v>
      </c>
      <c r="J135" s="3">
        <v>2002</v>
      </c>
      <c r="K135" s="3">
        <v>2006</v>
      </c>
      <c r="L135" s="6">
        <f t="shared" si="51"/>
        <v>2004</v>
      </c>
      <c r="M135" s="6">
        <f t="shared" si="52"/>
        <v>2004</v>
      </c>
      <c r="N135" s="7">
        <f t="shared" si="40"/>
        <v>0</v>
      </c>
      <c r="O135" s="7">
        <f t="shared" si="41"/>
        <v>0</v>
      </c>
      <c r="P135" s="7">
        <f t="shared" si="42"/>
        <v>0</v>
      </c>
      <c r="Q135" s="7">
        <f t="shared" si="53"/>
        <v>0</v>
      </c>
      <c r="R135" s="10" t="str">
        <f t="shared" si="43"/>
        <v>0_Pre</v>
      </c>
      <c r="S135" s="10" t="str">
        <f t="shared" si="44"/>
        <v>0_Pre</v>
      </c>
      <c r="T135" s="10" t="str">
        <f t="shared" si="45"/>
        <v>0_Pre</v>
      </c>
      <c r="U135" s="10" t="str">
        <f t="shared" si="46"/>
        <v>0_Pre</v>
      </c>
      <c r="V135" s="10" t="str">
        <f t="shared" si="54"/>
        <v>0_Pre</v>
      </c>
      <c r="W135" s="10" t="str">
        <f t="shared" si="47"/>
        <v>clean_pre</v>
      </c>
      <c r="X135" s="10" t="str">
        <f t="shared" si="48"/>
        <v>0_Pre</v>
      </c>
      <c r="Y135" s="10" t="str">
        <f t="shared" si="49"/>
        <v>0_Pre</v>
      </c>
      <c r="Z135" s="10" t="str">
        <f t="shared" si="50"/>
        <v>0_Pre</v>
      </c>
      <c r="AA135" s="10" t="str">
        <f t="shared" si="55"/>
        <v>0_Pre</v>
      </c>
      <c r="AB135" s="10" t="str">
        <f t="shared" si="56"/>
        <v>0_Pre</v>
      </c>
      <c r="AC135" s="10" t="str">
        <f t="shared" si="57"/>
        <v>0_Pre</v>
      </c>
      <c r="AD135" s="10" t="str">
        <f t="shared" si="58"/>
        <v>1_pre sample median</v>
      </c>
      <c r="AE135" s="10" t="str">
        <f t="shared" si="59"/>
        <v>1_pre sample first tertile</v>
      </c>
      <c r="AF135" t="s">
        <v>67</v>
      </c>
      <c r="AG135" t="s">
        <v>75</v>
      </c>
      <c r="AH135" t="s">
        <v>78</v>
      </c>
      <c r="AI135" t="s">
        <v>123</v>
      </c>
      <c r="AJ135" t="s">
        <v>123</v>
      </c>
      <c r="AK135" t="str">
        <f>VLOOKUP(MID($AR135,1,255),country_lookup!$B:$F,2,FALSE)</f>
        <v>1_US</v>
      </c>
      <c r="AL135" t="str">
        <f>VLOOKUP(MID($AR135,1,255),country_lookup!$B:$F,3,FALSE)</f>
        <v>1_developed</v>
      </c>
      <c r="AM135" t="str">
        <f>VLOOKUP(MID($AR135,1,255),country_lookup!$B:$F,4,FALSE)</f>
        <v>1_western</v>
      </c>
      <c r="AN135" t="str">
        <f>VLOOKUP(MID($AR135,1,255),country_lookup!$B:$F,5,FALSE)</f>
        <v>1_common law</v>
      </c>
      <c r="AO135" s="10" t="str">
        <f>VLOOKUP(MID($AS135,1,255),source_lookup!$B:$K,4,FALSE)</f>
        <v>1_not published</v>
      </c>
      <c r="AP135" s="10" t="str">
        <f>VLOOKUP(MID($AS135,1,255),source_lookup!$B:$K,6,FALSE)</f>
        <v>99_NA</v>
      </c>
      <c r="AQ135" s="10" t="str">
        <f>VLOOKUP(MID($AS135,1,255),source_lookup!$B:$K,10,FALSE)</f>
        <v>1_fin/acc/econ</v>
      </c>
      <c r="AR135" t="s">
        <v>85</v>
      </c>
      <c r="AS135" t="s">
        <v>127</v>
      </c>
    </row>
    <row r="136" spans="1:45" x14ac:dyDescent="0.3">
      <c r="A136" t="s">
        <v>3</v>
      </c>
      <c r="B136">
        <v>135</v>
      </c>
      <c r="C136" s="1">
        <v>-5.1581169437753371E-2</v>
      </c>
      <c r="D136" s="2">
        <v>1094</v>
      </c>
      <c r="E136" s="4">
        <v>5470</v>
      </c>
      <c r="F136" s="4" t="s">
        <v>346</v>
      </c>
      <c r="G136" s="4" t="s">
        <v>346</v>
      </c>
      <c r="H136" t="s">
        <v>77</v>
      </c>
      <c r="I136" t="s">
        <v>350</v>
      </c>
      <c r="J136" s="3">
        <v>2002</v>
      </c>
      <c r="K136" s="3">
        <v>2006</v>
      </c>
      <c r="L136" s="6">
        <f t="shared" si="51"/>
        <v>2004</v>
      </c>
      <c r="M136" s="6">
        <f t="shared" si="52"/>
        <v>2004</v>
      </c>
      <c r="N136" s="7">
        <f t="shared" si="40"/>
        <v>0</v>
      </c>
      <c r="O136" s="7">
        <f t="shared" si="41"/>
        <v>0</v>
      </c>
      <c r="P136" s="7">
        <f t="shared" si="42"/>
        <v>0</v>
      </c>
      <c r="Q136" s="7">
        <f t="shared" si="53"/>
        <v>0</v>
      </c>
      <c r="R136" s="10" t="str">
        <f t="shared" si="43"/>
        <v>0_Pre</v>
      </c>
      <c r="S136" s="10" t="str">
        <f t="shared" si="44"/>
        <v>0_Pre</v>
      </c>
      <c r="T136" s="10" t="str">
        <f t="shared" si="45"/>
        <v>0_Pre</v>
      </c>
      <c r="U136" s="10" t="str">
        <f t="shared" si="46"/>
        <v>0_Pre</v>
      </c>
      <c r="V136" s="10" t="str">
        <f t="shared" si="54"/>
        <v>0_Pre</v>
      </c>
      <c r="W136" s="10" t="str">
        <f t="shared" si="47"/>
        <v>clean_pre</v>
      </c>
      <c r="X136" s="10" t="str">
        <f t="shared" si="48"/>
        <v>0_Pre</v>
      </c>
      <c r="Y136" s="10" t="str">
        <f t="shared" si="49"/>
        <v>0_Pre</v>
      </c>
      <c r="Z136" s="10" t="str">
        <f t="shared" si="50"/>
        <v>0_Pre</v>
      </c>
      <c r="AA136" s="10" t="str">
        <f t="shared" si="55"/>
        <v>0_Pre</v>
      </c>
      <c r="AB136" s="10" t="str">
        <f t="shared" si="56"/>
        <v>0_Pre</v>
      </c>
      <c r="AC136" s="10" t="str">
        <f t="shared" si="57"/>
        <v>0_Pre</v>
      </c>
      <c r="AD136" s="10" t="str">
        <f t="shared" si="58"/>
        <v>1_pre sample median</v>
      </c>
      <c r="AE136" s="10" t="str">
        <f t="shared" si="59"/>
        <v>1_pre sample first tertile</v>
      </c>
      <c r="AF136" t="s">
        <v>67</v>
      </c>
      <c r="AG136" t="s">
        <v>75</v>
      </c>
      <c r="AH136" t="s">
        <v>78</v>
      </c>
      <c r="AI136" t="s">
        <v>123</v>
      </c>
      <c r="AJ136" t="s">
        <v>123</v>
      </c>
      <c r="AK136" t="str">
        <f>VLOOKUP(MID($AR136,1,255),country_lookup!$B:$F,2,FALSE)</f>
        <v>1_US</v>
      </c>
      <c r="AL136" t="str">
        <f>VLOOKUP(MID($AR136,1,255),country_lookup!$B:$F,3,FALSE)</f>
        <v>1_developed</v>
      </c>
      <c r="AM136" t="str">
        <f>VLOOKUP(MID($AR136,1,255),country_lookup!$B:$F,4,FALSE)</f>
        <v>1_western</v>
      </c>
      <c r="AN136" t="str">
        <f>VLOOKUP(MID($AR136,1,255),country_lookup!$B:$F,5,FALSE)</f>
        <v>1_common law</v>
      </c>
      <c r="AO136" s="10" t="str">
        <f>VLOOKUP(MID($AS136,1,255),source_lookup!$B:$K,4,FALSE)</f>
        <v>1_not published</v>
      </c>
      <c r="AP136" s="10" t="str">
        <f>VLOOKUP(MID($AS136,1,255),source_lookup!$B:$K,6,FALSE)</f>
        <v>99_NA</v>
      </c>
      <c r="AQ136" s="10" t="str">
        <f>VLOOKUP(MID($AS136,1,255),source_lookup!$B:$K,10,FALSE)</f>
        <v>1_fin/acc/econ</v>
      </c>
      <c r="AR136" t="s">
        <v>85</v>
      </c>
      <c r="AS136" t="s">
        <v>127</v>
      </c>
    </row>
    <row r="137" spans="1:45" x14ac:dyDescent="0.3">
      <c r="A137" t="s">
        <v>3</v>
      </c>
      <c r="B137">
        <v>136</v>
      </c>
      <c r="C137" s="1">
        <v>-1.5141697590837937E-2</v>
      </c>
      <c r="D137" s="2">
        <v>1094</v>
      </c>
      <c r="E137" s="4">
        <v>5470</v>
      </c>
      <c r="F137" s="4" t="s">
        <v>346</v>
      </c>
      <c r="G137" s="4" t="s">
        <v>346</v>
      </c>
      <c r="H137" t="s">
        <v>77</v>
      </c>
      <c r="I137" t="s">
        <v>350</v>
      </c>
      <c r="J137" s="3">
        <v>2002</v>
      </c>
      <c r="K137" s="3">
        <v>2006</v>
      </c>
      <c r="L137" s="6">
        <f t="shared" si="51"/>
        <v>2004</v>
      </c>
      <c r="M137" s="6">
        <f t="shared" si="52"/>
        <v>2004</v>
      </c>
      <c r="N137" s="7">
        <f t="shared" si="40"/>
        <v>0</v>
      </c>
      <c r="O137" s="7">
        <f t="shared" si="41"/>
        <v>0</v>
      </c>
      <c r="P137" s="7">
        <f t="shared" si="42"/>
        <v>0</v>
      </c>
      <c r="Q137" s="7">
        <f t="shared" si="53"/>
        <v>0</v>
      </c>
      <c r="R137" s="10" t="str">
        <f t="shared" si="43"/>
        <v>0_Pre</v>
      </c>
      <c r="S137" s="10" t="str">
        <f t="shared" si="44"/>
        <v>0_Pre</v>
      </c>
      <c r="T137" s="10" t="str">
        <f t="shared" si="45"/>
        <v>0_Pre</v>
      </c>
      <c r="U137" s="10" t="str">
        <f t="shared" si="46"/>
        <v>0_Pre</v>
      </c>
      <c r="V137" s="10" t="str">
        <f t="shared" si="54"/>
        <v>0_Pre</v>
      </c>
      <c r="W137" s="10" t="str">
        <f t="shared" si="47"/>
        <v>clean_pre</v>
      </c>
      <c r="X137" s="10" t="str">
        <f t="shared" si="48"/>
        <v>0_Pre</v>
      </c>
      <c r="Y137" s="10" t="str">
        <f t="shared" si="49"/>
        <v>0_Pre</v>
      </c>
      <c r="Z137" s="10" t="str">
        <f t="shared" si="50"/>
        <v>0_Pre</v>
      </c>
      <c r="AA137" s="10" t="str">
        <f t="shared" si="55"/>
        <v>0_Pre</v>
      </c>
      <c r="AB137" s="10" t="str">
        <f t="shared" si="56"/>
        <v>0_Pre</v>
      </c>
      <c r="AC137" s="10" t="str">
        <f t="shared" si="57"/>
        <v>0_Pre</v>
      </c>
      <c r="AD137" s="10" t="str">
        <f t="shared" si="58"/>
        <v>1_pre sample median</v>
      </c>
      <c r="AE137" s="10" t="str">
        <f t="shared" si="59"/>
        <v>1_pre sample first tertile</v>
      </c>
      <c r="AF137" t="s">
        <v>67</v>
      </c>
      <c r="AG137" t="s">
        <v>75</v>
      </c>
      <c r="AH137" t="s">
        <v>78</v>
      </c>
      <c r="AI137" t="s">
        <v>123</v>
      </c>
      <c r="AJ137" t="s">
        <v>123</v>
      </c>
      <c r="AK137" t="str">
        <f>VLOOKUP(MID($AR137,1,255),country_lookup!$B:$F,2,FALSE)</f>
        <v>1_US</v>
      </c>
      <c r="AL137" t="str">
        <f>VLOOKUP(MID($AR137,1,255),country_lookup!$B:$F,3,FALSE)</f>
        <v>1_developed</v>
      </c>
      <c r="AM137" t="str">
        <f>VLOOKUP(MID($AR137,1,255),country_lookup!$B:$F,4,FALSE)</f>
        <v>1_western</v>
      </c>
      <c r="AN137" t="str">
        <f>VLOOKUP(MID($AR137,1,255),country_lookup!$B:$F,5,FALSE)</f>
        <v>1_common law</v>
      </c>
      <c r="AO137" s="10" t="str">
        <f>VLOOKUP(MID($AS137,1,255),source_lookup!$B:$K,4,FALSE)</f>
        <v>1_not published</v>
      </c>
      <c r="AP137" s="10" t="str">
        <f>VLOOKUP(MID($AS137,1,255),source_lookup!$B:$K,6,FALSE)</f>
        <v>99_NA</v>
      </c>
      <c r="AQ137" s="10" t="str">
        <f>VLOOKUP(MID($AS137,1,255),source_lookup!$B:$K,10,FALSE)</f>
        <v>1_fin/acc/econ</v>
      </c>
      <c r="AR137" t="s">
        <v>85</v>
      </c>
      <c r="AS137" t="s">
        <v>127</v>
      </c>
    </row>
    <row r="138" spans="1:45" x14ac:dyDescent="0.3">
      <c r="A138" t="s">
        <v>3</v>
      </c>
      <c r="B138">
        <v>137</v>
      </c>
      <c r="C138" s="1">
        <v>1.5276859907061796E-2</v>
      </c>
      <c r="D138" s="2">
        <v>1094</v>
      </c>
      <c r="E138" s="4">
        <v>5470</v>
      </c>
      <c r="F138" s="4" t="s">
        <v>346</v>
      </c>
      <c r="G138" s="4" t="s">
        <v>346</v>
      </c>
      <c r="H138" t="s">
        <v>77</v>
      </c>
      <c r="I138" t="s">
        <v>350</v>
      </c>
      <c r="J138" s="3">
        <v>2002</v>
      </c>
      <c r="K138" s="3">
        <v>2006</v>
      </c>
      <c r="L138" s="6">
        <f t="shared" si="51"/>
        <v>2004</v>
      </c>
      <c r="M138" s="6">
        <f t="shared" si="52"/>
        <v>2004</v>
      </c>
      <c r="N138" s="7">
        <f t="shared" si="40"/>
        <v>0</v>
      </c>
      <c r="O138" s="7">
        <f t="shared" si="41"/>
        <v>0</v>
      </c>
      <c r="P138" s="7">
        <f t="shared" si="42"/>
        <v>0</v>
      </c>
      <c r="Q138" s="7">
        <f t="shared" si="53"/>
        <v>0</v>
      </c>
      <c r="R138" s="10" t="str">
        <f t="shared" si="43"/>
        <v>0_Pre</v>
      </c>
      <c r="S138" s="10" t="str">
        <f t="shared" si="44"/>
        <v>0_Pre</v>
      </c>
      <c r="T138" s="10" t="str">
        <f t="shared" si="45"/>
        <v>0_Pre</v>
      </c>
      <c r="U138" s="10" t="str">
        <f t="shared" si="46"/>
        <v>0_Pre</v>
      </c>
      <c r="V138" s="10" t="str">
        <f t="shared" si="54"/>
        <v>0_Pre</v>
      </c>
      <c r="W138" s="10" t="str">
        <f t="shared" si="47"/>
        <v>clean_pre</v>
      </c>
      <c r="X138" s="10" t="str">
        <f t="shared" si="48"/>
        <v>0_Pre</v>
      </c>
      <c r="Y138" s="10" t="str">
        <f t="shared" si="49"/>
        <v>0_Pre</v>
      </c>
      <c r="Z138" s="10" t="str">
        <f t="shared" si="50"/>
        <v>0_Pre</v>
      </c>
      <c r="AA138" s="10" t="str">
        <f t="shared" si="55"/>
        <v>0_Pre</v>
      </c>
      <c r="AB138" s="10" t="str">
        <f t="shared" si="56"/>
        <v>0_Pre</v>
      </c>
      <c r="AC138" s="10" t="str">
        <f t="shared" si="57"/>
        <v>0_Pre</v>
      </c>
      <c r="AD138" s="10" t="str">
        <f t="shared" si="58"/>
        <v>1_pre sample median</v>
      </c>
      <c r="AE138" s="10" t="str">
        <f t="shared" si="59"/>
        <v>1_pre sample first tertile</v>
      </c>
      <c r="AF138" t="s">
        <v>67</v>
      </c>
      <c r="AG138" t="s">
        <v>75</v>
      </c>
      <c r="AH138" t="s">
        <v>78</v>
      </c>
      <c r="AI138" t="s">
        <v>123</v>
      </c>
      <c r="AJ138" t="s">
        <v>123</v>
      </c>
      <c r="AK138" t="str">
        <f>VLOOKUP(MID($AR138,1,255),country_lookup!$B:$F,2,FALSE)</f>
        <v>1_US</v>
      </c>
      <c r="AL138" t="str">
        <f>VLOOKUP(MID($AR138,1,255),country_lookup!$B:$F,3,FALSE)</f>
        <v>1_developed</v>
      </c>
      <c r="AM138" t="str">
        <f>VLOOKUP(MID($AR138,1,255),country_lookup!$B:$F,4,FALSE)</f>
        <v>1_western</v>
      </c>
      <c r="AN138" t="str">
        <f>VLOOKUP(MID($AR138,1,255),country_lookup!$B:$F,5,FALSE)</f>
        <v>1_common law</v>
      </c>
      <c r="AO138" s="10" t="str">
        <f>VLOOKUP(MID($AS138,1,255),source_lookup!$B:$K,4,FALSE)</f>
        <v>1_not published</v>
      </c>
      <c r="AP138" s="10" t="str">
        <f>VLOOKUP(MID($AS138,1,255),source_lookup!$B:$K,6,FALSE)</f>
        <v>99_NA</v>
      </c>
      <c r="AQ138" s="10" t="str">
        <f>VLOOKUP(MID($AS138,1,255),source_lookup!$B:$K,10,FALSE)</f>
        <v>1_fin/acc/econ</v>
      </c>
      <c r="AR138" t="s">
        <v>85</v>
      </c>
      <c r="AS138" t="s">
        <v>127</v>
      </c>
    </row>
    <row r="139" spans="1:45" x14ac:dyDescent="0.3">
      <c r="A139" t="s">
        <v>3</v>
      </c>
      <c r="B139">
        <v>138</v>
      </c>
      <c r="C139" s="1">
        <v>-6.2195042455355579E-3</v>
      </c>
      <c r="D139" s="2">
        <v>1094</v>
      </c>
      <c r="E139" s="4">
        <v>5470</v>
      </c>
      <c r="F139" s="4" t="s">
        <v>346</v>
      </c>
      <c r="G139" s="4" t="s">
        <v>346</v>
      </c>
      <c r="H139" t="s">
        <v>77</v>
      </c>
      <c r="I139" t="s">
        <v>350</v>
      </c>
      <c r="J139" s="3">
        <v>2002</v>
      </c>
      <c r="K139" s="3">
        <v>2006</v>
      </c>
      <c r="L139" s="6">
        <f t="shared" si="51"/>
        <v>2004</v>
      </c>
      <c r="M139" s="6">
        <f t="shared" si="52"/>
        <v>2004</v>
      </c>
      <c r="N139" s="7">
        <f t="shared" si="40"/>
        <v>0</v>
      </c>
      <c r="O139" s="7">
        <f t="shared" si="41"/>
        <v>0</v>
      </c>
      <c r="P139" s="7">
        <f t="shared" si="42"/>
        <v>0</v>
      </c>
      <c r="Q139" s="7">
        <f t="shared" si="53"/>
        <v>0</v>
      </c>
      <c r="R139" s="10" t="str">
        <f t="shared" si="43"/>
        <v>0_Pre</v>
      </c>
      <c r="S139" s="10" t="str">
        <f t="shared" si="44"/>
        <v>0_Pre</v>
      </c>
      <c r="T139" s="10" t="str">
        <f t="shared" si="45"/>
        <v>0_Pre</v>
      </c>
      <c r="U139" s="10" t="str">
        <f t="shared" si="46"/>
        <v>0_Pre</v>
      </c>
      <c r="V139" s="10" t="str">
        <f t="shared" si="54"/>
        <v>0_Pre</v>
      </c>
      <c r="W139" s="10" t="str">
        <f t="shared" si="47"/>
        <v>clean_pre</v>
      </c>
      <c r="X139" s="10" t="str">
        <f t="shared" si="48"/>
        <v>0_Pre</v>
      </c>
      <c r="Y139" s="10" t="str">
        <f t="shared" si="49"/>
        <v>0_Pre</v>
      </c>
      <c r="Z139" s="10" t="str">
        <f t="shared" si="50"/>
        <v>0_Pre</v>
      </c>
      <c r="AA139" s="10" t="str">
        <f t="shared" si="55"/>
        <v>0_Pre</v>
      </c>
      <c r="AB139" s="10" t="str">
        <f t="shared" si="56"/>
        <v>0_Pre</v>
      </c>
      <c r="AC139" s="10" t="str">
        <f t="shared" si="57"/>
        <v>0_Pre</v>
      </c>
      <c r="AD139" s="10" t="str">
        <f t="shared" si="58"/>
        <v>1_pre sample median</v>
      </c>
      <c r="AE139" s="10" t="str">
        <f t="shared" si="59"/>
        <v>1_pre sample first tertile</v>
      </c>
      <c r="AF139" t="s">
        <v>67</v>
      </c>
      <c r="AG139" t="s">
        <v>75</v>
      </c>
      <c r="AH139" t="s">
        <v>78</v>
      </c>
      <c r="AI139" t="s">
        <v>123</v>
      </c>
      <c r="AJ139" t="s">
        <v>123</v>
      </c>
      <c r="AK139" t="str">
        <f>VLOOKUP(MID($AR139,1,255),country_lookup!$B:$F,2,FALSE)</f>
        <v>1_US</v>
      </c>
      <c r="AL139" t="str">
        <f>VLOOKUP(MID($AR139,1,255),country_lookup!$B:$F,3,FALSE)</f>
        <v>1_developed</v>
      </c>
      <c r="AM139" t="str">
        <f>VLOOKUP(MID($AR139,1,255),country_lookup!$B:$F,4,FALSE)</f>
        <v>1_western</v>
      </c>
      <c r="AN139" t="str">
        <f>VLOOKUP(MID($AR139,1,255),country_lookup!$B:$F,5,FALSE)</f>
        <v>1_common law</v>
      </c>
      <c r="AO139" s="10" t="str">
        <f>VLOOKUP(MID($AS139,1,255),source_lookup!$B:$K,4,FALSE)</f>
        <v>1_not published</v>
      </c>
      <c r="AP139" s="10" t="str">
        <f>VLOOKUP(MID($AS139,1,255),source_lookup!$B:$K,6,FALSE)</f>
        <v>99_NA</v>
      </c>
      <c r="AQ139" s="10" t="str">
        <f>VLOOKUP(MID($AS139,1,255),source_lookup!$B:$K,10,FALSE)</f>
        <v>1_fin/acc/econ</v>
      </c>
      <c r="AR139" t="s">
        <v>85</v>
      </c>
      <c r="AS139" t="s">
        <v>127</v>
      </c>
    </row>
    <row r="140" spans="1:45" x14ac:dyDescent="0.3">
      <c r="A140" t="s">
        <v>3</v>
      </c>
      <c r="B140">
        <v>139</v>
      </c>
      <c r="C140" s="1">
        <v>6.8955067472930122E-3</v>
      </c>
      <c r="D140" s="2">
        <v>1094</v>
      </c>
      <c r="E140" s="4">
        <v>5470</v>
      </c>
      <c r="F140" s="4" t="s">
        <v>346</v>
      </c>
      <c r="G140" s="4" t="s">
        <v>346</v>
      </c>
      <c r="H140" t="s">
        <v>77</v>
      </c>
      <c r="I140" t="s">
        <v>350</v>
      </c>
      <c r="J140" s="3">
        <v>2002</v>
      </c>
      <c r="K140" s="3">
        <v>2006</v>
      </c>
      <c r="L140" s="6">
        <f t="shared" si="51"/>
        <v>2004</v>
      </c>
      <c r="M140" s="6">
        <f t="shared" si="52"/>
        <v>2004</v>
      </c>
      <c r="N140" s="7">
        <f t="shared" si="40"/>
        <v>0</v>
      </c>
      <c r="O140" s="7">
        <f t="shared" si="41"/>
        <v>0</v>
      </c>
      <c r="P140" s="7">
        <f t="shared" si="42"/>
        <v>0</v>
      </c>
      <c r="Q140" s="7">
        <f t="shared" si="53"/>
        <v>0</v>
      </c>
      <c r="R140" s="10" t="str">
        <f t="shared" si="43"/>
        <v>0_Pre</v>
      </c>
      <c r="S140" s="10" t="str">
        <f t="shared" si="44"/>
        <v>0_Pre</v>
      </c>
      <c r="T140" s="10" t="str">
        <f t="shared" si="45"/>
        <v>0_Pre</v>
      </c>
      <c r="U140" s="10" t="str">
        <f t="shared" si="46"/>
        <v>0_Pre</v>
      </c>
      <c r="V140" s="10" t="str">
        <f t="shared" si="54"/>
        <v>0_Pre</v>
      </c>
      <c r="W140" s="10" t="str">
        <f t="shared" si="47"/>
        <v>clean_pre</v>
      </c>
      <c r="X140" s="10" t="str">
        <f t="shared" si="48"/>
        <v>0_Pre</v>
      </c>
      <c r="Y140" s="10" t="str">
        <f t="shared" si="49"/>
        <v>0_Pre</v>
      </c>
      <c r="Z140" s="10" t="str">
        <f t="shared" si="50"/>
        <v>0_Pre</v>
      </c>
      <c r="AA140" s="10" t="str">
        <f t="shared" si="55"/>
        <v>0_Pre</v>
      </c>
      <c r="AB140" s="10" t="str">
        <f t="shared" si="56"/>
        <v>0_Pre</v>
      </c>
      <c r="AC140" s="10" t="str">
        <f t="shared" si="57"/>
        <v>0_Pre</v>
      </c>
      <c r="AD140" s="10" t="str">
        <f t="shared" si="58"/>
        <v>1_pre sample median</v>
      </c>
      <c r="AE140" s="10" t="str">
        <f t="shared" si="59"/>
        <v>1_pre sample first tertile</v>
      </c>
      <c r="AF140" t="s">
        <v>67</v>
      </c>
      <c r="AG140" t="s">
        <v>75</v>
      </c>
      <c r="AH140" t="s">
        <v>78</v>
      </c>
      <c r="AI140" t="s">
        <v>123</v>
      </c>
      <c r="AJ140" t="s">
        <v>123</v>
      </c>
      <c r="AK140" t="str">
        <f>VLOOKUP(MID($AR140,1,255),country_lookup!$B:$F,2,FALSE)</f>
        <v>1_US</v>
      </c>
      <c r="AL140" t="str">
        <f>VLOOKUP(MID($AR140,1,255),country_lookup!$B:$F,3,FALSE)</f>
        <v>1_developed</v>
      </c>
      <c r="AM140" t="str">
        <f>VLOOKUP(MID($AR140,1,255),country_lookup!$B:$F,4,FALSE)</f>
        <v>1_western</v>
      </c>
      <c r="AN140" t="str">
        <f>VLOOKUP(MID($AR140,1,255),country_lookup!$B:$F,5,FALSE)</f>
        <v>1_common law</v>
      </c>
      <c r="AO140" s="10" t="str">
        <f>VLOOKUP(MID($AS140,1,255),source_lookup!$B:$K,4,FALSE)</f>
        <v>1_not published</v>
      </c>
      <c r="AP140" s="10" t="str">
        <f>VLOOKUP(MID($AS140,1,255),source_lookup!$B:$K,6,FALSE)</f>
        <v>99_NA</v>
      </c>
      <c r="AQ140" s="10" t="str">
        <f>VLOOKUP(MID($AS140,1,255),source_lookup!$B:$K,10,FALSE)</f>
        <v>1_fin/acc/econ</v>
      </c>
      <c r="AR140" t="s">
        <v>85</v>
      </c>
      <c r="AS140" t="s">
        <v>127</v>
      </c>
    </row>
    <row r="141" spans="1:45" x14ac:dyDescent="0.3">
      <c r="A141" t="s">
        <v>3</v>
      </c>
      <c r="B141">
        <v>140</v>
      </c>
      <c r="C141" s="1">
        <v>-3.6752064389504333E-2</v>
      </c>
      <c r="D141" s="2">
        <v>1094</v>
      </c>
      <c r="E141" s="4">
        <v>5470</v>
      </c>
      <c r="F141" s="4" t="s">
        <v>346</v>
      </c>
      <c r="G141" s="4" t="s">
        <v>346</v>
      </c>
      <c r="H141" t="s">
        <v>77</v>
      </c>
      <c r="I141" t="s">
        <v>350</v>
      </c>
      <c r="J141" s="3">
        <v>2002</v>
      </c>
      <c r="K141" s="3">
        <v>2006</v>
      </c>
      <c r="L141" s="6">
        <f t="shared" si="51"/>
        <v>2004</v>
      </c>
      <c r="M141" s="6">
        <f t="shared" si="52"/>
        <v>2004</v>
      </c>
      <c r="N141" s="7">
        <f t="shared" si="40"/>
        <v>0</v>
      </c>
      <c r="O141" s="7">
        <f t="shared" si="41"/>
        <v>0</v>
      </c>
      <c r="P141" s="7">
        <f t="shared" si="42"/>
        <v>0</v>
      </c>
      <c r="Q141" s="7">
        <f t="shared" si="53"/>
        <v>0</v>
      </c>
      <c r="R141" s="10" t="str">
        <f t="shared" si="43"/>
        <v>0_Pre</v>
      </c>
      <c r="S141" s="10" t="str">
        <f t="shared" si="44"/>
        <v>0_Pre</v>
      </c>
      <c r="T141" s="10" t="str">
        <f t="shared" si="45"/>
        <v>0_Pre</v>
      </c>
      <c r="U141" s="10" t="str">
        <f t="shared" si="46"/>
        <v>0_Pre</v>
      </c>
      <c r="V141" s="10" t="str">
        <f t="shared" si="54"/>
        <v>0_Pre</v>
      </c>
      <c r="W141" s="10" t="str">
        <f t="shared" si="47"/>
        <v>clean_pre</v>
      </c>
      <c r="X141" s="10" t="str">
        <f t="shared" si="48"/>
        <v>0_Pre</v>
      </c>
      <c r="Y141" s="10" t="str">
        <f t="shared" si="49"/>
        <v>0_Pre</v>
      </c>
      <c r="Z141" s="10" t="str">
        <f t="shared" si="50"/>
        <v>0_Pre</v>
      </c>
      <c r="AA141" s="10" t="str">
        <f t="shared" si="55"/>
        <v>0_Pre</v>
      </c>
      <c r="AB141" s="10" t="str">
        <f t="shared" si="56"/>
        <v>0_Pre</v>
      </c>
      <c r="AC141" s="10" t="str">
        <f t="shared" si="57"/>
        <v>0_Pre</v>
      </c>
      <c r="AD141" s="10" t="str">
        <f t="shared" si="58"/>
        <v>1_pre sample median</v>
      </c>
      <c r="AE141" s="10" t="str">
        <f t="shared" si="59"/>
        <v>1_pre sample first tertile</v>
      </c>
      <c r="AF141" t="s">
        <v>67</v>
      </c>
      <c r="AG141" t="s">
        <v>75</v>
      </c>
      <c r="AH141" t="s">
        <v>78</v>
      </c>
      <c r="AI141" t="s">
        <v>123</v>
      </c>
      <c r="AJ141" t="s">
        <v>123</v>
      </c>
      <c r="AK141" t="str">
        <f>VLOOKUP(MID($AR141,1,255),country_lookup!$B:$F,2,FALSE)</f>
        <v>1_US</v>
      </c>
      <c r="AL141" t="str">
        <f>VLOOKUP(MID($AR141,1,255),country_lookup!$B:$F,3,FALSE)</f>
        <v>1_developed</v>
      </c>
      <c r="AM141" t="str">
        <f>VLOOKUP(MID($AR141,1,255),country_lookup!$B:$F,4,FALSE)</f>
        <v>1_western</v>
      </c>
      <c r="AN141" t="str">
        <f>VLOOKUP(MID($AR141,1,255),country_lookup!$B:$F,5,FALSE)</f>
        <v>1_common law</v>
      </c>
      <c r="AO141" s="10" t="str">
        <f>VLOOKUP(MID($AS141,1,255),source_lookup!$B:$K,4,FALSE)</f>
        <v>1_not published</v>
      </c>
      <c r="AP141" s="10" t="str">
        <f>VLOOKUP(MID($AS141,1,255),source_lookup!$B:$K,6,FALSE)</f>
        <v>99_NA</v>
      </c>
      <c r="AQ141" s="10" t="str">
        <f>VLOOKUP(MID($AS141,1,255),source_lookup!$B:$K,10,FALSE)</f>
        <v>1_fin/acc/econ</v>
      </c>
      <c r="AR141" t="s">
        <v>85</v>
      </c>
      <c r="AS141" t="s">
        <v>127</v>
      </c>
    </row>
    <row r="142" spans="1:45" x14ac:dyDescent="0.3">
      <c r="A142" t="s">
        <v>3</v>
      </c>
      <c r="B142">
        <v>141</v>
      </c>
      <c r="C142" s="1">
        <v>-5.1985166677240853E-2</v>
      </c>
      <c r="D142" s="2">
        <v>1094</v>
      </c>
      <c r="E142" s="4">
        <v>5470</v>
      </c>
      <c r="F142" s="4" t="s">
        <v>346</v>
      </c>
      <c r="G142" s="4" t="s">
        <v>346</v>
      </c>
      <c r="H142" t="s">
        <v>77</v>
      </c>
      <c r="I142" t="s">
        <v>350</v>
      </c>
      <c r="J142" s="3">
        <v>2002</v>
      </c>
      <c r="K142" s="3">
        <v>2006</v>
      </c>
      <c r="L142" s="6">
        <f t="shared" si="51"/>
        <v>2004</v>
      </c>
      <c r="M142" s="6">
        <f t="shared" si="52"/>
        <v>2004</v>
      </c>
      <c r="N142" s="7">
        <f t="shared" si="40"/>
        <v>0</v>
      </c>
      <c r="O142" s="7">
        <f t="shared" si="41"/>
        <v>0</v>
      </c>
      <c r="P142" s="7">
        <f t="shared" si="42"/>
        <v>0</v>
      </c>
      <c r="Q142" s="7">
        <f t="shared" si="53"/>
        <v>0</v>
      </c>
      <c r="R142" s="10" t="str">
        <f t="shared" si="43"/>
        <v>0_Pre</v>
      </c>
      <c r="S142" s="10" t="str">
        <f t="shared" si="44"/>
        <v>0_Pre</v>
      </c>
      <c r="T142" s="10" t="str">
        <f t="shared" si="45"/>
        <v>0_Pre</v>
      </c>
      <c r="U142" s="10" t="str">
        <f t="shared" si="46"/>
        <v>0_Pre</v>
      </c>
      <c r="V142" s="10" t="str">
        <f t="shared" si="54"/>
        <v>0_Pre</v>
      </c>
      <c r="W142" s="10" t="str">
        <f t="shared" si="47"/>
        <v>clean_pre</v>
      </c>
      <c r="X142" s="10" t="str">
        <f t="shared" si="48"/>
        <v>0_Pre</v>
      </c>
      <c r="Y142" s="10" t="str">
        <f t="shared" si="49"/>
        <v>0_Pre</v>
      </c>
      <c r="Z142" s="10" t="str">
        <f t="shared" si="50"/>
        <v>0_Pre</v>
      </c>
      <c r="AA142" s="10" t="str">
        <f t="shared" si="55"/>
        <v>0_Pre</v>
      </c>
      <c r="AB142" s="10" t="str">
        <f t="shared" si="56"/>
        <v>0_Pre</v>
      </c>
      <c r="AC142" s="10" t="str">
        <f t="shared" si="57"/>
        <v>0_Pre</v>
      </c>
      <c r="AD142" s="10" t="str">
        <f t="shared" si="58"/>
        <v>1_pre sample median</v>
      </c>
      <c r="AE142" s="10" t="str">
        <f t="shared" si="59"/>
        <v>1_pre sample first tertile</v>
      </c>
      <c r="AF142" t="s">
        <v>67</v>
      </c>
      <c r="AG142" t="s">
        <v>75</v>
      </c>
      <c r="AH142" t="s">
        <v>78</v>
      </c>
      <c r="AI142" t="s">
        <v>123</v>
      </c>
      <c r="AJ142" t="s">
        <v>123</v>
      </c>
      <c r="AK142" t="str">
        <f>VLOOKUP(MID($AR142,1,255),country_lookup!$B:$F,2,FALSE)</f>
        <v>1_US</v>
      </c>
      <c r="AL142" t="str">
        <f>VLOOKUP(MID($AR142,1,255),country_lookup!$B:$F,3,FALSE)</f>
        <v>1_developed</v>
      </c>
      <c r="AM142" t="str">
        <f>VLOOKUP(MID($AR142,1,255),country_lookup!$B:$F,4,FALSE)</f>
        <v>1_western</v>
      </c>
      <c r="AN142" t="str">
        <f>VLOOKUP(MID($AR142,1,255),country_lookup!$B:$F,5,FALSE)</f>
        <v>1_common law</v>
      </c>
      <c r="AO142" s="10" t="str">
        <f>VLOOKUP(MID($AS142,1,255),source_lookup!$B:$K,4,FALSE)</f>
        <v>1_not published</v>
      </c>
      <c r="AP142" s="10" t="str">
        <f>VLOOKUP(MID($AS142,1,255),source_lookup!$B:$K,6,FALSE)</f>
        <v>99_NA</v>
      </c>
      <c r="AQ142" s="10" t="str">
        <f>VLOOKUP(MID($AS142,1,255),source_lookup!$B:$K,10,FALSE)</f>
        <v>1_fin/acc/econ</v>
      </c>
      <c r="AR142" t="s">
        <v>85</v>
      </c>
      <c r="AS142" t="s">
        <v>127</v>
      </c>
    </row>
    <row r="143" spans="1:45" x14ac:dyDescent="0.3">
      <c r="A143" t="s">
        <v>3</v>
      </c>
      <c r="B143">
        <v>142</v>
      </c>
      <c r="C143" s="1">
        <v>-4.2687171015076658E-2</v>
      </c>
      <c r="D143" s="2">
        <v>1094</v>
      </c>
      <c r="E143" s="4">
        <v>5470</v>
      </c>
      <c r="F143" s="4" t="s">
        <v>346</v>
      </c>
      <c r="G143" s="4" t="s">
        <v>346</v>
      </c>
      <c r="H143" t="s">
        <v>77</v>
      </c>
      <c r="I143" t="s">
        <v>350</v>
      </c>
      <c r="J143" s="3">
        <v>2002</v>
      </c>
      <c r="K143" s="3">
        <v>2006</v>
      </c>
      <c r="L143" s="6">
        <f t="shared" si="51"/>
        <v>2004</v>
      </c>
      <c r="M143" s="6">
        <f t="shared" si="52"/>
        <v>2004</v>
      </c>
      <c r="N143" s="7">
        <f t="shared" si="40"/>
        <v>0</v>
      </c>
      <c r="O143" s="7">
        <f t="shared" si="41"/>
        <v>0</v>
      </c>
      <c r="P143" s="7">
        <f t="shared" si="42"/>
        <v>0</v>
      </c>
      <c r="Q143" s="7">
        <f t="shared" si="53"/>
        <v>0</v>
      </c>
      <c r="R143" s="10" t="str">
        <f t="shared" si="43"/>
        <v>0_Pre</v>
      </c>
      <c r="S143" s="10" t="str">
        <f t="shared" si="44"/>
        <v>0_Pre</v>
      </c>
      <c r="T143" s="10" t="str">
        <f t="shared" si="45"/>
        <v>0_Pre</v>
      </c>
      <c r="U143" s="10" t="str">
        <f t="shared" si="46"/>
        <v>0_Pre</v>
      </c>
      <c r="V143" s="10" t="str">
        <f t="shared" si="54"/>
        <v>0_Pre</v>
      </c>
      <c r="W143" s="10" t="str">
        <f t="shared" si="47"/>
        <v>clean_pre</v>
      </c>
      <c r="X143" s="10" t="str">
        <f t="shared" si="48"/>
        <v>0_Pre</v>
      </c>
      <c r="Y143" s="10" t="str">
        <f t="shared" si="49"/>
        <v>0_Pre</v>
      </c>
      <c r="Z143" s="10" t="str">
        <f t="shared" si="50"/>
        <v>0_Pre</v>
      </c>
      <c r="AA143" s="10" t="str">
        <f t="shared" si="55"/>
        <v>0_Pre</v>
      </c>
      <c r="AB143" s="10" t="str">
        <f t="shared" si="56"/>
        <v>0_Pre</v>
      </c>
      <c r="AC143" s="10" t="str">
        <f t="shared" si="57"/>
        <v>0_Pre</v>
      </c>
      <c r="AD143" s="10" t="str">
        <f t="shared" si="58"/>
        <v>1_pre sample median</v>
      </c>
      <c r="AE143" s="10" t="str">
        <f t="shared" si="59"/>
        <v>1_pre sample first tertile</v>
      </c>
      <c r="AF143" t="s">
        <v>67</v>
      </c>
      <c r="AG143" t="s">
        <v>75</v>
      </c>
      <c r="AH143" t="s">
        <v>78</v>
      </c>
      <c r="AI143" t="s">
        <v>123</v>
      </c>
      <c r="AJ143" t="s">
        <v>123</v>
      </c>
      <c r="AK143" t="str">
        <f>VLOOKUP(MID($AR143,1,255),country_lookup!$B:$F,2,FALSE)</f>
        <v>1_US</v>
      </c>
      <c r="AL143" t="str">
        <f>VLOOKUP(MID($AR143,1,255),country_lookup!$B:$F,3,FALSE)</f>
        <v>1_developed</v>
      </c>
      <c r="AM143" t="str">
        <f>VLOOKUP(MID($AR143,1,255),country_lookup!$B:$F,4,FALSE)</f>
        <v>1_western</v>
      </c>
      <c r="AN143" t="str">
        <f>VLOOKUP(MID($AR143,1,255),country_lookup!$B:$F,5,FALSE)</f>
        <v>1_common law</v>
      </c>
      <c r="AO143" s="10" t="str">
        <f>VLOOKUP(MID($AS143,1,255),source_lookup!$B:$K,4,FALSE)</f>
        <v>1_not published</v>
      </c>
      <c r="AP143" s="10" t="str">
        <f>VLOOKUP(MID($AS143,1,255),source_lookup!$B:$K,6,FALSE)</f>
        <v>99_NA</v>
      </c>
      <c r="AQ143" s="10" t="str">
        <f>VLOOKUP(MID($AS143,1,255),source_lookup!$B:$K,10,FALSE)</f>
        <v>1_fin/acc/econ</v>
      </c>
      <c r="AR143" t="s">
        <v>85</v>
      </c>
      <c r="AS143" t="s">
        <v>127</v>
      </c>
    </row>
    <row r="144" spans="1:45" x14ac:dyDescent="0.3">
      <c r="A144" t="s">
        <v>3</v>
      </c>
      <c r="B144">
        <v>143</v>
      </c>
      <c r="C144" s="1">
        <v>-1.4195538550175779E-2</v>
      </c>
      <c r="D144" s="2">
        <v>1094</v>
      </c>
      <c r="E144" s="4">
        <v>5470</v>
      </c>
      <c r="F144" s="4" t="s">
        <v>346</v>
      </c>
      <c r="G144" s="4" t="s">
        <v>346</v>
      </c>
      <c r="H144" t="s">
        <v>77</v>
      </c>
      <c r="I144" t="s">
        <v>350</v>
      </c>
      <c r="J144" s="3">
        <v>2002</v>
      </c>
      <c r="K144" s="3">
        <v>2006</v>
      </c>
      <c r="L144" s="6">
        <f t="shared" si="51"/>
        <v>2004</v>
      </c>
      <c r="M144" s="6">
        <f t="shared" si="52"/>
        <v>2004</v>
      </c>
      <c r="N144" s="7">
        <f t="shared" si="40"/>
        <v>0</v>
      </c>
      <c r="O144" s="7">
        <f t="shared" si="41"/>
        <v>0</v>
      </c>
      <c r="P144" s="7">
        <f t="shared" si="42"/>
        <v>0</v>
      </c>
      <c r="Q144" s="7">
        <f t="shared" si="53"/>
        <v>0</v>
      </c>
      <c r="R144" s="10" t="str">
        <f t="shared" si="43"/>
        <v>0_Pre</v>
      </c>
      <c r="S144" s="10" t="str">
        <f t="shared" si="44"/>
        <v>0_Pre</v>
      </c>
      <c r="T144" s="10" t="str">
        <f t="shared" si="45"/>
        <v>0_Pre</v>
      </c>
      <c r="U144" s="10" t="str">
        <f t="shared" si="46"/>
        <v>0_Pre</v>
      </c>
      <c r="V144" s="10" t="str">
        <f t="shared" si="54"/>
        <v>0_Pre</v>
      </c>
      <c r="W144" s="10" t="str">
        <f t="shared" si="47"/>
        <v>clean_pre</v>
      </c>
      <c r="X144" s="10" t="str">
        <f t="shared" si="48"/>
        <v>0_Pre</v>
      </c>
      <c r="Y144" s="10" t="str">
        <f t="shared" si="49"/>
        <v>0_Pre</v>
      </c>
      <c r="Z144" s="10" t="str">
        <f t="shared" si="50"/>
        <v>0_Pre</v>
      </c>
      <c r="AA144" s="10" t="str">
        <f t="shared" si="55"/>
        <v>0_Pre</v>
      </c>
      <c r="AB144" s="10" t="str">
        <f t="shared" si="56"/>
        <v>0_Pre</v>
      </c>
      <c r="AC144" s="10" t="str">
        <f t="shared" si="57"/>
        <v>0_Pre</v>
      </c>
      <c r="AD144" s="10" t="str">
        <f t="shared" si="58"/>
        <v>1_pre sample median</v>
      </c>
      <c r="AE144" s="10" t="str">
        <f t="shared" si="59"/>
        <v>1_pre sample first tertile</v>
      </c>
      <c r="AF144" t="s">
        <v>67</v>
      </c>
      <c r="AG144" t="s">
        <v>75</v>
      </c>
      <c r="AH144" t="s">
        <v>78</v>
      </c>
      <c r="AI144" t="s">
        <v>123</v>
      </c>
      <c r="AJ144" t="s">
        <v>123</v>
      </c>
      <c r="AK144" t="str">
        <f>VLOOKUP(MID($AR144,1,255),country_lookup!$B:$F,2,FALSE)</f>
        <v>1_US</v>
      </c>
      <c r="AL144" t="str">
        <f>VLOOKUP(MID($AR144,1,255),country_lookup!$B:$F,3,FALSE)</f>
        <v>1_developed</v>
      </c>
      <c r="AM144" t="str">
        <f>VLOOKUP(MID($AR144,1,255),country_lookup!$B:$F,4,FALSE)</f>
        <v>1_western</v>
      </c>
      <c r="AN144" t="str">
        <f>VLOOKUP(MID($AR144,1,255),country_lookup!$B:$F,5,FALSE)</f>
        <v>1_common law</v>
      </c>
      <c r="AO144" s="10" t="str">
        <f>VLOOKUP(MID($AS144,1,255),source_lookup!$B:$K,4,FALSE)</f>
        <v>1_not published</v>
      </c>
      <c r="AP144" s="10" t="str">
        <f>VLOOKUP(MID($AS144,1,255),source_lookup!$B:$K,6,FALSE)</f>
        <v>99_NA</v>
      </c>
      <c r="AQ144" s="10" t="str">
        <f>VLOOKUP(MID($AS144,1,255),source_lookup!$B:$K,10,FALSE)</f>
        <v>1_fin/acc/econ</v>
      </c>
      <c r="AR144" t="s">
        <v>85</v>
      </c>
      <c r="AS144" t="s">
        <v>127</v>
      </c>
    </row>
    <row r="145" spans="1:45" x14ac:dyDescent="0.3">
      <c r="A145" t="s">
        <v>3</v>
      </c>
      <c r="B145">
        <v>144</v>
      </c>
      <c r="C145" s="1">
        <v>-3.1893145277525688E-2</v>
      </c>
      <c r="D145" s="2">
        <v>1094</v>
      </c>
      <c r="E145" s="4">
        <v>5470</v>
      </c>
      <c r="F145" s="4" t="s">
        <v>346</v>
      </c>
      <c r="G145" s="4" t="s">
        <v>346</v>
      </c>
      <c r="H145" t="s">
        <v>77</v>
      </c>
      <c r="I145" t="s">
        <v>350</v>
      </c>
      <c r="J145" s="3">
        <v>2002</v>
      </c>
      <c r="K145" s="3">
        <v>2006</v>
      </c>
      <c r="L145" s="6">
        <f t="shared" si="51"/>
        <v>2004</v>
      </c>
      <c r="M145" s="6">
        <f t="shared" si="52"/>
        <v>2004</v>
      </c>
      <c r="N145" s="7">
        <f t="shared" si="40"/>
        <v>0</v>
      </c>
      <c r="O145" s="7">
        <f t="shared" si="41"/>
        <v>0</v>
      </c>
      <c r="P145" s="7">
        <f t="shared" si="42"/>
        <v>0</v>
      </c>
      <c r="Q145" s="7">
        <f t="shared" si="53"/>
        <v>0</v>
      </c>
      <c r="R145" s="10" t="str">
        <f t="shared" si="43"/>
        <v>0_Pre</v>
      </c>
      <c r="S145" s="10" t="str">
        <f t="shared" si="44"/>
        <v>0_Pre</v>
      </c>
      <c r="T145" s="10" t="str">
        <f t="shared" si="45"/>
        <v>0_Pre</v>
      </c>
      <c r="U145" s="10" t="str">
        <f t="shared" si="46"/>
        <v>0_Pre</v>
      </c>
      <c r="V145" s="10" t="str">
        <f t="shared" si="54"/>
        <v>0_Pre</v>
      </c>
      <c r="W145" s="10" t="str">
        <f t="shared" si="47"/>
        <v>clean_pre</v>
      </c>
      <c r="X145" s="10" t="str">
        <f t="shared" si="48"/>
        <v>0_Pre</v>
      </c>
      <c r="Y145" s="10" t="str">
        <f t="shared" si="49"/>
        <v>0_Pre</v>
      </c>
      <c r="Z145" s="10" t="str">
        <f t="shared" si="50"/>
        <v>0_Pre</v>
      </c>
      <c r="AA145" s="10" t="str">
        <f t="shared" si="55"/>
        <v>0_Pre</v>
      </c>
      <c r="AB145" s="10" t="str">
        <f t="shared" si="56"/>
        <v>0_Pre</v>
      </c>
      <c r="AC145" s="10" t="str">
        <f t="shared" si="57"/>
        <v>0_Pre</v>
      </c>
      <c r="AD145" s="10" t="str">
        <f t="shared" si="58"/>
        <v>1_pre sample median</v>
      </c>
      <c r="AE145" s="10" t="str">
        <f t="shared" si="59"/>
        <v>1_pre sample first tertile</v>
      </c>
      <c r="AF145" t="s">
        <v>67</v>
      </c>
      <c r="AG145" t="s">
        <v>75</v>
      </c>
      <c r="AH145" t="s">
        <v>78</v>
      </c>
      <c r="AI145" t="s">
        <v>123</v>
      </c>
      <c r="AJ145" t="s">
        <v>123</v>
      </c>
      <c r="AK145" t="str">
        <f>VLOOKUP(MID($AR145,1,255),country_lookup!$B:$F,2,FALSE)</f>
        <v>1_US</v>
      </c>
      <c r="AL145" t="str">
        <f>VLOOKUP(MID($AR145,1,255),country_lookup!$B:$F,3,FALSE)</f>
        <v>1_developed</v>
      </c>
      <c r="AM145" t="str">
        <f>VLOOKUP(MID($AR145,1,255),country_lookup!$B:$F,4,FALSE)</f>
        <v>1_western</v>
      </c>
      <c r="AN145" t="str">
        <f>VLOOKUP(MID($AR145,1,255),country_lookup!$B:$F,5,FALSE)</f>
        <v>1_common law</v>
      </c>
      <c r="AO145" s="10" t="str">
        <f>VLOOKUP(MID($AS145,1,255),source_lookup!$B:$K,4,FALSE)</f>
        <v>1_not published</v>
      </c>
      <c r="AP145" s="10" t="str">
        <f>VLOOKUP(MID($AS145,1,255),source_lookup!$B:$K,6,FALSE)</f>
        <v>99_NA</v>
      </c>
      <c r="AQ145" s="10" t="str">
        <f>VLOOKUP(MID($AS145,1,255),source_lookup!$B:$K,10,FALSE)</f>
        <v>1_fin/acc/econ</v>
      </c>
      <c r="AR145" t="s">
        <v>85</v>
      </c>
      <c r="AS145" t="s">
        <v>127</v>
      </c>
    </row>
    <row r="146" spans="1:45" x14ac:dyDescent="0.3">
      <c r="A146" t="s">
        <v>3</v>
      </c>
      <c r="B146">
        <v>145</v>
      </c>
      <c r="C146" s="1">
        <v>3.1097972333079698E-3</v>
      </c>
      <c r="D146" s="2">
        <v>1094</v>
      </c>
      <c r="E146" s="4">
        <v>5470</v>
      </c>
      <c r="F146" s="4" t="s">
        <v>346</v>
      </c>
      <c r="G146" s="4" t="s">
        <v>346</v>
      </c>
      <c r="H146" t="s">
        <v>77</v>
      </c>
      <c r="I146" t="s">
        <v>350</v>
      </c>
      <c r="J146" s="3">
        <v>2002</v>
      </c>
      <c r="K146" s="3">
        <v>2006</v>
      </c>
      <c r="L146" s="6">
        <f t="shared" si="51"/>
        <v>2004</v>
      </c>
      <c r="M146" s="6">
        <f t="shared" si="52"/>
        <v>2004</v>
      </c>
      <c r="N146" s="7">
        <f t="shared" si="40"/>
        <v>0</v>
      </c>
      <c r="O146" s="7">
        <f t="shared" si="41"/>
        <v>0</v>
      </c>
      <c r="P146" s="7">
        <f t="shared" si="42"/>
        <v>0</v>
      </c>
      <c r="Q146" s="7">
        <f t="shared" si="53"/>
        <v>0</v>
      </c>
      <c r="R146" s="10" t="str">
        <f t="shared" si="43"/>
        <v>0_Pre</v>
      </c>
      <c r="S146" s="10" t="str">
        <f t="shared" si="44"/>
        <v>0_Pre</v>
      </c>
      <c r="T146" s="10" t="str">
        <f t="shared" si="45"/>
        <v>0_Pre</v>
      </c>
      <c r="U146" s="10" t="str">
        <f t="shared" si="46"/>
        <v>0_Pre</v>
      </c>
      <c r="V146" s="10" t="str">
        <f t="shared" si="54"/>
        <v>0_Pre</v>
      </c>
      <c r="W146" s="10" t="str">
        <f t="shared" si="47"/>
        <v>clean_pre</v>
      </c>
      <c r="X146" s="10" t="str">
        <f t="shared" si="48"/>
        <v>0_Pre</v>
      </c>
      <c r="Y146" s="10" t="str">
        <f t="shared" si="49"/>
        <v>0_Pre</v>
      </c>
      <c r="Z146" s="10" t="str">
        <f t="shared" si="50"/>
        <v>0_Pre</v>
      </c>
      <c r="AA146" s="10" t="str">
        <f t="shared" si="55"/>
        <v>0_Pre</v>
      </c>
      <c r="AB146" s="10" t="str">
        <f t="shared" si="56"/>
        <v>0_Pre</v>
      </c>
      <c r="AC146" s="10" t="str">
        <f t="shared" si="57"/>
        <v>0_Pre</v>
      </c>
      <c r="AD146" s="10" t="str">
        <f t="shared" si="58"/>
        <v>1_pre sample median</v>
      </c>
      <c r="AE146" s="10" t="str">
        <f t="shared" si="59"/>
        <v>1_pre sample first tertile</v>
      </c>
      <c r="AF146" t="s">
        <v>67</v>
      </c>
      <c r="AG146" t="s">
        <v>75</v>
      </c>
      <c r="AH146" t="s">
        <v>78</v>
      </c>
      <c r="AI146" t="s">
        <v>123</v>
      </c>
      <c r="AJ146" t="s">
        <v>123</v>
      </c>
      <c r="AK146" t="str">
        <f>VLOOKUP(MID($AR146,1,255),country_lookup!$B:$F,2,FALSE)</f>
        <v>1_US</v>
      </c>
      <c r="AL146" t="str">
        <f>VLOOKUP(MID($AR146,1,255),country_lookup!$B:$F,3,FALSE)</f>
        <v>1_developed</v>
      </c>
      <c r="AM146" t="str">
        <f>VLOOKUP(MID($AR146,1,255),country_lookup!$B:$F,4,FALSE)</f>
        <v>1_western</v>
      </c>
      <c r="AN146" t="str">
        <f>VLOOKUP(MID($AR146,1,255),country_lookup!$B:$F,5,FALSE)</f>
        <v>1_common law</v>
      </c>
      <c r="AO146" s="10" t="str">
        <f>VLOOKUP(MID($AS146,1,255),source_lookup!$B:$K,4,FALSE)</f>
        <v>1_not published</v>
      </c>
      <c r="AP146" s="10" t="str">
        <f>VLOOKUP(MID($AS146,1,255),source_lookup!$B:$K,6,FALSE)</f>
        <v>99_NA</v>
      </c>
      <c r="AQ146" s="10" t="str">
        <f>VLOOKUP(MID($AS146,1,255),source_lookup!$B:$K,10,FALSE)</f>
        <v>1_fin/acc/econ</v>
      </c>
      <c r="AR146" t="s">
        <v>85</v>
      </c>
      <c r="AS146" t="s">
        <v>127</v>
      </c>
    </row>
    <row r="147" spans="1:45" x14ac:dyDescent="0.3">
      <c r="A147" t="s">
        <v>3</v>
      </c>
      <c r="B147">
        <v>146</v>
      </c>
      <c r="C147" s="1">
        <v>-4.4919280854619305E-2</v>
      </c>
      <c r="D147" s="2">
        <v>582</v>
      </c>
      <c r="E147" s="4">
        <v>4074</v>
      </c>
      <c r="F147" s="4" t="s">
        <v>346</v>
      </c>
      <c r="G147" s="4" t="s">
        <v>346</v>
      </c>
      <c r="H147" t="s">
        <v>77</v>
      </c>
      <c r="I147" t="s">
        <v>350</v>
      </c>
      <c r="J147" s="3">
        <v>1995</v>
      </c>
      <c r="K147" s="3">
        <v>2001</v>
      </c>
      <c r="L147" s="6">
        <f t="shared" si="51"/>
        <v>1998</v>
      </c>
      <c r="M147" s="6">
        <f t="shared" si="52"/>
        <v>1998</v>
      </c>
      <c r="N147" s="7">
        <f t="shared" si="40"/>
        <v>0</v>
      </c>
      <c r="O147" s="7">
        <f t="shared" si="41"/>
        <v>0</v>
      </c>
      <c r="P147" s="7">
        <f t="shared" si="42"/>
        <v>0</v>
      </c>
      <c r="Q147" s="7">
        <f t="shared" si="53"/>
        <v>0</v>
      </c>
      <c r="R147" s="10" t="str">
        <f t="shared" si="43"/>
        <v>0_Pre</v>
      </c>
      <c r="S147" s="10" t="str">
        <f t="shared" si="44"/>
        <v>0_Pre</v>
      </c>
      <c r="T147" s="10" t="str">
        <f t="shared" si="45"/>
        <v>0_Pre</v>
      </c>
      <c r="U147" s="10" t="str">
        <f t="shared" si="46"/>
        <v>0_Pre</v>
      </c>
      <c r="V147" s="10" t="str">
        <f t="shared" si="54"/>
        <v>0_Pre</v>
      </c>
      <c r="W147" s="10" t="str">
        <f t="shared" si="47"/>
        <v>clean_pre</v>
      </c>
      <c r="X147" s="10" t="str">
        <f t="shared" si="48"/>
        <v>0_Pre</v>
      </c>
      <c r="Y147" s="10" t="str">
        <f t="shared" si="49"/>
        <v>0_Pre</v>
      </c>
      <c r="Z147" s="10" t="str">
        <f t="shared" si="50"/>
        <v>0_Pre</v>
      </c>
      <c r="AA147" s="10" t="str">
        <f t="shared" si="55"/>
        <v>0_Pre</v>
      </c>
      <c r="AB147" s="10" t="str">
        <f t="shared" si="56"/>
        <v>0_Pre</v>
      </c>
      <c r="AC147" s="10" t="str">
        <f t="shared" si="57"/>
        <v>0_Pre</v>
      </c>
      <c r="AD147" s="10" t="str">
        <f t="shared" si="58"/>
        <v>1_pre sample median</v>
      </c>
      <c r="AE147" s="10" t="str">
        <f t="shared" si="59"/>
        <v>1_pre sample first tertile</v>
      </c>
      <c r="AF147" t="s">
        <v>82</v>
      </c>
      <c r="AG147" t="s">
        <v>75</v>
      </c>
      <c r="AH147" t="s">
        <v>78</v>
      </c>
      <c r="AI147" t="s">
        <v>123</v>
      </c>
      <c r="AJ147" t="s">
        <v>123</v>
      </c>
      <c r="AK147" t="str">
        <f>VLOOKUP(MID($AR147,1,255),country_lookup!$B:$F,2,FALSE)</f>
        <v>1_US</v>
      </c>
      <c r="AL147" t="str">
        <f>VLOOKUP(MID($AR147,1,255),country_lookup!$B:$F,3,FALSE)</f>
        <v>1_developed</v>
      </c>
      <c r="AM147" t="str">
        <f>VLOOKUP(MID($AR147,1,255),country_lookup!$B:$F,4,FALSE)</f>
        <v>1_western</v>
      </c>
      <c r="AN147" t="str">
        <f>VLOOKUP(MID($AR147,1,255),country_lookup!$B:$F,5,FALSE)</f>
        <v>1_common law</v>
      </c>
      <c r="AO147" s="10" t="str">
        <f>VLOOKUP(MID($AS147,1,255),source_lookup!$B:$K,4,FALSE)</f>
        <v>1_not published</v>
      </c>
      <c r="AP147" s="10" t="str">
        <f>VLOOKUP(MID($AS147,1,255),source_lookup!$B:$K,6,FALSE)</f>
        <v>99_NA</v>
      </c>
      <c r="AQ147" s="10" t="str">
        <f>VLOOKUP(MID($AS147,1,255),source_lookup!$B:$K,10,FALSE)</f>
        <v>1_fin/acc/econ</v>
      </c>
      <c r="AR147" t="s">
        <v>85</v>
      </c>
      <c r="AS147" t="s">
        <v>127</v>
      </c>
    </row>
    <row r="148" spans="1:45" x14ac:dyDescent="0.3">
      <c r="A148" t="s">
        <v>3</v>
      </c>
      <c r="B148">
        <v>147</v>
      </c>
      <c r="C148" s="1">
        <v>4.5434212299738479E-3</v>
      </c>
      <c r="D148" s="2">
        <v>582</v>
      </c>
      <c r="E148" s="4">
        <v>4074</v>
      </c>
      <c r="F148" s="4" t="s">
        <v>346</v>
      </c>
      <c r="G148" s="4" t="s">
        <v>346</v>
      </c>
      <c r="H148" t="s">
        <v>77</v>
      </c>
      <c r="I148" t="s">
        <v>350</v>
      </c>
      <c r="J148" s="3">
        <v>1995</v>
      </c>
      <c r="K148" s="3">
        <v>2001</v>
      </c>
      <c r="L148" s="6">
        <f t="shared" si="51"/>
        <v>1998</v>
      </c>
      <c r="M148" s="6">
        <f t="shared" si="52"/>
        <v>1998</v>
      </c>
      <c r="N148" s="7">
        <f t="shared" si="40"/>
        <v>0</v>
      </c>
      <c r="O148" s="7">
        <f t="shared" si="41"/>
        <v>0</v>
      </c>
      <c r="P148" s="7">
        <f t="shared" si="42"/>
        <v>0</v>
      </c>
      <c r="Q148" s="7">
        <f t="shared" si="53"/>
        <v>0</v>
      </c>
      <c r="R148" s="10" t="str">
        <f t="shared" si="43"/>
        <v>0_Pre</v>
      </c>
      <c r="S148" s="10" t="str">
        <f t="shared" si="44"/>
        <v>0_Pre</v>
      </c>
      <c r="T148" s="10" t="str">
        <f t="shared" si="45"/>
        <v>0_Pre</v>
      </c>
      <c r="U148" s="10" t="str">
        <f t="shared" si="46"/>
        <v>0_Pre</v>
      </c>
      <c r="V148" s="10" t="str">
        <f t="shared" si="54"/>
        <v>0_Pre</v>
      </c>
      <c r="W148" s="10" t="str">
        <f t="shared" si="47"/>
        <v>clean_pre</v>
      </c>
      <c r="X148" s="10" t="str">
        <f t="shared" si="48"/>
        <v>0_Pre</v>
      </c>
      <c r="Y148" s="10" t="str">
        <f t="shared" si="49"/>
        <v>0_Pre</v>
      </c>
      <c r="Z148" s="10" t="str">
        <f t="shared" si="50"/>
        <v>0_Pre</v>
      </c>
      <c r="AA148" s="10" t="str">
        <f t="shared" si="55"/>
        <v>0_Pre</v>
      </c>
      <c r="AB148" s="10" t="str">
        <f t="shared" si="56"/>
        <v>0_Pre</v>
      </c>
      <c r="AC148" s="10" t="str">
        <f t="shared" si="57"/>
        <v>0_Pre</v>
      </c>
      <c r="AD148" s="10" t="str">
        <f t="shared" si="58"/>
        <v>1_pre sample median</v>
      </c>
      <c r="AE148" s="10" t="str">
        <f t="shared" si="59"/>
        <v>1_pre sample first tertile</v>
      </c>
      <c r="AF148" t="s">
        <v>82</v>
      </c>
      <c r="AG148" t="s">
        <v>75</v>
      </c>
      <c r="AH148" t="s">
        <v>78</v>
      </c>
      <c r="AI148" t="s">
        <v>123</v>
      </c>
      <c r="AJ148" t="s">
        <v>123</v>
      </c>
      <c r="AK148" t="str">
        <f>VLOOKUP(MID($AR148,1,255),country_lookup!$B:$F,2,FALSE)</f>
        <v>1_US</v>
      </c>
      <c r="AL148" t="str">
        <f>VLOOKUP(MID($AR148,1,255),country_lookup!$B:$F,3,FALSE)</f>
        <v>1_developed</v>
      </c>
      <c r="AM148" t="str">
        <f>VLOOKUP(MID($AR148,1,255),country_lookup!$B:$F,4,FALSE)</f>
        <v>1_western</v>
      </c>
      <c r="AN148" t="str">
        <f>VLOOKUP(MID($AR148,1,255),country_lookup!$B:$F,5,FALSE)</f>
        <v>1_common law</v>
      </c>
      <c r="AO148" s="10" t="str">
        <f>VLOOKUP(MID($AS148,1,255),source_lookup!$B:$K,4,FALSE)</f>
        <v>1_not published</v>
      </c>
      <c r="AP148" s="10" t="str">
        <f>VLOOKUP(MID($AS148,1,255),source_lookup!$B:$K,6,FALSE)</f>
        <v>99_NA</v>
      </c>
      <c r="AQ148" s="10" t="str">
        <f>VLOOKUP(MID($AS148,1,255),source_lookup!$B:$K,10,FALSE)</f>
        <v>1_fin/acc/econ</v>
      </c>
      <c r="AR148" t="s">
        <v>85</v>
      </c>
      <c r="AS148" t="s">
        <v>127</v>
      </c>
    </row>
    <row r="149" spans="1:45" x14ac:dyDescent="0.3">
      <c r="A149" t="s">
        <v>3</v>
      </c>
      <c r="B149">
        <v>148</v>
      </c>
      <c r="C149" s="1">
        <v>-2.0049897046931036E-2</v>
      </c>
      <c r="D149" s="2">
        <v>582</v>
      </c>
      <c r="E149" s="4">
        <v>4074</v>
      </c>
      <c r="F149" s="4" t="s">
        <v>346</v>
      </c>
      <c r="G149" s="4" t="s">
        <v>346</v>
      </c>
      <c r="H149" t="s">
        <v>77</v>
      </c>
      <c r="I149" t="s">
        <v>350</v>
      </c>
      <c r="J149" s="3">
        <v>1995</v>
      </c>
      <c r="K149" s="3">
        <v>2001</v>
      </c>
      <c r="L149" s="6">
        <f t="shared" si="51"/>
        <v>1998</v>
      </c>
      <c r="M149" s="6">
        <f t="shared" si="52"/>
        <v>1998</v>
      </c>
      <c r="N149" s="7">
        <f t="shared" si="40"/>
        <v>0</v>
      </c>
      <c r="O149" s="7">
        <f t="shared" si="41"/>
        <v>0</v>
      </c>
      <c r="P149" s="7">
        <f t="shared" si="42"/>
        <v>0</v>
      </c>
      <c r="Q149" s="7">
        <f t="shared" si="53"/>
        <v>0</v>
      </c>
      <c r="R149" s="10" t="str">
        <f t="shared" si="43"/>
        <v>0_Pre</v>
      </c>
      <c r="S149" s="10" t="str">
        <f t="shared" si="44"/>
        <v>0_Pre</v>
      </c>
      <c r="T149" s="10" t="str">
        <f t="shared" si="45"/>
        <v>0_Pre</v>
      </c>
      <c r="U149" s="10" t="str">
        <f t="shared" si="46"/>
        <v>0_Pre</v>
      </c>
      <c r="V149" s="10" t="str">
        <f t="shared" si="54"/>
        <v>0_Pre</v>
      </c>
      <c r="W149" s="10" t="str">
        <f t="shared" si="47"/>
        <v>clean_pre</v>
      </c>
      <c r="X149" s="10" t="str">
        <f t="shared" si="48"/>
        <v>0_Pre</v>
      </c>
      <c r="Y149" s="10" t="str">
        <f t="shared" si="49"/>
        <v>0_Pre</v>
      </c>
      <c r="Z149" s="10" t="str">
        <f t="shared" si="50"/>
        <v>0_Pre</v>
      </c>
      <c r="AA149" s="10" t="str">
        <f t="shared" si="55"/>
        <v>0_Pre</v>
      </c>
      <c r="AB149" s="10" t="str">
        <f t="shared" si="56"/>
        <v>0_Pre</v>
      </c>
      <c r="AC149" s="10" t="str">
        <f t="shared" si="57"/>
        <v>0_Pre</v>
      </c>
      <c r="AD149" s="10" t="str">
        <f t="shared" si="58"/>
        <v>1_pre sample median</v>
      </c>
      <c r="AE149" s="10" t="str">
        <f t="shared" si="59"/>
        <v>1_pre sample first tertile</v>
      </c>
      <c r="AF149" t="s">
        <v>67</v>
      </c>
      <c r="AG149" t="s">
        <v>75</v>
      </c>
      <c r="AH149" t="s">
        <v>78</v>
      </c>
      <c r="AI149" t="s">
        <v>123</v>
      </c>
      <c r="AJ149" t="s">
        <v>123</v>
      </c>
      <c r="AK149" t="str">
        <f>VLOOKUP(MID($AR149,1,255),country_lookup!$B:$F,2,FALSE)</f>
        <v>1_US</v>
      </c>
      <c r="AL149" t="str">
        <f>VLOOKUP(MID($AR149,1,255),country_lookup!$B:$F,3,FALSE)</f>
        <v>1_developed</v>
      </c>
      <c r="AM149" t="str">
        <f>VLOOKUP(MID($AR149,1,255),country_lookup!$B:$F,4,FALSE)</f>
        <v>1_western</v>
      </c>
      <c r="AN149" t="str">
        <f>VLOOKUP(MID($AR149,1,255),country_lookup!$B:$F,5,FALSE)</f>
        <v>1_common law</v>
      </c>
      <c r="AO149" s="10" t="str">
        <f>VLOOKUP(MID($AS149,1,255),source_lookup!$B:$K,4,FALSE)</f>
        <v>1_not published</v>
      </c>
      <c r="AP149" s="10" t="str">
        <f>VLOOKUP(MID($AS149,1,255),source_lookup!$B:$K,6,FALSE)</f>
        <v>99_NA</v>
      </c>
      <c r="AQ149" s="10" t="str">
        <f>VLOOKUP(MID($AS149,1,255),source_lookup!$B:$K,10,FALSE)</f>
        <v>1_fin/acc/econ</v>
      </c>
      <c r="AR149" t="s">
        <v>85</v>
      </c>
      <c r="AS149" t="s">
        <v>127</v>
      </c>
    </row>
    <row r="150" spans="1:45" x14ac:dyDescent="0.3">
      <c r="A150" t="s">
        <v>3</v>
      </c>
      <c r="B150">
        <v>149</v>
      </c>
      <c r="C150" s="1">
        <v>-2.2241823137994103E-2</v>
      </c>
      <c r="D150" s="2">
        <v>582</v>
      </c>
      <c r="E150" s="4">
        <v>4074</v>
      </c>
      <c r="F150" s="4" t="s">
        <v>346</v>
      </c>
      <c r="G150" s="4" t="s">
        <v>346</v>
      </c>
      <c r="H150" t="s">
        <v>77</v>
      </c>
      <c r="I150" t="s">
        <v>350</v>
      </c>
      <c r="J150" s="3">
        <v>1995</v>
      </c>
      <c r="K150" s="3">
        <v>2001</v>
      </c>
      <c r="L150" s="6">
        <f t="shared" si="51"/>
        <v>1998</v>
      </c>
      <c r="M150" s="6">
        <f t="shared" si="52"/>
        <v>1998</v>
      </c>
      <c r="N150" s="7">
        <f t="shared" si="40"/>
        <v>0</v>
      </c>
      <c r="O150" s="7">
        <f t="shared" si="41"/>
        <v>0</v>
      </c>
      <c r="P150" s="7">
        <f t="shared" si="42"/>
        <v>0</v>
      </c>
      <c r="Q150" s="7">
        <f t="shared" si="53"/>
        <v>0</v>
      </c>
      <c r="R150" s="10" t="str">
        <f t="shared" si="43"/>
        <v>0_Pre</v>
      </c>
      <c r="S150" s="10" t="str">
        <f t="shared" si="44"/>
        <v>0_Pre</v>
      </c>
      <c r="T150" s="10" t="str">
        <f t="shared" si="45"/>
        <v>0_Pre</v>
      </c>
      <c r="U150" s="10" t="str">
        <f t="shared" si="46"/>
        <v>0_Pre</v>
      </c>
      <c r="V150" s="10" t="str">
        <f t="shared" si="54"/>
        <v>0_Pre</v>
      </c>
      <c r="W150" s="10" t="str">
        <f t="shared" si="47"/>
        <v>clean_pre</v>
      </c>
      <c r="X150" s="10" t="str">
        <f t="shared" si="48"/>
        <v>0_Pre</v>
      </c>
      <c r="Y150" s="10" t="str">
        <f t="shared" si="49"/>
        <v>0_Pre</v>
      </c>
      <c r="Z150" s="10" t="str">
        <f t="shared" si="50"/>
        <v>0_Pre</v>
      </c>
      <c r="AA150" s="10" t="str">
        <f t="shared" si="55"/>
        <v>0_Pre</v>
      </c>
      <c r="AB150" s="10" t="str">
        <f t="shared" si="56"/>
        <v>0_Pre</v>
      </c>
      <c r="AC150" s="10" t="str">
        <f t="shared" si="57"/>
        <v>0_Pre</v>
      </c>
      <c r="AD150" s="10" t="str">
        <f t="shared" si="58"/>
        <v>1_pre sample median</v>
      </c>
      <c r="AE150" s="10" t="str">
        <f t="shared" si="59"/>
        <v>1_pre sample first tertile</v>
      </c>
      <c r="AF150" t="s">
        <v>67</v>
      </c>
      <c r="AG150" t="s">
        <v>75</v>
      </c>
      <c r="AH150" t="s">
        <v>78</v>
      </c>
      <c r="AI150" t="s">
        <v>123</v>
      </c>
      <c r="AJ150" t="s">
        <v>123</v>
      </c>
      <c r="AK150" t="str">
        <f>VLOOKUP(MID($AR150,1,255),country_lookup!$B:$F,2,FALSE)</f>
        <v>1_US</v>
      </c>
      <c r="AL150" t="str">
        <f>VLOOKUP(MID($AR150,1,255),country_lookup!$B:$F,3,FALSE)</f>
        <v>1_developed</v>
      </c>
      <c r="AM150" t="str">
        <f>VLOOKUP(MID($AR150,1,255),country_lookup!$B:$F,4,FALSE)</f>
        <v>1_western</v>
      </c>
      <c r="AN150" t="str">
        <f>VLOOKUP(MID($AR150,1,255),country_lookup!$B:$F,5,FALSE)</f>
        <v>1_common law</v>
      </c>
      <c r="AO150" s="10" t="str">
        <f>VLOOKUP(MID($AS150,1,255),source_lookup!$B:$K,4,FALSE)</f>
        <v>1_not published</v>
      </c>
      <c r="AP150" s="10" t="str">
        <f>VLOOKUP(MID($AS150,1,255),source_lookup!$B:$K,6,FALSE)</f>
        <v>99_NA</v>
      </c>
      <c r="AQ150" s="10" t="str">
        <f>VLOOKUP(MID($AS150,1,255),source_lookup!$B:$K,10,FALSE)</f>
        <v>1_fin/acc/econ</v>
      </c>
      <c r="AR150" t="s">
        <v>85</v>
      </c>
      <c r="AS150" t="s">
        <v>127</v>
      </c>
    </row>
    <row r="151" spans="1:45" x14ac:dyDescent="0.3">
      <c r="A151" t="s">
        <v>3</v>
      </c>
      <c r="B151">
        <v>150</v>
      </c>
      <c r="C151" s="1">
        <v>-8.113091502124593E-3</v>
      </c>
      <c r="D151" s="2">
        <v>1094</v>
      </c>
      <c r="E151" s="4">
        <v>7658</v>
      </c>
      <c r="F151" s="4" t="s">
        <v>346</v>
      </c>
      <c r="G151" s="4" t="s">
        <v>346</v>
      </c>
      <c r="H151" t="s">
        <v>77</v>
      </c>
      <c r="I151" t="s">
        <v>350</v>
      </c>
      <c r="J151" s="3">
        <v>1995</v>
      </c>
      <c r="K151" s="3">
        <v>2001</v>
      </c>
      <c r="L151" s="6">
        <f t="shared" si="51"/>
        <v>1998</v>
      </c>
      <c r="M151" s="6">
        <f t="shared" si="52"/>
        <v>1998</v>
      </c>
      <c r="N151" s="7">
        <f t="shared" si="40"/>
        <v>0</v>
      </c>
      <c r="O151" s="7">
        <f t="shared" si="41"/>
        <v>0</v>
      </c>
      <c r="P151" s="7">
        <f t="shared" si="42"/>
        <v>0</v>
      </c>
      <c r="Q151" s="7">
        <f t="shared" si="53"/>
        <v>0</v>
      </c>
      <c r="R151" s="10" t="str">
        <f t="shared" si="43"/>
        <v>0_Pre</v>
      </c>
      <c r="S151" s="10" t="str">
        <f t="shared" si="44"/>
        <v>0_Pre</v>
      </c>
      <c r="T151" s="10" t="str">
        <f t="shared" si="45"/>
        <v>0_Pre</v>
      </c>
      <c r="U151" s="10" t="str">
        <f t="shared" si="46"/>
        <v>0_Pre</v>
      </c>
      <c r="V151" s="10" t="str">
        <f t="shared" si="54"/>
        <v>0_Pre</v>
      </c>
      <c r="W151" s="10" t="str">
        <f t="shared" si="47"/>
        <v>clean_pre</v>
      </c>
      <c r="X151" s="10" t="str">
        <f t="shared" si="48"/>
        <v>0_Pre</v>
      </c>
      <c r="Y151" s="10" t="str">
        <f t="shared" si="49"/>
        <v>0_Pre</v>
      </c>
      <c r="Z151" s="10" t="str">
        <f t="shared" si="50"/>
        <v>0_Pre</v>
      </c>
      <c r="AA151" s="10" t="str">
        <f t="shared" si="55"/>
        <v>0_Pre</v>
      </c>
      <c r="AB151" s="10" t="str">
        <f t="shared" si="56"/>
        <v>0_Pre</v>
      </c>
      <c r="AC151" s="10" t="str">
        <f t="shared" si="57"/>
        <v>0_Pre</v>
      </c>
      <c r="AD151" s="10" t="str">
        <f t="shared" si="58"/>
        <v>1_pre sample median</v>
      </c>
      <c r="AE151" s="10" t="str">
        <f t="shared" si="59"/>
        <v>1_pre sample first tertile</v>
      </c>
      <c r="AF151" t="s">
        <v>67</v>
      </c>
      <c r="AG151" t="s">
        <v>75</v>
      </c>
      <c r="AH151" t="s">
        <v>78</v>
      </c>
      <c r="AI151" t="s">
        <v>123</v>
      </c>
      <c r="AJ151" t="s">
        <v>123</v>
      </c>
      <c r="AK151" t="str">
        <f>VLOOKUP(MID($AR151,1,255),country_lookup!$B:$F,2,FALSE)</f>
        <v>1_US</v>
      </c>
      <c r="AL151" t="str">
        <f>VLOOKUP(MID($AR151,1,255),country_lookup!$B:$F,3,FALSE)</f>
        <v>1_developed</v>
      </c>
      <c r="AM151" t="str">
        <f>VLOOKUP(MID($AR151,1,255),country_lookup!$B:$F,4,FALSE)</f>
        <v>1_western</v>
      </c>
      <c r="AN151" t="str">
        <f>VLOOKUP(MID($AR151,1,255),country_lookup!$B:$F,5,FALSE)</f>
        <v>1_common law</v>
      </c>
      <c r="AO151" s="10" t="str">
        <f>VLOOKUP(MID($AS151,1,255),source_lookup!$B:$K,4,FALSE)</f>
        <v>1_not published</v>
      </c>
      <c r="AP151" s="10" t="str">
        <f>VLOOKUP(MID($AS151,1,255),source_lookup!$B:$K,6,FALSE)</f>
        <v>99_NA</v>
      </c>
      <c r="AQ151" s="10" t="str">
        <f>VLOOKUP(MID($AS151,1,255),source_lookup!$B:$K,10,FALSE)</f>
        <v>1_fin/acc/econ</v>
      </c>
      <c r="AR151" t="s">
        <v>85</v>
      </c>
      <c r="AS151" t="s">
        <v>127</v>
      </c>
    </row>
    <row r="152" spans="1:45" x14ac:dyDescent="0.3">
      <c r="A152" t="s">
        <v>3</v>
      </c>
      <c r="B152">
        <v>151</v>
      </c>
      <c r="C152" s="1">
        <v>-9.9412297385058981E-3</v>
      </c>
      <c r="D152" s="2">
        <v>1094</v>
      </c>
      <c r="E152" s="4">
        <v>7658</v>
      </c>
      <c r="F152" s="4" t="s">
        <v>346</v>
      </c>
      <c r="G152" s="4" t="s">
        <v>346</v>
      </c>
      <c r="H152" t="s">
        <v>77</v>
      </c>
      <c r="I152" t="s">
        <v>350</v>
      </c>
      <c r="J152" s="3">
        <v>1995</v>
      </c>
      <c r="K152" s="3">
        <v>2001</v>
      </c>
      <c r="L152" s="6">
        <f t="shared" si="51"/>
        <v>1998</v>
      </c>
      <c r="M152" s="6">
        <f t="shared" si="52"/>
        <v>1998</v>
      </c>
      <c r="N152" s="7">
        <f t="shared" si="40"/>
        <v>0</v>
      </c>
      <c r="O152" s="7">
        <f t="shared" si="41"/>
        <v>0</v>
      </c>
      <c r="P152" s="7">
        <f t="shared" si="42"/>
        <v>0</v>
      </c>
      <c r="Q152" s="7">
        <f t="shared" si="53"/>
        <v>0</v>
      </c>
      <c r="R152" s="10" t="str">
        <f t="shared" si="43"/>
        <v>0_Pre</v>
      </c>
      <c r="S152" s="10" t="str">
        <f t="shared" si="44"/>
        <v>0_Pre</v>
      </c>
      <c r="T152" s="10" t="str">
        <f t="shared" si="45"/>
        <v>0_Pre</v>
      </c>
      <c r="U152" s="10" t="str">
        <f t="shared" si="46"/>
        <v>0_Pre</v>
      </c>
      <c r="V152" s="10" t="str">
        <f t="shared" si="54"/>
        <v>0_Pre</v>
      </c>
      <c r="W152" s="10" t="str">
        <f t="shared" si="47"/>
        <v>clean_pre</v>
      </c>
      <c r="X152" s="10" t="str">
        <f t="shared" si="48"/>
        <v>0_Pre</v>
      </c>
      <c r="Y152" s="10" t="str">
        <f t="shared" si="49"/>
        <v>0_Pre</v>
      </c>
      <c r="Z152" s="10" t="str">
        <f t="shared" si="50"/>
        <v>0_Pre</v>
      </c>
      <c r="AA152" s="10" t="str">
        <f t="shared" si="55"/>
        <v>0_Pre</v>
      </c>
      <c r="AB152" s="10" t="str">
        <f t="shared" si="56"/>
        <v>0_Pre</v>
      </c>
      <c r="AC152" s="10" t="str">
        <f t="shared" si="57"/>
        <v>0_Pre</v>
      </c>
      <c r="AD152" s="10" t="str">
        <f t="shared" si="58"/>
        <v>1_pre sample median</v>
      </c>
      <c r="AE152" s="10" t="str">
        <f t="shared" si="59"/>
        <v>1_pre sample first tertile</v>
      </c>
      <c r="AF152" t="s">
        <v>67</v>
      </c>
      <c r="AG152" t="s">
        <v>75</v>
      </c>
      <c r="AH152" t="s">
        <v>78</v>
      </c>
      <c r="AI152" t="s">
        <v>123</v>
      </c>
      <c r="AJ152" t="s">
        <v>123</v>
      </c>
      <c r="AK152" t="str">
        <f>VLOOKUP(MID($AR152,1,255),country_lookup!$B:$F,2,FALSE)</f>
        <v>1_US</v>
      </c>
      <c r="AL152" t="str">
        <f>VLOOKUP(MID($AR152,1,255),country_lookup!$B:$F,3,FALSE)</f>
        <v>1_developed</v>
      </c>
      <c r="AM152" t="str">
        <f>VLOOKUP(MID($AR152,1,255),country_lookup!$B:$F,4,FALSE)</f>
        <v>1_western</v>
      </c>
      <c r="AN152" t="str">
        <f>VLOOKUP(MID($AR152,1,255),country_lookup!$B:$F,5,FALSE)</f>
        <v>1_common law</v>
      </c>
      <c r="AO152" s="10" t="str">
        <f>VLOOKUP(MID($AS152,1,255),source_lookup!$B:$K,4,FALSE)</f>
        <v>1_not published</v>
      </c>
      <c r="AP152" s="10" t="str">
        <f>VLOOKUP(MID($AS152,1,255),source_lookup!$B:$K,6,FALSE)</f>
        <v>99_NA</v>
      </c>
      <c r="AQ152" s="10" t="str">
        <f>VLOOKUP(MID($AS152,1,255),source_lookup!$B:$K,10,FALSE)</f>
        <v>1_fin/acc/econ</v>
      </c>
      <c r="AR152" t="s">
        <v>85</v>
      </c>
      <c r="AS152" t="s">
        <v>127</v>
      </c>
    </row>
    <row r="153" spans="1:45" x14ac:dyDescent="0.3">
      <c r="A153" t="s">
        <v>3</v>
      </c>
      <c r="B153">
        <v>152</v>
      </c>
      <c r="C153" s="1">
        <v>-3.149828288630499E-2</v>
      </c>
      <c r="D153" s="2">
        <v>582</v>
      </c>
      <c r="E153" s="4">
        <v>2910</v>
      </c>
      <c r="F153" s="4" t="s">
        <v>346</v>
      </c>
      <c r="G153" s="4" t="s">
        <v>346</v>
      </c>
      <c r="H153" t="s">
        <v>77</v>
      </c>
      <c r="I153" t="s">
        <v>350</v>
      </c>
      <c r="J153" s="3">
        <v>2002</v>
      </c>
      <c r="K153" s="3">
        <v>2006</v>
      </c>
      <c r="L153" s="6">
        <f t="shared" si="51"/>
        <v>2004</v>
      </c>
      <c r="M153" s="6">
        <f t="shared" si="52"/>
        <v>2004</v>
      </c>
      <c r="N153" s="7">
        <f t="shared" si="40"/>
        <v>0</v>
      </c>
      <c r="O153" s="7">
        <f t="shared" si="41"/>
        <v>0</v>
      </c>
      <c r="P153" s="7">
        <f t="shared" si="42"/>
        <v>0</v>
      </c>
      <c r="Q153" s="7">
        <f t="shared" si="53"/>
        <v>0</v>
      </c>
      <c r="R153" s="10" t="str">
        <f t="shared" si="43"/>
        <v>0_Pre</v>
      </c>
      <c r="S153" s="10" t="str">
        <f t="shared" si="44"/>
        <v>0_Pre</v>
      </c>
      <c r="T153" s="10" t="str">
        <f t="shared" si="45"/>
        <v>0_Pre</v>
      </c>
      <c r="U153" s="10" t="str">
        <f t="shared" si="46"/>
        <v>0_Pre</v>
      </c>
      <c r="V153" s="10" t="str">
        <f t="shared" si="54"/>
        <v>0_Pre</v>
      </c>
      <c r="W153" s="10" t="str">
        <f t="shared" si="47"/>
        <v>clean_pre</v>
      </c>
      <c r="X153" s="10" t="str">
        <f t="shared" si="48"/>
        <v>0_Pre</v>
      </c>
      <c r="Y153" s="10" t="str">
        <f t="shared" si="49"/>
        <v>0_Pre</v>
      </c>
      <c r="Z153" s="10" t="str">
        <f t="shared" si="50"/>
        <v>0_Pre</v>
      </c>
      <c r="AA153" s="10" t="str">
        <f t="shared" si="55"/>
        <v>0_Pre</v>
      </c>
      <c r="AB153" s="10" t="str">
        <f t="shared" si="56"/>
        <v>0_Pre</v>
      </c>
      <c r="AC153" s="10" t="str">
        <f t="shared" si="57"/>
        <v>0_Pre</v>
      </c>
      <c r="AD153" s="10" t="str">
        <f t="shared" si="58"/>
        <v>1_pre sample median</v>
      </c>
      <c r="AE153" s="10" t="str">
        <f t="shared" si="59"/>
        <v>1_pre sample first tertile</v>
      </c>
      <c r="AF153" t="s">
        <v>82</v>
      </c>
      <c r="AG153" t="s">
        <v>75</v>
      </c>
      <c r="AH153" t="s">
        <v>78</v>
      </c>
      <c r="AI153" t="s">
        <v>123</v>
      </c>
      <c r="AJ153" t="s">
        <v>123</v>
      </c>
      <c r="AK153" t="str">
        <f>VLOOKUP(MID($AR153,1,255),country_lookup!$B:$F,2,FALSE)</f>
        <v>1_US</v>
      </c>
      <c r="AL153" t="str">
        <f>VLOOKUP(MID($AR153,1,255),country_lookup!$B:$F,3,FALSE)</f>
        <v>1_developed</v>
      </c>
      <c r="AM153" t="str">
        <f>VLOOKUP(MID($AR153,1,255),country_lookup!$B:$F,4,FALSE)</f>
        <v>1_western</v>
      </c>
      <c r="AN153" t="str">
        <f>VLOOKUP(MID($AR153,1,255),country_lookup!$B:$F,5,FALSE)</f>
        <v>1_common law</v>
      </c>
      <c r="AO153" s="10" t="str">
        <f>VLOOKUP(MID($AS153,1,255),source_lookup!$B:$K,4,FALSE)</f>
        <v>1_not published</v>
      </c>
      <c r="AP153" s="10" t="str">
        <f>VLOOKUP(MID($AS153,1,255),source_lookup!$B:$K,6,FALSE)</f>
        <v>99_NA</v>
      </c>
      <c r="AQ153" s="10" t="str">
        <f>VLOOKUP(MID($AS153,1,255),source_lookup!$B:$K,10,FALSE)</f>
        <v>1_fin/acc/econ</v>
      </c>
      <c r="AR153" t="s">
        <v>85</v>
      </c>
      <c r="AS153" t="s">
        <v>127</v>
      </c>
    </row>
    <row r="154" spans="1:45" x14ac:dyDescent="0.3">
      <c r="A154" t="s">
        <v>3</v>
      </c>
      <c r="B154">
        <v>153</v>
      </c>
      <c r="C154" s="1">
        <v>-7.3763525331605961E-2</v>
      </c>
      <c r="D154" s="2">
        <v>582</v>
      </c>
      <c r="E154" s="4">
        <v>2910</v>
      </c>
      <c r="F154" s="4" t="s">
        <v>346</v>
      </c>
      <c r="G154" s="4" t="s">
        <v>346</v>
      </c>
      <c r="H154" t="s">
        <v>77</v>
      </c>
      <c r="I154" t="s">
        <v>350</v>
      </c>
      <c r="J154" s="3">
        <v>2002</v>
      </c>
      <c r="K154" s="3">
        <v>2006</v>
      </c>
      <c r="L154" s="6">
        <f t="shared" si="51"/>
        <v>2004</v>
      </c>
      <c r="M154" s="6">
        <f t="shared" si="52"/>
        <v>2004</v>
      </c>
      <c r="N154" s="7">
        <f t="shared" si="40"/>
        <v>0</v>
      </c>
      <c r="O154" s="7">
        <f t="shared" si="41"/>
        <v>0</v>
      </c>
      <c r="P154" s="7">
        <f t="shared" si="42"/>
        <v>0</v>
      </c>
      <c r="Q154" s="7">
        <f t="shared" si="53"/>
        <v>0</v>
      </c>
      <c r="R154" s="10" t="str">
        <f t="shared" si="43"/>
        <v>0_Pre</v>
      </c>
      <c r="S154" s="10" t="str">
        <f t="shared" si="44"/>
        <v>0_Pre</v>
      </c>
      <c r="T154" s="10" t="str">
        <f t="shared" si="45"/>
        <v>0_Pre</v>
      </c>
      <c r="U154" s="10" t="str">
        <f t="shared" si="46"/>
        <v>0_Pre</v>
      </c>
      <c r="V154" s="10" t="str">
        <f t="shared" si="54"/>
        <v>0_Pre</v>
      </c>
      <c r="W154" s="10" t="str">
        <f t="shared" si="47"/>
        <v>clean_pre</v>
      </c>
      <c r="X154" s="10" t="str">
        <f t="shared" si="48"/>
        <v>0_Pre</v>
      </c>
      <c r="Y154" s="10" t="str">
        <f t="shared" si="49"/>
        <v>0_Pre</v>
      </c>
      <c r="Z154" s="10" t="str">
        <f t="shared" si="50"/>
        <v>0_Pre</v>
      </c>
      <c r="AA154" s="10" t="str">
        <f t="shared" si="55"/>
        <v>0_Pre</v>
      </c>
      <c r="AB154" s="10" t="str">
        <f t="shared" si="56"/>
        <v>0_Pre</v>
      </c>
      <c r="AC154" s="10" t="str">
        <f t="shared" si="57"/>
        <v>0_Pre</v>
      </c>
      <c r="AD154" s="10" t="str">
        <f t="shared" si="58"/>
        <v>1_pre sample median</v>
      </c>
      <c r="AE154" s="10" t="str">
        <f t="shared" si="59"/>
        <v>1_pre sample first tertile</v>
      </c>
      <c r="AF154" t="s">
        <v>82</v>
      </c>
      <c r="AG154" t="s">
        <v>75</v>
      </c>
      <c r="AH154" t="s">
        <v>78</v>
      </c>
      <c r="AI154" t="s">
        <v>123</v>
      </c>
      <c r="AJ154" t="s">
        <v>123</v>
      </c>
      <c r="AK154" t="str">
        <f>VLOOKUP(MID($AR154,1,255),country_lookup!$B:$F,2,FALSE)</f>
        <v>1_US</v>
      </c>
      <c r="AL154" t="str">
        <f>VLOOKUP(MID($AR154,1,255),country_lookup!$B:$F,3,FALSE)</f>
        <v>1_developed</v>
      </c>
      <c r="AM154" t="str">
        <f>VLOOKUP(MID($AR154,1,255),country_lookup!$B:$F,4,FALSE)</f>
        <v>1_western</v>
      </c>
      <c r="AN154" t="str">
        <f>VLOOKUP(MID($AR154,1,255),country_lookup!$B:$F,5,FALSE)</f>
        <v>1_common law</v>
      </c>
      <c r="AO154" s="10" t="str">
        <f>VLOOKUP(MID($AS154,1,255),source_lookup!$B:$K,4,FALSE)</f>
        <v>1_not published</v>
      </c>
      <c r="AP154" s="10" t="str">
        <f>VLOOKUP(MID($AS154,1,255),source_lookup!$B:$K,6,FALSE)</f>
        <v>99_NA</v>
      </c>
      <c r="AQ154" s="10" t="str">
        <f>VLOOKUP(MID($AS154,1,255),source_lookup!$B:$K,10,FALSE)</f>
        <v>1_fin/acc/econ</v>
      </c>
      <c r="AR154" t="s">
        <v>85</v>
      </c>
      <c r="AS154" t="s">
        <v>127</v>
      </c>
    </row>
    <row r="155" spans="1:45" x14ac:dyDescent="0.3">
      <c r="A155" t="s">
        <v>3</v>
      </c>
      <c r="B155">
        <v>154</v>
      </c>
      <c r="C155" s="1">
        <v>-1.8163850844904635E-2</v>
      </c>
      <c r="D155" s="2">
        <v>582</v>
      </c>
      <c r="E155" s="4">
        <v>2910</v>
      </c>
      <c r="F155" s="4" t="s">
        <v>346</v>
      </c>
      <c r="G155" s="4" t="s">
        <v>346</v>
      </c>
      <c r="H155" t="s">
        <v>77</v>
      </c>
      <c r="I155" t="s">
        <v>350</v>
      </c>
      <c r="J155" s="3">
        <v>2002</v>
      </c>
      <c r="K155" s="3">
        <v>2006</v>
      </c>
      <c r="L155" s="6">
        <f t="shared" si="51"/>
        <v>2004</v>
      </c>
      <c r="M155" s="6">
        <f t="shared" si="52"/>
        <v>2004</v>
      </c>
      <c r="N155" s="7">
        <f t="shared" si="40"/>
        <v>0</v>
      </c>
      <c r="O155" s="7">
        <f t="shared" si="41"/>
        <v>0</v>
      </c>
      <c r="P155" s="7">
        <f t="shared" si="42"/>
        <v>0</v>
      </c>
      <c r="Q155" s="7">
        <f t="shared" si="53"/>
        <v>0</v>
      </c>
      <c r="R155" s="10" t="str">
        <f t="shared" si="43"/>
        <v>0_Pre</v>
      </c>
      <c r="S155" s="10" t="str">
        <f t="shared" si="44"/>
        <v>0_Pre</v>
      </c>
      <c r="T155" s="10" t="str">
        <f t="shared" si="45"/>
        <v>0_Pre</v>
      </c>
      <c r="U155" s="10" t="str">
        <f t="shared" si="46"/>
        <v>0_Pre</v>
      </c>
      <c r="V155" s="10" t="str">
        <f t="shared" si="54"/>
        <v>0_Pre</v>
      </c>
      <c r="W155" s="10" t="str">
        <f t="shared" si="47"/>
        <v>clean_pre</v>
      </c>
      <c r="X155" s="10" t="str">
        <f t="shared" si="48"/>
        <v>0_Pre</v>
      </c>
      <c r="Y155" s="10" t="str">
        <f t="shared" si="49"/>
        <v>0_Pre</v>
      </c>
      <c r="Z155" s="10" t="str">
        <f t="shared" si="50"/>
        <v>0_Pre</v>
      </c>
      <c r="AA155" s="10" t="str">
        <f t="shared" si="55"/>
        <v>0_Pre</v>
      </c>
      <c r="AB155" s="10" t="str">
        <f t="shared" si="56"/>
        <v>0_Pre</v>
      </c>
      <c r="AC155" s="10" t="str">
        <f t="shared" si="57"/>
        <v>0_Pre</v>
      </c>
      <c r="AD155" s="10" t="str">
        <f t="shared" si="58"/>
        <v>1_pre sample median</v>
      </c>
      <c r="AE155" s="10" t="str">
        <f t="shared" si="59"/>
        <v>1_pre sample first tertile</v>
      </c>
      <c r="AF155" t="s">
        <v>67</v>
      </c>
      <c r="AG155" t="s">
        <v>75</v>
      </c>
      <c r="AH155" t="s">
        <v>78</v>
      </c>
      <c r="AI155" t="s">
        <v>123</v>
      </c>
      <c r="AJ155" t="s">
        <v>123</v>
      </c>
      <c r="AK155" t="str">
        <f>VLOOKUP(MID($AR155,1,255),country_lookup!$B:$F,2,FALSE)</f>
        <v>1_US</v>
      </c>
      <c r="AL155" t="str">
        <f>VLOOKUP(MID($AR155,1,255),country_lookup!$B:$F,3,FALSE)</f>
        <v>1_developed</v>
      </c>
      <c r="AM155" t="str">
        <f>VLOOKUP(MID($AR155,1,255),country_lookup!$B:$F,4,FALSE)</f>
        <v>1_western</v>
      </c>
      <c r="AN155" t="str">
        <f>VLOOKUP(MID($AR155,1,255),country_lookup!$B:$F,5,FALSE)</f>
        <v>1_common law</v>
      </c>
      <c r="AO155" s="10" t="str">
        <f>VLOOKUP(MID($AS155,1,255),source_lookup!$B:$K,4,FALSE)</f>
        <v>1_not published</v>
      </c>
      <c r="AP155" s="10" t="str">
        <f>VLOOKUP(MID($AS155,1,255),source_lookup!$B:$K,6,FALSE)</f>
        <v>99_NA</v>
      </c>
      <c r="AQ155" s="10" t="str">
        <f>VLOOKUP(MID($AS155,1,255),source_lookup!$B:$K,10,FALSE)</f>
        <v>1_fin/acc/econ</v>
      </c>
      <c r="AR155" t="s">
        <v>85</v>
      </c>
      <c r="AS155" t="s">
        <v>127</v>
      </c>
    </row>
    <row r="156" spans="1:45" x14ac:dyDescent="0.3">
      <c r="A156" t="s">
        <v>3</v>
      </c>
      <c r="B156">
        <v>155</v>
      </c>
      <c r="C156" s="1">
        <v>-4.3337230292420086E-2</v>
      </c>
      <c r="D156" s="2">
        <v>582</v>
      </c>
      <c r="E156" s="4">
        <v>2910</v>
      </c>
      <c r="F156" s="4" t="s">
        <v>346</v>
      </c>
      <c r="G156" s="4" t="s">
        <v>346</v>
      </c>
      <c r="H156" t="s">
        <v>77</v>
      </c>
      <c r="I156" t="s">
        <v>350</v>
      </c>
      <c r="J156" s="3">
        <v>2002</v>
      </c>
      <c r="K156" s="3">
        <v>2006</v>
      </c>
      <c r="L156" s="6">
        <f t="shared" si="51"/>
        <v>2004</v>
      </c>
      <c r="M156" s="6">
        <f t="shared" si="52"/>
        <v>2004</v>
      </c>
      <c r="N156" s="7">
        <f t="shared" si="40"/>
        <v>0</v>
      </c>
      <c r="O156" s="7">
        <f t="shared" si="41"/>
        <v>0</v>
      </c>
      <c r="P156" s="7">
        <f t="shared" si="42"/>
        <v>0</v>
      </c>
      <c r="Q156" s="7">
        <f t="shared" si="53"/>
        <v>0</v>
      </c>
      <c r="R156" s="10" t="str">
        <f t="shared" si="43"/>
        <v>0_Pre</v>
      </c>
      <c r="S156" s="10" t="str">
        <f t="shared" si="44"/>
        <v>0_Pre</v>
      </c>
      <c r="T156" s="10" t="str">
        <f t="shared" si="45"/>
        <v>0_Pre</v>
      </c>
      <c r="U156" s="10" t="str">
        <f t="shared" si="46"/>
        <v>0_Pre</v>
      </c>
      <c r="V156" s="10" t="str">
        <f t="shared" si="54"/>
        <v>0_Pre</v>
      </c>
      <c r="W156" s="10" t="str">
        <f t="shared" si="47"/>
        <v>clean_pre</v>
      </c>
      <c r="X156" s="10" t="str">
        <f t="shared" si="48"/>
        <v>0_Pre</v>
      </c>
      <c r="Y156" s="10" t="str">
        <f t="shared" si="49"/>
        <v>0_Pre</v>
      </c>
      <c r="Z156" s="10" t="str">
        <f t="shared" si="50"/>
        <v>0_Pre</v>
      </c>
      <c r="AA156" s="10" t="str">
        <f t="shared" si="55"/>
        <v>0_Pre</v>
      </c>
      <c r="AB156" s="10" t="str">
        <f t="shared" si="56"/>
        <v>0_Pre</v>
      </c>
      <c r="AC156" s="10" t="str">
        <f t="shared" si="57"/>
        <v>0_Pre</v>
      </c>
      <c r="AD156" s="10" t="str">
        <f t="shared" si="58"/>
        <v>1_pre sample median</v>
      </c>
      <c r="AE156" s="10" t="str">
        <f t="shared" si="59"/>
        <v>1_pre sample first tertile</v>
      </c>
      <c r="AF156" t="s">
        <v>67</v>
      </c>
      <c r="AG156" t="s">
        <v>75</v>
      </c>
      <c r="AH156" t="s">
        <v>78</v>
      </c>
      <c r="AI156" t="s">
        <v>123</v>
      </c>
      <c r="AJ156" t="s">
        <v>123</v>
      </c>
      <c r="AK156" t="str">
        <f>VLOOKUP(MID($AR156,1,255),country_lookup!$B:$F,2,FALSE)</f>
        <v>1_US</v>
      </c>
      <c r="AL156" t="str">
        <f>VLOOKUP(MID($AR156,1,255),country_lookup!$B:$F,3,FALSE)</f>
        <v>1_developed</v>
      </c>
      <c r="AM156" t="str">
        <f>VLOOKUP(MID($AR156,1,255),country_lookup!$B:$F,4,FALSE)</f>
        <v>1_western</v>
      </c>
      <c r="AN156" t="str">
        <f>VLOOKUP(MID($AR156,1,255),country_lookup!$B:$F,5,FALSE)</f>
        <v>1_common law</v>
      </c>
      <c r="AO156" s="10" t="str">
        <f>VLOOKUP(MID($AS156,1,255),source_lookup!$B:$K,4,FALSE)</f>
        <v>1_not published</v>
      </c>
      <c r="AP156" s="10" t="str">
        <f>VLOOKUP(MID($AS156,1,255),source_lookup!$B:$K,6,FALSE)</f>
        <v>99_NA</v>
      </c>
      <c r="AQ156" s="10" t="str">
        <f>VLOOKUP(MID($AS156,1,255),source_lookup!$B:$K,10,FALSE)</f>
        <v>1_fin/acc/econ</v>
      </c>
      <c r="AR156" t="s">
        <v>85</v>
      </c>
      <c r="AS156" t="s">
        <v>127</v>
      </c>
    </row>
    <row r="157" spans="1:45" x14ac:dyDescent="0.3">
      <c r="A157" t="s">
        <v>3</v>
      </c>
      <c r="B157">
        <v>156</v>
      </c>
      <c r="C157" s="1">
        <v>-1.0410546454368983E-2</v>
      </c>
      <c r="D157" s="2">
        <v>1094</v>
      </c>
      <c r="E157" s="4">
        <v>5470</v>
      </c>
      <c r="F157" s="4" t="s">
        <v>346</v>
      </c>
      <c r="G157" s="4" t="s">
        <v>346</v>
      </c>
      <c r="H157" t="s">
        <v>77</v>
      </c>
      <c r="I157" t="s">
        <v>350</v>
      </c>
      <c r="J157" s="3">
        <v>2002</v>
      </c>
      <c r="K157" s="3">
        <v>2006</v>
      </c>
      <c r="L157" s="6">
        <f t="shared" si="51"/>
        <v>2004</v>
      </c>
      <c r="M157" s="6">
        <f t="shared" si="52"/>
        <v>2004</v>
      </c>
      <c r="N157" s="7">
        <f t="shared" si="40"/>
        <v>0</v>
      </c>
      <c r="O157" s="7">
        <f t="shared" si="41"/>
        <v>0</v>
      </c>
      <c r="P157" s="7">
        <f t="shared" si="42"/>
        <v>0</v>
      </c>
      <c r="Q157" s="7">
        <f t="shared" si="53"/>
        <v>0</v>
      </c>
      <c r="R157" s="10" t="str">
        <f t="shared" si="43"/>
        <v>0_Pre</v>
      </c>
      <c r="S157" s="10" t="str">
        <f t="shared" si="44"/>
        <v>0_Pre</v>
      </c>
      <c r="T157" s="10" t="str">
        <f t="shared" si="45"/>
        <v>0_Pre</v>
      </c>
      <c r="U157" s="10" t="str">
        <f t="shared" si="46"/>
        <v>0_Pre</v>
      </c>
      <c r="V157" s="10" t="str">
        <f t="shared" si="54"/>
        <v>0_Pre</v>
      </c>
      <c r="W157" s="10" t="str">
        <f t="shared" si="47"/>
        <v>clean_pre</v>
      </c>
      <c r="X157" s="10" t="str">
        <f t="shared" si="48"/>
        <v>0_Pre</v>
      </c>
      <c r="Y157" s="10" t="str">
        <f t="shared" si="49"/>
        <v>0_Pre</v>
      </c>
      <c r="Z157" s="10" t="str">
        <f t="shared" si="50"/>
        <v>0_Pre</v>
      </c>
      <c r="AA157" s="10" t="str">
        <f t="shared" si="55"/>
        <v>0_Pre</v>
      </c>
      <c r="AB157" s="10" t="str">
        <f t="shared" si="56"/>
        <v>0_Pre</v>
      </c>
      <c r="AC157" s="10" t="str">
        <f t="shared" si="57"/>
        <v>0_Pre</v>
      </c>
      <c r="AD157" s="10" t="str">
        <f t="shared" si="58"/>
        <v>1_pre sample median</v>
      </c>
      <c r="AE157" s="10" t="str">
        <f t="shared" si="59"/>
        <v>1_pre sample first tertile</v>
      </c>
      <c r="AF157" t="s">
        <v>67</v>
      </c>
      <c r="AG157" t="s">
        <v>75</v>
      </c>
      <c r="AH157" t="s">
        <v>78</v>
      </c>
      <c r="AI157" t="s">
        <v>123</v>
      </c>
      <c r="AJ157" t="s">
        <v>123</v>
      </c>
      <c r="AK157" t="str">
        <f>VLOOKUP(MID($AR157,1,255),country_lookup!$B:$F,2,FALSE)</f>
        <v>1_US</v>
      </c>
      <c r="AL157" t="str">
        <f>VLOOKUP(MID($AR157,1,255),country_lookup!$B:$F,3,FALSE)</f>
        <v>1_developed</v>
      </c>
      <c r="AM157" t="str">
        <f>VLOOKUP(MID($AR157,1,255),country_lookup!$B:$F,4,FALSE)</f>
        <v>1_western</v>
      </c>
      <c r="AN157" t="str">
        <f>VLOOKUP(MID($AR157,1,255),country_lookup!$B:$F,5,FALSE)</f>
        <v>1_common law</v>
      </c>
      <c r="AO157" s="10" t="str">
        <f>VLOOKUP(MID($AS157,1,255),source_lookup!$B:$K,4,FALSE)</f>
        <v>1_not published</v>
      </c>
      <c r="AP157" s="10" t="str">
        <f>VLOOKUP(MID($AS157,1,255),source_lookup!$B:$K,6,FALSE)</f>
        <v>99_NA</v>
      </c>
      <c r="AQ157" s="10" t="str">
        <f>VLOOKUP(MID($AS157,1,255),source_lookup!$B:$K,10,FALSE)</f>
        <v>1_fin/acc/econ</v>
      </c>
      <c r="AR157" t="s">
        <v>85</v>
      </c>
      <c r="AS157" t="s">
        <v>127</v>
      </c>
    </row>
    <row r="158" spans="1:45" x14ac:dyDescent="0.3">
      <c r="A158" t="s">
        <v>3</v>
      </c>
      <c r="B158">
        <v>157</v>
      </c>
      <c r="C158" s="1">
        <v>-5.2119826761991804E-2</v>
      </c>
      <c r="D158" s="2">
        <v>1094</v>
      </c>
      <c r="E158" s="4">
        <v>5470</v>
      </c>
      <c r="F158" s="4" t="s">
        <v>346</v>
      </c>
      <c r="G158" s="4" t="s">
        <v>346</v>
      </c>
      <c r="H158" t="s">
        <v>77</v>
      </c>
      <c r="I158" t="s">
        <v>350</v>
      </c>
      <c r="J158" s="3">
        <v>2002</v>
      </c>
      <c r="K158" s="3">
        <v>2006</v>
      </c>
      <c r="L158" s="6">
        <f t="shared" si="51"/>
        <v>2004</v>
      </c>
      <c r="M158" s="6">
        <f t="shared" si="52"/>
        <v>2004</v>
      </c>
      <c r="N158" s="7">
        <f t="shared" si="40"/>
        <v>0</v>
      </c>
      <c r="O158" s="7">
        <f t="shared" si="41"/>
        <v>0</v>
      </c>
      <c r="P158" s="7">
        <f t="shared" si="42"/>
        <v>0</v>
      </c>
      <c r="Q158" s="7">
        <f t="shared" si="53"/>
        <v>0</v>
      </c>
      <c r="R158" s="10" t="str">
        <f t="shared" si="43"/>
        <v>0_Pre</v>
      </c>
      <c r="S158" s="10" t="str">
        <f t="shared" si="44"/>
        <v>0_Pre</v>
      </c>
      <c r="T158" s="10" t="str">
        <f t="shared" si="45"/>
        <v>0_Pre</v>
      </c>
      <c r="U158" s="10" t="str">
        <f t="shared" si="46"/>
        <v>0_Pre</v>
      </c>
      <c r="V158" s="10" t="str">
        <f t="shared" si="54"/>
        <v>0_Pre</v>
      </c>
      <c r="W158" s="10" t="str">
        <f t="shared" si="47"/>
        <v>clean_pre</v>
      </c>
      <c r="X158" s="10" t="str">
        <f t="shared" si="48"/>
        <v>0_Pre</v>
      </c>
      <c r="Y158" s="10" t="str">
        <f t="shared" si="49"/>
        <v>0_Pre</v>
      </c>
      <c r="Z158" s="10" t="str">
        <f t="shared" si="50"/>
        <v>0_Pre</v>
      </c>
      <c r="AA158" s="10" t="str">
        <f t="shared" si="55"/>
        <v>0_Pre</v>
      </c>
      <c r="AB158" s="10" t="str">
        <f t="shared" si="56"/>
        <v>0_Pre</v>
      </c>
      <c r="AC158" s="10" t="str">
        <f t="shared" si="57"/>
        <v>0_Pre</v>
      </c>
      <c r="AD158" s="10" t="str">
        <f t="shared" si="58"/>
        <v>1_pre sample median</v>
      </c>
      <c r="AE158" s="10" t="str">
        <f t="shared" si="59"/>
        <v>1_pre sample first tertile</v>
      </c>
      <c r="AF158" t="s">
        <v>67</v>
      </c>
      <c r="AG158" t="s">
        <v>75</v>
      </c>
      <c r="AH158" t="s">
        <v>78</v>
      </c>
      <c r="AI158" t="s">
        <v>123</v>
      </c>
      <c r="AJ158" t="s">
        <v>123</v>
      </c>
      <c r="AK158" t="str">
        <f>VLOOKUP(MID($AR158,1,255),country_lookup!$B:$F,2,FALSE)</f>
        <v>1_US</v>
      </c>
      <c r="AL158" t="str">
        <f>VLOOKUP(MID($AR158,1,255),country_lookup!$B:$F,3,FALSE)</f>
        <v>1_developed</v>
      </c>
      <c r="AM158" t="str">
        <f>VLOOKUP(MID($AR158,1,255),country_lookup!$B:$F,4,FALSE)</f>
        <v>1_western</v>
      </c>
      <c r="AN158" t="str">
        <f>VLOOKUP(MID($AR158,1,255),country_lookup!$B:$F,5,FALSE)</f>
        <v>1_common law</v>
      </c>
      <c r="AO158" s="10" t="str">
        <f>VLOOKUP(MID($AS158,1,255),source_lookup!$B:$K,4,FALSE)</f>
        <v>1_not published</v>
      </c>
      <c r="AP158" s="10" t="str">
        <f>VLOOKUP(MID($AS158,1,255),source_lookup!$B:$K,6,FALSE)</f>
        <v>99_NA</v>
      </c>
      <c r="AQ158" s="10" t="str">
        <f>VLOOKUP(MID($AS158,1,255),source_lookup!$B:$K,10,FALSE)</f>
        <v>1_fin/acc/econ</v>
      </c>
      <c r="AR158" t="s">
        <v>85</v>
      </c>
      <c r="AS158" t="s">
        <v>127</v>
      </c>
    </row>
    <row r="159" spans="1:45" x14ac:dyDescent="0.3">
      <c r="A159" t="s">
        <v>4</v>
      </c>
      <c r="B159">
        <v>158</v>
      </c>
      <c r="C159" s="1">
        <v>-3.9497625276668211E-2</v>
      </c>
      <c r="D159" s="2">
        <v>21</v>
      </c>
      <c r="E159" s="4">
        <v>360</v>
      </c>
      <c r="F159" s="4" t="s">
        <v>347</v>
      </c>
      <c r="G159" s="4" t="s">
        <v>346</v>
      </c>
      <c r="H159" t="s">
        <v>77</v>
      </c>
      <c r="I159" t="s">
        <v>352</v>
      </c>
      <c r="J159" s="3">
        <v>1996</v>
      </c>
      <c r="K159" s="3">
        <v>2012</v>
      </c>
      <c r="L159" s="6">
        <f t="shared" si="51"/>
        <v>2004</v>
      </c>
      <c r="M159" s="6">
        <f t="shared" si="52"/>
        <v>2004</v>
      </c>
      <c r="N159" s="7">
        <f t="shared" si="40"/>
        <v>0</v>
      </c>
      <c r="O159" s="7">
        <f t="shared" si="41"/>
        <v>0</v>
      </c>
      <c r="P159" s="7">
        <f t="shared" si="42"/>
        <v>0</v>
      </c>
      <c r="Q159" s="7">
        <f t="shared" si="53"/>
        <v>0</v>
      </c>
      <c r="R159" s="10" t="str">
        <f t="shared" si="43"/>
        <v>0_Pre</v>
      </c>
      <c r="S159" s="10" t="str">
        <f t="shared" si="44"/>
        <v>0_Pre</v>
      </c>
      <c r="T159" s="10" t="str">
        <f t="shared" si="45"/>
        <v>0_Pre</v>
      </c>
      <c r="U159" s="10" t="str">
        <f t="shared" si="46"/>
        <v>0_Pre</v>
      </c>
      <c r="V159" s="10" t="str">
        <f t="shared" si="54"/>
        <v>0_Pre</v>
      </c>
      <c r="W159" s="10" t="str">
        <f t="shared" si="47"/>
        <v>clean_pre</v>
      </c>
      <c r="X159" s="10" t="str">
        <f t="shared" si="48"/>
        <v>0_Pre</v>
      </c>
      <c r="Y159" s="10" t="str">
        <f t="shared" si="49"/>
        <v>0_Pre</v>
      </c>
      <c r="Z159" s="10" t="str">
        <f t="shared" si="50"/>
        <v>0_Pre</v>
      </c>
      <c r="AA159" s="10" t="str">
        <f t="shared" si="55"/>
        <v>0_Pre</v>
      </c>
      <c r="AB159" s="10" t="str">
        <f t="shared" si="56"/>
        <v>0_Pre</v>
      </c>
      <c r="AC159" s="10" t="str">
        <f t="shared" si="57"/>
        <v>0_Pre</v>
      </c>
      <c r="AD159" s="10" t="str">
        <f t="shared" si="58"/>
        <v>1_pre sample median</v>
      </c>
      <c r="AE159" s="10" t="str">
        <f t="shared" si="59"/>
        <v>1_pre sample first tertile</v>
      </c>
      <c r="AF159" t="s">
        <v>82</v>
      </c>
      <c r="AG159" t="s">
        <v>75</v>
      </c>
      <c r="AH159" t="s">
        <v>78</v>
      </c>
      <c r="AI159" t="s">
        <v>70</v>
      </c>
      <c r="AJ159" t="s">
        <v>70</v>
      </c>
      <c r="AK159" t="str">
        <f>VLOOKUP(MID($AR159,1,255),country_lookup!$B:$F,2,FALSE)</f>
        <v>99_NCE</v>
      </c>
      <c r="AL159" t="str">
        <f>VLOOKUP(MID($AR159,1,255),country_lookup!$B:$F,3,FALSE)</f>
        <v>1_developed</v>
      </c>
      <c r="AM159" t="str">
        <f>VLOOKUP(MID($AR159,1,255),country_lookup!$B:$F,4,FALSE)</f>
        <v>99_NCE</v>
      </c>
      <c r="AN159" t="str">
        <f>VLOOKUP(MID($AR159,1,255),country_lookup!$B:$F,5,FALSE)</f>
        <v>2_civil law</v>
      </c>
      <c r="AO159" s="10" t="str">
        <f>VLOOKUP(MID($AS159,1,255),source_lookup!$B:$K,4,FALSE)</f>
        <v>0_published</v>
      </c>
      <c r="AP159" s="10" t="str">
        <f>VLOOKUP(MID($AS159,1,255),source_lookup!$B:$K,6,FALSE)</f>
        <v>1_VHB high</v>
      </c>
      <c r="AQ159" s="10" t="str">
        <f>VLOOKUP(MID($AS159,1,255),source_lookup!$B:$K,10,FALSE)</f>
        <v>1_fin/acc/econ</v>
      </c>
      <c r="AR159" t="s">
        <v>89</v>
      </c>
      <c r="AS159" t="s">
        <v>128</v>
      </c>
    </row>
    <row r="160" spans="1:45" x14ac:dyDescent="0.3">
      <c r="A160" t="s">
        <v>5</v>
      </c>
      <c r="B160">
        <v>159</v>
      </c>
      <c r="C160" s="1">
        <v>-4.7854508254524322E-2</v>
      </c>
      <c r="D160" s="2">
        <v>343</v>
      </c>
      <c r="E160" s="4">
        <v>6525</v>
      </c>
      <c r="F160" s="4" t="s">
        <v>347</v>
      </c>
      <c r="G160" s="4" t="s">
        <v>346</v>
      </c>
      <c r="H160" t="s">
        <v>77</v>
      </c>
      <c r="I160" t="s">
        <v>350</v>
      </c>
      <c r="J160" s="3">
        <v>1990</v>
      </c>
      <c r="K160" s="3">
        <v>2008</v>
      </c>
      <c r="L160" s="6">
        <f t="shared" si="51"/>
        <v>1999</v>
      </c>
      <c r="M160" s="6">
        <f t="shared" si="52"/>
        <v>1999</v>
      </c>
      <c r="N160" s="7">
        <f t="shared" si="40"/>
        <v>0</v>
      </c>
      <c r="O160" s="7">
        <f t="shared" si="41"/>
        <v>0</v>
      </c>
      <c r="P160" s="7">
        <f t="shared" si="42"/>
        <v>0</v>
      </c>
      <c r="Q160" s="7">
        <f t="shared" si="53"/>
        <v>0</v>
      </c>
      <c r="R160" s="10" t="str">
        <f t="shared" si="43"/>
        <v>0_Pre</v>
      </c>
      <c r="S160" s="10" t="str">
        <f t="shared" si="44"/>
        <v>0_Pre</v>
      </c>
      <c r="T160" s="10" t="str">
        <f t="shared" si="45"/>
        <v>0_Pre</v>
      </c>
      <c r="U160" s="10" t="str">
        <f t="shared" si="46"/>
        <v>0_Pre</v>
      </c>
      <c r="V160" s="10" t="str">
        <f t="shared" si="54"/>
        <v>0_Pre</v>
      </c>
      <c r="W160" s="10" t="str">
        <f t="shared" si="47"/>
        <v>clean_pre</v>
      </c>
      <c r="X160" s="10" t="str">
        <f t="shared" si="48"/>
        <v>0_Pre</v>
      </c>
      <c r="Y160" s="10" t="str">
        <f t="shared" si="49"/>
        <v>0_Pre</v>
      </c>
      <c r="Z160" s="10" t="str">
        <f t="shared" si="50"/>
        <v>0_Pre</v>
      </c>
      <c r="AA160" s="10" t="str">
        <f t="shared" si="55"/>
        <v>0_Pre</v>
      </c>
      <c r="AB160" s="10" t="str">
        <f t="shared" si="56"/>
        <v>0_Pre</v>
      </c>
      <c r="AC160" s="10" t="str">
        <f t="shared" si="57"/>
        <v>0_Pre</v>
      </c>
      <c r="AD160" s="10" t="str">
        <f t="shared" si="58"/>
        <v>1_pre sample median</v>
      </c>
      <c r="AE160" s="10" t="str">
        <f t="shared" si="59"/>
        <v>1_pre sample first tertile</v>
      </c>
      <c r="AF160" t="s">
        <v>80</v>
      </c>
      <c r="AG160" t="s">
        <v>75</v>
      </c>
      <c r="AH160" t="s">
        <v>78</v>
      </c>
      <c r="AI160" t="s">
        <v>123</v>
      </c>
      <c r="AJ160" t="s">
        <v>123</v>
      </c>
      <c r="AK160" t="str">
        <f>VLOOKUP(MID($AR160,1,255),country_lookup!$B:$F,2,FALSE)</f>
        <v>1_US</v>
      </c>
      <c r="AL160" t="str">
        <f>VLOOKUP(MID($AR160,1,255),country_lookup!$B:$F,3,FALSE)</f>
        <v>1_developed</v>
      </c>
      <c r="AM160" t="str">
        <f>VLOOKUP(MID($AR160,1,255),country_lookup!$B:$F,4,FALSE)</f>
        <v>1_western</v>
      </c>
      <c r="AN160" t="str">
        <f>VLOOKUP(MID($AR160,1,255),country_lookup!$B:$F,5,FALSE)</f>
        <v>1_common law</v>
      </c>
      <c r="AO160" s="10" t="str">
        <f>VLOOKUP(MID($AS160,1,255),source_lookup!$B:$K,4,FALSE)</f>
        <v>1_not published</v>
      </c>
      <c r="AP160" s="10" t="str">
        <f>VLOOKUP(MID($AS160,1,255),source_lookup!$B:$K,6,FALSE)</f>
        <v>99_NA</v>
      </c>
      <c r="AQ160" s="10" t="str">
        <f>VLOOKUP(MID($AS160,1,255),source_lookup!$B:$K,10,FALSE)</f>
        <v>1_fin/acc/econ</v>
      </c>
      <c r="AR160" t="s">
        <v>85</v>
      </c>
      <c r="AS160" t="s">
        <v>129</v>
      </c>
    </row>
    <row r="161" spans="1:45" x14ac:dyDescent="0.3">
      <c r="A161" t="s">
        <v>5</v>
      </c>
      <c r="B161">
        <v>160</v>
      </c>
      <c r="C161" s="1">
        <v>-3.3282914036460991E-2</v>
      </c>
      <c r="D161" s="2">
        <v>343</v>
      </c>
      <c r="E161" s="4">
        <v>6525</v>
      </c>
      <c r="F161" s="4" t="s">
        <v>347</v>
      </c>
      <c r="G161" s="4" t="s">
        <v>346</v>
      </c>
      <c r="H161" t="s">
        <v>77</v>
      </c>
      <c r="I161" t="s">
        <v>350</v>
      </c>
      <c r="J161" s="3">
        <v>1990</v>
      </c>
      <c r="K161" s="3">
        <v>2008</v>
      </c>
      <c r="L161" s="6">
        <f t="shared" si="51"/>
        <v>1999</v>
      </c>
      <c r="M161" s="6">
        <f t="shared" si="52"/>
        <v>1999</v>
      </c>
      <c r="N161" s="7">
        <f t="shared" si="40"/>
        <v>0</v>
      </c>
      <c r="O161" s="7">
        <f t="shared" si="41"/>
        <v>0</v>
      </c>
      <c r="P161" s="7">
        <f t="shared" si="42"/>
        <v>0</v>
      </c>
      <c r="Q161" s="7">
        <f t="shared" si="53"/>
        <v>0</v>
      </c>
      <c r="R161" s="10" t="str">
        <f t="shared" si="43"/>
        <v>0_Pre</v>
      </c>
      <c r="S161" s="10" t="str">
        <f t="shared" si="44"/>
        <v>0_Pre</v>
      </c>
      <c r="T161" s="10" t="str">
        <f t="shared" si="45"/>
        <v>0_Pre</v>
      </c>
      <c r="U161" s="10" t="str">
        <f t="shared" si="46"/>
        <v>0_Pre</v>
      </c>
      <c r="V161" s="10" t="str">
        <f t="shared" si="54"/>
        <v>0_Pre</v>
      </c>
      <c r="W161" s="10" t="str">
        <f t="shared" si="47"/>
        <v>clean_pre</v>
      </c>
      <c r="X161" s="10" t="str">
        <f t="shared" si="48"/>
        <v>0_Pre</v>
      </c>
      <c r="Y161" s="10" t="str">
        <f t="shared" si="49"/>
        <v>0_Pre</v>
      </c>
      <c r="Z161" s="10" t="str">
        <f t="shared" si="50"/>
        <v>0_Pre</v>
      </c>
      <c r="AA161" s="10" t="str">
        <f t="shared" si="55"/>
        <v>0_Pre</v>
      </c>
      <c r="AB161" s="10" t="str">
        <f t="shared" si="56"/>
        <v>0_Pre</v>
      </c>
      <c r="AC161" s="10" t="str">
        <f t="shared" si="57"/>
        <v>0_Pre</v>
      </c>
      <c r="AD161" s="10" t="str">
        <f t="shared" si="58"/>
        <v>1_pre sample median</v>
      </c>
      <c r="AE161" s="10" t="str">
        <f t="shared" si="59"/>
        <v>1_pre sample first tertile</v>
      </c>
      <c r="AF161" t="s">
        <v>80</v>
      </c>
      <c r="AG161" t="s">
        <v>75</v>
      </c>
      <c r="AH161" t="s">
        <v>78</v>
      </c>
      <c r="AI161" t="s">
        <v>123</v>
      </c>
      <c r="AJ161" t="s">
        <v>123</v>
      </c>
      <c r="AK161" t="str">
        <f>VLOOKUP(MID($AR161,1,255),country_lookup!$B:$F,2,FALSE)</f>
        <v>1_US</v>
      </c>
      <c r="AL161" t="str">
        <f>VLOOKUP(MID($AR161,1,255),country_lookup!$B:$F,3,FALSE)</f>
        <v>1_developed</v>
      </c>
      <c r="AM161" t="str">
        <f>VLOOKUP(MID($AR161,1,255),country_lookup!$B:$F,4,FALSE)</f>
        <v>1_western</v>
      </c>
      <c r="AN161" t="str">
        <f>VLOOKUP(MID($AR161,1,255),country_lookup!$B:$F,5,FALSE)</f>
        <v>1_common law</v>
      </c>
      <c r="AO161" s="10" t="str">
        <f>VLOOKUP(MID($AS161,1,255),source_lookup!$B:$K,4,FALSE)</f>
        <v>1_not published</v>
      </c>
      <c r="AP161" s="10" t="str">
        <f>VLOOKUP(MID($AS161,1,255),source_lookup!$B:$K,6,FALSE)</f>
        <v>99_NA</v>
      </c>
      <c r="AQ161" s="10" t="str">
        <f>VLOOKUP(MID($AS161,1,255),source_lookup!$B:$K,10,FALSE)</f>
        <v>1_fin/acc/econ</v>
      </c>
      <c r="AR161" t="s">
        <v>85</v>
      </c>
      <c r="AS161" t="s">
        <v>129</v>
      </c>
    </row>
    <row r="162" spans="1:45" x14ac:dyDescent="0.3">
      <c r="A162" t="s">
        <v>5</v>
      </c>
      <c r="B162">
        <v>161</v>
      </c>
      <c r="C162" s="1">
        <v>-3.9336941434341001E-2</v>
      </c>
      <c r="D162" s="2">
        <v>343</v>
      </c>
      <c r="E162" s="4">
        <v>6525</v>
      </c>
      <c r="F162" s="4" t="s">
        <v>347</v>
      </c>
      <c r="G162" s="4" t="s">
        <v>346</v>
      </c>
      <c r="H162" t="s">
        <v>77</v>
      </c>
      <c r="I162" t="s">
        <v>350</v>
      </c>
      <c r="J162" s="3">
        <v>1990</v>
      </c>
      <c r="K162" s="3">
        <v>2008</v>
      </c>
      <c r="L162" s="6">
        <f t="shared" si="51"/>
        <v>1999</v>
      </c>
      <c r="M162" s="6">
        <f t="shared" si="52"/>
        <v>1999</v>
      </c>
      <c r="N162" s="7">
        <f t="shared" si="40"/>
        <v>0</v>
      </c>
      <c r="O162" s="7">
        <f t="shared" si="41"/>
        <v>0</v>
      </c>
      <c r="P162" s="7">
        <f t="shared" si="42"/>
        <v>0</v>
      </c>
      <c r="Q162" s="7">
        <f t="shared" si="53"/>
        <v>0</v>
      </c>
      <c r="R162" s="10" t="str">
        <f t="shared" si="43"/>
        <v>0_Pre</v>
      </c>
      <c r="S162" s="10" t="str">
        <f t="shared" si="44"/>
        <v>0_Pre</v>
      </c>
      <c r="T162" s="10" t="str">
        <f t="shared" si="45"/>
        <v>0_Pre</v>
      </c>
      <c r="U162" s="10" t="str">
        <f t="shared" si="46"/>
        <v>0_Pre</v>
      </c>
      <c r="V162" s="10" t="str">
        <f t="shared" si="54"/>
        <v>0_Pre</v>
      </c>
      <c r="W162" s="10" t="str">
        <f t="shared" si="47"/>
        <v>clean_pre</v>
      </c>
      <c r="X162" s="10" t="str">
        <f t="shared" si="48"/>
        <v>0_Pre</v>
      </c>
      <c r="Y162" s="10" t="str">
        <f t="shared" si="49"/>
        <v>0_Pre</v>
      </c>
      <c r="Z162" s="10" t="str">
        <f t="shared" si="50"/>
        <v>0_Pre</v>
      </c>
      <c r="AA162" s="10" t="str">
        <f t="shared" si="55"/>
        <v>0_Pre</v>
      </c>
      <c r="AB162" s="10" t="str">
        <f t="shared" si="56"/>
        <v>0_Pre</v>
      </c>
      <c r="AC162" s="10" t="str">
        <f t="shared" si="57"/>
        <v>0_Pre</v>
      </c>
      <c r="AD162" s="10" t="str">
        <f t="shared" si="58"/>
        <v>1_pre sample median</v>
      </c>
      <c r="AE162" s="10" t="str">
        <f t="shared" si="59"/>
        <v>1_pre sample first tertile</v>
      </c>
      <c r="AF162" t="s">
        <v>80</v>
      </c>
      <c r="AG162" t="s">
        <v>75</v>
      </c>
      <c r="AH162" t="s">
        <v>78</v>
      </c>
      <c r="AI162" t="s">
        <v>123</v>
      </c>
      <c r="AJ162" t="s">
        <v>123</v>
      </c>
      <c r="AK162" t="str">
        <f>VLOOKUP(MID($AR162,1,255),country_lookup!$B:$F,2,FALSE)</f>
        <v>1_US</v>
      </c>
      <c r="AL162" t="str">
        <f>VLOOKUP(MID($AR162,1,255),country_lookup!$B:$F,3,FALSE)</f>
        <v>1_developed</v>
      </c>
      <c r="AM162" t="str">
        <f>VLOOKUP(MID($AR162,1,255),country_lookup!$B:$F,4,FALSE)</f>
        <v>1_western</v>
      </c>
      <c r="AN162" t="str">
        <f>VLOOKUP(MID($AR162,1,255),country_lookup!$B:$F,5,FALSE)</f>
        <v>1_common law</v>
      </c>
      <c r="AO162" s="10" t="str">
        <f>VLOOKUP(MID($AS162,1,255),source_lookup!$B:$K,4,FALSE)</f>
        <v>1_not published</v>
      </c>
      <c r="AP162" s="10" t="str">
        <f>VLOOKUP(MID($AS162,1,255),source_lookup!$B:$K,6,FALSE)</f>
        <v>99_NA</v>
      </c>
      <c r="AQ162" s="10" t="str">
        <f>VLOOKUP(MID($AS162,1,255),source_lookup!$B:$K,10,FALSE)</f>
        <v>1_fin/acc/econ</v>
      </c>
      <c r="AR162" t="s">
        <v>85</v>
      </c>
      <c r="AS162" t="s">
        <v>129</v>
      </c>
    </row>
    <row r="163" spans="1:45" x14ac:dyDescent="0.3">
      <c r="A163" t="s">
        <v>5</v>
      </c>
      <c r="B163">
        <v>162</v>
      </c>
      <c r="C163" s="1">
        <v>-2.9327243297301117E-2</v>
      </c>
      <c r="D163" s="2">
        <v>343</v>
      </c>
      <c r="E163" s="4">
        <v>6525</v>
      </c>
      <c r="F163" s="4" t="s">
        <v>347</v>
      </c>
      <c r="G163" s="4" t="s">
        <v>346</v>
      </c>
      <c r="H163" t="s">
        <v>77</v>
      </c>
      <c r="I163" t="s">
        <v>350</v>
      </c>
      <c r="J163" s="3">
        <v>1990</v>
      </c>
      <c r="K163" s="3">
        <v>2008</v>
      </c>
      <c r="L163" s="6">
        <f t="shared" si="51"/>
        <v>1999</v>
      </c>
      <c r="M163" s="6">
        <f t="shared" si="52"/>
        <v>1999</v>
      </c>
      <c r="N163" s="7">
        <f t="shared" si="40"/>
        <v>0</v>
      </c>
      <c r="O163" s="7">
        <f t="shared" si="41"/>
        <v>0</v>
      </c>
      <c r="P163" s="7">
        <f t="shared" si="42"/>
        <v>0</v>
      </c>
      <c r="Q163" s="7">
        <f t="shared" si="53"/>
        <v>0</v>
      </c>
      <c r="R163" s="10" t="str">
        <f t="shared" si="43"/>
        <v>0_Pre</v>
      </c>
      <c r="S163" s="10" t="str">
        <f t="shared" si="44"/>
        <v>0_Pre</v>
      </c>
      <c r="T163" s="10" t="str">
        <f t="shared" si="45"/>
        <v>0_Pre</v>
      </c>
      <c r="U163" s="10" t="str">
        <f t="shared" si="46"/>
        <v>0_Pre</v>
      </c>
      <c r="V163" s="10" t="str">
        <f t="shared" si="54"/>
        <v>0_Pre</v>
      </c>
      <c r="W163" s="10" t="str">
        <f t="shared" si="47"/>
        <v>clean_pre</v>
      </c>
      <c r="X163" s="10" t="str">
        <f t="shared" si="48"/>
        <v>0_Pre</v>
      </c>
      <c r="Y163" s="10" t="str">
        <f t="shared" si="49"/>
        <v>0_Pre</v>
      </c>
      <c r="Z163" s="10" t="str">
        <f t="shared" si="50"/>
        <v>0_Pre</v>
      </c>
      <c r="AA163" s="10" t="str">
        <f t="shared" si="55"/>
        <v>0_Pre</v>
      </c>
      <c r="AB163" s="10" t="str">
        <f t="shared" si="56"/>
        <v>0_Pre</v>
      </c>
      <c r="AC163" s="10" t="str">
        <f t="shared" si="57"/>
        <v>0_Pre</v>
      </c>
      <c r="AD163" s="10" t="str">
        <f t="shared" si="58"/>
        <v>1_pre sample median</v>
      </c>
      <c r="AE163" s="10" t="str">
        <f t="shared" si="59"/>
        <v>1_pre sample first tertile</v>
      </c>
      <c r="AF163" t="s">
        <v>80</v>
      </c>
      <c r="AG163" t="s">
        <v>75</v>
      </c>
      <c r="AH163" t="s">
        <v>78</v>
      </c>
      <c r="AI163" t="s">
        <v>123</v>
      </c>
      <c r="AJ163" t="s">
        <v>123</v>
      </c>
      <c r="AK163" t="str">
        <f>VLOOKUP(MID($AR163,1,255),country_lookup!$B:$F,2,FALSE)</f>
        <v>1_US</v>
      </c>
      <c r="AL163" t="str">
        <f>VLOOKUP(MID($AR163,1,255),country_lookup!$B:$F,3,FALSE)</f>
        <v>1_developed</v>
      </c>
      <c r="AM163" t="str">
        <f>VLOOKUP(MID($AR163,1,255),country_lookup!$B:$F,4,FALSE)</f>
        <v>1_western</v>
      </c>
      <c r="AN163" t="str">
        <f>VLOOKUP(MID($AR163,1,255),country_lookup!$B:$F,5,FALSE)</f>
        <v>1_common law</v>
      </c>
      <c r="AO163" s="10" t="str">
        <f>VLOOKUP(MID($AS163,1,255),source_lookup!$B:$K,4,FALSE)</f>
        <v>1_not published</v>
      </c>
      <c r="AP163" s="10" t="str">
        <f>VLOOKUP(MID($AS163,1,255),source_lookup!$B:$K,6,FALSE)</f>
        <v>99_NA</v>
      </c>
      <c r="AQ163" s="10" t="str">
        <f>VLOOKUP(MID($AS163,1,255),source_lookup!$B:$K,10,FALSE)</f>
        <v>1_fin/acc/econ</v>
      </c>
      <c r="AR163" t="s">
        <v>85</v>
      </c>
      <c r="AS163" t="s">
        <v>129</v>
      </c>
    </row>
    <row r="164" spans="1:45" x14ac:dyDescent="0.3">
      <c r="A164" t="s">
        <v>5</v>
      </c>
      <c r="B164">
        <v>163</v>
      </c>
      <c r="C164" s="1">
        <v>-2.2277910200330982E-2</v>
      </c>
      <c r="D164" s="2">
        <v>343</v>
      </c>
      <c r="E164" s="4">
        <v>6525</v>
      </c>
      <c r="F164" s="4" t="s">
        <v>347</v>
      </c>
      <c r="G164" s="4" t="s">
        <v>346</v>
      </c>
      <c r="H164" t="s">
        <v>77</v>
      </c>
      <c r="I164" t="s">
        <v>350</v>
      </c>
      <c r="J164" s="3">
        <v>1990</v>
      </c>
      <c r="K164" s="3">
        <v>2008</v>
      </c>
      <c r="L164" s="6">
        <f t="shared" si="51"/>
        <v>1999</v>
      </c>
      <c r="M164" s="6">
        <f t="shared" si="52"/>
        <v>1999</v>
      </c>
      <c r="N164" s="7">
        <f t="shared" si="40"/>
        <v>0</v>
      </c>
      <c r="O164" s="7">
        <f t="shared" si="41"/>
        <v>0</v>
      </c>
      <c r="P164" s="7">
        <f t="shared" si="42"/>
        <v>0</v>
      </c>
      <c r="Q164" s="7">
        <f t="shared" si="53"/>
        <v>0</v>
      </c>
      <c r="R164" s="10" t="str">
        <f t="shared" si="43"/>
        <v>0_Pre</v>
      </c>
      <c r="S164" s="10" t="str">
        <f t="shared" si="44"/>
        <v>0_Pre</v>
      </c>
      <c r="T164" s="10" t="str">
        <f t="shared" si="45"/>
        <v>0_Pre</v>
      </c>
      <c r="U164" s="10" t="str">
        <f t="shared" si="46"/>
        <v>0_Pre</v>
      </c>
      <c r="V164" s="10" t="str">
        <f t="shared" si="54"/>
        <v>0_Pre</v>
      </c>
      <c r="W164" s="10" t="str">
        <f t="shared" si="47"/>
        <v>clean_pre</v>
      </c>
      <c r="X164" s="10" t="str">
        <f t="shared" si="48"/>
        <v>0_Pre</v>
      </c>
      <c r="Y164" s="10" t="str">
        <f t="shared" si="49"/>
        <v>0_Pre</v>
      </c>
      <c r="Z164" s="10" t="str">
        <f t="shared" si="50"/>
        <v>0_Pre</v>
      </c>
      <c r="AA164" s="10" t="str">
        <f t="shared" si="55"/>
        <v>0_Pre</v>
      </c>
      <c r="AB164" s="10" t="str">
        <f t="shared" si="56"/>
        <v>0_Pre</v>
      </c>
      <c r="AC164" s="10" t="str">
        <f t="shared" si="57"/>
        <v>0_Pre</v>
      </c>
      <c r="AD164" s="10" t="str">
        <f t="shared" si="58"/>
        <v>1_pre sample median</v>
      </c>
      <c r="AE164" s="10" t="str">
        <f t="shared" si="59"/>
        <v>1_pre sample first tertile</v>
      </c>
      <c r="AF164" t="s">
        <v>80</v>
      </c>
      <c r="AG164" t="s">
        <v>75</v>
      </c>
      <c r="AH164" t="s">
        <v>78</v>
      </c>
      <c r="AI164" t="s">
        <v>123</v>
      </c>
      <c r="AJ164" t="s">
        <v>123</v>
      </c>
      <c r="AK164" t="str">
        <f>VLOOKUP(MID($AR164,1,255),country_lookup!$B:$F,2,FALSE)</f>
        <v>1_US</v>
      </c>
      <c r="AL164" t="str">
        <f>VLOOKUP(MID($AR164,1,255),country_lookup!$B:$F,3,FALSE)</f>
        <v>1_developed</v>
      </c>
      <c r="AM164" t="str">
        <f>VLOOKUP(MID($AR164,1,255),country_lookup!$B:$F,4,FALSE)</f>
        <v>1_western</v>
      </c>
      <c r="AN164" t="str">
        <f>VLOOKUP(MID($AR164,1,255),country_lookup!$B:$F,5,FALSE)</f>
        <v>1_common law</v>
      </c>
      <c r="AO164" s="10" t="str">
        <f>VLOOKUP(MID($AS164,1,255),source_lookup!$B:$K,4,FALSE)</f>
        <v>1_not published</v>
      </c>
      <c r="AP164" s="10" t="str">
        <f>VLOOKUP(MID($AS164,1,255),source_lookup!$B:$K,6,FALSE)</f>
        <v>99_NA</v>
      </c>
      <c r="AQ164" s="10" t="str">
        <f>VLOOKUP(MID($AS164,1,255),source_lookup!$B:$K,10,FALSE)</f>
        <v>1_fin/acc/econ</v>
      </c>
      <c r="AR164" t="s">
        <v>85</v>
      </c>
      <c r="AS164" t="s">
        <v>129</v>
      </c>
    </row>
    <row r="165" spans="1:45" x14ac:dyDescent="0.3">
      <c r="A165" t="s">
        <v>5</v>
      </c>
      <c r="B165">
        <v>164</v>
      </c>
      <c r="C165" s="1">
        <v>-2.017478637045348E-2</v>
      </c>
      <c r="D165" s="2">
        <v>343</v>
      </c>
      <c r="E165" s="4">
        <v>6525</v>
      </c>
      <c r="F165" s="4" t="s">
        <v>347</v>
      </c>
      <c r="G165" s="4" t="s">
        <v>346</v>
      </c>
      <c r="H165" t="s">
        <v>77</v>
      </c>
      <c r="I165" t="s">
        <v>350</v>
      </c>
      <c r="J165" s="3">
        <v>1990</v>
      </c>
      <c r="K165" s="3">
        <v>2008</v>
      </c>
      <c r="L165" s="6">
        <f t="shared" si="51"/>
        <v>1999</v>
      </c>
      <c r="M165" s="6">
        <f t="shared" si="52"/>
        <v>1999</v>
      </c>
      <c r="N165" s="7">
        <f t="shared" si="40"/>
        <v>0</v>
      </c>
      <c r="O165" s="7">
        <f t="shared" si="41"/>
        <v>0</v>
      </c>
      <c r="P165" s="7">
        <f t="shared" si="42"/>
        <v>0</v>
      </c>
      <c r="Q165" s="7">
        <f t="shared" si="53"/>
        <v>0</v>
      </c>
      <c r="R165" s="10" t="str">
        <f t="shared" si="43"/>
        <v>0_Pre</v>
      </c>
      <c r="S165" s="10" t="str">
        <f t="shared" si="44"/>
        <v>0_Pre</v>
      </c>
      <c r="T165" s="10" t="str">
        <f t="shared" si="45"/>
        <v>0_Pre</v>
      </c>
      <c r="U165" s="10" t="str">
        <f t="shared" si="46"/>
        <v>0_Pre</v>
      </c>
      <c r="V165" s="10" t="str">
        <f t="shared" si="54"/>
        <v>0_Pre</v>
      </c>
      <c r="W165" s="10" t="str">
        <f t="shared" si="47"/>
        <v>clean_pre</v>
      </c>
      <c r="X165" s="10" t="str">
        <f t="shared" si="48"/>
        <v>0_Pre</v>
      </c>
      <c r="Y165" s="10" t="str">
        <f t="shared" si="49"/>
        <v>0_Pre</v>
      </c>
      <c r="Z165" s="10" t="str">
        <f t="shared" si="50"/>
        <v>0_Pre</v>
      </c>
      <c r="AA165" s="10" t="str">
        <f t="shared" si="55"/>
        <v>0_Pre</v>
      </c>
      <c r="AB165" s="10" t="str">
        <f t="shared" si="56"/>
        <v>0_Pre</v>
      </c>
      <c r="AC165" s="10" t="str">
        <f t="shared" si="57"/>
        <v>0_Pre</v>
      </c>
      <c r="AD165" s="10" t="str">
        <f t="shared" si="58"/>
        <v>1_pre sample median</v>
      </c>
      <c r="AE165" s="10" t="str">
        <f t="shared" si="59"/>
        <v>1_pre sample first tertile</v>
      </c>
      <c r="AF165" t="s">
        <v>80</v>
      </c>
      <c r="AG165" t="s">
        <v>75</v>
      </c>
      <c r="AH165" t="s">
        <v>78</v>
      </c>
      <c r="AI165" t="s">
        <v>123</v>
      </c>
      <c r="AJ165" t="s">
        <v>123</v>
      </c>
      <c r="AK165" t="str">
        <f>VLOOKUP(MID($AR165,1,255),country_lookup!$B:$F,2,FALSE)</f>
        <v>1_US</v>
      </c>
      <c r="AL165" t="str">
        <f>VLOOKUP(MID($AR165,1,255),country_lookup!$B:$F,3,FALSE)</f>
        <v>1_developed</v>
      </c>
      <c r="AM165" t="str">
        <f>VLOOKUP(MID($AR165,1,255),country_lookup!$B:$F,4,FALSE)</f>
        <v>1_western</v>
      </c>
      <c r="AN165" t="str">
        <f>VLOOKUP(MID($AR165,1,255),country_lookup!$B:$F,5,FALSE)</f>
        <v>1_common law</v>
      </c>
      <c r="AO165" s="10" t="str">
        <f>VLOOKUP(MID($AS165,1,255),source_lookup!$B:$K,4,FALSE)</f>
        <v>1_not published</v>
      </c>
      <c r="AP165" s="10" t="str">
        <f>VLOOKUP(MID($AS165,1,255),source_lookup!$B:$K,6,FALSE)</f>
        <v>99_NA</v>
      </c>
      <c r="AQ165" s="10" t="str">
        <f>VLOOKUP(MID($AS165,1,255),source_lookup!$B:$K,10,FALSE)</f>
        <v>1_fin/acc/econ</v>
      </c>
      <c r="AR165" t="s">
        <v>85</v>
      </c>
      <c r="AS165" t="s">
        <v>129</v>
      </c>
    </row>
    <row r="166" spans="1:45" x14ac:dyDescent="0.3">
      <c r="A166" t="s">
        <v>5</v>
      </c>
      <c r="B166">
        <v>165</v>
      </c>
      <c r="C166" s="1">
        <v>-3.4658268823100129E-2</v>
      </c>
      <c r="D166" s="2">
        <v>289</v>
      </c>
      <c r="E166" s="4">
        <v>5492</v>
      </c>
      <c r="F166" s="4" t="s">
        <v>347</v>
      </c>
      <c r="G166" s="4" t="s">
        <v>346</v>
      </c>
      <c r="H166" t="s">
        <v>77</v>
      </c>
      <c r="I166" t="s">
        <v>350</v>
      </c>
      <c r="J166" s="3">
        <v>1990</v>
      </c>
      <c r="K166" s="3">
        <v>2008</v>
      </c>
      <c r="L166" s="6">
        <f t="shared" si="51"/>
        <v>1999</v>
      </c>
      <c r="M166" s="6">
        <f t="shared" si="52"/>
        <v>1999</v>
      </c>
      <c r="N166" s="7">
        <f t="shared" si="40"/>
        <v>0</v>
      </c>
      <c r="O166" s="7">
        <f t="shared" si="41"/>
        <v>0</v>
      </c>
      <c r="P166" s="7">
        <f t="shared" si="42"/>
        <v>0</v>
      </c>
      <c r="Q166" s="7">
        <f t="shared" si="53"/>
        <v>0</v>
      </c>
      <c r="R166" s="10" t="str">
        <f t="shared" si="43"/>
        <v>0_Pre</v>
      </c>
      <c r="S166" s="10" t="str">
        <f t="shared" si="44"/>
        <v>0_Pre</v>
      </c>
      <c r="T166" s="10" t="str">
        <f t="shared" si="45"/>
        <v>0_Pre</v>
      </c>
      <c r="U166" s="10" t="str">
        <f t="shared" si="46"/>
        <v>0_Pre</v>
      </c>
      <c r="V166" s="10" t="str">
        <f t="shared" si="54"/>
        <v>0_Pre</v>
      </c>
      <c r="W166" s="10" t="str">
        <f t="shared" si="47"/>
        <v>clean_pre</v>
      </c>
      <c r="X166" s="10" t="str">
        <f t="shared" si="48"/>
        <v>0_Pre</v>
      </c>
      <c r="Y166" s="10" t="str">
        <f t="shared" si="49"/>
        <v>0_Pre</v>
      </c>
      <c r="Z166" s="10" t="str">
        <f t="shared" si="50"/>
        <v>0_Pre</v>
      </c>
      <c r="AA166" s="10" t="str">
        <f t="shared" si="55"/>
        <v>0_Pre</v>
      </c>
      <c r="AB166" s="10" t="str">
        <f t="shared" si="56"/>
        <v>0_Pre</v>
      </c>
      <c r="AC166" s="10" t="str">
        <f t="shared" si="57"/>
        <v>0_Pre</v>
      </c>
      <c r="AD166" s="10" t="str">
        <f t="shared" si="58"/>
        <v>1_pre sample median</v>
      </c>
      <c r="AE166" s="10" t="str">
        <f t="shared" si="59"/>
        <v>1_pre sample first tertile</v>
      </c>
      <c r="AF166" t="s">
        <v>80</v>
      </c>
      <c r="AG166" t="s">
        <v>75</v>
      </c>
      <c r="AH166" t="s">
        <v>78</v>
      </c>
      <c r="AI166" t="s">
        <v>123</v>
      </c>
      <c r="AJ166" t="s">
        <v>123</v>
      </c>
      <c r="AK166" t="str">
        <f>VLOOKUP(MID($AR166,1,255),country_lookup!$B:$F,2,FALSE)</f>
        <v>1_US</v>
      </c>
      <c r="AL166" t="str">
        <f>VLOOKUP(MID($AR166,1,255),country_lookup!$B:$F,3,FALSE)</f>
        <v>1_developed</v>
      </c>
      <c r="AM166" t="str">
        <f>VLOOKUP(MID($AR166,1,255),country_lookup!$B:$F,4,FALSE)</f>
        <v>1_western</v>
      </c>
      <c r="AN166" t="str">
        <f>VLOOKUP(MID($AR166,1,255),country_lookup!$B:$F,5,FALSE)</f>
        <v>1_common law</v>
      </c>
      <c r="AO166" s="10" t="str">
        <f>VLOOKUP(MID($AS166,1,255),source_lookup!$B:$K,4,FALSE)</f>
        <v>1_not published</v>
      </c>
      <c r="AP166" s="10" t="str">
        <f>VLOOKUP(MID($AS166,1,255),source_lookup!$B:$K,6,FALSE)</f>
        <v>99_NA</v>
      </c>
      <c r="AQ166" s="10" t="str">
        <f>VLOOKUP(MID($AS166,1,255),source_lookup!$B:$K,10,FALSE)</f>
        <v>1_fin/acc/econ</v>
      </c>
      <c r="AR166" t="s">
        <v>85</v>
      </c>
      <c r="AS166" t="s">
        <v>129</v>
      </c>
    </row>
    <row r="167" spans="1:45" x14ac:dyDescent="0.3">
      <c r="A167" t="s">
        <v>5</v>
      </c>
      <c r="B167">
        <v>166</v>
      </c>
      <c r="C167" s="1">
        <v>-9.8500067161741024E-3</v>
      </c>
      <c r="D167" s="2">
        <v>289</v>
      </c>
      <c r="E167" s="4">
        <v>5492</v>
      </c>
      <c r="F167" s="4" t="s">
        <v>347</v>
      </c>
      <c r="G167" s="4" t="s">
        <v>346</v>
      </c>
      <c r="H167" t="s">
        <v>77</v>
      </c>
      <c r="I167" t="s">
        <v>350</v>
      </c>
      <c r="J167" s="3">
        <v>1990</v>
      </c>
      <c r="K167" s="3">
        <v>2008</v>
      </c>
      <c r="L167" s="6">
        <f t="shared" si="51"/>
        <v>1999</v>
      </c>
      <c r="M167" s="6">
        <f t="shared" si="52"/>
        <v>1999</v>
      </c>
      <c r="N167" s="7">
        <f t="shared" si="40"/>
        <v>0</v>
      </c>
      <c r="O167" s="7">
        <f t="shared" si="41"/>
        <v>0</v>
      </c>
      <c r="P167" s="7">
        <f t="shared" si="42"/>
        <v>0</v>
      </c>
      <c r="Q167" s="7">
        <f t="shared" si="53"/>
        <v>0</v>
      </c>
      <c r="R167" s="10" t="str">
        <f t="shared" si="43"/>
        <v>0_Pre</v>
      </c>
      <c r="S167" s="10" t="str">
        <f t="shared" si="44"/>
        <v>0_Pre</v>
      </c>
      <c r="T167" s="10" t="str">
        <f t="shared" si="45"/>
        <v>0_Pre</v>
      </c>
      <c r="U167" s="10" t="str">
        <f t="shared" si="46"/>
        <v>0_Pre</v>
      </c>
      <c r="V167" s="10" t="str">
        <f t="shared" si="54"/>
        <v>0_Pre</v>
      </c>
      <c r="W167" s="10" t="str">
        <f t="shared" si="47"/>
        <v>clean_pre</v>
      </c>
      <c r="X167" s="10" t="str">
        <f t="shared" si="48"/>
        <v>0_Pre</v>
      </c>
      <c r="Y167" s="10" t="str">
        <f t="shared" si="49"/>
        <v>0_Pre</v>
      </c>
      <c r="Z167" s="10" t="str">
        <f t="shared" si="50"/>
        <v>0_Pre</v>
      </c>
      <c r="AA167" s="10" t="str">
        <f t="shared" si="55"/>
        <v>0_Pre</v>
      </c>
      <c r="AB167" s="10" t="str">
        <f t="shared" si="56"/>
        <v>0_Pre</v>
      </c>
      <c r="AC167" s="10" t="str">
        <f t="shared" si="57"/>
        <v>0_Pre</v>
      </c>
      <c r="AD167" s="10" t="str">
        <f t="shared" si="58"/>
        <v>1_pre sample median</v>
      </c>
      <c r="AE167" s="10" t="str">
        <f t="shared" si="59"/>
        <v>1_pre sample first tertile</v>
      </c>
      <c r="AF167" t="s">
        <v>80</v>
      </c>
      <c r="AG167" t="s">
        <v>75</v>
      </c>
      <c r="AH167" t="s">
        <v>78</v>
      </c>
      <c r="AI167" t="s">
        <v>123</v>
      </c>
      <c r="AJ167" t="s">
        <v>123</v>
      </c>
      <c r="AK167" t="str">
        <f>VLOOKUP(MID($AR167,1,255),country_lookup!$B:$F,2,FALSE)</f>
        <v>1_US</v>
      </c>
      <c r="AL167" t="str">
        <f>VLOOKUP(MID($AR167,1,255),country_lookup!$B:$F,3,FALSE)</f>
        <v>1_developed</v>
      </c>
      <c r="AM167" t="str">
        <f>VLOOKUP(MID($AR167,1,255),country_lookup!$B:$F,4,FALSE)</f>
        <v>1_western</v>
      </c>
      <c r="AN167" t="str">
        <f>VLOOKUP(MID($AR167,1,255),country_lookup!$B:$F,5,FALSE)</f>
        <v>1_common law</v>
      </c>
      <c r="AO167" s="10" t="str">
        <f>VLOOKUP(MID($AS167,1,255),source_lookup!$B:$K,4,FALSE)</f>
        <v>1_not published</v>
      </c>
      <c r="AP167" s="10" t="str">
        <f>VLOOKUP(MID($AS167,1,255),source_lookup!$B:$K,6,FALSE)</f>
        <v>99_NA</v>
      </c>
      <c r="AQ167" s="10" t="str">
        <f>VLOOKUP(MID($AS167,1,255),source_lookup!$B:$K,10,FALSE)</f>
        <v>1_fin/acc/econ</v>
      </c>
      <c r="AR167" t="s">
        <v>85</v>
      </c>
      <c r="AS167" t="s">
        <v>129</v>
      </c>
    </row>
    <row r="168" spans="1:45" x14ac:dyDescent="0.3">
      <c r="A168" t="s">
        <v>5</v>
      </c>
      <c r="B168">
        <v>167</v>
      </c>
      <c r="C168" s="1">
        <v>-2.7348879466461858E-2</v>
      </c>
      <c r="D168" s="2">
        <v>343</v>
      </c>
      <c r="E168" s="4">
        <v>6525</v>
      </c>
      <c r="F168" s="4" t="s">
        <v>347</v>
      </c>
      <c r="G168" s="4" t="s">
        <v>346</v>
      </c>
      <c r="H168" t="s">
        <v>77</v>
      </c>
      <c r="I168" t="s">
        <v>350</v>
      </c>
      <c r="J168" s="3">
        <v>1990</v>
      </c>
      <c r="K168" s="3">
        <v>2008</v>
      </c>
      <c r="L168" s="6">
        <f t="shared" si="51"/>
        <v>1999</v>
      </c>
      <c r="M168" s="6">
        <f t="shared" si="52"/>
        <v>1999</v>
      </c>
      <c r="N168" s="7">
        <f t="shared" si="40"/>
        <v>0</v>
      </c>
      <c r="O168" s="7">
        <f t="shared" si="41"/>
        <v>0</v>
      </c>
      <c r="P168" s="7">
        <f t="shared" si="42"/>
        <v>0</v>
      </c>
      <c r="Q168" s="7">
        <f t="shared" si="53"/>
        <v>0</v>
      </c>
      <c r="R168" s="10" t="str">
        <f t="shared" si="43"/>
        <v>0_Pre</v>
      </c>
      <c r="S168" s="10" t="str">
        <f t="shared" si="44"/>
        <v>0_Pre</v>
      </c>
      <c r="T168" s="10" t="str">
        <f t="shared" si="45"/>
        <v>0_Pre</v>
      </c>
      <c r="U168" s="10" t="str">
        <f t="shared" si="46"/>
        <v>0_Pre</v>
      </c>
      <c r="V168" s="10" t="str">
        <f t="shared" si="54"/>
        <v>0_Pre</v>
      </c>
      <c r="W168" s="10" t="str">
        <f t="shared" si="47"/>
        <v>clean_pre</v>
      </c>
      <c r="X168" s="10" t="str">
        <f t="shared" si="48"/>
        <v>0_Pre</v>
      </c>
      <c r="Y168" s="10" t="str">
        <f t="shared" si="49"/>
        <v>0_Pre</v>
      </c>
      <c r="Z168" s="10" t="str">
        <f t="shared" si="50"/>
        <v>0_Pre</v>
      </c>
      <c r="AA168" s="10" t="str">
        <f t="shared" si="55"/>
        <v>0_Pre</v>
      </c>
      <c r="AB168" s="10" t="str">
        <f t="shared" si="56"/>
        <v>0_Pre</v>
      </c>
      <c r="AC168" s="10" t="str">
        <f t="shared" si="57"/>
        <v>0_Pre</v>
      </c>
      <c r="AD168" s="10" t="str">
        <f t="shared" si="58"/>
        <v>1_pre sample median</v>
      </c>
      <c r="AE168" s="10" t="str">
        <f t="shared" si="59"/>
        <v>1_pre sample first tertile</v>
      </c>
      <c r="AF168" t="s">
        <v>80</v>
      </c>
      <c r="AG168" t="s">
        <v>75</v>
      </c>
      <c r="AH168" t="s">
        <v>78</v>
      </c>
      <c r="AI168" t="s">
        <v>123</v>
      </c>
      <c r="AJ168" t="s">
        <v>123</v>
      </c>
      <c r="AK168" t="str">
        <f>VLOOKUP(MID($AR168,1,255),country_lookup!$B:$F,2,FALSE)</f>
        <v>1_US</v>
      </c>
      <c r="AL168" t="str">
        <f>VLOOKUP(MID($AR168,1,255),country_lookup!$B:$F,3,FALSE)</f>
        <v>1_developed</v>
      </c>
      <c r="AM168" t="str">
        <f>VLOOKUP(MID($AR168,1,255),country_lookup!$B:$F,4,FALSE)</f>
        <v>1_western</v>
      </c>
      <c r="AN168" t="str">
        <f>VLOOKUP(MID($AR168,1,255),country_lookup!$B:$F,5,FALSE)</f>
        <v>1_common law</v>
      </c>
      <c r="AO168" s="10" t="str">
        <f>VLOOKUP(MID($AS168,1,255),source_lookup!$B:$K,4,FALSE)</f>
        <v>1_not published</v>
      </c>
      <c r="AP168" s="10" t="str">
        <f>VLOOKUP(MID($AS168,1,255),source_lookup!$B:$K,6,FALSE)</f>
        <v>99_NA</v>
      </c>
      <c r="AQ168" s="10" t="str">
        <f>VLOOKUP(MID($AS168,1,255),source_lookup!$B:$K,10,FALSE)</f>
        <v>1_fin/acc/econ</v>
      </c>
      <c r="AR168" t="s">
        <v>85</v>
      </c>
      <c r="AS168" t="s">
        <v>129</v>
      </c>
    </row>
    <row r="169" spans="1:45" x14ac:dyDescent="0.3">
      <c r="A169" t="s">
        <v>5</v>
      </c>
      <c r="B169">
        <v>168</v>
      </c>
      <c r="C169" s="1">
        <v>-2.8090804814110606E-2</v>
      </c>
      <c r="D169" s="2">
        <v>343</v>
      </c>
      <c r="E169" s="4">
        <v>6525</v>
      </c>
      <c r="F169" s="4" t="s">
        <v>347</v>
      </c>
      <c r="G169" s="4" t="s">
        <v>346</v>
      </c>
      <c r="H169" t="s">
        <v>77</v>
      </c>
      <c r="I169" t="s">
        <v>350</v>
      </c>
      <c r="J169" s="3">
        <v>1990</v>
      </c>
      <c r="K169" s="3">
        <v>2008</v>
      </c>
      <c r="L169" s="6">
        <f t="shared" si="51"/>
        <v>1999</v>
      </c>
      <c r="M169" s="6">
        <f t="shared" si="52"/>
        <v>1999</v>
      </c>
      <c r="N169" s="7">
        <f t="shared" si="40"/>
        <v>0</v>
      </c>
      <c r="O169" s="7">
        <f t="shared" si="41"/>
        <v>0</v>
      </c>
      <c r="P169" s="7">
        <f t="shared" si="42"/>
        <v>0</v>
      </c>
      <c r="Q169" s="7">
        <f t="shared" si="53"/>
        <v>0</v>
      </c>
      <c r="R169" s="10" t="str">
        <f t="shared" si="43"/>
        <v>0_Pre</v>
      </c>
      <c r="S169" s="10" t="str">
        <f t="shared" si="44"/>
        <v>0_Pre</v>
      </c>
      <c r="T169" s="10" t="str">
        <f t="shared" si="45"/>
        <v>0_Pre</v>
      </c>
      <c r="U169" s="10" t="str">
        <f t="shared" si="46"/>
        <v>0_Pre</v>
      </c>
      <c r="V169" s="10" t="str">
        <f t="shared" si="54"/>
        <v>0_Pre</v>
      </c>
      <c r="W169" s="10" t="str">
        <f t="shared" si="47"/>
        <v>clean_pre</v>
      </c>
      <c r="X169" s="10" t="str">
        <f t="shared" si="48"/>
        <v>0_Pre</v>
      </c>
      <c r="Y169" s="10" t="str">
        <f t="shared" si="49"/>
        <v>0_Pre</v>
      </c>
      <c r="Z169" s="10" t="str">
        <f t="shared" si="50"/>
        <v>0_Pre</v>
      </c>
      <c r="AA169" s="10" t="str">
        <f t="shared" si="55"/>
        <v>0_Pre</v>
      </c>
      <c r="AB169" s="10" t="str">
        <f t="shared" si="56"/>
        <v>0_Pre</v>
      </c>
      <c r="AC169" s="10" t="str">
        <f t="shared" si="57"/>
        <v>0_Pre</v>
      </c>
      <c r="AD169" s="10" t="str">
        <f t="shared" si="58"/>
        <v>1_pre sample median</v>
      </c>
      <c r="AE169" s="10" t="str">
        <f t="shared" si="59"/>
        <v>1_pre sample first tertile</v>
      </c>
      <c r="AF169" t="s">
        <v>80</v>
      </c>
      <c r="AG169" t="s">
        <v>75</v>
      </c>
      <c r="AH169" t="s">
        <v>78</v>
      </c>
      <c r="AI169" t="s">
        <v>123</v>
      </c>
      <c r="AJ169" t="s">
        <v>123</v>
      </c>
      <c r="AK169" t="str">
        <f>VLOOKUP(MID($AR169,1,255),country_lookup!$B:$F,2,FALSE)</f>
        <v>1_US</v>
      </c>
      <c r="AL169" t="str">
        <f>VLOOKUP(MID($AR169,1,255),country_lookup!$B:$F,3,FALSE)</f>
        <v>1_developed</v>
      </c>
      <c r="AM169" t="str">
        <f>VLOOKUP(MID($AR169,1,255),country_lookup!$B:$F,4,FALSE)</f>
        <v>1_western</v>
      </c>
      <c r="AN169" t="str">
        <f>VLOOKUP(MID($AR169,1,255),country_lookup!$B:$F,5,FALSE)</f>
        <v>1_common law</v>
      </c>
      <c r="AO169" s="10" t="str">
        <f>VLOOKUP(MID($AS169,1,255),source_lookup!$B:$K,4,FALSE)</f>
        <v>1_not published</v>
      </c>
      <c r="AP169" s="10" t="str">
        <f>VLOOKUP(MID($AS169,1,255),source_lookup!$B:$K,6,FALSE)</f>
        <v>99_NA</v>
      </c>
      <c r="AQ169" s="10" t="str">
        <f>VLOOKUP(MID($AS169,1,255),source_lookup!$B:$K,10,FALSE)</f>
        <v>1_fin/acc/econ</v>
      </c>
      <c r="AR169" t="s">
        <v>85</v>
      </c>
      <c r="AS169" t="s">
        <v>129</v>
      </c>
    </row>
    <row r="170" spans="1:45" x14ac:dyDescent="0.3">
      <c r="A170" t="s">
        <v>5</v>
      </c>
      <c r="B170">
        <v>169</v>
      </c>
      <c r="C170" s="1">
        <v>-2.7225220814452045E-2</v>
      </c>
      <c r="D170" s="2">
        <v>343</v>
      </c>
      <c r="E170" s="4">
        <v>6525</v>
      </c>
      <c r="F170" s="4" t="s">
        <v>347</v>
      </c>
      <c r="G170" s="4" t="s">
        <v>346</v>
      </c>
      <c r="H170" t="s">
        <v>77</v>
      </c>
      <c r="I170" t="s">
        <v>350</v>
      </c>
      <c r="J170" s="3">
        <v>1990</v>
      </c>
      <c r="K170" s="3">
        <v>2008</v>
      </c>
      <c r="L170" s="6">
        <f t="shared" si="51"/>
        <v>1999</v>
      </c>
      <c r="M170" s="6">
        <f t="shared" si="52"/>
        <v>1999</v>
      </c>
      <c r="N170" s="7">
        <f t="shared" si="40"/>
        <v>0</v>
      </c>
      <c r="O170" s="7">
        <f t="shared" si="41"/>
        <v>0</v>
      </c>
      <c r="P170" s="7">
        <f t="shared" si="42"/>
        <v>0</v>
      </c>
      <c r="Q170" s="7">
        <f t="shared" si="53"/>
        <v>0</v>
      </c>
      <c r="R170" s="10" t="str">
        <f t="shared" si="43"/>
        <v>0_Pre</v>
      </c>
      <c r="S170" s="10" t="str">
        <f t="shared" si="44"/>
        <v>0_Pre</v>
      </c>
      <c r="T170" s="10" t="str">
        <f t="shared" si="45"/>
        <v>0_Pre</v>
      </c>
      <c r="U170" s="10" t="str">
        <f t="shared" si="46"/>
        <v>0_Pre</v>
      </c>
      <c r="V170" s="10" t="str">
        <f t="shared" si="54"/>
        <v>0_Pre</v>
      </c>
      <c r="W170" s="10" t="str">
        <f t="shared" si="47"/>
        <v>clean_pre</v>
      </c>
      <c r="X170" s="10" t="str">
        <f t="shared" si="48"/>
        <v>0_Pre</v>
      </c>
      <c r="Y170" s="10" t="str">
        <f t="shared" si="49"/>
        <v>0_Pre</v>
      </c>
      <c r="Z170" s="10" t="str">
        <f t="shared" si="50"/>
        <v>0_Pre</v>
      </c>
      <c r="AA170" s="10" t="str">
        <f t="shared" si="55"/>
        <v>0_Pre</v>
      </c>
      <c r="AB170" s="10" t="str">
        <f t="shared" si="56"/>
        <v>0_Pre</v>
      </c>
      <c r="AC170" s="10" t="str">
        <f t="shared" si="57"/>
        <v>0_Pre</v>
      </c>
      <c r="AD170" s="10" t="str">
        <f t="shared" si="58"/>
        <v>1_pre sample median</v>
      </c>
      <c r="AE170" s="10" t="str">
        <f t="shared" si="59"/>
        <v>1_pre sample first tertile</v>
      </c>
      <c r="AF170" t="s">
        <v>80</v>
      </c>
      <c r="AG170" t="s">
        <v>75</v>
      </c>
      <c r="AH170" t="s">
        <v>78</v>
      </c>
      <c r="AI170" t="s">
        <v>123</v>
      </c>
      <c r="AJ170" t="s">
        <v>123</v>
      </c>
      <c r="AK170" t="str">
        <f>VLOOKUP(MID($AR170,1,255),country_lookup!$B:$F,2,FALSE)</f>
        <v>1_US</v>
      </c>
      <c r="AL170" t="str">
        <f>VLOOKUP(MID($AR170,1,255),country_lookup!$B:$F,3,FALSE)</f>
        <v>1_developed</v>
      </c>
      <c r="AM170" t="str">
        <f>VLOOKUP(MID($AR170,1,255),country_lookup!$B:$F,4,FALSE)</f>
        <v>1_western</v>
      </c>
      <c r="AN170" t="str">
        <f>VLOOKUP(MID($AR170,1,255),country_lookup!$B:$F,5,FALSE)</f>
        <v>1_common law</v>
      </c>
      <c r="AO170" s="10" t="str">
        <f>VLOOKUP(MID($AS170,1,255),source_lookup!$B:$K,4,FALSE)</f>
        <v>1_not published</v>
      </c>
      <c r="AP170" s="10" t="str">
        <f>VLOOKUP(MID($AS170,1,255),source_lookup!$B:$K,6,FALSE)</f>
        <v>99_NA</v>
      </c>
      <c r="AQ170" s="10" t="str">
        <f>VLOOKUP(MID($AS170,1,255),source_lookup!$B:$K,10,FALSE)</f>
        <v>1_fin/acc/econ</v>
      </c>
      <c r="AR170" t="s">
        <v>85</v>
      </c>
      <c r="AS170" t="s">
        <v>129</v>
      </c>
    </row>
    <row r="171" spans="1:45" x14ac:dyDescent="0.3">
      <c r="A171" t="s">
        <v>5</v>
      </c>
      <c r="B171">
        <v>170</v>
      </c>
      <c r="C171" s="1">
        <v>-2.3762291796730995E-2</v>
      </c>
      <c r="D171" s="2">
        <v>343</v>
      </c>
      <c r="E171" s="4">
        <v>6525</v>
      </c>
      <c r="F171" s="4" t="s">
        <v>347</v>
      </c>
      <c r="G171" s="4" t="s">
        <v>346</v>
      </c>
      <c r="H171" t="s">
        <v>77</v>
      </c>
      <c r="I171" t="s">
        <v>350</v>
      </c>
      <c r="J171" s="3">
        <v>1990</v>
      </c>
      <c r="K171" s="3">
        <v>2008</v>
      </c>
      <c r="L171" s="6">
        <f t="shared" si="51"/>
        <v>1999</v>
      </c>
      <c r="M171" s="6">
        <f t="shared" si="52"/>
        <v>1999</v>
      </c>
      <c r="N171" s="7">
        <f t="shared" si="40"/>
        <v>0</v>
      </c>
      <c r="O171" s="7">
        <f t="shared" si="41"/>
        <v>0</v>
      </c>
      <c r="P171" s="7">
        <f t="shared" si="42"/>
        <v>0</v>
      </c>
      <c r="Q171" s="7">
        <f t="shared" si="53"/>
        <v>0</v>
      </c>
      <c r="R171" s="10" t="str">
        <f t="shared" si="43"/>
        <v>0_Pre</v>
      </c>
      <c r="S171" s="10" t="str">
        <f t="shared" si="44"/>
        <v>0_Pre</v>
      </c>
      <c r="T171" s="10" t="str">
        <f t="shared" si="45"/>
        <v>0_Pre</v>
      </c>
      <c r="U171" s="10" t="str">
        <f t="shared" si="46"/>
        <v>0_Pre</v>
      </c>
      <c r="V171" s="10" t="str">
        <f t="shared" si="54"/>
        <v>0_Pre</v>
      </c>
      <c r="W171" s="10" t="str">
        <f t="shared" si="47"/>
        <v>clean_pre</v>
      </c>
      <c r="X171" s="10" t="str">
        <f t="shared" si="48"/>
        <v>0_Pre</v>
      </c>
      <c r="Y171" s="10" t="str">
        <f t="shared" si="49"/>
        <v>0_Pre</v>
      </c>
      <c r="Z171" s="10" t="str">
        <f t="shared" si="50"/>
        <v>0_Pre</v>
      </c>
      <c r="AA171" s="10" t="str">
        <f t="shared" si="55"/>
        <v>0_Pre</v>
      </c>
      <c r="AB171" s="10" t="str">
        <f t="shared" si="56"/>
        <v>0_Pre</v>
      </c>
      <c r="AC171" s="10" t="str">
        <f t="shared" si="57"/>
        <v>0_Pre</v>
      </c>
      <c r="AD171" s="10" t="str">
        <f t="shared" si="58"/>
        <v>1_pre sample median</v>
      </c>
      <c r="AE171" s="10" t="str">
        <f t="shared" si="59"/>
        <v>1_pre sample first tertile</v>
      </c>
      <c r="AF171" t="s">
        <v>80</v>
      </c>
      <c r="AG171" t="s">
        <v>75</v>
      </c>
      <c r="AH171" t="s">
        <v>78</v>
      </c>
      <c r="AI171" t="s">
        <v>123</v>
      </c>
      <c r="AJ171" t="s">
        <v>123</v>
      </c>
      <c r="AK171" t="str">
        <f>VLOOKUP(MID($AR171,1,255),country_lookup!$B:$F,2,FALSE)</f>
        <v>1_US</v>
      </c>
      <c r="AL171" t="str">
        <f>VLOOKUP(MID($AR171,1,255),country_lookup!$B:$F,3,FALSE)</f>
        <v>1_developed</v>
      </c>
      <c r="AM171" t="str">
        <f>VLOOKUP(MID($AR171,1,255),country_lookup!$B:$F,4,FALSE)</f>
        <v>1_western</v>
      </c>
      <c r="AN171" t="str">
        <f>VLOOKUP(MID($AR171,1,255),country_lookup!$B:$F,5,FALSE)</f>
        <v>1_common law</v>
      </c>
      <c r="AO171" s="10" t="str">
        <f>VLOOKUP(MID($AS171,1,255),source_lookup!$B:$K,4,FALSE)</f>
        <v>1_not published</v>
      </c>
      <c r="AP171" s="10" t="str">
        <f>VLOOKUP(MID($AS171,1,255),source_lookup!$B:$K,6,FALSE)</f>
        <v>99_NA</v>
      </c>
      <c r="AQ171" s="10" t="str">
        <f>VLOOKUP(MID($AS171,1,255),source_lookup!$B:$K,10,FALSE)</f>
        <v>1_fin/acc/econ</v>
      </c>
      <c r="AR171" t="s">
        <v>85</v>
      </c>
      <c r="AS171" t="s">
        <v>129</v>
      </c>
    </row>
    <row r="172" spans="1:45" x14ac:dyDescent="0.3">
      <c r="A172" t="s">
        <v>5</v>
      </c>
      <c r="B172">
        <v>171</v>
      </c>
      <c r="C172" s="1">
        <v>-5.0671564649987913E-2</v>
      </c>
      <c r="D172" s="2">
        <v>289</v>
      </c>
      <c r="E172" s="4">
        <v>5492</v>
      </c>
      <c r="F172" s="4" t="s">
        <v>347</v>
      </c>
      <c r="G172" s="4" t="s">
        <v>346</v>
      </c>
      <c r="H172" t="s">
        <v>77</v>
      </c>
      <c r="I172" t="s">
        <v>350</v>
      </c>
      <c r="J172" s="3">
        <v>1990</v>
      </c>
      <c r="K172" s="3">
        <v>2008</v>
      </c>
      <c r="L172" s="6">
        <f t="shared" si="51"/>
        <v>1999</v>
      </c>
      <c r="M172" s="6">
        <f t="shared" si="52"/>
        <v>1999</v>
      </c>
      <c r="N172" s="7">
        <f t="shared" si="40"/>
        <v>0</v>
      </c>
      <c r="O172" s="7">
        <f t="shared" si="41"/>
        <v>0</v>
      </c>
      <c r="P172" s="7">
        <f t="shared" si="42"/>
        <v>0</v>
      </c>
      <c r="Q172" s="7">
        <f t="shared" si="53"/>
        <v>0</v>
      </c>
      <c r="R172" s="10" t="str">
        <f t="shared" si="43"/>
        <v>0_Pre</v>
      </c>
      <c r="S172" s="10" t="str">
        <f t="shared" si="44"/>
        <v>0_Pre</v>
      </c>
      <c r="T172" s="10" t="str">
        <f t="shared" si="45"/>
        <v>0_Pre</v>
      </c>
      <c r="U172" s="10" t="str">
        <f t="shared" si="46"/>
        <v>0_Pre</v>
      </c>
      <c r="V172" s="10" t="str">
        <f t="shared" si="54"/>
        <v>0_Pre</v>
      </c>
      <c r="W172" s="10" t="str">
        <f t="shared" si="47"/>
        <v>clean_pre</v>
      </c>
      <c r="X172" s="10" t="str">
        <f t="shared" si="48"/>
        <v>0_Pre</v>
      </c>
      <c r="Y172" s="10" t="str">
        <f t="shared" si="49"/>
        <v>0_Pre</v>
      </c>
      <c r="Z172" s="10" t="str">
        <f t="shared" si="50"/>
        <v>0_Pre</v>
      </c>
      <c r="AA172" s="10" t="str">
        <f t="shared" si="55"/>
        <v>0_Pre</v>
      </c>
      <c r="AB172" s="10" t="str">
        <f t="shared" si="56"/>
        <v>0_Pre</v>
      </c>
      <c r="AC172" s="10" t="str">
        <f t="shared" si="57"/>
        <v>0_Pre</v>
      </c>
      <c r="AD172" s="10" t="str">
        <f t="shared" si="58"/>
        <v>1_pre sample median</v>
      </c>
      <c r="AE172" s="10" t="str">
        <f t="shared" si="59"/>
        <v>1_pre sample first tertile</v>
      </c>
      <c r="AF172" t="s">
        <v>80</v>
      </c>
      <c r="AG172" t="s">
        <v>75</v>
      </c>
      <c r="AH172" t="s">
        <v>78</v>
      </c>
      <c r="AI172" t="s">
        <v>123</v>
      </c>
      <c r="AJ172" t="s">
        <v>123</v>
      </c>
      <c r="AK172" t="str">
        <f>VLOOKUP(MID($AR172,1,255),country_lookup!$B:$F,2,FALSE)</f>
        <v>1_US</v>
      </c>
      <c r="AL172" t="str">
        <f>VLOOKUP(MID($AR172,1,255),country_lookup!$B:$F,3,FALSE)</f>
        <v>1_developed</v>
      </c>
      <c r="AM172" t="str">
        <f>VLOOKUP(MID($AR172,1,255),country_lookup!$B:$F,4,FALSE)</f>
        <v>1_western</v>
      </c>
      <c r="AN172" t="str">
        <f>VLOOKUP(MID($AR172,1,255),country_lookup!$B:$F,5,FALSE)</f>
        <v>1_common law</v>
      </c>
      <c r="AO172" s="10" t="str">
        <f>VLOOKUP(MID($AS172,1,255),source_lookup!$B:$K,4,FALSE)</f>
        <v>1_not published</v>
      </c>
      <c r="AP172" s="10" t="str">
        <f>VLOOKUP(MID($AS172,1,255),source_lookup!$B:$K,6,FALSE)</f>
        <v>99_NA</v>
      </c>
      <c r="AQ172" s="10" t="str">
        <f>VLOOKUP(MID($AS172,1,255),source_lookup!$B:$K,10,FALSE)</f>
        <v>1_fin/acc/econ</v>
      </c>
      <c r="AR172" t="s">
        <v>85</v>
      </c>
      <c r="AS172" t="s">
        <v>129</v>
      </c>
    </row>
    <row r="173" spans="1:45" x14ac:dyDescent="0.3">
      <c r="A173" t="s">
        <v>5</v>
      </c>
      <c r="B173">
        <v>172</v>
      </c>
      <c r="C173" s="1">
        <v>-9.1754076080728542E-3</v>
      </c>
      <c r="D173" s="2">
        <v>289</v>
      </c>
      <c r="E173" s="4">
        <v>5492</v>
      </c>
      <c r="F173" s="4" t="s">
        <v>347</v>
      </c>
      <c r="G173" s="4" t="s">
        <v>346</v>
      </c>
      <c r="H173" t="s">
        <v>77</v>
      </c>
      <c r="I173" t="s">
        <v>350</v>
      </c>
      <c r="J173" s="3">
        <v>1990</v>
      </c>
      <c r="K173" s="3">
        <v>2008</v>
      </c>
      <c r="L173" s="6">
        <f t="shared" si="51"/>
        <v>1999</v>
      </c>
      <c r="M173" s="6">
        <f t="shared" si="52"/>
        <v>1999</v>
      </c>
      <c r="N173" s="7">
        <f t="shared" si="40"/>
        <v>0</v>
      </c>
      <c r="O173" s="7">
        <f t="shared" si="41"/>
        <v>0</v>
      </c>
      <c r="P173" s="7">
        <f t="shared" si="42"/>
        <v>0</v>
      </c>
      <c r="Q173" s="7">
        <f t="shared" si="53"/>
        <v>0</v>
      </c>
      <c r="R173" s="10" t="str">
        <f t="shared" si="43"/>
        <v>0_Pre</v>
      </c>
      <c r="S173" s="10" t="str">
        <f t="shared" si="44"/>
        <v>0_Pre</v>
      </c>
      <c r="T173" s="10" t="str">
        <f t="shared" si="45"/>
        <v>0_Pre</v>
      </c>
      <c r="U173" s="10" t="str">
        <f t="shared" si="46"/>
        <v>0_Pre</v>
      </c>
      <c r="V173" s="10" t="str">
        <f t="shared" si="54"/>
        <v>0_Pre</v>
      </c>
      <c r="W173" s="10" t="str">
        <f t="shared" si="47"/>
        <v>clean_pre</v>
      </c>
      <c r="X173" s="10" t="str">
        <f t="shared" si="48"/>
        <v>0_Pre</v>
      </c>
      <c r="Y173" s="10" t="str">
        <f t="shared" si="49"/>
        <v>0_Pre</v>
      </c>
      <c r="Z173" s="10" t="str">
        <f t="shared" si="50"/>
        <v>0_Pre</v>
      </c>
      <c r="AA173" s="10" t="str">
        <f t="shared" si="55"/>
        <v>0_Pre</v>
      </c>
      <c r="AB173" s="10" t="str">
        <f t="shared" si="56"/>
        <v>0_Pre</v>
      </c>
      <c r="AC173" s="10" t="str">
        <f t="shared" si="57"/>
        <v>0_Pre</v>
      </c>
      <c r="AD173" s="10" t="str">
        <f t="shared" si="58"/>
        <v>1_pre sample median</v>
      </c>
      <c r="AE173" s="10" t="str">
        <f t="shared" si="59"/>
        <v>1_pre sample first tertile</v>
      </c>
      <c r="AF173" t="s">
        <v>80</v>
      </c>
      <c r="AG173" t="s">
        <v>75</v>
      </c>
      <c r="AH173" t="s">
        <v>78</v>
      </c>
      <c r="AI173" t="s">
        <v>123</v>
      </c>
      <c r="AJ173" t="s">
        <v>123</v>
      </c>
      <c r="AK173" t="str">
        <f>VLOOKUP(MID($AR173,1,255),country_lookup!$B:$F,2,FALSE)</f>
        <v>1_US</v>
      </c>
      <c r="AL173" t="str">
        <f>VLOOKUP(MID($AR173,1,255),country_lookup!$B:$F,3,FALSE)</f>
        <v>1_developed</v>
      </c>
      <c r="AM173" t="str">
        <f>VLOOKUP(MID($AR173,1,255),country_lookup!$B:$F,4,FALSE)</f>
        <v>1_western</v>
      </c>
      <c r="AN173" t="str">
        <f>VLOOKUP(MID($AR173,1,255),country_lookup!$B:$F,5,FALSE)</f>
        <v>1_common law</v>
      </c>
      <c r="AO173" s="10" t="str">
        <f>VLOOKUP(MID($AS173,1,255),source_lookup!$B:$K,4,FALSE)</f>
        <v>1_not published</v>
      </c>
      <c r="AP173" s="10" t="str">
        <f>VLOOKUP(MID($AS173,1,255),source_lookup!$B:$K,6,FALSE)</f>
        <v>99_NA</v>
      </c>
      <c r="AQ173" s="10" t="str">
        <f>VLOOKUP(MID($AS173,1,255),source_lookup!$B:$K,10,FALSE)</f>
        <v>1_fin/acc/econ</v>
      </c>
      <c r="AR173" t="s">
        <v>85</v>
      </c>
      <c r="AS173" t="s">
        <v>129</v>
      </c>
    </row>
    <row r="174" spans="1:45" x14ac:dyDescent="0.3">
      <c r="A174" t="s">
        <v>5</v>
      </c>
      <c r="B174">
        <v>173</v>
      </c>
      <c r="C174" s="1">
        <v>-7.4278114780309157E-4</v>
      </c>
      <c r="D174" s="2">
        <v>343</v>
      </c>
      <c r="E174" s="4">
        <v>6525</v>
      </c>
      <c r="F174" s="4" t="s">
        <v>347</v>
      </c>
      <c r="G174" s="4" t="s">
        <v>346</v>
      </c>
      <c r="H174" t="s">
        <v>77</v>
      </c>
      <c r="I174" t="s">
        <v>350</v>
      </c>
      <c r="J174" s="3">
        <v>1990</v>
      </c>
      <c r="K174" s="3">
        <v>2008</v>
      </c>
      <c r="L174" s="6">
        <f t="shared" si="51"/>
        <v>1999</v>
      </c>
      <c r="M174" s="6">
        <f t="shared" si="52"/>
        <v>1999</v>
      </c>
      <c r="N174" s="7">
        <f t="shared" si="40"/>
        <v>0</v>
      </c>
      <c r="O174" s="7">
        <f t="shared" si="41"/>
        <v>0</v>
      </c>
      <c r="P174" s="7">
        <f t="shared" si="42"/>
        <v>0</v>
      </c>
      <c r="Q174" s="7">
        <f t="shared" si="53"/>
        <v>0</v>
      </c>
      <c r="R174" s="10" t="str">
        <f t="shared" si="43"/>
        <v>0_Pre</v>
      </c>
      <c r="S174" s="10" t="str">
        <f t="shared" si="44"/>
        <v>0_Pre</v>
      </c>
      <c r="T174" s="10" t="str">
        <f t="shared" si="45"/>
        <v>0_Pre</v>
      </c>
      <c r="U174" s="10" t="str">
        <f t="shared" si="46"/>
        <v>0_Pre</v>
      </c>
      <c r="V174" s="10" t="str">
        <f t="shared" si="54"/>
        <v>0_Pre</v>
      </c>
      <c r="W174" s="10" t="str">
        <f t="shared" si="47"/>
        <v>clean_pre</v>
      </c>
      <c r="X174" s="10" t="str">
        <f t="shared" si="48"/>
        <v>0_Pre</v>
      </c>
      <c r="Y174" s="10" t="str">
        <f t="shared" si="49"/>
        <v>0_Pre</v>
      </c>
      <c r="Z174" s="10" t="str">
        <f t="shared" si="50"/>
        <v>0_Pre</v>
      </c>
      <c r="AA174" s="10" t="str">
        <f t="shared" si="55"/>
        <v>0_Pre</v>
      </c>
      <c r="AB174" s="10" t="str">
        <f t="shared" si="56"/>
        <v>0_Pre</v>
      </c>
      <c r="AC174" s="10" t="str">
        <f t="shared" si="57"/>
        <v>0_Pre</v>
      </c>
      <c r="AD174" s="10" t="str">
        <f t="shared" si="58"/>
        <v>1_pre sample median</v>
      </c>
      <c r="AE174" s="10" t="str">
        <f t="shared" si="59"/>
        <v>1_pre sample first tertile</v>
      </c>
      <c r="AF174" t="s">
        <v>80</v>
      </c>
      <c r="AG174" t="s">
        <v>75</v>
      </c>
      <c r="AH174" t="s">
        <v>78</v>
      </c>
      <c r="AI174" t="s">
        <v>123</v>
      </c>
      <c r="AJ174" t="s">
        <v>123</v>
      </c>
      <c r="AK174" t="str">
        <f>VLOOKUP(MID($AR174,1,255),country_lookup!$B:$F,2,FALSE)</f>
        <v>1_US</v>
      </c>
      <c r="AL174" t="str">
        <f>VLOOKUP(MID($AR174,1,255),country_lookup!$B:$F,3,FALSE)</f>
        <v>1_developed</v>
      </c>
      <c r="AM174" t="str">
        <f>VLOOKUP(MID($AR174,1,255),country_lookup!$B:$F,4,FALSE)</f>
        <v>1_western</v>
      </c>
      <c r="AN174" t="str">
        <f>VLOOKUP(MID($AR174,1,255),country_lookup!$B:$F,5,FALSE)</f>
        <v>1_common law</v>
      </c>
      <c r="AO174" s="10" t="str">
        <f>VLOOKUP(MID($AS174,1,255),source_lookup!$B:$K,4,FALSE)</f>
        <v>1_not published</v>
      </c>
      <c r="AP174" s="10" t="str">
        <f>VLOOKUP(MID($AS174,1,255),source_lookup!$B:$K,6,FALSE)</f>
        <v>99_NA</v>
      </c>
      <c r="AQ174" s="10" t="str">
        <f>VLOOKUP(MID($AS174,1,255),source_lookup!$B:$K,10,FALSE)</f>
        <v>1_fin/acc/econ</v>
      </c>
      <c r="AR174" t="s">
        <v>85</v>
      </c>
      <c r="AS174" t="s">
        <v>129</v>
      </c>
    </row>
    <row r="175" spans="1:45" x14ac:dyDescent="0.3">
      <c r="A175" t="s">
        <v>5</v>
      </c>
      <c r="B175">
        <v>174</v>
      </c>
      <c r="C175" s="1">
        <v>-4.5633464991656603E-2</v>
      </c>
      <c r="D175" s="2">
        <v>343</v>
      </c>
      <c r="E175" s="4">
        <v>6525</v>
      </c>
      <c r="F175" s="4" t="s">
        <v>347</v>
      </c>
      <c r="G175" s="4" t="s">
        <v>346</v>
      </c>
      <c r="H175" t="s">
        <v>77</v>
      </c>
      <c r="I175" t="s">
        <v>350</v>
      </c>
      <c r="J175" s="3">
        <v>1990</v>
      </c>
      <c r="K175" s="3">
        <v>2008</v>
      </c>
      <c r="L175" s="6">
        <f t="shared" si="51"/>
        <v>1999</v>
      </c>
      <c r="M175" s="6">
        <f t="shared" si="52"/>
        <v>1999</v>
      </c>
      <c r="N175" s="7">
        <f t="shared" si="40"/>
        <v>0</v>
      </c>
      <c r="O175" s="7">
        <f t="shared" si="41"/>
        <v>0</v>
      </c>
      <c r="P175" s="7">
        <f t="shared" si="42"/>
        <v>0</v>
      </c>
      <c r="Q175" s="7">
        <f t="shared" si="53"/>
        <v>0</v>
      </c>
      <c r="R175" s="10" t="str">
        <f t="shared" si="43"/>
        <v>0_Pre</v>
      </c>
      <c r="S175" s="10" t="str">
        <f t="shared" si="44"/>
        <v>0_Pre</v>
      </c>
      <c r="T175" s="10" t="str">
        <f t="shared" si="45"/>
        <v>0_Pre</v>
      </c>
      <c r="U175" s="10" t="str">
        <f t="shared" si="46"/>
        <v>0_Pre</v>
      </c>
      <c r="V175" s="10" t="str">
        <f t="shared" si="54"/>
        <v>0_Pre</v>
      </c>
      <c r="W175" s="10" t="str">
        <f t="shared" si="47"/>
        <v>clean_pre</v>
      </c>
      <c r="X175" s="10" t="str">
        <f t="shared" si="48"/>
        <v>0_Pre</v>
      </c>
      <c r="Y175" s="10" t="str">
        <f t="shared" si="49"/>
        <v>0_Pre</v>
      </c>
      <c r="Z175" s="10" t="str">
        <f t="shared" si="50"/>
        <v>0_Pre</v>
      </c>
      <c r="AA175" s="10" t="str">
        <f t="shared" si="55"/>
        <v>0_Pre</v>
      </c>
      <c r="AB175" s="10" t="str">
        <f t="shared" si="56"/>
        <v>0_Pre</v>
      </c>
      <c r="AC175" s="10" t="str">
        <f t="shared" si="57"/>
        <v>0_Pre</v>
      </c>
      <c r="AD175" s="10" t="str">
        <f t="shared" si="58"/>
        <v>1_pre sample median</v>
      </c>
      <c r="AE175" s="10" t="str">
        <f t="shared" si="59"/>
        <v>1_pre sample first tertile</v>
      </c>
      <c r="AF175" t="s">
        <v>80</v>
      </c>
      <c r="AG175" t="s">
        <v>75</v>
      </c>
      <c r="AH175" t="s">
        <v>78</v>
      </c>
      <c r="AI175" t="s">
        <v>123</v>
      </c>
      <c r="AJ175" t="s">
        <v>123</v>
      </c>
      <c r="AK175" t="str">
        <f>VLOOKUP(MID($AR175,1,255),country_lookup!$B:$F,2,FALSE)</f>
        <v>1_US</v>
      </c>
      <c r="AL175" t="str">
        <f>VLOOKUP(MID($AR175,1,255),country_lookup!$B:$F,3,FALSE)</f>
        <v>1_developed</v>
      </c>
      <c r="AM175" t="str">
        <f>VLOOKUP(MID($AR175,1,255),country_lookup!$B:$F,4,FALSE)</f>
        <v>1_western</v>
      </c>
      <c r="AN175" t="str">
        <f>VLOOKUP(MID($AR175,1,255),country_lookup!$B:$F,5,FALSE)</f>
        <v>1_common law</v>
      </c>
      <c r="AO175" s="10" t="str">
        <f>VLOOKUP(MID($AS175,1,255),source_lookup!$B:$K,4,FALSE)</f>
        <v>1_not published</v>
      </c>
      <c r="AP175" s="10" t="str">
        <f>VLOOKUP(MID($AS175,1,255),source_lookup!$B:$K,6,FALSE)</f>
        <v>99_NA</v>
      </c>
      <c r="AQ175" s="10" t="str">
        <f>VLOOKUP(MID($AS175,1,255),source_lookup!$B:$K,10,FALSE)</f>
        <v>1_fin/acc/econ</v>
      </c>
      <c r="AR175" t="s">
        <v>85</v>
      </c>
      <c r="AS175" t="s">
        <v>129</v>
      </c>
    </row>
    <row r="176" spans="1:45" x14ac:dyDescent="0.3">
      <c r="A176" t="s">
        <v>5</v>
      </c>
      <c r="B176">
        <v>175</v>
      </c>
      <c r="C176" s="1">
        <v>8.9130221774082578E-3</v>
      </c>
      <c r="D176" s="2">
        <v>343</v>
      </c>
      <c r="E176" s="4">
        <v>6525</v>
      </c>
      <c r="F176" s="4" t="s">
        <v>347</v>
      </c>
      <c r="G176" s="4" t="s">
        <v>346</v>
      </c>
      <c r="H176" t="s">
        <v>77</v>
      </c>
      <c r="I176" t="s">
        <v>350</v>
      </c>
      <c r="J176" s="3">
        <v>1990</v>
      </c>
      <c r="K176" s="3">
        <v>2008</v>
      </c>
      <c r="L176" s="6">
        <f t="shared" si="51"/>
        <v>1999</v>
      </c>
      <c r="M176" s="6">
        <f t="shared" si="52"/>
        <v>1999</v>
      </c>
      <c r="N176" s="7">
        <f t="shared" si="40"/>
        <v>0</v>
      </c>
      <c r="O176" s="7">
        <f t="shared" si="41"/>
        <v>0</v>
      </c>
      <c r="P176" s="7">
        <f t="shared" si="42"/>
        <v>0</v>
      </c>
      <c r="Q176" s="7">
        <f t="shared" si="53"/>
        <v>0</v>
      </c>
      <c r="R176" s="10" t="str">
        <f t="shared" si="43"/>
        <v>0_Pre</v>
      </c>
      <c r="S176" s="10" t="str">
        <f t="shared" si="44"/>
        <v>0_Pre</v>
      </c>
      <c r="T176" s="10" t="str">
        <f t="shared" si="45"/>
        <v>0_Pre</v>
      </c>
      <c r="U176" s="10" t="str">
        <f t="shared" si="46"/>
        <v>0_Pre</v>
      </c>
      <c r="V176" s="10" t="str">
        <f t="shared" si="54"/>
        <v>0_Pre</v>
      </c>
      <c r="W176" s="10" t="str">
        <f t="shared" si="47"/>
        <v>clean_pre</v>
      </c>
      <c r="X176" s="10" t="str">
        <f t="shared" si="48"/>
        <v>0_Pre</v>
      </c>
      <c r="Y176" s="10" t="str">
        <f t="shared" si="49"/>
        <v>0_Pre</v>
      </c>
      <c r="Z176" s="10" t="str">
        <f t="shared" si="50"/>
        <v>0_Pre</v>
      </c>
      <c r="AA176" s="10" t="str">
        <f t="shared" si="55"/>
        <v>0_Pre</v>
      </c>
      <c r="AB176" s="10" t="str">
        <f t="shared" si="56"/>
        <v>0_Pre</v>
      </c>
      <c r="AC176" s="10" t="str">
        <f t="shared" si="57"/>
        <v>0_Pre</v>
      </c>
      <c r="AD176" s="10" t="str">
        <f t="shared" si="58"/>
        <v>1_pre sample median</v>
      </c>
      <c r="AE176" s="10" t="str">
        <f t="shared" si="59"/>
        <v>1_pre sample first tertile</v>
      </c>
      <c r="AF176" t="s">
        <v>80</v>
      </c>
      <c r="AG176" t="s">
        <v>75</v>
      </c>
      <c r="AH176" t="s">
        <v>78</v>
      </c>
      <c r="AI176" t="s">
        <v>123</v>
      </c>
      <c r="AJ176" t="s">
        <v>123</v>
      </c>
      <c r="AK176" t="str">
        <f>VLOOKUP(MID($AR176,1,255),country_lookup!$B:$F,2,FALSE)</f>
        <v>1_US</v>
      </c>
      <c r="AL176" t="str">
        <f>VLOOKUP(MID($AR176,1,255),country_lookup!$B:$F,3,FALSE)</f>
        <v>1_developed</v>
      </c>
      <c r="AM176" t="str">
        <f>VLOOKUP(MID($AR176,1,255),country_lookup!$B:$F,4,FALSE)</f>
        <v>1_western</v>
      </c>
      <c r="AN176" t="str">
        <f>VLOOKUP(MID($AR176,1,255),country_lookup!$B:$F,5,FALSE)</f>
        <v>1_common law</v>
      </c>
      <c r="AO176" s="10" t="str">
        <f>VLOOKUP(MID($AS176,1,255),source_lookup!$B:$K,4,FALSE)</f>
        <v>1_not published</v>
      </c>
      <c r="AP176" s="10" t="str">
        <f>VLOOKUP(MID($AS176,1,255),source_lookup!$B:$K,6,FALSE)</f>
        <v>99_NA</v>
      </c>
      <c r="AQ176" s="10" t="str">
        <f>VLOOKUP(MID($AS176,1,255),source_lookup!$B:$K,10,FALSE)</f>
        <v>1_fin/acc/econ</v>
      </c>
      <c r="AR176" t="s">
        <v>85</v>
      </c>
      <c r="AS176" t="s">
        <v>129</v>
      </c>
    </row>
    <row r="177" spans="1:45" x14ac:dyDescent="0.3">
      <c r="A177" t="s">
        <v>5</v>
      </c>
      <c r="B177">
        <v>176</v>
      </c>
      <c r="C177" s="1">
        <v>-7.4276086303597735E-3</v>
      </c>
      <c r="D177" s="2">
        <v>343</v>
      </c>
      <c r="E177" s="4">
        <v>6525</v>
      </c>
      <c r="F177" s="4" t="s">
        <v>347</v>
      </c>
      <c r="G177" s="4" t="s">
        <v>346</v>
      </c>
      <c r="H177" t="s">
        <v>77</v>
      </c>
      <c r="I177" t="s">
        <v>350</v>
      </c>
      <c r="J177" s="3">
        <v>1990</v>
      </c>
      <c r="K177" s="3">
        <v>2008</v>
      </c>
      <c r="L177" s="6">
        <f t="shared" si="51"/>
        <v>1999</v>
      </c>
      <c r="M177" s="6">
        <f t="shared" si="52"/>
        <v>1999</v>
      </c>
      <c r="N177" s="7">
        <f t="shared" si="40"/>
        <v>0</v>
      </c>
      <c r="O177" s="7">
        <f t="shared" si="41"/>
        <v>0</v>
      </c>
      <c r="P177" s="7">
        <f t="shared" si="42"/>
        <v>0</v>
      </c>
      <c r="Q177" s="7">
        <f t="shared" si="53"/>
        <v>0</v>
      </c>
      <c r="R177" s="10" t="str">
        <f t="shared" si="43"/>
        <v>0_Pre</v>
      </c>
      <c r="S177" s="10" t="str">
        <f t="shared" si="44"/>
        <v>0_Pre</v>
      </c>
      <c r="T177" s="10" t="str">
        <f t="shared" si="45"/>
        <v>0_Pre</v>
      </c>
      <c r="U177" s="10" t="str">
        <f t="shared" si="46"/>
        <v>0_Pre</v>
      </c>
      <c r="V177" s="10" t="str">
        <f t="shared" si="54"/>
        <v>0_Pre</v>
      </c>
      <c r="W177" s="10" t="str">
        <f t="shared" si="47"/>
        <v>clean_pre</v>
      </c>
      <c r="X177" s="10" t="str">
        <f t="shared" si="48"/>
        <v>0_Pre</v>
      </c>
      <c r="Y177" s="10" t="str">
        <f t="shared" si="49"/>
        <v>0_Pre</v>
      </c>
      <c r="Z177" s="10" t="str">
        <f t="shared" si="50"/>
        <v>0_Pre</v>
      </c>
      <c r="AA177" s="10" t="str">
        <f t="shared" si="55"/>
        <v>0_Pre</v>
      </c>
      <c r="AB177" s="10" t="str">
        <f t="shared" si="56"/>
        <v>0_Pre</v>
      </c>
      <c r="AC177" s="10" t="str">
        <f t="shared" si="57"/>
        <v>0_Pre</v>
      </c>
      <c r="AD177" s="10" t="str">
        <f t="shared" si="58"/>
        <v>1_pre sample median</v>
      </c>
      <c r="AE177" s="10" t="str">
        <f t="shared" si="59"/>
        <v>1_pre sample first tertile</v>
      </c>
      <c r="AF177" t="s">
        <v>80</v>
      </c>
      <c r="AG177" t="s">
        <v>75</v>
      </c>
      <c r="AH177" t="s">
        <v>78</v>
      </c>
      <c r="AI177" t="s">
        <v>123</v>
      </c>
      <c r="AJ177" t="s">
        <v>123</v>
      </c>
      <c r="AK177" t="str">
        <f>VLOOKUP(MID($AR177,1,255),country_lookup!$B:$F,2,FALSE)</f>
        <v>1_US</v>
      </c>
      <c r="AL177" t="str">
        <f>VLOOKUP(MID($AR177,1,255),country_lookup!$B:$F,3,FALSE)</f>
        <v>1_developed</v>
      </c>
      <c r="AM177" t="str">
        <f>VLOOKUP(MID($AR177,1,255),country_lookup!$B:$F,4,FALSE)</f>
        <v>1_western</v>
      </c>
      <c r="AN177" t="str">
        <f>VLOOKUP(MID($AR177,1,255),country_lookup!$B:$F,5,FALSE)</f>
        <v>1_common law</v>
      </c>
      <c r="AO177" s="10" t="str">
        <f>VLOOKUP(MID($AS177,1,255),source_lookup!$B:$K,4,FALSE)</f>
        <v>1_not published</v>
      </c>
      <c r="AP177" s="10" t="str">
        <f>VLOOKUP(MID($AS177,1,255),source_lookup!$B:$K,6,FALSE)</f>
        <v>99_NA</v>
      </c>
      <c r="AQ177" s="10" t="str">
        <f>VLOOKUP(MID($AS177,1,255),source_lookup!$B:$K,10,FALSE)</f>
        <v>1_fin/acc/econ</v>
      </c>
      <c r="AR177" t="s">
        <v>85</v>
      </c>
      <c r="AS177" t="s">
        <v>129</v>
      </c>
    </row>
    <row r="178" spans="1:45" x14ac:dyDescent="0.3">
      <c r="A178" t="s">
        <v>5</v>
      </c>
      <c r="B178">
        <v>177</v>
      </c>
      <c r="C178" s="1">
        <v>-1.7823920530460925E-2</v>
      </c>
      <c r="D178" s="2">
        <v>343</v>
      </c>
      <c r="E178" s="4">
        <v>6525</v>
      </c>
      <c r="F178" s="4" t="s">
        <v>347</v>
      </c>
      <c r="G178" s="4" t="s">
        <v>346</v>
      </c>
      <c r="H178" t="s">
        <v>77</v>
      </c>
      <c r="I178" t="s">
        <v>350</v>
      </c>
      <c r="J178" s="3">
        <v>1990</v>
      </c>
      <c r="K178" s="3">
        <v>2008</v>
      </c>
      <c r="L178" s="6">
        <f t="shared" si="51"/>
        <v>1999</v>
      </c>
      <c r="M178" s="6">
        <f t="shared" si="52"/>
        <v>1999</v>
      </c>
      <c r="N178" s="7">
        <f t="shared" si="40"/>
        <v>0</v>
      </c>
      <c r="O178" s="7">
        <f t="shared" si="41"/>
        <v>0</v>
      </c>
      <c r="P178" s="7">
        <f t="shared" si="42"/>
        <v>0</v>
      </c>
      <c r="Q178" s="7">
        <f t="shared" si="53"/>
        <v>0</v>
      </c>
      <c r="R178" s="10" t="str">
        <f t="shared" si="43"/>
        <v>0_Pre</v>
      </c>
      <c r="S178" s="10" t="str">
        <f t="shared" si="44"/>
        <v>0_Pre</v>
      </c>
      <c r="T178" s="10" t="str">
        <f t="shared" si="45"/>
        <v>0_Pre</v>
      </c>
      <c r="U178" s="10" t="str">
        <f t="shared" si="46"/>
        <v>0_Pre</v>
      </c>
      <c r="V178" s="10" t="str">
        <f t="shared" si="54"/>
        <v>0_Pre</v>
      </c>
      <c r="W178" s="10" t="str">
        <f t="shared" si="47"/>
        <v>clean_pre</v>
      </c>
      <c r="X178" s="10" t="str">
        <f t="shared" si="48"/>
        <v>0_Pre</v>
      </c>
      <c r="Y178" s="10" t="str">
        <f t="shared" si="49"/>
        <v>0_Pre</v>
      </c>
      <c r="Z178" s="10" t="str">
        <f t="shared" si="50"/>
        <v>0_Pre</v>
      </c>
      <c r="AA178" s="10" t="str">
        <f t="shared" si="55"/>
        <v>0_Pre</v>
      </c>
      <c r="AB178" s="10" t="str">
        <f t="shared" si="56"/>
        <v>0_Pre</v>
      </c>
      <c r="AC178" s="10" t="str">
        <f t="shared" si="57"/>
        <v>0_Pre</v>
      </c>
      <c r="AD178" s="10" t="str">
        <f t="shared" si="58"/>
        <v>1_pre sample median</v>
      </c>
      <c r="AE178" s="10" t="str">
        <f t="shared" si="59"/>
        <v>1_pre sample first tertile</v>
      </c>
      <c r="AF178" t="s">
        <v>80</v>
      </c>
      <c r="AG178" t="s">
        <v>75</v>
      </c>
      <c r="AH178" t="s">
        <v>78</v>
      </c>
      <c r="AI178" t="s">
        <v>123</v>
      </c>
      <c r="AJ178" t="s">
        <v>123</v>
      </c>
      <c r="AK178" t="str">
        <f>VLOOKUP(MID($AR178,1,255),country_lookup!$B:$F,2,FALSE)</f>
        <v>1_US</v>
      </c>
      <c r="AL178" t="str">
        <f>VLOOKUP(MID($AR178,1,255),country_lookup!$B:$F,3,FALSE)</f>
        <v>1_developed</v>
      </c>
      <c r="AM178" t="str">
        <f>VLOOKUP(MID($AR178,1,255),country_lookup!$B:$F,4,FALSE)</f>
        <v>1_western</v>
      </c>
      <c r="AN178" t="str">
        <f>VLOOKUP(MID($AR178,1,255),country_lookup!$B:$F,5,FALSE)</f>
        <v>1_common law</v>
      </c>
      <c r="AO178" s="10" t="str">
        <f>VLOOKUP(MID($AS178,1,255),source_lookup!$B:$K,4,FALSE)</f>
        <v>1_not published</v>
      </c>
      <c r="AP178" s="10" t="str">
        <f>VLOOKUP(MID($AS178,1,255),source_lookup!$B:$K,6,FALSE)</f>
        <v>99_NA</v>
      </c>
      <c r="AQ178" s="10" t="str">
        <f>VLOOKUP(MID($AS178,1,255),source_lookup!$B:$K,10,FALSE)</f>
        <v>1_fin/acc/econ</v>
      </c>
      <c r="AR178" t="s">
        <v>85</v>
      </c>
      <c r="AS178" t="s">
        <v>129</v>
      </c>
    </row>
    <row r="179" spans="1:45" x14ac:dyDescent="0.3">
      <c r="A179" t="s">
        <v>5</v>
      </c>
      <c r="B179">
        <v>178</v>
      </c>
      <c r="C179" s="1">
        <v>-5.1993991878986016E-3</v>
      </c>
      <c r="D179" s="2">
        <v>343</v>
      </c>
      <c r="E179" s="4">
        <v>6525</v>
      </c>
      <c r="F179" s="4" t="s">
        <v>347</v>
      </c>
      <c r="G179" s="4" t="s">
        <v>346</v>
      </c>
      <c r="H179" t="s">
        <v>77</v>
      </c>
      <c r="I179" t="s">
        <v>350</v>
      </c>
      <c r="J179" s="3">
        <v>1990</v>
      </c>
      <c r="K179" s="3">
        <v>2008</v>
      </c>
      <c r="L179" s="6">
        <f t="shared" si="51"/>
        <v>1999</v>
      </c>
      <c r="M179" s="6">
        <f t="shared" si="52"/>
        <v>1999</v>
      </c>
      <c r="N179" s="7">
        <f t="shared" si="40"/>
        <v>0</v>
      </c>
      <c r="O179" s="7">
        <f t="shared" si="41"/>
        <v>0</v>
      </c>
      <c r="P179" s="7">
        <f t="shared" si="42"/>
        <v>0</v>
      </c>
      <c r="Q179" s="7">
        <f t="shared" si="53"/>
        <v>0</v>
      </c>
      <c r="R179" s="10" t="str">
        <f t="shared" si="43"/>
        <v>0_Pre</v>
      </c>
      <c r="S179" s="10" t="str">
        <f t="shared" si="44"/>
        <v>0_Pre</v>
      </c>
      <c r="T179" s="10" t="str">
        <f t="shared" si="45"/>
        <v>0_Pre</v>
      </c>
      <c r="U179" s="10" t="str">
        <f t="shared" si="46"/>
        <v>0_Pre</v>
      </c>
      <c r="V179" s="10" t="str">
        <f t="shared" si="54"/>
        <v>0_Pre</v>
      </c>
      <c r="W179" s="10" t="str">
        <f t="shared" si="47"/>
        <v>clean_pre</v>
      </c>
      <c r="X179" s="10" t="str">
        <f t="shared" si="48"/>
        <v>0_Pre</v>
      </c>
      <c r="Y179" s="10" t="str">
        <f t="shared" si="49"/>
        <v>0_Pre</v>
      </c>
      <c r="Z179" s="10" t="str">
        <f t="shared" si="50"/>
        <v>0_Pre</v>
      </c>
      <c r="AA179" s="10" t="str">
        <f t="shared" si="55"/>
        <v>0_Pre</v>
      </c>
      <c r="AB179" s="10" t="str">
        <f t="shared" si="56"/>
        <v>0_Pre</v>
      </c>
      <c r="AC179" s="10" t="str">
        <f t="shared" si="57"/>
        <v>0_Pre</v>
      </c>
      <c r="AD179" s="10" t="str">
        <f t="shared" si="58"/>
        <v>1_pre sample median</v>
      </c>
      <c r="AE179" s="10" t="str">
        <f t="shared" si="59"/>
        <v>1_pre sample first tertile</v>
      </c>
      <c r="AF179" t="s">
        <v>80</v>
      </c>
      <c r="AG179" t="s">
        <v>75</v>
      </c>
      <c r="AH179" t="s">
        <v>78</v>
      </c>
      <c r="AI179" t="s">
        <v>123</v>
      </c>
      <c r="AJ179" t="s">
        <v>123</v>
      </c>
      <c r="AK179" t="str">
        <f>VLOOKUP(MID($AR179,1,255),country_lookup!$B:$F,2,FALSE)</f>
        <v>1_US</v>
      </c>
      <c r="AL179" t="str">
        <f>VLOOKUP(MID($AR179,1,255),country_lookup!$B:$F,3,FALSE)</f>
        <v>1_developed</v>
      </c>
      <c r="AM179" t="str">
        <f>VLOOKUP(MID($AR179,1,255),country_lookup!$B:$F,4,FALSE)</f>
        <v>1_western</v>
      </c>
      <c r="AN179" t="str">
        <f>VLOOKUP(MID($AR179,1,255),country_lookup!$B:$F,5,FALSE)</f>
        <v>1_common law</v>
      </c>
      <c r="AO179" s="10" t="str">
        <f>VLOOKUP(MID($AS179,1,255),source_lookup!$B:$K,4,FALSE)</f>
        <v>1_not published</v>
      </c>
      <c r="AP179" s="10" t="str">
        <f>VLOOKUP(MID($AS179,1,255),source_lookup!$B:$K,6,FALSE)</f>
        <v>99_NA</v>
      </c>
      <c r="AQ179" s="10" t="str">
        <f>VLOOKUP(MID($AS179,1,255),source_lookup!$B:$K,10,FALSE)</f>
        <v>1_fin/acc/econ</v>
      </c>
      <c r="AR179" t="s">
        <v>85</v>
      </c>
      <c r="AS179" t="s">
        <v>129</v>
      </c>
    </row>
    <row r="180" spans="1:45" x14ac:dyDescent="0.3">
      <c r="A180" t="s">
        <v>5</v>
      </c>
      <c r="B180">
        <v>179</v>
      </c>
      <c r="C180" s="1">
        <v>-3.6156648575181053E-3</v>
      </c>
      <c r="D180" s="2">
        <v>316</v>
      </c>
      <c r="E180" s="4">
        <v>5997</v>
      </c>
      <c r="F180" s="4" t="s">
        <v>347</v>
      </c>
      <c r="G180" s="4" t="s">
        <v>346</v>
      </c>
      <c r="H180" t="s">
        <v>77</v>
      </c>
      <c r="I180" t="s">
        <v>350</v>
      </c>
      <c r="J180" s="3">
        <v>1990</v>
      </c>
      <c r="K180" s="3">
        <v>2008</v>
      </c>
      <c r="L180" s="6">
        <f t="shared" si="51"/>
        <v>1999</v>
      </c>
      <c r="M180" s="6">
        <f t="shared" si="52"/>
        <v>1999</v>
      </c>
      <c r="N180" s="7">
        <f t="shared" si="40"/>
        <v>0</v>
      </c>
      <c r="O180" s="7">
        <f t="shared" si="41"/>
        <v>0</v>
      </c>
      <c r="P180" s="7">
        <f t="shared" si="42"/>
        <v>0</v>
      </c>
      <c r="Q180" s="7">
        <f t="shared" si="53"/>
        <v>0</v>
      </c>
      <c r="R180" s="10" t="str">
        <f t="shared" si="43"/>
        <v>0_Pre</v>
      </c>
      <c r="S180" s="10" t="str">
        <f t="shared" si="44"/>
        <v>0_Pre</v>
      </c>
      <c r="T180" s="10" t="str">
        <f t="shared" si="45"/>
        <v>0_Pre</v>
      </c>
      <c r="U180" s="10" t="str">
        <f t="shared" si="46"/>
        <v>0_Pre</v>
      </c>
      <c r="V180" s="10" t="str">
        <f t="shared" si="54"/>
        <v>0_Pre</v>
      </c>
      <c r="W180" s="10" t="str">
        <f t="shared" si="47"/>
        <v>clean_pre</v>
      </c>
      <c r="X180" s="10" t="str">
        <f t="shared" si="48"/>
        <v>0_Pre</v>
      </c>
      <c r="Y180" s="10" t="str">
        <f t="shared" si="49"/>
        <v>0_Pre</v>
      </c>
      <c r="Z180" s="10" t="str">
        <f t="shared" si="50"/>
        <v>0_Pre</v>
      </c>
      <c r="AA180" s="10" t="str">
        <f t="shared" si="55"/>
        <v>0_Pre</v>
      </c>
      <c r="AB180" s="10" t="str">
        <f t="shared" si="56"/>
        <v>0_Pre</v>
      </c>
      <c r="AC180" s="10" t="str">
        <f t="shared" si="57"/>
        <v>0_Pre</v>
      </c>
      <c r="AD180" s="10" t="str">
        <f t="shared" si="58"/>
        <v>1_pre sample median</v>
      </c>
      <c r="AE180" s="10" t="str">
        <f t="shared" si="59"/>
        <v>1_pre sample first tertile</v>
      </c>
      <c r="AF180" t="s">
        <v>80</v>
      </c>
      <c r="AG180" t="s">
        <v>75</v>
      </c>
      <c r="AH180" t="s">
        <v>78</v>
      </c>
      <c r="AI180" t="s">
        <v>123</v>
      </c>
      <c r="AJ180" t="s">
        <v>123</v>
      </c>
      <c r="AK180" t="str">
        <f>VLOOKUP(MID($AR180,1,255),country_lookup!$B:$F,2,FALSE)</f>
        <v>1_US</v>
      </c>
      <c r="AL180" t="str">
        <f>VLOOKUP(MID($AR180,1,255),country_lookup!$B:$F,3,FALSE)</f>
        <v>1_developed</v>
      </c>
      <c r="AM180" t="str">
        <f>VLOOKUP(MID($AR180,1,255),country_lookup!$B:$F,4,FALSE)</f>
        <v>1_western</v>
      </c>
      <c r="AN180" t="str">
        <f>VLOOKUP(MID($AR180,1,255),country_lookup!$B:$F,5,FALSE)</f>
        <v>1_common law</v>
      </c>
      <c r="AO180" s="10" t="str">
        <f>VLOOKUP(MID($AS180,1,255),source_lookup!$B:$K,4,FALSE)</f>
        <v>1_not published</v>
      </c>
      <c r="AP180" s="10" t="str">
        <f>VLOOKUP(MID($AS180,1,255),source_lookup!$B:$K,6,FALSE)</f>
        <v>99_NA</v>
      </c>
      <c r="AQ180" s="10" t="str">
        <f>VLOOKUP(MID($AS180,1,255),source_lookup!$B:$K,10,FALSE)</f>
        <v>1_fin/acc/econ</v>
      </c>
      <c r="AR180" t="s">
        <v>85</v>
      </c>
      <c r="AS180" t="s">
        <v>129</v>
      </c>
    </row>
    <row r="181" spans="1:45" x14ac:dyDescent="0.3">
      <c r="A181" t="s">
        <v>5</v>
      </c>
      <c r="B181">
        <v>180</v>
      </c>
      <c r="C181" s="1">
        <v>-2.4534955204018678E-3</v>
      </c>
      <c r="D181" s="2">
        <v>316</v>
      </c>
      <c r="E181" s="4">
        <v>5997</v>
      </c>
      <c r="F181" s="4" t="s">
        <v>347</v>
      </c>
      <c r="G181" s="4" t="s">
        <v>346</v>
      </c>
      <c r="H181" t="s">
        <v>77</v>
      </c>
      <c r="I181" t="s">
        <v>350</v>
      </c>
      <c r="J181" s="3">
        <v>1990</v>
      </c>
      <c r="K181" s="3">
        <v>2008</v>
      </c>
      <c r="L181" s="6">
        <f t="shared" si="51"/>
        <v>1999</v>
      </c>
      <c r="M181" s="6">
        <f t="shared" si="52"/>
        <v>1999</v>
      </c>
      <c r="N181" s="7">
        <f t="shared" si="40"/>
        <v>0</v>
      </c>
      <c r="O181" s="7">
        <f t="shared" si="41"/>
        <v>0</v>
      </c>
      <c r="P181" s="7">
        <f t="shared" si="42"/>
        <v>0</v>
      </c>
      <c r="Q181" s="7">
        <f t="shared" si="53"/>
        <v>0</v>
      </c>
      <c r="R181" s="10" t="str">
        <f t="shared" si="43"/>
        <v>0_Pre</v>
      </c>
      <c r="S181" s="10" t="str">
        <f t="shared" si="44"/>
        <v>0_Pre</v>
      </c>
      <c r="T181" s="10" t="str">
        <f t="shared" si="45"/>
        <v>0_Pre</v>
      </c>
      <c r="U181" s="10" t="str">
        <f t="shared" si="46"/>
        <v>0_Pre</v>
      </c>
      <c r="V181" s="10" t="str">
        <f t="shared" si="54"/>
        <v>0_Pre</v>
      </c>
      <c r="W181" s="10" t="str">
        <f t="shared" si="47"/>
        <v>clean_pre</v>
      </c>
      <c r="X181" s="10" t="str">
        <f t="shared" si="48"/>
        <v>0_Pre</v>
      </c>
      <c r="Y181" s="10" t="str">
        <f t="shared" si="49"/>
        <v>0_Pre</v>
      </c>
      <c r="Z181" s="10" t="str">
        <f t="shared" si="50"/>
        <v>0_Pre</v>
      </c>
      <c r="AA181" s="10" t="str">
        <f t="shared" si="55"/>
        <v>0_Pre</v>
      </c>
      <c r="AB181" s="10" t="str">
        <f t="shared" si="56"/>
        <v>0_Pre</v>
      </c>
      <c r="AC181" s="10" t="str">
        <f t="shared" si="57"/>
        <v>0_Pre</v>
      </c>
      <c r="AD181" s="10" t="str">
        <f t="shared" si="58"/>
        <v>1_pre sample median</v>
      </c>
      <c r="AE181" s="10" t="str">
        <f t="shared" si="59"/>
        <v>1_pre sample first tertile</v>
      </c>
      <c r="AF181" t="s">
        <v>80</v>
      </c>
      <c r="AG181" t="s">
        <v>75</v>
      </c>
      <c r="AH181" t="s">
        <v>78</v>
      </c>
      <c r="AI181" t="s">
        <v>123</v>
      </c>
      <c r="AJ181" t="s">
        <v>123</v>
      </c>
      <c r="AK181" t="str">
        <f>VLOOKUP(MID($AR181,1,255),country_lookup!$B:$F,2,FALSE)</f>
        <v>1_US</v>
      </c>
      <c r="AL181" t="str">
        <f>VLOOKUP(MID($AR181,1,255),country_lookup!$B:$F,3,FALSE)</f>
        <v>1_developed</v>
      </c>
      <c r="AM181" t="str">
        <f>VLOOKUP(MID($AR181,1,255),country_lookup!$B:$F,4,FALSE)</f>
        <v>1_western</v>
      </c>
      <c r="AN181" t="str">
        <f>VLOOKUP(MID($AR181,1,255),country_lookup!$B:$F,5,FALSE)</f>
        <v>1_common law</v>
      </c>
      <c r="AO181" s="10" t="str">
        <f>VLOOKUP(MID($AS181,1,255),source_lookup!$B:$K,4,FALSE)</f>
        <v>1_not published</v>
      </c>
      <c r="AP181" s="10" t="str">
        <f>VLOOKUP(MID($AS181,1,255),source_lookup!$B:$K,6,FALSE)</f>
        <v>99_NA</v>
      </c>
      <c r="AQ181" s="10" t="str">
        <f>VLOOKUP(MID($AS181,1,255),source_lookup!$B:$K,10,FALSE)</f>
        <v>1_fin/acc/econ</v>
      </c>
      <c r="AR181" t="s">
        <v>85</v>
      </c>
      <c r="AS181" t="s">
        <v>129</v>
      </c>
    </row>
    <row r="182" spans="1:45" x14ac:dyDescent="0.3">
      <c r="A182" t="s">
        <v>5</v>
      </c>
      <c r="B182">
        <v>181</v>
      </c>
      <c r="C182" s="1">
        <v>-3.6139798900554333E-2</v>
      </c>
      <c r="D182" s="2">
        <v>289</v>
      </c>
      <c r="E182" s="4">
        <v>5492</v>
      </c>
      <c r="F182" s="4" t="s">
        <v>347</v>
      </c>
      <c r="G182" s="4" t="s">
        <v>346</v>
      </c>
      <c r="H182" t="s">
        <v>77</v>
      </c>
      <c r="I182" t="s">
        <v>350</v>
      </c>
      <c r="J182" s="3">
        <v>1990</v>
      </c>
      <c r="K182" s="3">
        <v>2008</v>
      </c>
      <c r="L182" s="6">
        <f t="shared" si="51"/>
        <v>1999</v>
      </c>
      <c r="M182" s="6">
        <f t="shared" si="52"/>
        <v>1999</v>
      </c>
      <c r="N182" s="7">
        <f t="shared" si="40"/>
        <v>0</v>
      </c>
      <c r="O182" s="7">
        <f t="shared" si="41"/>
        <v>0</v>
      </c>
      <c r="P182" s="7">
        <f t="shared" si="42"/>
        <v>0</v>
      </c>
      <c r="Q182" s="7">
        <f t="shared" si="53"/>
        <v>0</v>
      </c>
      <c r="R182" s="10" t="str">
        <f t="shared" si="43"/>
        <v>0_Pre</v>
      </c>
      <c r="S182" s="10" t="str">
        <f t="shared" si="44"/>
        <v>0_Pre</v>
      </c>
      <c r="T182" s="10" t="str">
        <f t="shared" si="45"/>
        <v>0_Pre</v>
      </c>
      <c r="U182" s="10" t="str">
        <f t="shared" si="46"/>
        <v>0_Pre</v>
      </c>
      <c r="V182" s="10" t="str">
        <f t="shared" si="54"/>
        <v>0_Pre</v>
      </c>
      <c r="W182" s="10" t="str">
        <f t="shared" si="47"/>
        <v>clean_pre</v>
      </c>
      <c r="X182" s="10" t="str">
        <f t="shared" si="48"/>
        <v>0_Pre</v>
      </c>
      <c r="Y182" s="10" t="str">
        <f t="shared" si="49"/>
        <v>0_Pre</v>
      </c>
      <c r="Z182" s="10" t="str">
        <f t="shared" si="50"/>
        <v>0_Pre</v>
      </c>
      <c r="AA182" s="10" t="str">
        <f t="shared" si="55"/>
        <v>0_Pre</v>
      </c>
      <c r="AB182" s="10" t="str">
        <f t="shared" si="56"/>
        <v>0_Pre</v>
      </c>
      <c r="AC182" s="10" t="str">
        <f t="shared" si="57"/>
        <v>0_Pre</v>
      </c>
      <c r="AD182" s="10" t="str">
        <f t="shared" si="58"/>
        <v>1_pre sample median</v>
      </c>
      <c r="AE182" s="10" t="str">
        <f t="shared" si="59"/>
        <v>1_pre sample first tertile</v>
      </c>
      <c r="AF182" t="s">
        <v>80</v>
      </c>
      <c r="AG182" t="s">
        <v>75</v>
      </c>
      <c r="AH182" t="s">
        <v>78</v>
      </c>
      <c r="AI182" t="s">
        <v>123</v>
      </c>
      <c r="AJ182" t="s">
        <v>123</v>
      </c>
      <c r="AK182" t="str">
        <f>VLOOKUP(MID($AR182,1,255),country_lookup!$B:$F,2,FALSE)</f>
        <v>1_US</v>
      </c>
      <c r="AL182" t="str">
        <f>VLOOKUP(MID($AR182,1,255),country_lookup!$B:$F,3,FALSE)</f>
        <v>1_developed</v>
      </c>
      <c r="AM182" t="str">
        <f>VLOOKUP(MID($AR182,1,255),country_lookup!$B:$F,4,FALSE)</f>
        <v>1_western</v>
      </c>
      <c r="AN182" t="str">
        <f>VLOOKUP(MID($AR182,1,255),country_lookup!$B:$F,5,FALSE)</f>
        <v>1_common law</v>
      </c>
      <c r="AO182" s="10" t="str">
        <f>VLOOKUP(MID($AS182,1,255),source_lookup!$B:$K,4,FALSE)</f>
        <v>1_not published</v>
      </c>
      <c r="AP182" s="10" t="str">
        <f>VLOOKUP(MID($AS182,1,255),source_lookup!$B:$K,6,FALSE)</f>
        <v>99_NA</v>
      </c>
      <c r="AQ182" s="10" t="str">
        <f>VLOOKUP(MID($AS182,1,255),source_lookup!$B:$K,10,FALSE)</f>
        <v>1_fin/acc/econ</v>
      </c>
      <c r="AR182" t="s">
        <v>85</v>
      </c>
      <c r="AS182" t="s">
        <v>129</v>
      </c>
    </row>
    <row r="183" spans="1:45" x14ac:dyDescent="0.3">
      <c r="A183" t="s">
        <v>5</v>
      </c>
      <c r="B183">
        <v>182</v>
      </c>
      <c r="C183" s="1">
        <v>-3.6947806418175959E-2</v>
      </c>
      <c r="D183" s="2">
        <v>289</v>
      </c>
      <c r="E183" s="4">
        <v>5492</v>
      </c>
      <c r="F183" s="4" t="s">
        <v>347</v>
      </c>
      <c r="G183" s="4" t="s">
        <v>346</v>
      </c>
      <c r="H183" t="s">
        <v>77</v>
      </c>
      <c r="I183" t="s">
        <v>350</v>
      </c>
      <c r="J183" s="3">
        <v>1990</v>
      </c>
      <c r="K183" s="3">
        <v>2008</v>
      </c>
      <c r="L183" s="6">
        <f t="shared" si="51"/>
        <v>1999</v>
      </c>
      <c r="M183" s="6">
        <f t="shared" si="52"/>
        <v>1999</v>
      </c>
      <c r="N183" s="7">
        <f t="shared" si="40"/>
        <v>0</v>
      </c>
      <c r="O183" s="7">
        <f t="shared" si="41"/>
        <v>0</v>
      </c>
      <c r="P183" s="7">
        <f t="shared" si="42"/>
        <v>0</v>
      </c>
      <c r="Q183" s="7">
        <f t="shared" si="53"/>
        <v>0</v>
      </c>
      <c r="R183" s="10" t="str">
        <f t="shared" si="43"/>
        <v>0_Pre</v>
      </c>
      <c r="S183" s="10" t="str">
        <f t="shared" si="44"/>
        <v>0_Pre</v>
      </c>
      <c r="T183" s="10" t="str">
        <f t="shared" si="45"/>
        <v>0_Pre</v>
      </c>
      <c r="U183" s="10" t="str">
        <f t="shared" si="46"/>
        <v>0_Pre</v>
      </c>
      <c r="V183" s="10" t="str">
        <f t="shared" si="54"/>
        <v>0_Pre</v>
      </c>
      <c r="W183" s="10" t="str">
        <f t="shared" si="47"/>
        <v>clean_pre</v>
      </c>
      <c r="X183" s="10" t="str">
        <f t="shared" si="48"/>
        <v>0_Pre</v>
      </c>
      <c r="Y183" s="10" t="str">
        <f t="shared" si="49"/>
        <v>0_Pre</v>
      </c>
      <c r="Z183" s="10" t="str">
        <f t="shared" si="50"/>
        <v>0_Pre</v>
      </c>
      <c r="AA183" s="10" t="str">
        <f t="shared" si="55"/>
        <v>0_Pre</v>
      </c>
      <c r="AB183" s="10" t="str">
        <f t="shared" si="56"/>
        <v>0_Pre</v>
      </c>
      <c r="AC183" s="10" t="str">
        <f t="shared" si="57"/>
        <v>0_Pre</v>
      </c>
      <c r="AD183" s="10" t="str">
        <f t="shared" si="58"/>
        <v>1_pre sample median</v>
      </c>
      <c r="AE183" s="10" t="str">
        <f t="shared" si="59"/>
        <v>1_pre sample first tertile</v>
      </c>
      <c r="AF183" t="s">
        <v>80</v>
      </c>
      <c r="AG183" t="s">
        <v>75</v>
      </c>
      <c r="AH183" t="s">
        <v>78</v>
      </c>
      <c r="AI183" t="s">
        <v>123</v>
      </c>
      <c r="AJ183" t="s">
        <v>123</v>
      </c>
      <c r="AK183" t="str">
        <f>VLOOKUP(MID($AR183,1,255),country_lookup!$B:$F,2,FALSE)</f>
        <v>1_US</v>
      </c>
      <c r="AL183" t="str">
        <f>VLOOKUP(MID($AR183,1,255),country_lookup!$B:$F,3,FALSE)</f>
        <v>1_developed</v>
      </c>
      <c r="AM183" t="str">
        <f>VLOOKUP(MID($AR183,1,255),country_lookup!$B:$F,4,FALSE)</f>
        <v>1_western</v>
      </c>
      <c r="AN183" t="str">
        <f>VLOOKUP(MID($AR183,1,255),country_lookup!$B:$F,5,FALSE)</f>
        <v>1_common law</v>
      </c>
      <c r="AO183" s="10" t="str">
        <f>VLOOKUP(MID($AS183,1,255),source_lookup!$B:$K,4,FALSE)</f>
        <v>1_not published</v>
      </c>
      <c r="AP183" s="10" t="str">
        <f>VLOOKUP(MID($AS183,1,255),source_lookup!$B:$K,6,FALSE)</f>
        <v>99_NA</v>
      </c>
      <c r="AQ183" s="10" t="str">
        <f>VLOOKUP(MID($AS183,1,255),source_lookup!$B:$K,10,FALSE)</f>
        <v>1_fin/acc/econ</v>
      </c>
      <c r="AR183" t="s">
        <v>85</v>
      </c>
      <c r="AS183" t="s">
        <v>129</v>
      </c>
    </row>
    <row r="184" spans="1:45" x14ac:dyDescent="0.3">
      <c r="A184" t="s">
        <v>5</v>
      </c>
      <c r="B184">
        <v>183</v>
      </c>
      <c r="C184" s="1">
        <v>-5.8022425649427939E-3</v>
      </c>
      <c r="D184" s="2">
        <v>289</v>
      </c>
      <c r="E184" s="4">
        <v>5492</v>
      </c>
      <c r="F184" s="4" t="s">
        <v>347</v>
      </c>
      <c r="G184" s="4" t="s">
        <v>346</v>
      </c>
      <c r="H184" t="s">
        <v>77</v>
      </c>
      <c r="I184" t="s">
        <v>350</v>
      </c>
      <c r="J184" s="3">
        <v>1990</v>
      </c>
      <c r="K184" s="3">
        <v>2008</v>
      </c>
      <c r="L184" s="6">
        <f t="shared" si="51"/>
        <v>1999</v>
      </c>
      <c r="M184" s="6">
        <f t="shared" si="52"/>
        <v>1999</v>
      </c>
      <c r="N184" s="7">
        <f t="shared" si="40"/>
        <v>0</v>
      </c>
      <c r="O184" s="7">
        <f t="shared" si="41"/>
        <v>0</v>
      </c>
      <c r="P184" s="7">
        <f t="shared" si="42"/>
        <v>0</v>
      </c>
      <c r="Q184" s="7">
        <f t="shared" si="53"/>
        <v>0</v>
      </c>
      <c r="R184" s="10" t="str">
        <f t="shared" si="43"/>
        <v>0_Pre</v>
      </c>
      <c r="S184" s="10" t="str">
        <f t="shared" si="44"/>
        <v>0_Pre</v>
      </c>
      <c r="T184" s="10" t="str">
        <f t="shared" si="45"/>
        <v>0_Pre</v>
      </c>
      <c r="U184" s="10" t="str">
        <f t="shared" si="46"/>
        <v>0_Pre</v>
      </c>
      <c r="V184" s="10" t="str">
        <f t="shared" si="54"/>
        <v>0_Pre</v>
      </c>
      <c r="W184" s="10" t="str">
        <f t="shared" si="47"/>
        <v>clean_pre</v>
      </c>
      <c r="X184" s="10" t="str">
        <f t="shared" si="48"/>
        <v>0_Pre</v>
      </c>
      <c r="Y184" s="10" t="str">
        <f t="shared" si="49"/>
        <v>0_Pre</v>
      </c>
      <c r="Z184" s="10" t="str">
        <f t="shared" si="50"/>
        <v>0_Pre</v>
      </c>
      <c r="AA184" s="10" t="str">
        <f t="shared" si="55"/>
        <v>0_Pre</v>
      </c>
      <c r="AB184" s="10" t="str">
        <f t="shared" si="56"/>
        <v>0_Pre</v>
      </c>
      <c r="AC184" s="10" t="str">
        <f t="shared" si="57"/>
        <v>0_Pre</v>
      </c>
      <c r="AD184" s="10" t="str">
        <f t="shared" si="58"/>
        <v>1_pre sample median</v>
      </c>
      <c r="AE184" s="10" t="str">
        <f t="shared" si="59"/>
        <v>1_pre sample first tertile</v>
      </c>
      <c r="AF184" t="s">
        <v>80</v>
      </c>
      <c r="AG184" t="s">
        <v>75</v>
      </c>
      <c r="AH184" t="s">
        <v>78</v>
      </c>
      <c r="AI184" t="s">
        <v>123</v>
      </c>
      <c r="AJ184" t="s">
        <v>123</v>
      </c>
      <c r="AK184" t="str">
        <f>VLOOKUP(MID($AR184,1,255),country_lookup!$B:$F,2,FALSE)</f>
        <v>1_US</v>
      </c>
      <c r="AL184" t="str">
        <f>VLOOKUP(MID($AR184,1,255),country_lookup!$B:$F,3,FALSE)</f>
        <v>1_developed</v>
      </c>
      <c r="AM184" t="str">
        <f>VLOOKUP(MID($AR184,1,255),country_lookup!$B:$F,4,FALSE)</f>
        <v>1_western</v>
      </c>
      <c r="AN184" t="str">
        <f>VLOOKUP(MID($AR184,1,255),country_lookup!$B:$F,5,FALSE)</f>
        <v>1_common law</v>
      </c>
      <c r="AO184" s="10" t="str">
        <f>VLOOKUP(MID($AS184,1,255),source_lookup!$B:$K,4,FALSE)</f>
        <v>1_not published</v>
      </c>
      <c r="AP184" s="10" t="str">
        <f>VLOOKUP(MID($AS184,1,255),source_lookup!$B:$K,6,FALSE)</f>
        <v>99_NA</v>
      </c>
      <c r="AQ184" s="10" t="str">
        <f>VLOOKUP(MID($AS184,1,255),source_lookup!$B:$K,10,FALSE)</f>
        <v>1_fin/acc/econ</v>
      </c>
      <c r="AR184" t="s">
        <v>85</v>
      </c>
      <c r="AS184" t="s">
        <v>129</v>
      </c>
    </row>
    <row r="185" spans="1:45" x14ac:dyDescent="0.3">
      <c r="A185" t="s">
        <v>5</v>
      </c>
      <c r="B185">
        <v>184</v>
      </c>
      <c r="C185" s="1">
        <v>-1.7134628540885002E-2</v>
      </c>
      <c r="D185" s="2">
        <v>289</v>
      </c>
      <c r="E185" s="4">
        <v>5492</v>
      </c>
      <c r="F185" s="4" t="s">
        <v>347</v>
      </c>
      <c r="G185" s="4" t="s">
        <v>346</v>
      </c>
      <c r="H185" t="s">
        <v>77</v>
      </c>
      <c r="I185" t="s">
        <v>350</v>
      </c>
      <c r="J185" s="3">
        <v>1990</v>
      </c>
      <c r="K185" s="3">
        <v>2008</v>
      </c>
      <c r="L185" s="6">
        <f t="shared" si="51"/>
        <v>1999</v>
      </c>
      <c r="M185" s="6">
        <f t="shared" si="52"/>
        <v>1999</v>
      </c>
      <c r="N185" s="7">
        <f t="shared" si="40"/>
        <v>0</v>
      </c>
      <c r="O185" s="7">
        <f t="shared" si="41"/>
        <v>0</v>
      </c>
      <c r="P185" s="7">
        <f t="shared" si="42"/>
        <v>0</v>
      </c>
      <c r="Q185" s="7">
        <f t="shared" si="53"/>
        <v>0</v>
      </c>
      <c r="R185" s="10" t="str">
        <f t="shared" si="43"/>
        <v>0_Pre</v>
      </c>
      <c r="S185" s="10" t="str">
        <f t="shared" si="44"/>
        <v>0_Pre</v>
      </c>
      <c r="T185" s="10" t="str">
        <f t="shared" si="45"/>
        <v>0_Pre</v>
      </c>
      <c r="U185" s="10" t="str">
        <f t="shared" si="46"/>
        <v>0_Pre</v>
      </c>
      <c r="V185" s="10" t="str">
        <f t="shared" si="54"/>
        <v>0_Pre</v>
      </c>
      <c r="W185" s="10" t="str">
        <f t="shared" si="47"/>
        <v>clean_pre</v>
      </c>
      <c r="X185" s="10" t="str">
        <f t="shared" si="48"/>
        <v>0_Pre</v>
      </c>
      <c r="Y185" s="10" t="str">
        <f t="shared" si="49"/>
        <v>0_Pre</v>
      </c>
      <c r="Z185" s="10" t="str">
        <f t="shared" si="50"/>
        <v>0_Pre</v>
      </c>
      <c r="AA185" s="10" t="str">
        <f t="shared" si="55"/>
        <v>0_Pre</v>
      </c>
      <c r="AB185" s="10" t="str">
        <f t="shared" si="56"/>
        <v>0_Pre</v>
      </c>
      <c r="AC185" s="10" t="str">
        <f t="shared" si="57"/>
        <v>0_Pre</v>
      </c>
      <c r="AD185" s="10" t="str">
        <f t="shared" si="58"/>
        <v>1_pre sample median</v>
      </c>
      <c r="AE185" s="10" t="str">
        <f t="shared" si="59"/>
        <v>1_pre sample first tertile</v>
      </c>
      <c r="AF185" t="s">
        <v>80</v>
      </c>
      <c r="AG185" t="s">
        <v>75</v>
      </c>
      <c r="AH185" t="s">
        <v>78</v>
      </c>
      <c r="AI185" t="s">
        <v>123</v>
      </c>
      <c r="AJ185" t="s">
        <v>123</v>
      </c>
      <c r="AK185" t="str">
        <f>VLOOKUP(MID($AR185,1,255),country_lookup!$B:$F,2,FALSE)</f>
        <v>1_US</v>
      </c>
      <c r="AL185" t="str">
        <f>VLOOKUP(MID($AR185,1,255),country_lookup!$B:$F,3,FALSE)</f>
        <v>1_developed</v>
      </c>
      <c r="AM185" t="str">
        <f>VLOOKUP(MID($AR185,1,255),country_lookup!$B:$F,4,FALSE)</f>
        <v>1_western</v>
      </c>
      <c r="AN185" t="str">
        <f>VLOOKUP(MID($AR185,1,255),country_lookup!$B:$F,5,FALSE)</f>
        <v>1_common law</v>
      </c>
      <c r="AO185" s="10" t="str">
        <f>VLOOKUP(MID($AS185,1,255),source_lookup!$B:$K,4,FALSE)</f>
        <v>1_not published</v>
      </c>
      <c r="AP185" s="10" t="str">
        <f>VLOOKUP(MID($AS185,1,255),source_lookup!$B:$K,6,FALSE)</f>
        <v>99_NA</v>
      </c>
      <c r="AQ185" s="10" t="str">
        <f>VLOOKUP(MID($AS185,1,255),source_lookup!$B:$K,10,FALSE)</f>
        <v>1_fin/acc/econ</v>
      </c>
      <c r="AR185" t="s">
        <v>85</v>
      </c>
      <c r="AS185" t="s">
        <v>129</v>
      </c>
    </row>
    <row r="186" spans="1:45" x14ac:dyDescent="0.3">
      <c r="A186" t="s">
        <v>5</v>
      </c>
      <c r="B186">
        <v>185</v>
      </c>
      <c r="C186" s="1">
        <v>-4.5696246080534235E-2</v>
      </c>
      <c r="D186" s="2">
        <v>289</v>
      </c>
      <c r="E186" s="4">
        <v>5492</v>
      </c>
      <c r="F186" s="4" t="s">
        <v>347</v>
      </c>
      <c r="G186" s="4" t="s">
        <v>346</v>
      </c>
      <c r="H186" t="s">
        <v>77</v>
      </c>
      <c r="I186" t="s">
        <v>350</v>
      </c>
      <c r="J186" s="3">
        <v>1990</v>
      </c>
      <c r="K186" s="3">
        <v>2008</v>
      </c>
      <c r="L186" s="6">
        <f t="shared" si="51"/>
        <v>1999</v>
      </c>
      <c r="M186" s="6">
        <f t="shared" si="52"/>
        <v>1999</v>
      </c>
      <c r="N186" s="7">
        <f t="shared" si="40"/>
        <v>0</v>
      </c>
      <c r="O186" s="7">
        <f t="shared" si="41"/>
        <v>0</v>
      </c>
      <c r="P186" s="7">
        <f t="shared" si="42"/>
        <v>0</v>
      </c>
      <c r="Q186" s="7">
        <f t="shared" si="53"/>
        <v>0</v>
      </c>
      <c r="R186" s="10" t="str">
        <f t="shared" si="43"/>
        <v>0_Pre</v>
      </c>
      <c r="S186" s="10" t="str">
        <f t="shared" si="44"/>
        <v>0_Pre</v>
      </c>
      <c r="T186" s="10" t="str">
        <f t="shared" si="45"/>
        <v>0_Pre</v>
      </c>
      <c r="U186" s="10" t="str">
        <f t="shared" si="46"/>
        <v>0_Pre</v>
      </c>
      <c r="V186" s="10" t="str">
        <f t="shared" si="54"/>
        <v>0_Pre</v>
      </c>
      <c r="W186" s="10" t="str">
        <f t="shared" si="47"/>
        <v>clean_pre</v>
      </c>
      <c r="X186" s="10" t="str">
        <f t="shared" si="48"/>
        <v>0_Pre</v>
      </c>
      <c r="Y186" s="10" t="str">
        <f t="shared" si="49"/>
        <v>0_Pre</v>
      </c>
      <c r="Z186" s="10" t="str">
        <f t="shared" si="50"/>
        <v>0_Pre</v>
      </c>
      <c r="AA186" s="10" t="str">
        <f t="shared" si="55"/>
        <v>0_Pre</v>
      </c>
      <c r="AB186" s="10" t="str">
        <f t="shared" si="56"/>
        <v>0_Pre</v>
      </c>
      <c r="AC186" s="10" t="str">
        <f t="shared" si="57"/>
        <v>0_Pre</v>
      </c>
      <c r="AD186" s="10" t="str">
        <f t="shared" si="58"/>
        <v>1_pre sample median</v>
      </c>
      <c r="AE186" s="10" t="str">
        <f t="shared" si="59"/>
        <v>1_pre sample first tertile</v>
      </c>
      <c r="AF186" t="s">
        <v>80</v>
      </c>
      <c r="AG186" t="s">
        <v>75</v>
      </c>
      <c r="AH186" t="s">
        <v>78</v>
      </c>
      <c r="AI186" t="s">
        <v>123</v>
      </c>
      <c r="AJ186" t="s">
        <v>123</v>
      </c>
      <c r="AK186" t="str">
        <f>VLOOKUP(MID($AR186,1,255),country_lookup!$B:$F,2,FALSE)</f>
        <v>1_US</v>
      </c>
      <c r="AL186" t="str">
        <f>VLOOKUP(MID($AR186,1,255),country_lookup!$B:$F,3,FALSE)</f>
        <v>1_developed</v>
      </c>
      <c r="AM186" t="str">
        <f>VLOOKUP(MID($AR186,1,255),country_lookup!$B:$F,4,FALSE)</f>
        <v>1_western</v>
      </c>
      <c r="AN186" t="str">
        <f>VLOOKUP(MID($AR186,1,255),country_lookup!$B:$F,5,FALSE)</f>
        <v>1_common law</v>
      </c>
      <c r="AO186" s="10" t="str">
        <f>VLOOKUP(MID($AS186,1,255),source_lookup!$B:$K,4,FALSE)</f>
        <v>1_not published</v>
      </c>
      <c r="AP186" s="10" t="str">
        <f>VLOOKUP(MID($AS186,1,255),source_lookup!$B:$K,6,FALSE)</f>
        <v>99_NA</v>
      </c>
      <c r="AQ186" s="10" t="str">
        <f>VLOOKUP(MID($AS186,1,255),source_lookup!$B:$K,10,FALSE)</f>
        <v>1_fin/acc/econ</v>
      </c>
      <c r="AR186" t="s">
        <v>85</v>
      </c>
      <c r="AS186" t="s">
        <v>129</v>
      </c>
    </row>
    <row r="187" spans="1:45" x14ac:dyDescent="0.3">
      <c r="A187" t="s">
        <v>5</v>
      </c>
      <c r="B187">
        <v>186</v>
      </c>
      <c r="C187" s="1">
        <v>-8.7706420708270755E-3</v>
      </c>
      <c r="D187" s="2">
        <v>289</v>
      </c>
      <c r="E187" s="4">
        <v>5492</v>
      </c>
      <c r="F187" s="4" t="s">
        <v>347</v>
      </c>
      <c r="G187" s="4" t="s">
        <v>346</v>
      </c>
      <c r="H187" t="s">
        <v>77</v>
      </c>
      <c r="I187" t="s">
        <v>350</v>
      </c>
      <c r="J187" s="3">
        <v>1990</v>
      </c>
      <c r="K187" s="3">
        <v>2008</v>
      </c>
      <c r="L187" s="6">
        <f t="shared" si="51"/>
        <v>1999</v>
      </c>
      <c r="M187" s="6">
        <f t="shared" si="52"/>
        <v>1999</v>
      </c>
      <c r="N187" s="7">
        <f t="shared" si="40"/>
        <v>0</v>
      </c>
      <c r="O187" s="7">
        <f t="shared" si="41"/>
        <v>0</v>
      </c>
      <c r="P187" s="7">
        <f t="shared" si="42"/>
        <v>0</v>
      </c>
      <c r="Q187" s="7">
        <f t="shared" si="53"/>
        <v>0</v>
      </c>
      <c r="R187" s="10" t="str">
        <f t="shared" si="43"/>
        <v>0_Pre</v>
      </c>
      <c r="S187" s="10" t="str">
        <f t="shared" si="44"/>
        <v>0_Pre</v>
      </c>
      <c r="T187" s="10" t="str">
        <f t="shared" si="45"/>
        <v>0_Pre</v>
      </c>
      <c r="U187" s="10" t="str">
        <f t="shared" si="46"/>
        <v>0_Pre</v>
      </c>
      <c r="V187" s="10" t="str">
        <f t="shared" si="54"/>
        <v>0_Pre</v>
      </c>
      <c r="W187" s="10" t="str">
        <f t="shared" si="47"/>
        <v>clean_pre</v>
      </c>
      <c r="X187" s="10" t="str">
        <f t="shared" si="48"/>
        <v>0_Pre</v>
      </c>
      <c r="Y187" s="10" t="str">
        <f t="shared" si="49"/>
        <v>0_Pre</v>
      </c>
      <c r="Z187" s="10" t="str">
        <f t="shared" si="50"/>
        <v>0_Pre</v>
      </c>
      <c r="AA187" s="10" t="str">
        <f t="shared" si="55"/>
        <v>0_Pre</v>
      </c>
      <c r="AB187" s="10" t="str">
        <f t="shared" si="56"/>
        <v>0_Pre</v>
      </c>
      <c r="AC187" s="10" t="str">
        <f t="shared" si="57"/>
        <v>0_Pre</v>
      </c>
      <c r="AD187" s="10" t="str">
        <f t="shared" si="58"/>
        <v>1_pre sample median</v>
      </c>
      <c r="AE187" s="10" t="str">
        <f t="shared" si="59"/>
        <v>1_pre sample first tertile</v>
      </c>
      <c r="AF187" t="s">
        <v>80</v>
      </c>
      <c r="AG187" t="s">
        <v>75</v>
      </c>
      <c r="AH187" t="s">
        <v>78</v>
      </c>
      <c r="AI187" t="s">
        <v>123</v>
      </c>
      <c r="AJ187" t="s">
        <v>123</v>
      </c>
      <c r="AK187" t="str">
        <f>VLOOKUP(MID($AR187,1,255),country_lookup!$B:$F,2,FALSE)</f>
        <v>1_US</v>
      </c>
      <c r="AL187" t="str">
        <f>VLOOKUP(MID($AR187,1,255),country_lookup!$B:$F,3,FALSE)</f>
        <v>1_developed</v>
      </c>
      <c r="AM187" t="str">
        <f>VLOOKUP(MID($AR187,1,255),country_lookup!$B:$F,4,FALSE)</f>
        <v>1_western</v>
      </c>
      <c r="AN187" t="str">
        <f>VLOOKUP(MID($AR187,1,255),country_lookup!$B:$F,5,FALSE)</f>
        <v>1_common law</v>
      </c>
      <c r="AO187" s="10" t="str">
        <f>VLOOKUP(MID($AS187,1,255),source_lookup!$B:$K,4,FALSE)</f>
        <v>1_not published</v>
      </c>
      <c r="AP187" s="10" t="str">
        <f>VLOOKUP(MID($AS187,1,255),source_lookup!$B:$K,6,FALSE)</f>
        <v>99_NA</v>
      </c>
      <c r="AQ187" s="10" t="str">
        <f>VLOOKUP(MID($AS187,1,255),source_lookup!$B:$K,10,FALSE)</f>
        <v>1_fin/acc/econ</v>
      </c>
      <c r="AR187" t="s">
        <v>85</v>
      </c>
      <c r="AS187" t="s">
        <v>129</v>
      </c>
    </row>
    <row r="188" spans="1:45" x14ac:dyDescent="0.3">
      <c r="A188" t="s">
        <v>5</v>
      </c>
      <c r="B188">
        <v>187</v>
      </c>
      <c r="C188" s="1">
        <v>-4.6565986305886237E-2</v>
      </c>
      <c r="D188" s="2">
        <v>316</v>
      </c>
      <c r="E188" s="4">
        <v>5997</v>
      </c>
      <c r="F188" s="4" t="s">
        <v>347</v>
      </c>
      <c r="G188" s="4" t="s">
        <v>346</v>
      </c>
      <c r="H188" t="s">
        <v>77</v>
      </c>
      <c r="I188" t="s">
        <v>350</v>
      </c>
      <c r="J188" s="3">
        <v>1990</v>
      </c>
      <c r="K188" s="3">
        <v>2008</v>
      </c>
      <c r="L188" s="6">
        <f t="shared" si="51"/>
        <v>1999</v>
      </c>
      <c r="M188" s="6">
        <f t="shared" si="52"/>
        <v>1999</v>
      </c>
      <c r="N188" s="7">
        <f t="shared" si="40"/>
        <v>0</v>
      </c>
      <c r="O188" s="7">
        <f t="shared" si="41"/>
        <v>0</v>
      </c>
      <c r="P188" s="7">
        <f t="shared" si="42"/>
        <v>0</v>
      </c>
      <c r="Q188" s="7">
        <f t="shared" si="53"/>
        <v>0</v>
      </c>
      <c r="R188" s="10" t="str">
        <f t="shared" si="43"/>
        <v>0_Pre</v>
      </c>
      <c r="S188" s="10" t="str">
        <f t="shared" si="44"/>
        <v>0_Pre</v>
      </c>
      <c r="T188" s="10" t="str">
        <f t="shared" si="45"/>
        <v>0_Pre</v>
      </c>
      <c r="U188" s="10" t="str">
        <f t="shared" si="46"/>
        <v>0_Pre</v>
      </c>
      <c r="V188" s="10" t="str">
        <f t="shared" si="54"/>
        <v>0_Pre</v>
      </c>
      <c r="W188" s="10" t="str">
        <f t="shared" si="47"/>
        <v>clean_pre</v>
      </c>
      <c r="X188" s="10" t="str">
        <f t="shared" si="48"/>
        <v>0_Pre</v>
      </c>
      <c r="Y188" s="10" t="str">
        <f t="shared" si="49"/>
        <v>0_Pre</v>
      </c>
      <c r="Z188" s="10" t="str">
        <f t="shared" si="50"/>
        <v>0_Pre</v>
      </c>
      <c r="AA188" s="10" t="str">
        <f t="shared" si="55"/>
        <v>0_Pre</v>
      </c>
      <c r="AB188" s="10" t="str">
        <f t="shared" si="56"/>
        <v>0_Pre</v>
      </c>
      <c r="AC188" s="10" t="str">
        <f t="shared" si="57"/>
        <v>0_Pre</v>
      </c>
      <c r="AD188" s="10" t="str">
        <f t="shared" si="58"/>
        <v>1_pre sample median</v>
      </c>
      <c r="AE188" s="10" t="str">
        <f t="shared" si="59"/>
        <v>1_pre sample first tertile</v>
      </c>
      <c r="AF188" t="s">
        <v>80</v>
      </c>
      <c r="AG188" t="s">
        <v>75</v>
      </c>
      <c r="AH188" t="s">
        <v>78</v>
      </c>
      <c r="AI188" t="s">
        <v>123</v>
      </c>
      <c r="AJ188" t="s">
        <v>123</v>
      </c>
      <c r="AK188" t="str">
        <f>VLOOKUP(MID($AR188,1,255),country_lookup!$B:$F,2,FALSE)</f>
        <v>1_US</v>
      </c>
      <c r="AL188" t="str">
        <f>VLOOKUP(MID($AR188,1,255),country_lookup!$B:$F,3,FALSE)</f>
        <v>1_developed</v>
      </c>
      <c r="AM188" t="str">
        <f>VLOOKUP(MID($AR188,1,255),country_lookup!$B:$F,4,FALSE)</f>
        <v>1_western</v>
      </c>
      <c r="AN188" t="str">
        <f>VLOOKUP(MID($AR188,1,255),country_lookup!$B:$F,5,FALSE)</f>
        <v>1_common law</v>
      </c>
      <c r="AO188" s="10" t="str">
        <f>VLOOKUP(MID($AS188,1,255),source_lookup!$B:$K,4,FALSE)</f>
        <v>1_not published</v>
      </c>
      <c r="AP188" s="10" t="str">
        <f>VLOOKUP(MID($AS188,1,255),source_lookup!$B:$K,6,FALSE)</f>
        <v>99_NA</v>
      </c>
      <c r="AQ188" s="10" t="str">
        <f>VLOOKUP(MID($AS188,1,255),source_lookup!$B:$K,10,FALSE)</f>
        <v>1_fin/acc/econ</v>
      </c>
      <c r="AR188" t="s">
        <v>85</v>
      </c>
      <c r="AS188" t="s">
        <v>129</v>
      </c>
    </row>
    <row r="189" spans="1:45" x14ac:dyDescent="0.3">
      <c r="A189" t="s">
        <v>5</v>
      </c>
      <c r="B189">
        <v>188</v>
      </c>
      <c r="C189" s="1">
        <v>-4.3347479374441701E-2</v>
      </c>
      <c r="D189" s="2">
        <v>316</v>
      </c>
      <c r="E189" s="4">
        <v>5997</v>
      </c>
      <c r="F189" s="4" t="s">
        <v>347</v>
      </c>
      <c r="G189" s="4" t="s">
        <v>346</v>
      </c>
      <c r="H189" t="s">
        <v>77</v>
      </c>
      <c r="I189" t="s">
        <v>350</v>
      </c>
      <c r="J189" s="3">
        <v>1990</v>
      </c>
      <c r="K189" s="3">
        <v>2008</v>
      </c>
      <c r="L189" s="6">
        <f t="shared" si="51"/>
        <v>1999</v>
      </c>
      <c r="M189" s="6">
        <f t="shared" si="52"/>
        <v>1999</v>
      </c>
      <c r="N189" s="7">
        <f t="shared" si="40"/>
        <v>0</v>
      </c>
      <c r="O189" s="7">
        <f t="shared" si="41"/>
        <v>0</v>
      </c>
      <c r="P189" s="7">
        <f t="shared" si="42"/>
        <v>0</v>
      </c>
      <c r="Q189" s="7">
        <f t="shared" si="53"/>
        <v>0</v>
      </c>
      <c r="R189" s="10" t="str">
        <f t="shared" si="43"/>
        <v>0_Pre</v>
      </c>
      <c r="S189" s="10" t="str">
        <f t="shared" si="44"/>
        <v>0_Pre</v>
      </c>
      <c r="T189" s="10" t="str">
        <f t="shared" si="45"/>
        <v>0_Pre</v>
      </c>
      <c r="U189" s="10" t="str">
        <f t="shared" si="46"/>
        <v>0_Pre</v>
      </c>
      <c r="V189" s="10" t="str">
        <f t="shared" si="54"/>
        <v>0_Pre</v>
      </c>
      <c r="W189" s="10" t="str">
        <f t="shared" si="47"/>
        <v>clean_pre</v>
      </c>
      <c r="X189" s="10" t="str">
        <f t="shared" si="48"/>
        <v>0_Pre</v>
      </c>
      <c r="Y189" s="10" t="str">
        <f t="shared" si="49"/>
        <v>0_Pre</v>
      </c>
      <c r="Z189" s="10" t="str">
        <f t="shared" si="50"/>
        <v>0_Pre</v>
      </c>
      <c r="AA189" s="10" t="str">
        <f t="shared" si="55"/>
        <v>0_Pre</v>
      </c>
      <c r="AB189" s="10" t="str">
        <f t="shared" si="56"/>
        <v>0_Pre</v>
      </c>
      <c r="AC189" s="10" t="str">
        <f t="shared" si="57"/>
        <v>0_Pre</v>
      </c>
      <c r="AD189" s="10" t="str">
        <f t="shared" si="58"/>
        <v>1_pre sample median</v>
      </c>
      <c r="AE189" s="10" t="str">
        <f t="shared" si="59"/>
        <v>1_pre sample first tertile</v>
      </c>
      <c r="AF189" t="s">
        <v>80</v>
      </c>
      <c r="AG189" t="s">
        <v>75</v>
      </c>
      <c r="AH189" t="s">
        <v>78</v>
      </c>
      <c r="AI189" t="s">
        <v>123</v>
      </c>
      <c r="AJ189" t="s">
        <v>123</v>
      </c>
      <c r="AK189" t="str">
        <f>VLOOKUP(MID($AR189,1,255),country_lookup!$B:$F,2,FALSE)</f>
        <v>1_US</v>
      </c>
      <c r="AL189" t="str">
        <f>VLOOKUP(MID($AR189,1,255),country_lookup!$B:$F,3,FALSE)</f>
        <v>1_developed</v>
      </c>
      <c r="AM189" t="str">
        <f>VLOOKUP(MID($AR189,1,255),country_lookup!$B:$F,4,FALSE)</f>
        <v>1_western</v>
      </c>
      <c r="AN189" t="str">
        <f>VLOOKUP(MID($AR189,1,255),country_lookup!$B:$F,5,FALSE)</f>
        <v>1_common law</v>
      </c>
      <c r="AO189" s="10" t="str">
        <f>VLOOKUP(MID($AS189,1,255),source_lookup!$B:$K,4,FALSE)</f>
        <v>1_not published</v>
      </c>
      <c r="AP189" s="10" t="str">
        <f>VLOOKUP(MID($AS189,1,255),source_lookup!$B:$K,6,FALSE)</f>
        <v>99_NA</v>
      </c>
      <c r="AQ189" s="10" t="str">
        <f>VLOOKUP(MID($AS189,1,255),source_lookup!$B:$K,10,FALSE)</f>
        <v>1_fin/acc/econ</v>
      </c>
      <c r="AR189" t="s">
        <v>85</v>
      </c>
      <c r="AS189" t="s">
        <v>129</v>
      </c>
    </row>
    <row r="190" spans="1:45" x14ac:dyDescent="0.3">
      <c r="A190" t="s">
        <v>5</v>
      </c>
      <c r="B190">
        <v>189</v>
      </c>
      <c r="C190" s="1">
        <v>-1.4203057716907493E-2</v>
      </c>
      <c r="D190" s="2">
        <v>316</v>
      </c>
      <c r="E190" s="4">
        <v>5997</v>
      </c>
      <c r="F190" s="4" t="s">
        <v>347</v>
      </c>
      <c r="G190" s="4" t="s">
        <v>346</v>
      </c>
      <c r="H190" t="s">
        <v>77</v>
      </c>
      <c r="I190" t="s">
        <v>350</v>
      </c>
      <c r="J190" s="3">
        <v>1990</v>
      </c>
      <c r="K190" s="3">
        <v>2008</v>
      </c>
      <c r="L190" s="6">
        <f t="shared" si="51"/>
        <v>1999</v>
      </c>
      <c r="M190" s="6">
        <f t="shared" si="52"/>
        <v>1999</v>
      </c>
      <c r="N190" s="7">
        <f t="shared" si="40"/>
        <v>0</v>
      </c>
      <c r="O190" s="7">
        <f t="shared" si="41"/>
        <v>0</v>
      </c>
      <c r="P190" s="7">
        <f t="shared" si="42"/>
        <v>0</v>
      </c>
      <c r="Q190" s="7">
        <f t="shared" si="53"/>
        <v>0</v>
      </c>
      <c r="R190" s="10" t="str">
        <f t="shared" si="43"/>
        <v>0_Pre</v>
      </c>
      <c r="S190" s="10" t="str">
        <f t="shared" si="44"/>
        <v>0_Pre</v>
      </c>
      <c r="T190" s="10" t="str">
        <f t="shared" si="45"/>
        <v>0_Pre</v>
      </c>
      <c r="U190" s="10" t="str">
        <f t="shared" si="46"/>
        <v>0_Pre</v>
      </c>
      <c r="V190" s="10" t="str">
        <f t="shared" si="54"/>
        <v>0_Pre</v>
      </c>
      <c r="W190" s="10" t="str">
        <f t="shared" si="47"/>
        <v>clean_pre</v>
      </c>
      <c r="X190" s="10" t="str">
        <f t="shared" si="48"/>
        <v>0_Pre</v>
      </c>
      <c r="Y190" s="10" t="str">
        <f t="shared" si="49"/>
        <v>0_Pre</v>
      </c>
      <c r="Z190" s="10" t="str">
        <f t="shared" si="50"/>
        <v>0_Pre</v>
      </c>
      <c r="AA190" s="10" t="str">
        <f t="shared" si="55"/>
        <v>0_Pre</v>
      </c>
      <c r="AB190" s="10" t="str">
        <f t="shared" si="56"/>
        <v>0_Pre</v>
      </c>
      <c r="AC190" s="10" t="str">
        <f t="shared" si="57"/>
        <v>0_Pre</v>
      </c>
      <c r="AD190" s="10" t="str">
        <f t="shared" si="58"/>
        <v>1_pre sample median</v>
      </c>
      <c r="AE190" s="10" t="str">
        <f t="shared" si="59"/>
        <v>1_pre sample first tertile</v>
      </c>
      <c r="AF190" t="s">
        <v>80</v>
      </c>
      <c r="AG190" t="s">
        <v>75</v>
      </c>
      <c r="AH190" t="s">
        <v>78</v>
      </c>
      <c r="AI190" t="s">
        <v>123</v>
      </c>
      <c r="AJ190" t="s">
        <v>123</v>
      </c>
      <c r="AK190" t="str">
        <f>VLOOKUP(MID($AR190,1,255),country_lookup!$B:$F,2,FALSE)</f>
        <v>1_US</v>
      </c>
      <c r="AL190" t="str">
        <f>VLOOKUP(MID($AR190,1,255),country_lookup!$B:$F,3,FALSE)</f>
        <v>1_developed</v>
      </c>
      <c r="AM190" t="str">
        <f>VLOOKUP(MID($AR190,1,255),country_lookup!$B:$F,4,FALSE)</f>
        <v>1_western</v>
      </c>
      <c r="AN190" t="str">
        <f>VLOOKUP(MID($AR190,1,255),country_lookup!$B:$F,5,FALSE)</f>
        <v>1_common law</v>
      </c>
      <c r="AO190" s="10" t="str">
        <f>VLOOKUP(MID($AS190,1,255),source_lookup!$B:$K,4,FALSE)</f>
        <v>1_not published</v>
      </c>
      <c r="AP190" s="10" t="str">
        <f>VLOOKUP(MID($AS190,1,255),source_lookup!$B:$K,6,FALSE)</f>
        <v>99_NA</v>
      </c>
      <c r="AQ190" s="10" t="str">
        <f>VLOOKUP(MID($AS190,1,255),source_lookup!$B:$K,10,FALSE)</f>
        <v>1_fin/acc/econ</v>
      </c>
      <c r="AR190" t="s">
        <v>85</v>
      </c>
      <c r="AS190" t="s">
        <v>129</v>
      </c>
    </row>
    <row r="191" spans="1:45" x14ac:dyDescent="0.3">
      <c r="A191" t="s">
        <v>5</v>
      </c>
      <c r="B191">
        <v>190</v>
      </c>
      <c r="C191" s="1">
        <v>-5.1652003703860985E-3</v>
      </c>
      <c r="D191" s="2">
        <v>316</v>
      </c>
      <c r="E191" s="4">
        <v>5997</v>
      </c>
      <c r="F191" s="4" t="s">
        <v>347</v>
      </c>
      <c r="G191" s="4" t="s">
        <v>346</v>
      </c>
      <c r="H191" t="s">
        <v>77</v>
      </c>
      <c r="I191" t="s">
        <v>350</v>
      </c>
      <c r="J191" s="3">
        <v>1990</v>
      </c>
      <c r="K191" s="3">
        <v>2008</v>
      </c>
      <c r="L191" s="6">
        <f t="shared" si="51"/>
        <v>1999</v>
      </c>
      <c r="M191" s="6">
        <f t="shared" si="52"/>
        <v>1999</v>
      </c>
      <c r="N191" s="7">
        <f t="shared" si="40"/>
        <v>0</v>
      </c>
      <c r="O191" s="7">
        <f t="shared" si="41"/>
        <v>0</v>
      </c>
      <c r="P191" s="7">
        <f t="shared" si="42"/>
        <v>0</v>
      </c>
      <c r="Q191" s="7">
        <f t="shared" si="53"/>
        <v>0</v>
      </c>
      <c r="R191" s="10" t="str">
        <f t="shared" si="43"/>
        <v>0_Pre</v>
      </c>
      <c r="S191" s="10" t="str">
        <f t="shared" si="44"/>
        <v>0_Pre</v>
      </c>
      <c r="T191" s="10" t="str">
        <f t="shared" si="45"/>
        <v>0_Pre</v>
      </c>
      <c r="U191" s="10" t="str">
        <f t="shared" si="46"/>
        <v>0_Pre</v>
      </c>
      <c r="V191" s="10" t="str">
        <f t="shared" si="54"/>
        <v>0_Pre</v>
      </c>
      <c r="W191" s="10" t="str">
        <f t="shared" si="47"/>
        <v>clean_pre</v>
      </c>
      <c r="X191" s="10" t="str">
        <f t="shared" si="48"/>
        <v>0_Pre</v>
      </c>
      <c r="Y191" s="10" t="str">
        <f t="shared" si="49"/>
        <v>0_Pre</v>
      </c>
      <c r="Z191" s="10" t="str">
        <f t="shared" si="50"/>
        <v>0_Pre</v>
      </c>
      <c r="AA191" s="10" t="str">
        <f t="shared" si="55"/>
        <v>0_Pre</v>
      </c>
      <c r="AB191" s="10" t="str">
        <f t="shared" si="56"/>
        <v>0_Pre</v>
      </c>
      <c r="AC191" s="10" t="str">
        <f t="shared" si="57"/>
        <v>0_Pre</v>
      </c>
      <c r="AD191" s="10" t="str">
        <f t="shared" si="58"/>
        <v>1_pre sample median</v>
      </c>
      <c r="AE191" s="10" t="str">
        <f t="shared" si="59"/>
        <v>1_pre sample first tertile</v>
      </c>
      <c r="AF191" t="s">
        <v>80</v>
      </c>
      <c r="AG191" t="s">
        <v>75</v>
      </c>
      <c r="AH191" t="s">
        <v>78</v>
      </c>
      <c r="AI191" t="s">
        <v>123</v>
      </c>
      <c r="AJ191" t="s">
        <v>123</v>
      </c>
      <c r="AK191" t="str">
        <f>VLOOKUP(MID($AR191,1,255),country_lookup!$B:$F,2,FALSE)</f>
        <v>1_US</v>
      </c>
      <c r="AL191" t="str">
        <f>VLOOKUP(MID($AR191,1,255),country_lookup!$B:$F,3,FALSE)</f>
        <v>1_developed</v>
      </c>
      <c r="AM191" t="str">
        <f>VLOOKUP(MID($AR191,1,255),country_lookup!$B:$F,4,FALSE)</f>
        <v>1_western</v>
      </c>
      <c r="AN191" t="str">
        <f>VLOOKUP(MID($AR191,1,255),country_lookup!$B:$F,5,FALSE)</f>
        <v>1_common law</v>
      </c>
      <c r="AO191" s="10" t="str">
        <f>VLOOKUP(MID($AS191,1,255),source_lookup!$B:$K,4,FALSE)</f>
        <v>1_not published</v>
      </c>
      <c r="AP191" s="10" t="str">
        <f>VLOOKUP(MID($AS191,1,255),source_lookup!$B:$K,6,FALSE)</f>
        <v>99_NA</v>
      </c>
      <c r="AQ191" s="10" t="str">
        <f>VLOOKUP(MID($AS191,1,255),source_lookup!$B:$K,10,FALSE)</f>
        <v>1_fin/acc/econ</v>
      </c>
      <c r="AR191" t="s">
        <v>85</v>
      </c>
      <c r="AS191" t="s">
        <v>129</v>
      </c>
    </row>
    <row r="192" spans="1:45" x14ac:dyDescent="0.3">
      <c r="A192" t="s">
        <v>5</v>
      </c>
      <c r="B192">
        <v>191</v>
      </c>
      <c r="C192" s="1">
        <v>7.7476713676506237E-3</v>
      </c>
      <c r="D192" s="2">
        <v>316</v>
      </c>
      <c r="E192" s="4">
        <v>5997</v>
      </c>
      <c r="F192" s="4" t="s">
        <v>347</v>
      </c>
      <c r="G192" s="4" t="s">
        <v>346</v>
      </c>
      <c r="H192" t="s">
        <v>77</v>
      </c>
      <c r="I192" t="s">
        <v>350</v>
      </c>
      <c r="J192" s="3">
        <v>1990</v>
      </c>
      <c r="K192" s="3">
        <v>2008</v>
      </c>
      <c r="L192" s="6">
        <f t="shared" si="51"/>
        <v>1999</v>
      </c>
      <c r="M192" s="6">
        <f t="shared" si="52"/>
        <v>1999</v>
      </c>
      <c r="N192" s="7">
        <f t="shared" si="40"/>
        <v>0</v>
      </c>
      <c r="O192" s="7">
        <f t="shared" si="41"/>
        <v>0</v>
      </c>
      <c r="P192" s="7">
        <f t="shared" si="42"/>
        <v>0</v>
      </c>
      <c r="Q192" s="7">
        <f t="shared" si="53"/>
        <v>0</v>
      </c>
      <c r="R192" s="10" t="str">
        <f t="shared" si="43"/>
        <v>0_Pre</v>
      </c>
      <c r="S192" s="10" t="str">
        <f t="shared" si="44"/>
        <v>0_Pre</v>
      </c>
      <c r="T192" s="10" t="str">
        <f t="shared" si="45"/>
        <v>0_Pre</v>
      </c>
      <c r="U192" s="10" t="str">
        <f t="shared" si="46"/>
        <v>0_Pre</v>
      </c>
      <c r="V192" s="10" t="str">
        <f t="shared" si="54"/>
        <v>0_Pre</v>
      </c>
      <c r="W192" s="10" t="str">
        <f t="shared" si="47"/>
        <v>clean_pre</v>
      </c>
      <c r="X192" s="10" t="str">
        <f t="shared" si="48"/>
        <v>0_Pre</v>
      </c>
      <c r="Y192" s="10" t="str">
        <f t="shared" si="49"/>
        <v>0_Pre</v>
      </c>
      <c r="Z192" s="10" t="str">
        <f t="shared" si="50"/>
        <v>0_Pre</v>
      </c>
      <c r="AA192" s="10" t="str">
        <f t="shared" si="55"/>
        <v>0_Pre</v>
      </c>
      <c r="AB192" s="10" t="str">
        <f t="shared" si="56"/>
        <v>0_Pre</v>
      </c>
      <c r="AC192" s="10" t="str">
        <f t="shared" si="57"/>
        <v>0_Pre</v>
      </c>
      <c r="AD192" s="10" t="str">
        <f t="shared" si="58"/>
        <v>1_pre sample median</v>
      </c>
      <c r="AE192" s="10" t="str">
        <f t="shared" si="59"/>
        <v>1_pre sample first tertile</v>
      </c>
      <c r="AF192" t="s">
        <v>80</v>
      </c>
      <c r="AG192" t="s">
        <v>75</v>
      </c>
      <c r="AH192" t="s">
        <v>78</v>
      </c>
      <c r="AI192" t="s">
        <v>123</v>
      </c>
      <c r="AJ192" t="s">
        <v>123</v>
      </c>
      <c r="AK192" t="str">
        <f>VLOOKUP(MID($AR192,1,255),country_lookup!$B:$F,2,FALSE)</f>
        <v>1_US</v>
      </c>
      <c r="AL192" t="str">
        <f>VLOOKUP(MID($AR192,1,255),country_lookup!$B:$F,3,FALSE)</f>
        <v>1_developed</v>
      </c>
      <c r="AM192" t="str">
        <f>VLOOKUP(MID($AR192,1,255),country_lookup!$B:$F,4,FALSE)</f>
        <v>1_western</v>
      </c>
      <c r="AN192" t="str">
        <f>VLOOKUP(MID($AR192,1,255),country_lookup!$B:$F,5,FALSE)</f>
        <v>1_common law</v>
      </c>
      <c r="AO192" s="10" t="str">
        <f>VLOOKUP(MID($AS192,1,255),source_lookup!$B:$K,4,FALSE)</f>
        <v>1_not published</v>
      </c>
      <c r="AP192" s="10" t="str">
        <f>VLOOKUP(MID($AS192,1,255),source_lookup!$B:$K,6,FALSE)</f>
        <v>99_NA</v>
      </c>
      <c r="AQ192" s="10" t="str">
        <f>VLOOKUP(MID($AS192,1,255),source_lookup!$B:$K,10,FALSE)</f>
        <v>1_fin/acc/econ</v>
      </c>
      <c r="AR192" t="s">
        <v>85</v>
      </c>
      <c r="AS192" t="s">
        <v>129</v>
      </c>
    </row>
    <row r="193" spans="1:45" x14ac:dyDescent="0.3">
      <c r="A193" t="s">
        <v>5</v>
      </c>
      <c r="B193">
        <v>192</v>
      </c>
      <c r="C193" s="1">
        <v>-9.5553119074715514E-3</v>
      </c>
      <c r="D193" s="2">
        <v>316</v>
      </c>
      <c r="E193" s="4">
        <v>5997</v>
      </c>
      <c r="F193" s="4" t="s">
        <v>347</v>
      </c>
      <c r="G193" s="4" t="s">
        <v>346</v>
      </c>
      <c r="H193" t="s">
        <v>77</v>
      </c>
      <c r="I193" t="s">
        <v>350</v>
      </c>
      <c r="J193" s="3">
        <v>1990</v>
      </c>
      <c r="K193" s="3">
        <v>2008</v>
      </c>
      <c r="L193" s="6">
        <f t="shared" si="51"/>
        <v>1999</v>
      </c>
      <c r="M193" s="6">
        <f t="shared" si="52"/>
        <v>1999</v>
      </c>
      <c r="N193" s="7">
        <f t="shared" si="40"/>
        <v>0</v>
      </c>
      <c r="O193" s="7">
        <f t="shared" si="41"/>
        <v>0</v>
      </c>
      <c r="P193" s="7">
        <f t="shared" si="42"/>
        <v>0</v>
      </c>
      <c r="Q193" s="7">
        <f t="shared" si="53"/>
        <v>0</v>
      </c>
      <c r="R193" s="10" t="str">
        <f t="shared" si="43"/>
        <v>0_Pre</v>
      </c>
      <c r="S193" s="10" t="str">
        <f t="shared" si="44"/>
        <v>0_Pre</v>
      </c>
      <c r="T193" s="10" t="str">
        <f t="shared" si="45"/>
        <v>0_Pre</v>
      </c>
      <c r="U193" s="10" t="str">
        <f t="shared" si="46"/>
        <v>0_Pre</v>
      </c>
      <c r="V193" s="10" t="str">
        <f t="shared" si="54"/>
        <v>0_Pre</v>
      </c>
      <c r="W193" s="10" t="str">
        <f t="shared" si="47"/>
        <v>clean_pre</v>
      </c>
      <c r="X193" s="10" t="str">
        <f t="shared" si="48"/>
        <v>0_Pre</v>
      </c>
      <c r="Y193" s="10" t="str">
        <f t="shared" si="49"/>
        <v>0_Pre</v>
      </c>
      <c r="Z193" s="10" t="str">
        <f t="shared" si="50"/>
        <v>0_Pre</v>
      </c>
      <c r="AA193" s="10" t="str">
        <f t="shared" si="55"/>
        <v>0_Pre</v>
      </c>
      <c r="AB193" s="10" t="str">
        <f t="shared" si="56"/>
        <v>0_Pre</v>
      </c>
      <c r="AC193" s="10" t="str">
        <f t="shared" si="57"/>
        <v>0_Pre</v>
      </c>
      <c r="AD193" s="10" t="str">
        <f t="shared" si="58"/>
        <v>1_pre sample median</v>
      </c>
      <c r="AE193" s="10" t="str">
        <f t="shared" si="59"/>
        <v>1_pre sample first tertile</v>
      </c>
      <c r="AF193" t="s">
        <v>80</v>
      </c>
      <c r="AG193" t="s">
        <v>75</v>
      </c>
      <c r="AH193" t="s">
        <v>78</v>
      </c>
      <c r="AI193" t="s">
        <v>123</v>
      </c>
      <c r="AJ193" t="s">
        <v>123</v>
      </c>
      <c r="AK193" t="str">
        <f>VLOOKUP(MID($AR193,1,255),country_lookup!$B:$F,2,FALSE)</f>
        <v>1_US</v>
      </c>
      <c r="AL193" t="str">
        <f>VLOOKUP(MID($AR193,1,255),country_lookup!$B:$F,3,FALSE)</f>
        <v>1_developed</v>
      </c>
      <c r="AM193" t="str">
        <f>VLOOKUP(MID($AR193,1,255),country_lookup!$B:$F,4,FALSE)</f>
        <v>1_western</v>
      </c>
      <c r="AN193" t="str">
        <f>VLOOKUP(MID($AR193,1,255),country_lookup!$B:$F,5,FALSE)</f>
        <v>1_common law</v>
      </c>
      <c r="AO193" s="10" t="str">
        <f>VLOOKUP(MID($AS193,1,255),source_lookup!$B:$K,4,FALSE)</f>
        <v>1_not published</v>
      </c>
      <c r="AP193" s="10" t="str">
        <f>VLOOKUP(MID($AS193,1,255),source_lookup!$B:$K,6,FALSE)</f>
        <v>99_NA</v>
      </c>
      <c r="AQ193" s="10" t="str">
        <f>VLOOKUP(MID($AS193,1,255),source_lookup!$B:$K,10,FALSE)</f>
        <v>1_fin/acc/econ</v>
      </c>
      <c r="AR193" t="s">
        <v>85</v>
      </c>
      <c r="AS193" t="s">
        <v>129</v>
      </c>
    </row>
    <row r="194" spans="1:45" x14ac:dyDescent="0.3">
      <c r="A194" t="s">
        <v>5</v>
      </c>
      <c r="B194">
        <v>193</v>
      </c>
      <c r="C194" s="1">
        <v>-9.0392175361446924E-4</v>
      </c>
      <c r="D194" s="2">
        <v>316</v>
      </c>
      <c r="E194" s="4">
        <v>5997</v>
      </c>
      <c r="F194" s="4" t="s">
        <v>347</v>
      </c>
      <c r="G194" s="4" t="s">
        <v>346</v>
      </c>
      <c r="H194" t="s">
        <v>77</v>
      </c>
      <c r="I194" t="s">
        <v>350</v>
      </c>
      <c r="J194" s="3">
        <v>1990</v>
      </c>
      <c r="K194" s="3">
        <v>2008</v>
      </c>
      <c r="L194" s="6">
        <f t="shared" si="51"/>
        <v>1999</v>
      </c>
      <c r="M194" s="6">
        <f t="shared" si="52"/>
        <v>1999</v>
      </c>
      <c r="N194" s="7">
        <f t="shared" ref="N194:N257" si="60">MAX(0,$K194-MAX($J194,2016)+1)/($K194-$J194+1)</f>
        <v>0</v>
      </c>
      <c r="O194" s="7">
        <f t="shared" ref="O194:O257" si="61">MAX(0,$K194-MAX($J194,2017)+1)/($K194-$J194+1)</f>
        <v>0</v>
      </c>
      <c r="P194" s="7">
        <f t="shared" ref="P194:P257" si="62">MAX(0,$K194-MAX($J194,2018)+1)/($K194-$J194+1)</f>
        <v>0</v>
      </c>
      <c r="Q194" s="7">
        <f t="shared" si="53"/>
        <v>0</v>
      </c>
      <c r="R194" s="10" t="str">
        <f t="shared" ref="R194:R257" si="63">IF(N194&gt;=0.5,"1_Post","0_Pre")</f>
        <v>0_Pre</v>
      </c>
      <c r="S194" s="10" t="str">
        <f t="shared" ref="S194:S257" si="64">IF($L194&gt;=2016,"1_Post","0_Pre")</f>
        <v>0_Pre</v>
      </c>
      <c r="T194" s="10" t="str">
        <f t="shared" ref="T194:T257" si="65">IF($M194&gt;=2016,"1_Post","0_Pre")</f>
        <v>0_Pre</v>
      </c>
      <c r="U194" s="10" t="str">
        <f t="shared" ref="U194:U257" si="66">IF($K194&gt;=2016,"1_Post","0_Pre")</f>
        <v>0_Pre</v>
      </c>
      <c r="V194" s="10" t="str">
        <f t="shared" si="54"/>
        <v>0_Pre</v>
      </c>
      <c r="W194" s="10" t="str">
        <f t="shared" ref="W194:W257" si="67">IF($K194&lt;=2015,"clean_pre",IF($J194&gt;=2016,"clean_post","straddle"))</f>
        <v>clean_pre</v>
      </c>
      <c r="X194" s="10" t="str">
        <f t="shared" ref="X194:X257" si="68">IF(O194&gt;=0.5,"1_Post","0_Pre")</f>
        <v>0_Pre</v>
      </c>
      <c r="Y194" s="10" t="str">
        <f t="shared" ref="Y194:Y257" si="69">IF(P194&gt;=0.5,"1_Post","0_Pre")</f>
        <v>0_Pre</v>
      </c>
      <c r="Z194" s="10" t="str">
        <f t="shared" ref="Z194:Z257" si="70">IF(Q194&gt;=0.5,"1_Post","0_Pre")</f>
        <v>0_Pre</v>
      </c>
      <c r="AA194" s="10" t="str">
        <f t="shared" si="55"/>
        <v>0_Pre</v>
      </c>
      <c r="AB194" s="10" t="str">
        <f t="shared" si="56"/>
        <v>0_Pre</v>
      </c>
      <c r="AC194" s="10" t="str">
        <f t="shared" si="57"/>
        <v>0_Pre</v>
      </c>
      <c r="AD194" s="10" t="str">
        <f t="shared" si="58"/>
        <v>1_pre sample median</v>
      </c>
      <c r="AE194" s="10" t="str">
        <f t="shared" si="59"/>
        <v>1_pre sample first tertile</v>
      </c>
      <c r="AF194" t="s">
        <v>80</v>
      </c>
      <c r="AG194" t="s">
        <v>75</v>
      </c>
      <c r="AH194" t="s">
        <v>78</v>
      </c>
      <c r="AI194" t="s">
        <v>123</v>
      </c>
      <c r="AJ194" t="s">
        <v>123</v>
      </c>
      <c r="AK194" t="str">
        <f>VLOOKUP(MID($AR194,1,255),country_lookup!$B:$F,2,FALSE)</f>
        <v>1_US</v>
      </c>
      <c r="AL194" t="str">
        <f>VLOOKUP(MID($AR194,1,255),country_lookup!$B:$F,3,FALSE)</f>
        <v>1_developed</v>
      </c>
      <c r="AM194" t="str">
        <f>VLOOKUP(MID($AR194,1,255),country_lookup!$B:$F,4,FALSE)</f>
        <v>1_western</v>
      </c>
      <c r="AN194" t="str">
        <f>VLOOKUP(MID($AR194,1,255),country_lookup!$B:$F,5,FALSE)</f>
        <v>1_common law</v>
      </c>
      <c r="AO194" s="10" t="str">
        <f>VLOOKUP(MID($AS194,1,255),source_lookup!$B:$K,4,FALSE)</f>
        <v>1_not published</v>
      </c>
      <c r="AP194" s="10" t="str">
        <f>VLOOKUP(MID($AS194,1,255),source_lookup!$B:$K,6,FALSE)</f>
        <v>99_NA</v>
      </c>
      <c r="AQ194" s="10" t="str">
        <f>VLOOKUP(MID($AS194,1,255),source_lookup!$B:$K,10,FALSE)</f>
        <v>1_fin/acc/econ</v>
      </c>
      <c r="AR194" t="s">
        <v>85</v>
      </c>
      <c r="AS194" t="s">
        <v>129</v>
      </c>
    </row>
    <row r="195" spans="1:45" x14ac:dyDescent="0.3">
      <c r="A195" t="s">
        <v>5</v>
      </c>
      <c r="B195">
        <v>194</v>
      </c>
      <c r="C195" s="1">
        <v>1.4204476172716292E-3</v>
      </c>
      <c r="D195" s="2">
        <v>316</v>
      </c>
      <c r="E195" s="4">
        <v>5997</v>
      </c>
      <c r="F195" s="4" t="s">
        <v>347</v>
      </c>
      <c r="G195" s="4" t="s">
        <v>346</v>
      </c>
      <c r="H195" t="s">
        <v>77</v>
      </c>
      <c r="I195" t="s">
        <v>350</v>
      </c>
      <c r="J195" s="3">
        <v>1990</v>
      </c>
      <c r="K195" s="3">
        <v>2008</v>
      </c>
      <c r="L195" s="6">
        <f t="shared" ref="L195:L258" si="71">ROUND(AVERAGE(J195:K195),100)</f>
        <v>1999</v>
      </c>
      <c r="M195" s="6">
        <f t="shared" ref="M195:M258" si="72">ROUND(MEDIAN(J195:K195),100)</f>
        <v>1999</v>
      </c>
      <c r="N195" s="7">
        <f t="shared" si="60"/>
        <v>0</v>
      </c>
      <c r="O195" s="7">
        <f t="shared" si="61"/>
        <v>0</v>
      </c>
      <c r="P195" s="7">
        <f t="shared" si="62"/>
        <v>0</v>
      </c>
      <c r="Q195" s="7">
        <f t="shared" ref="Q195:Q258" si="73">MAX(0,$K195-MAX($J195,2019)+1)/($K195-$J195+1)</f>
        <v>0</v>
      </c>
      <c r="R195" s="10" t="str">
        <f t="shared" si="63"/>
        <v>0_Pre</v>
      </c>
      <c r="S195" s="10" t="str">
        <f t="shared" si="64"/>
        <v>0_Pre</v>
      </c>
      <c r="T195" s="10" t="str">
        <f t="shared" si="65"/>
        <v>0_Pre</v>
      </c>
      <c r="U195" s="10" t="str">
        <f t="shared" si="66"/>
        <v>0_Pre</v>
      </c>
      <c r="V195" s="10" t="str">
        <f t="shared" ref="V195:V258" si="74">IF($J195&lt;=2017,"0_Pre","1_Post")</f>
        <v>0_Pre</v>
      </c>
      <c r="W195" s="10" t="str">
        <f t="shared" si="67"/>
        <v>clean_pre</v>
      </c>
      <c r="X195" s="10" t="str">
        <f t="shared" si="68"/>
        <v>0_Pre</v>
      </c>
      <c r="Y195" s="10" t="str">
        <f t="shared" si="69"/>
        <v>0_Pre</v>
      </c>
      <c r="Z195" s="10" t="str">
        <f t="shared" si="70"/>
        <v>0_Pre</v>
      </c>
      <c r="AA195" s="10" t="str">
        <f t="shared" ref="AA195:AA258" si="75">IF($K195&gt;=2017,"1_Post","0_Pre")</f>
        <v>0_Pre</v>
      </c>
      <c r="AB195" s="10" t="str">
        <f t="shared" ref="AB195:AB258" si="76">IF($K195&gt;=2018,"1_Post","0_Pre")</f>
        <v>0_Pre</v>
      </c>
      <c r="AC195" s="10" t="str">
        <f t="shared" ref="AC195:AC258" si="77">IF($K195&gt;=2019,"1_Post","0_Pre")</f>
        <v>0_Pre</v>
      </c>
      <c r="AD195" s="10" t="str">
        <f t="shared" ref="AD195:AD258" si="78">IF(L195&lt;MEDIAN($L$2:$L$1307),"1_pre sample median","2_post sample median")</f>
        <v>1_pre sample median</v>
      </c>
      <c r="AE195" s="10" t="str">
        <f t="shared" ref="AE195:AE258" si="79">IF(L195&lt;=PERCENTILE($L$2:$L$1307,0.33),"1_pre sample first tertile",IF(L195&gt;=PERCENTILE($L$2:$L$1307,0.67),"3_post sample third tertile","2_in sample second tertile"))</f>
        <v>1_pre sample first tertile</v>
      </c>
      <c r="AF195" t="s">
        <v>80</v>
      </c>
      <c r="AG195" t="s">
        <v>75</v>
      </c>
      <c r="AH195" t="s">
        <v>78</v>
      </c>
      <c r="AI195" t="s">
        <v>123</v>
      </c>
      <c r="AJ195" t="s">
        <v>123</v>
      </c>
      <c r="AK195" t="str">
        <f>VLOOKUP(MID($AR195,1,255),country_lookup!$B:$F,2,FALSE)</f>
        <v>1_US</v>
      </c>
      <c r="AL195" t="str">
        <f>VLOOKUP(MID($AR195,1,255),country_lookup!$B:$F,3,FALSE)</f>
        <v>1_developed</v>
      </c>
      <c r="AM195" t="str">
        <f>VLOOKUP(MID($AR195,1,255),country_lookup!$B:$F,4,FALSE)</f>
        <v>1_western</v>
      </c>
      <c r="AN195" t="str">
        <f>VLOOKUP(MID($AR195,1,255),country_lookup!$B:$F,5,FALSE)</f>
        <v>1_common law</v>
      </c>
      <c r="AO195" s="10" t="str">
        <f>VLOOKUP(MID($AS195,1,255),source_lookup!$B:$K,4,FALSE)</f>
        <v>1_not published</v>
      </c>
      <c r="AP195" s="10" t="str">
        <f>VLOOKUP(MID($AS195,1,255),source_lookup!$B:$K,6,FALSE)</f>
        <v>99_NA</v>
      </c>
      <c r="AQ195" s="10" t="str">
        <f>VLOOKUP(MID($AS195,1,255),source_lookup!$B:$K,10,FALSE)</f>
        <v>1_fin/acc/econ</v>
      </c>
      <c r="AR195" t="s">
        <v>85</v>
      </c>
      <c r="AS195" t="s">
        <v>129</v>
      </c>
    </row>
    <row r="196" spans="1:45" x14ac:dyDescent="0.3">
      <c r="A196" t="s">
        <v>5</v>
      </c>
      <c r="B196">
        <v>195</v>
      </c>
      <c r="C196" s="1">
        <v>-3.6543811618297596E-2</v>
      </c>
      <c r="D196" s="2">
        <v>289</v>
      </c>
      <c r="E196" s="4">
        <v>5492</v>
      </c>
      <c r="F196" s="4" t="s">
        <v>347</v>
      </c>
      <c r="G196" s="4" t="s">
        <v>346</v>
      </c>
      <c r="H196" t="s">
        <v>77</v>
      </c>
      <c r="I196" t="s">
        <v>350</v>
      </c>
      <c r="J196" s="3">
        <v>1990</v>
      </c>
      <c r="K196" s="3">
        <v>2008</v>
      </c>
      <c r="L196" s="6">
        <f t="shared" si="71"/>
        <v>1999</v>
      </c>
      <c r="M196" s="6">
        <f t="shared" si="72"/>
        <v>1999</v>
      </c>
      <c r="N196" s="7">
        <f t="shared" si="60"/>
        <v>0</v>
      </c>
      <c r="O196" s="7">
        <f t="shared" si="61"/>
        <v>0</v>
      </c>
      <c r="P196" s="7">
        <f t="shared" si="62"/>
        <v>0</v>
      </c>
      <c r="Q196" s="7">
        <f t="shared" si="73"/>
        <v>0</v>
      </c>
      <c r="R196" s="10" t="str">
        <f t="shared" si="63"/>
        <v>0_Pre</v>
      </c>
      <c r="S196" s="10" t="str">
        <f t="shared" si="64"/>
        <v>0_Pre</v>
      </c>
      <c r="T196" s="10" t="str">
        <f t="shared" si="65"/>
        <v>0_Pre</v>
      </c>
      <c r="U196" s="10" t="str">
        <f t="shared" si="66"/>
        <v>0_Pre</v>
      </c>
      <c r="V196" s="10" t="str">
        <f t="shared" si="74"/>
        <v>0_Pre</v>
      </c>
      <c r="W196" s="10" t="str">
        <f t="shared" si="67"/>
        <v>clean_pre</v>
      </c>
      <c r="X196" s="10" t="str">
        <f t="shared" si="68"/>
        <v>0_Pre</v>
      </c>
      <c r="Y196" s="10" t="str">
        <f t="shared" si="69"/>
        <v>0_Pre</v>
      </c>
      <c r="Z196" s="10" t="str">
        <f t="shared" si="70"/>
        <v>0_Pre</v>
      </c>
      <c r="AA196" s="10" t="str">
        <f t="shared" si="75"/>
        <v>0_Pre</v>
      </c>
      <c r="AB196" s="10" t="str">
        <f t="shared" si="76"/>
        <v>0_Pre</v>
      </c>
      <c r="AC196" s="10" t="str">
        <f t="shared" si="77"/>
        <v>0_Pre</v>
      </c>
      <c r="AD196" s="10" t="str">
        <f t="shared" si="78"/>
        <v>1_pre sample median</v>
      </c>
      <c r="AE196" s="10" t="str">
        <f t="shared" si="79"/>
        <v>1_pre sample first tertile</v>
      </c>
      <c r="AF196" t="s">
        <v>80</v>
      </c>
      <c r="AG196" t="s">
        <v>75</v>
      </c>
      <c r="AH196" t="s">
        <v>78</v>
      </c>
      <c r="AI196" t="s">
        <v>123</v>
      </c>
      <c r="AJ196" t="s">
        <v>123</v>
      </c>
      <c r="AK196" t="str">
        <f>VLOOKUP(MID($AR196,1,255),country_lookup!$B:$F,2,FALSE)</f>
        <v>1_US</v>
      </c>
      <c r="AL196" t="str">
        <f>VLOOKUP(MID($AR196,1,255),country_lookup!$B:$F,3,FALSE)</f>
        <v>1_developed</v>
      </c>
      <c r="AM196" t="str">
        <f>VLOOKUP(MID($AR196,1,255),country_lookup!$B:$F,4,FALSE)</f>
        <v>1_western</v>
      </c>
      <c r="AN196" t="str">
        <f>VLOOKUP(MID($AR196,1,255),country_lookup!$B:$F,5,FALSE)</f>
        <v>1_common law</v>
      </c>
      <c r="AO196" s="10" t="str">
        <f>VLOOKUP(MID($AS196,1,255),source_lookup!$B:$K,4,FALSE)</f>
        <v>1_not published</v>
      </c>
      <c r="AP196" s="10" t="str">
        <f>VLOOKUP(MID($AS196,1,255),source_lookup!$B:$K,6,FALSE)</f>
        <v>99_NA</v>
      </c>
      <c r="AQ196" s="10" t="str">
        <f>VLOOKUP(MID($AS196,1,255),source_lookup!$B:$K,10,FALSE)</f>
        <v>1_fin/acc/econ</v>
      </c>
      <c r="AR196" t="s">
        <v>85</v>
      </c>
      <c r="AS196" t="s">
        <v>129</v>
      </c>
    </row>
    <row r="197" spans="1:45" x14ac:dyDescent="0.3">
      <c r="A197" t="s">
        <v>5</v>
      </c>
      <c r="B197">
        <v>196</v>
      </c>
      <c r="C197" s="1">
        <v>-3.6409142693527088E-2</v>
      </c>
      <c r="D197" s="2">
        <v>289</v>
      </c>
      <c r="E197" s="4">
        <v>5492</v>
      </c>
      <c r="F197" s="4" t="s">
        <v>347</v>
      </c>
      <c r="G197" s="4" t="s">
        <v>346</v>
      </c>
      <c r="H197" t="s">
        <v>77</v>
      </c>
      <c r="I197" t="s">
        <v>350</v>
      </c>
      <c r="J197" s="3">
        <v>1990</v>
      </c>
      <c r="K197" s="3">
        <v>2008</v>
      </c>
      <c r="L197" s="6">
        <f t="shared" si="71"/>
        <v>1999</v>
      </c>
      <c r="M197" s="6">
        <f t="shared" si="72"/>
        <v>1999</v>
      </c>
      <c r="N197" s="7">
        <f t="shared" si="60"/>
        <v>0</v>
      </c>
      <c r="O197" s="7">
        <f t="shared" si="61"/>
        <v>0</v>
      </c>
      <c r="P197" s="7">
        <f t="shared" si="62"/>
        <v>0</v>
      </c>
      <c r="Q197" s="7">
        <f t="shared" si="73"/>
        <v>0</v>
      </c>
      <c r="R197" s="10" t="str">
        <f t="shared" si="63"/>
        <v>0_Pre</v>
      </c>
      <c r="S197" s="10" t="str">
        <f t="shared" si="64"/>
        <v>0_Pre</v>
      </c>
      <c r="T197" s="10" t="str">
        <f t="shared" si="65"/>
        <v>0_Pre</v>
      </c>
      <c r="U197" s="10" t="str">
        <f t="shared" si="66"/>
        <v>0_Pre</v>
      </c>
      <c r="V197" s="10" t="str">
        <f t="shared" si="74"/>
        <v>0_Pre</v>
      </c>
      <c r="W197" s="10" t="str">
        <f t="shared" si="67"/>
        <v>clean_pre</v>
      </c>
      <c r="X197" s="10" t="str">
        <f t="shared" si="68"/>
        <v>0_Pre</v>
      </c>
      <c r="Y197" s="10" t="str">
        <f t="shared" si="69"/>
        <v>0_Pre</v>
      </c>
      <c r="Z197" s="10" t="str">
        <f t="shared" si="70"/>
        <v>0_Pre</v>
      </c>
      <c r="AA197" s="10" t="str">
        <f t="shared" si="75"/>
        <v>0_Pre</v>
      </c>
      <c r="AB197" s="10" t="str">
        <f t="shared" si="76"/>
        <v>0_Pre</v>
      </c>
      <c r="AC197" s="10" t="str">
        <f t="shared" si="77"/>
        <v>0_Pre</v>
      </c>
      <c r="AD197" s="10" t="str">
        <f t="shared" si="78"/>
        <v>1_pre sample median</v>
      </c>
      <c r="AE197" s="10" t="str">
        <f t="shared" si="79"/>
        <v>1_pre sample first tertile</v>
      </c>
      <c r="AF197" t="s">
        <v>80</v>
      </c>
      <c r="AG197" t="s">
        <v>75</v>
      </c>
      <c r="AH197" t="s">
        <v>78</v>
      </c>
      <c r="AI197" t="s">
        <v>123</v>
      </c>
      <c r="AJ197" t="s">
        <v>123</v>
      </c>
      <c r="AK197" t="str">
        <f>VLOOKUP(MID($AR197,1,255),country_lookup!$B:$F,2,FALSE)</f>
        <v>1_US</v>
      </c>
      <c r="AL197" t="str">
        <f>VLOOKUP(MID($AR197,1,255),country_lookup!$B:$F,3,FALSE)</f>
        <v>1_developed</v>
      </c>
      <c r="AM197" t="str">
        <f>VLOOKUP(MID($AR197,1,255),country_lookup!$B:$F,4,FALSE)</f>
        <v>1_western</v>
      </c>
      <c r="AN197" t="str">
        <f>VLOOKUP(MID($AR197,1,255),country_lookup!$B:$F,5,FALSE)</f>
        <v>1_common law</v>
      </c>
      <c r="AO197" s="10" t="str">
        <f>VLOOKUP(MID($AS197,1,255),source_lookup!$B:$K,4,FALSE)</f>
        <v>1_not published</v>
      </c>
      <c r="AP197" s="10" t="str">
        <f>VLOOKUP(MID($AS197,1,255),source_lookup!$B:$K,6,FALSE)</f>
        <v>99_NA</v>
      </c>
      <c r="AQ197" s="10" t="str">
        <f>VLOOKUP(MID($AS197,1,255),source_lookup!$B:$K,10,FALSE)</f>
        <v>1_fin/acc/econ</v>
      </c>
      <c r="AR197" t="s">
        <v>85</v>
      </c>
      <c r="AS197" t="s">
        <v>129</v>
      </c>
    </row>
    <row r="198" spans="1:45" x14ac:dyDescent="0.3">
      <c r="A198" t="s">
        <v>5</v>
      </c>
      <c r="B198">
        <v>197</v>
      </c>
      <c r="C198" s="1">
        <v>-7.6912467681282508E-3</v>
      </c>
      <c r="D198" s="2">
        <v>289</v>
      </c>
      <c r="E198" s="4">
        <v>5492</v>
      </c>
      <c r="F198" s="4" t="s">
        <v>347</v>
      </c>
      <c r="G198" s="4" t="s">
        <v>346</v>
      </c>
      <c r="H198" t="s">
        <v>77</v>
      </c>
      <c r="I198" t="s">
        <v>350</v>
      </c>
      <c r="J198" s="3">
        <v>1990</v>
      </c>
      <c r="K198" s="3">
        <v>2008</v>
      </c>
      <c r="L198" s="6">
        <f t="shared" si="71"/>
        <v>1999</v>
      </c>
      <c r="M198" s="6">
        <f t="shared" si="72"/>
        <v>1999</v>
      </c>
      <c r="N198" s="7">
        <f t="shared" si="60"/>
        <v>0</v>
      </c>
      <c r="O198" s="7">
        <f t="shared" si="61"/>
        <v>0</v>
      </c>
      <c r="P198" s="7">
        <f t="shared" si="62"/>
        <v>0</v>
      </c>
      <c r="Q198" s="7">
        <f t="shared" si="73"/>
        <v>0</v>
      </c>
      <c r="R198" s="10" t="str">
        <f t="shared" si="63"/>
        <v>0_Pre</v>
      </c>
      <c r="S198" s="10" t="str">
        <f t="shared" si="64"/>
        <v>0_Pre</v>
      </c>
      <c r="T198" s="10" t="str">
        <f t="shared" si="65"/>
        <v>0_Pre</v>
      </c>
      <c r="U198" s="10" t="str">
        <f t="shared" si="66"/>
        <v>0_Pre</v>
      </c>
      <c r="V198" s="10" t="str">
        <f t="shared" si="74"/>
        <v>0_Pre</v>
      </c>
      <c r="W198" s="10" t="str">
        <f t="shared" si="67"/>
        <v>clean_pre</v>
      </c>
      <c r="X198" s="10" t="str">
        <f t="shared" si="68"/>
        <v>0_Pre</v>
      </c>
      <c r="Y198" s="10" t="str">
        <f t="shared" si="69"/>
        <v>0_Pre</v>
      </c>
      <c r="Z198" s="10" t="str">
        <f t="shared" si="70"/>
        <v>0_Pre</v>
      </c>
      <c r="AA198" s="10" t="str">
        <f t="shared" si="75"/>
        <v>0_Pre</v>
      </c>
      <c r="AB198" s="10" t="str">
        <f t="shared" si="76"/>
        <v>0_Pre</v>
      </c>
      <c r="AC198" s="10" t="str">
        <f t="shared" si="77"/>
        <v>0_Pre</v>
      </c>
      <c r="AD198" s="10" t="str">
        <f t="shared" si="78"/>
        <v>1_pre sample median</v>
      </c>
      <c r="AE198" s="10" t="str">
        <f t="shared" si="79"/>
        <v>1_pre sample first tertile</v>
      </c>
      <c r="AF198" t="s">
        <v>80</v>
      </c>
      <c r="AG198" t="s">
        <v>75</v>
      </c>
      <c r="AH198" t="s">
        <v>78</v>
      </c>
      <c r="AI198" t="s">
        <v>123</v>
      </c>
      <c r="AJ198" t="s">
        <v>123</v>
      </c>
      <c r="AK198" t="str">
        <f>VLOOKUP(MID($AR198,1,255),country_lookup!$B:$F,2,FALSE)</f>
        <v>1_US</v>
      </c>
      <c r="AL198" t="str">
        <f>VLOOKUP(MID($AR198,1,255),country_lookup!$B:$F,3,FALSE)</f>
        <v>1_developed</v>
      </c>
      <c r="AM198" t="str">
        <f>VLOOKUP(MID($AR198,1,255),country_lookup!$B:$F,4,FALSE)</f>
        <v>1_western</v>
      </c>
      <c r="AN198" t="str">
        <f>VLOOKUP(MID($AR198,1,255),country_lookup!$B:$F,5,FALSE)</f>
        <v>1_common law</v>
      </c>
      <c r="AO198" s="10" t="str">
        <f>VLOOKUP(MID($AS198,1,255),source_lookup!$B:$K,4,FALSE)</f>
        <v>1_not published</v>
      </c>
      <c r="AP198" s="10" t="str">
        <f>VLOOKUP(MID($AS198,1,255),source_lookup!$B:$K,6,FALSE)</f>
        <v>99_NA</v>
      </c>
      <c r="AQ198" s="10" t="str">
        <f>VLOOKUP(MID($AS198,1,255),source_lookup!$B:$K,10,FALSE)</f>
        <v>1_fin/acc/econ</v>
      </c>
      <c r="AR198" t="s">
        <v>85</v>
      </c>
      <c r="AS198" t="s">
        <v>129</v>
      </c>
    </row>
    <row r="199" spans="1:45" x14ac:dyDescent="0.3">
      <c r="A199" t="s">
        <v>5</v>
      </c>
      <c r="B199">
        <v>198</v>
      </c>
      <c r="C199" s="1">
        <v>-1.7943883779736703E-2</v>
      </c>
      <c r="D199" s="2">
        <v>289</v>
      </c>
      <c r="E199" s="4">
        <v>5492</v>
      </c>
      <c r="F199" s="4" t="s">
        <v>347</v>
      </c>
      <c r="G199" s="4" t="s">
        <v>346</v>
      </c>
      <c r="H199" t="s">
        <v>77</v>
      </c>
      <c r="I199" t="s">
        <v>350</v>
      </c>
      <c r="J199" s="3">
        <v>1990</v>
      </c>
      <c r="K199" s="3">
        <v>2008</v>
      </c>
      <c r="L199" s="6">
        <f t="shared" si="71"/>
        <v>1999</v>
      </c>
      <c r="M199" s="6">
        <f t="shared" si="72"/>
        <v>1999</v>
      </c>
      <c r="N199" s="7">
        <f t="shared" si="60"/>
        <v>0</v>
      </c>
      <c r="O199" s="7">
        <f t="shared" si="61"/>
        <v>0</v>
      </c>
      <c r="P199" s="7">
        <f t="shared" si="62"/>
        <v>0</v>
      </c>
      <c r="Q199" s="7">
        <f t="shared" si="73"/>
        <v>0</v>
      </c>
      <c r="R199" s="10" t="str">
        <f t="shared" si="63"/>
        <v>0_Pre</v>
      </c>
      <c r="S199" s="10" t="str">
        <f t="shared" si="64"/>
        <v>0_Pre</v>
      </c>
      <c r="T199" s="10" t="str">
        <f t="shared" si="65"/>
        <v>0_Pre</v>
      </c>
      <c r="U199" s="10" t="str">
        <f t="shared" si="66"/>
        <v>0_Pre</v>
      </c>
      <c r="V199" s="10" t="str">
        <f t="shared" si="74"/>
        <v>0_Pre</v>
      </c>
      <c r="W199" s="10" t="str">
        <f t="shared" si="67"/>
        <v>clean_pre</v>
      </c>
      <c r="X199" s="10" t="str">
        <f t="shared" si="68"/>
        <v>0_Pre</v>
      </c>
      <c r="Y199" s="10" t="str">
        <f t="shared" si="69"/>
        <v>0_Pre</v>
      </c>
      <c r="Z199" s="10" t="str">
        <f t="shared" si="70"/>
        <v>0_Pre</v>
      </c>
      <c r="AA199" s="10" t="str">
        <f t="shared" si="75"/>
        <v>0_Pre</v>
      </c>
      <c r="AB199" s="10" t="str">
        <f t="shared" si="76"/>
        <v>0_Pre</v>
      </c>
      <c r="AC199" s="10" t="str">
        <f t="shared" si="77"/>
        <v>0_Pre</v>
      </c>
      <c r="AD199" s="10" t="str">
        <f t="shared" si="78"/>
        <v>1_pre sample median</v>
      </c>
      <c r="AE199" s="10" t="str">
        <f t="shared" si="79"/>
        <v>1_pre sample first tertile</v>
      </c>
      <c r="AF199" t="s">
        <v>80</v>
      </c>
      <c r="AG199" t="s">
        <v>75</v>
      </c>
      <c r="AH199" t="s">
        <v>78</v>
      </c>
      <c r="AI199" t="s">
        <v>123</v>
      </c>
      <c r="AJ199" t="s">
        <v>123</v>
      </c>
      <c r="AK199" t="str">
        <f>VLOOKUP(MID($AR199,1,255),country_lookup!$B:$F,2,FALSE)</f>
        <v>1_US</v>
      </c>
      <c r="AL199" t="str">
        <f>VLOOKUP(MID($AR199,1,255),country_lookup!$B:$F,3,FALSE)</f>
        <v>1_developed</v>
      </c>
      <c r="AM199" t="str">
        <f>VLOOKUP(MID($AR199,1,255),country_lookup!$B:$F,4,FALSE)</f>
        <v>1_western</v>
      </c>
      <c r="AN199" t="str">
        <f>VLOOKUP(MID($AR199,1,255),country_lookup!$B:$F,5,FALSE)</f>
        <v>1_common law</v>
      </c>
      <c r="AO199" s="10" t="str">
        <f>VLOOKUP(MID($AS199,1,255),source_lookup!$B:$K,4,FALSE)</f>
        <v>1_not published</v>
      </c>
      <c r="AP199" s="10" t="str">
        <f>VLOOKUP(MID($AS199,1,255),source_lookup!$B:$K,6,FALSE)</f>
        <v>99_NA</v>
      </c>
      <c r="AQ199" s="10" t="str">
        <f>VLOOKUP(MID($AS199,1,255),source_lookup!$B:$K,10,FALSE)</f>
        <v>1_fin/acc/econ</v>
      </c>
      <c r="AR199" t="s">
        <v>85</v>
      </c>
      <c r="AS199" t="s">
        <v>129</v>
      </c>
    </row>
    <row r="200" spans="1:45" x14ac:dyDescent="0.3">
      <c r="A200" t="s">
        <v>5</v>
      </c>
      <c r="B200">
        <v>199</v>
      </c>
      <c r="C200" s="1">
        <v>-4.2601741999889711E-2</v>
      </c>
      <c r="D200" s="2">
        <v>289</v>
      </c>
      <c r="E200" s="4">
        <v>5492</v>
      </c>
      <c r="F200" s="4" t="s">
        <v>347</v>
      </c>
      <c r="G200" s="4" t="s">
        <v>346</v>
      </c>
      <c r="H200" t="s">
        <v>77</v>
      </c>
      <c r="I200" t="s">
        <v>350</v>
      </c>
      <c r="J200" s="3">
        <v>1990</v>
      </c>
      <c r="K200" s="3">
        <v>2008</v>
      </c>
      <c r="L200" s="6">
        <f t="shared" si="71"/>
        <v>1999</v>
      </c>
      <c r="M200" s="6">
        <f t="shared" si="72"/>
        <v>1999</v>
      </c>
      <c r="N200" s="7">
        <f t="shared" si="60"/>
        <v>0</v>
      </c>
      <c r="O200" s="7">
        <f t="shared" si="61"/>
        <v>0</v>
      </c>
      <c r="P200" s="7">
        <f t="shared" si="62"/>
        <v>0</v>
      </c>
      <c r="Q200" s="7">
        <f t="shared" si="73"/>
        <v>0</v>
      </c>
      <c r="R200" s="10" t="str">
        <f t="shared" si="63"/>
        <v>0_Pre</v>
      </c>
      <c r="S200" s="10" t="str">
        <f t="shared" si="64"/>
        <v>0_Pre</v>
      </c>
      <c r="T200" s="10" t="str">
        <f t="shared" si="65"/>
        <v>0_Pre</v>
      </c>
      <c r="U200" s="10" t="str">
        <f t="shared" si="66"/>
        <v>0_Pre</v>
      </c>
      <c r="V200" s="10" t="str">
        <f t="shared" si="74"/>
        <v>0_Pre</v>
      </c>
      <c r="W200" s="10" t="str">
        <f t="shared" si="67"/>
        <v>clean_pre</v>
      </c>
      <c r="X200" s="10" t="str">
        <f t="shared" si="68"/>
        <v>0_Pre</v>
      </c>
      <c r="Y200" s="10" t="str">
        <f t="shared" si="69"/>
        <v>0_Pre</v>
      </c>
      <c r="Z200" s="10" t="str">
        <f t="shared" si="70"/>
        <v>0_Pre</v>
      </c>
      <c r="AA200" s="10" t="str">
        <f t="shared" si="75"/>
        <v>0_Pre</v>
      </c>
      <c r="AB200" s="10" t="str">
        <f t="shared" si="76"/>
        <v>0_Pre</v>
      </c>
      <c r="AC200" s="10" t="str">
        <f t="shared" si="77"/>
        <v>0_Pre</v>
      </c>
      <c r="AD200" s="10" t="str">
        <f t="shared" si="78"/>
        <v>1_pre sample median</v>
      </c>
      <c r="AE200" s="10" t="str">
        <f t="shared" si="79"/>
        <v>1_pre sample first tertile</v>
      </c>
      <c r="AF200" t="s">
        <v>80</v>
      </c>
      <c r="AG200" t="s">
        <v>75</v>
      </c>
      <c r="AH200" t="s">
        <v>78</v>
      </c>
      <c r="AI200" t="s">
        <v>123</v>
      </c>
      <c r="AJ200" t="s">
        <v>123</v>
      </c>
      <c r="AK200" t="str">
        <f>VLOOKUP(MID($AR200,1,255),country_lookup!$B:$F,2,FALSE)</f>
        <v>1_US</v>
      </c>
      <c r="AL200" t="str">
        <f>VLOOKUP(MID($AR200,1,255),country_lookup!$B:$F,3,FALSE)</f>
        <v>1_developed</v>
      </c>
      <c r="AM200" t="str">
        <f>VLOOKUP(MID($AR200,1,255),country_lookup!$B:$F,4,FALSE)</f>
        <v>1_western</v>
      </c>
      <c r="AN200" t="str">
        <f>VLOOKUP(MID($AR200,1,255),country_lookup!$B:$F,5,FALSE)</f>
        <v>1_common law</v>
      </c>
      <c r="AO200" s="10" t="str">
        <f>VLOOKUP(MID($AS200,1,255),source_lookup!$B:$K,4,FALSE)</f>
        <v>1_not published</v>
      </c>
      <c r="AP200" s="10" t="str">
        <f>VLOOKUP(MID($AS200,1,255),source_lookup!$B:$K,6,FALSE)</f>
        <v>99_NA</v>
      </c>
      <c r="AQ200" s="10" t="str">
        <f>VLOOKUP(MID($AS200,1,255),source_lookup!$B:$K,10,FALSE)</f>
        <v>1_fin/acc/econ</v>
      </c>
      <c r="AR200" t="s">
        <v>85</v>
      </c>
      <c r="AS200" t="s">
        <v>129</v>
      </c>
    </row>
    <row r="201" spans="1:45" x14ac:dyDescent="0.3">
      <c r="A201" t="s">
        <v>5</v>
      </c>
      <c r="B201">
        <v>200</v>
      </c>
      <c r="C201" s="1">
        <v>-6.0721045829654225E-3</v>
      </c>
      <c r="D201" s="2">
        <v>289</v>
      </c>
      <c r="E201" s="4">
        <v>5492</v>
      </c>
      <c r="F201" s="4" t="s">
        <v>347</v>
      </c>
      <c r="G201" s="4" t="s">
        <v>346</v>
      </c>
      <c r="H201" t="s">
        <v>77</v>
      </c>
      <c r="I201" t="s">
        <v>350</v>
      </c>
      <c r="J201" s="3">
        <v>1990</v>
      </c>
      <c r="K201" s="3">
        <v>2008</v>
      </c>
      <c r="L201" s="6">
        <f t="shared" si="71"/>
        <v>1999</v>
      </c>
      <c r="M201" s="6">
        <f t="shared" si="72"/>
        <v>1999</v>
      </c>
      <c r="N201" s="7">
        <f t="shared" si="60"/>
        <v>0</v>
      </c>
      <c r="O201" s="7">
        <f t="shared" si="61"/>
        <v>0</v>
      </c>
      <c r="P201" s="7">
        <f t="shared" si="62"/>
        <v>0</v>
      </c>
      <c r="Q201" s="7">
        <f t="shared" si="73"/>
        <v>0</v>
      </c>
      <c r="R201" s="10" t="str">
        <f t="shared" si="63"/>
        <v>0_Pre</v>
      </c>
      <c r="S201" s="10" t="str">
        <f t="shared" si="64"/>
        <v>0_Pre</v>
      </c>
      <c r="T201" s="10" t="str">
        <f t="shared" si="65"/>
        <v>0_Pre</v>
      </c>
      <c r="U201" s="10" t="str">
        <f t="shared" si="66"/>
        <v>0_Pre</v>
      </c>
      <c r="V201" s="10" t="str">
        <f t="shared" si="74"/>
        <v>0_Pre</v>
      </c>
      <c r="W201" s="10" t="str">
        <f t="shared" si="67"/>
        <v>clean_pre</v>
      </c>
      <c r="X201" s="10" t="str">
        <f t="shared" si="68"/>
        <v>0_Pre</v>
      </c>
      <c r="Y201" s="10" t="str">
        <f t="shared" si="69"/>
        <v>0_Pre</v>
      </c>
      <c r="Z201" s="10" t="str">
        <f t="shared" si="70"/>
        <v>0_Pre</v>
      </c>
      <c r="AA201" s="10" t="str">
        <f t="shared" si="75"/>
        <v>0_Pre</v>
      </c>
      <c r="AB201" s="10" t="str">
        <f t="shared" si="76"/>
        <v>0_Pre</v>
      </c>
      <c r="AC201" s="10" t="str">
        <f t="shared" si="77"/>
        <v>0_Pre</v>
      </c>
      <c r="AD201" s="10" t="str">
        <f t="shared" si="78"/>
        <v>1_pre sample median</v>
      </c>
      <c r="AE201" s="10" t="str">
        <f t="shared" si="79"/>
        <v>1_pre sample first tertile</v>
      </c>
      <c r="AF201" t="s">
        <v>80</v>
      </c>
      <c r="AG201" t="s">
        <v>75</v>
      </c>
      <c r="AH201" t="s">
        <v>78</v>
      </c>
      <c r="AI201" t="s">
        <v>123</v>
      </c>
      <c r="AJ201" t="s">
        <v>123</v>
      </c>
      <c r="AK201" t="str">
        <f>VLOOKUP(MID($AR201,1,255),country_lookup!$B:$F,2,FALSE)</f>
        <v>1_US</v>
      </c>
      <c r="AL201" t="str">
        <f>VLOOKUP(MID($AR201,1,255),country_lookup!$B:$F,3,FALSE)</f>
        <v>1_developed</v>
      </c>
      <c r="AM201" t="str">
        <f>VLOOKUP(MID($AR201,1,255),country_lookup!$B:$F,4,FALSE)</f>
        <v>1_western</v>
      </c>
      <c r="AN201" t="str">
        <f>VLOOKUP(MID($AR201,1,255),country_lookup!$B:$F,5,FALSE)</f>
        <v>1_common law</v>
      </c>
      <c r="AO201" s="10" t="str">
        <f>VLOOKUP(MID($AS201,1,255),source_lookup!$B:$K,4,FALSE)</f>
        <v>1_not published</v>
      </c>
      <c r="AP201" s="10" t="str">
        <f>VLOOKUP(MID($AS201,1,255),source_lookup!$B:$K,6,FALSE)</f>
        <v>99_NA</v>
      </c>
      <c r="AQ201" s="10" t="str">
        <f>VLOOKUP(MID($AS201,1,255),source_lookup!$B:$K,10,FALSE)</f>
        <v>1_fin/acc/econ</v>
      </c>
      <c r="AR201" t="s">
        <v>85</v>
      </c>
      <c r="AS201" t="s">
        <v>129</v>
      </c>
    </row>
    <row r="202" spans="1:45" x14ac:dyDescent="0.3">
      <c r="A202" t="s">
        <v>5</v>
      </c>
      <c r="B202">
        <v>201</v>
      </c>
      <c r="C202" s="1">
        <v>-4.4485504902111679E-2</v>
      </c>
      <c r="D202" s="2">
        <v>289</v>
      </c>
      <c r="E202" s="4">
        <v>5492</v>
      </c>
      <c r="F202" s="4" t="s">
        <v>347</v>
      </c>
      <c r="G202" s="4" t="s">
        <v>346</v>
      </c>
      <c r="H202" t="s">
        <v>77</v>
      </c>
      <c r="I202" t="s">
        <v>350</v>
      </c>
      <c r="J202" s="3">
        <v>1990</v>
      </c>
      <c r="K202" s="3">
        <v>2008</v>
      </c>
      <c r="L202" s="6">
        <f t="shared" si="71"/>
        <v>1999</v>
      </c>
      <c r="M202" s="6">
        <f t="shared" si="72"/>
        <v>1999</v>
      </c>
      <c r="N202" s="7">
        <f t="shared" si="60"/>
        <v>0</v>
      </c>
      <c r="O202" s="7">
        <f t="shared" si="61"/>
        <v>0</v>
      </c>
      <c r="P202" s="7">
        <f t="shared" si="62"/>
        <v>0</v>
      </c>
      <c r="Q202" s="7">
        <f t="shared" si="73"/>
        <v>0</v>
      </c>
      <c r="R202" s="10" t="str">
        <f t="shared" si="63"/>
        <v>0_Pre</v>
      </c>
      <c r="S202" s="10" t="str">
        <f t="shared" si="64"/>
        <v>0_Pre</v>
      </c>
      <c r="T202" s="10" t="str">
        <f t="shared" si="65"/>
        <v>0_Pre</v>
      </c>
      <c r="U202" s="10" t="str">
        <f t="shared" si="66"/>
        <v>0_Pre</v>
      </c>
      <c r="V202" s="10" t="str">
        <f t="shared" si="74"/>
        <v>0_Pre</v>
      </c>
      <c r="W202" s="10" t="str">
        <f t="shared" si="67"/>
        <v>clean_pre</v>
      </c>
      <c r="X202" s="10" t="str">
        <f t="shared" si="68"/>
        <v>0_Pre</v>
      </c>
      <c r="Y202" s="10" t="str">
        <f t="shared" si="69"/>
        <v>0_Pre</v>
      </c>
      <c r="Z202" s="10" t="str">
        <f t="shared" si="70"/>
        <v>0_Pre</v>
      </c>
      <c r="AA202" s="10" t="str">
        <f t="shared" si="75"/>
        <v>0_Pre</v>
      </c>
      <c r="AB202" s="10" t="str">
        <f t="shared" si="76"/>
        <v>0_Pre</v>
      </c>
      <c r="AC202" s="10" t="str">
        <f t="shared" si="77"/>
        <v>0_Pre</v>
      </c>
      <c r="AD202" s="10" t="str">
        <f t="shared" si="78"/>
        <v>1_pre sample median</v>
      </c>
      <c r="AE202" s="10" t="str">
        <f t="shared" si="79"/>
        <v>1_pre sample first tertile</v>
      </c>
      <c r="AF202" t="s">
        <v>80</v>
      </c>
      <c r="AG202" t="s">
        <v>75</v>
      </c>
      <c r="AH202" t="s">
        <v>78</v>
      </c>
      <c r="AI202" t="s">
        <v>123</v>
      </c>
      <c r="AJ202" t="s">
        <v>123</v>
      </c>
      <c r="AK202" t="str">
        <f>VLOOKUP(MID($AR202,1,255),country_lookup!$B:$F,2,FALSE)</f>
        <v>1_US</v>
      </c>
      <c r="AL202" t="str">
        <f>VLOOKUP(MID($AR202,1,255),country_lookup!$B:$F,3,FALSE)</f>
        <v>1_developed</v>
      </c>
      <c r="AM202" t="str">
        <f>VLOOKUP(MID($AR202,1,255),country_lookup!$B:$F,4,FALSE)</f>
        <v>1_western</v>
      </c>
      <c r="AN202" t="str">
        <f>VLOOKUP(MID($AR202,1,255),country_lookup!$B:$F,5,FALSE)</f>
        <v>1_common law</v>
      </c>
      <c r="AO202" s="10" t="str">
        <f>VLOOKUP(MID($AS202,1,255),source_lookup!$B:$K,4,FALSE)</f>
        <v>1_not published</v>
      </c>
      <c r="AP202" s="10" t="str">
        <f>VLOOKUP(MID($AS202,1,255),source_lookup!$B:$K,6,FALSE)</f>
        <v>99_NA</v>
      </c>
      <c r="AQ202" s="10" t="str">
        <f>VLOOKUP(MID($AS202,1,255),source_lookup!$B:$K,10,FALSE)</f>
        <v>1_fin/acc/econ</v>
      </c>
      <c r="AR202" t="s">
        <v>85</v>
      </c>
      <c r="AS202" t="s">
        <v>129</v>
      </c>
    </row>
    <row r="203" spans="1:45" x14ac:dyDescent="0.3">
      <c r="A203" t="s">
        <v>5</v>
      </c>
      <c r="B203">
        <v>202</v>
      </c>
      <c r="C203" s="1">
        <v>-4.2198018714961628E-2</v>
      </c>
      <c r="D203" s="2">
        <v>289</v>
      </c>
      <c r="E203" s="4">
        <v>5492</v>
      </c>
      <c r="F203" s="4" t="s">
        <v>347</v>
      </c>
      <c r="G203" s="4" t="s">
        <v>346</v>
      </c>
      <c r="H203" t="s">
        <v>77</v>
      </c>
      <c r="I203" t="s">
        <v>350</v>
      </c>
      <c r="J203" s="3">
        <v>1990</v>
      </c>
      <c r="K203" s="3">
        <v>2008</v>
      </c>
      <c r="L203" s="6">
        <f t="shared" si="71"/>
        <v>1999</v>
      </c>
      <c r="M203" s="6">
        <f t="shared" si="72"/>
        <v>1999</v>
      </c>
      <c r="N203" s="7">
        <f t="shared" si="60"/>
        <v>0</v>
      </c>
      <c r="O203" s="7">
        <f t="shared" si="61"/>
        <v>0</v>
      </c>
      <c r="P203" s="7">
        <f t="shared" si="62"/>
        <v>0</v>
      </c>
      <c r="Q203" s="7">
        <f t="shared" si="73"/>
        <v>0</v>
      </c>
      <c r="R203" s="10" t="str">
        <f t="shared" si="63"/>
        <v>0_Pre</v>
      </c>
      <c r="S203" s="10" t="str">
        <f t="shared" si="64"/>
        <v>0_Pre</v>
      </c>
      <c r="T203" s="10" t="str">
        <f t="shared" si="65"/>
        <v>0_Pre</v>
      </c>
      <c r="U203" s="10" t="str">
        <f t="shared" si="66"/>
        <v>0_Pre</v>
      </c>
      <c r="V203" s="10" t="str">
        <f t="shared" si="74"/>
        <v>0_Pre</v>
      </c>
      <c r="W203" s="10" t="str">
        <f t="shared" si="67"/>
        <v>clean_pre</v>
      </c>
      <c r="X203" s="10" t="str">
        <f t="shared" si="68"/>
        <v>0_Pre</v>
      </c>
      <c r="Y203" s="10" t="str">
        <f t="shared" si="69"/>
        <v>0_Pre</v>
      </c>
      <c r="Z203" s="10" t="str">
        <f t="shared" si="70"/>
        <v>0_Pre</v>
      </c>
      <c r="AA203" s="10" t="str">
        <f t="shared" si="75"/>
        <v>0_Pre</v>
      </c>
      <c r="AB203" s="10" t="str">
        <f t="shared" si="76"/>
        <v>0_Pre</v>
      </c>
      <c r="AC203" s="10" t="str">
        <f t="shared" si="77"/>
        <v>0_Pre</v>
      </c>
      <c r="AD203" s="10" t="str">
        <f t="shared" si="78"/>
        <v>1_pre sample median</v>
      </c>
      <c r="AE203" s="10" t="str">
        <f t="shared" si="79"/>
        <v>1_pre sample first tertile</v>
      </c>
      <c r="AF203" t="s">
        <v>80</v>
      </c>
      <c r="AG203" t="s">
        <v>75</v>
      </c>
      <c r="AH203" t="s">
        <v>78</v>
      </c>
      <c r="AI203" t="s">
        <v>123</v>
      </c>
      <c r="AJ203" t="s">
        <v>123</v>
      </c>
      <c r="AK203" t="str">
        <f>VLOOKUP(MID($AR203,1,255),country_lookup!$B:$F,2,FALSE)</f>
        <v>1_US</v>
      </c>
      <c r="AL203" t="str">
        <f>VLOOKUP(MID($AR203,1,255),country_lookup!$B:$F,3,FALSE)</f>
        <v>1_developed</v>
      </c>
      <c r="AM203" t="str">
        <f>VLOOKUP(MID($AR203,1,255),country_lookup!$B:$F,4,FALSE)</f>
        <v>1_western</v>
      </c>
      <c r="AN203" t="str">
        <f>VLOOKUP(MID($AR203,1,255),country_lookup!$B:$F,5,FALSE)</f>
        <v>1_common law</v>
      </c>
      <c r="AO203" s="10" t="str">
        <f>VLOOKUP(MID($AS203,1,255),source_lookup!$B:$K,4,FALSE)</f>
        <v>1_not published</v>
      </c>
      <c r="AP203" s="10" t="str">
        <f>VLOOKUP(MID($AS203,1,255),source_lookup!$B:$K,6,FALSE)</f>
        <v>99_NA</v>
      </c>
      <c r="AQ203" s="10" t="str">
        <f>VLOOKUP(MID($AS203,1,255),source_lookup!$B:$K,10,FALSE)</f>
        <v>1_fin/acc/econ</v>
      </c>
      <c r="AR203" t="s">
        <v>85</v>
      </c>
      <c r="AS203" t="s">
        <v>129</v>
      </c>
    </row>
    <row r="204" spans="1:45" x14ac:dyDescent="0.3">
      <c r="A204" t="s">
        <v>5</v>
      </c>
      <c r="B204">
        <v>203</v>
      </c>
      <c r="C204" s="1">
        <v>-1.4841561094339215E-2</v>
      </c>
      <c r="D204" s="2">
        <v>289</v>
      </c>
      <c r="E204" s="4">
        <v>5492</v>
      </c>
      <c r="F204" s="4" t="s">
        <v>347</v>
      </c>
      <c r="G204" s="4" t="s">
        <v>346</v>
      </c>
      <c r="H204" t="s">
        <v>77</v>
      </c>
      <c r="I204" t="s">
        <v>350</v>
      </c>
      <c r="J204" s="3">
        <v>1990</v>
      </c>
      <c r="K204" s="3">
        <v>2008</v>
      </c>
      <c r="L204" s="6">
        <f t="shared" si="71"/>
        <v>1999</v>
      </c>
      <c r="M204" s="6">
        <f t="shared" si="72"/>
        <v>1999</v>
      </c>
      <c r="N204" s="7">
        <f t="shared" si="60"/>
        <v>0</v>
      </c>
      <c r="O204" s="7">
        <f t="shared" si="61"/>
        <v>0</v>
      </c>
      <c r="P204" s="7">
        <f t="shared" si="62"/>
        <v>0</v>
      </c>
      <c r="Q204" s="7">
        <f t="shared" si="73"/>
        <v>0</v>
      </c>
      <c r="R204" s="10" t="str">
        <f t="shared" si="63"/>
        <v>0_Pre</v>
      </c>
      <c r="S204" s="10" t="str">
        <f t="shared" si="64"/>
        <v>0_Pre</v>
      </c>
      <c r="T204" s="10" t="str">
        <f t="shared" si="65"/>
        <v>0_Pre</v>
      </c>
      <c r="U204" s="10" t="str">
        <f t="shared" si="66"/>
        <v>0_Pre</v>
      </c>
      <c r="V204" s="10" t="str">
        <f t="shared" si="74"/>
        <v>0_Pre</v>
      </c>
      <c r="W204" s="10" t="str">
        <f t="shared" si="67"/>
        <v>clean_pre</v>
      </c>
      <c r="X204" s="10" t="str">
        <f t="shared" si="68"/>
        <v>0_Pre</v>
      </c>
      <c r="Y204" s="10" t="str">
        <f t="shared" si="69"/>
        <v>0_Pre</v>
      </c>
      <c r="Z204" s="10" t="str">
        <f t="shared" si="70"/>
        <v>0_Pre</v>
      </c>
      <c r="AA204" s="10" t="str">
        <f t="shared" si="75"/>
        <v>0_Pre</v>
      </c>
      <c r="AB204" s="10" t="str">
        <f t="shared" si="76"/>
        <v>0_Pre</v>
      </c>
      <c r="AC204" s="10" t="str">
        <f t="shared" si="77"/>
        <v>0_Pre</v>
      </c>
      <c r="AD204" s="10" t="str">
        <f t="shared" si="78"/>
        <v>1_pre sample median</v>
      </c>
      <c r="AE204" s="10" t="str">
        <f t="shared" si="79"/>
        <v>1_pre sample first tertile</v>
      </c>
      <c r="AF204" t="s">
        <v>80</v>
      </c>
      <c r="AG204" t="s">
        <v>75</v>
      </c>
      <c r="AH204" t="s">
        <v>78</v>
      </c>
      <c r="AI204" t="s">
        <v>123</v>
      </c>
      <c r="AJ204" t="s">
        <v>123</v>
      </c>
      <c r="AK204" t="str">
        <f>VLOOKUP(MID($AR204,1,255),country_lookup!$B:$F,2,FALSE)</f>
        <v>1_US</v>
      </c>
      <c r="AL204" t="str">
        <f>VLOOKUP(MID($AR204,1,255),country_lookup!$B:$F,3,FALSE)</f>
        <v>1_developed</v>
      </c>
      <c r="AM204" t="str">
        <f>VLOOKUP(MID($AR204,1,255),country_lookup!$B:$F,4,FALSE)</f>
        <v>1_western</v>
      </c>
      <c r="AN204" t="str">
        <f>VLOOKUP(MID($AR204,1,255),country_lookup!$B:$F,5,FALSE)</f>
        <v>1_common law</v>
      </c>
      <c r="AO204" s="10" t="str">
        <f>VLOOKUP(MID($AS204,1,255),source_lookup!$B:$K,4,FALSE)</f>
        <v>1_not published</v>
      </c>
      <c r="AP204" s="10" t="str">
        <f>VLOOKUP(MID($AS204,1,255),source_lookup!$B:$K,6,FALSE)</f>
        <v>99_NA</v>
      </c>
      <c r="AQ204" s="10" t="str">
        <f>VLOOKUP(MID($AS204,1,255),source_lookup!$B:$K,10,FALSE)</f>
        <v>1_fin/acc/econ</v>
      </c>
      <c r="AR204" t="s">
        <v>85</v>
      </c>
      <c r="AS204" t="s">
        <v>129</v>
      </c>
    </row>
    <row r="205" spans="1:45" x14ac:dyDescent="0.3">
      <c r="A205" t="s">
        <v>5</v>
      </c>
      <c r="B205">
        <v>204</v>
      </c>
      <c r="C205" s="1">
        <v>-1.0254759784546768E-2</v>
      </c>
      <c r="D205" s="2">
        <v>289</v>
      </c>
      <c r="E205" s="4">
        <v>5492</v>
      </c>
      <c r="F205" s="4" t="s">
        <v>347</v>
      </c>
      <c r="G205" s="4" t="s">
        <v>346</v>
      </c>
      <c r="H205" t="s">
        <v>77</v>
      </c>
      <c r="I205" t="s">
        <v>350</v>
      </c>
      <c r="J205" s="3">
        <v>1990</v>
      </c>
      <c r="K205" s="3">
        <v>2008</v>
      </c>
      <c r="L205" s="6">
        <f t="shared" si="71"/>
        <v>1999</v>
      </c>
      <c r="M205" s="6">
        <f t="shared" si="72"/>
        <v>1999</v>
      </c>
      <c r="N205" s="7">
        <f t="shared" si="60"/>
        <v>0</v>
      </c>
      <c r="O205" s="7">
        <f t="shared" si="61"/>
        <v>0</v>
      </c>
      <c r="P205" s="7">
        <f t="shared" si="62"/>
        <v>0</v>
      </c>
      <c r="Q205" s="7">
        <f t="shared" si="73"/>
        <v>0</v>
      </c>
      <c r="R205" s="10" t="str">
        <f t="shared" si="63"/>
        <v>0_Pre</v>
      </c>
      <c r="S205" s="10" t="str">
        <f t="shared" si="64"/>
        <v>0_Pre</v>
      </c>
      <c r="T205" s="10" t="str">
        <f t="shared" si="65"/>
        <v>0_Pre</v>
      </c>
      <c r="U205" s="10" t="str">
        <f t="shared" si="66"/>
        <v>0_Pre</v>
      </c>
      <c r="V205" s="10" t="str">
        <f t="shared" si="74"/>
        <v>0_Pre</v>
      </c>
      <c r="W205" s="10" t="str">
        <f t="shared" si="67"/>
        <v>clean_pre</v>
      </c>
      <c r="X205" s="10" t="str">
        <f t="shared" si="68"/>
        <v>0_Pre</v>
      </c>
      <c r="Y205" s="10" t="str">
        <f t="shared" si="69"/>
        <v>0_Pre</v>
      </c>
      <c r="Z205" s="10" t="str">
        <f t="shared" si="70"/>
        <v>0_Pre</v>
      </c>
      <c r="AA205" s="10" t="str">
        <f t="shared" si="75"/>
        <v>0_Pre</v>
      </c>
      <c r="AB205" s="10" t="str">
        <f t="shared" si="76"/>
        <v>0_Pre</v>
      </c>
      <c r="AC205" s="10" t="str">
        <f t="shared" si="77"/>
        <v>0_Pre</v>
      </c>
      <c r="AD205" s="10" t="str">
        <f t="shared" si="78"/>
        <v>1_pre sample median</v>
      </c>
      <c r="AE205" s="10" t="str">
        <f t="shared" si="79"/>
        <v>1_pre sample first tertile</v>
      </c>
      <c r="AF205" t="s">
        <v>80</v>
      </c>
      <c r="AG205" t="s">
        <v>75</v>
      </c>
      <c r="AH205" t="s">
        <v>78</v>
      </c>
      <c r="AI205" t="s">
        <v>123</v>
      </c>
      <c r="AJ205" t="s">
        <v>123</v>
      </c>
      <c r="AK205" t="str">
        <f>VLOOKUP(MID($AR205,1,255),country_lookup!$B:$F,2,FALSE)</f>
        <v>1_US</v>
      </c>
      <c r="AL205" t="str">
        <f>VLOOKUP(MID($AR205,1,255),country_lookup!$B:$F,3,FALSE)</f>
        <v>1_developed</v>
      </c>
      <c r="AM205" t="str">
        <f>VLOOKUP(MID($AR205,1,255),country_lookup!$B:$F,4,FALSE)</f>
        <v>1_western</v>
      </c>
      <c r="AN205" t="str">
        <f>VLOOKUP(MID($AR205,1,255),country_lookup!$B:$F,5,FALSE)</f>
        <v>1_common law</v>
      </c>
      <c r="AO205" s="10" t="str">
        <f>VLOOKUP(MID($AS205,1,255),source_lookup!$B:$K,4,FALSE)</f>
        <v>1_not published</v>
      </c>
      <c r="AP205" s="10" t="str">
        <f>VLOOKUP(MID($AS205,1,255),source_lookup!$B:$K,6,FALSE)</f>
        <v>99_NA</v>
      </c>
      <c r="AQ205" s="10" t="str">
        <f>VLOOKUP(MID($AS205,1,255),source_lookup!$B:$K,10,FALSE)</f>
        <v>1_fin/acc/econ</v>
      </c>
      <c r="AR205" t="s">
        <v>85</v>
      </c>
      <c r="AS205" t="s">
        <v>129</v>
      </c>
    </row>
    <row r="206" spans="1:45" x14ac:dyDescent="0.3">
      <c r="A206" t="s">
        <v>5</v>
      </c>
      <c r="B206">
        <v>205</v>
      </c>
      <c r="C206" s="1">
        <v>2.0240680293968196E-3</v>
      </c>
      <c r="D206" s="2">
        <v>289</v>
      </c>
      <c r="E206" s="4">
        <v>5492</v>
      </c>
      <c r="F206" s="4" t="s">
        <v>347</v>
      </c>
      <c r="G206" s="4" t="s">
        <v>346</v>
      </c>
      <c r="H206" t="s">
        <v>77</v>
      </c>
      <c r="I206" t="s">
        <v>350</v>
      </c>
      <c r="J206" s="3">
        <v>1990</v>
      </c>
      <c r="K206" s="3">
        <v>2008</v>
      </c>
      <c r="L206" s="6">
        <f t="shared" si="71"/>
        <v>1999</v>
      </c>
      <c r="M206" s="6">
        <f t="shared" si="72"/>
        <v>1999</v>
      </c>
      <c r="N206" s="7">
        <f t="shared" si="60"/>
        <v>0</v>
      </c>
      <c r="O206" s="7">
        <f t="shared" si="61"/>
        <v>0</v>
      </c>
      <c r="P206" s="7">
        <f t="shared" si="62"/>
        <v>0</v>
      </c>
      <c r="Q206" s="7">
        <f t="shared" si="73"/>
        <v>0</v>
      </c>
      <c r="R206" s="10" t="str">
        <f t="shared" si="63"/>
        <v>0_Pre</v>
      </c>
      <c r="S206" s="10" t="str">
        <f t="shared" si="64"/>
        <v>0_Pre</v>
      </c>
      <c r="T206" s="10" t="str">
        <f t="shared" si="65"/>
        <v>0_Pre</v>
      </c>
      <c r="U206" s="10" t="str">
        <f t="shared" si="66"/>
        <v>0_Pre</v>
      </c>
      <c r="V206" s="10" t="str">
        <f t="shared" si="74"/>
        <v>0_Pre</v>
      </c>
      <c r="W206" s="10" t="str">
        <f t="shared" si="67"/>
        <v>clean_pre</v>
      </c>
      <c r="X206" s="10" t="str">
        <f t="shared" si="68"/>
        <v>0_Pre</v>
      </c>
      <c r="Y206" s="10" t="str">
        <f t="shared" si="69"/>
        <v>0_Pre</v>
      </c>
      <c r="Z206" s="10" t="str">
        <f t="shared" si="70"/>
        <v>0_Pre</v>
      </c>
      <c r="AA206" s="10" t="str">
        <f t="shared" si="75"/>
        <v>0_Pre</v>
      </c>
      <c r="AB206" s="10" t="str">
        <f t="shared" si="76"/>
        <v>0_Pre</v>
      </c>
      <c r="AC206" s="10" t="str">
        <f t="shared" si="77"/>
        <v>0_Pre</v>
      </c>
      <c r="AD206" s="10" t="str">
        <f t="shared" si="78"/>
        <v>1_pre sample median</v>
      </c>
      <c r="AE206" s="10" t="str">
        <f t="shared" si="79"/>
        <v>1_pre sample first tertile</v>
      </c>
      <c r="AF206" t="s">
        <v>80</v>
      </c>
      <c r="AG206" t="s">
        <v>75</v>
      </c>
      <c r="AH206" t="s">
        <v>78</v>
      </c>
      <c r="AI206" t="s">
        <v>123</v>
      </c>
      <c r="AJ206" t="s">
        <v>123</v>
      </c>
      <c r="AK206" t="str">
        <f>VLOOKUP(MID($AR206,1,255),country_lookup!$B:$F,2,FALSE)</f>
        <v>1_US</v>
      </c>
      <c r="AL206" t="str">
        <f>VLOOKUP(MID($AR206,1,255),country_lookup!$B:$F,3,FALSE)</f>
        <v>1_developed</v>
      </c>
      <c r="AM206" t="str">
        <f>VLOOKUP(MID($AR206,1,255),country_lookup!$B:$F,4,FALSE)</f>
        <v>1_western</v>
      </c>
      <c r="AN206" t="str">
        <f>VLOOKUP(MID($AR206,1,255),country_lookup!$B:$F,5,FALSE)</f>
        <v>1_common law</v>
      </c>
      <c r="AO206" s="10" t="str">
        <f>VLOOKUP(MID($AS206,1,255),source_lookup!$B:$K,4,FALSE)</f>
        <v>1_not published</v>
      </c>
      <c r="AP206" s="10" t="str">
        <f>VLOOKUP(MID($AS206,1,255),source_lookup!$B:$K,6,FALSE)</f>
        <v>99_NA</v>
      </c>
      <c r="AQ206" s="10" t="str">
        <f>VLOOKUP(MID($AS206,1,255),source_lookup!$B:$K,10,FALSE)</f>
        <v>1_fin/acc/econ</v>
      </c>
      <c r="AR206" t="s">
        <v>85</v>
      </c>
      <c r="AS206" t="s">
        <v>129</v>
      </c>
    </row>
    <row r="207" spans="1:45" x14ac:dyDescent="0.3">
      <c r="A207" t="s">
        <v>5</v>
      </c>
      <c r="B207">
        <v>206</v>
      </c>
      <c r="C207" s="1">
        <v>-6.2070350981656922E-3</v>
      </c>
      <c r="D207" s="2">
        <v>289</v>
      </c>
      <c r="E207" s="4">
        <v>5492</v>
      </c>
      <c r="F207" s="4" t="s">
        <v>347</v>
      </c>
      <c r="G207" s="4" t="s">
        <v>346</v>
      </c>
      <c r="H207" t="s">
        <v>77</v>
      </c>
      <c r="I207" t="s">
        <v>350</v>
      </c>
      <c r="J207" s="3">
        <v>1990</v>
      </c>
      <c r="K207" s="3">
        <v>2008</v>
      </c>
      <c r="L207" s="6">
        <f t="shared" si="71"/>
        <v>1999</v>
      </c>
      <c r="M207" s="6">
        <f t="shared" si="72"/>
        <v>1999</v>
      </c>
      <c r="N207" s="7">
        <f t="shared" si="60"/>
        <v>0</v>
      </c>
      <c r="O207" s="7">
        <f t="shared" si="61"/>
        <v>0</v>
      </c>
      <c r="P207" s="7">
        <f t="shared" si="62"/>
        <v>0</v>
      </c>
      <c r="Q207" s="7">
        <f t="shared" si="73"/>
        <v>0</v>
      </c>
      <c r="R207" s="10" t="str">
        <f t="shared" si="63"/>
        <v>0_Pre</v>
      </c>
      <c r="S207" s="10" t="str">
        <f t="shared" si="64"/>
        <v>0_Pre</v>
      </c>
      <c r="T207" s="10" t="str">
        <f t="shared" si="65"/>
        <v>0_Pre</v>
      </c>
      <c r="U207" s="10" t="str">
        <f t="shared" si="66"/>
        <v>0_Pre</v>
      </c>
      <c r="V207" s="10" t="str">
        <f t="shared" si="74"/>
        <v>0_Pre</v>
      </c>
      <c r="W207" s="10" t="str">
        <f t="shared" si="67"/>
        <v>clean_pre</v>
      </c>
      <c r="X207" s="10" t="str">
        <f t="shared" si="68"/>
        <v>0_Pre</v>
      </c>
      <c r="Y207" s="10" t="str">
        <f t="shared" si="69"/>
        <v>0_Pre</v>
      </c>
      <c r="Z207" s="10" t="str">
        <f t="shared" si="70"/>
        <v>0_Pre</v>
      </c>
      <c r="AA207" s="10" t="str">
        <f t="shared" si="75"/>
        <v>0_Pre</v>
      </c>
      <c r="AB207" s="10" t="str">
        <f t="shared" si="76"/>
        <v>0_Pre</v>
      </c>
      <c r="AC207" s="10" t="str">
        <f t="shared" si="77"/>
        <v>0_Pre</v>
      </c>
      <c r="AD207" s="10" t="str">
        <f t="shared" si="78"/>
        <v>1_pre sample median</v>
      </c>
      <c r="AE207" s="10" t="str">
        <f t="shared" si="79"/>
        <v>1_pre sample first tertile</v>
      </c>
      <c r="AF207" t="s">
        <v>80</v>
      </c>
      <c r="AG207" t="s">
        <v>75</v>
      </c>
      <c r="AH207" t="s">
        <v>78</v>
      </c>
      <c r="AI207" t="s">
        <v>123</v>
      </c>
      <c r="AJ207" t="s">
        <v>123</v>
      </c>
      <c r="AK207" t="str">
        <f>VLOOKUP(MID($AR207,1,255),country_lookup!$B:$F,2,FALSE)</f>
        <v>1_US</v>
      </c>
      <c r="AL207" t="str">
        <f>VLOOKUP(MID($AR207,1,255),country_lookup!$B:$F,3,FALSE)</f>
        <v>1_developed</v>
      </c>
      <c r="AM207" t="str">
        <f>VLOOKUP(MID($AR207,1,255),country_lookup!$B:$F,4,FALSE)</f>
        <v>1_western</v>
      </c>
      <c r="AN207" t="str">
        <f>VLOOKUP(MID($AR207,1,255),country_lookup!$B:$F,5,FALSE)</f>
        <v>1_common law</v>
      </c>
      <c r="AO207" s="10" t="str">
        <f>VLOOKUP(MID($AS207,1,255),source_lookup!$B:$K,4,FALSE)</f>
        <v>1_not published</v>
      </c>
      <c r="AP207" s="10" t="str">
        <f>VLOOKUP(MID($AS207,1,255),source_lookup!$B:$K,6,FALSE)</f>
        <v>99_NA</v>
      </c>
      <c r="AQ207" s="10" t="str">
        <f>VLOOKUP(MID($AS207,1,255),source_lookup!$B:$K,10,FALSE)</f>
        <v>1_fin/acc/econ</v>
      </c>
      <c r="AR207" t="s">
        <v>85</v>
      </c>
      <c r="AS207" t="s">
        <v>129</v>
      </c>
    </row>
    <row r="208" spans="1:45" x14ac:dyDescent="0.3">
      <c r="A208" t="s">
        <v>5</v>
      </c>
      <c r="B208">
        <v>207</v>
      </c>
      <c r="C208" s="1">
        <v>1.8891306595374075E-3</v>
      </c>
      <c r="D208" s="2">
        <v>289</v>
      </c>
      <c r="E208" s="4">
        <v>5492</v>
      </c>
      <c r="F208" s="4" t="s">
        <v>347</v>
      </c>
      <c r="G208" s="4" t="s">
        <v>346</v>
      </c>
      <c r="H208" t="s">
        <v>77</v>
      </c>
      <c r="I208" t="s">
        <v>350</v>
      </c>
      <c r="J208" s="3">
        <v>1990</v>
      </c>
      <c r="K208" s="3">
        <v>2008</v>
      </c>
      <c r="L208" s="6">
        <f t="shared" si="71"/>
        <v>1999</v>
      </c>
      <c r="M208" s="6">
        <f t="shared" si="72"/>
        <v>1999</v>
      </c>
      <c r="N208" s="7">
        <f t="shared" si="60"/>
        <v>0</v>
      </c>
      <c r="O208" s="7">
        <f t="shared" si="61"/>
        <v>0</v>
      </c>
      <c r="P208" s="7">
        <f t="shared" si="62"/>
        <v>0</v>
      </c>
      <c r="Q208" s="7">
        <f t="shared" si="73"/>
        <v>0</v>
      </c>
      <c r="R208" s="10" t="str">
        <f t="shared" si="63"/>
        <v>0_Pre</v>
      </c>
      <c r="S208" s="10" t="str">
        <f t="shared" si="64"/>
        <v>0_Pre</v>
      </c>
      <c r="T208" s="10" t="str">
        <f t="shared" si="65"/>
        <v>0_Pre</v>
      </c>
      <c r="U208" s="10" t="str">
        <f t="shared" si="66"/>
        <v>0_Pre</v>
      </c>
      <c r="V208" s="10" t="str">
        <f t="shared" si="74"/>
        <v>0_Pre</v>
      </c>
      <c r="W208" s="10" t="str">
        <f t="shared" si="67"/>
        <v>clean_pre</v>
      </c>
      <c r="X208" s="10" t="str">
        <f t="shared" si="68"/>
        <v>0_Pre</v>
      </c>
      <c r="Y208" s="10" t="str">
        <f t="shared" si="69"/>
        <v>0_Pre</v>
      </c>
      <c r="Z208" s="10" t="str">
        <f t="shared" si="70"/>
        <v>0_Pre</v>
      </c>
      <c r="AA208" s="10" t="str">
        <f t="shared" si="75"/>
        <v>0_Pre</v>
      </c>
      <c r="AB208" s="10" t="str">
        <f t="shared" si="76"/>
        <v>0_Pre</v>
      </c>
      <c r="AC208" s="10" t="str">
        <f t="shared" si="77"/>
        <v>0_Pre</v>
      </c>
      <c r="AD208" s="10" t="str">
        <f t="shared" si="78"/>
        <v>1_pre sample median</v>
      </c>
      <c r="AE208" s="10" t="str">
        <f t="shared" si="79"/>
        <v>1_pre sample first tertile</v>
      </c>
      <c r="AF208" t="s">
        <v>80</v>
      </c>
      <c r="AG208" t="s">
        <v>75</v>
      </c>
      <c r="AH208" t="s">
        <v>78</v>
      </c>
      <c r="AI208" t="s">
        <v>123</v>
      </c>
      <c r="AJ208" t="s">
        <v>123</v>
      </c>
      <c r="AK208" t="str">
        <f>VLOOKUP(MID($AR208,1,255),country_lookup!$B:$F,2,FALSE)</f>
        <v>1_US</v>
      </c>
      <c r="AL208" t="str">
        <f>VLOOKUP(MID($AR208,1,255),country_lookup!$B:$F,3,FALSE)</f>
        <v>1_developed</v>
      </c>
      <c r="AM208" t="str">
        <f>VLOOKUP(MID($AR208,1,255),country_lookup!$B:$F,4,FALSE)</f>
        <v>1_western</v>
      </c>
      <c r="AN208" t="str">
        <f>VLOOKUP(MID($AR208,1,255),country_lookup!$B:$F,5,FALSE)</f>
        <v>1_common law</v>
      </c>
      <c r="AO208" s="10" t="str">
        <f>VLOOKUP(MID($AS208,1,255),source_lookup!$B:$K,4,FALSE)</f>
        <v>1_not published</v>
      </c>
      <c r="AP208" s="10" t="str">
        <f>VLOOKUP(MID($AS208,1,255),source_lookup!$B:$K,6,FALSE)</f>
        <v>99_NA</v>
      </c>
      <c r="AQ208" s="10" t="str">
        <f>VLOOKUP(MID($AS208,1,255),source_lookup!$B:$K,10,FALSE)</f>
        <v>1_fin/acc/econ</v>
      </c>
      <c r="AR208" t="s">
        <v>85</v>
      </c>
      <c r="AS208" t="s">
        <v>129</v>
      </c>
    </row>
    <row r="209" spans="1:45" x14ac:dyDescent="0.3">
      <c r="A209" t="s">
        <v>5</v>
      </c>
      <c r="B209">
        <v>208</v>
      </c>
      <c r="C209" s="1">
        <v>5.8022425649427939E-3</v>
      </c>
      <c r="D209" s="2">
        <v>289</v>
      </c>
      <c r="E209" s="4">
        <v>5492</v>
      </c>
      <c r="F209" s="4" t="s">
        <v>347</v>
      </c>
      <c r="G209" s="4" t="s">
        <v>346</v>
      </c>
      <c r="H209" t="s">
        <v>77</v>
      </c>
      <c r="I209" t="s">
        <v>350</v>
      </c>
      <c r="J209" s="3">
        <v>1990</v>
      </c>
      <c r="K209" s="3">
        <v>2008</v>
      </c>
      <c r="L209" s="6">
        <f t="shared" si="71"/>
        <v>1999</v>
      </c>
      <c r="M209" s="6">
        <f t="shared" si="72"/>
        <v>1999</v>
      </c>
      <c r="N209" s="7">
        <f t="shared" si="60"/>
        <v>0</v>
      </c>
      <c r="O209" s="7">
        <f t="shared" si="61"/>
        <v>0</v>
      </c>
      <c r="P209" s="7">
        <f t="shared" si="62"/>
        <v>0</v>
      </c>
      <c r="Q209" s="7">
        <f t="shared" si="73"/>
        <v>0</v>
      </c>
      <c r="R209" s="10" t="str">
        <f t="shared" si="63"/>
        <v>0_Pre</v>
      </c>
      <c r="S209" s="10" t="str">
        <f t="shared" si="64"/>
        <v>0_Pre</v>
      </c>
      <c r="T209" s="10" t="str">
        <f t="shared" si="65"/>
        <v>0_Pre</v>
      </c>
      <c r="U209" s="10" t="str">
        <f t="shared" si="66"/>
        <v>0_Pre</v>
      </c>
      <c r="V209" s="10" t="str">
        <f t="shared" si="74"/>
        <v>0_Pre</v>
      </c>
      <c r="W209" s="10" t="str">
        <f t="shared" si="67"/>
        <v>clean_pre</v>
      </c>
      <c r="X209" s="10" t="str">
        <f t="shared" si="68"/>
        <v>0_Pre</v>
      </c>
      <c r="Y209" s="10" t="str">
        <f t="shared" si="69"/>
        <v>0_Pre</v>
      </c>
      <c r="Z209" s="10" t="str">
        <f t="shared" si="70"/>
        <v>0_Pre</v>
      </c>
      <c r="AA209" s="10" t="str">
        <f t="shared" si="75"/>
        <v>0_Pre</v>
      </c>
      <c r="AB209" s="10" t="str">
        <f t="shared" si="76"/>
        <v>0_Pre</v>
      </c>
      <c r="AC209" s="10" t="str">
        <f t="shared" si="77"/>
        <v>0_Pre</v>
      </c>
      <c r="AD209" s="10" t="str">
        <f t="shared" si="78"/>
        <v>1_pre sample median</v>
      </c>
      <c r="AE209" s="10" t="str">
        <f t="shared" si="79"/>
        <v>1_pre sample first tertile</v>
      </c>
      <c r="AF209" t="s">
        <v>80</v>
      </c>
      <c r="AG209" t="s">
        <v>75</v>
      </c>
      <c r="AH209" t="s">
        <v>78</v>
      </c>
      <c r="AI209" t="s">
        <v>123</v>
      </c>
      <c r="AJ209" t="s">
        <v>123</v>
      </c>
      <c r="AK209" t="str">
        <f>VLOOKUP(MID($AR209,1,255),country_lookup!$B:$F,2,FALSE)</f>
        <v>1_US</v>
      </c>
      <c r="AL209" t="str">
        <f>VLOOKUP(MID($AR209,1,255),country_lookup!$B:$F,3,FALSE)</f>
        <v>1_developed</v>
      </c>
      <c r="AM209" t="str">
        <f>VLOOKUP(MID($AR209,1,255),country_lookup!$B:$F,4,FALSE)</f>
        <v>1_western</v>
      </c>
      <c r="AN209" t="str">
        <f>VLOOKUP(MID($AR209,1,255),country_lookup!$B:$F,5,FALSE)</f>
        <v>1_common law</v>
      </c>
      <c r="AO209" s="10" t="str">
        <f>VLOOKUP(MID($AS209,1,255),source_lookup!$B:$K,4,FALSE)</f>
        <v>1_not published</v>
      </c>
      <c r="AP209" s="10" t="str">
        <f>VLOOKUP(MID($AS209,1,255),source_lookup!$B:$K,6,FALSE)</f>
        <v>99_NA</v>
      </c>
      <c r="AQ209" s="10" t="str">
        <f>VLOOKUP(MID($AS209,1,255),source_lookup!$B:$K,10,FALSE)</f>
        <v>1_fin/acc/econ</v>
      </c>
      <c r="AR209" t="s">
        <v>85</v>
      </c>
      <c r="AS209" t="s">
        <v>129</v>
      </c>
    </row>
    <row r="210" spans="1:45" x14ac:dyDescent="0.3">
      <c r="A210" t="s">
        <v>6</v>
      </c>
      <c r="B210">
        <v>209</v>
      </c>
      <c r="C210" s="1">
        <v>-4.2218800057913501E-2</v>
      </c>
      <c r="D210" s="2">
        <v>367</v>
      </c>
      <c r="E210" s="4">
        <v>5879</v>
      </c>
      <c r="F210" s="4" t="s">
        <v>347</v>
      </c>
      <c r="G210" s="4" t="s">
        <v>346</v>
      </c>
      <c r="H210" t="s">
        <v>77</v>
      </c>
      <c r="I210" t="s">
        <v>350</v>
      </c>
      <c r="J210" s="3">
        <v>1992</v>
      </c>
      <c r="K210" s="3">
        <v>2007</v>
      </c>
      <c r="L210" s="6">
        <f t="shared" si="71"/>
        <v>1999.5</v>
      </c>
      <c r="M210" s="6">
        <f t="shared" si="72"/>
        <v>1999.5</v>
      </c>
      <c r="N210" s="7">
        <f t="shared" si="60"/>
        <v>0</v>
      </c>
      <c r="O210" s="7">
        <f t="shared" si="61"/>
        <v>0</v>
      </c>
      <c r="P210" s="7">
        <f t="shared" si="62"/>
        <v>0</v>
      </c>
      <c r="Q210" s="7">
        <f t="shared" si="73"/>
        <v>0</v>
      </c>
      <c r="R210" s="10" t="str">
        <f t="shared" si="63"/>
        <v>0_Pre</v>
      </c>
      <c r="S210" s="10" t="str">
        <f t="shared" si="64"/>
        <v>0_Pre</v>
      </c>
      <c r="T210" s="10" t="str">
        <f t="shared" si="65"/>
        <v>0_Pre</v>
      </c>
      <c r="U210" s="10" t="str">
        <f t="shared" si="66"/>
        <v>0_Pre</v>
      </c>
      <c r="V210" s="10" t="str">
        <f t="shared" si="74"/>
        <v>0_Pre</v>
      </c>
      <c r="W210" s="10" t="str">
        <f t="shared" si="67"/>
        <v>clean_pre</v>
      </c>
      <c r="X210" s="10" t="str">
        <f t="shared" si="68"/>
        <v>0_Pre</v>
      </c>
      <c r="Y210" s="10" t="str">
        <f t="shared" si="69"/>
        <v>0_Pre</v>
      </c>
      <c r="Z210" s="10" t="str">
        <f t="shared" si="70"/>
        <v>0_Pre</v>
      </c>
      <c r="AA210" s="10" t="str">
        <f t="shared" si="75"/>
        <v>0_Pre</v>
      </c>
      <c r="AB210" s="10" t="str">
        <f t="shared" si="76"/>
        <v>0_Pre</v>
      </c>
      <c r="AC210" s="10" t="str">
        <f t="shared" si="77"/>
        <v>0_Pre</v>
      </c>
      <c r="AD210" s="10" t="str">
        <f t="shared" si="78"/>
        <v>1_pre sample median</v>
      </c>
      <c r="AE210" s="10" t="str">
        <f t="shared" si="79"/>
        <v>1_pre sample first tertile</v>
      </c>
      <c r="AF210" t="s">
        <v>80</v>
      </c>
      <c r="AG210" t="s">
        <v>75</v>
      </c>
      <c r="AH210" t="s">
        <v>78</v>
      </c>
      <c r="AI210" t="s">
        <v>123</v>
      </c>
      <c r="AJ210" t="s">
        <v>123</v>
      </c>
      <c r="AK210" t="str">
        <f>VLOOKUP(MID($AR210,1,255),country_lookup!$B:$F,2,FALSE)</f>
        <v>1_US</v>
      </c>
      <c r="AL210" t="str">
        <f>VLOOKUP(MID($AR210,1,255),country_lookup!$B:$F,3,FALSE)</f>
        <v>1_developed</v>
      </c>
      <c r="AM210" t="str">
        <f>VLOOKUP(MID($AR210,1,255),country_lookup!$B:$F,4,FALSE)</f>
        <v>1_western</v>
      </c>
      <c r="AN210" t="str">
        <f>VLOOKUP(MID($AR210,1,255),country_lookup!$B:$F,5,FALSE)</f>
        <v>1_common law</v>
      </c>
      <c r="AO210" s="10" t="str">
        <f>VLOOKUP(MID($AS210,1,255),source_lookup!$B:$K,4,FALSE)</f>
        <v>0_published</v>
      </c>
      <c r="AP210" s="10" t="str">
        <f>VLOOKUP(MID($AS210,1,255),source_lookup!$B:$K,6,FALSE)</f>
        <v>1_VHB high</v>
      </c>
      <c r="AQ210" s="10" t="str">
        <f>VLOOKUP(MID($AS210,1,255),source_lookup!$B:$K,10,FALSE)</f>
        <v>3_mgmt</v>
      </c>
      <c r="AR210" t="s">
        <v>85</v>
      </c>
      <c r="AS210" t="s">
        <v>130</v>
      </c>
    </row>
    <row r="211" spans="1:45" x14ac:dyDescent="0.3">
      <c r="A211" t="s">
        <v>6</v>
      </c>
      <c r="B211">
        <v>210</v>
      </c>
      <c r="C211" s="1">
        <v>-3.9226573948233923E-2</v>
      </c>
      <c r="D211" s="2">
        <v>367</v>
      </c>
      <c r="E211" s="4">
        <v>5879</v>
      </c>
      <c r="F211" s="4" t="s">
        <v>347</v>
      </c>
      <c r="G211" s="4" t="s">
        <v>346</v>
      </c>
      <c r="H211" t="s">
        <v>77</v>
      </c>
      <c r="I211" t="s">
        <v>350</v>
      </c>
      <c r="J211" s="3">
        <v>1992</v>
      </c>
      <c r="K211" s="3">
        <v>2007</v>
      </c>
      <c r="L211" s="6">
        <f t="shared" si="71"/>
        <v>1999.5</v>
      </c>
      <c r="M211" s="6">
        <f t="shared" si="72"/>
        <v>1999.5</v>
      </c>
      <c r="N211" s="7">
        <f t="shared" si="60"/>
        <v>0</v>
      </c>
      <c r="O211" s="7">
        <f t="shared" si="61"/>
        <v>0</v>
      </c>
      <c r="P211" s="7">
        <f t="shared" si="62"/>
        <v>0</v>
      </c>
      <c r="Q211" s="7">
        <f t="shared" si="73"/>
        <v>0</v>
      </c>
      <c r="R211" s="10" t="str">
        <f t="shared" si="63"/>
        <v>0_Pre</v>
      </c>
      <c r="S211" s="10" t="str">
        <f t="shared" si="64"/>
        <v>0_Pre</v>
      </c>
      <c r="T211" s="10" t="str">
        <f t="shared" si="65"/>
        <v>0_Pre</v>
      </c>
      <c r="U211" s="10" t="str">
        <f t="shared" si="66"/>
        <v>0_Pre</v>
      </c>
      <c r="V211" s="10" t="str">
        <f t="shared" si="74"/>
        <v>0_Pre</v>
      </c>
      <c r="W211" s="10" t="str">
        <f t="shared" si="67"/>
        <v>clean_pre</v>
      </c>
      <c r="X211" s="10" t="str">
        <f t="shared" si="68"/>
        <v>0_Pre</v>
      </c>
      <c r="Y211" s="10" t="str">
        <f t="shared" si="69"/>
        <v>0_Pre</v>
      </c>
      <c r="Z211" s="10" t="str">
        <f t="shared" si="70"/>
        <v>0_Pre</v>
      </c>
      <c r="AA211" s="10" t="str">
        <f t="shared" si="75"/>
        <v>0_Pre</v>
      </c>
      <c r="AB211" s="10" t="str">
        <f t="shared" si="76"/>
        <v>0_Pre</v>
      </c>
      <c r="AC211" s="10" t="str">
        <f t="shared" si="77"/>
        <v>0_Pre</v>
      </c>
      <c r="AD211" s="10" t="str">
        <f t="shared" si="78"/>
        <v>1_pre sample median</v>
      </c>
      <c r="AE211" s="10" t="str">
        <f t="shared" si="79"/>
        <v>1_pre sample first tertile</v>
      </c>
      <c r="AF211" t="s">
        <v>80</v>
      </c>
      <c r="AG211" t="s">
        <v>75</v>
      </c>
      <c r="AH211" t="s">
        <v>78</v>
      </c>
      <c r="AI211" t="s">
        <v>123</v>
      </c>
      <c r="AJ211" t="s">
        <v>123</v>
      </c>
      <c r="AK211" t="str">
        <f>VLOOKUP(MID($AR211,1,255),country_lookup!$B:$F,2,FALSE)</f>
        <v>1_US</v>
      </c>
      <c r="AL211" t="str">
        <f>VLOOKUP(MID($AR211,1,255),country_lookup!$B:$F,3,FALSE)</f>
        <v>1_developed</v>
      </c>
      <c r="AM211" t="str">
        <f>VLOOKUP(MID($AR211,1,255),country_lookup!$B:$F,4,FALSE)</f>
        <v>1_western</v>
      </c>
      <c r="AN211" t="str">
        <f>VLOOKUP(MID($AR211,1,255),country_lookup!$B:$F,5,FALSE)</f>
        <v>1_common law</v>
      </c>
      <c r="AO211" s="10" t="str">
        <f>VLOOKUP(MID($AS211,1,255),source_lookup!$B:$K,4,FALSE)</f>
        <v>0_published</v>
      </c>
      <c r="AP211" s="10" t="str">
        <f>VLOOKUP(MID($AS211,1,255),source_lookup!$B:$K,6,FALSE)</f>
        <v>1_VHB high</v>
      </c>
      <c r="AQ211" s="10" t="str">
        <f>VLOOKUP(MID($AS211,1,255),source_lookup!$B:$K,10,FALSE)</f>
        <v>3_mgmt</v>
      </c>
      <c r="AR211" t="s">
        <v>85</v>
      </c>
      <c r="AS211" t="s">
        <v>130</v>
      </c>
    </row>
    <row r="212" spans="1:45" x14ac:dyDescent="0.3">
      <c r="A212" t="s">
        <v>6</v>
      </c>
      <c r="B212">
        <v>211</v>
      </c>
      <c r="C212" s="1">
        <v>-3.9747039177173482E-2</v>
      </c>
      <c r="D212" s="2">
        <v>367</v>
      </c>
      <c r="E212" s="4">
        <v>5879</v>
      </c>
      <c r="F212" s="4" t="s">
        <v>347</v>
      </c>
      <c r="G212" s="4" t="s">
        <v>346</v>
      </c>
      <c r="H212" t="s">
        <v>77</v>
      </c>
      <c r="I212" t="s">
        <v>350</v>
      </c>
      <c r="J212" s="3">
        <v>1992</v>
      </c>
      <c r="K212" s="3">
        <v>2007</v>
      </c>
      <c r="L212" s="6">
        <f t="shared" si="71"/>
        <v>1999.5</v>
      </c>
      <c r="M212" s="6">
        <f t="shared" si="72"/>
        <v>1999.5</v>
      </c>
      <c r="N212" s="7">
        <f t="shared" si="60"/>
        <v>0</v>
      </c>
      <c r="O212" s="7">
        <f t="shared" si="61"/>
        <v>0</v>
      </c>
      <c r="P212" s="7">
        <f t="shared" si="62"/>
        <v>0</v>
      </c>
      <c r="Q212" s="7">
        <f t="shared" si="73"/>
        <v>0</v>
      </c>
      <c r="R212" s="10" t="str">
        <f t="shared" si="63"/>
        <v>0_Pre</v>
      </c>
      <c r="S212" s="10" t="str">
        <f t="shared" si="64"/>
        <v>0_Pre</v>
      </c>
      <c r="T212" s="10" t="str">
        <f t="shared" si="65"/>
        <v>0_Pre</v>
      </c>
      <c r="U212" s="10" t="str">
        <f t="shared" si="66"/>
        <v>0_Pre</v>
      </c>
      <c r="V212" s="10" t="str">
        <f t="shared" si="74"/>
        <v>0_Pre</v>
      </c>
      <c r="W212" s="10" t="str">
        <f t="shared" si="67"/>
        <v>clean_pre</v>
      </c>
      <c r="X212" s="10" t="str">
        <f t="shared" si="68"/>
        <v>0_Pre</v>
      </c>
      <c r="Y212" s="10" t="str">
        <f t="shared" si="69"/>
        <v>0_Pre</v>
      </c>
      <c r="Z212" s="10" t="str">
        <f t="shared" si="70"/>
        <v>0_Pre</v>
      </c>
      <c r="AA212" s="10" t="str">
        <f t="shared" si="75"/>
        <v>0_Pre</v>
      </c>
      <c r="AB212" s="10" t="str">
        <f t="shared" si="76"/>
        <v>0_Pre</v>
      </c>
      <c r="AC212" s="10" t="str">
        <f t="shared" si="77"/>
        <v>0_Pre</v>
      </c>
      <c r="AD212" s="10" t="str">
        <f t="shared" si="78"/>
        <v>1_pre sample median</v>
      </c>
      <c r="AE212" s="10" t="str">
        <f t="shared" si="79"/>
        <v>1_pre sample first tertile</v>
      </c>
      <c r="AF212" t="s">
        <v>80</v>
      </c>
      <c r="AG212" t="s">
        <v>75</v>
      </c>
      <c r="AH212" t="s">
        <v>78</v>
      </c>
      <c r="AI212" t="s">
        <v>123</v>
      </c>
      <c r="AJ212" t="s">
        <v>123</v>
      </c>
      <c r="AK212" t="str">
        <f>VLOOKUP(MID($AR212,1,255),country_lookup!$B:$F,2,FALSE)</f>
        <v>1_US</v>
      </c>
      <c r="AL212" t="str">
        <f>VLOOKUP(MID($AR212,1,255),country_lookup!$B:$F,3,FALSE)</f>
        <v>1_developed</v>
      </c>
      <c r="AM212" t="str">
        <f>VLOOKUP(MID($AR212,1,255),country_lookup!$B:$F,4,FALSE)</f>
        <v>1_western</v>
      </c>
      <c r="AN212" t="str">
        <f>VLOOKUP(MID($AR212,1,255),country_lookup!$B:$F,5,FALSE)</f>
        <v>1_common law</v>
      </c>
      <c r="AO212" s="10" t="str">
        <f>VLOOKUP(MID($AS212,1,255),source_lookup!$B:$K,4,FALSE)</f>
        <v>0_published</v>
      </c>
      <c r="AP212" s="10" t="str">
        <f>VLOOKUP(MID($AS212,1,255),source_lookup!$B:$K,6,FALSE)</f>
        <v>1_VHB high</v>
      </c>
      <c r="AQ212" s="10" t="str">
        <f>VLOOKUP(MID($AS212,1,255),source_lookup!$B:$K,10,FALSE)</f>
        <v>3_mgmt</v>
      </c>
      <c r="AR212" t="s">
        <v>85</v>
      </c>
      <c r="AS212" t="s">
        <v>130</v>
      </c>
    </row>
    <row r="213" spans="1:45" x14ac:dyDescent="0.3">
      <c r="A213" t="s">
        <v>6</v>
      </c>
      <c r="B213">
        <v>212</v>
      </c>
      <c r="C213" s="1">
        <v>-4.0007259686843481E-2</v>
      </c>
      <c r="D213" s="2">
        <v>367</v>
      </c>
      <c r="E213" s="4">
        <v>5879</v>
      </c>
      <c r="F213" s="4" t="s">
        <v>347</v>
      </c>
      <c r="G213" s="4" t="s">
        <v>346</v>
      </c>
      <c r="H213" t="s">
        <v>77</v>
      </c>
      <c r="I213" t="s">
        <v>350</v>
      </c>
      <c r="J213" s="3">
        <v>1992</v>
      </c>
      <c r="K213" s="3">
        <v>2007</v>
      </c>
      <c r="L213" s="6">
        <f t="shared" si="71"/>
        <v>1999.5</v>
      </c>
      <c r="M213" s="6">
        <f t="shared" si="72"/>
        <v>1999.5</v>
      </c>
      <c r="N213" s="7">
        <f t="shared" si="60"/>
        <v>0</v>
      </c>
      <c r="O213" s="7">
        <f t="shared" si="61"/>
        <v>0</v>
      </c>
      <c r="P213" s="7">
        <f t="shared" si="62"/>
        <v>0</v>
      </c>
      <c r="Q213" s="7">
        <f t="shared" si="73"/>
        <v>0</v>
      </c>
      <c r="R213" s="10" t="str">
        <f t="shared" si="63"/>
        <v>0_Pre</v>
      </c>
      <c r="S213" s="10" t="str">
        <f t="shared" si="64"/>
        <v>0_Pre</v>
      </c>
      <c r="T213" s="10" t="str">
        <f t="shared" si="65"/>
        <v>0_Pre</v>
      </c>
      <c r="U213" s="10" t="str">
        <f t="shared" si="66"/>
        <v>0_Pre</v>
      </c>
      <c r="V213" s="10" t="str">
        <f t="shared" si="74"/>
        <v>0_Pre</v>
      </c>
      <c r="W213" s="10" t="str">
        <f t="shared" si="67"/>
        <v>clean_pre</v>
      </c>
      <c r="X213" s="10" t="str">
        <f t="shared" si="68"/>
        <v>0_Pre</v>
      </c>
      <c r="Y213" s="10" t="str">
        <f t="shared" si="69"/>
        <v>0_Pre</v>
      </c>
      <c r="Z213" s="10" t="str">
        <f t="shared" si="70"/>
        <v>0_Pre</v>
      </c>
      <c r="AA213" s="10" t="str">
        <f t="shared" si="75"/>
        <v>0_Pre</v>
      </c>
      <c r="AB213" s="10" t="str">
        <f t="shared" si="76"/>
        <v>0_Pre</v>
      </c>
      <c r="AC213" s="10" t="str">
        <f t="shared" si="77"/>
        <v>0_Pre</v>
      </c>
      <c r="AD213" s="10" t="str">
        <f t="shared" si="78"/>
        <v>1_pre sample median</v>
      </c>
      <c r="AE213" s="10" t="str">
        <f t="shared" si="79"/>
        <v>1_pre sample first tertile</v>
      </c>
      <c r="AF213" t="s">
        <v>80</v>
      </c>
      <c r="AG213" t="s">
        <v>75</v>
      </c>
      <c r="AH213" t="s">
        <v>78</v>
      </c>
      <c r="AI213" t="s">
        <v>123</v>
      </c>
      <c r="AJ213" t="s">
        <v>123</v>
      </c>
      <c r="AK213" t="str">
        <f>VLOOKUP(MID($AR213,1,255),country_lookup!$B:$F,2,FALSE)</f>
        <v>1_US</v>
      </c>
      <c r="AL213" t="str">
        <f>VLOOKUP(MID($AR213,1,255),country_lookup!$B:$F,3,FALSE)</f>
        <v>1_developed</v>
      </c>
      <c r="AM213" t="str">
        <f>VLOOKUP(MID($AR213,1,255),country_lookup!$B:$F,4,FALSE)</f>
        <v>1_western</v>
      </c>
      <c r="AN213" t="str">
        <f>VLOOKUP(MID($AR213,1,255),country_lookup!$B:$F,5,FALSE)</f>
        <v>1_common law</v>
      </c>
      <c r="AO213" s="10" t="str">
        <f>VLOOKUP(MID($AS213,1,255),source_lookup!$B:$K,4,FALSE)</f>
        <v>0_published</v>
      </c>
      <c r="AP213" s="10" t="str">
        <f>VLOOKUP(MID($AS213,1,255),source_lookup!$B:$K,6,FALSE)</f>
        <v>1_VHB high</v>
      </c>
      <c r="AQ213" s="10" t="str">
        <f>VLOOKUP(MID($AS213,1,255),source_lookup!$B:$K,10,FALSE)</f>
        <v>3_mgmt</v>
      </c>
      <c r="AR213" t="s">
        <v>85</v>
      </c>
      <c r="AS213" t="s">
        <v>130</v>
      </c>
    </row>
    <row r="214" spans="1:45" x14ac:dyDescent="0.3">
      <c r="A214" t="s">
        <v>6</v>
      </c>
      <c r="B214">
        <v>213</v>
      </c>
      <c r="C214" s="1">
        <v>-1.3823328785125346E-2</v>
      </c>
      <c r="D214" s="2">
        <v>367</v>
      </c>
      <c r="E214" s="4">
        <v>5879</v>
      </c>
      <c r="F214" s="4" t="s">
        <v>347</v>
      </c>
      <c r="G214" s="4" t="s">
        <v>346</v>
      </c>
      <c r="H214" t="s">
        <v>77</v>
      </c>
      <c r="I214" t="s">
        <v>350</v>
      </c>
      <c r="J214" s="3">
        <v>1992</v>
      </c>
      <c r="K214" s="3">
        <v>2007</v>
      </c>
      <c r="L214" s="6">
        <f t="shared" si="71"/>
        <v>1999.5</v>
      </c>
      <c r="M214" s="6">
        <f t="shared" si="72"/>
        <v>1999.5</v>
      </c>
      <c r="N214" s="7">
        <f t="shared" si="60"/>
        <v>0</v>
      </c>
      <c r="O214" s="7">
        <f t="shared" si="61"/>
        <v>0</v>
      </c>
      <c r="P214" s="7">
        <f t="shared" si="62"/>
        <v>0</v>
      </c>
      <c r="Q214" s="7">
        <f t="shared" si="73"/>
        <v>0</v>
      </c>
      <c r="R214" s="10" t="str">
        <f t="shared" si="63"/>
        <v>0_Pre</v>
      </c>
      <c r="S214" s="10" t="str">
        <f t="shared" si="64"/>
        <v>0_Pre</v>
      </c>
      <c r="T214" s="10" t="str">
        <f t="shared" si="65"/>
        <v>0_Pre</v>
      </c>
      <c r="U214" s="10" t="str">
        <f t="shared" si="66"/>
        <v>0_Pre</v>
      </c>
      <c r="V214" s="10" t="str">
        <f t="shared" si="74"/>
        <v>0_Pre</v>
      </c>
      <c r="W214" s="10" t="str">
        <f t="shared" si="67"/>
        <v>clean_pre</v>
      </c>
      <c r="X214" s="10" t="str">
        <f t="shared" si="68"/>
        <v>0_Pre</v>
      </c>
      <c r="Y214" s="10" t="str">
        <f t="shared" si="69"/>
        <v>0_Pre</v>
      </c>
      <c r="Z214" s="10" t="str">
        <f t="shared" si="70"/>
        <v>0_Pre</v>
      </c>
      <c r="AA214" s="10" t="str">
        <f t="shared" si="75"/>
        <v>0_Pre</v>
      </c>
      <c r="AB214" s="10" t="str">
        <f t="shared" si="76"/>
        <v>0_Pre</v>
      </c>
      <c r="AC214" s="10" t="str">
        <f t="shared" si="77"/>
        <v>0_Pre</v>
      </c>
      <c r="AD214" s="10" t="str">
        <f t="shared" si="78"/>
        <v>1_pre sample median</v>
      </c>
      <c r="AE214" s="10" t="str">
        <f t="shared" si="79"/>
        <v>1_pre sample first tertile</v>
      </c>
      <c r="AF214" t="s">
        <v>80</v>
      </c>
      <c r="AG214" t="s">
        <v>75</v>
      </c>
      <c r="AH214" t="s">
        <v>78</v>
      </c>
      <c r="AI214" t="s">
        <v>123</v>
      </c>
      <c r="AJ214" t="s">
        <v>123</v>
      </c>
      <c r="AK214" t="str">
        <f>VLOOKUP(MID($AR214,1,255),country_lookup!$B:$F,2,FALSE)</f>
        <v>1_US</v>
      </c>
      <c r="AL214" t="str">
        <f>VLOOKUP(MID($AR214,1,255),country_lookup!$B:$F,3,FALSE)</f>
        <v>1_developed</v>
      </c>
      <c r="AM214" t="str">
        <f>VLOOKUP(MID($AR214,1,255),country_lookup!$B:$F,4,FALSE)</f>
        <v>1_western</v>
      </c>
      <c r="AN214" t="str">
        <f>VLOOKUP(MID($AR214,1,255),country_lookup!$B:$F,5,FALSE)</f>
        <v>1_common law</v>
      </c>
      <c r="AO214" s="10" t="str">
        <f>VLOOKUP(MID($AS214,1,255),source_lookup!$B:$K,4,FALSE)</f>
        <v>0_published</v>
      </c>
      <c r="AP214" s="10" t="str">
        <f>VLOOKUP(MID($AS214,1,255),source_lookup!$B:$K,6,FALSE)</f>
        <v>1_VHB high</v>
      </c>
      <c r="AQ214" s="10" t="str">
        <f>VLOOKUP(MID($AS214,1,255),source_lookup!$B:$K,10,FALSE)</f>
        <v>3_mgmt</v>
      </c>
      <c r="AR214" t="s">
        <v>85</v>
      </c>
      <c r="AS214" t="s">
        <v>130</v>
      </c>
    </row>
    <row r="215" spans="1:45" x14ac:dyDescent="0.3">
      <c r="A215" t="s">
        <v>6</v>
      </c>
      <c r="B215">
        <v>214</v>
      </c>
      <c r="C215" s="1">
        <v>-1.7082687206888769E-2</v>
      </c>
      <c r="D215" s="2">
        <v>367</v>
      </c>
      <c r="E215" s="4">
        <v>5879</v>
      </c>
      <c r="F215" s="4" t="s">
        <v>347</v>
      </c>
      <c r="G215" s="4" t="s">
        <v>346</v>
      </c>
      <c r="H215" t="s">
        <v>77</v>
      </c>
      <c r="I215" t="s">
        <v>350</v>
      </c>
      <c r="J215" s="3">
        <v>1992</v>
      </c>
      <c r="K215" s="3">
        <v>2007</v>
      </c>
      <c r="L215" s="6">
        <f t="shared" si="71"/>
        <v>1999.5</v>
      </c>
      <c r="M215" s="6">
        <f t="shared" si="72"/>
        <v>1999.5</v>
      </c>
      <c r="N215" s="7">
        <f t="shared" si="60"/>
        <v>0</v>
      </c>
      <c r="O215" s="7">
        <f t="shared" si="61"/>
        <v>0</v>
      </c>
      <c r="P215" s="7">
        <f t="shared" si="62"/>
        <v>0</v>
      </c>
      <c r="Q215" s="7">
        <f t="shared" si="73"/>
        <v>0</v>
      </c>
      <c r="R215" s="10" t="str">
        <f t="shared" si="63"/>
        <v>0_Pre</v>
      </c>
      <c r="S215" s="10" t="str">
        <f t="shared" si="64"/>
        <v>0_Pre</v>
      </c>
      <c r="T215" s="10" t="str">
        <f t="shared" si="65"/>
        <v>0_Pre</v>
      </c>
      <c r="U215" s="10" t="str">
        <f t="shared" si="66"/>
        <v>0_Pre</v>
      </c>
      <c r="V215" s="10" t="str">
        <f t="shared" si="74"/>
        <v>0_Pre</v>
      </c>
      <c r="W215" s="10" t="str">
        <f t="shared" si="67"/>
        <v>clean_pre</v>
      </c>
      <c r="X215" s="10" t="str">
        <f t="shared" si="68"/>
        <v>0_Pre</v>
      </c>
      <c r="Y215" s="10" t="str">
        <f t="shared" si="69"/>
        <v>0_Pre</v>
      </c>
      <c r="Z215" s="10" t="str">
        <f t="shared" si="70"/>
        <v>0_Pre</v>
      </c>
      <c r="AA215" s="10" t="str">
        <f t="shared" si="75"/>
        <v>0_Pre</v>
      </c>
      <c r="AB215" s="10" t="str">
        <f t="shared" si="76"/>
        <v>0_Pre</v>
      </c>
      <c r="AC215" s="10" t="str">
        <f t="shared" si="77"/>
        <v>0_Pre</v>
      </c>
      <c r="AD215" s="10" t="str">
        <f t="shared" si="78"/>
        <v>1_pre sample median</v>
      </c>
      <c r="AE215" s="10" t="str">
        <f t="shared" si="79"/>
        <v>1_pre sample first tertile</v>
      </c>
      <c r="AF215" t="s">
        <v>80</v>
      </c>
      <c r="AG215" t="s">
        <v>75</v>
      </c>
      <c r="AH215" t="s">
        <v>78</v>
      </c>
      <c r="AI215" t="s">
        <v>123</v>
      </c>
      <c r="AJ215" t="s">
        <v>123</v>
      </c>
      <c r="AK215" t="str">
        <f>VLOOKUP(MID($AR215,1,255),country_lookup!$B:$F,2,FALSE)</f>
        <v>1_US</v>
      </c>
      <c r="AL215" t="str">
        <f>VLOOKUP(MID($AR215,1,255),country_lookup!$B:$F,3,FALSE)</f>
        <v>1_developed</v>
      </c>
      <c r="AM215" t="str">
        <f>VLOOKUP(MID($AR215,1,255),country_lookup!$B:$F,4,FALSE)</f>
        <v>1_western</v>
      </c>
      <c r="AN215" t="str">
        <f>VLOOKUP(MID($AR215,1,255),country_lookup!$B:$F,5,FALSE)</f>
        <v>1_common law</v>
      </c>
      <c r="AO215" s="10" t="str">
        <f>VLOOKUP(MID($AS215,1,255),source_lookup!$B:$K,4,FALSE)</f>
        <v>0_published</v>
      </c>
      <c r="AP215" s="10" t="str">
        <f>VLOOKUP(MID($AS215,1,255),source_lookup!$B:$K,6,FALSE)</f>
        <v>1_VHB high</v>
      </c>
      <c r="AQ215" s="10" t="str">
        <f>VLOOKUP(MID($AS215,1,255),source_lookup!$B:$K,10,FALSE)</f>
        <v>3_mgmt</v>
      </c>
      <c r="AR215" t="s">
        <v>85</v>
      </c>
      <c r="AS215" t="s">
        <v>130</v>
      </c>
    </row>
    <row r="216" spans="1:45" x14ac:dyDescent="0.3">
      <c r="A216" t="s">
        <v>6</v>
      </c>
      <c r="B216">
        <v>215</v>
      </c>
      <c r="C216" s="1">
        <v>1.8865111121186866E-2</v>
      </c>
      <c r="D216" s="2">
        <v>288</v>
      </c>
      <c r="E216" s="4">
        <v>4602</v>
      </c>
      <c r="F216" s="4" t="s">
        <v>347</v>
      </c>
      <c r="G216" s="4" t="s">
        <v>346</v>
      </c>
      <c r="H216" t="s">
        <v>77</v>
      </c>
      <c r="I216" t="s">
        <v>350</v>
      </c>
      <c r="J216" s="3">
        <v>1992</v>
      </c>
      <c r="K216" s="3">
        <v>2007</v>
      </c>
      <c r="L216" s="6">
        <f t="shared" si="71"/>
        <v>1999.5</v>
      </c>
      <c r="M216" s="6">
        <f t="shared" si="72"/>
        <v>1999.5</v>
      </c>
      <c r="N216" s="7">
        <f t="shared" si="60"/>
        <v>0</v>
      </c>
      <c r="O216" s="7">
        <f t="shared" si="61"/>
        <v>0</v>
      </c>
      <c r="P216" s="7">
        <f t="shared" si="62"/>
        <v>0</v>
      </c>
      <c r="Q216" s="7">
        <f t="shared" si="73"/>
        <v>0</v>
      </c>
      <c r="R216" s="10" t="str">
        <f t="shared" si="63"/>
        <v>0_Pre</v>
      </c>
      <c r="S216" s="10" t="str">
        <f t="shared" si="64"/>
        <v>0_Pre</v>
      </c>
      <c r="T216" s="10" t="str">
        <f t="shared" si="65"/>
        <v>0_Pre</v>
      </c>
      <c r="U216" s="10" t="str">
        <f t="shared" si="66"/>
        <v>0_Pre</v>
      </c>
      <c r="V216" s="10" t="str">
        <f t="shared" si="74"/>
        <v>0_Pre</v>
      </c>
      <c r="W216" s="10" t="str">
        <f t="shared" si="67"/>
        <v>clean_pre</v>
      </c>
      <c r="X216" s="10" t="str">
        <f t="shared" si="68"/>
        <v>0_Pre</v>
      </c>
      <c r="Y216" s="10" t="str">
        <f t="shared" si="69"/>
        <v>0_Pre</v>
      </c>
      <c r="Z216" s="10" t="str">
        <f t="shared" si="70"/>
        <v>0_Pre</v>
      </c>
      <c r="AA216" s="10" t="str">
        <f t="shared" si="75"/>
        <v>0_Pre</v>
      </c>
      <c r="AB216" s="10" t="str">
        <f t="shared" si="76"/>
        <v>0_Pre</v>
      </c>
      <c r="AC216" s="10" t="str">
        <f t="shared" si="77"/>
        <v>0_Pre</v>
      </c>
      <c r="AD216" s="10" t="str">
        <f t="shared" si="78"/>
        <v>1_pre sample median</v>
      </c>
      <c r="AE216" s="10" t="str">
        <f t="shared" si="79"/>
        <v>1_pre sample first tertile</v>
      </c>
      <c r="AF216" t="s">
        <v>80</v>
      </c>
      <c r="AG216" t="s">
        <v>75</v>
      </c>
      <c r="AH216" t="s">
        <v>78</v>
      </c>
      <c r="AI216" t="s">
        <v>123</v>
      </c>
      <c r="AJ216" t="s">
        <v>123</v>
      </c>
      <c r="AK216" t="str">
        <f>VLOOKUP(MID($AR216,1,255),country_lookup!$B:$F,2,FALSE)</f>
        <v>1_US</v>
      </c>
      <c r="AL216" t="str">
        <f>VLOOKUP(MID($AR216,1,255),country_lookup!$B:$F,3,FALSE)</f>
        <v>1_developed</v>
      </c>
      <c r="AM216" t="str">
        <f>VLOOKUP(MID($AR216,1,255),country_lookup!$B:$F,4,FALSE)</f>
        <v>1_western</v>
      </c>
      <c r="AN216" t="str">
        <f>VLOOKUP(MID($AR216,1,255),country_lookup!$B:$F,5,FALSE)</f>
        <v>1_common law</v>
      </c>
      <c r="AO216" s="10" t="str">
        <f>VLOOKUP(MID($AS216,1,255),source_lookup!$B:$K,4,FALSE)</f>
        <v>0_published</v>
      </c>
      <c r="AP216" s="10" t="str">
        <f>VLOOKUP(MID($AS216,1,255),source_lookup!$B:$K,6,FALSE)</f>
        <v>1_VHB high</v>
      </c>
      <c r="AQ216" s="10" t="str">
        <f>VLOOKUP(MID($AS216,1,255),source_lookup!$B:$K,10,FALSE)</f>
        <v>3_mgmt</v>
      </c>
      <c r="AR216" t="s">
        <v>85</v>
      </c>
      <c r="AS216" t="s">
        <v>130</v>
      </c>
    </row>
    <row r="217" spans="1:45" x14ac:dyDescent="0.3">
      <c r="A217" t="s">
        <v>6</v>
      </c>
      <c r="B217">
        <v>216</v>
      </c>
      <c r="C217" s="1">
        <v>9.1390329895222975E-3</v>
      </c>
      <c r="D217" s="2">
        <v>288</v>
      </c>
      <c r="E217" s="4">
        <v>4602</v>
      </c>
      <c r="F217" s="4" t="s">
        <v>347</v>
      </c>
      <c r="G217" s="4" t="s">
        <v>346</v>
      </c>
      <c r="H217" t="s">
        <v>77</v>
      </c>
      <c r="I217" t="s">
        <v>350</v>
      </c>
      <c r="J217" s="3">
        <v>1992</v>
      </c>
      <c r="K217" s="3">
        <v>2007</v>
      </c>
      <c r="L217" s="6">
        <f t="shared" si="71"/>
        <v>1999.5</v>
      </c>
      <c r="M217" s="6">
        <f t="shared" si="72"/>
        <v>1999.5</v>
      </c>
      <c r="N217" s="7">
        <f t="shared" si="60"/>
        <v>0</v>
      </c>
      <c r="O217" s="7">
        <f t="shared" si="61"/>
        <v>0</v>
      </c>
      <c r="P217" s="7">
        <f t="shared" si="62"/>
        <v>0</v>
      </c>
      <c r="Q217" s="7">
        <f t="shared" si="73"/>
        <v>0</v>
      </c>
      <c r="R217" s="10" t="str">
        <f t="shared" si="63"/>
        <v>0_Pre</v>
      </c>
      <c r="S217" s="10" t="str">
        <f t="shared" si="64"/>
        <v>0_Pre</v>
      </c>
      <c r="T217" s="10" t="str">
        <f t="shared" si="65"/>
        <v>0_Pre</v>
      </c>
      <c r="U217" s="10" t="str">
        <f t="shared" si="66"/>
        <v>0_Pre</v>
      </c>
      <c r="V217" s="10" t="str">
        <f t="shared" si="74"/>
        <v>0_Pre</v>
      </c>
      <c r="W217" s="10" t="str">
        <f t="shared" si="67"/>
        <v>clean_pre</v>
      </c>
      <c r="X217" s="10" t="str">
        <f t="shared" si="68"/>
        <v>0_Pre</v>
      </c>
      <c r="Y217" s="10" t="str">
        <f t="shared" si="69"/>
        <v>0_Pre</v>
      </c>
      <c r="Z217" s="10" t="str">
        <f t="shared" si="70"/>
        <v>0_Pre</v>
      </c>
      <c r="AA217" s="10" t="str">
        <f t="shared" si="75"/>
        <v>0_Pre</v>
      </c>
      <c r="AB217" s="10" t="str">
        <f t="shared" si="76"/>
        <v>0_Pre</v>
      </c>
      <c r="AC217" s="10" t="str">
        <f t="shared" si="77"/>
        <v>0_Pre</v>
      </c>
      <c r="AD217" s="10" t="str">
        <f t="shared" si="78"/>
        <v>1_pre sample median</v>
      </c>
      <c r="AE217" s="10" t="str">
        <f t="shared" si="79"/>
        <v>1_pre sample first tertile</v>
      </c>
      <c r="AF217" t="s">
        <v>80</v>
      </c>
      <c r="AG217" t="s">
        <v>75</v>
      </c>
      <c r="AH217" t="s">
        <v>78</v>
      </c>
      <c r="AI217" t="s">
        <v>123</v>
      </c>
      <c r="AJ217" t="s">
        <v>123</v>
      </c>
      <c r="AK217" t="str">
        <f>VLOOKUP(MID($AR217,1,255),country_lookup!$B:$F,2,FALSE)</f>
        <v>1_US</v>
      </c>
      <c r="AL217" t="str">
        <f>VLOOKUP(MID($AR217,1,255),country_lookup!$B:$F,3,FALSE)</f>
        <v>1_developed</v>
      </c>
      <c r="AM217" t="str">
        <f>VLOOKUP(MID($AR217,1,255),country_lookup!$B:$F,4,FALSE)</f>
        <v>1_western</v>
      </c>
      <c r="AN217" t="str">
        <f>VLOOKUP(MID($AR217,1,255),country_lookup!$B:$F,5,FALSE)</f>
        <v>1_common law</v>
      </c>
      <c r="AO217" s="10" t="str">
        <f>VLOOKUP(MID($AS217,1,255),source_lookup!$B:$K,4,FALSE)</f>
        <v>0_published</v>
      </c>
      <c r="AP217" s="10" t="str">
        <f>VLOOKUP(MID($AS217,1,255),source_lookup!$B:$K,6,FALSE)</f>
        <v>1_VHB high</v>
      </c>
      <c r="AQ217" s="10" t="str">
        <f>VLOOKUP(MID($AS217,1,255),source_lookup!$B:$K,10,FALSE)</f>
        <v>3_mgmt</v>
      </c>
      <c r="AR217" t="s">
        <v>85</v>
      </c>
      <c r="AS217" t="s">
        <v>130</v>
      </c>
    </row>
    <row r="218" spans="1:45" x14ac:dyDescent="0.3">
      <c r="A218" t="s">
        <v>6</v>
      </c>
      <c r="B218">
        <v>217</v>
      </c>
      <c r="C218" s="1">
        <v>-3.5712619637847665E-2</v>
      </c>
      <c r="D218" s="2">
        <v>367</v>
      </c>
      <c r="E218" s="4">
        <v>5879</v>
      </c>
      <c r="F218" s="4" t="s">
        <v>347</v>
      </c>
      <c r="G218" s="4" t="s">
        <v>346</v>
      </c>
      <c r="H218" t="s">
        <v>77</v>
      </c>
      <c r="I218" t="s">
        <v>350</v>
      </c>
      <c r="J218" s="3">
        <v>1992</v>
      </c>
      <c r="K218" s="3">
        <v>2007</v>
      </c>
      <c r="L218" s="6">
        <f t="shared" si="71"/>
        <v>1999.5</v>
      </c>
      <c r="M218" s="6">
        <f t="shared" si="72"/>
        <v>1999.5</v>
      </c>
      <c r="N218" s="7">
        <f t="shared" si="60"/>
        <v>0</v>
      </c>
      <c r="O218" s="7">
        <f t="shared" si="61"/>
        <v>0</v>
      </c>
      <c r="P218" s="7">
        <f t="shared" si="62"/>
        <v>0</v>
      </c>
      <c r="Q218" s="7">
        <f t="shared" si="73"/>
        <v>0</v>
      </c>
      <c r="R218" s="10" t="str">
        <f t="shared" si="63"/>
        <v>0_Pre</v>
      </c>
      <c r="S218" s="10" t="str">
        <f t="shared" si="64"/>
        <v>0_Pre</v>
      </c>
      <c r="T218" s="10" t="str">
        <f t="shared" si="65"/>
        <v>0_Pre</v>
      </c>
      <c r="U218" s="10" t="str">
        <f t="shared" si="66"/>
        <v>0_Pre</v>
      </c>
      <c r="V218" s="10" t="str">
        <f t="shared" si="74"/>
        <v>0_Pre</v>
      </c>
      <c r="W218" s="10" t="str">
        <f t="shared" si="67"/>
        <v>clean_pre</v>
      </c>
      <c r="X218" s="10" t="str">
        <f t="shared" si="68"/>
        <v>0_Pre</v>
      </c>
      <c r="Y218" s="10" t="str">
        <f t="shared" si="69"/>
        <v>0_Pre</v>
      </c>
      <c r="Z218" s="10" t="str">
        <f t="shared" si="70"/>
        <v>0_Pre</v>
      </c>
      <c r="AA218" s="10" t="str">
        <f t="shared" si="75"/>
        <v>0_Pre</v>
      </c>
      <c r="AB218" s="10" t="str">
        <f t="shared" si="76"/>
        <v>0_Pre</v>
      </c>
      <c r="AC218" s="10" t="str">
        <f t="shared" si="77"/>
        <v>0_Pre</v>
      </c>
      <c r="AD218" s="10" t="str">
        <f t="shared" si="78"/>
        <v>1_pre sample median</v>
      </c>
      <c r="AE218" s="10" t="str">
        <f t="shared" si="79"/>
        <v>1_pre sample first tertile</v>
      </c>
      <c r="AF218" t="s">
        <v>80</v>
      </c>
      <c r="AG218" t="s">
        <v>75</v>
      </c>
      <c r="AH218" t="s">
        <v>78</v>
      </c>
      <c r="AI218" t="s">
        <v>123</v>
      </c>
      <c r="AJ218" t="s">
        <v>123</v>
      </c>
      <c r="AK218" t="str">
        <f>VLOOKUP(MID($AR218,1,255),country_lookup!$B:$F,2,FALSE)</f>
        <v>1_US</v>
      </c>
      <c r="AL218" t="str">
        <f>VLOOKUP(MID($AR218,1,255),country_lookup!$B:$F,3,FALSE)</f>
        <v>1_developed</v>
      </c>
      <c r="AM218" t="str">
        <f>VLOOKUP(MID($AR218,1,255),country_lookup!$B:$F,4,FALSE)</f>
        <v>1_western</v>
      </c>
      <c r="AN218" t="str">
        <f>VLOOKUP(MID($AR218,1,255),country_lookup!$B:$F,5,FALSE)</f>
        <v>1_common law</v>
      </c>
      <c r="AO218" s="10" t="str">
        <f>VLOOKUP(MID($AS218,1,255),source_lookup!$B:$K,4,FALSE)</f>
        <v>0_published</v>
      </c>
      <c r="AP218" s="10" t="str">
        <f>VLOOKUP(MID($AS218,1,255),source_lookup!$B:$K,6,FALSE)</f>
        <v>1_VHB high</v>
      </c>
      <c r="AQ218" s="10" t="str">
        <f>VLOOKUP(MID($AS218,1,255),source_lookup!$B:$K,10,FALSE)</f>
        <v>3_mgmt</v>
      </c>
      <c r="AR218" t="s">
        <v>85</v>
      </c>
      <c r="AS218" t="s">
        <v>130</v>
      </c>
    </row>
    <row r="219" spans="1:45" x14ac:dyDescent="0.3">
      <c r="A219" t="s">
        <v>6</v>
      </c>
      <c r="B219">
        <v>218</v>
      </c>
      <c r="C219" s="1">
        <v>-3.5972959585388084E-2</v>
      </c>
      <c r="D219" s="2">
        <v>367</v>
      </c>
      <c r="E219" s="4">
        <v>5879</v>
      </c>
      <c r="F219" s="4" t="s">
        <v>347</v>
      </c>
      <c r="G219" s="4" t="s">
        <v>346</v>
      </c>
      <c r="H219" t="s">
        <v>77</v>
      </c>
      <c r="I219" t="s">
        <v>350</v>
      </c>
      <c r="J219" s="3">
        <v>1992</v>
      </c>
      <c r="K219" s="3">
        <v>2007</v>
      </c>
      <c r="L219" s="6">
        <f t="shared" si="71"/>
        <v>1999.5</v>
      </c>
      <c r="M219" s="6">
        <f t="shared" si="72"/>
        <v>1999.5</v>
      </c>
      <c r="N219" s="7">
        <f t="shared" si="60"/>
        <v>0</v>
      </c>
      <c r="O219" s="7">
        <f t="shared" si="61"/>
        <v>0</v>
      </c>
      <c r="P219" s="7">
        <f t="shared" si="62"/>
        <v>0</v>
      </c>
      <c r="Q219" s="7">
        <f t="shared" si="73"/>
        <v>0</v>
      </c>
      <c r="R219" s="10" t="str">
        <f t="shared" si="63"/>
        <v>0_Pre</v>
      </c>
      <c r="S219" s="10" t="str">
        <f t="shared" si="64"/>
        <v>0_Pre</v>
      </c>
      <c r="T219" s="10" t="str">
        <f t="shared" si="65"/>
        <v>0_Pre</v>
      </c>
      <c r="U219" s="10" t="str">
        <f t="shared" si="66"/>
        <v>0_Pre</v>
      </c>
      <c r="V219" s="10" t="str">
        <f t="shared" si="74"/>
        <v>0_Pre</v>
      </c>
      <c r="W219" s="10" t="str">
        <f t="shared" si="67"/>
        <v>clean_pre</v>
      </c>
      <c r="X219" s="10" t="str">
        <f t="shared" si="68"/>
        <v>0_Pre</v>
      </c>
      <c r="Y219" s="10" t="str">
        <f t="shared" si="69"/>
        <v>0_Pre</v>
      </c>
      <c r="Z219" s="10" t="str">
        <f t="shared" si="70"/>
        <v>0_Pre</v>
      </c>
      <c r="AA219" s="10" t="str">
        <f t="shared" si="75"/>
        <v>0_Pre</v>
      </c>
      <c r="AB219" s="10" t="str">
        <f t="shared" si="76"/>
        <v>0_Pre</v>
      </c>
      <c r="AC219" s="10" t="str">
        <f t="shared" si="77"/>
        <v>0_Pre</v>
      </c>
      <c r="AD219" s="10" t="str">
        <f t="shared" si="78"/>
        <v>1_pre sample median</v>
      </c>
      <c r="AE219" s="10" t="str">
        <f t="shared" si="79"/>
        <v>1_pre sample first tertile</v>
      </c>
      <c r="AF219" t="s">
        <v>80</v>
      </c>
      <c r="AG219" t="s">
        <v>75</v>
      </c>
      <c r="AH219" t="s">
        <v>78</v>
      </c>
      <c r="AI219" t="s">
        <v>123</v>
      </c>
      <c r="AJ219" t="s">
        <v>123</v>
      </c>
      <c r="AK219" t="str">
        <f>VLOOKUP(MID($AR219,1,255),country_lookup!$B:$F,2,FALSE)</f>
        <v>1_US</v>
      </c>
      <c r="AL219" t="str">
        <f>VLOOKUP(MID($AR219,1,255),country_lookup!$B:$F,3,FALSE)</f>
        <v>1_developed</v>
      </c>
      <c r="AM219" t="str">
        <f>VLOOKUP(MID($AR219,1,255),country_lookup!$B:$F,4,FALSE)</f>
        <v>1_western</v>
      </c>
      <c r="AN219" t="str">
        <f>VLOOKUP(MID($AR219,1,255),country_lookup!$B:$F,5,FALSE)</f>
        <v>1_common law</v>
      </c>
      <c r="AO219" s="10" t="str">
        <f>VLOOKUP(MID($AS219,1,255),source_lookup!$B:$K,4,FALSE)</f>
        <v>0_published</v>
      </c>
      <c r="AP219" s="10" t="str">
        <f>VLOOKUP(MID($AS219,1,255),source_lookup!$B:$K,6,FALSE)</f>
        <v>1_VHB high</v>
      </c>
      <c r="AQ219" s="10" t="str">
        <f>VLOOKUP(MID($AS219,1,255),source_lookup!$B:$K,10,FALSE)</f>
        <v>3_mgmt</v>
      </c>
      <c r="AR219" t="s">
        <v>85</v>
      </c>
      <c r="AS219" t="s">
        <v>130</v>
      </c>
    </row>
    <row r="220" spans="1:45" x14ac:dyDescent="0.3">
      <c r="A220" t="s">
        <v>6</v>
      </c>
      <c r="B220">
        <v>219</v>
      </c>
      <c r="C220" s="1">
        <v>-2.4772427868134474E-2</v>
      </c>
      <c r="D220" s="2">
        <v>367</v>
      </c>
      <c r="E220" s="4">
        <v>5879</v>
      </c>
      <c r="F220" s="4" t="s">
        <v>347</v>
      </c>
      <c r="G220" s="4" t="s">
        <v>346</v>
      </c>
      <c r="H220" t="s">
        <v>77</v>
      </c>
      <c r="I220" t="s">
        <v>350</v>
      </c>
      <c r="J220" s="3">
        <v>1992</v>
      </c>
      <c r="K220" s="3">
        <v>2007</v>
      </c>
      <c r="L220" s="6">
        <f t="shared" si="71"/>
        <v>1999.5</v>
      </c>
      <c r="M220" s="6">
        <f t="shared" si="72"/>
        <v>1999.5</v>
      </c>
      <c r="N220" s="7">
        <f t="shared" si="60"/>
        <v>0</v>
      </c>
      <c r="O220" s="7">
        <f t="shared" si="61"/>
        <v>0</v>
      </c>
      <c r="P220" s="7">
        <f t="shared" si="62"/>
        <v>0</v>
      </c>
      <c r="Q220" s="7">
        <f t="shared" si="73"/>
        <v>0</v>
      </c>
      <c r="R220" s="10" t="str">
        <f t="shared" si="63"/>
        <v>0_Pre</v>
      </c>
      <c r="S220" s="10" t="str">
        <f t="shared" si="64"/>
        <v>0_Pre</v>
      </c>
      <c r="T220" s="10" t="str">
        <f t="shared" si="65"/>
        <v>0_Pre</v>
      </c>
      <c r="U220" s="10" t="str">
        <f t="shared" si="66"/>
        <v>0_Pre</v>
      </c>
      <c r="V220" s="10" t="str">
        <f t="shared" si="74"/>
        <v>0_Pre</v>
      </c>
      <c r="W220" s="10" t="str">
        <f t="shared" si="67"/>
        <v>clean_pre</v>
      </c>
      <c r="X220" s="10" t="str">
        <f t="shared" si="68"/>
        <v>0_Pre</v>
      </c>
      <c r="Y220" s="10" t="str">
        <f t="shared" si="69"/>
        <v>0_Pre</v>
      </c>
      <c r="Z220" s="10" t="str">
        <f t="shared" si="70"/>
        <v>0_Pre</v>
      </c>
      <c r="AA220" s="10" t="str">
        <f t="shared" si="75"/>
        <v>0_Pre</v>
      </c>
      <c r="AB220" s="10" t="str">
        <f t="shared" si="76"/>
        <v>0_Pre</v>
      </c>
      <c r="AC220" s="10" t="str">
        <f t="shared" si="77"/>
        <v>0_Pre</v>
      </c>
      <c r="AD220" s="10" t="str">
        <f t="shared" si="78"/>
        <v>1_pre sample median</v>
      </c>
      <c r="AE220" s="10" t="str">
        <f t="shared" si="79"/>
        <v>1_pre sample first tertile</v>
      </c>
      <c r="AF220" t="s">
        <v>80</v>
      </c>
      <c r="AG220" t="s">
        <v>75</v>
      </c>
      <c r="AH220" t="s">
        <v>78</v>
      </c>
      <c r="AI220" t="s">
        <v>123</v>
      </c>
      <c r="AJ220" t="s">
        <v>123</v>
      </c>
      <c r="AK220" t="str">
        <f>VLOOKUP(MID($AR220,1,255),country_lookup!$B:$F,2,FALSE)</f>
        <v>1_US</v>
      </c>
      <c r="AL220" t="str">
        <f>VLOOKUP(MID($AR220,1,255),country_lookup!$B:$F,3,FALSE)</f>
        <v>1_developed</v>
      </c>
      <c r="AM220" t="str">
        <f>VLOOKUP(MID($AR220,1,255),country_lookup!$B:$F,4,FALSE)</f>
        <v>1_western</v>
      </c>
      <c r="AN220" t="str">
        <f>VLOOKUP(MID($AR220,1,255),country_lookup!$B:$F,5,FALSE)</f>
        <v>1_common law</v>
      </c>
      <c r="AO220" s="10" t="str">
        <f>VLOOKUP(MID($AS220,1,255),source_lookup!$B:$K,4,FALSE)</f>
        <v>0_published</v>
      </c>
      <c r="AP220" s="10" t="str">
        <f>VLOOKUP(MID($AS220,1,255),source_lookup!$B:$K,6,FALSE)</f>
        <v>1_VHB high</v>
      </c>
      <c r="AQ220" s="10" t="str">
        <f>VLOOKUP(MID($AS220,1,255),source_lookup!$B:$K,10,FALSE)</f>
        <v>3_mgmt</v>
      </c>
      <c r="AR220" t="s">
        <v>85</v>
      </c>
      <c r="AS220" t="s">
        <v>130</v>
      </c>
    </row>
    <row r="221" spans="1:45" x14ac:dyDescent="0.3">
      <c r="A221" t="s">
        <v>6</v>
      </c>
      <c r="B221">
        <v>220</v>
      </c>
      <c r="C221" s="1">
        <v>-3.076483931057505E-2</v>
      </c>
      <c r="D221" s="2">
        <v>367</v>
      </c>
      <c r="E221" s="4">
        <v>5879</v>
      </c>
      <c r="F221" s="4" t="s">
        <v>347</v>
      </c>
      <c r="G221" s="4" t="s">
        <v>346</v>
      </c>
      <c r="H221" t="s">
        <v>77</v>
      </c>
      <c r="I221" t="s">
        <v>350</v>
      </c>
      <c r="J221" s="3">
        <v>1992</v>
      </c>
      <c r="K221" s="3">
        <v>2007</v>
      </c>
      <c r="L221" s="6">
        <f t="shared" si="71"/>
        <v>1999.5</v>
      </c>
      <c r="M221" s="6">
        <f t="shared" si="72"/>
        <v>1999.5</v>
      </c>
      <c r="N221" s="7">
        <f t="shared" si="60"/>
        <v>0</v>
      </c>
      <c r="O221" s="7">
        <f t="shared" si="61"/>
        <v>0</v>
      </c>
      <c r="P221" s="7">
        <f t="shared" si="62"/>
        <v>0</v>
      </c>
      <c r="Q221" s="7">
        <f t="shared" si="73"/>
        <v>0</v>
      </c>
      <c r="R221" s="10" t="str">
        <f t="shared" si="63"/>
        <v>0_Pre</v>
      </c>
      <c r="S221" s="10" t="str">
        <f t="shared" si="64"/>
        <v>0_Pre</v>
      </c>
      <c r="T221" s="10" t="str">
        <f t="shared" si="65"/>
        <v>0_Pre</v>
      </c>
      <c r="U221" s="10" t="str">
        <f t="shared" si="66"/>
        <v>0_Pre</v>
      </c>
      <c r="V221" s="10" t="str">
        <f t="shared" si="74"/>
        <v>0_Pre</v>
      </c>
      <c r="W221" s="10" t="str">
        <f t="shared" si="67"/>
        <v>clean_pre</v>
      </c>
      <c r="X221" s="10" t="str">
        <f t="shared" si="68"/>
        <v>0_Pre</v>
      </c>
      <c r="Y221" s="10" t="str">
        <f t="shared" si="69"/>
        <v>0_Pre</v>
      </c>
      <c r="Z221" s="10" t="str">
        <f t="shared" si="70"/>
        <v>0_Pre</v>
      </c>
      <c r="AA221" s="10" t="str">
        <f t="shared" si="75"/>
        <v>0_Pre</v>
      </c>
      <c r="AB221" s="10" t="str">
        <f t="shared" si="76"/>
        <v>0_Pre</v>
      </c>
      <c r="AC221" s="10" t="str">
        <f t="shared" si="77"/>
        <v>0_Pre</v>
      </c>
      <c r="AD221" s="10" t="str">
        <f t="shared" si="78"/>
        <v>1_pre sample median</v>
      </c>
      <c r="AE221" s="10" t="str">
        <f t="shared" si="79"/>
        <v>1_pre sample first tertile</v>
      </c>
      <c r="AF221" t="s">
        <v>80</v>
      </c>
      <c r="AG221" t="s">
        <v>75</v>
      </c>
      <c r="AH221" t="s">
        <v>78</v>
      </c>
      <c r="AI221" t="s">
        <v>123</v>
      </c>
      <c r="AJ221" t="s">
        <v>123</v>
      </c>
      <c r="AK221" t="str">
        <f>VLOOKUP(MID($AR221,1,255),country_lookup!$B:$F,2,FALSE)</f>
        <v>1_US</v>
      </c>
      <c r="AL221" t="str">
        <f>VLOOKUP(MID($AR221,1,255),country_lookup!$B:$F,3,FALSE)</f>
        <v>1_developed</v>
      </c>
      <c r="AM221" t="str">
        <f>VLOOKUP(MID($AR221,1,255),country_lookup!$B:$F,4,FALSE)</f>
        <v>1_western</v>
      </c>
      <c r="AN221" t="str">
        <f>VLOOKUP(MID($AR221,1,255),country_lookup!$B:$F,5,FALSE)</f>
        <v>1_common law</v>
      </c>
      <c r="AO221" s="10" t="str">
        <f>VLOOKUP(MID($AS221,1,255),source_lookup!$B:$K,4,FALSE)</f>
        <v>0_published</v>
      </c>
      <c r="AP221" s="10" t="str">
        <f>VLOOKUP(MID($AS221,1,255),source_lookup!$B:$K,6,FALSE)</f>
        <v>1_VHB high</v>
      </c>
      <c r="AQ221" s="10" t="str">
        <f>VLOOKUP(MID($AS221,1,255),source_lookup!$B:$K,10,FALSE)</f>
        <v>3_mgmt</v>
      </c>
      <c r="AR221" t="s">
        <v>85</v>
      </c>
      <c r="AS221" t="s">
        <v>130</v>
      </c>
    </row>
    <row r="222" spans="1:45" x14ac:dyDescent="0.3">
      <c r="A222" t="s">
        <v>6</v>
      </c>
      <c r="B222">
        <v>221</v>
      </c>
      <c r="C222" s="1">
        <v>-4.4620717390292643E-2</v>
      </c>
      <c r="D222" s="2">
        <v>288</v>
      </c>
      <c r="E222" s="4">
        <v>4602</v>
      </c>
      <c r="F222" s="4" t="s">
        <v>347</v>
      </c>
      <c r="G222" s="4" t="s">
        <v>346</v>
      </c>
      <c r="H222" t="s">
        <v>77</v>
      </c>
      <c r="I222" t="s">
        <v>350</v>
      </c>
      <c r="J222" s="3">
        <v>1992</v>
      </c>
      <c r="K222" s="3">
        <v>2007</v>
      </c>
      <c r="L222" s="6">
        <f t="shared" si="71"/>
        <v>1999.5</v>
      </c>
      <c r="M222" s="6">
        <f t="shared" si="72"/>
        <v>1999.5</v>
      </c>
      <c r="N222" s="7">
        <f t="shared" si="60"/>
        <v>0</v>
      </c>
      <c r="O222" s="7">
        <f t="shared" si="61"/>
        <v>0</v>
      </c>
      <c r="P222" s="7">
        <f t="shared" si="62"/>
        <v>0</v>
      </c>
      <c r="Q222" s="7">
        <f t="shared" si="73"/>
        <v>0</v>
      </c>
      <c r="R222" s="10" t="str">
        <f t="shared" si="63"/>
        <v>0_Pre</v>
      </c>
      <c r="S222" s="10" t="str">
        <f t="shared" si="64"/>
        <v>0_Pre</v>
      </c>
      <c r="T222" s="10" t="str">
        <f t="shared" si="65"/>
        <v>0_Pre</v>
      </c>
      <c r="U222" s="10" t="str">
        <f t="shared" si="66"/>
        <v>0_Pre</v>
      </c>
      <c r="V222" s="10" t="str">
        <f t="shared" si="74"/>
        <v>0_Pre</v>
      </c>
      <c r="W222" s="10" t="str">
        <f t="shared" si="67"/>
        <v>clean_pre</v>
      </c>
      <c r="X222" s="10" t="str">
        <f t="shared" si="68"/>
        <v>0_Pre</v>
      </c>
      <c r="Y222" s="10" t="str">
        <f t="shared" si="69"/>
        <v>0_Pre</v>
      </c>
      <c r="Z222" s="10" t="str">
        <f t="shared" si="70"/>
        <v>0_Pre</v>
      </c>
      <c r="AA222" s="10" t="str">
        <f t="shared" si="75"/>
        <v>0_Pre</v>
      </c>
      <c r="AB222" s="10" t="str">
        <f t="shared" si="76"/>
        <v>0_Pre</v>
      </c>
      <c r="AC222" s="10" t="str">
        <f t="shared" si="77"/>
        <v>0_Pre</v>
      </c>
      <c r="AD222" s="10" t="str">
        <f t="shared" si="78"/>
        <v>1_pre sample median</v>
      </c>
      <c r="AE222" s="10" t="str">
        <f t="shared" si="79"/>
        <v>1_pre sample first tertile</v>
      </c>
      <c r="AF222" t="s">
        <v>80</v>
      </c>
      <c r="AG222" t="s">
        <v>75</v>
      </c>
      <c r="AH222" t="s">
        <v>78</v>
      </c>
      <c r="AI222" t="s">
        <v>123</v>
      </c>
      <c r="AJ222" t="s">
        <v>123</v>
      </c>
      <c r="AK222" t="str">
        <f>VLOOKUP(MID($AR222,1,255),country_lookup!$B:$F,2,FALSE)</f>
        <v>1_US</v>
      </c>
      <c r="AL222" t="str">
        <f>VLOOKUP(MID($AR222,1,255),country_lookup!$B:$F,3,FALSE)</f>
        <v>1_developed</v>
      </c>
      <c r="AM222" t="str">
        <f>VLOOKUP(MID($AR222,1,255),country_lookup!$B:$F,4,FALSE)</f>
        <v>1_western</v>
      </c>
      <c r="AN222" t="str">
        <f>VLOOKUP(MID($AR222,1,255),country_lookup!$B:$F,5,FALSE)</f>
        <v>1_common law</v>
      </c>
      <c r="AO222" s="10" t="str">
        <f>VLOOKUP(MID($AS222,1,255),source_lookup!$B:$K,4,FALSE)</f>
        <v>0_published</v>
      </c>
      <c r="AP222" s="10" t="str">
        <f>VLOOKUP(MID($AS222,1,255),source_lookup!$B:$K,6,FALSE)</f>
        <v>1_VHB high</v>
      </c>
      <c r="AQ222" s="10" t="str">
        <f>VLOOKUP(MID($AS222,1,255),source_lookup!$B:$K,10,FALSE)</f>
        <v>3_mgmt</v>
      </c>
      <c r="AR222" t="s">
        <v>85</v>
      </c>
      <c r="AS222" t="s">
        <v>130</v>
      </c>
    </row>
    <row r="223" spans="1:45" x14ac:dyDescent="0.3">
      <c r="A223" t="s">
        <v>6</v>
      </c>
      <c r="B223">
        <v>222</v>
      </c>
      <c r="C223" s="1">
        <v>-6.6333001905275434E-3</v>
      </c>
      <c r="D223" s="2">
        <v>288</v>
      </c>
      <c r="E223" s="4">
        <v>4602</v>
      </c>
      <c r="F223" s="4" t="s">
        <v>347</v>
      </c>
      <c r="G223" s="4" t="s">
        <v>346</v>
      </c>
      <c r="H223" t="s">
        <v>77</v>
      </c>
      <c r="I223" t="s">
        <v>350</v>
      </c>
      <c r="J223" s="3">
        <v>1992</v>
      </c>
      <c r="K223" s="3">
        <v>2007</v>
      </c>
      <c r="L223" s="6">
        <f t="shared" si="71"/>
        <v>1999.5</v>
      </c>
      <c r="M223" s="6">
        <f t="shared" si="72"/>
        <v>1999.5</v>
      </c>
      <c r="N223" s="7">
        <f t="shared" si="60"/>
        <v>0</v>
      </c>
      <c r="O223" s="7">
        <f t="shared" si="61"/>
        <v>0</v>
      </c>
      <c r="P223" s="7">
        <f t="shared" si="62"/>
        <v>0</v>
      </c>
      <c r="Q223" s="7">
        <f t="shared" si="73"/>
        <v>0</v>
      </c>
      <c r="R223" s="10" t="str">
        <f t="shared" si="63"/>
        <v>0_Pre</v>
      </c>
      <c r="S223" s="10" t="str">
        <f t="shared" si="64"/>
        <v>0_Pre</v>
      </c>
      <c r="T223" s="10" t="str">
        <f t="shared" si="65"/>
        <v>0_Pre</v>
      </c>
      <c r="U223" s="10" t="str">
        <f t="shared" si="66"/>
        <v>0_Pre</v>
      </c>
      <c r="V223" s="10" t="str">
        <f t="shared" si="74"/>
        <v>0_Pre</v>
      </c>
      <c r="W223" s="10" t="str">
        <f t="shared" si="67"/>
        <v>clean_pre</v>
      </c>
      <c r="X223" s="10" t="str">
        <f t="shared" si="68"/>
        <v>0_Pre</v>
      </c>
      <c r="Y223" s="10" t="str">
        <f t="shared" si="69"/>
        <v>0_Pre</v>
      </c>
      <c r="Z223" s="10" t="str">
        <f t="shared" si="70"/>
        <v>0_Pre</v>
      </c>
      <c r="AA223" s="10" t="str">
        <f t="shared" si="75"/>
        <v>0_Pre</v>
      </c>
      <c r="AB223" s="10" t="str">
        <f t="shared" si="76"/>
        <v>0_Pre</v>
      </c>
      <c r="AC223" s="10" t="str">
        <f t="shared" si="77"/>
        <v>0_Pre</v>
      </c>
      <c r="AD223" s="10" t="str">
        <f t="shared" si="78"/>
        <v>1_pre sample median</v>
      </c>
      <c r="AE223" s="10" t="str">
        <f t="shared" si="79"/>
        <v>1_pre sample first tertile</v>
      </c>
      <c r="AF223" t="s">
        <v>80</v>
      </c>
      <c r="AG223" t="s">
        <v>75</v>
      </c>
      <c r="AH223" t="s">
        <v>78</v>
      </c>
      <c r="AI223" t="s">
        <v>123</v>
      </c>
      <c r="AJ223" t="s">
        <v>123</v>
      </c>
      <c r="AK223" t="str">
        <f>VLOOKUP(MID($AR223,1,255),country_lookup!$B:$F,2,FALSE)</f>
        <v>1_US</v>
      </c>
      <c r="AL223" t="str">
        <f>VLOOKUP(MID($AR223,1,255),country_lookup!$B:$F,3,FALSE)</f>
        <v>1_developed</v>
      </c>
      <c r="AM223" t="str">
        <f>VLOOKUP(MID($AR223,1,255),country_lookup!$B:$F,4,FALSE)</f>
        <v>1_western</v>
      </c>
      <c r="AN223" t="str">
        <f>VLOOKUP(MID($AR223,1,255),country_lookup!$B:$F,5,FALSE)</f>
        <v>1_common law</v>
      </c>
      <c r="AO223" s="10" t="str">
        <f>VLOOKUP(MID($AS223,1,255),source_lookup!$B:$K,4,FALSE)</f>
        <v>0_published</v>
      </c>
      <c r="AP223" s="10" t="str">
        <f>VLOOKUP(MID($AS223,1,255),source_lookup!$B:$K,6,FALSE)</f>
        <v>1_VHB high</v>
      </c>
      <c r="AQ223" s="10" t="str">
        <f>VLOOKUP(MID($AS223,1,255),source_lookup!$B:$K,10,FALSE)</f>
        <v>3_mgmt</v>
      </c>
      <c r="AR223" t="s">
        <v>85</v>
      </c>
      <c r="AS223" t="s">
        <v>130</v>
      </c>
    </row>
    <row r="224" spans="1:45" x14ac:dyDescent="0.3">
      <c r="A224" t="s">
        <v>6</v>
      </c>
      <c r="B224">
        <v>223</v>
      </c>
      <c r="C224" s="1">
        <v>-4.3389366432916819E-2</v>
      </c>
      <c r="D224" s="2">
        <v>367</v>
      </c>
      <c r="E224" s="4">
        <v>5879</v>
      </c>
      <c r="F224" s="4" t="s">
        <v>347</v>
      </c>
      <c r="G224" s="4" t="s">
        <v>346</v>
      </c>
      <c r="H224" t="s">
        <v>77</v>
      </c>
      <c r="I224" t="s">
        <v>350</v>
      </c>
      <c r="J224" s="3">
        <v>1992</v>
      </c>
      <c r="K224" s="3">
        <v>2007</v>
      </c>
      <c r="L224" s="6">
        <f t="shared" si="71"/>
        <v>1999.5</v>
      </c>
      <c r="M224" s="6">
        <f t="shared" si="72"/>
        <v>1999.5</v>
      </c>
      <c r="N224" s="7">
        <f t="shared" si="60"/>
        <v>0</v>
      </c>
      <c r="O224" s="7">
        <f t="shared" si="61"/>
        <v>0</v>
      </c>
      <c r="P224" s="7">
        <f t="shared" si="62"/>
        <v>0</v>
      </c>
      <c r="Q224" s="7">
        <f t="shared" si="73"/>
        <v>0</v>
      </c>
      <c r="R224" s="10" t="str">
        <f t="shared" si="63"/>
        <v>0_Pre</v>
      </c>
      <c r="S224" s="10" t="str">
        <f t="shared" si="64"/>
        <v>0_Pre</v>
      </c>
      <c r="T224" s="10" t="str">
        <f t="shared" si="65"/>
        <v>0_Pre</v>
      </c>
      <c r="U224" s="10" t="str">
        <f t="shared" si="66"/>
        <v>0_Pre</v>
      </c>
      <c r="V224" s="10" t="str">
        <f t="shared" si="74"/>
        <v>0_Pre</v>
      </c>
      <c r="W224" s="10" t="str">
        <f t="shared" si="67"/>
        <v>clean_pre</v>
      </c>
      <c r="X224" s="10" t="str">
        <f t="shared" si="68"/>
        <v>0_Pre</v>
      </c>
      <c r="Y224" s="10" t="str">
        <f t="shared" si="69"/>
        <v>0_Pre</v>
      </c>
      <c r="Z224" s="10" t="str">
        <f t="shared" si="70"/>
        <v>0_Pre</v>
      </c>
      <c r="AA224" s="10" t="str">
        <f t="shared" si="75"/>
        <v>0_Pre</v>
      </c>
      <c r="AB224" s="10" t="str">
        <f t="shared" si="76"/>
        <v>0_Pre</v>
      </c>
      <c r="AC224" s="10" t="str">
        <f t="shared" si="77"/>
        <v>0_Pre</v>
      </c>
      <c r="AD224" s="10" t="str">
        <f t="shared" si="78"/>
        <v>1_pre sample median</v>
      </c>
      <c r="AE224" s="10" t="str">
        <f t="shared" si="79"/>
        <v>1_pre sample first tertile</v>
      </c>
      <c r="AF224" t="s">
        <v>80</v>
      </c>
      <c r="AG224" t="s">
        <v>75</v>
      </c>
      <c r="AH224" t="s">
        <v>78</v>
      </c>
      <c r="AI224" t="s">
        <v>123</v>
      </c>
      <c r="AJ224" t="s">
        <v>123</v>
      </c>
      <c r="AK224" t="str">
        <f>VLOOKUP(MID($AR224,1,255),country_lookup!$B:$F,2,FALSE)</f>
        <v>1_US</v>
      </c>
      <c r="AL224" t="str">
        <f>VLOOKUP(MID($AR224,1,255),country_lookup!$B:$F,3,FALSE)</f>
        <v>1_developed</v>
      </c>
      <c r="AM224" t="str">
        <f>VLOOKUP(MID($AR224,1,255),country_lookup!$B:$F,4,FALSE)</f>
        <v>1_western</v>
      </c>
      <c r="AN224" t="str">
        <f>VLOOKUP(MID($AR224,1,255),country_lookup!$B:$F,5,FALSE)</f>
        <v>1_common law</v>
      </c>
      <c r="AO224" s="10" t="str">
        <f>VLOOKUP(MID($AS224,1,255),source_lookup!$B:$K,4,FALSE)</f>
        <v>0_published</v>
      </c>
      <c r="AP224" s="10" t="str">
        <f>VLOOKUP(MID($AS224,1,255),source_lookup!$B:$K,6,FALSE)</f>
        <v>1_VHB high</v>
      </c>
      <c r="AQ224" s="10" t="str">
        <f>VLOOKUP(MID($AS224,1,255),source_lookup!$B:$K,10,FALSE)</f>
        <v>3_mgmt</v>
      </c>
      <c r="AR224" t="s">
        <v>85</v>
      </c>
      <c r="AS224" t="s">
        <v>130</v>
      </c>
    </row>
    <row r="225" spans="1:45" x14ac:dyDescent="0.3">
      <c r="A225" t="s">
        <v>6</v>
      </c>
      <c r="B225">
        <v>224</v>
      </c>
      <c r="C225" s="1">
        <v>-3.1285771130894723E-2</v>
      </c>
      <c r="D225" s="2">
        <v>367</v>
      </c>
      <c r="E225" s="4">
        <v>5879</v>
      </c>
      <c r="F225" s="4" t="s">
        <v>347</v>
      </c>
      <c r="G225" s="4" t="s">
        <v>346</v>
      </c>
      <c r="H225" t="s">
        <v>77</v>
      </c>
      <c r="I225" t="s">
        <v>350</v>
      </c>
      <c r="J225" s="3">
        <v>1992</v>
      </c>
      <c r="K225" s="3">
        <v>2007</v>
      </c>
      <c r="L225" s="6">
        <f t="shared" si="71"/>
        <v>1999.5</v>
      </c>
      <c r="M225" s="6">
        <f t="shared" si="72"/>
        <v>1999.5</v>
      </c>
      <c r="N225" s="7">
        <f t="shared" si="60"/>
        <v>0</v>
      </c>
      <c r="O225" s="7">
        <f t="shared" si="61"/>
        <v>0</v>
      </c>
      <c r="P225" s="7">
        <f t="shared" si="62"/>
        <v>0</v>
      </c>
      <c r="Q225" s="7">
        <f t="shared" si="73"/>
        <v>0</v>
      </c>
      <c r="R225" s="10" t="str">
        <f t="shared" si="63"/>
        <v>0_Pre</v>
      </c>
      <c r="S225" s="10" t="str">
        <f t="shared" si="64"/>
        <v>0_Pre</v>
      </c>
      <c r="T225" s="10" t="str">
        <f t="shared" si="65"/>
        <v>0_Pre</v>
      </c>
      <c r="U225" s="10" t="str">
        <f t="shared" si="66"/>
        <v>0_Pre</v>
      </c>
      <c r="V225" s="10" t="str">
        <f t="shared" si="74"/>
        <v>0_Pre</v>
      </c>
      <c r="W225" s="10" t="str">
        <f t="shared" si="67"/>
        <v>clean_pre</v>
      </c>
      <c r="X225" s="10" t="str">
        <f t="shared" si="68"/>
        <v>0_Pre</v>
      </c>
      <c r="Y225" s="10" t="str">
        <f t="shared" si="69"/>
        <v>0_Pre</v>
      </c>
      <c r="Z225" s="10" t="str">
        <f t="shared" si="70"/>
        <v>0_Pre</v>
      </c>
      <c r="AA225" s="10" t="str">
        <f t="shared" si="75"/>
        <v>0_Pre</v>
      </c>
      <c r="AB225" s="10" t="str">
        <f t="shared" si="76"/>
        <v>0_Pre</v>
      </c>
      <c r="AC225" s="10" t="str">
        <f t="shared" si="77"/>
        <v>0_Pre</v>
      </c>
      <c r="AD225" s="10" t="str">
        <f t="shared" si="78"/>
        <v>1_pre sample median</v>
      </c>
      <c r="AE225" s="10" t="str">
        <f t="shared" si="79"/>
        <v>1_pre sample first tertile</v>
      </c>
      <c r="AF225" t="s">
        <v>80</v>
      </c>
      <c r="AG225" t="s">
        <v>75</v>
      </c>
      <c r="AH225" t="s">
        <v>78</v>
      </c>
      <c r="AI225" t="s">
        <v>123</v>
      </c>
      <c r="AJ225" t="s">
        <v>123</v>
      </c>
      <c r="AK225" t="str">
        <f>VLOOKUP(MID($AR225,1,255),country_lookup!$B:$F,2,FALSE)</f>
        <v>1_US</v>
      </c>
      <c r="AL225" t="str">
        <f>VLOOKUP(MID($AR225,1,255),country_lookup!$B:$F,3,FALSE)</f>
        <v>1_developed</v>
      </c>
      <c r="AM225" t="str">
        <f>VLOOKUP(MID($AR225,1,255),country_lookup!$B:$F,4,FALSE)</f>
        <v>1_western</v>
      </c>
      <c r="AN225" t="str">
        <f>VLOOKUP(MID($AR225,1,255),country_lookup!$B:$F,5,FALSE)</f>
        <v>1_common law</v>
      </c>
      <c r="AO225" s="10" t="str">
        <f>VLOOKUP(MID($AS225,1,255),source_lookup!$B:$K,4,FALSE)</f>
        <v>0_published</v>
      </c>
      <c r="AP225" s="10" t="str">
        <f>VLOOKUP(MID($AS225,1,255),source_lookup!$B:$K,6,FALSE)</f>
        <v>1_VHB high</v>
      </c>
      <c r="AQ225" s="10" t="str">
        <f>VLOOKUP(MID($AS225,1,255),source_lookup!$B:$K,10,FALSE)</f>
        <v>3_mgmt</v>
      </c>
      <c r="AR225" t="s">
        <v>85</v>
      </c>
      <c r="AS225" t="s">
        <v>130</v>
      </c>
    </row>
    <row r="226" spans="1:45" x14ac:dyDescent="0.3">
      <c r="A226" t="s">
        <v>6</v>
      </c>
      <c r="B226">
        <v>225</v>
      </c>
      <c r="C226" s="1">
        <v>-1.669159090029226E-2</v>
      </c>
      <c r="D226" s="2">
        <v>367</v>
      </c>
      <c r="E226" s="4">
        <v>5879</v>
      </c>
      <c r="F226" s="4" t="s">
        <v>347</v>
      </c>
      <c r="G226" s="4" t="s">
        <v>346</v>
      </c>
      <c r="H226" t="s">
        <v>77</v>
      </c>
      <c r="I226" t="s">
        <v>350</v>
      </c>
      <c r="J226" s="3">
        <v>1992</v>
      </c>
      <c r="K226" s="3">
        <v>2007</v>
      </c>
      <c r="L226" s="6">
        <f t="shared" si="71"/>
        <v>1999.5</v>
      </c>
      <c r="M226" s="6">
        <f t="shared" si="72"/>
        <v>1999.5</v>
      </c>
      <c r="N226" s="7">
        <f t="shared" si="60"/>
        <v>0</v>
      </c>
      <c r="O226" s="7">
        <f t="shared" si="61"/>
        <v>0</v>
      </c>
      <c r="P226" s="7">
        <f t="shared" si="62"/>
        <v>0</v>
      </c>
      <c r="Q226" s="7">
        <f t="shared" si="73"/>
        <v>0</v>
      </c>
      <c r="R226" s="10" t="str">
        <f t="shared" si="63"/>
        <v>0_Pre</v>
      </c>
      <c r="S226" s="10" t="str">
        <f t="shared" si="64"/>
        <v>0_Pre</v>
      </c>
      <c r="T226" s="10" t="str">
        <f t="shared" si="65"/>
        <v>0_Pre</v>
      </c>
      <c r="U226" s="10" t="str">
        <f t="shared" si="66"/>
        <v>0_Pre</v>
      </c>
      <c r="V226" s="10" t="str">
        <f t="shared" si="74"/>
        <v>0_Pre</v>
      </c>
      <c r="W226" s="10" t="str">
        <f t="shared" si="67"/>
        <v>clean_pre</v>
      </c>
      <c r="X226" s="10" t="str">
        <f t="shared" si="68"/>
        <v>0_Pre</v>
      </c>
      <c r="Y226" s="10" t="str">
        <f t="shared" si="69"/>
        <v>0_Pre</v>
      </c>
      <c r="Z226" s="10" t="str">
        <f t="shared" si="70"/>
        <v>0_Pre</v>
      </c>
      <c r="AA226" s="10" t="str">
        <f t="shared" si="75"/>
        <v>0_Pre</v>
      </c>
      <c r="AB226" s="10" t="str">
        <f t="shared" si="76"/>
        <v>0_Pre</v>
      </c>
      <c r="AC226" s="10" t="str">
        <f t="shared" si="77"/>
        <v>0_Pre</v>
      </c>
      <c r="AD226" s="10" t="str">
        <f t="shared" si="78"/>
        <v>1_pre sample median</v>
      </c>
      <c r="AE226" s="10" t="str">
        <f t="shared" si="79"/>
        <v>1_pre sample first tertile</v>
      </c>
      <c r="AF226" t="s">
        <v>80</v>
      </c>
      <c r="AG226" t="s">
        <v>75</v>
      </c>
      <c r="AH226" t="s">
        <v>78</v>
      </c>
      <c r="AI226" t="s">
        <v>123</v>
      </c>
      <c r="AJ226" t="s">
        <v>123</v>
      </c>
      <c r="AK226" t="str">
        <f>VLOOKUP(MID($AR226,1,255),country_lookup!$B:$F,2,FALSE)</f>
        <v>1_US</v>
      </c>
      <c r="AL226" t="str">
        <f>VLOOKUP(MID($AR226,1,255),country_lookup!$B:$F,3,FALSE)</f>
        <v>1_developed</v>
      </c>
      <c r="AM226" t="str">
        <f>VLOOKUP(MID($AR226,1,255),country_lookup!$B:$F,4,FALSE)</f>
        <v>1_western</v>
      </c>
      <c r="AN226" t="str">
        <f>VLOOKUP(MID($AR226,1,255),country_lookup!$B:$F,5,FALSE)</f>
        <v>1_common law</v>
      </c>
      <c r="AO226" s="10" t="str">
        <f>VLOOKUP(MID($AS226,1,255),source_lookup!$B:$K,4,FALSE)</f>
        <v>0_published</v>
      </c>
      <c r="AP226" s="10" t="str">
        <f>VLOOKUP(MID($AS226,1,255),source_lookup!$B:$K,6,FALSE)</f>
        <v>1_VHB high</v>
      </c>
      <c r="AQ226" s="10" t="str">
        <f>VLOOKUP(MID($AS226,1,255),source_lookup!$B:$K,10,FALSE)</f>
        <v>3_mgmt</v>
      </c>
      <c r="AR226" t="s">
        <v>85</v>
      </c>
      <c r="AS226" t="s">
        <v>130</v>
      </c>
    </row>
    <row r="227" spans="1:45" x14ac:dyDescent="0.3">
      <c r="A227" t="s">
        <v>6</v>
      </c>
      <c r="B227">
        <v>226</v>
      </c>
      <c r="C227" s="1">
        <v>-8.9987000539092765E-3</v>
      </c>
      <c r="D227" s="2">
        <v>367</v>
      </c>
      <c r="E227" s="4">
        <v>5879</v>
      </c>
      <c r="F227" s="4" t="s">
        <v>347</v>
      </c>
      <c r="G227" s="4" t="s">
        <v>346</v>
      </c>
      <c r="H227" t="s">
        <v>77</v>
      </c>
      <c r="I227" t="s">
        <v>350</v>
      </c>
      <c r="J227" s="3">
        <v>1992</v>
      </c>
      <c r="K227" s="3">
        <v>2007</v>
      </c>
      <c r="L227" s="6">
        <f t="shared" si="71"/>
        <v>1999.5</v>
      </c>
      <c r="M227" s="6">
        <f t="shared" si="72"/>
        <v>1999.5</v>
      </c>
      <c r="N227" s="7">
        <f t="shared" si="60"/>
        <v>0</v>
      </c>
      <c r="O227" s="7">
        <f t="shared" si="61"/>
        <v>0</v>
      </c>
      <c r="P227" s="7">
        <f t="shared" si="62"/>
        <v>0</v>
      </c>
      <c r="Q227" s="7">
        <f t="shared" si="73"/>
        <v>0</v>
      </c>
      <c r="R227" s="10" t="str">
        <f t="shared" si="63"/>
        <v>0_Pre</v>
      </c>
      <c r="S227" s="10" t="str">
        <f t="shared" si="64"/>
        <v>0_Pre</v>
      </c>
      <c r="T227" s="10" t="str">
        <f t="shared" si="65"/>
        <v>0_Pre</v>
      </c>
      <c r="U227" s="10" t="str">
        <f t="shared" si="66"/>
        <v>0_Pre</v>
      </c>
      <c r="V227" s="10" t="str">
        <f t="shared" si="74"/>
        <v>0_Pre</v>
      </c>
      <c r="W227" s="10" t="str">
        <f t="shared" si="67"/>
        <v>clean_pre</v>
      </c>
      <c r="X227" s="10" t="str">
        <f t="shared" si="68"/>
        <v>0_Pre</v>
      </c>
      <c r="Y227" s="10" t="str">
        <f t="shared" si="69"/>
        <v>0_Pre</v>
      </c>
      <c r="Z227" s="10" t="str">
        <f t="shared" si="70"/>
        <v>0_Pre</v>
      </c>
      <c r="AA227" s="10" t="str">
        <f t="shared" si="75"/>
        <v>0_Pre</v>
      </c>
      <c r="AB227" s="10" t="str">
        <f t="shared" si="76"/>
        <v>0_Pre</v>
      </c>
      <c r="AC227" s="10" t="str">
        <f t="shared" si="77"/>
        <v>0_Pre</v>
      </c>
      <c r="AD227" s="10" t="str">
        <f t="shared" si="78"/>
        <v>1_pre sample median</v>
      </c>
      <c r="AE227" s="10" t="str">
        <f t="shared" si="79"/>
        <v>1_pre sample first tertile</v>
      </c>
      <c r="AF227" t="s">
        <v>80</v>
      </c>
      <c r="AG227" t="s">
        <v>75</v>
      </c>
      <c r="AH227" t="s">
        <v>78</v>
      </c>
      <c r="AI227" t="s">
        <v>123</v>
      </c>
      <c r="AJ227" t="s">
        <v>123</v>
      </c>
      <c r="AK227" t="str">
        <f>VLOOKUP(MID($AR227,1,255),country_lookup!$B:$F,2,FALSE)</f>
        <v>1_US</v>
      </c>
      <c r="AL227" t="str">
        <f>VLOOKUP(MID($AR227,1,255),country_lookup!$B:$F,3,FALSE)</f>
        <v>1_developed</v>
      </c>
      <c r="AM227" t="str">
        <f>VLOOKUP(MID($AR227,1,255),country_lookup!$B:$F,4,FALSE)</f>
        <v>1_western</v>
      </c>
      <c r="AN227" t="str">
        <f>VLOOKUP(MID($AR227,1,255),country_lookup!$B:$F,5,FALSE)</f>
        <v>1_common law</v>
      </c>
      <c r="AO227" s="10" t="str">
        <f>VLOOKUP(MID($AS227,1,255),source_lookup!$B:$K,4,FALSE)</f>
        <v>0_published</v>
      </c>
      <c r="AP227" s="10" t="str">
        <f>VLOOKUP(MID($AS227,1,255),source_lookup!$B:$K,6,FALSE)</f>
        <v>1_VHB high</v>
      </c>
      <c r="AQ227" s="10" t="str">
        <f>VLOOKUP(MID($AS227,1,255),source_lookup!$B:$K,10,FALSE)</f>
        <v>3_mgmt</v>
      </c>
      <c r="AR227" t="s">
        <v>85</v>
      </c>
      <c r="AS227" t="s">
        <v>130</v>
      </c>
    </row>
    <row r="228" spans="1:45" x14ac:dyDescent="0.3">
      <c r="A228" t="s">
        <v>6</v>
      </c>
      <c r="B228">
        <v>227</v>
      </c>
      <c r="C228" s="1">
        <v>1.3171400894347724E-2</v>
      </c>
      <c r="D228" s="2">
        <v>367</v>
      </c>
      <c r="E228" s="4">
        <v>5879</v>
      </c>
      <c r="F228" s="4" t="s">
        <v>347</v>
      </c>
      <c r="G228" s="4" t="s">
        <v>346</v>
      </c>
      <c r="H228" t="s">
        <v>77</v>
      </c>
      <c r="I228" t="s">
        <v>350</v>
      </c>
      <c r="J228" s="3">
        <v>1992</v>
      </c>
      <c r="K228" s="3">
        <v>2007</v>
      </c>
      <c r="L228" s="6">
        <f t="shared" si="71"/>
        <v>1999.5</v>
      </c>
      <c r="M228" s="6">
        <f t="shared" si="72"/>
        <v>1999.5</v>
      </c>
      <c r="N228" s="7">
        <f t="shared" si="60"/>
        <v>0</v>
      </c>
      <c r="O228" s="7">
        <f t="shared" si="61"/>
        <v>0</v>
      </c>
      <c r="P228" s="7">
        <f t="shared" si="62"/>
        <v>0</v>
      </c>
      <c r="Q228" s="7">
        <f t="shared" si="73"/>
        <v>0</v>
      </c>
      <c r="R228" s="10" t="str">
        <f t="shared" si="63"/>
        <v>0_Pre</v>
      </c>
      <c r="S228" s="10" t="str">
        <f t="shared" si="64"/>
        <v>0_Pre</v>
      </c>
      <c r="T228" s="10" t="str">
        <f t="shared" si="65"/>
        <v>0_Pre</v>
      </c>
      <c r="U228" s="10" t="str">
        <f t="shared" si="66"/>
        <v>0_Pre</v>
      </c>
      <c r="V228" s="10" t="str">
        <f t="shared" si="74"/>
        <v>0_Pre</v>
      </c>
      <c r="W228" s="10" t="str">
        <f t="shared" si="67"/>
        <v>clean_pre</v>
      </c>
      <c r="X228" s="10" t="str">
        <f t="shared" si="68"/>
        <v>0_Pre</v>
      </c>
      <c r="Y228" s="10" t="str">
        <f t="shared" si="69"/>
        <v>0_Pre</v>
      </c>
      <c r="Z228" s="10" t="str">
        <f t="shared" si="70"/>
        <v>0_Pre</v>
      </c>
      <c r="AA228" s="10" t="str">
        <f t="shared" si="75"/>
        <v>0_Pre</v>
      </c>
      <c r="AB228" s="10" t="str">
        <f t="shared" si="76"/>
        <v>0_Pre</v>
      </c>
      <c r="AC228" s="10" t="str">
        <f t="shared" si="77"/>
        <v>0_Pre</v>
      </c>
      <c r="AD228" s="10" t="str">
        <f t="shared" si="78"/>
        <v>1_pre sample median</v>
      </c>
      <c r="AE228" s="10" t="str">
        <f t="shared" si="79"/>
        <v>1_pre sample first tertile</v>
      </c>
      <c r="AF228" t="s">
        <v>80</v>
      </c>
      <c r="AG228" t="s">
        <v>75</v>
      </c>
      <c r="AH228" t="s">
        <v>78</v>
      </c>
      <c r="AI228" t="s">
        <v>123</v>
      </c>
      <c r="AJ228" t="s">
        <v>123</v>
      </c>
      <c r="AK228" t="str">
        <f>VLOOKUP(MID($AR228,1,255),country_lookup!$B:$F,2,FALSE)</f>
        <v>1_US</v>
      </c>
      <c r="AL228" t="str">
        <f>VLOOKUP(MID($AR228,1,255),country_lookup!$B:$F,3,FALSE)</f>
        <v>1_developed</v>
      </c>
      <c r="AM228" t="str">
        <f>VLOOKUP(MID($AR228,1,255),country_lookup!$B:$F,4,FALSE)</f>
        <v>1_western</v>
      </c>
      <c r="AN228" t="str">
        <f>VLOOKUP(MID($AR228,1,255),country_lookup!$B:$F,5,FALSE)</f>
        <v>1_common law</v>
      </c>
      <c r="AO228" s="10" t="str">
        <f>VLOOKUP(MID($AS228,1,255),source_lookup!$B:$K,4,FALSE)</f>
        <v>0_published</v>
      </c>
      <c r="AP228" s="10" t="str">
        <f>VLOOKUP(MID($AS228,1,255),source_lookup!$B:$K,6,FALSE)</f>
        <v>1_VHB high</v>
      </c>
      <c r="AQ228" s="10" t="str">
        <f>VLOOKUP(MID($AS228,1,255),source_lookup!$B:$K,10,FALSE)</f>
        <v>3_mgmt</v>
      </c>
      <c r="AR228" t="s">
        <v>85</v>
      </c>
      <c r="AS228" t="s">
        <v>130</v>
      </c>
    </row>
    <row r="229" spans="1:45" x14ac:dyDescent="0.3">
      <c r="A229" t="s">
        <v>6</v>
      </c>
      <c r="B229">
        <v>228</v>
      </c>
      <c r="C229" s="1">
        <v>-1.4084095052102539E-2</v>
      </c>
      <c r="D229" s="2">
        <v>367</v>
      </c>
      <c r="E229" s="4">
        <v>5879</v>
      </c>
      <c r="F229" s="4" t="s">
        <v>347</v>
      </c>
      <c r="G229" s="4" t="s">
        <v>346</v>
      </c>
      <c r="H229" t="s">
        <v>77</v>
      </c>
      <c r="I229" t="s">
        <v>350</v>
      </c>
      <c r="J229" s="3">
        <v>1992</v>
      </c>
      <c r="K229" s="3">
        <v>2007</v>
      </c>
      <c r="L229" s="6">
        <f t="shared" si="71"/>
        <v>1999.5</v>
      </c>
      <c r="M229" s="6">
        <f t="shared" si="72"/>
        <v>1999.5</v>
      </c>
      <c r="N229" s="7">
        <f t="shared" si="60"/>
        <v>0</v>
      </c>
      <c r="O229" s="7">
        <f t="shared" si="61"/>
        <v>0</v>
      </c>
      <c r="P229" s="7">
        <f t="shared" si="62"/>
        <v>0</v>
      </c>
      <c r="Q229" s="7">
        <f t="shared" si="73"/>
        <v>0</v>
      </c>
      <c r="R229" s="10" t="str">
        <f t="shared" si="63"/>
        <v>0_Pre</v>
      </c>
      <c r="S229" s="10" t="str">
        <f t="shared" si="64"/>
        <v>0_Pre</v>
      </c>
      <c r="T229" s="10" t="str">
        <f t="shared" si="65"/>
        <v>0_Pre</v>
      </c>
      <c r="U229" s="10" t="str">
        <f t="shared" si="66"/>
        <v>0_Pre</v>
      </c>
      <c r="V229" s="10" t="str">
        <f t="shared" si="74"/>
        <v>0_Pre</v>
      </c>
      <c r="W229" s="10" t="str">
        <f t="shared" si="67"/>
        <v>clean_pre</v>
      </c>
      <c r="X229" s="10" t="str">
        <f t="shared" si="68"/>
        <v>0_Pre</v>
      </c>
      <c r="Y229" s="10" t="str">
        <f t="shared" si="69"/>
        <v>0_Pre</v>
      </c>
      <c r="Z229" s="10" t="str">
        <f t="shared" si="70"/>
        <v>0_Pre</v>
      </c>
      <c r="AA229" s="10" t="str">
        <f t="shared" si="75"/>
        <v>0_Pre</v>
      </c>
      <c r="AB229" s="10" t="str">
        <f t="shared" si="76"/>
        <v>0_Pre</v>
      </c>
      <c r="AC229" s="10" t="str">
        <f t="shared" si="77"/>
        <v>0_Pre</v>
      </c>
      <c r="AD229" s="10" t="str">
        <f t="shared" si="78"/>
        <v>1_pre sample median</v>
      </c>
      <c r="AE229" s="10" t="str">
        <f t="shared" si="79"/>
        <v>1_pre sample first tertile</v>
      </c>
      <c r="AF229" t="s">
        <v>80</v>
      </c>
      <c r="AG229" t="s">
        <v>75</v>
      </c>
      <c r="AH229" t="s">
        <v>78</v>
      </c>
      <c r="AI229" t="s">
        <v>123</v>
      </c>
      <c r="AJ229" t="s">
        <v>123</v>
      </c>
      <c r="AK229" t="str">
        <f>VLOOKUP(MID($AR229,1,255),country_lookup!$B:$F,2,FALSE)</f>
        <v>1_US</v>
      </c>
      <c r="AL229" t="str">
        <f>VLOOKUP(MID($AR229,1,255),country_lookup!$B:$F,3,FALSE)</f>
        <v>1_developed</v>
      </c>
      <c r="AM229" t="str">
        <f>VLOOKUP(MID($AR229,1,255),country_lookup!$B:$F,4,FALSE)</f>
        <v>1_western</v>
      </c>
      <c r="AN229" t="str">
        <f>VLOOKUP(MID($AR229,1,255),country_lookup!$B:$F,5,FALSE)</f>
        <v>1_common law</v>
      </c>
      <c r="AO229" s="10" t="str">
        <f>VLOOKUP(MID($AS229,1,255),source_lookup!$B:$K,4,FALSE)</f>
        <v>0_published</v>
      </c>
      <c r="AP229" s="10" t="str">
        <f>VLOOKUP(MID($AS229,1,255),source_lookup!$B:$K,6,FALSE)</f>
        <v>1_VHB high</v>
      </c>
      <c r="AQ229" s="10" t="str">
        <f>VLOOKUP(MID($AS229,1,255),source_lookup!$B:$K,10,FALSE)</f>
        <v>3_mgmt</v>
      </c>
      <c r="AR229" t="s">
        <v>85</v>
      </c>
      <c r="AS229" t="s">
        <v>130</v>
      </c>
    </row>
    <row r="230" spans="1:45" x14ac:dyDescent="0.3">
      <c r="A230" t="s">
        <v>6</v>
      </c>
      <c r="B230">
        <v>229</v>
      </c>
      <c r="C230" s="1">
        <v>-1.1802456792922283E-2</v>
      </c>
      <c r="D230" s="2">
        <v>324</v>
      </c>
      <c r="E230" s="4">
        <v>5186</v>
      </c>
      <c r="F230" s="4" t="s">
        <v>347</v>
      </c>
      <c r="G230" s="4" t="s">
        <v>346</v>
      </c>
      <c r="H230" t="s">
        <v>77</v>
      </c>
      <c r="I230" t="s">
        <v>350</v>
      </c>
      <c r="J230" s="3">
        <v>1992</v>
      </c>
      <c r="K230" s="3">
        <v>2007</v>
      </c>
      <c r="L230" s="6">
        <f t="shared" si="71"/>
        <v>1999.5</v>
      </c>
      <c r="M230" s="6">
        <f t="shared" si="72"/>
        <v>1999.5</v>
      </c>
      <c r="N230" s="7">
        <f t="shared" si="60"/>
        <v>0</v>
      </c>
      <c r="O230" s="7">
        <f t="shared" si="61"/>
        <v>0</v>
      </c>
      <c r="P230" s="7">
        <f t="shared" si="62"/>
        <v>0</v>
      </c>
      <c r="Q230" s="7">
        <f t="shared" si="73"/>
        <v>0</v>
      </c>
      <c r="R230" s="10" t="str">
        <f t="shared" si="63"/>
        <v>0_Pre</v>
      </c>
      <c r="S230" s="10" t="str">
        <f t="shared" si="64"/>
        <v>0_Pre</v>
      </c>
      <c r="T230" s="10" t="str">
        <f t="shared" si="65"/>
        <v>0_Pre</v>
      </c>
      <c r="U230" s="10" t="str">
        <f t="shared" si="66"/>
        <v>0_Pre</v>
      </c>
      <c r="V230" s="10" t="str">
        <f t="shared" si="74"/>
        <v>0_Pre</v>
      </c>
      <c r="W230" s="10" t="str">
        <f t="shared" si="67"/>
        <v>clean_pre</v>
      </c>
      <c r="X230" s="10" t="str">
        <f t="shared" si="68"/>
        <v>0_Pre</v>
      </c>
      <c r="Y230" s="10" t="str">
        <f t="shared" si="69"/>
        <v>0_Pre</v>
      </c>
      <c r="Z230" s="10" t="str">
        <f t="shared" si="70"/>
        <v>0_Pre</v>
      </c>
      <c r="AA230" s="10" t="str">
        <f t="shared" si="75"/>
        <v>0_Pre</v>
      </c>
      <c r="AB230" s="10" t="str">
        <f t="shared" si="76"/>
        <v>0_Pre</v>
      </c>
      <c r="AC230" s="10" t="str">
        <f t="shared" si="77"/>
        <v>0_Pre</v>
      </c>
      <c r="AD230" s="10" t="str">
        <f t="shared" si="78"/>
        <v>1_pre sample median</v>
      </c>
      <c r="AE230" s="10" t="str">
        <f t="shared" si="79"/>
        <v>1_pre sample first tertile</v>
      </c>
      <c r="AF230" t="s">
        <v>80</v>
      </c>
      <c r="AG230" t="s">
        <v>75</v>
      </c>
      <c r="AH230" t="s">
        <v>78</v>
      </c>
      <c r="AI230" t="s">
        <v>123</v>
      </c>
      <c r="AJ230" t="s">
        <v>123</v>
      </c>
      <c r="AK230" t="str">
        <f>VLOOKUP(MID($AR230,1,255),country_lookup!$B:$F,2,FALSE)</f>
        <v>1_US</v>
      </c>
      <c r="AL230" t="str">
        <f>VLOOKUP(MID($AR230,1,255),country_lookup!$B:$F,3,FALSE)</f>
        <v>1_developed</v>
      </c>
      <c r="AM230" t="str">
        <f>VLOOKUP(MID($AR230,1,255),country_lookup!$B:$F,4,FALSE)</f>
        <v>1_western</v>
      </c>
      <c r="AN230" t="str">
        <f>VLOOKUP(MID($AR230,1,255),country_lookup!$B:$F,5,FALSE)</f>
        <v>1_common law</v>
      </c>
      <c r="AO230" s="10" t="str">
        <f>VLOOKUP(MID($AS230,1,255),source_lookup!$B:$K,4,FALSE)</f>
        <v>0_published</v>
      </c>
      <c r="AP230" s="10" t="str">
        <f>VLOOKUP(MID($AS230,1,255),source_lookup!$B:$K,6,FALSE)</f>
        <v>1_VHB high</v>
      </c>
      <c r="AQ230" s="10" t="str">
        <f>VLOOKUP(MID($AS230,1,255),source_lookup!$B:$K,10,FALSE)</f>
        <v>3_mgmt</v>
      </c>
      <c r="AR230" t="s">
        <v>85</v>
      </c>
      <c r="AS230" t="s">
        <v>130</v>
      </c>
    </row>
    <row r="231" spans="1:45" x14ac:dyDescent="0.3">
      <c r="A231" t="s">
        <v>6</v>
      </c>
      <c r="B231">
        <v>230</v>
      </c>
      <c r="C231" s="1">
        <v>-2.7772419889052604E-4</v>
      </c>
      <c r="D231" s="2">
        <v>324</v>
      </c>
      <c r="E231" s="4">
        <v>5186</v>
      </c>
      <c r="F231" s="4" t="s">
        <v>347</v>
      </c>
      <c r="G231" s="4" t="s">
        <v>346</v>
      </c>
      <c r="H231" t="s">
        <v>77</v>
      </c>
      <c r="I231" t="s">
        <v>350</v>
      </c>
      <c r="J231" s="3">
        <v>1992</v>
      </c>
      <c r="K231" s="3">
        <v>2007</v>
      </c>
      <c r="L231" s="6">
        <f t="shared" si="71"/>
        <v>1999.5</v>
      </c>
      <c r="M231" s="6">
        <f t="shared" si="72"/>
        <v>1999.5</v>
      </c>
      <c r="N231" s="7">
        <f t="shared" si="60"/>
        <v>0</v>
      </c>
      <c r="O231" s="7">
        <f t="shared" si="61"/>
        <v>0</v>
      </c>
      <c r="P231" s="7">
        <f t="shared" si="62"/>
        <v>0</v>
      </c>
      <c r="Q231" s="7">
        <f t="shared" si="73"/>
        <v>0</v>
      </c>
      <c r="R231" s="10" t="str">
        <f t="shared" si="63"/>
        <v>0_Pre</v>
      </c>
      <c r="S231" s="10" t="str">
        <f t="shared" si="64"/>
        <v>0_Pre</v>
      </c>
      <c r="T231" s="10" t="str">
        <f t="shared" si="65"/>
        <v>0_Pre</v>
      </c>
      <c r="U231" s="10" t="str">
        <f t="shared" si="66"/>
        <v>0_Pre</v>
      </c>
      <c r="V231" s="10" t="str">
        <f t="shared" si="74"/>
        <v>0_Pre</v>
      </c>
      <c r="W231" s="10" t="str">
        <f t="shared" si="67"/>
        <v>clean_pre</v>
      </c>
      <c r="X231" s="10" t="str">
        <f t="shared" si="68"/>
        <v>0_Pre</v>
      </c>
      <c r="Y231" s="10" t="str">
        <f t="shared" si="69"/>
        <v>0_Pre</v>
      </c>
      <c r="Z231" s="10" t="str">
        <f t="shared" si="70"/>
        <v>0_Pre</v>
      </c>
      <c r="AA231" s="10" t="str">
        <f t="shared" si="75"/>
        <v>0_Pre</v>
      </c>
      <c r="AB231" s="10" t="str">
        <f t="shared" si="76"/>
        <v>0_Pre</v>
      </c>
      <c r="AC231" s="10" t="str">
        <f t="shared" si="77"/>
        <v>0_Pre</v>
      </c>
      <c r="AD231" s="10" t="str">
        <f t="shared" si="78"/>
        <v>1_pre sample median</v>
      </c>
      <c r="AE231" s="10" t="str">
        <f t="shared" si="79"/>
        <v>1_pre sample first tertile</v>
      </c>
      <c r="AF231" t="s">
        <v>80</v>
      </c>
      <c r="AG231" t="s">
        <v>75</v>
      </c>
      <c r="AH231" t="s">
        <v>78</v>
      </c>
      <c r="AI231" t="s">
        <v>123</v>
      </c>
      <c r="AJ231" t="s">
        <v>123</v>
      </c>
      <c r="AK231" t="str">
        <f>VLOOKUP(MID($AR231,1,255),country_lookup!$B:$F,2,FALSE)</f>
        <v>1_US</v>
      </c>
      <c r="AL231" t="str">
        <f>VLOOKUP(MID($AR231,1,255),country_lookup!$B:$F,3,FALSE)</f>
        <v>1_developed</v>
      </c>
      <c r="AM231" t="str">
        <f>VLOOKUP(MID($AR231,1,255),country_lookup!$B:$F,4,FALSE)</f>
        <v>1_western</v>
      </c>
      <c r="AN231" t="str">
        <f>VLOOKUP(MID($AR231,1,255),country_lookup!$B:$F,5,FALSE)</f>
        <v>1_common law</v>
      </c>
      <c r="AO231" s="10" t="str">
        <f>VLOOKUP(MID($AS231,1,255),source_lookup!$B:$K,4,FALSE)</f>
        <v>0_published</v>
      </c>
      <c r="AP231" s="10" t="str">
        <f>VLOOKUP(MID($AS231,1,255),source_lookup!$B:$K,6,FALSE)</f>
        <v>1_VHB high</v>
      </c>
      <c r="AQ231" s="10" t="str">
        <f>VLOOKUP(MID($AS231,1,255),source_lookup!$B:$K,10,FALSE)</f>
        <v>3_mgmt</v>
      </c>
      <c r="AR231" t="s">
        <v>85</v>
      </c>
      <c r="AS231" t="s">
        <v>130</v>
      </c>
    </row>
    <row r="232" spans="1:45" x14ac:dyDescent="0.3">
      <c r="A232" t="s">
        <v>7</v>
      </c>
      <c r="B232">
        <v>231</v>
      </c>
      <c r="C232" s="1">
        <v>-3.3385160882442931E-3</v>
      </c>
      <c r="D232" s="2">
        <v>836</v>
      </c>
      <c r="E232" s="4">
        <v>7476</v>
      </c>
      <c r="F232" s="4" t="s">
        <v>347</v>
      </c>
      <c r="G232" s="4" t="s">
        <v>346</v>
      </c>
      <c r="H232" t="s">
        <v>77</v>
      </c>
      <c r="I232" t="s">
        <v>352</v>
      </c>
      <c r="J232" s="3">
        <v>1988</v>
      </c>
      <c r="K232" s="3">
        <v>2015</v>
      </c>
      <c r="L232" s="6">
        <f t="shared" si="71"/>
        <v>2001.5</v>
      </c>
      <c r="M232" s="6">
        <f t="shared" si="72"/>
        <v>2001.5</v>
      </c>
      <c r="N232" s="7">
        <f t="shared" si="60"/>
        <v>0</v>
      </c>
      <c r="O232" s="7">
        <f t="shared" si="61"/>
        <v>0</v>
      </c>
      <c r="P232" s="7">
        <f t="shared" si="62"/>
        <v>0</v>
      </c>
      <c r="Q232" s="7">
        <f t="shared" si="73"/>
        <v>0</v>
      </c>
      <c r="R232" s="10" t="str">
        <f t="shared" si="63"/>
        <v>0_Pre</v>
      </c>
      <c r="S232" s="10" t="str">
        <f t="shared" si="64"/>
        <v>0_Pre</v>
      </c>
      <c r="T232" s="10" t="str">
        <f t="shared" si="65"/>
        <v>0_Pre</v>
      </c>
      <c r="U232" s="10" t="str">
        <f t="shared" si="66"/>
        <v>0_Pre</v>
      </c>
      <c r="V232" s="10" t="str">
        <f t="shared" si="74"/>
        <v>0_Pre</v>
      </c>
      <c r="W232" s="10" t="str">
        <f t="shared" si="67"/>
        <v>clean_pre</v>
      </c>
      <c r="X232" s="10" t="str">
        <f t="shared" si="68"/>
        <v>0_Pre</v>
      </c>
      <c r="Y232" s="10" t="str">
        <f t="shared" si="69"/>
        <v>0_Pre</v>
      </c>
      <c r="Z232" s="10" t="str">
        <f t="shared" si="70"/>
        <v>0_Pre</v>
      </c>
      <c r="AA232" s="10" t="str">
        <f t="shared" si="75"/>
        <v>0_Pre</v>
      </c>
      <c r="AB232" s="10" t="str">
        <f t="shared" si="76"/>
        <v>0_Pre</v>
      </c>
      <c r="AC232" s="10" t="str">
        <f t="shared" si="77"/>
        <v>0_Pre</v>
      </c>
      <c r="AD232" s="10" t="str">
        <f t="shared" si="78"/>
        <v>1_pre sample median</v>
      </c>
      <c r="AE232" s="10" t="str">
        <f t="shared" si="79"/>
        <v>1_pre sample first tertile</v>
      </c>
      <c r="AF232" t="s">
        <v>80</v>
      </c>
      <c r="AG232" t="s">
        <v>75</v>
      </c>
      <c r="AH232" t="s">
        <v>78</v>
      </c>
      <c r="AI232" t="s">
        <v>122</v>
      </c>
      <c r="AJ232" t="s">
        <v>123</v>
      </c>
      <c r="AK232" t="str">
        <f>VLOOKUP(MID($AR232,1,255),country_lookup!$B:$F,2,FALSE)</f>
        <v>1_US</v>
      </c>
      <c r="AL232" t="str">
        <f>VLOOKUP(MID($AR232,1,255),country_lookup!$B:$F,3,FALSE)</f>
        <v>1_developed</v>
      </c>
      <c r="AM232" t="str">
        <f>VLOOKUP(MID($AR232,1,255),country_lookup!$B:$F,4,FALSE)</f>
        <v>1_western</v>
      </c>
      <c r="AN232" t="str">
        <f>VLOOKUP(MID($AR232,1,255),country_lookup!$B:$F,5,FALSE)</f>
        <v>1_common law</v>
      </c>
      <c r="AO232" s="10" t="str">
        <f>VLOOKUP(MID($AS232,1,255),source_lookup!$B:$K,4,FALSE)</f>
        <v>0_published</v>
      </c>
      <c r="AP232" s="10" t="str">
        <f>VLOOKUP(MID($AS232,1,255),source_lookup!$B:$K,6,FALSE)</f>
        <v>1_VHB high</v>
      </c>
      <c r="AQ232" s="10" t="str">
        <f>VLOOKUP(MID($AS232,1,255),source_lookup!$B:$K,10,FALSE)</f>
        <v>3_mgmt</v>
      </c>
      <c r="AR232" t="s">
        <v>85</v>
      </c>
      <c r="AS232" t="s">
        <v>131</v>
      </c>
    </row>
    <row r="233" spans="1:45" x14ac:dyDescent="0.3">
      <c r="A233" t="s">
        <v>7</v>
      </c>
      <c r="B233">
        <v>232</v>
      </c>
      <c r="C233" s="1">
        <v>-2.0109876239888073E-3</v>
      </c>
      <c r="D233" s="2">
        <v>836</v>
      </c>
      <c r="E233" s="4">
        <v>7263</v>
      </c>
      <c r="F233" s="4" t="s">
        <v>347</v>
      </c>
      <c r="G233" s="4" t="s">
        <v>346</v>
      </c>
      <c r="H233" t="s">
        <v>77</v>
      </c>
      <c r="I233" t="s">
        <v>352</v>
      </c>
      <c r="J233" s="3">
        <v>1988</v>
      </c>
      <c r="K233" s="3">
        <v>2015</v>
      </c>
      <c r="L233" s="6">
        <f t="shared" si="71"/>
        <v>2001.5</v>
      </c>
      <c r="M233" s="6">
        <f t="shared" si="72"/>
        <v>2001.5</v>
      </c>
      <c r="N233" s="7">
        <f t="shared" si="60"/>
        <v>0</v>
      </c>
      <c r="O233" s="7">
        <f t="shared" si="61"/>
        <v>0</v>
      </c>
      <c r="P233" s="7">
        <f t="shared" si="62"/>
        <v>0</v>
      </c>
      <c r="Q233" s="7">
        <f t="shared" si="73"/>
        <v>0</v>
      </c>
      <c r="R233" s="10" t="str">
        <f t="shared" si="63"/>
        <v>0_Pre</v>
      </c>
      <c r="S233" s="10" t="str">
        <f t="shared" si="64"/>
        <v>0_Pre</v>
      </c>
      <c r="T233" s="10" t="str">
        <f t="shared" si="65"/>
        <v>0_Pre</v>
      </c>
      <c r="U233" s="10" t="str">
        <f t="shared" si="66"/>
        <v>0_Pre</v>
      </c>
      <c r="V233" s="10" t="str">
        <f t="shared" si="74"/>
        <v>0_Pre</v>
      </c>
      <c r="W233" s="10" t="str">
        <f t="shared" si="67"/>
        <v>clean_pre</v>
      </c>
      <c r="X233" s="10" t="str">
        <f t="shared" si="68"/>
        <v>0_Pre</v>
      </c>
      <c r="Y233" s="10" t="str">
        <f t="shared" si="69"/>
        <v>0_Pre</v>
      </c>
      <c r="Z233" s="10" t="str">
        <f t="shared" si="70"/>
        <v>0_Pre</v>
      </c>
      <c r="AA233" s="10" t="str">
        <f t="shared" si="75"/>
        <v>0_Pre</v>
      </c>
      <c r="AB233" s="10" t="str">
        <f t="shared" si="76"/>
        <v>0_Pre</v>
      </c>
      <c r="AC233" s="10" t="str">
        <f t="shared" si="77"/>
        <v>0_Pre</v>
      </c>
      <c r="AD233" s="10" t="str">
        <f t="shared" si="78"/>
        <v>1_pre sample median</v>
      </c>
      <c r="AE233" s="10" t="str">
        <f t="shared" si="79"/>
        <v>1_pre sample first tertile</v>
      </c>
      <c r="AF233" t="s">
        <v>80</v>
      </c>
      <c r="AG233" t="s">
        <v>75</v>
      </c>
      <c r="AH233" t="s">
        <v>78</v>
      </c>
      <c r="AI233" t="s">
        <v>122</v>
      </c>
      <c r="AJ233" t="s">
        <v>123</v>
      </c>
      <c r="AK233" t="str">
        <f>VLOOKUP(MID($AR233,1,255),country_lookup!$B:$F,2,FALSE)</f>
        <v>1_US</v>
      </c>
      <c r="AL233" t="str">
        <f>VLOOKUP(MID($AR233,1,255),country_lookup!$B:$F,3,FALSE)</f>
        <v>1_developed</v>
      </c>
      <c r="AM233" t="str">
        <f>VLOOKUP(MID($AR233,1,255),country_lookup!$B:$F,4,FALSE)</f>
        <v>1_western</v>
      </c>
      <c r="AN233" t="str">
        <f>VLOOKUP(MID($AR233,1,255),country_lookup!$B:$F,5,FALSE)</f>
        <v>1_common law</v>
      </c>
      <c r="AO233" s="10" t="str">
        <f>VLOOKUP(MID($AS233,1,255),source_lookup!$B:$K,4,FALSE)</f>
        <v>0_published</v>
      </c>
      <c r="AP233" s="10" t="str">
        <f>VLOOKUP(MID($AS233,1,255),source_lookup!$B:$K,6,FALSE)</f>
        <v>1_VHB high</v>
      </c>
      <c r="AQ233" s="10" t="str">
        <f>VLOOKUP(MID($AS233,1,255),source_lookup!$B:$K,10,FALSE)</f>
        <v>3_mgmt</v>
      </c>
      <c r="AR233" t="s">
        <v>85</v>
      </c>
      <c r="AS233" t="s">
        <v>131</v>
      </c>
    </row>
    <row r="234" spans="1:45" x14ac:dyDescent="0.3">
      <c r="A234" t="s">
        <v>7</v>
      </c>
      <c r="B234">
        <v>233</v>
      </c>
      <c r="C234" s="1">
        <v>-2.1229823607759888E-3</v>
      </c>
      <c r="D234" s="2">
        <v>836</v>
      </c>
      <c r="E234" s="4">
        <v>7263</v>
      </c>
      <c r="F234" s="4" t="s">
        <v>347</v>
      </c>
      <c r="G234" s="4" t="s">
        <v>346</v>
      </c>
      <c r="H234" t="s">
        <v>77</v>
      </c>
      <c r="I234" t="s">
        <v>352</v>
      </c>
      <c r="J234" s="3">
        <v>1988</v>
      </c>
      <c r="K234" s="3">
        <v>2015</v>
      </c>
      <c r="L234" s="6">
        <f t="shared" si="71"/>
        <v>2001.5</v>
      </c>
      <c r="M234" s="6">
        <f t="shared" si="72"/>
        <v>2001.5</v>
      </c>
      <c r="N234" s="7">
        <f t="shared" si="60"/>
        <v>0</v>
      </c>
      <c r="O234" s="7">
        <f t="shared" si="61"/>
        <v>0</v>
      </c>
      <c r="P234" s="7">
        <f t="shared" si="62"/>
        <v>0</v>
      </c>
      <c r="Q234" s="7">
        <f t="shared" si="73"/>
        <v>0</v>
      </c>
      <c r="R234" s="10" t="str">
        <f t="shared" si="63"/>
        <v>0_Pre</v>
      </c>
      <c r="S234" s="10" t="str">
        <f t="shared" si="64"/>
        <v>0_Pre</v>
      </c>
      <c r="T234" s="10" t="str">
        <f t="shared" si="65"/>
        <v>0_Pre</v>
      </c>
      <c r="U234" s="10" t="str">
        <f t="shared" si="66"/>
        <v>0_Pre</v>
      </c>
      <c r="V234" s="10" t="str">
        <f t="shared" si="74"/>
        <v>0_Pre</v>
      </c>
      <c r="W234" s="10" t="str">
        <f t="shared" si="67"/>
        <v>clean_pre</v>
      </c>
      <c r="X234" s="10" t="str">
        <f t="shared" si="68"/>
        <v>0_Pre</v>
      </c>
      <c r="Y234" s="10" t="str">
        <f t="shared" si="69"/>
        <v>0_Pre</v>
      </c>
      <c r="Z234" s="10" t="str">
        <f t="shared" si="70"/>
        <v>0_Pre</v>
      </c>
      <c r="AA234" s="10" t="str">
        <f t="shared" si="75"/>
        <v>0_Pre</v>
      </c>
      <c r="AB234" s="10" t="str">
        <f t="shared" si="76"/>
        <v>0_Pre</v>
      </c>
      <c r="AC234" s="10" t="str">
        <f t="shared" si="77"/>
        <v>0_Pre</v>
      </c>
      <c r="AD234" s="10" t="str">
        <f t="shared" si="78"/>
        <v>1_pre sample median</v>
      </c>
      <c r="AE234" s="10" t="str">
        <f t="shared" si="79"/>
        <v>1_pre sample first tertile</v>
      </c>
      <c r="AF234" t="s">
        <v>80</v>
      </c>
      <c r="AG234" t="s">
        <v>75</v>
      </c>
      <c r="AH234" t="s">
        <v>78</v>
      </c>
      <c r="AI234" t="s">
        <v>122</v>
      </c>
      <c r="AJ234" t="s">
        <v>123</v>
      </c>
      <c r="AK234" t="str">
        <f>VLOOKUP(MID($AR234,1,255),country_lookup!$B:$F,2,FALSE)</f>
        <v>1_US</v>
      </c>
      <c r="AL234" t="str">
        <f>VLOOKUP(MID($AR234,1,255),country_lookup!$B:$F,3,FALSE)</f>
        <v>1_developed</v>
      </c>
      <c r="AM234" t="str">
        <f>VLOOKUP(MID($AR234,1,255),country_lookup!$B:$F,4,FALSE)</f>
        <v>1_western</v>
      </c>
      <c r="AN234" t="str">
        <f>VLOOKUP(MID($AR234,1,255),country_lookup!$B:$F,5,FALSE)</f>
        <v>1_common law</v>
      </c>
      <c r="AO234" s="10" t="str">
        <f>VLOOKUP(MID($AS234,1,255),source_lookup!$B:$K,4,FALSE)</f>
        <v>0_published</v>
      </c>
      <c r="AP234" s="10" t="str">
        <f>VLOOKUP(MID($AS234,1,255),source_lookup!$B:$K,6,FALSE)</f>
        <v>1_VHB high</v>
      </c>
      <c r="AQ234" s="10" t="str">
        <f>VLOOKUP(MID($AS234,1,255),source_lookup!$B:$K,10,FALSE)</f>
        <v>3_mgmt</v>
      </c>
      <c r="AR234" t="s">
        <v>85</v>
      </c>
      <c r="AS234" t="s">
        <v>131</v>
      </c>
    </row>
    <row r="235" spans="1:45" x14ac:dyDescent="0.3">
      <c r="A235" t="s">
        <v>7</v>
      </c>
      <c r="B235">
        <v>234</v>
      </c>
      <c r="C235" s="1">
        <v>-4.1437035345434576E-3</v>
      </c>
      <c r="D235" s="2">
        <v>836</v>
      </c>
      <c r="E235" s="4">
        <v>7263</v>
      </c>
      <c r="F235" s="4" t="s">
        <v>347</v>
      </c>
      <c r="G235" s="4" t="s">
        <v>346</v>
      </c>
      <c r="H235" t="s">
        <v>77</v>
      </c>
      <c r="I235" t="s">
        <v>352</v>
      </c>
      <c r="J235" s="3">
        <v>1988</v>
      </c>
      <c r="K235" s="3">
        <v>2015</v>
      </c>
      <c r="L235" s="6">
        <f t="shared" si="71"/>
        <v>2001.5</v>
      </c>
      <c r="M235" s="6">
        <f t="shared" si="72"/>
        <v>2001.5</v>
      </c>
      <c r="N235" s="7">
        <f t="shared" si="60"/>
        <v>0</v>
      </c>
      <c r="O235" s="7">
        <f t="shared" si="61"/>
        <v>0</v>
      </c>
      <c r="P235" s="7">
        <f t="shared" si="62"/>
        <v>0</v>
      </c>
      <c r="Q235" s="7">
        <f t="shared" si="73"/>
        <v>0</v>
      </c>
      <c r="R235" s="10" t="str">
        <f t="shared" si="63"/>
        <v>0_Pre</v>
      </c>
      <c r="S235" s="10" t="str">
        <f t="shared" si="64"/>
        <v>0_Pre</v>
      </c>
      <c r="T235" s="10" t="str">
        <f t="shared" si="65"/>
        <v>0_Pre</v>
      </c>
      <c r="U235" s="10" t="str">
        <f t="shared" si="66"/>
        <v>0_Pre</v>
      </c>
      <c r="V235" s="10" t="str">
        <f t="shared" si="74"/>
        <v>0_Pre</v>
      </c>
      <c r="W235" s="10" t="str">
        <f t="shared" si="67"/>
        <v>clean_pre</v>
      </c>
      <c r="X235" s="10" t="str">
        <f t="shared" si="68"/>
        <v>0_Pre</v>
      </c>
      <c r="Y235" s="10" t="str">
        <f t="shared" si="69"/>
        <v>0_Pre</v>
      </c>
      <c r="Z235" s="10" t="str">
        <f t="shared" si="70"/>
        <v>0_Pre</v>
      </c>
      <c r="AA235" s="10" t="str">
        <f t="shared" si="75"/>
        <v>0_Pre</v>
      </c>
      <c r="AB235" s="10" t="str">
        <f t="shared" si="76"/>
        <v>0_Pre</v>
      </c>
      <c r="AC235" s="10" t="str">
        <f t="shared" si="77"/>
        <v>0_Pre</v>
      </c>
      <c r="AD235" s="10" t="str">
        <f t="shared" si="78"/>
        <v>1_pre sample median</v>
      </c>
      <c r="AE235" s="10" t="str">
        <f t="shared" si="79"/>
        <v>1_pre sample first tertile</v>
      </c>
      <c r="AF235" t="s">
        <v>80</v>
      </c>
      <c r="AG235" t="s">
        <v>75</v>
      </c>
      <c r="AH235" t="s">
        <v>78</v>
      </c>
      <c r="AI235" t="s">
        <v>122</v>
      </c>
      <c r="AJ235" t="s">
        <v>123</v>
      </c>
      <c r="AK235" t="str">
        <f>VLOOKUP(MID($AR235,1,255),country_lookup!$B:$F,2,FALSE)</f>
        <v>1_US</v>
      </c>
      <c r="AL235" t="str">
        <f>VLOOKUP(MID($AR235,1,255),country_lookup!$B:$F,3,FALSE)</f>
        <v>1_developed</v>
      </c>
      <c r="AM235" t="str">
        <f>VLOOKUP(MID($AR235,1,255),country_lookup!$B:$F,4,FALSE)</f>
        <v>1_western</v>
      </c>
      <c r="AN235" t="str">
        <f>VLOOKUP(MID($AR235,1,255),country_lookup!$B:$F,5,FALSE)</f>
        <v>1_common law</v>
      </c>
      <c r="AO235" s="10" t="str">
        <f>VLOOKUP(MID($AS235,1,255),source_lookup!$B:$K,4,FALSE)</f>
        <v>0_published</v>
      </c>
      <c r="AP235" s="10" t="str">
        <f>VLOOKUP(MID($AS235,1,255),source_lookup!$B:$K,6,FALSE)</f>
        <v>1_VHB high</v>
      </c>
      <c r="AQ235" s="10" t="str">
        <f>VLOOKUP(MID($AS235,1,255),source_lookup!$B:$K,10,FALSE)</f>
        <v>3_mgmt</v>
      </c>
      <c r="AR235" t="s">
        <v>85</v>
      </c>
      <c r="AS235" t="s">
        <v>131</v>
      </c>
    </row>
    <row r="236" spans="1:45" x14ac:dyDescent="0.3">
      <c r="A236" t="s">
        <v>7</v>
      </c>
      <c r="B236">
        <v>235</v>
      </c>
      <c r="C236" s="1">
        <v>-2.0467331179743303E-4</v>
      </c>
      <c r="D236" s="2">
        <v>836</v>
      </c>
      <c r="E236" s="4">
        <v>7263</v>
      </c>
      <c r="F236" s="4" t="s">
        <v>347</v>
      </c>
      <c r="G236" s="4" t="s">
        <v>346</v>
      </c>
      <c r="H236" t="s">
        <v>77</v>
      </c>
      <c r="I236" t="s">
        <v>352</v>
      </c>
      <c r="J236" s="3">
        <v>1988</v>
      </c>
      <c r="K236" s="3">
        <v>2015</v>
      </c>
      <c r="L236" s="6">
        <f t="shared" si="71"/>
        <v>2001.5</v>
      </c>
      <c r="M236" s="6">
        <f t="shared" si="72"/>
        <v>2001.5</v>
      </c>
      <c r="N236" s="7">
        <f t="shared" si="60"/>
        <v>0</v>
      </c>
      <c r="O236" s="7">
        <f t="shared" si="61"/>
        <v>0</v>
      </c>
      <c r="P236" s="7">
        <f t="shared" si="62"/>
        <v>0</v>
      </c>
      <c r="Q236" s="7">
        <f t="shared" si="73"/>
        <v>0</v>
      </c>
      <c r="R236" s="10" t="str">
        <f t="shared" si="63"/>
        <v>0_Pre</v>
      </c>
      <c r="S236" s="10" t="str">
        <f t="shared" si="64"/>
        <v>0_Pre</v>
      </c>
      <c r="T236" s="10" t="str">
        <f t="shared" si="65"/>
        <v>0_Pre</v>
      </c>
      <c r="U236" s="10" t="str">
        <f t="shared" si="66"/>
        <v>0_Pre</v>
      </c>
      <c r="V236" s="10" t="str">
        <f t="shared" si="74"/>
        <v>0_Pre</v>
      </c>
      <c r="W236" s="10" t="str">
        <f t="shared" si="67"/>
        <v>clean_pre</v>
      </c>
      <c r="X236" s="10" t="str">
        <f t="shared" si="68"/>
        <v>0_Pre</v>
      </c>
      <c r="Y236" s="10" t="str">
        <f t="shared" si="69"/>
        <v>0_Pre</v>
      </c>
      <c r="Z236" s="10" t="str">
        <f t="shared" si="70"/>
        <v>0_Pre</v>
      </c>
      <c r="AA236" s="10" t="str">
        <f t="shared" si="75"/>
        <v>0_Pre</v>
      </c>
      <c r="AB236" s="10" t="str">
        <f t="shared" si="76"/>
        <v>0_Pre</v>
      </c>
      <c r="AC236" s="10" t="str">
        <f t="shared" si="77"/>
        <v>0_Pre</v>
      </c>
      <c r="AD236" s="10" t="str">
        <f t="shared" si="78"/>
        <v>1_pre sample median</v>
      </c>
      <c r="AE236" s="10" t="str">
        <f t="shared" si="79"/>
        <v>1_pre sample first tertile</v>
      </c>
      <c r="AF236" t="s">
        <v>80</v>
      </c>
      <c r="AG236" t="s">
        <v>75</v>
      </c>
      <c r="AH236" t="s">
        <v>78</v>
      </c>
      <c r="AI236" t="s">
        <v>122</v>
      </c>
      <c r="AJ236" t="s">
        <v>123</v>
      </c>
      <c r="AK236" t="str">
        <f>VLOOKUP(MID($AR236,1,255),country_lookup!$B:$F,2,FALSE)</f>
        <v>1_US</v>
      </c>
      <c r="AL236" t="str">
        <f>VLOOKUP(MID($AR236,1,255),country_lookup!$B:$F,3,FALSE)</f>
        <v>1_developed</v>
      </c>
      <c r="AM236" t="str">
        <f>VLOOKUP(MID($AR236,1,255),country_lookup!$B:$F,4,FALSE)</f>
        <v>1_western</v>
      </c>
      <c r="AN236" t="str">
        <f>VLOOKUP(MID($AR236,1,255),country_lookup!$B:$F,5,FALSE)</f>
        <v>1_common law</v>
      </c>
      <c r="AO236" s="10" t="str">
        <f>VLOOKUP(MID($AS236,1,255),source_lookup!$B:$K,4,FALSE)</f>
        <v>0_published</v>
      </c>
      <c r="AP236" s="10" t="str">
        <f>VLOOKUP(MID($AS236,1,255),source_lookup!$B:$K,6,FALSE)</f>
        <v>1_VHB high</v>
      </c>
      <c r="AQ236" s="10" t="str">
        <f>VLOOKUP(MID($AS236,1,255),source_lookup!$B:$K,10,FALSE)</f>
        <v>3_mgmt</v>
      </c>
      <c r="AR236" t="s">
        <v>85</v>
      </c>
      <c r="AS236" t="s">
        <v>131</v>
      </c>
    </row>
    <row r="237" spans="1:45" x14ac:dyDescent="0.3">
      <c r="A237" t="s">
        <v>7</v>
      </c>
      <c r="B237">
        <v>236</v>
      </c>
      <c r="C237" s="1">
        <v>-2.4443072817797577E-3</v>
      </c>
      <c r="D237" s="2">
        <v>836</v>
      </c>
      <c r="E237" s="4">
        <v>5512</v>
      </c>
      <c r="F237" s="4" t="s">
        <v>347</v>
      </c>
      <c r="G237" s="4" t="s">
        <v>346</v>
      </c>
      <c r="H237" t="s">
        <v>77</v>
      </c>
      <c r="I237" t="s">
        <v>352</v>
      </c>
      <c r="J237" s="3">
        <v>1988</v>
      </c>
      <c r="K237" s="3">
        <v>2015</v>
      </c>
      <c r="L237" s="6">
        <f t="shared" si="71"/>
        <v>2001.5</v>
      </c>
      <c r="M237" s="6">
        <f t="shared" si="72"/>
        <v>2001.5</v>
      </c>
      <c r="N237" s="7">
        <f t="shared" si="60"/>
        <v>0</v>
      </c>
      <c r="O237" s="7">
        <f t="shared" si="61"/>
        <v>0</v>
      </c>
      <c r="P237" s="7">
        <f t="shared" si="62"/>
        <v>0</v>
      </c>
      <c r="Q237" s="7">
        <f t="shared" si="73"/>
        <v>0</v>
      </c>
      <c r="R237" s="10" t="str">
        <f t="shared" si="63"/>
        <v>0_Pre</v>
      </c>
      <c r="S237" s="10" t="str">
        <f t="shared" si="64"/>
        <v>0_Pre</v>
      </c>
      <c r="T237" s="10" t="str">
        <f t="shared" si="65"/>
        <v>0_Pre</v>
      </c>
      <c r="U237" s="10" t="str">
        <f t="shared" si="66"/>
        <v>0_Pre</v>
      </c>
      <c r="V237" s="10" t="str">
        <f t="shared" si="74"/>
        <v>0_Pre</v>
      </c>
      <c r="W237" s="10" t="str">
        <f t="shared" si="67"/>
        <v>clean_pre</v>
      </c>
      <c r="X237" s="10" t="str">
        <f t="shared" si="68"/>
        <v>0_Pre</v>
      </c>
      <c r="Y237" s="10" t="str">
        <f t="shared" si="69"/>
        <v>0_Pre</v>
      </c>
      <c r="Z237" s="10" t="str">
        <f t="shared" si="70"/>
        <v>0_Pre</v>
      </c>
      <c r="AA237" s="10" t="str">
        <f t="shared" si="75"/>
        <v>0_Pre</v>
      </c>
      <c r="AB237" s="10" t="str">
        <f t="shared" si="76"/>
        <v>0_Pre</v>
      </c>
      <c r="AC237" s="10" t="str">
        <f t="shared" si="77"/>
        <v>0_Pre</v>
      </c>
      <c r="AD237" s="10" t="str">
        <f t="shared" si="78"/>
        <v>1_pre sample median</v>
      </c>
      <c r="AE237" s="10" t="str">
        <f t="shared" si="79"/>
        <v>1_pre sample first tertile</v>
      </c>
      <c r="AF237" t="s">
        <v>80</v>
      </c>
      <c r="AG237" t="s">
        <v>75</v>
      </c>
      <c r="AH237" t="s">
        <v>78</v>
      </c>
      <c r="AI237" t="s">
        <v>122</v>
      </c>
      <c r="AJ237" t="s">
        <v>123</v>
      </c>
      <c r="AK237" t="str">
        <f>VLOOKUP(MID($AR237,1,255),country_lookup!$B:$F,2,FALSE)</f>
        <v>1_US</v>
      </c>
      <c r="AL237" t="str">
        <f>VLOOKUP(MID($AR237,1,255),country_lookup!$B:$F,3,FALSE)</f>
        <v>1_developed</v>
      </c>
      <c r="AM237" t="str">
        <f>VLOOKUP(MID($AR237,1,255),country_lookup!$B:$F,4,FALSE)</f>
        <v>1_western</v>
      </c>
      <c r="AN237" t="str">
        <f>VLOOKUP(MID($AR237,1,255),country_lookup!$B:$F,5,FALSE)</f>
        <v>1_common law</v>
      </c>
      <c r="AO237" s="10" t="str">
        <f>VLOOKUP(MID($AS237,1,255),source_lookup!$B:$K,4,FALSE)</f>
        <v>0_published</v>
      </c>
      <c r="AP237" s="10" t="str">
        <f>VLOOKUP(MID($AS237,1,255),source_lookup!$B:$K,6,FALSE)</f>
        <v>1_VHB high</v>
      </c>
      <c r="AQ237" s="10" t="str">
        <f>VLOOKUP(MID($AS237,1,255),source_lookup!$B:$K,10,FALSE)</f>
        <v>3_mgmt</v>
      </c>
      <c r="AR237" t="s">
        <v>85</v>
      </c>
      <c r="AS237" t="s">
        <v>131</v>
      </c>
    </row>
    <row r="238" spans="1:45" x14ac:dyDescent="0.3">
      <c r="A238" t="s">
        <v>7</v>
      </c>
      <c r="B238">
        <v>237</v>
      </c>
      <c r="C238" s="1">
        <v>-8.2311595274425619E-3</v>
      </c>
      <c r="D238" s="2">
        <v>836</v>
      </c>
      <c r="E238" s="4">
        <v>5512</v>
      </c>
      <c r="F238" s="4" t="s">
        <v>347</v>
      </c>
      <c r="G238" s="4" t="s">
        <v>346</v>
      </c>
      <c r="H238" t="s">
        <v>77</v>
      </c>
      <c r="I238" t="s">
        <v>352</v>
      </c>
      <c r="J238" s="3">
        <v>1988</v>
      </c>
      <c r="K238" s="3">
        <v>2015</v>
      </c>
      <c r="L238" s="6">
        <f t="shared" si="71"/>
        <v>2001.5</v>
      </c>
      <c r="M238" s="6">
        <f t="shared" si="72"/>
        <v>2001.5</v>
      </c>
      <c r="N238" s="7">
        <f t="shared" si="60"/>
        <v>0</v>
      </c>
      <c r="O238" s="7">
        <f t="shared" si="61"/>
        <v>0</v>
      </c>
      <c r="P238" s="7">
        <f t="shared" si="62"/>
        <v>0</v>
      </c>
      <c r="Q238" s="7">
        <f t="shared" si="73"/>
        <v>0</v>
      </c>
      <c r="R238" s="10" t="str">
        <f t="shared" si="63"/>
        <v>0_Pre</v>
      </c>
      <c r="S238" s="10" t="str">
        <f t="shared" si="64"/>
        <v>0_Pre</v>
      </c>
      <c r="T238" s="10" t="str">
        <f t="shared" si="65"/>
        <v>0_Pre</v>
      </c>
      <c r="U238" s="10" t="str">
        <f t="shared" si="66"/>
        <v>0_Pre</v>
      </c>
      <c r="V238" s="10" t="str">
        <f t="shared" si="74"/>
        <v>0_Pre</v>
      </c>
      <c r="W238" s="10" t="str">
        <f t="shared" si="67"/>
        <v>clean_pre</v>
      </c>
      <c r="X238" s="10" t="str">
        <f t="shared" si="68"/>
        <v>0_Pre</v>
      </c>
      <c r="Y238" s="10" t="str">
        <f t="shared" si="69"/>
        <v>0_Pre</v>
      </c>
      <c r="Z238" s="10" t="str">
        <f t="shared" si="70"/>
        <v>0_Pre</v>
      </c>
      <c r="AA238" s="10" t="str">
        <f t="shared" si="75"/>
        <v>0_Pre</v>
      </c>
      <c r="AB238" s="10" t="str">
        <f t="shared" si="76"/>
        <v>0_Pre</v>
      </c>
      <c r="AC238" s="10" t="str">
        <f t="shared" si="77"/>
        <v>0_Pre</v>
      </c>
      <c r="AD238" s="10" t="str">
        <f t="shared" si="78"/>
        <v>1_pre sample median</v>
      </c>
      <c r="AE238" s="10" t="str">
        <f t="shared" si="79"/>
        <v>1_pre sample first tertile</v>
      </c>
      <c r="AF238" t="s">
        <v>80</v>
      </c>
      <c r="AG238" t="s">
        <v>75</v>
      </c>
      <c r="AH238" t="s">
        <v>78</v>
      </c>
      <c r="AI238" t="s">
        <v>122</v>
      </c>
      <c r="AJ238" t="s">
        <v>123</v>
      </c>
      <c r="AK238" t="str">
        <f>VLOOKUP(MID($AR238,1,255),country_lookup!$B:$F,2,FALSE)</f>
        <v>1_US</v>
      </c>
      <c r="AL238" t="str">
        <f>VLOOKUP(MID($AR238,1,255),country_lookup!$B:$F,3,FALSE)</f>
        <v>1_developed</v>
      </c>
      <c r="AM238" t="str">
        <f>VLOOKUP(MID($AR238,1,255),country_lookup!$B:$F,4,FALSE)</f>
        <v>1_western</v>
      </c>
      <c r="AN238" t="str">
        <f>VLOOKUP(MID($AR238,1,255),country_lookup!$B:$F,5,FALSE)</f>
        <v>1_common law</v>
      </c>
      <c r="AO238" s="10" t="str">
        <f>VLOOKUP(MID($AS238,1,255),source_lookup!$B:$K,4,FALSE)</f>
        <v>0_published</v>
      </c>
      <c r="AP238" s="10" t="str">
        <f>VLOOKUP(MID($AS238,1,255),source_lookup!$B:$K,6,FALSE)</f>
        <v>1_VHB high</v>
      </c>
      <c r="AQ238" s="10" t="str">
        <f>VLOOKUP(MID($AS238,1,255),source_lookup!$B:$K,10,FALSE)</f>
        <v>3_mgmt</v>
      </c>
      <c r="AR238" t="s">
        <v>85</v>
      </c>
      <c r="AS238" t="s">
        <v>131</v>
      </c>
    </row>
    <row r="239" spans="1:45" x14ac:dyDescent="0.3">
      <c r="A239" t="s">
        <v>7</v>
      </c>
      <c r="B239">
        <v>238</v>
      </c>
      <c r="C239" s="1">
        <v>1.3493849146913052E-2</v>
      </c>
      <c r="D239" s="2">
        <v>836</v>
      </c>
      <c r="E239" s="4">
        <v>5081</v>
      </c>
      <c r="F239" s="4" t="s">
        <v>347</v>
      </c>
      <c r="G239" s="4" t="s">
        <v>346</v>
      </c>
      <c r="H239" t="s">
        <v>77</v>
      </c>
      <c r="I239" t="s">
        <v>352</v>
      </c>
      <c r="J239" s="3">
        <v>1988</v>
      </c>
      <c r="K239" s="3">
        <v>2015</v>
      </c>
      <c r="L239" s="6">
        <f t="shared" si="71"/>
        <v>2001.5</v>
      </c>
      <c r="M239" s="6">
        <f t="shared" si="72"/>
        <v>2001.5</v>
      </c>
      <c r="N239" s="7">
        <f t="shared" si="60"/>
        <v>0</v>
      </c>
      <c r="O239" s="7">
        <f t="shared" si="61"/>
        <v>0</v>
      </c>
      <c r="P239" s="7">
        <f t="shared" si="62"/>
        <v>0</v>
      </c>
      <c r="Q239" s="7">
        <f t="shared" si="73"/>
        <v>0</v>
      </c>
      <c r="R239" s="10" t="str">
        <f t="shared" si="63"/>
        <v>0_Pre</v>
      </c>
      <c r="S239" s="10" t="str">
        <f t="shared" si="64"/>
        <v>0_Pre</v>
      </c>
      <c r="T239" s="10" t="str">
        <f t="shared" si="65"/>
        <v>0_Pre</v>
      </c>
      <c r="U239" s="10" t="str">
        <f t="shared" si="66"/>
        <v>0_Pre</v>
      </c>
      <c r="V239" s="10" t="str">
        <f t="shared" si="74"/>
        <v>0_Pre</v>
      </c>
      <c r="W239" s="10" t="str">
        <f t="shared" si="67"/>
        <v>clean_pre</v>
      </c>
      <c r="X239" s="10" t="str">
        <f t="shared" si="68"/>
        <v>0_Pre</v>
      </c>
      <c r="Y239" s="10" t="str">
        <f t="shared" si="69"/>
        <v>0_Pre</v>
      </c>
      <c r="Z239" s="10" t="str">
        <f t="shared" si="70"/>
        <v>0_Pre</v>
      </c>
      <c r="AA239" s="10" t="str">
        <f t="shared" si="75"/>
        <v>0_Pre</v>
      </c>
      <c r="AB239" s="10" t="str">
        <f t="shared" si="76"/>
        <v>0_Pre</v>
      </c>
      <c r="AC239" s="10" t="str">
        <f t="shared" si="77"/>
        <v>0_Pre</v>
      </c>
      <c r="AD239" s="10" t="str">
        <f t="shared" si="78"/>
        <v>1_pre sample median</v>
      </c>
      <c r="AE239" s="10" t="str">
        <f t="shared" si="79"/>
        <v>1_pre sample first tertile</v>
      </c>
      <c r="AF239" t="s">
        <v>80</v>
      </c>
      <c r="AG239" t="s">
        <v>75</v>
      </c>
      <c r="AH239" t="s">
        <v>78</v>
      </c>
      <c r="AI239" t="s">
        <v>122</v>
      </c>
      <c r="AJ239" t="s">
        <v>123</v>
      </c>
      <c r="AK239" t="str">
        <f>VLOOKUP(MID($AR239,1,255),country_lookup!$B:$F,2,FALSE)</f>
        <v>1_US</v>
      </c>
      <c r="AL239" t="str">
        <f>VLOOKUP(MID($AR239,1,255),country_lookup!$B:$F,3,FALSE)</f>
        <v>1_developed</v>
      </c>
      <c r="AM239" t="str">
        <f>VLOOKUP(MID($AR239,1,255),country_lookup!$B:$F,4,FALSE)</f>
        <v>1_western</v>
      </c>
      <c r="AN239" t="str">
        <f>VLOOKUP(MID($AR239,1,255),country_lookup!$B:$F,5,FALSE)</f>
        <v>1_common law</v>
      </c>
      <c r="AO239" s="10" t="str">
        <f>VLOOKUP(MID($AS239,1,255),source_lookup!$B:$K,4,FALSE)</f>
        <v>0_published</v>
      </c>
      <c r="AP239" s="10" t="str">
        <f>VLOOKUP(MID($AS239,1,255),source_lookup!$B:$K,6,FALSE)</f>
        <v>1_VHB high</v>
      </c>
      <c r="AQ239" s="10" t="str">
        <f>VLOOKUP(MID($AS239,1,255),source_lookup!$B:$K,10,FALSE)</f>
        <v>3_mgmt</v>
      </c>
      <c r="AR239" t="s">
        <v>85</v>
      </c>
      <c r="AS239" t="s">
        <v>131</v>
      </c>
    </row>
    <row r="240" spans="1:45" x14ac:dyDescent="0.3">
      <c r="A240" t="s">
        <v>7</v>
      </c>
      <c r="B240">
        <v>239</v>
      </c>
      <c r="C240" s="1">
        <v>-3.1978014670392627E-4</v>
      </c>
      <c r="D240" s="2">
        <v>836</v>
      </c>
      <c r="E240" s="4">
        <v>5081</v>
      </c>
      <c r="F240" s="4" t="s">
        <v>347</v>
      </c>
      <c r="G240" s="4" t="s">
        <v>346</v>
      </c>
      <c r="H240" t="s">
        <v>77</v>
      </c>
      <c r="I240" t="s">
        <v>352</v>
      </c>
      <c r="J240" s="3">
        <v>1988</v>
      </c>
      <c r="K240" s="3">
        <v>2015</v>
      </c>
      <c r="L240" s="6">
        <f t="shared" si="71"/>
        <v>2001.5</v>
      </c>
      <c r="M240" s="6">
        <f t="shared" si="72"/>
        <v>2001.5</v>
      </c>
      <c r="N240" s="7">
        <f t="shared" si="60"/>
        <v>0</v>
      </c>
      <c r="O240" s="7">
        <f t="shared" si="61"/>
        <v>0</v>
      </c>
      <c r="P240" s="7">
        <f t="shared" si="62"/>
        <v>0</v>
      </c>
      <c r="Q240" s="7">
        <f t="shared" si="73"/>
        <v>0</v>
      </c>
      <c r="R240" s="10" t="str">
        <f t="shared" si="63"/>
        <v>0_Pre</v>
      </c>
      <c r="S240" s="10" t="str">
        <f t="shared" si="64"/>
        <v>0_Pre</v>
      </c>
      <c r="T240" s="10" t="str">
        <f t="shared" si="65"/>
        <v>0_Pre</v>
      </c>
      <c r="U240" s="10" t="str">
        <f t="shared" si="66"/>
        <v>0_Pre</v>
      </c>
      <c r="V240" s="10" t="str">
        <f t="shared" si="74"/>
        <v>0_Pre</v>
      </c>
      <c r="W240" s="10" t="str">
        <f t="shared" si="67"/>
        <v>clean_pre</v>
      </c>
      <c r="X240" s="10" t="str">
        <f t="shared" si="68"/>
        <v>0_Pre</v>
      </c>
      <c r="Y240" s="10" t="str">
        <f t="shared" si="69"/>
        <v>0_Pre</v>
      </c>
      <c r="Z240" s="10" t="str">
        <f t="shared" si="70"/>
        <v>0_Pre</v>
      </c>
      <c r="AA240" s="10" t="str">
        <f t="shared" si="75"/>
        <v>0_Pre</v>
      </c>
      <c r="AB240" s="10" t="str">
        <f t="shared" si="76"/>
        <v>0_Pre</v>
      </c>
      <c r="AC240" s="10" t="str">
        <f t="shared" si="77"/>
        <v>0_Pre</v>
      </c>
      <c r="AD240" s="10" t="str">
        <f t="shared" si="78"/>
        <v>1_pre sample median</v>
      </c>
      <c r="AE240" s="10" t="str">
        <f t="shared" si="79"/>
        <v>1_pre sample first tertile</v>
      </c>
      <c r="AF240" t="s">
        <v>80</v>
      </c>
      <c r="AG240" t="s">
        <v>75</v>
      </c>
      <c r="AH240" t="s">
        <v>78</v>
      </c>
      <c r="AI240" t="s">
        <v>122</v>
      </c>
      <c r="AJ240" t="s">
        <v>123</v>
      </c>
      <c r="AK240" t="str">
        <f>VLOOKUP(MID($AR240,1,255),country_lookup!$B:$F,2,FALSE)</f>
        <v>1_US</v>
      </c>
      <c r="AL240" t="str">
        <f>VLOOKUP(MID($AR240,1,255),country_lookup!$B:$F,3,FALSE)</f>
        <v>1_developed</v>
      </c>
      <c r="AM240" t="str">
        <f>VLOOKUP(MID($AR240,1,255),country_lookup!$B:$F,4,FALSE)</f>
        <v>1_western</v>
      </c>
      <c r="AN240" t="str">
        <f>VLOOKUP(MID($AR240,1,255),country_lookup!$B:$F,5,FALSE)</f>
        <v>1_common law</v>
      </c>
      <c r="AO240" s="10" t="str">
        <f>VLOOKUP(MID($AS240,1,255),source_lookup!$B:$K,4,FALSE)</f>
        <v>0_published</v>
      </c>
      <c r="AP240" s="10" t="str">
        <f>VLOOKUP(MID($AS240,1,255),source_lookup!$B:$K,6,FALSE)</f>
        <v>1_VHB high</v>
      </c>
      <c r="AQ240" s="10" t="str">
        <f>VLOOKUP(MID($AS240,1,255),source_lookup!$B:$K,10,FALSE)</f>
        <v>3_mgmt</v>
      </c>
      <c r="AR240" t="s">
        <v>85</v>
      </c>
      <c r="AS240" t="s">
        <v>131</v>
      </c>
    </row>
    <row r="241" spans="1:45" x14ac:dyDescent="0.3">
      <c r="A241" t="s">
        <v>7</v>
      </c>
      <c r="B241">
        <v>240</v>
      </c>
      <c r="C241" s="1">
        <v>3.3546667712861557E-2</v>
      </c>
      <c r="D241" s="2">
        <v>836</v>
      </c>
      <c r="E241" s="4">
        <v>4923</v>
      </c>
      <c r="F241" s="4" t="s">
        <v>347</v>
      </c>
      <c r="G241" s="4" t="s">
        <v>346</v>
      </c>
      <c r="H241" t="s">
        <v>77</v>
      </c>
      <c r="I241" t="s">
        <v>352</v>
      </c>
      <c r="J241" s="3">
        <v>1988</v>
      </c>
      <c r="K241" s="3">
        <v>2015</v>
      </c>
      <c r="L241" s="6">
        <f t="shared" si="71"/>
        <v>2001.5</v>
      </c>
      <c r="M241" s="6">
        <f t="shared" si="72"/>
        <v>2001.5</v>
      </c>
      <c r="N241" s="7">
        <f t="shared" si="60"/>
        <v>0</v>
      </c>
      <c r="O241" s="7">
        <f t="shared" si="61"/>
        <v>0</v>
      </c>
      <c r="P241" s="7">
        <f t="shared" si="62"/>
        <v>0</v>
      </c>
      <c r="Q241" s="7">
        <f t="shared" si="73"/>
        <v>0</v>
      </c>
      <c r="R241" s="10" t="str">
        <f t="shared" si="63"/>
        <v>0_Pre</v>
      </c>
      <c r="S241" s="10" t="str">
        <f t="shared" si="64"/>
        <v>0_Pre</v>
      </c>
      <c r="T241" s="10" t="str">
        <f t="shared" si="65"/>
        <v>0_Pre</v>
      </c>
      <c r="U241" s="10" t="str">
        <f t="shared" si="66"/>
        <v>0_Pre</v>
      </c>
      <c r="V241" s="10" t="str">
        <f t="shared" si="74"/>
        <v>0_Pre</v>
      </c>
      <c r="W241" s="10" t="str">
        <f t="shared" si="67"/>
        <v>clean_pre</v>
      </c>
      <c r="X241" s="10" t="str">
        <f t="shared" si="68"/>
        <v>0_Pre</v>
      </c>
      <c r="Y241" s="10" t="str">
        <f t="shared" si="69"/>
        <v>0_Pre</v>
      </c>
      <c r="Z241" s="10" t="str">
        <f t="shared" si="70"/>
        <v>0_Pre</v>
      </c>
      <c r="AA241" s="10" t="str">
        <f t="shared" si="75"/>
        <v>0_Pre</v>
      </c>
      <c r="AB241" s="10" t="str">
        <f t="shared" si="76"/>
        <v>0_Pre</v>
      </c>
      <c r="AC241" s="10" t="str">
        <f t="shared" si="77"/>
        <v>0_Pre</v>
      </c>
      <c r="AD241" s="10" t="str">
        <f t="shared" si="78"/>
        <v>1_pre sample median</v>
      </c>
      <c r="AE241" s="10" t="str">
        <f t="shared" si="79"/>
        <v>1_pre sample first tertile</v>
      </c>
      <c r="AF241" t="s">
        <v>80</v>
      </c>
      <c r="AG241" t="s">
        <v>75</v>
      </c>
      <c r="AH241" t="s">
        <v>78</v>
      </c>
      <c r="AI241" t="s">
        <v>122</v>
      </c>
      <c r="AJ241" t="s">
        <v>123</v>
      </c>
      <c r="AK241" t="str">
        <f>VLOOKUP(MID($AR241,1,255),country_lookup!$B:$F,2,FALSE)</f>
        <v>1_US</v>
      </c>
      <c r="AL241" t="str">
        <f>VLOOKUP(MID($AR241,1,255),country_lookup!$B:$F,3,FALSE)</f>
        <v>1_developed</v>
      </c>
      <c r="AM241" t="str">
        <f>VLOOKUP(MID($AR241,1,255),country_lookup!$B:$F,4,FALSE)</f>
        <v>1_western</v>
      </c>
      <c r="AN241" t="str">
        <f>VLOOKUP(MID($AR241,1,255),country_lookup!$B:$F,5,FALSE)</f>
        <v>1_common law</v>
      </c>
      <c r="AO241" s="10" t="str">
        <f>VLOOKUP(MID($AS241,1,255),source_lookup!$B:$K,4,FALSE)</f>
        <v>0_published</v>
      </c>
      <c r="AP241" s="10" t="str">
        <f>VLOOKUP(MID($AS241,1,255),source_lookup!$B:$K,6,FALSE)</f>
        <v>1_VHB high</v>
      </c>
      <c r="AQ241" s="10" t="str">
        <f>VLOOKUP(MID($AS241,1,255),source_lookup!$B:$K,10,FALSE)</f>
        <v>3_mgmt</v>
      </c>
      <c r="AR241" t="s">
        <v>85</v>
      </c>
      <c r="AS241" t="s">
        <v>131</v>
      </c>
    </row>
    <row r="242" spans="1:45" x14ac:dyDescent="0.3">
      <c r="A242" t="s">
        <v>7</v>
      </c>
      <c r="B242">
        <v>241</v>
      </c>
      <c r="C242" s="1">
        <v>-3.3136847621517862E-2</v>
      </c>
      <c r="D242" s="2">
        <v>836</v>
      </c>
      <c r="E242" s="4">
        <v>4923</v>
      </c>
      <c r="F242" s="4" t="s">
        <v>347</v>
      </c>
      <c r="G242" s="4" t="s">
        <v>346</v>
      </c>
      <c r="H242" t="s">
        <v>77</v>
      </c>
      <c r="I242" t="s">
        <v>352</v>
      </c>
      <c r="J242" s="3">
        <v>1988</v>
      </c>
      <c r="K242" s="3">
        <v>2015</v>
      </c>
      <c r="L242" s="6">
        <f t="shared" si="71"/>
        <v>2001.5</v>
      </c>
      <c r="M242" s="6">
        <f t="shared" si="72"/>
        <v>2001.5</v>
      </c>
      <c r="N242" s="7">
        <f t="shared" si="60"/>
        <v>0</v>
      </c>
      <c r="O242" s="7">
        <f t="shared" si="61"/>
        <v>0</v>
      </c>
      <c r="P242" s="7">
        <f t="shared" si="62"/>
        <v>0</v>
      </c>
      <c r="Q242" s="7">
        <f t="shared" si="73"/>
        <v>0</v>
      </c>
      <c r="R242" s="10" t="str">
        <f t="shared" si="63"/>
        <v>0_Pre</v>
      </c>
      <c r="S242" s="10" t="str">
        <f t="shared" si="64"/>
        <v>0_Pre</v>
      </c>
      <c r="T242" s="10" t="str">
        <f t="shared" si="65"/>
        <v>0_Pre</v>
      </c>
      <c r="U242" s="10" t="str">
        <f t="shared" si="66"/>
        <v>0_Pre</v>
      </c>
      <c r="V242" s="10" t="str">
        <f t="shared" si="74"/>
        <v>0_Pre</v>
      </c>
      <c r="W242" s="10" t="str">
        <f t="shared" si="67"/>
        <v>clean_pre</v>
      </c>
      <c r="X242" s="10" t="str">
        <f t="shared" si="68"/>
        <v>0_Pre</v>
      </c>
      <c r="Y242" s="10" t="str">
        <f t="shared" si="69"/>
        <v>0_Pre</v>
      </c>
      <c r="Z242" s="10" t="str">
        <f t="shared" si="70"/>
        <v>0_Pre</v>
      </c>
      <c r="AA242" s="10" t="str">
        <f t="shared" si="75"/>
        <v>0_Pre</v>
      </c>
      <c r="AB242" s="10" t="str">
        <f t="shared" si="76"/>
        <v>0_Pre</v>
      </c>
      <c r="AC242" s="10" t="str">
        <f t="shared" si="77"/>
        <v>0_Pre</v>
      </c>
      <c r="AD242" s="10" t="str">
        <f t="shared" si="78"/>
        <v>1_pre sample median</v>
      </c>
      <c r="AE242" s="10" t="str">
        <f t="shared" si="79"/>
        <v>1_pre sample first tertile</v>
      </c>
      <c r="AF242" t="s">
        <v>80</v>
      </c>
      <c r="AG242" t="s">
        <v>75</v>
      </c>
      <c r="AH242" t="s">
        <v>78</v>
      </c>
      <c r="AI242" t="s">
        <v>122</v>
      </c>
      <c r="AJ242" t="s">
        <v>123</v>
      </c>
      <c r="AK242" t="str">
        <f>VLOOKUP(MID($AR242,1,255),country_lookup!$B:$F,2,FALSE)</f>
        <v>1_US</v>
      </c>
      <c r="AL242" t="str">
        <f>VLOOKUP(MID($AR242,1,255),country_lookup!$B:$F,3,FALSE)</f>
        <v>1_developed</v>
      </c>
      <c r="AM242" t="str">
        <f>VLOOKUP(MID($AR242,1,255),country_lookup!$B:$F,4,FALSE)</f>
        <v>1_western</v>
      </c>
      <c r="AN242" t="str">
        <f>VLOOKUP(MID($AR242,1,255),country_lookup!$B:$F,5,FALSE)</f>
        <v>1_common law</v>
      </c>
      <c r="AO242" s="10" t="str">
        <f>VLOOKUP(MID($AS242,1,255),source_lookup!$B:$K,4,FALSE)</f>
        <v>0_published</v>
      </c>
      <c r="AP242" s="10" t="str">
        <f>VLOOKUP(MID($AS242,1,255),source_lookup!$B:$K,6,FALSE)</f>
        <v>1_VHB high</v>
      </c>
      <c r="AQ242" s="10" t="str">
        <f>VLOOKUP(MID($AS242,1,255),source_lookup!$B:$K,10,FALSE)</f>
        <v>3_mgmt</v>
      </c>
      <c r="AR242" t="s">
        <v>85</v>
      </c>
      <c r="AS242" t="s">
        <v>131</v>
      </c>
    </row>
    <row r="243" spans="1:45" x14ac:dyDescent="0.3">
      <c r="A243" t="s">
        <v>7</v>
      </c>
      <c r="B243">
        <v>242</v>
      </c>
      <c r="C243" s="1">
        <v>2.5064298740924036E-2</v>
      </c>
      <c r="D243" s="2">
        <v>836</v>
      </c>
      <c r="E243" s="4">
        <v>5923</v>
      </c>
      <c r="F243" s="4" t="s">
        <v>347</v>
      </c>
      <c r="G243" s="4" t="s">
        <v>346</v>
      </c>
      <c r="H243" t="s">
        <v>77</v>
      </c>
      <c r="I243" t="s">
        <v>352</v>
      </c>
      <c r="J243" s="3">
        <v>1988</v>
      </c>
      <c r="K243" s="3">
        <v>2015</v>
      </c>
      <c r="L243" s="6">
        <f t="shared" si="71"/>
        <v>2001.5</v>
      </c>
      <c r="M243" s="6">
        <f t="shared" si="72"/>
        <v>2001.5</v>
      </c>
      <c r="N243" s="7">
        <f t="shared" si="60"/>
        <v>0</v>
      </c>
      <c r="O243" s="7">
        <f t="shared" si="61"/>
        <v>0</v>
      </c>
      <c r="P243" s="7">
        <f t="shared" si="62"/>
        <v>0</v>
      </c>
      <c r="Q243" s="7">
        <f t="shared" si="73"/>
        <v>0</v>
      </c>
      <c r="R243" s="10" t="str">
        <f t="shared" si="63"/>
        <v>0_Pre</v>
      </c>
      <c r="S243" s="10" t="str">
        <f t="shared" si="64"/>
        <v>0_Pre</v>
      </c>
      <c r="T243" s="10" t="str">
        <f t="shared" si="65"/>
        <v>0_Pre</v>
      </c>
      <c r="U243" s="10" t="str">
        <f t="shared" si="66"/>
        <v>0_Pre</v>
      </c>
      <c r="V243" s="10" t="str">
        <f t="shared" si="74"/>
        <v>0_Pre</v>
      </c>
      <c r="W243" s="10" t="str">
        <f t="shared" si="67"/>
        <v>clean_pre</v>
      </c>
      <c r="X243" s="10" t="str">
        <f t="shared" si="68"/>
        <v>0_Pre</v>
      </c>
      <c r="Y243" s="10" t="str">
        <f t="shared" si="69"/>
        <v>0_Pre</v>
      </c>
      <c r="Z243" s="10" t="str">
        <f t="shared" si="70"/>
        <v>0_Pre</v>
      </c>
      <c r="AA243" s="10" t="str">
        <f t="shared" si="75"/>
        <v>0_Pre</v>
      </c>
      <c r="AB243" s="10" t="str">
        <f t="shared" si="76"/>
        <v>0_Pre</v>
      </c>
      <c r="AC243" s="10" t="str">
        <f t="shared" si="77"/>
        <v>0_Pre</v>
      </c>
      <c r="AD243" s="10" t="str">
        <f t="shared" si="78"/>
        <v>1_pre sample median</v>
      </c>
      <c r="AE243" s="10" t="str">
        <f t="shared" si="79"/>
        <v>1_pre sample first tertile</v>
      </c>
      <c r="AF243" t="s">
        <v>80</v>
      </c>
      <c r="AG243" t="s">
        <v>75</v>
      </c>
      <c r="AH243" t="s">
        <v>78</v>
      </c>
      <c r="AI243" t="s">
        <v>122</v>
      </c>
      <c r="AJ243" t="s">
        <v>123</v>
      </c>
      <c r="AK243" t="str">
        <f>VLOOKUP(MID($AR243,1,255),country_lookup!$B:$F,2,FALSE)</f>
        <v>1_US</v>
      </c>
      <c r="AL243" t="str">
        <f>VLOOKUP(MID($AR243,1,255),country_lookup!$B:$F,3,FALSE)</f>
        <v>1_developed</v>
      </c>
      <c r="AM243" t="str">
        <f>VLOOKUP(MID($AR243,1,255),country_lookup!$B:$F,4,FALSE)</f>
        <v>1_western</v>
      </c>
      <c r="AN243" t="str">
        <f>VLOOKUP(MID($AR243,1,255),country_lookup!$B:$F,5,FALSE)</f>
        <v>1_common law</v>
      </c>
      <c r="AO243" s="10" t="str">
        <f>VLOOKUP(MID($AS243,1,255),source_lookup!$B:$K,4,FALSE)</f>
        <v>0_published</v>
      </c>
      <c r="AP243" s="10" t="str">
        <f>VLOOKUP(MID($AS243,1,255),source_lookup!$B:$K,6,FALSE)</f>
        <v>1_VHB high</v>
      </c>
      <c r="AQ243" s="10" t="str">
        <f>VLOOKUP(MID($AS243,1,255),source_lookup!$B:$K,10,FALSE)</f>
        <v>3_mgmt</v>
      </c>
      <c r="AR243" t="s">
        <v>85</v>
      </c>
      <c r="AS243" t="s">
        <v>131</v>
      </c>
    </row>
    <row r="244" spans="1:45" x14ac:dyDescent="0.3">
      <c r="A244" t="s">
        <v>7</v>
      </c>
      <c r="B244">
        <v>243</v>
      </c>
      <c r="C244" s="1">
        <v>-3.4776957347284245E-4</v>
      </c>
      <c r="D244" s="2">
        <v>836</v>
      </c>
      <c r="E244" s="4">
        <v>5923</v>
      </c>
      <c r="F244" s="4" t="s">
        <v>347</v>
      </c>
      <c r="G244" s="4" t="s">
        <v>346</v>
      </c>
      <c r="H244" t="s">
        <v>77</v>
      </c>
      <c r="I244" t="s">
        <v>352</v>
      </c>
      <c r="J244" s="3">
        <v>1988</v>
      </c>
      <c r="K244" s="3">
        <v>2015</v>
      </c>
      <c r="L244" s="6">
        <f t="shared" si="71"/>
        <v>2001.5</v>
      </c>
      <c r="M244" s="6">
        <f t="shared" si="72"/>
        <v>2001.5</v>
      </c>
      <c r="N244" s="7">
        <f t="shared" si="60"/>
        <v>0</v>
      </c>
      <c r="O244" s="7">
        <f t="shared" si="61"/>
        <v>0</v>
      </c>
      <c r="P244" s="7">
        <f t="shared" si="62"/>
        <v>0</v>
      </c>
      <c r="Q244" s="7">
        <f t="shared" si="73"/>
        <v>0</v>
      </c>
      <c r="R244" s="10" t="str">
        <f t="shared" si="63"/>
        <v>0_Pre</v>
      </c>
      <c r="S244" s="10" t="str">
        <f t="shared" si="64"/>
        <v>0_Pre</v>
      </c>
      <c r="T244" s="10" t="str">
        <f t="shared" si="65"/>
        <v>0_Pre</v>
      </c>
      <c r="U244" s="10" t="str">
        <f t="shared" si="66"/>
        <v>0_Pre</v>
      </c>
      <c r="V244" s="10" t="str">
        <f t="shared" si="74"/>
        <v>0_Pre</v>
      </c>
      <c r="W244" s="10" t="str">
        <f t="shared" si="67"/>
        <v>clean_pre</v>
      </c>
      <c r="X244" s="10" t="str">
        <f t="shared" si="68"/>
        <v>0_Pre</v>
      </c>
      <c r="Y244" s="10" t="str">
        <f t="shared" si="69"/>
        <v>0_Pre</v>
      </c>
      <c r="Z244" s="10" t="str">
        <f t="shared" si="70"/>
        <v>0_Pre</v>
      </c>
      <c r="AA244" s="10" t="str">
        <f t="shared" si="75"/>
        <v>0_Pre</v>
      </c>
      <c r="AB244" s="10" t="str">
        <f t="shared" si="76"/>
        <v>0_Pre</v>
      </c>
      <c r="AC244" s="10" t="str">
        <f t="shared" si="77"/>
        <v>0_Pre</v>
      </c>
      <c r="AD244" s="10" t="str">
        <f t="shared" si="78"/>
        <v>1_pre sample median</v>
      </c>
      <c r="AE244" s="10" t="str">
        <f t="shared" si="79"/>
        <v>1_pre sample first tertile</v>
      </c>
      <c r="AF244" t="s">
        <v>80</v>
      </c>
      <c r="AG244" t="s">
        <v>75</v>
      </c>
      <c r="AH244" t="s">
        <v>78</v>
      </c>
      <c r="AI244" t="s">
        <v>122</v>
      </c>
      <c r="AJ244" t="s">
        <v>123</v>
      </c>
      <c r="AK244" t="str">
        <f>VLOOKUP(MID($AR244,1,255),country_lookup!$B:$F,2,FALSE)</f>
        <v>1_US</v>
      </c>
      <c r="AL244" t="str">
        <f>VLOOKUP(MID($AR244,1,255),country_lookup!$B:$F,3,FALSE)</f>
        <v>1_developed</v>
      </c>
      <c r="AM244" t="str">
        <f>VLOOKUP(MID($AR244,1,255),country_lookup!$B:$F,4,FALSE)</f>
        <v>1_western</v>
      </c>
      <c r="AN244" t="str">
        <f>VLOOKUP(MID($AR244,1,255),country_lookup!$B:$F,5,FALSE)</f>
        <v>1_common law</v>
      </c>
      <c r="AO244" s="10" t="str">
        <f>VLOOKUP(MID($AS244,1,255),source_lookup!$B:$K,4,FALSE)</f>
        <v>0_published</v>
      </c>
      <c r="AP244" s="10" t="str">
        <f>VLOOKUP(MID($AS244,1,255),source_lookup!$B:$K,6,FALSE)</f>
        <v>1_VHB high</v>
      </c>
      <c r="AQ244" s="10" t="str">
        <f>VLOOKUP(MID($AS244,1,255),source_lookup!$B:$K,10,FALSE)</f>
        <v>3_mgmt</v>
      </c>
      <c r="AR244" t="s">
        <v>85</v>
      </c>
      <c r="AS244" t="s">
        <v>131</v>
      </c>
    </row>
    <row r="245" spans="1:45" x14ac:dyDescent="0.3">
      <c r="A245" t="s">
        <v>7</v>
      </c>
      <c r="B245">
        <v>244</v>
      </c>
      <c r="C245" s="1">
        <v>-1.67383724857393E-3</v>
      </c>
      <c r="D245" s="2">
        <v>836</v>
      </c>
      <c r="E245" s="4">
        <v>5512</v>
      </c>
      <c r="F245" s="4" t="s">
        <v>347</v>
      </c>
      <c r="G245" s="4" t="s">
        <v>346</v>
      </c>
      <c r="H245" t="s">
        <v>77</v>
      </c>
      <c r="I245" t="s">
        <v>352</v>
      </c>
      <c r="J245" s="3">
        <v>1988</v>
      </c>
      <c r="K245" s="3">
        <v>2015</v>
      </c>
      <c r="L245" s="6">
        <f t="shared" si="71"/>
        <v>2001.5</v>
      </c>
      <c r="M245" s="6">
        <f t="shared" si="72"/>
        <v>2001.5</v>
      </c>
      <c r="N245" s="7">
        <f t="shared" si="60"/>
        <v>0</v>
      </c>
      <c r="O245" s="7">
        <f t="shared" si="61"/>
        <v>0</v>
      </c>
      <c r="P245" s="7">
        <f t="shared" si="62"/>
        <v>0</v>
      </c>
      <c r="Q245" s="7">
        <f t="shared" si="73"/>
        <v>0</v>
      </c>
      <c r="R245" s="10" t="str">
        <f t="shared" si="63"/>
        <v>0_Pre</v>
      </c>
      <c r="S245" s="10" t="str">
        <f t="shared" si="64"/>
        <v>0_Pre</v>
      </c>
      <c r="T245" s="10" t="str">
        <f t="shared" si="65"/>
        <v>0_Pre</v>
      </c>
      <c r="U245" s="10" t="str">
        <f t="shared" si="66"/>
        <v>0_Pre</v>
      </c>
      <c r="V245" s="10" t="str">
        <f t="shared" si="74"/>
        <v>0_Pre</v>
      </c>
      <c r="W245" s="10" t="str">
        <f t="shared" si="67"/>
        <v>clean_pre</v>
      </c>
      <c r="X245" s="10" t="str">
        <f t="shared" si="68"/>
        <v>0_Pre</v>
      </c>
      <c r="Y245" s="10" t="str">
        <f t="shared" si="69"/>
        <v>0_Pre</v>
      </c>
      <c r="Z245" s="10" t="str">
        <f t="shared" si="70"/>
        <v>0_Pre</v>
      </c>
      <c r="AA245" s="10" t="str">
        <f t="shared" si="75"/>
        <v>0_Pre</v>
      </c>
      <c r="AB245" s="10" t="str">
        <f t="shared" si="76"/>
        <v>0_Pre</v>
      </c>
      <c r="AC245" s="10" t="str">
        <f t="shared" si="77"/>
        <v>0_Pre</v>
      </c>
      <c r="AD245" s="10" t="str">
        <f t="shared" si="78"/>
        <v>1_pre sample median</v>
      </c>
      <c r="AE245" s="10" t="str">
        <f t="shared" si="79"/>
        <v>1_pre sample first tertile</v>
      </c>
      <c r="AF245" t="s">
        <v>80</v>
      </c>
      <c r="AG245" t="s">
        <v>75</v>
      </c>
      <c r="AH245" t="s">
        <v>78</v>
      </c>
      <c r="AI245" t="s">
        <v>122</v>
      </c>
      <c r="AJ245" t="s">
        <v>123</v>
      </c>
      <c r="AK245" t="str">
        <f>VLOOKUP(MID($AR245,1,255),country_lookup!$B:$F,2,FALSE)</f>
        <v>1_US</v>
      </c>
      <c r="AL245" t="str">
        <f>VLOOKUP(MID($AR245,1,255),country_lookup!$B:$F,3,FALSE)</f>
        <v>1_developed</v>
      </c>
      <c r="AM245" t="str">
        <f>VLOOKUP(MID($AR245,1,255),country_lookup!$B:$F,4,FALSE)</f>
        <v>1_western</v>
      </c>
      <c r="AN245" t="str">
        <f>VLOOKUP(MID($AR245,1,255),country_lookup!$B:$F,5,FALSE)</f>
        <v>1_common law</v>
      </c>
      <c r="AO245" s="10" t="str">
        <f>VLOOKUP(MID($AS245,1,255),source_lookup!$B:$K,4,FALSE)</f>
        <v>0_published</v>
      </c>
      <c r="AP245" s="10" t="str">
        <f>VLOOKUP(MID($AS245,1,255),source_lookup!$B:$K,6,FALSE)</f>
        <v>1_VHB high</v>
      </c>
      <c r="AQ245" s="10" t="str">
        <f>VLOOKUP(MID($AS245,1,255),source_lookup!$B:$K,10,FALSE)</f>
        <v>3_mgmt</v>
      </c>
      <c r="AR245" t="s">
        <v>85</v>
      </c>
      <c r="AS245" t="s">
        <v>131</v>
      </c>
    </row>
    <row r="246" spans="1:45" x14ac:dyDescent="0.3">
      <c r="A246" t="s">
        <v>7</v>
      </c>
      <c r="B246">
        <v>245</v>
      </c>
      <c r="C246" s="1">
        <v>5.2738986836860832E-4</v>
      </c>
      <c r="D246" s="2">
        <v>836</v>
      </c>
      <c r="E246" s="4">
        <v>5512</v>
      </c>
      <c r="F246" s="4" t="s">
        <v>347</v>
      </c>
      <c r="G246" s="4" t="s">
        <v>346</v>
      </c>
      <c r="H246" t="s">
        <v>77</v>
      </c>
      <c r="I246" t="s">
        <v>352</v>
      </c>
      <c r="J246" s="3">
        <v>1988</v>
      </c>
      <c r="K246" s="3">
        <v>2015</v>
      </c>
      <c r="L246" s="6">
        <f t="shared" si="71"/>
        <v>2001.5</v>
      </c>
      <c r="M246" s="6">
        <f t="shared" si="72"/>
        <v>2001.5</v>
      </c>
      <c r="N246" s="7">
        <f t="shared" si="60"/>
        <v>0</v>
      </c>
      <c r="O246" s="7">
        <f t="shared" si="61"/>
        <v>0</v>
      </c>
      <c r="P246" s="7">
        <f t="shared" si="62"/>
        <v>0</v>
      </c>
      <c r="Q246" s="7">
        <f t="shared" si="73"/>
        <v>0</v>
      </c>
      <c r="R246" s="10" t="str">
        <f t="shared" si="63"/>
        <v>0_Pre</v>
      </c>
      <c r="S246" s="10" t="str">
        <f t="shared" si="64"/>
        <v>0_Pre</v>
      </c>
      <c r="T246" s="10" t="str">
        <f t="shared" si="65"/>
        <v>0_Pre</v>
      </c>
      <c r="U246" s="10" t="str">
        <f t="shared" si="66"/>
        <v>0_Pre</v>
      </c>
      <c r="V246" s="10" t="str">
        <f t="shared" si="74"/>
        <v>0_Pre</v>
      </c>
      <c r="W246" s="10" t="str">
        <f t="shared" si="67"/>
        <v>clean_pre</v>
      </c>
      <c r="X246" s="10" t="str">
        <f t="shared" si="68"/>
        <v>0_Pre</v>
      </c>
      <c r="Y246" s="10" t="str">
        <f t="shared" si="69"/>
        <v>0_Pre</v>
      </c>
      <c r="Z246" s="10" t="str">
        <f t="shared" si="70"/>
        <v>0_Pre</v>
      </c>
      <c r="AA246" s="10" t="str">
        <f t="shared" si="75"/>
        <v>0_Pre</v>
      </c>
      <c r="AB246" s="10" t="str">
        <f t="shared" si="76"/>
        <v>0_Pre</v>
      </c>
      <c r="AC246" s="10" t="str">
        <f t="shared" si="77"/>
        <v>0_Pre</v>
      </c>
      <c r="AD246" s="10" t="str">
        <f t="shared" si="78"/>
        <v>1_pre sample median</v>
      </c>
      <c r="AE246" s="10" t="str">
        <f t="shared" si="79"/>
        <v>1_pre sample first tertile</v>
      </c>
      <c r="AF246" t="s">
        <v>80</v>
      </c>
      <c r="AG246" t="s">
        <v>75</v>
      </c>
      <c r="AH246" t="s">
        <v>78</v>
      </c>
      <c r="AI246" t="s">
        <v>122</v>
      </c>
      <c r="AJ246" t="s">
        <v>123</v>
      </c>
      <c r="AK246" t="str">
        <f>VLOOKUP(MID($AR246,1,255),country_lookup!$B:$F,2,FALSE)</f>
        <v>1_US</v>
      </c>
      <c r="AL246" t="str">
        <f>VLOOKUP(MID($AR246,1,255),country_lookup!$B:$F,3,FALSE)</f>
        <v>1_developed</v>
      </c>
      <c r="AM246" t="str">
        <f>VLOOKUP(MID($AR246,1,255),country_lookup!$B:$F,4,FALSE)</f>
        <v>1_western</v>
      </c>
      <c r="AN246" t="str">
        <f>VLOOKUP(MID($AR246,1,255),country_lookup!$B:$F,5,FALSE)</f>
        <v>1_common law</v>
      </c>
      <c r="AO246" s="10" t="str">
        <f>VLOOKUP(MID($AS246,1,255),source_lookup!$B:$K,4,FALSE)</f>
        <v>0_published</v>
      </c>
      <c r="AP246" s="10" t="str">
        <f>VLOOKUP(MID($AS246,1,255),source_lookup!$B:$K,6,FALSE)</f>
        <v>1_VHB high</v>
      </c>
      <c r="AQ246" s="10" t="str">
        <f>VLOOKUP(MID($AS246,1,255),source_lookup!$B:$K,10,FALSE)</f>
        <v>3_mgmt</v>
      </c>
      <c r="AR246" t="s">
        <v>85</v>
      </c>
      <c r="AS246" t="s">
        <v>131</v>
      </c>
    </row>
    <row r="247" spans="1:45" x14ac:dyDescent="0.3">
      <c r="A247" t="s">
        <v>7</v>
      </c>
      <c r="B247">
        <v>246</v>
      </c>
      <c r="C247" s="1">
        <v>2.1252204750134489E-2</v>
      </c>
      <c r="D247" s="2">
        <v>836</v>
      </c>
      <c r="E247" s="4">
        <v>5081</v>
      </c>
      <c r="F247" s="4" t="s">
        <v>347</v>
      </c>
      <c r="G247" s="4" t="s">
        <v>346</v>
      </c>
      <c r="H247" t="s">
        <v>77</v>
      </c>
      <c r="I247" t="s">
        <v>352</v>
      </c>
      <c r="J247" s="3">
        <v>1988</v>
      </c>
      <c r="K247" s="3">
        <v>2015</v>
      </c>
      <c r="L247" s="6">
        <f t="shared" si="71"/>
        <v>2001.5</v>
      </c>
      <c r="M247" s="6">
        <f t="shared" si="72"/>
        <v>2001.5</v>
      </c>
      <c r="N247" s="7">
        <f t="shared" si="60"/>
        <v>0</v>
      </c>
      <c r="O247" s="7">
        <f t="shared" si="61"/>
        <v>0</v>
      </c>
      <c r="P247" s="7">
        <f t="shared" si="62"/>
        <v>0</v>
      </c>
      <c r="Q247" s="7">
        <f t="shared" si="73"/>
        <v>0</v>
      </c>
      <c r="R247" s="10" t="str">
        <f t="shared" si="63"/>
        <v>0_Pre</v>
      </c>
      <c r="S247" s="10" t="str">
        <f t="shared" si="64"/>
        <v>0_Pre</v>
      </c>
      <c r="T247" s="10" t="str">
        <f t="shared" si="65"/>
        <v>0_Pre</v>
      </c>
      <c r="U247" s="10" t="str">
        <f t="shared" si="66"/>
        <v>0_Pre</v>
      </c>
      <c r="V247" s="10" t="str">
        <f t="shared" si="74"/>
        <v>0_Pre</v>
      </c>
      <c r="W247" s="10" t="str">
        <f t="shared" si="67"/>
        <v>clean_pre</v>
      </c>
      <c r="X247" s="10" t="str">
        <f t="shared" si="68"/>
        <v>0_Pre</v>
      </c>
      <c r="Y247" s="10" t="str">
        <f t="shared" si="69"/>
        <v>0_Pre</v>
      </c>
      <c r="Z247" s="10" t="str">
        <f t="shared" si="70"/>
        <v>0_Pre</v>
      </c>
      <c r="AA247" s="10" t="str">
        <f t="shared" si="75"/>
        <v>0_Pre</v>
      </c>
      <c r="AB247" s="10" t="str">
        <f t="shared" si="76"/>
        <v>0_Pre</v>
      </c>
      <c r="AC247" s="10" t="str">
        <f t="shared" si="77"/>
        <v>0_Pre</v>
      </c>
      <c r="AD247" s="10" t="str">
        <f t="shared" si="78"/>
        <v>1_pre sample median</v>
      </c>
      <c r="AE247" s="10" t="str">
        <f t="shared" si="79"/>
        <v>1_pre sample first tertile</v>
      </c>
      <c r="AF247" t="s">
        <v>80</v>
      </c>
      <c r="AG247" t="s">
        <v>75</v>
      </c>
      <c r="AH247" t="s">
        <v>78</v>
      </c>
      <c r="AI247" t="s">
        <v>122</v>
      </c>
      <c r="AJ247" t="s">
        <v>123</v>
      </c>
      <c r="AK247" t="str">
        <f>VLOOKUP(MID($AR247,1,255),country_lookup!$B:$F,2,FALSE)</f>
        <v>1_US</v>
      </c>
      <c r="AL247" t="str">
        <f>VLOOKUP(MID($AR247,1,255),country_lookup!$B:$F,3,FALSE)</f>
        <v>1_developed</v>
      </c>
      <c r="AM247" t="str">
        <f>VLOOKUP(MID($AR247,1,255),country_lookup!$B:$F,4,FALSE)</f>
        <v>1_western</v>
      </c>
      <c r="AN247" t="str">
        <f>VLOOKUP(MID($AR247,1,255),country_lookup!$B:$F,5,FALSE)</f>
        <v>1_common law</v>
      </c>
      <c r="AO247" s="10" t="str">
        <f>VLOOKUP(MID($AS247,1,255),source_lookup!$B:$K,4,FALSE)</f>
        <v>0_published</v>
      </c>
      <c r="AP247" s="10" t="str">
        <f>VLOOKUP(MID($AS247,1,255),source_lookup!$B:$K,6,FALSE)</f>
        <v>1_VHB high</v>
      </c>
      <c r="AQ247" s="10" t="str">
        <f>VLOOKUP(MID($AS247,1,255),source_lookup!$B:$K,10,FALSE)</f>
        <v>3_mgmt</v>
      </c>
      <c r="AR247" t="s">
        <v>85</v>
      </c>
      <c r="AS247" t="s">
        <v>131</v>
      </c>
    </row>
    <row r="248" spans="1:45" x14ac:dyDescent="0.3">
      <c r="A248" t="s">
        <v>7</v>
      </c>
      <c r="B248">
        <v>247</v>
      </c>
      <c r="C248" s="1">
        <v>-2.0696871405651712E-2</v>
      </c>
      <c r="D248" s="2">
        <v>836</v>
      </c>
      <c r="E248" s="4">
        <v>5081</v>
      </c>
      <c r="F248" s="4" t="s">
        <v>347</v>
      </c>
      <c r="G248" s="4" t="s">
        <v>346</v>
      </c>
      <c r="H248" t="s">
        <v>77</v>
      </c>
      <c r="I248" t="s">
        <v>352</v>
      </c>
      <c r="J248" s="3">
        <v>1988</v>
      </c>
      <c r="K248" s="3">
        <v>2015</v>
      </c>
      <c r="L248" s="6">
        <f t="shared" si="71"/>
        <v>2001.5</v>
      </c>
      <c r="M248" s="6">
        <f t="shared" si="72"/>
        <v>2001.5</v>
      </c>
      <c r="N248" s="7">
        <f t="shared" si="60"/>
        <v>0</v>
      </c>
      <c r="O248" s="7">
        <f t="shared" si="61"/>
        <v>0</v>
      </c>
      <c r="P248" s="7">
        <f t="shared" si="62"/>
        <v>0</v>
      </c>
      <c r="Q248" s="7">
        <f t="shared" si="73"/>
        <v>0</v>
      </c>
      <c r="R248" s="10" t="str">
        <f t="shared" si="63"/>
        <v>0_Pre</v>
      </c>
      <c r="S248" s="10" t="str">
        <f t="shared" si="64"/>
        <v>0_Pre</v>
      </c>
      <c r="T248" s="10" t="str">
        <f t="shared" si="65"/>
        <v>0_Pre</v>
      </c>
      <c r="U248" s="10" t="str">
        <f t="shared" si="66"/>
        <v>0_Pre</v>
      </c>
      <c r="V248" s="10" t="str">
        <f t="shared" si="74"/>
        <v>0_Pre</v>
      </c>
      <c r="W248" s="10" t="str">
        <f t="shared" si="67"/>
        <v>clean_pre</v>
      </c>
      <c r="X248" s="10" t="str">
        <f t="shared" si="68"/>
        <v>0_Pre</v>
      </c>
      <c r="Y248" s="10" t="str">
        <f t="shared" si="69"/>
        <v>0_Pre</v>
      </c>
      <c r="Z248" s="10" t="str">
        <f t="shared" si="70"/>
        <v>0_Pre</v>
      </c>
      <c r="AA248" s="10" t="str">
        <f t="shared" si="75"/>
        <v>0_Pre</v>
      </c>
      <c r="AB248" s="10" t="str">
        <f t="shared" si="76"/>
        <v>0_Pre</v>
      </c>
      <c r="AC248" s="10" t="str">
        <f t="shared" si="77"/>
        <v>0_Pre</v>
      </c>
      <c r="AD248" s="10" t="str">
        <f t="shared" si="78"/>
        <v>1_pre sample median</v>
      </c>
      <c r="AE248" s="10" t="str">
        <f t="shared" si="79"/>
        <v>1_pre sample first tertile</v>
      </c>
      <c r="AF248" t="s">
        <v>80</v>
      </c>
      <c r="AG248" t="s">
        <v>75</v>
      </c>
      <c r="AH248" t="s">
        <v>78</v>
      </c>
      <c r="AI248" t="s">
        <v>122</v>
      </c>
      <c r="AJ248" t="s">
        <v>123</v>
      </c>
      <c r="AK248" t="str">
        <f>VLOOKUP(MID($AR248,1,255),country_lookup!$B:$F,2,FALSE)</f>
        <v>1_US</v>
      </c>
      <c r="AL248" t="str">
        <f>VLOOKUP(MID($AR248,1,255),country_lookup!$B:$F,3,FALSE)</f>
        <v>1_developed</v>
      </c>
      <c r="AM248" t="str">
        <f>VLOOKUP(MID($AR248,1,255),country_lookup!$B:$F,4,FALSE)</f>
        <v>1_western</v>
      </c>
      <c r="AN248" t="str">
        <f>VLOOKUP(MID($AR248,1,255),country_lookup!$B:$F,5,FALSE)</f>
        <v>1_common law</v>
      </c>
      <c r="AO248" s="10" t="str">
        <f>VLOOKUP(MID($AS248,1,255),source_lookup!$B:$K,4,FALSE)</f>
        <v>0_published</v>
      </c>
      <c r="AP248" s="10" t="str">
        <f>VLOOKUP(MID($AS248,1,255),source_lookup!$B:$K,6,FALSE)</f>
        <v>1_VHB high</v>
      </c>
      <c r="AQ248" s="10" t="str">
        <f>VLOOKUP(MID($AS248,1,255),source_lookup!$B:$K,10,FALSE)</f>
        <v>3_mgmt</v>
      </c>
      <c r="AR248" t="s">
        <v>85</v>
      </c>
      <c r="AS248" t="s">
        <v>131</v>
      </c>
    </row>
    <row r="249" spans="1:45" x14ac:dyDescent="0.3">
      <c r="A249" t="s">
        <v>7</v>
      </c>
      <c r="B249">
        <v>248</v>
      </c>
      <c r="C249" s="1">
        <v>-2.5307086268890862E-3</v>
      </c>
      <c r="D249" s="2">
        <v>836</v>
      </c>
      <c r="E249" s="4">
        <v>4923</v>
      </c>
      <c r="F249" s="4" t="s">
        <v>347</v>
      </c>
      <c r="G249" s="4" t="s">
        <v>346</v>
      </c>
      <c r="H249" t="s">
        <v>77</v>
      </c>
      <c r="I249" t="s">
        <v>352</v>
      </c>
      <c r="J249" s="3">
        <v>1988</v>
      </c>
      <c r="K249" s="3">
        <v>2015</v>
      </c>
      <c r="L249" s="6">
        <f t="shared" si="71"/>
        <v>2001.5</v>
      </c>
      <c r="M249" s="6">
        <f t="shared" si="72"/>
        <v>2001.5</v>
      </c>
      <c r="N249" s="7">
        <f t="shared" si="60"/>
        <v>0</v>
      </c>
      <c r="O249" s="7">
        <f t="shared" si="61"/>
        <v>0</v>
      </c>
      <c r="P249" s="7">
        <f t="shared" si="62"/>
        <v>0</v>
      </c>
      <c r="Q249" s="7">
        <f t="shared" si="73"/>
        <v>0</v>
      </c>
      <c r="R249" s="10" t="str">
        <f t="shared" si="63"/>
        <v>0_Pre</v>
      </c>
      <c r="S249" s="10" t="str">
        <f t="shared" si="64"/>
        <v>0_Pre</v>
      </c>
      <c r="T249" s="10" t="str">
        <f t="shared" si="65"/>
        <v>0_Pre</v>
      </c>
      <c r="U249" s="10" t="str">
        <f t="shared" si="66"/>
        <v>0_Pre</v>
      </c>
      <c r="V249" s="10" t="str">
        <f t="shared" si="74"/>
        <v>0_Pre</v>
      </c>
      <c r="W249" s="10" t="str">
        <f t="shared" si="67"/>
        <v>clean_pre</v>
      </c>
      <c r="X249" s="10" t="str">
        <f t="shared" si="68"/>
        <v>0_Pre</v>
      </c>
      <c r="Y249" s="10" t="str">
        <f t="shared" si="69"/>
        <v>0_Pre</v>
      </c>
      <c r="Z249" s="10" t="str">
        <f t="shared" si="70"/>
        <v>0_Pre</v>
      </c>
      <c r="AA249" s="10" t="str">
        <f t="shared" si="75"/>
        <v>0_Pre</v>
      </c>
      <c r="AB249" s="10" t="str">
        <f t="shared" si="76"/>
        <v>0_Pre</v>
      </c>
      <c r="AC249" s="10" t="str">
        <f t="shared" si="77"/>
        <v>0_Pre</v>
      </c>
      <c r="AD249" s="10" t="str">
        <f t="shared" si="78"/>
        <v>1_pre sample median</v>
      </c>
      <c r="AE249" s="10" t="str">
        <f t="shared" si="79"/>
        <v>1_pre sample first tertile</v>
      </c>
      <c r="AF249" t="s">
        <v>80</v>
      </c>
      <c r="AG249" t="s">
        <v>75</v>
      </c>
      <c r="AH249" t="s">
        <v>78</v>
      </c>
      <c r="AI249" t="s">
        <v>122</v>
      </c>
      <c r="AJ249" t="s">
        <v>123</v>
      </c>
      <c r="AK249" t="str">
        <f>VLOOKUP(MID($AR249,1,255),country_lookup!$B:$F,2,FALSE)</f>
        <v>1_US</v>
      </c>
      <c r="AL249" t="str">
        <f>VLOOKUP(MID($AR249,1,255),country_lookup!$B:$F,3,FALSE)</f>
        <v>1_developed</v>
      </c>
      <c r="AM249" t="str">
        <f>VLOOKUP(MID($AR249,1,255),country_lookup!$B:$F,4,FALSE)</f>
        <v>1_western</v>
      </c>
      <c r="AN249" t="str">
        <f>VLOOKUP(MID($AR249,1,255),country_lookup!$B:$F,5,FALSE)</f>
        <v>1_common law</v>
      </c>
      <c r="AO249" s="10" t="str">
        <f>VLOOKUP(MID($AS249,1,255),source_lookup!$B:$K,4,FALSE)</f>
        <v>0_published</v>
      </c>
      <c r="AP249" s="10" t="str">
        <f>VLOOKUP(MID($AS249,1,255),source_lookup!$B:$K,6,FALSE)</f>
        <v>1_VHB high</v>
      </c>
      <c r="AQ249" s="10" t="str">
        <f>VLOOKUP(MID($AS249,1,255),source_lookup!$B:$K,10,FALSE)</f>
        <v>3_mgmt</v>
      </c>
      <c r="AR249" t="s">
        <v>85</v>
      </c>
      <c r="AS249" t="s">
        <v>131</v>
      </c>
    </row>
    <row r="250" spans="1:45" x14ac:dyDescent="0.3">
      <c r="A250" t="s">
        <v>7</v>
      </c>
      <c r="B250">
        <v>249</v>
      </c>
      <c r="C250" s="1">
        <v>3.0089272297543952E-2</v>
      </c>
      <c r="D250" s="2">
        <v>836</v>
      </c>
      <c r="E250" s="4">
        <v>4923</v>
      </c>
      <c r="F250" s="4" t="s">
        <v>347</v>
      </c>
      <c r="G250" s="4" t="s">
        <v>346</v>
      </c>
      <c r="H250" t="s">
        <v>77</v>
      </c>
      <c r="I250" t="s">
        <v>352</v>
      </c>
      <c r="J250" s="3">
        <v>1988</v>
      </c>
      <c r="K250" s="3">
        <v>2015</v>
      </c>
      <c r="L250" s="6">
        <f t="shared" si="71"/>
        <v>2001.5</v>
      </c>
      <c r="M250" s="6">
        <f t="shared" si="72"/>
        <v>2001.5</v>
      </c>
      <c r="N250" s="7">
        <f t="shared" si="60"/>
        <v>0</v>
      </c>
      <c r="O250" s="7">
        <f t="shared" si="61"/>
        <v>0</v>
      </c>
      <c r="P250" s="7">
        <f t="shared" si="62"/>
        <v>0</v>
      </c>
      <c r="Q250" s="7">
        <f t="shared" si="73"/>
        <v>0</v>
      </c>
      <c r="R250" s="10" t="str">
        <f t="shared" si="63"/>
        <v>0_Pre</v>
      </c>
      <c r="S250" s="10" t="str">
        <f t="shared" si="64"/>
        <v>0_Pre</v>
      </c>
      <c r="T250" s="10" t="str">
        <f t="shared" si="65"/>
        <v>0_Pre</v>
      </c>
      <c r="U250" s="10" t="str">
        <f t="shared" si="66"/>
        <v>0_Pre</v>
      </c>
      <c r="V250" s="10" t="str">
        <f t="shared" si="74"/>
        <v>0_Pre</v>
      </c>
      <c r="W250" s="10" t="str">
        <f t="shared" si="67"/>
        <v>clean_pre</v>
      </c>
      <c r="X250" s="10" t="str">
        <f t="shared" si="68"/>
        <v>0_Pre</v>
      </c>
      <c r="Y250" s="10" t="str">
        <f t="shared" si="69"/>
        <v>0_Pre</v>
      </c>
      <c r="Z250" s="10" t="str">
        <f t="shared" si="70"/>
        <v>0_Pre</v>
      </c>
      <c r="AA250" s="10" t="str">
        <f t="shared" si="75"/>
        <v>0_Pre</v>
      </c>
      <c r="AB250" s="10" t="str">
        <f t="shared" si="76"/>
        <v>0_Pre</v>
      </c>
      <c r="AC250" s="10" t="str">
        <f t="shared" si="77"/>
        <v>0_Pre</v>
      </c>
      <c r="AD250" s="10" t="str">
        <f t="shared" si="78"/>
        <v>1_pre sample median</v>
      </c>
      <c r="AE250" s="10" t="str">
        <f t="shared" si="79"/>
        <v>1_pre sample first tertile</v>
      </c>
      <c r="AF250" t="s">
        <v>80</v>
      </c>
      <c r="AG250" t="s">
        <v>75</v>
      </c>
      <c r="AH250" t="s">
        <v>78</v>
      </c>
      <c r="AI250" t="s">
        <v>122</v>
      </c>
      <c r="AJ250" t="s">
        <v>123</v>
      </c>
      <c r="AK250" t="str">
        <f>VLOOKUP(MID($AR250,1,255),country_lookup!$B:$F,2,FALSE)</f>
        <v>1_US</v>
      </c>
      <c r="AL250" t="str">
        <f>VLOOKUP(MID($AR250,1,255),country_lookup!$B:$F,3,FALSE)</f>
        <v>1_developed</v>
      </c>
      <c r="AM250" t="str">
        <f>VLOOKUP(MID($AR250,1,255),country_lookup!$B:$F,4,FALSE)</f>
        <v>1_western</v>
      </c>
      <c r="AN250" t="str">
        <f>VLOOKUP(MID($AR250,1,255),country_lookup!$B:$F,5,FALSE)</f>
        <v>1_common law</v>
      </c>
      <c r="AO250" s="10" t="str">
        <f>VLOOKUP(MID($AS250,1,255),source_lookup!$B:$K,4,FALSE)</f>
        <v>0_published</v>
      </c>
      <c r="AP250" s="10" t="str">
        <f>VLOOKUP(MID($AS250,1,255),source_lookup!$B:$K,6,FALSE)</f>
        <v>1_VHB high</v>
      </c>
      <c r="AQ250" s="10" t="str">
        <f>VLOOKUP(MID($AS250,1,255),source_lookup!$B:$K,10,FALSE)</f>
        <v>3_mgmt</v>
      </c>
      <c r="AR250" t="s">
        <v>85</v>
      </c>
      <c r="AS250" t="s">
        <v>131</v>
      </c>
    </row>
    <row r="251" spans="1:45" x14ac:dyDescent="0.3">
      <c r="A251" t="s">
        <v>7</v>
      </c>
      <c r="B251">
        <v>250</v>
      </c>
      <c r="C251" s="1">
        <v>-2.2797321086101942E-3</v>
      </c>
      <c r="D251" s="2">
        <v>836</v>
      </c>
      <c r="E251" s="4">
        <v>4923</v>
      </c>
      <c r="F251" s="4" t="s">
        <v>347</v>
      </c>
      <c r="G251" s="4" t="s">
        <v>346</v>
      </c>
      <c r="H251" t="s">
        <v>77</v>
      </c>
      <c r="I251" t="s">
        <v>352</v>
      </c>
      <c r="J251" s="3">
        <v>1988</v>
      </c>
      <c r="K251" s="3">
        <v>2015</v>
      </c>
      <c r="L251" s="6">
        <f t="shared" si="71"/>
        <v>2001.5</v>
      </c>
      <c r="M251" s="6">
        <f t="shared" si="72"/>
        <v>2001.5</v>
      </c>
      <c r="N251" s="7">
        <f t="shared" si="60"/>
        <v>0</v>
      </c>
      <c r="O251" s="7">
        <f t="shared" si="61"/>
        <v>0</v>
      </c>
      <c r="P251" s="7">
        <f t="shared" si="62"/>
        <v>0</v>
      </c>
      <c r="Q251" s="7">
        <f t="shared" si="73"/>
        <v>0</v>
      </c>
      <c r="R251" s="10" t="str">
        <f t="shared" si="63"/>
        <v>0_Pre</v>
      </c>
      <c r="S251" s="10" t="str">
        <f t="shared" si="64"/>
        <v>0_Pre</v>
      </c>
      <c r="T251" s="10" t="str">
        <f t="shared" si="65"/>
        <v>0_Pre</v>
      </c>
      <c r="U251" s="10" t="str">
        <f t="shared" si="66"/>
        <v>0_Pre</v>
      </c>
      <c r="V251" s="10" t="str">
        <f t="shared" si="74"/>
        <v>0_Pre</v>
      </c>
      <c r="W251" s="10" t="str">
        <f t="shared" si="67"/>
        <v>clean_pre</v>
      </c>
      <c r="X251" s="10" t="str">
        <f t="shared" si="68"/>
        <v>0_Pre</v>
      </c>
      <c r="Y251" s="10" t="str">
        <f t="shared" si="69"/>
        <v>0_Pre</v>
      </c>
      <c r="Z251" s="10" t="str">
        <f t="shared" si="70"/>
        <v>0_Pre</v>
      </c>
      <c r="AA251" s="10" t="str">
        <f t="shared" si="75"/>
        <v>0_Pre</v>
      </c>
      <c r="AB251" s="10" t="str">
        <f t="shared" si="76"/>
        <v>0_Pre</v>
      </c>
      <c r="AC251" s="10" t="str">
        <f t="shared" si="77"/>
        <v>0_Pre</v>
      </c>
      <c r="AD251" s="10" t="str">
        <f t="shared" si="78"/>
        <v>1_pre sample median</v>
      </c>
      <c r="AE251" s="10" t="str">
        <f t="shared" si="79"/>
        <v>1_pre sample first tertile</v>
      </c>
      <c r="AF251" t="s">
        <v>80</v>
      </c>
      <c r="AG251" t="s">
        <v>75</v>
      </c>
      <c r="AH251" t="s">
        <v>78</v>
      </c>
      <c r="AI251" t="s">
        <v>122</v>
      </c>
      <c r="AJ251" t="s">
        <v>123</v>
      </c>
      <c r="AK251" t="str">
        <f>VLOOKUP(MID($AR251,1,255),country_lookup!$B:$F,2,FALSE)</f>
        <v>1_US</v>
      </c>
      <c r="AL251" t="str">
        <f>VLOOKUP(MID($AR251,1,255),country_lookup!$B:$F,3,FALSE)</f>
        <v>1_developed</v>
      </c>
      <c r="AM251" t="str">
        <f>VLOOKUP(MID($AR251,1,255),country_lookup!$B:$F,4,FALSE)</f>
        <v>1_western</v>
      </c>
      <c r="AN251" t="str">
        <f>VLOOKUP(MID($AR251,1,255),country_lookup!$B:$F,5,FALSE)</f>
        <v>1_common law</v>
      </c>
      <c r="AO251" s="10" t="str">
        <f>VLOOKUP(MID($AS251,1,255),source_lookup!$B:$K,4,FALSE)</f>
        <v>0_published</v>
      </c>
      <c r="AP251" s="10" t="str">
        <f>VLOOKUP(MID($AS251,1,255),source_lookup!$B:$K,6,FALSE)</f>
        <v>1_VHB high</v>
      </c>
      <c r="AQ251" s="10" t="str">
        <f>VLOOKUP(MID($AS251,1,255),source_lookup!$B:$K,10,FALSE)</f>
        <v>3_mgmt</v>
      </c>
      <c r="AR251" t="s">
        <v>85</v>
      </c>
      <c r="AS251" t="s">
        <v>131</v>
      </c>
    </row>
    <row r="252" spans="1:45" x14ac:dyDescent="0.3">
      <c r="A252" t="s">
        <v>7</v>
      </c>
      <c r="B252">
        <v>251</v>
      </c>
      <c r="C252" s="1">
        <v>4.971253407186179E-2</v>
      </c>
      <c r="D252" s="2">
        <v>836</v>
      </c>
      <c r="E252" s="4">
        <v>4923</v>
      </c>
      <c r="F252" s="4" t="s">
        <v>347</v>
      </c>
      <c r="G252" s="4" t="s">
        <v>346</v>
      </c>
      <c r="H252" t="s">
        <v>77</v>
      </c>
      <c r="I252" t="s">
        <v>352</v>
      </c>
      <c r="J252" s="3">
        <v>1988</v>
      </c>
      <c r="K252" s="3">
        <v>2015</v>
      </c>
      <c r="L252" s="6">
        <f t="shared" si="71"/>
        <v>2001.5</v>
      </c>
      <c r="M252" s="6">
        <f t="shared" si="72"/>
        <v>2001.5</v>
      </c>
      <c r="N252" s="7">
        <f t="shared" si="60"/>
        <v>0</v>
      </c>
      <c r="O252" s="7">
        <f t="shared" si="61"/>
        <v>0</v>
      </c>
      <c r="P252" s="7">
        <f t="shared" si="62"/>
        <v>0</v>
      </c>
      <c r="Q252" s="7">
        <f t="shared" si="73"/>
        <v>0</v>
      </c>
      <c r="R252" s="10" t="str">
        <f t="shared" si="63"/>
        <v>0_Pre</v>
      </c>
      <c r="S252" s="10" t="str">
        <f t="shared" si="64"/>
        <v>0_Pre</v>
      </c>
      <c r="T252" s="10" t="str">
        <f t="shared" si="65"/>
        <v>0_Pre</v>
      </c>
      <c r="U252" s="10" t="str">
        <f t="shared" si="66"/>
        <v>0_Pre</v>
      </c>
      <c r="V252" s="10" t="str">
        <f t="shared" si="74"/>
        <v>0_Pre</v>
      </c>
      <c r="W252" s="10" t="str">
        <f t="shared" si="67"/>
        <v>clean_pre</v>
      </c>
      <c r="X252" s="10" t="str">
        <f t="shared" si="68"/>
        <v>0_Pre</v>
      </c>
      <c r="Y252" s="10" t="str">
        <f t="shared" si="69"/>
        <v>0_Pre</v>
      </c>
      <c r="Z252" s="10" t="str">
        <f t="shared" si="70"/>
        <v>0_Pre</v>
      </c>
      <c r="AA252" s="10" t="str">
        <f t="shared" si="75"/>
        <v>0_Pre</v>
      </c>
      <c r="AB252" s="10" t="str">
        <f t="shared" si="76"/>
        <v>0_Pre</v>
      </c>
      <c r="AC252" s="10" t="str">
        <f t="shared" si="77"/>
        <v>0_Pre</v>
      </c>
      <c r="AD252" s="10" t="str">
        <f t="shared" si="78"/>
        <v>1_pre sample median</v>
      </c>
      <c r="AE252" s="10" t="str">
        <f t="shared" si="79"/>
        <v>1_pre sample first tertile</v>
      </c>
      <c r="AF252" t="s">
        <v>80</v>
      </c>
      <c r="AG252" t="s">
        <v>75</v>
      </c>
      <c r="AH252" t="s">
        <v>78</v>
      </c>
      <c r="AI252" t="s">
        <v>122</v>
      </c>
      <c r="AJ252" t="s">
        <v>123</v>
      </c>
      <c r="AK252" t="str">
        <f>VLOOKUP(MID($AR252,1,255),country_lookup!$B:$F,2,FALSE)</f>
        <v>1_US</v>
      </c>
      <c r="AL252" t="str">
        <f>VLOOKUP(MID($AR252,1,255),country_lookup!$B:$F,3,FALSE)</f>
        <v>1_developed</v>
      </c>
      <c r="AM252" t="str">
        <f>VLOOKUP(MID($AR252,1,255),country_lookup!$B:$F,4,FALSE)</f>
        <v>1_western</v>
      </c>
      <c r="AN252" t="str">
        <f>VLOOKUP(MID($AR252,1,255),country_lookup!$B:$F,5,FALSE)</f>
        <v>1_common law</v>
      </c>
      <c r="AO252" s="10" t="str">
        <f>VLOOKUP(MID($AS252,1,255),source_lookup!$B:$K,4,FALSE)</f>
        <v>0_published</v>
      </c>
      <c r="AP252" s="10" t="str">
        <f>VLOOKUP(MID($AS252,1,255),source_lookup!$B:$K,6,FALSE)</f>
        <v>1_VHB high</v>
      </c>
      <c r="AQ252" s="10" t="str">
        <f>VLOOKUP(MID($AS252,1,255),source_lookup!$B:$K,10,FALSE)</f>
        <v>3_mgmt</v>
      </c>
      <c r="AR252" t="s">
        <v>85</v>
      </c>
      <c r="AS252" t="s">
        <v>131</v>
      </c>
    </row>
    <row r="253" spans="1:45" x14ac:dyDescent="0.3">
      <c r="A253" t="s">
        <v>7</v>
      </c>
      <c r="B253">
        <v>252</v>
      </c>
      <c r="C253" s="1">
        <v>8.1465519753162366E-2</v>
      </c>
      <c r="D253" s="2">
        <v>836</v>
      </c>
      <c r="E253" s="4">
        <v>5081</v>
      </c>
      <c r="F253" s="4" t="s">
        <v>347</v>
      </c>
      <c r="G253" s="4" t="s">
        <v>346</v>
      </c>
      <c r="H253" t="s">
        <v>77</v>
      </c>
      <c r="I253" t="s">
        <v>352</v>
      </c>
      <c r="J253" s="3">
        <v>1988</v>
      </c>
      <c r="K253" s="3">
        <v>2015</v>
      </c>
      <c r="L253" s="6">
        <f t="shared" si="71"/>
        <v>2001.5</v>
      </c>
      <c r="M253" s="6">
        <f t="shared" si="72"/>
        <v>2001.5</v>
      </c>
      <c r="N253" s="7">
        <f t="shared" si="60"/>
        <v>0</v>
      </c>
      <c r="O253" s="7">
        <f t="shared" si="61"/>
        <v>0</v>
      </c>
      <c r="P253" s="7">
        <f t="shared" si="62"/>
        <v>0</v>
      </c>
      <c r="Q253" s="7">
        <f t="shared" si="73"/>
        <v>0</v>
      </c>
      <c r="R253" s="10" t="str">
        <f t="shared" si="63"/>
        <v>0_Pre</v>
      </c>
      <c r="S253" s="10" t="str">
        <f t="shared" si="64"/>
        <v>0_Pre</v>
      </c>
      <c r="T253" s="10" t="str">
        <f t="shared" si="65"/>
        <v>0_Pre</v>
      </c>
      <c r="U253" s="10" t="str">
        <f t="shared" si="66"/>
        <v>0_Pre</v>
      </c>
      <c r="V253" s="10" t="str">
        <f t="shared" si="74"/>
        <v>0_Pre</v>
      </c>
      <c r="W253" s="10" t="str">
        <f t="shared" si="67"/>
        <v>clean_pre</v>
      </c>
      <c r="X253" s="10" t="str">
        <f t="shared" si="68"/>
        <v>0_Pre</v>
      </c>
      <c r="Y253" s="10" t="str">
        <f t="shared" si="69"/>
        <v>0_Pre</v>
      </c>
      <c r="Z253" s="10" t="str">
        <f t="shared" si="70"/>
        <v>0_Pre</v>
      </c>
      <c r="AA253" s="10" t="str">
        <f t="shared" si="75"/>
        <v>0_Pre</v>
      </c>
      <c r="AB253" s="10" t="str">
        <f t="shared" si="76"/>
        <v>0_Pre</v>
      </c>
      <c r="AC253" s="10" t="str">
        <f t="shared" si="77"/>
        <v>0_Pre</v>
      </c>
      <c r="AD253" s="10" t="str">
        <f t="shared" si="78"/>
        <v>1_pre sample median</v>
      </c>
      <c r="AE253" s="10" t="str">
        <f t="shared" si="79"/>
        <v>1_pre sample first tertile</v>
      </c>
      <c r="AF253" t="s">
        <v>80</v>
      </c>
      <c r="AG253" t="s">
        <v>75</v>
      </c>
      <c r="AH253" t="s">
        <v>78</v>
      </c>
      <c r="AI253" t="s">
        <v>122</v>
      </c>
      <c r="AJ253" t="s">
        <v>123</v>
      </c>
      <c r="AK253" t="str">
        <f>VLOOKUP(MID($AR253,1,255),country_lookup!$B:$F,2,FALSE)</f>
        <v>1_US</v>
      </c>
      <c r="AL253" t="str">
        <f>VLOOKUP(MID($AR253,1,255),country_lookup!$B:$F,3,FALSE)</f>
        <v>1_developed</v>
      </c>
      <c r="AM253" t="str">
        <f>VLOOKUP(MID($AR253,1,255),country_lookup!$B:$F,4,FALSE)</f>
        <v>1_western</v>
      </c>
      <c r="AN253" t="str">
        <f>VLOOKUP(MID($AR253,1,255),country_lookup!$B:$F,5,FALSE)</f>
        <v>1_common law</v>
      </c>
      <c r="AO253" s="10" t="str">
        <f>VLOOKUP(MID($AS253,1,255),source_lookup!$B:$K,4,FALSE)</f>
        <v>0_published</v>
      </c>
      <c r="AP253" s="10" t="str">
        <f>VLOOKUP(MID($AS253,1,255),source_lookup!$B:$K,6,FALSE)</f>
        <v>1_VHB high</v>
      </c>
      <c r="AQ253" s="10" t="str">
        <f>VLOOKUP(MID($AS253,1,255),source_lookup!$B:$K,10,FALSE)</f>
        <v>3_mgmt</v>
      </c>
      <c r="AR253" t="s">
        <v>85</v>
      </c>
      <c r="AS253" t="s">
        <v>131</v>
      </c>
    </row>
    <row r="254" spans="1:45" x14ac:dyDescent="0.3">
      <c r="A254" t="s">
        <v>7</v>
      </c>
      <c r="B254">
        <v>253</v>
      </c>
      <c r="C254" s="1">
        <v>-5.8155305557944015E-2</v>
      </c>
      <c r="D254" s="2">
        <v>836</v>
      </c>
      <c r="E254" s="4">
        <v>5081</v>
      </c>
      <c r="F254" s="4" t="s">
        <v>347</v>
      </c>
      <c r="G254" s="4" t="s">
        <v>346</v>
      </c>
      <c r="H254" t="s">
        <v>77</v>
      </c>
      <c r="I254" t="s">
        <v>352</v>
      </c>
      <c r="J254" s="3">
        <v>1988</v>
      </c>
      <c r="K254" s="3">
        <v>2015</v>
      </c>
      <c r="L254" s="6">
        <f t="shared" si="71"/>
        <v>2001.5</v>
      </c>
      <c r="M254" s="6">
        <f t="shared" si="72"/>
        <v>2001.5</v>
      </c>
      <c r="N254" s="7">
        <f t="shared" si="60"/>
        <v>0</v>
      </c>
      <c r="O254" s="7">
        <f t="shared" si="61"/>
        <v>0</v>
      </c>
      <c r="P254" s="7">
        <f t="shared" si="62"/>
        <v>0</v>
      </c>
      <c r="Q254" s="7">
        <f t="shared" si="73"/>
        <v>0</v>
      </c>
      <c r="R254" s="10" t="str">
        <f t="shared" si="63"/>
        <v>0_Pre</v>
      </c>
      <c r="S254" s="10" t="str">
        <f t="shared" si="64"/>
        <v>0_Pre</v>
      </c>
      <c r="T254" s="10" t="str">
        <f t="shared" si="65"/>
        <v>0_Pre</v>
      </c>
      <c r="U254" s="10" t="str">
        <f t="shared" si="66"/>
        <v>0_Pre</v>
      </c>
      <c r="V254" s="10" t="str">
        <f t="shared" si="74"/>
        <v>0_Pre</v>
      </c>
      <c r="W254" s="10" t="str">
        <f t="shared" si="67"/>
        <v>clean_pre</v>
      </c>
      <c r="X254" s="10" t="str">
        <f t="shared" si="68"/>
        <v>0_Pre</v>
      </c>
      <c r="Y254" s="10" t="str">
        <f t="shared" si="69"/>
        <v>0_Pre</v>
      </c>
      <c r="Z254" s="10" t="str">
        <f t="shared" si="70"/>
        <v>0_Pre</v>
      </c>
      <c r="AA254" s="10" t="str">
        <f t="shared" si="75"/>
        <v>0_Pre</v>
      </c>
      <c r="AB254" s="10" t="str">
        <f t="shared" si="76"/>
        <v>0_Pre</v>
      </c>
      <c r="AC254" s="10" t="str">
        <f t="shared" si="77"/>
        <v>0_Pre</v>
      </c>
      <c r="AD254" s="10" t="str">
        <f t="shared" si="78"/>
        <v>1_pre sample median</v>
      </c>
      <c r="AE254" s="10" t="str">
        <f t="shared" si="79"/>
        <v>1_pre sample first tertile</v>
      </c>
      <c r="AF254" t="s">
        <v>80</v>
      </c>
      <c r="AG254" t="s">
        <v>75</v>
      </c>
      <c r="AH254" t="s">
        <v>78</v>
      </c>
      <c r="AI254" t="s">
        <v>122</v>
      </c>
      <c r="AJ254" t="s">
        <v>123</v>
      </c>
      <c r="AK254" t="str">
        <f>VLOOKUP(MID($AR254,1,255),country_lookup!$B:$F,2,FALSE)</f>
        <v>1_US</v>
      </c>
      <c r="AL254" t="str">
        <f>VLOOKUP(MID($AR254,1,255),country_lookup!$B:$F,3,FALSE)</f>
        <v>1_developed</v>
      </c>
      <c r="AM254" t="str">
        <f>VLOOKUP(MID($AR254,1,255),country_lookup!$B:$F,4,FALSE)</f>
        <v>1_western</v>
      </c>
      <c r="AN254" t="str">
        <f>VLOOKUP(MID($AR254,1,255),country_lookup!$B:$F,5,FALSE)</f>
        <v>1_common law</v>
      </c>
      <c r="AO254" s="10" t="str">
        <f>VLOOKUP(MID($AS254,1,255),source_lookup!$B:$K,4,FALSE)</f>
        <v>0_published</v>
      </c>
      <c r="AP254" s="10" t="str">
        <f>VLOOKUP(MID($AS254,1,255),source_lookup!$B:$K,6,FALSE)</f>
        <v>1_VHB high</v>
      </c>
      <c r="AQ254" s="10" t="str">
        <f>VLOOKUP(MID($AS254,1,255),source_lookup!$B:$K,10,FALSE)</f>
        <v>3_mgmt</v>
      </c>
      <c r="AR254" t="s">
        <v>85</v>
      </c>
      <c r="AS254" t="s">
        <v>131</v>
      </c>
    </row>
    <row r="255" spans="1:45" x14ac:dyDescent="0.3">
      <c r="A255" t="s">
        <v>7</v>
      </c>
      <c r="B255">
        <v>254</v>
      </c>
      <c r="C255" s="1">
        <v>-1.8885723649151079E-3</v>
      </c>
      <c r="D255" s="2">
        <v>836</v>
      </c>
      <c r="E255" s="4">
        <v>4923</v>
      </c>
      <c r="F255" s="4" t="s">
        <v>347</v>
      </c>
      <c r="G255" s="4" t="s">
        <v>346</v>
      </c>
      <c r="H255" t="s">
        <v>77</v>
      </c>
      <c r="I255" t="s">
        <v>352</v>
      </c>
      <c r="J255" s="3">
        <v>1988</v>
      </c>
      <c r="K255" s="3">
        <v>2015</v>
      </c>
      <c r="L255" s="6">
        <f t="shared" si="71"/>
        <v>2001.5</v>
      </c>
      <c r="M255" s="6">
        <f t="shared" si="72"/>
        <v>2001.5</v>
      </c>
      <c r="N255" s="7">
        <f t="shared" si="60"/>
        <v>0</v>
      </c>
      <c r="O255" s="7">
        <f t="shared" si="61"/>
        <v>0</v>
      </c>
      <c r="P255" s="7">
        <f t="shared" si="62"/>
        <v>0</v>
      </c>
      <c r="Q255" s="7">
        <f t="shared" si="73"/>
        <v>0</v>
      </c>
      <c r="R255" s="10" t="str">
        <f t="shared" si="63"/>
        <v>0_Pre</v>
      </c>
      <c r="S255" s="10" t="str">
        <f t="shared" si="64"/>
        <v>0_Pre</v>
      </c>
      <c r="T255" s="10" t="str">
        <f t="shared" si="65"/>
        <v>0_Pre</v>
      </c>
      <c r="U255" s="10" t="str">
        <f t="shared" si="66"/>
        <v>0_Pre</v>
      </c>
      <c r="V255" s="10" t="str">
        <f t="shared" si="74"/>
        <v>0_Pre</v>
      </c>
      <c r="W255" s="10" t="str">
        <f t="shared" si="67"/>
        <v>clean_pre</v>
      </c>
      <c r="X255" s="10" t="str">
        <f t="shared" si="68"/>
        <v>0_Pre</v>
      </c>
      <c r="Y255" s="10" t="str">
        <f t="shared" si="69"/>
        <v>0_Pre</v>
      </c>
      <c r="Z255" s="10" t="str">
        <f t="shared" si="70"/>
        <v>0_Pre</v>
      </c>
      <c r="AA255" s="10" t="str">
        <f t="shared" si="75"/>
        <v>0_Pre</v>
      </c>
      <c r="AB255" s="10" t="str">
        <f t="shared" si="76"/>
        <v>0_Pre</v>
      </c>
      <c r="AC255" s="10" t="str">
        <f t="shared" si="77"/>
        <v>0_Pre</v>
      </c>
      <c r="AD255" s="10" t="str">
        <f t="shared" si="78"/>
        <v>1_pre sample median</v>
      </c>
      <c r="AE255" s="10" t="str">
        <f t="shared" si="79"/>
        <v>1_pre sample first tertile</v>
      </c>
      <c r="AF255" t="s">
        <v>80</v>
      </c>
      <c r="AG255" t="s">
        <v>75</v>
      </c>
      <c r="AH255" t="s">
        <v>78</v>
      </c>
      <c r="AI255" t="s">
        <v>122</v>
      </c>
      <c r="AJ255" t="s">
        <v>123</v>
      </c>
      <c r="AK255" t="str">
        <f>VLOOKUP(MID($AR255,1,255),country_lookup!$B:$F,2,FALSE)</f>
        <v>1_US</v>
      </c>
      <c r="AL255" t="str">
        <f>VLOOKUP(MID($AR255,1,255),country_lookup!$B:$F,3,FALSE)</f>
        <v>1_developed</v>
      </c>
      <c r="AM255" t="str">
        <f>VLOOKUP(MID($AR255,1,255),country_lookup!$B:$F,4,FALSE)</f>
        <v>1_western</v>
      </c>
      <c r="AN255" t="str">
        <f>VLOOKUP(MID($AR255,1,255),country_lookup!$B:$F,5,FALSE)</f>
        <v>1_common law</v>
      </c>
      <c r="AO255" s="10" t="str">
        <f>VLOOKUP(MID($AS255,1,255),source_lookup!$B:$K,4,FALSE)</f>
        <v>0_published</v>
      </c>
      <c r="AP255" s="10" t="str">
        <f>VLOOKUP(MID($AS255,1,255),source_lookup!$B:$K,6,FALSE)</f>
        <v>1_VHB high</v>
      </c>
      <c r="AQ255" s="10" t="str">
        <f>VLOOKUP(MID($AS255,1,255),source_lookup!$B:$K,10,FALSE)</f>
        <v>3_mgmt</v>
      </c>
      <c r="AR255" t="s">
        <v>85</v>
      </c>
      <c r="AS255" t="s">
        <v>131</v>
      </c>
    </row>
    <row r="256" spans="1:45" x14ac:dyDescent="0.3">
      <c r="A256" t="s">
        <v>7</v>
      </c>
      <c r="B256">
        <v>255</v>
      </c>
      <c r="C256" s="1">
        <v>-5.3623497118450235E-2</v>
      </c>
      <c r="D256" s="2">
        <v>836</v>
      </c>
      <c r="E256" s="4">
        <v>4923</v>
      </c>
      <c r="F256" s="4" t="s">
        <v>347</v>
      </c>
      <c r="G256" s="4" t="s">
        <v>346</v>
      </c>
      <c r="H256" t="s">
        <v>77</v>
      </c>
      <c r="I256" t="s">
        <v>352</v>
      </c>
      <c r="J256" s="3">
        <v>1988</v>
      </c>
      <c r="K256" s="3">
        <v>2015</v>
      </c>
      <c r="L256" s="6">
        <f t="shared" si="71"/>
        <v>2001.5</v>
      </c>
      <c r="M256" s="6">
        <f t="shared" si="72"/>
        <v>2001.5</v>
      </c>
      <c r="N256" s="7">
        <f t="shared" si="60"/>
        <v>0</v>
      </c>
      <c r="O256" s="7">
        <f t="shared" si="61"/>
        <v>0</v>
      </c>
      <c r="P256" s="7">
        <f t="shared" si="62"/>
        <v>0</v>
      </c>
      <c r="Q256" s="7">
        <f t="shared" si="73"/>
        <v>0</v>
      </c>
      <c r="R256" s="10" t="str">
        <f t="shared" si="63"/>
        <v>0_Pre</v>
      </c>
      <c r="S256" s="10" t="str">
        <f t="shared" si="64"/>
        <v>0_Pre</v>
      </c>
      <c r="T256" s="10" t="str">
        <f t="shared" si="65"/>
        <v>0_Pre</v>
      </c>
      <c r="U256" s="10" t="str">
        <f t="shared" si="66"/>
        <v>0_Pre</v>
      </c>
      <c r="V256" s="10" t="str">
        <f t="shared" si="74"/>
        <v>0_Pre</v>
      </c>
      <c r="W256" s="10" t="str">
        <f t="shared" si="67"/>
        <v>clean_pre</v>
      </c>
      <c r="X256" s="10" t="str">
        <f t="shared" si="68"/>
        <v>0_Pre</v>
      </c>
      <c r="Y256" s="10" t="str">
        <f t="shared" si="69"/>
        <v>0_Pre</v>
      </c>
      <c r="Z256" s="10" t="str">
        <f t="shared" si="70"/>
        <v>0_Pre</v>
      </c>
      <c r="AA256" s="10" t="str">
        <f t="shared" si="75"/>
        <v>0_Pre</v>
      </c>
      <c r="AB256" s="10" t="str">
        <f t="shared" si="76"/>
        <v>0_Pre</v>
      </c>
      <c r="AC256" s="10" t="str">
        <f t="shared" si="77"/>
        <v>0_Pre</v>
      </c>
      <c r="AD256" s="10" t="str">
        <f t="shared" si="78"/>
        <v>1_pre sample median</v>
      </c>
      <c r="AE256" s="10" t="str">
        <f t="shared" si="79"/>
        <v>1_pre sample first tertile</v>
      </c>
      <c r="AF256" t="s">
        <v>80</v>
      </c>
      <c r="AG256" t="s">
        <v>75</v>
      </c>
      <c r="AH256" t="s">
        <v>78</v>
      </c>
      <c r="AI256" t="s">
        <v>122</v>
      </c>
      <c r="AJ256" t="s">
        <v>123</v>
      </c>
      <c r="AK256" t="str">
        <f>VLOOKUP(MID($AR256,1,255),country_lookup!$B:$F,2,FALSE)</f>
        <v>1_US</v>
      </c>
      <c r="AL256" t="str">
        <f>VLOOKUP(MID($AR256,1,255),country_lookup!$B:$F,3,FALSE)</f>
        <v>1_developed</v>
      </c>
      <c r="AM256" t="str">
        <f>VLOOKUP(MID($AR256,1,255),country_lookup!$B:$F,4,FALSE)</f>
        <v>1_western</v>
      </c>
      <c r="AN256" t="str">
        <f>VLOOKUP(MID($AR256,1,255),country_lookup!$B:$F,5,FALSE)</f>
        <v>1_common law</v>
      </c>
      <c r="AO256" s="10" t="str">
        <f>VLOOKUP(MID($AS256,1,255),source_lookup!$B:$K,4,FALSE)</f>
        <v>0_published</v>
      </c>
      <c r="AP256" s="10" t="str">
        <f>VLOOKUP(MID($AS256,1,255),source_lookup!$B:$K,6,FALSE)</f>
        <v>1_VHB high</v>
      </c>
      <c r="AQ256" s="10" t="str">
        <f>VLOOKUP(MID($AS256,1,255),source_lookup!$B:$K,10,FALSE)</f>
        <v>3_mgmt</v>
      </c>
      <c r="AR256" t="s">
        <v>85</v>
      </c>
      <c r="AS256" t="s">
        <v>131</v>
      </c>
    </row>
    <row r="257" spans="1:45" x14ac:dyDescent="0.3">
      <c r="A257" t="s">
        <v>7</v>
      </c>
      <c r="B257">
        <v>256</v>
      </c>
      <c r="C257" s="1">
        <v>2.3838802689188983E-2</v>
      </c>
      <c r="D257" s="2">
        <v>836</v>
      </c>
      <c r="E257" s="4">
        <v>4923</v>
      </c>
      <c r="F257" s="4" t="s">
        <v>347</v>
      </c>
      <c r="G257" s="4" t="s">
        <v>346</v>
      </c>
      <c r="H257" t="s">
        <v>77</v>
      </c>
      <c r="I257" t="s">
        <v>352</v>
      </c>
      <c r="J257" s="3">
        <v>1988</v>
      </c>
      <c r="K257" s="3">
        <v>2015</v>
      </c>
      <c r="L257" s="6">
        <f t="shared" si="71"/>
        <v>2001.5</v>
      </c>
      <c r="M257" s="6">
        <f t="shared" si="72"/>
        <v>2001.5</v>
      </c>
      <c r="N257" s="7">
        <f t="shared" si="60"/>
        <v>0</v>
      </c>
      <c r="O257" s="7">
        <f t="shared" si="61"/>
        <v>0</v>
      </c>
      <c r="P257" s="7">
        <f t="shared" si="62"/>
        <v>0</v>
      </c>
      <c r="Q257" s="7">
        <f t="shared" si="73"/>
        <v>0</v>
      </c>
      <c r="R257" s="10" t="str">
        <f t="shared" si="63"/>
        <v>0_Pre</v>
      </c>
      <c r="S257" s="10" t="str">
        <f t="shared" si="64"/>
        <v>0_Pre</v>
      </c>
      <c r="T257" s="10" t="str">
        <f t="shared" si="65"/>
        <v>0_Pre</v>
      </c>
      <c r="U257" s="10" t="str">
        <f t="shared" si="66"/>
        <v>0_Pre</v>
      </c>
      <c r="V257" s="10" t="str">
        <f t="shared" si="74"/>
        <v>0_Pre</v>
      </c>
      <c r="W257" s="10" t="str">
        <f t="shared" si="67"/>
        <v>clean_pre</v>
      </c>
      <c r="X257" s="10" t="str">
        <f t="shared" si="68"/>
        <v>0_Pre</v>
      </c>
      <c r="Y257" s="10" t="str">
        <f t="shared" si="69"/>
        <v>0_Pre</v>
      </c>
      <c r="Z257" s="10" t="str">
        <f t="shared" si="70"/>
        <v>0_Pre</v>
      </c>
      <c r="AA257" s="10" t="str">
        <f t="shared" si="75"/>
        <v>0_Pre</v>
      </c>
      <c r="AB257" s="10" t="str">
        <f t="shared" si="76"/>
        <v>0_Pre</v>
      </c>
      <c r="AC257" s="10" t="str">
        <f t="shared" si="77"/>
        <v>0_Pre</v>
      </c>
      <c r="AD257" s="10" t="str">
        <f t="shared" si="78"/>
        <v>1_pre sample median</v>
      </c>
      <c r="AE257" s="10" t="str">
        <f t="shared" si="79"/>
        <v>1_pre sample first tertile</v>
      </c>
      <c r="AF257" t="s">
        <v>80</v>
      </c>
      <c r="AG257" t="s">
        <v>75</v>
      </c>
      <c r="AH257" t="s">
        <v>78</v>
      </c>
      <c r="AI257" t="s">
        <v>122</v>
      </c>
      <c r="AJ257" t="s">
        <v>123</v>
      </c>
      <c r="AK257" t="str">
        <f>VLOOKUP(MID($AR257,1,255),country_lookup!$B:$F,2,FALSE)</f>
        <v>1_US</v>
      </c>
      <c r="AL257" t="str">
        <f>VLOOKUP(MID($AR257,1,255),country_lookup!$B:$F,3,FALSE)</f>
        <v>1_developed</v>
      </c>
      <c r="AM257" t="str">
        <f>VLOOKUP(MID($AR257,1,255),country_lookup!$B:$F,4,FALSE)</f>
        <v>1_western</v>
      </c>
      <c r="AN257" t="str">
        <f>VLOOKUP(MID($AR257,1,255),country_lookup!$B:$F,5,FALSE)</f>
        <v>1_common law</v>
      </c>
      <c r="AO257" s="10" t="str">
        <f>VLOOKUP(MID($AS257,1,255),source_lookup!$B:$K,4,FALSE)</f>
        <v>0_published</v>
      </c>
      <c r="AP257" s="10" t="str">
        <f>VLOOKUP(MID($AS257,1,255),source_lookup!$B:$K,6,FALSE)</f>
        <v>1_VHB high</v>
      </c>
      <c r="AQ257" s="10" t="str">
        <f>VLOOKUP(MID($AS257,1,255),source_lookup!$B:$K,10,FALSE)</f>
        <v>3_mgmt</v>
      </c>
      <c r="AR257" t="s">
        <v>85</v>
      </c>
      <c r="AS257" t="s">
        <v>131</v>
      </c>
    </row>
    <row r="258" spans="1:45" x14ac:dyDescent="0.3">
      <c r="A258" t="s">
        <v>7</v>
      </c>
      <c r="B258">
        <v>257</v>
      </c>
      <c r="C258" s="1">
        <v>-2.3244233741413933E-2</v>
      </c>
      <c r="D258" s="2">
        <v>836</v>
      </c>
      <c r="E258" s="4">
        <v>4923</v>
      </c>
      <c r="F258" s="4" t="s">
        <v>347</v>
      </c>
      <c r="G258" s="4" t="s">
        <v>346</v>
      </c>
      <c r="H258" t="s">
        <v>77</v>
      </c>
      <c r="I258" t="s">
        <v>352</v>
      </c>
      <c r="J258" s="3">
        <v>1988</v>
      </c>
      <c r="K258" s="3">
        <v>2015</v>
      </c>
      <c r="L258" s="6">
        <f t="shared" si="71"/>
        <v>2001.5</v>
      </c>
      <c r="M258" s="6">
        <f t="shared" si="72"/>
        <v>2001.5</v>
      </c>
      <c r="N258" s="7">
        <f t="shared" ref="N258:N321" si="80">MAX(0,$K258-MAX($J258,2016)+1)/($K258-$J258+1)</f>
        <v>0</v>
      </c>
      <c r="O258" s="7">
        <f t="shared" ref="O258:O321" si="81">MAX(0,$K258-MAX($J258,2017)+1)/($K258-$J258+1)</f>
        <v>0</v>
      </c>
      <c r="P258" s="7">
        <f t="shared" ref="P258:P321" si="82">MAX(0,$K258-MAX($J258,2018)+1)/($K258-$J258+1)</f>
        <v>0</v>
      </c>
      <c r="Q258" s="7">
        <f t="shared" si="73"/>
        <v>0</v>
      </c>
      <c r="R258" s="10" t="str">
        <f t="shared" ref="R258:R321" si="83">IF(N258&gt;=0.5,"1_Post","0_Pre")</f>
        <v>0_Pre</v>
      </c>
      <c r="S258" s="10" t="str">
        <f t="shared" ref="S258:S321" si="84">IF($L258&gt;=2016,"1_Post","0_Pre")</f>
        <v>0_Pre</v>
      </c>
      <c r="T258" s="10" t="str">
        <f t="shared" ref="T258:T321" si="85">IF($M258&gt;=2016,"1_Post","0_Pre")</f>
        <v>0_Pre</v>
      </c>
      <c r="U258" s="10" t="str">
        <f t="shared" ref="U258:U321" si="86">IF($K258&gt;=2016,"1_Post","0_Pre")</f>
        <v>0_Pre</v>
      </c>
      <c r="V258" s="10" t="str">
        <f t="shared" si="74"/>
        <v>0_Pre</v>
      </c>
      <c r="W258" s="10" t="str">
        <f t="shared" ref="W258:W321" si="87">IF($K258&lt;=2015,"clean_pre",IF($J258&gt;=2016,"clean_post","straddle"))</f>
        <v>clean_pre</v>
      </c>
      <c r="X258" s="10" t="str">
        <f t="shared" ref="X258:X321" si="88">IF(O258&gt;=0.5,"1_Post","0_Pre")</f>
        <v>0_Pre</v>
      </c>
      <c r="Y258" s="10" t="str">
        <f t="shared" ref="Y258:Y321" si="89">IF(P258&gt;=0.5,"1_Post","0_Pre")</f>
        <v>0_Pre</v>
      </c>
      <c r="Z258" s="10" t="str">
        <f t="shared" ref="Z258:Z321" si="90">IF(Q258&gt;=0.5,"1_Post","0_Pre")</f>
        <v>0_Pre</v>
      </c>
      <c r="AA258" s="10" t="str">
        <f t="shared" si="75"/>
        <v>0_Pre</v>
      </c>
      <c r="AB258" s="10" t="str">
        <f t="shared" si="76"/>
        <v>0_Pre</v>
      </c>
      <c r="AC258" s="10" t="str">
        <f t="shared" si="77"/>
        <v>0_Pre</v>
      </c>
      <c r="AD258" s="10" t="str">
        <f t="shared" si="78"/>
        <v>1_pre sample median</v>
      </c>
      <c r="AE258" s="10" t="str">
        <f t="shared" si="79"/>
        <v>1_pre sample first tertile</v>
      </c>
      <c r="AF258" t="s">
        <v>80</v>
      </c>
      <c r="AG258" t="s">
        <v>75</v>
      </c>
      <c r="AH258" t="s">
        <v>78</v>
      </c>
      <c r="AI258" t="s">
        <v>122</v>
      </c>
      <c r="AJ258" t="s">
        <v>123</v>
      </c>
      <c r="AK258" t="str">
        <f>VLOOKUP(MID($AR258,1,255),country_lookup!$B:$F,2,FALSE)</f>
        <v>1_US</v>
      </c>
      <c r="AL258" t="str">
        <f>VLOOKUP(MID($AR258,1,255),country_lookup!$B:$F,3,FALSE)</f>
        <v>1_developed</v>
      </c>
      <c r="AM258" t="str">
        <f>VLOOKUP(MID($AR258,1,255),country_lookup!$B:$F,4,FALSE)</f>
        <v>1_western</v>
      </c>
      <c r="AN258" t="str">
        <f>VLOOKUP(MID($AR258,1,255),country_lookup!$B:$F,5,FALSE)</f>
        <v>1_common law</v>
      </c>
      <c r="AO258" s="10" t="str">
        <f>VLOOKUP(MID($AS258,1,255),source_lookup!$B:$K,4,FALSE)</f>
        <v>0_published</v>
      </c>
      <c r="AP258" s="10" t="str">
        <f>VLOOKUP(MID($AS258,1,255),source_lookup!$B:$K,6,FALSE)</f>
        <v>1_VHB high</v>
      </c>
      <c r="AQ258" s="10" t="str">
        <f>VLOOKUP(MID($AS258,1,255),source_lookup!$B:$K,10,FALSE)</f>
        <v>3_mgmt</v>
      </c>
      <c r="AR258" t="s">
        <v>85</v>
      </c>
      <c r="AS258" t="s">
        <v>131</v>
      </c>
    </row>
    <row r="259" spans="1:45" x14ac:dyDescent="0.3">
      <c r="A259" t="s">
        <v>7</v>
      </c>
      <c r="B259">
        <v>258</v>
      </c>
      <c r="C259" s="1">
        <v>6.9290675533379364E-2</v>
      </c>
      <c r="D259" s="2">
        <v>836</v>
      </c>
      <c r="E259" s="4">
        <v>4923</v>
      </c>
      <c r="F259" s="4" t="s">
        <v>347</v>
      </c>
      <c r="G259" s="4" t="s">
        <v>346</v>
      </c>
      <c r="H259" t="s">
        <v>77</v>
      </c>
      <c r="I259" t="s">
        <v>352</v>
      </c>
      <c r="J259" s="3">
        <v>1988</v>
      </c>
      <c r="K259" s="3">
        <v>2015</v>
      </c>
      <c r="L259" s="6">
        <f t="shared" ref="L259:L322" si="91">ROUND(AVERAGE(J259:K259),100)</f>
        <v>2001.5</v>
      </c>
      <c r="M259" s="6">
        <f t="shared" ref="M259:M322" si="92">ROUND(MEDIAN(J259:K259),100)</f>
        <v>2001.5</v>
      </c>
      <c r="N259" s="7">
        <f t="shared" si="80"/>
        <v>0</v>
      </c>
      <c r="O259" s="7">
        <f t="shared" si="81"/>
        <v>0</v>
      </c>
      <c r="P259" s="7">
        <f t="shared" si="82"/>
        <v>0</v>
      </c>
      <c r="Q259" s="7">
        <f t="shared" ref="Q259:Q322" si="93">MAX(0,$K259-MAX($J259,2019)+1)/($K259-$J259+1)</f>
        <v>0</v>
      </c>
      <c r="R259" s="10" t="str">
        <f t="shared" si="83"/>
        <v>0_Pre</v>
      </c>
      <c r="S259" s="10" t="str">
        <f t="shared" si="84"/>
        <v>0_Pre</v>
      </c>
      <c r="T259" s="10" t="str">
        <f t="shared" si="85"/>
        <v>0_Pre</v>
      </c>
      <c r="U259" s="10" t="str">
        <f t="shared" si="86"/>
        <v>0_Pre</v>
      </c>
      <c r="V259" s="10" t="str">
        <f t="shared" ref="V259:V322" si="94">IF($J259&lt;=2017,"0_Pre","1_Post")</f>
        <v>0_Pre</v>
      </c>
      <c r="W259" s="10" t="str">
        <f t="shared" si="87"/>
        <v>clean_pre</v>
      </c>
      <c r="X259" s="10" t="str">
        <f t="shared" si="88"/>
        <v>0_Pre</v>
      </c>
      <c r="Y259" s="10" t="str">
        <f t="shared" si="89"/>
        <v>0_Pre</v>
      </c>
      <c r="Z259" s="10" t="str">
        <f t="shared" si="90"/>
        <v>0_Pre</v>
      </c>
      <c r="AA259" s="10" t="str">
        <f t="shared" ref="AA259:AA322" si="95">IF($K259&gt;=2017,"1_Post","0_Pre")</f>
        <v>0_Pre</v>
      </c>
      <c r="AB259" s="10" t="str">
        <f t="shared" ref="AB259:AB322" si="96">IF($K259&gt;=2018,"1_Post","0_Pre")</f>
        <v>0_Pre</v>
      </c>
      <c r="AC259" s="10" t="str">
        <f t="shared" ref="AC259:AC322" si="97">IF($K259&gt;=2019,"1_Post","0_Pre")</f>
        <v>0_Pre</v>
      </c>
      <c r="AD259" s="10" t="str">
        <f t="shared" ref="AD259:AD322" si="98">IF(L259&lt;MEDIAN($L$2:$L$1307),"1_pre sample median","2_post sample median")</f>
        <v>1_pre sample median</v>
      </c>
      <c r="AE259" s="10" t="str">
        <f t="shared" ref="AE259:AE322" si="99">IF(L259&lt;=PERCENTILE($L$2:$L$1307,0.33),"1_pre sample first tertile",IF(L259&gt;=PERCENTILE($L$2:$L$1307,0.67),"3_post sample third tertile","2_in sample second tertile"))</f>
        <v>1_pre sample first tertile</v>
      </c>
      <c r="AF259" t="s">
        <v>80</v>
      </c>
      <c r="AG259" t="s">
        <v>75</v>
      </c>
      <c r="AH259" t="s">
        <v>78</v>
      </c>
      <c r="AI259" t="s">
        <v>122</v>
      </c>
      <c r="AJ259" t="s">
        <v>123</v>
      </c>
      <c r="AK259" t="str">
        <f>VLOOKUP(MID($AR259,1,255),country_lookup!$B:$F,2,FALSE)</f>
        <v>1_US</v>
      </c>
      <c r="AL259" t="str">
        <f>VLOOKUP(MID($AR259,1,255),country_lookup!$B:$F,3,FALSE)</f>
        <v>1_developed</v>
      </c>
      <c r="AM259" t="str">
        <f>VLOOKUP(MID($AR259,1,255),country_lookup!$B:$F,4,FALSE)</f>
        <v>1_western</v>
      </c>
      <c r="AN259" t="str">
        <f>VLOOKUP(MID($AR259,1,255),country_lookup!$B:$F,5,FALSE)</f>
        <v>1_common law</v>
      </c>
      <c r="AO259" s="10" t="str">
        <f>VLOOKUP(MID($AS259,1,255),source_lookup!$B:$K,4,FALSE)</f>
        <v>0_published</v>
      </c>
      <c r="AP259" s="10" t="str">
        <f>VLOOKUP(MID($AS259,1,255),source_lookup!$B:$K,6,FALSE)</f>
        <v>1_VHB high</v>
      </c>
      <c r="AQ259" s="10" t="str">
        <f>VLOOKUP(MID($AS259,1,255),source_lookup!$B:$K,10,FALSE)</f>
        <v>3_mgmt</v>
      </c>
      <c r="AR259" t="s">
        <v>85</v>
      </c>
      <c r="AS259" t="s">
        <v>131</v>
      </c>
    </row>
    <row r="260" spans="1:45" x14ac:dyDescent="0.3">
      <c r="A260" t="s">
        <v>7</v>
      </c>
      <c r="B260">
        <v>259</v>
      </c>
      <c r="C260" s="1">
        <v>-6.986844814622141E-2</v>
      </c>
      <c r="D260" s="2">
        <v>836</v>
      </c>
      <c r="E260" s="4">
        <v>4923</v>
      </c>
      <c r="F260" s="4" t="s">
        <v>347</v>
      </c>
      <c r="G260" s="4" t="s">
        <v>346</v>
      </c>
      <c r="H260" t="s">
        <v>77</v>
      </c>
      <c r="I260" t="s">
        <v>352</v>
      </c>
      <c r="J260" s="3">
        <v>1988</v>
      </c>
      <c r="K260" s="3">
        <v>2015</v>
      </c>
      <c r="L260" s="6">
        <f t="shared" si="91"/>
        <v>2001.5</v>
      </c>
      <c r="M260" s="6">
        <f t="shared" si="92"/>
        <v>2001.5</v>
      </c>
      <c r="N260" s="7">
        <f t="shared" si="80"/>
        <v>0</v>
      </c>
      <c r="O260" s="7">
        <f t="shared" si="81"/>
        <v>0</v>
      </c>
      <c r="P260" s="7">
        <f t="shared" si="82"/>
        <v>0</v>
      </c>
      <c r="Q260" s="7">
        <f t="shared" si="93"/>
        <v>0</v>
      </c>
      <c r="R260" s="10" t="str">
        <f t="shared" si="83"/>
        <v>0_Pre</v>
      </c>
      <c r="S260" s="10" t="str">
        <f t="shared" si="84"/>
        <v>0_Pre</v>
      </c>
      <c r="T260" s="10" t="str">
        <f t="shared" si="85"/>
        <v>0_Pre</v>
      </c>
      <c r="U260" s="10" t="str">
        <f t="shared" si="86"/>
        <v>0_Pre</v>
      </c>
      <c r="V260" s="10" t="str">
        <f t="shared" si="94"/>
        <v>0_Pre</v>
      </c>
      <c r="W260" s="10" t="str">
        <f t="shared" si="87"/>
        <v>clean_pre</v>
      </c>
      <c r="X260" s="10" t="str">
        <f t="shared" si="88"/>
        <v>0_Pre</v>
      </c>
      <c r="Y260" s="10" t="str">
        <f t="shared" si="89"/>
        <v>0_Pre</v>
      </c>
      <c r="Z260" s="10" t="str">
        <f t="shared" si="90"/>
        <v>0_Pre</v>
      </c>
      <c r="AA260" s="10" t="str">
        <f t="shared" si="95"/>
        <v>0_Pre</v>
      </c>
      <c r="AB260" s="10" t="str">
        <f t="shared" si="96"/>
        <v>0_Pre</v>
      </c>
      <c r="AC260" s="10" t="str">
        <f t="shared" si="97"/>
        <v>0_Pre</v>
      </c>
      <c r="AD260" s="10" t="str">
        <f t="shared" si="98"/>
        <v>1_pre sample median</v>
      </c>
      <c r="AE260" s="10" t="str">
        <f t="shared" si="99"/>
        <v>1_pre sample first tertile</v>
      </c>
      <c r="AF260" t="s">
        <v>80</v>
      </c>
      <c r="AG260" t="s">
        <v>75</v>
      </c>
      <c r="AH260" t="s">
        <v>78</v>
      </c>
      <c r="AI260" t="s">
        <v>122</v>
      </c>
      <c r="AJ260" t="s">
        <v>123</v>
      </c>
      <c r="AK260" t="str">
        <f>VLOOKUP(MID($AR260,1,255),country_lookup!$B:$F,2,FALSE)</f>
        <v>1_US</v>
      </c>
      <c r="AL260" t="str">
        <f>VLOOKUP(MID($AR260,1,255),country_lookup!$B:$F,3,FALSE)</f>
        <v>1_developed</v>
      </c>
      <c r="AM260" t="str">
        <f>VLOOKUP(MID($AR260,1,255),country_lookup!$B:$F,4,FALSE)</f>
        <v>1_western</v>
      </c>
      <c r="AN260" t="str">
        <f>VLOOKUP(MID($AR260,1,255),country_lookup!$B:$F,5,FALSE)</f>
        <v>1_common law</v>
      </c>
      <c r="AO260" s="10" t="str">
        <f>VLOOKUP(MID($AS260,1,255),source_lookup!$B:$K,4,FALSE)</f>
        <v>0_published</v>
      </c>
      <c r="AP260" s="10" t="str">
        <f>VLOOKUP(MID($AS260,1,255),source_lookup!$B:$K,6,FALSE)</f>
        <v>1_VHB high</v>
      </c>
      <c r="AQ260" s="10" t="str">
        <f>VLOOKUP(MID($AS260,1,255),source_lookup!$B:$K,10,FALSE)</f>
        <v>3_mgmt</v>
      </c>
      <c r="AR260" t="s">
        <v>85</v>
      </c>
      <c r="AS260" t="s">
        <v>131</v>
      </c>
    </row>
    <row r="261" spans="1:45" x14ac:dyDescent="0.3">
      <c r="A261" t="s">
        <v>7</v>
      </c>
      <c r="B261">
        <v>260</v>
      </c>
      <c r="C261" s="1">
        <v>-5.6809005509822225E-3</v>
      </c>
      <c r="D261" s="2">
        <v>836</v>
      </c>
      <c r="E261" s="4">
        <v>7263</v>
      </c>
      <c r="F261" s="4" t="s">
        <v>347</v>
      </c>
      <c r="G261" s="4" t="s">
        <v>346</v>
      </c>
      <c r="H261" t="s">
        <v>77</v>
      </c>
      <c r="I261" t="s">
        <v>352</v>
      </c>
      <c r="J261" s="3">
        <v>1988</v>
      </c>
      <c r="K261" s="3">
        <v>2015</v>
      </c>
      <c r="L261" s="6">
        <f t="shared" si="91"/>
        <v>2001.5</v>
      </c>
      <c r="M261" s="6">
        <f t="shared" si="92"/>
        <v>2001.5</v>
      </c>
      <c r="N261" s="7">
        <f t="shared" si="80"/>
        <v>0</v>
      </c>
      <c r="O261" s="7">
        <f t="shared" si="81"/>
        <v>0</v>
      </c>
      <c r="P261" s="7">
        <f t="shared" si="82"/>
        <v>0</v>
      </c>
      <c r="Q261" s="7">
        <f t="shared" si="93"/>
        <v>0</v>
      </c>
      <c r="R261" s="10" t="str">
        <f t="shared" si="83"/>
        <v>0_Pre</v>
      </c>
      <c r="S261" s="10" t="str">
        <f t="shared" si="84"/>
        <v>0_Pre</v>
      </c>
      <c r="T261" s="10" t="str">
        <f t="shared" si="85"/>
        <v>0_Pre</v>
      </c>
      <c r="U261" s="10" t="str">
        <f t="shared" si="86"/>
        <v>0_Pre</v>
      </c>
      <c r="V261" s="10" t="str">
        <f t="shared" si="94"/>
        <v>0_Pre</v>
      </c>
      <c r="W261" s="10" t="str">
        <f t="shared" si="87"/>
        <v>clean_pre</v>
      </c>
      <c r="X261" s="10" t="str">
        <f t="shared" si="88"/>
        <v>0_Pre</v>
      </c>
      <c r="Y261" s="10" t="str">
        <f t="shared" si="89"/>
        <v>0_Pre</v>
      </c>
      <c r="Z261" s="10" t="str">
        <f t="shared" si="90"/>
        <v>0_Pre</v>
      </c>
      <c r="AA261" s="10" t="str">
        <f t="shared" si="95"/>
        <v>0_Pre</v>
      </c>
      <c r="AB261" s="10" t="str">
        <f t="shared" si="96"/>
        <v>0_Pre</v>
      </c>
      <c r="AC261" s="10" t="str">
        <f t="shared" si="97"/>
        <v>0_Pre</v>
      </c>
      <c r="AD261" s="10" t="str">
        <f t="shared" si="98"/>
        <v>1_pre sample median</v>
      </c>
      <c r="AE261" s="10" t="str">
        <f t="shared" si="99"/>
        <v>1_pre sample first tertile</v>
      </c>
      <c r="AF261" t="s">
        <v>80</v>
      </c>
      <c r="AG261" t="s">
        <v>75</v>
      </c>
      <c r="AH261" t="s">
        <v>78</v>
      </c>
      <c r="AI261" t="s">
        <v>122</v>
      </c>
      <c r="AJ261" t="s">
        <v>123</v>
      </c>
      <c r="AK261" t="str">
        <f>VLOOKUP(MID($AR261,1,255),country_lookup!$B:$F,2,FALSE)</f>
        <v>1_US</v>
      </c>
      <c r="AL261" t="str">
        <f>VLOOKUP(MID($AR261,1,255),country_lookup!$B:$F,3,FALSE)</f>
        <v>1_developed</v>
      </c>
      <c r="AM261" t="str">
        <f>VLOOKUP(MID($AR261,1,255),country_lookup!$B:$F,4,FALSE)</f>
        <v>1_western</v>
      </c>
      <c r="AN261" t="str">
        <f>VLOOKUP(MID($AR261,1,255),country_lookup!$B:$F,5,FALSE)</f>
        <v>1_common law</v>
      </c>
      <c r="AO261" s="10" t="str">
        <f>VLOOKUP(MID($AS261,1,255),source_lookup!$B:$K,4,FALSE)</f>
        <v>0_published</v>
      </c>
      <c r="AP261" s="10" t="str">
        <f>VLOOKUP(MID($AS261,1,255),source_lookup!$B:$K,6,FALSE)</f>
        <v>1_VHB high</v>
      </c>
      <c r="AQ261" s="10" t="str">
        <f>VLOOKUP(MID($AS261,1,255),source_lookup!$B:$K,10,FALSE)</f>
        <v>3_mgmt</v>
      </c>
      <c r="AR261" t="s">
        <v>85</v>
      </c>
      <c r="AS261" t="s">
        <v>131</v>
      </c>
    </row>
    <row r="262" spans="1:45" x14ac:dyDescent="0.3">
      <c r="A262" t="s">
        <v>7</v>
      </c>
      <c r="B262">
        <v>261</v>
      </c>
      <c r="C262" s="1">
        <v>-5.5739551800889874E-3</v>
      </c>
      <c r="D262" s="2">
        <v>836</v>
      </c>
      <c r="E262" s="4">
        <v>7263</v>
      </c>
      <c r="F262" s="4" t="s">
        <v>347</v>
      </c>
      <c r="G262" s="4" t="s">
        <v>346</v>
      </c>
      <c r="H262" t="s">
        <v>77</v>
      </c>
      <c r="I262" t="s">
        <v>352</v>
      </c>
      <c r="J262" s="3">
        <v>1988</v>
      </c>
      <c r="K262" s="3">
        <v>2015</v>
      </c>
      <c r="L262" s="6">
        <f t="shared" si="91"/>
        <v>2001.5</v>
      </c>
      <c r="M262" s="6">
        <f t="shared" si="92"/>
        <v>2001.5</v>
      </c>
      <c r="N262" s="7">
        <f t="shared" si="80"/>
        <v>0</v>
      </c>
      <c r="O262" s="7">
        <f t="shared" si="81"/>
        <v>0</v>
      </c>
      <c r="P262" s="7">
        <f t="shared" si="82"/>
        <v>0</v>
      </c>
      <c r="Q262" s="7">
        <f t="shared" si="93"/>
        <v>0</v>
      </c>
      <c r="R262" s="10" t="str">
        <f t="shared" si="83"/>
        <v>0_Pre</v>
      </c>
      <c r="S262" s="10" t="str">
        <f t="shared" si="84"/>
        <v>0_Pre</v>
      </c>
      <c r="T262" s="10" t="str">
        <f t="shared" si="85"/>
        <v>0_Pre</v>
      </c>
      <c r="U262" s="10" t="str">
        <f t="shared" si="86"/>
        <v>0_Pre</v>
      </c>
      <c r="V262" s="10" t="str">
        <f t="shared" si="94"/>
        <v>0_Pre</v>
      </c>
      <c r="W262" s="10" t="str">
        <f t="shared" si="87"/>
        <v>clean_pre</v>
      </c>
      <c r="X262" s="10" t="str">
        <f t="shared" si="88"/>
        <v>0_Pre</v>
      </c>
      <c r="Y262" s="10" t="str">
        <f t="shared" si="89"/>
        <v>0_Pre</v>
      </c>
      <c r="Z262" s="10" t="str">
        <f t="shared" si="90"/>
        <v>0_Pre</v>
      </c>
      <c r="AA262" s="10" t="str">
        <f t="shared" si="95"/>
        <v>0_Pre</v>
      </c>
      <c r="AB262" s="10" t="str">
        <f t="shared" si="96"/>
        <v>0_Pre</v>
      </c>
      <c r="AC262" s="10" t="str">
        <f t="shared" si="97"/>
        <v>0_Pre</v>
      </c>
      <c r="AD262" s="10" t="str">
        <f t="shared" si="98"/>
        <v>1_pre sample median</v>
      </c>
      <c r="AE262" s="10" t="str">
        <f t="shared" si="99"/>
        <v>1_pre sample first tertile</v>
      </c>
      <c r="AF262" t="s">
        <v>80</v>
      </c>
      <c r="AG262" t="s">
        <v>75</v>
      </c>
      <c r="AH262" t="s">
        <v>78</v>
      </c>
      <c r="AI262" t="s">
        <v>122</v>
      </c>
      <c r="AJ262" t="s">
        <v>123</v>
      </c>
      <c r="AK262" t="str">
        <f>VLOOKUP(MID($AR262,1,255),country_lookup!$B:$F,2,FALSE)</f>
        <v>1_US</v>
      </c>
      <c r="AL262" t="str">
        <f>VLOOKUP(MID($AR262,1,255),country_lookup!$B:$F,3,FALSE)</f>
        <v>1_developed</v>
      </c>
      <c r="AM262" t="str">
        <f>VLOOKUP(MID($AR262,1,255),country_lookup!$B:$F,4,FALSE)</f>
        <v>1_western</v>
      </c>
      <c r="AN262" t="str">
        <f>VLOOKUP(MID($AR262,1,255),country_lookup!$B:$F,5,FALSE)</f>
        <v>1_common law</v>
      </c>
      <c r="AO262" s="10" t="str">
        <f>VLOOKUP(MID($AS262,1,255),source_lookup!$B:$K,4,FALSE)</f>
        <v>0_published</v>
      </c>
      <c r="AP262" s="10" t="str">
        <f>VLOOKUP(MID($AS262,1,255),source_lookup!$B:$K,6,FALSE)</f>
        <v>1_VHB high</v>
      </c>
      <c r="AQ262" s="10" t="str">
        <f>VLOOKUP(MID($AS262,1,255),source_lookup!$B:$K,10,FALSE)</f>
        <v>3_mgmt</v>
      </c>
      <c r="AR262" t="s">
        <v>85</v>
      </c>
      <c r="AS262" t="s">
        <v>131</v>
      </c>
    </row>
    <row r="263" spans="1:45" x14ac:dyDescent="0.3">
      <c r="A263" t="s">
        <v>7</v>
      </c>
      <c r="B263">
        <v>262</v>
      </c>
      <c r="C263" s="1">
        <v>-2.2961789478986538E-4</v>
      </c>
      <c r="D263" s="2">
        <v>836</v>
      </c>
      <c r="E263" s="4">
        <v>4677</v>
      </c>
      <c r="F263" s="4" t="s">
        <v>347</v>
      </c>
      <c r="G263" s="4" t="s">
        <v>346</v>
      </c>
      <c r="H263" t="s">
        <v>77</v>
      </c>
      <c r="I263" t="s">
        <v>352</v>
      </c>
      <c r="J263" s="3">
        <v>1988</v>
      </c>
      <c r="K263" s="3">
        <v>2015</v>
      </c>
      <c r="L263" s="6">
        <f t="shared" si="91"/>
        <v>2001.5</v>
      </c>
      <c r="M263" s="6">
        <f t="shared" si="92"/>
        <v>2001.5</v>
      </c>
      <c r="N263" s="7">
        <f t="shared" si="80"/>
        <v>0</v>
      </c>
      <c r="O263" s="7">
        <f t="shared" si="81"/>
        <v>0</v>
      </c>
      <c r="P263" s="7">
        <f t="shared" si="82"/>
        <v>0</v>
      </c>
      <c r="Q263" s="7">
        <f t="shared" si="93"/>
        <v>0</v>
      </c>
      <c r="R263" s="10" t="str">
        <f t="shared" si="83"/>
        <v>0_Pre</v>
      </c>
      <c r="S263" s="10" t="str">
        <f t="shared" si="84"/>
        <v>0_Pre</v>
      </c>
      <c r="T263" s="10" t="str">
        <f t="shared" si="85"/>
        <v>0_Pre</v>
      </c>
      <c r="U263" s="10" t="str">
        <f t="shared" si="86"/>
        <v>0_Pre</v>
      </c>
      <c r="V263" s="10" t="str">
        <f t="shared" si="94"/>
        <v>0_Pre</v>
      </c>
      <c r="W263" s="10" t="str">
        <f t="shared" si="87"/>
        <v>clean_pre</v>
      </c>
      <c r="X263" s="10" t="str">
        <f t="shared" si="88"/>
        <v>0_Pre</v>
      </c>
      <c r="Y263" s="10" t="str">
        <f t="shared" si="89"/>
        <v>0_Pre</v>
      </c>
      <c r="Z263" s="10" t="str">
        <f t="shared" si="90"/>
        <v>0_Pre</v>
      </c>
      <c r="AA263" s="10" t="str">
        <f t="shared" si="95"/>
        <v>0_Pre</v>
      </c>
      <c r="AB263" s="10" t="str">
        <f t="shared" si="96"/>
        <v>0_Pre</v>
      </c>
      <c r="AC263" s="10" t="str">
        <f t="shared" si="97"/>
        <v>0_Pre</v>
      </c>
      <c r="AD263" s="10" t="str">
        <f t="shared" si="98"/>
        <v>1_pre sample median</v>
      </c>
      <c r="AE263" s="10" t="str">
        <f t="shared" si="99"/>
        <v>1_pre sample first tertile</v>
      </c>
      <c r="AF263" t="s">
        <v>80</v>
      </c>
      <c r="AG263" t="s">
        <v>75</v>
      </c>
      <c r="AH263" t="s">
        <v>78</v>
      </c>
      <c r="AI263" t="s">
        <v>122</v>
      </c>
      <c r="AJ263" t="s">
        <v>123</v>
      </c>
      <c r="AK263" t="str">
        <f>VLOOKUP(MID($AR263,1,255),country_lookup!$B:$F,2,FALSE)</f>
        <v>1_US</v>
      </c>
      <c r="AL263" t="str">
        <f>VLOOKUP(MID($AR263,1,255),country_lookup!$B:$F,3,FALSE)</f>
        <v>1_developed</v>
      </c>
      <c r="AM263" t="str">
        <f>VLOOKUP(MID($AR263,1,255),country_lookup!$B:$F,4,FALSE)</f>
        <v>1_western</v>
      </c>
      <c r="AN263" t="str">
        <f>VLOOKUP(MID($AR263,1,255),country_lookup!$B:$F,5,FALSE)</f>
        <v>1_common law</v>
      </c>
      <c r="AO263" s="10" t="str">
        <f>VLOOKUP(MID($AS263,1,255),source_lookup!$B:$K,4,FALSE)</f>
        <v>0_published</v>
      </c>
      <c r="AP263" s="10" t="str">
        <f>VLOOKUP(MID($AS263,1,255),source_lookup!$B:$K,6,FALSE)</f>
        <v>1_VHB high</v>
      </c>
      <c r="AQ263" s="10" t="str">
        <f>VLOOKUP(MID($AS263,1,255),source_lookup!$B:$K,10,FALSE)</f>
        <v>3_mgmt</v>
      </c>
      <c r="AR263" t="s">
        <v>85</v>
      </c>
      <c r="AS263" t="s">
        <v>131</v>
      </c>
    </row>
    <row r="264" spans="1:45" x14ac:dyDescent="0.3">
      <c r="A264" t="s">
        <v>7</v>
      </c>
      <c r="B264">
        <v>263</v>
      </c>
      <c r="C264" s="1">
        <v>-2.1782731709646934E-4</v>
      </c>
      <c r="D264" s="2">
        <v>836</v>
      </c>
      <c r="E264" s="4">
        <v>4710</v>
      </c>
      <c r="F264" s="4" t="s">
        <v>347</v>
      </c>
      <c r="G264" s="4" t="s">
        <v>346</v>
      </c>
      <c r="H264" t="s">
        <v>77</v>
      </c>
      <c r="I264" t="s">
        <v>352</v>
      </c>
      <c r="J264" s="3">
        <v>1988</v>
      </c>
      <c r="K264" s="3">
        <v>2015</v>
      </c>
      <c r="L264" s="6">
        <f t="shared" si="91"/>
        <v>2001.5</v>
      </c>
      <c r="M264" s="6">
        <f t="shared" si="92"/>
        <v>2001.5</v>
      </c>
      <c r="N264" s="7">
        <f t="shared" si="80"/>
        <v>0</v>
      </c>
      <c r="O264" s="7">
        <f t="shared" si="81"/>
        <v>0</v>
      </c>
      <c r="P264" s="7">
        <f t="shared" si="82"/>
        <v>0</v>
      </c>
      <c r="Q264" s="7">
        <f t="shared" si="93"/>
        <v>0</v>
      </c>
      <c r="R264" s="10" t="str">
        <f t="shared" si="83"/>
        <v>0_Pre</v>
      </c>
      <c r="S264" s="10" t="str">
        <f t="shared" si="84"/>
        <v>0_Pre</v>
      </c>
      <c r="T264" s="10" t="str">
        <f t="shared" si="85"/>
        <v>0_Pre</v>
      </c>
      <c r="U264" s="10" t="str">
        <f t="shared" si="86"/>
        <v>0_Pre</v>
      </c>
      <c r="V264" s="10" t="str">
        <f t="shared" si="94"/>
        <v>0_Pre</v>
      </c>
      <c r="W264" s="10" t="str">
        <f t="shared" si="87"/>
        <v>clean_pre</v>
      </c>
      <c r="X264" s="10" t="str">
        <f t="shared" si="88"/>
        <v>0_Pre</v>
      </c>
      <c r="Y264" s="10" t="str">
        <f t="shared" si="89"/>
        <v>0_Pre</v>
      </c>
      <c r="Z264" s="10" t="str">
        <f t="shared" si="90"/>
        <v>0_Pre</v>
      </c>
      <c r="AA264" s="10" t="str">
        <f t="shared" si="95"/>
        <v>0_Pre</v>
      </c>
      <c r="AB264" s="10" t="str">
        <f t="shared" si="96"/>
        <v>0_Pre</v>
      </c>
      <c r="AC264" s="10" t="str">
        <f t="shared" si="97"/>
        <v>0_Pre</v>
      </c>
      <c r="AD264" s="10" t="str">
        <f t="shared" si="98"/>
        <v>1_pre sample median</v>
      </c>
      <c r="AE264" s="10" t="str">
        <f t="shared" si="99"/>
        <v>1_pre sample first tertile</v>
      </c>
      <c r="AF264" t="s">
        <v>80</v>
      </c>
      <c r="AG264" t="s">
        <v>75</v>
      </c>
      <c r="AH264" t="s">
        <v>78</v>
      </c>
      <c r="AI264" t="s">
        <v>122</v>
      </c>
      <c r="AJ264" t="s">
        <v>123</v>
      </c>
      <c r="AK264" t="str">
        <f>VLOOKUP(MID($AR264,1,255),country_lookup!$B:$F,2,FALSE)</f>
        <v>1_US</v>
      </c>
      <c r="AL264" t="str">
        <f>VLOOKUP(MID($AR264,1,255),country_lookup!$B:$F,3,FALSE)</f>
        <v>1_developed</v>
      </c>
      <c r="AM264" t="str">
        <f>VLOOKUP(MID($AR264,1,255),country_lookup!$B:$F,4,FALSE)</f>
        <v>1_western</v>
      </c>
      <c r="AN264" t="str">
        <f>VLOOKUP(MID($AR264,1,255),country_lookup!$B:$F,5,FALSE)</f>
        <v>1_common law</v>
      </c>
      <c r="AO264" s="10" t="str">
        <f>VLOOKUP(MID($AS264,1,255),source_lookup!$B:$K,4,FALSE)</f>
        <v>0_published</v>
      </c>
      <c r="AP264" s="10" t="str">
        <f>VLOOKUP(MID($AS264,1,255),source_lookup!$B:$K,6,FALSE)</f>
        <v>1_VHB high</v>
      </c>
      <c r="AQ264" s="10" t="str">
        <f>VLOOKUP(MID($AS264,1,255),source_lookup!$B:$K,10,FALSE)</f>
        <v>3_mgmt</v>
      </c>
      <c r="AR264" t="s">
        <v>85</v>
      </c>
      <c r="AS264" t="s">
        <v>131</v>
      </c>
    </row>
    <row r="265" spans="1:45" x14ac:dyDescent="0.3">
      <c r="A265" t="s">
        <v>7</v>
      </c>
      <c r="B265">
        <v>264</v>
      </c>
      <c r="C265" s="1">
        <v>-2.2554088248662063E-4</v>
      </c>
      <c r="D265" s="2">
        <v>836</v>
      </c>
      <c r="E265" s="4">
        <v>4729</v>
      </c>
      <c r="F265" s="4" t="s">
        <v>347</v>
      </c>
      <c r="G265" s="4" t="s">
        <v>346</v>
      </c>
      <c r="H265" t="s">
        <v>77</v>
      </c>
      <c r="I265" t="s">
        <v>352</v>
      </c>
      <c r="J265" s="3">
        <v>1988</v>
      </c>
      <c r="K265" s="3">
        <v>2015</v>
      </c>
      <c r="L265" s="6">
        <f t="shared" si="91"/>
        <v>2001.5</v>
      </c>
      <c r="M265" s="6">
        <f t="shared" si="92"/>
        <v>2001.5</v>
      </c>
      <c r="N265" s="7">
        <f t="shared" si="80"/>
        <v>0</v>
      </c>
      <c r="O265" s="7">
        <f t="shared" si="81"/>
        <v>0</v>
      </c>
      <c r="P265" s="7">
        <f t="shared" si="82"/>
        <v>0</v>
      </c>
      <c r="Q265" s="7">
        <f t="shared" si="93"/>
        <v>0</v>
      </c>
      <c r="R265" s="10" t="str">
        <f t="shared" si="83"/>
        <v>0_Pre</v>
      </c>
      <c r="S265" s="10" t="str">
        <f t="shared" si="84"/>
        <v>0_Pre</v>
      </c>
      <c r="T265" s="10" t="str">
        <f t="shared" si="85"/>
        <v>0_Pre</v>
      </c>
      <c r="U265" s="10" t="str">
        <f t="shared" si="86"/>
        <v>0_Pre</v>
      </c>
      <c r="V265" s="10" t="str">
        <f t="shared" si="94"/>
        <v>0_Pre</v>
      </c>
      <c r="W265" s="10" t="str">
        <f t="shared" si="87"/>
        <v>clean_pre</v>
      </c>
      <c r="X265" s="10" t="str">
        <f t="shared" si="88"/>
        <v>0_Pre</v>
      </c>
      <c r="Y265" s="10" t="str">
        <f t="shared" si="89"/>
        <v>0_Pre</v>
      </c>
      <c r="Z265" s="10" t="str">
        <f t="shared" si="90"/>
        <v>0_Pre</v>
      </c>
      <c r="AA265" s="10" t="str">
        <f t="shared" si="95"/>
        <v>0_Pre</v>
      </c>
      <c r="AB265" s="10" t="str">
        <f t="shared" si="96"/>
        <v>0_Pre</v>
      </c>
      <c r="AC265" s="10" t="str">
        <f t="shared" si="97"/>
        <v>0_Pre</v>
      </c>
      <c r="AD265" s="10" t="str">
        <f t="shared" si="98"/>
        <v>1_pre sample median</v>
      </c>
      <c r="AE265" s="10" t="str">
        <f t="shared" si="99"/>
        <v>1_pre sample first tertile</v>
      </c>
      <c r="AF265" t="s">
        <v>80</v>
      </c>
      <c r="AG265" t="s">
        <v>75</v>
      </c>
      <c r="AH265" t="s">
        <v>78</v>
      </c>
      <c r="AI265" t="s">
        <v>122</v>
      </c>
      <c r="AJ265" t="s">
        <v>123</v>
      </c>
      <c r="AK265" t="str">
        <f>VLOOKUP(MID($AR265,1,255),country_lookup!$B:$F,2,FALSE)</f>
        <v>1_US</v>
      </c>
      <c r="AL265" t="str">
        <f>VLOOKUP(MID($AR265,1,255),country_lookup!$B:$F,3,FALSE)</f>
        <v>1_developed</v>
      </c>
      <c r="AM265" t="str">
        <f>VLOOKUP(MID($AR265,1,255),country_lookup!$B:$F,4,FALSE)</f>
        <v>1_western</v>
      </c>
      <c r="AN265" t="str">
        <f>VLOOKUP(MID($AR265,1,255),country_lookup!$B:$F,5,FALSE)</f>
        <v>1_common law</v>
      </c>
      <c r="AO265" s="10" t="str">
        <f>VLOOKUP(MID($AS265,1,255),source_lookup!$B:$K,4,FALSE)</f>
        <v>0_published</v>
      </c>
      <c r="AP265" s="10" t="str">
        <f>VLOOKUP(MID($AS265,1,255),source_lookup!$B:$K,6,FALSE)</f>
        <v>1_VHB high</v>
      </c>
      <c r="AQ265" s="10" t="str">
        <f>VLOOKUP(MID($AS265,1,255),source_lookup!$B:$K,10,FALSE)</f>
        <v>3_mgmt</v>
      </c>
      <c r="AR265" t="s">
        <v>85</v>
      </c>
      <c r="AS265" t="s">
        <v>131</v>
      </c>
    </row>
    <row r="266" spans="1:45" x14ac:dyDescent="0.3">
      <c r="A266" t="s">
        <v>7</v>
      </c>
      <c r="B266">
        <v>265</v>
      </c>
      <c r="C266" s="1">
        <v>-3.3543460478893E-4</v>
      </c>
      <c r="D266" s="2">
        <v>836</v>
      </c>
      <c r="E266" s="4">
        <v>4029</v>
      </c>
      <c r="F266" s="4" t="s">
        <v>347</v>
      </c>
      <c r="G266" s="4" t="s">
        <v>346</v>
      </c>
      <c r="H266" t="s">
        <v>77</v>
      </c>
      <c r="I266" t="s">
        <v>352</v>
      </c>
      <c r="J266" s="3">
        <v>1988</v>
      </c>
      <c r="K266" s="3">
        <v>2015</v>
      </c>
      <c r="L266" s="6">
        <f t="shared" si="91"/>
        <v>2001.5</v>
      </c>
      <c r="M266" s="6">
        <f t="shared" si="92"/>
        <v>2001.5</v>
      </c>
      <c r="N266" s="7">
        <f t="shared" si="80"/>
        <v>0</v>
      </c>
      <c r="O266" s="7">
        <f t="shared" si="81"/>
        <v>0</v>
      </c>
      <c r="P266" s="7">
        <f t="shared" si="82"/>
        <v>0</v>
      </c>
      <c r="Q266" s="7">
        <f t="shared" si="93"/>
        <v>0</v>
      </c>
      <c r="R266" s="10" t="str">
        <f t="shared" si="83"/>
        <v>0_Pre</v>
      </c>
      <c r="S266" s="10" t="str">
        <f t="shared" si="84"/>
        <v>0_Pre</v>
      </c>
      <c r="T266" s="10" t="str">
        <f t="shared" si="85"/>
        <v>0_Pre</v>
      </c>
      <c r="U266" s="10" t="str">
        <f t="shared" si="86"/>
        <v>0_Pre</v>
      </c>
      <c r="V266" s="10" t="str">
        <f t="shared" si="94"/>
        <v>0_Pre</v>
      </c>
      <c r="W266" s="10" t="str">
        <f t="shared" si="87"/>
        <v>clean_pre</v>
      </c>
      <c r="X266" s="10" t="str">
        <f t="shared" si="88"/>
        <v>0_Pre</v>
      </c>
      <c r="Y266" s="10" t="str">
        <f t="shared" si="89"/>
        <v>0_Pre</v>
      </c>
      <c r="Z266" s="10" t="str">
        <f t="shared" si="90"/>
        <v>0_Pre</v>
      </c>
      <c r="AA266" s="10" t="str">
        <f t="shared" si="95"/>
        <v>0_Pre</v>
      </c>
      <c r="AB266" s="10" t="str">
        <f t="shared" si="96"/>
        <v>0_Pre</v>
      </c>
      <c r="AC266" s="10" t="str">
        <f t="shared" si="97"/>
        <v>0_Pre</v>
      </c>
      <c r="AD266" s="10" t="str">
        <f t="shared" si="98"/>
        <v>1_pre sample median</v>
      </c>
      <c r="AE266" s="10" t="str">
        <f t="shared" si="99"/>
        <v>1_pre sample first tertile</v>
      </c>
      <c r="AF266" t="s">
        <v>80</v>
      </c>
      <c r="AG266" t="s">
        <v>75</v>
      </c>
      <c r="AH266" t="s">
        <v>78</v>
      </c>
      <c r="AI266" t="s">
        <v>122</v>
      </c>
      <c r="AJ266" t="s">
        <v>123</v>
      </c>
      <c r="AK266" t="str">
        <f>VLOOKUP(MID($AR266,1,255),country_lookup!$B:$F,2,FALSE)</f>
        <v>1_US</v>
      </c>
      <c r="AL266" t="str">
        <f>VLOOKUP(MID($AR266,1,255),country_lookup!$B:$F,3,FALSE)</f>
        <v>1_developed</v>
      </c>
      <c r="AM266" t="str">
        <f>VLOOKUP(MID($AR266,1,255),country_lookup!$B:$F,4,FALSE)</f>
        <v>1_western</v>
      </c>
      <c r="AN266" t="str">
        <f>VLOOKUP(MID($AR266,1,255),country_lookup!$B:$F,5,FALSE)</f>
        <v>1_common law</v>
      </c>
      <c r="AO266" s="10" t="str">
        <f>VLOOKUP(MID($AS266,1,255),source_lookup!$B:$K,4,FALSE)</f>
        <v>0_published</v>
      </c>
      <c r="AP266" s="10" t="str">
        <f>VLOOKUP(MID($AS266,1,255),source_lookup!$B:$K,6,FALSE)</f>
        <v>1_VHB high</v>
      </c>
      <c r="AQ266" s="10" t="str">
        <f>VLOOKUP(MID($AS266,1,255),source_lookup!$B:$K,10,FALSE)</f>
        <v>3_mgmt</v>
      </c>
      <c r="AR266" t="s">
        <v>85</v>
      </c>
      <c r="AS266" t="s">
        <v>131</v>
      </c>
    </row>
    <row r="267" spans="1:45" x14ac:dyDescent="0.3">
      <c r="A267" t="s">
        <v>8</v>
      </c>
      <c r="B267">
        <v>266</v>
      </c>
      <c r="C267" s="1">
        <v>-0.17327128240018316</v>
      </c>
      <c r="D267" s="2">
        <v>35</v>
      </c>
      <c r="E267" s="4">
        <v>117</v>
      </c>
      <c r="F267" s="4" t="s">
        <v>347</v>
      </c>
      <c r="G267" s="4" t="s">
        <v>347</v>
      </c>
      <c r="H267" t="s">
        <v>77</v>
      </c>
      <c r="I267" t="s">
        <v>350</v>
      </c>
      <c r="J267" s="3">
        <v>2002</v>
      </c>
      <c r="K267" s="3">
        <v>2008</v>
      </c>
      <c r="L267" s="6">
        <f t="shared" si="91"/>
        <v>2005</v>
      </c>
      <c r="M267" s="6">
        <f t="shared" si="92"/>
        <v>2005</v>
      </c>
      <c r="N267" s="7">
        <f t="shared" si="80"/>
        <v>0</v>
      </c>
      <c r="O267" s="7">
        <f t="shared" si="81"/>
        <v>0</v>
      </c>
      <c r="P267" s="7">
        <f t="shared" si="82"/>
        <v>0</v>
      </c>
      <c r="Q267" s="7">
        <f t="shared" si="93"/>
        <v>0</v>
      </c>
      <c r="R267" s="10" t="str">
        <f t="shared" si="83"/>
        <v>0_Pre</v>
      </c>
      <c r="S267" s="10" t="str">
        <f t="shared" si="84"/>
        <v>0_Pre</v>
      </c>
      <c r="T267" s="10" t="str">
        <f t="shared" si="85"/>
        <v>0_Pre</v>
      </c>
      <c r="U267" s="10" t="str">
        <f t="shared" si="86"/>
        <v>0_Pre</v>
      </c>
      <c r="V267" s="10" t="str">
        <f t="shared" si="94"/>
        <v>0_Pre</v>
      </c>
      <c r="W267" s="10" t="str">
        <f t="shared" si="87"/>
        <v>clean_pre</v>
      </c>
      <c r="X267" s="10" t="str">
        <f t="shared" si="88"/>
        <v>0_Pre</v>
      </c>
      <c r="Y267" s="10" t="str">
        <f t="shared" si="89"/>
        <v>0_Pre</v>
      </c>
      <c r="Z267" s="10" t="str">
        <f t="shared" si="90"/>
        <v>0_Pre</v>
      </c>
      <c r="AA267" s="10" t="str">
        <f t="shared" si="95"/>
        <v>0_Pre</v>
      </c>
      <c r="AB267" s="10" t="str">
        <f t="shared" si="96"/>
        <v>0_Pre</v>
      </c>
      <c r="AC267" s="10" t="str">
        <f t="shared" si="97"/>
        <v>0_Pre</v>
      </c>
      <c r="AD267" s="10" t="str">
        <f t="shared" si="98"/>
        <v>1_pre sample median</v>
      </c>
      <c r="AE267" s="10" t="str">
        <f t="shared" si="99"/>
        <v>1_pre sample first tertile</v>
      </c>
      <c r="AF267" t="s">
        <v>82</v>
      </c>
      <c r="AG267" t="s">
        <v>75</v>
      </c>
      <c r="AH267" t="s">
        <v>79</v>
      </c>
      <c r="AI267" t="s">
        <v>123</v>
      </c>
      <c r="AJ267" t="s">
        <v>123</v>
      </c>
      <c r="AK267" t="str">
        <f>VLOOKUP(MID($AR267,1,255),country_lookup!$B:$F,2,FALSE)</f>
        <v>1_US</v>
      </c>
      <c r="AL267" t="str">
        <f>VLOOKUP(MID($AR267,1,255),country_lookup!$B:$F,3,FALSE)</f>
        <v>1_developed</v>
      </c>
      <c r="AM267" t="str">
        <f>VLOOKUP(MID($AR267,1,255),country_lookup!$B:$F,4,FALSE)</f>
        <v>1_western</v>
      </c>
      <c r="AN267" t="str">
        <f>VLOOKUP(MID($AR267,1,255),country_lookup!$B:$F,5,FALSE)</f>
        <v>1_common law</v>
      </c>
      <c r="AO267" s="10" t="str">
        <f>VLOOKUP(MID($AS267,1,255),source_lookup!$B:$K,4,FALSE)</f>
        <v>0_published</v>
      </c>
      <c r="AP267" s="10" t="str">
        <f>VLOOKUP(MID($AS267,1,255),source_lookup!$B:$K,6,FALSE)</f>
        <v>0_VHB low</v>
      </c>
      <c r="AQ267" s="10" t="str">
        <f>VLOOKUP(MID($AS267,1,255),source_lookup!$B:$K,10,FALSE)</f>
        <v>1_fin/acc/econ</v>
      </c>
      <c r="AR267" t="s">
        <v>85</v>
      </c>
      <c r="AS267" t="s">
        <v>132</v>
      </c>
    </row>
    <row r="268" spans="1:45" x14ac:dyDescent="0.3">
      <c r="A268" t="s">
        <v>8</v>
      </c>
      <c r="B268">
        <v>267</v>
      </c>
      <c r="C268" s="1">
        <v>-0.14981548162986166</v>
      </c>
      <c r="D268" s="2">
        <v>35</v>
      </c>
      <c r="E268" s="4">
        <v>117</v>
      </c>
      <c r="F268" s="4" t="s">
        <v>347</v>
      </c>
      <c r="G268" s="4" t="s">
        <v>347</v>
      </c>
      <c r="H268" t="s">
        <v>77</v>
      </c>
      <c r="I268" t="s">
        <v>350</v>
      </c>
      <c r="J268" s="3">
        <v>2002</v>
      </c>
      <c r="K268" s="3">
        <v>2008</v>
      </c>
      <c r="L268" s="6">
        <f t="shared" si="91"/>
        <v>2005</v>
      </c>
      <c r="M268" s="6">
        <f t="shared" si="92"/>
        <v>2005</v>
      </c>
      <c r="N268" s="7">
        <f t="shared" si="80"/>
        <v>0</v>
      </c>
      <c r="O268" s="7">
        <f t="shared" si="81"/>
        <v>0</v>
      </c>
      <c r="P268" s="7">
        <f t="shared" si="82"/>
        <v>0</v>
      </c>
      <c r="Q268" s="7">
        <f t="shared" si="93"/>
        <v>0</v>
      </c>
      <c r="R268" s="10" t="str">
        <f t="shared" si="83"/>
        <v>0_Pre</v>
      </c>
      <c r="S268" s="10" t="str">
        <f t="shared" si="84"/>
        <v>0_Pre</v>
      </c>
      <c r="T268" s="10" t="str">
        <f t="shared" si="85"/>
        <v>0_Pre</v>
      </c>
      <c r="U268" s="10" t="str">
        <f t="shared" si="86"/>
        <v>0_Pre</v>
      </c>
      <c r="V268" s="10" t="str">
        <f t="shared" si="94"/>
        <v>0_Pre</v>
      </c>
      <c r="W268" s="10" t="str">
        <f t="shared" si="87"/>
        <v>clean_pre</v>
      </c>
      <c r="X268" s="10" t="str">
        <f t="shared" si="88"/>
        <v>0_Pre</v>
      </c>
      <c r="Y268" s="10" t="str">
        <f t="shared" si="89"/>
        <v>0_Pre</v>
      </c>
      <c r="Z268" s="10" t="str">
        <f t="shared" si="90"/>
        <v>0_Pre</v>
      </c>
      <c r="AA268" s="10" t="str">
        <f t="shared" si="95"/>
        <v>0_Pre</v>
      </c>
      <c r="AB268" s="10" t="str">
        <f t="shared" si="96"/>
        <v>0_Pre</v>
      </c>
      <c r="AC268" s="10" t="str">
        <f t="shared" si="97"/>
        <v>0_Pre</v>
      </c>
      <c r="AD268" s="10" t="str">
        <f t="shared" si="98"/>
        <v>1_pre sample median</v>
      </c>
      <c r="AE268" s="10" t="str">
        <f t="shared" si="99"/>
        <v>1_pre sample first tertile</v>
      </c>
      <c r="AF268" t="s">
        <v>82</v>
      </c>
      <c r="AG268" t="s">
        <v>75</v>
      </c>
      <c r="AH268" t="s">
        <v>79</v>
      </c>
      <c r="AI268" t="s">
        <v>123</v>
      </c>
      <c r="AJ268" t="s">
        <v>123</v>
      </c>
      <c r="AK268" t="str">
        <f>VLOOKUP(MID($AR268,1,255),country_lookup!$B:$F,2,FALSE)</f>
        <v>1_US</v>
      </c>
      <c r="AL268" t="str">
        <f>VLOOKUP(MID($AR268,1,255),country_lookup!$B:$F,3,FALSE)</f>
        <v>1_developed</v>
      </c>
      <c r="AM268" t="str">
        <f>VLOOKUP(MID($AR268,1,255),country_lookup!$B:$F,4,FALSE)</f>
        <v>1_western</v>
      </c>
      <c r="AN268" t="str">
        <f>VLOOKUP(MID($AR268,1,255),country_lookup!$B:$F,5,FALSE)</f>
        <v>1_common law</v>
      </c>
      <c r="AO268" s="10" t="str">
        <f>VLOOKUP(MID($AS268,1,255),source_lookup!$B:$K,4,FALSE)</f>
        <v>0_published</v>
      </c>
      <c r="AP268" s="10" t="str">
        <f>VLOOKUP(MID($AS268,1,255),source_lookup!$B:$K,6,FALSE)</f>
        <v>0_VHB low</v>
      </c>
      <c r="AQ268" s="10" t="str">
        <f>VLOOKUP(MID($AS268,1,255),source_lookup!$B:$K,10,FALSE)</f>
        <v>1_fin/acc/econ</v>
      </c>
      <c r="AR268" t="s">
        <v>85</v>
      </c>
      <c r="AS268" t="s">
        <v>132</v>
      </c>
    </row>
    <row r="269" spans="1:45" x14ac:dyDescent="0.3">
      <c r="A269" t="s">
        <v>8</v>
      </c>
      <c r="B269">
        <v>268</v>
      </c>
      <c r="C269" s="1">
        <v>-0.22570162732939306</v>
      </c>
      <c r="D269" s="2">
        <v>35</v>
      </c>
      <c r="E269" s="4">
        <v>117</v>
      </c>
      <c r="F269" s="4" t="s">
        <v>347</v>
      </c>
      <c r="G269" s="4" t="s">
        <v>347</v>
      </c>
      <c r="H269" t="s">
        <v>77</v>
      </c>
      <c r="I269" t="s">
        <v>350</v>
      </c>
      <c r="J269" s="3">
        <v>2002</v>
      </c>
      <c r="K269" s="3">
        <v>2008</v>
      </c>
      <c r="L269" s="6">
        <f t="shared" si="91"/>
        <v>2005</v>
      </c>
      <c r="M269" s="6">
        <f t="shared" si="92"/>
        <v>2005</v>
      </c>
      <c r="N269" s="7">
        <f t="shared" si="80"/>
        <v>0</v>
      </c>
      <c r="O269" s="7">
        <f t="shared" si="81"/>
        <v>0</v>
      </c>
      <c r="P269" s="7">
        <f t="shared" si="82"/>
        <v>0</v>
      </c>
      <c r="Q269" s="7">
        <f t="shared" si="93"/>
        <v>0</v>
      </c>
      <c r="R269" s="10" t="str">
        <f t="shared" si="83"/>
        <v>0_Pre</v>
      </c>
      <c r="S269" s="10" t="str">
        <f t="shared" si="84"/>
        <v>0_Pre</v>
      </c>
      <c r="T269" s="10" t="str">
        <f t="shared" si="85"/>
        <v>0_Pre</v>
      </c>
      <c r="U269" s="10" t="str">
        <f t="shared" si="86"/>
        <v>0_Pre</v>
      </c>
      <c r="V269" s="10" t="str">
        <f t="shared" si="94"/>
        <v>0_Pre</v>
      </c>
      <c r="W269" s="10" t="str">
        <f t="shared" si="87"/>
        <v>clean_pre</v>
      </c>
      <c r="X269" s="10" t="str">
        <f t="shared" si="88"/>
        <v>0_Pre</v>
      </c>
      <c r="Y269" s="10" t="str">
        <f t="shared" si="89"/>
        <v>0_Pre</v>
      </c>
      <c r="Z269" s="10" t="str">
        <f t="shared" si="90"/>
        <v>0_Pre</v>
      </c>
      <c r="AA269" s="10" t="str">
        <f t="shared" si="95"/>
        <v>0_Pre</v>
      </c>
      <c r="AB269" s="10" t="str">
        <f t="shared" si="96"/>
        <v>0_Pre</v>
      </c>
      <c r="AC269" s="10" t="str">
        <f t="shared" si="97"/>
        <v>0_Pre</v>
      </c>
      <c r="AD269" s="10" t="str">
        <f t="shared" si="98"/>
        <v>1_pre sample median</v>
      </c>
      <c r="AE269" s="10" t="str">
        <f t="shared" si="99"/>
        <v>1_pre sample first tertile</v>
      </c>
      <c r="AF269" t="s">
        <v>82</v>
      </c>
      <c r="AG269" t="s">
        <v>75</v>
      </c>
      <c r="AH269" t="s">
        <v>79</v>
      </c>
      <c r="AI269" t="s">
        <v>123</v>
      </c>
      <c r="AJ269" t="s">
        <v>123</v>
      </c>
      <c r="AK269" t="str">
        <f>VLOOKUP(MID($AR269,1,255),country_lookup!$B:$F,2,FALSE)</f>
        <v>1_US</v>
      </c>
      <c r="AL269" t="str">
        <f>VLOOKUP(MID($AR269,1,255),country_lookup!$B:$F,3,FALSE)</f>
        <v>1_developed</v>
      </c>
      <c r="AM269" t="str">
        <f>VLOOKUP(MID($AR269,1,255),country_lookup!$B:$F,4,FALSE)</f>
        <v>1_western</v>
      </c>
      <c r="AN269" t="str">
        <f>VLOOKUP(MID($AR269,1,255),country_lookup!$B:$F,5,FALSE)</f>
        <v>1_common law</v>
      </c>
      <c r="AO269" s="10" t="str">
        <f>VLOOKUP(MID($AS269,1,255),source_lookup!$B:$K,4,FALSE)</f>
        <v>0_published</v>
      </c>
      <c r="AP269" s="10" t="str">
        <f>VLOOKUP(MID($AS269,1,255),source_lookup!$B:$K,6,FALSE)</f>
        <v>0_VHB low</v>
      </c>
      <c r="AQ269" s="10" t="str">
        <f>VLOOKUP(MID($AS269,1,255),source_lookup!$B:$K,10,FALSE)</f>
        <v>1_fin/acc/econ</v>
      </c>
      <c r="AR269" t="s">
        <v>85</v>
      </c>
      <c r="AS269" t="s">
        <v>132</v>
      </c>
    </row>
    <row r="270" spans="1:45" x14ac:dyDescent="0.3">
      <c r="A270" t="s">
        <v>9</v>
      </c>
      <c r="B270">
        <v>269</v>
      </c>
      <c r="C270" s="1">
        <v>1.9859592860752444E-2</v>
      </c>
      <c r="D270" s="2">
        <v>6</v>
      </c>
      <c r="E270" s="4">
        <v>178</v>
      </c>
      <c r="F270" s="4" t="s">
        <v>347</v>
      </c>
      <c r="G270" s="4" t="s">
        <v>346</v>
      </c>
      <c r="H270" t="s">
        <v>77</v>
      </c>
      <c r="I270" t="s">
        <v>352</v>
      </c>
      <c r="J270" s="3">
        <v>1990</v>
      </c>
      <c r="K270" s="3">
        <v>2021</v>
      </c>
      <c r="L270" s="6">
        <f t="shared" si="91"/>
        <v>2005.5</v>
      </c>
      <c r="M270" s="6">
        <f t="shared" si="92"/>
        <v>2005.5</v>
      </c>
      <c r="N270" s="7">
        <f t="shared" si="80"/>
        <v>0.1875</v>
      </c>
      <c r="O270" s="7">
        <f t="shared" si="81"/>
        <v>0.15625</v>
      </c>
      <c r="P270" s="7">
        <f t="shared" si="82"/>
        <v>0.125</v>
      </c>
      <c r="Q270" s="7">
        <f t="shared" si="93"/>
        <v>9.375E-2</v>
      </c>
      <c r="R270" s="10" t="str">
        <f t="shared" si="83"/>
        <v>0_Pre</v>
      </c>
      <c r="S270" s="10" t="str">
        <f t="shared" si="84"/>
        <v>0_Pre</v>
      </c>
      <c r="T270" s="10" t="str">
        <f t="shared" si="85"/>
        <v>0_Pre</v>
      </c>
      <c r="U270" s="10" t="str">
        <f t="shared" si="86"/>
        <v>1_Post</v>
      </c>
      <c r="V270" s="10" t="str">
        <f t="shared" si="94"/>
        <v>0_Pre</v>
      </c>
      <c r="W270" s="10" t="str">
        <f t="shared" si="87"/>
        <v>straddle</v>
      </c>
      <c r="X270" s="10" t="str">
        <f t="shared" si="88"/>
        <v>0_Pre</v>
      </c>
      <c r="Y270" s="10" t="str">
        <f t="shared" si="89"/>
        <v>0_Pre</v>
      </c>
      <c r="Z270" s="10" t="str">
        <f t="shared" si="90"/>
        <v>0_Pre</v>
      </c>
      <c r="AA270" s="10" t="str">
        <f t="shared" si="95"/>
        <v>1_Post</v>
      </c>
      <c r="AB270" s="10" t="str">
        <f t="shared" si="96"/>
        <v>1_Post</v>
      </c>
      <c r="AC270" s="10" t="str">
        <f t="shared" si="97"/>
        <v>1_Post</v>
      </c>
      <c r="AD270" s="10" t="str">
        <f t="shared" si="98"/>
        <v>1_pre sample median</v>
      </c>
      <c r="AE270" s="10" t="str">
        <f t="shared" si="99"/>
        <v>1_pre sample first tertile</v>
      </c>
      <c r="AF270" t="s">
        <v>67</v>
      </c>
      <c r="AG270" t="s">
        <v>75</v>
      </c>
      <c r="AH270" t="s">
        <v>79</v>
      </c>
      <c r="AI270" t="s">
        <v>70</v>
      </c>
      <c r="AJ270" t="s">
        <v>70</v>
      </c>
      <c r="AK270" t="str">
        <f>VLOOKUP(MID($AR270,1,255),country_lookup!$B:$F,2,FALSE)</f>
        <v>99_NCE</v>
      </c>
      <c r="AL270" t="str">
        <f>VLOOKUP(MID($AR270,1,255),country_lookup!$B:$F,3,FALSE)</f>
        <v>99_NCE</v>
      </c>
      <c r="AM270" t="str">
        <f>VLOOKUP(MID($AR270,1,255),country_lookup!$B:$F,4,FALSE)</f>
        <v>99_NCE</v>
      </c>
      <c r="AN270" t="str">
        <f>VLOOKUP(MID($AR270,1,255),country_lookup!$B:$F,5,FALSE)</f>
        <v>99_NCE</v>
      </c>
      <c r="AO270" s="10" t="str">
        <f>VLOOKUP(MID($AS270,1,255),source_lookup!$B:$K,4,FALSE)</f>
        <v>0_published</v>
      </c>
      <c r="AP270" s="10" t="str">
        <f>VLOOKUP(MID($AS270,1,255),source_lookup!$B:$K,6,FALSE)</f>
        <v>0_VHB low</v>
      </c>
      <c r="AQ270" s="10" t="str">
        <f>VLOOKUP(MID($AS270,1,255),source_lookup!$B:$K,10,FALSE)</f>
        <v>2_sust</v>
      </c>
      <c r="AR270" t="s">
        <v>90</v>
      </c>
      <c r="AS270" t="s">
        <v>133</v>
      </c>
    </row>
    <row r="271" spans="1:45" x14ac:dyDescent="0.3">
      <c r="A271" t="s">
        <v>9</v>
      </c>
      <c r="B271">
        <v>270</v>
      </c>
      <c r="C271" s="1">
        <v>2.5478968214039609E-3</v>
      </c>
      <c r="D271" s="2">
        <v>87</v>
      </c>
      <c r="E271" s="4">
        <v>2787</v>
      </c>
      <c r="F271" s="4" t="s">
        <v>347</v>
      </c>
      <c r="G271" s="4" t="s">
        <v>346</v>
      </c>
      <c r="H271" t="s">
        <v>77</v>
      </c>
      <c r="I271" t="s">
        <v>352</v>
      </c>
      <c r="J271" s="3">
        <v>1990</v>
      </c>
      <c r="K271" s="3">
        <v>2021</v>
      </c>
      <c r="L271" s="6">
        <f t="shared" si="91"/>
        <v>2005.5</v>
      </c>
      <c r="M271" s="6">
        <f t="shared" si="92"/>
        <v>2005.5</v>
      </c>
      <c r="N271" s="7">
        <f t="shared" si="80"/>
        <v>0.1875</v>
      </c>
      <c r="O271" s="7">
        <f t="shared" si="81"/>
        <v>0.15625</v>
      </c>
      <c r="P271" s="7">
        <f t="shared" si="82"/>
        <v>0.125</v>
      </c>
      <c r="Q271" s="7">
        <f t="shared" si="93"/>
        <v>9.375E-2</v>
      </c>
      <c r="R271" s="10" t="str">
        <f t="shared" si="83"/>
        <v>0_Pre</v>
      </c>
      <c r="S271" s="10" t="str">
        <f t="shared" si="84"/>
        <v>0_Pre</v>
      </c>
      <c r="T271" s="10" t="str">
        <f t="shared" si="85"/>
        <v>0_Pre</v>
      </c>
      <c r="U271" s="10" t="str">
        <f t="shared" si="86"/>
        <v>1_Post</v>
      </c>
      <c r="V271" s="10" t="str">
        <f t="shared" si="94"/>
        <v>0_Pre</v>
      </c>
      <c r="W271" s="10" t="str">
        <f t="shared" si="87"/>
        <v>straddle</v>
      </c>
      <c r="X271" s="10" t="str">
        <f t="shared" si="88"/>
        <v>0_Pre</v>
      </c>
      <c r="Y271" s="10" t="str">
        <f t="shared" si="89"/>
        <v>0_Pre</v>
      </c>
      <c r="Z271" s="10" t="str">
        <f t="shared" si="90"/>
        <v>0_Pre</v>
      </c>
      <c r="AA271" s="10" t="str">
        <f t="shared" si="95"/>
        <v>1_Post</v>
      </c>
      <c r="AB271" s="10" t="str">
        <f t="shared" si="96"/>
        <v>1_Post</v>
      </c>
      <c r="AC271" s="10" t="str">
        <f t="shared" si="97"/>
        <v>1_Post</v>
      </c>
      <c r="AD271" s="10" t="str">
        <f t="shared" si="98"/>
        <v>1_pre sample median</v>
      </c>
      <c r="AE271" s="10" t="str">
        <f t="shared" si="99"/>
        <v>1_pre sample first tertile</v>
      </c>
      <c r="AF271" t="s">
        <v>67</v>
      </c>
      <c r="AG271" t="s">
        <v>75</v>
      </c>
      <c r="AH271" t="s">
        <v>79</v>
      </c>
      <c r="AI271" t="s">
        <v>70</v>
      </c>
      <c r="AJ271" t="s">
        <v>70</v>
      </c>
      <c r="AK271" t="str">
        <f>VLOOKUP(MID($AR271,1,255),country_lookup!$B:$F,2,FALSE)</f>
        <v>99_NCE</v>
      </c>
      <c r="AL271" t="str">
        <f>VLOOKUP(MID($AR271,1,255),country_lookup!$B:$F,3,FALSE)</f>
        <v>99_NCE</v>
      </c>
      <c r="AM271" t="str">
        <f>VLOOKUP(MID($AR271,1,255),country_lookup!$B:$F,4,FALSE)</f>
        <v>99_NCE</v>
      </c>
      <c r="AN271" t="str">
        <f>VLOOKUP(MID($AR271,1,255),country_lookup!$B:$F,5,FALSE)</f>
        <v>99_NCE</v>
      </c>
      <c r="AO271" s="10" t="str">
        <f>VLOOKUP(MID($AS271,1,255),source_lookup!$B:$K,4,FALSE)</f>
        <v>0_published</v>
      </c>
      <c r="AP271" s="10" t="str">
        <f>VLOOKUP(MID($AS271,1,255),source_lookup!$B:$K,6,FALSE)</f>
        <v>0_VHB low</v>
      </c>
      <c r="AQ271" s="10" t="str">
        <f>VLOOKUP(MID($AS271,1,255),source_lookup!$B:$K,10,FALSE)</f>
        <v>2_sust</v>
      </c>
      <c r="AR271" t="s">
        <v>90</v>
      </c>
      <c r="AS271" t="s">
        <v>133</v>
      </c>
    </row>
    <row r="272" spans="1:45" x14ac:dyDescent="0.3">
      <c r="A272" t="s">
        <v>9</v>
      </c>
      <c r="B272">
        <v>271</v>
      </c>
      <c r="C272" s="1">
        <v>6.09242943290258E-3</v>
      </c>
      <c r="D272" s="2">
        <v>17</v>
      </c>
      <c r="E272" s="4">
        <v>544</v>
      </c>
      <c r="F272" s="4" t="s">
        <v>347</v>
      </c>
      <c r="G272" s="4" t="s">
        <v>346</v>
      </c>
      <c r="H272" t="s">
        <v>77</v>
      </c>
      <c r="I272" t="s">
        <v>352</v>
      </c>
      <c r="J272" s="3">
        <v>1990</v>
      </c>
      <c r="K272" s="3">
        <v>2021</v>
      </c>
      <c r="L272" s="6">
        <f t="shared" si="91"/>
        <v>2005.5</v>
      </c>
      <c r="M272" s="6">
        <f t="shared" si="92"/>
        <v>2005.5</v>
      </c>
      <c r="N272" s="7">
        <f t="shared" si="80"/>
        <v>0.1875</v>
      </c>
      <c r="O272" s="7">
        <f t="shared" si="81"/>
        <v>0.15625</v>
      </c>
      <c r="P272" s="7">
        <f t="shared" si="82"/>
        <v>0.125</v>
      </c>
      <c r="Q272" s="7">
        <f t="shared" si="93"/>
        <v>9.375E-2</v>
      </c>
      <c r="R272" s="10" t="str">
        <f t="shared" si="83"/>
        <v>0_Pre</v>
      </c>
      <c r="S272" s="10" t="str">
        <f t="shared" si="84"/>
        <v>0_Pre</v>
      </c>
      <c r="T272" s="10" t="str">
        <f t="shared" si="85"/>
        <v>0_Pre</v>
      </c>
      <c r="U272" s="10" t="str">
        <f t="shared" si="86"/>
        <v>1_Post</v>
      </c>
      <c r="V272" s="10" t="str">
        <f t="shared" si="94"/>
        <v>0_Pre</v>
      </c>
      <c r="W272" s="10" t="str">
        <f t="shared" si="87"/>
        <v>straddle</v>
      </c>
      <c r="X272" s="10" t="str">
        <f t="shared" si="88"/>
        <v>0_Pre</v>
      </c>
      <c r="Y272" s="10" t="str">
        <f t="shared" si="89"/>
        <v>0_Pre</v>
      </c>
      <c r="Z272" s="10" t="str">
        <f t="shared" si="90"/>
        <v>0_Pre</v>
      </c>
      <c r="AA272" s="10" t="str">
        <f t="shared" si="95"/>
        <v>1_Post</v>
      </c>
      <c r="AB272" s="10" t="str">
        <f t="shared" si="96"/>
        <v>1_Post</v>
      </c>
      <c r="AC272" s="10" t="str">
        <f t="shared" si="97"/>
        <v>1_Post</v>
      </c>
      <c r="AD272" s="10" t="str">
        <f t="shared" si="98"/>
        <v>1_pre sample median</v>
      </c>
      <c r="AE272" s="10" t="str">
        <f t="shared" si="99"/>
        <v>1_pre sample first tertile</v>
      </c>
      <c r="AF272" t="s">
        <v>67</v>
      </c>
      <c r="AG272" t="s">
        <v>75</v>
      </c>
      <c r="AH272" t="s">
        <v>79</v>
      </c>
      <c r="AI272" t="s">
        <v>70</v>
      </c>
      <c r="AJ272" t="s">
        <v>70</v>
      </c>
      <c r="AK272" t="str">
        <f>VLOOKUP(MID($AR272,1,255),country_lookup!$B:$F,2,FALSE)</f>
        <v>99_NCE</v>
      </c>
      <c r="AL272" t="str">
        <f>VLOOKUP(MID($AR272,1,255),country_lookup!$B:$F,3,FALSE)</f>
        <v>99_NCE</v>
      </c>
      <c r="AM272" t="str">
        <f>VLOOKUP(MID($AR272,1,255),country_lookup!$B:$F,4,FALSE)</f>
        <v>99_NCE</v>
      </c>
      <c r="AN272" t="str">
        <f>VLOOKUP(MID($AR272,1,255),country_lookup!$B:$F,5,FALSE)</f>
        <v>99_NCE</v>
      </c>
      <c r="AO272" s="10" t="str">
        <f>VLOOKUP(MID($AS272,1,255),source_lookup!$B:$K,4,FALSE)</f>
        <v>0_published</v>
      </c>
      <c r="AP272" s="10" t="str">
        <f>VLOOKUP(MID($AS272,1,255),source_lookup!$B:$K,6,FALSE)</f>
        <v>0_VHB low</v>
      </c>
      <c r="AQ272" s="10" t="str">
        <f>VLOOKUP(MID($AS272,1,255),source_lookup!$B:$K,10,FALSE)</f>
        <v>2_sust</v>
      </c>
      <c r="AR272" t="s">
        <v>90</v>
      </c>
      <c r="AS272" t="s">
        <v>133</v>
      </c>
    </row>
    <row r="273" spans="1:45" x14ac:dyDescent="0.3">
      <c r="A273" t="s">
        <v>9</v>
      </c>
      <c r="B273">
        <v>272</v>
      </c>
      <c r="C273" s="1">
        <v>8.8983297182133742E-3</v>
      </c>
      <c r="D273" s="2">
        <v>15</v>
      </c>
      <c r="E273" s="4">
        <v>489</v>
      </c>
      <c r="F273" s="4" t="s">
        <v>347</v>
      </c>
      <c r="G273" s="4" t="s">
        <v>346</v>
      </c>
      <c r="H273" t="s">
        <v>77</v>
      </c>
      <c r="I273" t="s">
        <v>352</v>
      </c>
      <c r="J273" s="3">
        <v>1990</v>
      </c>
      <c r="K273" s="3">
        <v>2021</v>
      </c>
      <c r="L273" s="6">
        <f t="shared" si="91"/>
        <v>2005.5</v>
      </c>
      <c r="M273" s="6">
        <f t="shared" si="92"/>
        <v>2005.5</v>
      </c>
      <c r="N273" s="7">
        <f t="shared" si="80"/>
        <v>0.1875</v>
      </c>
      <c r="O273" s="7">
        <f t="shared" si="81"/>
        <v>0.15625</v>
      </c>
      <c r="P273" s="7">
        <f t="shared" si="82"/>
        <v>0.125</v>
      </c>
      <c r="Q273" s="7">
        <f t="shared" si="93"/>
        <v>9.375E-2</v>
      </c>
      <c r="R273" s="10" t="str">
        <f t="shared" si="83"/>
        <v>0_Pre</v>
      </c>
      <c r="S273" s="10" t="str">
        <f t="shared" si="84"/>
        <v>0_Pre</v>
      </c>
      <c r="T273" s="10" t="str">
        <f t="shared" si="85"/>
        <v>0_Pre</v>
      </c>
      <c r="U273" s="10" t="str">
        <f t="shared" si="86"/>
        <v>1_Post</v>
      </c>
      <c r="V273" s="10" t="str">
        <f t="shared" si="94"/>
        <v>0_Pre</v>
      </c>
      <c r="W273" s="10" t="str">
        <f t="shared" si="87"/>
        <v>straddle</v>
      </c>
      <c r="X273" s="10" t="str">
        <f t="shared" si="88"/>
        <v>0_Pre</v>
      </c>
      <c r="Y273" s="10" t="str">
        <f t="shared" si="89"/>
        <v>0_Pre</v>
      </c>
      <c r="Z273" s="10" t="str">
        <f t="shared" si="90"/>
        <v>0_Pre</v>
      </c>
      <c r="AA273" s="10" t="str">
        <f t="shared" si="95"/>
        <v>1_Post</v>
      </c>
      <c r="AB273" s="10" t="str">
        <f t="shared" si="96"/>
        <v>1_Post</v>
      </c>
      <c r="AC273" s="10" t="str">
        <f t="shared" si="97"/>
        <v>1_Post</v>
      </c>
      <c r="AD273" s="10" t="str">
        <f t="shared" si="98"/>
        <v>1_pre sample median</v>
      </c>
      <c r="AE273" s="10" t="str">
        <f t="shared" si="99"/>
        <v>1_pre sample first tertile</v>
      </c>
      <c r="AF273" t="s">
        <v>67</v>
      </c>
      <c r="AG273" t="s">
        <v>75</v>
      </c>
      <c r="AH273" t="s">
        <v>79</v>
      </c>
      <c r="AI273" t="s">
        <v>70</v>
      </c>
      <c r="AJ273" t="s">
        <v>70</v>
      </c>
      <c r="AK273" t="str">
        <f>VLOOKUP(MID($AR273,1,255),country_lookup!$B:$F,2,FALSE)</f>
        <v>99_NCE</v>
      </c>
      <c r="AL273" t="str">
        <f>VLOOKUP(MID($AR273,1,255),country_lookup!$B:$F,3,FALSE)</f>
        <v>99_NCE</v>
      </c>
      <c r="AM273" t="str">
        <f>VLOOKUP(MID($AR273,1,255),country_lookup!$B:$F,4,FALSE)</f>
        <v>99_NCE</v>
      </c>
      <c r="AN273" t="str">
        <f>VLOOKUP(MID($AR273,1,255),country_lookup!$B:$F,5,FALSE)</f>
        <v>99_NCE</v>
      </c>
      <c r="AO273" s="10" t="str">
        <f>VLOOKUP(MID($AS273,1,255),source_lookup!$B:$K,4,FALSE)</f>
        <v>0_published</v>
      </c>
      <c r="AP273" s="10" t="str">
        <f>VLOOKUP(MID($AS273,1,255),source_lookup!$B:$K,6,FALSE)</f>
        <v>0_VHB low</v>
      </c>
      <c r="AQ273" s="10" t="str">
        <f>VLOOKUP(MID($AS273,1,255),source_lookup!$B:$K,10,FALSE)</f>
        <v>2_sust</v>
      </c>
      <c r="AR273" t="s">
        <v>90</v>
      </c>
      <c r="AS273" t="s">
        <v>133</v>
      </c>
    </row>
    <row r="274" spans="1:45" x14ac:dyDescent="0.3">
      <c r="A274" t="s">
        <v>9</v>
      </c>
      <c r="B274">
        <v>273</v>
      </c>
      <c r="C274" s="1">
        <v>-4.1952439925675683E-2</v>
      </c>
      <c r="D274" s="2">
        <v>16</v>
      </c>
      <c r="E274" s="4">
        <v>510</v>
      </c>
      <c r="F274" s="4" t="s">
        <v>347</v>
      </c>
      <c r="G274" s="4" t="s">
        <v>346</v>
      </c>
      <c r="H274" t="s">
        <v>77</v>
      </c>
      <c r="I274" t="s">
        <v>352</v>
      </c>
      <c r="J274" s="3">
        <v>1990</v>
      </c>
      <c r="K274" s="3">
        <v>2021</v>
      </c>
      <c r="L274" s="6">
        <f t="shared" si="91"/>
        <v>2005.5</v>
      </c>
      <c r="M274" s="6">
        <f t="shared" si="92"/>
        <v>2005.5</v>
      </c>
      <c r="N274" s="7">
        <f t="shared" si="80"/>
        <v>0.1875</v>
      </c>
      <c r="O274" s="7">
        <f t="shared" si="81"/>
        <v>0.15625</v>
      </c>
      <c r="P274" s="7">
        <f t="shared" si="82"/>
        <v>0.125</v>
      </c>
      <c r="Q274" s="7">
        <f t="shared" si="93"/>
        <v>9.375E-2</v>
      </c>
      <c r="R274" s="10" t="str">
        <f t="shared" si="83"/>
        <v>0_Pre</v>
      </c>
      <c r="S274" s="10" t="str">
        <f t="shared" si="84"/>
        <v>0_Pre</v>
      </c>
      <c r="T274" s="10" t="str">
        <f t="shared" si="85"/>
        <v>0_Pre</v>
      </c>
      <c r="U274" s="10" t="str">
        <f t="shared" si="86"/>
        <v>1_Post</v>
      </c>
      <c r="V274" s="10" t="str">
        <f t="shared" si="94"/>
        <v>0_Pre</v>
      </c>
      <c r="W274" s="10" t="str">
        <f t="shared" si="87"/>
        <v>straddle</v>
      </c>
      <c r="X274" s="10" t="str">
        <f t="shared" si="88"/>
        <v>0_Pre</v>
      </c>
      <c r="Y274" s="10" t="str">
        <f t="shared" si="89"/>
        <v>0_Pre</v>
      </c>
      <c r="Z274" s="10" t="str">
        <f t="shared" si="90"/>
        <v>0_Pre</v>
      </c>
      <c r="AA274" s="10" t="str">
        <f t="shared" si="95"/>
        <v>1_Post</v>
      </c>
      <c r="AB274" s="10" t="str">
        <f t="shared" si="96"/>
        <v>1_Post</v>
      </c>
      <c r="AC274" s="10" t="str">
        <f t="shared" si="97"/>
        <v>1_Post</v>
      </c>
      <c r="AD274" s="10" t="str">
        <f t="shared" si="98"/>
        <v>1_pre sample median</v>
      </c>
      <c r="AE274" s="10" t="str">
        <f t="shared" si="99"/>
        <v>1_pre sample first tertile</v>
      </c>
      <c r="AF274" t="s">
        <v>67</v>
      </c>
      <c r="AG274" t="s">
        <v>75</v>
      </c>
      <c r="AH274" t="s">
        <v>79</v>
      </c>
      <c r="AI274" t="s">
        <v>70</v>
      </c>
      <c r="AJ274" t="s">
        <v>70</v>
      </c>
      <c r="AK274" t="str">
        <f>VLOOKUP(MID($AR274,1,255),country_lookup!$B:$F,2,FALSE)</f>
        <v>99_NCE</v>
      </c>
      <c r="AL274" t="str">
        <f>VLOOKUP(MID($AR274,1,255),country_lookup!$B:$F,3,FALSE)</f>
        <v>99_NCE</v>
      </c>
      <c r="AM274" t="str">
        <f>VLOOKUP(MID($AR274,1,255),country_lookup!$B:$F,4,FALSE)</f>
        <v>99_NCE</v>
      </c>
      <c r="AN274" t="str">
        <f>VLOOKUP(MID($AR274,1,255),country_lookup!$B:$F,5,FALSE)</f>
        <v>99_NCE</v>
      </c>
      <c r="AO274" s="10" t="str">
        <f>VLOOKUP(MID($AS274,1,255),source_lookup!$B:$K,4,FALSE)</f>
        <v>0_published</v>
      </c>
      <c r="AP274" s="10" t="str">
        <f>VLOOKUP(MID($AS274,1,255),source_lookup!$B:$K,6,FALSE)</f>
        <v>0_VHB low</v>
      </c>
      <c r="AQ274" s="10" t="str">
        <f>VLOOKUP(MID($AS274,1,255),source_lookup!$B:$K,10,FALSE)</f>
        <v>2_sust</v>
      </c>
      <c r="AR274" t="s">
        <v>90</v>
      </c>
      <c r="AS274" t="s">
        <v>133</v>
      </c>
    </row>
    <row r="275" spans="1:45" x14ac:dyDescent="0.3">
      <c r="A275" t="s">
        <v>9</v>
      </c>
      <c r="B275">
        <v>274</v>
      </c>
      <c r="C275" s="1">
        <v>-0.28076749535304507</v>
      </c>
      <c r="D275" s="2">
        <v>114</v>
      </c>
      <c r="E275" s="4">
        <v>228</v>
      </c>
      <c r="F275" s="4" t="s">
        <v>347</v>
      </c>
      <c r="G275" s="4" t="s">
        <v>346</v>
      </c>
      <c r="H275" t="s">
        <v>77</v>
      </c>
      <c r="I275" t="s">
        <v>352</v>
      </c>
      <c r="J275" s="3">
        <v>2020</v>
      </c>
      <c r="K275" s="3">
        <v>2021</v>
      </c>
      <c r="L275" s="6">
        <f t="shared" si="91"/>
        <v>2020.5</v>
      </c>
      <c r="M275" s="6">
        <f t="shared" si="92"/>
        <v>2020.5</v>
      </c>
      <c r="N275" s="7">
        <f t="shared" si="80"/>
        <v>1</v>
      </c>
      <c r="O275" s="7">
        <f t="shared" si="81"/>
        <v>1</v>
      </c>
      <c r="P275" s="7">
        <f t="shared" si="82"/>
        <v>1</v>
      </c>
      <c r="Q275" s="7">
        <f t="shared" si="93"/>
        <v>1</v>
      </c>
      <c r="R275" s="10" t="str">
        <f t="shared" si="83"/>
        <v>1_Post</v>
      </c>
      <c r="S275" s="10" t="str">
        <f t="shared" si="84"/>
        <v>1_Post</v>
      </c>
      <c r="T275" s="10" t="str">
        <f t="shared" si="85"/>
        <v>1_Post</v>
      </c>
      <c r="U275" s="10" t="str">
        <f t="shared" si="86"/>
        <v>1_Post</v>
      </c>
      <c r="V275" s="10" t="str">
        <f t="shared" si="94"/>
        <v>1_Post</v>
      </c>
      <c r="W275" s="10" t="str">
        <f t="shared" si="87"/>
        <v>clean_post</v>
      </c>
      <c r="X275" s="10" t="str">
        <f t="shared" si="88"/>
        <v>1_Post</v>
      </c>
      <c r="Y275" s="10" t="str">
        <f t="shared" si="89"/>
        <v>1_Post</v>
      </c>
      <c r="Z275" s="10" t="str">
        <f t="shared" si="90"/>
        <v>1_Post</v>
      </c>
      <c r="AA275" s="10" t="str">
        <f t="shared" si="95"/>
        <v>1_Post</v>
      </c>
      <c r="AB275" s="10" t="str">
        <f t="shared" si="96"/>
        <v>1_Post</v>
      </c>
      <c r="AC275" s="10" t="str">
        <f t="shared" si="97"/>
        <v>1_Post</v>
      </c>
      <c r="AD275" s="10" t="str">
        <f t="shared" si="98"/>
        <v>2_post sample median</v>
      </c>
      <c r="AE275" s="10" t="str">
        <f t="shared" si="99"/>
        <v>3_post sample third tertile</v>
      </c>
      <c r="AF275" t="s">
        <v>67</v>
      </c>
      <c r="AG275" t="s">
        <v>75</v>
      </c>
      <c r="AH275" t="s">
        <v>79</v>
      </c>
      <c r="AI275" t="s">
        <v>70</v>
      </c>
      <c r="AJ275" t="s">
        <v>70</v>
      </c>
      <c r="AK275" t="str">
        <f>VLOOKUP(MID($AR275,1,255),country_lookup!$B:$F,2,FALSE)</f>
        <v>99_NCE</v>
      </c>
      <c r="AL275" t="str">
        <f>VLOOKUP(MID($AR275,1,255),country_lookup!$B:$F,3,FALSE)</f>
        <v>99_NCE</v>
      </c>
      <c r="AM275" t="str">
        <f>VLOOKUP(MID($AR275,1,255),country_lookup!$B:$F,4,FALSE)</f>
        <v>99_NCE</v>
      </c>
      <c r="AN275" t="str">
        <f>VLOOKUP(MID($AR275,1,255),country_lookup!$B:$F,5,FALSE)</f>
        <v>99_NCE</v>
      </c>
      <c r="AO275" s="10" t="str">
        <f>VLOOKUP(MID($AS275,1,255),source_lookup!$B:$K,4,FALSE)</f>
        <v>0_published</v>
      </c>
      <c r="AP275" s="10" t="str">
        <f>VLOOKUP(MID($AS275,1,255),source_lookup!$B:$K,6,FALSE)</f>
        <v>0_VHB low</v>
      </c>
      <c r="AQ275" s="10" t="str">
        <f>VLOOKUP(MID($AS275,1,255),source_lookup!$B:$K,10,FALSE)</f>
        <v>2_sust</v>
      </c>
      <c r="AR275" t="s">
        <v>90</v>
      </c>
      <c r="AS275" t="s">
        <v>133</v>
      </c>
    </row>
    <row r="276" spans="1:45" x14ac:dyDescent="0.3">
      <c r="A276" t="s">
        <v>9</v>
      </c>
      <c r="B276">
        <v>275</v>
      </c>
      <c r="C276" s="1">
        <v>6.9362814714393581E-2</v>
      </c>
      <c r="D276" s="2">
        <v>9</v>
      </c>
      <c r="E276" s="4">
        <v>18</v>
      </c>
      <c r="F276" s="4" t="s">
        <v>347</v>
      </c>
      <c r="G276" s="4" t="s">
        <v>346</v>
      </c>
      <c r="H276" t="s">
        <v>77</v>
      </c>
      <c r="I276" t="s">
        <v>352</v>
      </c>
      <c r="J276" s="3">
        <v>2020</v>
      </c>
      <c r="K276" s="3">
        <v>2021</v>
      </c>
      <c r="L276" s="6">
        <f t="shared" si="91"/>
        <v>2020.5</v>
      </c>
      <c r="M276" s="6">
        <f t="shared" si="92"/>
        <v>2020.5</v>
      </c>
      <c r="N276" s="7">
        <f t="shared" si="80"/>
        <v>1</v>
      </c>
      <c r="O276" s="7">
        <f t="shared" si="81"/>
        <v>1</v>
      </c>
      <c r="P276" s="7">
        <f t="shared" si="82"/>
        <v>1</v>
      </c>
      <c r="Q276" s="7">
        <f t="shared" si="93"/>
        <v>1</v>
      </c>
      <c r="R276" s="10" t="str">
        <f t="shared" si="83"/>
        <v>1_Post</v>
      </c>
      <c r="S276" s="10" t="str">
        <f t="shared" si="84"/>
        <v>1_Post</v>
      </c>
      <c r="T276" s="10" t="str">
        <f t="shared" si="85"/>
        <v>1_Post</v>
      </c>
      <c r="U276" s="10" t="str">
        <f t="shared" si="86"/>
        <v>1_Post</v>
      </c>
      <c r="V276" s="10" t="str">
        <f t="shared" si="94"/>
        <v>1_Post</v>
      </c>
      <c r="W276" s="10" t="str">
        <f t="shared" si="87"/>
        <v>clean_post</v>
      </c>
      <c r="X276" s="10" t="str">
        <f t="shared" si="88"/>
        <v>1_Post</v>
      </c>
      <c r="Y276" s="10" t="str">
        <f t="shared" si="89"/>
        <v>1_Post</v>
      </c>
      <c r="Z276" s="10" t="str">
        <f t="shared" si="90"/>
        <v>1_Post</v>
      </c>
      <c r="AA276" s="10" t="str">
        <f t="shared" si="95"/>
        <v>1_Post</v>
      </c>
      <c r="AB276" s="10" t="str">
        <f t="shared" si="96"/>
        <v>1_Post</v>
      </c>
      <c r="AC276" s="10" t="str">
        <f t="shared" si="97"/>
        <v>1_Post</v>
      </c>
      <c r="AD276" s="10" t="str">
        <f t="shared" si="98"/>
        <v>2_post sample median</v>
      </c>
      <c r="AE276" s="10" t="str">
        <f t="shared" si="99"/>
        <v>3_post sample third tertile</v>
      </c>
      <c r="AF276" t="s">
        <v>67</v>
      </c>
      <c r="AG276" t="s">
        <v>75</v>
      </c>
      <c r="AH276" t="s">
        <v>79</v>
      </c>
      <c r="AI276" t="s">
        <v>70</v>
      </c>
      <c r="AJ276" t="s">
        <v>70</v>
      </c>
      <c r="AK276" t="str">
        <f>VLOOKUP(MID($AR276,1,255),country_lookup!$B:$F,2,FALSE)</f>
        <v>99_NCE</v>
      </c>
      <c r="AL276" t="str">
        <f>VLOOKUP(MID($AR276,1,255),country_lookup!$B:$F,3,FALSE)</f>
        <v>99_NCE</v>
      </c>
      <c r="AM276" t="str">
        <f>VLOOKUP(MID($AR276,1,255),country_lookup!$B:$F,4,FALSE)</f>
        <v>99_NCE</v>
      </c>
      <c r="AN276" t="str">
        <f>VLOOKUP(MID($AR276,1,255),country_lookup!$B:$F,5,FALSE)</f>
        <v>99_NCE</v>
      </c>
      <c r="AO276" s="10" t="str">
        <f>VLOOKUP(MID($AS276,1,255),source_lookup!$B:$K,4,FALSE)</f>
        <v>0_published</v>
      </c>
      <c r="AP276" s="10" t="str">
        <f>VLOOKUP(MID($AS276,1,255),source_lookup!$B:$K,6,FALSE)</f>
        <v>0_VHB low</v>
      </c>
      <c r="AQ276" s="10" t="str">
        <f>VLOOKUP(MID($AS276,1,255),source_lookup!$B:$K,10,FALSE)</f>
        <v>2_sust</v>
      </c>
      <c r="AR276" t="s">
        <v>90</v>
      </c>
      <c r="AS276" t="s">
        <v>133</v>
      </c>
    </row>
    <row r="277" spans="1:45" x14ac:dyDescent="0.3">
      <c r="A277" t="s">
        <v>9</v>
      </c>
      <c r="B277">
        <v>276</v>
      </c>
      <c r="C277" s="1">
        <v>-0.4341605055723371</v>
      </c>
      <c r="D277" s="2">
        <v>42</v>
      </c>
      <c r="E277" s="4">
        <v>84</v>
      </c>
      <c r="F277" s="4" t="s">
        <v>347</v>
      </c>
      <c r="G277" s="4" t="s">
        <v>346</v>
      </c>
      <c r="H277" t="s">
        <v>77</v>
      </c>
      <c r="I277" t="s">
        <v>352</v>
      </c>
      <c r="J277" s="3">
        <v>2020</v>
      </c>
      <c r="K277" s="3">
        <v>2021</v>
      </c>
      <c r="L277" s="6">
        <f t="shared" si="91"/>
        <v>2020.5</v>
      </c>
      <c r="M277" s="6">
        <f t="shared" si="92"/>
        <v>2020.5</v>
      </c>
      <c r="N277" s="7">
        <f t="shared" si="80"/>
        <v>1</v>
      </c>
      <c r="O277" s="7">
        <f t="shared" si="81"/>
        <v>1</v>
      </c>
      <c r="P277" s="7">
        <f t="shared" si="82"/>
        <v>1</v>
      </c>
      <c r="Q277" s="7">
        <f t="shared" si="93"/>
        <v>1</v>
      </c>
      <c r="R277" s="10" t="str">
        <f t="shared" si="83"/>
        <v>1_Post</v>
      </c>
      <c r="S277" s="10" t="str">
        <f t="shared" si="84"/>
        <v>1_Post</v>
      </c>
      <c r="T277" s="10" t="str">
        <f t="shared" si="85"/>
        <v>1_Post</v>
      </c>
      <c r="U277" s="10" t="str">
        <f t="shared" si="86"/>
        <v>1_Post</v>
      </c>
      <c r="V277" s="10" t="str">
        <f t="shared" si="94"/>
        <v>1_Post</v>
      </c>
      <c r="W277" s="10" t="str">
        <f t="shared" si="87"/>
        <v>clean_post</v>
      </c>
      <c r="X277" s="10" t="str">
        <f t="shared" si="88"/>
        <v>1_Post</v>
      </c>
      <c r="Y277" s="10" t="str">
        <f t="shared" si="89"/>
        <v>1_Post</v>
      </c>
      <c r="Z277" s="10" t="str">
        <f t="shared" si="90"/>
        <v>1_Post</v>
      </c>
      <c r="AA277" s="10" t="str">
        <f t="shared" si="95"/>
        <v>1_Post</v>
      </c>
      <c r="AB277" s="10" t="str">
        <f t="shared" si="96"/>
        <v>1_Post</v>
      </c>
      <c r="AC277" s="10" t="str">
        <f t="shared" si="97"/>
        <v>1_Post</v>
      </c>
      <c r="AD277" s="10" t="str">
        <f t="shared" si="98"/>
        <v>2_post sample median</v>
      </c>
      <c r="AE277" s="10" t="str">
        <f t="shared" si="99"/>
        <v>3_post sample third tertile</v>
      </c>
      <c r="AF277" t="s">
        <v>67</v>
      </c>
      <c r="AG277" t="s">
        <v>75</v>
      </c>
      <c r="AH277" t="s">
        <v>79</v>
      </c>
      <c r="AI277" t="s">
        <v>70</v>
      </c>
      <c r="AJ277" t="s">
        <v>70</v>
      </c>
      <c r="AK277" t="str">
        <f>VLOOKUP(MID($AR277,1,255),country_lookup!$B:$F,2,FALSE)</f>
        <v>99_NCE</v>
      </c>
      <c r="AL277" t="str">
        <f>VLOOKUP(MID($AR277,1,255),country_lookup!$B:$F,3,FALSE)</f>
        <v>99_NCE</v>
      </c>
      <c r="AM277" t="str">
        <f>VLOOKUP(MID($AR277,1,255),country_lookup!$B:$F,4,FALSE)</f>
        <v>99_NCE</v>
      </c>
      <c r="AN277" t="str">
        <f>VLOOKUP(MID($AR277,1,255),country_lookup!$B:$F,5,FALSE)</f>
        <v>99_NCE</v>
      </c>
      <c r="AO277" s="10" t="str">
        <f>VLOOKUP(MID($AS277,1,255),source_lookup!$B:$K,4,FALSE)</f>
        <v>0_published</v>
      </c>
      <c r="AP277" s="10" t="str">
        <f>VLOOKUP(MID($AS277,1,255),source_lookup!$B:$K,6,FALSE)</f>
        <v>0_VHB low</v>
      </c>
      <c r="AQ277" s="10" t="str">
        <f>VLOOKUP(MID($AS277,1,255),source_lookup!$B:$K,10,FALSE)</f>
        <v>2_sust</v>
      </c>
      <c r="AR277" t="s">
        <v>90</v>
      </c>
      <c r="AS277" t="s">
        <v>133</v>
      </c>
    </row>
    <row r="278" spans="1:45" x14ac:dyDescent="0.3">
      <c r="A278" t="s">
        <v>9</v>
      </c>
      <c r="B278">
        <v>277</v>
      </c>
      <c r="C278" s="1">
        <v>-2.5566258018844924E-2</v>
      </c>
      <c r="D278" s="2">
        <v>114</v>
      </c>
      <c r="E278" s="4">
        <v>227</v>
      </c>
      <c r="F278" s="4" t="s">
        <v>347</v>
      </c>
      <c r="G278" s="4" t="s">
        <v>346</v>
      </c>
      <c r="H278" t="s">
        <v>77</v>
      </c>
      <c r="I278" t="s">
        <v>352</v>
      </c>
      <c r="J278" s="3">
        <v>2020</v>
      </c>
      <c r="K278" s="3">
        <v>2021</v>
      </c>
      <c r="L278" s="6">
        <f t="shared" si="91"/>
        <v>2020.5</v>
      </c>
      <c r="M278" s="6">
        <f t="shared" si="92"/>
        <v>2020.5</v>
      </c>
      <c r="N278" s="7">
        <f t="shared" si="80"/>
        <v>1</v>
      </c>
      <c r="O278" s="7">
        <f t="shared" si="81"/>
        <v>1</v>
      </c>
      <c r="P278" s="7">
        <f t="shared" si="82"/>
        <v>1</v>
      </c>
      <c r="Q278" s="7">
        <f t="shared" si="93"/>
        <v>1</v>
      </c>
      <c r="R278" s="10" t="str">
        <f t="shared" si="83"/>
        <v>1_Post</v>
      </c>
      <c r="S278" s="10" t="str">
        <f t="shared" si="84"/>
        <v>1_Post</v>
      </c>
      <c r="T278" s="10" t="str">
        <f t="shared" si="85"/>
        <v>1_Post</v>
      </c>
      <c r="U278" s="10" t="str">
        <f t="shared" si="86"/>
        <v>1_Post</v>
      </c>
      <c r="V278" s="10" t="str">
        <f t="shared" si="94"/>
        <v>1_Post</v>
      </c>
      <c r="W278" s="10" t="str">
        <f t="shared" si="87"/>
        <v>clean_post</v>
      </c>
      <c r="X278" s="10" t="str">
        <f t="shared" si="88"/>
        <v>1_Post</v>
      </c>
      <c r="Y278" s="10" t="str">
        <f t="shared" si="89"/>
        <v>1_Post</v>
      </c>
      <c r="Z278" s="10" t="str">
        <f t="shared" si="90"/>
        <v>1_Post</v>
      </c>
      <c r="AA278" s="10" t="str">
        <f t="shared" si="95"/>
        <v>1_Post</v>
      </c>
      <c r="AB278" s="10" t="str">
        <f t="shared" si="96"/>
        <v>1_Post</v>
      </c>
      <c r="AC278" s="10" t="str">
        <f t="shared" si="97"/>
        <v>1_Post</v>
      </c>
      <c r="AD278" s="10" t="str">
        <f t="shared" si="98"/>
        <v>2_post sample median</v>
      </c>
      <c r="AE278" s="10" t="str">
        <f t="shared" si="99"/>
        <v>3_post sample third tertile</v>
      </c>
      <c r="AF278" t="s">
        <v>67</v>
      </c>
      <c r="AG278" t="s">
        <v>75</v>
      </c>
      <c r="AH278" t="s">
        <v>79</v>
      </c>
      <c r="AI278" t="s">
        <v>70</v>
      </c>
      <c r="AJ278" t="s">
        <v>70</v>
      </c>
      <c r="AK278" t="str">
        <f>VLOOKUP(MID($AR278,1,255),country_lookup!$B:$F,2,FALSE)</f>
        <v>99_NCE</v>
      </c>
      <c r="AL278" t="str">
        <f>VLOOKUP(MID($AR278,1,255),country_lookup!$B:$F,3,FALSE)</f>
        <v>99_NCE</v>
      </c>
      <c r="AM278" t="str">
        <f>VLOOKUP(MID($AR278,1,255),country_lookup!$B:$F,4,FALSE)</f>
        <v>99_NCE</v>
      </c>
      <c r="AN278" t="str">
        <f>VLOOKUP(MID($AR278,1,255),country_lookup!$B:$F,5,FALSE)</f>
        <v>99_NCE</v>
      </c>
      <c r="AO278" s="10" t="str">
        <f>VLOOKUP(MID($AS278,1,255),source_lookup!$B:$K,4,FALSE)</f>
        <v>0_published</v>
      </c>
      <c r="AP278" s="10" t="str">
        <f>VLOOKUP(MID($AS278,1,255),source_lookup!$B:$K,6,FALSE)</f>
        <v>0_VHB low</v>
      </c>
      <c r="AQ278" s="10" t="str">
        <f>VLOOKUP(MID($AS278,1,255),source_lookup!$B:$K,10,FALSE)</f>
        <v>2_sust</v>
      </c>
      <c r="AR278" t="s">
        <v>90</v>
      </c>
      <c r="AS278" t="s">
        <v>133</v>
      </c>
    </row>
    <row r="279" spans="1:45" x14ac:dyDescent="0.3">
      <c r="A279" t="s">
        <v>9</v>
      </c>
      <c r="B279">
        <v>278</v>
      </c>
      <c r="C279" s="1">
        <v>6.920313278332734E-4</v>
      </c>
      <c r="D279" s="2">
        <v>41</v>
      </c>
      <c r="E279" s="4">
        <v>82</v>
      </c>
      <c r="F279" s="4" t="s">
        <v>347</v>
      </c>
      <c r="G279" s="4" t="s">
        <v>346</v>
      </c>
      <c r="H279" t="s">
        <v>77</v>
      </c>
      <c r="I279" t="s">
        <v>352</v>
      </c>
      <c r="J279" s="3">
        <v>2020</v>
      </c>
      <c r="K279" s="3">
        <v>2021</v>
      </c>
      <c r="L279" s="6">
        <f t="shared" si="91"/>
        <v>2020.5</v>
      </c>
      <c r="M279" s="6">
        <f t="shared" si="92"/>
        <v>2020.5</v>
      </c>
      <c r="N279" s="7">
        <f t="shared" si="80"/>
        <v>1</v>
      </c>
      <c r="O279" s="7">
        <f t="shared" si="81"/>
        <v>1</v>
      </c>
      <c r="P279" s="7">
        <f t="shared" si="82"/>
        <v>1</v>
      </c>
      <c r="Q279" s="7">
        <f t="shared" si="93"/>
        <v>1</v>
      </c>
      <c r="R279" s="10" t="str">
        <f t="shared" si="83"/>
        <v>1_Post</v>
      </c>
      <c r="S279" s="10" t="str">
        <f t="shared" si="84"/>
        <v>1_Post</v>
      </c>
      <c r="T279" s="10" t="str">
        <f t="shared" si="85"/>
        <v>1_Post</v>
      </c>
      <c r="U279" s="10" t="str">
        <f t="shared" si="86"/>
        <v>1_Post</v>
      </c>
      <c r="V279" s="10" t="str">
        <f t="shared" si="94"/>
        <v>1_Post</v>
      </c>
      <c r="W279" s="10" t="str">
        <f t="shared" si="87"/>
        <v>clean_post</v>
      </c>
      <c r="X279" s="10" t="str">
        <f t="shared" si="88"/>
        <v>1_Post</v>
      </c>
      <c r="Y279" s="10" t="str">
        <f t="shared" si="89"/>
        <v>1_Post</v>
      </c>
      <c r="Z279" s="10" t="str">
        <f t="shared" si="90"/>
        <v>1_Post</v>
      </c>
      <c r="AA279" s="10" t="str">
        <f t="shared" si="95"/>
        <v>1_Post</v>
      </c>
      <c r="AB279" s="10" t="str">
        <f t="shared" si="96"/>
        <v>1_Post</v>
      </c>
      <c r="AC279" s="10" t="str">
        <f t="shared" si="97"/>
        <v>1_Post</v>
      </c>
      <c r="AD279" s="10" t="str">
        <f t="shared" si="98"/>
        <v>2_post sample median</v>
      </c>
      <c r="AE279" s="10" t="str">
        <f t="shared" si="99"/>
        <v>3_post sample third tertile</v>
      </c>
      <c r="AF279" t="s">
        <v>67</v>
      </c>
      <c r="AG279" t="s">
        <v>75</v>
      </c>
      <c r="AH279" t="s">
        <v>79</v>
      </c>
      <c r="AI279" t="s">
        <v>70</v>
      </c>
      <c r="AJ279" t="s">
        <v>70</v>
      </c>
      <c r="AK279" t="str">
        <f>VLOOKUP(MID($AR279,1,255),country_lookup!$B:$F,2,FALSE)</f>
        <v>99_NCE</v>
      </c>
      <c r="AL279" t="str">
        <f>VLOOKUP(MID($AR279,1,255),country_lookup!$B:$F,3,FALSE)</f>
        <v>99_NCE</v>
      </c>
      <c r="AM279" t="str">
        <f>VLOOKUP(MID($AR279,1,255),country_lookup!$B:$F,4,FALSE)</f>
        <v>99_NCE</v>
      </c>
      <c r="AN279" t="str">
        <f>VLOOKUP(MID($AR279,1,255),country_lookup!$B:$F,5,FALSE)</f>
        <v>99_NCE</v>
      </c>
      <c r="AO279" s="10" t="str">
        <f>VLOOKUP(MID($AS279,1,255),source_lookup!$B:$K,4,FALSE)</f>
        <v>0_published</v>
      </c>
      <c r="AP279" s="10" t="str">
        <f>VLOOKUP(MID($AS279,1,255),source_lookup!$B:$K,6,FALSE)</f>
        <v>0_VHB low</v>
      </c>
      <c r="AQ279" s="10" t="str">
        <f>VLOOKUP(MID($AS279,1,255),source_lookup!$B:$K,10,FALSE)</f>
        <v>2_sust</v>
      </c>
      <c r="AR279" t="s">
        <v>90</v>
      </c>
      <c r="AS279" t="s">
        <v>133</v>
      </c>
    </row>
    <row r="280" spans="1:45" x14ac:dyDescent="0.3">
      <c r="A280" t="s">
        <v>10</v>
      </c>
      <c r="B280">
        <v>279</v>
      </c>
      <c r="C280" s="1">
        <v>-4.7729290316961902E-2</v>
      </c>
      <c r="D280" s="2">
        <v>135</v>
      </c>
      <c r="E280" s="4">
        <v>1486</v>
      </c>
      <c r="F280" s="4" t="s">
        <v>347</v>
      </c>
      <c r="G280" s="4" t="s">
        <v>347</v>
      </c>
      <c r="H280" t="s">
        <v>77</v>
      </c>
      <c r="I280" t="s">
        <v>350</v>
      </c>
      <c r="J280" s="3">
        <v>2009</v>
      </c>
      <c r="K280" s="3">
        <v>2019</v>
      </c>
      <c r="L280" s="6">
        <f t="shared" si="91"/>
        <v>2014</v>
      </c>
      <c r="M280" s="6">
        <f t="shared" si="92"/>
        <v>2014</v>
      </c>
      <c r="N280" s="7">
        <f t="shared" si="80"/>
        <v>0.36363636363636365</v>
      </c>
      <c r="O280" s="7">
        <f t="shared" si="81"/>
        <v>0.27272727272727271</v>
      </c>
      <c r="P280" s="7">
        <f t="shared" si="82"/>
        <v>0.18181818181818182</v>
      </c>
      <c r="Q280" s="7">
        <f t="shared" si="93"/>
        <v>9.0909090909090912E-2</v>
      </c>
      <c r="R280" s="10" t="str">
        <f t="shared" si="83"/>
        <v>0_Pre</v>
      </c>
      <c r="S280" s="10" t="str">
        <f t="shared" si="84"/>
        <v>0_Pre</v>
      </c>
      <c r="T280" s="10" t="str">
        <f t="shared" si="85"/>
        <v>0_Pre</v>
      </c>
      <c r="U280" s="10" t="str">
        <f t="shared" si="86"/>
        <v>1_Post</v>
      </c>
      <c r="V280" s="10" t="str">
        <f t="shared" si="94"/>
        <v>0_Pre</v>
      </c>
      <c r="W280" s="10" t="str">
        <f t="shared" si="87"/>
        <v>straddle</v>
      </c>
      <c r="X280" s="10" t="str">
        <f t="shared" si="88"/>
        <v>0_Pre</v>
      </c>
      <c r="Y280" s="10" t="str">
        <f t="shared" si="89"/>
        <v>0_Pre</v>
      </c>
      <c r="Z280" s="10" t="str">
        <f t="shared" si="90"/>
        <v>0_Pre</v>
      </c>
      <c r="AA280" s="10" t="str">
        <f t="shared" si="95"/>
        <v>1_Post</v>
      </c>
      <c r="AB280" s="10" t="str">
        <f t="shared" si="96"/>
        <v>1_Post</v>
      </c>
      <c r="AC280" s="10" t="str">
        <f t="shared" si="97"/>
        <v>1_Post</v>
      </c>
      <c r="AD280" s="10" t="str">
        <f t="shared" si="98"/>
        <v>2_post sample median</v>
      </c>
      <c r="AE280" s="10" t="str">
        <f t="shared" si="99"/>
        <v>3_post sample third tertile</v>
      </c>
      <c r="AF280" t="s">
        <v>81</v>
      </c>
      <c r="AG280" t="s">
        <v>75</v>
      </c>
      <c r="AH280" t="s">
        <v>78</v>
      </c>
      <c r="AI280" t="s">
        <v>122</v>
      </c>
      <c r="AJ280" t="s">
        <v>70</v>
      </c>
      <c r="AK280" t="str">
        <f>VLOOKUP(MID($AR280,1,255),country_lookup!$B:$F,2,FALSE)</f>
        <v>2_Europe</v>
      </c>
      <c r="AL280" t="str">
        <f>VLOOKUP(MID($AR280,1,255),country_lookup!$B:$F,3,FALSE)</f>
        <v>99_NCE</v>
      </c>
      <c r="AM280" t="str">
        <f>VLOOKUP(MID($AR280,1,255),country_lookup!$B:$F,4,FALSE)</f>
        <v>1_western</v>
      </c>
      <c r="AN280" t="str">
        <f>VLOOKUP(MID($AR280,1,255),country_lookup!$B:$F,5,FALSE)</f>
        <v>2_civil law</v>
      </c>
      <c r="AO280" s="10" t="str">
        <f>VLOOKUP(MID($AS280,1,255),source_lookup!$B:$K,4,FALSE)</f>
        <v>1_not published</v>
      </c>
      <c r="AP280" s="10" t="str">
        <f>VLOOKUP(MID($AS280,1,255),source_lookup!$B:$K,6,FALSE)</f>
        <v>99_NA</v>
      </c>
      <c r="AQ280" s="10" t="str">
        <f>VLOOKUP(MID($AS280,1,255),source_lookup!$B:$K,10,FALSE)</f>
        <v>1_fin/acc/econ</v>
      </c>
      <c r="AR280" t="s">
        <v>91</v>
      </c>
      <c r="AS280" t="s">
        <v>134</v>
      </c>
    </row>
    <row r="281" spans="1:45" x14ac:dyDescent="0.3">
      <c r="A281" t="s">
        <v>10</v>
      </c>
      <c r="B281">
        <v>280</v>
      </c>
      <c r="C281" s="1">
        <v>-6.4826797952245246E-2</v>
      </c>
      <c r="D281" s="2">
        <v>74</v>
      </c>
      <c r="E281" s="4">
        <v>818</v>
      </c>
      <c r="F281" s="4" t="s">
        <v>346</v>
      </c>
      <c r="G281" s="4" t="s">
        <v>347</v>
      </c>
      <c r="H281" t="s">
        <v>77</v>
      </c>
      <c r="I281" t="s">
        <v>350</v>
      </c>
      <c r="J281" s="3">
        <v>2009</v>
      </c>
      <c r="K281" s="3">
        <v>2019</v>
      </c>
      <c r="L281" s="6">
        <f t="shared" si="91"/>
        <v>2014</v>
      </c>
      <c r="M281" s="6">
        <f t="shared" si="92"/>
        <v>2014</v>
      </c>
      <c r="N281" s="7">
        <f t="shared" si="80"/>
        <v>0.36363636363636365</v>
      </c>
      <c r="O281" s="7">
        <f t="shared" si="81"/>
        <v>0.27272727272727271</v>
      </c>
      <c r="P281" s="7">
        <f t="shared" si="82"/>
        <v>0.18181818181818182</v>
      </c>
      <c r="Q281" s="7">
        <f t="shared" si="93"/>
        <v>9.0909090909090912E-2</v>
      </c>
      <c r="R281" s="10" t="str">
        <f t="shared" si="83"/>
        <v>0_Pre</v>
      </c>
      <c r="S281" s="10" t="str">
        <f t="shared" si="84"/>
        <v>0_Pre</v>
      </c>
      <c r="T281" s="10" t="str">
        <f t="shared" si="85"/>
        <v>0_Pre</v>
      </c>
      <c r="U281" s="10" t="str">
        <f t="shared" si="86"/>
        <v>1_Post</v>
      </c>
      <c r="V281" s="10" t="str">
        <f t="shared" si="94"/>
        <v>0_Pre</v>
      </c>
      <c r="W281" s="10" t="str">
        <f t="shared" si="87"/>
        <v>straddle</v>
      </c>
      <c r="X281" s="10" t="str">
        <f t="shared" si="88"/>
        <v>0_Pre</v>
      </c>
      <c r="Y281" s="10" t="str">
        <f t="shared" si="89"/>
        <v>0_Pre</v>
      </c>
      <c r="Z281" s="10" t="str">
        <f t="shared" si="90"/>
        <v>0_Pre</v>
      </c>
      <c r="AA281" s="10" t="str">
        <f t="shared" si="95"/>
        <v>1_Post</v>
      </c>
      <c r="AB281" s="10" t="str">
        <f t="shared" si="96"/>
        <v>1_Post</v>
      </c>
      <c r="AC281" s="10" t="str">
        <f t="shared" si="97"/>
        <v>1_Post</v>
      </c>
      <c r="AD281" s="10" t="str">
        <f t="shared" si="98"/>
        <v>2_post sample median</v>
      </c>
      <c r="AE281" s="10" t="str">
        <f t="shared" si="99"/>
        <v>3_post sample third tertile</v>
      </c>
      <c r="AF281" t="s">
        <v>81</v>
      </c>
      <c r="AG281" t="s">
        <v>75</v>
      </c>
      <c r="AH281" t="s">
        <v>78</v>
      </c>
      <c r="AI281" t="s">
        <v>122</v>
      </c>
      <c r="AJ281" t="s">
        <v>70</v>
      </c>
      <c r="AK281" t="str">
        <f>VLOOKUP(MID($AR281,1,255),country_lookup!$B:$F,2,FALSE)</f>
        <v>2_Europe</v>
      </c>
      <c r="AL281" t="str">
        <f>VLOOKUP(MID($AR281,1,255),country_lookup!$B:$F,3,FALSE)</f>
        <v>99_NCE</v>
      </c>
      <c r="AM281" t="str">
        <f>VLOOKUP(MID($AR281,1,255),country_lookup!$B:$F,4,FALSE)</f>
        <v>1_western</v>
      </c>
      <c r="AN281" t="str">
        <f>VLOOKUP(MID($AR281,1,255),country_lookup!$B:$F,5,FALSE)</f>
        <v>2_civil law</v>
      </c>
      <c r="AO281" s="10" t="str">
        <f>VLOOKUP(MID($AS281,1,255),source_lookup!$B:$K,4,FALSE)</f>
        <v>1_not published</v>
      </c>
      <c r="AP281" s="10" t="str">
        <f>VLOOKUP(MID($AS281,1,255),source_lookup!$B:$K,6,FALSE)</f>
        <v>99_NA</v>
      </c>
      <c r="AQ281" s="10" t="str">
        <f>VLOOKUP(MID($AS281,1,255),source_lookup!$B:$K,10,FALSE)</f>
        <v>1_fin/acc/econ</v>
      </c>
      <c r="AR281" t="s">
        <v>91</v>
      </c>
      <c r="AS281" t="s">
        <v>134</v>
      </c>
    </row>
    <row r="282" spans="1:45" x14ac:dyDescent="0.3">
      <c r="A282" t="s">
        <v>10</v>
      </c>
      <c r="B282">
        <v>281</v>
      </c>
      <c r="C282" s="1">
        <v>-5.455372608635229E-3</v>
      </c>
      <c r="D282" s="2">
        <v>61</v>
      </c>
      <c r="E282" s="4">
        <v>668</v>
      </c>
      <c r="F282" s="4" t="s">
        <v>346</v>
      </c>
      <c r="G282" s="4" t="s">
        <v>347</v>
      </c>
      <c r="H282" t="s">
        <v>77</v>
      </c>
      <c r="I282" t="s">
        <v>350</v>
      </c>
      <c r="J282" s="3">
        <v>2009</v>
      </c>
      <c r="K282" s="3">
        <v>2019</v>
      </c>
      <c r="L282" s="6">
        <f t="shared" si="91"/>
        <v>2014</v>
      </c>
      <c r="M282" s="6">
        <f t="shared" si="92"/>
        <v>2014</v>
      </c>
      <c r="N282" s="7">
        <f t="shared" si="80"/>
        <v>0.36363636363636365</v>
      </c>
      <c r="O282" s="7">
        <f t="shared" si="81"/>
        <v>0.27272727272727271</v>
      </c>
      <c r="P282" s="7">
        <f t="shared" si="82"/>
        <v>0.18181818181818182</v>
      </c>
      <c r="Q282" s="7">
        <f t="shared" si="93"/>
        <v>9.0909090909090912E-2</v>
      </c>
      <c r="R282" s="10" t="str">
        <f t="shared" si="83"/>
        <v>0_Pre</v>
      </c>
      <c r="S282" s="10" t="str">
        <f t="shared" si="84"/>
        <v>0_Pre</v>
      </c>
      <c r="T282" s="10" t="str">
        <f t="shared" si="85"/>
        <v>0_Pre</v>
      </c>
      <c r="U282" s="10" t="str">
        <f t="shared" si="86"/>
        <v>1_Post</v>
      </c>
      <c r="V282" s="10" t="str">
        <f t="shared" si="94"/>
        <v>0_Pre</v>
      </c>
      <c r="W282" s="10" t="str">
        <f t="shared" si="87"/>
        <v>straddle</v>
      </c>
      <c r="X282" s="10" t="str">
        <f t="shared" si="88"/>
        <v>0_Pre</v>
      </c>
      <c r="Y282" s="10" t="str">
        <f t="shared" si="89"/>
        <v>0_Pre</v>
      </c>
      <c r="Z282" s="10" t="str">
        <f t="shared" si="90"/>
        <v>0_Pre</v>
      </c>
      <c r="AA282" s="10" t="str">
        <f t="shared" si="95"/>
        <v>1_Post</v>
      </c>
      <c r="AB282" s="10" t="str">
        <f t="shared" si="96"/>
        <v>1_Post</v>
      </c>
      <c r="AC282" s="10" t="str">
        <f t="shared" si="97"/>
        <v>1_Post</v>
      </c>
      <c r="AD282" s="10" t="str">
        <f t="shared" si="98"/>
        <v>2_post sample median</v>
      </c>
      <c r="AE282" s="10" t="str">
        <f t="shared" si="99"/>
        <v>3_post sample third tertile</v>
      </c>
      <c r="AF282" t="s">
        <v>81</v>
      </c>
      <c r="AG282" t="s">
        <v>75</v>
      </c>
      <c r="AH282" t="s">
        <v>78</v>
      </c>
      <c r="AI282" t="s">
        <v>122</v>
      </c>
      <c r="AJ282" t="s">
        <v>70</v>
      </c>
      <c r="AK282" t="str">
        <f>VLOOKUP(MID($AR282,1,255),country_lookup!$B:$F,2,FALSE)</f>
        <v>2_Europe</v>
      </c>
      <c r="AL282" t="str">
        <f>VLOOKUP(MID($AR282,1,255),country_lookup!$B:$F,3,FALSE)</f>
        <v>99_NCE</v>
      </c>
      <c r="AM282" t="str">
        <f>VLOOKUP(MID($AR282,1,255),country_lookup!$B:$F,4,FALSE)</f>
        <v>1_western</v>
      </c>
      <c r="AN282" t="str">
        <f>VLOOKUP(MID($AR282,1,255),country_lookup!$B:$F,5,FALSE)</f>
        <v>2_civil law</v>
      </c>
      <c r="AO282" s="10" t="str">
        <f>VLOOKUP(MID($AS282,1,255),source_lookup!$B:$K,4,FALSE)</f>
        <v>1_not published</v>
      </c>
      <c r="AP282" s="10" t="str">
        <f>VLOOKUP(MID($AS282,1,255),source_lookup!$B:$K,6,FALSE)</f>
        <v>99_NA</v>
      </c>
      <c r="AQ282" s="10" t="str">
        <f>VLOOKUP(MID($AS282,1,255),source_lookup!$B:$K,10,FALSE)</f>
        <v>1_fin/acc/econ</v>
      </c>
      <c r="AR282" t="s">
        <v>91</v>
      </c>
      <c r="AS282" t="s">
        <v>134</v>
      </c>
    </row>
    <row r="283" spans="1:45" x14ac:dyDescent="0.3">
      <c r="A283" t="s">
        <v>10</v>
      </c>
      <c r="B283">
        <v>282</v>
      </c>
      <c r="C283" s="1">
        <v>-8.2244971357675362E-2</v>
      </c>
      <c r="D283" s="2">
        <v>96</v>
      </c>
      <c r="E283" s="4">
        <v>1057</v>
      </c>
      <c r="F283" s="4" t="s">
        <v>346</v>
      </c>
      <c r="G283" s="4" t="s">
        <v>347</v>
      </c>
      <c r="H283" t="s">
        <v>77</v>
      </c>
      <c r="I283" t="s">
        <v>350</v>
      </c>
      <c r="J283" s="3">
        <v>2009</v>
      </c>
      <c r="K283" s="3">
        <v>2019</v>
      </c>
      <c r="L283" s="6">
        <f t="shared" si="91"/>
        <v>2014</v>
      </c>
      <c r="M283" s="6">
        <f t="shared" si="92"/>
        <v>2014</v>
      </c>
      <c r="N283" s="7">
        <f t="shared" si="80"/>
        <v>0.36363636363636365</v>
      </c>
      <c r="O283" s="7">
        <f t="shared" si="81"/>
        <v>0.27272727272727271</v>
      </c>
      <c r="P283" s="7">
        <f t="shared" si="82"/>
        <v>0.18181818181818182</v>
      </c>
      <c r="Q283" s="7">
        <f t="shared" si="93"/>
        <v>9.0909090909090912E-2</v>
      </c>
      <c r="R283" s="10" t="str">
        <f t="shared" si="83"/>
        <v>0_Pre</v>
      </c>
      <c r="S283" s="10" t="str">
        <f t="shared" si="84"/>
        <v>0_Pre</v>
      </c>
      <c r="T283" s="10" t="str">
        <f t="shared" si="85"/>
        <v>0_Pre</v>
      </c>
      <c r="U283" s="10" t="str">
        <f t="shared" si="86"/>
        <v>1_Post</v>
      </c>
      <c r="V283" s="10" t="str">
        <f t="shared" si="94"/>
        <v>0_Pre</v>
      </c>
      <c r="W283" s="10" t="str">
        <f t="shared" si="87"/>
        <v>straddle</v>
      </c>
      <c r="X283" s="10" t="str">
        <f t="shared" si="88"/>
        <v>0_Pre</v>
      </c>
      <c r="Y283" s="10" t="str">
        <f t="shared" si="89"/>
        <v>0_Pre</v>
      </c>
      <c r="Z283" s="10" t="str">
        <f t="shared" si="90"/>
        <v>0_Pre</v>
      </c>
      <c r="AA283" s="10" t="str">
        <f t="shared" si="95"/>
        <v>1_Post</v>
      </c>
      <c r="AB283" s="10" t="str">
        <f t="shared" si="96"/>
        <v>1_Post</v>
      </c>
      <c r="AC283" s="10" t="str">
        <f t="shared" si="97"/>
        <v>1_Post</v>
      </c>
      <c r="AD283" s="10" t="str">
        <f t="shared" si="98"/>
        <v>2_post sample median</v>
      </c>
      <c r="AE283" s="10" t="str">
        <f t="shared" si="99"/>
        <v>3_post sample third tertile</v>
      </c>
      <c r="AF283" t="s">
        <v>81</v>
      </c>
      <c r="AG283" t="s">
        <v>75</v>
      </c>
      <c r="AH283" t="s">
        <v>78</v>
      </c>
      <c r="AI283" t="s">
        <v>122</v>
      </c>
      <c r="AJ283" t="s">
        <v>70</v>
      </c>
      <c r="AK283" t="str">
        <f>VLOOKUP(MID($AR283,1,255),country_lookup!$B:$F,2,FALSE)</f>
        <v>2_Europe</v>
      </c>
      <c r="AL283" t="str">
        <f>VLOOKUP(MID($AR283,1,255),country_lookup!$B:$F,3,FALSE)</f>
        <v>99_NCE</v>
      </c>
      <c r="AM283" t="str">
        <f>VLOOKUP(MID($AR283,1,255),country_lookup!$B:$F,4,FALSE)</f>
        <v>1_western</v>
      </c>
      <c r="AN283" t="str">
        <f>VLOOKUP(MID($AR283,1,255),country_lookup!$B:$F,5,FALSE)</f>
        <v>2_civil law</v>
      </c>
      <c r="AO283" s="10" t="str">
        <f>VLOOKUP(MID($AS283,1,255),source_lookup!$B:$K,4,FALSE)</f>
        <v>1_not published</v>
      </c>
      <c r="AP283" s="10" t="str">
        <f>VLOOKUP(MID($AS283,1,255),source_lookup!$B:$K,6,FALSE)</f>
        <v>99_NA</v>
      </c>
      <c r="AQ283" s="10" t="str">
        <f>VLOOKUP(MID($AS283,1,255),source_lookup!$B:$K,10,FALSE)</f>
        <v>1_fin/acc/econ</v>
      </c>
      <c r="AR283" t="s">
        <v>91</v>
      </c>
      <c r="AS283" t="s">
        <v>134</v>
      </c>
    </row>
    <row r="284" spans="1:45" x14ac:dyDescent="0.3">
      <c r="A284" t="s">
        <v>10</v>
      </c>
      <c r="B284">
        <v>283</v>
      </c>
      <c r="C284" s="1">
        <v>-8.0834313971499566E-2</v>
      </c>
      <c r="D284" s="2">
        <v>31</v>
      </c>
      <c r="E284" s="4">
        <v>338</v>
      </c>
      <c r="F284" s="4" t="s">
        <v>346</v>
      </c>
      <c r="G284" s="4" t="s">
        <v>347</v>
      </c>
      <c r="H284" t="s">
        <v>77</v>
      </c>
      <c r="I284" t="s">
        <v>350</v>
      </c>
      <c r="J284" s="3">
        <v>2009</v>
      </c>
      <c r="K284" s="3">
        <v>2019</v>
      </c>
      <c r="L284" s="6">
        <f t="shared" si="91"/>
        <v>2014</v>
      </c>
      <c r="M284" s="6">
        <f t="shared" si="92"/>
        <v>2014</v>
      </c>
      <c r="N284" s="7">
        <f t="shared" si="80"/>
        <v>0.36363636363636365</v>
      </c>
      <c r="O284" s="7">
        <f t="shared" si="81"/>
        <v>0.27272727272727271</v>
      </c>
      <c r="P284" s="7">
        <f t="shared" si="82"/>
        <v>0.18181818181818182</v>
      </c>
      <c r="Q284" s="7">
        <f t="shared" si="93"/>
        <v>9.0909090909090912E-2</v>
      </c>
      <c r="R284" s="10" t="str">
        <f t="shared" si="83"/>
        <v>0_Pre</v>
      </c>
      <c r="S284" s="10" t="str">
        <f t="shared" si="84"/>
        <v>0_Pre</v>
      </c>
      <c r="T284" s="10" t="str">
        <f t="shared" si="85"/>
        <v>0_Pre</v>
      </c>
      <c r="U284" s="10" t="str">
        <f t="shared" si="86"/>
        <v>1_Post</v>
      </c>
      <c r="V284" s="10" t="str">
        <f t="shared" si="94"/>
        <v>0_Pre</v>
      </c>
      <c r="W284" s="10" t="str">
        <f t="shared" si="87"/>
        <v>straddle</v>
      </c>
      <c r="X284" s="10" t="str">
        <f t="shared" si="88"/>
        <v>0_Pre</v>
      </c>
      <c r="Y284" s="10" t="str">
        <f t="shared" si="89"/>
        <v>0_Pre</v>
      </c>
      <c r="Z284" s="10" t="str">
        <f t="shared" si="90"/>
        <v>0_Pre</v>
      </c>
      <c r="AA284" s="10" t="str">
        <f t="shared" si="95"/>
        <v>1_Post</v>
      </c>
      <c r="AB284" s="10" t="str">
        <f t="shared" si="96"/>
        <v>1_Post</v>
      </c>
      <c r="AC284" s="10" t="str">
        <f t="shared" si="97"/>
        <v>1_Post</v>
      </c>
      <c r="AD284" s="10" t="str">
        <f t="shared" si="98"/>
        <v>2_post sample median</v>
      </c>
      <c r="AE284" s="10" t="str">
        <f t="shared" si="99"/>
        <v>3_post sample third tertile</v>
      </c>
      <c r="AF284" t="s">
        <v>81</v>
      </c>
      <c r="AG284" t="s">
        <v>75</v>
      </c>
      <c r="AH284" t="s">
        <v>78</v>
      </c>
      <c r="AI284" t="s">
        <v>122</v>
      </c>
      <c r="AJ284" t="s">
        <v>70</v>
      </c>
      <c r="AK284" t="str">
        <f>VLOOKUP(MID($AR284,1,255),country_lookup!$B:$F,2,FALSE)</f>
        <v>2_Europe</v>
      </c>
      <c r="AL284" t="str">
        <f>VLOOKUP(MID($AR284,1,255),country_lookup!$B:$F,3,FALSE)</f>
        <v>99_NCE</v>
      </c>
      <c r="AM284" t="str">
        <f>VLOOKUP(MID($AR284,1,255),country_lookup!$B:$F,4,FALSE)</f>
        <v>1_western</v>
      </c>
      <c r="AN284" t="str">
        <f>VLOOKUP(MID($AR284,1,255),country_lookup!$B:$F,5,FALSE)</f>
        <v>2_civil law</v>
      </c>
      <c r="AO284" s="10" t="str">
        <f>VLOOKUP(MID($AS284,1,255),source_lookup!$B:$K,4,FALSE)</f>
        <v>1_not published</v>
      </c>
      <c r="AP284" s="10" t="str">
        <f>VLOOKUP(MID($AS284,1,255),source_lookup!$B:$K,6,FALSE)</f>
        <v>99_NA</v>
      </c>
      <c r="AQ284" s="10" t="str">
        <f>VLOOKUP(MID($AS284,1,255),source_lookup!$B:$K,10,FALSE)</f>
        <v>1_fin/acc/econ</v>
      </c>
      <c r="AR284" t="s">
        <v>91</v>
      </c>
      <c r="AS284" t="s">
        <v>134</v>
      </c>
    </row>
    <row r="285" spans="1:45" x14ac:dyDescent="0.3">
      <c r="A285" t="s">
        <v>10</v>
      </c>
      <c r="B285">
        <v>284</v>
      </c>
      <c r="C285" s="1">
        <v>-8.3907374575696358E-2</v>
      </c>
      <c r="D285" s="2">
        <v>46</v>
      </c>
      <c r="E285" s="4">
        <v>507</v>
      </c>
      <c r="F285" s="4" t="s">
        <v>346</v>
      </c>
      <c r="G285" s="4" t="s">
        <v>347</v>
      </c>
      <c r="H285" t="s">
        <v>77</v>
      </c>
      <c r="I285" t="s">
        <v>350</v>
      </c>
      <c r="J285" s="3">
        <v>2009</v>
      </c>
      <c r="K285" s="3">
        <v>2019</v>
      </c>
      <c r="L285" s="6">
        <f t="shared" si="91"/>
        <v>2014</v>
      </c>
      <c r="M285" s="6">
        <f t="shared" si="92"/>
        <v>2014</v>
      </c>
      <c r="N285" s="7">
        <f t="shared" si="80"/>
        <v>0.36363636363636365</v>
      </c>
      <c r="O285" s="7">
        <f t="shared" si="81"/>
        <v>0.27272727272727271</v>
      </c>
      <c r="P285" s="7">
        <f t="shared" si="82"/>
        <v>0.18181818181818182</v>
      </c>
      <c r="Q285" s="7">
        <f t="shared" si="93"/>
        <v>9.0909090909090912E-2</v>
      </c>
      <c r="R285" s="10" t="str">
        <f t="shared" si="83"/>
        <v>0_Pre</v>
      </c>
      <c r="S285" s="10" t="str">
        <f t="shared" si="84"/>
        <v>0_Pre</v>
      </c>
      <c r="T285" s="10" t="str">
        <f t="shared" si="85"/>
        <v>0_Pre</v>
      </c>
      <c r="U285" s="10" t="str">
        <f t="shared" si="86"/>
        <v>1_Post</v>
      </c>
      <c r="V285" s="10" t="str">
        <f t="shared" si="94"/>
        <v>0_Pre</v>
      </c>
      <c r="W285" s="10" t="str">
        <f t="shared" si="87"/>
        <v>straddle</v>
      </c>
      <c r="X285" s="10" t="str">
        <f t="shared" si="88"/>
        <v>0_Pre</v>
      </c>
      <c r="Y285" s="10" t="str">
        <f t="shared" si="89"/>
        <v>0_Pre</v>
      </c>
      <c r="Z285" s="10" t="str">
        <f t="shared" si="90"/>
        <v>0_Pre</v>
      </c>
      <c r="AA285" s="10" t="str">
        <f t="shared" si="95"/>
        <v>1_Post</v>
      </c>
      <c r="AB285" s="10" t="str">
        <f t="shared" si="96"/>
        <v>1_Post</v>
      </c>
      <c r="AC285" s="10" t="str">
        <f t="shared" si="97"/>
        <v>1_Post</v>
      </c>
      <c r="AD285" s="10" t="str">
        <f t="shared" si="98"/>
        <v>2_post sample median</v>
      </c>
      <c r="AE285" s="10" t="str">
        <f t="shared" si="99"/>
        <v>3_post sample third tertile</v>
      </c>
      <c r="AF285" t="s">
        <v>81</v>
      </c>
      <c r="AG285" t="s">
        <v>75</v>
      </c>
      <c r="AH285" t="s">
        <v>78</v>
      </c>
      <c r="AI285" t="s">
        <v>122</v>
      </c>
      <c r="AJ285" t="s">
        <v>70</v>
      </c>
      <c r="AK285" t="str">
        <f>VLOOKUP(MID($AR285,1,255),country_lookup!$B:$F,2,FALSE)</f>
        <v>2_Europe</v>
      </c>
      <c r="AL285" t="str">
        <f>VLOOKUP(MID($AR285,1,255),country_lookup!$B:$F,3,FALSE)</f>
        <v>99_NCE</v>
      </c>
      <c r="AM285" t="str">
        <f>VLOOKUP(MID($AR285,1,255),country_lookup!$B:$F,4,FALSE)</f>
        <v>1_western</v>
      </c>
      <c r="AN285" t="str">
        <f>VLOOKUP(MID($AR285,1,255),country_lookup!$B:$F,5,FALSE)</f>
        <v>2_civil law</v>
      </c>
      <c r="AO285" s="10" t="str">
        <f>VLOOKUP(MID($AS285,1,255),source_lookup!$B:$K,4,FALSE)</f>
        <v>1_not published</v>
      </c>
      <c r="AP285" s="10" t="str">
        <f>VLOOKUP(MID($AS285,1,255),source_lookup!$B:$K,6,FALSE)</f>
        <v>99_NA</v>
      </c>
      <c r="AQ285" s="10" t="str">
        <f>VLOOKUP(MID($AS285,1,255),source_lookup!$B:$K,10,FALSE)</f>
        <v>1_fin/acc/econ</v>
      </c>
      <c r="AR285" t="s">
        <v>91</v>
      </c>
      <c r="AS285" t="s">
        <v>134</v>
      </c>
    </row>
    <row r="286" spans="1:45" x14ac:dyDescent="0.3">
      <c r="A286" t="s">
        <v>10</v>
      </c>
      <c r="B286">
        <v>285</v>
      </c>
      <c r="C286" s="1">
        <v>-3.6091427447789294E-2</v>
      </c>
      <c r="D286" s="2">
        <v>89</v>
      </c>
      <c r="E286" s="4">
        <v>979</v>
      </c>
      <c r="F286" s="4" t="s">
        <v>346</v>
      </c>
      <c r="G286" s="4" t="s">
        <v>347</v>
      </c>
      <c r="H286" t="s">
        <v>77</v>
      </c>
      <c r="I286" t="s">
        <v>350</v>
      </c>
      <c r="J286" s="3">
        <v>2009</v>
      </c>
      <c r="K286" s="3">
        <v>2019</v>
      </c>
      <c r="L286" s="6">
        <f t="shared" si="91"/>
        <v>2014</v>
      </c>
      <c r="M286" s="6">
        <f t="shared" si="92"/>
        <v>2014</v>
      </c>
      <c r="N286" s="7">
        <f t="shared" si="80"/>
        <v>0.36363636363636365</v>
      </c>
      <c r="O286" s="7">
        <f t="shared" si="81"/>
        <v>0.27272727272727271</v>
      </c>
      <c r="P286" s="7">
        <f t="shared" si="82"/>
        <v>0.18181818181818182</v>
      </c>
      <c r="Q286" s="7">
        <f t="shared" si="93"/>
        <v>9.0909090909090912E-2</v>
      </c>
      <c r="R286" s="10" t="str">
        <f t="shared" si="83"/>
        <v>0_Pre</v>
      </c>
      <c r="S286" s="10" t="str">
        <f t="shared" si="84"/>
        <v>0_Pre</v>
      </c>
      <c r="T286" s="10" t="str">
        <f t="shared" si="85"/>
        <v>0_Pre</v>
      </c>
      <c r="U286" s="10" t="str">
        <f t="shared" si="86"/>
        <v>1_Post</v>
      </c>
      <c r="V286" s="10" t="str">
        <f t="shared" si="94"/>
        <v>0_Pre</v>
      </c>
      <c r="W286" s="10" t="str">
        <f t="shared" si="87"/>
        <v>straddle</v>
      </c>
      <c r="X286" s="10" t="str">
        <f t="shared" si="88"/>
        <v>0_Pre</v>
      </c>
      <c r="Y286" s="10" t="str">
        <f t="shared" si="89"/>
        <v>0_Pre</v>
      </c>
      <c r="Z286" s="10" t="str">
        <f t="shared" si="90"/>
        <v>0_Pre</v>
      </c>
      <c r="AA286" s="10" t="str">
        <f t="shared" si="95"/>
        <v>1_Post</v>
      </c>
      <c r="AB286" s="10" t="str">
        <f t="shared" si="96"/>
        <v>1_Post</v>
      </c>
      <c r="AC286" s="10" t="str">
        <f t="shared" si="97"/>
        <v>1_Post</v>
      </c>
      <c r="AD286" s="10" t="str">
        <f t="shared" si="98"/>
        <v>2_post sample median</v>
      </c>
      <c r="AE286" s="10" t="str">
        <f t="shared" si="99"/>
        <v>3_post sample third tertile</v>
      </c>
      <c r="AF286" t="s">
        <v>81</v>
      </c>
      <c r="AG286" t="s">
        <v>75</v>
      </c>
      <c r="AH286" t="s">
        <v>78</v>
      </c>
      <c r="AI286" t="s">
        <v>122</v>
      </c>
      <c r="AJ286" t="s">
        <v>70</v>
      </c>
      <c r="AK286" t="str">
        <f>VLOOKUP(MID($AR286,1,255),country_lookup!$B:$F,2,FALSE)</f>
        <v>2_Europe</v>
      </c>
      <c r="AL286" t="str">
        <f>VLOOKUP(MID($AR286,1,255),country_lookup!$B:$F,3,FALSE)</f>
        <v>99_NCE</v>
      </c>
      <c r="AM286" t="str">
        <f>VLOOKUP(MID($AR286,1,255),country_lookup!$B:$F,4,FALSE)</f>
        <v>1_western</v>
      </c>
      <c r="AN286" t="str">
        <f>VLOOKUP(MID($AR286,1,255),country_lookup!$B:$F,5,FALSE)</f>
        <v>2_civil law</v>
      </c>
      <c r="AO286" s="10" t="str">
        <f>VLOOKUP(MID($AS286,1,255),source_lookup!$B:$K,4,FALSE)</f>
        <v>1_not published</v>
      </c>
      <c r="AP286" s="10" t="str">
        <f>VLOOKUP(MID($AS286,1,255),source_lookup!$B:$K,6,FALSE)</f>
        <v>99_NA</v>
      </c>
      <c r="AQ286" s="10" t="str">
        <f>VLOOKUP(MID($AS286,1,255),source_lookup!$B:$K,10,FALSE)</f>
        <v>1_fin/acc/econ</v>
      </c>
      <c r="AR286" t="s">
        <v>91</v>
      </c>
      <c r="AS286" t="s">
        <v>134</v>
      </c>
    </row>
    <row r="287" spans="1:45" x14ac:dyDescent="0.3">
      <c r="A287" t="s">
        <v>10</v>
      </c>
      <c r="B287">
        <v>286</v>
      </c>
      <c r="C287" s="1">
        <v>-4.4112776810959056E-2</v>
      </c>
      <c r="D287" s="2">
        <v>135</v>
      </c>
      <c r="E287" s="4">
        <v>1484</v>
      </c>
      <c r="F287" s="4" t="s">
        <v>346</v>
      </c>
      <c r="G287" s="4" t="s">
        <v>347</v>
      </c>
      <c r="H287" t="s">
        <v>77</v>
      </c>
      <c r="I287" t="s">
        <v>350</v>
      </c>
      <c r="J287" s="3">
        <v>2009</v>
      </c>
      <c r="K287" s="3">
        <v>2019</v>
      </c>
      <c r="L287" s="6">
        <f t="shared" si="91"/>
        <v>2014</v>
      </c>
      <c r="M287" s="6">
        <f t="shared" si="92"/>
        <v>2014</v>
      </c>
      <c r="N287" s="7">
        <f t="shared" si="80"/>
        <v>0.36363636363636365</v>
      </c>
      <c r="O287" s="7">
        <f t="shared" si="81"/>
        <v>0.27272727272727271</v>
      </c>
      <c r="P287" s="7">
        <f t="shared" si="82"/>
        <v>0.18181818181818182</v>
      </c>
      <c r="Q287" s="7">
        <f t="shared" si="93"/>
        <v>9.0909090909090912E-2</v>
      </c>
      <c r="R287" s="10" t="str">
        <f t="shared" si="83"/>
        <v>0_Pre</v>
      </c>
      <c r="S287" s="10" t="str">
        <f t="shared" si="84"/>
        <v>0_Pre</v>
      </c>
      <c r="T287" s="10" t="str">
        <f t="shared" si="85"/>
        <v>0_Pre</v>
      </c>
      <c r="U287" s="10" t="str">
        <f t="shared" si="86"/>
        <v>1_Post</v>
      </c>
      <c r="V287" s="10" t="str">
        <f t="shared" si="94"/>
        <v>0_Pre</v>
      </c>
      <c r="W287" s="10" t="str">
        <f t="shared" si="87"/>
        <v>straddle</v>
      </c>
      <c r="X287" s="10" t="str">
        <f t="shared" si="88"/>
        <v>0_Pre</v>
      </c>
      <c r="Y287" s="10" t="str">
        <f t="shared" si="89"/>
        <v>0_Pre</v>
      </c>
      <c r="Z287" s="10" t="str">
        <f t="shared" si="90"/>
        <v>0_Pre</v>
      </c>
      <c r="AA287" s="10" t="str">
        <f t="shared" si="95"/>
        <v>1_Post</v>
      </c>
      <c r="AB287" s="10" t="str">
        <f t="shared" si="96"/>
        <v>1_Post</v>
      </c>
      <c r="AC287" s="10" t="str">
        <f t="shared" si="97"/>
        <v>1_Post</v>
      </c>
      <c r="AD287" s="10" t="str">
        <f t="shared" si="98"/>
        <v>2_post sample median</v>
      </c>
      <c r="AE287" s="10" t="str">
        <f t="shared" si="99"/>
        <v>3_post sample third tertile</v>
      </c>
      <c r="AF287" t="s">
        <v>81</v>
      </c>
      <c r="AG287" t="s">
        <v>75</v>
      </c>
      <c r="AH287" t="s">
        <v>78</v>
      </c>
      <c r="AI287" t="s">
        <v>122</v>
      </c>
      <c r="AJ287" t="s">
        <v>70</v>
      </c>
      <c r="AK287" t="str">
        <f>VLOOKUP(MID($AR287,1,255),country_lookup!$B:$F,2,FALSE)</f>
        <v>2_Europe</v>
      </c>
      <c r="AL287" t="str">
        <f>VLOOKUP(MID($AR287,1,255),country_lookup!$B:$F,3,FALSE)</f>
        <v>99_NCE</v>
      </c>
      <c r="AM287" t="str">
        <f>VLOOKUP(MID($AR287,1,255),country_lookup!$B:$F,4,FALSE)</f>
        <v>1_western</v>
      </c>
      <c r="AN287" t="str">
        <f>VLOOKUP(MID($AR287,1,255),country_lookup!$B:$F,5,FALSE)</f>
        <v>2_civil law</v>
      </c>
      <c r="AO287" s="10" t="str">
        <f>VLOOKUP(MID($AS287,1,255),source_lookup!$B:$K,4,FALSE)</f>
        <v>1_not published</v>
      </c>
      <c r="AP287" s="10" t="str">
        <f>VLOOKUP(MID($AS287,1,255),source_lookup!$B:$K,6,FALSE)</f>
        <v>99_NA</v>
      </c>
      <c r="AQ287" s="10" t="str">
        <f>VLOOKUP(MID($AS287,1,255),source_lookup!$B:$K,10,FALSE)</f>
        <v>1_fin/acc/econ</v>
      </c>
      <c r="AR287" t="s">
        <v>91</v>
      </c>
      <c r="AS287" t="s">
        <v>134</v>
      </c>
    </row>
    <row r="288" spans="1:45" x14ac:dyDescent="0.3">
      <c r="A288" t="s">
        <v>10</v>
      </c>
      <c r="B288">
        <v>287</v>
      </c>
      <c r="C288" s="1">
        <v>-4.8652033323314886E-2</v>
      </c>
      <c r="D288" s="2">
        <v>134</v>
      </c>
      <c r="E288" s="4">
        <v>1477</v>
      </c>
      <c r="F288" s="4" t="s">
        <v>346</v>
      </c>
      <c r="G288" s="4" t="s">
        <v>347</v>
      </c>
      <c r="H288" t="s">
        <v>77</v>
      </c>
      <c r="I288" t="s">
        <v>350</v>
      </c>
      <c r="J288" s="3">
        <v>2009</v>
      </c>
      <c r="K288" s="3">
        <v>2019</v>
      </c>
      <c r="L288" s="6">
        <f t="shared" si="91"/>
        <v>2014</v>
      </c>
      <c r="M288" s="6">
        <f t="shared" si="92"/>
        <v>2014</v>
      </c>
      <c r="N288" s="7">
        <f t="shared" si="80"/>
        <v>0.36363636363636365</v>
      </c>
      <c r="O288" s="7">
        <f t="shared" si="81"/>
        <v>0.27272727272727271</v>
      </c>
      <c r="P288" s="7">
        <f t="shared" si="82"/>
        <v>0.18181818181818182</v>
      </c>
      <c r="Q288" s="7">
        <f t="shared" si="93"/>
        <v>9.0909090909090912E-2</v>
      </c>
      <c r="R288" s="10" t="str">
        <f t="shared" si="83"/>
        <v>0_Pre</v>
      </c>
      <c r="S288" s="10" t="str">
        <f t="shared" si="84"/>
        <v>0_Pre</v>
      </c>
      <c r="T288" s="10" t="str">
        <f t="shared" si="85"/>
        <v>0_Pre</v>
      </c>
      <c r="U288" s="10" t="str">
        <f t="shared" si="86"/>
        <v>1_Post</v>
      </c>
      <c r="V288" s="10" t="str">
        <f t="shared" si="94"/>
        <v>0_Pre</v>
      </c>
      <c r="W288" s="10" t="str">
        <f t="shared" si="87"/>
        <v>straddle</v>
      </c>
      <c r="X288" s="10" t="str">
        <f t="shared" si="88"/>
        <v>0_Pre</v>
      </c>
      <c r="Y288" s="10" t="str">
        <f t="shared" si="89"/>
        <v>0_Pre</v>
      </c>
      <c r="Z288" s="10" t="str">
        <f t="shared" si="90"/>
        <v>0_Pre</v>
      </c>
      <c r="AA288" s="10" t="str">
        <f t="shared" si="95"/>
        <v>1_Post</v>
      </c>
      <c r="AB288" s="10" t="str">
        <f t="shared" si="96"/>
        <v>1_Post</v>
      </c>
      <c r="AC288" s="10" t="str">
        <f t="shared" si="97"/>
        <v>1_Post</v>
      </c>
      <c r="AD288" s="10" t="str">
        <f t="shared" si="98"/>
        <v>2_post sample median</v>
      </c>
      <c r="AE288" s="10" t="str">
        <f t="shared" si="99"/>
        <v>3_post sample third tertile</v>
      </c>
      <c r="AF288" t="s">
        <v>81</v>
      </c>
      <c r="AG288" t="s">
        <v>75</v>
      </c>
      <c r="AH288" t="s">
        <v>78</v>
      </c>
      <c r="AI288" t="s">
        <v>122</v>
      </c>
      <c r="AJ288" t="s">
        <v>70</v>
      </c>
      <c r="AK288" t="str">
        <f>VLOOKUP(MID($AR288,1,255),country_lookup!$B:$F,2,FALSE)</f>
        <v>2_Europe</v>
      </c>
      <c r="AL288" t="str">
        <f>VLOOKUP(MID($AR288,1,255),country_lookup!$B:$F,3,FALSE)</f>
        <v>99_NCE</v>
      </c>
      <c r="AM288" t="str">
        <f>VLOOKUP(MID($AR288,1,255),country_lookup!$B:$F,4,FALSE)</f>
        <v>1_western</v>
      </c>
      <c r="AN288" t="str">
        <f>VLOOKUP(MID($AR288,1,255),country_lookup!$B:$F,5,FALSE)</f>
        <v>2_civil law</v>
      </c>
      <c r="AO288" s="10" t="str">
        <f>VLOOKUP(MID($AS288,1,255),source_lookup!$B:$K,4,FALSE)</f>
        <v>1_not published</v>
      </c>
      <c r="AP288" s="10" t="str">
        <f>VLOOKUP(MID($AS288,1,255),source_lookup!$B:$K,6,FALSE)</f>
        <v>99_NA</v>
      </c>
      <c r="AQ288" s="10" t="str">
        <f>VLOOKUP(MID($AS288,1,255),source_lookup!$B:$K,10,FALSE)</f>
        <v>1_fin/acc/econ</v>
      </c>
      <c r="AR288" t="s">
        <v>91</v>
      </c>
      <c r="AS288" t="s">
        <v>134</v>
      </c>
    </row>
    <row r="289" spans="1:45" x14ac:dyDescent="0.3">
      <c r="A289" t="s">
        <v>10</v>
      </c>
      <c r="B289">
        <v>288</v>
      </c>
      <c r="C289" s="1">
        <v>-7.9437696619134163E-2</v>
      </c>
      <c r="D289" s="2">
        <v>108</v>
      </c>
      <c r="E289" s="4">
        <v>1190</v>
      </c>
      <c r="F289" s="4" t="s">
        <v>346</v>
      </c>
      <c r="G289" s="4" t="s">
        <v>347</v>
      </c>
      <c r="H289" t="s">
        <v>77</v>
      </c>
      <c r="I289" t="s">
        <v>350</v>
      </c>
      <c r="J289" s="3">
        <v>2009</v>
      </c>
      <c r="K289" s="3">
        <v>2019</v>
      </c>
      <c r="L289" s="6">
        <f t="shared" si="91"/>
        <v>2014</v>
      </c>
      <c r="M289" s="6">
        <f t="shared" si="92"/>
        <v>2014</v>
      </c>
      <c r="N289" s="7">
        <f t="shared" si="80"/>
        <v>0.36363636363636365</v>
      </c>
      <c r="O289" s="7">
        <f t="shared" si="81"/>
        <v>0.27272727272727271</v>
      </c>
      <c r="P289" s="7">
        <f t="shared" si="82"/>
        <v>0.18181818181818182</v>
      </c>
      <c r="Q289" s="7">
        <f t="shared" si="93"/>
        <v>9.0909090909090912E-2</v>
      </c>
      <c r="R289" s="10" t="str">
        <f t="shared" si="83"/>
        <v>0_Pre</v>
      </c>
      <c r="S289" s="10" t="str">
        <f t="shared" si="84"/>
        <v>0_Pre</v>
      </c>
      <c r="T289" s="10" t="str">
        <f t="shared" si="85"/>
        <v>0_Pre</v>
      </c>
      <c r="U289" s="10" t="str">
        <f t="shared" si="86"/>
        <v>1_Post</v>
      </c>
      <c r="V289" s="10" t="str">
        <f t="shared" si="94"/>
        <v>0_Pre</v>
      </c>
      <c r="W289" s="10" t="str">
        <f t="shared" si="87"/>
        <v>straddle</v>
      </c>
      <c r="X289" s="10" t="str">
        <f t="shared" si="88"/>
        <v>0_Pre</v>
      </c>
      <c r="Y289" s="10" t="str">
        <f t="shared" si="89"/>
        <v>0_Pre</v>
      </c>
      <c r="Z289" s="10" t="str">
        <f t="shared" si="90"/>
        <v>0_Pre</v>
      </c>
      <c r="AA289" s="10" t="str">
        <f t="shared" si="95"/>
        <v>1_Post</v>
      </c>
      <c r="AB289" s="10" t="str">
        <f t="shared" si="96"/>
        <v>1_Post</v>
      </c>
      <c r="AC289" s="10" t="str">
        <f t="shared" si="97"/>
        <v>1_Post</v>
      </c>
      <c r="AD289" s="10" t="str">
        <f t="shared" si="98"/>
        <v>2_post sample median</v>
      </c>
      <c r="AE289" s="10" t="str">
        <f t="shared" si="99"/>
        <v>3_post sample third tertile</v>
      </c>
      <c r="AF289" t="s">
        <v>81</v>
      </c>
      <c r="AG289" t="s">
        <v>75</v>
      </c>
      <c r="AH289" t="s">
        <v>78</v>
      </c>
      <c r="AI289" t="s">
        <v>122</v>
      </c>
      <c r="AJ289" t="s">
        <v>70</v>
      </c>
      <c r="AK289" t="str">
        <f>VLOOKUP(MID($AR289,1,255),country_lookup!$B:$F,2,FALSE)</f>
        <v>2_Europe</v>
      </c>
      <c r="AL289" t="str">
        <f>VLOOKUP(MID($AR289,1,255),country_lookup!$B:$F,3,FALSE)</f>
        <v>99_NCE</v>
      </c>
      <c r="AM289" t="str">
        <f>VLOOKUP(MID($AR289,1,255),country_lookup!$B:$F,4,FALSE)</f>
        <v>1_western</v>
      </c>
      <c r="AN289" t="str">
        <f>VLOOKUP(MID($AR289,1,255),country_lookup!$B:$F,5,FALSE)</f>
        <v>2_civil law</v>
      </c>
      <c r="AO289" s="10" t="str">
        <f>VLOOKUP(MID($AS289,1,255),source_lookup!$B:$K,4,FALSE)</f>
        <v>1_not published</v>
      </c>
      <c r="AP289" s="10" t="str">
        <f>VLOOKUP(MID($AS289,1,255),source_lookup!$B:$K,6,FALSE)</f>
        <v>99_NA</v>
      </c>
      <c r="AQ289" s="10" t="str">
        <f>VLOOKUP(MID($AS289,1,255),source_lookup!$B:$K,10,FALSE)</f>
        <v>1_fin/acc/econ</v>
      </c>
      <c r="AR289" t="s">
        <v>91</v>
      </c>
      <c r="AS289" t="s">
        <v>134</v>
      </c>
    </row>
    <row r="290" spans="1:45" x14ac:dyDescent="0.3">
      <c r="A290" t="s">
        <v>10</v>
      </c>
      <c r="B290">
        <v>289</v>
      </c>
      <c r="C290" s="1">
        <v>-6.7217030235479647E-2</v>
      </c>
      <c r="D290" s="2">
        <v>108</v>
      </c>
      <c r="E290" s="4">
        <v>1190</v>
      </c>
      <c r="F290" s="4" t="s">
        <v>346</v>
      </c>
      <c r="G290" s="4" t="s">
        <v>347</v>
      </c>
      <c r="H290" t="s">
        <v>77</v>
      </c>
      <c r="I290" t="s">
        <v>350</v>
      </c>
      <c r="J290" s="3">
        <v>2009</v>
      </c>
      <c r="K290" s="3">
        <v>2019</v>
      </c>
      <c r="L290" s="6">
        <f t="shared" si="91"/>
        <v>2014</v>
      </c>
      <c r="M290" s="6">
        <f t="shared" si="92"/>
        <v>2014</v>
      </c>
      <c r="N290" s="7">
        <f t="shared" si="80"/>
        <v>0.36363636363636365</v>
      </c>
      <c r="O290" s="7">
        <f t="shared" si="81"/>
        <v>0.27272727272727271</v>
      </c>
      <c r="P290" s="7">
        <f t="shared" si="82"/>
        <v>0.18181818181818182</v>
      </c>
      <c r="Q290" s="7">
        <f t="shared" si="93"/>
        <v>9.0909090909090912E-2</v>
      </c>
      <c r="R290" s="10" t="str">
        <f t="shared" si="83"/>
        <v>0_Pre</v>
      </c>
      <c r="S290" s="10" t="str">
        <f t="shared" si="84"/>
        <v>0_Pre</v>
      </c>
      <c r="T290" s="10" t="str">
        <f t="shared" si="85"/>
        <v>0_Pre</v>
      </c>
      <c r="U290" s="10" t="str">
        <f t="shared" si="86"/>
        <v>1_Post</v>
      </c>
      <c r="V290" s="10" t="str">
        <f t="shared" si="94"/>
        <v>0_Pre</v>
      </c>
      <c r="W290" s="10" t="str">
        <f t="shared" si="87"/>
        <v>straddle</v>
      </c>
      <c r="X290" s="10" t="str">
        <f t="shared" si="88"/>
        <v>0_Pre</v>
      </c>
      <c r="Y290" s="10" t="str">
        <f t="shared" si="89"/>
        <v>0_Pre</v>
      </c>
      <c r="Z290" s="10" t="str">
        <f t="shared" si="90"/>
        <v>0_Pre</v>
      </c>
      <c r="AA290" s="10" t="str">
        <f t="shared" si="95"/>
        <v>1_Post</v>
      </c>
      <c r="AB290" s="10" t="str">
        <f t="shared" si="96"/>
        <v>1_Post</v>
      </c>
      <c r="AC290" s="10" t="str">
        <f t="shared" si="97"/>
        <v>1_Post</v>
      </c>
      <c r="AD290" s="10" t="str">
        <f t="shared" si="98"/>
        <v>2_post sample median</v>
      </c>
      <c r="AE290" s="10" t="str">
        <f t="shared" si="99"/>
        <v>3_post sample third tertile</v>
      </c>
      <c r="AF290" t="s">
        <v>81</v>
      </c>
      <c r="AG290" t="s">
        <v>75</v>
      </c>
      <c r="AH290" t="s">
        <v>78</v>
      </c>
      <c r="AI290" t="s">
        <v>122</v>
      </c>
      <c r="AJ290" t="s">
        <v>70</v>
      </c>
      <c r="AK290" t="str">
        <f>VLOOKUP(MID($AR290,1,255),country_lookup!$B:$F,2,FALSE)</f>
        <v>2_Europe</v>
      </c>
      <c r="AL290" t="str">
        <f>VLOOKUP(MID($AR290,1,255),country_lookup!$B:$F,3,FALSE)</f>
        <v>99_NCE</v>
      </c>
      <c r="AM290" t="str">
        <f>VLOOKUP(MID($AR290,1,255),country_lookup!$B:$F,4,FALSE)</f>
        <v>1_western</v>
      </c>
      <c r="AN290" t="str">
        <f>VLOOKUP(MID($AR290,1,255),country_lookup!$B:$F,5,FALSE)</f>
        <v>2_civil law</v>
      </c>
      <c r="AO290" s="10" t="str">
        <f>VLOOKUP(MID($AS290,1,255),source_lookup!$B:$K,4,FALSE)</f>
        <v>1_not published</v>
      </c>
      <c r="AP290" s="10" t="str">
        <f>VLOOKUP(MID($AS290,1,255),source_lookup!$B:$K,6,FALSE)</f>
        <v>99_NA</v>
      </c>
      <c r="AQ290" s="10" t="str">
        <f>VLOOKUP(MID($AS290,1,255),source_lookup!$B:$K,10,FALSE)</f>
        <v>1_fin/acc/econ</v>
      </c>
      <c r="AR290" t="s">
        <v>91</v>
      </c>
      <c r="AS290" t="s">
        <v>134</v>
      </c>
    </row>
    <row r="291" spans="1:45" x14ac:dyDescent="0.3">
      <c r="A291" t="s">
        <v>10</v>
      </c>
      <c r="B291">
        <v>290</v>
      </c>
      <c r="C291" s="1">
        <v>-8.7127055627401542E-2</v>
      </c>
      <c r="D291" s="2">
        <v>55</v>
      </c>
      <c r="E291" s="4">
        <v>606</v>
      </c>
      <c r="F291" s="4" t="s">
        <v>346</v>
      </c>
      <c r="G291" s="4" t="s">
        <v>347</v>
      </c>
      <c r="H291" t="s">
        <v>77</v>
      </c>
      <c r="I291" t="s">
        <v>350</v>
      </c>
      <c r="J291" s="3">
        <v>2009</v>
      </c>
      <c r="K291" s="3">
        <v>2019</v>
      </c>
      <c r="L291" s="6">
        <f t="shared" si="91"/>
        <v>2014</v>
      </c>
      <c r="M291" s="6">
        <f t="shared" si="92"/>
        <v>2014</v>
      </c>
      <c r="N291" s="7">
        <f t="shared" si="80"/>
        <v>0.36363636363636365</v>
      </c>
      <c r="O291" s="7">
        <f t="shared" si="81"/>
        <v>0.27272727272727271</v>
      </c>
      <c r="P291" s="7">
        <f t="shared" si="82"/>
        <v>0.18181818181818182</v>
      </c>
      <c r="Q291" s="7">
        <f t="shared" si="93"/>
        <v>9.0909090909090912E-2</v>
      </c>
      <c r="R291" s="10" t="str">
        <f t="shared" si="83"/>
        <v>0_Pre</v>
      </c>
      <c r="S291" s="10" t="str">
        <f t="shared" si="84"/>
        <v>0_Pre</v>
      </c>
      <c r="T291" s="10" t="str">
        <f t="shared" si="85"/>
        <v>0_Pre</v>
      </c>
      <c r="U291" s="10" t="str">
        <f t="shared" si="86"/>
        <v>1_Post</v>
      </c>
      <c r="V291" s="10" t="str">
        <f t="shared" si="94"/>
        <v>0_Pre</v>
      </c>
      <c r="W291" s="10" t="str">
        <f t="shared" si="87"/>
        <v>straddle</v>
      </c>
      <c r="X291" s="10" t="str">
        <f t="shared" si="88"/>
        <v>0_Pre</v>
      </c>
      <c r="Y291" s="10" t="str">
        <f t="shared" si="89"/>
        <v>0_Pre</v>
      </c>
      <c r="Z291" s="10" t="str">
        <f t="shared" si="90"/>
        <v>0_Pre</v>
      </c>
      <c r="AA291" s="10" t="str">
        <f t="shared" si="95"/>
        <v>1_Post</v>
      </c>
      <c r="AB291" s="10" t="str">
        <f t="shared" si="96"/>
        <v>1_Post</v>
      </c>
      <c r="AC291" s="10" t="str">
        <f t="shared" si="97"/>
        <v>1_Post</v>
      </c>
      <c r="AD291" s="10" t="str">
        <f t="shared" si="98"/>
        <v>2_post sample median</v>
      </c>
      <c r="AE291" s="10" t="str">
        <f t="shared" si="99"/>
        <v>3_post sample third tertile</v>
      </c>
      <c r="AF291" t="s">
        <v>81</v>
      </c>
      <c r="AG291" t="s">
        <v>75</v>
      </c>
      <c r="AH291" t="s">
        <v>78</v>
      </c>
      <c r="AI291" t="s">
        <v>122</v>
      </c>
      <c r="AJ291" t="s">
        <v>70</v>
      </c>
      <c r="AK291" t="str">
        <f>VLOOKUP(MID($AR291,1,255),country_lookup!$B:$F,2,FALSE)</f>
        <v>2_Europe</v>
      </c>
      <c r="AL291" t="str">
        <f>VLOOKUP(MID($AR291,1,255),country_lookup!$B:$F,3,FALSE)</f>
        <v>99_NCE</v>
      </c>
      <c r="AM291" t="str">
        <f>VLOOKUP(MID($AR291,1,255),country_lookup!$B:$F,4,FALSE)</f>
        <v>1_western</v>
      </c>
      <c r="AN291" t="str">
        <f>VLOOKUP(MID($AR291,1,255),country_lookup!$B:$F,5,FALSE)</f>
        <v>2_civil law</v>
      </c>
      <c r="AO291" s="10" t="str">
        <f>VLOOKUP(MID($AS291,1,255),source_lookup!$B:$K,4,FALSE)</f>
        <v>1_not published</v>
      </c>
      <c r="AP291" s="10" t="str">
        <f>VLOOKUP(MID($AS291,1,255),source_lookup!$B:$K,6,FALSE)</f>
        <v>99_NA</v>
      </c>
      <c r="AQ291" s="10" t="str">
        <f>VLOOKUP(MID($AS291,1,255),source_lookup!$B:$K,10,FALSE)</f>
        <v>1_fin/acc/econ</v>
      </c>
      <c r="AR291" t="s">
        <v>91</v>
      </c>
      <c r="AS291" t="s">
        <v>134</v>
      </c>
    </row>
    <row r="292" spans="1:45" x14ac:dyDescent="0.3">
      <c r="A292" t="s">
        <v>10</v>
      </c>
      <c r="B292">
        <v>291</v>
      </c>
      <c r="C292" s="1">
        <v>-4.0114569055127057E-3</v>
      </c>
      <c r="D292" s="2">
        <v>80</v>
      </c>
      <c r="E292" s="4">
        <v>880</v>
      </c>
      <c r="F292" s="4" t="s">
        <v>346</v>
      </c>
      <c r="G292" s="4" t="s">
        <v>347</v>
      </c>
      <c r="H292" t="s">
        <v>77</v>
      </c>
      <c r="I292" t="s">
        <v>350</v>
      </c>
      <c r="J292" s="3">
        <v>2009</v>
      </c>
      <c r="K292" s="3">
        <v>2019</v>
      </c>
      <c r="L292" s="6">
        <f t="shared" si="91"/>
        <v>2014</v>
      </c>
      <c r="M292" s="6">
        <f t="shared" si="92"/>
        <v>2014</v>
      </c>
      <c r="N292" s="7">
        <f t="shared" si="80"/>
        <v>0.36363636363636365</v>
      </c>
      <c r="O292" s="7">
        <f t="shared" si="81"/>
        <v>0.27272727272727271</v>
      </c>
      <c r="P292" s="7">
        <f t="shared" si="82"/>
        <v>0.18181818181818182</v>
      </c>
      <c r="Q292" s="7">
        <f t="shared" si="93"/>
        <v>9.0909090909090912E-2</v>
      </c>
      <c r="R292" s="10" t="str">
        <f t="shared" si="83"/>
        <v>0_Pre</v>
      </c>
      <c r="S292" s="10" t="str">
        <f t="shared" si="84"/>
        <v>0_Pre</v>
      </c>
      <c r="T292" s="10" t="str">
        <f t="shared" si="85"/>
        <v>0_Pre</v>
      </c>
      <c r="U292" s="10" t="str">
        <f t="shared" si="86"/>
        <v>1_Post</v>
      </c>
      <c r="V292" s="10" t="str">
        <f t="shared" si="94"/>
        <v>0_Pre</v>
      </c>
      <c r="W292" s="10" t="str">
        <f t="shared" si="87"/>
        <v>straddle</v>
      </c>
      <c r="X292" s="10" t="str">
        <f t="shared" si="88"/>
        <v>0_Pre</v>
      </c>
      <c r="Y292" s="10" t="str">
        <f t="shared" si="89"/>
        <v>0_Pre</v>
      </c>
      <c r="Z292" s="10" t="str">
        <f t="shared" si="90"/>
        <v>0_Pre</v>
      </c>
      <c r="AA292" s="10" t="str">
        <f t="shared" si="95"/>
        <v>1_Post</v>
      </c>
      <c r="AB292" s="10" t="str">
        <f t="shared" si="96"/>
        <v>1_Post</v>
      </c>
      <c r="AC292" s="10" t="str">
        <f t="shared" si="97"/>
        <v>1_Post</v>
      </c>
      <c r="AD292" s="10" t="str">
        <f t="shared" si="98"/>
        <v>2_post sample median</v>
      </c>
      <c r="AE292" s="10" t="str">
        <f t="shared" si="99"/>
        <v>3_post sample third tertile</v>
      </c>
      <c r="AF292" t="s">
        <v>81</v>
      </c>
      <c r="AG292" t="s">
        <v>75</v>
      </c>
      <c r="AH292" t="s">
        <v>78</v>
      </c>
      <c r="AI292" t="s">
        <v>122</v>
      </c>
      <c r="AJ292" t="s">
        <v>70</v>
      </c>
      <c r="AK292" t="str">
        <f>VLOOKUP(MID($AR292,1,255),country_lookup!$B:$F,2,FALSE)</f>
        <v>2_Europe</v>
      </c>
      <c r="AL292" t="str">
        <f>VLOOKUP(MID($AR292,1,255),country_lookup!$B:$F,3,FALSE)</f>
        <v>99_NCE</v>
      </c>
      <c r="AM292" t="str">
        <f>VLOOKUP(MID($AR292,1,255),country_lookup!$B:$F,4,FALSE)</f>
        <v>1_western</v>
      </c>
      <c r="AN292" t="str">
        <f>VLOOKUP(MID($AR292,1,255),country_lookup!$B:$F,5,FALSE)</f>
        <v>2_civil law</v>
      </c>
      <c r="AO292" s="10" t="str">
        <f>VLOOKUP(MID($AS292,1,255),source_lookup!$B:$K,4,FALSE)</f>
        <v>1_not published</v>
      </c>
      <c r="AP292" s="10" t="str">
        <f>VLOOKUP(MID($AS292,1,255),source_lookup!$B:$K,6,FALSE)</f>
        <v>99_NA</v>
      </c>
      <c r="AQ292" s="10" t="str">
        <f>VLOOKUP(MID($AS292,1,255),source_lookup!$B:$K,10,FALSE)</f>
        <v>1_fin/acc/econ</v>
      </c>
      <c r="AR292" t="s">
        <v>91</v>
      </c>
      <c r="AS292" t="s">
        <v>134</v>
      </c>
    </row>
    <row r="293" spans="1:45" x14ac:dyDescent="0.3">
      <c r="A293" t="s">
        <v>10</v>
      </c>
      <c r="B293">
        <v>292</v>
      </c>
      <c r="C293" s="1">
        <v>-0.11185133552534782</v>
      </c>
      <c r="D293" s="2">
        <v>69</v>
      </c>
      <c r="E293" s="4">
        <v>760</v>
      </c>
      <c r="F293" s="4" t="s">
        <v>346</v>
      </c>
      <c r="G293" s="4" t="s">
        <v>347</v>
      </c>
      <c r="H293" t="s">
        <v>77</v>
      </c>
      <c r="I293" t="s">
        <v>350</v>
      </c>
      <c r="J293" s="3">
        <v>2009</v>
      </c>
      <c r="K293" s="3">
        <v>2019</v>
      </c>
      <c r="L293" s="6">
        <f t="shared" si="91"/>
        <v>2014</v>
      </c>
      <c r="M293" s="6">
        <f t="shared" si="92"/>
        <v>2014</v>
      </c>
      <c r="N293" s="7">
        <f t="shared" si="80"/>
        <v>0.36363636363636365</v>
      </c>
      <c r="O293" s="7">
        <f t="shared" si="81"/>
        <v>0.27272727272727271</v>
      </c>
      <c r="P293" s="7">
        <f t="shared" si="82"/>
        <v>0.18181818181818182</v>
      </c>
      <c r="Q293" s="7">
        <f t="shared" si="93"/>
        <v>9.0909090909090912E-2</v>
      </c>
      <c r="R293" s="10" t="str">
        <f t="shared" si="83"/>
        <v>0_Pre</v>
      </c>
      <c r="S293" s="10" t="str">
        <f t="shared" si="84"/>
        <v>0_Pre</v>
      </c>
      <c r="T293" s="10" t="str">
        <f t="shared" si="85"/>
        <v>0_Pre</v>
      </c>
      <c r="U293" s="10" t="str">
        <f t="shared" si="86"/>
        <v>1_Post</v>
      </c>
      <c r="V293" s="10" t="str">
        <f t="shared" si="94"/>
        <v>0_Pre</v>
      </c>
      <c r="W293" s="10" t="str">
        <f t="shared" si="87"/>
        <v>straddle</v>
      </c>
      <c r="X293" s="10" t="str">
        <f t="shared" si="88"/>
        <v>0_Pre</v>
      </c>
      <c r="Y293" s="10" t="str">
        <f t="shared" si="89"/>
        <v>0_Pre</v>
      </c>
      <c r="Z293" s="10" t="str">
        <f t="shared" si="90"/>
        <v>0_Pre</v>
      </c>
      <c r="AA293" s="10" t="str">
        <f t="shared" si="95"/>
        <v>1_Post</v>
      </c>
      <c r="AB293" s="10" t="str">
        <f t="shared" si="96"/>
        <v>1_Post</v>
      </c>
      <c r="AC293" s="10" t="str">
        <f t="shared" si="97"/>
        <v>1_Post</v>
      </c>
      <c r="AD293" s="10" t="str">
        <f t="shared" si="98"/>
        <v>2_post sample median</v>
      </c>
      <c r="AE293" s="10" t="str">
        <f t="shared" si="99"/>
        <v>3_post sample third tertile</v>
      </c>
      <c r="AF293" t="s">
        <v>81</v>
      </c>
      <c r="AG293" t="s">
        <v>75</v>
      </c>
      <c r="AH293" t="s">
        <v>78</v>
      </c>
      <c r="AI293" t="s">
        <v>122</v>
      </c>
      <c r="AJ293" t="s">
        <v>70</v>
      </c>
      <c r="AK293" t="str">
        <f>VLOOKUP(MID($AR293,1,255),country_lookup!$B:$F,2,FALSE)</f>
        <v>2_Europe</v>
      </c>
      <c r="AL293" t="str">
        <f>VLOOKUP(MID($AR293,1,255),country_lookup!$B:$F,3,FALSE)</f>
        <v>99_NCE</v>
      </c>
      <c r="AM293" t="str">
        <f>VLOOKUP(MID($AR293,1,255),country_lookup!$B:$F,4,FALSE)</f>
        <v>1_western</v>
      </c>
      <c r="AN293" t="str">
        <f>VLOOKUP(MID($AR293,1,255),country_lookup!$B:$F,5,FALSE)</f>
        <v>2_civil law</v>
      </c>
      <c r="AO293" s="10" t="str">
        <f>VLOOKUP(MID($AS293,1,255),source_lookup!$B:$K,4,FALSE)</f>
        <v>1_not published</v>
      </c>
      <c r="AP293" s="10" t="str">
        <f>VLOOKUP(MID($AS293,1,255),source_lookup!$B:$K,6,FALSE)</f>
        <v>99_NA</v>
      </c>
      <c r="AQ293" s="10" t="str">
        <f>VLOOKUP(MID($AS293,1,255),source_lookup!$B:$K,10,FALSE)</f>
        <v>1_fin/acc/econ</v>
      </c>
      <c r="AR293" t="s">
        <v>91</v>
      </c>
      <c r="AS293" t="s">
        <v>134</v>
      </c>
    </row>
    <row r="294" spans="1:45" x14ac:dyDescent="0.3">
      <c r="A294" t="s">
        <v>10</v>
      </c>
      <c r="B294">
        <v>293</v>
      </c>
      <c r="C294" s="1">
        <v>-2.8164313530931923E-2</v>
      </c>
      <c r="D294" s="2">
        <v>58</v>
      </c>
      <c r="E294" s="4">
        <v>635</v>
      </c>
      <c r="F294" s="4" t="s">
        <v>346</v>
      </c>
      <c r="G294" s="4" t="s">
        <v>347</v>
      </c>
      <c r="H294" t="s">
        <v>77</v>
      </c>
      <c r="I294" t="s">
        <v>350</v>
      </c>
      <c r="J294" s="3">
        <v>2009</v>
      </c>
      <c r="K294" s="3">
        <v>2019</v>
      </c>
      <c r="L294" s="6">
        <f t="shared" si="91"/>
        <v>2014</v>
      </c>
      <c r="M294" s="6">
        <f t="shared" si="92"/>
        <v>2014</v>
      </c>
      <c r="N294" s="7">
        <f t="shared" si="80"/>
        <v>0.36363636363636365</v>
      </c>
      <c r="O294" s="7">
        <f t="shared" si="81"/>
        <v>0.27272727272727271</v>
      </c>
      <c r="P294" s="7">
        <f t="shared" si="82"/>
        <v>0.18181818181818182</v>
      </c>
      <c r="Q294" s="7">
        <f t="shared" si="93"/>
        <v>9.0909090909090912E-2</v>
      </c>
      <c r="R294" s="10" t="str">
        <f t="shared" si="83"/>
        <v>0_Pre</v>
      </c>
      <c r="S294" s="10" t="str">
        <f t="shared" si="84"/>
        <v>0_Pre</v>
      </c>
      <c r="T294" s="10" t="str">
        <f t="shared" si="85"/>
        <v>0_Pre</v>
      </c>
      <c r="U294" s="10" t="str">
        <f t="shared" si="86"/>
        <v>1_Post</v>
      </c>
      <c r="V294" s="10" t="str">
        <f t="shared" si="94"/>
        <v>0_Pre</v>
      </c>
      <c r="W294" s="10" t="str">
        <f t="shared" si="87"/>
        <v>straddle</v>
      </c>
      <c r="X294" s="10" t="str">
        <f t="shared" si="88"/>
        <v>0_Pre</v>
      </c>
      <c r="Y294" s="10" t="str">
        <f t="shared" si="89"/>
        <v>0_Pre</v>
      </c>
      <c r="Z294" s="10" t="str">
        <f t="shared" si="90"/>
        <v>0_Pre</v>
      </c>
      <c r="AA294" s="10" t="str">
        <f t="shared" si="95"/>
        <v>1_Post</v>
      </c>
      <c r="AB294" s="10" t="str">
        <f t="shared" si="96"/>
        <v>1_Post</v>
      </c>
      <c r="AC294" s="10" t="str">
        <f t="shared" si="97"/>
        <v>1_Post</v>
      </c>
      <c r="AD294" s="10" t="str">
        <f t="shared" si="98"/>
        <v>2_post sample median</v>
      </c>
      <c r="AE294" s="10" t="str">
        <f t="shared" si="99"/>
        <v>3_post sample third tertile</v>
      </c>
      <c r="AF294" t="s">
        <v>81</v>
      </c>
      <c r="AG294" t="s">
        <v>75</v>
      </c>
      <c r="AH294" t="s">
        <v>78</v>
      </c>
      <c r="AI294" t="s">
        <v>122</v>
      </c>
      <c r="AJ294" t="s">
        <v>70</v>
      </c>
      <c r="AK294" t="str">
        <f>VLOOKUP(MID($AR294,1,255),country_lookup!$B:$F,2,FALSE)</f>
        <v>2_Europe</v>
      </c>
      <c r="AL294" t="str">
        <f>VLOOKUP(MID($AR294,1,255),country_lookup!$B:$F,3,FALSE)</f>
        <v>99_NCE</v>
      </c>
      <c r="AM294" t="str">
        <f>VLOOKUP(MID($AR294,1,255),country_lookup!$B:$F,4,FALSE)</f>
        <v>1_western</v>
      </c>
      <c r="AN294" t="str">
        <f>VLOOKUP(MID($AR294,1,255),country_lookup!$B:$F,5,FALSE)</f>
        <v>2_civil law</v>
      </c>
      <c r="AO294" s="10" t="str">
        <f>VLOOKUP(MID($AS294,1,255),source_lookup!$B:$K,4,FALSE)</f>
        <v>1_not published</v>
      </c>
      <c r="AP294" s="10" t="str">
        <f>VLOOKUP(MID($AS294,1,255),source_lookup!$B:$K,6,FALSE)</f>
        <v>99_NA</v>
      </c>
      <c r="AQ294" s="10" t="str">
        <f>VLOOKUP(MID($AS294,1,255),source_lookup!$B:$K,10,FALSE)</f>
        <v>1_fin/acc/econ</v>
      </c>
      <c r="AR294" t="s">
        <v>91</v>
      </c>
      <c r="AS294" t="s">
        <v>134</v>
      </c>
    </row>
    <row r="295" spans="1:45" x14ac:dyDescent="0.3">
      <c r="A295" t="s">
        <v>10</v>
      </c>
      <c r="B295">
        <v>294</v>
      </c>
      <c r="C295" s="1">
        <v>-6.4661739504673577E-2</v>
      </c>
      <c r="D295" s="2">
        <v>82</v>
      </c>
      <c r="E295" s="4">
        <v>901</v>
      </c>
      <c r="F295" s="4" t="s">
        <v>346</v>
      </c>
      <c r="G295" s="4" t="s">
        <v>347</v>
      </c>
      <c r="H295" t="s">
        <v>77</v>
      </c>
      <c r="I295" t="s">
        <v>350</v>
      </c>
      <c r="J295" s="3">
        <v>2009</v>
      </c>
      <c r="K295" s="3">
        <v>2019</v>
      </c>
      <c r="L295" s="6">
        <f t="shared" si="91"/>
        <v>2014</v>
      </c>
      <c r="M295" s="6">
        <f t="shared" si="92"/>
        <v>2014</v>
      </c>
      <c r="N295" s="7">
        <f t="shared" si="80"/>
        <v>0.36363636363636365</v>
      </c>
      <c r="O295" s="7">
        <f t="shared" si="81"/>
        <v>0.27272727272727271</v>
      </c>
      <c r="P295" s="7">
        <f t="shared" si="82"/>
        <v>0.18181818181818182</v>
      </c>
      <c r="Q295" s="7">
        <f t="shared" si="93"/>
        <v>9.0909090909090912E-2</v>
      </c>
      <c r="R295" s="10" t="str">
        <f t="shared" si="83"/>
        <v>0_Pre</v>
      </c>
      <c r="S295" s="10" t="str">
        <f t="shared" si="84"/>
        <v>0_Pre</v>
      </c>
      <c r="T295" s="10" t="str">
        <f t="shared" si="85"/>
        <v>0_Pre</v>
      </c>
      <c r="U295" s="10" t="str">
        <f t="shared" si="86"/>
        <v>1_Post</v>
      </c>
      <c r="V295" s="10" t="str">
        <f t="shared" si="94"/>
        <v>0_Pre</v>
      </c>
      <c r="W295" s="10" t="str">
        <f t="shared" si="87"/>
        <v>straddle</v>
      </c>
      <c r="X295" s="10" t="str">
        <f t="shared" si="88"/>
        <v>0_Pre</v>
      </c>
      <c r="Y295" s="10" t="str">
        <f t="shared" si="89"/>
        <v>0_Pre</v>
      </c>
      <c r="Z295" s="10" t="str">
        <f t="shared" si="90"/>
        <v>0_Pre</v>
      </c>
      <c r="AA295" s="10" t="str">
        <f t="shared" si="95"/>
        <v>1_Post</v>
      </c>
      <c r="AB295" s="10" t="str">
        <f t="shared" si="96"/>
        <v>1_Post</v>
      </c>
      <c r="AC295" s="10" t="str">
        <f t="shared" si="97"/>
        <v>1_Post</v>
      </c>
      <c r="AD295" s="10" t="str">
        <f t="shared" si="98"/>
        <v>2_post sample median</v>
      </c>
      <c r="AE295" s="10" t="str">
        <f t="shared" si="99"/>
        <v>3_post sample third tertile</v>
      </c>
      <c r="AF295" t="s">
        <v>81</v>
      </c>
      <c r="AG295" t="s">
        <v>75</v>
      </c>
      <c r="AH295" t="s">
        <v>78</v>
      </c>
      <c r="AI295" t="s">
        <v>122</v>
      </c>
      <c r="AJ295" t="s">
        <v>70</v>
      </c>
      <c r="AK295" t="str">
        <f>VLOOKUP(MID($AR295,1,255),country_lookup!$B:$F,2,FALSE)</f>
        <v>2_Europe</v>
      </c>
      <c r="AL295" t="str">
        <f>VLOOKUP(MID($AR295,1,255),country_lookup!$B:$F,3,FALSE)</f>
        <v>99_NCE</v>
      </c>
      <c r="AM295" t="str">
        <f>VLOOKUP(MID($AR295,1,255),country_lookup!$B:$F,4,FALSE)</f>
        <v>1_western</v>
      </c>
      <c r="AN295" t="str">
        <f>VLOOKUP(MID($AR295,1,255),country_lookup!$B:$F,5,FALSE)</f>
        <v>2_civil law</v>
      </c>
      <c r="AO295" s="10" t="str">
        <f>VLOOKUP(MID($AS295,1,255),source_lookup!$B:$K,4,FALSE)</f>
        <v>1_not published</v>
      </c>
      <c r="AP295" s="10" t="str">
        <f>VLOOKUP(MID($AS295,1,255),source_lookup!$B:$K,6,FALSE)</f>
        <v>99_NA</v>
      </c>
      <c r="AQ295" s="10" t="str">
        <f>VLOOKUP(MID($AS295,1,255),source_lookup!$B:$K,10,FALSE)</f>
        <v>1_fin/acc/econ</v>
      </c>
      <c r="AR295" t="s">
        <v>91</v>
      </c>
      <c r="AS295" t="s">
        <v>134</v>
      </c>
    </row>
    <row r="296" spans="1:45" x14ac:dyDescent="0.3">
      <c r="A296" t="s">
        <v>10</v>
      </c>
      <c r="B296">
        <v>295</v>
      </c>
      <c r="C296" s="1">
        <v>-2.2036469557278573E-2</v>
      </c>
      <c r="D296" s="2">
        <v>51</v>
      </c>
      <c r="E296" s="4">
        <v>563</v>
      </c>
      <c r="F296" s="4" t="s">
        <v>346</v>
      </c>
      <c r="G296" s="4" t="s">
        <v>347</v>
      </c>
      <c r="H296" t="s">
        <v>77</v>
      </c>
      <c r="I296" t="s">
        <v>350</v>
      </c>
      <c r="J296" s="3">
        <v>2009</v>
      </c>
      <c r="K296" s="3">
        <v>2019</v>
      </c>
      <c r="L296" s="6">
        <f t="shared" si="91"/>
        <v>2014</v>
      </c>
      <c r="M296" s="6">
        <f t="shared" si="92"/>
        <v>2014</v>
      </c>
      <c r="N296" s="7">
        <f t="shared" si="80"/>
        <v>0.36363636363636365</v>
      </c>
      <c r="O296" s="7">
        <f t="shared" si="81"/>
        <v>0.27272727272727271</v>
      </c>
      <c r="P296" s="7">
        <f t="shared" si="82"/>
        <v>0.18181818181818182</v>
      </c>
      <c r="Q296" s="7">
        <f t="shared" si="93"/>
        <v>9.0909090909090912E-2</v>
      </c>
      <c r="R296" s="10" t="str">
        <f t="shared" si="83"/>
        <v>0_Pre</v>
      </c>
      <c r="S296" s="10" t="str">
        <f t="shared" si="84"/>
        <v>0_Pre</v>
      </c>
      <c r="T296" s="10" t="str">
        <f t="shared" si="85"/>
        <v>0_Pre</v>
      </c>
      <c r="U296" s="10" t="str">
        <f t="shared" si="86"/>
        <v>1_Post</v>
      </c>
      <c r="V296" s="10" t="str">
        <f t="shared" si="94"/>
        <v>0_Pre</v>
      </c>
      <c r="W296" s="10" t="str">
        <f t="shared" si="87"/>
        <v>straddle</v>
      </c>
      <c r="X296" s="10" t="str">
        <f t="shared" si="88"/>
        <v>0_Pre</v>
      </c>
      <c r="Y296" s="10" t="str">
        <f t="shared" si="89"/>
        <v>0_Pre</v>
      </c>
      <c r="Z296" s="10" t="str">
        <f t="shared" si="90"/>
        <v>0_Pre</v>
      </c>
      <c r="AA296" s="10" t="str">
        <f t="shared" si="95"/>
        <v>1_Post</v>
      </c>
      <c r="AB296" s="10" t="str">
        <f t="shared" si="96"/>
        <v>1_Post</v>
      </c>
      <c r="AC296" s="10" t="str">
        <f t="shared" si="97"/>
        <v>1_Post</v>
      </c>
      <c r="AD296" s="10" t="str">
        <f t="shared" si="98"/>
        <v>2_post sample median</v>
      </c>
      <c r="AE296" s="10" t="str">
        <f t="shared" si="99"/>
        <v>3_post sample third tertile</v>
      </c>
      <c r="AF296" t="s">
        <v>81</v>
      </c>
      <c r="AG296" t="s">
        <v>75</v>
      </c>
      <c r="AH296" t="s">
        <v>78</v>
      </c>
      <c r="AI296" t="s">
        <v>122</v>
      </c>
      <c r="AJ296" t="s">
        <v>70</v>
      </c>
      <c r="AK296" t="str">
        <f>VLOOKUP(MID($AR296,1,255),country_lookup!$B:$F,2,FALSE)</f>
        <v>2_Europe</v>
      </c>
      <c r="AL296" t="str">
        <f>VLOOKUP(MID($AR296,1,255),country_lookup!$B:$F,3,FALSE)</f>
        <v>99_NCE</v>
      </c>
      <c r="AM296" t="str">
        <f>VLOOKUP(MID($AR296,1,255),country_lookup!$B:$F,4,FALSE)</f>
        <v>1_western</v>
      </c>
      <c r="AN296" t="str">
        <f>VLOOKUP(MID($AR296,1,255),country_lookup!$B:$F,5,FALSE)</f>
        <v>2_civil law</v>
      </c>
      <c r="AO296" s="10" t="str">
        <f>VLOOKUP(MID($AS296,1,255),source_lookup!$B:$K,4,FALSE)</f>
        <v>1_not published</v>
      </c>
      <c r="AP296" s="10" t="str">
        <f>VLOOKUP(MID($AS296,1,255),source_lookup!$B:$K,6,FALSE)</f>
        <v>99_NA</v>
      </c>
      <c r="AQ296" s="10" t="str">
        <f>VLOOKUP(MID($AS296,1,255),source_lookup!$B:$K,10,FALSE)</f>
        <v>1_fin/acc/econ</v>
      </c>
      <c r="AR296" t="s">
        <v>91</v>
      </c>
      <c r="AS296" t="s">
        <v>134</v>
      </c>
    </row>
    <row r="297" spans="1:45" x14ac:dyDescent="0.3">
      <c r="A297" t="s">
        <v>10</v>
      </c>
      <c r="B297">
        <v>296</v>
      </c>
      <c r="C297" s="1">
        <v>-0.13802373650633745</v>
      </c>
      <c r="D297" s="2">
        <v>15</v>
      </c>
      <c r="E297" s="4">
        <v>170</v>
      </c>
      <c r="F297" s="4" t="s">
        <v>346</v>
      </c>
      <c r="G297" s="4" t="s">
        <v>347</v>
      </c>
      <c r="H297" t="s">
        <v>77</v>
      </c>
      <c r="I297" t="s">
        <v>350</v>
      </c>
      <c r="J297" s="3">
        <v>2009</v>
      </c>
      <c r="K297" s="3">
        <v>2019</v>
      </c>
      <c r="L297" s="6">
        <f t="shared" si="91"/>
        <v>2014</v>
      </c>
      <c r="M297" s="6">
        <f t="shared" si="92"/>
        <v>2014</v>
      </c>
      <c r="N297" s="7">
        <f t="shared" si="80"/>
        <v>0.36363636363636365</v>
      </c>
      <c r="O297" s="7">
        <f t="shared" si="81"/>
        <v>0.27272727272727271</v>
      </c>
      <c r="P297" s="7">
        <f t="shared" si="82"/>
        <v>0.18181818181818182</v>
      </c>
      <c r="Q297" s="7">
        <f t="shared" si="93"/>
        <v>9.0909090909090912E-2</v>
      </c>
      <c r="R297" s="10" t="str">
        <f t="shared" si="83"/>
        <v>0_Pre</v>
      </c>
      <c r="S297" s="10" t="str">
        <f t="shared" si="84"/>
        <v>0_Pre</v>
      </c>
      <c r="T297" s="10" t="str">
        <f t="shared" si="85"/>
        <v>0_Pre</v>
      </c>
      <c r="U297" s="10" t="str">
        <f t="shared" si="86"/>
        <v>1_Post</v>
      </c>
      <c r="V297" s="10" t="str">
        <f t="shared" si="94"/>
        <v>0_Pre</v>
      </c>
      <c r="W297" s="10" t="str">
        <f t="shared" si="87"/>
        <v>straddle</v>
      </c>
      <c r="X297" s="10" t="str">
        <f t="shared" si="88"/>
        <v>0_Pre</v>
      </c>
      <c r="Y297" s="10" t="str">
        <f t="shared" si="89"/>
        <v>0_Pre</v>
      </c>
      <c r="Z297" s="10" t="str">
        <f t="shared" si="90"/>
        <v>0_Pre</v>
      </c>
      <c r="AA297" s="10" t="str">
        <f t="shared" si="95"/>
        <v>1_Post</v>
      </c>
      <c r="AB297" s="10" t="str">
        <f t="shared" si="96"/>
        <v>1_Post</v>
      </c>
      <c r="AC297" s="10" t="str">
        <f t="shared" si="97"/>
        <v>1_Post</v>
      </c>
      <c r="AD297" s="10" t="str">
        <f t="shared" si="98"/>
        <v>2_post sample median</v>
      </c>
      <c r="AE297" s="10" t="str">
        <f t="shared" si="99"/>
        <v>3_post sample third tertile</v>
      </c>
      <c r="AF297" t="s">
        <v>81</v>
      </c>
      <c r="AG297" t="s">
        <v>75</v>
      </c>
      <c r="AH297" t="s">
        <v>78</v>
      </c>
      <c r="AI297" t="s">
        <v>122</v>
      </c>
      <c r="AJ297" t="s">
        <v>70</v>
      </c>
      <c r="AK297" t="str">
        <f>VLOOKUP(MID($AR297,1,255),country_lookup!$B:$F,2,FALSE)</f>
        <v>2_Europe</v>
      </c>
      <c r="AL297" t="str">
        <f>VLOOKUP(MID($AR297,1,255),country_lookup!$B:$F,3,FALSE)</f>
        <v>99_NCE</v>
      </c>
      <c r="AM297" t="str">
        <f>VLOOKUP(MID($AR297,1,255),country_lookup!$B:$F,4,FALSE)</f>
        <v>1_western</v>
      </c>
      <c r="AN297" t="str">
        <f>VLOOKUP(MID($AR297,1,255),country_lookup!$B:$F,5,FALSE)</f>
        <v>2_civil law</v>
      </c>
      <c r="AO297" s="10" t="str">
        <f>VLOOKUP(MID($AS297,1,255),source_lookup!$B:$K,4,FALSE)</f>
        <v>1_not published</v>
      </c>
      <c r="AP297" s="10" t="str">
        <f>VLOOKUP(MID($AS297,1,255),source_lookup!$B:$K,6,FALSE)</f>
        <v>99_NA</v>
      </c>
      <c r="AQ297" s="10" t="str">
        <f>VLOOKUP(MID($AS297,1,255),source_lookup!$B:$K,10,FALSE)</f>
        <v>1_fin/acc/econ</v>
      </c>
      <c r="AR297" t="s">
        <v>91</v>
      </c>
      <c r="AS297" t="s">
        <v>134</v>
      </c>
    </row>
    <row r="298" spans="1:45" x14ac:dyDescent="0.3">
      <c r="A298" t="s">
        <v>10</v>
      </c>
      <c r="B298">
        <v>297</v>
      </c>
      <c r="C298" s="1">
        <v>-4.4090076906105634E-2</v>
      </c>
      <c r="D298" s="2">
        <v>120</v>
      </c>
      <c r="E298" s="4">
        <v>1316</v>
      </c>
      <c r="F298" s="4" t="s">
        <v>346</v>
      </c>
      <c r="G298" s="4" t="s">
        <v>347</v>
      </c>
      <c r="H298" t="s">
        <v>77</v>
      </c>
      <c r="I298" t="s">
        <v>350</v>
      </c>
      <c r="J298" s="3">
        <v>2009</v>
      </c>
      <c r="K298" s="3">
        <v>2019</v>
      </c>
      <c r="L298" s="6">
        <f t="shared" si="91"/>
        <v>2014</v>
      </c>
      <c r="M298" s="6">
        <f t="shared" si="92"/>
        <v>2014</v>
      </c>
      <c r="N298" s="7">
        <f t="shared" si="80"/>
        <v>0.36363636363636365</v>
      </c>
      <c r="O298" s="7">
        <f t="shared" si="81"/>
        <v>0.27272727272727271</v>
      </c>
      <c r="P298" s="7">
        <f t="shared" si="82"/>
        <v>0.18181818181818182</v>
      </c>
      <c r="Q298" s="7">
        <f t="shared" si="93"/>
        <v>9.0909090909090912E-2</v>
      </c>
      <c r="R298" s="10" t="str">
        <f t="shared" si="83"/>
        <v>0_Pre</v>
      </c>
      <c r="S298" s="10" t="str">
        <f t="shared" si="84"/>
        <v>0_Pre</v>
      </c>
      <c r="T298" s="10" t="str">
        <f t="shared" si="85"/>
        <v>0_Pre</v>
      </c>
      <c r="U298" s="10" t="str">
        <f t="shared" si="86"/>
        <v>1_Post</v>
      </c>
      <c r="V298" s="10" t="str">
        <f t="shared" si="94"/>
        <v>0_Pre</v>
      </c>
      <c r="W298" s="10" t="str">
        <f t="shared" si="87"/>
        <v>straddle</v>
      </c>
      <c r="X298" s="10" t="str">
        <f t="shared" si="88"/>
        <v>0_Pre</v>
      </c>
      <c r="Y298" s="10" t="str">
        <f t="shared" si="89"/>
        <v>0_Pre</v>
      </c>
      <c r="Z298" s="10" t="str">
        <f t="shared" si="90"/>
        <v>0_Pre</v>
      </c>
      <c r="AA298" s="10" t="str">
        <f t="shared" si="95"/>
        <v>1_Post</v>
      </c>
      <c r="AB298" s="10" t="str">
        <f t="shared" si="96"/>
        <v>1_Post</v>
      </c>
      <c r="AC298" s="10" t="str">
        <f t="shared" si="97"/>
        <v>1_Post</v>
      </c>
      <c r="AD298" s="10" t="str">
        <f t="shared" si="98"/>
        <v>2_post sample median</v>
      </c>
      <c r="AE298" s="10" t="str">
        <f t="shared" si="99"/>
        <v>3_post sample third tertile</v>
      </c>
      <c r="AF298" t="s">
        <v>81</v>
      </c>
      <c r="AG298" t="s">
        <v>75</v>
      </c>
      <c r="AH298" t="s">
        <v>78</v>
      </c>
      <c r="AI298" t="s">
        <v>122</v>
      </c>
      <c r="AJ298" t="s">
        <v>70</v>
      </c>
      <c r="AK298" t="str">
        <f>VLOOKUP(MID($AR298,1,255),country_lookup!$B:$F,2,FALSE)</f>
        <v>2_Europe</v>
      </c>
      <c r="AL298" t="str">
        <f>VLOOKUP(MID($AR298,1,255),country_lookup!$B:$F,3,FALSE)</f>
        <v>99_NCE</v>
      </c>
      <c r="AM298" t="str">
        <f>VLOOKUP(MID($AR298,1,255),country_lookup!$B:$F,4,FALSE)</f>
        <v>1_western</v>
      </c>
      <c r="AN298" t="str">
        <f>VLOOKUP(MID($AR298,1,255),country_lookup!$B:$F,5,FALSE)</f>
        <v>2_civil law</v>
      </c>
      <c r="AO298" s="10" t="str">
        <f>VLOOKUP(MID($AS298,1,255),source_lookup!$B:$K,4,FALSE)</f>
        <v>1_not published</v>
      </c>
      <c r="AP298" s="10" t="str">
        <f>VLOOKUP(MID($AS298,1,255),source_lookup!$B:$K,6,FALSE)</f>
        <v>99_NA</v>
      </c>
      <c r="AQ298" s="10" t="str">
        <f>VLOOKUP(MID($AS298,1,255),source_lookup!$B:$K,10,FALSE)</f>
        <v>1_fin/acc/econ</v>
      </c>
      <c r="AR298" t="s">
        <v>91</v>
      </c>
      <c r="AS298" t="s">
        <v>134</v>
      </c>
    </row>
    <row r="299" spans="1:45" x14ac:dyDescent="0.3">
      <c r="A299" t="s">
        <v>11</v>
      </c>
      <c r="B299">
        <v>298</v>
      </c>
      <c r="C299" s="1">
        <v>-5.3985385584170965E-4</v>
      </c>
      <c r="D299" s="2">
        <v>660</v>
      </c>
      <c r="E299" s="4">
        <v>4622</v>
      </c>
      <c r="F299" s="4" t="s">
        <v>347</v>
      </c>
      <c r="G299" s="4" t="s">
        <v>346</v>
      </c>
      <c r="H299" t="s">
        <v>77</v>
      </c>
      <c r="I299" t="s">
        <v>352</v>
      </c>
      <c r="J299" s="3">
        <v>2009</v>
      </c>
      <c r="K299" s="3">
        <v>2015</v>
      </c>
      <c r="L299" s="6">
        <f t="shared" si="91"/>
        <v>2012</v>
      </c>
      <c r="M299" s="6">
        <f t="shared" si="92"/>
        <v>2012</v>
      </c>
      <c r="N299" s="7">
        <f t="shared" si="80"/>
        <v>0</v>
      </c>
      <c r="O299" s="7">
        <f t="shared" si="81"/>
        <v>0</v>
      </c>
      <c r="P299" s="7">
        <f t="shared" si="82"/>
        <v>0</v>
      </c>
      <c r="Q299" s="7">
        <f t="shared" si="93"/>
        <v>0</v>
      </c>
      <c r="R299" s="10" t="str">
        <f t="shared" si="83"/>
        <v>0_Pre</v>
      </c>
      <c r="S299" s="10" t="str">
        <f t="shared" si="84"/>
        <v>0_Pre</v>
      </c>
      <c r="T299" s="10" t="str">
        <f t="shared" si="85"/>
        <v>0_Pre</v>
      </c>
      <c r="U299" s="10" t="str">
        <f t="shared" si="86"/>
        <v>0_Pre</v>
      </c>
      <c r="V299" s="10" t="str">
        <f t="shared" si="94"/>
        <v>0_Pre</v>
      </c>
      <c r="W299" s="10" t="str">
        <f t="shared" si="87"/>
        <v>clean_pre</v>
      </c>
      <c r="X299" s="10" t="str">
        <f t="shared" si="88"/>
        <v>0_Pre</v>
      </c>
      <c r="Y299" s="10" t="str">
        <f t="shared" si="89"/>
        <v>0_Pre</v>
      </c>
      <c r="Z299" s="10" t="str">
        <f t="shared" si="90"/>
        <v>0_Pre</v>
      </c>
      <c r="AA299" s="10" t="str">
        <f t="shared" si="95"/>
        <v>0_Pre</v>
      </c>
      <c r="AB299" s="10" t="str">
        <f t="shared" si="96"/>
        <v>0_Pre</v>
      </c>
      <c r="AC299" s="10" t="str">
        <f t="shared" si="97"/>
        <v>0_Pre</v>
      </c>
      <c r="AD299" s="10" t="str">
        <f t="shared" si="98"/>
        <v>2_post sample median</v>
      </c>
      <c r="AE299" s="10" t="str">
        <f t="shared" si="99"/>
        <v>2_in sample second tertile</v>
      </c>
      <c r="AF299" t="s">
        <v>67</v>
      </c>
      <c r="AG299" t="s">
        <v>75</v>
      </c>
      <c r="AH299" t="s">
        <v>78</v>
      </c>
      <c r="AI299" t="s">
        <v>70</v>
      </c>
      <c r="AJ299" t="s">
        <v>70</v>
      </c>
      <c r="AK299" t="str">
        <f>VLOOKUP(MID($AR299,1,255),country_lookup!$B:$F,2,FALSE)</f>
        <v>99_NCE</v>
      </c>
      <c r="AL299" t="str">
        <f>VLOOKUP(MID($AR299,1,255),country_lookup!$B:$F,3,FALSE)</f>
        <v>99_NCE</v>
      </c>
      <c r="AM299" t="str">
        <f>VLOOKUP(MID($AR299,1,255),country_lookup!$B:$F,4,FALSE)</f>
        <v>99_NCE</v>
      </c>
      <c r="AN299" t="str">
        <f>VLOOKUP(MID($AR299,1,255),country_lookup!$B:$F,5,FALSE)</f>
        <v>99_NCE</v>
      </c>
      <c r="AO299" s="10" t="str">
        <f>VLOOKUP(MID($AS299,1,255),source_lookup!$B:$K,4,FALSE)</f>
        <v>0_published</v>
      </c>
      <c r="AP299" s="10" t="str">
        <f>VLOOKUP(MID($AS299,1,255),source_lookup!$B:$K,6,FALSE)</f>
        <v>0_VHB low</v>
      </c>
      <c r="AQ299" s="10" t="str">
        <f>VLOOKUP(MID($AS299,1,255),source_lookup!$B:$K,10,FALSE)</f>
        <v>2_sust</v>
      </c>
      <c r="AR299" t="s">
        <v>90</v>
      </c>
      <c r="AS299" t="s">
        <v>135</v>
      </c>
    </row>
    <row r="300" spans="1:45" x14ac:dyDescent="0.3">
      <c r="A300" t="s">
        <v>11</v>
      </c>
      <c r="B300">
        <v>299</v>
      </c>
      <c r="C300" s="1">
        <v>-6.8941029090512313E-4</v>
      </c>
      <c r="D300" s="2">
        <v>604</v>
      </c>
      <c r="E300" s="4">
        <v>4228</v>
      </c>
      <c r="F300" s="4" t="s">
        <v>347</v>
      </c>
      <c r="G300" s="4" t="s">
        <v>346</v>
      </c>
      <c r="H300" t="s">
        <v>77</v>
      </c>
      <c r="I300" t="s">
        <v>352</v>
      </c>
      <c r="J300" s="3">
        <v>2009</v>
      </c>
      <c r="K300" s="3">
        <v>2015</v>
      </c>
      <c r="L300" s="6">
        <f t="shared" si="91"/>
        <v>2012</v>
      </c>
      <c r="M300" s="6">
        <f t="shared" si="92"/>
        <v>2012</v>
      </c>
      <c r="N300" s="7">
        <f t="shared" si="80"/>
        <v>0</v>
      </c>
      <c r="O300" s="7">
        <f t="shared" si="81"/>
        <v>0</v>
      </c>
      <c r="P300" s="7">
        <f t="shared" si="82"/>
        <v>0</v>
      </c>
      <c r="Q300" s="7">
        <f t="shared" si="93"/>
        <v>0</v>
      </c>
      <c r="R300" s="10" t="str">
        <f t="shared" si="83"/>
        <v>0_Pre</v>
      </c>
      <c r="S300" s="10" t="str">
        <f t="shared" si="84"/>
        <v>0_Pre</v>
      </c>
      <c r="T300" s="10" t="str">
        <f t="shared" si="85"/>
        <v>0_Pre</v>
      </c>
      <c r="U300" s="10" t="str">
        <f t="shared" si="86"/>
        <v>0_Pre</v>
      </c>
      <c r="V300" s="10" t="str">
        <f t="shared" si="94"/>
        <v>0_Pre</v>
      </c>
      <c r="W300" s="10" t="str">
        <f t="shared" si="87"/>
        <v>clean_pre</v>
      </c>
      <c r="X300" s="10" t="str">
        <f t="shared" si="88"/>
        <v>0_Pre</v>
      </c>
      <c r="Y300" s="10" t="str">
        <f t="shared" si="89"/>
        <v>0_Pre</v>
      </c>
      <c r="Z300" s="10" t="str">
        <f t="shared" si="90"/>
        <v>0_Pre</v>
      </c>
      <c r="AA300" s="10" t="str">
        <f t="shared" si="95"/>
        <v>0_Pre</v>
      </c>
      <c r="AB300" s="10" t="str">
        <f t="shared" si="96"/>
        <v>0_Pre</v>
      </c>
      <c r="AC300" s="10" t="str">
        <f t="shared" si="97"/>
        <v>0_Pre</v>
      </c>
      <c r="AD300" s="10" t="str">
        <f t="shared" si="98"/>
        <v>2_post sample median</v>
      </c>
      <c r="AE300" s="10" t="str">
        <f t="shared" si="99"/>
        <v>2_in sample second tertile</v>
      </c>
      <c r="AF300" t="s">
        <v>67</v>
      </c>
      <c r="AG300" t="s">
        <v>75</v>
      </c>
      <c r="AH300" t="s">
        <v>78</v>
      </c>
      <c r="AI300" t="s">
        <v>70</v>
      </c>
      <c r="AJ300" t="s">
        <v>70</v>
      </c>
      <c r="AK300" t="str">
        <f>VLOOKUP(MID($AR300,1,255),country_lookup!$B:$F,2,FALSE)</f>
        <v>99_NCE</v>
      </c>
      <c r="AL300" t="str">
        <f>VLOOKUP(MID($AR300,1,255),country_lookup!$B:$F,3,FALSE)</f>
        <v>99_NCE</v>
      </c>
      <c r="AM300" t="str">
        <f>VLOOKUP(MID($AR300,1,255),country_lookup!$B:$F,4,FALSE)</f>
        <v>99_NCE</v>
      </c>
      <c r="AN300" t="str">
        <f>VLOOKUP(MID($AR300,1,255),country_lookup!$B:$F,5,FALSE)</f>
        <v>99_NCE</v>
      </c>
      <c r="AO300" s="10" t="str">
        <f>VLOOKUP(MID($AS300,1,255),source_lookup!$B:$K,4,FALSE)</f>
        <v>0_published</v>
      </c>
      <c r="AP300" s="10" t="str">
        <f>VLOOKUP(MID($AS300,1,255),source_lookup!$B:$K,6,FALSE)</f>
        <v>0_VHB low</v>
      </c>
      <c r="AQ300" s="10" t="str">
        <f>VLOOKUP(MID($AS300,1,255),source_lookup!$B:$K,10,FALSE)</f>
        <v>2_sust</v>
      </c>
      <c r="AR300" t="s">
        <v>90</v>
      </c>
      <c r="AS300" t="s">
        <v>135</v>
      </c>
    </row>
    <row r="301" spans="1:45" x14ac:dyDescent="0.3">
      <c r="A301" t="s">
        <v>11</v>
      </c>
      <c r="B301">
        <v>300</v>
      </c>
      <c r="C301" s="1">
        <v>-1.0444397503438483E-3</v>
      </c>
      <c r="D301" s="2">
        <v>563</v>
      </c>
      <c r="E301" s="4">
        <v>3940</v>
      </c>
      <c r="F301" s="4" t="s">
        <v>347</v>
      </c>
      <c r="G301" s="4" t="s">
        <v>346</v>
      </c>
      <c r="H301" t="s">
        <v>77</v>
      </c>
      <c r="I301" t="s">
        <v>352</v>
      </c>
      <c r="J301" s="3">
        <v>2009</v>
      </c>
      <c r="K301" s="3">
        <v>2015</v>
      </c>
      <c r="L301" s="6">
        <f t="shared" si="91"/>
        <v>2012</v>
      </c>
      <c r="M301" s="6">
        <f t="shared" si="92"/>
        <v>2012</v>
      </c>
      <c r="N301" s="7">
        <f t="shared" si="80"/>
        <v>0</v>
      </c>
      <c r="O301" s="7">
        <f t="shared" si="81"/>
        <v>0</v>
      </c>
      <c r="P301" s="7">
        <f t="shared" si="82"/>
        <v>0</v>
      </c>
      <c r="Q301" s="7">
        <f t="shared" si="93"/>
        <v>0</v>
      </c>
      <c r="R301" s="10" t="str">
        <f t="shared" si="83"/>
        <v>0_Pre</v>
      </c>
      <c r="S301" s="10" t="str">
        <f t="shared" si="84"/>
        <v>0_Pre</v>
      </c>
      <c r="T301" s="10" t="str">
        <f t="shared" si="85"/>
        <v>0_Pre</v>
      </c>
      <c r="U301" s="10" t="str">
        <f t="shared" si="86"/>
        <v>0_Pre</v>
      </c>
      <c r="V301" s="10" t="str">
        <f t="shared" si="94"/>
        <v>0_Pre</v>
      </c>
      <c r="W301" s="10" t="str">
        <f t="shared" si="87"/>
        <v>clean_pre</v>
      </c>
      <c r="X301" s="10" t="str">
        <f t="shared" si="88"/>
        <v>0_Pre</v>
      </c>
      <c r="Y301" s="10" t="str">
        <f t="shared" si="89"/>
        <v>0_Pre</v>
      </c>
      <c r="Z301" s="10" t="str">
        <f t="shared" si="90"/>
        <v>0_Pre</v>
      </c>
      <c r="AA301" s="10" t="str">
        <f t="shared" si="95"/>
        <v>0_Pre</v>
      </c>
      <c r="AB301" s="10" t="str">
        <f t="shared" si="96"/>
        <v>0_Pre</v>
      </c>
      <c r="AC301" s="10" t="str">
        <f t="shared" si="97"/>
        <v>0_Pre</v>
      </c>
      <c r="AD301" s="10" t="str">
        <f t="shared" si="98"/>
        <v>2_post sample median</v>
      </c>
      <c r="AE301" s="10" t="str">
        <f t="shared" si="99"/>
        <v>2_in sample second tertile</v>
      </c>
      <c r="AF301" t="s">
        <v>67</v>
      </c>
      <c r="AG301" t="s">
        <v>75</v>
      </c>
      <c r="AH301" t="s">
        <v>78</v>
      </c>
      <c r="AI301" t="s">
        <v>70</v>
      </c>
      <c r="AJ301" t="s">
        <v>70</v>
      </c>
      <c r="AK301" t="str">
        <f>VLOOKUP(MID($AR301,1,255),country_lookup!$B:$F,2,FALSE)</f>
        <v>99_NCE</v>
      </c>
      <c r="AL301" t="str">
        <f>VLOOKUP(MID($AR301,1,255),country_lookup!$B:$F,3,FALSE)</f>
        <v>99_NCE</v>
      </c>
      <c r="AM301" t="str">
        <f>VLOOKUP(MID($AR301,1,255),country_lookup!$B:$F,4,FALSE)</f>
        <v>99_NCE</v>
      </c>
      <c r="AN301" t="str">
        <f>VLOOKUP(MID($AR301,1,255),country_lookup!$B:$F,5,FALSE)</f>
        <v>99_NCE</v>
      </c>
      <c r="AO301" s="10" t="str">
        <f>VLOOKUP(MID($AS301,1,255),source_lookup!$B:$K,4,FALSE)</f>
        <v>0_published</v>
      </c>
      <c r="AP301" s="10" t="str">
        <f>VLOOKUP(MID($AS301,1,255),source_lookup!$B:$K,6,FALSE)</f>
        <v>0_VHB low</v>
      </c>
      <c r="AQ301" s="10" t="str">
        <f>VLOOKUP(MID($AS301,1,255),source_lookup!$B:$K,10,FALSE)</f>
        <v>2_sust</v>
      </c>
      <c r="AR301" t="s">
        <v>90</v>
      </c>
      <c r="AS301" t="s">
        <v>135</v>
      </c>
    </row>
    <row r="302" spans="1:45" x14ac:dyDescent="0.3">
      <c r="A302" t="s">
        <v>11</v>
      </c>
      <c r="B302">
        <v>301</v>
      </c>
      <c r="C302" s="1">
        <v>-1.0158079635777657E-2</v>
      </c>
      <c r="D302" s="2">
        <v>380</v>
      </c>
      <c r="E302" s="4">
        <v>2657</v>
      </c>
      <c r="F302" s="4" t="s">
        <v>347</v>
      </c>
      <c r="G302" s="4" t="s">
        <v>346</v>
      </c>
      <c r="H302" t="s">
        <v>77</v>
      </c>
      <c r="I302" t="s">
        <v>352</v>
      </c>
      <c r="J302" s="3">
        <v>2009</v>
      </c>
      <c r="K302" s="3">
        <v>2015</v>
      </c>
      <c r="L302" s="6">
        <f t="shared" si="91"/>
        <v>2012</v>
      </c>
      <c r="M302" s="6">
        <f t="shared" si="92"/>
        <v>2012</v>
      </c>
      <c r="N302" s="7">
        <f t="shared" si="80"/>
        <v>0</v>
      </c>
      <c r="O302" s="7">
        <f t="shared" si="81"/>
        <v>0</v>
      </c>
      <c r="P302" s="7">
        <f t="shared" si="82"/>
        <v>0</v>
      </c>
      <c r="Q302" s="7">
        <f t="shared" si="93"/>
        <v>0</v>
      </c>
      <c r="R302" s="10" t="str">
        <f t="shared" si="83"/>
        <v>0_Pre</v>
      </c>
      <c r="S302" s="10" t="str">
        <f t="shared" si="84"/>
        <v>0_Pre</v>
      </c>
      <c r="T302" s="10" t="str">
        <f t="shared" si="85"/>
        <v>0_Pre</v>
      </c>
      <c r="U302" s="10" t="str">
        <f t="shared" si="86"/>
        <v>0_Pre</v>
      </c>
      <c r="V302" s="10" t="str">
        <f t="shared" si="94"/>
        <v>0_Pre</v>
      </c>
      <c r="W302" s="10" t="str">
        <f t="shared" si="87"/>
        <v>clean_pre</v>
      </c>
      <c r="X302" s="10" t="str">
        <f t="shared" si="88"/>
        <v>0_Pre</v>
      </c>
      <c r="Y302" s="10" t="str">
        <f t="shared" si="89"/>
        <v>0_Pre</v>
      </c>
      <c r="Z302" s="10" t="str">
        <f t="shared" si="90"/>
        <v>0_Pre</v>
      </c>
      <c r="AA302" s="10" t="str">
        <f t="shared" si="95"/>
        <v>0_Pre</v>
      </c>
      <c r="AB302" s="10" t="str">
        <f t="shared" si="96"/>
        <v>0_Pre</v>
      </c>
      <c r="AC302" s="10" t="str">
        <f t="shared" si="97"/>
        <v>0_Pre</v>
      </c>
      <c r="AD302" s="10" t="str">
        <f t="shared" si="98"/>
        <v>2_post sample median</v>
      </c>
      <c r="AE302" s="10" t="str">
        <f t="shared" si="99"/>
        <v>2_in sample second tertile</v>
      </c>
      <c r="AF302" t="s">
        <v>67</v>
      </c>
      <c r="AG302" t="s">
        <v>75</v>
      </c>
      <c r="AH302" t="s">
        <v>78</v>
      </c>
      <c r="AI302" t="s">
        <v>70</v>
      </c>
      <c r="AJ302" t="s">
        <v>70</v>
      </c>
      <c r="AK302" t="str">
        <f>VLOOKUP(MID($AR302,1,255),country_lookup!$B:$F,2,FALSE)</f>
        <v>99_NCE</v>
      </c>
      <c r="AL302" t="str">
        <f>VLOOKUP(MID($AR302,1,255),country_lookup!$B:$F,3,FALSE)</f>
        <v>99_NCE</v>
      </c>
      <c r="AM302" t="str">
        <f>VLOOKUP(MID($AR302,1,255),country_lookup!$B:$F,4,FALSE)</f>
        <v>99_NCE</v>
      </c>
      <c r="AN302" t="str">
        <f>VLOOKUP(MID($AR302,1,255),country_lookup!$B:$F,5,FALSE)</f>
        <v>99_NCE</v>
      </c>
      <c r="AO302" s="10" t="str">
        <f>VLOOKUP(MID($AS302,1,255),source_lookup!$B:$K,4,FALSE)</f>
        <v>0_published</v>
      </c>
      <c r="AP302" s="10" t="str">
        <f>VLOOKUP(MID($AS302,1,255),source_lookup!$B:$K,6,FALSE)</f>
        <v>0_VHB low</v>
      </c>
      <c r="AQ302" s="10" t="str">
        <f>VLOOKUP(MID($AS302,1,255),source_lookup!$B:$K,10,FALSE)</f>
        <v>2_sust</v>
      </c>
      <c r="AR302" t="s">
        <v>90</v>
      </c>
      <c r="AS302" t="s">
        <v>135</v>
      </c>
    </row>
    <row r="303" spans="1:45" x14ac:dyDescent="0.3">
      <c r="A303" t="s">
        <v>11</v>
      </c>
      <c r="B303">
        <v>302</v>
      </c>
      <c r="C303" s="1">
        <v>-7.8582503535390338E-4</v>
      </c>
      <c r="D303" s="2">
        <v>475</v>
      </c>
      <c r="E303" s="4">
        <v>3328</v>
      </c>
      <c r="F303" s="4" t="s">
        <v>347</v>
      </c>
      <c r="G303" s="4" t="s">
        <v>346</v>
      </c>
      <c r="H303" t="s">
        <v>77</v>
      </c>
      <c r="I303" t="s">
        <v>352</v>
      </c>
      <c r="J303" s="3">
        <v>2009</v>
      </c>
      <c r="K303" s="3">
        <v>2015</v>
      </c>
      <c r="L303" s="6">
        <f t="shared" si="91"/>
        <v>2012</v>
      </c>
      <c r="M303" s="6">
        <f t="shared" si="92"/>
        <v>2012</v>
      </c>
      <c r="N303" s="7">
        <f t="shared" si="80"/>
        <v>0</v>
      </c>
      <c r="O303" s="7">
        <f t="shared" si="81"/>
        <v>0</v>
      </c>
      <c r="P303" s="7">
        <f t="shared" si="82"/>
        <v>0</v>
      </c>
      <c r="Q303" s="7">
        <f t="shared" si="93"/>
        <v>0</v>
      </c>
      <c r="R303" s="10" t="str">
        <f t="shared" si="83"/>
        <v>0_Pre</v>
      </c>
      <c r="S303" s="10" t="str">
        <f t="shared" si="84"/>
        <v>0_Pre</v>
      </c>
      <c r="T303" s="10" t="str">
        <f t="shared" si="85"/>
        <v>0_Pre</v>
      </c>
      <c r="U303" s="10" t="str">
        <f t="shared" si="86"/>
        <v>0_Pre</v>
      </c>
      <c r="V303" s="10" t="str">
        <f t="shared" si="94"/>
        <v>0_Pre</v>
      </c>
      <c r="W303" s="10" t="str">
        <f t="shared" si="87"/>
        <v>clean_pre</v>
      </c>
      <c r="X303" s="10" t="str">
        <f t="shared" si="88"/>
        <v>0_Pre</v>
      </c>
      <c r="Y303" s="10" t="str">
        <f t="shared" si="89"/>
        <v>0_Pre</v>
      </c>
      <c r="Z303" s="10" t="str">
        <f t="shared" si="90"/>
        <v>0_Pre</v>
      </c>
      <c r="AA303" s="10" t="str">
        <f t="shared" si="95"/>
        <v>0_Pre</v>
      </c>
      <c r="AB303" s="10" t="str">
        <f t="shared" si="96"/>
        <v>0_Pre</v>
      </c>
      <c r="AC303" s="10" t="str">
        <f t="shared" si="97"/>
        <v>0_Pre</v>
      </c>
      <c r="AD303" s="10" t="str">
        <f t="shared" si="98"/>
        <v>2_post sample median</v>
      </c>
      <c r="AE303" s="10" t="str">
        <f t="shared" si="99"/>
        <v>2_in sample second tertile</v>
      </c>
      <c r="AF303" t="s">
        <v>67</v>
      </c>
      <c r="AG303" t="s">
        <v>75</v>
      </c>
      <c r="AH303" t="s">
        <v>78</v>
      </c>
      <c r="AI303" t="s">
        <v>70</v>
      </c>
      <c r="AJ303" t="s">
        <v>70</v>
      </c>
      <c r="AK303" t="str">
        <f>VLOOKUP(MID($AR303,1,255),country_lookup!$B:$F,2,FALSE)</f>
        <v>99_NCE</v>
      </c>
      <c r="AL303" t="str">
        <f>VLOOKUP(MID($AR303,1,255),country_lookup!$B:$F,3,FALSE)</f>
        <v>99_NCE</v>
      </c>
      <c r="AM303" t="str">
        <f>VLOOKUP(MID($AR303,1,255),country_lookup!$B:$F,4,FALSE)</f>
        <v>99_NCE</v>
      </c>
      <c r="AN303" t="str">
        <f>VLOOKUP(MID($AR303,1,255),country_lookup!$B:$F,5,FALSE)</f>
        <v>99_NCE</v>
      </c>
      <c r="AO303" s="10" t="str">
        <f>VLOOKUP(MID($AS303,1,255),source_lookup!$B:$K,4,FALSE)</f>
        <v>0_published</v>
      </c>
      <c r="AP303" s="10" t="str">
        <f>VLOOKUP(MID($AS303,1,255),source_lookup!$B:$K,6,FALSE)</f>
        <v>0_VHB low</v>
      </c>
      <c r="AQ303" s="10" t="str">
        <f>VLOOKUP(MID($AS303,1,255),source_lookup!$B:$K,10,FALSE)</f>
        <v>2_sust</v>
      </c>
      <c r="AR303" t="s">
        <v>90</v>
      </c>
      <c r="AS303" t="s">
        <v>135</v>
      </c>
    </row>
    <row r="304" spans="1:45" x14ac:dyDescent="0.3">
      <c r="A304" t="s">
        <v>11</v>
      </c>
      <c r="B304">
        <v>303</v>
      </c>
      <c r="C304" s="1">
        <v>-7.52254253061584E-4</v>
      </c>
      <c r="D304" s="2">
        <v>447</v>
      </c>
      <c r="E304" s="4">
        <v>3129</v>
      </c>
      <c r="F304" s="4" t="s">
        <v>347</v>
      </c>
      <c r="G304" s="4" t="s">
        <v>346</v>
      </c>
      <c r="H304" t="s">
        <v>77</v>
      </c>
      <c r="I304" t="s">
        <v>352</v>
      </c>
      <c r="J304" s="3">
        <v>2009</v>
      </c>
      <c r="K304" s="3">
        <v>2015</v>
      </c>
      <c r="L304" s="6">
        <f t="shared" si="91"/>
        <v>2012</v>
      </c>
      <c r="M304" s="6">
        <f t="shared" si="92"/>
        <v>2012</v>
      </c>
      <c r="N304" s="7">
        <f t="shared" si="80"/>
        <v>0</v>
      </c>
      <c r="O304" s="7">
        <f t="shared" si="81"/>
        <v>0</v>
      </c>
      <c r="P304" s="7">
        <f t="shared" si="82"/>
        <v>0</v>
      </c>
      <c r="Q304" s="7">
        <f t="shared" si="93"/>
        <v>0</v>
      </c>
      <c r="R304" s="10" t="str">
        <f t="shared" si="83"/>
        <v>0_Pre</v>
      </c>
      <c r="S304" s="10" t="str">
        <f t="shared" si="84"/>
        <v>0_Pre</v>
      </c>
      <c r="T304" s="10" t="str">
        <f t="shared" si="85"/>
        <v>0_Pre</v>
      </c>
      <c r="U304" s="10" t="str">
        <f t="shared" si="86"/>
        <v>0_Pre</v>
      </c>
      <c r="V304" s="10" t="str">
        <f t="shared" si="94"/>
        <v>0_Pre</v>
      </c>
      <c r="W304" s="10" t="str">
        <f t="shared" si="87"/>
        <v>clean_pre</v>
      </c>
      <c r="X304" s="10" t="str">
        <f t="shared" si="88"/>
        <v>0_Pre</v>
      </c>
      <c r="Y304" s="10" t="str">
        <f t="shared" si="89"/>
        <v>0_Pre</v>
      </c>
      <c r="Z304" s="10" t="str">
        <f t="shared" si="90"/>
        <v>0_Pre</v>
      </c>
      <c r="AA304" s="10" t="str">
        <f t="shared" si="95"/>
        <v>0_Pre</v>
      </c>
      <c r="AB304" s="10" t="str">
        <f t="shared" si="96"/>
        <v>0_Pre</v>
      </c>
      <c r="AC304" s="10" t="str">
        <f t="shared" si="97"/>
        <v>0_Pre</v>
      </c>
      <c r="AD304" s="10" t="str">
        <f t="shared" si="98"/>
        <v>2_post sample median</v>
      </c>
      <c r="AE304" s="10" t="str">
        <f t="shared" si="99"/>
        <v>2_in sample second tertile</v>
      </c>
      <c r="AF304" t="s">
        <v>67</v>
      </c>
      <c r="AG304" t="s">
        <v>75</v>
      </c>
      <c r="AH304" t="s">
        <v>78</v>
      </c>
      <c r="AI304" t="s">
        <v>70</v>
      </c>
      <c r="AJ304" t="s">
        <v>70</v>
      </c>
      <c r="AK304" t="str">
        <f>VLOOKUP(MID($AR304,1,255),country_lookup!$B:$F,2,FALSE)</f>
        <v>99_NCE</v>
      </c>
      <c r="AL304" t="str">
        <f>VLOOKUP(MID($AR304,1,255),country_lookup!$B:$F,3,FALSE)</f>
        <v>99_NCE</v>
      </c>
      <c r="AM304" t="str">
        <f>VLOOKUP(MID($AR304,1,255),country_lookup!$B:$F,4,FALSE)</f>
        <v>99_NCE</v>
      </c>
      <c r="AN304" t="str">
        <f>VLOOKUP(MID($AR304,1,255),country_lookup!$B:$F,5,FALSE)</f>
        <v>99_NCE</v>
      </c>
      <c r="AO304" s="10" t="str">
        <f>VLOOKUP(MID($AS304,1,255),source_lookup!$B:$K,4,FALSE)</f>
        <v>0_published</v>
      </c>
      <c r="AP304" s="10" t="str">
        <f>VLOOKUP(MID($AS304,1,255),source_lookup!$B:$K,6,FALSE)</f>
        <v>0_VHB low</v>
      </c>
      <c r="AQ304" s="10" t="str">
        <f>VLOOKUP(MID($AS304,1,255),source_lookup!$B:$K,10,FALSE)</f>
        <v>2_sust</v>
      </c>
      <c r="AR304" t="s">
        <v>90</v>
      </c>
      <c r="AS304" t="s">
        <v>135</v>
      </c>
    </row>
    <row r="305" spans="1:45" x14ac:dyDescent="0.3">
      <c r="A305" t="s">
        <v>11</v>
      </c>
      <c r="B305">
        <v>304</v>
      </c>
      <c r="C305" s="1">
        <v>-1.5612333813254099E-2</v>
      </c>
      <c r="D305" s="2">
        <v>660</v>
      </c>
      <c r="E305" s="4">
        <v>4622</v>
      </c>
      <c r="F305" s="4" t="s">
        <v>347</v>
      </c>
      <c r="G305" s="4" t="s">
        <v>346</v>
      </c>
      <c r="H305" t="s">
        <v>77</v>
      </c>
      <c r="I305" t="s">
        <v>352</v>
      </c>
      <c r="J305" s="3">
        <v>2010</v>
      </c>
      <c r="K305" s="3">
        <v>2016</v>
      </c>
      <c r="L305" s="6">
        <f t="shared" si="91"/>
        <v>2013</v>
      </c>
      <c r="M305" s="6">
        <f t="shared" si="92"/>
        <v>2013</v>
      </c>
      <c r="N305" s="7">
        <f t="shared" si="80"/>
        <v>0.14285714285714285</v>
      </c>
      <c r="O305" s="7">
        <f t="shared" si="81"/>
        <v>0</v>
      </c>
      <c r="P305" s="7">
        <f t="shared" si="82"/>
        <v>0</v>
      </c>
      <c r="Q305" s="7">
        <f t="shared" si="93"/>
        <v>0</v>
      </c>
      <c r="R305" s="10" t="str">
        <f t="shared" si="83"/>
        <v>0_Pre</v>
      </c>
      <c r="S305" s="10" t="str">
        <f t="shared" si="84"/>
        <v>0_Pre</v>
      </c>
      <c r="T305" s="10" t="str">
        <f t="shared" si="85"/>
        <v>0_Pre</v>
      </c>
      <c r="U305" s="10" t="str">
        <f t="shared" si="86"/>
        <v>1_Post</v>
      </c>
      <c r="V305" s="10" t="str">
        <f t="shared" si="94"/>
        <v>0_Pre</v>
      </c>
      <c r="W305" s="10" t="str">
        <f t="shared" si="87"/>
        <v>straddle</v>
      </c>
      <c r="X305" s="10" t="str">
        <f t="shared" si="88"/>
        <v>0_Pre</v>
      </c>
      <c r="Y305" s="10" t="str">
        <f t="shared" si="89"/>
        <v>0_Pre</v>
      </c>
      <c r="Z305" s="10" t="str">
        <f t="shared" si="90"/>
        <v>0_Pre</v>
      </c>
      <c r="AA305" s="10" t="str">
        <f t="shared" si="95"/>
        <v>0_Pre</v>
      </c>
      <c r="AB305" s="10" t="str">
        <f t="shared" si="96"/>
        <v>0_Pre</v>
      </c>
      <c r="AC305" s="10" t="str">
        <f t="shared" si="97"/>
        <v>0_Pre</v>
      </c>
      <c r="AD305" s="10" t="str">
        <f t="shared" si="98"/>
        <v>2_post sample median</v>
      </c>
      <c r="AE305" s="10" t="str">
        <f t="shared" si="99"/>
        <v>2_in sample second tertile</v>
      </c>
      <c r="AF305" t="s">
        <v>67</v>
      </c>
      <c r="AG305" t="s">
        <v>75</v>
      </c>
      <c r="AH305" t="s">
        <v>78</v>
      </c>
      <c r="AI305" t="s">
        <v>70</v>
      </c>
      <c r="AJ305" t="s">
        <v>70</v>
      </c>
      <c r="AK305" t="str">
        <f>VLOOKUP(MID($AR305,1,255),country_lookup!$B:$F,2,FALSE)</f>
        <v>99_NCE</v>
      </c>
      <c r="AL305" t="str">
        <f>VLOOKUP(MID($AR305,1,255),country_lookup!$B:$F,3,FALSE)</f>
        <v>99_NCE</v>
      </c>
      <c r="AM305" t="str">
        <f>VLOOKUP(MID($AR305,1,255),country_lookup!$B:$F,4,FALSE)</f>
        <v>99_NCE</v>
      </c>
      <c r="AN305" t="str">
        <f>VLOOKUP(MID($AR305,1,255),country_lookup!$B:$F,5,FALSE)</f>
        <v>99_NCE</v>
      </c>
      <c r="AO305" s="10" t="str">
        <f>VLOOKUP(MID($AS305,1,255),source_lookup!$B:$K,4,FALSE)</f>
        <v>0_published</v>
      </c>
      <c r="AP305" s="10" t="str">
        <f>VLOOKUP(MID($AS305,1,255),source_lookup!$B:$K,6,FALSE)</f>
        <v>0_VHB low</v>
      </c>
      <c r="AQ305" s="10" t="str">
        <f>VLOOKUP(MID($AS305,1,255),source_lookup!$B:$K,10,FALSE)</f>
        <v>2_sust</v>
      </c>
      <c r="AR305" t="s">
        <v>90</v>
      </c>
      <c r="AS305" t="s">
        <v>135</v>
      </c>
    </row>
    <row r="306" spans="1:45" x14ac:dyDescent="0.3">
      <c r="A306" t="s">
        <v>11</v>
      </c>
      <c r="B306">
        <v>305</v>
      </c>
      <c r="C306" s="1">
        <v>-1.5736791609798359E-3</v>
      </c>
      <c r="D306" s="2">
        <v>604</v>
      </c>
      <c r="E306" s="4">
        <v>4228</v>
      </c>
      <c r="F306" s="4" t="s">
        <v>347</v>
      </c>
      <c r="G306" s="4" t="s">
        <v>346</v>
      </c>
      <c r="H306" t="s">
        <v>77</v>
      </c>
      <c r="I306" t="s">
        <v>352</v>
      </c>
      <c r="J306" s="3">
        <v>2010</v>
      </c>
      <c r="K306" s="3">
        <v>2016</v>
      </c>
      <c r="L306" s="6">
        <f t="shared" si="91"/>
        <v>2013</v>
      </c>
      <c r="M306" s="6">
        <f t="shared" si="92"/>
        <v>2013</v>
      </c>
      <c r="N306" s="7">
        <f t="shared" si="80"/>
        <v>0.14285714285714285</v>
      </c>
      <c r="O306" s="7">
        <f t="shared" si="81"/>
        <v>0</v>
      </c>
      <c r="P306" s="7">
        <f t="shared" si="82"/>
        <v>0</v>
      </c>
      <c r="Q306" s="7">
        <f t="shared" si="93"/>
        <v>0</v>
      </c>
      <c r="R306" s="10" t="str">
        <f t="shared" si="83"/>
        <v>0_Pre</v>
      </c>
      <c r="S306" s="10" t="str">
        <f t="shared" si="84"/>
        <v>0_Pre</v>
      </c>
      <c r="T306" s="10" t="str">
        <f t="shared" si="85"/>
        <v>0_Pre</v>
      </c>
      <c r="U306" s="10" t="str">
        <f t="shared" si="86"/>
        <v>1_Post</v>
      </c>
      <c r="V306" s="10" t="str">
        <f t="shared" si="94"/>
        <v>0_Pre</v>
      </c>
      <c r="W306" s="10" t="str">
        <f t="shared" si="87"/>
        <v>straddle</v>
      </c>
      <c r="X306" s="10" t="str">
        <f t="shared" si="88"/>
        <v>0_Pre</v>
      </c>
      <c r="Y306" s="10" t="str">
        <f t="shared" si="89"/>
        <v>0_Pre</v>
      </c>
      <c r="Z306" s="10" t="str">
        <f t="shared" si="90"/>
        <v>0_Pre</v>
      </c>
      <c r="AA306" s="10" t="str">
        <f t="shared" si="95"/>
        <v>0_Pre</v>
      </c>
      <c r="AB306" s="10" t="str">
        <f t="shared" si="96"/>
        <v>0_Pre</v>
      </c>
      <c r="AC306" s="10" t="str">
        <f t="shared" si="97"/>
        <v>0_Pre</v>
      </c>
      <c r="AD306" s="10" t="str">
        <f t="shared" si="98"/>
        <v>2_post sample median</v>
      </c>
      <c r="AE306" s="10" t="str">
        <f t="shared" si="99"/>
        <v>2_in sample second tertile</v>
      </c>
      <c r="AF306" t="s">
        <v>67</v>
      </c>
      <c r="AG306" t="s">
        <v>75</v>
      </c>
      <c r="AH306" t="s">
        <v>78</v>
      </c>
      <c r="AI306" t="s">
        <v>70</v>
      </c>
      <c r="AJ306" t="s">
        <v>70</v>
      </c>
      <c r="AK306" t="str">
        <f>VLOOKUP(MID($AR306,1,255),country_lookup!$B:$F,2,FALSE)</f>
        <v>99_NCE</v>
      </c>
      <c r="AL306" t="str">
        <f>VLOOKUP(MID($AR306,1,255),country_lookup!$B:$F,3,FALSE)</f>
        <v>99_NCE</v>
      </c>
      <c r="AM306" t="str">
        <f>VLOOKUP(MID($AR306,1,255),country_lookup!$B:$F,4,FALSE)</f>
        <v>99_NCE</v>
      </c>
      <c r="AN306" t="str">
        <f>VLOOKUP(MID($AR306,1,255),country_lookup!$B:$F,5,FALSE)</f>
        <v>99_NCE</v>
      </c>
      <c r="AO306" s="10" t="str">
        <f>VLOOKUP(MID($AS306,1,255),source_lookup!$B:$K,4,FALSE)</f>
        <v>0_published</v>
      </c>
      <c r="AP306" s="10" t="str">
        <f>VLOOKUP(MID($AS306,1,255),source_lookup!$B:$K,6,FALSE)</f>
        <v>0_VHB low</v>
      </c>
      <c r="AQ306" s="10" t="str">
        <f>VLOOKUP(MID($AS306,1,255),source_lookup!$B:$K,10,FALSE)</f>
        <v>2_sust</v>
      </c>
      <c r="AR306" t="s">
        <v>90</v>
      </c>
      <c r="AS306" t="s">
        <v>135</v>
      </c>
    </row>
    <row r="307" spans="1:45" x14ac:dyDescent="0.3">
      <c r="A307" t="s">
        <v>11</v>
      </c>
      <c r="B307">
        <v>306</v>
      </c>
      <c r="C307" s="1">
        <v>-1.5253378241712543E-3</v>
      </c>
      <c r="D307" s="2">
        <v>563</v>
      </c>
      <c r="E307" s="4">
        <v>3940</v>
      </c>
      <c r="F307" s="4" t="s">
        <v>347</v>
      </c>
      <c r="G307" s="4" t="s">
        <v>346</v>
      </c>
      <c r="H307" t="s">
        <v>77</v>
      </c>
      <c r="I307" t="s">
        <v>352</v>
      </c>
      <c r="J307" s="3">
        <v>2010</v>
      </c>
      <c r="K307" s="3">
        <v>2016</v>
      </c>
      <c r="L307" s="6">
        <f t="shared" si="91"/>
        <v>2013</v>
      </c>
      <c r="M307" s="6">
        <f t="shared" si="92"/>
        <v>2013</v>
      </c>
      <c r="N307" s="7">
        <f t="shared" si="80"/>
        <v>0.14285714285714285</v>
      </c>
      <c r="O307" s="7">
        <f t="shared" si="81"/>
        <v>0</v>
      </c>
      <c r="P307" s="7">
        <f t="shared" si="82"/>
        <v>0</v>
      </c>
      <c r="Q307" s="7">
        <f t="shared" si="93"/>
        <v>0</v>
      </c>
      <c r="R307" s="10" t="str">
        <f t="shared" si="83"/>
        <v>0_Pre</v>
      </c>
      <c r="S307" s="10" t="str">
        <f t="shared" si="84"/>
        <v>0_Pre</v>
      </c>
      <c r="T307" s="10" t="str">
        <f t="shared" si="85"/>
        <v>0_Pre</v>
      </c>
      <c r="U307" s="10" t="str">
        <f t="shared" si="86"/>
        <v>1_Post</v>
      </c>
      <c r="V307" s="10" t="str">
        <f t="shared" si="94"/>
        <v>0_Pre</v>
      </c>
      <c r="W307" s="10" t="str">
        <f t="shared" si="87"/>
        <v>straddle</v>
      </c>
      <c r="X307" s="10" t="str">
        <f t="shared" si="88"/>
        <v>0_Pre</v>
      </c>
      <c r="Y307" s="10" t="str">
        <f t="shared" si="89"/>
        <v>0_Pre</v>
      </c>
      <c r="Z307" s="10" t="str">
        <f t="shared" si="90"/>
        <v>0_Pre</v>
      </c>
      <c r="AA307" s="10" t="str">
        <f t="shared" si="95"/>
        <v>0_Pre</v>
      </c>
      <c r="AB307" s="10" t="str">
        <f t="shared" si="96"/>
        <v>0_Pre</v>
      </c>
      <c r="AC307" s="10" t="str">
        <f t="shared" si="97"/>
        <v>0_Pre</v>
      </c>
      <c r="AD307" s="10" t="str">
        <f t="shared" si="98"/>
        <v>2_post sample median</v>
      </c>
      <c r="AE307" s="10" t="str">
        <f t="shared" si="99"/>
        <v>2_in sample second tertile</v>
      </c>
      <c r="AF307" t="s">
        <v>67</v>
      </c>
      <c r="AG307" t="s">
        <v>75</v>
      </c>
      <c r="AH307" t="s">
        <v>78</v>
      </c>
      <c r="AI307" t="s">
        <v>70</v>
      </c>
      <c r="AJ307" t="s">
        <v>70</v>
      </c>
      <c r="AK307" t="str">
        <f>VLOOKUP(MID($AR307,1,255),country_lookup!$B:$F,2,FALSE)</f>
        <v>99_NCE</v>
      </c>
      <c r="AL307" t="str">
        <f>VLOOKUP(MID($AR307,1,255),country_lookup!$B:$F,3,FALSE)</f>
        <v>99_NCE</v>
      </c>
      <c r="AM307" t="str">
        <f>VLOOKUP(MID($AR307,1,255),country_lookup!$B:$F,4,FALSE)</f>
        <v>99_NCE</v>
      </c>
      <c r="AN307" t="str">
        <f>VLOOKUP(MID($AR307,1,255),country_lookup!$B:$F,5,FALSE)</f>
        <v>99_NCE</v>
      </c>
      <c r="AO307" s="10" t="str">
        <f>VLOOKUP(MID($AS307,1,255),source_lookup!$B:$K,4,FALSE)</f>
        <v>0_published</v>
      </c>
      <c r="AP307" s="10" t="str">
        <f>VLOOKUP(MID($AS307,1,255),source_lookup!$B:$K,6,FALSE)</f>
        <v>0_VHB low</v>
      </c>
      <c r="AQ307" s="10" t="str">
        <f>VLOOKUP(MID($AS307,1,255),source_lookup!$B:$K,10,FALSE)</f>
        <v>2_sust</v>
      </c>
      <c r="AR307" t="s">
        <v>90</v>
      </c>
      <c r="AS307" t="s">
        <v>135</v>
      </c>
    </row>
    <row r="308" spans="1:45" x14ac:dyDescent="0.3">
      <c r="A308" t="s">
        <v>11</v>
      </c>
      <c r="B308">
        <v>307</v>
      </c>
      <c r="C308" s="1">
        <v>-1.9400074849513175E-3</v>
      </c>
      <c r="D308" s="2">
        <v>380</v>
      </c>
      <c r="E308" s="4">
        <v>2657</v>
      </c>
      <c r="F308" s="4" t="s">
        <v>347</v>
      </c>
      <c r="G308" s="4" t="s">
        <v>346</v>
      </c>
      <c r="H308" t="s">
        <v>77</v>
      </c>
      <c r="I308" t="s">
        <v>352</v>
      </c>
      <c r="J308" s="3">
        <v>2010</v>
      </c>
      <c r="K308" s="3">
        <v>2016</v>
      </c>
      <c r="L308" s="6">
        <f t="shared" si="91"/>
        <v>2013</v>
      </c>
      <c r="M308" s="6">
        <f t="shared" si="92"/>
        <v>2013</v>
      </c>
      <c r="N308" s="7">
        <f t="shared" si="80"/>
        <v>0.14285714285714285</v>
      </c>
      <c r="O308" s="7">
        <f t="shared" si="81"/>
        <v>0</v>
      </c>
      <c r="P308" s="7">
        <f t="shared" si="82"/>
        <v>0</v>
      </c>
      <c r="Q308" s="7">
        <f t="shared" si="93"/>
        <v>0</v>
      </c>
      <c r="R308" s="10" t="str">
        <f t="shared" si="83"/>
        <v>0_Pre</v>
      </c>
      <c r="S308" s="10" t="str">
        <f t="shared" si="84"/>
        <v>0_Pre</v>
      </c>
      <c r="T308" s="10" t="str">
        <f t="shared" si="85"/>
        <v>0_Pre</v>
      </c>
      <c r="U308" s="10" t="str">
        <f t="shared" si="86"/>
        <v>1_Post</v>
      </c>
      <c r="V308" s="10" t="str">
        <f t="shared" si="94"/>
        <v>0_Pre</v>
      </c>
      <c r="W308" s="10" t="str">
        <f t="shared" si="87"/>
        <v>straddle</v>
      </c>
      <c r="X308" s="10" t="str">
        <f t="shared" si="88"/>
        <v>0_Pre</v>
      </c>
      <c r="Y308" s="10" t="str">
        <f t="shared" si="89"/>
        <v>0_Pre</v>
      </c>
      <c r="Z308" s="10" t="str">
        <f t="shared" si="90"/>
        <v>0_Pre</v>
      </c>
      <c r="AA308" s="10" t="str">
        <f t="shared" si="95"/>
        <v>0_Pre</v>
      </c>
      <c r="AB308" s="10" t="str">
        <f t="shared" si="96"/>
        <v>0_Pre</v>
      </c>
      <c r="AC308" s="10" t="str">
        <f t="shared" si="97"/>
        <v>0_Pre</v>
      </c>
      <c r="AD308" s="10" t="str">
        <f t="shared" si="98"/>
        <v>2_post sample median</v>
      </c>
      <c r="AE308" s="10" t="str">
        <f t="shared" si="99"/>
        <v>2_in sample second tertile</v>
      </c>
      <c r="AF308" t="s">
        <v>67</v>
      </c>
      <c r="AG308" t="s">
        <v>75</v>
      </c>
      <c r="AH308" t="s">
        <v>78</v>
      </c>
      <c r="AI308" t="s">
        <v>70</v>
      </c>
      <c r="AJ308" t="s">
        <v>70</v>
      </c>
      <c r="AK308" t="str">
        <f>VLOOKUP(MID($AR308,1,255),country_lookup!$B:$F,2,FALSE)</f>
        <v>99_NCE</v>
      </c>
      <c r="AL308" t="str">
        <f>VLOOKUP(MID($AR308,1,255),country_lookup!$B:$F,3,FALSE)</f>
        <v>99_NCE</v>
      </c>
      <c r="AM308" t="str">
        <f>VLOOKUP(MID($AR308,1,255),country_lookup!$B:$F,4,FALSE)</f>
        <v>99_NCE</v>
      </c>
      <c r="AN308" t="str">
        <f>VLOOKUP(MID($AR308,1,255),country_lookup!$B:$F,5,FALSE)</f>
        <v>99_NCE</v>
      </c>
      <c r="AO308" s="10" t="str">
        <f>VLOOKUP(MID($AS308,1,255),source_lookup!$B:$K,4,FALSE)</f>
        <v>0_published</v>
      </c>
      <c r="AP308" s="10" t="str">
        <f>VLOOKUP(MID($AS308,1,255),source_lookup!$B:$K,6,FALSE)</f>
        <v>0_VHB low</v>
      </c>
      <c r="AQ308" s="10" t="str">
        <f>VLOOKUP(MID($AS308,1,255),source_lookup!$B:$K,10,FALSE)</f>
        <v>2_sust</v>
      </c>
      <c r="AR308" t="s">
        <v>90</v>
      </c>
      <c r="AS308" t="s">
        <v>135</v>
      </c>
    </row>
    <row r="309" spans="1:45" x14ac:dyDescent="0.3">
      <c r="A309" t="s">
        <v>11</v>
      </c>
      <c r="B309">
        <v>308</v>
      </c>
      <c r="C309" s="1">
        <v>-1.914222630177189E-3</v>
      </c>
      <c r="D309" s="2">
        <v>475</v>
      </c>
      <c r="E309" s="4">
        <v>3328</v>
      </c>
      <c r="F309" s="4" t="s">
        <v>347</v>
      </c>
      <c r="G309" s="4" t="s">
        <v>346</v>
      </c>
      <c r="H309" t="s">
        <v>77</v>
      </c>
      <c r="I309" t="s">
        <v>352</v>
      </c>
      <c r="J309" s="3">
        <v>2010</v>
      </c>
      <c r="K309" s="3">
        <v>2016</v>
      </c>
      <c r="L309" s="6">
        <f t="shared" si="91"/>
        <v>2013</v>
      </c>
      <c r="M309" s="6">
        <f t="shared" si="92"/>
        <v>2013</v>
      </c>
      <c r="N309" s="7">
        <f t="shared" si="80"/>
        <v>0.14285714285714285</v>
      </c>
      <c r="O309" s="7">
        <f t="shared" si="81"/>
        <v>0</v>
      </c>
      <c r="P309" s="7">
        <f t="shared" si="82"/>
        <v>0</v>
      </c>
      <c r="Q309" s="7">
        <f t="shared" si="93"/>
        <v>0</v>
      </c>
      <c r="R309" s="10" t="str">
        <f t="shared" si="83"/>
        <v>0_Pre</v>
      </c>
      <c r="S309" s="10" t="str">
        <f t="shared" si="84"/>
        <v>0_Pre</v>
      </c>
      <c r="T309" s="10" t="str">
        <f t="shared" si="85"/>
        <v>0_Pre</v>
      </c>
      <c r="U309" s="10" t="str">
        <f t="shared" si="86"/>
        <v>1_Post</v>
      </c>
      <c r="V309" s="10" t="str">
        <f t="shared" si="94"/>
        <v>0_Pre</v>
      </c>
      <c r="W309" s="10" t="str">
        <f t="shared" si="87"/>
        <v>straddle</v>
      </c>
      <c r="X309" s="10" t="str">
        <f t="shared" si="88"/>
        <v>0_Pre</v>
      </c>
      <c r="Y309" s="10" t="str">
        <f t="shared" si="89"/>
        <v>0_Pre</v>
      </c>
      <c r="Z309" s="10" t="str">
        <f t="shared" si="90"/>
        <v>0_Pre</v>
      </c>
      <c r="AA309" s="10" t="str">
        <f t="shared" si="95"/>
        <v>0_Pre</v>
      </c>
      <c r="AB309" s="10" t="str">
        <f t="shared" si="96"/>
        <v>0_Pre</v>
      </c>
      <c r="AC309" s="10" t="str">
        <f t="shared" si="97"/>
        <v>0_Pre</v>
      </c>
      <c r="AD309" s="10" t="str">
        <f t="shared" si="98"/>
        <v>2_post sample median</v>
      </c>
      <c r="AE309" s="10" t="str">
        <f t="shared" si="99"/>
        <v>2_in sample second tertile</v>
      </c>
      <c r="AF309" t="s">
        <v>67</v>
      </c>
      <c r="AG309" t="s">
        <v>75</v>
      </c>
      <c r="AH309" t="s">
        <v>78</v>
      </c>
      <c r="AI309" t="s">
        <v>70</v>
      </c>
      <c r="AJ309" t="s">
        <v>70</v>
      </c>
      <c r="AK309" t="str">
        <f>VLOOKUP(MID($AR309,1,255),country_lookup!$B:$F,2,FALSE)</f>
        <v>99_NCE</v>
      </c>
      <c r="AL309" t="str">
        <f>VLOOKUP(MID($AR309,1,255),country_lookup!$B:$F,3,FALSE)</f>
        <v>99_NCE</v>
      </c>
      <c r="AM309" t="str">
        <f>VLOOKUP(MID($AR309,1,255),country_lookup!$B:$F,4,FALSE)</f>
        <v>99_NCE</v>
      </c>
      <c r="AN309" t="str">
        <f>VLOOKUP(MID($AR309,1,255),country_lookup!$B:$F,5,FALSE)</f>
        <v>99_NCE</v>
      </c>
      <c r="AO309" s="10" t="str">
        <f>VLOOKUP(MID($AS309,1,255),source_lookup!$B:$K,4,FALSE)</f>
        <v>0_published</v>
      </c>
      <c r="AP309" s="10" t="str">
        <f>VLOOKUP(MID($AS309,1,255),source_lookup!$B:$K,6,FALSE)</f>
        <v>0_VHB low</v>
      </c>
      <c r="AQ309" s="10" t="str">
        <f>VLOOKUP(MID($AS309,1,255),source_lookup!$B:$K,10,FALSE)</f>
        <v>2_sust</v>
      </c>
      <c r="AR309" t="s">
        <v>90</v>
      </c>
      <c r="AS309" t="s">
        <v>135</v>
      </c>
    </row>
    <row r="310" spans="1:45" x14ac:dyDescent="0.3">
      <c r="A310" t="s">
        <v>11</v>
      </c>
      <c r="B310">
        <v>309</v>
      </c>
      <c r="C310" s="1">
        <v>-1.8728364053999112E-3</v>
      </c>
      <c r="D310" s="2">
        <v>447</v>
      </c>
      <c r="E310" s="4">
        <v>3129</v>
      </c>
      <c r="F310" s="4" t="s">
        <v>347</v>
      </c>
      <c r="G310" s="4" t="s">
        <v>346</v>
      </c>
      <c r="H310" t="s">
        <v>77</v>
      </c>
      <c r="I310" t="s">
        <v>352</v>
      </c>
      <c r="J310" s="3">
        <v>2010</v>
      </c>
      <c r="K310" s="3">
        <v>2016</v>
      </c>
      <c r="L310" s="6">
        <f t="shared" si="91"/>
        <v>2013</v>
      </c>
      <c r="M310" s="6">
        <f t="shared" si="92"/>
        <v>2013</v>
      </c>
      <c r="N310" s="7">
        <f t="shared" si="80"/>
        <v>0.14285714285714285</v>
      </c>
      <c r="O310" s="7">
        <f t="shared" si="81"/>
        <v>0</v>
      </c>
      <c r="P310" s="7">
        <f t="shared" si="82"/>
        <v>0</v>
      </c>
      <c r="Q310" s="7">
        <f t="shared" si="93"/>
        <v>0</v>
      </c>
      <c r="R310" s="10" t="str">
        <f t="shared" si="83"/>
        <v>0_Pre</v>
      </c>
      <c r="S310" s="10" t="str">
        <f t="shared" si="84"/>
        <v>0_Pre</v>
      </c>
      <c r="T310" s="10" t="str">
        <f t="shared" si="85"/>
        <v>0_Pre</v>
      </c>
      <c r="U310" s="10" t="str">
        <f t="shared" si="86"/>
        <v>1_Post</v>
      </c>
      <c r="V310" s="10" t="str">
        <f t="shared" si="94"/>
        <v>0_Pre</v>
      </c>
      <c r="W310" s="10" t="str">
        <f t="shared" si="87"/>
        <v>straddle</v>
      </c>
      <c r="X310" s="10" t="str">
        <f t="shared" si="88"/>
        <v>0_Pre</v>
      </c>
      <c r="Y310" s="10" t="str">
        <f t="shared" si="89"/>
        <v>0_Pre</v>
      </c>
      <c r="Z310" s="10" t="str">
        <f t="shared" si="90"/>
        <v>0_Pre</v>
      </c>
      <c r="AA310" s="10" t="str">
        <f t="shared" si="95"/>
        <v>0_Pre</v>
      </c>
      <c r="AB310" s="10" t="str">
        <f t="shared" si="96"/>
        <v>0_Pre</v>
      </c>
      <c r="AC310" s="10" t="str">
        <f t="shared" si="97"/>
        <v>0_Pre</v>
      </c>
      <c r="AD310" s="10" t="str">
        <f t="shared" si="98"/>
        <v>2_post sample median</v>
      </c>
      <c r="AE310" s="10" t="str">
        <f t="shared" si="99"/>
        <v>2_in sample second tertile</v>
      </c>
      <c r="AF310" t="s">
        <v>67</v>
      </c>
      <c r="AG310" t="s">
        <v>75</v>
      </c>
      <c r="AH310" t="s">
        <v>78</v>
      </c>
      <c r="AI310" t="s">
        <v>70</v>
      </c>
      <c r="AJ310" t="s">
        <v>70</v>
      </c>
      <c r="AK310" t="str">
        <f>VLOOKUP(MID($AR310,1,255),country_lookup!$B:$F,2,FALSE)</f>
        <v>99_NCE</v>
      </c>
      <c r="AL310" t="str">
        <f>VLOOKUP(MID($AR310,1,255),country_lookup!$B:$F,3,FALSE)</f>
        <v>99_NCE</v>
      </c>
      <c r="AM310" t="str">
        <f>VLOOKUP(MID($AR310,1,255),country_lookup!$B:$F,4,FALSE)</f>
        <v>99_NCE</v>
      </c>
      <c r="AN310" t="str">
        <f>VLOOKUP(MID($AR310,1,255),country_lookup!$B:$F,5,FALSE)</f>
        <v>99_NCE</v>
      </c>
      <c r="AO310" s="10" t="str">
        <f>VLOOKUP(MID($AS310,1,255),source_lookup!$B:$K,4,FALSE)</f>
        <v>0_published</v>
      </c>
      <c r="AP310" s="10" t="str">
        <f>VLOOKUP(MID($AS310,1,255),source_lookup!$B:$K,6,FALSE)</f>
        <v>0_VHB low</v>
      </c>
      <c r="AQ310" s="10" t="str">
        <f>VLOOKUP(MID($AS310,1,255),source_lookup!$B:$K,10,FALSE)</f>
        <v>2_sust</v>
      </c>
      <c r="AR310" t="s">
        <v>90</v>
      </c>
      <c r="AS310" t="s">
        <v>135</v>
      </c>
    </row>
    <row r="311" spans="1:45" x14ac:dyDescent="0.3">
      <c r="A311" t="s">
        <v>11</v>
      </c>
      <c r="B311">
        <v>310</v>
      </c>
      <c r="C311" s="1">
        <v>-1.1536320758772567E-3</v>
      </c>
      <c r="D311" s="2">
        <v>546</v>
      </c>
      <c r="E311" s="4">
        <v>2183</v>
      </c>
      <c r="F311" s="4" t="s">
        <v>347</v>
      </c>
      <c r="G311" s="4" t="s">
        <v>346</v>
      </c>
      <c r="H311" t="s">
        <v>77</v>
      </c>
      <c r="I311" t="s">
        <v>352</v>
      </c>
      <c r="J311" s="3">
        <v>2009</v>
      </c>
      <c r="K311" s="3">
        <v>2012</v>
      </c>
      <c r="L311" s="6">
        <f t="shared" si="91"/>
        <v>2010.5</v>
      </c>
      <c r="M311" s="6">
        <f t="shared" si="92"/>
        <v>2010.5</v>
      </c>
      <c r="N311" s="7">
        <f t="shared" si="80"/>
        <v>0</v>
      </c>
      <c r="O311" s="7">
        <f t="shared" si="81"/>
        <v>0</v>
      </c>
      <c r="P311" s="7">
        <f t="shared" si="82"/>
        <v>0</v>
      </c>
      <c r="Q311" s="7">
        <f t="shared" si="93"/>
        <v>0</v>
      </c>
      <c r="R311" s="10" t="str">
        <f t="shared" si="83"/>
        <v>0_Pre</v>
      </c>
      <c r="S311" s="10" t="str">
        <f t="shared" si="84"/>
        <v>0_Pre</v>
      </c>
      <c r="T311" s="10" t="str">
        <f t="shared" si="85"/>
        <v>0_Pre</v>
      </c>
      <c r="U311" s="10" t="str">
        <f t="shared" si="86"/>
        <v>0_Pre</v>
      </c>
      <c r="V311" s="10" t="str">
        <f t="shared" si="94"/>
        <v>0_Pre</v>
      </c>
      <c r="W311" s="10" t="str">
        <f t="shared" si="87"/>
        <v>clean_pre</v>
      </c>
      <c r="X311" s="10" t="str">
        <f t="shared" si="88"/>
        <v>0_Pre</v>
      </c>
      <c r="Y311" s="10" t="str">
        <f t="shared" si="89"/>
        <v>0_Pre</v>
      </c>
      <c r="Z311" s="10" t="str">
        <f t="shared" si="90"/>
        <v>0_Pre</v>
      </c>
      <c r="AA311" s="10" t="str">
        <f t="shared" si="95"/>
        <v>0_Pre</v>
      </c>
      <c r="AB311" s="10" t="str">
        <f t="shared" si="96"/>
        <v>0_Pre</v>
      </c>
      <c r="AC311" s="10" t="str">
        <f t="shared" si="97"/>
        <v>0_Pre</v>
      </c>
      <c r="AD311" s="10" t="str">
        <f t="shared" si="98"/>
        <v>1_pre sample median</v>
      </c>
      <c r="AE311" s="10" t="str">
        <f t="shared" si="99"/>
        <v>1_pre sample first tertile</v>
      </c>
      <c r="AF311" t="s">
        <v>67</v>
      </c>
      <c r="AG311" t="s">
        <v>75</v>
      </c>
      <c r="AH311" t="s">
        <v>78</v>
      </c>
      <c r="AI311" t="s">
        <v>70</v>
      </c>
      <c r="AJ311" t="s">
        <v>70</v>
      </c>
      <c r="AK311" t="str">
        <f>VLOOKUP(MID($AR311,1,255),country_lookup!$B:$F,2,FALSE)</f>
        <v>99_NCE</v>
      </c>
      <c r="AL311" t="str">
        <f>VLOOKUP(MID($AR311,1,255),country_lookup!$B:$F,3,FALSE)</f>
        <v>99_NCE</v>
      </c>
      <c r="AM311" t="str">
        <f>VLOOKUP(MID($AR311,1,255),country_lookup!$B:$F,4,FALSE)</f>
        <v>99_NCE</v>
      </c>
      <c r="AN311" t="str">
        <f>VLOOKUP(MID($AR311,1,255),country_lookup!$B:$F,5,FALSE)</f>
        <v>99_NCE</v>
      </c>
      <c r="AO311" s="10" t="str">
        <f>VLOOKUP(MID($AS311,1,255),source_lookup!$B:$K,4,FALSE)</f>
        <v>0_published</v>
      </c>
      <c r="AP311" s="10" t="str">
        <f>VLOOKUP(MID($AS311,1,255),source_lookup!$B:$K,6,FALSE)</f>
        <v>0_VHB low</v>
      </c>
      <c r="AQ311" s="10" t="str">
        <f>VLOOKUP(MID($AS311,1,255),source_lookup!$B:$K,10,FALSE)</f>
        <v>2_sust</v>
      </c>
      <c r="AR311" t="s">
        <v>90</v>
      </c>
      <c r="AS311" t="s">
        <v>135</v>
      </c>
    </row>
    <row r="312" spans="1:45" x14ac:dyDescent="0.3">
      <c r="A312" t="s">
        <v>11</v>
      </c>
      <c r="B312">
        <v>311</v>
      </c>
      <c r="C312" s="1">
        <v>-9.9997772341846383E-3</v>
      </c>
      <c r="D312" s="2">
        <v>682</v>
      </c>
      <c r="E312" s="4">
        <v>2045</v>
      </c>
      <c r="F312" s="4" t="s">
        <v>347</v>
      </c>
      <c r="G312" s="4" t="s">
        <v>346</v>
      </c>
      <c r="H312" t="s">
        <v>77</v>
      </c>
      <c r="I312" t="s">
        <v>352</v>
      </c>
      <c r="J312" s="3">
        <v>2013</v>
      </c>
      <c r="K312" s="3">
        <v>2015</v>
      </c>
      <c r="L312" s="6">
        <f t="shared" si="91"/>
        <v>2014</v>
      </c>
      <c r="M312" s="6">
        <f t="shared" si="92"/>
        <v>2014</v>
      </c>
      <c r="N312" s="7">
        <f t="shared" si="80"/>
        <v>0</v>
      </c>
      <c r="O312" s="7">
        <f t="shared" si="81"/>
        <v>0</v>
      </c>
      <c r="P312" s="7">
        <f t="shared" si="82"/>
        <v>0</v>
      </c>
      <c r="Q312" s="7">
        <f t="shared" si="93"/>
        <v>0</v>
      </c>
      <c r="R312" s="10" t="str">
        <f t="shared" si="83"/>
        <v>0_Pre</v>
      </c>
      <c r="S312" s="10" t="str">
        <f t="shared" si="84"/>
        <v>0_Pre</v>
      </c>
      <c r="T312" s="10" t="str">
        <f t="shared" si="85"/>
        <v>0_Pre</v>
      </c>
      <c r="U312" s="10" t="str">
        <f t="shared" si="86"/>
        <v>0_Pre</v>
      </c>
      <c r="V312" s="10" t="str">
        <f t="shared" si="94"/>
        <v>0_Pre</v>
      </c>
      <c r="W312" s="10" t="str">
        <f t="shared" si="87"/>
        <v>clean_pre</v>
      </c>
      <c r="X312" s="10" t="str">
        <f t="shared" si="88"/>
        <v>0_Pre</v>
      </c>
      <c r="Y312" s="10" t="str">
        <f t="shared" si="89"/>
        <v>0_Pre</v>
      </c>
      <c r="Z312" s="10" t="str">
        <f t="shared" si="90"/>
        <v>0_Pre</v>
      </c>
      <c r="AA312" s="10" t="str">
        <f t="shared" si="95"/>
        <v>0_Pre</v>
      </c>
      <c r="AB312" s="10" t="str">
        <f t="shared" si="96"/>
        <v>0_Pre</v>
      </c>
      <c r="AC312" s="10" t="str">
        <f t="shared" si="97"/>
        <v>0_Pre</v>
      </c>
      <c r="AD312" s="10" t="str">
        <f t="shared" si="98"/>
        <v>2_post sample median</v>
      </c>
      <c r="AE312" s="10" t="str">
        <f t="shared" si="99"/>
        <v>3_post sample third tertile</v>
      </c>
      <c r="AF312" t="s">
        <v>67</v>
      </c>
      <c r="AG312" t="s">
        <v>75</v>
      </c>
      <c r="AH312" t="s">
        <v>78</v>
      </c>
      <c r="AI312" t="s">
        <v>70</v>
      </c>
      <c r="AJ312" t="s">
        <v>70</v>
      </c>
      <c r="AK312" t="str">
        <f>VLOOKUP(MID($AR312,1,255),country_lookup!$B:$F,2,FALSE)</f>
        <v>99_NCE</v>
      </c>
      <c r="AL312" t="str">
        <f>VLOOKUP(MID($AR312,1,255),country_lookup!$B:$F,3,FALSE)</f>
        <v>99_NCE</v>
      </c>
      <c r="AM312" t="str">
        <f>VLOOKUP(MID($AR312,1,255),country_lookup!$B:$F,4,FALSE)</f>
        <v>99_NCE</v>
      </c>
      <c r="AN312" t="str">
        <f>VLOOKUP(MID($AR312,1,255),country_lookup!$B:$F,5,FALSE)</f>
        <v>99_NCE</v>
      </c>
      <c r="AO312" s="10" t="str">
        <f>VLOOKUP(MID($AS312,1,255),source_lookup!$B:$K,4,FALSE)</f>
        <v>0_published</v>
      </c>
      <c r="AP312" s="10" t="str">
        <f>VLOOKUP(MID($AS312,1,255),source_lookup!$B:$K,6,FALSE)</f>
        <v>0_VHB low</v>
      </c>
      <c r="AQ312" s="10" t="str">
        <f>VLOOKUP(MID($AS312,1,255),source_lookup!$B:$K,10,FALSE)</f>
        <v>2_sust</v>
      </c>
      <c r="AR312" t="s">
        <v>90</v>
      </c>
      <c r="AS312" t="s">
        <v>135</v>
      </c>
    </row>
    <row r="313" spans="1:45" x14ac:dyDescent="0.3">
      <c r="A313" t="s">
        <v>11</v>
      </c>
      <c r="B313">
        <v>312</v>
      </c>
      <c r="C313" s="1">
        <v>-2.0435095337580644E-3</v>
      </c>
      <c r="D313" s="2">
        <v>483</v>
      </c>
      <c r="E313" s="4">
        <v>966</v>
      </c>
      <c r="F313" s="4" t="s">
        <v>347</v>
      </c>
      <c r="G313" s="4" t="s">
        <v>346</v>
      </c>
      <c r="H313" t="s">
        <v>77</v>
      </c>
      <c r="I313" t="s">
        <v>352</v>
      </c>
      <c r="J313" s="3">
        <v>2009</v>
      </c>
      <c r="K313" s="3">
        <v>2010</v>
      </c>
      <c r="L313" s="6">
        <f t="shared" si="91"/>
        <v>2009.5</v>
      </c>
      <c r="M313" s="6">
        <f t="shared" si="92"/>
        <v>2009.5</v>
      </c>
      <c r="N313" s="7">
        <f t="shared" si="80"/>
        <v>0</v>
      </c>
      <c r="O313" s="7">
        <f t="shared" si="81"/>
        <v>0</v>
      </c>
      <c r="P313" s="7">
        <f t="shared" si="82"/>
        <v>0</v>
      </c>
      <c r="Q313" s="7">
        <f t="shared" si="93"/>
        <v>0</v>
      </c>
      <c r="R313" s="10" t="str">
        <f t="shared" si="83"/>
        <v>0_Pre</v>
      </c>
      <c r="S313" s="10" t="str">
        <f t="shared" si="84"/>
        <v>0_Pre</v>
      </c>
      <c r="T313" s="10" t="str">
        <f t="shared" si="85"/>
        <v>0_Pre</v>
      </c>
      <c r="U313" s="10" t="str">
        <f t="shared" si="86"/>
        <v>0_Pre</v>
      </c>
      <c r="V313" s="10" t="str">
        <f t="shared" si="94"/>
        <v>0_Pre</v>
      </c>
      <c r="W313" s="10" t="str">
        <f t="shared" si="87"/>
        <v>clean_pre</v>
      </c>
      <c r="X313" s="10" t="str">
        <f t="shared" si="88"/>
        <v>0_Pre</v>
      </c>
      <c r="Y313" s="10" t="str">
        <f t="shared" si="89"/>
        <v>0_Pre</v>
      </c>
      <c r="Z313" s="10" t="str">
        <f t="shared" si="90"/>
        <v>0_Pre</v>
      </c>
      <c r="AA313" s="10" t="str">
        <f t="shared" si="95"/>
        <v>0_Pre</v>
      </c>
      <c r="AB313" s="10" t="str">
        <f t="shared" si="96"/>
        <v>0_Pre</v>
      </c>
      <c r="AC313" s="10" t="str">
        <f t="shared" si="97"/>
        <v>0_Pre</v>
      </c>
      <c r="AD313" s="10" t="str">
        <f t="shared" si="98"/>
        <v>1_pre sample median</v>
      </c>
      <c r="AE313" s="10" t="str">
        <f t="shared" si="99"/>
        <v>1_pre sample first tertile</v>
      </c>
      <c r="AF313" t="s">
        <v>67</v>
      </c>
      <c r="AG313" t="s">
        <v>75</v>
      </c>
      <c r="AH313" t="s">
        <v>78</v>
      </c>
      <c r="AI313" t="s">
        <v>70</v>
      </c>
      <c r="AJ313" t="s">
        <v>70</v>
      </c>
      <c r="AK313" t="str">
        <f>VLOOKUP(MID($AR313,1,255),country_lookup!$B:$F,2,FALSE)</f>
        <v>99_NCE</v>
      </c>
      <c r="AL313" t="str">
        <f>VLOOKUP(MID($AR313,1,255),country_lookup!$B:$F,3,FALSE)</f>
        <v>99_NCE</v>
      </c>
      <c r="AM313" t="str">
        <f>VLOOKUP(MID($AR313,1,255),country_lookup!$B:$F,4,FALSE)</f>
        <v>99_NCE</v>
      </c>
      <c r="AN313" t="str">
        <f>VLOOKUP(MID($AR313,1,255),country_lookup!$B:$F,5,FALSE)</f>
        <v>99_NCE</v>
      </c>
      <c r="AO313" s="10" t="str">
        <f>VLOOKUP(MID($AS313,1,255),source_lookup!$B:$K,4,FALSE)</f>
        <v>0_published</v>
      </c>
      <c r="AP313" s="10" t="str">
        <f>VLOOKUP(MID($AS313,1,255),source_lookup!$B:$K,6,FALSE)</f>
        <v>0_VHB low</v>
      </c>
      <c r="AQ313" s="10" t="str">
        <f>VLOOKUP(MID($AS313,1,255),source_lookup!$B:$K,10,FALSE)</f>
        <v>2_sust</v>
      </c>
      <c r="AR313" t="s">
        <v>90</v>
      </c>
      <c r="AS313" t="s">
        <v>135</v>
      </c>
    </row>
    <row r="314" spans="1:45" x14ac:dyDescent="0.3">
      <c r="A314" t="s">
        <v>11</v>
      </c>
      <c r="B314">
        <v>313</v>
      </c>
      <c r="C314" s="1">
        <v>-1.7891662444930682E-3</v>
      </c>
      <c r="D314" s="2">
        <v>609</v>
      </c>
      <c r="E314" s="4">
        <v>1217</v>
      </c>
      <c r="F314" s="4" t="s">
        <v>347</v>
      </c>
      <c r="G314" s="4" t="s">
        <v>346</v>
      </c>
      <c r="H314" t="s">
        <v>77</v>
      </c>
      <c r="I314" t="s">
        <v>352</v>
      </c>
      <c r="J314" s="3">
        <v>2011</v>
      </c>
      <c r="K314" s="3">
        <v>2012</v>
      </c>
      <c r="L314" s="6">
        <f t="shared" si="91"/>
        <v>2011.5</v>
      </c>
      <c r="M314" s="6">
        <f t="shared" si="92"/>
        <v>2011.5</v>
      </c>
      <c r="N314" s="7">
        <f t="shared" si="80"/>
        <v>0</v>
      </c>
      <c r="O314" s="7">
        <f t="shared" si="81"/>
        <v>0</v>
      </c>
      <c r="P314" s="7">
        <f t="shared" si="82"/>
        <v>0</v>
      </c>
      <c r="Q314" s="7">
        <f t="shared" si="93"/>
        <v>0</v>
      </c>
      <c r="R314" s="10" t="str">
        <f t="shared" si="83"/>
        <v>0_Pre</v>
      </c>
      <c r="S314" s="10" t="str">
        <f t="shared" si="84"/>
        <v>0_Pre</v>
      </c>
      <c r="T314" s="10" t="str">
        <f t="shared" si="85"/>
        <v>0_Pre</v>
      </c>
      <c r="U314" s="10" t="str">
        <f t="shared" si="86"/>
        <v>0_Pre</v>
      </c>
      <c r="V314" s="10" t="str">
        <f t="shared" si="94"/>
        <v>0_Pre</v>
      </c>
      <c r="W314" s="10" t="str">
        <f t="shared" si="87"/>
        <v>clean_pre</v>
      </c>
      <c r="X314" s="10" t="str">
        <f t="shared" si="88"/>
        <v>0_Pre</v>
      </c>
      <c r="Y314" s="10" t="str">
        <f t="shared" si="89"/>
        <v>0_Pre</v>
      </c>
      <c r="Z314" s="10" t="str">
        <f t="shared" si="90"/>
        <v>0_Pre</v>
      </c>
      <c r="AA314" s="10" t="str">
        <f t="shared" si="95"/>
        <v>0_Pre</v>
      </c>
      <c r="AB314" s="10" t="str">
        <f t="shared" si="96"/>
        <v>0_Pre</v>
      </c>
      <c r="AC314" s="10" t="str">
        <f t="shared" si="97"/>
        <v>0_Pre</v>
      </c>
      <c r="AD314" s="10" t="str">
        <f t="shared" si="98"/>
        <v>1_pre sample median</v>
      </c>
      <c r="AE314" s="10" t="str">
        <f t="shared" si="99"/>
        <v>2_in sample second tertile</v>
      </c>
      <c r="AF314" t="s">
        <v>67</v>
      </c>
      <c r="AG314" t="s">
        <v>75</v>
      </c>
      <c r="AH314" t="s">
        <v>78</v>
      </c>
      <c r="AI314" t="s">
        <v>70</v>
      </c>
      <c r="AJ314" t="s">
        <v>70</v>
      </c>
      <c r="AK314" t="str">
        <f>VLOOKUP(MID($AR314,1,255),country_lookup!$B:$F,2,FALSE)</f>
        <v>99_NCE</v>
      </c>
      <c r="AL314" t="str">
        <f>VLOOKUP(MID($AR314,1,255),country_lookup!$B:$F,3,FALSE)</f>
        <v>99_NCE</v>
      </c>
      <c r="AM314" t="str">
        <f>VLOOKUP(MID($AR314,1,255),country_lookup!$B:$F,4,FALSE)</f>
        <v>99_NCE</v>
      </c>
      <c r="AN314" t="str">
        <f>VLOOKUP(MID($AR314,1,255),country_lookup!$B:$F,5,FALSE)</f>
        <v>99_NCE</v>
      </c>
      <c r="AO314" s="10" t="str">
        <f>VLOOKUP(MID($AS314,1,255),source_lookup!$B:$K,4,FALSE)</f>
        <v>0_published</v>
      </c>
      <c r="AP314" s="10" t="str">
        <f>VLOOKUP(MID($AS314,1,255),source_lookup!$B:$K,6,FALSE)</f>
        <v>0_VHB low</v>
      </c>
      <c r="AQ314" s="10" t="str">
        <f>VLOOKUP(MID($AS314,1,255),source_lookup!$B:$K,10,FALSE)</f>
        <v>2_sust</v>
      </c>
      <c r="AR314" t="s">
        <v>90</v>
      </c>
      <c r="AS314" t="s">
        <v>135</v>
      </c>
    </row>
    <row r="315" spans="1:45" x14ac:dyDescent="0.3">
      <c r="A315" t="s">
        <v>11</v>
      </c>
      <c r="B315">
        <v>314</v>
      </c>
      <c r="C315" s="1">
        <v>-1.32397346508201E-3</v>
      </c>
      <c r="D315" s="2">
        <v>677</v>
      </c>
      <c r="E315" s="4">
        <v>1354</v>
      </c>
      <c r="F315" s="4" t="s">
        <v>347</v>
      </c>
      <c r="G315" s="4" t="s">
        <v>346</v>
      </c>
      <c r="H315" t="s">
        <v>77</v>
      </c>
      <c r="I315" t="s">
        <v>352</v>
      </c>
      <c r="J315" s="3">
        <v>2013</v>
      </c>
      <c r="K315" s="3">
        <v>2014</v>
      </c>
      <c r="L315" s="6">
        <f t="shared" si="91"/>
        <v>2013.5</v>
      </c>
      <c r="M315" s="6">
        <f t="shared" si="92"/>
        <v>2013.5</v>
      </c>
      <c r="N315" s="7">
        <f t="shared" si="80"/>
        <v>0</v>
      </c>
      <c r="O315" s="7">
        <f t="shared" si="81"/>
        <v>0</v>
      </c>
      <c r="P315" s="7">
        <f t="shared" si="82"/>
        <v>0</v>
      </c>
      <c r="Q315" s="7">
        <f t="shared" si="93"/>
        <v>0</v>
      </c>
      <c r="R315" s="10" t="str">
        <f t="shared" si="83"/>
        <v>0_Pre</v>
      </c>
      <c r="S315" s="10" t="str">
        <f t="shared" si="84"/>
        <v>0_Pre</v>
      </c>
      <c r="T315" s="10" t="str">
        <f t="shared" si="85"/>
        <v>0_Pre</v>
      </c>
      <c r="U315" s="10" t="str">
        <f t="shared" si="86"/>
        <v>0_Pre</v>
      </c>
      <c r="V315" s="10" t="str">
        <f t="shared" si="94"/>
        <v>0_Pre</v>
      </c>
      <c r="W315" s="10" t="str">
        <f t="shared" si="87"/>
        <v>clean_pre</v>
      </c>
      <c r="X315" s="10" t="str">
        <f t="shared" si="88"/>
        <v>0_Pre</v>
      </c>
      <c r="Y315" s="10" t="str">
        <f t="shared" si="89"/>
        <v>0_Pre</v>
      </c>
      <c r="Z315" s="10" t="str">
        <f t="shared" si="90"/>
        <v>0_Pre</v>
      </c>
      <c r="AA315" s="10" t="str">
        <f t="shared" si="95"/>
        <v>0_Pre</v>
      </c>
      <c r="AB315" s="10" t="str">
        <f t="shared" si="96"/>
        <v>0_Pre</v>
      </c>
      <c r="AC315" s="10" t="str">
        <f t="shared" si="97"/>
        <v>0_Pre</v>
      </c>
      <c r="AD315" s="10" t="str">
        <f t="shared" si="98"/>
        <v>2_post sample median</v>
      </c>
      <c r="AE315" s="10" t="str">
        <f t="shared" si="99"/>
        <v>2_in sample second tertile</v>
      </c>
      <c r="AF315" t="s">
        <v>67</v>
      </c>
      <c r="AG315" t="s">
        <v>75</v>
      </c>
      <c r="AH315" t="s">
        <v>78</v>
      </c>
      <c r="AI315" t="s">
        <v>70</v>
      </c>
      <c r="AJ315" t="s">
        <v>70</v>
      </c>
      <c r="AK315" t="str">
        <f>VLOOKUP(MID($AR315,1,255),country_lookup!$B:$F,2,FALSE)</f>
        <v>99_NCE</v>
      </c>
      <c r="AL315" t="str">
        <f>VLOOKUP(MID($AR315,1,255),country_lookup!$B:$F,3,FALSE)</f>
        <v>99_NCE</v>
      </c>
      <c r="AM315" t="str">
        <f>VLOOKUP(MID($AR315,1,255),country_lookup!$B:$F,4,FALSE)</f>
        <v>99_NCE</v>
      </c>
      <c r="AN315" t="str">
        <f>VLOOKUP(MID($AR315,1,255),country_lookup!$B:$F,5,FALSE)</f>
        <v>99_NCE</v>
      </c>
      <c r="AO315" s="10" t="str">
        <f>VLOOKUP(MID($AS315,1,255),source_lookup!$B:$K,4,FALSE)</f>
        <v>0_published</v>
      </c>
      <c r="AP315" s="10" t="str">
        <f>VLOOKUP(MID($AS315,1,255),source_lookup!$B:$K,6,FALSE)</f>
        <v>0_VHB low</v>
      </c>
      <c r="AQ315" s="10" t="str">
        <f>VLOOKUP(MID($AS315,1,255),source_lookup!$B:$K,10,FALSE)</f>
        <v>2_sust</v>
      </c>
      <c r="AR315" t="s">
        <v>90</v>
      </c>
      <c r="AS315" t="s">
        <v>135</v>
      </c>
    </row>
    <row r="316" spans="1:45" x14ac:dyDescent="0.3">
      <c r="A316" t="s">
        <v>11</v>
      </c>
      <c r="B316">
        <v>315</v>
      </c>
      <c r="C316" s="1">
        <v>-2.0563087793120526E-3</v>
      </c>
      <c r="D316" s="2">
        <v>691</v>
      </c>
      <c r="E316" s="4">
        <v>691</v>
      </c>
      <c r="F316" s="4" t="s">
        <v>347</v>
      </c>
      <c r="G316" s="4" t="s">
        <v>346</v>
      </c>
      <c r="H316" t="s">
        <v>77</v>
      </c>
      <c r="I316" t="s">
        <v>352</v>
      </c>
      <c r="J316" s="3">
        <v>2015</v>
      </c>
      <c r="K316" s="3">
        <v>2015</v>
      </c>
      <c r="L316" s="6">
        <f t="shared" si="91"/>
        <v>2015</v>
      </c>
      <c r="M316" s="6">
        <f t="shared" si="92"/>
        <v>2015</v>
      </c>
      <c r="N316" s="7">
        <f t="shared" si="80"/>
        <v>0</v>
      </c>
      <c r="O316" s="7">
        <f t="shared" si="81"/>
        <v>0</v>
      </c>
      <c r="P316" s="7">
        <f t="shared" si="82"/>
        <v>0</v>
      </c>
      <c r="Q316" s="7">
        <f t="shared" si="93"/>
        <v>0</v>
      </c>
      <c r="R316" s="10" t="str">
        <f t="shared" si="83"/>
        <v>0_Pre</v>
      </c>
      <c r="S316" s="10" t="str">
        <f t="shared" si="84"/>
        <v>0_Pre</v>
      </c>
      <c r="T316" s="10" t="str">
        <f t="shared" si="85"/>
        <v>0_Pre</v>
      </c>
      <c r="U316" s="10" t="str">
        <f t="shared" si="86"/>
        <v>0_Pre</v>
      </c>
      <c r="V316" s="10" t="str">
        <f t="shared" si="94"/>
        <v>0_Pre</v>
      </c>
      <c r="W316" s="10" t="str">
        <f t="shared" si="87"/>
        <v>clean_pre</v>
      </c>
      <c r="X316" s="10" t="str">
        <f t="shared" si="88"/>
        <v>0_Pre</v>
      </c>
      <c r="Y316" s="10" t="str">
        <f t="shared" si="89"/>
        <v>0_Pre</v>
      </c>
      <c r="Z316" s="10" t="str">
        <f t="shared" si="90"/>
        <v>0_Pre</v>
      </c>
      <c r="AA316" s="10" t="str">
        <f t="shared" si="95"/>
        <v>0_Pre</v>
      </c>
      <c r="AB316" s="10" t="str">
        <f t="shared" si="96"/>
        <v>0_Pre</v>
      </c>
      <c r="AC316" s="10" t="str">
        <f t="shared" si="97"/>
        <v>0_Pre</v>
      </c>
      <c r="AD316" s="10" t="str">
        <f t="shared" si="98"/>
        <v>2_post sample median</v>
      </c>
      <c r="AE316" s="10" t="str">
        <f t="shared" si="99"/>
        <v>3_post sample third tertile</v>
      </c>
      <c r="AF316" t="s">
        <v>67</v>
      </c>
      <c r="AG316" t="s">
        <v>75</v>
      </c>
      <c r="AH316" t="s">
        <v>78</v>
      </c>
      <c r="AI316" t="s">
        <v>70</v>
      </c>
      <c r="AJ316" t="s">
        <v>70</v>
      </c>
      <c r="AK316" t="str">
        <f>VLOOKUP(MID($AR316,1,255),country_lookup!$B:$F,2,FALSE)</f>
        <v>99_NCE</v>
      </c>
      <c r="AL316" t="str">
        <f>VLOOKUP(MID($AR316,1,255),country_lookup!$B:$F,3,FALSE)</f>
        <v>99_NCE</v>
      </c>
      <c r="AM316" t="str">
        <f>VLOOKUP(MID($AR316,1,255),country_lookup!$B:$F,4,FALSE)</f>
        <v>99_NCE</v>
      </c>
      <c r="AN316" t="str">
        <f>VLOOKUP(MID($AR316,1,255),country_lookup!$B:$F,5,FALSE)</f>
        <v>99_NCE</v>
      </c>
      <c r="AO316" s="10" t="str">
        <f>VLOOKUP(MID($AS316,1,255),source_lookup!$B:$K,4,FALSE)</f>
        <v>0_published</v>
      </c>
      <c r="AP316" s="10" t="str">
        <f>VLOOKUP(MID($AS316,1,255),source_lookup!$B:$K,6,FALSE)</f>
        <v>0_VHB low</v>
      </c>
      <c r="AQ316" s="10" t="str">
        <f>VLOOKUP(MID($AS316,1,255),source_lookup!$B:$K,10,FALSE)</f>
        <v>2_sust</v>
      </c>
      <c r="AR316" t="s">
        <v>90</v>
      </c>
      <c r="AS316" t="s">
        <v>135</v>
      </c>
    </row>
    <row r="317" spans="1:45" x14ac:dyDescent="0.3">
      <c r="A317" t="s">
        <v>11</v>
      </c>
      <c r="B317">
        <v>316</v>
      </c>
      <c r="C317" s="1">
        <v>-2.865796563049893E-3</v>
      </c>
      <c r="D317" s="2">
        <v>497</v>
      </c>
      <c r="E317" s="4">
        <v>1988</v>
      </c>
      <c r="F317" s="4" t="s">
        <v>347</v>
      </c>
      <c r="G317" s="4" t="s">
        <v>346</v>
      </c>
      <c r="H317" t="s">
        <v>77</v>
      </c>
      <c r="I317" t="s">
        <v>352</v>
      </c>
      <c r="J317" s="3">
        <v>2010</v>
      </c>
      <c r="K317" s="3">
        <v>2013</v>
      </c>
      <c r="L317" s="6">
        <f t="shared" si="91"/>
        <v>2011.5</v>
      </c>
      <c r="M317" s="6">
        <f t="shared" si="92"/>
        <v>2011.5</v>
      </c>
      <c r="N317" s="7">
        <f t="shared" si="80"/>
        <v>0</v>
      </c>
      <c r="O317" s="7">
        <f t="shared" si="81"/>
        <v>0</v>
      </c>
      <c r="P317" s="7">
        <f t="shared" si="82"/>
        <v>0</v>
      </c>
      <c r="Q317" s="7">
        <f t="shared" si="93"/>
        <v>0</v>
      </c>
      <c r="R317" s="10" t="str">
        <f t="shared" si="83"/>
        <v>0_Pre</v>
      </c>
      <c r="S317" s="10" t="str">
        <f t="shared" si="84"/>
        <v>0_Pre</v>
      </c>
      <c r="T317" s="10" t="str">
        <f t="shared" si="85"/>
        <v>0_Pre</v>
      </c>
      <c r="U317" s="10" t="str">
        <f t="shared" si="86"/>
        <v>0_Pre</v>
      </c>
      <c r="V317" s="10" t="str">
        <f t="shared" si="94"/>
        <v>0_Pre</v>
      </c>
      <c r="W317" s="10" t="str">
        <f t="shared" si="87"/>
        <v>clean_pre</v>
      </c>
      <c r="X317" s="10" t="str">
        <f t="shared" si="88"/>
        <v>0_Pre</v>
      </c>
      <c r="Y317" s="10" t="str">
        <f t="shared" si="89"/>
        <v>0_Pre</v>
      </c>
      <c r="Z317" s="10" t="str">
        <f t="shared" si="90"/>
        <v>0_Pre</v>
      </c>
      <c r="AA317" s="10" t="str">
        <f t="shared" si="95"/>
        <v>0_Pre</v>
      </c>
      <c r="AB317" s="10" t="str">
        <f t="shared" si="96"/>
        <v>0_Pre</v>
      </c>
      <c r="AC317" s="10" t="str">
        <f t="shared" si="97"/>
        <v>0_Pre</v>
      </c>
      <c r="AD317" s="10" t="str">
        <f t="shared" si="98"/>
        <v>1_pre sample median</v>
      </c>
      <c r="AE317" s="10" t="str">
        <f t="shared" si="99"/>
        <v>2_in sample second tertile</v>
      </c>
      <c r="AF317" t="s">
        <v>67</v>
      </c>
      <c r="AG317" t="s">
        <v>75</v>
      </c>
      <c r="AH317" t="s">
        <v>78</v>
      </c>
      <c r="AI317" t="s">
        <v>70</v>
      </c>
      <c r="AJ317" t="s">
        <v>70</v>
      </c>
      <c r="AK317" t="str">
        <f>VLOOKUP(MID($AR317,1,255),country_lookup!$B:$F,2,FALSE)</f>
        <v>99_NCE</v>
      </c>
      <c r="AL317" t="str">
        <f>VLOOKUP(MID($AR317,1,255),country_lookup!$B:$F,3,FALSE)</f>
        <v>99_NCE</v>
      </c>
      <c r="AM317" t="str">
        <f>VLOOKUP(MID($AR317,1,255),country_lookup!$B:$F,4,FALSE)</f>
        <v>99_NCE</v>
      </c>
      <c r="AN317" t="str">
        <f>VLOOKUP(MID($AR317,1,255),country_lookup!$B:$F,5,FALSE)</f>
        <v>99_NCE</v>
      </c>
      <c r="AO317" s="10" t="str">
        <f>VLOOKUP(MID($AS317,1,255),source_lookup!$B:$K,4,FALSE)</f>
        <v>0_published</v>
      </c>
      <c r="AP317" s="10" t="str">
        <f>VLOOKUP(MID($AS317,1,255),source_lookup!$B:$K,6,FALSE)</f>
        <v>0_VHB low</v>
      </c>
      <c r="AQ317" s="10" t="str">
        <f>VLOOKUP(MID($AS317,1,255),source_lookup!$B:$K,10,FALSE)</f>
        <v>2_sust</v>
      </c>
      <c r="AR317" t="s">
        <v>90</v>
      </c>
      <c r="AS317" t="s">
        <v>135</v>
      </c>
    </row>
    <row r="318" spans="1:45" x14ac:dyDescent="0.3">
      <c r="A318" t="s">
        <v>11</v>
      </c>
      <c r="B318">
        <v>317</v>
      </c>
      <c r="C318" s="1">
        <v>-3.569663242598727E-3</v>
      </c>
      <c r="D318" s="2">
        <v>670</v>
      </c>
      <c r="E318" s="4">
        <v>2009</v>
      </c>
      <c r="F318" s="4" t="s">
        <v>347</v>
      </c>
      <c r="G318" s="4" t="s">
        <v>346</v>
      </c>
      <c r="H318" t="s">
        <v>77</v>
      </c>
      <c r="I318" t="s">
        <v>352</v>
      </c>
      <c r="J318" s="3">
        <v>2014</v>
      </c>
      <c r="K318" s="3">
        <v>2016</v>
      </c>
      <c r="L318" s="6">
        <f t="shared" si="91"/>
        <v>2015</v>
      </c>
      <c r="M318" s="6">
        <f t="shared" si="92"/>
        <v>2015</v>
      </c>
      <c r="N318" s="7">
        <f t="shared" si="80"/>
        <v>0.33333333333333331</v>
      </c>
      <c r="O318" s="7">
        <f t="shared" si="81"/>
        <v>0</v>
      </c>
      <c r="P318" s="7">
        <f t="shared" si="82"/>
        <v>0</v>
      </c>
      <c r="Q318" s="7">
        <f t="shared" si="93"/>
        <v>0</v>
      </c>
      <c r="R318" s="10" t="str">
        <f t="shared" si="83"/>
        <v>0_Pre</v>
      </c>
      <c r="S318" s="10" t="str">
        <f t="shared" si="84"/>
        <v>0_Pre</v>
      </c>
      <c r="T318" s="10" t="str">
        <f t="shared" si="85"/>
        <v>0_Pre</v>
      </c>
      <c r="U318" s="10" t="str">
        <f t="shared" si="86"/>
        <v>1_Post</v>
      </c>
      <c r="V318" s="10" t="str">
        <f t="shared" si="94"/>
        <v>0_Pre</v>
      </c>
      <c r="W318" s="10" t="str">
        <f t="shared" si="87"/>
        <v>straddle</v>
      </c>
      <c r="X318" s="10" t="str">
        <f t="shared" si="88"/>
        <v>0_Pre</v>
      </c>
      <c r="Y318" s="10" t="str">
        <f t="shared" si="89"/>
        <v>0_Pre</v>
      </c>
      <c r="Z318" s="10" t="str">
        <f t="shared" si="90"/>
        <v>0_Pre</v>
      </c>
      <c r="AA318" s="10" t="str">
        <f t="shared" si="95"/>
        <v>0_Pre</v>
      </c>
      <c r="AB318" s="10" t="str">
        <f t="shared" si="96"/>
        <v>0_Pre</v>
      </c>
      <c r="AC318" s="10" t="str">
        <f t="shared" si="97"/>
        <v>0_Pre</v>
      </c>
      <c r="AD318" s="10" t="str">
        <f t="shared" si="98"/>
        <v>2_post sample median</v>
      </c>
      <c r="AE318" s="10" t="str">
        <f t="shared" si="99"/>
        <v>3_post sample third tertile</v>
      </c>
      <c r="AF318" t="s">
        <v>67</v>
      </c>
      <c r="AG318" t="s">
        <v>75</v>
      </c>
      <c r="AH318" t="s">
        <v>78</v>
      </c>
      <c r="AI318" t="s">
        <v>70</v>
      </c>
      <c r="AJ318" t="s">
        <v>70</v>
      </c>
      <c r="AK318" t="str">
        <f>VLOOKUP(MID($AR318,1,255),country_lookup!$B:$F,2,FALSE)</f>
        <v>99_NCE</v>
      </c>
      <c r="AL318" t="str">
        <f>VLOOKUP(MID($AR318,1,255),country_lookup!$B:$F,3,FALSE)</f>
        <v>99_NCE</v>
      </c>
      <c r="AM318" t="str">
        <f>VLOOKUP(MID($AR318,1,255),country_lookup!$B:$F,4,FALSE)</f>
        <v>99_NCE</v>
      </c>
      <c r="AN318" t="str">
        <f>VLOOKUP(MID($AR318,1,255),country_lookup!$B:$F,5,FALSE)</f>
        <v>99_NCE</v>
      </c>
      <c r="AO318" s="10" t="str">
        <f>VLOOKUP(MID($AS318,1,255),source_lookup!$B:$K,4,FALSE)</f>
        <v>0_published</v>
      </c>
      <c r="AP318" s="10" t="str">
        <f>VLOOKUP(MID($AS318,1,255),source_lookup!$B:$K,6,FALSE)</f>
        <v>0_VHB low</v>
      </c>
      <c r="AQ318" s="10" t="str">
        <f>VLOOKUP(MID($AS318,1,255),source_lookup!$B:$K,10,FALSE)</f>
        <v>2_sust</v>
      </c>
      <c r="AR318" t="s">
        <v>90</v>
      </c>
      <c r="AS318" t="s">
        <v>135</v>
      </c>
    </row>
    <row r="319" spans="1:45" x14ac:dyDescent="0.3">
      <c r="A319" t="s">
        <v>11</v>
      </c>
      <c r="B319">
        <v>318</v>
      </c>
      <c r="C319" s="1">
        <v>6.1012515551735185E-3</v>
      </c>
      <c r="D319" s="2">
        <v>423</v>
      </c>
      <c r="E319" s="4">
        <v>846</v>
      </c>
      <c r="F319" s="4" t="s">
        <v>347</v>
      </c>
      <c r="G319" s="4" t="s">
        <v>346</v>
      </c>
      <c r="H319" t="s">
        <v>77</v>
      </c>
      <c r="I319" t="s">
        <v>352</v>
      </c>
      <c r="J319" s="3">
        <v>2010</v>
      </c>
      <c r="K319" s="3">
        <v>2011</v>
      </c>
      <c r="L319" s="6">
        <f t="shared" si="91"/>
        <v>2010.5</v>
      </c>
      <c r="M319" s="6">
        <f t="shared" si="92"/>
        <v>2010.5</v>
      </c>
      <c r="N319" s="7">
        <f t="shared" si="80"/>
        <v>0</v>
      </c>
      <c r="O319" s="7">
        <f t="shared" si="81"/>
        <v>0</v>
      </c>
      <c r="P319" s="7">
        <f t="shared" si="82"/>
        <v>0</v>
      </c>
      <c r="Q319" s="7">
        <f t="shared" si="93"/>
        <v>0</v>
      </c>
      <c r="R319" s="10" t="str">
        <f t="shared" si="83"/>
        <v>0_Pre</v>
      </c>
      <c r="S319" s="10" t="str">
        <f t="shared" si="84"/>
        <v>0_Pre</v>
      </c>
      <c r="T319" s="10" t="str">
        <f t="shared" si="85"/>
        <v>0_Pre</v>
      </c>
      <c r="U319" s="10" t="str">
        <f t="shared" si="86"/>
        <v>0_Pre</v>
      </c>
      <c r="V319" s="10" t="str">
        <f t="shared" si="94"/>
        <v>0_Pre</v>
      </c>
      <c r="W319" s="10" t="str">
        <f t="shared" si="87"/>
        <v>clean_pre</v>
      </c>
      <c r="X319" s="10" t="str">
        <f t="shared" si="88"/>
        <v>0_Pre</v>
      </c>
      <c r="Y319" s="10" t="str">
        <f t="shared" si="89"/>
        <v>0_Pre</v>
      </c>
      <c r="Z319" s="10" t="str">
        <f t="shared" si="90"/>
        <v>0_Pre</v>
      </c>
      <c r="AA319" s="10" t="str">
        <f t="shared" si="95"/>
        <v>0_Pre</v>
      </c>
      <c r="AB319" s="10" t="str">
        <f t="shared" si="96"/>
        <v>0_Pre</v>
      </c>
      <c r="AC319" s="10" t="str">
        <f t="shared" si="97"/>
        <v>0_Pre</v>
      </c>
      <c r="AD319" s="10" t="str">
        <f t="shared" si="98"/>
        <v>1_pre sample median</v>
      </c>
      <c r="AE319" s="10" t="str">
        <f t="shared" si="99"/>
        <v>1_pre sample first tertile</v>
      </c>
      <c r="AF319" t="s">
        <v>67</v>
      </c>
      <c r="AG319" t="s">
        <v>75</v>
      </c>
      <c r="AH319" t="s">
        <v>78</v>
      </c>
      <c r="AI319" t="s">
        <v>70</v>
      </c>
      <c r="AJ319" t="s">
        <v>70</v>
      </c>
      <c r="AK319" t="str">
        <f>VLOOKUP(MID($AR319,1,255),country_lookup!$B:$F,2,FALSE)</f>
        <v>99_NCE</v>
      </c>
      <c r="AL319" t="str">
        <f>VLOOKUP(MID($AR319,1,255),country_lookup!$B:$F,3,FALSE)</f>
        <v>99_NCE</v>
      </c>
      <c r="AM319" t="str">
        <f>VLOOKUP(MID($AR319,1,255),country_lookup!$B:$F,4,FALSE)</f>
        <v>99_NCE</v>
      </c>
      <c r="AN319" t="str">
        <f>VLOOKUP(MID($AR319,1,255),country_lookup!$B:$F,5,FALSE)</f>
        <v>99_NCE</v>
      </c>
      <c r="AO319" s="10" t="str">
        <f>VLOOKUP(MID($AS319,1,255),source_lookup!$B:$K,4,FALSE)</f>
        <v>0_published</v>
      </c>
      <c r="AP319" s="10" t="str">
        <f>VLOOKUP(MID($AS319,1,255),source_lookup!$B:$K,6,FALSE)</f>
        <v>0_VHB low</v>
      </c>
      <c r="AQ319" s="10" t="str">
        <f>VLOOKUP(MID($AS319,1,255),source_lookup!$B:$K,10,FALSE)</f>
        <v>2_sust</v>
      </c>
      <c r="AR319" t="s">
        <v>90</v>
      </c>
      <c r="AS319" t="s">
        <v>135</v>
      </c>
    </row>
    <row r="320" spans="1:45" x14ac:dyDescent="0.3">
      <c r="A320" t="s">
        <v>11</v>
      </c>
      <c r="B320">
        <v>319</v>
      </c>
      <c r="C320" s="1">
        <v>-6.3583386518457533E-2</v>
      </c>
      <c r="D320" s="2">
        <v>571</v>
      </c>
      <c r="E320" s="4">
        <v>1142</v>
      </c>
      <c r="F320" s="4" t="s">
        <v>347</v>
      </c>
      <c r="G320" s="4" t="s">
        <v>346</v>
      </c>
      <c r="H320" t="s">
        <v>77</v>
      </c>
      <c r="I320" t="s">
        <v>352</v>
      </c>
      <c r="J320" s="3">
        <v>2012</v>
      </c>
      <c r="K320" s="3">
        <v>2013</v>
      </c>
      <c r="L320" s="6">
        <f t="shared" si="91"/>
        <v>2012.5</v>
      </c>
      <c r="M320" s="6">
        <f t="shared" si="92"/>
        <v>2012.5</v>
      </c>
      <c r="N320" s="7">
        <f t="shared" si="80"/>
        <v>0</v>
      </c>
      <c r="O320" s="7">
        <f t="shared" si="81"/>
        <v>0</v>
      </c>
      <c r="P320" s="7">
        <f t="shared" si="82"/>
        <v>0</v>
      </c>
      <c r="Q320" s="7">
        <f t="shared" si="93"/>
        <v>0</v>
      </c>
      <c r="R320" s="10" t="str">
        <f t="shared" si="83"/>
        <v>0_Pre</v>
      </c>
      <c r="S320" s="10" t="str">
        <f t="shared" si="84"/>
        <v>0_Pre</v>
      </c>
      <c r="T320" s="10" t="str">
        <f t="shared" si="85"/>
        <v>0_Pre</v>
      </c>
      <c r="U320" s="10" t="str">
        <f t="shared" si="86"/>
        <v>0_Pre</v>
      </c>
      <c r="V320" s="10" t="str">
        <f t="shared" si="94"/>
        <v>0_Pre</v>
      </c>
      <c r="W320" s="10" t="str">
        <f t="shared" si="87"/>
        <v>clean_pre</v>
      </c>
      <c r="X320" s="10" t="str">
        <f t="shared" si="88"/>
        <v>0_Pre</v>
      </c>
      <c r="Y320" s="10" t="str">
        <f t="shared" si="89"/>
        <v>0_Pre</v>
      </c>
      <c r="Z320" s="10" t="str">
        <f t="shared" si="90"/>
        <v>0_Pre</v>
      </c>
      <c r="AA320" s="10" t="str">
        <f t="shared" si="95"/>
        <v>0_Pre</v>
      </c>
      <c r="AB320" s="10" t="str">
        <f t="shared" si="96"/>
        <v>0_Pre</v>
      </c>
      <c r="AC320" s="10" t="str">
        <f t="shared" si="97"/>
        <v>0_Pre</v>
      </c>
      <c r="AD320" s="10" t="str">
        <f t="shared" si="98"/>
        <v>2_post sample median</v>
      </c>
      <c r="AE320" s="10" t="str">
        <f t="shared" si="99"/>
        <v>2_in sample second tertile</v>
      </c>
      <c r="AF320" t="s">
        <v>67</v>
      </c>
      <c r="AG320" t="s">
        <v>75</v>
      </c>
      <c r="AH320" t="s">
        <v>78</v>
      </c>
      <c r="AI320" t="s">
        <v>70</v>
      </c>
      <c r="AJ320" t="s">
        <v>70</v>
      </c>
      <c r="AK320" t="str">
        <f>VLOOKUP(MID($AR320,1,255),country_lookup!$B:$F,2,FALSE)</f>
        <v>99_NCE</v>
      </c>
      <c r="AL320" t="str">
        <f>VLOOKUP(MID($AR320,1,255),country_lookup!$B:$F,3,FALSE)</f>
        <v>99_NCE</v>
      </c>
      <c r="AM320" t="str">
        <f>VLOOKUP(MID($AR320,1,255),country_lookup!$B:$F,4,FALSE)</f>
        <v>99_NCE</v>
      </c>
      <c r="AN320" t="str">
        <f>VLOOKUP(MID($AR320,1,255),country_lookup!$B:$F,5,FALSE)</f>
        <v>99_NCE</v>
      </c>
      <c r="AO320" s="10" t="str">
        <f>VLOOKUP(MID($AS320,1,255),source_lookup!$B:$K,4,FALSE)</f>
        <v>0_published</v>
      </c>
      <c r="AP320" s="10" t="str">
        <f>VLOOKUP(MID($AS320,1,255),source_lookup!$B:$K,6,FALSE)</f>
        <v>0_VHB low</v>
      </c>
      <c r="AQ320" s="10" t="str">
        <f>VLOOKUP(MID($AS320,1,255),source_lookup!$B:$K,10,FALSE)</f>
        <v>2_sust</v>
      </c>
      <c r="AR320" t="s">
        <v>90</v>
      </c>
      <c r="AS320" t="s">
        <v>135</v>
      </c>
    </row>
    <row r="321" spans="1:45" x14ac:dyDescent="0.3">
      <c r="A321" t="s">
        <v>11</v>
      </c>
      <c r="B321">
        <v>320</v>
      </c>
      <c r="C321" s="1">
        <v>-5.5199288335138737E-3</v>
      </c>
      <c r="D321" s="2">
        <v>665</v>
      </c>
      <c r="E321" s="4">
        <v>1329</v>
      </c>
      <c r="F321" s="4" t="s">
        <v>347</v>
      </c>
      <c r="G321" s="4" t="s">
        <v>346</v>
      </c>
      <c r="H321" t="s">
        <v>77</v>
      </c>
      <c r="I321" t="s">
        <v>352</v>
      </c>
      <c r="J321" s="3">
        <v>2014</v>
      </c>
      <c r="K321" s="3">
        <v>2015</v>
      </c>
      <c r="L321" s="6">
        <f t="shared" si="91"/>
        <v>2014.5</v>
      </c>
      <c r="M321" s="6">
        <f t="shared" si="92"/>
        <v>2014.5</v>
      </c>
      <c r="N321" s="7">
        <f t="shared" si="80"/>
        <v>0</v>
      </c>
      <c r="O321" s="7">
        <f t="shared" si="81"/>
        <v>0</v>
      </c>
      <c r="P321" s="7">
        <f t="shared" si="82"/>
        <v>0</v>
      </c>
      <c r="Q321" s="7">
        <f t="shared" si="93"/>
        <v>0</v>
      </c>
      <c r="R321" s="10" t="str">
        <f t="shared" si="83"/>
        <v>0_Pre</v>
      </c>
      <c r="S321" s="10" t="str">
        <f t="shared" si="84"/>
        <v>0_Pre</v>
      </c>
      <c r="T321" s="10" t="str">
        <f t="shared" si="85"/>
        <v>0_Pre</v>
      </c>
      <c r="U321" s="10" t="str">
        <f t="shared" si="86"/>
        <v>0_Pre</v>
      </c>
      <c r="V321" s="10" t="str">
        <f t="shared" si="94"/>
        <v>0_Pre</v>
      </c>
      <c r="W321" s="10" t="str">
        <f t="shared" si="87"/>
        <v>clean_pre</v>
      </c>
      <c r="X321" s="10" t="str">
        <f t="shared" si="88"/>
        <v>0_Pre</v>
      </c>
      <c r="Y321" s="10" t="str">
        <f t="shared" si="89"/>
        <v>0_Pre</v>
      </c>
      <c r="Z321" s="10" t="str">
        <f t="shared" si="90"/>
        <v>0_Pre</v>
      </c>
      <c r="AA321" s="10" t="str">
        <f t="shared" si="95"/>
        <v>0_Pre</v>
      </c>
      <c r="AB321" s="10" t="str">
        <f t="shared" si="96"/>
        <v>0_Pre</v>
      </c>
      <c r="AC321" s="10" t="str">
        <f t="shared" si="97"/>
        <v>0_Pre</v>
      </c>
      <c r="AD321" s="10" t="str">
        <f t="shared" si="98"/>
        <v>2_post sample median</v>
      </c>
      <c r="AE321" s="10" t="str">
        <f t="shared" si="99"/>
        <v>3_post sample third tertile</v>
      </c>
      <c r="AF321" t="s">
        <v>67</v>
      </c>
      <c r="AG321" t="s">
        <v>75</v>
      </c>
      <c r="AH321" t="s">
        <v>78</v>
      </c>
      <c r="AI321" t="s">
        <v>70</v>
      </c>
      <c r="AJ321" t="s">
        <v>70</v>
      </c>
      <c r="AK321" t="str">
        <f>VLOOKUP(MID($AR321,1,255),country_lookup!$B:$F,2,FALSE)</f>
        <v>99_NCE</v>
      </c>
      <c r="AL321" t="str">
        <f>VLOOKUP(MID($AR321,1,255),country_lookup!$B:$F,3,FALSE)</f>
        <v>99_NCE</v>
      </c>
      <c r="AM321" t="str">
        <f>VLOOKUP(MID($AR321,1,255),country_lookup!$B:$F,4,FALSE)</f>
        <v>99_NCE</v>
      </c>
      <c r="AN321" t="str">
        <f>VLOOKUP(MID($AR321,1,255),country_lookup!$B:$F,5,FALSE)</f>
        <v>99_NCE</v>
      </c>
      <c r="AO321" s="10" t="str">
        <f>VLOOKUP(MID($AS321,1,255),source_lookup!$B:$K,4,FALSE)</f>
        <v>0_published</v>
      </c>
      <c r="AP321" s="10" t="str">
        <f>VLOOKUP(MID($AS321,1,255),source_lookup!$B:$K,6,FALSE)</f>
        <v>0_VHB low</v>
      </c>
      <c r="AQ321" s="10" t="str">
        <f>VLOOKUP(MID($AS321,1,255),source_lookup!$B:$K,10,FALSE)</f>
        <v>2_sust</v>
      </c>
      <c r="AR321" t="s">
        <v>90</v>
      </c>
      <c r="AS321" t="s">
        <v>135</v>
      </c>
    </row>
    <row r="322" spans="1:45" x14ac:dyDescent="0.3">
      <c r="A322" t="s">
        <v>11</v>
      </c>
      <c r="B322">
        <v>321</v>
      </c>
      <c r="C322" s="1">
        <v>9.4209419465214831E-3</v>
      </c>
      <c r="D322" s="2">
        <v>680</v>
      </c>
      <c r="E322" s="4">
        <v>680</v>
      </c>
      <c r="F322" s="4" t="s">
        <v>347</v>
      </c>
      <c r="G322" s="4" t="s">
        <v>346</v>
      </c>
      <c r="H322" t="s">
        <v>77</v>
      </c>
      <c r="I322" t="s">
        <v>352</v>
      </c>
      <c r="J322" s="3">
        <v>2016</v>
      </c>
      <c r="K322" s="3">
        <v>2016</v>
      </c>
      <c r="L322" s="6">
        <f t="shared" si="91"/>
        <v>2016</v>
      </c>
      <c r="M322" s="6">
        <f t="shared" si="92"/>
        <v>2016</v>
      </c>
      <c r="N322" s="7">
        <f t="shared" ref="N322:N385" si="100">MAX(0,$K322-MAX($J322,2016)+1)/($K322-$J322+1)</f>
        <v>1</v>
      </c>
      <c r="O322" s="7">
        <f t="shared" ref="O322:O385" si="101">MAX(0,$K322-MAX($J322,2017)+1)/($K322-$J322+1)</f>
        <v>0</v>
      </c>
      <c r="P322" s="7">
        <f t="shared" ref="P322:P385" si="102">MAX(0,$K322-MAX($J322,2018)+1)/($K322-$J322+1)</f>
        <v>0</v>
      </c>
      <c r="Q322" s="7">
        <f t="shared" si="93"/>
        <v>0</v>
      </c>
      <c r="R322" s="10" t="str">
        <f t="shared" ref="R322:R385" si="103">IF(N322&gt;=0.5,"1_Post","0_Pre")</f>
        <v>1_Post</v>
      </c>
      <c r="S322" s="10" t="str">
        <f t="shared" ref="S322:S385" si="104">IF($L322&gt;=2016,"1_Post","0_Pre")</f>
        <v>1_Post</v>
      </c>
      <c r="T322" s="10" t="str">
        <f t="shared" ref="T322:T385" si="105">IF($M322&gt;=2016,"1_Post","0_Pre")</f>
        <v>1_Post</v>
      </c>
      <c r="U322" s="10" t="str">
        <f t="shared" ref="U322:U385" si="106">IF($K322&gt;=2016,"1_Post","0_Pre")</f>
        <v>1_Post</v>
      </c>
      <c r="V322" s="10" t="str">
        <f t="shared" si="94"/>
        <v>0_Pre</v>
      </c>
      <c r="W322" s="10" t="str">
        <f t="shared" ref="W322:W385" si="107">IF($K322&lt;=2015,"clean_pre",IF($J322&gt;=2016,"clean_post","straddle"))</f>
        <v>clean_post</v>
      </c>
      <c r="X322" s="10" t="str">
        <f t="shared" ref="X322:X385" si="108">IF(O322&gt;=0.5,"1_Post","0_Pre")</f>
        <v>0_Pre</v>
      </c>
      <c r="Y322" s="10" t="str">
        <f t="shared" ref="Y322:Y385" si="109">IF(P322&gt;=0.5,"1_Post","0_Pre")</f>
        <v>0_Pre</v>
      </c>
      <c r="Z322" s="10" t="str">
        <f t="shared" ref="Z322:Z385" si="110">IF(Q322&gt;=0.5,"1_Post","0_Pre")</f>
        <v>0_Pre</v>
      </c>
      <c r="AA322" s="10" t="str">
        <f t="shared" si="95"/>
        <v>0_Pre</v>
      </c>
      <c r="AB322" s="10" t="str">
        <f t="shared" si="96"/>
        <v>0_Pre</v>
      </c>
      <c r="AC322" s="10" t="str">
        <f t="shared" si="97"/>
        <v>0_Pre</v>
      </c>
      <c r="AD322" s="10" t="str">
        <f t="shared" si="98"/>
        <v>2_post sample median</v>
      </c>
      <c r="AE322" s="10" t="str">
        <f t="shared" si="99"/>
        <v>3_post sample third tertile</v>
      </c>
      <c r="AF322" t="s">
        <v>67</v>
      </c>
      <c r="AG322" t="s">
        <v>75</v>
      </c>
      <c r="AH322" t="s">
        <v>78</v>
      </c>
      <c r="AI322" t="s">
        <v>70</v>
      </c>
      <c r="AJ322" t="s">
        <v>70</v>
      </c>
      <c r="AK322" t="str">
        <f>VLOOKUP(MID($AR322,1,255),country_lookup!$B:$F,2,FALSE)</f>
        <v>99_NCE</v>
      </c>
      <c r="AL322" t="str">
        <f>VLOOKUP(MID($AR322,1,255),country_lookup!$B:$F,3,FALSE)</f>
        <v>99_NCE</v>
      </c>
      <c r="AM322" t="str">
        <f>VLOOKUP(MID($AR322,1,255),country_lookup!$B:$F,4,FALSE)</f>
        <v>99_NCE</v>
      </c>
      <c r="AN322" t="str">
        <f>VLOOKUP(MID($AR322,1,255),country_lookup!$B:$F,5,FALSE)</f>
        <v>99_NCE</v>
      </c>
      <c r="AO322" s="10" t="str">
        <f>VLOOKUP(MID($AS322,1,255),source_lookup!$B:$K,4,FALSE)</f>
        <v>0_published</v>
      </c>
      <c r="AP322" s="10" t="str">
        <f>VLOOKUP(MID($AS322,1,255),source_lookup!$B:$K,6,FALSE)</f>
        <v>0_VHB low</v>
      </c>
      <c r="AQ322" s="10" t="str">
        <f>VLOOKUP(MID($AS322,1,255),source_lookup!$B:$K,10,FALSE)</f>
        <v>2_sust</v>
      </c>
      <c r="AR322" t="s">
        <v>90</v>
      </c>
      <c r="AS322" t="s">
        <v>135</v>
      </c>
    </row>
    <row r="323" spans="1:45" x14ac:dyDescent="0.3">
      <c r="A323" t="s">
        <v>11</v>
      </c>
      <c r="B323">
        <v>322</v>
      </c>
      <c r="C323" s="1">
        <v>-6.9235431430605269E-3</v>
      </c>
      <c r="D323" s="2">
        <v>51</v>
      </c>
      <c r="E323" s="4">
        <v>355</v>
      </c>
      <c r="F323" s="4" t="s">
        <v>347</v>
      </c>
      <c r="G323" s="4" t="s">
        <v>346</v>
      </c>
      <c r="H323" t="s">
        <v>77</v>
      </c>
      <c r="I323" t="s">
        <v>352</v>
      </c>
      <c r="J323" s="3">
        <v>2009</v>
      </c>
      <c r="K323" s="3">
        <v>2015</v>
      </c>
      <c r="L323" s="6">
        <f t="shared" ref="L323:L386" si="111">ROUND(AVERAGE(J323:K323),100)</f>
        <v>2012</v>
      </c>
      <c r="M323" s="6">
        <f t="shared" ref="M323:M386" si="112">ROUND(MEDIAN(J323:K323),100)</f>
        <v>2012</v>
      </c>
      <c r="N323" s="7">
        <f t="shared" si="100"/>
        <v>0</v>
      </c>
      <c r="O323" s="7">
        <f t="shared" si="101"/>
        <v>0</v>
      </c>
      <c r="P323" s="7">
        <f t="shared" si="102"/>
        <v>0</v>
      </c>
      <c r="Q323" s="7">
        <f t="shared" ref="Q323:Q386" si="113">MAX(0,$K323-MAX($J323,2019)+1)/($K323-$J323+1)</f>
        <v>0</v>
      </c>
      <c r="R323" s="10" t="str">
        <f t="shared" si="103"/>
        <v>0_Pre</v>
      </c>
      <c r="S323" s="10" t="str">
        <f t="shared" si="104"/>
        <v>0_Pre</v>
      </c>
      <c r="T323" s="10" t="str">
        <f t="shared" si="105"/>
        <v>0_Pre</v>
      </c>
      <c r="U323" s="10" t="str">
        <f t="shared" si="106"/>
        <v>0_Pre</v>
      </c>
      <c r="V323" s="10" t="str">
        <f t="shared" ref="V323:V386" si="114">IF($J323&lt;=2017,"0_Pre","1_Post")</f>
        <v>0_Pre</v>
      </c>
      <c r="W323" s="10" t="str">
        <f t="shared" si="107"/>
        <v>clean_pre</v>
      </c>
      <c r="X323" s="10" t="str">
        <f t="shared" si="108"/>
        <v>0_Pre</v>
      </c>
      <c r="Y323" s="10" t="str">
        <f t="shared" si="109"/>
        <v>0_Pre</v>
      </c>
      <c r="Z323" s="10" t="str">
        <f t="shared" si="110"/>
        <v>0_Pre</v>
      </c>
      <c r="AA323" s="10" t="str">
        <f t="shared" ref="AA323:AA386" si="115">IF($K323&gt;=2017,"1_Post","0_Pre")</f>
        <v>0_Pre</v>
      </c>
      <c r="AB323" s="10" t="str">
        <f t="shared" ref="AB323:AB386" si="116">IF($K323&gt;=2018,"1_Post","0_Pre")</f>
        <v>0_Pre</v>
      </c>
      <c r="AC323" s="10" t="str">
        <f t="shared" ref="AC323:AC386" si="117">IF($K323&gt;=2019,"1_Post","0_Pre")</f>
        <v>0_Pre</v>
      </c>
      <c r="AD323" s="10" t="str">
        <f t="shared" ref="AD323:AD386" si="118">IF(L323&lt;MEDIAN($L$2:$L$1307),"1_pre sample median","2_post sample median")</f>
        <v>2_post sample median</v>
      </c>
      <c r="AE323" s="10" t="str">
        <f t="shared" ref="AE323:AE386" si="119">IF(L323&lt;=PERCENTILE($L$2:$L$1307,0.33),"1_pre sample first tertile",IF(L323&gt;=PERCENTILE($L$2:$L$1307,0.67),"3_post sample third tertile","2_in sample second tertile"))</f>
        <v>2_in sample second tertile</v>
      </c>
      <c r="AF323" t="s">
        <v>67</v>
      </c>
      <c r="AG323" t="s">
        <v>75</v>
      </c>
      <c r="AH323" t="s">
        <v>79</v>
      </c>
      <c r="AI323" t="s">
        <v>70</v>
      </c>
      <c r="AJ323" t="s">
        <v>70</v>
      </c>
      <c r="AK323" t="str">
        <f>VLOOKUP(MID($AR323,1,255),country_lookup!$B:$F,2,FALSE)</f>
        <v>99_NCE</v>
      </c>
      <c r="AL323" t="str">
        <f>VLOOKUP(MID($AR323,1,255),country_lookup!$B:$F,3,FALSE)</f>
        <v>99_NCE</v>
      </c>
      <c r="AM323" t="str">
        <f>VLOOKUP(MID($AR323,1,255),country_lookup!$B:$F,4,FALSE)</f>
        <v>99_NCE</v>
      </c>
      <c r="AN323" t="str">
        <f>VLOOKUP(MID($AR323,1,255),country_lookup!$B:$F,5,FALSE)</f>
        <v>99_NCE</v>
      </c>
      <c r="AO323" s="10" t="str">
        <f>VLOOKUP(MID($AS323,1,255),source_lookup!$B:$K,4,FALSE)</f>
        <v>0_published</v>
      </c>
      <c r="AP323" s="10" t="str">
        <f>VLOOKUP(MID($AS323,1,255),source_lookup!$B:$K,6,FALSE)</f>
        <v>0_VHB low</v>
      </c>
      <c r="AQ323" s="10" t="str">
        <f>VLOOKUP(MID($AS323,1,255),source_lookup!$B:$K,10,FALSE)</f>
        <v>2_sust</v>
      </c>
      <c r="AR323" t="s">
        <v>90</v>
      </c>
      <c r="AS323" t="s">
        <v>135</v>
      </c>
    </row>
    <row r="324" spans="1:45" x14ac:dyDescent="0.3">
      <c r="A324" t="s">
        <v>11</v>
      </c>
      <c r="B324">
        <v>323</v>
      </c>
      <c r="C324" s="1">
        <v>-3.2678590481395047E-3</v>
      </c>
      <c r="D324" s="2">
        <v>81</v>
      </c>
      <c r="E324" s="4">
        <v>565</v>
      </c>
      <c r="F324" s="4" t="s">
        <v>347</v>
      </c>
      <c r="G324" s="4" t="s">
        <v>346</v>
      </c>
      <c r="H324" t="s">
        <v>77</v>
      </c>
      <c r="I324" t="s">
        <v>352</v>
      </c>
      <c r="J324" s="3">
        <v>2009</v>
      </c>
      <c r="K324" s="3">
        <v>2015</v>
      </c>
      <c r="L324" s="6">
        <f t="shared" si="111"/>
        <v>2012</v>
      </c>
      <c r="M324" s="6">
        <f t="shared" si="112"/>
        <v>2012</v>
      </c>
      <c r="N324" s="7">
        <f t="shared" si="100"/>
        <v>0</v>
      </c>
      <c r="O324" s="7">
        <f t="shared" si="101"/>
        <v>0</v>
      </c>
      <c r="P324" s="7">
        <f t="shared" si="102"/>
        <v>0</v>
      </c>
      <c r="Q324" s="7">
        <f t="shared" si="113"/>
        <v>0</v>
      </c>
      <c r="R324" s="10" t="str">
        <f t="shared" si="103"/>
        <v>0_Pre</v>
      </c>
      <c r="S324" s="10" t="str">
        <f t="shared" si="104"/>
        <v>0_Pre</v>
      </c>
      <c r="T324" s="10" t="str">
        <f t="shared" si="105"/>
        <v>0_Pre</v>
      </c>
      <c r="U324" s="10" t="str">
        <f t="shared" si="106"/>
        <v>0_Pre</v>
      </c>
      <c r="V324" s="10" t="str">
        <f t="shared" si="114"/>
        <v>0_Pre</v>
      </c>
      <c r="W324" s="10" t="str">
        <f t="shared" si="107"/>
        <v>clean_pre</v>
      </c>
      <c r="X324" s="10" t="str">
        <f t="shared" si="108"/>
        <v>0_Pre</v>
      </c>
      <c r="Y324" s="10" t="str">
        <f t="shared" si="109"/>
        <v>0_Pre</v>
      </c>
      <c r="Z324" s="10" t="str">
        <f t="shared" si="110"/>
        <v>0_Pre</v>
      </c>
      <c r="AA324" s="10" t="str">
        <f t="shared" si="115"/>
        <v>0_Pre</v>
      </c>
      <c r="AB324" s="10" t="str">
        <f t="shared" si="116"/>
        <v>0_Pre</v>
      </c>
      <c r="AC324" s="10" t="str">
        <f t="shared" si="117"/>
        <v>0_Pre</v>
      </c>
      <c r="AD324" s="10" t="str">
        <f t="shared" si="118"/>
        <v>2_post sample median</v>
      </c>
      <c r="AE324" s="10" t="str">
        <f t="shared" si="119"/>
        <v>2_in sample second tertile</v>
      </c>
      <c r="AF324" t="s">
        <v>67</v>
      </c>
      <c r="AG324" t="s">
        <v>75</v>
      </c>
      <c r="AH324" t="s">
        <v>78</v>
      </c>
      <c r="AI324" t="s">
        <v>70</v>
      </c>
      <c r="AJ324" t="s">
        <v>70</v>
      </c>
      <c r="AK324" t="str">
        <f>VLOOKUP(MID($AR324,1,255),country_lookup!$B:$F,2,FALSE)</f>
        <v>99_NCE</v>
      </c>
      <c r="AL324" t="str">
        <f>VLOOKUP(MID($AR324,1,255),country_lookup!$B:$F,3,FALSE)</f>
        <v>99_NCE</v>
      </c>
      <c r="AM324" t="str">
        <f>VLOOKUP(MID($AR324,1,255),country_lookup!$B:$F,4,FALSE)</f>
        <v>99_NCE</v>
      </c>
      <c r="AN324" t="str">
        <f>VLOOKUP(MID($AR324,1,255),country_lookup!$B:$F,5,FALSE)</f>
        <v>99_NCE</v>
      </c>
      <c r="AO324" s="10" t="str">
        <f>VLOOKUP(MID($AS324,1,255),source_lookup!$B:$K,4,FALSE)</f>
        <v>0_published</v>
      </c>
      <c r="AP324" s="10" t="str">
        <f>VLOOKUP(MID($AS324,1,255),source_lookup!$B:$K,6,FALSE)</f>
        <v>0_VHB low</v>
      </c>
      <c r="AQ324" s="10" t="str">
        <f>VLOOKUP(MID($AS324,1,255),source_lookup!$B:$K,10,FALSE)</f>
        <v>2_sust</v>
      </c>
      <c r="AR324" t="s">
        <v>90</v>
      </c>
      <c r="AS324" t="s">
        <v>135</v>
      </c>
    </row>
    <row r="325" spans="1:45" x14ac:dyDescent="0.3">
      <c r="A325" t="s">
        <v>11</v>
      </c>
      <c r="B325">
        <v>324</v>
      </c>
      <c r="C325" s="1">
        <v>-1.0978662915200261E-2</v>
      </c>
      <c r="D325" s="2">
        <v>34</v>
      </c>
      <c r="E325" s="4">
        <v>235</v>
      </c>
      <c r="F325" s="4" t="s">
        <v>347</v>
      </c>
      <c r="G325" s="4" t="s">
        <v>346</v>
      </c>
      <c r="H325" t="s">
        <v>77</v>
      </c>
      <c r="I325" t="s">
        <v>352</v>
      </c>
      <c r="J325" s="3">
        <v>2009</v>
      </c>
      <c r="K325" s="3">
        <v>2015</v>
      </c>
      <c r="L325" s="6">
        <f t="shared" si="111"/>
        <v>2012</v>
      </c>
      <c r="M325" s="6">
        <f t="shared" si="112"/>
        <v>2012</v>
      </c>
      <c r="N325" s="7">
        <f t="shared" si="100"/>
        <v>0</v>
      </c>
      <c r="O325" s="7">
        <f t="shared" si="101"/>
        <v>0</v>
      </c>
      <c r="P325" s="7">
        <f t="shared" si="102"/>
        <v>0</v>
      </c>
      <c r="Q325" s="7">
        <f t="shared" si="113"/>
        <v>0</v>
      </c>
      <c r="R325" s="10" t="str">
        <f t="shared" si="103"/>
        <v>0_Pre</v>
      </c>
      <c r="S325" s="10" t="str">
        <f t="shared" si="104"/>
        <v>0_Pre</v>
      </c>
      <c r="T325" s="10" t="str">
        <f t="shared" si="105"/>
        <v>0_Pre</v>
      </c>
      <c r="U325" s="10" t="str">
        <f t="shared" si="106"/>
        <v>0_Pre</v>
      </c>
      <c r="V325" s="10" t="str">
        <f t="shared" si="114"/>
        <v>0_Pre</v>
      </c>
      <c r="W325" s="10" t="str">
        <f t="shared" si="107"/>
        <v>clean_pre</v>
      </c>
      <c r="X325" s="10" t="str">
        <f t="shared" si="108"/>
        <v>0_Pre</v>
      </c>
      <c r="Y325" s="10" t="str">
        <f t="shared" si="109"/>
        <v>0_Pre</v>
      </c>
      <c r="Z325" s="10" t="str">
        <f t="shared" si="110"/>
        <v>0_Pre</v>
      </c>
      <c r="AA325" s="10" t="str">
        <f t="shared" si="115"/>
        <v>0_Pre</v>
      </c>
      <c r="AB325" s="10" t="str">
        <f t="shared" si="116"/>
        <v>0_Pre</v>
      </c>
      <c r="AC325" s="10" t="str">
        <f t="shared" si="117"/>
        <v>0_Pre</v>
      </c>
      <c r="AD325" s="10" t="str">
        <f t="shared" si="118"/>
        <v>2_post sample median</v>
      </c>
      <c r="AE325" s="10" t="str">
        <f t="shared" si="119"/>
        <v>2_in sample second tertile</v>
      </c>
      <c r="AF325" t="s">
        <v>67</v>
      </c>
      <c r="AG325" t="s">
        <v>75</v>
      </c>
      <c r="AH325" t="s">
        <v>78</v>
      </c>
      <c r="AI325" t="s">
        <v>70</v>
      </c>
      <c r="AJ325" t="s">
        <v>70</v>
      </c>
      <c r="AK325" t="str">
        <f>VLOOKUP(MID($AR325,1,255),country_lookup!$B:$F,2,FALSE)</f>
        <v>99_NCE</v>
      </c>
      <c r="AL325" t="str">
        <f>VLOOKUP(MID($AR325,1,255),country_lookup!$B:$F,3,FALSE)</f>
        <v>99_NCE</v>
      </c>
      <c r="AM325" t="str">
        <f>VLOOKUP(MID($AR325,1,255),country_lookup!$B:$F,4,FALSE)</f>
        <v>99_NCE</v>
      </c>
      <c r="AN325" t="str">
        <f>VLOOKUP(MID($AR325,1,255),country_lookup!$B:$F,5,FALSE)</f>
        <v>99_NCE</v>
      </c>
      <c r="AO325" s="10" t="str">
        <f>VLOOKUP(MID($AS325,1,255),source_lookup!$B:$K,4,FALSE)</f>
        <v>0_published</v>
      </c>
      <c r="AP325" s="10" t="str">
        <f>VLOOKUP(MID($AS325,1,255),source_lookup!$B:$K,6,FALSE)</f>
        <v>0_VHB low</v>
      </c>
      <c r="AQ325" s="10" t="str">
        <f>VLOOKUP(MID($AS325,1,255),source_lookup!$B:$K,10,FALSE)</f>
        <v>2_sust</v>
      </c>
      <c r="AR325" t="s">
        <v>90</v>
      </c>
      <c r="AS325" t="s">
        <v>135</v>
      </c>
    </row>
    <row r="326" spans="1:45" x14ac:dyDescent="0.3">
      <c r="A326" t="s">
        <v>11</v>
      </c>
      <c r="B326">
        <v>325</v>
      </c>
      <c r="C326" s="1">
        <v>-8.816816184073116E-3</v>
      </c>
      <c r="D326" s="2">
        <v>44</v>
      </c>
      <c r="E326" s="4">
        <v>306</v>
      </c>
      <c r="F326" s="4" t="s">
        <v>347</v>
      </c>
      <c r="G326" s="4" t="s">
        <v>346</v>
      </c>
      <c r="H326" t="s">
        <v>77</v>
      </c>
      <c r="I326" t="s">
        <v>352</v>
      </c>
      <c r="J326" s="3">
        <v>2009</v>
      </c>
      <c r="K326" s="3">
        <v>2015</v>
      </c>
      <c r="L326" s="6">
        <f t="shared" si="111"/>
        <v>2012</v>
      </c>
      <c r="M326" s="6">
        <f t="shared" si="112"/>
        <v>2012</v>
      </c>
      <c r="N326" s="7">
        <f t="shared" si="100"/>
        <v>0</v>
      </c>
      <c r="O326" s="7">
        <f t="shared" si="101"/>
        <v>0</v>
      </c>
      <c r="P326" s="7">
        <f t="shared" si="102"/>
        <v>0</v>
      </c>
      <c r="Q326" s="7">
        <f t="shared" si="113"/>
        <v>0</v>
      </c>
      <c r="R326" s="10" t="str">
        <f t="shared" si="103"/>
        <v>0_Pre</v>
      </c>
      <c r="S326" s="10" t="str">
        <f t="shared" si="104"/>
        <v>0_Pre</v>
      </c>
      <c r="T326" s="10" t="str">
        <f t="shared" si="105"/>
        <v>0_Pre</v>
      </c>
      <c r="U326" s="10" t="str">
        <f t="shared" si="106"/>
        <v>0_Pre</v>
      </c>
      <c r="V326" s="10" t="str">
        <f t="shared" si="114"/>
        <v>0_Pre</v>
      </c>
      <c r="W326" s="10" t="str">
        <f t="shared" si="107"/>
        <v>clean_pre</v>
      </c>
      <c r="X326" s="10" t="str">
        <f t="shared" si="108"/>
        <v>0_Pre</v>
      </c>
      <c r="Y326" s="10" t="str">
        <f t="shared" si="109"/>
        <v>0_Pre</v>
      </c>
      <c r="Z326" s="10" t="str">
        <f t="shared" si="110"/>
        <v>0_Pre</v>
      </c>
      <c r="AA326" s="10" t="str">
        <f t="shared" si="115"/>
        <v>0_Pre</v>
      </c>
      <c r="AB326" s="10" t="str">
        <f t="shared" si="116"/>
        <v>0_Pre</v>
      </c>
      <c r="AC326" s="10" t="str">
        <f t="shared" si="117"/>
        <v>0_Pre</v>
      </c>
      <c r="AD326" s="10" t="str">
        <f t="shared" si="118"/>
        <v>2_post sample median</v>
      </c>
      <c r="AE326" s="10" t="str">
        <f t="shared" si="119"/>
        <v>2_in sample second tertile</v>
      </c>
      <c r="AF326" t="s">
        <v>67</v>
      </c>
      <c r="AG326" t="s">
        <v>75</v>
      </c>
      <c r="AH326" t="s">
        <v>78</v>
      </c>
      <c r="AI326" t="s">
        <v>70</v>
      </c>
      <c r="AJ326" t="s">
        <v>70</v>
      </c>
      <c r="AK326" t="str">
        <f>VLOOKUP(MID($AR326,1,255),country_lookup!$B:$F,2,FALSE)</f>
        <v>99_NCE</v>
      </c>
      <c r="AL326" t="str">
        <f>VLOOKUP(MID($AR326,1,255),country_lookup!$B:$F,3,FALSE)</f>
        <v>99_NCE</v>
      </c>
      <c r="AM326" t="str">
        <f>VLOOKUP(MID($AR326,1,255),country_lookup!$B:$F,4,FALSE)</f>
        <v>99_NCE</v>
      </c>
      <c r="AN326" t="str">
        <f>VLOOKUP(MID($AR326,1,255),country_lookup!$B:$F,5,FALSE)</f>
        <v>99_NCE</v>
      </c>
      <c r="AO326" s="10" t="str">
        <f>VLOOKUP(MID($AS326,1,255),source_lookup!$B:$K,4,FALSE)</f>
        <v>0_published</v>
      </c>
      <c r="AP326" s="10" t="str">
        <f>VLOOKUP(MID($AS326,1,255),source_lookup!$B:$K,6,FALSE)</f>
        <v>0_VHB low</v>
      </c>
      <c r="AQ326" s="10" t="str">
        <f>VLOOKUP(MID($AS326,1,255),source_lookup!$B:$K,10,FALSE)</f>
        <v>2_sust</v>
      </c>
      <c r="AR326" t="s">
        <v>90</v>
      </c>
      <c r="AS326" t="s">
        <v>135</v>
      </c>
    </row>
    <row r="327" spans="1:45" x14ac:dyDescent="0.3">
      <c r="A327" t="s">
        <v>11</v>
      </c>
      <c r="B327">
        <v>326</v>
      </c>
      <c r="C327" s="1">
        <v>-7.0725597388798696E-3</v>
      </c>
      <c r="D327" s="2">
        <v>64</v>
      </c>
      <c r="E327" s="4">
        <v>446</v>
      </c>
      <c r="F327" s="4" t="s">
        <v>347</v>
      </c>
      <c r="G327" s="4" t="s">
        <v>346</v>
      </c>
      <c r="H327" t="s">
        <v>77</v>
      </c>
      <c r="I327" t="s">
        <v>352</v>
      </c>
      <c r="J327" s="3">
        <v>2009</v>
      </c>
      <c r="K327" s="3">
        <v>2015</v>
      </c>
      <c r="L327" s="6">
        <f t="shared" si="111"/>
        <v>2012</v>
      </c>
      <c r="M327" s="6">
        <f t="shared" si="112"/>
        <v>2012</v>
      </c>
      <c r="N327" s="7">
        <f t="shared" si="100"/>
        <v>0</v>
      </c>
      <c r="O327" s="7">
        <f t="shared" si="101"/>
        <v>0</v>
      </c>
      <c r="P327" s="7">
        <f t="shared" si="102"/>
        <v>0</v>
      </c>
      <c r="Q327" s="7">
        <f t="shared" si="113"/>
        <v>0</v>
      </c>
      <c r="R327" s="10" t="str">
        <f t="shared" si="103"/>
        <v>0_Pre</v>
      </c>
      <c r="S327" s="10" t="str">
        <f t="shared" si="104"/>
        <v>0_Pre</v>
      </c>
      <c r="T327" s="10" t="str">
        <f t="shared" si="105"/>
        <v>0_Pre</v>
      </c>
      <c r="U327" s="10" t="str">
        <f t="shared" si="106"/>
        <v>0_Pre</v>
      </c>
      <c r="V327" s="10" t="str">
        <f t="shared" si="114"/>
        <v>0_Pre</v>
      </c>
      <c r="W327" s="10" t="str">
        <f t="shared" si="107"/>
        <v>clean_pre</v>
      </c>
      <c r="X327" s="10" t="str">
        <f t="shared" si="108"/>
        <v>0_Pre</v>
      </c>
      <c r="Y327" s="10" t="str">
        <f t="shared" si="109"/>
        <v>0_Pre</v>
      </c>
      <c r="Z327" s="10" t="str">
        <f t="shared" si="110"/>
        <v>0_Pre</v>
      </c>
      <c r="AA327" s="10" t="str">
        <f t="shared" si="115"/>
        <v>0_Pre</v>
      </c>
      <c r="AB327" s="10" t="str">
        <f t="shared" si="116"/>
        <v>0_Pre</v>
      </c>
      <c r="AC327" s="10" t="str">
        <f t="shared" si="117"/>
        <v>0_Pre</v>
      </c>
      <c r="AD327" s="10" t="str">
        <f t="shared" si="118"/>
        <v>2_post sample median</v>
      </c>
      <c r="AE327" s="10" t="str">
        <f t="shared" si="119"/>
        <v>2_in sample second tertile</v>
      </c>
      <c r="AF327" t="s">
        <v>67</v>
      </c>
      <c r="AG327" t="s">
        <v>75</v>
      </c>
      <c r="AH327" t="s">
        <v>78</v>
      </c>
      <c r="AI327" t="s">
        <v>70</v>
      </c>
      <c r="AJ327" t="s">
        <v>70</v>
      </c>
      <c r="AK327" t="str">
        <f>VLOOKUP(MID($AR327,1,255),country_lookup!$B:$F,2,FALSE)</f>
        <v>99_NCE</v>
      </c>
      <c r="AL327" t="str">
        <f>VLOOKUP(MID($AR327,1,255),country_lookup!$B:$F,3,FALSE)</f>
        <v>99_NCE</v>
      </c>
      <c r="AM327" t="str">
        <f>VLOOKUP(MID($AR327,1,255),country_lookup!$B:$F,4,FALSE)</f>
        <v>99_NCE</v>
      </c>
      <c r="AN327" t="str">
        <f>VLOOKUP(MID($AR327,1,255),country_lookup!$B:$F,5,FALSE)</f>
        <v>99_NCE</v>
      </c>
      <c r="AO327" s="10" t="str">
        <f>VLOOKUP(MID($AS327,1,255),source_lookup!$B:$K,4,FALSE)</f>
        <v>0_published</v>
      </c>
      <c r="AP327" s="10" t="str">
        <f>VLOOKUP(MID($AS327,1,255),source_lookup!$B:$K,6,FALSE)</f>
        <v>0_VHB low</v>
      </c>
      <c r="AQ327" s="10" t="str">
        <f>VLOOKUP(MID($AS327,1,255),source_lookup!$B:$K,10,FALSE)</f>
        <v>2_sust</v>
      </c>
      <c r="AR327" t="s">
        <v>90</v>
      </c>
      <c r="AS327" t="s">
        <v>135</v>
      </c>
    </row>
    <row r="328" spans="1:45" x14ac:dyDescent="0.3">
      <c r="A328" t="s">
        <v>11</v>
      </c>
      <c r="B328">
        <v>327</v>
      </c>
      <c r="C328" s="1">
        <v>1.5398579499034512E-2</v>
      </c>
      <c r="D328" s="2">
        <v>109</v>
      </c>
      <c r="E328" s="4">
        <v>764</v>
      </c>
      <c r="F328" s="4" t="s">
        <v>347</v>
      </c>
      <c r="G328" s="4" t="s">
        <v>346</v>
      </c>
      <c r="H328" t="s">
        <v>77</v>
      </c>
      <c r="I328" t="s">
        <v>352</v>
      </c>
      <c r="J328" s="3">
        <v>2009</v>
      </c>
      <c r="K328" s="3">
        <v>2015</v>
      </c>
      <c r="L328" s="6">
        <f t="shared" si="111"/>
        <v>2012</v>
      </c>
      <c r="M328" s="6">
        <f t="shared" si="112"/>
        <v>2012</v>
      </c>
      <c r="N328" s="7">
        <f t="shared" si="100"/>
        <v>0</v>
      </c>
      <c r="O328" s="7">
        <f t="shared" si="101"/>
        <v>0</v>
      </c>
      <c r="P328" s="7">
        <f t="shared" si="102"/>
        <v>0</v>
      </c>
      <c r="Q328" s="7">
        <f t="shared" si="113"/>
        <v>0</v>
      </c>
      <c r="R328" s="10" t="str">
        <f t="shared" si="103"/>
        <v>0_Pre</v>
      </c>
      <c r="S328" s="10" t="str">
        <f t="shared" si="104"/>
        <v>0_Pre</v>
      </c>
      <c r="T328" s="10" t="str">
        <f t="shared" si="105"/>
        <v>0_Pre</v>
      </c>
      <c r="U328" s="10" t="str">
        <f t="shared" si="106"/>
        <v>0_Pre</v>
      </c>
      <c r="V328" s="10" t="str">
        <f t="shared" si="114"/>
        <v>0_Pre</v>
      </c>
      <c r="W328" s="10" t="str">
        <f t="shared" si="107"/>
        <v>clean_pre</v>
      </c>
      <c r="X328" s="10" t="str">
        <f t="shared" si="108"/>
        <v>0_Pre</v>
      </c>
      <c r="Y328" s="10" t="str">
        <f t="shared" si="109"/>
        <v>0_Pre</v>
      </c>
      <c r="Z328" s="10" t="str">
        <f t="shared" si="110"/>
        <v>0_Pre</v>
      </c>
      <c r="AA328" s="10" t="str">
        <f t="shared" si="115"/>
        <v>0_Pre</v>
      </c>
      <c r="AB328" s="10" t="str">
        <f t="shared" si="116"/>
        <v>0_Pre</v>
      </c>
      <c r="AC328" s="10" t="str">
        <f t="shared" si="117"/>
        <v>0_Pre</v>
      </c>
      <c r="AD328" s="10" t="str">
        <f t="shared" si="118"/>
        <v>2_post sample median</v>
      </c>
      <c r="AE328" s="10" t="str">
        <f t="shared" si="119"/>
        <v>2_in sample second tertile</v>
      </c>
      <c r="AF328" t="s">
        <v>67</v>
      </c>
      <c r="AG328" t="s">
        <v>75</v>
      </c>
      <c r="AH328" t="s">
        <v>78</v>
      </c>
      <c r="AI328" t="s">
        <v>70</v>
      </c>
      <c r="AJ328" t="s">
        <v>70</v>
      </c>
      <c r="AK328" t="str">
        <f>VLOOKUP(MID($AR328,1,255),country_lookup!$B:$F,2,FALSE)</f>
        <v>99_NCE</v>
      </c>
      <c r="AL328" t="str">
        <f>VLOOKUP(MID($AR328,1,255),country_lookup!$B:$F,3,FALSE)</f>
        <v>99_NCE</v>
      </c>
      <c r="AM328" t="str">
        <f>VLOOKUP(MID($AR328,1,255),country_lookup!$B:$F,4,FALSE)</f>
        <v>99_NCE</v>
      </c>
      <c r="AN328" t="str">
        <f>VLOOKUP(MID($AR328,1,255),country_lookup!$B:$F,5,FALSE)</f>
        <v>99_NCE</v>
      </c>
      <c r="AO328" s="10" t="str">
        <f>VLOOKUP(MID($AS328,1,255),source_lookup!$B:$K,4,FALSE)</f>
        <v>0_published</v>
      </c>
      <c r="AP328" s="10" t="str">
        <f>VLOOKUP(MID($AS328,1,255),source_lookup!$B:$K,6,FALSE)</f>
        <v>0_VHB low</v>
      </c>
      <c r="AQ328" s="10" t="str">
        <f>VLOOKUP(MID($AS328,1,255),source_lookup!$B:$K,10,FALSE)</f>
        <v>2_sust</v>
      </c>
      <c r="AR328" t="s">
        <v>90</v>
      </c>
      <c r="AS328" t="s">
        <v>135</v>
      </c>
    </row>
    <row r="329" spans="1:45" x14ac:dyDescent="0.3">
      <c r="A329" t="s">
        <v>11</v>
      </c>
      <c r="B329">
        <v>328</v>
      </c>
      <c r="C329" s="1">
        <v>-1.2801869070749426E-2</v>
      </c>
      <c r="D329" s="2">
        <v>29</v>
      </c>
      <c r="E329" s="4">
        <v>200</v>
      </c>
      <c r="F329" s="4" t="s">
        <v>347</v>
      </c>
      <c r="G329" s="4" t="s">
        <v>346</v>
      </c>
      <c r="H329" t="s">
        <v>77</v>
      </c>
      <c r="I329" t="s">
        <v>352</v>
      </c>
      <c r="J329" s="3">
        <v>2009</v>
      </c>
      <c r="K329" s="3">
        <v>2015</v>
      </c>
      <c r="L329" s="6">
        <f t="shared" si="111"/>
        <v>2012</v>
      </c>
      <c r="M329" s="6">
        <f t="shared" si="112"/>
        <v>2012</v>
      </c>
      <c r="N329" s="7">
        <f t="shared" si="100"/>
        <v>0</v>
      </c>
      <c r="O329" s="7">
        <f t="shared" si="101"/>
        <v>0</v>
      </c>
      <c r="P329" s="7">
        <f t="shared" si="102"/>
        <v>0</v>
      </c>
      <c r="Q329" s="7">
        <f t="shared" si="113"/>
        <v>0</v>
      </c>
      <c r="R329" s="10" t="str">
        <f t="shared" si="103"/>
        <v>0_Pre</v>
      </c>
      <c r="S329" s="10" t="str">
        <f t="shared" si="104"/>
        <v>0_Pre</v>
      </c>
      <c r="T329" s="10" t="str">
        <f t="shared" si="105"/>
        <v>0_Pre</v>
      </c>
      <c r="U329" s="10" t="str">
        <f t="shared" si="106"/>
        <v>0_Pre</v>
      </c>
      <c r="V329" s="10" t="str">
        <f t="shared" si="114"/>
        <v>0_Pre</v>
      </c>
      <c r="W329" s="10" t="str">
        <f t="shared" si="107"/>
        <v>clean_pre</v>
      </c>
      <c r="X329" s="10" t="str">
        <f t="shared" si="108"/>
        <v>0_Pre</v>
      </c>
      <c r="Y329" s="10" t="str">
        <f t="shared" si="109"/>
        <v>0_Pre</v>
      </c>
      <c r="Z329" s="10" t="str">
        <f t="shared" si="110"/>
        <v>0_Pre</v>
      </c>
      <c r="AA329" s="10" t="str">
        <f t="shared" si="115"/>
        <v>0_Pre</v>
      </c>
      <c r="AB329" s="10" t="str">
        <f t="shared" si="116"/>
        <v>0_Pre</v>
      </c>
      <c r="AC329" s="10" t="str">
        <f t="shared" si="117"/>
        <v>0_Pre</v>
      </c>
      <c r="AD329" s="10" t="str">
        <f t="shared" si="118"/>
        <v>2_post sample median</v>
      </c>
      <c r="AE329" s="10" t="str">
        <f t="shared" si="119"/>
        <v>2_in sample second tertile</v>
      </c>
      <c r="AF329" t="s">
        <v>67</v>
      </c>
      <c r="AG329" t="s">
        <v>75</v>
      </c>
      <c r="AH329" t="s">
        <v>78</v>
      </c>
      <c r="AI329" t="s">
        <v>70</v>
      </c>
      <c r="AJ329" t="s">
        <v>70</v>
      </c>
      <c r="AK329" t="str">
        <f>VLOOKUP(MID($AR329,1,255),country_lookup!$B:$F,2,FALSE)</f>
        <v>99_NCE</v>
      </c>
      <c r="AL329" t="str">
        <f>VLOOKUP(MID($AR329,1,255),country_lookup!$B:$F,3,FALSE)</f>
        <v>99_NCE</v>
      </c>
      <c r="AM329" t="str">
        <f>VLOOKUP(MID($AR329,1,255),country_lookup!$B:$F,4,FALSE)</f>
        <v>99_NCE</v>
      </c>
      <c r="AN329" t="str">
        <f>VLOOKUP(MID($AR329,1,255),country_lookup!$B:$F,5,FALSE)</f>
        <v>99_NCE</v>
      </c>
      <c r="AO329" s="10" t="str">
        <f>VLOOKUP(MID($AS329,1,255),source_lookup!$B:$K,4,FALSE)</f>
        <v>0_published</v>
      </c>
      <c r="AP329" s="10" t="str">
        <f>VLOOKUP(MID($AS329,1,255),source_lookup!$B:$K,6,FALSE)</f>
        <v>0_VHB low</v>
      </c>
      <c r="AQ329" s="10" t="str">
        <f>VLOOKUP(MID($AS329,1,255),source_lookup!$B:$K,10,FALSE)</f>
        <v>2_sust</v>
      </c>
      <c r="AR329" t="s">
        <v>90</v>
      </c>
      <c r="AS329" t="s">
        <v>135</v>
      </c>
    </row>
    <row r="330" spans="1:45" x14ac:dyDescent="0.3">
      <c r="A330" t="s">
        <v>11</v>
      </c>
      <c r="B330">
        <v>329</v>
      </c>
      <c r="C330" s="1">
        <v>-1.0394112888903987E-2</v>
      </c>
      <c r="D330" s="2">
        <v>45</v>
      </c>
      <c r="E330" s="4">
        <v>312</v>
      </c>
      <c r="F330" s="4" t="s">
        <v>347</v>
      </c>
      <c r="G330" s="4" t="s">
        <v>346</v>
      </c>
      <c r="H330" t="s">
        <v>77</v>
      </c>
      <c r="I330" t="s">
        <v>352</v>
      </c>
      <c r="J330" s="3">
        <v>2009</v>
      </c>
      <c r="K330" s="3">
        <v>2015</v>
      </c>
      <c r="L330" s="6">
        <f t="shared" si="111"/>
        <v>2012</v>
      </c>
      <c r="M330" s="6">
        <f t="shared" si="112"/>
        <v>2012</v>
      </c>
      <c r="N330" s="7">
        <f t="shared" si="100"/>
        <v>0</v>
      </c>
      <c r="O330" s="7">
        <f t="shared" si="101"/>
        <v>0</v>
      </c>
      <c r="P330" s="7">
        <f t="shared" si="102"/>
        <v>0</v>
      </c>
      <c r="Q330" s="7">
        <f t="shared" si="113"/>
        <v>0</v>
      </c>
      <c r="R330" s="10" t="str">
        <f t="shared" si="103"/>
        <v>0_Pre</v>
      </c>
      <c r="S330" s="10" t="str">
        <f t="shared" si="104"/>
        <v>0_Pre</v>
      </c>
      <c r="T330" s="10" t="str">
        <f t="shared" si="105"/>
        <v>0_Pre</v>
      </c>
      <c r="U330" s="10" t="str">
        <f t="shared" si="106"/>
        <v>0_Pre</v>
      </c>
      <c r="V330" s="10" t="str">
        <f t="shared" si="114"/>
        <v>0_Pre</v>
      </c>
      <c r="W330" s="10" t="str">
        <f t="shared" si="107"/>
        <v>clean_pre</v>
      </c>
      <c r="X330" s="10" t="str">
        <f t="shared" si="108"/>
        <v>0_Pre</v>
      </c>
      <c r="Y330" s="10" t="str">
        <f t="shared" si="109"/>
        <v>0_Pre</v>
      </c>
      <c r="Z330" s="10" t="str">
        <f t="shared" si="110"/>
        <v>0_Pre</v>
      </c>
      <c r="AA330" s="10" t="str">
        <f t="shared" si="115"/>
        <v>0_Pre</v>
      </c>
      <c r="AB330" s="10" t="str">
        <f t="shared" si="116"/>
        <v>0_Pre</v>
      </c>
      <c r="AC330" s="10" t="str">
        <f t="shared" si="117"/>
        <v>0_Pre</v>
      </c>
      <c r="AD330" s="10" t="str">
        <f t="shared" si="118"/>
        <v>2_post sample median</v>
      </c>
      <c r="AE330" s="10" t="str">
        <f t="shared" si="119"/>
        <v>2_in sample second tertile</v>
      </c>
      <c r="AF330" t="s">
        <v>67</v>
      </c>
      <c r="AG330" t="s">
        <v>75</v>
      </c>
      <c r="AH330" t="s">
        <v>78</v>
      </c>
      <c r="AI330" t="s">
        <v>70</v>
      </c>
      <c r="AJ330" t="s">
        <v>70</v>
      </c>
      <c r="AK330" t="str">
        <f>VLOOKUP(MID($AR330,1,255),country_lookup!$B:$F,2,FALSE)</f>
        <v>99_NCE</v>
      </c>
      <c r="AL330" t="str">
        <f>VLOOKUP(MID($AR330,1,255),country_lookup!$B:$F,3,FALSE)</f>
        <v>99_NCE</v>
      </c>
      <c r="AM330" t="str">
        <f>VLOOKUP(MID($AR330,1,255),country_lookup!$B:$F,4,FALSE)</f>
        <v>99_NCE</v>
      </c>
      <c r="AN330" t="str">
        <f>VLOOKUP(MID($AR330,1,255),country_lookup!$B:$F,5,FALSE)</f>
        <v>99_NCE</v>
      </c>
      <c r="AO330" s="10" t="str">
        <f>VLOOKUP(MID($AS330,1,255),source_lookup!$B:$K,4,FALSE)</f>
        <v>0_published</v>
      </c>
      <c r="AP330" s="10" t="str">
        <f>VLOOKUP(MID($AS330,1,255),source_lookup!$B:$K,6,FALSE)</f>
        <v>0_VHB low</v>
      </c>
      <c r="AQ330" s="10" t="str">
        <f>VLOOKUP(MID($AS330,1,255),source_lookup!$B:$K,10,FALSE)</f>
        <v>2_sust</v>
      </c>
      <c r="AR330" t="s">
        <v>90</v>
      </c>
      <c r="AS330" t="s">
        <v>135</v>
      </c>
    </row>
    <row r="331" spans="1:45" x14ac:dyDescent="0.3">
      <c r="A331" t="s">
        <v>11</v>
      </c>
      <c r="B331">
        <v>330</v>
      </c>
      <c r="C331" s="1">
        <v>-1.2367000713402462E-2</v>
      </c>
      <c r="D331" s="2">
        <v>34</v>
      </c>
      <c r="E331" s="4">
        <v>236</v>
      </c>
      <c r="F331" s="4" t="s">
        <v>347</v>
      </c>
      <c r="G331" s="4" t="s">
        <v>346</v>
      </c>
      <c r="H331" t="s">
        <v>77</v>
      </c>
      <c r="I331" t="s">
        <v>352</v>
      </c>
      <c r="J331" s="3">
        <v>2009</v>
      </c>
      <c r="K331" s="3">
        <v>2015</v>
      </c>
      <c r="L331" s="6">
        <f t="shared" si="111"/>
        <v>2012</v>
      </c>
      <c r="M331" s="6">
        <f t="shared" si="112"/>
        <v>2012</v>
      </c>
      <c r="N331" s="7">
        <f t="shared" si="100"/>
        <v>0</v>
      </c>
      <c r="O331" s="7">
        <f t="shared" si="101"/>
        <v>0</v>
      </c>
      <c r="P331" s="7">
        <f t="shared" si="102"/>
        <v>0</v>
      </c>
      <c r="Q331" s="7">
        <f t="shared" si="113"/>
        <v>0</v>
      </c>
      <c r="R331" s="10" t="str">
        <f t="shared" si="103"/>
        <v>0_Pre</v>
      </c>
      <c r="S331" s="10" t="str">
        <f t="shared" si="104"/>
        <v>0_Pre</v>
      </c>
      <c r="T331" s="10" t="str">
        <f t="shared" si="105"/>
        <v>0_Pre</v>
      </c>
      <c r="U331" s="10" t="str">
        <f t="shared" si="106"/>
        <v>0_Pre</v>
      </c>
      <c r="V331" s="10" t="str">
        <f t="shared" si="114"/>
        <v>0_Pre</v>
      </c>
      <c r="W331" s="10" t="str">
        <f t="shared" si="107"/>
        <v>clean_pre</v>
      </c>
      <c r="X331" s="10" t="str">
        <f t="shared" si="108"/>
        <v>0_Pre</v>
      </c>
      <c r="Y331" s="10" t="str">
        <f t="shared" si="109"/>
        <v>0_Pre</v>
      </c>
      <c r="Z331" s="10" t="str">
        <f t="shared" si="110"/>
        <v>0_Pre</v>
      </c>
      <c r="AA331" s="10" t="str">
        <f t="shared" si="115"/>
        <v>0_Pre</v>
      </c>
      <c r="AB331" s="10" t="str">
        <f t="shared" si="116"/>
        <v>0_Pre</v>
      </c>
      <c r="AC331" s="10" t="str">
        <f t="shared" si="117"/>
        <v>0_Pre</v>
      </c>
      <c r="AD331" s="10" t="str">
        <f t="shared" si="118"/>
        <v>2_post sample median</v>
      </c>
      <c r="AE331" s="10" t="str">
        <f t="shared" si="119"/>
        <v>2_in sample second tertile</v>
      </c>
      <c r="AF331" t="s">
        <v>67</v>
      </c>
      <c r="AG331" t="s">
        <v>75</v>
      </c>
      <c r="AH331" t="s">
        <v>78</v>
      </c>
      <c r="AI331" t="s">
        <v>70</v>
      </c>
      <c r="AJ331" t="s">
        <v>70</v>
      </c>
      <c r="AK331" t="str">
        <f>VLOOKUP(MID($AR331,1,255),country_lookup!$B:$F,2,FALSE)</f>
        <v>99_NCE</v>
      </c>
      <c r="AL331" t="str">
        <f>VLOOKUP(MID($AR331,1,255),country_lookup!$B:$F,3,FALSE)</f>
        <v>99_NCE</v>
      </c>
      <c r="AM331" t="str">
        <f>VLOOKUP(MID($AR331,1,255),country_lookup!$B:$F,4,FALSE)</f>
        <v>99_NCE</v>
      </c>
      <c r="AN331" t="str">
        <f>VLOOKUP(MID($AR331,1,255),country_lookup!$B:$F,5,FALSE)</f>
        <v>99_NCE</v>
      </c>
      <c r="AO331" s="10" t="str">
        <f>VLOOKUP(MID($AS331,1,255),source_lookup!$B:$K,4,FALSE)</f>
        <v>0_published</v>
      </c>
      <c r="AP331" s="10" t="str">
        <f>VLOOKUP(MID($AS331,1,255),source_lookup!$B:$K,6,FALSE)</f>
        <v>0_VHB low</v>
      </c>
      <c r="AQ331" s="10" t="str">
        <f>VLOOKUP(MID($AS331,1,255),source_lookup!$B:$K,10,FALSE)</f>
        <v>2_sust</v>
      </c>
      <c r="AR331" t="s">
        <v>90</v>
      </c>
      <c r="AS331" t="s">
        <v>135</v>
      </c>
    </row>
    <row r="332" spans="1:45" x14ac:dyDescent="0.3">
      <c r="A332" t="s">
        <v>11</v>
      </c>
      <c r="B332">
        <v>331</v>
      </c>
      <c r="C332" s="1">
        <v>-4.4259703412703301E-3</v>
      </c>
      <c r="D332" s="2">
        <v>74</v>
      </c>
      <c r="E332" s="4">
        <v>521</v>
      </c>
      <c r="F332" s="4" t="s">
        <v>347</v>
      </c>
      <c r="G332" s="4" t="s">
        <v>346</v>
      </c>
      <c r="H332" t="s">
        <v>77</v>
      </c>
      <c r="I332" t="s">
        <v>352</v>
      </c>
      <c r="J332" s="3">
        <v>2009</v>
      </c>
      <c r="K332" s="3">
        <v>2015</v>
      </c>
      <c r="L332" s="6">
        <f t="shared" si="111"/>
        <v>2012</v>
      </c>
      <c r="M332" s="6">
        <f t="shared" si="112"/>
        <v>2012</v>
      </c>
      <c r="N332" s="7">
        <f t="shared" si="100"/>
        <v>0</v>
      </c>
      <c r="O332" s="7">
        <f t="shared" si="101"/>
        <v>0</v>
      </c>
      <c r="P332" s="7">
        <f t="shared" si="102"/>
        <v>0</v>
      </c>
      <c r="Q332" s="7">
        <f t="shared" si="113"/>
        <v>0</v>
      </c>
      <c r="R332" s="10" t="str">
        <f t="shared" si="103"/>
        <v>0_Pre</v>
      </c>
      <c r="S332" s="10" t="str">
        <f t="shared" si="104"/>
        <v>0_Pre</v>
      </c>
      <c r="T332" s="10" t="str">
        <f t="shared" si="105"/>
        <v>0_Pre</v>
      </c>
      <c r="U332" s="10" t="str">
        <f t="shared" si="106"/>
        <v>0_Pre</v>
      </c>
      <c r="V332" s="10" t="str">
        <f t="shared" si="114"/>
        <v>0_Pre</v>
      </c>
      <c r="W332" s="10" t="str">
        <f t="shared" si="107"/>
        <v>clean_pre</v>
      </c>
      <c r="X332" s="10" t="str">
        <f t="shared" si="108"/>
        <v>0_Pre</v>
      </c>
      <c r="Y332" s="10" t="str">
        <f t="shared" si="109"/>
        <v>0_Pre</v>
      </c>
      <c r="Z332" s="10" t="str">
        <f t="shared" si="110"/>
        <v>0_Pre</v>
      </c>
      <c r="AA332" s="10" t="str">
        <f t="shared" si="115"/>
        <v>0_Pre</v>
      </c>
      <c r="AB332" s="10" t="str">
        <f t="shared" si="116"/>
        <v>0_Pre</v>
      </c>
      <c r="AC332" s="10" t="str">
        <f t="shared" si="117"/>
        <v>0_Pre</v>
      </c>
      <c r="AD332" s="10" t="str">
        <f t="shared" si="118"/>
        <v>2_post sample median</v>
      </c>
      <c r="AE332" s="10" t="str">
        <f t="shared" si="119"/>
        <v>2_in sample second tertile</v>
      </c>
      <c r="AF332" t="s">
        <v>67</v>
      </c>
      <c r="AG332" t="s">
        <v>75</v>
      </c>
      <c r="AH332" t="s">
        <v>79</v>
      </c>
      <c r="AI332" t="s">
        <v>70</v>
      </c>
      <c r="AJ332" t="s">
        <v>70</v>
      </c>
      <c r="AK332" t="str">
        <f>VLOOKUP(MID($AR332,1,255),country_lookup!$B:$F,2,FALSE)</f>
        <v>99_NCE</v>
      </c>
      <c r="AL332" t="str">
        <f>VLOOKUP(MID($AR332,1,255),country_lookup!$B:$F,3,FALSE)</f>
        <v>99_NCE</v>
      </c>
      <c r="AM332" t="str">
        <f>VLOOKUP(MID($AR332,1,255),country_lookup!$B:$F,4,FALSE)</f>
        <v>99_NCE</v>
      </c>
      <c r="AN332" t="str">
        <f>VLOOKUP(MID($AR332,1,255),country_lookup!$B:$F,5,FALSE)</f>
        <v>99_NCE</v>
      </c>
      <c r="AO332" s="10" t="str">
        <f>VLOOKUP(MID($AS332,1,255),source_lookup!$B:$K,4,FALSE)</f>
        <v>0_published</v>
      </c>
      <c r="AP332" s="10" t="str">
        <f>VLOOKUP(MID($AS332,1,255),source_lookup!$B:$K,6,FALSE)</f>
        <v>0_VHB low</v>
      </c>
      <c r="AQ332" s="10" t="str">
        <f>VLOOKUP(MID($AS332,1,255),source_lookup!$B:$K,10,FALSE)</f>
        <v>2_sust</v>
      </c>
      <c r="AR332" t="s">
        <v>90</v>
      </c>
      <c r="AS332" t="s">
        <v>135</v>
      </c>
    </row>
    <row r="333" spans="1:45" x14ac:dyDescent="0.3">
      <c r="A333" t="s">
        <v>11</v>
      </c>
      <c r="B333">
        <v>332</v>
      </c>
      <c r="C333" s="1">
        <v>-7.2172489837697912E-4</v>
      </c>
      <c r="D333" s="2">
        <v>431</v>
      </c>
      <c r="E333" s="4">
        <v>3014</v>
      </c>
      <c r="F333" s="4" t="s">
        <v>347</v>
      </c>
      <c r="G333" s="4" t="s">
        <v>346</v>
      </c>
      <c r="H333" t="s">
        <v>77</v>
      </c>
      <c r="I333" t="s">
        <v>352</v>
      </c>
      <c r="J333" s="3">
        <v>2009</v>
      </c>
      <c r="K333" s="3">
        <v>2015</v>
      </c>
      <c r="L333" s="6">
        <f t="shared" si="111"/>
        <v>2012</v>
      </c>
      <c r="M333" s="6">
        <f t="shared" si="112"/>
        <v>2012</v>
      </c>
      <c r="N333" s="7">
        <f t="shared" si="100"/>
        <v>0</v>
      </c>
      <c r="O333" s="7">
        <f t="shared" si="101"/>
        <v>0</v>
      </c>
      <c r="P333" s="7">
        <f t="shared" si="102"/>
        <v>0</v>
      </c>
      <c r="Q333" s="7">
        <f t="shared" si="113"/>
        <v>0</v>
      </c>
      <c r="R333" s="10" t="str">
        <f t="shared" si="103"/>
        <v>0_Pre</v>
      </c>
      <c r="S333" s="10" t="str">
        <f t="shared" si="104"/>
        <v>0_Pre</v>
      </c>
      <c r="T333" s="10" t="str">
        <f t="shared" si="105"/>
        <v>0_Pre</v>
      </c>
      <c r="U333" s="10" t="str">
        <f t="shared" si="106"/>
        <v>0_Pre</v>
      </c>
      <c r="V333" s="10" t="str">
        <f t="shared" si="114"/>
        <v>0_Pre</v>
      </c>
      <c r="W333" s="10" t="str">
        <f t="shared" si="107"/>
        <v>clean_pre</v>
      </c>
      <c r="X333" s="10" t="str">
        <f t="shared" si="108"/>
        <v>0_Pre</v>
      </c>
      <c r="Y333" s="10" t="str">
        <f t="shared" si="109"/>
        <v>0_Pre</v>
      </c>
      <c r="Z333" s="10" t="str">
        <f t="shared" si="110"/>
        <v>0_Pre</v>
      </c>
      <c r="AA333" s="10" t="str">
        <f t="shared" si="115"/>
        <v>0_Pre</v>
      </c>
      <c r="AB333" s="10" t="str">
        <f t="shared" si="116"/>
        <v>0_Pre</v>
      </c>
      <c r="AC333" s="10" t="str">
        <f t="shared" si="117"/>
        <v>0_Pre</v>
      </c>
      <c r="AD333" s="10" t="str">
        <f t="shared" si="118"/>
        <v>2_post sample median</v>
      </c>
      <c r="AE333" s="10" t="str">
        <f t="shared" si="119"/>
        <v>2_in sample second tertile</v>
      </c>
      <c r="AF333" t="s">
        <v>67</v>
      </c>
      <c r="AG333" t="s">
        <v>75</v>
      </c>
      <c r="AH333" t="s">
        <v>78</v>
      </c>
      <c r="AI333" t="s">
        <v>70</v>
      </c>
      <c r="AJ333" t="s">
        <v>70</v>
      </c>
      <c r="AK333" t="str">
        <f>VLOOKUP(MID($AR333,1,255),country_lookup!$B:$F,2,FALSE)</f>
        <v>99_NCE</v>
      </c>
      <c r="AL333" t="str">
        <f>VLOOKUP(MID($AR333,1,255),country_lookup!$B:$F,3,FALSE)</f>
        <v>99_NCE</v>
      </c>
      <c r="AM333" t="str">
        <f>VLOOKUP(MID($AR333,1,255),country_lookup!$B:$F,4,FALSE)</f>
        <v>99_NCE</v>
      </c>
      <c r="AN333" t="str">
        <f>VLOOKUP(MID($AR333,1,255),country_lookup!$B:$F,5,FALSE)</f>
        <v>99_NCE</v>
      </c>
      <c r="AO333" s="10" t="str">
        <f>VLOOKUP(MID($AS333,1,255),source_lookup!$B:$K,4,FALSE)</f>
        <v>0_published</v>
      </c>
      <c r="AP333" s="10" t="str">
        <f>VLOOKUP(MID($AS333,1,255),source_lookup!$B:$K,6,FALSE)</f>
        <v>0_VHB low</v>
      </c>
      <c r="AQ333" s="10" t="str">
        <f>VLOOKUP(MID($AS333,1,255),source_lookup!$B:$K,10,FALSE)</f>
        <v>2_sust</v>
      </c>
      <c r="AR333" t="s">
        <v>90</v>
      </c>
      <c r="AS333" t="s">
        <v>135</v>
      </c>
    </row>
    <row r="334" spans="1:45" x14ac:dyDescent="0.3">
      <c r="A334" t="s">
        <v>11</v>
      </c>
      <c r="B334">
        <v>333</v>
      </c>
      <c r="C334" s="1">
        <v>-2.5687741761098435E-3</v>
      </c>
      <c r="D334" s="2">
        <v>400</v>
      </c>
      <c r="E334" s="4">
        <v>2803</v>
      </c>
      <c r="F334" s="4" t="s">
        <v>347</v>
      </c>
      <c r="G334" s="4" t="s">
        <v>346</v>
      </c>
      <c r="H334" t="s">
        <v>77</v>
      </c>
      <c r="I334" t="s">
        <v>352</v>
      </c>
      <c r="J334" s="3">
        <v>2010</v>
      </c>
      <c r="K334" s="3">
        <v>2016</v>
      </c>
      <c r="L334" s="6">
        <f t="shared" si="111"/>
        <v>2013</v>
      </c>
      <c r="M334" s="6">
        <f t="shared" si="112"/>
        <v>2013</v>
      </c>
      <c r="N334" s="7">
        <f t="shared" si="100"/>
        <v>0.14285714285714285</v>
      </c>
      <c r="O334" s="7">
        <f t="shared" si="101"/>
        <v>0</v>
      </c>
      <c r="P334" s="7">
        <f t="shared" si="102"/>
        <v>0</v>
      </c>
      <c r="Q334" s="7">
        <f t="shared" si="113"/>
        <v>0</v>
      </c>
      <c r="R334" s="10" t="str">
        <f t="shared" si="103"/>
        <v>0_Pre</v>
      </c>
      <c r="S334" s="10" t="str">
        <f t="shared" si="104"/>
        <v>0_Pre</v>
      </c>
      <c r="T334" s="10" t="str">
        <f t="shared" si="105"/>
        <v>0_Pre</v>
      </c>
      <c r="U334" s="10" t="str">
        <f t="shared" si="106"/>
        <v>1_Post</v>
      </c>
      <c r="V334" s="10" t="str">
        <f t="shared" si="114"/>
        <v>0_Pre</v>
      </c>
      <c r="W334" s="10" t="str">
        <f t="shared" si="107"/>
        <v>straddle</v>
      </c>
      <c r="X334" s="10" t="str">
        <f t="shared" si="108"/>
        <v>0_Pre</v>
      </c>
      <c r="Y334" s="10" t="str">
        <f t="shared" si="109"/>
        <v>0_Pre</v>
      </c>
      <c r="Z334" s="10" t="str">
        <f t="shared" si="110"/>
        <v>0_Pre</v>
      </c>
      <c r="AA334" s="10" t="str">
        <f t="shared" si="115"/>
        <v>0_Pre</v>
      </c>
      <c r="AB334" s="10" t="str">
        <f t="shared" si="116"/>
        <v>0_Pre</v>
      </c>
      <c r="AC334" s="10" t="str">
        <f t="shared" si="117"/>
        <v>0_Pre</v>
      </c>
      <c r="AD334" s="10" t="str">
        <f t="shared" si="118"/>
        <v>2_post sample median</v>
      </c>
      <c r="AE334" s="10" t="str">
        <f t="shared" si="119"/>
        <v>2_in sample second tertile</v>
      </c>
      <c r="AF334" t="s">
        <v>67</v>
      </c>
      <c r="AG334" t="s">
        <v>75</v>
      </c>
      <c r="AH334" t="s">
        <v>78</v>
      </c>
      <c r="AI334" t="s">
        <v>70</v>
      </c>
      <c r="AJ334" t="s">
        <v>70</v>
      </c>
      <c r="AK334" t="str">
        <f>VLOOKUP(MID($AR334,1,255),country_lookup!$B:$F,2,FALSE)</f>
        <v>99_NCE</v>
      </c>
      <c r="AL334" t="str">
        <f>VLOOKUP(MID($AR334,1,255),country_lookup!$B:$F,3,FALSE)</f>
        <v>99_NCE</v>
      </c>
      <c r="AM334" t="str">
        <f>VLOOKUP(MID($AR334,1,255),country_lookup!$B:$F,4,FALSE)</f>
        <v>99_NCE</v>
      </c>
      <c r="AN334" t="str">
        <f>VLOOKUP(MID($AR334,1,255),country_lookup!$B:$F,5,FALSE)</f>
        <v>99_NCE</v>
      </c>
      <c r="AO334" s="10" t="str">
        <f>VLOOKUP(MID($AS334,1,255),source_lookup!$B:$K,4,FALSE)</f>
        <v>0_published</v>
      </c>
      <c r="AP334" s="10" t="str">
        <f>VLOOKUP(MID($AS334,1,255),source_lookup!$B:$K,6,FALSE)</f>
        <v>0_VHB low</v>
      </c>
      <c r="AQ334" s="10" t="str">
        <f>VLOOKUP(MID($AS334,1,255),source_lookup!$B:$K,10,FALSE)</f>
        <v>2_sust</v>
      </c>
      <c r="AR334" t="s">
        <v>90</v>
      </c>
      <c r="AS334" t="s">
        <v>135</v>
      </c>
    </row>
    <row r="335" spans="1:45" x14ac:dyDescent="0.3">
      <c r="A335" t="s">
        <v>12</v>
      </c>
      <c r="B335">
        <v>334</v>
      </c>
      <c r="C335" s="1">
        <v>6.2080387700769214E-2</v>
      </c>
      <c r="D335" s="2">
        <v>217</v>
      </c>
      <c r="E335" s="4">
        <v>10066</v>
      </c>
      <c r="F335" s="4" t="s">
        <v>347</v>
      </c>
      <c r="G335" s="4" t="s">
        <v>346</v>
      </c>
      <c r="H335" t="s">
        <v>77</v>
      </c>
      <c r="I335" t="s">
        <v>352</v>
      </c>
      <c r="J335" s="3">
        <v>2007</v>
      </c>
      <c r="K335" s="3">
        <v>2016</v>
      </c>
      <c r="L335" s="6">
        <f t="shared" si="111"/>
        <v>2011.5</v>
      </c>
      <c r="M335" s="6">
        <f t="shared" si="112"/>
        <v>2011.5</v>
      </c>
      <c r="N335" s="7">
        <f t="shared" si="100"/>
        <v>0.1</v>
      </c>
      <c r="O335" s="7">
        <f t="shared" si="101"/>
        <v>0</v>
      </c>
      <c r="P335" s="7">
        <f t="shared" si="102"/>
        <v>0</v>
      </c>
      <c r="Q335" s="7">
        <f t="shared" si="113"/>
        <v>0</v>
      </c>
      <c r="R335" s="10" t="str">
        <f t="shared" si="103"/>
        <v>0_Pre</v>
      </c>
      <c r="S335" s="10" t="str">
        <f t="shared" si="104"/>
        <v>0_Pre</v>
      </c>
      <c r="T335" s="10" t="str">
        <f t="shared" si="105"/>
        <v>0_Pre</v>
      </c>
      <c r="U335" s="10" t="str">
        <f t="shared" si="106"/>
        <v>1_Post</v>
      </c>
      <c r="V335" s="10" t="str">
        <f t="shared" si="114"/>
        <v>0_Pre</v>
      </c>
      <c r="W335" s="10" t="str">
        <f t="shared" si="107"/>
        <v>straddle</v>
      </c>
      <c r="X335" s="10" t="str">
        <f t="shared" si="108"/>
        <v>0_Pre</v>
      </c>
      <c r="Y335" s="10" t="str">
        <f t="shared" si="109"/>
        <v>0_Pre</v>
      </c>
      <c r="Z335" s="10" t="str">
        <f t="shared" si="110"/>
        <v>0_Pre</v>
      </c>
      <c r="AA335" s="10" t="str">
        <f t="shared" si="115"/>
        <v>0_Pre</v>
      </c>
      <c r="AB335" s="10" t="str">
        <f t="shared" si="116"/>
        <v>0_Pre</v>
      </c>
      <c r="AC335" s="10" t="str">
        <f t="shared" si="117"/>
        <v>0_Pre</v>
      </c>
      <c r="AD335" s="10" t="str">
        <f t="shared" si="118"/>
        <v>1_pre sample median</v>
      </c>
      <c r="AE335" s="10" t="str">
        <f t="shared" si="119"/>
        <v>2_in sample second tertile</v>
      </c>
      <c r="AF335" t="s">
        <v>80</v>
      </c>
      <c r="AG335" t="s">
        <v>75</v>
      </c>
      <c r="AH335" t="s">
        <v>78</v>
      </c>
      <c r="AI335" t="s">
        <v>70</v>
      </c>
      <c r="AJ335" t="s">
        <v>70</v>
      </c>
      <c r="AK335" t="str">
        <f>VLOOKUP(MID($AR335,1,255),country_lookup!$B:$F,2,FALSE)</f>
        <v>99_NCE</v>
      </c>
      <c r="AL335" t="str">
        <f>VLOOKUP(MID($AR335,1,255),country_lookup!$B:$F,3,FALSE)</f>
        <v>99_NCE</v>
      </c>
      <c r="AM335" t="str">
        <f>VLOOKUP(MID($AR335,1,255),country_lookup!$B:$F,4,FALSE)</f>
        <v>99_NCE</v>
      </c>
      <c r="AN335" t="str">
        <f>VLOOKUP(MID($AR335,1,255),country_lookup!$B:$F,5,FALSE)</f>
        <v>99_NCE</v>
      </c>
      <c r="AO335" s="10" t="str">
        <f>VLOOKUP(MID($AS335,1,255),source_lookup!$B:$K,4,FALSE)</f>
        <v>0_published</v>
      </c>
      <c r="AP335" s="10" t="str">
        <f>VLOOKUP(MID($AS335,1,255),source_lookup!$B:$K,6,FALSE)</f>
        <v>1_VHB high</v>
      </c>
      <c r="AQ335" s="10" t="str">
        <f>VLOOKUP(MID($AS335,1,255),source_lookup!$B:$K,10,FALSE)</f>
        <v>1_fin/acc/econ</v>
      </c>
      <c r="AR335" t="s">
        <v>92</v>
      </c>
      <c r="AS335" t="s">
        <v>136</v>
      </c>
    </row>
    <row r="336" spans="1:45" x14ac:dyDescent="0.3">
      <c r="A336" t="s">
        <v>12</v>
      </c>
      <c r="B336">
        <v>335</v>
      </c>
      <c r="C336" s="1">
        <v>1.4717290886500414E-2</v>
      </c>
      <c r="D336" s="2">
        <v>217</v>
      </c>
      <c r="E336" s="4">
        <v>10066</v>
      </c>
      <c r="F336" s="4" t="s">
        <v>347</v>
      </c>
      <c r="G336" s="4" t="s">
        <v>346</v>
      </c>
      <c r="H336" t="s">
        <v>77</v>
      </c>
      <c r="I336" t="s">
        <v>352</v>
      </c>
      <c r="J336" s="3">
        <v>2007</v>
      </c>
      <c r="K336" s="3">
        <v>2016</v>
      </c>
      <c r="L336" s="6">
        <f t="shared" si="111"/>
        <v>2011.5</v>
      </c>
      <c r="M336" s="6">
        <f t="shared" si="112"/>
        <v>2011.5</v>
      </c>
      <c r="N336" s="7">
        <f t="shared" si="100"/>
        <v>0.1</v>
      </c>
      <c r="O336" s="7">
        <f t="shared" si="101"/>
        <v>0</v>
      </c>
      <c r="P336" s="7">
        <f t="shared" si="102"/>
        <v>0</v>
      </c>
      <c r="Q336" s="7">
        <f t="shared" si="113"/>
        <v>0</v>
      </c>
      <c r="R336" s="10" t="str">
        <f t="shared" si="103"/>
        <v>0_Pre</v>
      </c>
      <c r="S336" s="10" t="str">
        <f t="shared" si="104"/>
        <v>0_Pre</v>
      </c>
      <c r="T336" s="10" t="str">
        <f t="shared" si="105"/>
        <v>0_Pre</v>
      </c>
      <c r="U336" s="10" t="str">
        <f t="shared" si="106"/>
        <v>1_Post</v>
      </c>
      <c r="V336" s="10" t="str">
        <f t="shared" si="114"/>
        <v>0_Pre</v>
      </c>
      <c r="W336" s="10" t="str">
        <f t="shared" si="107"/>
        <v>straddle</v>
      </c>
      <c r="X336" s="10" t="str">
        <f t="shared" si="108"/>
        <v>0_Pre</v>
      </c>
      <c r="Y336" s="10" t="str">
        <f t="shared" si="109"/>
        <v>0_Pre</v>
      </c>
      <c r="Z336" s="10" t="str">
        <f t="shared" si="110"/>
        <v>0_Pre</v>
      </c>
      <c r="AA336" s="10" t="str">
        <f t="shared" si="115"/>
        <v>0_Pre</v>
      </c>
      <c r="AB336" s="10" t="str">
        <f t="shared" si="116"/>
        <v>0_Pre</v>
      </c>
      <c r="AC336" s="10" t="str">
        <f t="shared" si="117"/>
        <v>0_Pre</v>
      </c>
      <c r="AD336" s="10" t="str">
        <f t="shared" si="118"/>
        <v>1_pre sample median</v>
      </c>
      <c r="AE336" s="10" t="str">
        <f t="shared" si="119"/>
        <v>2_in sample second tertile</v>
      </c>
      <c r="AF336" t="s">
        <v>80</v>
      </c>
      <c r="AG336" t="s">
        <v>75</v>
      </c>
      <c r="AH336" t="s">
        <v>78</v>
      </c>
      <c r="AI336" t="s">
        <v>70</v>
      </c>
      <c r="AJ336" t="s">
        <v>70</v>
      </c>
      <c r="AK336" t="str">
        <f>VLOOKUP(MID($AR336,1,255),country_lookup!$B:$F,2,FALSE)</f>
        <v>99_NCE</v>
      </c>
      <c r="AL336" t="str">
        <f>VLOOKUP(MID($AR336,1,255),country_lookup!$B:$F,3,FALSE)</f>
        <v>99_NCE</v>
      </c>
      <c r="AM336" t="str">
        <f>VLOOKUP(MID($AR336,1,255),country_lookup!$B:$F,4,FALSE)</f>
        <v>99_NCE</v>
      </c>
      <c r="AN336" t="str">
        <f>VLOOKUP(MID($AR336,1,255),country_lookup!$B:$F,5,FALSE)</f>
        <v>99_NCE</v>
      </c>
      <c r="AO336" s="10" t="str">
        <f>VLOOKUP(MID($AS336,1,255),source_lookup!$B:$K,4,FALSE)</f>
        <v>0_published</v>
      </c>
      <c r="AP336" s="10" t="str">
        <f>VLOOKUP(MID($AS336,1,255),source_lookup!$B:$K,6,FALSE)</f>
        <v>1_VHB high</v>
      </c>
      <c r="AQ336" s="10" t="str">
        <f>VLOOKUP(MID($AS336,1,255),source_lookup!$B:$K,10,FALSE)</f>
        <v>1_fin/acc/econ</v>
      </c>
      <c r="AR336" t="s">
        <v>92</v>
      </c>
      <c r="AS336" t="s">
        <v>136</v>
      </c>
    </row>
    <row r="337" spans="1:45" x14ac:dyDescent="0.3">
      <c r="A337" t="s">
        <v>12</v>
      </c>
      <c r="B337">
        <v>336</v>
      </c>
      <c r="C337" s="1">
        <v>-7.0967789429979236E-2</v>
      </c>
      <c r="D337" s="2">
        <v>217</v>
      </c>
      <c r="E337" s="4">
        <v>10066</v>
      </c>
      <c r="F337" s="4" t="s">
        <v>347</v>
      </c>
      <c r="G337" s="4" t="s">
        <v>346</v>
      </c>
      <c r="H337" t="s">
        <v>77</v>
      </c>
      <c r="I337" t="s">
        <v>352</v>
      </c>
      <c r="J337" s="3">
        <v>2007</v>
      </c>
      <c r="K337" s="3">
        <v>2016</v>
      </c>
      <c r="L337" s="6">
        <f t="shared" si="111"/>
        <v>2011.5</v>
      </c>
      <c r="M337" s="6">
        <f t="shared" si="112"/>
        <v>2011.5</v>
      </c>
      <c r="N337" s="7">
        <f t="shared" si="100"/>
        <v>0.1</v>
      </c>
      <c r="O337" s="7">
        <f t="shared" si="101"/>
        <v>0</v>
      </c>
      <c r="P337" s="7">
        <f t="shared" si="102"/>
        <v>0</v>
      </c>
      <c r="Q337" s="7">
        <f t="shared" si="113"/>
        <v>0</v>
      </c>
      <c r="R337" s="10" t="str">
        <f t="shared" si="103"/>
        <v>0_Pre</v>
      </c>
      <c r="S337" s="10" t="str">
        <f t="shared" si="104"/>
        <v>0_Pre</v>
      </c>
      <c r="T337" s="10" t="str">
        <f t="shared" si="105"/>
        <v>0_Pre</v>
      </c>
      <c r="U337" s="10" t="str">
        <f t="shared" si="106"/>
        <v>1_Post</v>
      </c>
      <c r="V337" s="10" t="str">
        <f t="shared" si="114"/>
        <v>0_Pre</v>
      </c>
      <c r="W337" s="10" t="str">
        <f t="shared" si="107"/>
        <v>straddle</v>
      </c>
      <c r="X337" s="10" t="str">
        <f t="shared" si="108"/>
        <v>0_Pre</v>
      </c>
      <c r="Y337" s="10" t="str">
        <f t="shared" si="109"/>
        <v>0_Pre</v>
      </c>
      <c r="Z337" s="10" t="str">
        <f t="shared" si="110"/>
        <v>0_Pre</v>
      </c>
      <c r="AA337" s="10" t="str">
        <f t="shared" si="115"/>
        <v>0_Pre</v>
      </c>
      <c r="AB337" s="10" t="str">
        <f t="shared" si="116"/>
        <v>0_Pre</v>
      </c>
      <c r="AC337" s="10" t="str">
        <f t="shared" si="117"/>
        <v>0_Pre</v>
      </c>
      <c r="AD337" s="10" t="str">
        <f t="shared" si="118"/>
        <v>1_pre sample median</v>
      </c>
      <c r="AE337" s="10" t="str">
        <f t="shared" si="119"/>
        <v>2_in sample second tertile</v>
      </c>
      <c r="AF337" t="s">
        <v>80</v>
      </c>
      <c r="AG337" t="s">
        <v>75</v>
      </c>
      <c r="AH337" t="s">
        <v>78</v>
      </c>
      <c r="AI337" t="s">
        <v>70</v>
      </c>
      <c r="AJ337" t="s">
        <v>70</v>
      </c>
      <c r="AK337" t="str">
        <f>VLOOKUP(MID($AR337,1,255),country_lookup!$B:$F,2,FALSE)</f>
        <v>99_NCE</v>
      </c>
      <c r="AL337" t="str">
        <f>VLOOKUP(MID($AR337,1,255),country_lookup!$B:$F,3,FALSE)</f>
        <v>99_NCE</v>
      </c>
      <c r="AM337" t="str">
        <f>VLOOKUP(MID($AR337,1,255),country_lookup!$B:$F,4,FALSE)</f>
        <v>99_NCE</v>
      </c>
      <c r="AN337" t="str">
        <f>VLOOKUP(MID($AR337,1,255),country_lookup!$B:$F,5,FALSE)</f>
        <v>99_NCE</v>
      </c>
      <c r="AO337" s="10" t="str">
        <f>VLOOKUP(MID($AS337,1,255),source_lookup!$B:$K,4,FALSE)</f>
        <v>0_published</v>
      </c>
      <c r="AP337" s="10" t="str">
        <f>VLOOKUP(MID($AS337,1,255),source_lookup!$B:$K,6,FALSE)</f>
        <v>1_VHB high</v>
      </c>
      <c r="AQ337" s="10" t="str">
        <f>VLOOKUP(MID($AS337,1,255),source_lookup!$B:$K,10,FALSE)</f>
        <v>1_fin/acc/econ</v>
      </c>
      <c r="AR337" t="s">
        <v>92</v>
      </c>
      <c r="AS337" t="s">
        <v>136</v>
      </c>
    </row>
    <row r="338" spans="1:45" x14ac:dyDescent="0.3">
      <c r="A338" t="s">
        <v>12</v>
      </c>
      <c r="B338">
        <v>337</v>
      </c>
      <c r="C338" s="1">
        <v>2.4422839307785316E-2</v>
      </c>
      <c r="D338" s="2">
        <v>217</v>
      </c>
      <c r="E338" s="4">
        <v>10066</v>
      </c>
      <c r="F338" s="4" t="s">
        <v>347</v>
      </c>
      <c r="G338" s="4" t="s">
        <v>346</v>
      </c>
      <c r="H338" t="s">
        <v>77</v>
      </c>
      <c r="I338" t="s">
        <v>352</v>
      </c>
      <c r="J338" s="3">
        <v>2007</v>
      </c>
      <c r="K338" s="3">
        <v>2016</v>
      </c>
      <c r="L338" s="6">
        <f t="shared" si="111"/>
        <v>2011.5</v>
      </c>
      <c r="M338" s="6">
        <f t="shared" si="112"/>
        <v>2011.5</v>
      </c>
      <c r="N338" s="7">
        <f t="shared" si="100"/>
        <v>0.1</v>
      </c>
      <c r="O338" s="7">
        <f t="shared" si="101"/>
        <v>0</v>
      </c>
      <c r="P338" s="7">
        <f t="shared" si="102"/>
        <v>0</v>
      </c>
      <c r="Q338" s="7">
        <f t="shared" si="113"/>
        <v>0</v>
      </c>
      <c r="R338" s="10" t="str">
        <f t="shared" si="103"/>
        <v>0_Pre</v>
      </c>
      <c r="S338" s="10" t="str">
        <f t="shared" si="104"/>
        <v>0_Pre</v>
      </c>
      <c r="T338" s="10" t="str">
        <f t="shared" si="105"/>
        <v>0_Pre</v>
      </c>
      <c r="U338" s="10" t="str">
        <f t="shared" si="106"/>
        <v>1_Post</v>
      </c>
      <c r="V338" s="10" t="str">
        <f t="shared" si="114"/>
        <v>0_Pre</v>
      </c>
      <c r="W338" s="10" t="str">
        <f t="shared" si="107"/>
        <v>straddle</v>
      </c>
      <c r="X338" s="10" t="str">
        <f t="shared" si="108"/>
        <v>0_Pre</v>
      </c>
      <c r="Y338" s="10" t="str">
        <f t="shared" si="109"/>
        <v>0_Pre</v>
      </c>
      <c r="Z338" s="10" t="str">
        <f t="shared" si="110"/>
        <v>0_Pre</v>
      </c>
      <c r="AA338" s="10" t="str">
        <f t="shared" si="115"/>
        <v>0_Pre</v>
      </c>
      <c r="AB338" s="10" t="str">
        <f t="shared" si="116"/>
        <v>0_Pre</v>
      </c>
      <c r="AC338" s="10" t="str">
        <f t="shared" si="117"/>
        <v>0_Pre</v>
      </c>
      <c r="AD338" s="10" t="str">
        <f t="shared" si="118"/>
        <v>1_pre sample median</v>
      </c>
      <c r="AE338" s="10" t="str">
        <f t="shared" si="119"/>
        <v>2_in sample second tertile</v>
      </c>
      <c r="AF338" t="s">
        <v>80</v>
      </c>
      <c r="AG338" t="s">
        <v>75</v>
      </c>
      <c r="AH338" t="s">
        <v>78</v>
      </c>
      <c r="AI338" t="s">
        <v>70</v>
      </c>
      <c r="AJ338" t="s">
        <v>70</v>
      </c>
      <c r="AK338" t="str">
        <f>VLOOKUP(MID($AR338,1,255),country_lookup!$B:$F,2,FALSE)</f>
        <v>99_NCE</v>
      </c>
      <c r="AL338" t="str">
        <f>VLOOKUP(MID($AR338,1,255),country_lookup!$B:$F,3,FALSE)</f>
        <v>99_NCE</v>
      </c>
      <c r="AM338" t="str">
        <f>VLOOKUP(MID($AR338,1,255),country_lookup!$B:$F,4,FALSE)</f>
        <v>99_NCE</v>
      </c>
      <c r="AN338" t="str">
        <f>VLOOKUP(MID($AR338,1,255),country_lookup!$B:$F,5,FALSE)</f>
        <v>99_NCE</v>
      </c>
      <c r="AO338" s="10" t="str">
        <f>VLOOKUP(MID($AS338,1,255),source_lookup!$B:$K,4,FALSE)</f>
        <v>0_published</v>
      </c>
      <c r="AP338" s="10" t="str">
        <f>VLOOKUP(MID($AS338,1,255),source_lookup!$B:$K,6,FALSE)</f>
        <v>1_VHB high</v>
      </c>
      <c r="AQ338" s="10" t="str">
        <f>VLOOKUP(MID($AS338,1,255),source_lookup!$B:$K,10,FALSE)</f>
        <v>1_fin/acc/econ</v>
      </c>
      <c r="AR338" t="s">
        <v>92</v>
      </c>
      <c r="AS338" t="s">
        <v>136</v>
      </c>
    </row>
    <row r="339" spans="1:45" x14ac:dyDescent="0.3">
      <c r="A339" t="s">
        <v>12</v>
      </c>
      <c r="B339">
        <v>338</v>
      </c>
      <c r="C339" s="1">
        <v>1.5324128476174486E-2</v>
      </c>
      <c r="D339" s="2">
        <v>217</v>
      </c>
      <c r="E339" s="4">
        <v>10066</v>
      </c>
      <c r="F339" s="4" t="s">
        <v>347</v>
      </c>
      <c r="G339" s="4" t="s">
        <v>346</v>
      </c>
      <c r="H339" t="s">
        <v>77</v>
      </c>
      <c r="I339" t="s">
        <v>352</v>
      </c>
      <c r="J339" s="3">
        <v>2007</v>
      </c>
      <c r="K339" s="3">
        <v>2016</v>
      </c>
      <c r="L339" s="6">
        <f t="shared" si="111"/>
        <v>2011.5</v>
      </c>
      <c r="M339" s="6">
        <f t="shared" si="112"/>
        <v>2011.5</v>
      </c>
      <c r="N339" s="7">
        <f t="shared" si="100"/>
        <v>0.1</v>
      </c>
      <c r="O339" s="7">
        <f t="shared" si="101"/>
        <v>0</v>
      </c>
      <c r="P339" s="7">
        <f t="shared" si="102"/>
        <v>0</v>
      </c>
      <c r="Q339" s="7">
        <f t="shared" si="113"/>
        <v>0</v>
      </c>
      <c r="R339" s="10" t="str">
        <f t="shared" si="103"/>
        <v>0_Pre</v>
      </c>
      <c r="S339" s="10" t="str">
        <f t="shared" si="104"/>
        <v>0_Pre</v>
      </c>
      <c r="T339" s="10" t="str">
        <f t="shared" si="105"/>
        <v>0_Pre</v>
      </c>
      <c r="U339" s="10" t="str">
        <f t="shared" si="106"/>
        <v>1_Post</v>
      </c>
      <c r="V339" s="10" t="str">
        <f t="shared" si="114"/>
        <v>0_Pre</v>
      </c>
      <c r="W339" s="10" t="str">
        <f t="shared" si="107"/>
        <v>straddle</v>
      </c>
      <c r="X339" s="10" t="str">
        <f t="shared" si="108"/>
        <v>0_Pre</v>
      </c>
      <c r="Y339" s="10" t="str">
        <f t="shared" si="109"/>
        <v>0_Pre</v>
      </c>
      <c r="Z339" s="10" t="str">
        <f t="shared" si="110"/>
        <v>0_Pre</v>
      </c>
      <c r="AA339" s="10" t="str">
        <f t="shared" si="115"/>
        <v>0_Pre</v>
      </c>
      <c r="AB339" s="10" t="str">
        <f t="shared" si="116"/>
        <v>0_Pre</v>
      </c>
      <c r="AC339" s="10" t="str">
        <f t="shared" si="117"/>
        <v>0_Pre</v>
      </c>
      <c r="AD339" s="10" t="str">
        <f t="shared" si="118"/>
        <v>1_pre sample median</v>
      </c>
      <c r="AE339" s="10" t="str">
        <f t="shared" si="119"/>
        <v>2_in sample second tertile</v>
      </c>
      <c r="AF339" t="s">
        <v>80</v>
      </c>
      <c r="AG339" t="s">
        <v>75</v>
      </c>
      <c r="AH339" t="s">
        <v>78</v>
      </c>
      <c r="AI339" t="s">
        <v>70</v>
      </c>
      <c r="AJ339" t="s">
        <v>70</v>
      </c>
      <c r="AK339" t="str">
        <f>VLOOKUP(MID($AR339,1,255),country_lookup!$B:$F,2,FALSE)</f>
        <v>99_NCE</v>
      </c>
      <c r="AL339" t="str">
        <f>VLOOKUP(MID($AR339,1,255),country_lookup!$B:$F,3,FALSE)</f>
        <v>99_NCE</v>
      </c>
      <c r="AM339" t="str">
        <f>VLOOKUP(MID($AR339,1,255),country_lookup!$B:$F,4,FALSE)</f>
        <v>99_NCE</v>
      </c>
      <c r="AN339" t="str">
        <f>VLOOKUP(MID($AR339,1,255),country_lookup!$B:$F,5,FALSE)</f>
        <v>99_NCE</v>
      </c>
      <c r="AO339" s="10" t="str">
        <f>VLOOKUP(MID($AS339,1,255),source_lookup!$B:$K,4,FALSE)</f>
        <v>0_published</v>
      </c>
      <c r="AP339" s="10" t="str">
        <f>VLOOKUP(MID($AS339,1,255),source_lookup!$B:$K,6,FALSE)</f>
        <v>1_VHB high</v>
      </c>
      <c r="AQ339" s="10" t="str">
        <f>VLOOKUP(MID($AS339,1,255),source_lookup!$B:$K,10,FALSE)</f>
        <v>1_fin/acc/econ</v>
      </c>
      <c r="AR339" t="s">
        <v>92</v>
      </c>
      <c r="AS339" t="s">
        <v>136</v>
      </c>
    </row>
    <row r="340" spans="1:45" x14ac:dyDescent="0.3">
      <c r="A340" t="s">
        <v>12</v>
      </c>
      <c r="B340">
        <v>339</v>
      </c>
      <c r="C340" s="1">
        <v>-3.2069567103625303E-2</v>
      </c>
      <c r="D340" s="2">
        <v>217</v>
      </c>
      <c r="E340" s="4">
        <v>10066</v>
      </c>
      <c r="F340" s="4" t="s">
        <v>347</v>
      </c>
      <c r="G340" s="4" t="s">
        <v>346</v>
      </c>
      <c r="H340" t="s">
        <v>77</v>
      </c>
      <c r="I340" t="s">
        <v>352</v>
      </c>
      <c r="J340" s="3">
        <v>2007</v>
      </c>
      <c r="K340" s="3">
        <v>2016</v>
      </c>
      <c r="L340" s="6">
        <f t="shared" si="111"/>
        <v>2011.5</v>
      </c>
      <c r="M340" s="6">
        <f t="shared" si="112"/>
        <v>2011.5</v>
      </c>
      <c r="N340" s="7">
        <f t="shared" si="100"/>
        <v>0.1</v>
      </c>
      <c r="O340" s="7">
        <f t="shared" si="101"/>
        <v>0</v>
      </c>
      <c r="P340" s="7">
        <f t="shared" si="102"/>
        <v>0</v>
      </c>
      <c r="Q340" s="7">
        <f t="shared" si="113"/>
        <v>0</v>
      </c>
      <c r="R340" s="10" t="str">
        <f t="shared" si="103"/>
        <v>0_Pre</v>
      </c>
      <c r="S340" s="10" t="str">
        <f t="shared" si="104"/>
        <v>0_Pre</v>
      </c>
      <c r="T340" s="10" t="str">
        <f t="shared" si="105"/>
        <v>0_Pre</v>
      </c>
      <c r="U340" s="10" t="str">
        <f t="shared" si="106"/>
        <v>1_Post</v>
      </c>
      <c r="V340" s="10" t="str">
        <f t="shared" si="114"/>
        <v>0_Pre</v>
      </c>
      <c r="W340" s="10" t="str">
        <f t="shared" si="107"/>
        <v>straddle</v>
      </c>
      <c r="X340" s="10" t="str">
        <f t="shared" si="108"/>
        <v>0_Pre</v>
      </c>
      <c r="Y340" s="10" t="str">
        <f t="shared" si="109"/>
        <v>0_Pre</v>
      </c>
      <c r="Z340" s="10" t="str">
        <f t="shared" si="110"/>
        <v>0_Pre</v>
      </c>
      <c r="AA340" s="10" t="str">
        <f t="shared" si="115"/>
        <v>0_Pre</v>
      </c>
      <c r="AB340" s="10" t="str">
        <f t="shared" si="116"/>
        <v>0_Pre</v>
      </c>
      <c r="AC340" s="10" t="str">
        <f t="shared" si="117"/>
        <v>0_Pre</v>
      </c>
      <c r="AD340" s="10" t="str">
        <f t="shared" si="118"/>
        <v>1_pre sample median</v>
      </c>
      <c r="AE340" s="10" t="str">
        <f t="shared" si="119"/>
        <v>2_in sample second tertile</v>
      </c>
      <c r="AF340" t="s">
        <v>80</v>
      </c>
      <c r="AG340" t="s">
        <v>75</v>
      </c>
      <c r="AH340" t="s">
        <v>78</v>
      </c>
      <c r="AI340" t="s">
        <v>70</v>
      </c>
      <c r="AJ340" t="s">
        <v>70</v>
      </c>
      <c r="AK340" t="str">
        <f>VLOOKUP(MID($AR340,1,255),country_lookup!$B:$F,2,FALSE)</f>
        <v>99_NCE</v>
      </c>
      <c r="AL340" t="str">
        <f>VLOOKUP(MID($AR340,1,255),country_lookup!$B:$F,3,FALSE)</f>
        <v>99_NCE</v>
      </c>
      <c r="AM340" t="str">
        <f>VLOOKUP(MID($AR340,1,255),country_lookup!$B:$F,4,FALSE)</f>
        <v>99_NCE</v>
      </c>
      <c r="AN340" t="str">
        <f>VLOOKUP(MID($AR340,1,255),country_lookup!$B:$F,5,FALSE)</f>
        <v>99_NCE</v>
      </c>
      <c r="AO340" s="10" t="str">
        <f>VLOOKUP(MID($AS340,1,255),source_lookup!$B:$K,4,FALSE)</f>
        <v>0_published</v>
      </c>
      <c r="AP340" s="10" t="str">
        <f>VLOOKUP(MID($AS340,1,255),source_lookup!$B:$K,6,FALSE)</f>
        <v>1_VHB high</v>
      </c>
      <c r="AQ340" s="10" t="str">
        <f>VLOOKUP(MID($AS340,1,255),source_lookup!$B:$K,10,FALSE)</f>
        <v>1_fin/acc/econ</v>
      </c>
      <c r="AR340" t="s">
        <v>92</v>
      </c>
      <c r="AS340" t="s">
        <v>136</v>
      </c>
    </row>
    <row r="341" spans="1:45" x14ac:dyDescent="0.3">
      <c r="A341" t="s">
        <v>12</v>
      </c>
      <c r="B341">
        <v>340</v>
      </c>
      <c r="C341" s="1">
        <v>6.0927083502563872E-2</v>
      </c>
      <c r="D341" s="2">
        <v>217</v>
      </c>
      <c r="E341" s="4">
        <v>10066</v>
      </c>
      <c r="F341" s="4" t="s">
        <v>347</v>
      </c>
      <c r="G341" s="4" t="s">
        <v>346</v>
      </c>
      <c r="H341" t="s">
        <v>77</v>
      </c>
      <c r="I341" t="s">
        <v>352</v>
      </c>
      <c r="J341" s="3">
        <v>2007</v>
      </c>
      <c r="K341" s="3">
        <v>2016</v>
      </c>
      <c r="L341" s="6">
        <f t="shared" si="111"/>
        <v>2011.5</v>
      </c>
      <c r="M341" s="6">
        <f t="shared" si="112"/>
        <v>2011.5</v>
      </c>
      <c r="N341" s="7">
        <f t="shared" si="100"/>
        <v>0.1</v>
      </c>
      <c r="O341" s="7">
        <f t="shared" si="101"/>
        <v>0</v>
      </c>
      <c r="P341" s="7">
        <f t="shared" si="102"/>
        <v>0</v>
      </c>
      <c r="Q341" s="7">
        <f t="shared" si="113"/>
        <v>0</v>
      </c>
      <c r="R341" s="10" t="str">
        <f t="shared" si="103"/>
        <v>0_Pre</v>
      </c>
      <c r="S341" s="10" t="str">
        <f t="shared" si="104"/>
        <v>0_Pre</v>
      </c>
      <c r="T341" s="10" t="str">
        <f t="shared" si="105"/>
        <v>0_Pre</v>
      </c>
      <c r="U341" s="10" t="str">
        <f t="shared" si="106"/>
        <v>1_Post</v>
      </c>
      <c r="V341" s="10" t="str">
        <f t="shared" si="114"/>
        <v>0_Pre</v>
      </c>
      <c r="W341" s="10" t="str">
        <f t="shared" si="107"/>
        <v>straddle</v>
      </c>
      <c r="X341" s="10" t="str">
        <f t="shared" si="108"/>
        <v>0_Pre</v>
      </c>
      <c r="Y341" s="10" t="str">
        <f t="shared" si="109"/>
        <v>0_Pre</v>
      </c>
      <c r="Z341" s="10" t="str">
        <f t="shared" si="110"/>
        <v>0_Pre</v>
      </c>
      <c r="AA341" s="10" t="str">
        <f t="shared" si="115"/>
        <v>0_Pre</v>
      </c>
      <c r="AB341" s="10" t="str">
        <f t="shared" si="116"/>
        <v>0_Pre</v>
      </c>
      <c r="AC341" s="10" t="str">
        <f t="shared" si="117"/>
        <v>0_Pre</v>
      </c>
      <c r="AD341" s="10" t="str">
        <f t="shared" si="118"/>
        <v>1_pre sample median</v>
      </c>
      <c r="AE341" s="10" t="str">
        <f t="shared" si="119"/>
        <v>2_in sample second tertile</v>
      </c>
      <c r="AF341" t="s">
        <v>80</v>
      </c>
      <c r="AG341" t="s">
        <v>75</v>
      </c>
      <c r="AH341" t="s">
        <v>78</v>
      </c>
      <c r="AI341" t="s">
        <v>70</v>
      </c>
      <c r="AJ341" t="s">
        <v>70</v>
      </c>
      <c r="AK341" t="str">
        <f>VLOOKUP(MID($AR341,1,255),country_lookup!$B:$F,2,FALSE)</f>
        <v>99_NCE</v>
      </c>
      <c r="AL341" t="str">
        <f>VLOOKUP(MID($AR341,1,255),country_lookup!$B:$F,3,FALSE)</f>
        <v>99_NCE</v>
      </c>
      <c r="AM341" t="str">
        <f>VLOOKUP(MID($AR341,1,255),country_lookup!$B:$F,4,FALSE)</f>
        <v>99_NCE</v>
      </c>
      <c r="AN341" t="str">
        <f>VLOOKUP(MID($AR341,1,255),country_lookup!$B:$F,5,FALSE)</f>
        <v>99_NCE</v>
      </c>
      <c r="AO341" s="10" t="str">
        <f>VLOOKUP(MID($AS341,1,255),source_lookup!$B:$K,4,FALSE)</f>
        <v>0_published</v>
      </c>
      <c r="AP341" s="10" t="str">
        <f>VLOOKUP(MID($AS341,1,255),source_lookup!$B:$K,6,FALSE)</f>
        <v>1_VHB high</v>
      </c>
      <c r="AQ341" s="10" t="str">
        <f>VLOOKUP(MID($AS341,1,255),source_lookup!$B:$K,10,FALSE)</f>
        <v>1_fin/acc/econ</v>
      </c>
      <c r="AR341" t="s">
        <v>92</v>
      </c>
      <c r="AS341" t="s">
        <v>136</v>
      </c>
    </row>
    <row r="342" spans="1:45" x14ac:dyDescent="0.3">
      <c r="A342" t="s">
        <v>12</v>
      </c>
      <c r="B342">
        <v>341</v>
      </c>
      <c r="C342" s="1">
        <v>-9.559973831482205E-4</v>
      </c>
      <c r="D342" s="2">
        <v>217</v>
      </c>
      <c r="E342" s="4">
        <v>10066</v>
      </c>
      <c r="F342" s="4" t="s">
        <v>347</v>
      </c>
      <c r="G342" s="4" t="s">
        <v>346</v>
      </c>
      <c r="H342" t="s">
        <v>77</v>
      </c>
      <c r="I342" t="s">
        <v>352</v>
      </c>
      <c r="J342" s="3">
        <v>2007</v>
      </c>
      <c r="K342" s="3">
        <v>2016</v>
      </c>
      <c r="L342" s="6">
        <f t="shared" si="111"/>
        <v>2011.5</v>
      </c>
      <c r="M342" s="6">
        <f t="shared" si="112"/>
        <v>2011.5</v>
      </c>
      <c r="N342" s="7">
        <f t="shared" si="100"/>
        <v>0.1</v>
      </c>
      <c r="O342" s="7">
        <f t="shared" si="101"/>
        <v>0</v>
      </c>
      <c r="P342" s="7">
        <f t="shared" si="102"/>
        <v>0</v>
      </c>
      <c r="Q342" s="7">
        <f t="shared" si="113"/>
        <v>0</v>
      </c>
      <c r="R342" s="10" t="str">
        <f t="shared" si="103"/>
        <v>0_Pre</v>
      </c>
      <c r="S342" s="10" t="str">
        <f t="shared" si="104"/>
        <v>0_Pre</v>
      </c>
      <c r="T342" s="10" t="str">
        <f t="shared" si="105"/>
        <v>0_Pre</v>
      </c>
      <c r="U342" s="10" t="str">
        <f t="shared" si="106"/>
        <v>1_Post</v>
      </c>
      <c r="V342" s="10" t="str">
        <f t="shared" si="114"/>
        <v>0_Pre</v>
      </c>
      <c r="W342" s="10" t="str">
        <f t="shared" si="107"/>
        <v>straddle</v>
      </c>
      <c r="X342" s="10" t="str">
        <f t="shared" si="108"/>
        <v>0_Pre</v>
      </c>
      <c r="Y342" s="10" t="str">
        <f t="shared" si="109"/>
        <v>0_Pre</v>
      </c>
      <c r="Z342" s="10" t="str">
        <f t="shared" si="110"/>
        <v>0_Pre</v>
      </c>
      <c r="AA342" s="10" t="str">
        <f t="shared" si="115"/>
        <v>0_Pre</v>
      </c>
      <c r="AB342" s="10" t="str">
        <f t="shared" si="116"/>
        <v>0_Pre</v>
      </c>
      <c r="AC342" s="10" t="str">
        <f t="shared" si="117"/>
        <v>0_Pre</v>
      </c>
      <c r="AD342" s="10" t="str">
        <f t="shared" si="118"/>
        <v>1_pre sample median</v>
      </c>
      <c r="AE342" s="10" t="str">
        <f t="shared" si="119"/>
        <v>2_in sample second tertile</v>
      </c>
      <c r="AF342" t="s">
        <v>80</v>
      </c>
      <c r="AG342" t="s">
        <v>75</v>
      </c>
      <c r="AH342" t="s">
        <v>78</v>
      </c>
      <c r="AI342" t="s">
        <v>70</v>
      </c>
      <c r="AJ342" t="s">
        <v>70</v>
      </c>
      <c r="AK342" t="str">
        <f>VLOOKUP(MID($AR342,1,255),country_lookup!$B:$F,2,FALSE)</f>
        <v>99_NCE</v>
      </c>
      <c r="AL342" t="str">
        <f>VLOOKUP(MID($AR342,1,255),country_lookup!$B:$F,3,FALSE)</f>
        <v>99_NCE</v>
      </c>
      <c r="AM342" t="str">
        <f>VLOOKUP(MID($AR342,1,255),country_lookup!$B:$F,4,FALSE)</f>
        <v>99_NCE</v>
      </c>
      <c r="AN342" t="str">
        <f>VLOOKUP(MID($AR342,1,255),country_lookup!$B:$F,5,FALSE)</f>
        <v>99_NCE</v>
      </c>
      <c r="AO342" s="10" t="str">
        <f>VLOOKUP(MID($AS342,1,255),source_lookup!$B:$K,4,FALSE)</f>
        <v>0_published</v>
      </c>
      <c r="AP342" s="10" t="str">
        <f>VLOOKUP(MID($AS342,1,255),source_lookup!$B:$K,6,FALSE)</f>
        <v>1_VHB high</v>
      </c>
      <c r="AQ342" s="10" t="str">
        <f>VLOOKUP(MID($AS342,1,255),source_lookup!$B:$K,10,FALSE)</f>
        <v>1_fin/acc/econ</v>
      </c>
      <c r="AR342" t="s">
        <v>92</v>
      </c>
      <c r="AS342" t="s">
        <v>136</v>
      </c>
    </row>
    <row r="343" spans="1:45" x14ac:dyDescent="0.3">
      <c r="A343" t="s">
        <v>12</v>
      </c>
      <c r="B343">
        <v>342</v>
      </c>
      <c r="C343" s="1">
        <v>-8.053642913320018E-2</v>
      </c>
      <c r="D343" s="2">
        <v>217</v>
      </c>
      <c r="E343" s="4">
        <v>10066</v>
      </c>
      <c r="F343" s="4" t="s">
        <v>347</v>
      </c>
      <c r="G343" s="4" t="s">
        <v>346</v>
      </c>
      <c r="H343" t="s">
        <v>77</v>
      </c>
      <c r="I343" t="s">
        <v>352</v>
      </c>
      <c r="J343" s="3">
        <v>2007</v>
      </c>
      <c r="K343" s="3">
        <v>2016</v>
      </c>
      <c r="L343" s="6">
        <f t="shared" si="111"/>
        <v>2011.5</v>
      </c>
      <c r="M343" s="6">
        <f t="shared" si="112"/>
        <v>2011.5</v>
      </c>
      <c r="N343" s="7">
        <f t="shared" si="100"/>
        <v>0.1</v>
      </c>
      <c r="O343" s="7">
        <f t="shared" si="101"/>
        <v>0</v>
      </c>
      <c r="P343" s="7">
        <f t="shared" si="102"/>
        <v>0</v>
      </c>
      <c r="Q343" s="7">
        <f t="shared" si="113"/>
        <v>0</v>
      </c>
      <c r="R343" s="10" t="str">
        <f t="shared" si="103"/>
        <v>0_Pre</v>
      </c>
      <c r="S343" s="10" t="str">
        <f t="shared" si="104"/>
        <v>0_Pre</v>
      </c>
      <c r="T343" s="10" t="str">
        <f t="shared" si="105"/>
        <v>0_Pre</v>
      </c>
      <c r="U343" s="10" t="str">
        <f t="shared" si="106"/>
        <v>1_Post</v>
      </c>
      <c r="V343" s="10" t="str">
        <f t="shared" si="114"/>
        <v>0_Pre</v>
      </c>
      <c r="W343" s="10" t="str">
        <f t="shared" si="107"/>
        <v>straddle</v>
      </c>
      <c r="X343" s="10" t="str">
        <f t="shared" si="108"/>
        <v>0_Pre</v>
      </c>
      <c r="Y343" s="10" t="str">
        <f t="shared" si="109"/>
        <v>0_Pre</v>
      </c>
      <c r="Z343" s="10" t="str">
        <f t="shared" si="110"/>
        <v>0_Pre</v>
      </c>
      <c r="AA343" s="10" t="str">
        <f t="shared" si="115"/>
        <v>0_Pre</v>
      </c>
      <c r="AB343" s="10" t="str">
        <f t="shared" si="116"/>
        <v>0_Pre</v>
      </c>
      <c r="AC343" s="10" t="str">
        <f t="shared" si="117"/>
        <v>0_Pre</v>
      </c>
      <c r="AD343" s="10" t="str">
        <f t="shared" si="118"/>
        <v>1_pre sample median</v>
      </c>
      <c r="AE343" s="10" t="str">
        <f t="shared" si="119"/>
        <v>2_in sample second tertile</v>
      </c>
      <c r="AF343" t="s">
        <v>80</v>
      </c>
      <c r="AG343" t="s">
        <v>75</v>
      </c>
      <c r="AH343" t="s">
        <v>78</v>
      </c>
      <c r="AI343" t="s">
        <v>70</v>
      </c>
      <c r="AJ343" t="s">
        <v>70</v>
      </c>
      <c r="AK343" t="str">
        <f>VLOOKUP(MID($AR343,1,255),country_lookup!$B:$F,2,FALSE)</f>
        <v>99_NCE</v>
      </c>
      <c r="AL343" t="str">
        <f>VLOOKUP(MID($AR343,1,255),country_lookup!$B:$F,3,FALSE)</f>
        <v>99_NCE</v>
      </c>
      <c r="AM343" t="str">
        <f>VLOOKUP(MID($AR343,1,255),country_lookup!$B:$F,4,FALSE)</f>
        <v>99_NCE</v>
      </c>
      <c r="AN343" t="str">
        <f>VLOOKUP(MID($AR343,1,255),country_lookup!$B:$F,5,FALSE)</f>
        <v>99_NCE</v>
      </c>
      <c r="AO343" s="10" t="str">
        <f>VLOOKUP(MID($AS343,1,255),source_lookup!$B:$K,4,FALSE)</f>
        <v>0_published</v>
      </c>
      <c r="AP343" s="10" t="str">
        <f>VLOOKUP(MID($AS343,1,255),source_lookup!$B:$K,6,FALSE)</f>
        <v>1_VHB high</v>
      </c>
      <c r="AQ343" s="10" t="str">
        <f>VLOOKUP(MID($AS343,1,255),source_lookup!$B:$K,10,FALSE)</f>
        <v>1_fin/acc/econ</v>
      </c>
      <c r="AR343" t="s">
        <v>92</v>
      </c>
      <c r="AS343" t="s">
        <v>136</v>
      </c>
    </row>
    <row r="344" spans="1:45" x14ac:dyDescent="0.3">
      <c r="A344" t="s">
        <v>12</v>
      </c>
      <c r="B344">
        <v>343</v>
      </c>
      <c r="C344" s="1">
        <v>2.5786381463961998E-2</v>
      </c>
      <c r="D344" s="2">
        <v>217</v>
      </c>
      <c r="E344" s="4">
        <v>10461</v>
      </c>
      <c r="F344" s="4" t="s">
        <v>347</v>
      </c>
      <c r="G344" s="4" t="s">
        <v>346</v>
      </c>
      <c r="H344" t="s">
        <v>77</v>
      </c>
      <c r="I344" t="s">
        <v>352</v>
      </c>
      <c r="J344" s="3">
        <v>2007</v>
      </c>
      <c r="K344" s="3">
        <v>2016</v>
      </c>
      <c r="L344" s="6">
        <f t="shared" si="111"/>
        <v>2011.5</v>
      </c>
      <c r="M344" s="6">
        <f t="shared" si="112"/>
        <v>2011.5</v>
      </c>
      <c r="N344" s="7">
        <f t="shared" si="100"/>
        <v>0.1</v>
      </c>
      <c r="O344" s="7">
        <f t="shared" si="101"/>
        <v>0</v>
      </c>
      <c r="P344" s="7">
        <f t="shared" si="102"/>
        <v>0</v>
      </c>
      <c r="Q344" s="7">
        <f t="shared" si="113"/>
        <v>0</v>
      </c>
      <c r="R344" s="10" t="str">
        <f t="shared" si="103"/>
        <v>0_Pre</v>
      </c>
      <c r="S344" s="10" t="str">
        <f t="shared" si="104"/>
        <v>0_Pre</v>
      </c>
      <c r="T344" s="10" t="str">
        <f t="shared" si="105"/>
        <v>0_Pre</v>
      </c>
      <c r="U344" s="10" t="str">
        <f t="shared" si="106"/>
        <v>1_Post</v>
      </c>
      <c r="V344" s="10" t="str">
        <f t="shared" si="114"/>
        <v>0_Pre</v>
      </c>
      <c r="W344" s="10" t="str">
        <f t="shared" si="107"/>
        <v>straddle</v>
      </c>
      <c r="X344" s="10" t="str">
        <f t="shared" si="108"/>
        <v>0_Pre</v>
      </c>
      <c r="Y344" s="10" t="str">
        <f t="shared" si="109"/>
        <v>0_Pre</v>
      </c>
      <c r="Z344" s="10" t="str">
        <f t="shared" si="110"/>
        <v>0_Pre</v>
      </c>
      <c r="AA344" s="10" t="str">
        <f t="shared" si="115"/>
        <v>0_Pre</v>
      </c>
      <c r="AB344" s="10" t="str">
        <f t="shared" si="116"/>
        <v>0_Pre</v>
      </c>
      <c r="AC344" s="10" t="str">
        <f t="shared" si="117"/>
        <v>0_Pre</v>
      </c>
      <c r="AD344" s="10" t="str">
        <f t="shared" si="118"/>
        <v>1_pre sample median</v>
      </c>
      <c r="AE344" s="10" t="str">
        <f t="shared" si="119"/>
        <v>2_in sample second tertile</v>
      </c>
      <c r="AF344" t="s">
        <v>80</v>
      </c>
      <c r="AG344" t="s">
        <v>75</v>
      </c>
      <c r="AH344" t="s">
        <v>78</v>
      </c>
      <c r="AI344" t="s">
        <v>70</v>
      </c>
      <c r="AJ344" t="s">
        <v>70</v>
      </c>
      <c r="AK344" t="str">
        <f>VLOOKUP(MID($AR344,1,255),country_lookup!$B:$F,2,FALSE)</f>
        <v>99_NCE</v>
      </c>
      <c r="AL344" t="str">
        <f>VLOOKUP(MID($AR344,1,255),country_lookup!$B:$F,3,FALSE)</f>
        <v>99_NCE</v>
      </c>
      <c r="AM344" t="str">
        <f>VLOOKUP(MID($AR344,1,255),country_lookup!$B:$F,4,FALSE)</f>
        <v>99_NCE</v>
      </c>
      <c r="AN344" t="str">
        <f>VLOOKUP(MID($AR344,1,255),country_lookup!$B:$F,5,FALSE)</f>
        <v>99_NCE</v>
      </c>
      <c r="AO344" s="10" t="str">
        <f>VLOOKUP(MID($AS344,1,255),source_lookup!$B:$K,4,FALSE)</f>
        <v>0_published</v>
      </c>
      <c r="AP344" s="10" t="str">
        <f>VLOOKUP(MID($AS344,1,255),source_lookup!$B:$K,6,FALSE)</f>
        <v>1_VHB high</v>
      </c>
      <c r="AQ344" s="10" t="str">
        <f>VLOOKUP(MID($AS344,1,255),source_lookup!$B:$K,10,FALSE)</f>
        <v>1_fin/acc/econ</v>
      </c>
      <c r="AR344" t="s">
        <v>92</v>
      </c>
      <c r="AS344" t="s">
        <v>136</v>
      </c>
    </row>
    <row r="345" spans="1:45" x14ac:dyDescent="0.3">
      <c r="A345" t="s">
        <v>12</v>
      </c>
      <c r="B345">
        <v>344</v>
      </c>
      <c r="C345" s="1">
        <v>1.2299183918875876E-2</v>
      </c>
      <c r="D345" s="2">
        <v>217</v>
      </c>
      <c r="E345" s="4">
        <v>10461</v>
      </c>
      <c r="F345" s="4" t="s">
        <v>347</v>
      </c>
      <c r="G345" s="4" t="s">
        <v>346</v>
      </c>
      <c r="H345" t="s">
        <v>77</v>
      </c>
      <c r="I345" t="s">
        <v>352</v>
      </c>
      <c r="J345" s="3">
        <v>2007</v>
      </c>
      <c r="K345" s="3">
        <v>2016</v>
      </c>
      <c r="L345" s="6">
        <f t="shared" si="111"/>
        <v>2011.5</v>
      </c>
      <c r="M345" s="6">
        <f t="shared" si="112"/>
        <v>2011.5</v>
      </c>
      <c r="N345" s="7">
        <f t="shared" si="100"/>
        <v>0.1</v>
      </c>
      <c r="O345" s="7">
        <f t="shared" si="101"/>
        <v>0</v>
      </c>
      <c r="P345" s="7">
        <f t="shared" si="102"/>
        <v>0</v>
      </c>
      <c r="Q345" s="7">
        <f t="shared" si="113"/>
        <v>0</v>
      </c>
      <c r="R345" s="10" t="str">
        <f t="shared" si="103"/>
        <v>0_Pre</v>
      </c>
      <c r="S345" s="10" t="str">
        <f t="shared" si="104"/>
        <v>0_Pre</v>
      </c>
      <c r="T345" s="10" t="str">
        <f t="shared" si="105"/>
        <v>0_Pre</v>
      </c>
      <c r="U345" s="10" t="str">
        <f t="shared" si="106"/>
        <v>1_Post</v>
      </c>
      <c r="V345" s="10" t="str">
        <f t="shared" si="114"/>
        <v>0_Pre</v>
      </c>
      <c r="W345" s="10" t="str">
        <f t="shared" si="107"/>
        <v>straddle</v>
      </c>
      <c r="X345" s="10" t="str">
        <f t="shared" si="108"/>
        <v>0_Pre</v>
      </c>
      <c r="Y345" s="10" t="str">
        <f t="shared" si="109"/>
        <v>0_Pre</v>
      </c>
      <c r="Z345" s="10" t="str">
        <f t="shared" si="110"/>
        <v>0_Pre</v>
      </c>
      <c r="AA345" s="10" t="str">
        <f t="shared" si="115"/>
        <v>0_Pre</v>
      </c>
      <c r="AB345" s="10" t="str">
        <f t="shared" si="116"/>
        <v>0_Pre</v>
      </c>
      <c r="AC345" s="10" t="str">
        <f t="shared" si="117"/>
        <v>0_Pre</v>
      </c>
      <c r="AD345" s="10" t="str">
        <f t="shared" si="118"/>
        <v>1_pre sample median</v>
      </c>
      <c r="AE345" s="10" t="str">
        <f t="shared" si="119"/>
        <v>2_in sample second tertile</v>
      </c>
      <c r="AF345" t="s">
        <v>80</v>
      </c>
      <c r="AG345" t="s">
        <v>75</v>
      </c>
      <c r="AH345" t="s">
        <v>78</v>
      </c>
      <c r="AI345" t="s">
        <v>70</v>
      </c>
      <c r="AJ345" t="s">
        <v>70</v>
      </c>
      <c r="AK345" t="str">
        <f>VLOOKUP(MID($AR345,1,255),country_lookup!$B:$F,2,FALSE)</f>
        <v>99_NCE</v>
      </c>
      <c r="AL345" t="str">
        <f>VLOOKUP(MID($AR345,1,255),country_lookup!$B:$F,3,FALSE)</f>
        <v>99_NCE</v>
      </c>
      <c r="AM345" t="str">
        <f>VLOOKUP(MID($AR345,1,255),country_lookup!$B:$F,4,FALSE)</f>
        <v>99_NCE</v>
      </c>
      <c r="AN345" t="str">
        <f>VLOOKUP(MID($AR345,1,255),country_lookup!$B:$F,5,FALSE)</f>
        <v>99_NCE</v>
      </c>
      <c r="AO345" s="10" t="str">
        <f>VLOOKUP(MID($AS345,1,255),source_lookup!$B:$K,4,FALSE)</f>
        <v>0_published</v>
      </c>
      <c r="AP345" s="10" t="str">
        <f>VLOOKUP(MID($AS345,1,255),source_lookup!$B:$K,6,FALSE)</f>
        <v>1_VHB high</v>
      </c>
      <c r="AQ345" s="10" t="str">
        <f>VLOOKUP(MID($AS345,1,255),source_lookup!$B:$K,10,FALSE)</f>
        <v>1_fin/acc/econ</v>
      </c>
      <c r="AR345" t="s">
        <v>92</v>
      </c>
      <c r="AS345" t="s">
        <v>136</v>
      </c>
    </row>
    <row r="346" spans="1:45" x14ac:dyDescent="0.3">
      <c r="A346" t="s">
        <v>12</v>
      </c>
      <c r="B346">
        <v>345</v>
      </c>
      <c r="C346" s="1">
        <v>-3.4187353184091357E-2</v>
      </c>
      <c r="D346" s="2">
        <v>217</v>
      </c>
      <c r="E346" s="4">
        <v>10461</v>
      </c>
      <c r="F346" s="4" t="s">
        <v>347</v>
      </c>
      <c r="G346" s="4" t="s">
        <v>346</v>
      </c>
      <c r="H346" t="s">
        <v>77</v>
      </c>
      <c r="I346" t="s">
        <v>352</v>
      </c>
      <c r="J346" s="3">
        <v>2007</v>
      </c>
      <c r="K346" s="3">
        <v>2016</v>
      </c>
      <c r="L346" s="6">
        <f t="shared" si="111"/>
        <v>2011.5</v>
      </c>
      <c r="M346" s="6">
        <f t="shared" si="112"/>
        <v>2011.5</v>
      </c>
      <c r="N346" s="7">
        <f t="shared" si="100"/>
        <v>0.1</v>
      </c>
      <c r="O346" s="7">
        <f t="shared" si="101"/>
        <v>0</v>
      </c>
      <c r="P346" s="7">
        <f t="shared" si="102"/>
        <v>0</v>
      </c>
      <c r="Q346" s="7">
        <f t="shared" si="113"/>
        <v>0</v>
      </c>
      <c r="R346" s="10" t="str">
        <f t="shared" si="103"/>
        <v>0_Pre</v>
      </c>
      <c r="S346" s="10" t="str">
        <f t="shared" si="104"/>
        <v>0_Pre</v>
      </c>
      <c r="T346" s="10" t="str">
        <f t="shared" si="105"/>
        <v>0_Pre</v>
      </c>
      <c r="U346" s="10" t="str">
        <f t="shared" si="106"/>
        <v>1_Post</v>
      </c>
      <c r="V346" s="10" t="str">
        <f t="shared" si="114"/>
        <v>0_Pre</v>
      </c>
      <c r="W346" s="10" t="str">
        <f t="shared" si="107"/>
        <v>straddle</v>
      </c>
      <c r="X346" s="10" t="str">
        <f t="shared" si="108"/>
        <v>0_Pre</v>
      </c>
      <c r="Y346" s="10" t="str">
        <f t="shared" si="109"/>
        <v>0_Pre</v>
      </c>
      <c r="Z346" s="10" t="str">
        <f t="shared" si="110"/>
        <v>0_Pre</v>
      </c>
      <c r="AA346" s="10" t="str">
        <f t="shared" si="115"/>
        <v>0_Pre</v>
      </c>
      <c r="AB346" s="10" t="str">
        <f t="shared" si="116"/>
        <v>0_Pre</v>
      </c>
      <c r="AC346" s="10" t="str">
        <f t="shared" si="117"/>
        <v>0_Pre</v>
      </c>
      <c r="AD346" s="10" t="str">
        <f t="shared" si="118"/>
        <v>1_pre sample median</v>
      </c>
      <c r="AE346" s="10" t="str">
        <f t="shared" si="119"/>
        <v>2_in sample second tertile</v>
      </c>
      <c r="AF346" t="s">
        <v>80</v>
      </c>
      <c r="AG346" t="s">
        <v>75</v>
      </c>
      <c r="AH346" t="s">
        <v>78</v>
      </c>
      <c r="AI346" t="s">
        <v>70</v>
      </c>
      <c r="AJ346" t="s">
        <v>70</v>
      </c>
      <c r="AK346" t="str">
        <f>VLOOKUP(MID($AR346,1,255),country_lookup!$B:$F,2,FALSE)</f>
        <v>99_NCE</v>
      </c>
      <c r="AL346" t="str">
        <f>VLOOKUP(MID($AR346,1,255),country_lookup!$B:$F,3,FALSE)</f>
        <v>99_NCE</v>
      </c>
      <c r="AM346" t="str">
        <f>VLOOKUP(MID($AR346,1,255),country_lookup!$B:$F,4,FALSE)</f>
        <v>99_NCE</v>
      </c>
      <c r="AN346" t="str">
        <f>VLOOKUP(MID($AR346,1,255),country_lookup!$B:$F,5,FALSE)</f>
        <v>99_NCE</v>
      </c>
      <c r="AO346" s="10" t="str">
        <f>VLOOKUP(MID($AS346,1,255),source_lookup!$B:$K,4,FALSE)</f>
        <v>0_published</v>
      </c>
      <c r="AP346" s="10" t="str">
        <f>VLOOKUP(MID($AS346,1,255),source_lookup!$B:$K,6,FALSE)</f>
        <v>1_VHB high</v>
      </c>
      <c r="AQ346" s="10" t="str">
        <f>VLOOKUP(MID($AS346,1,255),source_lookup!$B:$K,10,FALSE)</f>
        <v>1_fin/acc/econ</v>
      </c>
      <c r="AR346" t="s">
        <v>92</v>
      </c>
      <c r="AS346" t="s">
        <v>136</v>
      </c>
    </row>
    <row r="347" spans="1:45" x14ac:dyDescent="0.3">
      <c r="A347" t="s">
        <v>12</v>
      </c>
      <c r="B347">
        <v>346</v>
      </c>
      <c r="C347" s="1">
        <v>6.7933458561601046E-2</v>
      </c>
      <c r="D347" s="2">
        <v>217</v>
      </c>
      <c r="E347" s="4">
        <v>10461</v>
      </c>
      <c r="F347" s="4" t="s">
        <v>347</v>
      </c>
      <c r="G347" s="4" t="s">
        <v>346</v>
      </c>
      <c r="H347" t="s">
        <v>77</v>
      </c>
      <c r="I347" t="s">
        <v>352</v>
      </c>
      <c r="J347" s="3">
        <v>2007</v>
      </c>
      <c r="K347" s="3">
        <v>2016</v>
      </c>
      <c r="L347" s="6">
        <f t="shared" si="111"/>
        <v>2011.5</v>
      </c>
      <c r="M347" s="6">
        <f t="shared" si="112"/>
        <v>2011.5</v>
      </c>
      <c r="N347" s="7">
        <f t="shared" si="100"/>
        <v>0.1</v>
      </c>
      <c r="O347" s="7">
        <f t="shared" si="101"/>
        <v>0</v>
      </c>
      <c r="P347" s="7">
        <f t="shared" si="102"/>
        <v>0</v>
      </c>
      <c r="Q347" s="7">
        <f t="shared" si="113"/>
        <v>0</v>
      </c>
      <c r="R347" s="10" t="str">
        <f t="shared" si="103"/>
        <v>0_Pre</v>
      </c>
      <c r="S347" s="10" t="str">
        <f t="shared" si="104"/>
        <v>0_Pre</v>
      </c>
      <c r="T347" s="10" t="str">
        <f t="shared" si="105"/>
        <v>0_Pre</v>
      </c>
      <c r="U347" s="10" t="str">
        <f t="shared" si="106"/>
        <v>1_Post</v>
      </c>
      <c r="V347" s="10" t="str">
        <f t="shared" si="114"/>
        <v>0_Pre</v>
      </c>
      <c r="W347" s="10" t="str">
        <f t="shared" si="107"/>
        <v>straddle</v>
      </c>
      <c r="X347" s="10" t="str">
        <f t="shared" si="108"/>
        <v>0_Pre</v>
      </c>
      <c r="Y347" s="10" t="str">
        <f t="shared" si="109"/>
        <v>0_Pre</v>
      </c>
      <c r="Z347" s="10" t="str">
        <f t="shared" si="110"/>
        <v>0_Pre</v>
      </c>
      <c r="AA347" s="10" t="str">
        <f t="shared" si="115"/>
        <v>0_Pre</v>
      </c>
      <c r="AB347" s="10" t="str">
        <f t="shared" si="116"/>
        <v>0_Pre</v>
      </c>
      <c r="AC347" s="10" t="str">
        <f t="shared" si="117"/>
        <v>0_Pre</v>
      </c>
      <c r="AD347" s="10" t="str">
        <f t="shared" si="118"/>
        <v>1_pre sample median</v>
      </c>
      <c r="AE347" s="10" t="str">
        <f t="shared" si="119"/>
        <v>2_in sample second tertile</v>
      </c>
      <c r="AF347" t="s">
        <v>80</v>
      </c>
      <c r="AG347" t="s">
        <v>75</v>
      </c>
      <c r="AH347" t="s">
        <v>78</v>
      </c>
      <c r="AI347" t="s">
        <v>70</v>
      </c>
      <c r="AJ347" t="s">
        <v>70</v>
      </c>
      <c r="AK347" t="str">
        <f>VLOOKUP(MID($AR347,1,255),country_lookup!$B:$F,2,FALSE)</f>
        <v>99_NCE</v>
      </c>
      <c r="AL347" t="str">
        <f>VLOOKUP(MID($AR347,1,255),country_lookup!$B:$F,3,FALSE)</f>
        <v>99_NCE</v>
      </c>
      <c r="AM347" t="str">
        <f>VLOOKUP(MID($AR347,1,255),country_lookup!$B:$F,4,FALSE)</f>
        <v>99_NCE</v>
      </c>
      <c r="AN347" t="str">
        <f>VLOOKUP(MID($AR347,1,255),country_lookup!$B:$F,5,FALSE)</f>
        <v>99_NCE</v>
      </c>
      <c r="AO347" s="10" t="str">
        <f>VLOOKUP(MID($AS347,1,255),source_lookup!$B:$K,4,FALSE)</f>
        <v>0_published</v>
      </c>
      <c r="AP347" s="10" t="str">
        <f>VLOOKUP(MID($AS347,1,255),source_lookup!$B:$K,6,FALSE)</f>
        <v>1_VHB high</v>
      </c>
      <c r="AQ347" s="10" t="str">
        <f>VLOOKUP(MID($AS347,1,255),source_lookup!$B:$K,10,FALSE)</f>
        <v>1_fin/acc/econ</v>
      </c>
      <c r="AR347" t="s">
        <v>92</v>
      </c>
      <c r="AS347" t="s">
        <v>136</v>
      </c>
    </row>
    <row r="348" spans="1:45" x14ac:dyDescent="0.3">
      <c r="A348" t="s">
        <v>12</v>
      </c>
      <c r="B348">
        <v>347</v>
      </c>
      <c r="C348" s="1">
        <v>-1.1945364629397954E-3</v>
      </c>
      <c r="D348" s="2">
        <v>217</v>
      </c>
      <c r="E348" s="4">
        <v>10461</v>
      </c>
      <c r="F348" s="4" t="s">
        <v>347</v>
      </c>
      <c r="G348" s="4" t="s">
        <v>346</v>
      </c>
      <c r="H348" t="s">
        <v>77</v>
      </c>
      <c r="I348" t="s">
        <v>352</v>
      </c>
      <c r="J348" s="3">
        <v>2007</v>
      </c>
      <c r="K348" s="3">
        <v>2016</v>
      </c>
      <c r="L348" s="6">
        <f t="shared" si="111"/>
        <v>2011.5</v>
      </c>
      <c r="M348" s="6">
        <f t="shared" si="112"/>
        <v>2011.5</v>
      </c>
      <c r="N348" s="7">
        <f t="shared" si="100"/>
        <v>0.1</v>
      </c>
      <c r="O348" s="7">
        <f t="shared" si="101"/>
        <v>0</v>
      </c>
      <c r="P348" s="7">
        <f t="shared" si="102"/>
        <v>0</v>
      </c>
      <c r="Q348" s="7">
        <f t="shared" si="113"/>
        <v>0</v>
      </c>
      <c r="R348" s="10" t="str">
        <f t="shared" si="103"/>
        <v>0_Pre</v>
      </c>
      <c r="S348" s="10" t="str">
        <f t="shared" si="104"/>
        <v>0_Pre</v>
      </c>
      <c r="T348" s="10" t="str">
        <f t="shared" si="105"/>
        <v>0_Pre</v>
      </c>
      <c r="U348" s="10" t="str">
        <f t="shared" si="106"/>
        <v>1_Post</v>
      </c>
      <c r="V348" s="10" t="str">
        <f t="shared" si="114"/>
        <v>0_Pre</v>
      </c>
      <c r="W348" s="10" t="str">
        <f t="shared" si="107"/>
        <v>straddle</v>
      </c>
      <c r="X348" s="10" t="str">
        <f t="shared" si="108"/>
        <v>0_Pre</v>
      </c>
      <c r="Y348" s="10" t="str">
        <f t="shared" si="109"/>
        <v>0_Pre</v>
      </c>
      <c r="Z348" s="10" t="str">
        <f t="shared" si="110"/>
        <v>0_Pre</v>
      </c>
      <c r="AA348" s="10" t="str">
        <f t="shared" si="115"/>
        <v>0_Pre</v>
      </c>
      <c r="AB348" s="10" t="str">
        <f t="shared" si="116"/>
        <v>0_Pre</v>
      </c>
      <c r="AC348" s="10" t="str">
        <f t="shared" si="117"/>
        <v>0_Pre</v>
      </c>
      <c r="AD348" s="10" t="str">
        <f t="shared" si="118"/>
        <v>1_pre sample median</v>
      </c>
      <c r="AE348" s="10" t="str">
        <f t="shared" si="119"/>
        <v>2_in sample second tertile</v>
      </c>
      <c r="AF348" t="s">
        <v>80</v>
      </c>
      <c r="AG348" t="s">
        <v>75</v>
      </c>
      <c r="AH348" t="s">
        <v>78</v>
      </c>
      <c r="AI348" t="s">
        <v>70</v>
      </c>
      <c r="AJ348" t="s">
        <v>70</v>
      </c>
      <c r="AK348" t="str">
        <f>VLOOKUP(MID($AR348,1,255),country_lookup!$B:$F,2,FALSE)</f>
        <v>99_NCE</v>
      </c>
      <c r="AL348" t="str">
        <f>VLOOKUP(MID($AR348,1,255),country_lookup!$B:$F,3,FALSE)</f>
        <v>99_NCE</v>
      </c>
      <c r="AM348" t="str">
        <f>VLOOKUP(MID($AR348,1,255),country_lookup!$B:$F,4,FALSE)</f>
        <v>99_NCE</v>
      </c>
      <c r="AN348" t="str">
        <f>VLOOKUP(MID($AR348,1,255),country_lookup!$B:$F,5,FALSE)</f>
        <v>99_NCE</v>
      </c>
      <c r="AO348" s="10" t="str">
        <f>VLOOKUP(MID($AS348,1,255),source_lookup!$B:$K,4,FALSE)</f>
        <v>0_published</v>
      </c>
      <c r="AP348" s="10" t="str">
        <f>VLOOKUP(MID($AS348,1,255),source_lookup!$B:$K,6,FALSE)</f>
        <v>1_VHB high</v>
      </c>
      <c r="AQ348" s="10" t="str">
        <f>VLOOKUP(MID($AS348,1,255),source_lookup!$B:$K,10,FALSE)</f>
        <v>1_fin/acc/econ</v>
      </c>
      <c r="AR348" t="s">
        <v>92</v>
      </c>
      <c r="AS348" t="s">
        <v>136</v>
      </c>
    </row>
    <row r="349" spans="1:45" x14ac:dyDescent="0.3">
      <c r="A349" t="s">
        <v>12</v>
      </c>
      <c r="B349">
        <v>348</v>
      </c>
      <c r="C349" s="1">
        <v>-9.0348341887850722E-2</v>
      </c>
      <c r="D349" s="2">
        <v>217</v>
      </c>
      <c r="E349" s="4">
        <v>10461</v>
      </c>
      <c r="F349" s="4" t="s">
        <v>347</v>
      </c>
      <c r="G349" s="4" t="s">
        <v>346</v>
      </c>
      <c r="H349" t="s">
        <v>77</v>
      </c>
      <c r="I349" t="s">
        <v>352</v>
      </c>
      <c r="J349" s="3">
        <v>2007</v>
      </c>
      <c r="K349" s="3">
        <v>2016</v>
      </c>
      <c r="L349" s="6">
        <f t="shared" si="111"/>
        <v>2011.5</v>
      </c>
      <c r="M349" s="6">
        <f t="shared" si="112"/>
        <v>2011.5</v>
      </c>
      <c r="N349" s="7">
        <f t="shared" si="100"/>
        <v>0.1</v>
      </c>
      <c r="O349" s="7">
        <f t="shared" si="101"/>
        <v>0</v>
      </c>
      <c r="P349" s="7">
        <f t="shared" si="102"/>
        <v>0</v>
      </c>
      <c r="Q349" s="7">
        <f t="shared" si="113"/>
        <v>0</v>
      </c>
      <c r="R349" s="10" t="str">
        <f t="shared" si="103"/>
        <v>0_Pre</v>
      </c>
      <c r="S349" s="10" t="str">
        <f t="shared" si="104"/>
        <v>0_Pre</v>
      </c>
      <c r="T349" s="10" t="str">
        <f t="shared" si="105"/>
        <v>0_Pre</v>
      </c>
      <c r="U349" s="10" t="str">
        <f t="shared" si="106"/>
        <v>1_Post</v>
      </c>
      <c r="V349" s="10" t="str">
        <f t="shared" si="114"/>
        <v>0_Pre</v>
      </c>
      <c r="W349" s="10" t="str">
        <f t="shared" si="107"/>
        <v>straddle</v>
      </c>
      <c r="X349" s="10" t="str">
        <f t="shared" si="108"/>
        <v>0_Pre</v>
      </c>
      <c r="Y349" s="10" t="str">
        <f t="shared" si="109"/>
        <v>0_Pre</v>
      </c>
      <c r="Z349" s="10" t="str">
        <f t="shared" si="110"/>
        <v>0_Pre</v>
      </c>
      <c r="AA349" s="10" t="str">
        <f t="shared" si="115"/>
        <v>0_Pre</v>
      </c>
      <c r="AB349" s="10" t="str">
        <f t="shared" si="116"/>
        <v>0_Pre</v>
      </c>
      <c r="AC349" s="10" t="str">
        <f t="shared" si="117"/>
        <v>0_Pre</v>
      </c>
      <c r="AD349" s="10" t="str">
        <f t="shared" si="118"/>
        <v>1_pre sample median</v>
      </c>
      <c r="AE349" s="10" t="str">
        <f t="shared" si="119"/>
        <v>2_in sample second tertile</v>
      </c>
      <c r="AF349" t="s">
        <v>80</v>
      </c>
      <c r="AG349" t="s">
        <v>75</v>
      </c>
      <c r="AH349" t="s">
        <v>78</v>
      </c>
      <c r="AI349" t="s">
        <v>70</v>
      </c>
      <c r="AJ349" t="s">
        <v>70</v>
      </c>
      <c r="AK349" t="str">
        <f>VLOOKUP(MID($AR349,1,255),country_lookup!$B:$F,2,FALSE)</f>
        <v>99_NCE</v>
      </c>
      <c r="AL349" t="str">
        <f>VLOOKUP(MID($AR349,1,255),country_lookup!$B:$F,3,FALSE)</f>
        <v>99_NCE</v>
      </c>
      <c r="AM349" t="str">
        <f>VLOOKUP(MID($AR349,1,255),country_lookup!$B:$F,4,FALSE)</f>
        <v>99_NCE</v>
      </c>
      <c r="AN349" t="str">
        <f>VLOOKUP(MID($AR349,1,255),country_lookup!$B:$F,5,FALSE)</f>
        <v>99_NCE</v>
      </c>
      <c r="AO349" s="10" t="str">
        <f>VLOOKUP(MID($AS349,1,255),source_lookup!$B:$K,4,FALSE)</f>
        <v>0_published</v>
      </c>
      <c r="AP349" s="10" t="str">
        <f>VLOOKUP(MID($AS349,1,255),source_lookup!$B:$K,6,FALSE)</f>
        <v>1_VHB high</v>
      </c>
      <c r="AQ349" s="10" t="str">
        <f>VLOOKUP(MID($AS349,1,255),source_lookup!$B:$K,10,FALSE)</f>
        <v>1_fin/acc/econ</v>
      </c>
      <c r="AR349" t="s">
        <v>92</v>
      </c>
      <c r="AS349" t="s">
        <v>136</v>
      </c>
    </row>
    <row r="350" spans="1:45" x14ac:dyDescent="0.3">
      <c r="A350" t="s">
        <v>12</v>
      </c>
      <c r="B350">
        <v>349</v>
      </c>
      <c r="C350" s="1">
        <v>-2.7231982633061303E-2</v>
      </c>
      <c r="D350" s="2">
        <v>217</v>
      </c>
      <c r="E350" s="4">
        <v>19076</v>
      </c>
      <c r="F350" s="4" t="s">
        <v>347</v>
      </c>
      <c r="G350" s="4" t="s">
        <v>346</v>
      </c>
      <c r="H350" t="s">
        <v>77</v>
      </c>
      <c r="I350" t="s">
        <v>352</v>
      </c>
      <c r="J350" s="3">
        <v>2007</v>
      </c>
      <c r="K350" s="3">
        <v>2016</v>
      </c>
      <c r="L350" s="6">
        <f t="shared" si="111"/>
        <v>2011.5</v>
      </c>
      <c r="M350" s="6">
        <f t="shared" si="112"/>
        <v>2011.5</v>
      </c>
      <c r="N350" s="7">
        <f t="shared" si="100"/>
        <v>0.1</v>
      </c>
      <c r="O350" s="7">
        <f t="shared" si="101"/>
        <v>0</v>
      </c>
      <c r="P350" s="7">
        <f t="shared" si="102"/>
        <v>0</v>
      </c>
      <c r="Q350" s="7">
        <f t="shared" si="113"/>
        <v>0</v>
      </c>
      <c r="R350" s="10" t="str">
        <f t="shared" si="103"/>
        <v>0_Pre</v>
      </c>
      <c r="S350" s="10" t="str">
        <f t="shared" si="104"/>
        <v>0_Pre</v>
      </c>
      <c r="T350" s="10" t="str">
        <f t="shared" si="105"/>
        <v>0_Pre</v>
      </c>
      <c r="U350" s="10" t="str">
        <f t="shared" si="106"/>
        <v>1_Post</v>
      </c>
      <c r="V350" s="10" t="str">
        <f t="shared" si="114"/>
        <v>0_Pre</v>
      </c>
      <c r="W350" s="10" t="str">
        <f t="shared" si="107"/>
        <v>straddle</v>
      </c>
      <c r="X350" s="10" t="str">
        <f t="shared" si="108"/>
        <v>0_Pre</v>
      </c>
      <c r="Y350" s="10" t="str">
        <f t="shared" si="109"/>
        <v>0_Pre</v>
      </c>
      <c r="Z350" s="10" t="str">
        <f t="shared" si="110"/>
        <v>0_Pre</v>
      </c>
      <c r="AA350" s="10" t="str">
        <f t="shared" si="115"/>
        <v>0_Pre</v>
      </c>
      <c r="AB350" s="10" t="str">
        <f t="shared" si="116"/>
        <v>0_Pre</v>
      </c>
      <c r="AC350" s="10" t="str">
        <f t="shared" si="117"/>
        <v>0_Pre</v>
      </c>
      <c r="AD350" s="10" t="str">
        <f t="shared" si="118"/>
        <v>1_pre sample median</v>
      </c>
      <c r="AE350" s="10" t="str">
        <f t="shared" si="119"/>
        <v>2_in sample second tertile</v>
      </c>
      <c r="AF350" t="s">
        <v>80</v>
      </c>
      <c r="AG350" t="s">
        <v>75</v>
      </c>
      <c r="AH350" t="s">
        <v>78</v>
      </c>
      <c r="AI350" t="s">
        <v>70</v>
      </c>
      <c r="AJ350" t="s">
        <v>70</v>
      </c>
      <c r="AK350" t="str">
        <f>VLOOKUP(MID($AR350,1,255),country_lookup!$B:$F,2,FALSE)</f>
        <v>99_NCE</v>
      </c>
      <c r="AL350" t="str">
        <f>VLOOKUP(MID($AR350,1,255),country_lookup!$B:$F,3,FALSE)</f>
        <v>99_NCE</v>
      </c>
      <c r="AM350" t="str">
        <f>VLOOKUP(MID($AR350,1,255),country_lookup!$B:$F,4,FALSE)</f>
        <v>99_NCE</v>
      </c>
      <c r="AN350" t="str">
        <f>VLOOKUP(MID($AR350,1,255),country_lookup!$B:$F,5,FALSE)</f>
        <v>99_NCE</v>
      </c>
      <c r="AO350" s="10" t="str">
        <f>VLOOKUP(MID($AS350,1,255),source_lookup!$B:$K,4,FALSE)</f>
        <v>0_published</v>
      </c>
      <c r="AP350" s="10" t="str">
        <f>VLOOKUP(MID($AS350,1,255),source_lookup!$B:$K,6,FALSE)</f>
        <v>1_VHB high</v>
      </c>
      <c r="AQ350" s="10" t="str">
        <f>VLOOKUP(MID($AS350,1,255),source_lookup!$B:$K,10,FALSE)</f>
        <v>1_fin/acc/econ</v>
      </c>
      <c r="AR350" t="s">
        <v>92</v>
      </c>
      <c r="AS350" t="s">
        <v>136</v>
      </c>
    </row>
    <row r="351" spans="1:45" x14ac:dyDescent="0.3">
      <c r="A351" t="s">
        <v>12</v>
      </c>
      <c r="B351">
        <v>350</v>
      </c>
      <c r="C351" s="1">
        <v>-1.4005814814990674E-2</v>
      </c>
      <c r="D351" s="2">
        <v>217</v>
      </c>
      <c r="E351" s="4">
        <v>19076</v>
      </c>
      <c r="F351" s="4" t="s">
        <v>347</v>
      </c>
      <c r="G351" s="4" t="s">
        <v>346</v>
      </c>
      <c r="H351" t="s">
        <v>77</v>
      </c>
      <c r="I351" t="s">
        <v>352</v>
      </c>
      <c r="J351" s="3">
        <v>2007</v>
      </c>
      <c r="K351" s="3">
        <v>2016</v>
      </c>
      <c r="L351" s="6">
        <f t="shared" si="111"/>
        <v>2011.5</v>
      </c>
      <c r="M351" s="6">
        <f t="shared" si="112"/>
        <v>2011.5</v>
      </c>
      <c r="N351" s="7">
        <f t="shared" si="100"/>
        <v>0.1</v>
      </c>
      <c r="O351" s="7">
        <f t="shared" si="101"/>
        <v>0</v>
      </c>
      <c r="P351" s="7">
        <f t="shared" si="102"/>
        <v>0</v>
      </c>
      <c r="Q351" s="7">
        <f t="shared" si="113"/>
        <v>0</v>
      </c>
      <c r="R351" s="10" t="str">
        <f t="shared" si="103"/>
        <v>0_Pre</v>
      </c>
      <c r="S351" s="10" t="str">
        <f t="shared" si="104"/>
        <v>0_Pre</v>
      </c>
      <c r="T351" s="10" t="str">
        <f t="shared" si="105"/>
        <v>0_Pre</v>
      </c>
      <c r="U351" s="10" t="str">
        <f t="shared" si="106"/>
        <v>1_Post</v>
      </c>
      <c r="V351" s="10" t="str">
        <f t="shared" si="114"/>
        <v>0_Pre</v>
      </c>
      <c r="W351" s="10" t="str">
        <f t="shared" si="107"/>
        <v>straddle</v>
      </c>
      <c r="X351" s="10" t="str">
        <f t="shared" si="108"/>
        <v>0_Pre</v>
      </c>
      <c r="Y351" s="10" t="str">
        <f t="shared" si="109"/>
        <v>0_Pre</v>
      </c>
      <c r="Z351" s="10" t="str">
        <f t="shared" si="110"/>
        <v>0_Pre</v>
      </c>
      <c r="AA351" s="10" t="str">
        <f t="shared" si="115"/>
        <v>0_Pre</v>
      </c>
      <c r="AB351" s="10" t="str">
        <f t="shared" si="116"/>
        <v>0_Pre</v>
      </c>
      <c r="AC351" s="10" t="str">
        <f t="shared" si="117"/>
        <v>0_Pre</v>
      </c>
      <c r="AD351" s="10" t="str">
        <f t="shared" si="118"/>
        <v>1_pre sample median</v>
      </c>
      <c r="AE351" s="10" t="str">
        <f t="shared" si="119"/>
        <v>2_in sample second tertile</v>
      </c>
      <c r="AF351" t="s">
        <v>80</v>
      </c>
      <c r="AG351" t="s">
        <v>75</v>
      </c>
      <c r="AH351" t="s">
        <v>78</v>
      </c>
      <c r="AI351" t="s">
        <v>70</v>
      </c>
      <c r="AJ351" t="s">
        <v>70</v>
      </c>
      <c r="AK351" t="str">
        <f>VLOOKUP(MID($AR351,1,255),country_lookup!$B:$F,2,FALSE)</f>
        <v>99_NCE</v>
      </c>
      <c r="AL351" t="str">
        <f>VLOOKUP(MID($AR351,1,255),country_lookup!$B:$F,3,FALSE)</f>
        <v>99_NCE</v>
      </c>
      <c r="AM351" t="str">
        <f>VLOOKUP(MID($AR351,1,255),country_lookup!$B:$F,4,FALSE)</f>
        <v>99_NCE</v>
      </c>
      <c r="AN351" t="str">
        <f>VLOOKUP(MID($AR351,1,255),country_lookup!$B:$F,5,FALSE)</f>
        <v>99_NCE</v>
      </c>
      <c r="AO351" s="10" t="str">
        <f>VLOOKUP(MID($AS351,1,255),source_lookup!$B:$K,4,FALSE)</f>
        <v>0_published</v>
      </c>
      <c r="AP351" s="10" t="str">
        <f>VLOOKUP(MID($AS351,1,255),source_lookup!$B:$K,6,FALSE)</f>
        <v>1_VHB high</v>
      </c>
      <c r="AQ351" s="10" t="str">
        <f>VLOOKUP(MID($AS351,1,255),source_lookup!$B:$K,10,FALSE)</f>
        <v>1_fin/acc/econ</v>
      </c>
      <c r="AR351" t="s">
        <v>92</v>
      </c>
      <c r="AS351" t="s">
        <v>136</v>
      </c>
    </row>
    <row r="352" spans="1:45" x14ac:dyDescent="0.3">
      <c r="A352" t="s">
        <v>12</v>
      </c>
      <c r="B352">
        <v>351</v>
      </c>
      <c r="C352" s="1">
        <v>-2.4525580915647958E-2</v>
      </c>
      <c r="D352" s="2">
        <v>217</v>
      </c>
      <c r="E352" s="4">
        <v>19068</v>
      </c>
      <c r="F352" s="4" t="s">
        <v>347</v>
      </c>
      <c r="G352" s="4" t="s">
        <v>346</v>
      </c>
      <c r="H352" t="s">
        <v>77</v>
      </c>
      <c r="I352" t="s">
        <v>352</v>
      </c>
      <c r="J352" s="3">
        <v>2007</v>
      </c>
      <c r="K352" s="3">
        <v>2016</v>
      </c>
      <c r="L352" s="6">
        <f t="shared" si="111"/>
        <v>2011.5</v>
      </c>
      <c r="M352" s="6">
        <f t="shared" si="112"/>
        <v>2011.5</v>
      </c>
      <c r="N352" s="7">
        <f t="shared" si="100"/>
        <v>0.1</v>
      </c>
      <c r="O352" s="7">
        <f t="shared" si="101"/>
        <v>0</v>
      </c>
      <c r="P352" s="7">
        <f t="shared" si="102"/>
        <v>0</v>
      </c>
      <c r="Q352" s="7">
        <f t="shared" si="113"/>
        <v>0</v>
      </c>
      <c r="R352" s="10" t="str">
        <f t="shared" si="103"/>
        <v>0_Pre</v>
      </c>
      <c r="S352" s="10" t="str">
        <f t="shared" si="104"/>
        <v>0_Pre</v>
      </c>
      <c r="T352" s="10" t="str">
        <f t="shared" si="105"/>
        <v>0_Pre</v>
      </c>
      <c r="U352" s="10" t="str">
        <f t="shared" si="106"/>
        <v>1_Post</v>
      </c>
      <c r="V352" s="10" t="str">
        <f t="shared" si="114"/>
        <v>0_Pre</v>
      </c>
      <c r="W352" s="10" t="str">
        <f t="shared" si="107"/>
        <v>straddle</v>
      </c>
      <c r="X352" s="10" t="str">
        <f t="shared" si="108"/>
        <v>0_Pre</v>
      </c>
      <c r="Y352" s="10" t="str">
        <f t="shared" si="109"/>
        <v>0_Pre</v>
      </c>
      <c r="Z352" s="10" t="str">
        <f t="shared" si="110"/>
        <v>0_Pre</v>
      </c>
      <c r="AA352" s="10" t="str">
        <f t="shared" si="115"/>
        <v>0_Pre</v>
      </c>
      <c r="AB352" s="10" t="str">
        <f t="shared" si="116"/>
        <v>0_Pre</v>
      </c>
      <c r="AC352" s="10" t="str">
        <f t="shared" si="117"/>
        <v>0_Pre</v>
      </c>
      <c r="AD352" s="10" t="str">
        <f t="shared" si="118"/>
        <v>1_pre sample median</v>
      </c>
      <c r="AE352" s="10" t="str">
        <f t="shared" si="119"/>
        <v>2_in sample second tertile</v>
      </c>
      <c r="AF352" t="s">
        <v>80</v>
      </c>
      <c r="AG352" t="s">
        <v>75</v>
      </c>
      <c r="AH352" t="s">
        <v>78</v>
      </c>
      <c r="AI352" t="s">
        <v>70</v>
      </c>
      <c r="AJ352" t="s">
        <v>70</v>
      </c>
      <c r="AK352" t="str">
        <f>VLOOKUP(MID($AR352,1,255),country_lookup!$B:$F,2,FALSE)</f>
        <v>99_NCE</v>
      </c>
      <c r="AL352" t="str">
        <f>VLOOKUP(MID($AR352,1,255),country_lookup!$B:$F,3,FALSE)</f>
        <v>99_NCE</v>
      </c>
      <c r="AM352" t="str">
        <f>VLOOKUP(MID($AR352,1,255),country_lookup!$B:$F,4,FALSE)</f>
        <v>99_NCE</v>
      </c>
      <c r="AN352" t="str">
        <f>VLOOKUP(MID($AR352,1,255),country_lookup!$B:$F,5,FALSE)</f>
        <v>99_NCE</v>
      </c>
      <c r="AO352" s="10" t="str">
        <f>VLOOKUP(MID($AS352,1,255),source_lookup!$B:$K,4,FALSE)</f>
        <v>0_published</v>
      </c>
      <c r="AP352" s="10" t="str">
        <f>VLOOKUP(MID($AS352,1,255),source_lookup!$B:$K,6,FALSE)</f>
        <v>1_VHB high</v>
      </c>
      <c r="AQ352" s="10" t="str">
        <f>VLOOKUP(MID($AS352,1,255),source_lookup!$B:$K,10,FALSE)</f>
        <v>1_fin/acc/econ</v>
      </c>
      <c r="AR352" t="s">
        <v>92</v>
      </c>
      <c r="AS352" t="s">
        <v>136</v>
      </c>
    </row>
    <row r="353" spans="1:45" x14ac:dyDescent="0.3">
      <c r="A353" t="s">
        <v>12</v>
      </c>
      <c r="B353">
        <v>352</v>
      </c>
      <c r="C353" s="1">
        <v>-8.5312622301323814E-3</v>
      </c>
      <c r="D353" s="2">
        <v>217</v>
      </c>
      <c r="E353" s="4">
        <v>19068</v>
      </c>
      <c r="F353" s="4" t="s">
        <v>347</v>
      </c>
      <c r="G353" s="4" t="s">
        <v>346</v>
      </c>
      <c r="H353" t="s">
        <v>77</v>
      </c>
      <c r="I353" t="s">
        <v>352</v>
      </c>
      <c r="J353" s="3">
        <v>2007</v>
      </c>
      <c r="K353" s="3">
        <v>2016</v>
      </c>
      <c r="L353" s="6">
        <f t="shared" si="111"/>
        <v>2011.5</v>
      </c>
      <c r="M353" s="6">
        <f t="shared" si="112"/>
        <v>2011.5</v>
      </c>
      <c r="N353" s="7">
        <f t="shared" si="100"/>
        <v>0.1</v>
      </c>
      <c r="O353" s="7">
        <f t="shared" si="101"/>
        <v>0</v>
      </c>
      <c r="P353" s="7">
        <f t="shared" si="102"/>
        <v>0</v>
      </c>
      <c r="Q353" s="7">
        <f t="shared" si="113"/>
        <v>0</v>
      </c>
      <c r="R353" s="10" t="str">
        <f t="shared" si="103"/>
        <v>0_Pre</v>
      </c>
      <c r="S353" s="10" t="str">
        <f t="shared" si="104"/>
        <v>0_Pre</v>
      </c>
      <c r="T353" s="10" t="str">
        <f t="shared" si="105"/>
        <v>0_Pre</v>
      </c>
      <c r="U353" s="10" t="str">
        <f t="shared" si="106"/>
        <v>1_Post</v>
      </c>
      <c r="V353" s="10" t="str">
        <f t="shared" si="114"/>
        <v>0_Pre</v>
      </c>
      <c r="W353" s="10" t="str">
        <f t="shared" si="107"/>
        <v>straddle</v>
      </c>
      <c r="X353" s="10" t="str">
        <f t="shared" si="108"/>
        <v>0_Pre</v>
      </c>
      <c r="Y353" s="10" t="str">
        <f t="shared" si="109"/>
        <v>0_Pre</v>
      </c>
      <c r="Z353" s="10" t="str">
        <f t="shared" si="110"/>
        <v>0_Pre</v>
      </c>
      <c r="AA353" s="10" t="str">
        <f t="shared" si="115"/>
        <v>0_Pre</v>
      </c>
      <c r="AB353" s="10" t="str">
        <f t="shared" si="116"/>
        <v>0_Pre</v>
      </c>
      <c r="AC353" s="10" t="str">
        <f t="shared" si="117"/>
        <v>0_Pre</v>
      </c>
      <c r="AD353" s="10" t="str">
        <f t="shared" si="118"/>
        <v>1_pre sample median</v>
      </c>
      <c r="AE353" s="10" t="str">
        <f t="shared" si="119"/>
        <v>2_in sample second tertile</v>
      </c>
      <c r="AF353" t="s">
        <v>80</v>
      </c>
      <c r="AG353" t="s">
        <v>75</v>
      </c>
      <c r="AH353" t="s">
        <v>78</v>
      </c>
      <c r="AI353" t="s">
        <v>70</v>
      </c>
      <c r="AJ353" t="s">
        <v>70</v>
      </c>
      <c r="AK353" t="str">
        <f>VLOOKUP(MID($AR353,1,255),country_lookup!$B:$F,2,FALSE)</f>
        <v>99_NCE</v>
      </c>
      <c r="AL353" t="str">
        <f>VLOOKUP(MID($AR353,1,255),country_lookup!$B:$F,3,FALSE)</f>
        <v>99_NCE</v>
      </c>
      <c r="AM353" t="str">
        <f>VLOOKUP(MID($AR353,1,255),country_lookup!$B:$F,4,FALSE)</f>
        <v>99_NCE</v>
      </c>
      <c r="AN353" t="str">
        <f>VLOOKUP(MID($AR353,1,255),country_lookup!$B:$F,5,FALSE)</f>
        <v>99_NCE</v>
      </c>
      <c r="AO353" s="10" t="str">
        <f>VLOOKUP(MID($AS353,1,255),source_lookup!$B:$K,4,FALSE)</f>
        <v>0_published</v>
      </c>
      <c r="AP353" s="10" t="str">
        <f>VLOOKUP(MID($AS353,1,255),source_lookup!$B:$K,6,FALSE)</f>
        <v>1_VHB high</v>
      </c>
      <c r="AQ353" s="10" t="str">
        <f>VLOOKUP(MID($AS353,1,255),source_lookup!$B:$K,10,FALSE)</f>
        <v>1_fin/acc/econ</v>
      </c>
      <c r="AR353" t="s">
        <v>92</v>
      </c>
      <c r="AS353" t="s">
        <v>136</v>
      </c>
    </row>
    <row r="354" spans="1:45" x14ac:dyDescent="0.3">
      <c r="A354" t="s">
        <v>12</v>
      </c>
      <c r="B354">
        <v>353</v>
      </c>
      <c r="C354" s="1">
        <v>-1.4442333449455268E-2</v>
      </c>
      <c r="D354" s="2">
        <v>217</v>
      </c>
      <c r="E354" s="4">
        <v>19068</v>
      </c>
      <c r="F354" s="4" t="s">
        <v>347</v>
      </c>
      <c r="G354" s="4" t="s">
        <v>346</v>
      </c>
      <c r="H354" t="s">
        <v>77</v>
      </c>
      <c r="I354" t="s">
        <v>352</v>
      </c>
      <c r="J354" s="3">
        <v>2007</v>
      </c>
      <c r="K354" s="3">
        <v>2016</v>
      </c>
      <c r="L354" s="6">
        <f t="shared" si="111"/>
        <v>2011.5</v>
      </c>
      <c r="M354" s="6">
        <f t="shared" si="112"/>
        <v>2011.5</v>
      </c>
      <c r="N354" s="7">
        <f t="shared" si="100"/>
        <v>0.1</v>
      </c>
      <c r="O354" s="7">
        <f t="shared" si="101"/>
        <v>0</v>
      </c>
      <c r="P354" s="7">
        <f t="shared" si="102"/>
        <v>0</v>
      </c>
      <c r="Q354" s="7">
        <f t="shared" si="113"/>
        <v>0</v>
      </c>
      <c r="R354" s="10" t="str">
        <f t="shared" si="103"/>
        <v>0_Pre</v>
      </c>
      <c r="S354" s="10" t="str">
        <f t="shared" si="104"/>
        <v>0_Pre</v>
      </c>
      <c r="T354" s="10" t="str">
        <f t="shared" si="105"/>
        <v>0_Pre</v>
      </c>
      <c r="U354" s="10" t="str">
        <f t="shared" si="106"/>
        <v>1_Post</v>
      </c>
      <c r="V354" s="10" t="str">
        <f t="shared" si="114"/>
        <v>0_Pre</v>
      </c>
      <c r="W354" s="10" t="str">
        <f t="shared" si="107"/>
        <v>straddle</v>
      </c>
      <c r="X354" s="10" t="str">
        <f t="shared" si="108"/>
        <v>0_Pre</v>
      </c>
      <c r="Y354" s="10" t="str">
        <f t="shared" si="109"/>
        <v>0_Pre</v>
      </c>
      <c r="Z354" s="10" t="str">
        <f t="shared" si="110"/>
        <v>0_Pre</v>
      </c>
      <c r="AA354" s="10" t="str">
        <f t="shared" si="115"/>
        <v>0_Pre</v>
      </c>
      <c r="AB354" s="10" t="str">
        <f t="shared" si="116"/>
        <v>0_Pre</v>
      </c>
      <c r="AC354" s="10" t="str">
        <f t="shared" si="117"/>
        <v>0_Pre</v>
      </c>
      <c r="AD354" s="10" t="str">
        <f t="shared" si="118"/>
        <v>1_pre sample median</v>
      </c>
      <c r="AE354" s="10" t="str">
        <f t="shared" si="119"/>
        <v>2_in sample second tertile</v>
      </c>
      <c r="AF354" t="s">
        <v>80</v>
      </c>
      <c r="AG354" t="s">
        <v>75</v>
      </c>
      <c r="AH354" t="s">
        <v>78</v>
      </c>
      <c r="AI354" t="s">
        <v>70</v>
      </c>
      <c r="AJ354" t="s">
        <v>70</v>
      </c>
      <c r="AK354" t="str">
        <f>VLOOKUP(MID($AR354,1,255),country_lookup!$B:$F,2,FALSE)</f>
        <v>99_NCE</v>
      </c>
      <c r="AL354" t="str">
        <f>VLOOKUP(MID($AR354,1,255),country_lookup!$B:$F,3,FALSE)</f>
        <v>99_NCE</v>
      </c>
      <c r="AM354" t="str">
        <f>VLOOKUP(MID($AR354,1,255),country_lookup!$B:$F,4,FALSE)</f>
        <v>99_NCE</v>
      </c>
      <c r="AN354" t="str">
        <f>VLOOKUP(MID($AR354,1,255),country_lookup!$B:$F,5,FALSE)</f>
        <v>99_NCE</v>
      </c>
      <c r="AO354" s="10" t="str">
        <f>VLOOKUP(MID($AS354,1,255),source_lookup!$B:$K,4,FALSE)</f>
        <v>0_published</v>
      </c>
      <c r="AP354" s="10" t="str">
        <f>VLOOKUP(MID($AS354,1,255),source_lookup!$B:$K,6,FALSE)</f>
        <v>1_VHB high</v>
      </c>
      <c r="AQ354" s="10" t="str">
        <f>VLOOKUP(MID($AS354,1,255),source_lookup!$B:$K,10,FALSE)</f>
        <v>1_fin/acc/econ</v>
      </c>
      <c r="AR354" t="s">
        <v>92</v>
      </c>
      <c r="AS354" t="s">
        <v>136</v>
      </c>
    </row>
    <row r="355" spans="1:45" x14ac:dyDescent="0.3">
      <c r="A355" t="s">
        <v>12</v>
      </c>
      <c r="B355">
        <v>354</v>
      </c>
      <c r="C355" s="1">
        <v>-1.4059285356610338E-2</v>
      </c>
      <c r="D355" s="2">
        <v>217</v>
      </c>
      <c r="E355" s="4">
        <v>19068</v>
      </c>
      <c r="F355" s="4" t="s">
        <v>347</v>
      </c>
      <c r="G355" s="4" t="s">
        <v>346</v>
      </c>
      <c r="H355" t="s">
        <v>77</v>
      </c>
      <c r="I355" t="s">
        <v>352</v>
      </c>
      <c r="J355" s="3">
        <v>2007</v>
      </c>
      <c r="K355" s="3">
        <v>2016</v>
      </c>
      <c r="L355" s="6">
        <f t="shared" si="111"/>
        <v>2011.5</v>
      </c>
      <c r="M355" s="6">
        <f t="shared" si="112"/>
        <v>2011.5</v>
      </c>
      <c r="N355" s="7">
        <f t="shared" si="100"/>
        <v>0.1</v>
      </c>
      <c r="O355" s="7">
        <f t="shared" si="101"/>
        <v>0</v>
      </c>
      <c r="P355" s="7">
        <f t="shared" si="102"/>
        <v>0</v>
      </c>
      <c r="Q355" s="7">
        <f t="shared" si="113"/>
        <v>0</v>
      </c>
      <c r="R355" s="10" t="str">
        <f t="shared" si="103"/>
        <v>0_Pre</v>
      </c>
      <c r="S355" s="10" t="str">
        <f t="shared" si="104"/>
        <v>0_Pre</v>
      </c>
      <c r="T355" s="10" t="str">
        <f t="shared" si="105"/>
        <v>0_Pre</v>
      </c>
      <c r="U355" s="10" t="str">
        <f t="shared" si="106"/>
        <v>1_Post</v>
      </c>
      <c r="V355" s="10" t="str">
        <f t="shared" si="114"/>
        <v>0_Pre</v>
      </c>
      <c r="W355" s="10" t="str">
        <f t="shared" si="107"/>
        <v>straddle</v>
      </c>
      <c r="X355" s="10" t="str">
        <f t="shared" si="108"/>
        <v>0_Pre</v>
      </c>
      <c r="Y355" s="10" t="str">
        <f t="shared" si="109"/>
        <v>0_Pre</v>
      </c>
      <c r="Z355" s="10" t="str">
        <f t="shared" si="110"/>
        <v>0_Pre</v>
      </c>
      <c r="AA355" s="10" t="str">
        <f t="shared" si="115"/>
        <v>0_Pre</v>
      </c>
      <c r="AB355" s="10" t="str">
        <f t="shared" si="116"/>
        <v>0_Pre</v>
      </c>
      <c r="AC355" s="10" t="str">
        <f t="shared" si="117"/>
        <v>0_Pre</v>
      </c>
      <c r="AD355" s="10" t="str">
        <f t="shared" si="118"/>
        <v>1_pre sample median</v>
      </c>
      <c r="AE355" s="10" t="str">
        <f t="shared" si="119"/>
        <v>2_in sample second tertile</v>
      </c>
      <c r="AF355" t="s">
        <v>80</v>
      </c>
      <c r="AG355" t="s">
        <v>75</v>
      </c>
      <c r="AH355" t="s">
        <v>78</v>
      </c>
      <c r="AI355" t="s">
        <v>70</v>
      </c>
      <c r="AJ355" t="s">
        <v>70</v>
      </c>
      <c r="AK355" t="str">
        <f>VLOOKUP(MID($AR355,1,255),country_lookup!$B:$F,2,FALSE)</f>
        <v>99_NCE</v>
      </c>
      <c r="AL355" t="str">
        <f>VLOOKUP(MID($AR355,1,255),country_lookup!$B:$F,3,FALSE)</f>
        <v>99_NCE</v>
      </c>
      <c r="AM355" t="str">
        <f>VLOOKUP(MID($AR355,1,255),country_lookup!$B:$F,4,FALSE)</f>
        <v>99_NCE</v>
      </c>
      <c r="AN355" t="str">
        <f>VLOOKUP(MID($AR355,1,255),country_lookup!$B:$F,5,FALSE)</f>
        <v>99_NCE</v>
      </c>
      <c r="AO355" s="10" t="str">
        <f>VLOOKUP(MID($AS355,1,255),source_lookup!$B:$K,4,FALSE)</f>
        <v>0_published</v>
      </c>
      <c r="AP355" s="10" t="str">
        <f>VLOOKUP(MID($AS355,1,255),source_lookup!$B:$K,6,FALSE)</f>
        <v>1_VHB high</v>
      </c>
      <c r="AQ355" s="10" t="str">
        <f>VLOOKUP(MID($AS355,1,255),source_lookup!$B:$K,10,FALSE)</f>
        <v>1_fin/acc/econ</v>
      </c>
      <c r="AR355" t="s">
        <v>92</v>
      </c>
      <c r="AS355" t="s">
        <v>136</v>
      </c>
    </row>
    <row r="356" spans="1:45" x14ac:dyDescent="0.3">
      <c r="A356" t="s">
        <v>12</v>
      </c>
      <c r="B356">
        <v>355</v>
      </c>
      <c r="C356" s="1">
        <v>-1.8252082545008069E-2</v>
      </c>
      <c r="D356" s="2">
        <v>217</v>
      </c>
      <c r="E356" s="4">
        <v>19068</v>
      </c>
      <c r="F356" s="4" t="s">
        <v>347</v>
      </c>
      <c r="G356" s="4" t="s">
        <v>346</v>
      </c>
      <c r="H356" t="s">
        <v>77</v>
      </c>
      <c r="I356" t="s">
        <v>352</v>
      </c>
      <c r="J356" s="3">
        <v>2007</v>
      </c>
      <c r="K356" s="3">
        <v>2016</v>
      </c>
      <c r="L356" s="6">
        <f t="shared" si="111"/>
        <v>2011.5</v>
      </c>
      <c r="M356" s="6">
        <f t="shared" si="112"/>
        <v>2011.5</v>
      </c>
      <c r="N356" s="7">
        <f t="shared" si="100"/>
        <v>0.1</v>
      </c>
      <c r="O356" s="7">
        <f t="shared" si="101"/>
        <v>0</v>
      </c>
      <c r="P356" s="7">
        <f t="shared" si="102"/>
        <v>0</v>
      </c>
      <c r="Q356" s="7">
        <f t="shared" si="113"/>
        <v>0</v>
      </c>
      <c r="R356" s="10" t="str">
        <f t="shared" si="103"/>
        <v>0_Pre</v>
      </c>
      <c r="S356" s="10" t="str">
        <f t="shared" si="104"/>
        <v>0_Pre</v>
      </c>
      <c r="T356" s="10" t="str">
        <f t="shared" si="105"/>
        <v>0_Pre</v>
      </c>
      <c r="U356" s="10" t="str">
        <f t="shared" si="106"/>
        <v>1_Post</v>
      </c>
      <c r="V356" s="10" t="str">
        <f t="shared" si="114"/>
        <v>0_Pre</v>
      </c>
      <c r="W356" s="10" t="str">
        <f t="shared" si="107"/>
        <v>straddle</v>
      </c>
      <c r="X356" s="10" t="str">
        <f t="shared" si="108"/>
        <v>0_Pre</v>
      </c>
      <c r="Y356" s="10" t="str">
        <f t="shared" si="109"/>
        <v>0_Pre</v>
      </c>
      <c r="Z356" s="10" t="str">
        <f t="shared" si="110"/>
        <v>0_Pre</v>
      </c>
      <c r="AA356" s="10" t="str">
        <f t="shared" si="115"/>
        <v>0_Pre</v>
      </c>
      <c r="AB356" s="10" t="str">
        <f t="shared" si="116"/>
        <v>0_Pre</v>
      </c>
      <c r="AC356" s="10" t="str">
        <f t="shared" si="117"/>
        <v>0_Pre</v>
      </c>
      <c r="AD356" s="10" t="str">
        <f t="shared" si="118"/>
        <v>1_pre sample median</v>
      </c>
      <c r="AE356" s="10" t="str">
        <f t="shared" si="119"/>
        <v>2_in sample second tertile</v>
      </c>
      <c r="AF356" t="s">
        <v>80</v>
      </c>
      <c r="AG356" t="s">
        <v>75</v>
      </c>
      <c r="AH356" t="s">
        <v>78</v>
      </c>
      <c r="AI356" t="s">
        <v>70</v>
      </c>
      <c r="AJ356" t="s">
        <v>70</v>
      </c>
      <c r="AK356" t="str">
        <f>VLOOKUP(MID($AR356,1,255),country_lookup!$B:$F,2,FALSE)</f>
        <v>99_NCE</v>
      </c>
      <c r="AL356" t="str">
        <f>VLOOKUP(MID($AR356,1,255),country_lookup!$B:$F,3,FALSE)</f>
        <v>99_NCE</v>
      </c>
      <c r="AM356" t="str">
        <f>VLOOKUP(MID($AR356,1,255),country_lookup!$B:$F,4,FALSE)</f>
        <v>99_NCE</v>
      </c>
      <c r="AN356" t="str">
        <f>VLOOKUP(MID($AR356,1,255),country_lookup!$B:$F,5,FALSE)</f>
        <v>99_NCE</v>
      </c>
      <c r="AO356" s="10" t="str">
        <f>VLOOKUP(MID($AS356,1,255),source_lookup!$B:$K,4,FALSE)</f>
        <v>0_published</v>
      </c>
      <c r="AP356" s="10" t="str">
        <f>VLOOKUP(MID($AS356,1,255),source_lookup!$B:$K,6,FALSE)</f>
        <v>1_VHB high</v>
      </c>
      <c r="AQ356" s="10" t="str">
        <f>VLOOKUP(MID($AS356,1,255),source_lookup!$B:$K,10,FALSE)</f>
        <v>1_fin/acc/econ</v>
      </c>
      <c r="AR356" t="s">
        <v>92</v>
      </c>
      <c r="AS356" t="s">
        <v>136</v>
      </c>
    </row>
    <row r="357" spans="1:45" x14ac:dyDescent="0.3">
      <c r="A357" t="s">
        <v>12</v>
      </c>
      <c r="B357">
        <v>356</v>
      </c>
      <c r="C357" s="1">
        <v>1.6766682023091943E-2</v>
      </c>
      <c r="D357" s="2">
        <v>217</v>
      </c>
      <c r="E357" s="4">
        <v>19068</v>
      </c>
      <c r="F357" s="4" t="s">
        <v>347</v>
      </c>
      <c r="G357" s="4" t="s">
        <v>346</v>
      </c>
      <c r="H357" t="s">
        <v>77</v>
      </c>
      <c r="I357" t="s">
        <v>352</v>
      </c>
      <c r="J357" s="3">
        <v>2007</v>
      </c>
      <c r="K357" s="3">
        <v>2016</v>
      </c>
      <c r="L357" s="6">
        <f t="shared" si="111"/>
        <v>2011.5</v>
      </c>
      <c r="M357" s="6">
        <f t="shared" si="112"/>
        <v>2011.5</v>
      </c>
      <c r="N357" s="7">
        <f t="shared" si="100"/>
        <v>0.1</v>
      </c>
      <c r="O357" s="7">
        <f t="shared" si="101"/>
        <v>0</v>
      </c>
      <c r="P357" s="7">
        <f t="shared" si="102"/>
        <v>0</v>
      </c>
      <c r="Q357" s="7">
        <f t="shared" si="113"/>
        <v>0</v>
      </c>
      <c r="R357" s="10" t="str">
        <f t="shared" si="103"/>
        <v>0_Pre</v>
      </c>
      <c r="S357" s="10" t="str">
        <f t="shared" si="104"/>
        <v>0_Pre</v>
      </c>
      <c r="T357" s="10" t="str">
        <f t="shared" si="105"/>
        <v>0_Pre</v>
      </c>
      <c r="U357" s="10" t="str">
        <f t="shared" si="106"/>
        <v>1_Post</v>
      </c>
      <c r="V357" s="10" t="str">
        <f t="shared" si="114"/>
        <v>0_Pre</v>
      </c>
      <c r="W357" s="10" t="str">
        <f t="shared" si="107"/>
        <v>straddle</v>
      </c>
      <c r="X357" s="10" t="str">
        <f t="shared" si="108"/>
        <v>0_Pre</v>
      </c>
      <c r="Y357" s="10" t="str">
        <f t="shared" si="109"/>
        <v>0_Pre</v>
      </c>
      <c r="Z357" s="10" t="str">
        <f t="shared" si="110"/>
        <v>0_Pre</v>
      </c>
      <c r="AA357" s="10" t="str">
        <f t="shared" si="115"/>
        <v>0_Pre</v>
      </c>
      <c r="AB357" s="10" t="str">
        <f t="shared" si="116"/>
        <v>0_Pre</v>
      </c>
      <c r="AC357" s="10" t="str">
        <f t="shared" si="117"/>
        <v>0_Pre</v>
      </c>
      <c r="AD357" s="10" t="str">
        <f t="shared" si="118"/>
        <v>1_pre sample median</v>
      </c>
      <c r="AE357" s="10" t="str">
        <f t="shared" si="119"/>
        <v>2_in sample second tertile</v>
      </c>
      <c r="AF357" t="s">
        <v>80</v>
      </c>
      <c r="AG357" t="s">
        <v>75</v>
      </c>
      <c r="AH357" t="s">
        <v>78</v>
      </c>
      <c r="AI357" t="s">
        <v>70</v>
      </c>
      <c r="AJ357" t="s">
        <v>70</v>
      </c>
      <c r="AK357" t="str">
        <f>VLOOKUP(MID($AR357,1,255),country_lookup!$B:$F,2,FALSE)</f>
        <v>99_NCE</v>
      </c>
      <c r="AL357" t="str">
        <f>VLOOKUP(MID($AR357,1,255),country_lookup!$B:$F,3,FALSE)</f>
        <v>99_NCE</v>
      </c>
      <c r="AM357" t="str">
        <f>VLOOKUP(MID($AR357,1,255),country_lookup!$B:$F,4,FALSE)</f>
        <v>99_NCE</v>
      </c>
      <c r="AN357" t="str">
        <f>VLOOKUP(MID($AR357,1,255),country_lookup!$B:$F,5,FALSE)</f>
        <v>99_NCE</v>
      </c>
      <c r="AO357" s="10" t="str">
        <f>VLOOKUP(MID($AS357,1,255),source_lookup!$B:$K,4,FALSE)</f>
        <v>0_published</v>
      </c>
      <c r="AP357" s="10" t="str">
        <f>VLOOKUP(MID($AS357,1,255),source_lookup!$B:$K,6,FALSE)</f>
        <v>1_VHB high</v>
      </c>
      <c r="AQ357" s="10" t="str">
        <f>VLOOKUP(MID($AS357,1,255),source_lookup!$B:$K,10,FALSE)</f>
        <v>1_fin/acc/econ</v>
      </c>
      <c r="AR357" t="s">
        <v>92</v>
      </c>
      <c r="AS357" t="s">
        <v>136</v>
      </c>
    </row>
    <row r="358" spans="1:45" x14ac:dyDescent="0.3">
      <c r="A358" t="s">
        <v>12</v>
      </c>
      <c r="B358">
        <v>357</v>
      </c>
      <c r="C358" s="1">
        <v>-1.7726250446940827E-2</v>
      </c>
      <c r="D358" s="2">
        <v>217</v>
      </c>
      <c r="E358" s="4">
        <v>19068</v>
      </c>
      <c r="F358" s="4" t="s">
        <v>347</v>
      </c>
      <c r="G358" s="4" t="s">
        <v>346</v>
      </c>
      <c r="H358" t="s">
        <v>77</v>
      </c>
      <c r="I358" t="s">
        <v>352</v>
      </c>
      <c r="J358" s="3">
        <v>2007</v>
      </c>
      <c r="K358" s="3">
        <v>2016</v>
      </c>
      <c r="L358" s="6">
        <f t="shared" si="111"/>
        <v>2011.5</v>
      </c>
      <c r="M358" s="6">
        <f t="shared" si="112"/>
        <v>2011.5</v>
      </c>
      <c r="N358" s="7">
        <f t="shared" si="100"/>
        <v>0.1</v>
      </c>
      <c r="O358" s="7">
        <f t="shared" si="101"/>
        <v>0</v>
      </c>
      <c r="P358" s="7">
        <f t="shared" si="102"/>
        <v>0</v>
      </c>
      <c r="Q358" s="7">
        <f t="shared" si="113"/>
        <v>0</v>
      </c>
      <c r="R358" s="10" t="str">
        <f t="shared" si="103"/>
        <v>0_Pre</v>
      </c>
      <c r="S358" s="10" t="str">
        <f t="shared" si="104"/>
        <v>0_Pre</v>
      </c>
      <c r="T358" s="10" t="str">
        <f t="shared" si="105"/>
        <v>0_Pre</v>
      </c>
      <c r="U358" s="10" t="str">
        <f t="shared" si="106"/>
        <v>1_Post</v>
      </c>
      <c r="V358" s="10" t="str">
        <f t="shared" si="114"/>
        <v>0_Pre</v>
      </c>
      <c r="W358" s="10" t="str">
        <f t="shared" si="107"/>
        <v>straddle</v>
      </c>
      <c r="X358" s="10" t="str">
        <f t="shared" si="108"/>
        <v>0_Pre</v>
      </c>
      <c r="Y358" s="10" t="str">
        <f t="shared" si="109"/>
        <v>0_Pre</v>
      </c>
      <c r="Z358" s="10" t="str">
        <f t="shared" si="110"/>
        <v>0_Pre</v>
      </c>
      <c r="AA358" s="10" t="str">
        <f t="shared" si="115"/>
        <v>0_Pre</v>
      </c>
      <c r="AB358" s="10" t="str">
        <f t="shared" si="116"/>
        <v>0_Pre</v>
      </c>
      <c r="AC358" s="10" t="str">
        <f t="shared" si="117"/>
        <v>0_Pre</v>
      </c>
      <c r="AD358" s="10" t="str">
        <f t="shared" si="118"/>
        <v>1_pre sample median</v>
      </c>
      <c r="AE358" s="10" t="str">
        <f t="shared" si="119"/>
        <v>2_in sample second tertile</v>
      </c>
      <c r="AF358" t="s">
        <v>80</v>
      </c>
      <c r="AG358" t="s">
        <v>75</v>
      </c>
      <c r="AH358" t="s">
        <v>78</v>
      </c>
      <c r="AI358" t="s">
        <v>70</v>
      </c>
      <c r="AJ358" t="s">
        <v>70</v>
      </c>
      <c r="AK358" t="str">
        <f>VLOOKUP(MID($AR358,1,255),country_lookup!$B:$F,2,FALSE)</f>
        <v>99_NCE</v>
      </c>
      <c r="AL358" t="str">
        <f>VLOOKUP(MID($AR358,1,255),country_lookup!$B:$F,3,FALSE)</f>
        <v>99_NCE</v>
      </c>
      <c r="AM358" t="str">
        <f>VLOOKUP(MID($AR358,1,255),country_lookup!$B:$F,4,FALSE)</f>
        <v>99_NCE</v>
      </c>
      <c r="AN358" t="str">
        <f>VLOOKUP(MID($AR358,1,255),country_lookup!$B:$F,5,FALSE)</f>
        <v>99_NCE</v>
      </c>
      <c r="AO358" s="10" t="str">
        <f>VLOOKUP(MID($AS358,1,255),source_lookup!$B:$K,4,FALSE)</f>
        <v>0_published</v>
      </c>
      <c r="AP358" s="10" t="str">
        <f>VLOOKUP(MID($AS358,1,255),source_lookup!$B:$K,6,FALSE)</f>
        <v>1_VHB high</v>
      </c>
      <c r="AQ358" s="10" t="str">
        <f>VLOOKUP(MID($AS358,1,255),source_lookup!$B:$K,10,FALSE)</f>
        <v>1_fin/acc/econ</v>
      </c>
      <c r="AR358" t="s">
        <v>92</v>
      </c>
      <c r="AS358" t="s">
        <v>136</v>
      </c>
    </row>
    <row r="359" spans="1:45" x14ac:dyDescent="0.3">
      <c r="A359" t="s">
        <v>12</v>
      </c>
      <c r="B359">
        <v>358</v>
      </c>
      <c r="C359" s="1">
        <v>-9.7623580024935527E-3</v>
      </c>
      <c r="D359" s="2">
        <v>217</v>
      </c>
      <c r="E359" s="4">
        <v>19068</v>
      </c>
      <c r="F359" s="4" t="s">
        <v>347</v>
      </c>
      <c r="G359" s="4" t="s">
        <v>346</v>
      </c>
      <c r="H359" t="s">
        <v>77</v>
      </c>
      <c r="I359" t="s">
        <v>352</v>
      </c>
      <c r="J359" s="3">
        <v>2007</v>
      </c>
      <c r="K359" s="3">
        <v>2016</v>
      </c>
      <c r="L359" s="6">
        <f t="shared" si="111"/>
        <v>2011.5</v>
      </c>
      <c r="M359" s="6">
        <f t="shared" si="112"/>
        <v>2011.5</v>
      </c>
      <c r="N359" s="7">
        <f t="shared" si="100"/>
        <v>0.1</v>
      </c>
      <c r="O359" s="7">
        <f t="shared" si="101"/>
        <v>0</v>
      </c>
      <c r="P359" s="7">
        <f t="shared" si="102"/>
        <v>0</v>
      </c>
      <c r="Q359" s="7">
        <f t="shared" si="113"/>
        <v>0</v>
      </c>
      <c r="R359" s="10" t="str">
        <f t="shared" si="103"/>
        <v>0_Pre</v>
      </c>
      <c r="S359" s="10" t="str">
        <f t="shared" si="104"/>
        <v>0_Pre</v>
      </c>
      <c r="T359" s="10" t="str">
        <f t="shared" si="105"/>
        <v>0_Pre</v>
      </c>
      <c r="U359" s="10" t="str">
        <f t="shared" si="106"/>
        <v>1_Post</v>
      </c>
      <c r="V359" s="10" t="str">
        <f t="shared" si="114"/>
        <v>0_Pre</v>
      </c>
      <c r="W359" s="10" t="str">
        <f t="shared" si="107"/>
        <v>straddle</v>
      </c>
      <c r="X359" s="10" t="str">
        <f t="shared" si="108"/>
        <v>0_Pre</v>
      </c>
      <c r="Y359" s="10" t="str">
        <f t="shared" si="109"/>
        <v>0_Pre</v>
      </c>
      <c r="Z359" s="10" t="str">
        <f t="shared" si="110"/>
        <v>0_Pre</v>
      </c>
      <c r="AA359" s="10" t="str">
        <f t="shared" si="115"/>
        <v>0_Pre</v>
      </c>
      <c r="AB359" s="10" t="str">
        <f t="shared" si="116"/>
        <v>0_Pre</v>
      </c>
      <c r="AC359" s="10" t="str">
        <f t="shared" si="117"/>
        <v>0_Pre</v>
      </c>
      <c r="AD359" s="10" t="str">
        <f t="shared" si="118"/>
        <v>1_pre sample median</v>
      </c>
      <c r="AE359" s="10" t="str">
        <f t="shared" si="119"/>
        <v>2_in sample second tertile</v>
      </c>
      <c r="AF359" t="s">
        <v>80</v>
      </c>
      <c r="AG359" t="s">
        <v>75</v>
      </c>
      <c r="AH359" t="s">
        <v>78</v>
      </c>
      <c r="AI359" t="s">
        <v>70</v>
      </c>
      <c r="AJ359" t="s">
        <v>70</v>
      </c>
      <c r="AK359" t="str">
        <f>VLOOKUP(MID($AR359,1,255),country_lookup!$B:$F,2,FALSE)</f>
        <v>99_NCE</v>
      </c>
      <c r="AL359" t="str">
        <f>VLOOKUP(MID($AR359,1,255),country_lookup!$B:$F,3,FALSE)</f>
        <v>99_NCE</v>
      </c>
      <c r="AM359" t="str">
        <f>VLOOKUP(MID($AR359,1,255),country_lookup!$B:$F,4,FALSE)</f>
        <v>99_NCE</v>
      </c>
      <c r="AN359" t="str">
        <f>VLOOKUP(MID($AR359,1,255),country_lookup!$B:$F,5,FALSE)</f>
        <v>99_NCE</v>
      </c>
      <c r="AO359" s="10" t="str">
        <f>VLOOKUP(MID($AS359,1,255),source_lookup!$B:$K,4,FALSE)</f>
        <v>0_published</v>
      </c>
      <c r="AP359" s="10" t="str">
        <f>VLOOKUP(MID($AS359,1,255),source_lookup!$B:$K,6,FALSE)</f>
        <v>1_VHB high</v>
      </c>
      <c r="AQ359" s="10" t="str">
        <f>VLOOKUP(MID($AS359,1,255),source_lookup!$B:$K,10,FALSE)</f>
        <v>1_fin/acc/econ</v>
      </c>
      <c r="AR359" t="s">
        <v>92</v>
      </c>
      <c r="AS359" t="s">
        <v>136</v>
      </c>
    </row>
    <row r="360" spans="1:45" x14ac:dyDescent="0.3">
      <c r="A360" t="s">
        <v>12</v>
      </c>
      <c r="B360">
        <v>359</v>
      </c>
      <c r="C360" s="1">
        <v>-5.3516279441795829E-2</v>
      </c>
      <c r="D360" s="2">
        <v>217</v>
      </c>
      <c r="E360" s="4">
        <v>19068</v>
      </c>
      <c r="F360" s="4" t="s">
        <v>347</v>
      </c>
      <c r="G360" s="4" t="s">
        <v>346</v>
      </c>
      <c r="H360" t="s">
        <v>77</v>
      </c>
      <c r="I360" t="s">
        <v>352</v>
      </c>
      <c r="J360" s="3">
        <v>2007</v>
      </c>
      <c r="K360" s="3">
        <v>2016</v>
      </c>
      <c r="L360" s="6">
        <f t="shared" si="111"/>
        <v>2011.5</v>
      </c>
      <c r="M360" s="6">
        <f t="shared" si="112"/>
        <v>2011.5</v>
      </c>
      <c r="N360" s="7">
        <f t="shared" si="100"/>
        <v>0.1</v>
      </c>
      <c r="O360" s="7">
        <f t="shared" si="101"/>
        <v>0</v>
      </c>
      <c r="P360" s="7">
        <f t="shared" si="102"/>
        <v>0</v>
      </c>
      <c r="Q360" s="7">
        <f t="shared" si="113"/>
        <v>0</v>
      </c>
      <c r="R360" s="10" t="str">
        <f t="shared" si="103"/>
        <v>0_Pre</v>
      </c>
      <c r="S360" s="10" t="str">
        <f t="shared" si="104"/>
        <v>0_Pre</v>
      </c>
      <c r="T360" s="10" t="str">
        <f t="shared" si="105"/>
        <v>0_Pre</v>
      </c>
      <c r="U360" s="10" t="str">
        <f t="shared" si="106"/>
        <v>1_Post</v>
      </c>
      <c r="V360" s="10" t="str">
        <f t="shared" si="114"/>
        <v>0_Pre</v>
      </c>
      <c r="W360" s="10" t="str">
        <f t="shared" si="107"/>
        <v>straddle</v>
      </c>
      <c r="X360" s="10" t="str">
        <f t="shared" si="108"/>
        <v>0_Pre</v>
      </c>
      <c r="Y360" s="10" t="str">
        <f t="shared" si="109"/>
        <v>0_Pre</v>
      </c>
      <c r="Z360" s="10" t="str">
        <f t="shared" si="110"/>
        <v>0_Pre</v>
      </c>
      <c r="AA360" s="10" t="str">
        <f t="shared" si="115"/>
        <v>0_Pre</v>
      </c>
      <c r="AB360" s="10" t="str">
        <f t="shared" si="116"/>
        <v>0_Pre</v>
      </c>
      <c r="AC360" s="10" t="str">
        <f t="shared" si="117"/>
        <v>0_Pre</v>
      </c>
      <c r="AD360" s="10" t="str">
        <f t="shared" si="118"/>
        <v>1_pre sample median</v>
      </c>
      <c r="AE360" s="10" t="str">
        <f t="shared" si="119"/>
        <v>2_in sample second tertile</v>
      </c>
      <c r="AF360" t="s">
        <v>80</v>
      </c>
      <c r="AG360" t="s">
        <v>75</v>
      </c>
      <c r="AH360" t="s">
        <v>78</v>
      </c>
      <c r="AI360" t="s">
        <v>70</v>
      </c>
      <c r="AJ360" t="s">
        <v>70</v>
      </c>
      <c r="AK360" t="str">
        <f>VLOOKUP(MID($AR360,1,255),country_lookup!$B:$F,2,FALSE)</f>
        <v>99_NCE</v>
      </c>
      <c r="AL360" t="str">
        <f>VLOOKUP(MID($AR360,1,255),country_lookup!$B:$F,3,FALSE)</f>
        <v>99_NCE</v>
      </c>
      <c r="AM360" t="str">
        <f>VLOOKUP(MID($AR360,1,255),country_lookup!$B:$F,4,FALSE)</f>
        <v>99_NCE</v>
      </c>
      <c r="AN360" t="str">
        <f>VLOOKUP(MID($AR360,1,255),country_lookup!$B:$F,5,FALSE)</f>
        <v>99_NCE</v>
      </c>
      <c r="AO360" s="10" t="str">
        <f>VLOOKUP(MID($AS360,1,255),source_lookup!$B:$K,4,FALSE)</f>
        <v>0_published</v>
      </c>
      <c r="AP360" s="10" t="str">
        <f>VLOOKUP(MID($AS360,1,255),source_lookup!$B:$K,6,FALSE)</f>
        <v>1_VHB high</v>
      </c>
      <c r="AQ360" s="10" t="str">
        <f>VLOOKUP(MID($AS360,1,255),source_lookup!$B:$K,10,FALSE)</f>
        <v>1_fin/acc/econ</v>
      </c>
      <c r="AR360" t="s">
        <v>92</v>
      </c>
      <c r="AS360" t="s">
        <v>136</v>
      </c>
    </row>
    <row r="361" spans="1:45" x14ac:dyDescent="0.3">
      <c r="A361" t="s">
        <v>12</v>
      </c>
      <c r="B361">
        <v>360</v>
      </c>
      <c r="C361" s="1">
        <v>2.7366957484377852E-3</v>
      </c>
      <c r="D361" s="2">
        <v>217</v>
      </c>
      <c r="E361" s="4">
        <v>19068</v>
      </c>
      <c r="F361" s="4" t="s">
        <v>347</v>
      </c>
      <c r="G361" s="4" t="s">
        <v>346</v>
      </c>
      <c r="H361" t="s">
        <v>77</v>
      </c>
      <c r="I361" t="s">
        <v>352</v>
      </c>
      <c r="J361" s="3">
        <v>2007</v>
      </c>
      <c r="K361" s="3">
        <v>2016</v>
      </c>
      <c r="L361" s="6">
        <f t="shared" si="111"/>
        <v>2011.5</v>
      </c>
      <c r="M361" s="6">
        <f t="shared" si="112"/>
        <v>2011.5</v>
      </c>
      <c r="N361" s="7">
        <f t="shared" si="100"/>
        <v>0.1</v>
      </c>
      <c r="O361" s="7">
        <f t="shared" si="101"/>
        <v>0</v>
      </c>
      <c r="P361" s="7">
        <f t="shared" si="102"/>
        <v>0</v>
      </c>
      <c r="Q361" s="7">
        <f t="shared" si="113"/>
        <v>0</v>
      </c>
      <c r="R361" s="10" t="str">
        <f t="shared" si="103"/>
        <v>0_Pre</v>
      </c>
      <c r="S361" s="10" t="str">
        <f t="shared" si="104"/>
        <v>0_Pre</v>
      </c>
      <c r="T361" s="10" t="str">
        <f t="shared" si="105"/>
        <v>0_Pre</v>
      </c>
      <c r="U361" s="10" t="str">
        <f t="shared" si="106"/>
        <v>1_Post</v>
      </c>
      <c r="V361" s="10" t="str">
        <f t="shared" si="114"/>
        <v>0_Pre</v>
      </c>
      <c r="W361" s="10" t="str">
        <f t="shared" si="107"/>
        <v>straddle</v>
      </c>
      <c r="X361" s="10" t="str">
        <f t="shared" si="108"/>
        <v>0_Pre</v>
      </c>
      <c r="Y361" s="10" t="str">
        <f t="shared" si="109"/>
        <v>0_Pre</v>
      </c>
      <c r="Z361" s="10" t="str">
        <f t="shared" si="110"/>
        <v>0_Pre</v>
      </c>
      <c r="AA361" s="10" t="str">
        <f t="shared" si="115"/>
        <v>0_Pre</v>
      </c>
      <c r="AB361" s="10" t="str">
        <f t="shared" si="116"/>
        <v>0_Pre</v>
      </c>
      <c r="AC361" s="10" t="str">
        <f t="shared" si="117"/>
        <v>0_Pre</v>
      </c>
      <c r="AD361" s="10" t="str">
        <f t="shared" si="118"/>
        <v>1_pre sample median</v>
      </c>
      <c r="AE361" s="10" t="str">
        <f t="shared" si="119"/>
        <v>2_in sample second tertile</v>
      </c>
      <c r="AF361" t="s">
        <v>80</v>
      </c>
      <c r="AG361" t="s">
        <v>75</v>
      </c>
      <c r="AH361" t="s">
        <v>78</v>
      </c>
      <c r="AI361" t="s">
        <v>70</v>
      </c>
      <c r="AJ361" t="s">
        <v>70</v>
      </c>
      <c r="AK361" t="str">
        <f>VLOOKUP(MID($AR361,1,255),country_lookup!$B:$F,2,FALSE)</f>
        <v>99_NCE</v>
      </c>
      <c r="AL361" t="str">
        <f>VLOOKUP(MID($AR361,1,255),country_lookup!$B:$F,3,FALSE)</f>
        <v>99_NCE</v>
      </c>
      <c r="AM361" t="str">
        <f>VLOOKUP(MID($AR361,1,255),country_lookup!$B:$F,4,FALSE)</f>
        <v>99_NCE</v>
      </c>
      <c r="AN361" t="str">
        <f>VLOOKUP(MID($AR361,1,255),country_lookup!$B:$F,5,FALSE)</f>
        <v>99_NCE</v>
      </c>
      <c r="AO361" s="10" t="str">
        <f>VLOOKUP(MID($AS361,1,255),source_lookup!$B:$K,4,FALSE)</f>
        <v>0_published</v>
      </c>
      <c r="AP361" s="10" t="str">
        <f>VLOOKUP(MID($AS361,1,255),source_lookup!$B:$K,6,FALSE)</f>
        <v>1_VHB high</v>
      </c>
      <c r="AQ361" s="10" t="str">
        <f>VLOOKUP(MID($AS361,1,255),source_lookup!$B:$K,10,FALSE)</f>
        <v>1_fin/acc/econ</v>
      </c>
      <c r="AR361" t="s">
        <v>92</v>
      </c>
      <c r="AS361" t="s">
        <v>136</v>
      </c>
    </row>
    <row r="362" spans="1:45" x14ac:dyDescent="0.3">
      <c r="A362" t="s">
        <v>12</v>
      </c>
      <c r="B362">
        <v>361</v>
      </c>
      <c r="C362" s="1">
        <v>-1.8225939461314129E-2</v>
      </c>
      <c r="D362" s="2">
        <v>217</v>
      </c>
      <c r="E362" s="4">
        <v>19068</v>
      </c>
      <c r="F362" s="4" t="s">
        <v>347</v>
      </c>
      <c r="G362" s="4" t="s">
        <v>346</v>
      </c>
      <c r="H362" t="s">
        <v>77</v>
      </c>
      <c r="I362" t="s">
        <v>352</v>
      </c>
      <c r="J362" s="3">
        <v>2007</v>
      </c>
      <c r="K362" s="3">
        <v>2016</v>
      </c>
      <c r="L362" s="6">
        <f t="shared" si="111"/>
        <v>2011.5</v>
      </c>
      <c r="M362" s="6">
        <f t="shared" si="112"/>
        <v>2011.5</v>
      </c>
      <c r="N362" s="7">
        <f t="shared" si="100"/>
        <v>0.1</v>
      </c>
      <c r="O362" s="7">
        <f t="shared" si="101"/>
        <v>0</v>
      </c>
      <c r="P362" s="7">
        <f t="shared" si="102"/>
        <v>0</v>
      </c>
      <c r="Q362" s="7">
        <f t="shared" si="113"/>
        <v>0</v>
      </c>
      <c r="R362" s="10" t="str">
        <f t="shared" si="103"/>
        <v>0_Pre</v>
      </c>
      <c r="S362" s="10" t="str">
        <f t="shared" si="104"/>
        <v>0_Pre</v>
      </c>
      <c r="T362" s="10" t="str">
        <f t="shared" si="105"/>
        <v>0_Pre</v>
      </c>
      <c r="U362" s="10" t="str">
        <f t="shared" si="106"/>
        <v>1_Post</v>
      </c>
      <c r="V362" s="10" t="str">
        <f t="shared" si="114"/>
        <v>0_Pre</v>
      </c>
      <c r="W362" s="10" t="str">
        <f t="shared" si="107"/>
        <v>straddle</v>
      </c>
      <c r="X362" s="10" t="str">
        <f t="shared" si="108"/>
        <v>0_Pre</v>
      </c>
      <c r="Y362" s="10" t="str">
        <f t="shared" si="109"/>
        <v>0_Pre</v>
      </c>
      <c r="Z362" s="10" t="str">
        <f t="shared" si="110"/>
        <v>0_Pre</v>
      </c>
      <c r="AA362" s="10" t="str">
        <f t="shared" si="115"/>
        <v>0_Pre</v>
      </c>
      <c r="AB362" s="10" t="str">
        <f t="shared" si="116"/>
        <v>0_Pre</v>
      </c>
      <c r="AC362" s="10" t="str">
        <f t="shared" si="117"/>
        <v>0_Pre</v>
      </c>
      <c r="AD362" s="10" t="str">
        <f t="shared" si="118"/>
        <v>1_pre sample median</v>
      </c>
      <c r="AE362" s="10" t="str">
        <f t="shared" si="119"/>
        <v>2_in sample second tertile</v>
      </c>
      <c r="AF362" t="s">
        <v>80</v>
      </c>
      <c r="AG362" t="s">
        <v>75</v>
      </c>
      <c r="AH362" t="s">
        <v>78</v>
      </c>
      <c r="AI362" t="s">
        <v>70</v>
      </c>
      <c r="AJ362" t="s">
        <v>70</v>
      </c>
      <c r="AK362" t="str">
        <f>VLOOKUP(MID($AR362,1,255),country_lookup!$B:$F,2,FALSE)</f>
        <v>99_NCE</v>
      </c>
      <c r="AL362" t="str">
        <f>VLOOKUP(MID($AR362,1,255),country_lookup!$B:$F,3,FALSE)</f>
        <v>99_NCE</v>
      </c>
      <c r="AM362" t="str">
        <f>VLOOKUP(MID($AR362,1,255),country_lookup!$B:$F,4,FALSE)</f>
        <v>99_NCE</v>
      </c>
      <c r="AN362" t="str">
        <f>VLOOKUP(MID($AR362,1,255),country_lookup!$B:$F,5,FALSE)</f>
        <v>99_NCE</v>
      </c>
      <c r="AO362" s="10" t="str">
        <f>VLOOKUP(MID($AS362,1,255),source_lookup!$B:$K,4,FALSE)</f>
        <v>0_published</v>
      </c>
      <c r="AP362" s="10" t="str">
        <f>VLOOKUP(MID($AS362,1,255),source_lookup!$B:$K,6,FALSE)</f>
        <v>1_VHB high</v>
      </c>
      <c r="AQ362" s="10" t="str">
        <f>VLOOKUP(MID($AS362,1,255),source_lookup!$B:$K,10,FALSE)</f>
        <v>1_fin/acc/econ</v>
      </c>
      <c r="AR362" t="s">
        <v>92</v>
      </c>
      <c r="AS362" t="s">
        <v>136</v>
      </c>
    </row>
    <row r="363" spans="1:45" x14ac:dyDescent="0.3">
      <c r="A363" t="s">
        <v>12</v>
      </c>
      <c r="B363">
        <v>362</v>
      </c>
      <c r="C363" s="1">
        <v>-6.9185020996221785E-3</v>
      </c>
      <c r="D363" s="2">
        <v>217</v>
      </c>
      <c r="E363" s="4">
        <v>19068</v>
      </c>
      <c r="F363" s="4" t="s">
        <v>347</v>
      </c>
      <c r="G363" s="4" t="s">
        <v>346</v>
      </c>
      <c r="H363" t="s">
        <v>77</v>
      </c>
      <c r="I363" t="s">
        <v>352</v>
      </c>
      <c r="J363" s="3">
        <v>2007</v>
      </c>
      <c r="K363" s="3">
        <v>2016</v>
      </c>
      <c r="L363" s="6">
        <f t="shared" si="111"/>
        <v>2011.5</v>
      </c>
      <c r="M363" s="6">
        <f t="shared" si="112"/>
        <v>2011.5</v>
      </c>
      <c r="N363" s="7">
        <f t="shared" si="100"/>
        <v>0.1</v>
      </c>
      <c r="O363" s="7">
        <f t="shared" si="101"/>
        <v>0</v>
      </c>
      <c r="P363" s="7">
        <f t="shared" si="102"/>
        <v>0</v>
      </c>
      <c r="Q363" s="7">
        <f t="shared" si="113"/>
        <v>0</v>
      </c>
      <c r="R363" s="10" t="str">
        <f t="shared" si="103"/>
        <v>0_Pre</v>
      </c>
      <c r="S363" s="10" t="str">
        <f t="shared" si="104"/>
        <v>0_Pre</v>
      </c>
      <c r="T363" s="10" t="str">
        <f t="shared" si="105"/>
        <v>0_Pre</v>
      </c>
      <c r="U363" s="10" t="str">
        <f t="shared" si="106"/>
        <v>1_Post</v>
      </c>
      <c r="V363" s="10" t="str">
        <f t="shared" si="114"/>
        <v>0_Pre</v>
      </c>
      <c r="W363" s="10" t="str">
        <f t="shared" si="107"/>
        <v>straddle</v>
      </c>
      <c r="X363" s="10" t="str">
        <f t="shared" si="108"/>
        <v>0_Pre</v>
      </c>
      <c r="Y363" s="10" t="str">
        <f t="shared" si="109"/>
        <v>0_Pre</v>
      </c>
      <c r="Z363" s="10" t="str">
        <f t="shared" si="110"/>
        <v>0_Pre</v>
      </c>
      <c r="AA363" s="10" t="str">
        <f t="shared" si="115"/>
        <v>0_Pre</v>
      </c>
      <c r="AB363" s="10" t="str">
        <f t="shared" si="116"/>
        <v>0_Pre</v>
      </c>
      <c r="AC363" s="10" t="str">
        <f t="shared" si="117"/>
        <v>0_Pre</v>
      </c>
      <c r="AD363" s="10" t="str">
        <f t="shared" si="118"/>
        <v>1_pre sample median</v>
      </c>
      <c r="AE363" s="10" t="str">
        <f t="shared" si="119"/>
        <v>2_in sample second tertile</v>
      </c>
      <c r="AF363" t="s">
        <v>80</v>
      </c>
      <c r="AG363" t="s">
        <v>75</v>
      </c>
      <c r="AH363" t="s">
        <v>78</v>
      </c>
      <c r="AI363" t="s">
        <v>70</v>
      </c>
      <c r="AJ363" t="s">
        <v>70</v>
      </c>
      <c r="AK363" t="str">
        <f>VLOOKUP(MID($AR363,1,255),country_lookup!$B:$F,2,FALSE)</f>
        <v>99_NCE</v>
      </c>
      <c r="AL363" t="str">
        <f>VLOOKUP(MID($AR363,1,255),country_lookup!$B:$F,3,FALSE)</f>
        <v>99_NCE</v>
      </c>
      <c r="AM363" t="str">
        <f>VLOOKUP(MID($AR363,1,255),country_lookup!$B:$F,4,FALSE)</f>
        <v>99_NCE</v>
      </c>
      <c r="AN363" t="str">
        <f>VLOOKUP(MID($AR363,1,255),country_lookup!$B:$F,5,FALSE)</f>
        <v>99_NCE</v>
      </c>
      <c r="AO363" s="10" t="str">
        <f>VLOOKUP(MID($AS363,1,255),source_lookup!$B:$K,4,FALSE)</f>
        <v>0_published</v>
      </c>
      <c r="AP363" s="10" t="str">
        <f>VLOOKUP(MID($AS363,1,255),source_lookup!$B:$K,6,FALSE)</f>
        <v>1_VHB high</v>
      </c>
      <c r="AQ363" s="10" t="str">
        <f>VLOOKUP(MID($AS363,1,255),source_lookup!$B:$K,10,FALSE)</f>
        <v>1_fin/acc/econ</v>
      </c>
      <c r="AR363" t="s">
        <v>92</v>
      </c>
      <c r="AS363" t="s">
        <v>136</v>
      </c>
    </row>
    <row r="364" spans="1:45" x14ac:dyDescent="0.3">
      <c r="A364" t="s">
        <v>12</v>
      </c>
      <c r="B364">
        <v>363</v>
      </c>
      <c r="C364" s="1">
        <v>-0.16959144329130094</v>
      </c>
      <c r="D364" s="2">
        <v>217</v>
      </c>
      <c r="E364" s="4">
        <v>19068</v>
      </c>
      <c r="F364" s="4" t="s">
        <v>347</v>
      </c>
      <c r="G364" s="4" t="s">
        <v>346</v>
      </c>
      <c r="H364" t="s">
        <v>77</v>
      </c>
      <c r="I364" t="s">
        <v>352</v>
      </c>
      <c r="J364" s="3">
        <v>2007</v>
      </c>
      <c r="K364" s="3">
        <v>2016</v>
      </c>
      <c r="L364" s="6">
        <f t="shared" si="111"/>
        <v>2011.5</v>
      </c>
      <c r="M364" s="6">
        <f t="shared" si="112"/>
        <v>2011.5</v>
      </c>
      <c r="N364" s="7">
        <f t="shared" si="100"/>
        <v>0.1</v>
      </c>
      <c r="O364" s="7">
        <f t="shared" si="101"/>
        <v>0</v>
      </c>
      <c r="P364" s="7">
        <f t="shared" si="102"/>
        <v>0</v>
      </c>
      <c r="Q364" s="7">
        <f t="shared" si="113"/>
        <v>0</v>
      </c>
      <c r="R364" s="10" t="str">
        <f t="shared" si="103"/>
        <v>0_Pre</v>
      </c>
      <c r="S364" s="10" t="str">
        <f t="shared" si="104"/>
        <v>0_Pre</v>
      </c>
      <c r="T364" s="10" t="str">
        <f t="shared" si="105"/>
        <v>0_Pre</v>
      </c>
      <c r="U364" s="10" t="str">
        <f t="shared" si="106"/>
        <v>1_Post</v>
      </c>
      <c r="V364" s="10" t="str">
        <f t="shared" si="114"/>
        <v>0_Pre</v>
      </c>
      <c r="W364" s="10" t="str">
        <f t="shared" si="107"/>
        <v>straddle</v>
      </c>
      <c r="X364" s="10" t="str">
        <f t="shared" si="108"/>
        <v>0_Pre</v>
      </c>
      <c r="Y364" s="10" t="str">
        <f t="shared" si="109"/>
        <v>0_Pre</v>
      </c>
      <c r="Z364" s="10" t="str">
        <f t="shared" si="110"/>
        <v>0_Pre</v>
      </c>
      <c r="AA364" s="10" t="str">
        <f t="shared" si="115"/>
        <v>0_Pre</v>
      </c>
      <c r="AB364" s="10" t="str">
        <f t="shared" si="116"/>
        <v>0_Pre</v>
      </c>
      <c r="AC364" s="10" t="str">
        <f t="shared" si="117"/>
        <v>0_Pre</v>
      </c>
      <c r="AD364" s="10" t="str">
        <f t="shared" si="118"/>
        <v>1_pre sample median</v>
      </c>
      <c r="AE364" s="10" t="str">
        <f t="shared" si="119"/>
        <v>2_in sample second tertile</v>
      </c>
      <c r="AF364" t="s">
        <v>80</v>
      </c>
      <c r="AG364" t="s">
        <v>75</v>
      </c>
      <c r="AH364" t="s">
        <v>78</v>
      </c>
      <c r="AI364" t="s">
        <v>70</v>
      </c>
      <c r="AJ364" t="s">
        <v>70</v>
      </c>
      <c r="AK364" t="str">
        <f>VLOOKUP(MID($AR364,1,255),country_lookup!$B:$F,2,FALSE)</f>
        <v>99_NCE</v>
      </c>
      <c r="AL364" t="str">
        <f>VLOOKUP(MID($AR364,1,255),country_lookup!$B:$F,3,FALSE)</f>
        <v>99_NCE</v>
      </c>
      <c r="AM364" t="str">
        <f>VLOOKUP(MID($AR364,1,255),country_lookup!$B:$F,4,FALSE)</f>
        <v>99_NCE</v>
      </c>
      <c r="AN364" t="str">
        <f>VLOOKUP(MID($AR364,1,255),country_lookup!$B:$F,5,FALSE)</f>
        <v>99_NCE</v>
      </c>
      <c r="AO364" s="10" t="str">
        <f>VLOOKUP(MID($AS364,1,255),source_lookup!$B:$K,4,FALSE)</f>
        <v>0_published</v>
      </c>
      <c r="AP364" s="10" t="str">
        <f>VLOOKUP(MID($AS364,1,255),source_lookup!$B:$K,6,FALSE)</f>
        <v>1_VHB high</v>
      </c>
      <c r="AQ364" s="10" t="str">
        <f>VLOOKUP(MID($AS364,1,255),source_lookup!$B:$K,10,FALSE)</f>
        <v>1_fin/acc/econ</v>
      </c>
      <c r="AR364" t="s">
        <v>92</v>
      </c>
      <c r="AS364" t="s">
        <v>136</v>
      </c>
    </row>
    <row r="365" spans="1:45" x14ac:dyDescent="0.3">
      <c r="A365" t="s">
        <v>12</v>
      </c>
      <c r="B365">
        <v>364</v>
      </c>
      <c r="C365" s="1">
        <v>-6.3380192473687272E-2</v>
      </c>
      <c r="D365" s="2">
        <v>217</v>
      </c>
      <c r="E365" s="4">
        <v>19068</v>
      </c>
      <c r="F365" s="4" t="s">
        <v>347</v>
      </c>
      <c r="G365" s="4" t="s">
        <v>346</v>
      </c>
      <c r="H365" t="s">
        <v>77</v>
      </c>
      <c r="I365" t="s">
        <v>352</v>
      </c>
      <c r="J365" s="3">
        <v>2007</v>
      </c>
      <c r="K365" s="3">
        <v>2016</v>
      </c>
      <c r="L365" s="6">
        <f t="shared" si="111"/>
        <v>2011.5</v>
      </c>
      <c r="M365" s="6">
        <f t="shared" si="112"/>
        <v>2011.5</v>
      </c>
      <c r="N365" s="7">
        <f t="shared" si="100"/>
        <v>0.1</v>
      </c>
      <c r="O365" s="7">
        <f t="shared" si="101"/>
        <v>0</v>
      </c>
      <c r="P365" s="7">
        <f t="shared" si="102"/>
        <v>0</v>
      </c>
      <c r="Q365" s="7">
        <f t="shared" si="113"/>
        <v>0</v>
      </c>
      <c r="R365" s="10" t="str">
        <f t="shared" si="103"/>
        <v>0_Pre</v>
      </c>
      <c r="S365" s="10" t="str">
        <f t="shared" si="104"/>
        <v>0_Pre</v>
      </c>
      <c r="T365" s="10" t="str">
        <f t="shared" si="105"/>
        <v>0_Pre</v>
      </c>
      <c r="U365" s="10" t="str">
        <f t="shared" si="106"/>
        <v>1_Post</v>
      </c>
      <c r="V365" s="10" t="str">
        <f t="shared" si="114"/>
        <v>0_Pre</v>
      </c>
      <c r="W365" s="10" t="str">
        <f t="shared" si="107"/>
        <v>straddle</v>
      </c>
      <c r="X365" s="10" t="str">
        <f t="shared" si="108"/>
        <v>0_Pre</v>
      </c>
      <c r="Y365" s="10" t="str">
        <f t="shared" si="109"/>
        <v>0_Pre</v>
      </c>
      <c r="Z365" s="10" t="str">
        <f t="shared" si="110"/>
        <v>0_Pre</v>
      </c>
      <c r="AA365" s="10" t="str">
        <f t="shared" si="115"/>
        <v>0_Pre</v>
      </c>
      <c r="AB365" s="10" t="str">
        <f t="shared" si="116"/>
        <v>0_Pre</v>
      </c>
      <c r="AC365" s="10" t="str">
        <f t="shared" si="117"/>
        <v>0_Pre</v>
      </c>
      <c r="AD365" s="10" t="str">
        <f t="shared" si="118"/>
        <v>1_pre sample median</v>
      </c>
      <c r="AE365" s="10" t="str">
        <f t="shared" si="119"/>
        <v>2_in sample second tertile</v>
      </c>
      <c r="AF365" t="s">
        <v>80</v>
      </c>
      <c r="AG365" t="s">
        <v>75</v>
      </c>
      <c r="AH365" t="s">
        <v>78</v>
      </c>
      <c r="AI365" t="s">
        <v>70</v>
      </c>
      <c r="AJ365" t="s">
        <v>70</v>
      </c>
      <c r="AK365" t="str">
        <f>VLOOKUP(MID($AR365,1,255),country_lookup!$B:$F,2,FALSE)</f>
        <v>99_NCE</v>
      </c>
      <c r="AL365" t="str">
        <f>VLOOKUP(MID($AR365,1,255),country_lookup!$B:$F,3,FALSE)</f>
        <v>99_NCE</v>
      </c>
      <c r="AM365" t="str">
        <f>VLOOKUP(MID($AR365,1,255),country_lookup!$B:$F,4,FALSE)</f>
        <v>99_NCE</v>
      </c>
      <c r="AN365" t="str">
        <f>VLOOKUP(MID($AR365,1,255),country_lookup!$B:$F,5,FALSE)</f>
        <v>99_NCE</v>
      </c>
      <c r="AO365" s="10" t="str">
        <f>VLOOKUP(MID($AS365,1,255),source_lookup!$B:$K,4,FALSE)</f>
        <v>0_published</v>
      </c>
      <c r="AP365" s="10" t="str">
        <f>VLOOKUP(MID($AS365,1,255),source_lookup!$B:$K,6,FALSE)</f>
        <v>1_VHB high</v>
      </c>
      <c r="AQ365" s="10" t="str">
        <f>VLOOKUP(MID($AS365,1,255),source_lookup!$B:$K,10,FALSE)</f>
        <v>1_fin/acc/econ</v>
      </c>
      <c r="AR365" t="s">
        <v>92</v>
      </c>
      <c r="AS365" t="s">
        <v>136</v>
      </c>
    </row>
    <row r="366" spans="1:45" x14ac:dyDescent="0.3">
      <c r="A366" t="s">
        <v>12</v>
      </c>
      <c r="B366">
        <v>365</v>
      </c>
      <c r="C366" s="1">
        <v>-3.3866284735372197E-2</v>
      </c>
      <c r="D366" s="2">
        <v>217</v>
      </c>
      <c r="E366" s="4">
        <v>17903</v>
      </c>
      <c r="F366" s="4" t="s">
        <v>347</v>
      </c>
      <c r="G366" s="4" t="s">
        <v>346</v>
      </c>
      <c r="H366" t="s">
        <v>77</v>
      </c>
      <c r="I366" t="s">
        <v>352</v>
      </c>
      <c r="J366" s="3">
        <v>2007</v>
      </c>
      <c r="K366" s="3">
        <v>2016</v>
      </c>
      <c r="L366" s="6">
        <f t="shared" si="111"/>
        <v>2011.5</v>
      </c>
      <c r="M366" s="6">
        <f t="shared" si="112"/>
        <v>2011.5</v>
      </c>
      <c r="N366" s="7">
        <f t="shared" si="100"/>
        <v>0.1</v>
      </c>
      <c r="O366" s="7">
        <f t="shared" si="101"/>
        <v>0</v>
      </c>
      <c r="P366" s="7">
        <f t="shared" si="102"/>
        <v>0</v>
      </c>
      <c r="Q366" s="7">
        <f t="shared" si="113"/>
        <v>0</v>
      </c>
      <c r="R366" s="10" t="str">
        <f t="shared" si="103"/>
        <v>0_Pre</v>
      </c>
      <c r="S366" s="10" t="str">
        <f t="shared" si="104"/>
        <v>0_Pre</v>
      </c>
      <c r="T366" s="10" t="str">
        <f t="shared" si="105"/>
        <v>0_Pre</v>
      </c>
      <c r="U366" s="10" t="str">
        <f t="shared" si="106"/>
        <v>1_Post</v>
      </c>
      <c r="V366" s="10" t="str">
        <f t="shared" si="114"/>
        <v>0_Pre</v>
      </c>
      <c r="W366" s="10" t="str">
        <f t="shared" si="107"/>
        <v>straddle</v>
      </c>
      <c r="X366" s="10" t="str">
        <f t="shared" si="108"/>
        <v>0_Pre</v>
      </c>
      <c r="Y366" s="10" t="str">
        <f t="shared" si="109"/>
        <v>0_Pre</v>
      </c>
      <c r="Z366" s="10" t="str">
        <f t="shared" si="110"/>
        <v>0_Pre</v>
      </c>
      <c r="AA366" s="10" t="str">
        <f t="shared" si="115"/>
        <v>0_Pre</v>
      </c>
      <c r="AB366" s="10" t="str">
        <f t="shared" si="116"/>
        <v>0_Pre</v>
      </c>
      <c r="AC366" s="10" t="str">
        <f t="shared" si="117"/>
        <v>0_Pre</v>
      </c>
      <c r="AD366" s="10" t="str">
        <f t="shared" si="118"/>
        <v>1_pre sample median</v>
      </c>
      <c r="AE366" s="10" t="str">
        <f t="shared" si="119"/>
        <v>2_in sample second tertile</v>
      </c>
      <c r="AF366" t="s">
        <v>80</v>
      </c>
      <c r="AG366" t="s">
        <v>75</v>
      </c>
      <c r="AH366" t="s">
        <v>78</v>
      </c>
      <c r="AI366" t="s">
        <v>70</v>
      </c>
      <c r="AJ366" t="s">
        <v>70</v>
      </c>
      <c r="AK366" t="str">
        <f>VLOOKUP(MID($AR366,1,255),country_lookup!$B:$F,2,FALSE)</f>
        <v>99_NCE</v>
      </c>
      <c r="AL366" t="str">
        <f>VLOOKUP(MID($AR366,1,255),country_lookup!$B:$F,3,FALSE)</f>
        <v>99_NCE</v>
      </c>
      <c r="AM366" t="str">
        <f>VLOOKUP(MID($AR366,1,255),country_lookup!$B:$F,4,FALSE)</f>
        <v>99_NCE</v>
      </c>
      <c r="AN366" t="str">
        <f>VLOOKUP(MID($AR366,1,255),country_lookup!$B:$F,5,FALSE)</f>
        <v>99_NCE</v>
      </c>
      <c r="AO366" s="10" t="str">
        <f>VLOOKUP(MID($AS366,1,255),source_lookup!$B:$K,4,FALSE)</f>
        <v>0_published</v>
      </c>
      <c r="AP366" s="10" t="str">
        <f>VLOOKUP(MID($AS366,1,255),source_lookup!$B:$K,6,FALSE)</f>
        <v>1_VHB high</v>
      </c>
      <c r="AQ366" s="10" t="str">
        <f>VLOOKUP(MID($AS366,1,255),source_lookup!$B:$K,10,FALSE)</f>
        <v>1_fin/acc/econ</v>
      </c>
      <c r="AR366" t="s">
        <v>92</v>
      </c>
      <c r="AS366" t="s">
        <v>136</v>
      </c>
    </row>
    <row r="367" spans="1:45" x14ac:dyDescent="0.3">
      <c r="A367" t="s">
        <v>12</v>
      </c>
      <c r="B367">
        <v>366</v>
      </c>
      <c r="C367" s="1">
        <v>-1.3935901719637676E-2</v>
      </c>
      <c r="D367" s="2">
        <v>217</v>
      </c>
      <c r="E367" s="4">
        <v>17903</v>
      </c>
      <c r="F367" s="4" t="s">
        <v>347</v>
      </c>
      <c r="G367" s="4" t="s">
        <v>346</v>
      </c>
      <c r="H367" t="s">
        <v>77</v>
      </c>
      <c r="I367" t="s">
        <v>352</v>
      </c>
      <c r="J367" s="3">
        <v>2007</v>
      </c>
      <c r="K367" s="3">
        <v>2016</v>
      </c>
      <c r="L367" s="6">
        <f t="shared" si="111"/>
        <v>2011.5</v>
      </c>
      <c r="M367" s="6">
        <f t="shared" si="112"/>
        <v>2011.5</v>
      </c>
      <c r="N367" s="7">
        <f t="shared" si="100"/>
        <v>0.1</v>
      </c>
      <c r="O367" s="7">
        <f t="shared" si="101"/>
        <v>0</v>
      </c>
      <c r="P367" s="7">
        <f t="shared" si="102"/>
        <v>0</v>
      </c>
      <c r="Q367" s="7">
        <f t="shared" si="113"/>
        <v>0</v>
      </c>
      <c r="R367" s="10" t="str">
        <f t="shared" si="103"/>
        <v>0_Pre</v>
      </c>
      <c r="S367" s="10" t="str">
        <f t="shared" si="104"/>
        <v>0_Pre</v>
      </c>
      <c r="T367" s="10" t="str">
        <f t="shared" si="105"/>
        <v>0_Pre</v>
      </c>
      <c r="U367" s="10" t="str">
        <f t="shared" si="106"/>
        <v>1_Post</v>
      </c>
      <c r="V367" s="10" t="str">
        <f t="shared" si="114"/>
        <v>0_Pre</v>
      </c>
      <c r="W367" s="10" t="str">
        <f t="shared" si="107"/>
        <v>straddle</v>
      </c>
      <c r="X367" s="10" t="str">
        <f t="shared" si="108"/>
        <v>0_Pre</v>
      </c>
      <c r="Y367" s="10" t="str">
        <f t="shared" si="109"/>
        <v>0_Pre</v>
      </c>
      <c r="Z367" s="10" t="str">
        <f t="shared" si="110"/>
        <v>0_Pre</v>
      </c>
      <c r="AA367" s="10" t="str">
        <f t="shared" si="115"/>
        <v>0_Pre</v>
      </c>
      <c r="AB367" s="10" t="str">
        <f t="shared" si="116"/>
        <v>0_Pre</v>
      </c>
      <c r="AC367" s="10" t="str">
        <f t="shared" si="117"/>
        <v>0_Pre</v>
      </c>
      <c r="AD367" s="10" t="str">
        <f t="shared" si="118"/>
        <v>1_pre sample median</v>
      </c>
      <c r="AE367" s="10" t="str">
        <f t="shared" si="119"/>
        <v>2_in sample second tertile</v>
      </c>
      <c r="AF367" t="s">
        <v>80</v>
      </c>
      <c r="AG367" t="s">
        <v>75</v>
      </c>
      <c r="AH367" t="s">
        <v>78</v>
      </c>
      <c r="AI367" t="s">
        <v>70</v>
      </c>
      <c r="AJ367" t="s">
        <v>70</v>
      </c>
      <c r="AK367" t="str">
        <f>VLOOKUP(MID($AR367,1,255),country_lookup!$B:$F,2,FALSE)</f>
        <v>99_NCE</v>
      </c>
      <c r="AL367" t="str">
        <f>VLOOKUP(MID($AR367,1,255),country_lookup!$B:$F,3,FALSE)</f>
        <v>99_NCE</v>
      </c>
      <c r="AM367" t="str">
        <f>VLOOKUP(MID($AR367,1,255),country_lookup!$B:$F,4,FALSE)</f>
        <v>99_NCE</v>
      </c>
      <c r="AN367" t="str">
        <f>VLOOKUP(MID($AR367,1,255),country_lookup!$B:$F,5,FALSE)</f>
        <v>99_NCE</v>
      </c>
      <c r="AO367" s="10" t="str">
        <f>VLOOKUP(MID($AS367,1,255),source_lookup!$B:$K,4,FALSE)</f>
        <v>0_published</v>
      </c>
      <c r="AP367" s="10" t="str">
        <f>VLOOKUP(MID($AS367,1,255),source_lookup!$B:$K,6,FALSE)</f>
        <v>1_VHB high</v>
      </c>
      <c r="AQ367" s="10" t="str">
        <f>VLOOKUP(MID($AS367,1,255),source_lookup!$B:$K,10,FALSE)</f>
        <v>1_fin/acc/econ</v>
      </c>
      <c r="AR367" t="s">
        <v>92</v>
      </c>
      <c r="AS367" t="s">
        <v>136</v>
      </c>
    </row>
    <row r="368" spans="1:45" x14ac:dyDescent="0.3">
      <c r="A368" t="s">
        <v>12</v>
      </c>
      <c r="B368">
        <v>367</v>
      </c>
      <c r="C368" s="1">
        <v>-2.6636003015027835E-2</v>
      </c>
      <c r="D368" s="2">
        <v>217</v>
      </c>
      <c r="E368" s="4">
        <v>19068</v>
      </c>
      <c r="F368" s="4" t="s">
        <v>347</v>
      </c>
      <c r="G368" s="4" t="s">
        <v>346</v>
      </c>
      <c r="H368" t="s">
        <v>77</v>
      </c>
      <c r="I368" t="s">
        <v>352</v>
      </c>
      <c r="J368" s="3">
        <v>2007</v>
      </c>
      <c r="K368" s="3">
        <v>2016</v>
      </c>
      <c r="L368" s="6">
        <f t="shared" si="111"/>
        <v>2011.5</v>
      </c>
      <c r="M368" s="6">
        <f t="shared" si="112"/>
        <v>2011.5</v>
      </c>
      <c r="N368" s="7">
        <f t="shared" si="100"/>
        <v>0.1</v>
      </c>
      <c r="O368" s="7">
        <f t="shared" si="101"/>
        <v>0</v>
      </c>
      <c r="P368" s="7">
        <f t="shared" si="102"/>
        <v>0</v>
      </c>
      <c r="Q368" s="7">
        <f t="shared" si="113"/>
        <v>0</v>
      </c>
      <c r="R368" s="10" t="str">
        <f t="shared" si="103"/>
        <v>0_Pre</v>
      </c>
      <c r="S368" s="10" t="str">
        <f t="shared" si="104"/>
        <v>0_Pre</v>
      </c>
      <c r="T368" s="10" t="str">
        <f t="shared" si="105"/>
        <v>0_Pre</v>
      </c>
      <c r="U368" s="10" t="str">
        <f t="shared" si="106"/>
        <v>1_Post</v>
      </c>
      <c r="V368" s="10" t="str">
        <f t="shared" si="114"/>
        <v>0_Pre</v>
      </c>
      <c r="W368" s="10" t="str">
        <f t="shared" si="107"/>
        <v>straddle</v>
      </c>
      <c r="X368" s="10" t="str">
        <f t="shared" si="108"/>
        <v>0_Pre</v>
      </c>
      <c r="Y368" s="10" t="str">
        <f t="shared" si="109"/>
        <v>0_Pre</v>
      </c>
      <c r="Z368" s="10" t="str">
        <f t="shared" si="110"/>
        <v>0_Pre</v>
      </c>
      <c r="AA368" s="10" t="str">
        <f t="shared" si="115"/>
        <v>0_Pre</v>
      </c>
      <c r="AB368" s="10" t="str">
        <f t="shared" si="116"/>
        <v>0_Pre</v>
      </c>
      <c r="AC368" s="10" t="str">
        <f t="shared" si="117"/>
        <v>0_Pre</v>
      </c>
      <c r="AD368" s="10" t="str">
        <f t="shared" si="118"/>
        <v>1_pre sample median</v>
      </c>
      <c r="AE368" s="10" t="str">
        <f t="shared" si="119"/>
        <v>2_in sample second tertile</v>
      </c>
      <c r="AF368" t="s">
        <v>80</v>
      </c>
      <c r="AG368" t="s">
        <v>75</v>
      </c>
      <c r="AH368" t="s">
        <v>78</v>
      </c>
      <c r="AI368" t="s">
        <v>70</v>
      </c>
      <c r="AJ368" t="s">
        <v>70</v>
      </c>
      <c r="AK368" t="str">
        <f>VLOOKUP(MID($AR368,1,255),country_lookup!$B:$F,2,FALSE)</f>
        <v>99_NCE</v>
      </c>
      <c r="AL368" t="str">
        <f>VLOOKUP(MID($AR368,1,255),country_lookup!$B:$F,3,FALSE)</f>
        <v>99_NCE</v>
      </c>
      <c r="AM368" t="str">
        <f>VLOOKUP(MID($AR368,1,255),country_lookup!$B:$F,4,FALSE)</f>
        <v>99_NCE</v>
      </c>
      <c r="AN368" t="str">
        <f>VLOOKUP(MID($AR368,1,255),country_lookup!$B:$F,5,FALSE)</f>
        <v>99_NCE</v>
      </c>
      <c r="AO368" s="10" t="str">
        <f>VLOOKUP(MID($AS368,1,255),source_lookup!$B:$K,4,FALSE)</f>
        <v>0_published</v>
      </c>
      <c r="AP368" s="10" t="str">
        <f>VLOOKUP(MID($AS368,1,255),source_lookup!$B:$K,6,FALSE)</f>
        <v>1_VHB high</v>
      </c>
      <c r="AQ368" s="10" t="str">
        <f>VLOOKUP(MID($AS368,1,255),source_lookup!$B:$K,10,FALSE)</f>
        <v>1_fin/acc/econ</v>
      </c>
      <c r="AR368" t="s">
        <v>92</v>
      </c>
      <c r="AS368" t="s">
        <v>136</v>
      </c>
    </row>
    <row r="369" spans="1:45" x14ac:dyDescent="0.3">
      <c r="A369" t="s">
        <v>12</v>
      </c>
      <c r="B369">
        <v>368</v>
      </c>
      <c r="C369" s="1">
        <v>-1.2133602164614463E-2</v>
      </c>
      <c r="D369" s="2">
        <v>217</v>
      </c>
      <c r="E369" s="4">
        <v>19068</v>
      </c>
      <c r="F369" s="4" t="s">
        <v>347</v>
      </c>
      <c r="G369" s="4" t="s">
        <v>346</v>
      </c>
      <c r="H369" t="s">
        <v>77</v>
      </c>
      <c r="I369" t="s">
        <v>352</v>
      </c>
      <c r="J369" s="3">
        <v>2007</v>
      </c>
      <c r="K369" s="3">
        <v>2016</v>
      </c>
      <c r="L369" s="6">
        <f t="shared" si="111"/>
        <v>2011.5</v>
      </c>
      <c r="M369" s="6">
        <f t="shared" si="112"/>
        <v>2011.5</v>
      </c>
      <c r="N369" s="7">
        <f t="shared" si="100"/>
        <v>0.1</v>
      </c>
      <c r="O369" s="7">
        <f t="shared" si="101"/>
        <v>0</v>
      </c>
      <c r="P369" s="7">
        <f t="shared" si="102"/>
        <v>0</v>
      </c>
      <c r="Q369" s="7">
        <f t="shared" si="113"/>
        <v>0</v>
      </c>
      <c r="R369" s="10" t="str">
        <f t="shared" si="103"/>
        <v>0_Pre</v>
      </c>
      <c r="S369" s="10" t="str">
        <f t="shared" si="104"/>
        <v>0_Pre</v>
      </c>
      <c r="T369" s="10" t="str">
        <f t="shared" si="105"/>
        <v>0_Pre</v>
      </c>
      <c r="U369" s="10" t="str">
        <f t="shared" si="106"/>
        <v>1_Post</v>
      </c>
      <c r="V369" s="10" t="str">
        <f t="shared" si="114"/>
        <v>0_Pre</v>
      </c>
      <c r="W369" s="10" t="str">
        <f t="shared" si="107"/>
        <v>straddle</v>
      </c>
      <c r="X369" s="10" t="str">
        <f t="shared" si="108"/>
        <v>0_Pre</v>
      </c>
      <c r="Y369" s="10" t="str">
        <f t="shared" si="109"/>
        <v>0_Pre</v>
      </c>
      <c r="Z369" s="10" t="str">
        <f t="shared" si="110"/>
        <v>0_Pre</v>
      </c>
      <c r="AA369" s="10" t="str">
        <f t="shared" si="115"/>
        <v>0_Pre</v>
      </c>
      <c r="AB369" s="10" t="str">
        <f t="shared" si="116"/>
        <v>0_Pre</v>
      </c>
      <c r="AC369" s="10" t="str">
        <f t="shared" si="117"/>
        <v>0_Pre</v>
      </c>
      <c r="AD369" s="10" t="str">
        <f t="shared" si="118"/>
        <v>1_pre sample median</v>
      </c>
      <c r="AE369" s="10" t="str">
        <f t="shared" si="119"/>
        <v>2_in sample second tertile</v>
      </c>
      <c r="AF369" t="s">
        <v>80</v>
      </c>
      <c r="AG369" t="s">
        <v>75</v>
      </c>
      <c r="AH369" t="s">
        <v>78</v>
      </c>
      <c r="AI369" t="s">
        <v>70</v>
      </c>
      <c r="AJ369" t="s">
        <v>70</v>
      </c>
      <c r="AK369" t="str">
        <f>VLOOKUP(MID($AR369,1,255),country_lookup!$B:$F,2,FALSE)</f>
        <v>99_NCE</v>
      </c>
      <c r="AL369" t="str">
        <f>VLOOKUP(MID($AR369,1,255),country_lookup!$B:$F,3,FALSE)</f>
        <v>99_NCE</v>
      </c>
      <c r="AM369" t="str">
        <f>VLOOKUP(MID($AR369,1,255),country_lookup!$B:$F,4,FALSE)</f>
        <v>99_NCE</v>
      </c>
      <c r="AN369" t="str">
        <f>VLOOKUP(MID($AR369,1,255),country_lookup!$B:$F,5,FALSE)</f>
        <v>99_NCE</v>
      </c>
      <c r="AO369" s="10" t="str">
        <f>VLOOKUP(MID($AS369,1,255),source_lookup!$B:$K,4,FALSE)</f>
        <v>0_published</v>
      </c>
      <c r="AP369" s="10" t="str">
        <f>VLOOKUP(MID($AS369,1,255),source_lookup!$B:$K,6,FALSE)</f>
        <v>1_VHB high</v>
      </c>
      <c r="AQ369" s="10" t="str">
        <f>VLOOKUP(MID($AS369,1,255),source_lookup!$B:$K,10,FALSE)</f>
        <v>1_fin/acc/econ</v>
      </c>
      <c r="AR369" t="s">
        <v>92</v>
      </c>
      <c r="AS369" t="s">
        <v>136</v>
      </c>
    </row>
    <row r="370" spans="1:45" x14ac:dyDescent="0.3">
      <c r="A370" t="s">
        <v>12</v>
      </c>
      <c r="B370">
        <v>369</v>
      </c>
      <c r="C370" s="1">
        <v>-0.18184378108287377</v>
      </c>
      <c r="D370" s="2">
        <v>217</v>
      </c>
      <c r="E370" s="4">
        <v>19068</v>
      </c>
      <c r="F370" s="4" t="s">
        <v>347</v>
      </c>
      <c r="G370" s="4" t="s">
        <v>346</v>
      </c>
      <c r="H370" t="s">
        <v>77</v>
      </c>
      <c r="I370" t="s">
        <v>352</v>
      </c>
      <c r="J370" s="3">
        <v>2007</v>
      </c>
      <c r="K370" s="3">
        <v>2016</v>
      </c>
      <c r="L370" s="6">
        <f t="shared" si="111"/>
        <v>2011.5</v>
      </c>
      <c r="M370" s="6">
        <f t="shared" si="112"/>
        <v>2011.5</v>
      </c>
      <c r="N370" s="7">
        <f t="shared" si="100"/>
        <v>0.1</v>
      </c>
      <c r="O370" s="7">
        <f t="shared" si="101"/>
        <v>0</v>
      </c>
      <c r="P370" s="7">
        <f t="shared" si="102"/>
        <v>0</v>
      </c>
      <c r="Q370" s="7">
        <f t="shared" si="113"/>
        <v>0</v>
      </c>
      <c r="R370" s="10" t="str">
        <f t="shared" si="103"/>
        <v>0_Pre</v>
      </c>
      <c r="S370" s="10" t="str">
        <f t="shared" si="104"/>
        <v>0_Pre</v>
      </c>
      <c r="T370" s="10" t="str">
        <f t="shared" si="105"/>
        <v>0_Pre</v>
      </c>
      <c r="U370" s="10" t="str">
        <f t="shared" si="106"/>
        <v>1_Post</v>
      </c>
      <c r="V370" s="10" t="str">
        <f t="shared" si="114"/>
        <v>0_Pre</v>
      </c>
      <c r="W370" s="10" t="str">
        <f t="shared" si="107"/>
        <v>straddle</v>
      </c>
      <c r="X370" s="10" t="str">
        <f t="shared" si="108"/>
        <v>0_Pre</v>
      </c>
      <c r="Y370" s="10" t="str">
        <f t="shared" si="109"/>
        <v>0_Pre</v>
      </c>
      <c r="Z370" s="10" t="str">
        <f t="shared" si="110"/>
        <v>0_Pre</v>
      </c>
      <c r="AA370" s="10" t="str">
        <f t="shared" si="115"/>
        <v>0_Pre</v>
      </c>
      <c r="AB370" s="10" t="str">
        <f t="shared" si="116"/>
        <v>0_Pre</v>
      </c>
      <c r="AC370" s="10" t="str">
        <f t="shared" si="117"/>
        <v>0_Pre</v>
      </c>
      <c r="AD370" s="10" t="str">
        <f t="shared" si="118"/>
        <v>1_pre sample median</v>
      </c>
      <c r="AE370" s="10" t="str">
        <f t="shared" si="119"/>
        <v>2_in sample second tertile</v>
      </c>
      <c r="AF370" t="s">
        <v>80</v>
      </c>
      <c r="AG370" t="s">
        <v>75</v>
      </c>
      <c r="AH370" t="s">
        <v>78</v>
      </c>
      <c r="AI370" t="s">
        <v>70</v>
      </c>
      <c r="AJ370" t="s">
        <v>70</v>
      </c>
      <c r="AK370" t="str">
        <f>VLOOKUP(MID($AR370,1,255),country_lookup!$B:$F,2,FALSE)</f>
        <v>99_NCE</v>
      </c>
      <c r="AL370" t="str">
        <f>VLOOKUP(MID($AR370,1,255),country_lookup!$B:$F,3,FALSE)</f>
        <v>99_NCE</v>
      </c>
      <c r="AM370" t="str">
        <f>VLOOKUP(MID($AR370,1,255),country_lookup!$B:$F,4,FALSE)</f>
        <v>99_NCE</v>
      </c>
      <c r="AN370" t="str">
        <f>VLOOKUP(MID($AR370,1,255),country_lookup!$B:$F,5,FALSE)</f>
        <v>99_NCE</v>
      </c>
      <c r="AO370" s="10" t="str">
        <f>VLOOKUP(MID($AS370,1,255),source_lookup!$B:$K,4,FALSE)</f>
        <v>0_published</v>
      </c>
      <c r="AP370" s="10" t="str">
        <f>VLOOKUP(MID($AS370,1,255),source_lookup!$B:$K,6,FALSE)</f>
        <v>1_VHB high</v>
      </c>
      <c r="AQ370" s="10" t="str">
        <f>VLOOKUP(MID($AS370,1,255),source_lookup!$B:$K,10,FALSE)</f>
        <v>1_fin/acc/econ</v>
      </c>
      <c r="AR370" t="s">
        <v>92</v>
      </c>
      <c r="AS370" t="s">
        <v>136</v>
      </c>
    </row>
    <row r="371" spans="1:45" x14ac:dyDescent="0.3">
      <c r="A371" t="s">
        <v>12</v>
      </c>
      <c r="B371">
        <v>370</v>
      </c>
      <c r="C371" s="1">
        <v>-1.6760607520284295E-2</v>
      </c>
      <c r="D371" s="2">
        <v>217</v>
      </c>
      <c r="E371" s="4">
        <v>19068</v>
      </c>
      <c r="F371" s="4" t="s">
        <v>347</v>
      </c>
      <c r="G371" s="4" t="s">
        <v>346</v>
      </c>
      <c r="H371" t="s">
        <v>77</v>
      </c>
      <c r="I371" t="s">
        <v>352</v>
      </c>
      <c r="J371" s="3">
        <v>2007</v>
      </c>
      <c r="K371" s="3">
        <v>2016</v>
      </c>
      <c r="L371" s="6">
        <f t="shared" si="111"/>
        <v>2011.5</v>
      </c>
      <c r="M371" s="6">
        <f t="shared" si="112"/>
        <v>2011.5</v>
      </c>
      <c r="N371" s="7">
        <f t="shared" si="100"/>
        <v>0.1</v>
      </c>
      <c r="O371" s="7">
        <f t="shared" si="101"/>
        <v>0</v>
      </c>
      <c r="P371" s="7">
        <f t="shared" si="102"/>
        <v>0</v>
      </c>
      <c r="Q371" s="7">
        <f t="shared" si="113"/>
        <v>0</v>
      </c>
      <c r="R371" s="10" t="str">
        <f t="shared" si="103"/>
        <v>0_Pre</v>
      </c>
      <c r="S371" s="10" t="str">
        <f t="shared" si="104"/>
        <v>0_Pre</v>
      </c>
      <c r="T371" s="10" t="str">
        <f t="shared" si="105"/>
        <v>0_Pre</v>
      </c>
      <c r="U371" s="10" t="str">
        <f t="shared" si="106"/>
        <v>1_Post</v>
      </c>
      <c r="V371" s="10" t="str">
        <f t="shared" si="114"/>
        <v>0_Pre</v>
      </c>
      <c r="W371" s="10" t="str">
        <f t="shared" si="107"/>
        <v>straddle</v>
      </c>
      <c r="X371" s="10" t="str">
        <f t="shared" si="108"/>
        <v>0_Pre</v>
      </c>
      <c r="Y371" s="10" t="str">
        <f t="shared" si="109"/>
        <v>0_Pre</v>
      </c>
      <c r="Z371" s="10" t="str">
        <f t="shared" si="110"/>
        <v>0_Pre</v>
      </c>
      <c r="AA371" s="10" t="str">
        <f t="shared" si="115"/>
        <v>0_Pre</v>
      </c>
      <c r="AB371" s="10" t="str">
        <f t="shared" si="116"/>
        <v>0_Pre</v>
      </c>
      <c r="AC371" s="10" t="str">
        <f t="shared" si="117"/>
        <v>0_Pre</v>
      </c>
      <c r="AD371" s="10" t="str">
        <f t="shared" si="118"/>
        <v>1_pre sample median</v>
      </c>
      <c r="AE371" s="10" t="str">
        <f t="shared" si="119"/>
        <v>2_in sample second tertile</v>
      </c>
      <c r="AF371" t="s">
        <v>80</v>
      </c>
      <c r="AG371" t="s">
        <v>75</v>
      </c>
      <c r="AH371" t="s">
        <v>78</v>
      </c>
      <c r="AI371" t="s">
        <v>70</v>
      </c>
      <c r="AJ371" t="s">
        <v>70</v>
      </c>
      <c r="AK371" t="str">
        <f>VLOOKUP(MID($AR371,1,255),country_lookup!$B:$F,2,FALSE)</f>
        <v>99_NCE</v>
      </c>
      <c r="AL371" t="str">
        <f>VLOOKUP(MID($AR371,1,255),country_lookup!$B:$F,3,FALSE)</f>
        <v>99_NCE</v>
      </c>
      <c r="AM371" t="str">
        <f>VLOOKUP(MID($AR371,1,255),country_lookup!$B:$F,4,FALSE)</f>
        <v>99_NCE</v>
      </c>
      <c r="AN371" t="str">
        <f>VLOOKUP(MID($AR371,1,255),country_lookup!$B:$F,5,FALSE)</f>
        <v>99_NCE</v>
      </c>
      <c r="AO371" s="10" t="str">
        <f>VLOOKUP(MID($AS371,1,255),source_lookup!$B:$K,4,FALSE)</f>
        <v>0_published</v>
      </c>
      <c r="AP371" s="10" t="str">
        <f>VLOOKUP(MID($AS371,1,255),source_lookup!$B:$K,6,FALSE)</f>
        <v>1_VHB high</v>
      </c>
      <c r="AQ371" s="10" t="str">
        <f>VLOOKUP(MID($AS371,1,255),source_lookup!$B:$K,10,FALSE)</f>
        <v>1_fin/acc/econ</v>
      </c>
      <c r="AR371" t="s">
        <v>92</v>
      </c>
      <c r="AS371" t="s">
        <v>136</v>
      </c>
    </row>
    <row r="372" spans="1:45" x14ac:dyDescent="0.3">
      <c r="A372" t="s">
        <v>12</v>
      </c>
      <c r="B372">
        <v>371</v>
      </c>
      <c r="C372" s="1">
        <v>-1.8708495613201776E-2</v>
      </c>
      <c r="D372" s="2">
        <v>217</v>
      </c>
      <c r="E372" s="4">
        <v>19068</v>
      </c>
      <c r="F372" s="4" t="s">
        <v>347</v>
      </c>
      <c r="G372" s="4" t="s">
        <v>346</v>
      </c>
      <c r="H372" t="s">
        <v>77</v>
      </c>
      <c r="I372" t="s">
        <v>352</v>
      </c>
      <c r="J372" s="3">
        <v>2007</v>
      </c>
      <c r="K372" s="3">
        <v>2016</v>
      </c>
      <c r="L372" s="6">
        <f t="shared" si="111"/>
        <v>2011.5</v>
      </c>
      <c r="M372" s="6">
        <f t="shared" si="112"/>
        <v>2011.5</v>
      </c>
      <c r="N372" s="7">
        <f t="shared" si="100"/>
        <v>0.1</v>
      </c>
      <c r="O372" s="7">
        <f t="shared" si="101"/>
        <v>0</v>
      </c>
      <c r="P372" s="7">
        <f t="shared" si="102"/>
        <v>0</v>
      </c>
      <c r="Q372" s="7">
        <f t="shared" si="113"/>
        <v>0</v>
      </c>
      <c r="R372" s="10" t="str">
        <f t="shared" si="103"/>
        <v>0_Pre</v>
      </c>
      <c r="S372" s="10" t="str">
        <f t="shared" si="104"/>
        <v>0_Pre</v>
      </c>
      <c r="T372" s="10" t="str">
        <f t="shared" si="105"/>
        <v>0_Pre</v>
      </c>
      <c r="U372" s="10" t="str">
        <f t="shared" si="106"/>
        <v>1_Post</v>
      </c>
      <c r="V372" s="10" t="str">
        <f t="shared" si="114"/>
        <v>0_Pre</v>
      </c>
      <c r="W372" s="10" t="str">
        <f t="shared" si="107"/>
        <v>straddle</v>
      </c>
      <c r="X372" s="10" t="str">
        <f t="shared" si="108"/>
        <v>0_Pre</v>
      </c>
      <c r="Y372" s="10" t="str">
        <f t="shared" si="109"/>
        <v>0_Pre</v>
      </c>
      <c r="Z372" s="10" t="str">
        <f t="shared" si="110"/>
        <v>0_Pre</v>
      </c>
      <c r="AA372" s="10" t="str">
        <f t="shared" si="115"/>
        <v>0_Pre</v>
      </c>
      <c r="AB372" s="10" t="str">
        <f t="shared" si="116"/>
        <v>0_Pre</v>
      </c>
      <c r="AC372" s="10" t="str">
        <f t="shared" si="117"/>
        <v>0_Pre</v>
      </c>
      <c r="AD372" s="10" t="str">
        <f t="shared" si="118"/>
        <v>1_pre sample median</v>
      </c>
      <c r="AE372" s="10" t="str">
        <f t="shared" si="119"/>
        <v>2_in sample second tertile</v>
      </c>
      <c r="AF372" t="s">
        <v>80</v>
      </c>
      <c r="AG372" t="s">
        <v>75</v>
      </c>
      <c r="AH372" t="s">
        <v>78</v>
      </c>
      <c r="AI372" t="s">
        <v>70</v>
      </c>
      <c r="AJ372" t="s">
        <v>70</v>
      </c>
      <c r="AK372" t="str">
        <f>VLOOKUP(MID($AR372,1,255),country_lookup!$B:$F,2,FALSE)</f>
        <v>99_NCE</v>
      </c>
      <c r="AL372" t="str">
        <f>VLOOKUP(MID($AR372,1,255),country_lookup!$B:$F,3,FALSE)</f>
        <v>99_NCE</v>
      </c>
      <c r="AM372" t="str">
        <f>VLOOKUP(MID($AR372,1,255),country_lookup!$B:$F,4,FALSE)</f>
        <v>99_NCE</v>
      </c>
      <c r="AN372" t="str">
        <f>VLOOKUP(MID($AR372,1,255),country_lookup!$B:$F,5,FALSE)</f>
        <v>99_NCE</v>
      </c>
      <c r="AO372" s="10" t="str">
        <f>VLOOKUP(MID($AS372,1,255),source_lookup!$B:$K,4,FALSE)</f>
        <v>0_published</v>
      </c>
      <c r="AP372" s="10" t="str">
        <f>VLOOKUP(MID($AS372,1,255),source_lookup!$B:$K,6,FALSE)</f>
        <v>1_VHB high</v>
      </c>
      <c r="AQ372" s="10" t="str">
        <f>VLOOKUP(MID($AS372,1,255),source_lookup!$B:$K,10,FALSE)</f>
        <v>1_fin/acc/econ</v>
      </c>
      <c r="AR372" t="s">
        <v>92</v>
      </c>
      <c r="AS372" t="s">
        <v>136</v>
      </c>
    </row>
    <row r="373" spans="1:45" x14ac:dyDescent="0.3">
      <c r="A373" t="s">
        <v>12</v>
      </c>
      <c r="B373">
        <v>372</v>
      </c>
      <c r="C373" s="1">
        <v>5.5530550591280014E-3</v>
      </c>
      <c r="D373" s="2">
        <v>217</v>
      </c>
      <c r="E373" s="4">
        <v>19068</v>
      </c>
      <c r="F373" s="4" t="s">
        <v>347</v>
      </c>
      <c r="G373" s="4" t="s">
        <v>346</v>
      </c>
      <c r="H373" t="s">
        <v>77</v>
      </c>
      <c r="I373" t="s">
        <v>352</v>
      </c>
      <c r="J373" s="3">
        <v>2007</v>
      </c>
      <c r="K373" s="3">
        <v>2016</v>
      </c>
      <c r="L373" s="6">
        <f t="shared" si="111"/>
        <v>2011.5</v>
      </c>
      <c r="M373" s="6">
        <f t="shared" si="112"/>
        <v>2011.5</v>
      </c>
      <c r="N373" s="7">
        <f t="shared" si="100"/>
        <v>0.1</v>
      </c>
      <c r="O373" s="7">
        <f t="shared" si="101"/>
        <v>0</v>
      </c>
      <c r="P373" s="7">
        <f t="shared" si="102"/>
        <v>0</v>
      </c>
      <c r="Q373" s="7">
        <f t="shared" si="113"/>
        <v>0</v>
      </c>
      <c r="R373" s="10" t="str">
        <f t="shared" si="103"/>
        <v>0_Pre</v>
      </c>
      <c r="S373" s="10" t="str">
        <f t="shared" si="104"/>
        <v>0_Pre</v>
      </c>
      <c r="T373" s="10" t="str">
        <f t="shared" si="105"/>
        <v>0_Pre</v>
      </c>
      <c r="U373" s="10" t="str">
        <f t="shared" si="106"/>
        <v>1_Post</v>
      </c>
      <c r="V373" s="10" t="str">
        <f t="shared" si="114"/>
        <v>0_Pre</v>
      </c>
      <c r="W373" s="10" t="str">
        <f t="shared" si="107"/>
        <v>straddle</v>
      </c>
      <c r="X373" s="10" t="str">
        <f t="shared" si="108"/>
        <v>0_Pre</v>
      </c>
      <c r="Y373" s="10" t="str">
        <f t="shared" si="109"/>
        <v>0_Pre</v>
      </c>
      <c r="Z373" s="10" t="str">
        <f t="shared" si="110"/>
        <v>0_Pre</v>
      </c>
      <c r="AA373" s="10" t="str">
        <f t="shared" si="115"/>
        <v>0_Pre</v>
      </c>
      <c r="AB373" s="10" t="str">
        <f t="shared" si="116"/>
        <v>0_Pre</v>
      </c>
      <c r="AC373" s="10" t="str">
        <f t="shared" si="117"/>
        <v>0_Pre</v>
      </c>
      <c r="AD373" s="10" t="str">
        <f t="shared" si="118"/>
        <v>1_pre sample median</v>
      </c>
      <c r="AE373" s="10" t="str">
        <f t="shared" si="119"/>
        <v>2_in sample second tertile</v>
      </c>
      <c r="AF373" t="s">
        <v>80</v>
      </c>
      <c r="AG373" t="s">
        <v>75</v>
      </c>
      <c r="AH373" t="s">
        <v>78</v>
      </c>
      <c r="AI373" t="s">
        <v>70</v>
      </c>
      <c r="AJ373" t="s">
        <v>70</v>
      </c>
      <c r="AK373" t="str">
        <f>VLOOKUP(MID($AR373,1,255),country_lookup!$B:$F,2,FALSE)</f>
        <v>99_NCE</v>
      </c>
      <c r="AL373" t="str">
        <f>VLOOKUP(MID($AR373,1,255),country_lookup!$B:$F,3,FALSE)</f>
        <v>99_NCE</v>
      </c>
      <c r="AM373" t="str">
        <f>VLOOKUP(MID($AR373,1,255),country_lookup!$B:$F,4,FALSE)</f>
        <v>99_NCE</v>
      </c>
      <c r="AN373" t="str">
        <f>VLOOKUP(MID($AR373,1,255),country_lookup!$B:$F,5,FALSE)</f>
        <v>99_NCE</v>
      </c>
      <c r="AO373" s="10" t="str">
        <f>VLOOKUP(MID($AS373,1,255),source_lookup!$B:$K,4,FALSE)</f>
        <v>0_published</v>
      </c>
      <c r="AP373" s="10" t="str">
        <f>VLOOKUP(MID($AS373,1,255),source_lookup!$B:$K,6,FALSE)</f>
        <v>1_VHB high</v>
      </c>
      <c r="AQ373" s="10" t="str">
        <f>VLOOKUP(MID($AS373,1,255),source_lookup!$B:$K,10,FALSE)</f>
        <v>1_fin/acc/econ</v>
      </c>
      <c r="AR373" t="s">
        <v>92</v>
      </c>
      <c r="AS373" t="s">
        <v>136</v>
      </c>
    </row>
    <row r="374" spans="1:45" x14ac:dyDescent="0.3">
      <c r="A374" t="s">
        <v>12</v>
      </c>
      <c r="B374">
        <v>373</v>
      </c>
      <c r="C374" s="1">
        <v>-1.5982940126679734E-2</v>
      </c>
      <c r="D374" s="2">
        <v>217</v>
      </c>
      <c r="E374" s="4">
        <v>19068</v>
      </c>
      <c r="F374" s="4" t="s">
        <v>347</v>
      </c>
      <c r="G374" s="4" t="s">
        <v>346</v>
      </c>
      <c r="H374" t="s">
        <v>77</v>
      </c>
      <c r="I374" t="s">
        <v>352</v>
      </c>
      <c r="J374" s="3">
        <v>2007</v>
      </c>
      <c r="K374" s="3">
        <v>2016</v>
      </c>
      <c r="L374" s="6">
        <f t="shared" si="111"/>
        <v>2011.5</v>
      </c>
      <c r="M374" s="6">
        <f t="shared" si="112"/>
        <v>2011.5</v>
      </c>
      <c r="N374" s="7">
        <f t="shared" si="100"/>
        <v>0.1</v>
      </c>
      <c r="O374" s="7">
        <f t="shared" si="101"/>
        <v>0</v>
      </c>
      <c r="P374" s="7">
        <f t="shared" si="102"/>
        <v>0</v>
      </c>
      <c r="Q374" s="7">
        <f t="shared" si="113"/>
        <v>0</v>
      </c>
      <c r="R374" s="10" t="str">
        <f t="shared" si="103"/>
        <v>0_Pre</v>
      </c>
      <c r="S374" s="10" t="str">
        <f t="shared" si="104"/>
        <v>0_Pre</v>
      </c>
      <c r="T374" s="10" t="str">
        <f t="shared" si="105"/>
        <v>0_Pre</v>
      </c>
      <c r="U374" s="10" t="str">
        <f t="shared" si="106"/>
        <v>1_Post</v>
      </c>
      <c r="V374" s="10" t="str">
        <f t="shared" si="114"/>
        <v>0_Pre</v>
      </c>
      <c r="W374" s="10" t="str">
        <f t="shared" si="107"/>
        <v>straddle</v>
      </c>
      <c r="X374" s="10" t="str">
        <f t="shared" si="108"/>
        <v>0_Pre</v>
      </c>
      <c r="Y374" s="10" t="str">
        <f t="shared" si="109"/>
        <v>0_Pre</v>
      </c>
      <c r="Z374" s="10" t="str">
        <f t="shared" si="110"/>
        <v>0_Pre</v>
      </c>
      <c r="AA374" s="10" t="str">
        <f t="shared" si="115"/>
        <v>0_Pre</v>
      </c>
      <c r="AB374" s="10" t="str">
        <f t="shared" si="116"/>
        <v>0_Pre</v>
      </c>
      <c r="AC374" s="10" t="str">
        <f t="shared" si="117"/>
        <v>0_Pre</v>
      </c>
      <c r="AD374" s="10" t="str">
        <f t="shared" si="118"/>
        <v>1_pre sample median</v>
      </c>
      <c r="AE374" s="10" t="str">
        <f t="shared" si="119"/>
        <v>2_in sample second tertile</v>
      </c>
      <c r="AF374" t="s">
        <v>80</v>
      </c>
      <c r="AG374" t="s">
        <v>75</v>
      </c>
      <c r="AH374" t="s">
        <v>78</v>
      </c>
      <c r="AI374" t="s">
        <v>70</v>
      </c>
      <c r="AJ374" t="s">
        <v>70</v>
      </c>
      <c r="AK374" t="str">
        <f>VLOOKUP(MID($AR374,1,255),country_lookup!$B:$F,2,FALSE)</f>
        <v>99_NCE</v>
      </c>
      <c r="AL374" t="str">
        <f>VLOOKUP(MID($AR374,1,255),country_lookup!$B:$F,3,FALSE)</f>
        <v>99_NCE</v>
      </c>
      <c r="AM374" t="str">
        <f>VLOOKUP(MID($AR374,1,255),country_lookup!$B:$F,4,FALSE)</f>
        <v>99_NCE</v>
      </c>
      <c r="AN374" t="str">
        <f>VLOOKUP(MID($AR374,1,255),country_lookup!$B:$F,5,FALSE)</f>
        <v>99_NCE</v>
      </c>
      <c r="AO374" s="10" t="str">
        <f>VLOOKUP(MID($AS374,1,255),source_lookup!$B:$K,4,FALSE)</f>
        <v>0_published</v>
      </c>
      <c r="AP374" s="10" t="str">
        <f>VLOOKUP(MID($AS374,1,255),source_lookup!$B:$K,6,FALSE)</f>
        <v>1_VHB high</v>
      </c>
      <c r="AQ374" s="10" t="str">
        <f>VLOOKUP(MID($AS374,1,255),source_lookup!$B:$K,10,FALSE)</f>
        <v>1_fin/acc/econ</v>
      </c>
      <c r="AR374" t="s">
        <v>92</v>
      </c>
      <c r="AS374" t="s">
        <v>136</v>
      </c>
    </row>
    <row r="375" spans="1:45" x14ac:dyDescent="0.3">
      <c r="A375" t="s">
        <v>12</v>
      </c>
      <c r="B375">
        <v>374</v>
      </c>
      <c r="C375" s="1">
        <v>-4.8278204278854719E-3</v>
      </c>
      <c r="D375" s="2">
        <v>217</v>
      </c>
      <c r="E375" s="4">
        <v>19068</v>
      </c>
      <c r="F375" s="4" t="s">
        <v>347</v>
      </c>
      <c r="G375" s="4" t="s">
        <v>346</v>
      </c>
      <c r="H375" t="s">
        <v>77</v>
      </c>
      <c r="I375" t="s">
        <v>352</v>
      </c>
      <c r="J375" s="3">
        <v>2007</v>
      </c>
      <c r="K375" s="3">
        <v>2016</v>
      </c>
      <c r="L375" s="6">
        <f t="shared" si="111"/>
        <v>2011.5</v>
      </c>
      <c r="M375" s="6">
        <f t="shared" si="112"/>
        <v>2011.5</v>
      </c>
      <c r="N375" s="7">
        <f t="shared" si="100"/>
        <v>0.1</v>
      </c>
      <c r="O375" s="7">
        <f t="shared" si="101"/>
        <v>0</v>
      </c>
      <c r="P375" s="7">
        <f t="shared" si="102"/>
        <v>0</v>
      </c>
      <c r="Q375" s="7">
        <f t="shared" si="113"/>
        <v>0</v>
      </c>
      <c r="R375" s="10" t="str">
        <f t="shared" si="103"/>
        <v>0_Pre</v>
      </c>
      <c r="S375" s="10" t="str">
        <f t="shared" si="104"/>
        <v>0_Pre</v>
      </c>
      <c r="T375" s="10" t="str">
        <f t="shared" si="105"/>
        <v>0_Pre</v>
      </c>
      <c r="U375" s="10" t="str">
        <f t="shared" si="106"/>
        <v>1_Post</v>
      </c>
      <c r="V375" s="10" t="str">
        <f t="shared" si="114"/>
        <v>0_Pre</v>
      </c>
      <c r="W375" s="10" t="str">
        <f t="shared" si="107"/>
        <v>straddle</v>
      </c>
      <c r="X375" s="10" t="str">
        <f t="shared" si="108"/>
        <v>0_Pre</v>
      </c>
      <c r="Y375" s="10" t="str">
        <f t="shared" si="109"/>
        <v>0_Pre</v>
      </c>
      <c r="Z375" s="10" t="str">
        <f t="shared" si="110"/>
        <v>0_Pre</v>
      </c>
      <c r="AA375" s="10" t="str">
        <f t="shared" si="115"/>
        <v>0_Pre</v>
      </c>
      <c r="AB375" s="10" t="str">
        <f t="shared" si="116"/>
        <v>0_Pre</v>
      </c>
      <c r="AC375" s="10" t="str">
        <f t="shared" si="117"/>
        <v>0_Pre</v>
      </c>
      <c r="AD375" s="10" t="str">
        <f t="shared" si="118"/>
        <v>1_pre sample median</v>
      </c>
      <c r="AE375" s="10" t="str">
        <f t="shared" si="119"/>
        <v>2_in sample second tertile</v>
      </c>
      <c r="AF375" t="s">
        <v>80</v>
      </c>
      <c r="AG375" t="s">
        <v>75</v>
      </c>
      <c r="AH375" t="s">
        <v>78</v>
      </c>
      <c r="AI375" t="s">
        <v>70</v>
      </c>
      <c r="AJ375" t="s">
        <v>70</v>
      </c>
      <c r="AK375" t="str">
        <f>VLOOKUP(MID($AR375,1,255),country_lookup!$B:$F,2,FALSE)</f>
        <v>99_NCE</v>
      </c>
      <c r="AL375" t="str">
        <f>VLOOKUP(MID($AR375,1,255),country_lookup!$B:$F,3,FALSE)</f>
        <v>99_NCE</v>
      </c>
      <c r="AM375" t="str">
        <f>VLOOKUP(MID($AR375,1,255),country_lookup!$B:$F,4,FALSE)</f>
        <v>99_NCE</v>
      </c>
      <c r="AN375" t="str">
        <f>VLOOKUP(MID($AR375,1,255),country_lookup!$B:$F,5,FALSE)</f>
        <v>99_NCE</v>
      </c>
      <c r="AO375" s="10" t="str">
        <f>VLOOKUP(MID($AS375,1,255),source_lookup!$B:$K,4,FALSE)</f>
        <v>0_published</v>
      </c>
      <c r="AP375" s="10" t="str">
        <f>VLOOKUP(MID($AS375,1,255),source_lookup!$B:$K,6,FALSE)</f>
        <v>1_VHB high</v>
      </c>
      <c r="AQ375" s="10" t="str">
        <f>VLOOKUP(MID($AS375,1,255),source_lookup!$B:$K,10,FALSE)</f>
        <v>1_fin/acc/econ</v>
      </c>
      <c r="AR375" t="s">
        <v>92</v>
      </c>
      <c r="AS375" t="s">
        <v>136</v>
      </c>
    </row>
    <row r="376" spans="1:45" x14ac:dyDescent="0.3">
      <c r="A376" t="s">
        <v>12</v>
      </c>
      <c r="B376">
        <v>375</v>
      </c>
      <c r="C376" s="1">
        <v>-0.29261539344910081</v>
      </c>
      <c r="D376" s="2">
        <v>217</v>
      </c>
      <c r="E376" s="4">
        <v>19068</v>
      </c>
      <c r="F376" s="4" t="s">
        <v>347</v>
      </c>
      <c r="G376" s="4" t="s">
        <v>346</v>
      </c>
      <c r="H376" t="s">
        <v>77</v>
      </c>
      <c r="I376" t="s">
        <v>352</v>
      </c>
      <c r="J376" s="3">
        <v>2007</v>
      </c>
      <c r="K376" s="3">
        <v>2016</v>
      </c>
      <c r="L376" s="6">
        <f t="shared" si="111"/>
        <v>2011.5</v>
      </c>
      <c r="M376" s="6">
        <f t="shared" si="112"/>
        <v>2011.5</v>
      </c>
      <c r="N376" s="7">
        <f t="shared" si="100"/>
        <v>0.1</v>
      </c>
      <c r="O376" s="7">
        <f t="shared" si="101"/>
        <v>0</v>
      </c>
      <c r="P376" s="7">
        <f t="shared" si="102"/>
        <v>0</v>
      </c>
      <c r="Q376" s="7">
        <f t="shared" si="113"/>
        <v>0</v>
      </c>
      <c r="R376" s="10" t="str">
        <f t="shared" si="103"/>
        <v>0_Pre</v>
      </c>
      <c r="S376" s="10" t="str">
        <f t="shared" si="104"/>
        <v>0_Pre</v>
      </c>
      <c r="T376" s="10" t="str">
        <f t="shared" si="105"/>
        <v>0_Pre</v>
      </c>
      <c r="U376" s="10" t="str">
        <f t="shared" si="106"/>
        <v>1_Post</v>
      </c>
      <c r="V376" s="10" t="str">
        <f t="shared" si="114"/>
        <v>0_Pre</v>
      </c>
      <c r="W376" s="10" t="str">
        <f t="shared" si="107"/>
        <v>straddle</v>
      </c>
      <c r="X376" s="10" t="str">
        <f t="shared" si="108"/>
        <v>0_Pre</v>
      </c>
      <c r="Y376" s="10" t="str">
        <f t="shared" si="109"/>
        <v>0_Pre</v>
      </c>
      <c r="Z376" s="10" t="str">
        <f t="shared" si="110"/>
        <v>0_Pre</v>
      </c>
      <c r="AA376" s="10" t="str">
        <f t="shared" si="115"/>
        <v>0_Pre</v>
      </c>
      <c r="AB376" s="10" t="str">
        <f t="shared" si="116"/>
        <v>0_Pre</v>
      </c>
      <c r="AC376" s="10" t="str">
        <f t="shared" si="117"/>
        <v>0_Pre</v>
      </c>
      <c r="AD376" s="10" t="str">
        <f t="shared" si="118"/>
        <v>1_pre sample median</v>
      </c>
      <c r="AE376" s="10" t="str">
        <f t="shared" si="119"/>
        <v>2_in sample second tertile</v>
      </c>
      <c r="AF376" t="s">
        <v>80</v>
      </c>
      <c r="AG376" t="s">
        <v>75</v>
      </c>
      <c r="AH376" t="s">
        <v>78</v>
      </c>
      <c r="AI376" t="s">
        <v>70</v>
      </c>
      <c r="AJ376" t="s">
        <v>70</v>
      </c>
      <c r="AK376" t="str">
        <f>VLOOKUP(MID($AR376,1,255),country_lookup!$B:$F,2,FALSE)</f>
        <v>99_NCE</v>
      </c>
      <c r="AL376" t="str">
        <f>VLOOKUP(MID($AR376,1,255),country_lookup!$B:$F,3,FALSE)</f>
        <v>99_NCE</v>
      </c>
      <c r="AM376" t="str">
        <f>VLOOKUP(MID($AR376,1,255),country_lookup!$B:$F,4,FALSE)</f>
        <v>99_NCE</v>
      </c>
      <c r="AN376" t="str">
        <f>VLOOKUP(MID($AR376,1,255),country_lookup!$B:$F,5,FALSE)</f>
        <v>99_NCE</v>
      </c>
      <c r="AO376" s="10" t="str">
        <f>VLOOKUP(MID($AS376,1,255),source_lookup!$B:$K,4,FALSE)</f>
        <v>0_published</v>
      </c>
      <c r="AP376" s="10" t="str">
        <f>VLOOKUP(MID($AS376,1,255),source_lookup!$B:$K,6,FALSE)</f>
        <v>1_VHB high</v>
      </c>
      <c r="AQ376" s="10" t="str">
        <f>VLOOKUP(MID($AS376,1,255),source_lookup!$B:$K,10,FALSE)</f>
        <v>1_fin/acc/econ</v>
      </c>
      <c r="AR376" t="s">
        <v>92</v>
      </c>
      <c r="AS376" t="s">
        <v>136</v>
      </c>
    </row>
    <row r="377" spans="1:45" x14ac:dyDescent="0.3">
      <c r="A377" t="s">
        <v>12</v>
      </c>
      <c r="B377">
        <v>376</v>
      </c>
      <c r="C377" s="1">
        <v>-8.3189532058571145E-2</v>
      </c>
      <c r="D377" s="2">
        <v>217</v>
      </c>
      <c r="E377" s="4">
        <v>19068</v>
      </c>
      <c r="F377" s="4" t="s">
        <v>347</v>
      </c>
      <c r="G377" s="4" t="s">
        <v>346</v>
      </c>
      <c r="H377" t="s">
        <v>77</v>
      </c>
      <c r="I377" t="s">
        <v>352</v>
      </c>
      <c r="J377" s="3">
        <v>2007</v>
      </c>
      <c r="K377" s="3">
        <v>2016</v>
      </c>
      <c r="L377" s="6">
        <f t="shared" si="111"/>
        <v>2011.5</v>
      </c>
      <c r="M377" s="6">
        <f t="shared" si="112"/>
        <v>2011.5</v>
      </c>
      <c r="N377" s="7">
        <f t="shared" si="100"/>
        <v>0.1</v>
      </c>
      <c r="O377" s="7">
        <f t="shared" si="101"/>
        <v>0</v>
      </c>
      <c r="P377" s="7">
        <f t="shared" si="102"/>
        <v>0</v>
      </c>
      <c r="Q377" s="7">
        <f t="shared" si="113"/>
        <v>0</v>
      </c>
      <c r="R377" s="10" t="str">
        <f t="shared" si="103"/>
        <v>0_Pre</v>
      </c>
      <c r="S377" s="10" t="str">
        <f t="shared" si="104"/>
        <v>0_Pre</v>
      </c>
      <c r="T377" s="10" t="str">
        <f t="shared" si="105"/>
        <v>0_Pre</v>
      </c>
      <c r="U377" s="10" t="str">
        <f t="shared" si="106"/>
        <v>1_Post</v>
      </c>
      <c r="V377" s="10" t="str">
        <f t="shared" si="114"/>
        <v>0_Pre</v>
      </c>
      <c r="W377" s="10" t="str">
        <f t="shared" si="107"/>
        <v>straddle</v>
      </c>
      <c r="X377" s="10" t="str">
        <f t="shared" si="108"/>
        <v>0_Pre</v>
      </c>
      <c r="Y377" s="10" t="str">
        <f t="shared" si="109"/>
        <v>0_Pre</v>
      </c>
      <c r="Z377" s="10" t="str">
        <f t="shared" si="110"/>
        <v>0_Pre</v>
      </c>
      <c r="AA377" s="10" t="str">
        <f t="shared" si="115"/>
        <v>0_Pre</v>
      </c>
      <c r="AB377" s="10" t="str">
        <f t="shared" si="116"/>
        <v>0_Pre</v>
      </c>
      <c r="AC377" s="10" t="str">
        <f t="shared" si="117"/>
        <v>0_Pre</v>
      </c>
      <c r="AD377" s="10" t="str">
        <f t="shared" si="118"/>
        <v>1_pre sample median</v>
      </c>
      <c r="AE377" s="10" t="str">
        <f t="shared" si="119"/>
        <v>2_in sample second tertile</v>
      </c>
      <c r="AF377" t="s">
        <v>80</v>
      </c>
      <c r="AG377" t="s">
        <v>75</v>
      </c>
      <c r="AH377" t="s">
        <v>78</v>
      </c>
      <c r="AI377" t="s">
        <v>70</v>
      </c>
      <c r="AJ377" t="s">
        <v>70</v>
      </c>
      <c r="AK377" t="str">
        <f>VLOOKUP(MID($AR377,1,255),country_lookup!$B:$F,2,FALSE)</f>
        <v>99_NCE</v>
      </c>
      <c r="AL377" t="str">
        <f>VLOOKUP(MID($AR377,1,255),country_lookup!$B:$F,3,FALSE)</f>
        <v>99_NCE</v>
      </c>
      <c r="AM377" t="str">
        <f>VLOOKUP(MID($AR377,1,255),country_lookup!$B:$F,4,FALSE)</f>
        <v>99_NCE</v>
      </c>
      <c r="AN377" t="str">
        <f>VLOOKUP(MID($AR377,1,255),country_lookup!$B:$F,5,FALSE)</f>
        <v>99_NCE</v>
      </c>
      <c r="AO377" s="10" t="str">
        <f>VLOOKUP(MID($AS377,1,255),source_lookup!$B:$K,4,FALSE)</f>
        <v>0_published</v>
      </c>
      <c r="AP377" s="10" t="str">
        <f>VLOOKUP(MID($AS377,1,255),source_lookup!$B:$K,6,FALSE)</f>
        <v>1_VHB high</v>
      </c>
      <c r="AQ377" s="10" t="str">
        <f>VLOOKUP(MID($AS377,1,255),source_lookup!$B:$K,10,FALSE)</f>
        <v>1_fin/acc/econ</v>
      </c>
      <c r="AR377" t="s">
        <v>92</v>
      </c>
      <c r="AS377" t="s">
        <v>136</v>
      </c>
    </row>
    <row r="378" spans="1:45" x14ac:dyDescent="0.3">
      <c r="A378" t="s">
        <v>12</v>
      </c>
      <c r="B378">
        <v>377</v>
      </c>
      <c r="C378" s="1">
        <v>-6.7218632199384162E-2</v>
      </c>
      <c r="D378" s="2">
        <v>217</v>
      </c>
      <c r="E378" s="4">
        <v>18286</v>
      </c>
      <c r="F378" s="4" t="s">
        <v>347</v>
      </c>
      <c r="G378" s="4" t="s">
        <v>346</v>
      </c>
      <c r="H378" t="s">
        <v>77</v>
      </c>
      <c r="I378" t="s">
        <v>352</v>
      </c>
      <c r="J378" s="3">
        <v>2007</v>
      </c>
      <c r="K378" s="3">
        <v>2016</v>
      </c>
      <c r="L378" s="6">
        <f t="shared" si="111"/>
        <v>2011.5</v>
      </c>
      <c r="M378" s="6">
        <f t="shared" si="112"/>
        <v>2011.5</v>
      </c>
      <c r="N378" s="7">
        <f t="shared" si="100"/>
        <v>0.1</v>
      </c>
      <c r="O378" s="7">
        <f t="shared" si="101"/>
        <v>0</v>
      </c>
      <c r="P378" s="7">
        <f t="shared" si="102"/>
        <v>0</v>
      </c>
      <c r="Q378" s="7">
        <f t="shared" si="113"/>
        <v>0</v>
      </c>
      <c r="R378" s="10" t="str">
        <f t="shared" si="103"/>
        <v>0_Pre</v>
      </c>
      <c r="S378" s="10" t="str">
        <f t="shared" si="104"/>
        <v>0_Pre</v>
      </c>
      <c r="T378" s="10" t="str">
        <f t="shared" si="105"/>
        <v>0_Pre</v>
      </c>
      <c r="U378" s="10" t="str">
        <f t="shared" si="106"/>
        <v>1_Post</v>
      </c>
      <c r="V378" s="10" t="str">
        <f t="shared" si="114"/>
        <v>0_Pre</v>
      </c>
      <c r="W378" s="10" t="str">
        <f t="shared" si="107"/>
        <v>straddle</v>
      </c>
      <c r="X378" s="10" t="str">
        <f t="shared" si="108"/>
        <v>0_Pre</v>
      </c>
      <c r="Y378" s="10" t="str">
        <f t="shared" si="109"/>
        <v>0_Pre</v>
      </c>
      <c r="Z378" s="10" t="str">
        <f t="shared" si="110"/>
        <v>0_Pre</v>
      </c>
      <c r="AA378" s="10" t="str">
        <f t="shared" si="115"/>
        <v>0_Pre</v>
      </c>
      <c r="AB378" s="10" t="str">
        <f t="shared" si="116"/>
        <v>0_Pre</v>
      </c>
      <c r="AC378" s="10" t="str">
        <f t="shared" si="117"/>
        <v>0_Pre</v>
      </c>
      <c r="AD378" s="10" t="str">
        <f t="shared" si="118"/>
        <v>1_pre sample median</v>
      </c>
      <c r="AE378" s="10" t="str">
        <f t="shared" si="119"/>
        <v>2_in sample second tertile</v>
      </c>
      <c r="AF378" t="s">
        <v>80</v>
      </c>
      <c r="AG378" t="s">
        <v>75</v>
      </c>
      <c r="AH378" t="s">
        <v>78</v>
      </c>
      <c r="AI378" t="s">
        <v>70</v>
      </c>
      <c r="AJ378" t="s">
        <v>70</v>
      </c>
      <c r="AK378" t="str">
        <f>VLOOKUP(MID($AR378,1,255),country_lookup!$B:$F,2,FALSE)</f>
        <v>99_NCE</v>
      </c>
      <c r="AL378" t="str">
        <f>VLOOKUP(MID($AR378,1,255),country_lookup!$B:$F,3,FALSE)</f>
        <v>99_NCE</v>
      </c>
      <c r="AM378" t="str">
        <f>VLOOKUP(MID($AR378,1,255),country_lookup!$B:$F,4,FALSE)</f>
        <v>99_NCE</v>
      </c>
      <c r="AN378" t="str">
        <f>VLOOKUP(MID($AR378,1,255),country_lookup!$B:$F,5,FALSE)</f>
        <v>99_NCE</v>
      </c>
      <c r="AO378" s="10" t="str">
        <f>VLOOKUP(MID($AS378,1,255),source_lookup!$B:$K,4,FALSE)</f>
        <v>0_published</v>
      </c>
      <c r="AP378" s="10" t="str">
        <f>VLOOKUP(MID($AS378,1,255),source_lookup!$B:$K,6,FALSE)</f>
        <v>1_VHB high</v>
      </c>
      <c r="AQ378" s="10" t="str">
        <f>VLOOKUP(MID($AS378,1,255),source_lookup!$B:$K,10,FALSE)</f>
        <v>1_fin/acc/econ</v>
      </c>
      <c r="AR378" t="s">
        <v>92</v>
      </c>
      <c r="AS378" t="s">
        <v>136</v>
      </c>
    </row>
    <row r="379" spans="1:45" x14ac:dyDescent="0.3">
      <c r="A379" t="s">
        <v>12</v>
      </c>
      <c r="B379">
        <v>378</v>
      </c>
      <c r="C379" s="1">
        <v>-1.5185218972301863E-2</v>
      </c>
      <c r="D379" s="2">
        <v>217</v>
      </c>
      <c r="E379" s="4">
        <v>18286</v>
      </c>
      <c r="F379" s="4" t="s">
        <v>347</v>
      </c>
      <c r="G379" s="4" t="s">
        <v>346</v>
      </c>
      <c r="H379" t="s">
        <v>77</v>
      </c>
      <c r="I379" t="s">
        <v>352</v>
      </c>
      <c r="J379" s="3">
        <v>2007</v>
      </c>
      <c r="K379" s="3">
        <v>2016</v>
      </c>
      <c r="L379" s="6">
        <f t="shared" si="111"/>
        <v>2011.5</v>
      </c>
      <c r="M379" s="6">
        <f t="shared" si="112"/>
        <v>2011.5</v>
      </c>
      <c r="N379" s="7">
        <f t="shared" si="100"/>
        <v>0.1</v>
      </c>
      <c r="O379" s="7">
        <f t="shared" si="101"/>
        <v>0</v>
      </c>
      <c r="P379" s="7">
        <f t="shared" si="102"/>
        <v>0</v>
      </c>
      <c r="Q379" s="7">
        <f t="shared" si="113"/>
        <v>0</v>
      </c>
      <c r="R379" s="10" t="str">
        <f t="shared" si="103"/>
        <v>0_Pre</v>
      </c>
      <c r="S379" s="10" t="str">
        <f t="shared" si="104"/>
        <v>0_Pre</v>
      </c>
      <c r="T379" s="10" t="str">
        <f t="shared" si="105"/>
        <v>0_Pre</v>
      </c>
      <c r="U379" s="10" t="str">
        <f t="shared" si="106"/>
        <v>1_Post</v>
      </c>
      <c r="V379" s="10" t="str">
        <f t="shared" si="114"/>
        <v>0_Pre</v>
      </c>
      <c r="W379" s="10" t="str">
        <f t="shared" si="107"/>
        <v>straddle</v>
      </c>
      <c r="X379" s="10" t="str">
        <f t="shared" si="108"/>
        <v>0_Pre</v>
      </c>
      <c r="Y379" s="10" t="str">
        <f t="shared" si="109"/>
        <v>0_Pre</v>
      </c>
      <c r="Z379" s="10" t="str">
        <f t="shared" si="110"/>
        <v>0_Pre</v>
      </c>
      <c r="AA379" s="10" t="str">
        <f t="shared" si="115"/>
        <v>0_Pre</v>
      </c>
      <c r="AB379" s="10" t="str">
        <f t="shared" si="116"/>
        <v>0_Pre</v>
      </c>
      <c r="AC379" s="10" t="str">
        <f t="shared" si="117"/>
        <v>0_Pre</v>
      </c>
      <c r="AD379" s="10" t="str">
        <f t="shared" si="118"/>
        <v>1_pre sample median</v>
      </c>
      <c r="AE379" s="10" t="str">
        <f t="shared" si="119"/>
        <v>2_in sample second tertile</v>
      </c>
      <c r="AF379" t="s">
        <v>80</v>
      </c>
      <c r="AG379" t="s">
        <v>75</v>
      </c>
      <c r="AH379" t="s">
        <v>78</v>
      </c>
      <c r="AI379" t="s">
        <v>70</v>
      </c>
      <c r="AJ379" t="s">
        <v>70</v>
      </c>
      <c r="AK379" t="str">
        <f>VLOOKUP(MID($AR379,1,255),country_lookup!$B:$F,2,FALSE)</f>
        <v>99_NCE</v>
      </c>
      <c r="AL379" t="str">
        <f>VLOOKUP(MID($AR379,1,255),country_lookup!$B:$F,3,FALSE)</f>
        <v>99_NCE</v>
      </c>
      <c r="AM379" t="str">
        <f>VLOOKUP(MID($AR379,1,255),country_lookup!$B:$F,4,FALSE)</f>
        <v>99_NCE</v>
      </c>
      <c r="AN379" t="str">
        <f>VLOOKUP(MID($AR379,1,255),country_lookup!$B:$F,5,FALSE)</f>
        <v>99_NCE</v>
      </c>
      <c r="AO379" s="10" t="str">
        <f>VLOOKUP(MID($AS379,1,255),source_lookup!$B:$K,4,FALSE)</f>
        <v>0_published</v>
      </c>
      <c r="AP379" s="10" t="str">
        <f>VLOOKUP(MID($AS379,1,255),source_lookup!$B:$K,6,FALSE)</f>
        <v>1_VHB high</v>
      </c>
      <c r="AQ379" s="10" t="str">
        <f>VLOOKUP(MID($AS379,1,255),source_lookup!$B:$K,10,FALSE)</f>
        <v>1_fin/acc/econ</v>
      </c>
      <c r="AR379" t="s">
        <v>92</v>
      </c>
      <c r="AS379" t="s">
        <v>136</v>
      </c>
    </row>
    <row r="380" spans="1:45" x14ac:dyDescent="0.3">
      <c r="A380" t="s">
        <v>12</v>
      </c>
      <c r="B380">
        <v>379</v>
      </c>
      <c r="C380" s="1">
        <v>-5.2092854315816846E-2</v>
      </c>
      <c r="D380" s="2">
        <v>217</v>
      </c>
      <c r="E380" s="4">
        <v>18286</v>
      </c>
      <c r="F380" s="4" t="s">
        <v>347</v>
      </c>
      <c r="G380" s="4" t="s">
        <v>346</v>
      </c>
      <c r="H380" t="s">
        <v>77</v>
      </c>
      <c r="I380" t="s">
        <v>352</v>
      </c>
      <c r="J380" s="3">
        <v>2007</v>
      </c>
      <c r="K380" s="3">
        <v>2016</v>
      </c>
      <c r="L380" s="6">
        <f t="shared" si="111"/>
        <v>2011.5</v>
      </c>
      <c r="M380" s="6">
        <f t="shared" si="112"/>
        <v>2011.5</v>
      </c>
      <c r="N380" s="7">
        <f t="shared" si="100"/>
        <v>0.1</v>
      </c>
      <c r="O380" s="7">
        <f t="shared" si="101"/>
        <v>0</v>
      </c>
      <c r="P380" s="7">
        <f t="shared" si="102"/>
        <v>0</v>
      </c>
      <c r="Q380" s="7">
        <f t="shared" si="113"/>
        <v>0</v>
      </c>
      <c r="R380" s="10" t="str">
        <f t="shared" si="103"/>
        <v>0_Pre</v>
      </c>
      <c r="S380" s="10" t="str">
        <f t="shared" si="104"/>
        <v>0_Pre</v>
      </c>
      <c r="T380" s="10" t="str">
        <f t="shared" si="105"/>
        <v>0_Pre</v>
      </c>
      <c r="U380" s="10" t="str">
        <f t="shared" si="106"/>
        <v>1_Post</v>
      </c>
      <c r="V380" s="10" t="str">
        <f t="shared" si="114"/>
        <v>0_Pre</v>
      </c>
      <c r="W380" s="10" t="str">
        <f t="shared" si="107"/>
        <v>straddle</v>
      </c>
      <c r="X380" s="10" t="str">
        <f t="shared" si="108"/>
        <v>0_Pre</v>
      </c>
      <c r="Y380" s="10" t="str">
        <f t="shared" si="109"/>
        <v>0_Pre</v>
      </c>
      <c r="Z380" s="10" t="str">
        <f t="shared" si="110"/>
        <v>0_Pre</v>
      </c>
      <c r="AA380" s="10" t="str">
        <f t="shared" si="115"/>
        <v>0_Pre</v>
      </c>
      <c r="AB380" s="10" t="str">
        <f t="shared" si="116"/>
        <v>0_Pre</v>
      </c>
      <c r="AC380" s="10" t="str">
        <f t="shared" si="117"/>
        <v>0_Pre</v>
      </c>
      <c r="AD380" s="10" t="str">
        <f t="shared" si="118"/>
        <v>1_pre sample median</v>
      </c>
      <c r="AE380" s="10" t="str">
        <f t="shared" si="119"/>
        <v>2_in sample second tertile</v>
      </c>
      <c r="AF380" t="s">
        <v>80</v>
      </c>
      <c r="AG380" t="s">
        <v>75</v>
      </c>
      <c r="AH380" t="s">
        <v>78</v>
      </c>
      <c r="AI380" t="s">
        <v>70</v>
      </c>
      <c r="AJ380" t="s">
        <v>70</v>
      </c>
      <c r="AK380" t="str">
        <f>VLOOKUP(MID($AR380,1,255),country_lookup!$B:$F,2,FALSE)</f>
        <v>99_NCE</v>
      </c>
      <c r="AL380" t="str">
        <f>VLOOKUP(MID($AR380,1,255),country_lookup!$B:$F,3,FALSE)</f>
        <v>99_NCE</v>
      </c>
      <c r="AM380" t="str">
        <f>VLOOKUP(MID($AR380,1,255),country_lookup!$B:$F,4,FALSE)</f>
        <v>99_NCE</v>
      </c>
      <c r="AN380" t="str">
        <f>VLOOKUP(MID($AR380,1,255),country_lookup!$B:$F,5,FALSE)</f>
        <v>99_NCE</v>
      </c>
      <c r="AO380" s="10" t="str">
        <f>VLOOKUP(MID($AS380,1,255),source_lookup!$B:$K,4,FALSE)</f>
        <v>0_published</v>
      </c>
      <c r="AP380" s="10" t="str">
        <f>VLOOKUP(MID($AS380,1,255),source_lookup!$B:$K,6,FALSE)</f>
        <v>1_VHB high</v>
      </c>
      <c r="AQ380" s="10" t="str">
        <f>VLOOKUP(MID($AS380,1,255),source_lookup!$B:$K,10,FALSE)</f>
        <v>1_fin/acc/econ</v>
      </c>
      <c r="AR380" t="s">
        <v>92</v>
      </c>
      <c r="AS380" t="s">
        <v>136</v>
      </c>
    </row>
    <row r="381" spans="1:45" x14ac:dyDescent="0.3">
      <c r="A381" t="s">
        <v>12</v>
      </c>
      <c r="B381">
        <v>380</v>
      </c>
      <c r="C381" s="1">
        <v>-1.1515237378017931E-2</v>
      </c>
      <c r="D381" s="2">
        <v>217</v>
      </c>
      <c r="E381" s="4">
        <v>18286</v>
      </c>
      <c r="F381" s="4" t="s">
        <v>347</v>
      </c>
      <c r="G381" s="4" t="s">
        <v>346</v>
      </c>
      <c r="H381" t="s">
        <v>77</v>
      </c>
      <c r="I381" t="s">
        <v>352</v>
      </c>
      <c r="J381" s="3">
        <v>2007</v>
      </c>
      <c r="K381" s="3">
        <v>2016</v>
      </c>
      <c r="L381" s="6">
        <f t="shared" si="111"/>
        <v>2011.5</v>
      </c>
      <c r="M381" s="6">
        <f t="shared" si="112"/>
        <v>2011.5</v>
      </c>
      <c r="N381" s="7">
        <f t="shared" si="100"/>
        <v>0.1</v>
      </c>
      <c r="O381" s="7">
        <f t="shared" si="101"/>
        <v>0</v>
      </c>
      <c r="P381" s="7">
        <f t="shared" si="102"/>
        <v>0</v>
      </c>
      <c r="Q381" s="7">
        <f t="shared" si="113"/>
        <v>0</v>
      </c>
      <c r="R381" s="10" t="str">
        <f t="shared" si="103"/>
        <v>0_Pre</v>
      </c>
      <c r="S381" s="10" t="str">
        <f t="shared" si="104"/>
        <v>0_Pre</v>
      </c>
      <c r="T381" s="10" t="str">
        <f t="shared" si="105"/>
        <v>0_Pre</v>
      </c>
      <c r="U381" s="10" t="str">
        <f t="shared" si="106"/>
        <v>1_Post</v>
      </c>
      <c r="V381" s="10" t="str">
        <f t="shared" si="114"/>
        <v>0_Pre</v>
      </c>
      <c r="W381" s="10" t="str">
        <f t="shared" si="107"/>
        <v>straddle</v>
      </c>
      <c r="X381" s="10" t="str">
        <f t="shared" si="108"/>
        <v>0_Pre</v>
      </c>
      <c r="Y381" s="10" t="str">
        <f t="shared" si="109"/>
        <v>0_Pre</v>
      </c>
      <c r="Z381" s="10" t="str">
        <f t="shared" si="110"/>
        <v>0_Pre</v>
      </c>
      <c r="AA381" s="10" t="str">
        <f t="shared" si="115"/>
        <v>0_Pre</v>
      </c>
      <c r="AB381" s="10" t="str">
        <f t="shared" si="116"/>
        <v>0_Pre</v>
      </c>
      <c r="AC381" s="10" t="str">
        <f t="shared" si="117"/>
        <v>0_Pre</v>
      </c>
      <c r="AD381" s="10" t="str">
        <f t="shared" si="118"/>
        <v>1_pre sample median</v>
      </c>
      <c r="AE381" s="10" t="str">
        <f t="shared" si="119"/>
        <v>2_in sample second tertile</v>
      </c>
      <c r="AF381" t="s">
        <v>80</v>
      </c>
      <c r="AG381" t="s">
        <v>75</v>
      </c>
      <c r="AH381" t="s">
        <v>78</v>
      </c>
      <c r="AI381" t="s">
        <v>70</v>
      </c>
      <c r="AJ381" t="s">
        <v>70</v>
      </c>
      <c r="AK381" t="str">
        <f>VLOOKUP(MID($AR381,1,255),country_lookup!$B:$F,2,FALSE)</f>
        <v>99_NCE</v>
      </c>
      <c r="AL381" t="str">
        <f>VLOOKUP(MID($AR381,1,255),country_lookup!$B:$F,3,FALSE)</f>
        <v>99_NCE</v>
      </c>
      <c r="AM381" t="str">
        <f>VLOOKUP(MID($AR381,1,255),country_lookup!$B:$F,4,FALSE)</f>
        <v>99_NCE</v>
      </c>
      <c r="AN381" t="str">
        <f>VLOOKUP(MID($AR381,1,255),country_lookup!$B:$F,5,FALSE)</f>
        <v>99_NCE</v>
      </c>
      <c r="AO381" s="10" t="str">
        <f>VLOOKUP(MID($AS381,1,255),source_lookup!$B:$K,4,FALSE)</f>
        <v>0_published</v>
      </c>
      <c r="AP381" s="10" t="str">
        <f>VLOOKUP(MID($AS381,1,255),source_lookup!$B:$K,6,FALSE)</f>
        <v>1_VHB high</v>
      </c>
      <c r="AQ381" s="10" t="str">
        <f>VLOOKUP(MID($AS381,1,255),source_lookup!$B:$K,10,FALSE)</f>
        <v>1_fin/acc/econ</v>
      </c>
      <c r="AR381" t="s">
        <v>92</v>
      </c>
      <c r="AS381" t="s">
        <v>136</v>
      </c>
    </row>
    <row r="382" spans="1:45" x14ac:dyDescent="0.3">
      <c r="A382" t="s">
        <v>12</v>
      </c>
      <c r="B382">
        <v>381</v>
      </c>
      <c r="C382" s="1">
        <v>-0.15025705495558317</v>
      </c>
      <c r="D382" s="2">
        <v>217</v>
      </c>
      <c r="E382" s="4">
        <v>18286</v>
      </c>
      <c r="F382" s="4" t="s">
        <v>347</v>
      </c>
      <c r="G382" s="4" t="s">
        <v>346</v>
      </c>
      <c r="H382" t="s">
        <v>77</v>
      </c>
      <c r="I382" t="s">
        <v>352</v>
      </c>
      <c r="J382" s="3">
        <v>2007</v>
      </c>
      <c r="K382" s="3">
        <v>2016</v>
      </c>
      <c r="L382" s="6">
        <f t="shared" si="111"/>
        <v>2011.5</v>
      </c>
      <c r="M382" s="6">
        <f t="shared" si="112"/>
        <v>2011.5</v>
      </c>
      <c r="N382" s="7">
        <f t="shared" si="100"/>
        <v>0.1</v>
      </c>
      <c r="O382" s="7">
        <f t="shared" si="101"/>
        <v>0</v>
      </c>
      <c r="P382" s="7">
        <f t="shared" si="102"/>
        <v>0</v>
      </c>
      <c r="Q382" s="7">
        <f t="shared" si="113"/>
        <v>0</v>
      </c>
      <c r="R382" s="10" t="str">
        <f t="shared" si="103"/>
        <v>0_Pre</v>
      </c>
      <c r="S382" s="10" t="str">
        <f t="shared" si="104"/>
        <v>0_Pre</v>
      </c>
      <c r="T382" s="10" t="str">
        <f t="shared" si="105"/>
        <v>0_Pre</v>
      </c>
      <c r="U382" s="10" t="str">
        <f t="shared" si="106"/>
        <v>1_Post</v>
      </c>
      <c r="V382" s="10" t="str">
        <f t="shared" si="114"/>
        <v>0_Pre</v>
      </c>
      <c r="W382" s="10" t="str">
        <f t="shared" si="107"/>
        <v>straddle</v>
      </c>
      <c r="X382" s="10" t="str">
        <f t="shared" si="108"/>
        <v>0_Pre</v>
      </c>
      <c r="Y382" s="10" t="str">
        <f t="shared" si="109"/>
        <v>0_Pre</v>
      </c>
      <c r="Z382" s="10" t="str">
        <f t="shared" si="110"/>
        <v>0_Pre</v>
      </c>
      <c r="AA382" s="10" t="str">
        <f t="shared" si="115"/>
        <v>0_Pre</v>
      </c>
      <c r="AB382" s="10" t="str">
        <f t="shared" si="116"/>
        <v>0_Pre</v>
      </c>
      <c r="AC382" s="10" t="str">
        <f t="shared" si="117"/>
        <v>0_Pre</v>
      </c>
      <c r="AD382" s="10" t="str">
        <f t="shared" si="118"/>
        <v>1_pre sample median</v>
      </c>
      <c r="AE382" s="10" t="str">
        <f t="shared" si="119"/>
        <v>2_in sample second tertile</v>
      </c>
      <c r="AF382" t="s">
        <v>80</v>
      </c>
      <c r="AG382" t="s">
        <v>75</v>
      </c>
      <c r="AH382" t="s">
        <v>78</v>
      </c>
      <c r="AI382" t="s">
        <v>70</v>
      </c>
      <c r="AJ382" t="s">
        <v>70</v>
      </c>
      <c r="AK382" t="str">
        <f>VLOOKUP(MID($AR382,1,255),country_lookup!$B:$F,2,FALSE)</f>
        <v>99_NCE</v>
      </c>
      <c r="AL382" t="str">
        <f>VLOOKUP(MID($AR382,1,255),country_lookup!$B:$F,3,FALSE)</f>
        <v>99_NCE</v>
      </c>
      <c r="AM382" t="str">
        <f>VLOOKUP(MID($AR382,1,255),country_lookup!$B:$F,4,FALSE)</f>
        <v>99_NCE</v>
      </c>
      <c r="AN382" t="str">
        <f>VLOOKUP(MID($AR382,1,255),country_lookup!$B:$F,5,FALSE)</f>
        <v>99_NCE</v>
      </c>
      <c r="AO382" s="10" t="str">
        <f>VLOOKUP(MID($AS382,1,255),source_lookup!$B:$K,4,FALSE)</f>
        <v>0_published</v>
      </c>
      <c r="AP382" s="10" t="str">
        <f>VLOOKUP(MID($AS382,1,255),source_lookup!$B:$K,6,FALSE)</f>
        <v>1_VHB high</v>
      </c>
      <c r="AQ382" s="10" t="str">
        <f>VLOOKUP(MID($AS382,1,255),source_lookup!$B:$K,10,FALSE)</f>
        <v>1_fin/acc/econ</v>
      </c>
      <c r="AR382" t="s">
        <v>92</v>
      </c>
      <c r="AS382" t="s">
        <v>136</v>
      </c>
    </row>
    <row r="383" spans="1:45" x14ac:dyDescent="0.3">
      <c r="A383" t="s">
        <v>12</v>
      </c>
      <c r="B383">
        <v>382</v>
      </c>
      <c r="C383" s="1">
        <v>-6.0674065023887482E-2</v>
      </c>
      <c r="D383" s="2">
        <v>217</v>
      </c>
      <c r="E383" s="4">
        <v>18286</v>
      </c>
      <c r="F383" s="4" t="s">
        <v>347</v>
      </c>
      <c r="G383" s="4" t="s">
        <v>346</v>
      </c>
      <c r="H383" t="s">
        <v>77</v>
      </c>
      <c r="I383" t="s">
        <v>352</v>
      </c>
      <c r="J383" s="3">
        <v>2007</v>
      </c>
      <c r="K383" s="3">
        <v>2016</v>
      </c>
      <c r="L383" s="6">
        <f t="shared" si="111"/>
        <v>2011.5</v>
      </c>
      <c r="M383" s="6">
        <f t="shared" si="112"/>
        <v>2011.5</v>
      </c>
      <c r="N383" s="7">
        <f t="shared" si="100"/>
        <v>0.1</v>
      </c>
      <c r="O383" s="7">
        <f t="shared" si="101"/>
        <v>0</v>
      </c>
      <c r="P383" s="7">
        <f t="shared" si="102"/>
        <v>0</v>
      </c>
      <c r="Q383" s="7">
        <f t="shared" si="113"/>
        <v>0</v>
      </c>
      <c r="R383" s="10" t="str">
        <f t="shared" si="103"/>
        <v>0_Pre</v>
      </c>
      <c r="S383" s="10" t="str">
        <f t="shared" si="104"/>
        <v>0_Pre</v>
      </c>
      <c r="T383" s="10" t="str">
        <f t="shared" si="105"/>
        <v>0_Pre</v>
      </c>
      <c r="U383" s="10" t="str">
        <f t="shared" si="106"/>
        <v>1_Post</v>
      </c>
      <c r="V383" s="10" t="str">
        <f t="shared" si="114"/>
        <v>0_Pre</v>
      </c>
      <c r="W383" s="10" t="str">
        <f t="shared" si="107"/>
        <v>straddle</v>
      </c>
      <c r="X383" s="10" t="str">
        <f t="shared" si="108"/>
        <v>0_Pre</v>
      </c>
      <c r="Y383" s="10" t="str">
        <f t="shared" si="109"/>
        <v>0_Pre</v>
      </c>
      <c r="Z383" s="10" t="str">
        <f t="shared" si="110"/>
        <v>0_Pre</v>
      </c>
      <c r="AA383" s="10" t="str">
        <f t="shared" si="115"/>
        <v>0_Pre</v>
      </c>
      <c r="AB383" s="10" t="str">
        <f t="shared" si="116"/>
        <v>0_Pre</v>
      </c>
      <c r="AC383" s="10" t="str">
        <f t="shared" si="117"/>
        <v>0_Pre</v>
      </c>
      <c r="AD383" s="10" t="str">
        <f t="shared" si="118"/>
        <v>1_pre sample median</v>
      </c>
      <c r="AE383" s="10" t="str">
        <f t="shared" si="119"/>
        <v>2_in sample second tertile</v>
      </c>
      <c r="AF383" t="s">
        <v>80</v>
      </c>
      <c r="AG383" t="s">
        <v>75</v>
      </c>
      <c r="AH383" t="s">
        <v>78</v>
      </c>
      <c r="AI383" t="s">
        <v>70</v>
      </c>
      <c r="AJ383" t="s">
        <v>70</v>
      </c>
      <c r="AK383" t="str">
        <f>VLOOKUP(MID($AR383,1,255),country_lookup!$B:$F,2,FALSE)</f>
        <v>99_NCE</v>
      </c>
      <c r="AL383" t="str">
        <f>VLOOKUP(MID($AR383,1,255),country_lookup!$B:$F,3,FALSE)</f>
        <v>99_NCE</v>
      </c>
      <c r="AM383" t="str">
        <f>VLOOKUP(MID($AR383,1,255),country_lookup!$B:$F,4,FALSE)</f>
        <v>99_NCE</v>
      </c>
      <c r="AN383" t="str">
        <f>VLOOKUP(MID($AR383,1,255),country_lookup!$B:$F,5,FALSE)</f>
        <v>99_NCE</v>
      </c>
      <c r="AO383" s="10" t="str">
        <f>VLOOKUP(MID($AS383,1,255),source_lookup!$B:$K,4,FALSE)</f>
        <v>0_published</v>
      </c>
      <c r="AP383" s="10" t="str">
        <f>VLOOKUP(MID($AS383,1,255),source_lookup!$B:$K,6,FALSE)</f>
        <v>1_VHB high</v>
      </c>
      <c r="AQ383" s="10" t="str">
        <f>VLOOKUP(MID($AS383,1,255),source_lookup!$B:$K,10,FALSE)</f>
        <v>1_fin/acc/econ</v>
      </c>
      <c r="AR383" t="s">
        <v>92</v>
      </c>
      <c r="AS383" t="s">
        <v>136</v>
      </c>
    </row>
    <row r="384" spans="1:45" x14ac:dyDescent="0.3">
      <c r="A384" t="s">
        <v>12</v>
      </c>
      <c r="B384">
        <v>383</v>
      </c>
      <c r="C384" s="1">
        <v>-4.2835767141783006E-2</v>
      </c>
      <c r="D384" s="2">
        <v>217</v>
      </c>
      <c r="E384" s="4">
        <v>18243</v>
      </c>
      <c r="F384" s="4" t="s">
        <v>347</v>
      </c>
      <c r="G384" s="4" t="s">
        <v>346</v>
      </c>
      <c r="H384" t="s">
        <v>77</v>
      </c>
      <c r="I384" t="s">
        <v>352</v>
      </c>
      <c r="J384" s="3">
        <v>2007</v>
      </c>
      <c r="K384" s="3">
        <v>2016</v>
      </c>
      <c r="L384" s="6">
        <f t="shared" si="111"/>
        <v>2011.5</v>
      </c>
      <c r="M384" s="6">
        <f t="shared" si="112"/>
        <v>2011.5</v>
      </c>
      <c r="N384" s="7">
        <f t="shared" si="100"/>
        <v>0.1</v>
      </c>
      <c r="O384" s="7">
        <f t="shared" si="101"/>
        <v>0</v>
      </c>
      <c r="P384" s="7">
        <f t="shared" si="102"/>
        <v>0</v>
      </c>
      <c r="Q384" s="7">
        <f t="shared" si="113"/>
        <v>0</v>
      </c>
      <c r="R384" s="10" t="str">
        <f t="shared" si="103"/>
        <v>0_Pre</v>
      </c>
      <c r="S384" s="10" t="str">
        <f t="shared" si="104"/>
        <v>0_Pre</v>
      </c>
      <c r="T384" s="10" t="str">
        <f t="shared" si="105"/>
        <v>0_Pre</v>
      </c>
      <c r="U384" s="10" t="str">
        <f t="shared" si="106"/>
        <v>1_Post</v>
      </c>
      <c r="V384" s="10" t="str">
        <f t="shared" si="114"/>
        <v>0_Pre</v>
      </c>
      <c r="W384" s="10" t="str">
        <f t="shared" si="107"/>
        <v>straddle</v>
      </c>
      <c r="X384" s="10" t="str">
        <f t="shared" si="108"/>
        <v>0_Pre</v>
      </c>
      <c r="Y384" s="10" t="str">
        <f t="shared" si="109"/>
        <v>0_Pre</v>
      </c>
      <c r="Z384" s="10" t="str">
        <f t="shared" si="110"/>
        <v>0_Pre</v>
      </c>
      <c r="AA384" s="10" t="str">
        <f t="shared" si="115"/>
        <v>0_Pre</v>
      </c>
      <c r="AB384" s="10" t="str">
        <f t="shared" si="116"/>
        <v>0_Pre</v>
      </c>
      <c r="AC384" s="10" t="str">
        <f t="shared" si="117"/>
        <v>0_Pre</v>
      </c>
      <c r="AD384" s="10" t="str">
        <f t="shared" si="118"/>
        <v>1_pre sample median</v>
      </c>
      <c r="AE384" s="10" t="str">
        <f t="shared" si="119"/>
        <v>2_in sample second tertile</v>
      </c>
      <c r="AF384" t="s">
        <v>80</v>
      </c>
      <c r="AG384" t="s">
        <v>75</v>
      </c>
      <c r="AH384" t="s">
        <v>78</v>
      </c>
      <c r="AI384" t="s">
        <v>70</v>
      </c>
      <c r="AJ384" t="s">
        <v>70</v>
      </c>
      <c r="AK384" t="str">
        <f>VLOOKUP(MID($AR384,1,255),country_lookup!$B:$F,2,FALSE)</f>
        <v>99_NCE</v>
      </c>
      <c r="AL384" t="str">
        <f>VLOOKUP(MID($AR384,1,255),country_lookup!$B:$F,3,FALSE)</f>
        <v>99_NCE</v>
      </c>
      <c r="AM384" t="str">
        <f>VLOOKUP(MID($AR384,1,255),country_lookup!$B:$F,4,FALSE)</f>
        <v>99_NCE</v>
      </c>
      <c r="AN384" t="str">
        <f>VLOOKUP(MID($AR384,1,255),country_lookup!$B:$F,5,FALSE)</f>
        <v>99_NCE</v>
      </c>
      <c r="AO384" s="10" t="str">
        <f>VLOOKUP(MID($AS384,1,255),source_lookup!$B:$K,4,FALSE)</f>
        <v>0_published</v>
      </c>
      <c r="AP384" s="10" t="str">
        <f>VLOOKUP(MID($AS384,1,255),source_lookup!$B:$K,6,FALSE)</f>
        <v>1_VHB high</v>
      </c>
      <c r="AQ384" s="10" t="str">
        <f>VLOOKUP(MID($AS384,1,255),source_lookup!$B:$K,10,FALSE)</f>
        <v>1_fin/acc/econ</v>
      </c>
      <c r="AR384" t="s">
        <v>92</v>
      </c>
      <c r="AS384" t="s">
        <v>136</v>
      </c>
    </row>
    <row r="385" spans="1:45" x14ac:dyDescent="0.3">
      <c r="A385" t="s">
        <v>12</v>
      </c>
      <c r="B385">
        <v>384</v>
      </c>
      <c r="C385" s="1">
        <v>-6.995326384114476E-3</v>
      </c>
      <c r="D385" s="2">
        <v>217</v>
      </c>
      <c r="E385" s="4">
        <v>18243</v>
      </c>
      <c r="F385" s="4" t="s">
        <v>347</v>
      </c>
      <c r="G385" s="4" t="s">
        <v>346</v>
      </c>
      <c r="H385" t="s">
        <v>77</v>
      </c>
      <c r="I385" t="s">
        <v>352</v>
      </c>
      <c r="J385" s="3">
        <v>2007</v>
      </c>
      <c r="K385" s="3">
        <v>2016</v>
      </c>
      <c r="L385" s="6">
        <f t="shared" si="111"/>
        <v>2011.5</v>
      </c>
      <c r="M385" s="6">
        <f t="shared" si="112"/>
        <v>2011.5</v>
      </c>
      <c r="N385" s="7">
        <f t="shared" si="100"/>
        <v>0.1</v>
      </c>
      <c r="O385" s="7">
        <f t="shared" si="101"/>
        <v>0</v>
      </c>
      <c r="P385" s="7">
        <f t="shared" si="102"/>
        <v>0</v>
      </c>
      <c r="Q385" s="7">
        <f t="shared" si="113"/>
        <v>0</v>
      </c>
      <c r="R385" s="10" t="str">
        <f t="shared" si="103"/>
        <v>0_Pre</v>
      </c>
      <c r="S385" s="10" t="str">
        <f t="shared" si="104"/>
        <v>0_Pre</v>
      </c>
      <c r="T385" s="10" t="str">
        <f t="shared" si="105"/>
        <v>0_Pre</v>
      </c>
      <c r="U385" s="10" t="str">
        <f t="shared" si="106"/>
        <v>1_Post</v>
      </c>
      <c r="V385" s="10" t="str">
        <f t="shared" si="114"/>
        <v>0_Pre</v>
      </c>
      <c r="W385" s="10" t="str">
        <f t="shared" si="107"/>
        <v>straddle</v>
      </c>
      <c r="X385" s="10" t="str">
        <f t="shared" si="108"/>
        <v>0_Pre</v>
      </c>
      <c r="Y385" s="10" t="str">
        <f t="shared" si="109"/>
        <v>0_Pre</v>
      </c>
      <c r="Z385" s="10" t="str">
        <f t="shared" si="110"/>
        <v>0_Pre</v>
      </c>
      <c r="AA385" s="10" t="str">
        <f t="shared" si="115"/>
        <v>0_Pre</v>
      </c>
      <c r="AB385" s="10" t="str">
        <f t="shared" si="116"/>
        <v>0_Pre</v>
      </c>
      <c r="AC385" s="10" t="str">
        <f t="shared" si="117"/>
        <v>0_Pre</v>
      </c>
      <c r="AD385" s="10" t="str">
        <f t="shared" si="118"/>
        <v>1_pre sample median</v>
      </c>
      <c r="AE385" s="10" t="str">
        <f t="shared" si="119"/>
        <v>2_in sample second tertile</v>
      </c>
      <c r="AF385" t="s">
        <v>80</v>
      </c>
      <c r="AG385" t="s">
        <v>75</v>
      </c>
      <c r="AH385" t="s">
        <v>78</v>
      </c>
      <c r="AI385" t="s">
        <v>70</v>
      </c>
      <c r="AJ385" t="s">
        <v>70</v>
      </c>
      <c r="AK385" t="str">
        <f>VLOOKUP(MID($AR385,1,255),country_lookup!$B:$F,2,FALSE)</f>
        <v>99_NCE</v>
      </c>
      <c r="AL385" t="str">
        <f>VLOOKUP(MID($AR385,1,255),country_lookup!$B:$F,3,FALSE)</f>
        <v>99_NCE</v>
      </c>
      <c r="AM385" t="str">
        <f>VLOOKUP(MID($AR385,1,255),country_lookup!$B:$F,4,FALSE)</f>
        <v>99_NCE</v>
      </c>
      <c r="AN385" t="str">
        <f>VLOOKUP(MID($AR385,1,255),country_lookup!$B:$F,5,FALSE)</f>
        <v>99_NCE</v>
      </c>
      <c r="AO385" s="10" t="str">
        <f>VLOOKUP(MID($AS385,1,255),source_lookup!$B:$K,4,FALSE)</f>
        <v>0_published</v>
      </c>
      <c r="AP385" s="10" t="str">
        <f>VLOOKUP(MID($AS385,1,255),source_lookup!$B:$K,6,FALSE)</f>
        <v>1_VHB high</v>
      </c>
      <c r="AQ385" s="10" t="str">
        <f>VLOOKUP(MID($AS385,1,255),source_lookup!$B:$K,10,FALSE)</f>
        <v>1_fin/acc/econ</v>
      </c>
      <c r="AR385" t="s">
        <v>92</v>
      </c>
      <c r="AS385" t="s">
        <v>136</v>
      </c>
    </row>
    <row r="386" spans="1:45" x14ac:dyDescent="0.3">
      <c r="A386" t="s">
        <v>12</v>
      </c>
      <c r="B386">
        <v>385</v>
      </c>
      <c r="C386" s="1">
        <v>-3.6833866659601353E-2</v>
      </c>
      <c r="D386" s="2">
        <v>217</v>
      </c>
      <c r="E386" s="4">
        <v>18243</v>
      </c>
      <c r="F386" s="4" t="s">
        <v>347</v>
      </c>
      <c r="G386" s="4" t="s">
        <v>346</v>
      </c>
      <c r="H386" t="s">
        <v>77</v>
      </c>
      <c r="I386" t="s">
        <v>352</v>
      </c>
      <c r="J386" s="3">
        <v>2007</v>
      </c>
      <c r="K386" s="3">
        <v>2016</v>
      </c>
      <c r="L386" s="6">
        <f t="shared" si="111"/>
        <v>2011.5</v>
      </c>
      <c r="M386" s="6">
        <f t="shared" si="112"/>
        <v>2011.5</v>
      </c>
      <c r="N386" s="7">
        <f t="shared" ref="N386:N449" si="120">MAX(0,$K386-MAX($J386,2016)+1)/($K386-$J386+1)</f>
        <v>0.1</v>
      </c>
      <c r="O386" s="7">
        <f t="shared" ref="O386:O449" si="121">MAX(0,$K386-MAX($J386,2017)+1)/($K386-$J386+1)</f>
        <v>0</v>
      </c>
      <c r="P386" s="7">
        <f t="shared" ref="P386:P449" si="122">MAX(0,$K386-MAX($J386,2018)+1)/($K386-$J386+1)</f>
        <v>0</v>
      </c>
      <c r="Q386" s="7">
        <f t="shared" si="113"/>
        <v>0</v>
      </c>
      <c r="R386" s="10" t="str">
        <f t="shared" ref="R386:R449" si="123">IF(N386&gt;=0.5,"1_Post","0_Pre")</f>
        <v>0_Pre</v>
      </c>
      <c r="S386" s="10" t="str">
        <f t="shared" ref="S386:S449" si="124">IF($L386&gt;=2016,"1_Post","0_Pre")</f>
        <v>0_Pre</v>
      </c>
      <c r="T386" s="10" t="str">
        <f t="shared" ref="T386:T449" si="125">IF($M386&gt;=2016,"1_Post","0_Pre")</f>
        <v>0_Pre</v>
      </c>
      <c r="U386" s="10" t="str">
        <f t="shared" ref="U386:U449" si="126">IF($K386&gt;=2016,"1_Post","0_Pre")</f>
        <v>1_Post</v>
      </c>
      <c r="V386" s="10" t="str">
        <f t="shared" si="114"/>
        <v>0_Pre</v>
      </c>
      <c r="W386" s="10" t="str">
        <f t="shared" ref="W386:W449" si="127">IF($K386&lt;=2015,"clean_pre",IF($J386&gt;=2016,"clean_post","straddle"))</f>
        <v>straddle</v>
      </c>
      <c r="X386" s="10" t="str">
        <f t="shared" ref="X386:X449" si="128">IF(O386&gt;=0.5,"1_Post","0_Pre")</f>
        <v>0_Pre</v>
      </c>
      <c r="Y386" s="10" t="str">
        <f t="shared" ref="Y386:Y449" si="129">IF(P386&gt;=0.5,"1_Post","0_Pre")</f>
        <v>0_Pre</v>
      </c>
      <c r="Z386" s="10" t="str">
        <f t="shared" ref="Z386:Z449" si="130">IF(Q386&gt;=0.5,"1_Post","0_Pre")</f>
        <v>0_Pre</v>
      </c>
      <c r="AA386" s="10" t="str">
        <f t="shared" si="115"/>
        <v>0_Pre</v>
      </c>
      <c r="AB386" s="10" t="str">
        <f t="shared" si="116"/>
        <v>0_Pre</v>
      </c>
      <c r="AC386" s="10" t="str">
        <f t="shared" si="117"/>
        <v>0_Pre</v>
      </c>
      <c r="AD386" s="10" t="str">
        <f t="shared" si="118"/>
        <v>1_pre sample median</v>
      </c>
      <c r="AE386" s="10" t="str">
        <f t="shared" si="119"/>
        <v>2_in sample second tertile</v>
      </c>
      <c r="AF386" t="s">
        <v>80</v>
      </c>
      <c r="AG386" t="s">
        <v>75</v>
      </c>
      <c r="AH386" t="s">
        <v>78</v>
      </c>
      <c r="AI386" t="s">
        <v>70</v>
      </c>
      <c r="AJ386" t="s">
        <v>70</v>
      </c>
      <c r="AK386" t="str">
        <f>VLOOKUP(MID($AR386,1,255),country_lookup!$B:$F,2,FALSE)</f>
        <v>99_NCE</v>
      </c>
      <c r="AL386" t="str">
        <f>VLOOKUP(MID($AR386,1,255),country_lookup!$B:$F,3,FALSE)</f>
        <v>99_NCE</v>
      </c>
      <c r="AM386" t="str">
        <f>VLOOKUP(MID($AR386,1,255),country_lookup!$B:$F,4,FALSE)</f>
        <v>99_NCE</v>
      </c>
      <c r="AN386" t="str">
        <f>VLOOKUP(MID($AR386,1,255),country_lookup!$B:$F,5,FALSE)</f>
        <v>99_NCE</v>
      </c>
      <c r="AO386" s="10" t="str">
        <f>VLOOKUP(MID($AS386,1,255),source_lookup!$B:$K,4,FALSE)</f>
        <v>0_published</v>
      </c>
      <c r="AP386" s="10" t="str">
        <f>VLOOKUP(MID($AS386,1,255),source_lookup!$B:$K,6,FALSE)</f>
        <v>1_VHB high</v>
      </c>
      <c r="AQ386" s="10" t="str">
        <f>VLOOKUP(MID($AS386,1,255),source_lookup!$B:$K,10,FALSE)</f>
        <v>1_fin/acc/econ</v>
      </c>
      <c r="AR386" t="s">
        <v>92</v>
      </c>
      <c r="AS386" t="s">
        <v>136</v>
      </c>
    </row>
    <row r="387" spans="1:45" x14ac:dyDescent="0.3">
      <c r="A387" t="s">
        <v>12</v>
      </c>
      <c r="B387">
        <v>386</v>
      </c>
      <c r="C387" s="1">
        <v>-6.4146713150324405E-3</v>
      </c>
      <c r="D387" s="2">
        <v>217</v>
      </c>
      <c r="E387" s="4">
        <v>18243</v>
      </c>
      <c r="F387" s="4" t="s">
        <v>347</v>
      </c>
      <c r="G387" s="4" t="s">
        <v>346</v>
      </c>
      <c r="H387" t="s">
        <v>77</v>
      </c>
      <c r="I387" t="s">
        <v>352</v>
      </c>
      <c r="J387" s="3">
        <v>2007</v>
      </c>
      <c r="K387" s="3">
        <v>2016</v>
      </c>
      <c r="L387" s="6">
        <f t="shared" ref="L387:L450" si="131">ROUND(AVERAGE(J387:K387),100)</f>
        <v>2011.5</v>
      </c>
      <c r="M387" s="6">
        <f t="shared" ref="M387:M450" si="132">ROUND(MEDIAN(J387:K387),100)</f>
        <v>2011.5</v>
      </c>
      <c r="N387" s="7">
        <f t="shared" si="120"/>
        <v>0.1</v>
      </c>
      <c r="O387" s="7">
        <f t="shared" si="121"/>
        <v>0</v>
      </c>
      <c r="P387" s="7">
        <f t="shared" si="122"/>
        <v>0</v>
      </c>
      <c r="Q387" s="7">
        <f t="shared" ref="Q387:Q450" si="133">MAX(0,$K387-MAX($J387,2019)+1)/($K387-$J387+1)</f>
        <v>0</v>
      </c>
      <c r="R387" s="10" t="str">
        <f t="shared" si="123"/>
        <v>0_Pre</v>
      </c>
      <c r="S387" s="10" t="str">
        <f t="shared" si="124"/>
        <v>0_Pre</v>
      </c>
      <c r="T387" s="10" t="str">
        <f t="shared" si="125"/>
        <v>0_Pre</v>
      </c>
      <c r="U387" s="10" t="str">
        <f t="shared" si="126"/>
        <v>1_Post</v>
      </c>
      <c r="V387" s="10" t="str">
        <f t="shared" ref="V387:V450" si="134">IF($J387&lt;=2017,"0_Pre","1_Post")</f>
        <v>0_Pre</v>
      </c>
      <c r="W387" s="10" t="str">
        <f t="shared" si="127"/>
        <v>straddle</v>
      </c>
      <c r="X387" s="10" t="str">
        <f t="shared" si="128"/>
        <v>0_Pre</v>
      </c>
      <c r="Y387" s="10" t="str">
        <f t="shared" si="129"/>
        <v>0_Pre</v>
      </c>
      <c r="Z387" s="10" t="str">
        <f t="shared" si="130"/>
        <v>0_Pre</v>
      </c>
      <c r="AA387" s="10" t="str">
        <f t="shared" ref="AA387:AA450" si="135">IF($K387&gt;=2017,"1_Post","0_Pre")</f>
        <v>0_Pre</v>
      </c>
      <c r="AB387" s="10" t="str">
        <f t="shared" ref="AB387:AB450" si="136">IF($K387&gt;=2018,"1_Post","0_Pre")</f>
        <v>0_Pre</v>
      </c>
      <c r="AC387" s="10" t="str">
        <f t="shared" ref="AC387:AC450" si="137">IF($K387&gt;=2019,"1_Post","0_Pre")</f>
        <v>0_Pre</v>
      </c>
      <c r="AD387" s="10" t="str">
        <f t="shared" ref="AD387:AD450" si="138">IF(L387&lt;MEDIAN($L$2:$L$1307),"1_pre sample median","2_post sample median")</f>
        <v>1_pre sample median</v>
      </c>
      <c r="AE387" s="10" t="str">
        <f t="shared" ref="AE387:AE450" si="139">IF(L387&lt;=PERCENTILE($L$2:$L$1307,0.33),"1_pre sample first tertile",IF(L387&gt;=PERCENTILE($L$2:$L$1307,0.67),"3_post sample third tertile","2_in sample second tertile"))</f>
        <v>2_in sample second tertile</v>
      </c>
      <c r="AF387" t="s">
        <v>80</v>
      </c>
      <c r="AG387" t="s">
        <v>75</v>
      </c>
      <c r="AH387" t="s">
        <v>78</v>
      </c>
      <c r="AI387" t="s">
        <v>70</v>
      </c>
      <c r="AJ387" t="s">
        <v>70</v>
      </c>
      <c r="AK387" t="str">
        <f>VLOOKUP(MID($AR387,1,255),country_lookup!$B:$F,2,FALSE)</f>
        <v>99_NCE</v>
      </c>
      <c r="AL387" t="str">
        <f>VLOOKUP(MID($AR387,1,255),country_lookup!$B:$F,3,FALSE)</f>
        <v>99_NCE</v>
      </c>
      <c r="AM387" t="str">
        <f>VLOOKUP(MID($AR387,1,255),country_lookup!$B:$F,4,FALSE)</f>
        <v>99_NCE</v>
      </c>
      <c r="AN387" t="str">
        <f>VLOOKUP(MID($AR387,1,255),country_lookup!$B:$F,5,FALSE)</f>
        <v>99_NCE</v>
      </c>
      <c r="AO387" s="10" t="str">
        <f>VLOOKUP(MID($AS387,1,255),source_lookup!$B:$K,4,FALSE)</f>
        <v>0_published</v>
      </c>
      <c r="AP387" s="10" t="str">
        <f>VLOOKUP(MID($AS387,1,255),source_lookup!$B:$K,6,FALSE)</f>
        <v>1_VHB high</v>
      </c>
      <c r="AQ387" s="10" t="str">
        <f>VLOOKUP(MID($AS387,1,255),source_lookup!$B:$K,10,FALSE)</f>
        <v>1_fin/acc/econ</v>
      </c>
      <c r="AR387" t="s">
        <v>92</v>
      </c>
      <c r="AS387" t="s">
        <v>136</v>
      </c>
    </row>
    <row r="388" spans="1:45" x14ac:dyDescent="0.3">
      <c r="A388" t="s">
        <v>12</v>
      </c>
      <c r="B388">
        <v>387</v>
      </c>
      <c r="C388" s="1">
        <v>-0.24548777358064314</v>
      </c>
      <c r="D388" s="2">
        <v>217</v>
      </c>
      <c r="E388" s="4">
        <v>18243</v>
      </c>
      <c r="F388" s="4" t="s">
        <v>347</v>
      </c>
      <c r="G388" s="4" t="s">
        <v>346</v>
      </c>
      <c r="H388" t="s">
        <v>77</v>
      </c>
      <c r="I388" t="s">
        <v>352</v>
      </c>
      <c r="J388" s="3">
        <v>2007</v>
      </c>
      <c r="K388" s="3">
        <v>2016</v>
      </c>
      <c r="L388" s="6">
        <f t="shared" si="131"/>
        <v>2011.5</v>
      </c>
      <c r="M388" s="6">
        <f t="shared" si="132"/>
        <v>2011.5</v>
      </c>
      <c r="N388" s="7">
        <f t="shared" si="120"/>
        <v>0.1</v>
      </c>
      <c r="O388" s="7">
        <f t="shared" si="121"/>
        <v>0</v>
      </c>
      <c r="P388" s="7">
        <f t="shared" si="122"/>
        <v>0</v>
      </c>
      <c r="Q388" s="7">
        <f t="shared" si="133"/>
        <v>0</v>
      </c>
      <c r="R388" s="10" t="str">
        <f t="shared" si="123"/>
        <v>0_Pre</v>
      </c>
      <c r="S388" s="10" t="str">
        <f t="shared" si="124"/>
        <v>0_Pre</v>
      </c>
      <c r="T388" s="10" t="str">
        <f t="shared" si="125"/>
        <v>0_Pre</v>
      </c>
      <c r="U388" s="10" t="str">
        <f t="shared" si="126"/>
        <v>1_Post</v>
      </c>
      <c r="V388" s="10" t="str">
        <f t="shared" si="134"/>
        <v>0_Pre</v>
      </c>
      <c r="W388" s="10" t="str">
        <f t="shared" si="127"/>
        <v>straddle</v>
      </c>
      <c r="X388" s="10" t="str">
        <f t="shared" si="128"/>
        <v>0_Pre</v>
      </c>
      <c r="Y388" s="10" t="str">
        <f t="shared" si="129"/>
        <v>0_Pre</v>
      </c>
      <c r="Z388" s="10" t="str">
        <f t="shared" si="130"/>
        <v>0_Pre</v>
      </c>
      <c r="AA388" s="10" t="str">
        <f t="shared" si="135"/>
        <v>0_Pre</v>
      </c>
      <c r="AB388" s="10" t="str">
        <f t="shared" si="136"/>
        <v>0_Pre</v>
      </c>
      <c r="AC388" s="10" t="str">
        <f t="shared" si="137"/>
        <v>0_Pre</v>
      </c>
      <c r="AD388" s="10" t="str">
        <f t="shared" si="138"/>
        <v>1_pre sample median</v>
      </c>
      <c r="AE388" s="10" t="str">
        <f t="shared" si="139"/>
        <v>2_in sample second tertile</v>
      </c>
      <c r="AF388" t="s">
        <v>80</v>
      </c>
      <c r="AG388" t="s">
        <v>75</v>
      </c>
      <c r="AH388" t="s">
        <v>78</v>
      </c>
      <c r="AI388" t="s">
        <v>70</v>
      </c>
      <c r="AJ388" t="s">
        <v>70</v>
      </c>
      <c r="AK388" t="str">
        <f>VLOOKUP(MID($AR388,1,255),country_lookup!$B:$F,2,FALSE)</f>
        <v>99_NCE</v>
      </c>
      <c r="AL388" t="str">
        <f>VLOOKUP(MID($AR388,1,255),country_lookup!$B:$F,3,FALSE)</f>
        <v>99_NCE</v>
      </c>
      <c r="AM388" t="str">
        <f>VLOOKUP(MID($AR388,1,255),country_lookup!$B:$F,4,FALSE)</f>
        <v>99_NCE</v>
      </c>
      <c r="AN388" t="str">
        <f>VLOOKUP(MID($AR388,1,255),country_lookup!$B:$F,5,FALSE)</f>
        <v>99_NCE</v>
      </c>
      <c r="AO388" s="10" t="str">
        <f>VLOOKUP(MID($AS388,1,255),source_lookup!$B:$K,4,FALSE)</f>
        <v>0_published</v>
      </c>
      <c r="AP388" s="10" t="str">
        <f>VLOOKUP(MID($AS388,1,255),source_lookup!$B:$K,6,FALSE)</f>
        <v>1_VHB high</v>
      </c>
      <c r="AQ388" s="10" t="str">
        <f>VLOOKUP(MID($AS388,1,255),source_lookup!$B:$K,10,FALSE)</f>
        <v>1_fin/acc/econ</v>
      </c>
      <c r="AR388" t="s">
        <v>92</v>
      </c>
      <c r="AS388" t="s">
        <v>136</v>
      </c>
    </row>
    <row r="389" spans="1:45" x14ac:dyDescent="0.3">
      <c r="A389" t="s">
        <v>12</v>
      </c>
      <c r="B389">
        <v>388</v>
      </c>
      <c r="C389" s="1">
        <v>-8.0466702957097222E-2</v>
      </c>
      <c r="D389" s="2">
        <v>217</v>
      </c>
      <c r="E389" s="4">
        <v>18243</v>
      </c>
      <c r="F389" s="4" t="s">
        <v>347</v>
      </c>
      <c r="G389" s="4" t="s">
        <v>346</v>
      </c>
      <c r="H389" t="s">
        <v>77</v>
      </c>
      <c r="I389" t="s">
        <v>352</v>
      </c>
      <c r="J389" s="3">
        <v>2007</v>
      </c>
      <c r="K389" s="3">
        <v>2016</v>
      </c>
      <c r="L389" s="6">
        <f t="shared" si="131"/>
        <v>2011.5</v>
      </c>
      <c r="M389" s="6">
        <f t="shared" si="132"/>
        <v>2011.5</v>
      </c>
      <c r="N389" s="7">
        <f t="shared" si="120"/>
        <v>0.1</v>
      </c>
      <c r="O389" s="7">
        <f t="shared" si="121"/>
        <v>0</v>
      </c>
      <c r="P389" s="7">
        <f t="shared" si="122"/>
        <v>0</v>
      </c>
      <c r="Q389" s="7">
        <f t="shared" si="133"/>
        <v>0</v>
      </c>
      <c r="R389" s="10" t="str">
        <f t="shared" si="123"/>
        <v>0_Pre</v>
      </c>
      <c r="S389" s="10" t="str">
        <f t="shared" si="124"/>
        <v>0_Pre</v>
      </c>
      <c r="T389" s="10" t="str">
        <f t="shared" si="125"/>
        <v>0_Pre</v>
      </c>
      <c r="U389" s="10" t="str">
        <f t="shared" si="126"/>
        <v>1_Post</v>
      </c>
      <c r="V389" s="10" t="str">
        <f t="shared" si="134"/>
        <v>0_Pre</v>
      </c>
      <c r="W389" s="10" t="str">
        <f t="shared" si="127"/>
        <v>straddle</v>
      </c>
      <c r="X389" s="10" t="str">
        <f t="shared" si="128"/>
        <v>0_Pre</v>
      </c>
      <c r="Y389" s="10" t="str">
        <f t="shared" si="129"/>
        <v>0_Pre</v>
      </c>
      <c r="Z389" s="10" t="str">
        <f t="shared" si="130"/>
        <v>0_Pre</v>
      </c>
      <c r="AA389" s="10" t="str">
        <f t="shared" si="135"/>
        <v>0_Pre</v>
      </c>
      <c r="AB389" s="10" t="str">
        <f t="shared" si="136"/>
        <v>0_Pre</v>
      </c>
      <c r="AC389" s="10" t="str">
        <f t="shared" si="137"/>
        <v>0_Pre</v>
      </c>
      <c r="AD389" s="10" t="str">
        <f t="shared" si="138"/>
        <v>1_pre sample median</v>
      </c>
      <c r="AE389" s="10" t="str">
        <f t="shared" si="139"/>
        <v>2_in sample second tertile</v>
      </c>
      <c r="AF389" t="s">
        <v>80</v>
      </c>
      <c r="AG389" t="s">
        <v>75</v>
      </c>
      <c r="AH389" t="s">
        <v>78</v>
      </c>
      <c r="AI389" t="s">
        <v>70</v>
      </c>
      <c r="AJ389" t="s">
        <v>70</v>
      </c>
      <c r="AK389" t="str">
        <f>VLOOKUP(MID($AR389,1,255),country_lookup!$B:$F,2,FALSE)</f>
        <v>99_NCE</v>
      </c>
      <c r="AL389" t="str">
        <f>VLOOKUP(MID($AR389,1,255),country_lookup!$B:$F,3,FALSE)</f>
        <v>99_NCE</v>
      </c>
      <c r="AM389" t="str">
        <f>VLOOKUP(MID($AR389,1,255),country_lookup!$B:$F,4,FALSE)</f>
        <v>99_NCE</v>
      </c>
      <c r="AN389" t="str">
        <f>VLOOKUP(MID($AR389,1,255),country_lookup!$B:$F,5,FALSE)</f>
        <v>99_NCE</v>
      </c>
      <c r="AO389" s="10" t="str">
        <f>VLOOKUP(MID($AS389,1,255),source_lookup!$B:$K,4,FALSE)</f>
        <v>0_published</v>
      </c>
      <c r="AP389" s="10" t="str">
        <f>VLOOKUP(MID($AS389,1,255),source_lookup!$B:$K,6,FALSE)</f>
        <v>1_VHB high</v>
      </c>
      <c r="AQ389" s="10" t="str">
        <f>VLOOKUP(MID($AS389,1,255),source_lookup!$B:$K,10,FALSE)</f>
        <v>1_fin/acc/econ</v>
      </c>
      <c r="AR389" t="s">
        <v>92</v>
      </c>
      <c r="AS389" t="s">
        <v>136</v>
      </c>
    </row>
    <row r="390" spans="1:45" x14ac:dyDescent="0.3">
      <c r="A390" t="s">
        <v>12</v>
      </c>
      <c r="B390">
        <v>389</v>
      </c>
      <c r="C390" s="1">
        <v>1.148849366853244E-2</v>
      </c>
      <c r="D390" s="2">
        <v>217</v>
      </c>
      <c r="E390" s="4">
        <v>19068</v>
      </c>
      <c r="F390" s="4" t="s">
        <v>347</v>
      </c>
      <c r="G390" s="4" t="s">
        <v>346</v>
      </c>
      <c r="H390" t="s">
        <v>77</v>
      </c>
      <c r="I390" t="s">
        <v>352</v>
      </c>
      <c r="J390" s="3">
        <v>2007</v>
      </c>
      <c r="K390" s="3">
        <v>2016</v>
      </c>
      <c r="L390" s="6">
        <f t="shared" si="131"/>
        <v>2011.5</v>
      </c>
      <c r="M390" s="6">
        <f t="shared" si="132"/>
        <v>2011.5</v>
      </c>
      <c r="N390" s="7">
        <f t="shared" si="120"/>
        <v>0.1</v>
      </c>
      <c r="O390" s="7">
        <f t="shared" si="121"/>
        <v>0</v>
      </c>
      <c r="P390" s="7">
        <f t="shared" si="122"/>
        <v>0</v>
      </c>
      <c r="Q390" s="7">
        <f t="shared" si="133"/>
        <v>0</v>
      </c>
      <c r="R390" s="10" t="str">
        <f t="shared" si="123"/>
        <v>0_Pre</v>
      </c>
      <c r="S390" s="10" t="str">
        <f t="shared" si="124"/>
        <v>0_Pre</v>
      </c>
      <c r="T390" s="10" t="str">
        <f t="shared" si="125"/>
        <v>0_Pre</v>
      </c>
      <c r="U390" s="10" t="str">
        <f t="shared" si="126"/>
        <v>1_Post</v>
      </c>
      <c r="V390" s="10" t="str">
        <f t="shared" si="134"/>
        <v>0_Pre</v>
      </c>
      <c r="W390" s="10" t="str">
        <f t="shared" si="127"/>
        <v>straddle</v>
      </c>
      <c r="X390" s="10" t="str">
        <f t="shared" si="128"/>
        <v>0_Pre</v>
      </c>
      <c r="Y390" s="10" t="str">
        <f t="shared" si="129"/>
        <v>0_Pre</v>
      </c>
      <c r="Z390" s="10" t="str">
        <f t="shared" si="130"/>
        <v>0_Pre</v>
      </c>
      <c r="AA390" s="10" t="str">
        <f t="shared" si="135"/>
        <v>0_Pre</v>
      </c>
      <c r="AB390" s="10" t="str">
        <f t="shared" si="136"/>
        <v>0_Pre</v>
      </c>
      <c r="AC390" s="10" t="str">
        <f t="shared" si="137"/>
        <v>0_Pre</v>
      </c>
      <c r="AD390" s="10" t="str">
        <f t="shared" si="138"/>
        <v>1_pre sample median</v>
      </c>
      <c r="AE390" s="10" t="str">
        <f t="shared" si="139"/>
        <v>2_in sample second tertile</v>
      </c>
      <c r="AF390" t="s">
        <v>80</v>
      </c>
      <c r="AG390" t="s">
        <v>75</v>
      </c>
      <c r="AH390" t="s">
        <v>78</v>
      </c>
      <c r="AI390" t="s">
        <v>70</v>
      </c>
      <c r="AJ390" t="s">
        <v>70</v>
      </c>
      <c r="AK390" t="str">
        <f>VLOOKUP(MID($AR390,1,255),country_lookup!$B:$F,2,FALSE)</f>
        <v>99_NCE</v>
      </c>
      <c r="AL390" t="str">
        <f>VLOOKUP(MID($AR390,1,255),country_lookup!$B:$F,3,FALSE)</f>
        <v>99_NCE</v>
      </c>
      <c r="AM390" t="str">
        <f>VLOOKUP(MID($AR390,1,255),country_lookup!$B:$F,4,FALSE)</f>
        <v>99_NCE</v>
      </c>
      <c r="AN390" t="str">
        <f>VLOOKUP(MID($AR390,1,255),country_lookup!$B:$F,5,FALSE)</f>
        <v>99_NCE</v>
      </c>
      <c r="AO390" s="10" t="str">
        <f>VLOOKUP(MID($AS390,1,255),source_lookup!$B:$K,4,FALSE)</f>
        <v>0_published</v>
      </c>
      <c r="AP390" s="10" t="str">
        <f>VLOOKUP(MID($AS390,1,255),source_lookup!$B:$K,6,FALSE)</f>
        <v>1_VHB high</v>
      </c>
      <c r="AQ390" s="10" t="str">
        <f>VLOOKUP(MID($AS390,1,255),source_lookup!$B:$K,10,FALSE)</f>
        <v>1_fin/acc/econ</v>
      </c>
      <c r="AR390" t="s">
        <v>92</v>
      </c>
      <c r="AS390" t="s">
        <v>136</v>
      </c>
    </row>
    <row r="391" spans="1:45" x14ac:dyDescent="0.3">
      <c r="A391" t="s">
        <v>12</v>
      </c>
      <c r="B391">
        <v>390</v>
      </c>
      <c r="C391" s="1">
        <v>2.7727886896755701E-3</v>
      </c>
      <c r="D391" s="2">
        <v>217</v>
      </c>
      <c r="E391" s="4">
        <v>19068</v>
      </c>
      <c r="F391" s="4" t="s">
        <v>347</v>
      </c>
      <c r="G391" s="4" t="s">
        <v>346</v>
      </c>
      <c r="H391" t="s">
        <v>77</v>
      </c>
      <c r="I391" t="s">
        <v>352</v>
      </c>
      <c r="J391" s="3">
        <v>2007</v>
      </c>
      <c r="K391" s="3">
        <v>2016</v>
      </c>
      <c r="L391" s="6">
        <f t="shared" si="131"/>
        <v>2011.5</v>
      </c>
      <c r="M391" s="6">
        <f t="shared" si="132"/>
        <v>2011.5</v>
      </c>
      <c r="N391" s="7">
        <f t="shared" si="120"/>
        <v>0.1</v>
      </c>
      <c r="O391" s="7">
        <f t="shared" si="121"/>
        <v>0</v>
      </c>
      <c r="P391" s="7">
        <f t="shared" si="122"/>
        <v>0</v>
      </c>
      <c r="Q391" s="7">
        <f t="shared" si="133"/>
        <v>0</v>
      </c>
      <c r="R391" s="10" t="str">
        <f t="shared" si="123"/>
        <v>0_Pre</v>
      </c>
      <c r="S391" s="10" t="str">
        <f t="shared" si="124"/>
        <v>0_Pre</v>
      </c>
      <c r="T391" s="10" t="str">
        <f t="shared" si="125"/>
        <v>0_Pre</v>
      </c>
      <c r="U391" s="10" t="str">
        <f t="shared" si="126"/>
        <v>1_Post</v>
      </c>
      <c r="V391" s="10" t="str">
        <f t="shared" si="134"/>
        <v>0_Pre</v>
      </c>
      <c r="W391" s="10" t="str">
        <f t="shared" si="127"/>
        <v>straddle</v>
      </c>
      <c r="X391" s="10" t="str">
        <f t="shared" si="128"/>
        <v>0_Pre</v>
      </c>
      <c r="Y391" s="10" t="str">
        <f t="shared" si="129"/>
        <v>0_Pre</v>
      </c>
      <c r="Z391" s="10" t="str">
        <f t="shared" si="130"/>
        <v>0_Pre</v>
      </c>
      <c r="AA391" s="10" t="str">
        <f t="shared" si="135"/>
        <v>0_Pre</v>
      </c>
      <c r="AB391" s="10" t="str">
        <f t="shared" si="136"/>
        <v>0_Pre</v>
      </c>
      <c r="AC391" s="10" t="str">
        <f t="shared" si="137"/>
        <v>0_Pre</v>
      </c>
      <c r="AD391" s="10" t="str">
        <f t="shared" si="138"/>
        <v>1_pre sample median</v>
      </c>
      <c r="AE391" s="10" t="str">
        <f t="shared" si="139"/>
        <v>2_in sample second tertile</v>
      </c>
      <c r="AF391" t="s">
        <v>80</v>
      </c>
      <c r="AG391" t="s">
        <v>75</v>
      </c>
      <c r="AH391" t="s">
        <v>78</v>
      </c>
      <c r="AI391" t="s">
        <v>70</v>
      </c>
      <c r="AJ391" t="s">
        <v>70</v>
      </c>
      <c r="AK391" t="str">
        <f>VLOOKUP(MID($AR391,1,255),country_lookup!$B:$F,2,FALSE)</f>
        <v>99_NCE</v>
      </c>
      <c r="AL391" t="str">
        <f>VLOOKUP(MID($AR391,1,255),country_lookup!$B:$F,3,FALSE)</f>
        <v>99_NCE</v>
      </c>
      <c r="AM391" t="str">
        <f>VLOOKUP(MID($AR391,1,255),country_lookup!$B:$F,4,FALSE)</f>
        <v>99_NCE</v>
      </c>
      <c r="AN391" t="str">
        <f>VLOOKUP(MID($AR391,1,255),country_lookup!$B:$F,5,FALSE)</f>
        <v>99_NCE</v>
      </c>
      <c r="AO391" s="10" t="str">
        <f>VLOOKUP(MID($AS391,1,255),source_lookup!$B:$K,4,FALSE)</f>
        <v>0_published</v>
      </c>
      <c r="AP391" s="10" t="str">
        <f>VLOOKUP(MID($AS391,1,255),source_lookup!$B:$K,6,FALSE)</f>
        <v>1_VHB high</v>
      </c>
      <c r="AQ391" s="10" t="str">
        <f>VLOOKUP(MID($AS391,1,255),source_lookup!$B:$K,10,FALSE)</f>
        <v>1_fin/acc/econ</v>
      </c>
      <c r="AR391" t="s">
        <v>92</v>
      </c>
      <c r="AS391" t="s">
        <v>136</v>
      </c>
    </row>
    <row r="392" spans="1:45" x14ac:dyDescent="0.3">
      <c r="A392" t="s">
        <v>12</v>
      </c>
      <c r="B392">
        <v>391</v>
      </c>
      <c r="C392" s="1">
        <v>-1.9523619265374912E-2</v>
      </c>
      <c r="D392" s="2">
        <v>217</v>
      </c>
      <c r="E392" s="4">
        <v>19068</v>
      </c>
      <c r="F392" s="4" t="s">
        <v>347</v>
      </c>
      <c r="G392" s="4" t="s">
        <v>346</v>
      </c>
      <c r="H392" t="s">
        <v>77</v>
      </c>
      <c r="I392" t="s">
        <v>352</v>
      </c>
      <c r="J392" s="3">
        <v>2007</v>
      </c>
      <c r="K392" s="3">
        <v>2016</v>
      </c>
      <c r="L392" s="6">
        <f t="shared" si="131"/>
        <v>2011.5</v>
      </c>
      <c r="M392" s="6">
        <f t="shared" si="132"/>
        <v>2011.5</v>
      </c>
      <c r="N392" s="7">
        <f t="shared" si="120"/>
        <v>0.1</v>
      </c>
      <c r="O392" s="7">
        <f t="shared" si="121"/>
        <v>0</v>
      </c>
      <c r="P392" s="7">
        <f t="shared" si="122"/>
        <v>0</v>
      </c>
      <c r="Q392" s="7">
        <f t="shared" si="133"/>
        <v>0</v>
      </c>
      <c r="R392" s="10" t="str">
        <f t="shared" si="123"/>
        <v>0_Pre</v>
      </c>
      <c r="S392" s="10" t="str">
        <f t="shared" si="124"/>
        <v>0_Pre</v>
      </c>
      <c r="T392" s="10" t="str">
        <f t="shared" si="125"/>
        <v>0_Pre</v>
      </c>
      <c r="U392" s="10" t="str">
        <f t="shared" si="126"/>
        <v>1_Post</v>
      </c>
      <c r="V392" s="10" t="str">
        <f t="shared" si="134"/>
        <v>0_Pre</v>
      </c>
      <c r="W392" s="10" t="str">
        <f t="shared" si="127"/>
        <v>straddle</v>
      </c>
      <c r="X392" s="10" t="str">
        <f t="shared" si="128"/>
        <v>0_Pre</v>
      </c>
      <c r="Y392" s="10" t="str">
        <f t="shared" si="129"/>
        <v>0_Pre</v>
      </c>
      <c r="Z392" s="10" t="str">
        <f t="shared" si="130"/>
        <v>0_Pre</v>
      </c>
      <c r="AA392" s="10" t="str">
        <f t="shared" si="135"/>
        <v>0_Pre</v>
      </c>
      <c r="AB392" s="10" t="str">
        <f t="shared" si="136"/>
        <v>0_Pre</v>
      </c>
      <c r="AC392" s="10" t="str">
        <f t="shared" si="137"/>
        <v>0_Pre</v>
      </c>
      <c r="AD392" s="10" t="str">
        <f t="shared" si="138"/>
        <v>1_pre sample median</v>
      </c>
      <c r="AE392" s="10" t="str">
        <f t="shared" si="139"/>
        <v>2_in sample second tertile</v>
      </c>
      <c r="AF392" t="s">
        <v>80</v>
      </c>
      <c r="AG392" t="s">
        <v>75</v>
      </c>
      <c r="AH392" t="s">
        <v>78</v>
      </c>
      <c r="AI392" t="s">
        <v>70</v>
      </c>
      <c r="AJ392" t="s">
        <v>70</v>
      </c>
      <c r="AK392" t="str">
        <f>VLOOKUP(MID($AR392,1,255),country_lookup!$B:$F,2,FALSE)</f>
        <v>99_NCE</v>
      </c>
      <c r="AL392" t="str">
        <f>VLOOKUP(MID($AR392,1,255),country_lookup!$B:$F,3,FALSE)</f>
        <v>99_NCE</v>
      </c>
      <c r="AM392" t="str">
        <f>VLOOKUP(MID($AR392,1,255),country_lookup!$B:$F,4,FALSE)</f>
        <v>99_NCE</v>
      </c>
      <c r="AN392" t="str">
        <f>VLOOKUP(MID($AR392,1,255),country_lookup!$B:$F,5,FALSE)</f>
        <v>99_NCE</v>
      </c>
      <c r="AO392" s="10" t="str">
        <f>VLOOKUP(MID($AS392,1,255),source_lookup!$B:$K,4,FALSE)</f>
        <v>0_published</v>
      </c>
      <c r="AP392" s="10" t="str">
        <f>VLOOKUP(MID($AS392,1,255),source_lookup!$B:$K,6,FALSE)</f>
        <v>1_VHB high</v>
      </c>
      <c r="AQ392" s="10" t="str">
        <f>VLOOKUP(MID($AS392,1,255),source_lookup!$B:$K,10,FALSE)</f>
        <v>1_fin/acc/econ</v>
      </c>
      <c r="AR392" t="s">
        <v>92</v>
      </c>
      <c r="AS392" t="s">
        <v>136</v>
      </c>
    </row>
    <row r="393" spans="1:45" x14ac:dyDescent="0.3">
      <c r="A393" t="s">
        <v>12</v>
      </c>
      <c r="B393">
        <v>392</v>
      </c>
      <c r="C393" s="1">
        <v>-3.9452680447725338E-3</v>
      </c>
      <c r="D393" s="2">
        <v>217</v>
      </c>
      <c r="E393" s="4">
        <v>19068</v>
      </c>
      <c r="F393" s="4" t="s">
        <v>347</v>
      </c>
      <c r="G393" s="4" t="s">
        <v>346</v>
      </c>
      <c r="H393" t="s">
        <v>77</v>
      </c>
      <c r="I393" t="s">
        <v>352</v>
      </c>
      <c r="J393" s="3">
        <v>2007</v>
      </c>
      <c r="K393" s="3">
        <v>2016</v>
      </c>
      <c r="L393" s="6">
        <f t="shared" si="131"/>
        <v>2011.5</v>
      </c>
      <c r="M393" s="6">
        <f t="shared" si="132"/>
        <v>2011.5</v>
      </c>
      <c r="N393" s="7">
        <f t="shared" si="120"/>
        <v>0.1</v>
      </c>
      <c r="O393" s="7">
        <f t="shared" si="121"/>
        <v>0</v>
      </c>
      <c r="P393" s="7">
        <f t="shared" si="122"/>
        <v>0</v>
      </c>
      <c r="Q393" s="7">
        <f t="shared" si="133"/>
        <v>0</v>
      </c>
      <c r="R393" s="10" t="str">
        <f t="shared" si="123"/>
        <v>0_Pre</v>
      </c>
      <c r="S393" s="10" t="str">
        <f t="shared" si="124"/>
        <v>0_Pre</v>
      </c>
      <c r="T393" s="10" t="str">
        <f t="shared" si="125"/>
        <v>0_Pre</v>
      </c>
      <c r="U393" s="10" t="str">
        <f t="shared" si="126"/>
        <v>1_Post</v>
      </c>
      <c r="V393" s="10" t="str">
        <f t="shared" si="134"/>
        <v>0_Pre</v>
      </c>
      <c r="W393" s="10" t="str">
        <f t="shared" si="127"/>
        <v>straddle</v>
      </c>
      <c r="X393" s="10" t="str">
        <f t="shared" si="128"/>
        <v>0_Pre</v>
      </c>
      <c r="Y393" s="10" t="str">
        <f t="shared" si="129"/>
        <v>0_Pre</v>
      </c>
      <c r="Z393" s="10" t="str">
        <f t="shared" si="130"/>
        <v>0_Pre</v>
      </c>
      <c r="AA393" s="10" t="str">
        <f t="shared" si="135"/>
        <v>0_Pre</v>
      </c>
      <c r="AB393" s="10" t="str">
        <f t="shared" si="136"/>
        <v>0_Pre</v>
      </c>
      <c r="AC393" s="10" t="str">
        <f t="shared" si="137"/>
        <v>0_Pre</v>
      </c>
      <c r="AD393" s="10" t="str">
        <f t="shared" si="138"/>
        <v>1_pre sample median</v>
      </c>
      <c r="AE393" s="10" t="str">
        <f t="shared" si="139"/>
        <v>2_in sample second tertile</v>
      </c>
      <c r="AF393" t="s">
        <v>80</v>
      </c>
      <c r="AG393" t="s">
        <v>75</v>
      </c>
      <c r="AH393" t="s">
        <v>78</v>
      </c>
      <c r="AI393" t="s">
        <v>70</v>
      </c>
      <c r="AJ393" t="s">
        <v>70</v>
      </c>
      <c r="AK393" t="str">
        <f>VLOOKUP(MID($AR393,1,255),country_lookup!$B:$F,2,FALSE)</f>
        <v>99_NCE</v>
      </c>
      <c r="AL393" t="str">
        <f>VLOOKUP(MID($AR393,1,255),country_lookup!$B:$F,3,FALSE)</f>
        <v>99_NCE</v>
      </c>
      <c r="AM393" t="str">
        <f>VLOOKUP(MID($AR393,1,255),country_lookup!$B:$F,4,FALSE)</f>
        <v>99_NCE</v>
      </c>
      <c r="AN393" t="str">
        <f>VLOOKUP(MID($AR393,1,255),country_lookup!$B:$F,5,FALSE)</f>
        <v>99_NCE</v>
      </c>
      <c r="AO393" s="10" t="str">
        <f>VLOOKUP(MID($AS393,1,255),source_lookup!$B:$K,4,FALSE)</f>
        <v>0_published</v>
      </c>
      <c r="AP393" s="10" t="str">
        <f>VLOOKUP(MID($AS393,1,255),source_lookup!$B:$K,6,FALSE)</f>
        <v>1_VHB high</v>
      </c>
      <c r="AQ393" s="10" t="str">
        <f>VLOOKUP(MID($AS393,1,255),source_lookup!$B:$K,10,FALSE)</f>
        <v>1_fin/acc/econ</v>
      </c>
      <c r="AR393" t="s">
        <v>92</v>
      </c>
      <c r="AS393" t="s">
        <v>136</v>
      </c>
    </row>
    <row r="394" spans="1:45" x14ac:dyDescent="0.3">
      <c r="A394" t="s">
        <v>12</v>
      </c>
      <c r="B394">
        <v>393</v>
      </c>
      <c r="C394" s="1">
        <v>2.4727018559655388E-2</v>
      </c>
      <c r="D394" s="2">
        <v>217</v>
      </c>
      <c r="E394" s="4">
        <v>19068</v>
      </c>
      <c r="F394" s="4" t="s">
        <v>347</v>
      </c>
      <c r="G394" s="4" t="s">
        <v>346</v>
      </c>
      <c r="H394" t="s">
        <v>77</v>
      </c>
      <c r="I394" t="s">
        <v>352</v>
      </c>
      <c r="J394" s="3">
        <v>2007</v>
      </c>
      <c r="K394" s="3">
        <v>2016</v>
      </c>
      <c r="L394" s="6">
        <f t="shared" si="131"/>
        <v>2011.5</v>
      </c>
      <c r="M394" s="6">
        <f t="shared" si="132"/>
        <v>2011.5</v>
      </c>
      <c r="N394" s="7">
        <f t="shared" si="120"/>
        <v>0.1</v>
      </c>
      <c r="O394" s="7">
        <f t="shared" si="121"/>
        <v>0</v>
      </c>
      <c r="P394" s="7">
        <f t="shared" si="122"/>
        <v>0</v>
      </c>
      <c r="Q394" s="7">
        <f t="shared" si="133"/>
        <v>0</v>
      </c>
      <c r="R394" s="10" t="str">
        <f t="shared" si="123"/>
        <v>0_Pre</v>
      </c>
      <c r="S394" s="10" t="str">
        <f t="shared" si="124"/>
        <v>0_Pre</v>
      </c>
      <c r="T394" s="10" t="str">
        <f t="shared" si="125"/>
        <v>0_Pre</v>
      </c>
      <c r="U394" s="10" t="str">
        <f t="shared" si="126"/>
        <v>1_Post</v>
      </c>
      <c r="V394" s="10" t="str">
        <f t="shared" si="134"/>
        <v>0_Pre</v>
      </c>
      <c r="W394" s="10" t="str">
        <f t="shared" si="127"/>
        <v>straddle</v>
      </c>
      <c r="X394" s="10" t="str">
        <f t="shared" si="128"/>
        <v>0_Pre</v>
      </c>
      <c r="Y394" s="10" t="str">
        <f t="shared" si="129"/>
        <v>0_Pre</v>
      </c>
      <c r="Z394" s="10" t="str">
        <f t="shared" si="130"/>
        <v>0_Pre</v>
      </c>
      <c r="AA394" s="10" t="str">
        <f t="shared" si="135"/>
        <v>0_Pre</v>
      </c>
      <c r="AB394" s="10" t="str">
        <f t="shared" si="136"/>
        <v>0_Pre</v>
      </c>
      <c r="AC394" s="10" t="str">
        <f t="shared" si="137"/>
        <v>0_Pre</v>
      </c>
      <c r="AD394" s="10" t="str">
        <f t="shared" si="138"/>
        <v>1_pre sample median</v>
      </c>
      <c r="AE394" s="10" t="str">
        <f t="shared" si="139"/>
        <v>2_in sample second tertile</v>
      </c>
      <c r="AF394" t="s">
        <v>80</v>
      </c>
      <c r="AG394" t="s">
        <v>75</v>
      </c>
      <c r="AH394" t="s">
        <v>78</v>
      </c>
      <c r="AI394" t="s">
        <v>70</v>
      </c>
      <c r="AJ394" t="s">
        <v>70</v>
      </c>
      <c r="AK394" t="str">
        <f>VLOOKUP(MID($AR394,1,255),country_lookup!$B:$F,2,FALSE)</f>
        <v>99_NCE</v>
      </c>
      <c r="AL394" t="str">
        <f>VLOOKUP(MID($AR394,1,255),country_lookup!$B:$F,3,FALSE)</f>
        <v>99_NCE</v>
      </c>
      <c r="AM394" t="str">
        <f>VLOOKUP(MID($AR394,1,255),country_lookup!$B:$F,4,FALSE)</f>
        <v>99_NCE</v>
      </c>
      <c r="AN394" t="str">
        <f>VLOOKUP(MID($AR394,1,255),country_lookup!$B:$F,5,FALSE)</f>
        <v>99_NCE</v>
      </c>
      <c r="AO394" s="10" t="str">
        <f>VLOOKUP(MID($AS394,1,255),source_lookup!$B:$K,4,FALSE)</f>
        <v>0_published</v>
      </c>
      <c r="AP394" s="10" t="str">
        <f>VLOOKUP(MID($AS394,1,255),source_lookup!$B:$K,6,FALSE)</f>
        <v>1_VHB high</v>
      </c>
      <c r="AQ394" s="10" t="str">
        <f>VLOOKUP(MID($AS394,1,255),source_lookup!$B:$K,10,FALSE)</f>
        <v>1_fin/acc/econ</v>
      </c>
      <c r="AR394" t="s">
        <v>92</v>
      </c>
      <c r="AS394" t="s">
        <v>136</v>
      </c>
    </row>
    <row r="395" spans="1:45" x14ac:dyDescent="0.3">
      <c r="A395" t="s">
        <v>12</v>
      </c>
      <c r="B395">
        <v>394</v>
      </c>
      <c r="C395" s="1">
        <v>7.8485821761604072E-3</v>
      </c>
      <c r="D395" s="2">
        <v>217</v>
      </c>
      <c r="E395" s="4">
        <v>19068</v>
      </c>
      <c r="F395" s="4" t="s">
        <v>347</v>
      </c>
      <c r="G395" s="4" t="s">
        <v>346</v>
      </c>
      <c r="H395" t="s">
        <v>77</v>
      </c>
      <c r="I395" t="s">
        <v>352</v>
      </c>
      <c r="J395" s="3">
        <v>2007</v>
      </c>
      <c r="K395" s="3">
        <v>2016</v>
      </c>
      <c r="L395" s="6">
        <f t="shared" si="131"/>
        <v>2011.5</v>
      </c>
      <c r="M395" s="6">
        <f t="shared" si="132"/>
        <v>2011.5</v>
      </c>
      <c r="N395" s="7">
        <f t="shared" si="120"/>
        <v>0.1</v>
      </c>
      <c r="O395" s="7">
        <f t="shared" si="121"/>
        <v>0</v>
      </c>
      <c r="P395" s="7">
        <f t="shared" si="122"/>
        <v>0</v>
      </c>
      <c r="Q395" s="7">
        <f t="shared" si="133"/>
        <v>0</v>
      </c>
      <c r="R395" s="10" t="str">
        <f t="shared" si="123"/>
        <v>0_Pre</v>
      </c>
      <c r="S395" s="10" t="str">
        <f t="shared" si="124"/>
        <v>0_Pre</v>
      </c>
      <c r="T395" s="10" t="str">
        <f t="shared" si="125"/>
        <v>0_Pre</v>
      </c>
      <c r="U395" s="10" t="str">
        <f t="shared" si="126"/>
        <v>1_Post</v>
      </c>
      <c r="V395" s="10" t="str">
        <f t="shared" si="134"/>
        <v>0_Pre</v>
      </c>
      <c r="W395" s="10" t="str">
        <f t="shared" si="127"/>
        <v>straddle</v>
      </c>
      <c r="X395" s="10" t="str">
        <f t="shared" si="128"/>
        <v>0_Pre</v>
      </c>
      <c r="Y395" s="10" t="str">
        <f t="shared" si="129"/>
        <v>0_Pre</v>
      </c>
      <c r="Z395" s="10" t="str">
        <f t="shared" si="130"/>
        <v>0_Pre</v>
      </c>
      <c r="AA395" s="10" t="str">
        <f t="shared" si="135"/>
        <v>0_Pre</v>
      </c>
      <c r="AB395" s="10" t="str">
        <f t="shared" si="136"/>
        <v>0_Pre</v>
      </c>
      <c r="AC395" s="10" t="str">
        <f t="shared" si="137"/>
        <v>0_Pre</v>
      </c>
      <c r="AD395" s="10" t="str">
        <f t="shared" si="138"/>
        <v>1_pre sample median</v>
      </c>
      <c r="AE395" s="10" t="str">
        <f t="shared" si="139"/>
        <v>2_in sample second tertile</v>
      </c>
      <c r="AF395" t="s">
        <v>80</v>
      </c>
      <c r="AG395" t="s">
        <v>75</v>
      </c>
      <c r="AH395" t="s">
        <v>78</v>
      </c>
      <c r="AI395" t="s">
        <v>70</v>
      </c>
      <c r="AJ395" t="s">
        <v>70</v>
      </c>
      <c r="AK395" t="str">
        <f>VLOOKUP(MID($AR395,1,255),country_lookup!$B:$F,2,FALSE)</f>
        <v>99_NCE</v>
      </c>
      <c r="AL395" t="str">
        <f>VLOOKUP(MID($AR395,1,255),country_lookup!$B:$F,3,FALSE)</f>
        <v>99_NCE</v>
      </c>
      <c r="AM395" t="str">
        <f>VLOOKUP(MID($AR395,1,255),country_lookup!$B:$F,4,FALSE)</f>
        <v>99_NCE</v>
      </c>
      <c r="AN395" t="str">
        <f>VLOOKUP(MID($AR395,1,255),country_lookup!$B:$F,5,FALSE)</f>
        <v>99_NCE</v>
      </c>
      <c r="AO395" s="10" t="str">
        <f>VLOOKUP(MID($AS395,1,255),source_lookup!$B:$K,4,FALSE)</f>
        <v>0_published</v>
      </c>
      <c r="AP395" s="10" t="str">
        <f>VLOOKUP(MID($AS395,1,255),source_lookup!$B:$K,6,FALSE)</f>
        <v>1_VHB high</v>
      </c>
      <c r="AQ395" s="10" t="str">
        <f>VLOOKUP(MID($AS395,1,255),source_lookup!$B:$K,10,FALSE)</f>
        <v>1_fin/acc/econ</v>
      </c>
      <c r="AR395" t="s">
        <v>92</v>
      </c>
      <c r="AS395" t="s">
        <v>136</v>
      </c>
    </row>
    <row r="396" spans="1:45" x14ac:dyDescent="0.3">
      <c r="A396" t="s">
        <v>12</v>
      </c>
      <c r="B396">
        <v>395</v>
      </c>
      <c r="C396" s="1">
        <v>-3.1878959874248804E-2</v>
      </c>
      <c r="D396" s="2">
        <v>217</v>
      </c>
      <c r="E396" s="4">
        <v>19068</v>
      </c>
      <c r="F396" s="4" t="s">
        <v>347</v>
      </c>
      <c r="G396" s="4" t="s">
        <v>346</v>
      </c>
      <c r="H396" t="s">
        <v>77</v>
      </c>
      <c r="I396" t="s">
        <v>352</v>
      </c>
      <c r="J396" s="3">
        <v>2007</v>
      </c>
      <c r="K396" s="3">
        <v>2016</v>
      </c>
      <c r="L396" s="6">
        <f t="shared" si="131"/>
        <v>2011.5</v>
      </c>
      <c r="M396" s="6">
        <f t="shared" si="132"/>
        <v>2011.5</v>
      </c>
      <c r="N396" s="7">
        <f t="shared" si="120"/>
        <v>0.1</v>
      </c>
      <c r="O396" s="7">
        <f t="shared" si="121"/>
        <v>0</v>
      </c>
      <c r="P396" s="7">
        <f t="shared" si="122"/>
        <v>0</v>
      </c>
      <c r="Q396" s="7">
        <f t="shared" si="133"/>
        <v>0</v>
      </c>
      <c r="R396" s="10" t="str">
        <f t="shared" si="123"/>
        <v>0_Pre</v>
      </c>
      <c r="S396" s="10" t="str">
        <f t="shared" si="124"/>
        <v>0_Pre</v>
      </c>
      <c r="T396" s="10" t="str">
        <f t="shared" si="125"/>
        <v>0_Pre</v>
      </c>
      <c r="U396" s="10" t="str">
        <f t="shared" si="126"/>
        <v>1_Post</v>
      </c>
      <c r="V396" s="10" t="str">
        <f t="shared" si="134"/>
        <v>0_Pre</v>
      </c>
      <c r="W396" s="10" t="str">
        <f t="shared" si="127"/>
        <v>straddle</v>
      </c>
      <c r="X396" s="10" t="str">
        <f t="shared" si="128"/>
        <v>0_Pre</v>
      </c>
      <c r="Y396" s="10" t="str">
        <f t="shared" si="129"/>
        <v>0_Pre</v>
      </c>
      <c r="Z396" s="10" t="str">
        <f t="shared" si="130"/>
        <v>0_Pre</v>
      </c>
      <c r="AA396" s="10" t="str">
        <f t="shared" si="135"/>
        <v>0_Pre</v>
      </c>
      <c r="AB396" s="10" t="str">
        <f t="shared" si="136"/>
        <v>0_Pre</v>
      </c>
      <c r="AC396" s="10" t="str">
        <f t="shared" si="137"/>
        <v>0_Pre</v>
      </c>
      <c r="AD396" s="10" t="str">
        <f t="shared" si="138"/>
        <v>1_pre sample median</v>
      </c>
      <c r="AE396" s="10" t="str">
        <f t="shared" si="139"/>
        <v>2_in sample second tertile</v>
      </c>
      <c r="AF396" t="s">
        <v>80</v>
      </c>
      <c r="AG396" t="s">
        <v>75</v>
      </c>
      <c r="AH396" t="s">
        <v>78</v>
      </c>
      <c r="AI396" t="s">
        <v>70</v>
      </c>
      <c r="AJ396" t="s">
        <v>70</v>
      </c>
      <c r="AK396" t="str">
        <f>VLOOKUP(MID($AR396,1,255),country_lookup!$B:$F,2,FALSE)</f>
        <v>99_NCE</v>
      </c>
      <c r="AL396" t="str">
        <f>VLOOKUP(MID($AR396,1,255),country_lookup!$B:$F,3,FALSE)</f>
        <v>99_NCE</v>
      </c>
      <c r="AM396" t="str">
        <f>VLOOKUP(MID($AR396,1,255),country_lookup!$B:$F,4,FALSE)</f>
        <v>99_NCE</v>
      </c>
      <c r="AN396" t="str">
        <f>VLOOKUP(MID($AR396,1,255),country_lookup!$B:$F,5,FALSE)</f>
        <v>99_NCE</v>
      </c>
      <c r="AO396" s="10" t="str">
        <f>VLOOKUP(MID($AS396,1,255),source_lookup!$B:$K,4,FALSE)</f>
        <v>0_published</v>
      </c>
      <c r="AP396" s="10" t="str">
        <f>VLOOKUP(MID($AS396,1,255),source_lookup!$B:$K,6,FALSE)</f>
        <v>1_VHB high</v>
      </c>
      <c r="AQ396" s="10" t="str">
        <f>VLOOKUP(MID($AS396,1,255),source_lookup!$B:$K,10,FALSE)</f>
        <v>1_fin/acc/econ</v>
      </c>
      <c r="AR396" t="s">
        <v>92</v>
      </c>
      <c r="AS396" t="s">
        <v>136</v>
      </c>
    </row>
    <row r="397" spans="1:45" x14ac:dyDescent="0.3">
      <c r="A397" t="s">
        <v>12</v>
      </c>
      <c r="B397">
        <v>396</v>
      </c>
      <c r="C397" s="1">
        <v>0.27524277303280337</v>
      </c>
      <c r="D397" s="2">
        <v>217</v>
      </c>
      <c r="E397" s="4">
        <v>19068</v>
      </c>
      <c r="F397" s="4" t="s">
        <v>347</v>
      </c>
      <c r="G397" s="4" t="s">
        <v>346</v>
      </c>
      <c r="H397" t="s">
        <v>77</v>
      </c>
      <c r="I397" t="s">
        <v>352</v>
      </c>
      <c r="J397" s="3">
        <v>2007</v>
      </c>
      <c r="K397" s="3">
        <v>2016</v>
      </c>
      <c r="L397" s="6">
        <f t="shared" si="131"/>
        <v>2011.5</v>
      </c>
      <c r="M397" s="6">
        <f t="shared" si="132"/>
        <v>2011.5</v>
      </c>
      <c r="N397" s="7">
        <f t="shared" si="120"/>
        <v>0.1</v>
      </c>
      <c r="O397" s="7">
        <f t="shared" si="121"/>
        <v>0</v>
      </c>
      <c r="P397" s="7">
        <f t="shared" si="122"/>
        <v>0</v>
      </c>
      <c r="Q397" s="7">
        <f t="shared" si="133"/>
        <v>0</v>
      </c>
      <c r="R397" s="10" t="str">
        <f t="shared" si="123"/>
        <v>0_Pre</v>
      </c>
      <c r="S397" s="10" t="str">
        <f t="shared" si="124"/>
        <v>0_Pre</v>
      </c>
      <c r="T397" s="10" t="str">
        <f t="shared" si="125"/>
        <v>0_Pre</v>
      </c>
      <c r="U397" s="10" t="str">
        <f t="shared" si="126"/>
        <v>1_Post</v>
      </c>
      <c r="V397" s="10" t="str">
        <f t="shared" si="134"/>
        <v>0_Pre</v>
      </c>
      <c r="W397" s="10" t="str">
        <f t="shared" si="127"/>
        <v>straddle</v>
      </c>
      <c r="X397" s="10" t="str">
        <f t="shared" si="128"/>
        <v>0_Pre</v>
      </c>
      <c r="Y397" s="10" t="str">
        <f t="shared" si="129"/>
        <v>0_Pre</v>
      </c>
      <c r="Z397" s="10" t="str">
        <f t="shared" si="130"/>
        <v>0_Pre</v>
      </c>
      <c r="AA397" s="10" t="str">
        <f t="shared" si="135"/>
        <v>0_Pre</v>
      </c>
      <c r="AB397" s="10" t="str">
        <f t="shared" si="136"/>
        <v>0_Pre</v>
      </c>
      <c r="AC397" s="10" t="str">
        <f t="shared" si="137"/>
        <v>0_Pre</v>
      </c>
      <c r="AD397" s="10" t="str">
        <f t="shared" si="138"/>
        <v>1_pre sample median</v>
      </c>
      <c r="AE397" s="10" t="str">
        <f t="shared" si="139"/>
        <v>2_in sample second tertile</v>
      </c>
      <c r="AF397" t="s">
        <v>80</v>
      </c>
      <c r="AG397" t="s">
        <v>75</v>
      </c>
      <c r="AH397" t="s">
        <v>78</v>
      </c>
      <c r="AI397" t="s">
        <v>70</v>
      </c>
      <c r="AJ397" t="s">
        <v>70</v>
      </c>
      <c r="AK397" t="str">
        <f>VLOOKUP(MID($AR397,1,255),country_lookup!$B:$F,2,FALSE)</f>
        <v>99_NCE</v>
      </c>
      <c r="AL397" t="str">
        <f>VLOOKUP(MID($AR397,1,255),country_lookup!$B:$F,3,FALSE)</f>
        <v>99_NCE</v>
      </c>
      <c r="AM397" t="str">
        <f>VLOOKUP(MID($AR397,1,255),country_lookup!$B:$F,4,FALSE)</f>
        <v>99_NCE</v>
      </c>
      <c r="AN397" t="str">
        <f>VLOOKUP(MID($AR397,1,255),country_lookup!$B:$F,5,FALSE)</f>
        <v>99_NCE</v>
      </c>
      <c r="AO397" s="10" t="str">
        <f>VLOOKUP(MID($AS397,1,255),source_lookup!$B:$K,4,FALSE)</f>
        <v>0_published</v>
      </c>
      <c r="AP397" s="10" t="str">
        <f>VLOOKUP(MID($AS397,1,255),source_lookup!$B:$K,6,FALSE)</f>
        <v>1_VHB high</v>
      </c>
      <c r="AQ397" s="10" t="str">
        <f>VLOOKUP(MID($AS397,1,255),source_lookup!$B:$K,10,FALSE)</f>
        <v>1_fin/acc/econ</v>
      </c>
      <c r="AR397" t="s">
        <v>92</v>
      </c>
      <c r="AS397" t="s">
        <v>136</v>
      </c>
    </row>
    <row r="398" spans="1:45" x14ac:dyDescent="0.3">
      <c r="A398" t="s">
        <v>12</v>
      </c>
      <c r="B398">
        <v>397</v>
      </c>
      <c r="C398" s="1">
        <v>-8.4681676445630336E-3</v>
      </c>
      <c r="D398" s="2">
        <v>217</v>
      </c>
      <c r="E398" s="4">
        <v>19068</v>
      </c>
      <c r="F398" s="4" t="s">
        <v>347</v>
      </c>
      <c r="G398" s="4" t="s">
        <v>346</v>
      </c>
      <c r="H398" t="s">
        <v>77</v>
      </c>
      <c r="I398" t="s">
        <v>352</v>
      </c>
      <c r="J398" s="3">
        <v>2007</v>
      </c>
      <c r="K398" s="3">
        <v>2016</v>
      </c>
      <c r="L398" s="6">
        <f t="shared" si="131"/>
        <v>2011.5</v>
      </c>
      <c r="M398" s="6">
        <f t="shared" si="132"/>
        <v>2011.5</v>
      </c>
      <c r="N398" s="7">
        <f t="shared" si="120"/>
        <v>0.1</v>
      </c>
      <c r="O398" s="7">
        <f t="shared" si="121"/>
        <v>0</v>
      </c>
      <c r="P398" s="7">
        <f t="shared" si="122"/>
        <v>0</v>
      </c>
      <c r="Q398" s="7">
        <f t="shared" si="133"/>
        <v>0</v>
      </c>
      <c r="R398" s="10" t="str">
        <f t="shared" si="123"/>
        <v>0_Pre</v>
      </c>
      <c r="S398" s="10" t="str">
        <f t="shared" si="124"/>
        <v>0_Pre</v>
      </c>
      <c r="T398" s="10" t="str">
        <f t="shared" si="125"/>
        <v>0_Pre</v>
      </c>
      <c r="U398" s="10" t="str">
        <f t="shared" si="126"/>
        <v>1_Post</v>
      </c>
      <c r="V398" s="10" t="str">
        <f t="shared" si="134"/>
        <v>0_Pre</v>
      </c>
      <c r="W398" s="10" t="str">
        <f t="shared" si="127"/>
        <v>straddle</v>
      </c>
      <c r="X398" s="10" t="str">
        <f t="shared" si="128"/>
        <v>0_Pre</v>
      </c>
      <c r="Y398" s="10" t="str">
        <f t="shared" si="129"/>
        <v>0_Pre</v>
      </c>
      <c r="Z398" s="10" t="str">
        <f t="shared" si="130"/>
        <v>0_Pre</v>
      </c>
      <c r="AA398" s="10" t="str">
        <f t="shared" si="135"/>
        <v>0_Pre</v>
      </c>
      <c r="AB398" s="10" t="str">
        <f t="shared" si="136"/>
        <v>0_Pre</v>
      </c>
      <c r="AC398" s="10" t="str">
        <f t="shared" si="137"/>
        <v>0_Pre</v>
      </c>
      <c r="AD398" s="10" t="str">
        <f t="shared" si="138"/>
        <v>1_pre sample median</v>
      </c>
      <c r="AE398" s="10" t="str">
        <f t="shared" si="139"/>
        <v>2_in sample second tertile</v>
      </c>
      <c r="AF398" t="s">
        <v>80</v>
      </c>
      <c r="AG398" t="s">
        <v>75</v>
      </c>
      <c r="AH398" t="s">
        <v>78</v>
      </c>
      <c r="AI398" t="s">
        <v>70</v>
      </c>
      <c r="AJ398" t="s">
        <v>70</v>
      </c>
      <c r="AK398" t="str">
        <f>VLOOKUP(MID($AR398,1,255),country_lookup!$B:$F,2,FALSE)</f>
        <v>99_NCE</v>
      </c>
      <c r="AL398" t="str">
        <f>VLOOKUP(MID($AR398,1,255),country_lookup!$B:$F,3,FALSE)</f>
        <v>99_NCE</v>
      </c>
      <c r="AM398" t="str">
        <f>VLOOKUP(MID($AR398,1,255),country_lookup!$B:$F,4,FALSE)</f>
        <v>99_NCE</v>
      </c>
      <c r="AN398" t="str">
        <f>VLOOKUP(MID($AR398,1,255),country_lookup!$B:$F,5,FALSE)</f>
        <v>99_NCE</v>
      </c>
      <c r="AO398" s="10" t="str">
        <f>VLOOKUP(MID($AS398,1,255),source_lookup!$B:$K,4,FALSE)</f>
        <v>0_published</v>
      </c>
      <c r="AP398" s="10" t="str">
        <f>VLOOKUP(MID($AS398,1,255),source_lookup!$B:$K,6,FALSE)</f>
        <v>1_VHB high</v>
      </c>
      <c r="AQ398" s="10" t="str">
        <f>VLOOKUP(MID($AS398,1,255),source_lookup!$B:$K,10,FALSE)</f>
        <v>1_fin/acc/econ</v>
      </c>
      <c r="AR398" t="s">
        <v>92</v>
      </c>
      <c r="AS398" t="s">
        <v>136</v>
      </c>
    </row>
    <row r="399" spans="1:45" x14ac:dyDescent="0.3">
      <c r="A399" t="s">
        <v>12</v>
      </c>
      <c r="B399">
        <v>398</v>
      </c>
      <c r="C399" s="1">
        <v>-0.35925616454717968</v>
      </c>
      <c r="D399" s="2">
        <v>217</v>
      </c>
      <c r="E399" s="4">
        <v>19068</v>
      </c>
      <c r="F399" s="4" t="s">
        <v>347</v>
      </c>
      <c r="G399" s="4" t="s">
        <v>346</v>
      </c>
      <c r="H399" t="s">
        <v>77</v>
      </c>
      <c r="I399" t="s">
        <v>352</v>
      </c>
      <c r="J399" s="3">
        <v>2007</v>
      </c>
      <c r="K399" s="3">
        <v>2016</v>
      </c>
      <c r="L399" s="6">
        <f t="shared" si="131"/>
        <v>2011.5</v>
      </c>
      <c r="M399" s="6">
        <f t="shared" si="132"/>
        <v>2011.5</v>
      </c>
      <c r="N399" s="7">
        <f t="shared" si="120"/>
        <v>0.1</v>
      </c>
      <c r="O399" s="7">
        <f t="shared" si="121"/>
        <v>0</v>
      </c>
      <c r="P399" s="7">
        <f t="shared" si="122"/>
        <v>0</v>
      </c>
      <c r="Q399" s="7">
        <f t="shared" si="133"/>
        <v>0</v>
      </c>
      <c r="R399" s="10" t="str">
        <f t="shared" si="123"/>
        <v>0_Pre</v>
      </c>
      <c r="S399" s="10" t="str">
        <f t="shared" si="124"/>
        <v>0_Pre</v>
      </c>
      <c r="T399" s="10" t="str">
        <f t="shared" si="125"/>
        <v>0_Pre</v>
      </c>
      <c r="U399" s="10" t="str">
        <f t="shared" si="126"/>
        <v>1_Post</v>
      </c>
      <c r="V399" s="10" t="str">
        <f t="shared" si="134"/>
        <v>0_Pre</v>
      </c>
      <c r="W399" s="10" t="str">
        <f t="shared" si="127"/>
        <v>straddle</v>
      </c>
      <c r="X399" s="10" t="str">
        <f t="shared" si="128"/>
        <v>0_Pre</v>
      </c>
      <c r="Y399" s="10" t="str">
        <f t="shared" si="129"/>
        <v>0_Pre</v>
      </c>
      <c r="Z399" s="10" t="str">
        <f t="shared" si="130"/>
        <v>0_Pre</v>
      </c>
      <c r="AA399" s="10" t="str">
        <f t="shared" si="135"/>
        <v>0_Pre</v>
      </c>
      <c r="AB399" s="10" t="str">
        <f t="shared" si="136"/>
        <v>0_Pre</v>
      </c>
      <c r="AC399" s="10" t="str">
        <f t="shared" si="137"/>
        <v>0_Pre</v>
      </c>
      <c r="AD399" s="10" t="str">
        <f t="shared" si="138"/>
        <v>1_pre sample median</v>
      </c>
      <c r="AE399" s="10" t="str">
        <f t="shared" si="139"/>
        <v>2_in sample second tertile</v>
      </c>
      <c r="AF399" t="s">
        <v>80</v>
      </c>
      <c r="AG399" t="s">
        <v>75</v>
      </c>
      <c r="AH399" t="s">
        <v>78</v>
      </c>
      <c r="AI399" t="s">
        <v>70</v>
      </c>
      <c r="AJ399" t="s">
        <v>70</v>
      </c>
      <c r="AK399" t="str">
        <f>VLOOKUP(MID($AR399,1,255),country_lookup!$B:$F,2,FALSE)</f>
        <v>99_NCE</v>
      </c>
      <c r="AL399" t="str">
        <f>VLOOKUP(MID($AR399,1,255),country_lookup!$B:$F,3,FALSE)</f>
        <v>99_NCE</v>
      </c>
      <c r="AM399" t="str">
        <f>VLOOKUP(MID($AR399,1,255),country_lookup!$B:$F,4,FALSE)</f>
        <v>99_NCE</v>
      </c>
      <c r="AN399" t="str">
        <f>VLOOKUP(MID($AR399,1,255),country_lookup!$B:$F,5,FALSE)</f>
        <v>99_NCE</v>
      </c>
      <c r="AO399" s="10" t="str">
        <f>VLOOKUP(MID($AS399,1,255),source_lookup!$B:$K,4,FALSE)</f>
        <v>0_published</v>
      </c>
      <c r="AP399" s="10" t="str">
        <f>VLOOKUP(MID($AS399,1,255),source_lookup!$B:$K,6,FALSE)</f>
        <v>1_VHB high</v>
      </c>
      <c r="AQ399" s="10" t="str">
        <f>VLOOKUP(MID($AS399,1,255),source_lookup!$B:$K,10,FALSE)</f>
        <v>1_fin/acc/econ</v>
      </c>
      <c r="AR399" t="s">
        <v>92</v>
      </c>
      <c r="AS399" t="s">
        <v>136</v>
      </c>
    </row>
    <row r="400" spans="1:45" x14ac:dyDescent="0.3">
      <c r="A400" t="s">
        <v>12</v>
      </c>
      <c r="B400">
        <v>399</v>
      </c>
      <c r="C400" s="1">
        <v>-0.28736968201984803</v>
      </c>
      <c r="D400" s="2">
        <v>217</v>
      </c>
      <c r="E400" s="4">
        <v>19068</v>
      </c>
      <c r="F400" s="4" t="s">
        <v>347</v>
      </c>
      <c r="G400" s="4" t="s">
        <v>346</v>
      </c>
      <c r="H400" t="s">
        <v>77</v>
      </c>
      <c r="I400" t="s">
        <v>352</v>
      </c>
      <c r="J400" s="3">
        <v>2007</v>
      </c>
      <c r="K400" s="3">
        <v>2016</v>
      </c>
      <c r="L400" s="6">
        <f t="shared" si="131"/>
        <v>2011.5</v>
      </c>
      <c r="M400" s="6">
        <f t="shared" si="132"/>
        <v>2011.5</v>
      </c>
      <c r="N400" s="7">
        <f t="shared" si="120"/>
        <v>0.1</v>
      </c>
      <c r="O400" s="7">
        <f t="shared" si="121"/>
        <v>0</v>
      </c>
      <c r="P400" s="7">
        <f t="shared" si="122"/>
        <v>0</v>
      </c>
      <c r="Q400" s="7">
        <f t="shared" si="133"/>
        <v>0</v>
      </c>
      <c r="R400" s="10" t="str">
        <f t="shared" si="123"/>
        <v>0_Pre</v>
      </c>
      <c r="S400" s="10" t="str">
        <f t="shared" si="124"/>
        <v>0_Pre</v>
      </c>
      <c r="T400" s="10" t="str">
        <f t="shared" si="125"/>
        <v>0_Pre</v>
      </c>
      <c r="U400" s="10" t="str">
        <f t="shared" si="126"/>
        <v>1_Post</v>
      </c>
      <c r="V400" s="10" t="str">
        <f t="shared" si="134"/>
        <v>0_Pre</v>
      </c>
      <c r="W400" s="10" t="str">
        <f t="shared" si="127"/>
        <v>straddle</v>
      </c>
      <c r="X400" s="10" t="str">
        <f t="shared" si="128"/>
        <v>0_Pre</v>
      </c>
      <c r="Y400" s="10" t="str">
        <f t="shared" si="129"/>
        <v>0_Pre</v>
      </c>
      <c r="Z400" s="10" t="str">
        <f t="shared" si="130"/>
        <v>0_Pre</v>
      </c>
      <c r="AA400" s="10" t="str">
        <f t="shared" si="135"/>
        <v>0_Pre</v>
      </c>
      <c r="AB400" s="10" t="str">
        <f t="shared" si="136"/>
        <v>0_Pre</v>
      </c>
      <c r="AC400" s="10" t="str">
        <f t="shared" si="137"/>
        <v>0_Pre</v>
      </c>
      <c r="AD400" s="10" t="str">
        <f t="shared" si="138"/>
        <v>1_pre sample median</v>
      </c>
      <c r="AE400" s="10" t="str">
        <f t="shared" si="139"/>
        <v>2_in sample second tertile</v>
      </c>
      <c r="AF400" t="s">
        <v>80</v>
      </c>
      <c r="AG400" t="s">
        <v>75</v>
      </c>
      <c r="AH400" t="s">
        <v>78</v>
      </c>
      <c r="AI400" t="s">
        <v>70</v>
      </c>
      <c r="AJ400" t="s">
        <v>70</v>
      </c>
      <c r="AK400" t="str">
        <f>VLOOKUP(MID($AR400,1,255),country_lookup!$B:$F,2,FALSE)</f>
        <v>99_NCE</v>
      </c>
      <c r="AL400" t="str">
        <f>VLOOKUP(MID($AR400,1,255),country_lookup!$B:$F,3,FALSE)</f>
        <v>99_NCE</v>
      </c>
      <c r="AM400" t="str">
        <f>VLOOKUP(MID($AR400,1,255),country_lookup!$B:$F,4,FALSE)</f>
        <v>99_NCE</v>
      </c>
      <c r="AN400" t="str">
        <f>VLOOKUP(MID($AR400,1,255),country_lookup!$B:$F,5,FALSE)</f>
        <v>99_NCE</v>
      </c>
      <c r="AO400" s="10" t="str">
        <f>VLOOKUP(MID($AS400,1,255),source_lookup!$B:$K,4,FALSE)</f>
        <v>0_published</v>
      </c>
      <c r="AP400" s="10" t="str">
        <f>VLOOKUP(MID($AS400,1,255),source_lookup!$B:$K,6,FALSE)</f>
        <v>1_VHB high</v>
      </c>
      <c r="AQ400" s="10" t="str">
        <f>VLOOKUP(MID($AS400,1,255),source_lookup!$B:$K,10,FALSE)</f>
        <v>1_fin/acc/econ</v>
      </c>
      <c r="AR400" t="s">
        <v>92</v>
      </c>
      <c r="AS400" t="s">
        <v>136</v>
      </c>
    </row>
    <row r="401" spans="1:45" x14ac:dyDescent="0.3">
      <c r="A401" t="s">
        <v>12</v>
      </c>
      <c r="B401">
        <v>400</v>
      </c>
      <c r="C401" s="1">
        <v>-0.36232909212912595</v>
      </c>
      <c r="D401" s="2">
        <v>217</v>
      </c>
      <c r="E401" s="4">
        <v>19068</v>
      </c>
      <c r="F401" s="4" t="s">
        <v>347</v>
      </c>
      <c r="G401" s="4" t="s">
        <v>346</v>
      </c>
      <c r="H401" t="s">
        <v>77</v>
      </c>
      <c r="I401" t="s">
        <v>352</v>
      </c>
      <c r="J401" s="3">
        <v>2007</v>
      </c>
      <c r="K401" s="3">
        <v>2016</v>
      </c>
      <c r="L401" s="6">
        <f t="shared" si="131"/>
        <v>2011.5</v>
      </c>
      <c r="M401" s="6">
        <f t="shared" si="132"/>
        <v>2011.5</v>
      </c>
      <c r="N401" s="7">
        <f t="shared" si="120"/>
        <v>0.1</v>
      </c>
      <c r="O401" s="7">
        <f t="shared" si="121"/>
        <v>0</v>
      </c>
      <c r="P401" s="7">
        <f t="shared" si="122"/>
        <v>0</v>
      </c>
      <c r="Q401" s="7">
        <f t="shared" si="133"/>
        <v>0</v>
      </c>
      <c r="R401" s="10" t="str">
        <f t="shared" si="123"/>
        <v>0_Pre</v>
      </c>
      <c r="S401" s="10" t="str">
        <f t="shared" si="124"/>
        <v>0_Pre</v>
      </c>
      <c r="T401" s="10" t="str">
        <f t="shared" si="125"/>
        <v>0_Pre</v>
      </c>
      <c r="U401" s="10" t="str">
        <f t="shared" si="126"/>
        <v>1_Post</v>
      </c>
      <c r="V401" s="10" t="str">
        <f t="shared" si="134"/>
        <v>0_Pre</v>
      </c>
      <c r="W401" s="10" t="str">
        <f t="shared" si="127"/>
        <v>straddle</v>
      </c>
      <c r="X401" s="10" t="str">
        <f t="shared" si="128"/>
        <v>0_Pre</v>
      </c>
      <c r="Y401" s="10" t="str">
        <f t="shared" si="129"/>
        <v>0_Pre</v>
      </c>
      <c r="Z401" s="10" t="str">
        <f t="shared" si="130"/>
        <v>0_Pre</v>
      </c>
      <c r="AA401" s="10" t="str">
        <f t="shared" si="135"/>
        <v>0_Pre</v>
      </c>
      <c r="AB401" s="10" t="str">
        <f t="shared" si="136"/>
        <v>0_Pre</v>
      </c>
      <c r="AC401" s="10" t="str">
        <f t="shared" si="137"/>
        <v>0_Pre</v>
      </c>
      <c r="AD401" s="10" t="str">
        <f t="shared" si="138"/>
        <v>1_pre sample median</v>
      </c>
      <c r="AE401" s="10" t="str">
        <f t="shared" si="139"/>
        <v>2_in sample second tertile</v>
      </c>
      <c r="AF401" t="s">
        <v>80</v>
      </c>
      <c r="AG401" t="s">
        <v>75</v>
      </c>
      <c r="AH401" t="s">
        <v>78</v>
      </c>
      <c r="AI401" t="s">
        <v>70</v>
      </c>
      <c r="AJ401" t="s">
        <v>70</v>
      </c>
      <c r="AK401" t="str">
        <f>VLOOKUP(MID($AR401,1,255),country_lookup!$B:$F,2,FALSE)</f>
        <v>99_NCE</v>
      </c>
      <c r="AL401" t="str">
        <f>VLOOKUP(MID($AR401,1,255),country_lookup!$B:$F,3,FALSE)</f>
        <v>99_NCE</v>
      </c>
      <c r="AM401" t="str">
        <f>VLOOKUP(MID($AR401,1,255),country_lookup!$B:$F,4,FALSE)</f>
        <v>99_NCE</v>
      </c>
      <c r="AN401" t="str">
        <f>VLOOKUP(MID($AR401,1,255),country_lookup!$B:$F,5,FALSE)</f>
        <v>99_NCE</v>
      </c>
      <c r="AO401" s="10" t="str">
        <f>VLOOKUP(MID($AS401,1,255),source_lookup!$B:$K,4,FALSE)</f>
        <v>0_published</v>
      </c>
      <c r="AP401" s="10" t="str">
        <f>VLOOKUP(MID($AS401,1,255),source_lookup!$B:$K,6,FALSE)</f>
        <v>1_VHB high</v>
      </c>
      <c r="AQ401" s="10" t="str">
        <f>VLOOKUP(MID($AS401,1,255),source_lookup!$B:$K,10,FALSE)</f>
        <v>1_fin/acc/econ</v>
      </c>
      <c r="AR401" t="s">
        <v>92</v>
      </c>
      <c r="AS401" t="s">
        <v>136</v>
      </c>
    </row>
    <row r="402" spans="1:45" x14ac:dyDescent="0.3">
      <c r="A402" t="s">
        <v>12</v>
      </c>
      <c r="B402">
        <v>401</v>
      </c>
      <c r="C402" s="1">
        <v>-2.3725718913419947E-2</v>
      </c>
      <c r="D402" s="2">
        <v>217</v>
      </c>
      <c r="E402" s="4">
        <v>19199</v>
      </c>
      <c r="F402" s="4" t="s">
        <v>347</v>
      </c>
      <c r="G402" s="4" t="s">
        <v>346</v>
      </c>
      <c r="H402" t="s">
        <v>77</v>
      </c>
      <c r="I402" t="s">
        <v>352</v>
      </c>
      <c r="J402" s="3">
        <v>2007</v>
      </c>
      <c r="K402" s="3">
        <v>2016</v>
      </c>
      <c r="L402" s="6">
        <f t="shared" si="131"/>
        <v>2011.5</v>
      </c>
      <c r="M402" s="6">
        <f t="shared" si="132"/>
        <v>2011.5</v>
      </c>
      <c r="N402" s="7">
        <f t="shared" si="120"/>
        <v>0.1</v>
      </c>
      <c r="O402" s="7">
        <f t="shared" si="121"/>
        <v>0</v>
      </c>
      <c r="P402" s="7">
        <f t="shared" si="122"/>
        <v>0</v>
      </c>
      <c r="Q402" s="7">
        <f t="shared" si="133"/>
        <v>0</v>
      </c>
      <c r="R402" s="10" t="str">
        <f t="shared" si="123"/>
        <v>0_Pre</v>
      </c>
      <c r="S402" s="10" t="str">
        <f t="shared" si="124"/>
        <v>0_Pre</v>
      </c>
      <c r="T402" s="10" t="str">
        <f t="shared" si="125"/>
        <v>0_Pre</v>
      </c>
      <c r="U402" s="10" t="str">
        <f t="shared" si="126"/>
        <v>1_Post</v>
      </c>
      <c r="V402" s="10" t="str">
        <f t="shared" si="134"/>
        <v>0_Pre</v>
      </c>
      <c r="W402" s="10" t="str">
        <f t="shared" si="127"/>
        <v>straddle</v>
      </c>
      <c r="X402" s="10" t="str">
        <f t="shared" si="128"/>
        <v>0_Pre</v>
      </c>
      <c r="Y402" s="10" t="str">
        <f t="shared" si="129"/>
        <v>0_Pre</v>
      </c>
      <c r="Z402" s="10" t="str">
        <f t="shared" si="130"/>
        <v>0_Pre</v>
      </c>
      <c r="AA402" s="10" t="str">
        <f t="shared" si="135"/>
        <v>0_Pre</v>
      </c>
      <c r="AB402" s="10" t="str">
        <f t="shared" si="136"/>
        <v>0_Pre</v>
      </c>
      <c r="AC402" s="10" t="str">
        <f t="shared" si="137"/>
        <v>0_Pre</v>
      </c>
      <c r="AD402" s="10" t="str">
        <f t="shared" si="138"/>
        <v>1_pre sample median</v>
      </c>
      <c r="AE402" s="10" t="str">
        <f t="shared" si="139"/>
        <v>2_in sample second tertile</v>
      </c>
      <c r="AF402" t="s">
        <v>80</v>
      </c>
      <c r="AG402" t="s">
        <v>75</v>
      </c>
      <c r="AH402" t="s">
        <v>78</v>
      </c>
      <c r="AI402" t="s">
        <v>70</v>
      </c>
      <c r="AJ402" t="s">
        <v>70</v>
      </c>
      <c r="AK402" t="str">
        <f>VLOOKUP(MID($AR402,1,255),country_lookup!$B:$F,2,FALSE)</f>
        <v>99_NCE</v>
      </c>
      <c r="AL402" t="str">
        <f>VLOOKUP(MID($AR402,1,255),country_lookup!$B:$F,3,FALSE)</f>
        <v>99_NCE</v>
      </c>
      <c r="AM402" t="str">
        <f>VLOOKUP(MID($AR402,1,255),country_lookup!$B:$F,4,FALSE)</f>
        <v>99_NCE</v>
      </c>
      <c r="AN402" t="str">
        <f>VLOOKUP(MID($AR402,1,255),country_lookup!$B:$F,5,FALSE)</f>
        <v>99_NCE</v>
      </c>
      <c r="AO402" s="10" t="str">
        <f>VLOOKUP(MID($AS402,1,255),source_lookup!$B:$K,4,FALSE)</f>
        <v>0_published</v>
      </c>
      <c r="AP402" s="10" t="str">
        <f>VLOOKUP(MID($AS402,1,255),source_lookup!$B:$K,6,FALSE)</f>
        <v>1_VHB high</v>
      </c>
      <c r="AQ402" s="10" t="str">
        <f>VLOOKUP(MID($AS402,1,255),source_lookup!$B:$K,10,FALSE)</f>
        <v>1_fin/acc/econ</v>
      </c>
      <c r="AR402" t="s">
        <v>92</v>
      </c>
      <c r="AS402" t="s">
        <v>136</v>
      </c>
    </row>
    <row r="403" spans="1:45" x14ac:dyDescent="0.3">
      <c r="A403" t="s">
        <v>12</v>
      </c>
      <c r="B403">
        <v>402</v>
      </c>
      <c r="C403" s="1">
        <v>-3.2035497498329499E-2</v>
      </c>
      <c r="D403" s="2">
        <v>217</v>
      </c>
      <c r="E403" s="4">
        <v>19199</v>
      </c>
      <c r="F403" s="4" t="s">
        <v>347</v>
      </c>
      <c r="G403" s="4" t="s">
        <v>346</v>
      </c>
      <c r="H403" t="s">
        <v>77</v>
      </c>
      <c r="I403" t="s">
        <v>352</v>
      </c>
      <c r="J403" s="3">
        <v>2007</v>
      </c>
      <c r="K403" s="3">
        <v>2016</v>
      </c>
      <c r="L403" s="6">
        <f t="shared" si="131"/>
        <v>2011.5</v>
      </c>
      <c r="M403" s="6">
        <f t="shared" si="132"/>
        <v>2011.5</v>
      </c>
      <c r="N403" s="7">
        <f t="shared" si="120"/>
        <v>0.1</v>
      </c>
      <c r="O403" s="7">
        <f t="shared" si="121"/>
        <v>0</v>
      </c>
      <c r="P403" s="7">
        <f t="shared" si="122"/>
        <v>0</v>
      </c>
      <c r="Q403" s="7">
        <f t="shared" si="133"/>
        <v>0</v>
      </c>
      <c r="R403" s="10" t="str">
        <f t="shared" si="123"/>
        <v>0_Pre</v>
      </c>
      <c r="S403" s="10" t="str">
        <f t="shared" si="124"/>
        <v>0_Pre</v>
      </c>
      <c r="T403" s="10" t="str">
        <f t="shared" si="125"/>
        <v>0_Pre</v>
      </c>
      <c r="U403" s="10" t="str">
        <f t="shared" si="126"/>
        <v>1_Post</v>
      </c>
      <c r="V403" s="10" t="str">
        <f t="shared" si="134"/>
        <v>0_Pre</v>
      </c>
      <c r="W403" s="10" t="str">
        <f t="shared" si="127"/>
        <v>straddle</v>
      </c>
      <c r="X403" s="10" t="str">
        <f t="shared" si="128"/>
        <v>0_Pre</v>
      </c>
      <c r="Y403" s="10" t="str">
        <f t="shared" si="129"/>
        <v>0_Pre</v>
      </c>
      <c r="Z403" s="10" t="str">
        <f t="shared" si="130"/>
        <v>0_Pre</v>
      </c>
      <c r="AA403" s="10" t="str">
        <f t="shared" si="135"/>
        <v>0_Pre</v>
      </c>
      <c r="AB403" s="10" t="str">
        <f t="shared" si="136"/>
        <v>0_Pre</v>
      </c>
      <c r="AC403" s="10" t="str">
        <f t="shared" si="137"/>
        <v>0_Pre</v>
      </c>
      <c r="AD403" s="10" t="str">
        <f t="shared" si="138"/>
        <v>1_pre sample median</v>
      </c>
      <c r="AE403" s="10" t="str">
        <f t="shared" si="139"/>
        <v>2_in sample second tertile</v>
      </c>
      <c r="AF403" t="s">
        <v>80</v>
      </c>
      <c r="AG403" t="s">
        <v>75</v>
      </c>
      <c r="AH403" t="s">
        <v>78</v>
      </c>
      <c r="AI403" t="s">
        <v>70</v>
      </c>
      <c r="AJ403" t="s">
        <v>70</v>
      </c>
      <c r="AK403" t="str">
        <f>VLOOKUP(MID($AR403,1,255),country_lookup!$B:$F,2,FALSE)</f>
        <v>99_NCE</v>
      </c>
      <c r="AL403" t="str">
        <f>VLOOKUP(MID($AR403,1,255),country_lookup!$B:$F,3,FALSE)</f>
        <v>99_NCE</v>
      </c>
      <c r="AM403" t="str">
        <f>VLOOKUP(MID($AR403,1,255),country_lookup!$B:$F,4,FALSE)</f>
        <v>99_NCE</v>
      </c>
      <c r="AN403" t="str">
        <f>VLOOKUP(MID($AR403,1,255),country_lookup!$B:$F,5,FALSE)</f>
        <v>99_NCE</v>
      </c>
      <c r="AO403" s="10" t="str">
        <f>VLOOKUP(MID($AS403,1,255),source_lookup!$B:$K,4,FALSE)</f>
        <v>0_published</v>
      </c>
      <c r="AP403" s="10" t="str">
        <f>VLOOKUP(MID($AS403,1,255),source_lookup!$B:$K,6,FALSE)</f>
        <v>1_VHB high</v>
      </c>
      <c r="AQ403" s="10" t="str">
        <f>VLOOKUP(MID($AS403,1,255),source_lookup!$B:$K,10,FALSE)</f>
        <v>1_fin/acc/econ</v>
      </c>
      <c r="AR403" t="s">
        <v>92</v>
      </c>
      <c r="AS403" t="s">
        <v>136</v>
      </c>
    </row>
    <row r="404" spans="1:45" x14ac:dyDescent="0.3">
      <c r="A404" t="s">
        <v>12</v>
      </c>
      <c r="B404">
        <v>403</v>
      </c>
      <c r="C404" s="1">
        <v>4.4476700793973492E-2</v>
      </c>
      <c r="D404" s="2">
        <v>217</v>
      </c>
      <c r="E404" s="4">
        <v>19199</v>
      </c>
      <c r="F404" s="4" t="s">
        <v>347</v>
      </c>
      <c r="G404" s="4" t="s">
        <v>346</v>
      </c>
      <c r="H404" t="s">
        <v>77</v>
      </c>
      <c r="I404" t="s">
        <v>352</v>
      </c>
      <c r="J404" s="3">
        <v>2007</v>
      </c>
      <c r="K404" s="3">
        <v>2016</v>
      </c>
      <c r="L404" s="6">
        <f t="shared" si="131"/>
        <v>2011.5</v>
      </c>
      <c r="M404" s="6">
        <f t="shared" si="132"/>
        <v>2011.5</v>
      </c>
      <c r="N404" s="7">
        <f t="shared" si="120"/>
        <v>0.1</v>
      </c>
      <c r="O404" s="7">
        <f t="shared" si="121"/>
        <v>0</v>
      </c>
      <c r="P404" s="7">
        <f t="shared" si="122"/>
        <v>0</v>
      </c>
      <c r="Q404" s="7">
        <f t="shared" si="133"/>
        <v>0</v>
      </c>
      <c r="R404" s="10" t="str">
        <f t="shared" si="123"/>
        <v>0_Pre</v>
      </c>
      <c r="S404" s="10" t="str">
        <f t="shared" si="124"/>
        <v>0_Pre</v>
      </c>
      <c r="T404" s="10" t="str">
        <f t="shared" si="125"/>
        <v>0_Pre</v>
      </c>
      <c r="U404" s="10" t="str">
        <f t="shared" si="126"/>
        <v>1_Post</v>
      </c>
      <c r="V404" s="10" t="str">
        <f t="shared" si="134"/>
        <v>0_Pre</v>
      </c>
      <c r="W404" s="10" t="str">
        <f t="shared" si="127"/>
        <v>straddle</v>
      </c>
      <c r="X404" s="10" t="str">
        <f t="shared" si="128"/>
        <v>0_Pre</v>
      </c>
      <c r="Y404" s="10" t="str">
        <f t="shared" si="129"/>
        <v>0_Pre</v>
      </c>
      <c r="Z404" s="10" t="str">
        <f t="shared" si="130"/>
        <v>0_Pre</v>
      </c>
      <c r="AA404" s="10" t="str">
        <f t="shared" si="135"/>
        <v>0_Pre</v>
      </c>
      <c r="AB404" s="10" t="str">
        <f t="shared" si="136"/>
        <v>0_Pre</v>
      </c>
      <c r="AC404" s="10" t="str">
        <f t="shared" si="137"/>
        <v>0_Pre</v>
      </c>
      <c r="AD404" s="10" t="str">
        <f t="shared" si="138"/>
        <v>1_pre sample median</v>
      </c>
      <c r="AE404" s="10" t="str">
        <f t="shared" si="139"/>
        <v>2_in sample second tertile</v>
      </c>
      <c r="AF404" t="s">
        <v>80</v>
      </c>
      <c r="AG404" t="s">
        <v>75</v>
      </c>
      <c r="AH404" t="s">
        <v>78</v>
      </c>
      <c r="AI404" t="s">
        <v>70</v>
      </c>
      <c r="AJ404" t="s">
        <v>70</v>
      </c>
      <c r="AK404" t="str">
        <f>VLOOKUP(MID($AR404,1,255),country_lookup!$B:$F,2,FALSE)</f>
        <v>99_NCE</v>
      </c>
      <c r="AL404" t="str">
        <f>VLOOKUP(MID($AR404,1,255),country_lookup!$B:$F,3,FALSE)</f>
        <v>99_NCE</v>
      </c>
      <c r="AM404" t="str">
        <f>VLOOKUP(MID($AR404,1,255),country_lookup!$B:$F,4,FALSE)</f>
        <v>99_NCE</v>
      </c>
      <c r="AN404" t="str">
        <f>VLOOKUP(MID($AR404,1,255),country_lookup!$B:$F,5,FALSE)</f>
        <v>99_NCE</v>
      </c>
      <c r="AO404" s="10" t="str">
        <f>VLOOKUP(MID($AS404,1,255),source_lookup!$B:$K,4,FALSE)</f>
        <v>0_published</v>
      </c>
      <c r="AP404" s="10" t="str">
        <f>VLOOKUP(MID($AS404,1,255),source_lookup!$B:$K,6,FALSE)</f>
        <v>1_VHB high</v>
      </c>
      <c r="AQ404" s="10" t="str">
        <f>VLOOKUP(MID($AS404,1,255),source_lookup!$B:$K,10,FALSE)</f>
        <v>1_fin/acc/econ</v>
      </c>
      <c r="AR404" t="s">
        <v>92</v>
      </c>
      <c r="AS404" t="s">
        <v>136</v>
      </c>
    </row>
    <row r="405" spans="1:45" x14ac:dyDescent="0.3">
      <c r="A405" t="s">
        <v>12</v>
      </c>
      <c r="B405">
        <v>404</v>
      </c>
      <c r="C405" s="1">
        <v>1.8579866304715035E-2</v>
      </c>
      <c r="D405" s="2">
        <v>217</v>
      </c>
      <c r="E405" s="4">
        <v>19199</v>
      </c>
      <c r="F405" s="4" t="s">
        <v>347</v>
      </c>
      <c r="G405" s="4" t="s">
        <v>346</v>
      </c>
      <c r="H405" t="s">
        <v>77</v>
      </c>
      <c r="I405" t="s">
        <v>352</v>
      </c>
      <c r="J405" s="3">
        <v>2007</v>
      </c>
      <c r="K405" s="3">
        <v>2016</v>
      </c>
      <c r="L405" s="6">
        <f t="shared" si="131"/>
        <v>2011.5</v>
      </c>
      <c r="M405" s="6">
        <f t="shared" si="132"/>
        <v>2011.5</v>
      </c>
      <c r="N405" s="7">
        <f t="shared" si="120"/>
        <v>0.1</v>
      </c>
      <c r="O405" s="7">
        <f t="shared" si="121"/>
        <v>0</v>
      </c>
      <c r="P405" s="7">
        <f t="shared" si="122"/>
        <v>0</v>
      </c>
      <c r="Q405" s="7">
        <f t="shared" si="133"/>
        <v>0</v>
      </c>
      <c r="R405" s="10" t="str">
        <f t="shared" si="123"/>
        <v>0_Pre</v>
      </c>
      <c r="S405" s="10" t="str">
        <f t="shared" si="124"/>
        <v>0_Pre</v>
      </c>
      <c r="T405" s="10" t="str">
        <f t="shared" si="125"/>
        <v>0_Pre</v>
      </c>
      <c r="U405" s="10" t="str">
        <f t="shared" si="126"/>
        <v>1_Post</v>
      </c>
      <c r="V405" s="10" t="str">
        <f t="shared" si="134"/>
        <v>0_Pre</v>
      </c>
      <c r="W405" s="10" t="str">
        <f t="shared" si="127"/>
        <v>straddle</v>
      </c>
      <c r="X405" s="10" t="str">
        <f t="shared" si="128"/>
        <v>0_Pre</v>
      </c>
      <c r="Y405" s="10" t="str">
        <f t="shared" si="129"/>
        <v>0_Pre</v>
      </c>
      <c r="Z405" s="10" t="str">
        <f t="shared" si="130"/>
        <v>0_Pre</v>
      </c>
      <c r="AA405" s="10" t="str">
        <f t="shared" si="135"/>
        <v>0_Pre</v>
      </c>
      <c r="AB405" s="10" t="str">
        <f t="shared" si="136"/>
        <v>0_Pre</v>
      </c>
      <c r="AC405" s="10" t="str">
        <f t="shared" si="137"/>
        <v>0_Pre</v>
      </c>
      <c r="AD405" s="10" t="str">
        <f t="shared" si="138"/>
        <v>1_pre sample median</v>
      </c>
      <c r="AE405" s="10" t="str">
        <f t="shared" si="139"/>
        <v>2_in sample second tertile</v>
      </c>
      <c r="AF405" t="s">
        <v>80</v>
      </c>
      <c r="AG405" t="s">
        <v>75</v>
      </c>
      <c r="AH405" t="s">
        <v>78</v>
      </c>
      <c r="AI405" t="s">
        <v>70</v>
      </c>
      <c r="AJ405" t="s">
        <v>70</v>
      </c>
      <c r="AK405" t="str">
        <f>VLOOKUP(MID($AR405,1,255),country_lookup!$B:$F,2,FALSE)</f>
        <v>99_NCE</v>
      </c>
      <c r="AL405" t="str">
        <f>VLOOKUP(MID($AR405,1,255),country_lookup!$B:$F,3,FALSE)</f>
        <v>99_NCE</v>
      </c>
      <c r="AM405" t="str">
        <f>VLOOKUP(MID($AR405,1,255),country_lookup!$B:$F,4,FALSE)</f>
        <v>99_NCE</v>
      </c>
      <c r="AN405" t="str">
        <f>VLOOKUP(MID($AR405,1,255),country_lookup!$B:$F,5,FALSE)</f>
        <v>99_NCE</v>
      </c>
      <c r="AO405" s="10" t="str">
        <f>VLOOKUP(MID($AS405,1,255),source_lookup!$B:$K,4,FALSE)</f>
        <v>0_published</v>
      </c>
      <c r="AP405" s="10" t="str">
        <f>VLOOKUP(MID($AS405,1,255),source_lookup!$B:$K,6,FALSE)</f>
        <v>1_VHB high</v>
      </c>
      <c r="AQ405" s="10" t="str">
        <f>VLOOKUP(MID($AS405,1,255),source_lookup!$B:$K,10,FALSE)</f>
        <v>1_fin/acc/econ</v>
      </c>
      <c r="AR405" t="s">
        <v>92</v>
      </c>
      <c r="AS405" t="s">
        <v>136</v>
      </c>
    </row>
    <row r="406" spans="1:45" x14ac:dyDescent="0.3">
      <c r="A406" t="s">
        <v>12</v>
      </c>
      <c r="B406">
        <v>405</v>
      </c>
      <c r="C406" s="1">
        <v>-4.4671580507766685E-2</v>
      </c>
      <c r="D406" s="2">
        <v>217</v>
      </c>
      <c r="E406" s="4">
        <v>19199</v>
      </c>
      <c r="F406" s="4" t="s">
        <v>347</v>
      </c>
      <c r="G406" s="4" t="s">
        <v>346</v>
      </c>
      <c r="H406" t="s">
        <v>77</v>
      </c>
      <c r="I406" t="s">
        <v>352</v>
      </c>
      <c r="J406" s="3">
        <v>2007</v>
      </c>
      <c r="K406" s="3">
        <v>2016</v>
      </c>
      <c r="L406" s="6">
        <f t="shared" si="131"/>
        <v>2011.5</v>
      </c>
      <c r="M406" s="6">
        <f t="shared" si="132"/>
        <v>2011.5</v>
      </c>
      <c r="N406" s="7">
        <f t="shared" si="120"/>
        <v>0.1</v>
      </c>
      <c r="O406" s="7">
        <f t="shared" si="121"/>
        <v>0</v>
      </c>
      <c r="P406" s="7">
        <f t="shared" si="122"/>
        <v>0</v>
      </c>
      <c r="Q406" s="7">
        <f t="shared" si="133"/>
        <v>0</v>
      </c>
      <c r="R406" s="10" t="str">
        <f t="shared" si="123"/>
        <v>0_Pre</v>
      </c>
      <c r="S406" s="10" t="str">
        <f t="shared" si="124"/>
        <v>0_Pre</v>
      </c>
      <c r="T406" s="10" t="str">
        <f t="shared" si="125"/>
        <v>0_Pre</v>
      </c>
      <c r="U406" s="10" t="str">
        <f t="shared" si="126"/>
        <v>1_Post</v>
      </c>
      <c r="V406" s="10" t="str">
        <f t="shared" si="134"/>
        <v>0_Pre</v>
      </c>
      <c r="W406" s="10" t="str">
        <f t="shared" si="127"/>
        <v>straddle</v>
      </c>
      <c r="X406" s="10" t="str">
        <f t="shared" si="128"/>
        <v>0_Pre</v>
      </c>
      <c r="Y406" s="10" t="str">
        <f t="shared" si="129"/>
        <v>0_Pre</v>
      </c>
      <c r="Z406" s="10" t="str">
        <f t="shared" si="130"/>
        <v>0_Pre</v>
      </c>
      <c r="AA406" s="10" t="str">
        <f t="shared" si="135"/>
        <v>0_Pre</v>
      </c>
      <c r="AB406" s="10" t="str">
        <f t="shared" si="136"/>
        <v>0_Pre</v>
      </c>
      <c r="AC406" s="10" t="str">
        <f t="shared" si="137"/>
        <v>0_Pre</v>
      </c>
      <c r="AD406" s="10" t="str">
        <f t="shared" si="138"/>
        <v>1_pre sample median</v>
      </c>
      <c r="AE406" s="10" t="str">
        <f t="shared" si="139"/>
        <v>2_in sample second tertile</v>
      </c>
      <c r="AF406" t="s">
        <v>80</v>
      </c>
      <c r="AG406" t="s">
        <v>75</v>
      </c>
      <c r="AH406" t="s">
        <v>78</v>
      </c>
      <c r="AI406" t="s">
        <v>70</v>
      </c>
      <c r="AJ406" t="s">
        <v>70</v>
      </c>
      <c r="AK406" t="str">
        <f>VLOOKUP(MID($AR406,1,255),country_lookup!$B:$F,2,FALSE)</f>
        <v>99_NCE</v>
      </c>
      <c r="AL406" t="str">
        <f>VLOOKUP(MID($AR406,1,255),country_lookup!$B:$F,3,FALSE)</f>
        <v>99_NCE</v>
      </c>
      <c r="AM406" t="str">
        <f>VLOOKUP(MID($AR406,1,255),country_lookup!$B:$F,4,FALSE)</f>
        <v>99_NCE</v>
      </c>
      <c r="AN406" t="str">
        <f>VLOOKUP(MID($AR406,1,255),country_lookup!$B:$F,5,FALSE)</f>
        <v>99_NCE</v>
      </c>
      <c r="AO406" s="10" t="str">
        <f>VLOOKUP(MID($AS406,1,255),source_lookup!$B:$K,4,FALSE)</f>
        <v>0_published</v>
      </c>
      <c r="AP406" s="10" t="str">
        <f>VLOOKUP(MID($AS406,1,255),source_lookup!$B:$K,6,FALSE)</f>
        <v>1_VHB high</v>
      </c>
      <c r="AQ406" s="10" t="str">
        <f>VLOOKUP(MID($AS406,1,255),source_lookup!$B:$K,10,FALSE)</f>
        <v>1_fin/acc/econ</v>
      </c>
      <c r="AR406" t="s">
        <v>92</v>
      </c>
      <c r="AS406" t="s">
        <v>136</v>
      </c>
    </row>
    <row r="407" spans="1:45" x14ac:dyDescent="0.3">
      <c r="A407" t="s">
        <v>12</v>
      </c>
      <c r="B407">
        <v>406</v>
      </c>
      <c r="C407" s="1">
        <v>-1.8663296485601683E-2</v>
      </c>
      <c r="D407" s="2">
        <v>217</v>
      </c>
      <c r="E407" s="4">
        <v>19199</v>
      </c>
      <c r="F407" s="4" t="s">
        <v>347</v>
      </c>
      <c r="G407" s="4" t="s">
        <v>346</v>
      </c>
      <c r="H407" t="s">
        <v>77</v>
      </c>
      <c r="I407" t="s">
        <v>352</v>
      </c>
      <c r="J407" s="3">
        <v>2007</v>
      </c>
      <c r="K407" s="3">
        <v>2016</v>
      </c>
      <c r="L407" s="6">
        <f t="shared" si="131"/>
        <v>2011.5</v>
      </c>
      <c r="M407" s="6">
        <f t="shared" si="132"/>
        <v>2011.5</v>
      </c>
      <c r="N407" s="7">
        <f t="shared" si="120"/>
        <v>0.1</v>
      </c>
      <c r="O407" s="7">
        <f t="shared" si="121"/>
        <v>0</v>
      </c>
      <c r="P407" s="7">
        <f t="shared" si="122"/>
        <v>0</v>
      </c>
      <c r="Q407" s="7">
        <f t="shared" si="133"/>
        <v>0</v>
      </c>
      <c r="R407" s="10" t="str">
        <f t="shared" si="123"/>
        <v>0_Pre</v>
      </c>
      <c r="S407" s="10" t="str">
        <f t="shared" si="124"/>
        <v>0_Pre</v>
      </c>
      <c r="T407" s="10" t="str">
        <f t="shared" si="125"/>
        <v>0_Pre</v>
      </c>
      <c r="U407" s="10" t="str">
        <f t="shared" si="126"/>
        <v>1_Post</v>
      </c>
      <c r="V407" s="10" t="str">
        <f t="shared" si="134"/>
        <v>0_Pre</v>
      </c>
      <c r="W407" s="10" t="str">
        <f t="shared" si="127"/>
        <v>straddle</v>
      </c>
      <c r="X407" s="10" t="str">
        <f t="shared" si="128"/>
        <v>0_Pre</v>
      </c>
      <c r="Y407" s="10" t="str">
        <f t="shared" si="129"/>
        <v>0_Pre</v>
      </c>
      <c r="Z407" s="10" t="str">
        <f t="shared" si="130"/>
        <v>0_Pre</v>
      </c>
      <c r="AA407" s="10" t="str">
        <f t="shared" si="135"/>
        <v>0_Pre</v>
      </c>
      <c r="AB407" s="10" t="str">
        <f t="shared" si="136"/>
        <v>0_Pre</v>
      </c>
      <c r="AC407" s="10" t="str">
        <f t="shared" si="137"/>
        <v>0_Pre</v>
      </c>
      <c r="AD407" s="10" t="str">
        <f t="shared" si="138"/>
        <v>1_pre sample median</v>
      </c>
      <c r="AE407" s="10" t="str">
        <f t="shared" si="139"/>
        <v>2_in sample second tertile</v>
      </c>
      <c r="AF407" t="s">
        <v>80</v>
      </c>
      <c r="AG407" t="s">
        <v>75</v>
      </c>
      <c r="AH407" t="s">
        <v>78</v>
      </c>
      <c r="AI407" t="s">
        <v>70</v>
      </c>
      <c r="AJ407" t="s">
        <v>70</v>
      </c>
      <c r="AK407" t="str">
        <f>VLOOKUP(MID($AR407,1,255),country_lookup!$B:$F,2,FALSE)</f>
        <v>99_NCE</v>
      </c>
      <c r="AL407" t="str">
        <f>VLOOKUP(MID($AR407,1,255),country_lookup!$B:$F,3,FALSE)</f>
        <v>99_NCE</v>
      </c>
      <c r="AM407" t="str">
        <f>VLOOKUP(MID($AR407,1,255),country_lookup!$B:$F,4,FALSE)</f>
        <v>99_NCE</v>
      </c>
      <c r="AN407" t="str">
        <f>VLOOKUP(MID($AR407,1,255),country_lookup!$B:$F,5,FALSE)</f>
        <v>99_NCE</v>
      </c>
      <c r="AO407" s="10" t="str">
        <f>VLOOKUP(MID($AS407,1,255),source_lookup!$B:$K,4,FALSE)</f>
        <v>0_published</v>
      </c>
      <c r="AP407" s="10" t="str">
        <f>VLOOKUP(MID($AS407,1,255),source_lookup!$B:$K,6,FALSE)</f>
        <v>1_VHB high</v>
      </c>
      <c r="AQ407" s="10" t="str">
        <f>VLOOKUP(MID($AS407,1,255),source_lookup!$B:$K,10,FALSE)</f>
        <v>1_fin/acc/econ</v>
      </c>
      <c r="AR407" t="s">
        <v>92</v>
      </c>
      <c r="AS407" t="s">
        <v>136</v>
      </c>
    </row>
    <row r="408" spans="1:45" x14ac:dyDescent="0.3">
      <c r="A408" t="s">
        <v>13</v>
      </c>
      <c r="B408">
        <v>407</v>
      </c>
      <c r="C408" s="1">
        <v>-8.8142956824938362E-2</v>
      </c>
      <c r="D408" s="2">
        <v>56</v>
      </c>
      <c r="E408" s="4">
        <v>56</v>
      </c>
      <c r="F408" s="4" t="s">
        <v>346</v>
      </c>
      <c r="G408" s="4" t="s">
        <v>346</v>
      </c>
      <c r="H408" t="s">
        <v>77</v>
      </c>
      <c r="I408" t="s">
        <v>352</v>
      </c>
      <c r="J408" s="3">
        <v>2015</v>
      </c>
      <c r="K408" s="3">
        <v>2015</v>
      </c>
      <c r="L408" s="6">
        <f t="shared" si="131"/>
        <v>2015</v>
      </c>
      <c r="M408" s="6">
        <f t="shared" si="132"/>
        <v>2015</v>
      </c>
      <c r="N408" s="7">
        <f t="shared" si="120"/>
        <v>0</v>
      </c>
      <c r="O408" s="7">
        <f t="shared" si="121"/>
        <v>0</v>
      </c>
      <c r="P408" s="7">
        <f t="shared" si="122"/>
        <v>0</v>
      </c>
      <c r="Q408" s="7">
        <f t="shared" si="133"/>
        <v>0</v>
      </c>
      <c r="R408" s="10" t="str">
        <f t="shared" si="123"/>
        <v>0_Pre</v>
      </c>
      <c r="S408" s="10" t="str">
        <f t="shared" si="124"/>
        <v>0_Pre</v>
      </c>
      <c r="T408" s="10" t="str">
        <f t="shared" si="125"/>
        <v>0_Pre</v>
      </c>
      <c r="U408" s="10" t="str">
        <f t="shared" si="126"/>
        <v>0_Pre</v>
      </c>
      <c r="V408" s="10" t="str">
        <f t="shared" si="134"/>
        <v>0_Pre</v>
      </c>
      <c r="W408" s="10" t="str">
        <f t="shared" si="127"/>
        <v>clean_pre</v>
      </c>
      <c r="X408" s="10" t="str">
        <f t="shared" si="128"/>
        <v>0_Pre</v>
      </c>
      <c r="Y408" s="10" t="str">
        <f t="shared" si="129"/>
        <v>0_Pre</v>
      </c>
      <c r="Z408" s="10" t="str">
        <f t="shared" si="130"/>
        <v>0_Pre</v>
      </c>
      <c r="AA408" s="10" t="str">
        <f t="shared" si="135"/>
        <v>0_Pre</v>
      </c>
      <c r="AB408" s="10" t="str">
        <f t="shared" si="136"/>
        <v>0_Pre</v>
      </c>
      <c r="AC408" s="10" t="str">
        <f t="shared" si="137"/>
        <v>0_Pre</v>
      </c>
      <c r="AD408" s="10" t="str">
        <f t="shared" si="138"/>
        <v>2_post sample median</v>
      </c>
      <c r="AE408" s="10" t="str">
        <f t="shared" si="139"/>
        <v>3_post sample third tertile</v>
      </c>
      <c r="AF408" t="s">
        <v>67</v>
      </c>
      <c r="AG408" t="s">
        <v>75</v>
      </c>
      <c r="AH408" t="s">
        <v>78</v>
      </c>
      <c r="AI408" t="s">
        <v>122</v>
      </c>
      <c r="AJ408" t="s">
        <v>122</v>
      </c>
      <c r="AK408" t="str">
        <f>VLOOKUP(MID($AR408,1,255),country_lookup!$B:$F,2,FALSE)</f>
        <v>2_Europe</v>
      </c>
      <c r="AL408" t="str">
        <f>VLOOKUP(MID($AR408,1,255),country_lookup!$B:$F,3,FALSE)</f>
        <v>1_developed</v>
      </c>
      <c r="AM408" t="str">
        <f>VLOOKUP(MID($AR408,1,255),country_lookup!$B:$F,4,FALSE)</f>
        <v>1_western</v>
      </c>
      <c r="AN408" t="str">
        <f>VLOOKUP(MID($AR408,1,255),country_lookup!$B:$F,5,FALSE)</f>
        <v>2_civil law</v>
      </c>
      <c r="AO408" s="10" t="str">
        <f>VLOOKUP(MID($AS408,1,255),source_lookup!$B:$K,4,FALSE)</f>
        <v>0_published</v>
      </c>
      <c r="AP408" s="10" t="str">
        <f>VLOOKUP(MID($AS408,1,255),source_lookup!$B:$K,6,FALSE)</f>
        <v>0_VHB low</v>
      </c>
      <c r="AQ408" s="10" t="str">
        <f>VLOOKUP(MID($AS408,1,255),source_lookup!$B:$K,10,FALSE)</f>
        <v>3_mgmt</v>
      </c>
      <c r="AR408" t="s">
        <v>93</v>
      </c>
      <c r="AS408" t="s">
        <v>137</v>
      </c>
    </row>
    <row r="409" spans="1:45" x14ac:dyDescent="0.3">
      <c r="A409" t="s">
        <v>13</v>
      </c>
      <c r="B409">
        <v>408</v>
      </c>
      <c r="C409" s="1">
        <v>-0.14561641274346401</v>
      </c>
      <c r="D409" s="2">
        <v>56</v>
      </c>
      <c r="E409" s="4">
        <v>56</v>
      </c>
      <c r="F409" s="4" t="s">
        <v>346</v>
      </c>
      <c r="G409" s="4" t="s">
        <v>346</v>
      </c>
      <c r="H409" t="s">
        <v>77</v>
      </c>
      <c r="I409" t="s">
        <v>352</v>
      </c>
      <c r="J409" s="3">
        <v>2015</v>
      </c>
      <c r="K409" s="3">
        <v>2015</v>
      </c>
      <c r="L409" s="6">
        <f t="shared" si="131"/>
        <v>2015</v>
      </c>
      <c r="M409" s="6">
        <f t="shared" si="132"/>
        <v>2015</v>
      </c>
      <c r="N409" s="7">
        <f t="shared" si="120"/>
        <v>0</v>
      </c>
      <c r="O409" s="7">
        <f t="shared" si="121"/>
        <v>0</v>
      </c>
      <c r="P409" s="7">
        <f t="shared" si="122"/>
        <v>0</v>
      </c>
      <c r="Q409" s="7">
        <f t="shared" si="133"/>
        <v>0</v>
      </c>
      <c r="R409" s="10" t="str">
        <f t="shared" si="123"/>
        <v>0_Pre</v>
      </c>
      <c r="S409" s="10" t="str">
        <f t="shared" si="124"/>
        <v>0_Pre</v>
      </c>
      <c r="T409" s="10" t="str">
        <f t="shared" si="125"/>
        <v>0_Pre</v>
      </c>
      <c r="U409" s="10" t="str">
        <f t="shared" si="126"/>
        <v>0_Pre</v>
      </c>
      <c r="V409" s="10" t="str">
        <f t="shared" si="134"/>
        <v>0_Pre</v>
      </c>
      <c r="W409" s="10" t="str">
        <f t="shared" si="127"/>
        <v>clean_pre</v>
      </c>
      <c r="X409" s="10" t="str">
        <f t="shared" si="128"/>
        <v>0_Pre</v>
      </c>
      <c r="Y409" s="10" t="str">
        <f t="shared" si="129"/>
        <v>0_Pre</v>
      </c>
      <c r="Z409" s="10" t="str">
        <f t="shared" si="130"/>
        <v>0_Pre</v>
      </c>
      <c r="AA409" s="10" t="str">
        <f t="shared" si="135"/>
        <v>0_Pre</v>
      </c>
      <c r="AB409" s="10" t="str">
        <f t="shared" si="136"/>
        <v>0_Pre</v>
      </c>
      <c r="AC409" s="10" t="str">
        <f t="shared" si="137"/>
        <v>0_Pre</v>
      </c>
      <c r="AD409" s="10" t="str">
        <f t="shared" si="138"/>
        <v>2_post sample median</v>
      </c>
      <c r="AE409" s="10" t="str">
        <f t="shared" si="139"/>
        <v>3_post sample third tertile</v>
      </c>
      <c r="AF409" t="s">
        <v>67</v>
      </c>
      <c r="AG409" t="s">
        <v>75</v>
      </c>
      <c r="AH409" t="s">
        <v>78</v>
      </c>
      <c r="AI409" t="s">
        <v>122</v>
      </c>
      <c r="AJ409" t="s">
        <v>122</v>
      </c>
      <c r="AK409" t="str">
        <f>VLOOKUP(MID($AR409,1,255),country_lookup!$B:$F,2,FALSE)</f>
        <v>2_Europe</v>
      </c>
      <c r="AL409" t="str">
        <f>VLOOKUP(MID($AR409,1,255),country_lookup!$B:$F,3,FALSE)</f>
        <v>1_developed</v>
      </c>
      <c r="AM409" t="str">
        <f>VLOOKUP(MID($AR409,1,255),country_lookup!$B:$F,4,FALSE)</f>
        <v>1_western</v>
      </c>
      <c r="AN409" t="str">
        <f>VLOOKUP(MID($AR409,1,255),country_lookup!$B:$F,5,FALSE)</f>
        <v>2_civil law</v>
      </c>
      <c r="AO409" s="10" t="str">
        <f>VLOOKUP(MID($AS409,1,255),source_lookup!$B:$K,4,FALSE)</f>
        <v>0_published</v>
      </c>
      <c r="AP409" s="10" t="str">
        <f>VLOOKUP(MID($AS409,1,255),source_lookup!$B:$K,6,FALSE)</f>
        <v>0_VHB low</v>
      </c>
      <c r="AQ409" s="10" t="str">
        <f>VLOOKUP(MID($AS409,1,255),source_lookup!$B:$K,10,FALSE)</f>
        <v>3_mgmt</v>
      </c>
      <c r="AR409" t="s">
        <v>93</v>
      </c>
      <c r="AS409" t="s">
        <v>137</v>
      </c>
    </row>
    <row r="410" spans="1:45" x14ac:dyDescent="0.3">
      <c r="A410" t="s">
        <v>13</v>
      </c>
      <c r="B410">
        <v>409</v>
      </c>
      <c r="C410" s="1">
        <v>0.9998309004254472</v>
      </c>
      <c r="D410" s="2">
        <v>56</v>
      </c>
      <c r="E410" s="4">
        <v>56</v>
      </c>
      <c r="F410" s="4" t="s">
        <v>346</v>
      </c>
      <c r="G410" s="4" t="s">
        <v>346</v>
      </c>
      <c r="H410" t="s">
        <v>77</v>
      </c>
      <c r="I410" t="s">
        <v>352</v>
      </c>
      <c r="J410" s="3">
        <v>2015</v>
      </c>
      <c r="K410" s="3">
        <v>2015</v>
      </c>
      <c r="L410" s="6">
        <f t="shared" si="131"/>
        <v>2015</v>
      </c>
      <c r="M410" s="6">
        <f t="shared" si="132"/>
        <v>2015</v>
      </c>
      <c r="N410" s="7">
        <f t="shared" si="120"/>
        <v>0</v>
      </c>
      <c r="O410" s="7">
        <f t="shared" si="121"/>
        <v>0</v>
      </c>
      <c r="P410" s="7">
        <f t="shared" si="122"/>
        <v>0</v>
      </c>
      <c r="Q410" s="7">
        <f t="shared" si="133"/>
        <v>0</v>
      </c>
      <c r="R410" s="10" t="str">
        <f t="shared" si="123"/>
        <v>0_Pre</v>
      </c>
      <c r="S410" s="10" t="str">
        <f t="shared" si="124"/>
        <v>0_Pre</v>
      </c>
      <c r="T410" s="10" t="str">
        <f t="shared" si="125"/>
        <v>0_Pre</v>
      </c>
      <c r="U410" s="10" t="str">
        <f t="shared" si="126"/>
        <v>0_Pre</v>
      </c>
      <c r="V410" s="10" t="str">
        <f t="shared" si="134"/>
        <v>0_Pre</v>
      </c>
      <c r="W410" s="10" t="str">
        <f t="shared" si="127"/>
        <v>clean_pre</v>
      </c>
      <c r="X410" s="10" t="str">
        <f t="shared" si="128"/>
        <v>0_Pre</v>
      </c>
      <c r="Y410" s="10" t="str">
        <f t="shared" si="129"/>
        <v>0_Pre</v>
      </c>
      <c r="Z410" s="10" t="str">
        <f t="shared" si="130"/>
        <v>0_Pre</v>
      </c>
      <c r="AA410" s="10" t="str">
        <f t="shared" si="135"/>
        <v>0_Pre</v>
      </c>
      <c r="AB410" s="10" t="str">
        <f t="shared" si="136"/>
        <v>0_Pre</v>
      </c>
      <c r="AC410" s="10" t="str">
        <f t="shared" si="137"/>
        <v>0_Pre</v>
      </c>
      <c r="AD410" s="10" t="str">
        <f t="shared" si="138"/>
        <v>2_post sample median</v>
      </c>
      <c r="AE410" s="10" t="str">
        <f t="shared" si="139"/>
        <v>3_post sample third tertile</v>
      </c>
      <c r="AF410" t="s">
        <v>67</v>
      </c>
      <c r="AG410" t="s">
        <v>75</v>
      </c>
      <c r="AH410" t="s">
        <v>78</v>
      </c>
      <c r="AI410" t="s">
        <v>122</v>
      </c>
      <c r="AJ410" t="s">
        <v>122</v>
      </c>
      <c r="AK410" t="str">
        <f>VLOOKUP(MID($AR410,1,255),country_lookup!$B:$F,2,FALSE)</f>
        <v>2_Europe</v>
      </c>
      <c r="AL410" t="str">
        <f>VLOOKUP(MID($AR410,1,255),country_lookup!$B:$F,3,FALSE)</f>
        <v>1_developed</v>
      </c>
      <c r="AM410" t="str">
        <f>VLOOKUP(MID($AR410,1,255),country_lookup!$B:$F,4,FALSE)</f>
        <v>1_western</v>
      </c>
      <c r="AN410" t="str">
        <f>VLOOKUP(MID($AR410,1,255),country_lookup!$B:$F,5,FALSE)</f>
        <v>2_civil law</v>
      </c>
      <c r="AO410" s="10" t="str">
        <f>VLOOKUP(MID($AS410,1,255),source_lookup!$B:$K,4,FALSE)</f>
        <v>0_published</v>
      </c>
      <c r="AP410" s="10" t="str">
        <f>VLOOKUP(MID($AS410,1,255),source_lookup!$B:$K,6,FALSE)</f>
        <v>0_VHB low</v>
      </c>
      <c r="AQ410" s="10" t="str">
        <f>VLOOKUP(MID($AS410,1,255),source_lookup!$B:$K,10,FALSE)</f>
        <v>3_mgmt</v>
      </c>
      <c r="AR410" t="s">
        <v>93</v>
      </c>
      <c r="AS410" t="s">
        <v>137</v>
      </c>
    </row>
    <row r="411" spans="1:45" x14ac:dyDescent="0.3">
      <c r="A411" t="s">
        <v>14</v>
      </c>
      <c r="B411">
        <v>410</v>
      </c>
      <c r="C411" s="1">
        <v>-0.14851505813443824</v>
      </c>
      <c r="D411" s="2">
        <v>316</v>
      </c>
      <c r="E411" s="4">
        <v>948</v>
      </c>
      <c r="F411" s="4" t="s">
        <v>347</v>
      </c>
      <c r="G411" s="4" t="s">
        <v>346</v>
      </c>
      <c r="H411" t="s">
        <v>77</v>
      </c>
      <c r="I411" t="s">
        <v>350</v>
      </c>
      <c r="J411" s="3">
        <v>2014</v>
      </c>
      <c r="K411" s="3">
        <v>2016</v>
      </c>
      <c r="L411" s="6">
        <f t="shared" si="131"/>
        <v>2015</v>
      </c>
      <c r="M411" s="6">
        <f t="shared" si="132"/>
        <v>2015</v>
      </c>
      <c r="N411" s="7">
        <f t="shared" si="120"/>
        <v>0.33333333333333331</v>
      </c>
      <c r="O411" s="7">
        <f t="shared" si="121"/>
        <v>0</v>
      </c>
      <c r="P411" s="7">
        <f t="shared" si="122"/>
        <v>0</v>
      </c>
      <c r="Q411" s="7">
        <f t="shared" si="133"/>
        <v>0</v>
      </c>
      <c r="R411" s="10" t="str">
        <f t="shared" si="123"/>
        <v>0_Pre</v>
      </c>
      <c r="S411" s="10" t="str">
        <f t="shared" si="124"/>
        <v>0_Pre</v>
      </c>
      <c r="T411" s="10" t="str">
        <f t="shared" si="125"/>
        <v>0_Pre</v>
      </c>
      <c r="U411" s="10" t="str">
        <f t="shared" si="126"/>
        <v>1_Post</v>
      </c>
      <c r="V411" s="10" t="str">
        <f t="shared" si="134"/>
        <v>0_Pre</v>
      </c>
      <c r="W411" s="10" t="str">
        <f t="shared" si="127"/>
        <v>straddle</v>
      </c>
      <c r="X411" s="10" t="str">
        <f t="shared" si="128"/>
        <v>0_Pre</v>
      </c>
      <c r="Y411" s="10" t="str">
        <f t="shared" si="129"/>
        <v>0_Pre</v>
      </c>
      <c r="Z411" s="10" t="str">
        <f t="shared" si="130"/>
        <v>0_Pre</v>
      </c>
      <c r="AA411" s="10" t="str">
        <f t="shared" si="135"/>
        <v>0_Pre</v>
      </c>
      <c r="AB411" s="10" t="str">
        <f t="shared" si="136"/>
        <v>0_Pre</v>
      </c>
      <c r="AC411" s="10" t="str">
        <f t="shared" si="137"/>
        <v>0_Pre</v>
      </c>
      <c r="AD411" s="10" t="str">
        <f t="shared" si="138"/>
        <v>2_post sample median</v>
      </c>
      <c r="AE411" s="10" t="str">
        <f t="shared" si="139"/>
        <v>3_post sample third tertile</v>
      </c>
      <c r="AF411" t="s">
        <v>80</v>
      </c>
      <c r="AG411" t="s">
        <v>74</v>
      </c>
      <c r="AH411" t="s">
        <v>78</v>
      </c>
      <c r="AI411" t="s">
        <v>122</v>
      </c>
      <c r="AJ411" t="s">
        <v>122</v>
      </c>
      <c r="AK411" t="str">
        <f>VLOOKUP(MID($AR411,1,255),country_lookup!$B:$F,2,FALSE)</f>
        <v>3_AsiaPac</v>
      </c>
      <c r="AL411" t="str">
        <f>VLOOKUP(MID($AR411,1,255),country_lookup!$B:$F,3,FALSE)</f>
        <v>2_developing</v>
      </c>
      <c r="AM411" t="str">
        <f>VLOOKUP(MID($AR411,1,255),country_lookup!$B:$F,4,FALSE)</f>
        <v>2_non_western</v>
      </c>
      <c r="AN411" t="str">
        <f>VLOOKUP(MID($AR411,1,255),country_lookup!$B:$F,5,FALSE)</f>
        <v>2_civil law</v>
      </c>
      <c r="AO411" s="10" t="str">
        <f>VLOOKUP(MID($AS411,1,255),source_lookup!$B:$K,4,FALSE)</f>
        <v>0_published</v>
      </c>
      <c r="AP411" s="10" t="str">
        <f>VLOOKUP(MID($AS411,1,255),source_lookup!$B:$K,6,FALSE)</f>
        <v>1_VHB high</v>
      </c>
      <c r="AQ411" s="10" t="str">
        <f>VLOOKUP(MID($AS411,1,255),source_lookup!$B:$K,10,FALSE)</f>
        <v>2_sust</v>
      </c>
      <c r="AR411" t="s">
        <v>94</v>
      </c>
      <c r="AS411" t="s">
        <v>138</v>
      </c>
    </row>
    <row r="412" spans="1:45" x14ac:dyDescent="0.3">
      <c r="A412" t="s">
        <v>14</v>
      </c>
      <c r="B412">
        <v>411</v>
      </c>
      <c r="C412" s="1">
        <v>-0.14357822270415904</v>
      </c>
      <c r="D412" s="2">
        <v>316</v>
      </c>
      <c r="E412" s="4">
        <v>948</v>
      </c>
      <c r="F412" s="4" t="s">
        <v>347</v>
      </c>
      <c r="G412" s="4" t="s">
        <v>346</v>
      </c>
      <c r="H412" t="s">
        <v>77</v>
      </c>
      <c r="I412" t="s">
        <v>350</v>
      </c>
      <c r="J412" s="3">
        <v>2014</v>
      </c>
      <c r="K412" s="3">
        <v>2016</v>
      </c>
      <c r="L412" s="6">
        <f t="shared" si="131"/>
        <v>2015</v>
      </c>
      <c r="M412" s="6">
        <f t="shared" si="132"/>
        <v>2015</v>
      </c>
      <c r="N412" s="7">
        <f t="shared" si="120"/>
        <v>0.33333333333333331</v>
      </c>
      <c r="O412" s="7">
        <f t="shared" si="121"/>
        <v>0</v>
      </c>
      <c r="P412" s="7">
        <f t="shared" si="122"/>
        <v>0</v>
      </c>
      <c r="Q412" s="7">
        <f t="shared" si="133"/>
        <v>0</v>
      </c>
      <c r="R412" s="10" t="str">
        <f t="shared" si="123"/>
        <v>0_Pre</v>
      </c>
      <c r="S412" s="10" t="str">
        <f t="shared" si="124"/>
        <v>0_Pre</v>
      </c>
      <c r="T412" s="10" t="str">
        <f t="shared" si="125"/>
        <v>0_Pre</v>
      </c>
      <c r="U412" s="10" t="str">
        <f t="shared" si="126"/>
        <v>1_Post</v>
      </c>
      <c r="V412" s="10" t="str">
        <f t="shared" si="134"/>
        <v>0_Pre</v>
      </c>
      <c r="W412" s="10" t="str">
        <f t="shared" si="127"/>
        <v>straddle</v>
      </c>
      <c r="X412" s="10" t="str">
        <f t="shared" si="128"/>
        <v>0_Pre</v>
      </c>
      <c r="Y412" s="10" t="str">
        <f t="shared" si="129"/>
        <v>0_Pre</v>
      </c>
      <c r="Z412" s="10" t="str">
        <f t="shared" si="130"/>
        <v>0_Pre</v>
      </c>
      <c r="AA412" s="10" t="str">
        <f t="shared" si="135"/>
        <v>0_Pre</v>
      </c>
      <c r="AB412" s="10" t="str">
        <f t="shared" si="136"/>
        <v>0_Pre</v>
      </c>
      <c r="AC412" s="10" t="str">
        <f t="shared" si="137"/>
        <v>0_Pre</v>
      </c>
      <c r="AD412" s="10" t="str">
        <f t="shared" si="138"/>
        <v>2_post sample median</v>
      </c>
      <c r="AE412" s="10" t="str">
        <f t="shared" si="139"/>
        <v>3_post sample third tertile</v>
      </c>
      <c r="AF412" t="s">
        <v>80</v>
      </c>
      <c r="AG412" t="s">
        <v>74</v>
      </c>
      <c r="AH412" t="s">
        <v>78</v>
      </c>
      <c r="AI412" t="s">
        <v>122</v>
      </c>
      <c r="AJ412" t="s">
        <v>122</v>
      </c>
      <c r="AK412" t="str">
        <f>VLOOKUP(MID($AR412,1,255),country_lookup!$B:$F,2,FALSE)</f>
        <v>3_AsiaPac</v>
      </c>
      <c r="AL412" t="str">
        <f>VLOOKUP(MID($AR412,1,255),country_lookup!$B:$F,3,FALSE)</f>
        <v>2_developing</v>
      </c>
      <c r="AM412" t="str">
        <f>VLOOKUP(MID($AR412,1,255),country_lookup!$B:$F,4,FALSE)</f>
        <v>2_non_western</v>
      </c>
      <c r="AN412" t="str">
        <f>VLOOKUP(MID($AR412,1,255),country_lookup!$B:$F,5,FALSE)</f>
        <v>2_civil law</v>
      </c>
      <c r="AO412" s="10" t="str">
        <f>VLOOKUP(MID($AS412,1,255),source_lookup!$B:$K,4,FALSE)</f>
        <v>0_published</v>
      </c>
      <c r="AP412" s="10" t="str">
        <f>VLOOKUP(MID($AS412,1,255),source_lookup!$B:$K,6,FALSE)</f>
        <v>1_VHB high</v>
      </c>
      <c r="AQ412" s="10" t="str">
        <f>VLOOKUP(MID($AS412,1,255),source_lookup!$B:$K,10,FALSE)</f>
        <v>2_sust</v>
      </c>
      <c r="AR412" t="s">
        <v>94</v>
      </c>
      <c r="AS412" t="s">
        <v>138</v>
      </c>
    </row>
    <row r="413" spans="1:45" x14ac:dyDescent="0.3">
      <c r="A413" t="s">
        <v>14</v>
      </c>
      <c r="B413">
        <v>412</v>
      </c>
      <c r="C413" s="1">
        <v>-0.13136391682408877</v>
      </c>
      <c r="D413" s="2">
        <v>316</v>
      </c>
      <c r="E413" s="4">
        <v>948</v>
      </c>
      <c r="F413" s="4" t="s">
        <v>347</v>
      </c>
      <c r="G413" s="4" t="s">
        <v>346</v>
      </c>
      <c r="H413" t="s">
        <v>77</v>
      </c>
      <c r="I413" t="s">
        <v>350</v>
      </c>
      <c r="J413" s="3">
        <v>2014</v>
      </c>
      <c r="K413" s="3">
        <v>2016</v>
      </c>
      <c r="L413" s="6">
        <f t="shared" si="131"/>
        <v>2015</v>
      </c>
      <c r="M413" s="6">
        <f t="shared" si="132"/>
        <v>2015</v>
      </c>
      <c r="N413" s="7">
        <f t="shared" si="120"/>
        <v>0.33333333333333331</v>
      </c>
      <c r="O413" s="7">
        <f t="shared" si="121"/>
        <v>0</v>
      </c>
      <c r="P413" s="7">
        <f t="shared" si="122"/>
        <v>0</v>
      </c>
      <c r="Q413" s="7">
        <f t="shared" si="133"/>
        <v>0</v>
      </c>
      <c r="R413" s="10" t="str">
        <f t="shared" si="123"/>
        <v>0_Pre</v>
      </c>
      <c r="S413" s="10" t="str">
        <f t="shared" si="124"/>
        <v>0_Pre</v>
      </c>
      <c r="T413" s="10" t="str">
        <f t="shared" si="125"/>
        <v>0_Pre</v>
      </c>
      <c r="U413" s="10" t="str">
        <f t="shared" si="126"/>
        <v>1_Post</v>
      </c>
      <c r="V413" s="10" t="str">
        <f t="shared" si="134"/>
        <v>0_Pre</v>
      </c>
      <c r="W413" s="10" t="str">
        <f t="shared" si="127"/>
        <v>straddle</v>
      </c>
      <c r="X413" s="10" t="str">
        <f t="shared" si="128"/>
        <v>0_Pre</v>
      </c>
      <c r="Y413" s="10" t="str">
        <f t="shared" si="129"/>
        <v>0_Pre</v>
      </c>
      <c r="Z413" s="10" t="str">
        <f t="shared" si="130"/>
        <v>0_Pre</v>
      </c>
      <c r="AA413" s="10" t="str">
        <f t="shared" si="135"/>
        <v>0_Pre</v>
      </c>
      <c r="AB413" s="10" t="str">
        <f t="shared" si="136"/>
        <v>0_Pre</v>
      </c>
      <c r="AC413" s="10" t="str">
        <f t="shared" si="137"/>
        <v>0_Pre</v>
      </c>
      <c r="AD413" s="10" t="str">
        <f t="shared" si="138"/>
        <v>2_post sample median</v>
      </c>
      <c r="AE413" s="10" t="str">
        <f t="shared" si="139"/>
        <v>3_post sample third tertile</v>
      </c>
      <c r="AF413" t="s">
        <v>80</v>
      </c>
      <c r="AG413" t="s">
        <v>74</v>
      </c>
      <c r="AH413" t="s">
        <v>78</v>
      </c>
      <c r="AI413" t="s">
        <v>122</v>
      </c>
      <c r="AJ413" t="s">
        <v>122</v>
      </c>
      <c r="AK413" t="str">
        <f>VLOOKUP(MID($AR413,1,255),country_lookup!$B:$F,2,FALSE)</f>
        <v>3_AsiaPac</v>
      </c>
      <c r="AL413" t="str">
        <f>VLOOKUP(MID($AR413,1,255),country_lookup!$B:$F,3,FALSE)</f>
        <v>2_developing</v>
      </c>
      <c r="AM413" t="str">
        <f>VLOOKUP(MID($AR413,1,255),country_lookup!$B:$F,4,FALSE)</f>
        <v>2_non_western</v>
      </c>
      <c r="AN413" t="str">
        <f>VLOOKUP(MID($AR413,1,255),country_lookup!$B:$F,5,FALSE)</f>
        <v>2_civil law</v>
      </c>
      <c r="AO413" s="10" t="str">
        <f>VLOOKUP(MID($AS413,1,255),source_lookup!$B:$K,4,FALSE)</f>
        <v>0_published</v>
      </c>
      <c r="AP413" s="10" t="str">
        <f>VLOOKUP(MID($AS413,1,255),source_lookup!$B:$K,6,FALSE)</f>
        <v>1_VHB high</v>
      </c>
      <c r="AQ413" s="10" t="str">
        <f>VLOOKUP(MID($AS413,1,255),source_lookup!$B:$K,10,FALSE)</f>
        <v>2_sust</v>
      </c>
      <c r="AR413" t="s">
        <v>94</v>
      </c>
      <c r="AS413" t="s">
        <v>138</v>
      </c>
    </row>
    <row r="414" spans="1:45" x14ac:dyDescent="0.3">
      <c r="A414" t="s">
        <v>14</v>
      </c>
      <c r="B414">
        <v>413</v>
      </c>
      <c r="C414" s="1">
        <v>-6.7401633673874042E-2</v>
      </c>
      <c r="D414" s="2">
        <v>316</v>
      </c>
      <c r="E414" s="4">
        <v>948</v>
      </c>
      <c r="F414" s="4" t="s">
        <v>347</v>
      </c>
      <c r="G414" s="4" t="s">
        <v>346</v>
      </c>
      <c r="H414" t="s">
        <v>77</v>
      </c>
      <c r="I414" t="s">
        <v>350</v>
      </c>
      <c r="J414" s="3">
        <v>2014</v>
      </c>
      <c r="K414" s="3">
        <v>2016</v>
      </c>
      <c r="L414" s="6">
        <f t="shared" si="131"/>
        <v>2015</v>
      </c>
      <c r="M414" s="6">
        <f t="shared" si="132"/>
        <v>2015</v>
      </c>
      <c r="N414" s="7">
        <f t="shared" si="120"/>
        <v>0.33333333333333331</v>
      </c>
      <c r="O414" s="7">
        <f t="shared" si="121"/>
        <v>0</v>
      </c>
      <c r="P414" s="7">
        <f t="shared" si="122"/>
        <v>0</v>
      </c>
      <c r="Q414" s="7">
        <f t="shared" si="133"/>
        <v>0</v>
      </c>
      <c r="R414" s="10" t="str">
        <f t="shared" si="123"/>
        <v>0_Pre</v>
      </c>
      <c r="S414" s="10" t="str">
        <f t="shared" si="124"/>
        <v>0_Pre</v>
      </c>
      <c r="T414" s="10" t="str">
        <f t="shared" si="125"/>
        <v>0_Pre</v>
      </c>
      <c r="U414" s="10" t="str">
        <f t="shared" si="126"/>
        <v>1_Post</v>
      </c>
      <c r="V414" s="10" t="str">
        <f t="shared" si="134"/>
        <v>0_Pre</v>
      </c>
      <c r="W414" s="10" t="str">
        <f t="shared" si="127"/>
        <v>straddle</v>
      </c>
      <c r="X414" s="10" t="str">
        <f t="shared" si="128"/>
        <v>0_Pre</v>
      </c>
      <c r="Y414" s="10" t="str">
        <f t="shared" si="129"/>
        <v>0_Pre</v>
      </c>
      <c r="Z414" s="10" t="str">
        <f t="shared" si="130"/>
        <v>0_Pre</v>
      </c>
      <c r="AA414" s="10" t="str">
        <f t="shared" si="135"/>
        <v>0_Pre</v>
      </c>
      <c r="AB414" s="10" t="str">
        <f t="shared" si="136"/>
        <v>0_Pre</v>
      </c>
      <c r="AC414" s="10" t="str">
        <f t="shared" si="137"/>
        <v>0_Pre</v>
      </c>
      <c r="AD414" s="10" t="str">
        <f t="shared" si="138"/>
        <v>2_post sample median</v>
      </c>
      <c r="AE414" s="10" t="str">
        <f t="shared" si="139"/>
        <v>3_post sample third tertile</v>
      </c>
      <c r="AF414" t="s">
        <v>80</v>
      </c>
      <c r="AG414" t="s">
        <v>74</v>
      </c>
      <c r="AH414" t="s">
        <v>78</v>
      </c>
      <c r="AI414" t="s">
        <v>122</v>
      </c>
      <c r="AJ414" t="s">
        <v>122</v>
      </c>
      <c r="AK414" t="str">
        <f>VLOOKUP(MID($AR414,1,255),country_lookup!$B:$F,2,FALSE)</f>
        <v>3_AsiaPac</v>
      </c>
      <c r="AL414" t="str">
        <f>VLOOKUP(MID($AR414,1,255),country_lookup!$B:$F,3,FALSE)</f>
        <v>2_developing</v>
      </c>
      <c r="AM414" t="str">
        <f>VLOOKUP(MID($AR414,1,255),country_lookup!$B:$F,4,FALSE)</f>
        <v>2_non_western</v>
      </c>
      <c r="AN414" t="str">
        <f>VLOOKUP(MID($AR414,1,255),country_lookup!$B:$F,5,FALSE)</f>
        <v>2_civil law</v>
      </c>
      <c r="AO414" s="10" t="str">
        <f>VLOOKUP(MID($AS414,1,255),source_lookup!$B:$K,4,FALSE)</f>
        <v>0_published</v>
      </c>
      <c r="AP414" s="10" t="str">
        <f>VLOOKUP(MID($AS414,1,255),source_lookup!$B:$K,6,FALSE)</f>
        <v>1_VHB high</v>
      </c>
      <c r="AQ414" s="10" t="str">
        <f>VLOOKUP(MID($AS414,1,255),source_lookup!$B:$K,10,FALSE)</f>
        <v>2_sust</v>
      </c>
      <c r="AR414" t="s">
        <v>94</v>
      </c>
      <c r="AS414" t="s">
        <v>138</v>
      </c>
    </row>
    <row r="415" spans="1:45" x14ac:dyDescent="0.3">
      <c r="A415" t="s">
        <v>15</v>
      </c>
      <c r="B415">
        <v>414</v>
      </c>
      <c r="C415" s="1">
        <v>-0.99773826000691945</v>
      </c>
      <c r="D415" s="2">
        <v>184</v>
      </c>
      <c r="E415" s="4">
        <v>1304</v>
      </c>
      <c r="F415" s="4" t="s">
        <v>347</v>
      </c>
      <c r="G415" s="4" t="s">
        <v>346</v>
      </c>
      <c r="H415" t="s">
        <v>77</v>
      </c>
      <c r="I415" t="s">
        <v>352</v>
      </c>
      <c r="J415" s="3">
        <v>2007</v>
      </c>
      <c r="K415" s="3">
        <v>2017</v>
      </c>
      <c r="L415" s="6">
        <f t="shared" si="131"/>
        <v>2012</v>
      </c>
      <c r="M415" s="6">
        <f t="shared" si="132"/>
        <v>2012</v>
      </c>
      <c r="N415" s="7">
        <f t="shared" si="120"/>
        <v>0.18181818181818182</v>
      </c>
      <c r="O415" s="7">
        <f t="shared" si="121"/>
        <v>9.0909090909090912E-2</v>
      </c>
      <c r="P415" s="7">
        <f t="shared" si="122"/>
        <v>0</v>
      </c>
      <c r="Q415" s="7">
        <f t="shared" si="133"/>
        <v>0</v>
      </c>
      <c r="R415" s="10" t="str">
        <f t="shared" si="123"/>
        <v>0_Pre</v>
      </c>
      <c r="S415" s="10" t="str">
        <f t="shared" si="124"/>
        <v>0_Pre</v>
      </c>
      <c r="T415" s="10" t="str">
        <f t="shared" si="125"/>
        <v>0_Pre</v>
      </c>
      <c r="U415" s="10" t="str">
        <f t="shared" si="126"/>
        <v>1_Post</v>
      </c>
      <c r="V415" s="10" t="str">
        <f t="shared" si="134"/>
        <v>0_Pre</v>
      </c>
      <c r="W415" s="10" t="str">
        <f t="shared" si="127"/>
        <v>straddle</v>
      </c>
      <c r="X415" s="10" t="str">
        <f t="shared" si="128"/>
        <v>0_Pre</v>
      </c>
      <c r="Y415" s="10" t="str">
        <f t="shared" si="129"/>
        <v>0_Pre</v>
      </c>
      <c r="Z415" s="10" t="str">
        <f t="shared" si="130"/>
        <v>0_Pre</v>
      </c>
      <c r="AA415" s="10" t="str">
        <f t="shared" si="135"/>
        <v>1_Post</v>
      </c>
      <c r="AB415" s="10" t="str">
        <f t="shared" si="136"/>
        <v>0_Pre</v>
      </c>
      <c r="AC415" s="10" t="str">
        <f t="shared" si="137"/>
        <v>0_Pre</v>
      </c>
      <c r="AD415" s="10" t="str">
        <f t="shared" si="138"/>
        <v>2_post sample median</v>
      </c>
      <c r="AE415" s="10" t="str">
        <f t="shared" si="139"/>
        <v>2_in sample second tertile</v>
      </c>
      <c r="AF415" t="s">
        <v>81</v>
      </c>
      <c r="AG415" t="s">
        <v>75</v>
      </c>
      <c r="AH415" t="s">
        <v>78</v>
      </c>
      <c r="AI415" t="s">
        <v>122</v>
      </c>
      <c r="AJ415" t="s">
        <v>70</v>
      </c>
      <c r="AK415" t="str">
        <f>VLOOKUP(MID($AR415,1,255),country_lookup!$B:$F,2,FALSE)</f>
        <v>2_Europe</v>
      </c>
      <c r="AL415" t="str">
        <f>VLOOKUP(MID($AR415,1,255),country_lookup!$B:$F,3,FALSE)</f>
        <v>99_NCE</v>
      </c>
      <c r="AM415" t="str">
        <f>VLOOKUP(MID($AR415,1,255),country_lookup!$B:$F,4,FALSE)</f>
        <v>1_western</v>
      </c>
      <c r="AN415" t="str">
        <f>VLOOKUP(MID($AR415,1,255),country_lookup!$B:$F,5,FALSE)</f>
        <v>1_common law</v>
      </c>
      <c r="AO415" s="10" t="str">
        <f>VLOOKUP(MID($AS415,1,255),source_lookup!$B:$K,4,FALSE)</f>
        <v>0_published</v>
      </c>
      <c r="AP415" s="10" t="str">
        <f>VLOOKUP(MID($AS415,1,255),source_lookup!$B:$K,6,FALSE)</f>
        <v>1_VHB high</v>
      </c>
      <c r="AQ415" s="10" t="str">
        <f>VLOOKUP(MID($AS415,1,255),source_lookup!$B:$K,10,FALSE)</f>
        <v>2_sust</v>
      </c>
      <c r="AR415" t="s">
        <v>95</v>
      </c>
      <c r="AS415" t="s">
        <v>139</v>
      </c>
    </row>
    <row r="416" spans="1:45" x14ac:dyDescent="0.3">
      <c r="A416" t="s">
        <v>16</v>
      </c>
      <c r="B416">
        <v>415</v>
      </c>
      <c r="C416" s="1">
        <v>-0.15497402384254785</v>
      </c>
      <c r="D416" s="2">
        <v>297</v>
      </c>
      <c r="E416" s="4">
        <v>1101</v>
      </c>
      <c r="F416" s="4" t="s">
        <v>347</v>
      </c>
      <c r="G416" s="4" t="s">
        <v>346</v>
      </c>
      <c r="H416" t="s">
        <v>77</v>
      </c>
      <c r="I416" t="s">
        <v>352</v>
      </c>
      <c r="J416" s="3">
        <v>2006</v>
      </c>
      <c r="K416" s="3">
        <v>2015</v>
      </c>
      <c r="L416" s="6">
        <f t="shared" si="131"/>
        <v>2010.5</v>
      </c>
      <c r="M416" s="6">
        <f t="shared" si="132"/>
        <v>2010.5</v>
      </c>
      <c r="N416" s="7">
        <f t="shared" si="120"/>
        <v>0</v>
      </c>
      <c r="O416" s="7">
        <f t="shared" si="121"/>
        <v>0</v>
      </c>
      <c r="P416" s="7">
        <f t="shared" si="122"/>
        <v>0</v>
      </c>
      <c r="Q416" s="7">
        <f t="shared" si="133"/>
        <v>0</v>
      </c>
      <c r="R416" s="10" t="str">
        <f t="shared" si="123"/>
        <v>0_Pre</v>
      </c>
      <c r="S416" s="10" t="str">
        <f t="shared" si="124"/>
        <v>0_Pre</v>
      </c>
      <c r="T416" s="10" t="str">
        <f t="shared" si="125"/>
        <v>0_Pre</v>
      </c>
      <c r="U416" s="10" t="str">
        <f t="shared" si="126"/>
        <v>0_Pre</v>
      </c>
      <c r="V416" s="10" t="str">
        <f t="shared" si="134"/>
        <v>0_Pre</v>
      </c>
      <c r="W416" s="10" t="str">
        <f t="shared" si="127"/>
        <v>clean_pre</v>
      </c>
      <c r="X416" s="10" t="str">
        <f t="shared" si="128"/>
        <v>0_Pre</v>
      </c>
      <c r="Y416" s="10" t="str">
        <f t="shared" si="129"/>
        <v>0_Pre</v>
      </c>
      <c r="Z416" s="10" t="str">
        <f t="shared" si="130"/>
        <v>0_Pre</v>
      </c>
      <c r="AA416" s="10" t="str">
        <f t="shared" si="135"/>
        <v>0_Pre</v>
      </c>
      <c r="AB416" s="10" t="str">
        <f t="shared" si="136"/>
        <v>0_Pre</v>
      </c>
      <c r="AC416" s="10" t="str">
        <f t="shared" si="137"/>
        <v>0_Pre</v>
      </c>
      <c r="AD416" s="10" t="str">
        <f t="shared" si="138"/>
        <v>1_pre sample median</v>
      </c>
      <c r="AE416" s="10" t="str">
        <f t="shared" si="139"/>
        <v>1_pre sample first tertile</v>
      </c>
      <c r="AF416" t="s">
        <v>80</v>
      </c>
      <c r="AG416" t="s">
        <v>75</v>
      </c>
      <c r="AH416" t="s">
        <v>78</v>
      </c>
      <c r="AI416" t="s">
        <v>122</v>
      </c>
      <c r="AJ416" t="s">
        <v>122</v>
      </c>
      <c r="AK416" t="str">
        <f>VLOOKUP(MID($AR416,1,255),country_lookup!$B:$F,2,FALSE)</f>
        <v>2_Europe</v>
      </c>
      <c r="AL416" t="str">
        <f>VLOOKUP(MID($AR416,1,255),country_lookup!$B:$F,3,FALSE)</f>
        <v>99_NCE</v>
      </c>
      <c r="AM416" t="str">
        <f>VLOOKUP(MID($AR416,1,255),country_lookup!$B:$F,4,FALSE)</f>
        <v>1_western</v>
      </c>
      <c r="AN416" t="str">
        <f>VLOOKUP(MID($AR416,1,255),country_lookup!$B:$F,5,FALSE)</f>
        <v>1_common law</v>
      </c>
      <c r="AO416" s="10" t="str">
        <f>VLOOKUP(MID($AS416,1,255),source_lookup!$B:$K,4,FALSE)</f>
        <v>0_published</v>
      </c>
      <c r="AP416" s="10" t="str">
        <f>VLOOKUP(MID($AS416,1,255),source_lookup!$B:$K,6,FALSE)</f>
        <v>0_VHB low</v>
      </c>
      <c r="AQ416" s="10" t="str">
        <f>VLOOKUP(MID($AS416,1,255),source_lookup!$B:$K,10,FALSE)</f>
        <v>2_sust</v>
      </c>
      <c r="AR416" t="s">
        <v>96</v>
      </c>
      <c r="AS416" t="s">
        <v>140</v>
      </c>
    </row>
    <row r="417" spans="1:45" x14ac:dyDescent="0.3">
      <c r="A417" t="s">
        <v>17</v>
      </c>
      <c r="B417">
        <v>416</v>
      </c>
      <c r="C417" s="1">
        <v>-5.6899795309388324E-2</v>
      </c>
      <c r="D417" s="2">
        <v>533</v>
      </c>
      <c r="E417" s="4">
        <v>1599</v>
      </c>
      <c r="F417" s="4" t="s">
        <v>346</v>
      </c>
      <c r="G417" s="4" t="s">
        <v>347</v>
      </c>
      <c r="H417" t="s">
        <v>77</v>
      </c>
      <c r="I417" t="s">
        <v>351</v>
      </c>
      <c r="J417" s="3">
        <v>2009</v>
      </c>
      <c r="K417" s="3">
        <v>2011</v>
      </c>
      <c r="L417" s="6">
        <f t="shared" si="131"/>
        <v>2010</v>
      </c>
      <c r="M417" s="6">
        <f t="shared" si="132"/>
        <v>2010</v>
      </c>
      <c r="N417" s="7">
        <f t="shared" si="120"/>
        <v>0</v>
      </c>
      <c r="O417" s="7">
        <f t="shared" si="121"/>
        <v>0</v>
      </c>
      <c r="P417" s="7">
        <f t="shared" si="122"/>
        <v>0</v>
      </c>
      <c r="Q417" s="7">
        <f t="shared" si="133"/>
        <v>0</v>
      </c>
      <c r="R417" s="10" t="str">
        <f t="shared" si="123"/>
        <v>0_Pre</v>
      </c>
      <c r="S417" s="10" t="str">
        <f t="shared" si="124"/>
        <v>0_Pre</v>
      </c>
      <c r="T417" s="10" t="str">
        <f t="shared" si="125"/>
        <v>0_Pre</v>
      </c>
      <c r="U417" s="10" t="str">
        <f t="shared" si="126"/>
        <v>0_Pre</v>
      </c>
      <c r="V417" s="10" t="str">
        <f t="shared" si="134"/>
        <v>0_Pre</v>
      </c>
      <c r="W417" s="10" t="str">
        <f t="shared" si="127"/>
        <v>clean_pre</v>
      </c>
      <c r="X417" s="10" t="str">
        <f t="shared" si="128"/>
        <v>0_Pre</v>
      </c>
      <c r="Y417" s="10" t="str">
        <f t="shared" si="129"/>
        <v>0_Pre</v>
      </c>
      <c r="Z417" s="10" t="str">
        <f t="shared" si="130"/>
        <v>0_Pre</v>
      </c>
      <c r="AA417" s="10" t="str">
        <f t="shared" si="135"/>
        <v>0_Pre</v>
      </c>
      <c r="AB417" s="10" t="str">
        <f t="shared" si="136"/>
        <v>0_Pre</v>
      </c>
      <c r="AC417" s="10" t="str">
        <f t="shared" si="137"/>
        <v>0_Pre</v>
      </c>
      <c r="AD417" s="10" t="str">
        <f t="shared" si="138"/>
        <v>1_pre sample median</v>
      </c>
      <c r="AE417" s="10" t="str">
        <f t="shared" si="139"/>
        <v>1_pre sample first tertile</v>
      </c>
      <c r="AF417" t="s">
        <v>80</v>
      </c>
      <c r="AG417" t="s">
        <v>75</v>
      </c>
      <c r="AH417" t="s">
        <v>78</v>
      </c>
      <c r="AI417" t="s">
        <v>123</v>
      </c>
      <c r="AJ417" t="s">
        <v>123</v>
      </c>
      <c r="AK417" t="str">
        <f>VLOOKUP(MID($AR417,1,255),country_lookup!$B:$F,2,FALSE)</f>
        <v>3_AsiaPac</v>
      </c>
      <c r="AL417" t="str">
        <f>VLOOKUP(MID($AR417,1,255),country_lookup!$B:$F,3,FALSE)</f>
        <v>2_developing</v>
      </c>
      <c r="AM417" t="str">
        <f>VLOOKUP(MID($AR417,1,255),country_lookup!$B:$F,4,FALSE)</f>
        <v>2_non_western</v>
      </c>
      <c r="AN417" t="str">
        <f>VLOOKUP(MID($AR417,1,255),country_lookup!$B:$F,5,FALSE)</f>
        <v>2_civil law</v>
      </c>
      <c r="AO417" s="10" t="str">
        <f>VLOOKUP(MID($AS417,1,255),source_lookup!$B:$K,4,FALSE)</f>
        <v>0_published</v>
      </c>
      <c r="AP417" s="10" t="str">
        <f>VLOOKUP(MID($AS417,1,255),source_lookup!$B:$K,6,FALSE)</f>
        <v>1_VHB high</v>
      </c>
      <c r="AQ417" s="10" t="str">
        <f>VLOOKUP(MID($AS417,1,255),source_lookup!$B:$K,10,FALSE)</f>
        <v>3_mgmt</v>
      </c>
      <c r="AR417" t="s">
        <v>94</v>
      </c>
      <c r="AS417" t="s">
        <v>141</v>
      </c>
    </row>
    <row r="418" spans="1:45" x14ac:dyDescent="0.3">
      <c r="A418" t="s">
        <v>17</v>
      </c>
      <c r="B418">
        <v>417</v>
      </c>
      <c r="C418" s="1">
        <v>-6.7616081622535934E-2</v>
      </c>
      <c r="D418" s="2">
        <v>533</v>
      </c>
      <c r="E418" s="4">
        <v>1599</v>
      </c>
      <c r="F418" s="4" t="s">
        <v>346</v>
      </c>
      <c r="G418" s="4" t="s">
        <v>347</v>
      </c>
      <c r="H418" t="s">
        <v>77</v>
      </c>
      <c r="I418" t="s">
        <v>350</v>
      </c>
      <c r="J418" s="3">
        <v>2009</v>
      </c>
      <c r="K418" s="3">
        <v>2011</v>
      </c>
      <c r="L418" s="6">
        <f t="shared" si="131"/>
        <v>2010</v>
      </c>
      <c r="M418" s="6">
        <f t="shared" si="132"/>
        <v>2010</v>
      </c>
      <c r="N418" s="7">
        <f t="shared" si="120"/>
        <v>0</v>
      </c>
      <c r="O418" s="7">
        <f t="shared" si="121"/>
        <v>0</v>
      </c>
      <c r="P418" s="7">
        <f t="shared" si="122"/>
        <v>0</v>
      </c>
      <c r="Q418" s="7">
        <f t="shared" si="133"/>
        <v>0</v>
      </c>
      <c r="R418" s="10" t="str">
        <f t="shared" si="123"/>
        <v>0_Pre</v>
      </c>
      <c r="S418" s="10" t="str">
        <f t="shared" si="124"/>
        <v>0_Pre</v>
      </c>
      <c r="T418" s="10" t="str">
        <f t="shared" si="125"/>
        <v>0_Pre</v>
      </c>
      <c r="U418" s="10" t="str">
        <f t="shared" si="126"/>
        <v>0_Pre</v>
      </c>
      <c r="V418" s="10" t="str">
        <f t="shared" si="134"/>
        <v>0_Pre</v>
      </c>
      <c r="W418" s="10" t="str">
        <f t="shared" si="127"/>
        <v>clean_pre</v>
      </c>
      <c r="X418" s="10" t="str">
        <f t="shared" si="128"/>
        <v>0_Pre</v>
      </c>
      <c r="Y418" s="10" t="str">
        <f t="shared" si="129"/>
        <v>0_Pre</v>
      </c>
      <c r="Z418" s="10" t="str">
        <f t="shared" si="130"/>
        <v>0_Pre</v>
      </c>
      <c r="AA418" s="10" t="str">
        <f t="shared" si="135"/>
        <v>0_Pre</v>
      </c>
      <c r="AB418" s="10" t="str">
        <f t="shared" si="136"/>
        <v>0_Pre</v>
      </c>
      <c r="AC418" s="10" t="str">
        <f t="shared" si="137"/>
        <v>0_Pre</v>
      </c>
      <c r="AD418" s="10" t="str">
        <f t="shared" si="138"/>
        <v>1_pre sample median</v>
      </c>
      <c r="AE418" s="10" t="str">
        <f t="shared" si="139"/>
        <v>1_pre sample first tertile</v>
      </c>
      <c r="AF418" t="s">
        <v>80</v>
      </c>
      <c r="AG418" t="s">
        <v>75</v>
      </c>
      <c r="AH418" t="s">
        <v>78</v>
      </c>
      <c r="AI418" t="s">
        <v>123</v>
      </c>
      <c r="AJ418" t="s">
        <v>123</v>
      </c>
      <c r="AK418" t="str">
        <f>VLOOKUP(MID($AR418,1,255),country_lookup!$B:$F,2,FALSE)</f>
        <v>3_AsiaPac</v>
      </c>
      <c r="AL418" t="str">
        <f>VLOOKUP(MID($AR418,1,255),country_lookup!$B:$F,3,FALSE)</f>
        <v>2_developing</v>
      </c>
      <c r="AM418" t="str">
        <f>VLOOKUP(MID($AR418,1,255),country_lookup!$B:$F,4,FALSE)</f>
        <v>2_non_western</v>
      </c>
      <c r="AN418" t="str">
        <f>VLOOKUP(MID($AR418,1,255),country_lookup!$B:$F,5,FALSE)</f>
        <v>2_civil law</v>
      </c>
      <c r="AO418" s="10" t="str">
        <f>VLOOKUP(MID($AS418,1,255),source_lookup!$B:$K,4,FALSE)</f>
        <v>0_published</v>
      </c>
      <c r="AP418" s="10" t="str">
        <f>VLOOKUP(MID($AS418,1,255),source_lookup!$B:$K,6,FALSE)</f>
        <v>1_VHB high</v>
      </c>
      <c r="AQ418" s="10" t="str">
        <f>VLOOKUP(MID($AS418,1,255),source_lookup!$B:$K,10,FALSE)</f>
        <v>3_mgmt</v>
      </c>
      <c r="AR418" t="s">
        <v>94</v>
      </c>
      <c r="AS418" t="s">
        <v>141</v>
      </c>
    </row>
    <row r="419" spans="1:45" x14ac:dyDescent="0.3">
      <c r="A419" t="s">
        <v>17</v>
      </c>
      <c r="B419">
        <v>418</v>
      </c>
      <c r="C419" s="1">
        <v>-5.7920731799584041E-2</v>
      </c>
      <c r="D419" s="2">
        <v>533</v>
      </c>
      <c r="E419" s="4">
        <v>1599</v>
      </c>
      <c r="F419" s="4" t="s">
        <v>346</v>
      </c>
      <c r="G419" s="4" t="s">
        <v>347</v>
      </c>
      <c r="H419" t="s">
        <v>77</v>
      </c>
      <c r="I419" t="s">
        <v>350</v>
      </c>
      <c r="J419" s="3">
        <v>2009</v>
      </c>
      <c r="K419" s="3">
        <v>2011</v>
      </c>
      <c r="L419" s="6">
        <f t="shared" si="131"/>
        <v>2010</v>
      </c>
      <c r="M419" s="6">
        <f t="shared" si="132"/>
        <v>2010</v>
      </c>
      <c r="N419" s="7">
        <f t="shared" si="120"/>
        <v>0</v>
      </c>
      <c r="O419" s="7">
        <f t="shared" si="121"/>
        <v>0</v>
      </c>
      <c r="P419" s="7">
        <f t="shared" si="122"/>
        <v>0</v>
      </c>
      <c r="Q419" s="7">
        <f t="shared" si="133"/>
        <v>0</v>
      </c>
      <c r="R419" s="10" t="str">
        <f t="shared" si="123"/>
        <v>0_Pre</v>
      </c>
      <c r="S419" s="10" t="str">
        <f t="shared" si="124"/>
        <v>0_Pre</v>
      </c>
      <c r="T419" s="10" t="str">
        <f t="shared" si="125"/>
        <v>0_Pre</v>
      </c>
      <c r="U419" s="10" t="str">
        <f t="shared" si="126"/>
        <v>0_Pre</v>
      </c>
      <c r="V419" s="10" t="str">
        <f t="shared" si="134"/>
        <v>0_Pre</v>
      </c>
      <c r="W419" s="10" t="str">
        <f t="shared" si="127"/>
        <v>clean_pre</v>
      </c>
      <c r="X419" s="10" t="str">
        <f t="shared" si="128"/>
        <v>0_Pre</v>
      </c>
      <c r="Y419" s="10" t="str">
        <f t="shared" si="129"/>
        <v>0_Pre</v>
      </c>
      <c r="Z419" s="10" t="str">
        <f t="shared" si="130"/>
        <v>0_Pre</v>
      </c>
      <c r="AA419" s="10" t="str">
        <f t="shared" si="135"/>
        <v>0_Pre</v>
      </c>
      <c r="AB419" s="10" t="str">
        <f t="shared" si="136"/>
        <v>0_Pre</v>
      </c>
      <c r="AC419" s="10" t="str">
        <f t="shared" si="137"/>
        <v>0_Pre</v>
      </c>
      <c r="AD419" s="10" t="str">
        <f t="shared" si="138"/>
        <v>1_pre sample median</v>
      </c>
      <c r="AE419" s="10" t="str">
        <f t="shared" si="139"/>
        <v>1_pre sample first tertile</v>
      </c>
      <c r="AF419" t="s">
        <v>80</v>
      </c>
      <c r="AG419" t="s">
        <v>75</v>
      </c>
      <c r="AH419" t="s">
        <v>78</v>
      </c>
      <c r="AI419" t="s">
        <v>123</v>
      </c>
      <c r="AJ419" t="s">
        <v>123</v>
      </c>
      <c r="AK419" t="str">
        <f>VLOOKUP(MID($AR419,1,255),country_lookup!$B:$F,2,FALSE)</f>
        <v>3_AsiaPac</v>
      </c>
      <c r="AL419" t="str">
        <f>VLOOKUP(MID($AR419,1,255),country_lookup!$B:$F,3,FALSE)</f>
        <v>2_developing</v>
      </c>
      <c r="AM419" t="str">
        <f>VLOOKUP(MID($AR419,1,255),country_lookup!$B:$F,4,FALSE)</f>
        <v>2_non_western</v>
      </c>
      <c r="AN419" t="str">
        <f>VLOOKUP(MID($AR419,1,255),country_lookup!$B:$F,5,FALSE)</f>
        <v>2_civil law</v>
      </c>
      <c r="AO419" s="10" t="str">
        <f>VLOOKUP(MID($AS419,1,255),source_lookup!$B:$K,4,FALSE)</f>
        <v>0_published</v>
      </c>
      <c r="AP419" s="10" t="str">
        <f>VLOOKUP(MID($AS419,1,255),source_lookup!$B:$K,6,FALSE)</f>
        <v>1_VHB high</v>
      </c>
      <c r="AQ419" s="10" t="str">
        <f>VLOOKUP(MID($AS419,1,255),source_lookup!$B:$K,10,FALSE)</f>
        <v>3_mgmt</v>
      </c>
      <c r="AR419" t="s">
        <v>94</v>
      </c>
      <c r="AS419" t="s">
        <v>141</v>
      </c>
    </row>
    <row r="420" spans="1:45" x14ac:dyDescent="0.3">
      <c r="A420" t="s">
        <v>17</v>
      </c>
      <c r="B420">
        <v>419</v>
      </c>
      <c r="C420" s="1">
        <v>-5.7423068731951431E-2</v>
      </c>
      <c r="D420" s="2">
        <v>533</v>
      </c>
      <c r="E420" s="4">
        <v>1599</v>
      </c>
      <c r="F420" s="4" t="s">
        <v>346</v>
      </c>
      <c r="G420" s="4" t="s">
        <v>347</v>
      </c>
      <c r="H420" t="s">
        <v>77</v>
      </c>
      <c r="I420" t="s">
        <v>350</v>
      </c>
      <c r="J420" s="3">
        <v>2009</v>
      </c>
      <c r="K420" s="3">
        <v>2011</v>
      </c>
      <c r="L420" s="6">
        <f t="shared" si="131"/>
        <v>2010</v>
      </c>
      <c r="M420" s="6">
        <f t="shared" si="132"/>
        <v>2010</v>
      </c>
      <c r="N420" s="7">
        <f t="shared" si="120"/>
        <v>0</v>
      </c>
      <c r="O420" s="7">
        <f t="shared" si="121"/>
        <v>0</v>
      </c>
      <c r="P420" s="7">
        <f t="shared" si="122"/>
        <v>0</v>
      </c>
      <c r="Q420" s="7">
        <f t="shared" si="133"/>
        <v>0</v>
      </c>
      <c r="R420" s="10" t="str">
        <f t="shared" si="123"/>
        <v>0_Pre</v>
      </c>
      <c r="S420" s="10" t="str">
        <f t="shared" si="124"/>
        <v>0_Pre</v>
      </c>
      <c r="T420" s="10" t="str">
        <f t="shared" si="125"/>
        <v>0_Pre</v>
      </c>
      <c r="U420" s="10" t="str">
        <f t="shared" si="126"/>
        <v>0_Pre</v>
      </c>
      <c r="V420" s="10" t="str">
        <f t="shared" si="134"/>
        <v>0_Pre</v>
      </c>
      <c r="W420" s="10" t="str">
        <f t="shared" si="127"/>
        <v>clean_pre</v>
      </c>
      <c r="X420" s="10" t="str">
        <f t="shared" si="128"/>
        <v>0_Pre</v>
      </c>
      <c r="Y420" s="10" t="str">
        <f t="shared" si="129"/>
        <v>0_Pre</v>
      </c>
      <c r="Z420" s="10" t="str">
        <f t="shared" si="130"/>
        <v>0_Pre</v>
      </c>
      <c r="AA420" s="10" t="str">
        <f t="shared" si="135"/>
        <v>0_Pre</v>
      </c>
      <c r="AB420" s="10" t="str">
        <f t="shared" si="136"/>
        <v>0_Pre</v>
      </c>
      <c r="AC420" s="10" t="str">
        <f t="shared" si="137"/>
        <v>0_Pre</v>
      </c>
      <c r="AD420" s="10" t="str">
        <f t="shared" si="138"/>
        <v>1_pre sample median</v>
      </c>
      <c r="AE420" s="10" t="str">
        <f t="shared" si="139"/>
        <v>1_pre sample first tertile</v>
      </c>
      <c r="AF420" t="s">
        <v>80</v>
      </c>
      <c r="AG420" t="s">
        <v>75</v>
      </c>
      <c r="AH420" t="s">
        <v>78</v>
      </c>
      <c r="AI420" t="s">
        <v>123</v>
      </c>
      <c r="AJ420" t="s">
        <v>123</v>
      </c>
      <c r="AK420" t="str">
        <f>VLOOKUP(MID($AR420,1,255),country_lookup!$B:$F,2,FALSE)</f>
        <v>3_AsiaPac</v>
      </c>
      <c r="AL420" t="str">
        <f>VLOOKUP(MID($AR420,1,255),country_lookup!$B:$F,3,FALSE)</f>
        <v>2_developing</v>
      </c>
      <c r="AM420" t="str">
        <f>VLOOKUP(MID($AR420,1,255),country_lookup!$B:$F,4,FALSE)</f>
        <v>2_non_western</v>
      </c>
      <c r="AN420" t="str">
        <f>VLOOKUP(MID($AR420,1,255),country_lookup!$B:$F,5,FALSE)</f>
        <v>2_civil law</v>
      </c>
      <c r="AO420" s="10" t="str">
        <f>VLOOKUP(MID($AS420,1,255),source_lookup!$B:$K,4,FALSE)</f>
        <v>0_published</v>
      </c>
      <c r="AP420" s="10" t="str">
        <f>VLOOKUP(MID($AS420,1,255),source_lookup!$B:$K,6,FALSE)</f>
        <v>1_VHB high</v>
      </c>
      <c r="AQ420" s="10" t="str">
        <f>VLOOKUP(MID($AS420,1,255),source_lookup!$B:$K,10,FALSE)</f>
        <v>3_mgmt</v>
      </c>
      <c r="AR420" t="s">
        <v>94</v>
      </c>
      <c r="AS420" t="s">
        <v>141</v>
      </c>
    </row>
    <row r="421" spans="1:45" x14ac:dyDescent="0.3">
      <c r="A421" t="s">
        <v>17</v>
      </c>
      <c r="B421">
        <v>420</v>
      </c>
      <c r="C421" s="1">
        <v>5.1198786827900591E-2</v>
      </c>
      <c r="D421" s="2">
        <v>533</v>
      </c>
      <c r="E421" s="4">
        <v>1599</v>
      </c>
      <c r="F421" s="4" t="s">
        <v>346</v>
      </c>
      <c r="G421" s="4" t="s">
        <v>347</v>
      </c>
      <c r="H421" t="s">
        <v>77</v>
      </c>
      <c r="I421" t="s">
        <v>350</v>
      </c>
      <c r="J421" s="3">
        <v>2009</v>
      </c>
      <c r="K421" s="3">
        <v>2011</v>
      </c>
      <c r="L421" s="6">
        <f t="shared" si="131"/>
        <v>2010</v>
      </c>
      <c r="M421" s="6">
        <f t="shared" si="132"/>
        <v>2010</v>
      </c>
      <c r="N421" s="7">
        <f t="shared" si="120"/>
        <v>0</v>
      </c>
      <c r="O421" s="7">
        <f t="shared" si="121"/>
        <v>0</v>
      </c>
      <c r="P421" s="7">
        <f t="shared" si="122"/>
        <v>0</v>
      </c>
      <c r="Q421" s="7">
        <f t="shared" si="133"/>
        <v>0</v>
      </c>
      <c r="R421" s="10" t="str">
        <f t="shared" si="123"/>
        <v>0_Pre</v>
      </c>
      <c r="S421" s="10" t="str">
        <f t="shared" si="124"/>
        <v>0_Pre</v>
      </c>
      <c r="T421" s="10" t="str">
        <f t="shared" si="125"/>
        <v>0_Pre</v>
      </c>
      <c r="U421" s="10" t="str">
        <f t="shared" si="126"/>
        <v>0_Pre</v>
      </c>
      <c r="V421" s="10" t="str">
        <f t="shared" si="134"/>
        <v>0_Pre</v>
      </c>
      <c r="W421" s="10" t="str">
        <f t="shared" si="127"/>
        <v>clean_pre</v>
      </c>
      <c r="X421" s="10" t="str">
        <f t="shared" si="128"/>
        <v>0_Pre</v>
      </c>
      <c r="Y421" s="10" t="str">
        <f t="shared" si="129"/>
        <v>0_Pre</v>
      </c>
      <c r="Z421" s="10" t="str">
        <f t="shared" si="130"/>
        <v>0_Pre</v>
      </c>
      <c r="AA421" s="10" t="str">
        <f t="shared" si="135"/>
        <v>0_Pre</v>
      </c>
      <c r="AB421" s="10" t="str">
        <f t="shared" si="136"/>
        <v>0_Pre</v>
      </c>
      <c r="AC421" s="10" t="str">
        <f t="shared" si="137"/>
        <v>0_Pre</v>
      </c>
      <c r="AD421" s="10" t="str">
        <f t="shared" si="138"/>
        <v>1_pre sample median</v>
      </c>
      <c r="AE421" s="10" t="str">
        <f t="shared" si="139"/>
        <v>1_pre sample first tertile</v>
      </c>
      <c r="AF421" t="s">
        <v>80</v>
      </c>
      <c r="AG421" t="s">
        <v>75</v>
      </c>
      <c r="AH421" t="s">
        <v>78</v>
      </c>
      <c r="AI421" t="s">
        <v>123</v>
      </c>
      <c r="AJ421" t="s">
        <v>123</v>
      </c>
      <c r="AK421" t="str">
        <f>VLOOKUP(MID($AR421,1,255),country_lookup!$B:$F,2,FALSE)</f>
        <v>3_AsiaPac</v>
      </c>
      <c r="AL421" t="str">
        <f>VLOOKUP(MID($AR421,1,255),country_lookup!$B:$F,3,FALSE)</f>
        <v>2_developing</v>
      </c>
      <c r="AM421" t="str">
        <f>VLOOKUP(MID($AR421,1,255),country_lookup!$B:$F,4,FALSE)</f>
        <v>2_non_western</v>
      </c>
      <c r="AN421" t="str">
        <f>VLOOKUP(MID($AR421,1,255),country_lookup!$B:$F,5,FALSE)</f>
        <v>2_civil law</v>
      </c>
      <c r="AO421" s="10" t="str">
        <f>VLOOKUP(MID($AS421,1,255),source_lookup!$B:$K,4,FALSE)</f>
        <v>0_published</v>
      </c>
      <c r="AP421" s="10" t="str">
        <f>VLOOKUP(MID($AS421,1,255),source_lookup!$B:$K,6,FALSE)</f>
        <v>1_VHB high</v>
      </c>
      <c r="AQ421" s="10" t="str">
        <f>VLOOKUP(MID($AS421,1,255),source_lookup!$B:$K,10,FALSE)</f>
        <v>3_mgmt</v>
      </c>
      <c r="AR421" t="s">
        <v>94</v>
      </c>
      <c r="AS421" t="s">
        <v>141</v>
      </c>
    </row>
    <row r="422" spans="1:45" x14ac:dyDescent="0.3">
      <c r="A422" t="s">
        <v>17</v>
      </c>
      <c r="B422">
        <v>421</v>
      </c>
      <c r="C422" s="1">
        <v>-6.8112786645502937E-2</v>
      </c>
      <c r="D422" s="2">
        <v>533</v>
      </c>
      <c r="E422" s="4">
        <v>1599</v>
      </c>
      <c r="F422" s="4" t="s">
        <v>346</v>
      </c>
      <c r="G422" s="4" t="s">
        <v>347</v>
      </c>
      <c r="H422" t="s">
        <v>77</v>
      </c>
      <c r="I422" t="s">
        <v>350</v>
      </c>
      <c r="J422" s="3">
        <v>2009</v>
      </c>
      <c r="K422" s="3">
        <v>2011</v>
      </c>
      <c r="L422" s="6">
        <f t="shared" si="131"/>
        <v>2010</v>
      </c>
      <c r="M422" s="6">
        <f t="shared" si="132"/>
        <v>2010</v>
      </c>
      <c r="N422" s="7">
        <f t="shared" si="120"/>
        <v>0</v>
      </c>
      <c r="O422" s="7">
        <f t="shared" si="121"/>
        <v>0</v>
      </c>
      <c r="P422" s="7">
        <f t="shared" si="122"/>
        <v>0</v>
      </c>
      <c r="Q422" s="7">
        <f t="shared" si="133"/>
        <v>0</v>
      </c>
      <c r="R422" s="10" t="str">
        <f t="shared" si="123"/>
        <v>0_Pre</v>
      </c>
      <c r="S422" s="10" t="str">
        <f t="shared" si="124"/>
        <v>0_Pre</v>
      </c>
      <c r="T422" s="10" t="str">
        <f t="shared" si="125"/>
        <v>0_Pre</v>
      </c>
      <c r="U422" s="10" t="str">
        <f t="shared" si="126"/>
        <v>0_Pre</v>
      </c>
      <c r="V422" s="10" t="str">
        <f t="shared" si="134"/>
        <v>0_Pre</v>
      </c>
      <c r="W422" s="10" t="str">
        <f t="shared" si="127"/>
        <v>clean_pre</v>
      </c>
      <c r="X422" s="10" t="str">
        <f t="shared" si="128"/>
        <v>0_Pre</v>
      </c>
      <c r="Y422" s="10" t="str">
        <f t="shared" si="129"/>
        <v>0_Pre</v>
      </c>
      <c r="Z422" s="10" t="str">
        <f t="shared" si="130"/>
        <v>0_Pre</v>
      </c>
      <c r="AA422" s="10" t="str">
        <f t="shared" si="135"/>
        <v>0_Pre</v>
      </c>
      <c r="AB422" s="10" t="str">
        <f t="shared" si="136"/>
        <v>0_Pre</v>
      </c>
      <c r="AC422" s="10" t="str">
        <f t="shared" si="137"/>
        <v>0_Pre</v>
      </c>
      <c r="AD422" s="10" t="str">
        <f t="shared" si="138"/>
        <v>1_pre sample median</v>
      </c>
      <c r="AE422" s="10" t="str">
        <f t="shared" si="139"/>
        <v>1_pre sample first tertile</v>
      </c>
      <c r="AF422" t="s">
        <v>80</v>
      </c>
      <c r="AG422" t="s">
        <v>75</v>
      </c>
      <c r="AH422" t="s">
        <v>78</v>
      </c>
      <c r="AI422" t="s">
        <v>123</v>
      </c>
      <c r="AJ422" t="s">
        <v>123</v>
      </c>
      <c r="AK422" t="str">
        <f>VLOOKUP(MID($AR422,1,255),country_lookup!$B:$F,2,FALSE)</f>
        <v>3_AsiaPac</v>
      </c>
      <c r="AL422" t="str">
        <f>VLOOKUP(MID($AR422,1,255),country_lookup!$B:$F,3,FALSE)</f>
        <v>2_developing</v>
      </c>
      <c r="AM422" t="str">
        <f>VLOOKUP(MID($AR422,1,255),country_lookup!$B:$F,4,FALSE)</f>
        <v>2_non_western</v>
      </c>
      <c r="AN422" t="str">
        <f>VLOOKUP(MID($AR422,1,255),country_lookup!$B:$F,5,FALSE)</f>
        <v>2_civil law</v>
      </c>
      <c r="AO422" s="10" t="str">
        <f>VLOOKUP(MID($AS422,1,255),source_lookup!$B:$K,4,FALSE)</f>
        <v>0_published</v>
      </c>
      <c r="AP422" s="10" t="str">
        <f>VLOOKUP(MID($AS422,1,255),source_lookup!$B:$K,6,FALSE)</f>
        <v>1_VHB high</v>
      </c>
      <c r="AQ422" s="10" t="str">
        <f>VLOOKUP(MID($AS422,1,255),source_lookup!$B:$K,10,FALSE)</f>
        <v>3_mgmt</v>
      </c>
      <c r="AR422" t="s">
        <v>94</v>
      </c>
      <c r="AS422" t="s">
        <v>141</v>
      </c>
    </row>
    <row r="423" spans="1:45" x14ac:dyDescent="0.3">
      <c r="A423" t="s">
        <v>17</v>
      </c>
      <c r="B423">
        <v>422</v>
      </c>
      <c r="C423" s="1">
        <v>-5.8667145330674089E-2</v>
      </c>
      <c r="D423" s="2">
        <v>533</v>
      </c>
      <c r="E423" s="4">
        <v>1599</v>
      </c>
      <c r="F423" s="4" t="s">
        <v>346</v>
      </c>
      <c r="G423" s="4" t="s">
        <v>347</v>
      </c>
      <c r="H423" t="s">
        <v>77</v>
      </c>
      <c r="I423" t="s">
        <v>350</v>
      </c>
      <c r="J423" s="3">
        <v>2009</v>
      </c>
      <c r="K423" s="3">
        <v>2011</v>
      </c>
      <c r="L423" s="6">
        <f t="shared" si="131"/>
        <v>2010</v>
      </c>
      <c r="M423" s="6">
        <f t="shared" si="132"/>
        <v>2010</v>
      </c>
      <c r="N423" s="7">
        <f t="shared" si="120"/>
        <v>0</v>
      </c>
      <c r="O423" s="7">
        <f t="shared" si="121"/>
        <v>0</v>
      </c>
      <c r="P423" s="7">
        <f t="shared" si="122"/>
        <v>0</v>
      </c>
      <c r="Q423" s="7">
        <f t="shared" si="133"/>
        <v>0</v>
      </c>
      <c r="R423" s="10" t="str">
        <f t="shared" si="123"/>
        <v>0_Pre</v>
      </c>
      <c r="S423" s="10" t="str">
        <f t="shared" si="124"/>
        <v>0_Pre</v>
      </c>
      <c r="T423" s="10" t="str">
        <f t="shared" si="125"/>
        <v>0_Pre</v>
      </c>
      <c r="U423" s="10" t="str">
        <f t="shared" si="126"/>
        <v>0_Pre</v>
      </c>
      <c r="V423" s="10" t="str">
        <f t="shared" si="134"/>
        <v>0_Pre</v>
      </c>
      <c r="W423" s="10" t="str">
        <f t="shared" si="127"/>
        <v>clean_pre</v>
      </c>
      <c r="X423" s="10" t="str">
        <f t="shared" si="128"/>
        <v>0_Pre</v>
      </c>
      <c r="Y423" s="10" t="str">
        <f t="shared" si="129"/>
        <v>0_Pre</v>
      </c>
      <c r="Z423" s="10" t="str">
        <f t="shared" si="130"/>
        <v>0_Pre</v>
      </c>
      <c r="AA423" s="10" t="str">
        <f t="shared" si="135"/>
        <v>0_Pre</v>
      </c>
      <c r="AB423" s="10" t="str">
        <f t="shared" si="136"/>
        <v>0_Pre</v>
      </c>
      <c r="AC423" s="10" t="str">
        <f t="shared" si="137"/>
        <v>0_Pre</v>
      </c>
      <c r="AD423" s="10" t="str">
        <f t="shared" si="138"/>
        <v>1_pre sample median</v>
      </c>
      <c r="AE423" s="10" t="str">
        <f t="shared" si="139"/>
        <v>1_pre sample first tertile</v>
      </c>
      <c r="AF423" t="s">
        <v>80</v>
      </c>
      <c r="AG423" t="s">
        <v>75</v>
      </c>
      <c r="AH423" t="s">
        <v>78</v>
      </c>
      <c r="AI423" t="s">
        <v>123</v>
      </c>
      <c r="AJ423" t="s">
        <v>123</v>
      </c>
      <c r="AK423" t="str">
        <f>VLOOKUP(MID($AR423,1,255),country_lookup!$B:$F,2,FALSE)</f>
        <v>3_AsiaPac</v>
      </c>
      <c r="AL423" t="str">
        <f>VLOOKUP(MID($AR423,1,255),country_lookup!$B:$F,3,FALSE)</f>
        <v>2_developing</v>
      </c>
      <c r="AM423" t="str">
        <f>VLOOKUP(MID($AR423,1,255),country_lookup!$B:$F,4,FALSE)</f>
        <v>2_non_western</v>
      </c>
      <c r="AN423" t="str">
        <f>VLOOKUP(MID($AR423,1,255),country_lookup!$B:$F,5,FALSE)</f>
        <v>2_civil law</v>
      </c>
      <c r="AO423" s="10" t="str">
        <f>VLOOKUP(MID($AS423,1,255),source_lookup!$B:$K,4,FALSE)</f>
        <v>0_published</v>
      </c>
      <c r="AP423" s="10" t="str">
        <f>VLOOKUP(MID($AS423,1,255),source_lookup!$B:$K,6,FALSE)</f>
        <v>1_VHB high</v>
      </c>
      <c r="AQ423" s="10" t="str">
        <f>VLOOKUP(MID($AS423,1,255),source_lookup!$B:$K,10,FALSE)</f>
        <v>3_mgmt</v>
      </c>
      <c r="AR423" t="s">
        <v>94</v>
      </c>
      <c r="AS423" t="s">
        <v>141</v>
      </c>
    </row>
    <row r="424" spans="1:45" x14ac:dyDescent="0.3">
      <c r="A424" t="s">
        <v>17</v>
      </c>
      <c r="B424">
        <v>423</v>
      </c>
      <c r="C424" s="1">
        <v>-5.3191241173056208E-2</v>
      </c>
      <c r="D424" s="2">
        <v>533</v>
      </c>
      <c r="E424" s="4">
        <v>1599</v>
      </c>
      <c r="F424" s="4" t="s">
        <v>346</v>
      </c>
      <c r="G424" s="4" t="s">
        <v>347</v>
      </c>
      <c r="H424" t="s">
        <v>77</v>
      </c>
      <c r="I424" t="s">
        <v>350</v>
      </c>
      <c r="J424" s="3">
        <v>2009</v>
      </c>
      <c r="K424" s="3">
        <v>2011</v>
      </c>
      <c r="L424" s="6">
        <f t="shared" si="131"/>
        <v>2010</v>
      </c>
      <c r="M424" s="6">
        <f t="shared" si="132"/>
        <v>2010</v>
      </c>
      <c r="N424" s="7">
        <f t="shared" si="120"/>
        <v>0</v>
      </c>
      <c r="O424" s="7">
        <f t="shared" si="121"/>
        <v>0</v>
      </c>
      <c r="P424" s="7">
        <f t="shared" si="122"/>
        <v>0</v>
      </c>
      <c r="Q424" s="7">
        <f t="shared" si="133"/>
        <v>0</v>
      </c>
      <c r="R424" s="10" t="str">
        <f t="shared" si="123"/>
        <v>0_Pre</v>
      </c>
      <c r="S424" s="10" t="str">
        <f t="shared" si="124"/>
        <v>0_Pre</v>
      </c>
      <c r="T424" s="10" t="str">
        <f t="shared" si="125"/>
        <v>0_Pre</v>
      </c>
      <c r="U424" s="10" t="str">
        <f t="shared" si="126"/>
        <v>0_Pre</v>
      </c>
      <c r="V424" s="10" t="str">
        <f t="shared" si="134"/>
        <v>0_Pre</v>
      </c>
      <c r="W424" s="10" t="str">
        <f t="shared" si="127"/>
        <v>clean_pre</v>
      </c>
      <c r="X424" s="10" t="str">
        <f t="shared" si="128"/>
        <v>0_Pre</v>
      </c>
      <c r="Y424" s="10" t="str">
        <f t="shared" si="129"/>
        <v>0_Pre</v>
      </c>
      <c r="Z424" s="10" t="str">
        <f t="shared" si="130"/>
        <v>0_Pre</v>
      </c>
      <c r="AA424" s="10" t="str">
        <f t="shared" si="135"/>
        <v>0_Pre</v>
      </c>
      <c r="AB424" s="10" t="str">
        <f t="shared" si="136"/>
        <v>0_Pre</v>
      </c>
      <c r="AC424" s="10" t="str">
        <f t="shared" si="137"/>
        <v>0_Pre</v>
      </c>
      <c r="AD424" s="10" t="str">
        <f t="shared" si="138"/>
        <v>1_pre sample median</v>
      </c>
      <c r="AE424" s="10" t="str">
        <f t="shared" si="139"/>
        <v>1_pre sample first tertile</v>
      </c>
      <c r="AF424" t="s">
        <v>80</v>
      </c>
      <c r="AG424" t="s">
        <v>75</v>
      </c>
      <c r="AH424" t="s">
        <v>78</v>
      </c>
      <c r="AI424" t="s">
        <v>123</v>
      </c>
      <c r="AJ424" t="s">
        <v>123</v>
      </c>
      <c r="AK424" t="str">
        <f>VLOOKUP(MID($AR424,1,255),country_lookup!$B:$F,2,FALSE)</f>
        <v>3_AsiaPac</v>
      </c>
      <c r="AL424" t="str">
        <f>VLOOKUP(MID($AR424,1,255),country_lookup!$B:$F,3,FALSE)</f>
        <v>2_developing</v>
      </c>
      <c r="AM424" t="str">
        <f>VLOOKUP(MID($AR424,1,255),country_lookup!$B:$F,4,FALSE)</f>
        <v>2_non_western</v>
      </c>
      <c r="AN424" t="str">
        <f>VLOOKUP(MID($AR424,1,255),country_lookup!$B:$F,5,FALSE)</f>
        <v>2_civil law</v>
      </c>
      <c r="AO424" s="10" t="str">
        <f>VLOOKUP(MID($AS424,1,255),source_lookup!$B:$K,4,FALSE)</f>
        <v>0_published</v>
      </c>
      <c r="AP424" s="10" t="str">
        <f>VLOOKUP(MID($AS424,1,255),source_lookup!$B:$K,6,FALSE)</f>
        <v>1_VHB high</v>
      </c>
      <c r="AQ424" s="10" t="str">
        <f>VLOOKUP(MID($AS424,1,255),source_lookup!$B:$K,10,FALSE)</f>
        <v>3_mgmt</v>
      </c>
      <c r="AR424" t="s">
        <v>94</v>
      </c>
      <c r="AS424" t="s">
        <v>141</v>
      </c>
    </row>
    <row r="425" spans="1:45" x14ac:dyDescent="0.3">
      <c r="A425" t="s">
        <v>17</v>
      </c>
      <c r="B425">
        <v>424</v>
      </c>
      <c r="C425" s="1">
        <v>4.7461305146804314E-2</v>
      </c>
      <c r="D425" s="2">
        <v>533</v>
      </c>
      <c r="E425" s="4">
        <v>1599</v>
      </c>
      <c r="F425" s="4" t="s">
        <v>346</v>
      </c>
      <c r="G425" s="4" t="s">
        <v>347</v>
      </c>
      <c r="H425" t="s">
        <v>77</v>
      </c>
      <c r="I425" t="s">
        <v>350</v>
      </c>
      <c r="J425" s="3">
        <v>2009</v>
      </c>
      <c r="K425" s="3">
        <v>2011</v>
      </c>
      <c r="L425" s="6">
        <f t="shared" si="131"/>
        <v>2010</v>
      </c>
      <c r="M425" s="6">
        <f t="shared" si="132"/>
        <v>2010</v>
      </c>
      <c r="N425" s="7">
        <f t="shared" si="120"/>
        <v>0</v>
      </c>
      <c r="O425" s="7">
        <f t="shared" si="121"/>
        <v>0</v>
      </c>
      <c r="P425" s="7">
        <f t="shared" si="122"/>
        <v>0</v>
      </c>
      <c r="Q425" s="7">
        <f t="shared" si="133"/>
        <v>0</v>
      </c>
      <c r="R425" s="10" t="str">
        <f t="shared" si="123"/>
        <v>0_Pre</v>
      </c>
      <c r="S425" s="10" t="str">
        <f t="shared" si="124"/>
        <v>0_Pre</v>
      </c>
      <c r="T425" s="10" t="str">
        <f t="shared" si="125"/>
        <v>0_Pre</v>
      </c>
      <c r="U425" s="10" t="str">
        <f t="shared" si="126"/>
        <v>0_Pre</v>
      </c>
      <c r="V425" s="10" t="str">
        <f t="shared" si="134"/>
        <v>0_Pre</v>
      </c>
      <c r="W425" s="10" t="str">
        <f t="shared" si="127"/>
        <v>clean_pre</v>
      </c>
      <c r="X425" s="10" t="str">
        <f t="shared" si="128"/>
        <v>0_Pre</v>
      </c>
      <c r="Y425" s="10" t="str">
        <f t="shared" si="129"/>
        <v>0_Pre</v>
      </c>
      <c r="Z425" s="10" t="str">
        <f t="shared" si="130"/>
        <v>0_Pre</v>
      </c>
      <c r="AA425" s="10" t="str">
        <f t="shared" si="135"/>
        <v>0_Pre</v>
      </c>
      <c r="AB425" s="10" t="str">
        <f t="shared" si="136"/>
        <v>0_Pre</v>
      </c>
      <c r="AC425" s="10" t="str">
        <f t="shared" si="137"/>
        <v>0_Pre</v>
      </c>
      <c r="AD425" s="10" t="str">
        <f t="shared" si="138"/>
        <v>1_pre sample median</v>
      </c>
      <c r="AE425" s="10" t="str">
        <f t="shared" si="139"/>
        <v>1_pre sample first tertile</v>
      </c>
      <c r="AF425" t="s">
        <v>80</v>
      </c>
      <c r="AG425" t="s">
        <v>75</v>
      </c>
      <c r="AH425" t="s">
        <v>78</v>
      </c>
      <c r="AI425" t="s">
        <v>123</v>
      </c>
      <c r="AJ425" t="s">
        <v>123</v>
      </c>
      <c r="AK425" t="str">
        <f>VLOOKUP(MID($AR425,1,255),country_lookup!$B:$F,2,FALSE)</f>
        <v>3_AsiaPac</v>
      </c>
      <c r="AL425" t="str">
        <f>VLOOKUP(MID($AR425,1,255),country_lookup!$B:$F,3,FALSE)</f>
        <v>2_developing</v>
      </c>
      <c r="AM425" t="str">
        <f>VLOOKUP(MID($AR425,1,255),country_lookup!$B:$F,4,FALSE)</f>
        <v>2_non_western</v>
      </c>
      <c r="AN425" t="str">
        <f>VLOOKUP(MID($AR425,1,255),country_lookup!$B:$F,5,FALSE)</f>
        <v>2_civil law</v>
      </c>
      <c r="AO425" s="10" t="str">
        <f>VLOOKUP(MID($AS425,1,255),source_lookup!$B:$K,4,FALSE)</f>
        <v>0_published</v>
      </c>
      <c r="AP425" s="10" t="str">
        <f>VLOOKUP(MID($AS425,1,255),source_lookup!$B:$K,6,FALSE)</f>
        <v>1_VHB high</v>
      </c>
      <c r="AQ425" s="10" t="str">
        <f>VLOOKUP(MID($AS425,1,255),source_lookup!$B:$K,10,FALSE)</f>
        <v>3_mgmt</v>
      </c>
      <c r="AR425" t="s">
        <v>94</v>
      </c>
      <c r="AS425" t="s">
        <v>141</v>
      </c>
    </row>
    <row r="426" spans="1:45" x14ac:dyDescent="0.3">
      <c r="A426" t="s">
        <v>17</v>
      </c>
      <c r="B426">
        <v>425</v>
      </c>
      <c r="C426" s="1">
        <v>-9.5836919668716158E-2</v>
      </c>
      <c r="D426" s="2">
        <v>533</v>
      </c>
      <c r="E426" s="4">
        <v>1599</v>
      </c>
      <c r="F426" s="4" t="s">
        <v>346</v>
      </c>
      <c r="G426" s="4" t="s">
        <v>347</v>
      </c>
      <c r="H426" t="s">
        <v>77</v>
      </c>
      <c r="I426" t="s">
        <v>350</v>
      </c>
      <c r="J426" s="3">
        <v>2009</v>
      </c>
      <c r="K426" s="3">
        <v>2011</v>
      </c>
      <c r="L426" s="6">
        <f t="shared" si="131"/>
        <v>2010</v>
      </c>
      <c r="M426" s="6">
        <f t="shared" si="132"/>
        <v>2010</v>
      </c>
      <c r="N426" s="7">
        <f t="shared" si="120"/>
        <v>0</v>
      </c>
      <c r="O426" s="7">
        <f t="shared" si="121"/>
        <v>0</v>
      </c>
      <c r="P426" s="7">
        <f t="shared" si="122"/>
        <v>0</v>
      </c>
      <c r="Q426" s="7">
        <f t="shared" si="133"/>
        <v>0</v>
      </c>
      <c r="R426" s="10" t="str">
        <f t="shared" si="123"/>
        <v>0_Pre</v>
      </c>
      <c r="S426" s="10" t="str">
        <f t="shared" si="124"/>
        <v>0_Pre</v>
      </c>
      <c r="T426" s="10" t="str">
        <f t="shared" si="125"/>
        <v>0_Pre</v>
      </c>
      <c r="U426" s="10" t="str">
        <f t="shared" si="126"/>
        <v>0_Pre</v>
      </c>
      <c r="V426" s="10" t="str">
        <f t="shared" si="134"/>
        <v>0_Pre</v>
      </c>
      <c r="W426" s="10" t="str">
        <f t="shared" si="127"/>
        <v>clean_pre</v>
      </c>
      <c r="X426" s="10" t="str">
        <f t="shared" si="128"/>
        <v>0_Pre</v>
      </c>
      <c r="Y426" s="10" t="str">
        <f t="shared" si="129"/>
        <v>0_Pre</v>
      </c>
      <c r="Z426" s="10" t="str">
        <f t="shared" si="130"/>
        <v>0_Pre</v>
      </c>
      <c r="AA426" s="10" t="str">
        <f t="shared" si="135"/>
        <v>0_Pre</v>
      </c>
      <c r="AB426" s="10" t="str">
        <f t="shared" si="136"/>
        <v>0_Pre</v>
      </c>
      <c r="AC426" s="10" t="str">
        <f t="shared" si="137"/>
        <v>0_Pre</v>
      </c>
      <c r="AD426" s="10" t="str">
        <f t="shared" si="138"/>
        <v>1_pre sample median</v>
      </c>
      <c r="AE426" s="10" t="str">
        <f t="shared" si="139"/>
        <v>1_pre sample first tertile</v>
      </c>
      <c r="AF426" t="s">
        <v>80</v>
      </c>
      <c r="AG426" t="s">
        <v>75</v>
      </c>
      <c r="AH426" t="s">
        <v>78</v>
      </c>
      <c r="AI426" t="s">
        <v>123</v>
      </c>
      <c r="AJ426" t="s">
        <v>123</v>
      </c>
      <c r="AK426" t="str">
        <f>VLOOKUP(MID($AR426,1,255),country_lookup!$B:$F,2,FALSE)</f>
        <v>3_AsiaPac</v>
      </c>
      <c r="AL426" t="str">
        <f>VLOOKUP(MID($AR426,1,255),country_lookup!$B:$F,3,FALSE)</f>
        <v>2_developing</v>
      </c>
      <c r="AM426" t="str">
        <f>VLOOKUP(MID($AR426,1,255),country_lookup!$B:$F,4,FALSE)</f>
        <v>2_non_western</v>
      </c>
      <c r="AN426" t="str">
        <f>VLOOKUP(MID($AR426,1,255),country_lookup!$B:$F,5,FALSE)</f>
        <v>2_civil law</v>
      </c>
      <c r="AO426" s="10" t="str">
        <f>VLOOKUP(MID($AS426,1,255),source_lookup!$B:$K,4,FALSE)</f>
        <v>0_published</v>
      </c>
      <c r="AP426" s="10" t="str">
        <f>VLOOKUP(MID($AS426,1,255),source_lookup!$B:$K,6,FALSE)</f>
        <v>1_VHB high</v>
      </c>
      <c r="AQ426" s="10" t="str">
        <f>VLOOKUP(MID($AS426,1,255),source_lookup!$B:$K,10,FALSE)</f>
        <v>3_mgmt</v>
      </c>
      <c r="AR426" t="s">
        <v>94</v>
      </c>
      <c r="AS426" t="s">
        <v>141</v>
      </c>
    </row>
    <row r="427" spans="1:45" x14ac:dyDescent="0.3">
      <c r="A427" t="s">
        <v>17</v>
      </c>
      <c r="B427">
        <v>426</v>
      </c>
      <c r="C427" s="1">
        <v>-8.7688426584941775E-2</v>
      </c>
      <c r="D427" s="2">
        <v>533</v>
      </c>
      <c r="E427" s="4">
        <v>1599</v>
      </c>
      <c r="F427" s="4" t="s">
        <v>346</v>
      </c>
      <c r="G427" s="4" t="s">
        <v>347</v>
      </c>
      <c r="H427" t="s">
        <v>77</v>
      </c>
      <c r="I427" t="s">
        <v>350</v>
      </c>
      <c r="J427" s="3">
        <v>2009</v>
      </c>
      <c r="K427" s="3">
        <v>2011</v>
      </c>
      <c r="L427" s="6">
        <f t="shared" si="131"/>
        <v>2010</v>
      </c>
      <c r="M427" s="6">
        <f t="shared" si="132"/>
        <v>2010</v>
      </c>
      <c r="N427" s="7">
        <f t="shared" si="120"/>
        <v>0</v>
      </c>
      <c r="O427" s="7">
        <f t="shared" si="121"/>
        <v>0</v>
      </c>
      <c r="P427" s="7">
        <f t="shared" si="122"/>
        <v>0</v>
      </c>
      <c r="Q427" s="7">
        <f t="shared" si="133"/>
        <v>0</v>
      </c>
      <c r="R427" s="10" t="str">
        <f t="shared" si="123"/>
        <v>0_Pre</v>
      </c>
      <c r="S427" s="10" t="str">
        <f t="shared" si="124"/>
        <v>0_Pre</v>
      </c>
      <c r="T427" s="10" t="str">
        <f t="shared" si="125"/>
        <v>0_Pre</v>
      </c>
      <c r="U427" s="10" t="str">
        <f t="shared" si="126"/>
        <v>0_Pre</v>
      </c>
      <c r="V427" s="10" t="str">
        <f t="shared" si="134"/>
        <v>0_Pre</v>
      </c>
      <c r="W427" s="10" t="str">
        <f t="shared" si="127"/>
        <v>clean_pre</v>
      </c>
      <c r="X427" s="10" t="str">
        <f t="shared" si="128"/>
        <v>0_Pre</v>
      </c>
      <c r="Y427" s="10" t="str">
        <f t="shared" si="129"/>
        <v>0_Pre</v>
      </c>
      <c r="Z427" s="10" t="str">
        <f t="shared" si="130"/>
        <v>0_Pre</v>
      </c>
      <c r="AA427" s="10" t="str">
        <f t="shared" si="135"/>
        <v>0_Pre</v>
      </c>
      <c r="AB427" s="10" t="str">
        <f t="shared" si="136"/>
        <v>0_Pre</v>
      </c>
      <c r="AC427" s="10" t="str">
        <f t="shared" si="137"/>
        <v>0_Pre</v>
      </c>
      <c r="AD427" s="10" t="str">
        <f t="shared" si="138"/>
        <v>1_pre sample median</v>
      </c>
      <c r="AE427" s="10" t="str">
        <f t="shared" si="139"/>
        <v>1_pre sample first tertile</v>
      </c>
      <c r="AF427" t="s">
        <v>80</v>
      </c>
      <c r="AG427" t="s">
        <v>75</v>
      </c>
      <c r="AH427" t="s">
        <v>78</v>
      </c>
      <c r="AI427" t="s">
        <v>123</v>
      </c>
      <c r="AJ427" t="s">
        <v>123</v>
      </c>
      <c r="AK427" t="str">
        <f>VLOOKUP(MID($AR427,1,255),country_lookup!$B:$F,2,FALSE)</f>
        <v>3_AsiaPac</v>
      </c>
      <c r="AL427" t="str">
        <f>VLOOKUP(MID($AR427,1,255),country_lookup!$B:$F,3,FALSE)</f>
        <v>2_developing</v>
      </c>
      <c r="AM427" t="str">
        <f>VLOOKUP(MID($AR427,1,255),country_lookup!$B:$F,4,FALSE)</f>
        <v>2_non_western</v>
      </c>
      <c r="AN427" t="str">
        <f>VLOOKUP(MID($AR427,1,255),country_lookup!$B:$F,5,FALSE)</f>
        <v>2_civil law</v>
      </c>
      <c r="AO427" s="10" t="str">
        <f>VLOOKUP(MID($AS427,1,255),source_lookup!$B:$K,4,FALSE)</f>
        <v>0_published</v>
      </c>
      <c r="AP427" s="10" t="str">
        <f>VLOOKUP(MID($AS427,1,255),source_lookup!$B:$K,6,FALSE)</f>
        <v>1_VHB high</v>
      </c>
      <c r="AQ427" s="10" t="str">
        <f>VLOOKUP(MID($AS427,1,255),source_lookup!$B:$K,10,FALSE)</f>
        <v>3_mgmt</v>
      </c>
      <c r="AR427" t="s">
        <v>94</v>
      </c>
      <c r="AS427" t="s">
        <v>141</v>
      </c>
    </row>
    <row r="428" spans="1:45" x14ac:dyDescent="0.3">
      <c r="A428" t="s">
        <v>17</v>
      </c>
      <c r="B428">
        <v>427</v>
      </c>
      <c r="C428" s="1">
        <v>-9.2135347372870616E-2</v>
      </c>
      <c r="D428" s="2">
        <v>533</v>
      </c>
      <c r="E428" s="4">
        <v>1599</v>
      </c>
      <c r="F428" s="4" t="s">
        <v>346</v>
      </c>
      <c r="G428" s="4" t="s">
        <v>347</v>
      </c>
      <c r="H428" t="s">
        <v>77</v>
      </c>
      <c r="I428" t="s">
        <v>350</v>
      </c>
      <c r="J428" s="3">
        <v>2009</v>
      </c>
      <c r="K428" s="3">
        <v>2011</v>
      </c>
      <c r="L428" s="6">
        <f t="shared" si="131"/>
        <v>2010</v>
      </c>
      <c r="M428" s="6">
        <f t="shared" si="132"/>
        <v>2010</v>
      </c>
      <c r="N428" s="7">
        <f t="shared" si="120"/>
        <v>0</v>
      </c>
      <c r="O428" s="7">
        <f t="shared" si="121"/>
        <v>0</v>
      </c>
      <c r="P428" s="7">
        <f t="shared" si="122"/>
        <v>0</v>
      </c>
      <c r="Q428" s="7">
        <f t="shared" si="133"/>
        <v>0</v>
      </c>
      <c r="R428" s="10" t="str">
        <f t="shared" si="123"/>
        <v>0_Pre</v>
      </c>
      <c r="S428" s="10" t="str">
        <f t="shared" si="124"/>
        <v>0_Pre</v>
      </c>
      <c r="T428" s="10" t="str">
        <f t="shared" si="125"/>
        <v>0_Pre</v>
      </c>
      <c r="U428" s="10" t="str">
        <f t="shared" si="126"/>
        <v>0_Pre</v>
      </c>
      <c r="V428" s="10" t="str">
        <f t="shared" si="134"/>
        <v>0_Pre</v>
      </c>
      <c r="W428" s="10" t="str">
        <f t="shared" si="127"/>
        <v>clean_pre</v>
      </c>
      <c r="X428" s="10" t="str">
        <f t="shared" si="128"/>
        <v>0_Pre</v>
      </c>
      <c r="Y428" s="10" t="str">
        <f t="shared" si="129"/>
        <v>0_Pre</v>
      </c>
      <c r="Z428" s="10" t="str">
        <f t="shared" si="130"/>
        <v>0_Pre</v>
      </c>
      <c r="AA428" s="10" t="str">
        <f t="shared" si="135"/>
        <v>0_Pre</v>
      </c>
      <c r="AB428" s="10" t="str">
        <f t="shared" si="136"/>
        <v>0_Pre</v>
      </c>
      <c r="AC428" s="10" t="str">
        <f t="shared" si="137"/>
        <v>0_Pre</v>
      </c>
      <c r="AD428" s="10" t="str">
        <f t="shared" si="138"/>
        <v>1_pre sample median</v>
      </c>
      <c r="AE428" s="10" t="str">
        <f t="shared" si="139"/>
        <v>1_pre sample first tertile</v>
      </c>
      <c r="AF428" t="s">
        <v>80</v>
      </c>
      <c r="AG428" t="s">
        <v>75</v>
      </c>
      <c r="AH428" t="s">
        <v>78</v>
      </c>
      <c r="AI428" t="s">
        <v>123</v>
      </c>
      <c r="AJ428" t="s">
        <v>123</v>
      </c>
      <c r="AK428" t="str">
        <f>VLOOKUP(MID($AR428,1,255),country_lookup!$B:$F,2,FALSE)</f>
        <v>3_AsiaPac</v>
      </c>
      <c r="AL428" t="str">
        <f>VLOOKUP(MID($AR428,1,255),country_lookup!$B:$F,3,FALSE)</f>
        <v>2_developing</v>
      </c>
      <c r="AM428" t="str">
        <f>VLOOKUP(MID($AR428,1,255),country_lookup!$B:$F,4,FALSE)</f>
        <v>2_non_western</v>
      </c>
      <c r="AN428" t="str">
        <f>VLOOKUP(MID($AR428,1,255),country_lookup!$B:$F,5,FALSE)</f>
        <v>2_civil law</v>
      </c>
      <c r="AO428" s="10" t="str">
        <f>VLOOKUP(MID($AS428,1,255),source_lookup!$B:$K,4,FALSE)</f>
        <v>0_published</v>
      </c>
      <c r="AP428" s="10" t="str">
        <f>VLOOKUP(MID($AS428,1,255),source_lookup!$B:$K,6,FALSE)</f>
        <v>1_VHB high</v>
      </c>
      <c r="AQ428" s="10" t="str">
        <f>VLOOKUP(MID($AS428,1,255),source_lookup!$B:$K,10,FALSE)</f>
        <v>3_mgmt</v>
      </c>
      <c r="AR428" t="s">
        <v>94</v>
      </c>
      <c r="AS428" t="s">
        <v>141</v>
      </c>
    </row>
    <row r="429" spans="1:45" x14ac:dyDescent="0.3">
      <c r="A429" t="s">
        <v>17</v>
      </c>
      <c r="B429">
        <v>428</v>
      </c>
      <c r="C429" s="1">
        <v>7.0099096681908613E-2</v>
      </c>
      <c r="D429" s="2">
        <v>533</v>
      </c>
      <c r="E429" s="4">
        <v>1599</v>
      </c>
      <c r="F429" s="4" t="s">
        <v>346</v>
      </c>
      <c r="G429" s="4" t="s">
        <v>347</v>
      </c>
      <c r="H429" t="s">
        <v>77</v>
      </c>
      <c r="I429" t="s">
        <v>350</v>
      </c>
      <c r="J429" s="3">
        <v>2009</v>
      </c>
      <c r="K429" s="3">
        <v>2011</v>
      </c>
      <c r="L429" s="6">
        <f t="shared" si="131"/>
        <v>2010</v>
      </c>
      <c r="M429" s="6">
        <f t="shared" si="132"/>
        <v>2010</v>
      </c>
      <c r="N429" s="7">
        <f t="shared" si="120"/>
        <v>0</v>
      </c>
      <c r="O429" s="7">
        <f t="shared" si="121"/>
        <v>0</v>
      </c>
      <c r="P429" s="7">
        <f t="shared" si="122"/>
        <v>0</v>
      </c>
      <c r="Q429" s="7">
        <f t="shared" si="133"/>
        <v>0</v>
      </c>
      <c r="R429" s="10" t="str">
        <f t="shared" si="123"/>
        <v>0_Pre</v>
      </c>
      <c r="S429" s="10" t="str">
        <f t="shared" si="124"/>
        <v>0_Pre</v>
      </c>
      <c r="T429" s="10" t="str">
        <f t="shared" si="125"/>
        <v>0_Pre</v>
      </c>
      <c r="U429" s="10" t="str">
        <f t="shared" si="126"/>
        <v>0_Pre</v>
      </c>
      <c r="V429" s="10" t="str">
        <f t="shared" si="134"/>
        <v>0_Pre</v>
      </c>
      <c r="W429" s="10" t="str">
        <f t="shared" si="127"/>
        <v>clean_pre</v>
      </c>
      <c r="X429" s="10" t="str">
        <f t="shared" si="128"/>
        <v>0_Pre</v>
      </c>
      <c r="Y429" s="10" t="str">
        <f t="shared" si="129"/>
        <v>0_Pre</v>
      </c>
      <c r="Z429" s="10" t="str">
        <f t="shared" si="130"/>
        <v>0_Pre</v>
      </c>
      <c r="AA429" s="10" t="str">
        <f t="shared" si="135"/>
        <v>0_Pre</v>
      </c>
      <c r="AB429" s="10" t="str">
        <f t="shared" si="136"/>
        <v>0_Pre</v>
      </c>
      <c r="AC429" s="10" t="str">
        <f t="shared" si="137"/>
        <v>0_Pre</v>
      </c>
      <c r="AD429" s="10" t="str">
        <f t="shared" si="138"/>
        <v>1_pre sample median</v>
      </c>
      <c r="AE429" s="10" t="str">
        <f t="shared" si="139"/>
        <v>1_pre sample first tertile</v>
      </c>
      <c r="AF429" t="s">
        <v>80</v>
      </c>
      <c r="AG429" t="s">
        <v>75</v>
      </c>
      <c r="AH429" t="s">
        <v>78</v>
      </c>
      <c r="AI429" t="s">
        <v>123</v>
      </c>
      <c r="AJ429" t="s">
        <v>123</v>
      </c>
      <c r="AK429" t="str">
        <f>VLOOKUP(MID($AR429,1,255),country_lookup!$B:$F,2,FALSE)</f>
        <v>3_AsiaPac</v>
      </c>
      <c r="AL429" t="str">
        <f>VLOOKUP(MID($AR429,1,255),country_lookup!$B:$F,3,FALSE)</f>
        <v>2_developing</v>
      </c>
      <c r="AM429" t="str">
        <f>VLOOKUP(MID($AR429,1,255),country_lookup!$B:$F,4,FALSE)</f>
        <v>2_non_western</v>
      </c>
      <c r="AN429" t="str">
        <f>VLOOKUP(MID($AR429,1,255),country_lookup!$B:$F,5,FALSE)</f>
        <v>2_civil law</v>
      </c>
      <c r="AO429" s="10" t="str">
        <f>VLOOKUP(MID($AS429,1,255),source_lookup!$B:$K,4,FALSE)</f>
        <v>0_published</v>
      </c>
      <c r="AP429" s="10" t="str">
        <f>VLOOKUP(MID($AS429,1,255),source_lookup!$B:$K,6,FALSE)</f>
        <v>1_VHB high</v>
      </c>
      <c r="AQ429" s="10" t="str">
        <f>VLOOKUP(MID($AS429,1,255),source_lookup!$B:$K,10,FALSE)</f>
        <v>3_mgmt</v>
      </c>
      <c r="AR429" t="s">
        <v>94</v>
      </c>
      <c r="AS429" t="s">
        <v>141</v>
      </c>
    </row>
    <row r="430" spans="1:45" x14ac:dyDescent="0.3">
      <c r="A430" t="s">
        <v>17</v>
      </c>
      <c r="B430">
        <v>429</v>
      </c>
      <c r="C430" s="1">
        <v>-0.10691721887836562</v>
      </c>
      <c r="D430" s="2">
        <v>533</v>
      </c>
      <c r="E430" s="4">
        <v>1599</v>
      </c>
      <c r="F430" s="4" t="s">
        <v>346</v>
      </c>
      <c r="G430" s="4" t="s">
        <v>347</v>
      </c>
      <c r="H430" t="s">
        <v>77</v>
      </c>
      <c r="I430" t="s">
        <v>350</v>
      </c>
      <c r="J430" s="3">
        <v>2009</v>
      </c>
      <c r="K430" s="3">
        <v>2011</v>
      </c>
      <c r="L430" s="6">
        <f t="shared" si="131"/>
        <v>2010</v>
      </c>
      <c r="M430" s="6">
        <f t="shared" si="132"/>
        <v>2010</v>
      </c>
      <c r="N430" s="7">
        <f t="shared" si="120"/>
        <v>0</v>
      </c>
      <c r="O430" s="7">
        <f t="shared" si="121"/>
        <v>0</v>
      </c>
      <c r="P430" s="7">
        <f t="shared" si="122"/>
        <v>0</v>
      </c>
      <c r="Q430" s="7">
        <f t="shared" si="133"/>
        <v>0</v>
      </c>
      <c r="R430" s="10" t="str">
        <f t="shared" si="123"/>
        <v>0_Pre</v>
      </c>
      <c r="S430" s="10" t="str">
        <f t="shared" si="124"/>
        <v>0_Pre</v>
      </c>
      <c r="T430" s="10" t="str">
        <f t="shared" si="125"/>
        <v>0_Pre</v>
      </c>
      <c r="U430" s="10" t="str">
        <f t="shared" si="126"/>
        <v>0_Pre</v>
      </c>
      <c r="V430" s="10" t="str">
        <f t="shared" si="134"/>
        <v>0_Pre</v>
      </c>
      <c r="W430" s="10" t="str">
        <f t="shared" si="127"/>
        <v>clean_pre</v>
      </c>
      <c r="X430" s="10" t="str">
        <f t="shared" si="128"/>
        <v>0_Pre</v>
      </c>
      <c r="Y430" s="10" t="str">
        <f t="shared" si="129"/>
        <v>0_Pre</v>
      </c>
      <c r="Z430" s="10" t="str">
        <f t="shared" si="130"/>
        <v>0_Pre</v>
      </c>
      <c r="AA430" s="10" t="str">
        <f t="shared" si="135"/>
        <v>0_Pre</v>
      </c>
      <c r="AB430" s="10" t="str">
        <f t="shared" si="136"/>
        <v>0_Pre</v>
      </c>
      <c r="AC430" s="10" t="str">
        <f t="shared" si="137"/>
        <v>0_Pre</v>
      </c>
      <c r="AD430" s="10" t="str">
        <f t="shared" si="138"/>
        <v>1_pre sample median</v>
      </c>
      <c r="AE430" s="10" t="str">
        <f t="shared" si="139"/>
        <v>1_pre sample first tertile</v>
      </c>
      <c r="AF430" t="s">
        <v>80</v>
      </c>
      <c r="AG430" t="s">
        <v>75</v>
      </c>
      <c r="AH430" t="s">
        <v>78</v>
      </c>
      <c r="AI430" t="s">
        <v>123</v>
      </c>
      <c r="AJ430" t="s">
        <v>123</v>
      </c>
      <c r="AK430" t="str">
        <f>VLOOKUP(MID($AR430,1,255),country_lookup!$B:$F,2,FALSE)</f>
        <v>3_AsiaPac</v>
      </c>
      <c r="AL430" t="str">
        <f>VLOOKUP(MID($AR430,1,255),country_lookup!$B:$F,3,FALSE)</f>
        <v>2_developing</v>
      </c>
      <c r="AM430" t="str">
        <f>VLOOKUP(MID($AR430,1,255),country_lookup!$B:$F,4,FALSE)</f>
        <v>2_non_western</v>
      </c>
      <c r="AN430" t="str">
        <f>VLOOKUP(MID($AR430,1,255),country_lookup!$B:$F,5,FALSE)</f>
        <v>2_civil law</v>
      </c>
      <c r="AO430" s="10" t="str">
        <f>VLOOKUP(MID($AS430,1,255),source_lookup!$B:$K,4,FALSE)</f>
        <v>0_published</v>
      </c>
      <c r="AP430" s="10" t="str">
        <f>VLOOKUP(MID($AS430,1,255),source_lookup!$B:$K,6,FALSE)</f>
        <v>1_VHB high</v>
      </c>
      <c r="AQ430" s="10" t="str">
        <f>VLOOKUP(MID($AS430,1,255),source_lookup!$B:$K,10,FALSE)</f>
        <v>3_mgmt</v>
      </c>
      <c r="AR430" t="s">
        <v>94</v>
      </c>
      <c r="AS430" t="s">
        <v>141</v>
      </c>
    </row>
    <row r="431" spans="1:45" x14ac:dyDescent="0.3">
      <c r="A431" t="s">
        <v>17</v>
      </c>
      <c r="B431">
        <v>430</v>
      </c>
      <c r="C431" s="1">
        <v>-9.5836919668716158E-2</v>
      </c>
      <c r="D431" s="2">
        <v>533</v>
      </c>
      <c r="E431" s="4">
        <v>1599</v>
      </c>
      <c r="F431" s="4" t="s">
        <v>346</v>
      </c>
      <c r="G431" s="4" t="s">
        <v>347</v>
      </c>
      <c r="H431" t="s">
        <v>77</v>
      </c>
      <c r="I431" t="s">
        <v>350</v>
      </c>
      <c r="J431" s="3">
        <v>2009</v>
      </c>
      <c r="K431" s="3">
        <v>2011</v>
      </c>
      <c r="L431" s="6">
        <f t="shared" si="131"/>
        <v>2010</v>
      </c>
      <c r="M431" s="6">
        <f t="shared" si="132"/>
        <v>2010</v>
      </c>
      <c r="N431" s="7">
        <f t="shared" si="120"/>
        <v>0</v>
      </c>
      <c r="O431" s="7">
        <f t="shared" si="121"/>
        <v>0</v>
      </c>
      <c r="P431" s="7">
        <f t="shared" si="122"/>
        <v>0</v>
      </c>
      <c r="Q431" s="7">
        <f t="shared" si="133"/>
        <v>0</v>
      </c>
      <c r="R431" s="10" t="str">
        <f t="shared" si="123"/>
        <v>0_Pre</v>
      </c>
      <c r="S431" s="10" t="str">
        <f t="shared" si="124"/>
        <v>0_Pre</v>
      </c>
      <c r="T431" s="10" t="str">
        <f t="shared" si="125"/>
        <v>0_Pre</v>
      </c>
      <c r="U431" s="10" t="str">
        <f t="shared" si="126"/>
        <v>0_Pre</v>
      </c>
      <c r="V431" s="10" t="str">
        <f t="shared" si="134"/>
        <v>0_Pre</v>
      </c>
      <c r="W431" s="10" t="str">
        <f t="shared" si="127"/>
        <v>clean_pre</v>
      </c>
      <c r="X431" s="10" t="str">
        <f t="shared" si="128"/>
        <v>0_Pre</v>
      </c>
      <c r="Y431" s="10" t="str">
        <f t="shared" si="129"/>
        <v>0_Pre</v>
      </c>
      <c r="Z431" s="10" t="str">
        <f t="shared" si="130"/>
        <v>0_Pre</v>
      </c>
      <c r="AA431" s="10" t="str">
        <f t="shared" si="135"/>
        <v>0_Pre</v>
      </c>
      <c r="AB431" s="10" t="str">
        <f t="shared" si="136"/>
        <v>0_Pre</v>
      </c>
      <c r="AC431" s="10" t="str">
        <f t="shared" si="137"/>
        <v>0_Pre</v>
      </c>
      <c r="AD431" s="10" t="str">
        <f t="shared" si="138"/>
        <v>1_pre sample median</v>
      </c>
      <c r="AE431" s="10" t="str">
        <f t="shared" si="139"/>
        <v>1_pre sample first tertile</v>
      </c>
      <c r="AF431" t="s">
        <v>80</v>
      </c>
      <c r="AG431" t="s">
        <v>75</v>
      </c>
      <c r="AH431" t="s">
        <v>78</v>
      </c>
      <c r="AI431" t="s">
        <v>123</v>
      </c>
      <c r="AJ431" t="s">
        <v>123</v>
      </c>
      <c r="AK431" t="str">
        <f>VLOOKUP(MID($AR431,1,255),country_lookup!$B:$F,2,FALSE)</f>
        <v>3_AsiaPac</v>
      </c>
      <c r="AL431" t="str">
        <f>VLOOKUP(MID($AR431,1,255),country_lookup!$B:$F,3,FALSE)</f>
        <v>2_developing</v>
      </c>
      <c r="AM431" t="str">
        <f>VLOOKUP(MID($AR431,1,255),country_lookup!$B:$F,4,FALSE)</f>
        <v>2_non_western</v>
      </c>
      <c r="AN431" t="str">
        <f>VLOOKUP(MID($AR431,1,255),country_lookup!$B:$F,5,FALSE)</f>
        <v>2_civil law</v>
      </c>
      <c r="AO431" s="10" t="str">
        <f>VLOOKUP(MID($AS431,1,255),source_lookup!$B:$K,4,FALSE)</f>
        <v>0_published</v>
      </c>
      <c r="AP431" s="10" t="str">
        <f>VLOOKUP(MID($AS431,1,255),source_lookup!$B:$K,6,FALSE)</f>
        <v>1_VHB high</v>
      </c>
      <c r="AQ431" s="10" t="str">
        <f>VLOOKUP(MID($AS431,1,255),source_lookup!$B:$K,10,FALSE)</f>
        <v>3_mgmt</v>
      </c>
      <c r="AR431" t="s">
        <v>94</v>
      </c>
      <c r="AS431" t="s">
        <v>141</v>
      </c>
    </row>
    <row r="432" spans="1:45" x14ac:dyDescent="0.3">
      <c r="A432" t="s">
        <v>17</v>
      </c>
      <c r="B432">
        <v>431</v>
      </c>
      <c r="C432" s="1">
        <v>-8.5710317254144783E-2</v>
      </c>
      <c r="D432" s="2">
        <v>533</v>
      </c>
      <c r="E432" s="4">
        <v>1599</v>
      </c>
      <c r="F432" s="4" t="s">
        <v>346</v>
      </c>
      <c r="G432" s="4" t="s">
        <v>347</v>
      </c>
      <c r="H432" t="s">
        <v>77</v>
      </c>
      <c r="I432" t="s">
        <v>350</v>
      </c>
      <c r="J432" s="3">
        <v>2009</v>
      </c>
      <c r="K432" s="3">
        <v>2011</v>
      </c>
      <c r="L432" s="6">
        <f t="shared" si="131"/>
        <v>2010</v>
      </c>
      <c r="M432" s="6">
        <f t="shared" si="132"/>
        <v>2010</v>
      </c>
      <c r="N432" s="7">
        <f t="shared" si="120"/>
        <v>0</v>
      </c>
      <c r="O432" s="7">
        <f t="shared" si="121"/>
        <v>0</v>
      </c>
      <c r="P432" s="7">
        <f t="shared" si="122"/>
        <v>0</v>
      </c>
      <c r="Q432" s="7">
        <f t="shared" si="133"/>
        <v>0</v>
      </c>
      <c r="R432" s="10" t="str">
        <f t="shared" si="123"/>
        <v>0_Pre</v>
      </c>
      <c r="S432" s="10" t="str">
        <f t="shared" si="124"/>
        <v>0_Pre</v>
      </c>
      <c r="T432" s="10" t="str">
        <f t="shared" si="125"/>
        <v>0_Pre</v>
      </c>
      <c r="U432" s="10" t="str">
        <f t="shared" si="126"/>
        <v>0_Pre</v>
      </c>
      <c r="V432" s="10" t="str">
        <f t="shared" si="134"/>
        <v>0_Pre</v>
      </c>
      <c r="W432" s="10" t="str">
        <f t="shared" si="127"/>
        <v>clean_pre</v>
      </c>
      <c r="X432" s="10" t="str">
        <f t="shared" si="128"/>
        <v>0_Pre</v>
      </c>
      <c r="Y432" s="10" t="str">
        <f t="shared" si="129"/>
        <v>0_Pre</v>
      </c>
      <c r="Z432" s="10" t="str">
        <f t="shared" si="130"/>
        <v>0_Pre</v>
      </c>
      <c r="AA432" s="10" t="str">
        <f t="shared" si="135"/>
        <v>0_Pre</v>
      </c>
      <c r="AB432" s="10" t="str">
        <f t="shared" si="136"/>
        <v>0_Pre</v>
      </c>
      <c r="AC432" s="10" t="str">
        <f t="shared" si="137"/>
        <v>0_Pre</v>
      </c>
      <c r="AD432" s="10" t="str">
        <f t="shared" si="138"/>
        <v>1_pre sample median</v>
      </c>
      <c r="AE432" s="10" t="str">
        <f t="shared" si="139"/>
        <v>1_pre sample first tertile</v>
      </c>
      <c r="AF432" t="s">
        <v>80</v>
      </c>
      <c r="AG432" t="s">
        <v>75</v>
      </c>
      <c r="AH432" t="s">
        <v>78</v>
      </c>
      <c r="AI432" t="s">
        <v>123</v>
      </c>
      <c r="AJ432" t="s">
        <v>123</v>
      </c>
      <c r="AK432" t="str">
        <f>VLOOKUP(MID($AR432,1,255),country_lookup!$B:$F,2,FALSE)</f>
        <v>3_AsiaPac</v>
      </c>
      <c r="AL432" t="str">
        <f>VLOOKUP(MID($AR432,1,255),country_lookup!$B:$F,3,FALSE)</f>
        <v>2_developing</v>
      </c>
      <c r="AM432" t="str">
        <f>VLOOKUP(MID($AR432,1,255),country_lookup!$B:$F,4,FALSE)</f>
        <v>2_non_western</v>
      </c>
      <c r="AN432" t="str">
        <f>VLOOKUP(MID($AR432,1,255),country_lookup!$B:$F,5,FALSE)</f>
        <v>2_civil law</v>
      </c>
      <c r="AO432" s="10" t="str">
        <f>VLOOKUP(MID($AS432,1,255),source_lookup!$B:$K,4,FALSE)</f>
        <v>0_published</v>
      </c>
      <c r="AP432" s="10" t="str">
        <f>VLOOKUP(MID($AS432,1,255),source_lookup!$B:$K,6,FALSE)</f>
        <v>1_VHB high</v>
      </c>
      <c r="AQ432" s="10" t="str">
        <f>VLOOKUP(MID($AS432,1,255),source_lookup!$B:$K,10,FALSE)</f>
        <v>3_mgmt</v>
      </c>
      <c r="AR432" t="s">
        <v>94</v>
      </c>
      <c r="AS432" t="s">
        <v>141</v>
      </c>
    </row>
    <row r="433" spans="1:45" x14ac:dyDescent="0.3">
      <c r="A433" t="s">
        <v>17</v>
      </c>
      <c r="B433">
        <v>432</v>
      </c>
      <c r="C433" s="1">
        <v>6.7367710233078831E-2</v>
      </c>
      <c r="D433" s="2">
        <v>533</v>
      </c>
      <c r="E433" s="4">
        <v>1599</v>
      </c>
      <c r="F433" s="4" t="s">
        <v>346</v>
      </c>
      <c r="G433" s="4" t="s">
        <v>347</v>
      </c>
      <c r="H433" t="s">
        <v>77</v>
      </c>
      <c r="I433" t="s">
        <v>350</v>
      </c>
      <c r="J433" s="3">
        <v>2009</v>
      </c>
      <c r="K433" s="3">
        <v>2011</v>
      </c>
      <c r="L433" s="6">
        <f t="shared" si="131"/>
        <v>2010</v>
      </c>
      <c r="M433" s="6">
        <f t="shared" si="132"/>
        <v>2010</v>
      </c>
      <c r="N433" s="7">
        <f t="shared" si="120"/>
        <v>0</v>
      </c>
      <c r="O433" s="7">
        <f t="shared" si="121"/>
        <v>0</v>
      </c>
      <c r="P433" s="7">
        <f t="shared" si="122"/>
        <v>0</v>
      </c>
      <c r="Q433" s="7">
        <f t="shared" si="133"/>
        <v>0</v>
      </c>
      <c r="R433" s="10" t="str">
        <f t="shared" si="123"/>
        <v>0_Pre</v>
      </c>
      <c r="S433" s="10" t="str">
        <f t="shared" si="124"/>
        <v>0_Pre</v>
      </c>
      <c r="T433" s="10" t="str">
        <f t="shared" si="125"/>
        <v>0_Pre</v>
      </c>
      <c r="U433" s="10" t="str">
        <f t="shared" si="126"/>
        <v>0_Pre</v>
      </c>
      <c r="V433" s="10" t="str">
        <f t="shared" si="134"/>
        <v>0_Pre</v>
      </c>
      <c r="W433" s="10" t="str">
        <f t="shared" si="127"/>
        <v>clean_pre</v>
      </c>
      <c r="X433" s="10" t="str">
        <f t="shared" si="128"/>
        <v>0_Pre</v>
      </c>
      <c r="Y433" s="10" t="str">
        <f t="shared" si="129"/>
        <v>0_Pre</v>
      </c>
      <c r="Z433" s="10" t="str">
        <f t="shared" si="130"/>
        <v>0_Pre</v>
      </c>
      <c r="AA433" s="10" t="str">
        <f t="shared" si="135"/>
        <v>0_Pre</v>
      </c>
      <c r="AB433" s="10" t="str">
        <f t="shared" si="136"/>
        <v>0_Pre</v>
      </c>
      <c r="AC433" s="10" t="str">
        <f t="shared" si="137"/>
        <v>0_Pre</v>
      </c>
      <c r="AD433" s="10" t="str">
        <f t="shared" si="138"/>
        <v>1_pre sample median</v>
      </c>
      <c r="AE433" s="10" t="str">
        <f t="shared" si="139"/>
        <v>1_pre sample first tertile</v>
      </c>
      <c r="AF433" t="s">
        <v>80</v>
      </c>
      <c r="AG433" t="s">
        <v>75</v>
      </c>
      <c r="AH433" t="s">
        <v>78</v>
      </c>
      <c r="AI433" t="s">
        <v>123</v>
      </c>
      <c r="AJ433" t="s">
        <v>123</v>
      </c>
      <c r="AK433" t="str">
        <f>VLOOKUP(MID($AR433,1,255),country_lookup!$B:$F,2,FALSE)</f>
        <v>3_AsiaPac</v>
      </c>
      <c r="AL433" t="str">
        <f>VLOOKUP(MID($AR433,1,255),country_lookup!$B:$F,3,FALSE)</f>
        <v>2_developing</v>
      </c>
      <c r="AM433" t="str">
        <f>VLOOKUP(MID($AR433,1,255),country_lookup!$B:$F,4,FALSE)</f>
        <v>2_non_western</v>
      </c>
      <c r="AN433" t="str">
        <f>VLOOKUP(MID($AR433,1,255),country_lookup!$B:$F,5,FALSE)</f>
        <v>2_civil law</v>
      </c>
      <c r="AO433" s="10" t="str">
        <f>VLOOKUP(MID($AS433,1,255),source_lookup!$B:$K,4,FALSE)</f>
        <v>0_published</v>
      </c>
      <c r="AP433" s="10" t="str">
        <f>VLOOKUP(MID($AS433,1,255),source_lookup!$B:$K,6,FALSE)</f>
        <v>1_VHB high</v>
      </c>
      <c r="AQ433" s="10" t="str">
        <f>VLOOKUP(MID($AS433,1,255),source_lookup!$B:$K,10,FALSE)</f>
        <v>3_mgmt</v>
      </c>
      <c r="AR433" t="s">
        <v>94</v>
      </c>
      <c r="AS433" t="s">
        <v>141</v>
      </c>
    </row>
    <row r="434" spans="1:45" x14ac:dyDescent="0.3">
      <c r="A434" t="s">
        <v>17</v>
      </c>
      <c r="B434">
        <v>433</v>
      </c>
      <c r="C434" s="1">
        <v>-5.9413460479851965E-2</v>
      </c>
      <c r="D434" s="2">
        <v>533</v>
      </c>
      <c r="E434" s="4">
        <v>1599</v>
      </c>
      <c r="F434" s="4" t="s">
        <v>346</v>
      </c>
      <c r="G434" s="4" t="s">
        <v>347</v>
      </c>
      <c r="H434" t="s">
        <v>77</v>
      </c>
      <c r="I434" t="s">
        <v>350</v>
      </c>
      <c r="J434" s="3">
        <v>2009</v>
      </c>
      <c r="K434" s="3">
        <v>2011</v>
      </c>
      <c r="L434" s="6">
        <f t="shared" si="131"/>
        <v>2010</v>
      </c>
      <c r="M434" s="6">
        <f t="shared" si="132"/>
        <v>2010</v>
      </c>
      <c r="N434" s="7">
        <f t="shared" si="120"/>
        <v>0</v>
      </c>
      <c r="O434" s="7">
        <f t="shared" si="121"/>
        <v>0</v>
      </c>
      <c r="P434" s="7">
        <f t="shared" si="122"/>
        <v>0</v>
      </c>
      <c r="Q434" s="7">
        <f t="shared" si="133"/>
        <v>0</v>
      </c>
      <c r="R434" s="10" t="str">
        <f t="shared" si="123"/>
        <v>0_Pre</v>
      </c>
      <c r="S434" s="10" t="str">
        <f t="shared" si="124"/>
        <v>0_Pre</v>
      </c>
      <c r="T434" s="10" t="str">
        <f t="shared" si="125"/>
        <v>0_Pre</v>
      </c>
      <c r="U434" s="10" t="str">
        <f t="shared" si="126"/>
        <v>0_Pre</v>
      </c>
      <c r="V434" s="10" t="str">
        <f t="shared" si="134"/>
        <v>0_Pre</v>
      </c>
      <c r="W434" s="10" t="str">
        <f t="shared" si="127"/>
        <v>clean_pre</v>
      </c>
      <c r="X434" s="10" t="str">
        <f t="shared" si="128"/>
        <v>0_Pre</v>
      </c>
      <c r="Y434" s="10" t="str">
        <f t="shared" si="129"/>
        <v>0_Pre</v>
      </c>
      <c r="Z434" s="10" t="str">
        <f t="shared" si="130"/>
        <v>0_Pre</v>
      </c>
      <c r="AA434" s="10" t="str">
        <f t="shared" si="135"/>
        <v>0_Pre</v>
      </c>
      <c r="AB434" s="10" t="str">
        <f t="shared" si="136"/>
        <v>0_Pre</v>
      </c>
      <c r="AC434" s="10" t="str">
        <f t="shared" si="137"/>
        <v>0_Pre</v>
      </c>
      <c r="AD434" s="10" t="str">
        <f t="shared" si="138"/>
        <v>1_pre sample median</v>
      </c>
      <c r="AE434" s="10" t="str">
        <f t="shared" si="139"/>
        <v>1_pre sample first tertile</v>
      </c>
      <c r="AF434" t="s">
        <v>80</v>
      </c>
      <c r="AG434" t="s">
        <v>75</v>
      </c>
      <c r="AH434" t="s">
        <v>78</v>
      </c>
      <c r="AI434" t="s">
        <v>123</v>
      </c>
      <c r="AJ434" t="s">
        <v>123</v>
      </c>
      <c r="AK434" t="str">
        <f>VLOOKUP(MID($AR434,1,255),country_lookup!$B:$F,2,FALSE)</f>
        <v>3_AsiaPac</v>
      </c>
      <c r="AL434" t="str">
        <f>VLOOKUP(MID($AR434,1,255),country_lookup!$B:$F,3,FALSE)</f>
        <v>2_developing</v>
      </c>
      <c r="AM434" t="str">
        <f>VLOOKUP(MID($AR434,1,255),country_lookup!$B:$F,4,FALSE)</f>
        <v>2_non_western</v>
      </c>
      <c r="AN434" t="str">
        <f>VLOOKUP(MID($AR434,1,255),country_lookup!$B:$F,5,FALSE)</f>
        <v>2_civil law</v>
      </c>
      <c r="AO434" s="10" t="str">
        <f>VLOOKUP(MID($AS434,1,255),source_lookup!$B:$K,4,FALSE)</f>
        <v>0_published</v>
      </c>
      <c r="AP434" s="10" t="str">
        <f>VLOOKUP(MID($AS434,1,255),source_lookup!$B:$K,6,FALSE)</f>
        <v>1_VHB high</v>
      </c>
      <c r="AQ434" s="10" t="str">
        <f>VLOOKUP(MID($AS434,1,255),source_lookup!$B:$K,10,FALSE)</f>
        <v>3_mgmt</v>
      </c>
      <c r="AR434" t="s">
        <v>94</v>
      </c>
      <c r="AS434" t="s">
        <v>141</v>
      </c>
    </row>
    <row r="435" spans="1:45" x14ac:dyDescent="0.3">
      <c r="A435" t="s">
        <v>17</v>
      </c>
      <c r="B435">
        <v>434</v>
      </c>
      <c r="C435" s="1">
        <v>-6.0159676013204273E-2</v>
      </c>
      <c r="D435" s="2">
        <v>533</v>
      </c>
      <c r="E435" s="4">
        <v>1599</v>
      </c>
      <c r="F435" s="4" t="s">
        <v>346</v>
      </c>
      <c r="G435" s="4" t="s">
        <v>347</v>
      </c>
      <c r="H435" t="s">
        <v>77</v>
      </c>
      <c r="I435" t="s">
        <v>350</v>
      </c>
      <c r="J435" s="3">
        <v>2009</v>
      </c>
      <c r="K435" s="3">
        <v>2011</v>
      </c>
      <c r="L435" s="6">
        <f t="shared" si="131"/>
        <v>2010</v>
      </c>
      <c r="M435" s="6">
        <f t="shared" si="132"/>
        <v>2010</v>
      </c>
      <c r="N435" s="7">
        <f t="shared" si="120"/>
        <v>0</v>
      </c>
      <c r="O435" s="7">
        <f t="shared" si="121"/>
        <v>0</v>
      </c>
      <c r="P435" s="7">
        <f t="shared" si="122"/>
        <v>0</v>
      </c>
      <c r="Q435" s="7">
        <f t="shared" si="133"/>
        <v>0</v>
      </c>
      <c r="R435" s="10" t="str">
        <f t="shared" si="123"/>
        <v>0_Pre</v>
      </c>
      <c r="S435" s="10" t="str">
        <f t="shared" si="124"/>
        <v>0_Pre</v>
      </c>
      <c r="T435" s="10" t="str">
        <f t="shared" si="125"/>
        <v>0_Pre</v>
      </c>
      <c r="U435" s="10" t="str">
        <f t="shared" si="126"/>
        <v>0_Pre</v>
      </c>
      <c r="V435" s="10" t="str">
        <f t="shared" si="134"/>
        <v>0_Pre</v>
      </c>
      <c r="W435" s="10" t="str">
        <f t="shared" si="127"/>
        <v>clean_pre</v>
      </c>
      <c r="X435" s="10" t="str">
        <f t="shared" si="128"/>
        <v>0_Pre</v>
      </c>
      <c r="Y435" s="10" t="str">
        <f t="shared" si="129"/>
        <v>0_Pre</v>
      </c>
      <c r="Z435" s="10" t="str">
        <f t="shared" si="130"/>
        <v>0_Pre</v>
      </c>
      <c r="AA435" s="10" t="str">
        <f t="shared" si="135"/>
        <v>0_Pre</v>
      </c>
      <c r="AB435" s="10" t="str">
        <f t="shared" si="136"/>
        <v>0_Pre</v>
      </c>
      <c r="AC435" s="10" t="str">
        <f t="shared" si="137"/>
        <v>0_Pre</v>
      </c>
      <c r="AD435" s="10" t="str">
        <f t="shared" si="138"/>
        <v>1_pre sample median</v>
      </c>
      <c r="AE435" s="10" t="str">
        <f t="shared" si="139"/>
        <v>1_pre sample first tertile</v>
      </c>
      <c r="AF435" t="s">
        <v>80</v>
      </c>
      <c r="AG435" t="s">
        <v>75</v>
      </c>
      <c r="AH435" t="s">
        <v>78</v>
      </c>
      <c r="AI435" t="s">
        <v>123</v>
      </c>
      <c r="AJ435" t="s">
        <v>123</v>
      </c>
      <c r="AK435" t="str">
        <f>VLOOKUP(MID($AR435,1,255),country_lookup!$B:$F,2,FALSE)</f>
        <v>3_AsiaPac</v>
      </c>
      <c r="AL435" t="str">
        <f>VLOOKUP(MID($AR435,1,255),country_lookup!$B:$F,3,FALSE)</f>
        <v>2_developing</v>
      </c>
      <c r="AM435" t="str">
        <f>VLOOKUP(MID($AR435,1,255),country_lookup!$B:$F,4,FALSE)</f>
        <v>2_non_western</v>
      </c>
      <c r="AN435" t="str">
        <f>VLOOKUP(MID($AR435,1,255),country_lookup!$B:$F,5,FALSE)</f>
        <v>2_civil law</v>
      </c>
      <c r="AO435" s="10" t="str">
        <f>VLOOKUP(MID($AS435,1,255),source_lookup!$B:$K,4,FALSE)</f>
        <v>0_published</v>
      </c>
      <c r="AP435" s="10" t="str">
        <f>VLOOKUP(MID($AS435,1,255),source_lookup!$B:$K,6,FALSE)</f>
        <v>1_VHB high</v>
      </c>
      <c r="AQ435" s="10" t="str">
        <f>VLOOKUP(MID($AS435,1,255),source_lookup!$B:$K,10,FALSE)</f>
        <v>3_mgmt</v>
      </c>
      <c r="AR435" t="s">
        <v>94</v>
      </c>
      <c r="AS435" t="s">
        <v>141</v>
      </c>
    </row>
    <row r="436" spans="1:45" x14ac:dyDescent="0.3">
      <c r="A436" t="s">
        <v>17</v>
      </c>
      <c r="B436">
        <v>435</v>
      </c>
      <c r="C436" s="1">
        <v>5.8169547165069564E-2</v>
      </c>
      <c r="D436" s="2">
        <v>533</v>
      </c>
      <c r="E436" s="4">
        <v>1599</v>
      </c>
      <c r="F436" s="4" t="s">
        <v>346</v>
      </c>
      <c r="G436" s="4" t="s">
        <v>347</v>
      </c>
      <c r="H436" t="s">
        <v>77</v>
      </c>
      <c r="I436" t="s">
        <v>350</v>
      </c>
      <c r="J436" s="3">
        <v>2009</v>
      </c>
      <c r="K436" s="3">
        <v>2011</v>
      </c>
      <c r="L436" s="6">
        <f t="shared" si="131"/>
        <v>2010</v>
      </c>
      <c r="M436" s="6">
        <f t="shared" si="132"/>
        <v>2010</v>
      </c>
      <c r="N436" s="7">
        <f t="shared" si="120"/>
        <v>0</v>
      </c>
      <c r="O436" s="7">
        <f t="shared" si="121"/>
        <v>0</v>
      </c>
      <c r="P436" s="7">
        <f t="shared" si="122"/>
        <v>0</v>
      </c>
      <c r="Q436" s="7">
        <f t="shared" si="133"/>
        <v>0</v>
      </c>
      <c r="R436" s="10" t="str">
        <f t="shared" si="123"/>
        <v>0_Pre</v>
      </c>
      <c r="S436" s="10" t="str">
        <f t="shared" si="124"/>
        <v>0_Pre</v>
      </c>
      <c r="T436" s="10" t="str">
        <f t="shared" si="125"/>
        <v>0_Pre</v>
      </c>
      <c r="U436" s="10" t="str">
        <f t="shared" si="126"/>
        <v>0_Pre</v>
      </c>
      <c r="V436" s="10" t="str">
        <f t="shared" si="134"/>
        <v>0_Pre</v>
      </c>
      <c r="W436" s="10" t="str">
        <f t="shared" si="127"/>
        <v>clean_pre</v>
      </c>
      <c r="X436" s="10" t="str">
        <f t="shared" si="128"/>
        <v>0_Pre</v>
      </c>
      <c r="Y436" s="10" t="str">
        <f t="shared" si="129"/>
        <v>0_Pre</v>
      </c>
      <c r="Z436" s="10" t="str">
        <f t="shared" si="130"/>
        <v>0_Pre</v>
      </c>
      <c r="AA436" s="10" t="str">
        <f t="shared" si="135"/>
        <v>0_Pre</v>
      </c>
      <c r="AB436" s="10" t="str">
        <f t="shared" si="136"/>
        <v>0_Pre</v>
      </c>
      <c r="AC436" s="10" t="str">
        <f t="shared" si="137"/>
        <v>0_Pre</v>
      </c>
      <c r="AD436" s="10" t="str">
        <f t="shared" si="138"/>
        <v>1_pre sample median</v>
      </c>
      <c r="AE436" s="10" t="str">
        <f t="shared" si="139"/>
        <v>1_pre sample first tertile</v>
      </c>
      <c r="AF436" t="s">
        <v>80</v>
      </c>
      <c r="AG436" t="s">
        <v>75</v>
      </c>
      <c r="AH436" t="s">
        <v>78</v>
      </c>
      <c r="AI436" t="s">
        <v>123</v>
      </c>
      <c r="AJ436" t="s">
        <v>123</v>
      </c>
      <c r="AK436" t="str">
        <f>VLOOKUP(MID($AR436,1,255),country_lookup!$B:$F,2,FALSE)</f>
        <v>3_AsiaPac</v>
      </c>
      <c r="AL436" t="str">
        <f>VLOOKUP(MID($AR436,1,255),country_lookup!$B:$F,3,FALSE)</f>
        <v>2_developing</v>
      </c>
      <c r="AM436" t="str">
        <f>VLOOKUP(MID($AR436,1,255),country_lookup!$B:$F,4,FALSE)</f>
        <v>2_non_western</v>
      </c>
      <c r="AN436" t="str">
        <f>VLOOKUP(MID($AR436,1,255),country_lookup!$B:$F,5,FALSE)</f>
        <v>2_civil law</v>
      </c>
      <c r="AO436" s="10" t="str">
        <f>VLOOKUP(MID($AS436,1,255),source_lookup!$B:$K,4,FALSE)</f>
        <v>0_published</v>
      </c>
      <c r="AP436" s="10" t="str">
        <f>VLOOKUP(MID($AS436,1,255),source_lookup!$B:$K,6,FALSE)</f>
        <v>1_VHB high</v>
      </c>
      <c r="AQ436" s="10" t="str">
        <f>VLOOKUP(MID($AS436,1,255),source_lookup!$B:$K,10,FALSE)</f>
        <v>3_mgmt</v>
      </c>
      <c r="AR436" t="s">
        <v>94</v>
      </c>
      <c r="AS436" t="s">
        <v>141</v>
      </c>
    </row>
    <row r="437" spans="1:45" x14ac:dyDescent="0.3">
      <c r="A437" t="s">
        <v>17</v>
      </c>
      <c r="B437">
        <v>436</v>
      </c>
      <c r="C437" s="1">
        <v>-8.6699500100989424E-2</v>
      </c>
      <c r="D437" s="2">
        <v>533</v>
      </c>
      <c r="E437" s="4">
        <v>1599</v>
      </c>
      <c r="F437" s="4" t="s">
        <v>346</v>
      </c>
      <c r="G437" s="4" t="s">
        <v>347</v>
      </c>
      <c r="H437" t="s">
        <v>77</v>
      </c>
      <c r="I437" t="s">
        <v>350</v>
      </c>
      <c r="J437" s="3">
        <v>2009</v>
      </c>
      <c r="K437" s="3">
        <v>2011</v>
      </c>
      <c r="L437" s="6">
        <f t="shared" si="131"/>
        <v>2010</v>
      </c>
      <c r="M437" s="6">
        <f t="shared" si="132"/>
        <v>2010</v>
      </c>
      <c r="N437" s="7">
        <f t="shared" si="120"/>
        <v>0</v>
      </c>
      <c r="O437" s="7">
        <f t="shared" si="121"/>
        <v>0</v>
      </c>
      <c r="P437" s="7">
        <f t="shared" si="122"/>
        <v>0</v>
      </c>
      <c r="Q437" s="7">
        <f t="shared" si="133"/>
        <v>0</v>
      </c>
      <c r="R437" s="10" t="str">
        <f t="shared" si="123"/>
        <v>0_Pre</v>
      </c>
      <c r="S437" s="10" t="str">
        <f t="shared" si="124"/>
        <v>0_Pre</v>
      </c>
      <c r="T437" s="10" t="str">
        <f t="shared" si="125"/>
        <v>0_Pre</v>
      </c>
      <c r="U437" s="10" t="str">
        <f t="shared" si="126"/>
        <v>0_Pre</v>
      </c>
      <c r="V437" s="10" t="str">
        <f t="shared" si="134"/>
        <v>0_Pre</v>
      </c>
      <c r="W437" s="10" t="str">
        <f t="shared" si="127"/>
        <v>clean_pre</v>
      </c>
      <c r="X437" s="10" t="str">
        <f t="shared" si="128"/>
        <v>0_Pre</v>
      </c>
      <c r="Y437" s="10" t="str">
        <f t="shared" si="129"/>
        <v>0_Pre</v>
      </c>
      <c r="Z437" s="10" t="str">
        <f t="shared" si="130"/>
        <v>0_Pre</v>
      </c>
      <c r="AA437" s="10" t="str">
        <f t="shared" si="135"/>
        <v>0_Pre</v>
      </c>
      <c r="AB437" s="10" t="str">
        <f t="shared" si="136"/>
        <v>0_Pre</v>
      </c>
      <c r="AC437" s="10" t="str">
        <f t="shared" si="137"/>
        <v>0_Pre</v>
      </c>
      <c r="AD437" s="10" t="str">
        <f t="shared" si="138"/>
        <v>1_pre sample median</v>
      </c>
      <c r="AE437" s="10" t="str">
        <f t="shared" si="139"/>
        <v>1_pre sample first tertile</v>
      </c>
      <c r="AF437" t="s">
        <v>80</v>
      </c>
      <c r="AG437" t="s">
        <v>75</v>
      </c>
      <c r="AH437" t="s">
        <v>78</v>
      </c>
      <c r="AI437" t="s">
        <v>123</v>
      </c>
      <c r="AJ437" t="s">
        <v>123</v>
      </c>
      <c r="AK437" t="str">
        <f>VLOOKUP(MID($AR437,1,255),country_lookup!$B:$F,2,FALSE)</f>
        <v>3_AsiaPac</v>
      </c>
      <c r="AL437" t="str">
        <f>VLOOKUP(MID($AR437,1,255),country_lookup!$B:$F,3,FALSE)</f>
        <v>2_developing</v>
      </c>
      <c r="AM437" t="str">
        <f>VLOOKUP(MID($AR437,1,255),country_lookup!$B:$F,4,FALSE)</f>
        <v>2_non_western</v>
      </c>
      <c r="AN437" t="str">
        <f>VLOOKUP(MID($AR437,1,255),country_lookup!$B:$F,5,FALSE)</f>
        <v>2_civil law</v>
      </c>
      <c r="AO437" s="10" t="str">
        <f>VLOOKUP(MID($AS437,1,255),source_lookup!$B:$K,4,FALSE)</f>
        <v>0_published</v>
      </c>
      <c r="AP437" s="10" t="str">
        <f>VLOOKUP(MID($AS437,1,255),source_lookup!$B:$K,6,FALSE)</f>
        <v>1_VHB high</v>
      </c>
      <c r="AQ437" s="10" t="str">
        <f>VLOOKUP(MID($AS437,1,255),source_lookup!$B:$K,10,FALSE)</f>
        <v>3_mgmt</v>
      </c>
      <c r="AR437" t="s">
        <v>94</v>
      </c>
      <c r="AS437" t="s">
        <v>141</v>
      </c>
    </row>
    <row r="438" spans="1:45" x14ac:dyDescent="0.3">
      <c r="A438" t="s">
        <v>17</v>
      </c>
      <c r="B438">
        <v>437</v>
      </c>
      <c r="C438" s="1">
        <v>-0.10051985764369117</v>
      </c>
      <c r="D438" s="2">
        <v>533</v>
      </c>
      <c r="E438" s="4">
        <v>1599</v>
      </c>
      <c r="F438" s="4" t="s">
        <v>346</v>
      </c>
      <c r="G438" s="4" t="s">
        <v>347</v>
      </c>
      <c r="H438" t="s">
        <v>77</v>
      </c>
      <c r="I438" t="s">
        <v>350</v>
      </c>
      <c r="J438" s="3">
        <v>2009</v>
      </c>
      <c r="K438" s="3">
        <v>2011</v>
      </c>
      <c r="L438" s="6">
        <f t="shared" si="131"/>
        <v>2010</v>
      </c>
      <c r="M438" s="6">
        <f t="shared" si="132"/>
        <v>2010</v>
      </c>
      <c r="N438" s="7">
        <f t="shared" si="120"/>
        <v>0</v>
      </c>
      <c r="O438" s="7">
        <f t="shared" si="121"/>
        <v>0</v>
      </c>
      <c r="P438" s="7">
        <f t="shared" si="122"/>
        <v>0</v>
      </c>
      <c r="Q438" s="7">
        <f t="shared" si="133"/>
        <v>0</v>
      </c>
      <c r="R438" s="10" t="str">
        <f t="shared" si="123"/>
        <v>0_Pre</v>
      </c>
      <c r="S438" s="10" t="str">
        <f t="shared" si="124"/>
        <v>0_Pre</v>
      </c>
      <c r="T438" s="10" t="str">
        <f t="shared" si="125"/>
        <v>0_Pre</v>
      </c>
      <c r="U438" s="10" t="str">
        <f t="shared" si="126"/>
        <v>0_Pre</v>
      </c>
      <c r="V438" s="10" t="str">
        <f t="shared" si="134"/>
        <v>0_Pre</v>
      </c>
      <c r="W438" s="10" t="str">
        <f t="shared" si="127"/>
        <v>clean_pre</v>
      </c>
      <c r="X438" s="10" t="str">
        <f t="shared" si="128"/>
        <v>0_Pre</v>
      </c>
      <c r="Y438" s="10" t="str">
        <f t="shared" si="129"/>
        <v>0_Pre</v>
      </c>
      <c r="Z438" s="10" t="str">
        <f t="shared" si="130"/>
        <v>0_Pre</v>
      </c>
      <c r="AA438" s="10" t="str">
        <f t="shared" si="135"/>
        <v>0_Pre</v>
      </c>
      <c r="AB438" s="10" t="str">
        <f t="shared" si="136"/>
        <v>0_Pre</v>
      </c>
      <c r="AC438" s="10" t="str">
        <f t="shared" si="137"/>
        <v>0_Pre</v>
      </c>
      <c r="AD438" s="10" t="str">
        <f t="shared" si="138"/>
        <v>1_pre sample median</v>
      </c>
      <c r="AE438" s="10" t="str">
        <f t="shared" si="139"/>
        <v>1_pre sample first tertile</v>
      </c>
      <c r="AF438" t="s">
        <v>80</v>
      </c>
      <c r="AG438" t="s">
        <v>75</v>
      </c>
      <c r="AH438" t="s">
        <v>78</v>
      </c>
      <c r="AI438" t="s">
        <v>123</v>
      </c>
      <c r="AJ438" t="s">
        <v>123</v>
      </c>
      <c r="AK438" t="str">
        <f>VLOOKUP(MID($AR438,1,255),country_lookup!$B:$F,2,FALSE)</f>
        <v>3_AsiaPac</v>
      </c>
      <c r="AL438" t="str">
        <f>VLOOKUP(MID($AR438,1,255),country_lookup!$B:$F,3,FALSE)</f>
        <v>2_developing</v>
      </c>
      <c r="AM438" t="str">
        <f>VLOOKUP(MID($AR438,1,255),country_lookup!$B:$F,4,FALSE)</f>
        <v>2_non_western</v>
      </c>
      <c r="AN438" t="str">
        <f>VLOOKUP(MID($AR438,1,255),country_lookup!$B:$F,5,FALSE)</f>
        <v>2_civil law</v>
      </c>
      <c r="AO438" s="10" t="str">
        <f>VLOOKUP(MID($AS438,1,255),source_lookup!$B:$K,4,FALSE)</f>
        <v>0_published</v>
      </c>
      <c r="AP438" s="10" t="str">
        <f>VLOOKUP(MID($AS438,1,255),source_lookup!$B:$K,6,FALSE)</f>
        <v>1_VHB high</v>
      </c>
      <c r="AQ438" s="10" t="str">
        <f>VLOOKUP(MID($AS438,1,255),source_lookup!$B:$K,10,FALSE)</f>
        <v>3_mgmt</v>
      </c>
      <c r="AR438" t="s">
        <v>94</v>
      </c>
      <c r="AS438" t="s">
        <v>141</v>
      </c>
    </row>
    <row r="439" spans="1:45" x14ac:dyDescent="0.3">
      <c r="A439" t="s">
        <v>17</v>
      </c>
      <c r="B439">
        <v>438</v>
      </c>
      <c r="C439" s="1">
        <v>5.3689256446275438E-2</v>
      </c>
      <c r="D439" s="2">
        <v>533</v>
      </c>
      <c r="E439" s="4">
        <v>1599</v>
      </c>
      <c r="F439" s="4" t="s">
        <v>346</v>
      </c>
      <c r="G439" s="4" t="s">
        <v>347</v>
      </c>
      <c r="H439" t="s">
        <v>77</v>
      </c>
      <c r="I439" t="s">
        <v>350</v>
      </c>
      <c r="J439" s="3">
        <v>2009</v>
      </c>
      <c r="K439" s="3">
        <v>2011</v>
      </c>
      <c r="L439" s="6">
        <f t="shared" si="131"/>
        <v>2010</v>
      </c>
      <c r="M439" s="6">
        <f t="shared" si="132"/>
        <v>2010</v>
      </c>
      <c r="N439" s="7">
        <f t="shared" si="120"/>
        <v>0</v>
      </c>
      <c r="O439" s="7">
        <f t="shared" si="121"/>
        <v>0</v>
      </c>
      <c r="P439" s="7">
        <f t="shared" si="122"/>
        <v>0</v>
      </c>
      <c r="Q439" s="7">
        <f t="shared" si="133"/>
        <v>0</v>
      </c>
      <c r="R439" s="10" t="str">
        <f t="shared" si="123"/>
        <v>0_Pre</v>
      </c>
      <c r="S439" s="10" t="str">
        <f t="shared" si="124"/>
        <v>0_Pre</v>
      </c>
      <c r="T439" s="10" t="str">
        <f t="shared" si="125"/>
        <v>0_Pre</v>
      </c>
      <c r="U439" s="10" t="str">
        <f t="shared" si="126"/>
        <v>0_Pre</v>
      </c>
      <c r="V439" s="10" t="str">
        <f t="shared" si="134"/>
        <v>0_Pre</v>
      </c>
      <c r="W439" s="10" t="str">
        <f t="shared" si="127"/>
        <v>clean_pre</v>
      </c>
      <c r="X439" s="10" t="str">
        <f t="shared" si="128"/>
        <v>0_Pre</v>
      </c>
      <c r="Y439" s="10" t="str">
        <f t="shared" si="129"/>
        <v>0_Pre</v>
      </c>
      <c r="Z439" s="10" t="str">
        <f t="shared" si="130"/>
        <v>0_Pre</v>
      </c>
      <c r="AA439" s="10" t="str">
        <f t="shared" si="135"/>
        <v>0_Pre</v>
      </c>
      <c r="AB439" s="10" t="str">
        <f t="shared" si="136"/>
        <v>0_Pre</v>
      </c>
      <c r="AC439" s="10" t="str">
        <f t="shared" si="137"/>
        <v>0_Pre</v>
      </c>
      <c r="AD439" s="10" t="str">
        <f t="shared" si="138"/>
        <v>1_pre sample median</v>
      </c>
      <c r="AE439" s="10" t="str">
        <f t="shared" si="139"/>
        <v>1_pre sample first tertile</v>
      </c>
      <c r="AF439" t="s">
        <v>80</v>
      </c>
      <c r="AG439" t="s">
        <v>75</v>
      </c>
      <c r="AH439" t="s">
        <v>78</v>
      </c>
      <c r="AI439" t="s">
        <v>123</v>
      </c>
      <c r="AJ439" t="s">
        <v>123</v>
      </c>
      <c r="AK439" t="str">
        <f>VLOOKUP(MID($AR439,1,255),country_lookup!$B:$F,2,FALSE)</f>
        <v>3_AsiaPac</v>
      </c>
      <c r="AL439" t="str">
        <f>VLOOKUP(MID($AR439,1,255),country_lookup!$B:$F,3,FALSE)</f>
        <v>2_developing</v>
      </c>
      <c r="AM439" t="str">
        <f>VLOOKUP(MID($AR439,1,255),country_lookup!$B:$F,4,FALSE)</f>
        <v>2_non_western</v>
      </c>
      <c r="AN439" t="str">
        <f>VLOOKUP(MID($AR439,1,255),country_lookup!$B:$F,5,FALSE)</f>
        <v>2_civil law</v>
      </c>
      <c r="AO439" s="10" t="str">
        <f>VLOOKUP(MID($AS439,1,255),source_lookup!$B:$K,4,FALSE)</f>
        <v>0_published</v>
      </c>
      <c r="AP439" s="10" t="str">
        <f>VLOOKUP(MID($AS439,1,255),source_lookup!$B:$K,6,FALSE)</f>
        <v>1_VHB high</v>
      </c>
      <c r="AQ439" s="10" t="str">
        <f>VLOOKUP(MID($AS439,1,255),source_lookup!$B:$K,10,FALSE)</f>
        <v>3_mgmt</v>
      </c>
      <c r="AR439" t="s">
        <v>94</v>
      </c>
      <c r="AS439" t="s">
        <v>141</v>
      </c>
    </row>
    <row r="440" spans="1:45" x14ac:dyDescent="0.3">
      <c r="A440" t="s">
        <v>17</v>
      </c>
      <c r="B440">
        <v>439</v>
      </c>
      <c r="C440" s="1">
        <v>-6.885774911048459E-2</v>
      </c>
      <c r="D440" s="2">
        <v>533</v>
      </c>
      <c r="E440" s="4">
        <v>1599</v>
      </c>
      <c r="F440" s="4" t="s">
        <v>346</v>
      </c>
      <c r="G440" s="4" t="s">
        <v>347</v>
      </c>
      <c r="H440" t="s">
        <v>77</v>
      </c>
      <c r="I440" t="s">
        <v>350</v>
      </c>
      <c r="J440" s="3">
        <v>2009</v>
      </c>
      <c r="K440" s="3">
        <v>2011</v>
      </c>
      <c r="L440" s="6">
        <f t="shared" si="131"/>
        <v>2010</v>
      </c>
      <c r="M440" s="6">
        <f t="shared" si="132"/>
        <v>2010</v>
      </c>
      <c r="N440" s="7">
        <f t="shared" si="120"/>
        <v>0</v>
      </c>
      <c r="O440" s="7">
        <f t="shared" si="121"/>
        <v>0</v>
      </c>
      <c r="P440" s="7">
        <f t="shared" si="122"/>
        <v>0</v>
      </c>
      <c r="Q440" s="7">
        <f t="shared" si="133"/>
        <v>0</v>
      </c>
      <c r="R440" s="10" t="str">
        <f t="shared" si="123"/>
        <v>0_Pre</v>
      </c>
      <c r="S440" s="10" t="str">
        <f t="shared" si="124"/>
        <v>0_Pre</v>
      </c>
      <c r="T440" s="10" t="str">
        <f t="shared" si="125"/>
        <v>0_Pre</v>
      </c>
      <c r="U440" s="10" t="str">
        <f t="shared" si="126"/>
        <v>0_Pre</v>
      </c>
      <c r="V440" s="10" t="str">
        <f t="shared" si="134"/>
        <v>0_Pre</v>
      </c>
      <c r="W440" s="10" t="str">
        <f t="shared" si="127"/>
        <v>clean_pre</v>
      </c>
      <c r="X440" s="10" t="str">
        <f t="shared" si="128"/>
        <v>0_Pre</v>
      </c>
      <c r="Y440" s="10" t="str">
        <f t="shared" si="129"/>
        <v>0_Pre</v>
      </c>
      <c r="Z440" s="10" t="str">
        <f t="shared" si="130"/>
        <v>0_Pre</v>
      </c>
      <c r="AA440" s="10" t="str">
        <f t="shared" si="135"/>
        <v>0_Pre</v>
      </c>
      <c r="AB440" s="10" t="str">
        <f t="shared" si="136"/>
        <v>0_Pre</v>
      </c>
      <c r="AC440" s="10" t="str">
        <f t="shared" si="137"/>
        <v>0_Pre</v>
      </c>
      <c r="AD440" s="10" t="str">
        <f t="shared" si="138"/>
        <v>1_pre sample median</v>
      </c>
      <c r="AE440" s="10" t="str">
        <f t="shared" si="139"/>
        <v>1_pre sample first tertile</v>
      </c>
      <c r="AF440" t="s">
        <v>80</v>
      </c>
      <c r="AG440" t="s">
        <v>75</v>
      </c>
      <c r="AH440" t="s">
        <v>78</v>
      </c>
      <c r="AI440" t="s">
        <v>123</v>
      </c>
      <c r="AJ440" t="s">
        <v>123</v>
      </c>
      <c r="AK440" t="str">
        <f>VLOOKUP(MID($AR440,1,255),country_lookup!$B:$F,2,FALSE)</f>
        <v>3_AsiaPac</v>
      </c>
      <c r="AL440" t="str">
        <f>VLOOKUP(MID($AR440,1,255),country_lookup!$B:$F,3,FALSE)</f>
        <v>2_developing</v>
      </c>
      <c r="AM440" t="str">
        <f>VLOOKUP(MID($AR440,1,255),country_lookup!$B:$F,4,FALSE)</f>
        <v>2_non_western</v>
      </c>
      <c r="AN440" t="str">
        <f>VLOOKUP(MID($AR440,1,255),country_lookup!$B:$F,5,FALSE)</f>
        <v>2_civil law</v>
      </c>
      <c r="AO440" s="10" t="str">
        <f>VLOOKUP(MID($AS440,1,255),source_lookup!$B:$K,4,FALSE)</f>
        <v>0_published</v>
      </c>
      <c r="AP440" s="10" t="str">
        <f>VLOOKUP(MID($AS440,1,255),source_lookup!$B:$K,6,FALSE)</f>
        <v>1_VHB high</v>
      </c>
      <c r="AQ440" s="10" t="str">
        <f>VLOOKUP(MID($AS440,1,255),source_lookup!$B:$K,10,FALSE)</f>
        <v>3_mgmt</v>
      </c>
      <c r="AR440" t="s">
        <v>94</v>
      </c>
      <c r="AS440" t="s">
        <v>141</v>
      </c>
    </row>
    <row r="441" spans="1:45" x14ac:dyDescent="0.3">
      <c r="A441" t="s">
        <v>17</v>
      </c>
      <c r="B441">
        <v>440</v>
      </c>
      <c r="C441" s="1">
        <v>-0.11477262358851896</v>
      </c>
      <c r="D441" s="2">
        <v>533</v>
      </c>
      <c r="E441" s="4">
        <v>1599</v>
      </c>
      <c r="F441" s="4" t="s">
        <v>346</v>
      </c>
      <c r="G441" s="4" t="s">
        <v>347</v>
      </c>
      <c r="H441" t="s">
        <v>77</v>
      </c>
      <c r="I441" t="s">
        <v>350</v>
      </c>
      <c r="J441" s="3">
        <v>2009</v>
      </c>
      <c r="K441" s="3">
        <v>2011</v>
      </c>
      <c r="L441" s="6">
        <f t="shared" si="131"/>
        <v>2010</v>
      </c>
      <c r="M441" s="6">
        <f t="shared" si="132"/>
        <v>2010</v>
      </c>
      <c r="N441" s="7">
        <f t="shared" si="120"/>
        <v>0</v>
      </c>
      <c r="O441" s="7">
        <f t="shared" si="121"/>
        <v>0</v>
      </c>
      <c r="P441" s="7">
        <f t="shared" si="122"/>
        <v>0</v>
      </c>
      <c r="Q441" s="7">
        <f t="shared" si="133"/>
        <v>0</v>
      </c>
      <c r="R441" s="10" t="str">
        <f t="shared" si="123"/>
        <v>0_Pre</v>
      </c>
      <c r="S441" s="10" t="str">
        <f t="shared" si="124"/>
        <v>0_Pre</v>
      </c>
      <c r="T441" s="10" t="str">
        <f t="shared" si="125"/>
        <v>0_Pre</v>
      </c>
      <c r="U441" s="10" t="str">
        <f t="shared" si="126"/>
        <v>0_Pre</v>
      </c>
      <c r="V441" s="10" t="str">
        <f t="shared" si="134"/>
        <v>0_Pre</v>
      </c>
      <c r="W441" s="10" t="str">
        <f t="shared" si="127"/>
        <v>clean_pre</v>
      </c>
      <c r="X441" s="10" t="str">
        <f t="shared" si="128"/>
        <v>0_Pre</v>
      </c>
      <c r="Y441" s="10" t="str">
        <f t="shared" si="129"/>
        <v>0_Pre</v>
      </c>
      <c r="Z441" s="10" t="str">
        <f t="shared" si="130"/>
        <v>0_Pre</v>
      </c>
      <c r="AA441" s="10" t="str">
        <f t="shared" si="135"/>
        <v>0_Pre</v>
      </c>
      <c r="AB441" s="10" t="str">
        <f t="shared" si="136"/>
        <v>0_Pre</v>
      </c>
      <c r="AC441" s="10" t="str">
        <f t="shared" si="137"/>
        <v>0_Pre</v>
      </c>
      <c r="AD441" s="10" t="str">
        <f t="shared" si="138"/>
        <v>1_pre sample median</v>
      </c>
      <c r="AE441" s="10" t="str">
        <f t="shared" si="139"/>
        <v>1_pre sample first tertile</v>
      </c>
      <c r="AF441" t="s">
        <v>80</v>
      </c>
      <c r="AG441" t="s">
        <v>75</v>
      </c>
      <c r="AH441" t="s">
        <v>78</v>
      </c>
      <c r="AI441" t="s">
        <v>123</v>
      </c>
      <c r="AJ441" t="s">
        <v>123</v>
      </c>
      <c r="AK441" t="str">
        <f>VLOOKUP(MID($AR441,1,255),country_lookup!$B:$F,2,FALSE)</f>
        <v>3_AsiaPac</v>
      </c>
      <c r="AL441" t="str">
        <f>VLOOKUP(MID($AR441,1,255),country_lookup!$B:$F,3,FALSE)</f>
        <v>2_developing</v>
      </c>
      <c r="AM441" t="str">
        <f>VLOOKUP(MID($AR441,1,255),country_lookup!$B:$F,4,FALSE)</f>
        <v>2_non_western</v>
      </c>
      <c r="AN441" t="str">
        <f>VLOOKUP(MID($AR441,1,255),country_lookup!$B:$F,5,FALSE)</f>
        <v>2_civil law</v>
      </c>
      <c r="AO441" s="10" t="str">
        <f>VLOOKUP(MID($AS441,1,255),source_lookup!$B:$K,4,FALSE)</f>
        <v>0_published</v>
      </c>
      <c r="AP441" s="10" t="str">
        <f>VLOOKUP(MID($AS441,1,255),source_lookup!$B:$K,6,FALSE)</f>
        <v>1_VHB high</v>
      </c>
      <c r="AQ441" s="10" t="str">
        <f>VLOOKUP(MID($AS441,1,255),source_lookup!$B:$K,10,FALSE)</f>
        <v>3_mgmt</v>
      </c>
      <c r="AR441" t="s">
        <v>94</v>
      </c>
      <c r="AS441" t="s">
        <v>141</v>
      </c>
    </row>
    <row r="442" spans="1:45" x14ac:dyDescent="0.3">
      <c r="A442" t="s">
        <v>17</v>
      </c>
      <c r="B442">
        <v>441</v>
      </c>
      <c r="C442" s="1">
        <v>6.0159676013204273E-2</v>
      </c>
      <c r="D442" s="2">
        <v>533</v>
      </c>
      <c r="E442" s="4">
        <v>1599</v>
      </c>
      <c r="F442" s="4" t="s">
        <v>346</v>
      </c>
      <c r="G442" s="4" t="s">
        <v>347</v>
      </c>
      <c r="H442" t="s">
        <v>77</v>
      </c>
      <c r="I442" t="s">
        <v>350</v>
      </c>
      <c r="J442" s="3">
        <v>2009</v>
      </c>
      <c r="K442" s="3">
        <v>2011</v>
      </c>
      <c r="L442" s="6">
        <f t="shared" si="131"/>
        <v>2010</v>
      </c>
      <c r="M442" s="6">
        <f t="shared" si="132"/>
        <v>2010</v>
      </c>
      <c r="N442" s="7">
        <f t="shared" si="120"/>
        <v>0</v>
      </c>
      <c r="O442" s="7">
        <f t="shared" si="121"/>
        <v>0</v>
      </c>
      <c r="P442" s="7">
        <f t="shared" si="122"/>
        <v>0</v>
      </c>
      <c r="Q442" s="7">
        <f t="shared" si="133"/>
        <v>0</v>
      </c>
      <c r="R442" s="10" t="str">
        <f t="shared" si="123"/>
        <v>0_Pre</v>
      </c>
      <c r="S442" s="10" t="str">
        <f t="shared" si="124"/>
        <v>0_Pre</v>
      </c>
      <c r="T442" s="10" t="str">
        <f t="shared" si="125"/>
        <v>0_Pre</v>
      </c>
      <c r="U442" s="10" t="str">
        <f t="shared" si="126"/>
        <v>0_Pre</v>
      </c>
      <c r="V442" s="10" t="str">
        <f t="shared" si="134"/>
        <v>0_Pre</v>
      </c>
      <c r="W442" s="10" t="str">
        <f t="shared" si="127"/>
        <v>clean_pre</v>
      </c>
      <c r="X442" s="10" t="str">
        <f t="shared" si="128"/>
        <v>0_Pre</v>
      </c>
      <c r="Y442" s="10" t="str">
        <f t="shared" si="129"/>
        <v>0_Pre</v>
      </c>
      <c r="Z442" s="10" t="str">
        <f t="shared" si="130"/>
        <v>0_Pre</v>
      </c>
      <c r="AA442" s="10" t="str">
        <f t="shared" si="135"/>
        <v>0_Pre</v>
      </c>
      <c r="AB442" s="10" t="str">
        <f t="shared" si="136"/>
        <v>0_Pre</v>
      </c>
      <c r="AC442" s="10" t="str">
        <f t="shared" si="137"/>
        <v>0_Pre</v>
      </c>
      <c r="AD442" s="10" t="str">
        <f t="shared" si="138"/>
        <v>1_pre sample median</v>
      </c>
      <c r="AE442" s="10" t="str">
        <f t="shared" si="139"/>
        <v>1_pre sample first tertile</v>
      </c>
      <c r="AF442" t="s">
        <v>80</v>
      </c>
      <c r="AG442" t="s">
        <v>75</v>
      </c>
      <c r="AH442" t="s">
        <v>78</v>
      </c>
      <c r="AI442" t="s">
        <v>123</v>
      </c>
      <c r="AJ442" t="s">
        <v>123</v>
      </c>
      <c r="AK442" t="str">
        <f>VLOOKUP(MID($AR442,1,255),country_lookup!$B:$F,2,FALSE)</f>
        <v>3_AsiaPac</v>
      </c>
      <c r="AL442" t="str">
        <f>VLOOKUP(MID($AR442,1,255),country_lookup!$B:$F,3,FALSE)</f>
        <v>2_developing</v>
      </c>
      <c r="AM442" t="str">
        <f>VLOOKUP(MID($AR442,1,255),country_lookup!$B:$F,4,FALSE)</f>
        <v>2_non_western</v>
      </c>
      <c r="AN442" t="str">
        <f>VLOOKUP(MID($AR442,1,255),country_lookup!$B:$F,5,FALSE)</f>
        <v>2_civil law</v>
      </c>
      <c r="AO442" s="10" t="str">
        <f>VLOOKUP(MID($AS442,1,255),source_lookup!$B:$K,4,FALSE)</f>
        <v>0_published</v>
      </c>
      <c r="AP442" s="10" t="str">
        <f>VLOOKUP(MID($AS442,1,255),source_lookup!$B:$K,6,FALSE)</f>
        <v>1_VHB high</v>
      </c>
      <c r="AQ442" s="10" t="str">
        <f>VLOOKUP(MID($AS442,1,255),source_lookup!$B:$K,10,FALSE)</f>
        <v>3_mgmt</v>
      </c>
      <c r="AR442" t="s">
        <v>94</v>
      </c>
      <c r="AS442" t="s">
        <v>141</v>
      </c>
    </row>
    <row r="443" spans="1:45" x14ac:dyDescent="0.3">
      <c r="A443" t="s">
        <v>17</v>
      </c>
      <c r="B443">
        <v>442</v>
      </c>
      <c r="C443" s="1">
        <v>-5.244414395405838E-2</v>
      </c>
      <c r="D443" s="2">
        <v>533</v>
      </c>
      <c r="E443" s="4">
        <v>1599</v>
      </c>
      <c r="F443" s="4" t="s">
        <v>346</v>
      </c>
      <c r="G443" s="4" t="s">
        <v>347</v>
      </c>
      <c r="H443" t="s">
        <v>77</v>
      </c>
      <c r="I443" t="s">
        <v>350</v>
      </c>
      <c r="J443" s="3">
        <v>2009</v>
      </c>
      <c r="K443" s="3">
        <v>2011</v>
      </c>
      <c r="L443" s="6">
        <f t="shared" si="131"/>
        <v>2010</v>
      </c>
      <c r="M443" s="6">
        <f t="shared" si="132"/>
        <v>2010</v>
      </c>
      <c r="N443" s="7">
        <f t="shared" si="120"/>
        <v>0</v>
      </c>
      <c r="O443" s="7">
        <f t="shared" si="121"/>
        <v>0</v>
      </c>
      <c r="P443" s="7">
        <f t="shared" si="122"/>
        <v>0</v>
      </c>
      <c r="Q443" s="7">
        <f t="shared" si="133"/>
        <v>0</v>
      </c>
      <c r="R443" s="10" t="str">
        <f t="shared" si="123"/>
        <v>0_Pre</v>
      </c>
      <c r="S443" s="10" t="str">
        <f t="shared" si="124"/>
        <v>0_Pre</v>
      </c>
      <c r="T443" s="10" t="str">
        <f t="shared" si="125"/>
        <v>0_Pre</v>
      </c>
      <c r="U443" s="10" t="str">
        <f t="shared" si="126"/>
        <v>0_Pre</v>
      </c>
      <c r="V443" s="10" t="str">
        <f t="shared" si="134"/>
        <v>0_Pre</v>
      </c>
      <c r="W443" s="10" t="str">
        <f t="shared" si="127"/>
        <v>clean_pre</v>
      </c>
      <c r="X443" s="10" t="str">
        <f t="shared" si="128"/>
        <v>0_Pre</v>
      </c>
      <c r="Y443" s="10" t="str">
        <f t="shared" si="129"/>
        <v>0_Pre</v>
      </c>
      <c r="Z443" s="10" t="str">
        <f t="shared" si="130"/>
        <v>0_Pre</v>
      </c>
      <c r="AA443" s="10" t="str">
        <f t="shared" si="135"/>
        <v>0_Pre</v>
      </c>
      <c r="AB443" s="10" t="str">
        <f t="shared" si="136"/>
        <v>0_Pre</v>
      </c>
      <c r="AC443" s="10" t="str">
        <f t="shared" si="137"/>
        <v>0_Pre</v>
      </c>
      <c r="AD443" s="10" t="str">
        <f t="shared" si="138"/>
        <v>1_pre sample median</v>
      </c>
      <c r="AE443" s="10" t="str">
        <f t="shared" si="139"/>
        <v>1_pre sample first tertile</v>
      </c>
      <c r="AF443" t="s">
        <v>80</v>
      </c>
      <c r="AG443" t="s">
        <v>75</v>
      </c>
      <c r="AH443" t="s">
        <v>78</v>
      </c>
      <c r="AI443" t="s">
        <v>123</v>
      </c>
      <c r="AJ443" t="s">
        <v>123</v>
      </c>
      <c r="AK443" t="str">
        <f>VLOOKUP(MID($AR443,1,255),country_lookup!$B:$F,2,FALSE)</f>
        <v>3_AsiaPac</v>
      </c>
      <c r="AL443" t="str">
        <f>VLOOKUP(MID($AR443,1,255),country_lookup!$B:$F,3,FALSE)</f>
        <v>2_developing</v>
      </c>
      <c r="AM443" t="str">
        <f>VLOOKUP(MID($AR443,1,255),country_lookup!$B:$F,4,FALSE)</f>
        <v>2_non_western</v>
      </c>
      <c r="AN443" t="str">
        <f>VLOOKUP(MID($AR443,1,255),country_lookup!$B:$F,5,FALSE)</f>
        <v>2_civil law</v>
      </c>
      <c r="AO443" s="10" t="str">
        <f>VLOOKUP(MID($AS443,1,255),source_lookup!$B:$K,4,FALSE)</f>
        <v>0_published</v>
      </c>
      <c r="AP443" s="10" t="str">
        <f>VLOOKUP(MID($AS443,1,255),source_lookup!$B:$K,6,FALSE)</f>
        <v>1_VHB high</v>
      </c>
      <c r="AQ443" s="10" t="str">
        <f>VLOOKUP(MID($AS443,1,255),source_lookup!$B:$K,10,FALSE)</f>
        <v>3_mgmt</v>
      </c>
      <c r="AR443" t="s">
        <v>94</v>
      </c>
      <c r="AS443" t="s">
        <v>141</v>
      </c>
    </row>
    <row r="444" spans="1:45" x14ac:dyDescent="0.3">
      <c r="A444" t="s">
        <v>17</v>
      </c>
      <c r="B444">
        <v>443</v>
      </c>
      <c r="C444" s="1">
        <v>-5.6676493975263219E-2</v>
      </c>
      <c r="D444" s="2">
        <v>533</v>
      </c>
      <c r="E444" s="4">
        <v>1599</v>
      </c>
      <c r="F444" s="4" t="s">
        <v>346</v>
      </c>
      <c r="G444" s="4" t="s">
        <v>347</v>
      </c>
      <c r="H444" t="s">
        <v>77</v>
      </c>
      <c r="I444" t="s">
        <v>350</v>
      </c>
      <c r="J444" s="3">
        <v>2009</v>
      </c>
      <c r="K444" s="3">
        <v>2011</v>
      </c>
      <c r="L444" s="6">
        <f t="shared" si="131"/>
        <v>2010</v>
      </c>
      <c r="M444" s="6">
        <f t="shared" si="132"/>
        <v>2010</v>
      </c>
      <c r="N444" s="7">
        <f t="shared" si="120"/>
        <v>0</v>
      </c>
      <c r="O444" s="7">
        <f t="shared" si="121"/>
        <v>0</v>
      </c>
      <c r="P444" s="7">
        <f t="shared" si="122"/>
        <v>0</v>
      </c>
      <c r="Q444" s="7">
        <f t="shared" si="133"/>
        <v>0</v>
      </c>
      <c r="R444" s="10" t="str">
        <f t="shared" si="123"/>
        <v>0_Pre</v>
      </c>
      <c r="S444" s="10" t="str">
        <f t="shared" si="124"/>
        <v>0_Pre</v>
      </c>
      <c r="T444" s="10" t="str">
        <f t="shared" si="125"/>
        <v>0_Pre</v>
      </c>
      <c r="U444" s="10" t="str">
        <f t="shared" si="126"/>
        <v>0_Pre</v>
      </c>
      <c r="V444" s="10" t="str">
        <f t="shared" si="134"/>
        <v>0_Pre</v>
      </c>
      <c r="W444" s="10" t="str">
        <f t="shared" si="127"/>
        <v>clean_pre</v>
      </c>
      <c r="X444" s="10" t="str">
        <f t="shared" si="128"/>
        <v>0_Pre</v>
      </c>
      <c r="Y444" s="10" t="str">
        <f t="shared" si="129"/>
        <v>0_Pre</v>
      </c>
      <c r="Z444" s="10" t="str">
        <f t="shared" si="130"/>
        <v>0_Pre</v>
      </c>
      <c r="AA444" s="10" t="str">
        <f t="shared" si="135"/>
        <v>0_Pre</v>
      </c>
      <c r="AB444" s="10" t="str">
        <f t="shared" si="136"/>
        <v>0_Pre</v>
      </c>
      <c r="AC444" s="10" t="str">
        <f t="shared" si="137"/>
        <v>0_Pre</v>
      </c>
      <c r="AD444" s="10" t="str">
        <f t="shared" si="138"/>
        <v>1_pre sample median</v>
      </c>
      <c r="AE444" s="10" t="str">
        <f t="shared" si="139"/>
        <v>1_pre sample first tertile</v>
      </c>
      <c r="AF444" t="s">
        <v>80</v>
      </c>
      <c r="AG444" t="s">
        <v>75</v>
      </c>
      <c r="AH444" t="s">
        <v>78</v>
      </c>
      <c r="AI444" t="s">
        <v>123</v>
      </c>
      <c r="AJ444" t="s">
        <v>123</v>
      </c>
      <c r="AK444" t="str">
        <f>VLOOKUP(MID($AR444,1,255),country_lookup!$B:$F,2,FALSE)</f>
        <v>3_AsiaPac</v>
      </c>
      <c r="AL444" t="str">
        <f>VLOOKUP(MID($AR444,1,255),country_lookup!$B:$F,3,FALSE)</f>
        <v>2_developing</v>
      </c>
      <c r="AM444" t="str">
        <f>VLOOKUP(MID($AR444,1,255),country_lookup!$B:$F,4,FALSE)</f>
        <v>2_non_western</v>
      </c>
      <c r="AN444" t="str">
        <f>VLOOKUP(MID($AR444,1,255),country_lookup!$B:$F,5,FALSE)</f>
        <v>2_civil law</v>
      </c>
      <c r="AO444" s="10" t="str">
        <f>VLOOKUP(MID($AS444,1,255),source_lookup!$B:$K,4,FALSE)</f>
        <v>0_published</v>
      </c>
      <c r="AP444" s="10" t="str">
        <f>VLOOKUP(MID($AS444,1,255),source_lookup!$B:$K,6,FALSE)</f>
        <v>1_VHB high</v>
      </c>
      <c r="AQ444" s="10" t="str">
        <f>VLOOKUP(MID($AS444,1,255),source_lookup!$B:$K,10,FALSE)</f>
        <v>3_mgmt</v>
      </c>
      <c r="AR444" t="s">
        <v>94</v>
      </c>
      <c r="AS444" t="s">
        <v>141</v>
      </c>
    </row>
    <row r="445" spans="1:45" x14ac:dyDescent="0.3">
      <c r="A445" t="s">
        <v>17</v>
      </c>
      <c r="B445">
        <v>444</v>
      </c>
      <c r="C445" s="1">
        <v>6.488331495527562E-2</v>
      </c>
      <c r="D445" s="2">
        <v>533</v>
      </c>
      <c r="E445" s="4">
        <v>1599</v>
      </c>
      <c r="F445" s="4" t="s">
        <v>346</v>
      </c>
      <c r="G445" s="4" t="s">
        <v>347</v>
      </c>
      <c r="H445" t="s">
        <v>77</v>
      </c>
      <c r="I445" t="s">
        <v>350</v>
      </c>
      <c r="J445" s="3">
        <v>2009</v>
      </c>
      <c r="K445" s="3">
        <v>2011</v>
      </c>
      <c r="L445" s="6">
        <f t="shared" si="131"/>
        <v>2010</v>
      </c>
      <c r="M445" s="6">
        <f t="shared" si="132"/>
        <v>2010</v>
      </c>
      <c r="N445" s="7">
        <f t="shared" si="120"/>
        <v>0</v>
      </c>
      <c r="O445" s="7">
        <f t="shared" si="121"/>
        <v>0</v>
      </c>
      <c r="P445" s="7">
        <f t="shared" si="122"/>
        <v>0</v>
      </c>
      <c r="Q445" s="7">
        <f t="shared" si="133"/>
        <v>0</v>
      </c>
      <c r="R445" s="10" t="str">
        <f t="shared" si="123"/>
        <v>0_Pre</v>
      </c>
      <c r="S445" s="10" t="str">
        <f t="shared" si="124"/>
        <v>0_Pre</v>
      </c>
      <c r="T445" s="10" t="str">
        <f t="shared" si="125"/>
        <v>0_Pre</v>
      </c>
      <c r="U445" s="10" t="str">
        <f t="shared" si="126"/>
        <v>0_Pre</v>
      </c>
      <c r="V445" s="10" t="str">
        <f t="shared" si="134"/>
        <v>0_Pre</v>
      </c>
      <c r="W445" s="10" t="str">
        <f t="shared" si="127"/>
        <v>clean_pre</v>
      </c>
      <c r="X445" s="10" t="str">
        <f t="shared" si="128"/>
        <v>0_Pre</v>
      </c>
      <c r="Y445" s="10" t="str">
        <f t="shared" si="129"/>
        <v>0_Pre</v>
      </c>
      <c r="Z445" s="10" t="str">
        <f t="shared" si="130"/>
        <v>0_Pre</v>
      </c>
      <c r="AA445" s="10" t="str">
        <f t="shared" si="135"/>
        <v>0_Pre</v>
      </c>
      <c r="AB445" s="10" t="str">
        <f t="shared" si="136"/>
        <v>0_Pre</v>
      </c>
      <c r="AC445" s="10" t="str">
        <f t="shared" si="137"/>
        <v>0_Pre</v>
      </c>
      <c r="AD445" s="10" t="str">
        <f t="shared" si="138"/>
        <v>1_pre sample median</v>
      </c>
      <c r="AE445" s="10" t="str">
        <f t="shared" si="139"/>
        <v>1_pre sample first tertile</v>
      </c>
      <c r="AF445" t="s">
        <v>80</v>
      </c>
      <c r="AG445" t="s">
        <v>75</v>
      </c>
      <c r="AH445" t="s">
        <v>78</v>
      </c>
      <c r="AI445" t="s">
        <v>123</v>
      </c>
      <c r="AJ445" t="s">
        <v>123</v>
      </c>
      <c r="AK445" t="str">
        <f>VLOOKUP(MID($AR445,1,255),country_lookup!$B:$F,2,FALSE)</f>
        <v>3_AsiaPac</v>
      </c>
      <c r="AL445" t="str">
        <f>VLOOKUP(MID($AR445,1,255),country_lookup!$B:$F,3,FALSE)</f>
        <v>2_developing</v>
      </c>
      <c r="AM445" t="str">
        <f>VLOOKUP(MID($AR445,1,255),country_lookup!$B:$F,4,FALSE)</f>
        <v>2_non_western</v>
      </c>
      <c r="AN445" t="str">
        <f>VLOOKUP(MID($AR445,1,255),country_lookup!$B:$F,5,FALSE)</f>
        <v>2_civil law</v>
      </c>
      <c r="AO445" s="10" t="str">
        <f>VLOOKUP(MID($AS445,1,255),source_lookup!$B:$K,4,FALSE)</f>
        <v>0_published</v>
      </c>
      <c r="AP445" s="10" t="str">
        <f>VLOOKUP(MID($AS445,1,255),source_lookup!$B:$K,6,FALSE)</f>
        <v>1_VHB high</v>
      </c>
      <c r="AQ445" s="10" t="str">
        <f>VLOOKUP(MID($AS445,1,255),source_lookup!$B:$K,10,FALSE)</f>
        <v>3_mgmt</v>
      </c>
      <c r="AR445" t="s">
        <v>94</v>
      </c>
      <c r="AS445" t="s">
        <v>141</v>
      </c>
    </row>
    <row r="446" spans="1:45" x14ac:dyDescent="0.3">
      <c r="A446" t="s">
        <v>18</v>
      </c>
      <c r="B446">
        <v>445</v>
      </c>
      <c r="C446" s="1">
        <v>2.8599564431950525E-2</v>
      </c>
      <c r="D446" s="2">
        <v>567</v>
      </c>
      <c r="E446" s="4">
        <v>946</v>
      </c>
      <c r="F446" s="4" t="s">
        <v>347</v>
      </c>
      <c r="G446" s="4" t="s">
        <v>346</v>
      </c>
      <c r="H446" t="s">
        <v>77</v>
      </c>
      <c r="I446" t="s">
        <v>350</v>
      </c>
      <c r="J446" s="3">
        <v>2014</v>
      </c>
      <c r="K446" s="3">
        <v>2018</v>
      </c>
      <c r="L446" s="6">
        <f t="shared" si="131"/>
        <v>2016</v>
      </c>
      <c r="M446" s="6">
        <f t="shared" si="132"/>
        <v>2016</v>
      </c>
      <c r="N446" s="7">
        <f t="shared" si="120"/>
        <v>0.6</v>
      </c>
      <c r="O446" s="7">
        <f t="shared" si="121"/>
        <v>0.4</v>
      </c>
      <c r="P446" s="7">
        <f t="shared" si="122"/>
        <v>0.2</v>
      </c>
      <c r="Q446" s="7">
        <f t="shared" si="133"/>
        <v>0</v>
      </c>
      <c r="R446" s="10" t="str">
        <f t="shared" si="123"/>
        <v>1_Post</v>
      </c>
      <c r="S446" s="10" t="str">
        <f t="shared" si="124"/>
        <v>1_Post</v>
      </c>
      <c r="T446" s="10" t="str">
        <f t="shared" si="125"/>
        <v>1_Post</v>
      </c>
      <c r="U446" s="10" t="str">
        <f t="shared" si="126"/>
        <v>1_Post</v>
      </c>
      <c r="V446" s="10" t="str">
        <f t="shared" si="134"/>
        <v>0_Pre</v>
      </c>
      <c r="W446" s="10" t="str">
        <f t="shared" si="127"/>
        <v>straddle</v>
      </c>
      <c r="X446" s="10" t="str">
        <f t="shared" si="128"/>
        <v>0_Pre</v>
      </c>
      <c r="Y446" s="10" t="str">
        <f t="shared" si="129"/>
        <v>0_Pre</v>
      </c>
      <c r="Z446" s="10" t="str">
        <f t="shared" si="130"/>
        <v>0_Pre</v>
      </c>
      <c r="AA446" s="10" t="str">
        <f t="shared" si="135"/>
        <v>1_Post</v>
      </c>
      <c r="AB446" s="10" t="str">
        <f t="shared" si="136"/>
        <v>1_Post</v>
      </c>
      <c r="AC446" s="10" t="str">
        <f t="shared" si="137"/>
        <v>0_Pre</v>
      </c>
      <c r="AD446" s="10" t="str">
        <f t="shared" si="138"/>
        <v>2_post sample median</v>
      </c>
      <c r="AE446" s="10" t="str">
        <f t="shared" si="139"/>
        <v>3_post sample third tertile</v>
      </c>
      <c r="AF446" t="s">
        <v>80</v>
      </c>
      <c r="AG446" t="s">
        <v>74</v>
      </c>
      <c r="AH446" t="s">
        <v>79</v>
      </c>
      <c r="AI446" t="s">
        <v>122</v>
      </c>
      <c r="AJ446" t="s">
        <v>122</v>
      </c>
      <c r="AK446" t="str">
        <f>VLOOKUP(MID($AR446,1,255),country_lookup!$B:$F,2,FALSE)</f>
        <v>3_AsiaPac</v>
      </c>
      <c r="AL446" t="str">
        <f>VLOOKUP(MID($AR446,1,255),country_lookup!$B:$F,3,FALSE)</f>
        <v>2_developing</v>
      </c>
      <c r="AM446" t="str">
        <f>VLOOKUP(MID($AR446,1,255),country_lookup!$B:$F,4,FALSE)</f>
        <v>2_non_western</v>
      </c>
      <c r="AN446" t="str">
        <f>VLOOKUP(MID($AR446,1,255),country_lookup!$B:$F,5,FALSE)</f>
        <v>2_civil law</v>
      </c>
      <c r="AO446" s="10" t="str">
        <f>VLOOKUP(MID($AS446,1,255),source_lookup!$B:$K,4,FALSE)</f>
        <v>0_published</v>
      </c>
      <c r="AP446" s="10" t="str">
        <f>VLOOKUP(MID($AS446,1,255),source_lookup!$B:$K,6,FALSE)</f>
        <v>0_VHB low</v>
      </c>
      <c r="AQ446" s="10" t="str">
        <f>VLOOKUP(MID($AS446,1,255),source_lookup!$B:$K,10,FALSE)</f>
        <v>2_sust</v>
      </c>
      <c r="AR446" t="s">
        <v>94</v>
      </c>
      <c r="AS446" t="s">
        <v>142</v>
      </c>
    </row>
    <row r="447" spans="1:45" x14ac:dyDescent="0.3">
      <c r="A447" t="s">
        <v>19</v>
      </c>
      <c r="B447">
        <v>446</v>
      </c>
      <c r="C447" s="1">
        <v>-3.5167099303085605E-2</v>
      </c>
      <c r="D447" s="2">
        <v>560</v>
      </c>
      <c r="E447" s="4">
        <v>5596</v>
      </c>
      <c r="F447" s="4" t="s">
        <v>347</v>
      </c>
      <c r="G447" s="4" t="s">
        <v>346</v>
      </c>
      <c r="H447" t="s">
        <v>77</v>
      </c>
      <c r="I447" t="s">
        <v>352</v>
      </c>
      <c r="J447" s="3">
        <v>2006</v>
      </c>
      <c r="K447" s="3">
        <v>2015</v>
      </c>
      <c r="L447" s="6">
        <f t="shared" si="131"/>
        <v>2010.5</v>
      </c>
      <c r="M447" s="6">
        <f t="shared" si="132"/>
        <v>2010.5</v>
      </c>
      <c r="N447" s="7">
        <f t="shared" si="120"/>
        <v>0</v>
      </c>
      <c r="O447" s="7">
        <f t="shared" si="121"/>
        <v>0</v>
      </c>
      <c r="P447" s="7">
        <f t="shared" si="122"/>
        <v>0</v>
      </c>
      <c r="Q447" s="7">
        <f t="shared" si="133"/>
        <v>0</v>
      </c>
      <c r="R447" s="10" t="str">
        <f t="shared" si="123"/>
        <v>0_Pre</v>
      </c>
      <c r="S447" s="10" t="str">
        <f t="shared" si="124"/>
        <v>0_Pre</v>
      </c>
      <c r="T447" s="10" t="str">
        <f t="shared" si="125"/>
        <v>0_Pre</v>
      </c>
      <c r="U447" s="10" t="str">
        <f t="shared" si="126"/>
        <v>0_Pre</v>
      </c>
      <c r="V447" s="10" t="str">
        <f t="shared" si="134"/>
        <v>0_Pre</v>
      </c>
      <c r="W447" s="10" t="str">
        <f t="shared" si="127"/>
        <v>clean_pre</v>
      </c>
      <c r="X447" s="10" t="str">
        <f t="shared" si="128"/>
        <v>0_Pre</v>
      </c>
      <c r="Y447" s="10" t="str">
        <f t="shared" si="129"/>
        <v>0_Pre</v>
      </c>
      <c r="Z447" s="10" t="str">
        <f t="shared" si="130"/>
        <v>0_Pre</v>
      </c>
      <c r="AA447" s="10" t="str">
        <f t="shared" si="135"/>
        <v>0_Pre</v>
      </c>
      <c r="AB447" s="10" t="str">
        <f t="shared" si="136"/>
        <v>0_Pre</v>
      </c>
      <c r="AC447" s="10" t="str">
        <f t="shared" si="137"/>
        <v>0_Pre</v>
      </c>
      <c r="AD447" s="10" t="str">
        <f t="shared" si="138"/>
        <v>1_pre sample median</v>
      </c>
      <c r="AE447" s="10" t="str">
        <f t="shared" si="139"/>
        <v>1_pre sample first tertile</v>
      </c>
      <c r="AF447" t="s">
        <v>80</v>
      </c>
      <c r="AG447" t="s">
        <v>75</v>
      </c>
      <c r="AH447" t="s">
        <v>78</v>
      </c>
      <c r="AI447" t="s">
        <v>122</v>
      </c>
      <c r="AJ447" t="s">
        <v>123</v>
      </c>
      <c r="AK447" t="str">
        <f>VLOOKUP(MID($AR447,1,255),country_lookup!$B:$F,2,FALSE)</f>
        <v>1_US</v>
      </c>
      <c r="AL447" t="str">
        <f>VLOOKUP(MID($AR447,1,255),country_lookup!$B:$F,3,FALSE)</f>
        <v>1_developed</v>
      </c>
      <c r="AM447" t="str">
        <f>VLOOKUP(MID($AR447,1,255),country_lookup!$B:$F,4,FALSE)</f>
        <v>1_western</v>
      </c>
      <c r="AN447" t="str">
        <f>VLOOKUP(MID($AR447,1,255),country_lookup!$B:$F,5,FALSE)</f>
        <v>1_common law</v>
      </c>
      <c r="AO447" s="10" t="str">
        <f>VLOOKUP(MID($AS447,1,255),source_lookup!$B:$K,4,FALSE)</f>
        <v>0_published</v>
      </c>
      <c r="AP447" s="10" t="str">
        <f>VLOOKUP(MID($AS447,1,255),source_lookup!$B:$K,6,FALSE)</f>
        <v>1_VHB high</v>
      </c>
      <c r="AQ447" s="10" t="str">
        <f>VLOOKUP(MID($AS447,1,255),source_lookup!$B:$K,10,FALSE)</f>
        <v>1_fin/acc/econ</v>
      </c>
      <c r="AR447" t="s">
        <v>85</v>
      </c>
      <c r="AS447" t="s">
        <v>143</v>
      </c>
    </row>
    <row r="448" spans="1:45" x14ac:dyDescent="0.3">
      <c r="A448" t="s">
        <v>19</v>
      </c>
      <c r="B448">
        <v>447</v>
      </c>
      <c r="C448" s="1">
        <v>-2.9517899602825675E-2</v>
      </c>
      <c r="D448" s="2">
        <v>560</v>
      </c>
      <c r="E448" s="4">
        <v>5596</v>
      </c>
      <c r="F448" s="4" t="s">
        <v>347</v>
      </c>
      <c r="G448" s="4" t="s">
        <v>346</v>
      </c>
      <c r="H448" t="s">
        <v>77</v>
      </c>
      <c r="I448" t="s">
        <v>352</v>
      </c>
      <c r="J448" s="3">
        <v>2006</v>
      </c>
      <c r="K448" s="3">
        <v>2015</v>
      </c>
      <c r="L448" s="6">
        <f t="shared" si="131"/>
        <v>2010.5</v>
      </c>
      <c r="M448" s="6">
        <f t="shared" si="132"/>
        <v>2010.5</v>
      </c>
      <c r="N448" s="7">
        <f t="shared" si="120"/>
        <v>0</v>
      </c>
      <c r="O448" s="7">
        <f t="shared" si="121"/>
        <v>0</v>
      </c>
      <c r="P448" s="7">
        <f t="shared" si="122"/>
        <v>0</v>
      </c>
      <c r="Q448" s="7">
        <f t="shared" si="133"/>
        <v>0</v>
      </c>
      <c r="R448" s="10" t="str">
        <f t="shared" si="123"/>
        <v>0_Pre</v>
      </c>
      <c r="S448" s="10" t="str">
        <f t="shared" si="124"/>
        <v>0_Pre</v>
      </c>
      <c r="T448" s="10" t="str">
        <f t="shared" si="125"/>
        <v>0_Pre</v>
      </c>
      <c r="U448" s="10" t="str">
        <f t="shared" si="126"/>
        <v>0_Pre</v>
      </c>
      <c r="V448" s="10" t="str">
        <f t="shared" si="134"/>
        <v>0_Pre</v>
      </c>
      <c r="W448" s="10" t="str">
        <f t="shared" si="127"/>
        <v>clean_pre</v>
      </c>
      <c r="X448" s="10" t="str">
        <f t="shared" si="128"/>
        <v>0_Pre</v>
      </c>
      <c r="Y448" s="10" t="str">
        <f t="shared" si="129"/>
        <v>0_Pre</v>
      </c>
      <c r="Z448" s="10" t="str">
        <f t="shared" si="130"/>
        <v>0_Pre</v>
      </c>
      <c r="AA448" s="10" t="str">
        <f t="shared" si="135"/>
        <v>0_Pre</v>
      </c>
      <c r="AB448" s="10" t="str">
        <f t="shared" si="136"/>
        <v>0_Pre</v>
      </c>
      <c r="AC448" s="10" t="str">
        <f t="shared" si="137"/>
        <v>0_Pre</v>
      </c>
      <c r="AD448" s="10" t="str">
        <f t="shared" si="138"/>
        <v>1_pre sample median</v>
      </c>
      <c r="AE448" s="10" t="str">
        <f t="shared" si="139"/>
        <v>1_pre sample first tertile</v>
      </c>
      <c r="AF448" t="s">
        <v>80</v>
      </c>
      <c r="AG448" t="s">
        <v>75</v>
      </c>
      <c r="AH448" t="s">
        <v>78</v>
      </c>
      <c r="AI448" t="s">
        <v>122</v>
      </c>
      <c r="AJ448" t="s">
        <v>123</v>
      </c>
      <c r="AK448" t="str">
        <f>VLOOKUP(MID($AR448,1,255),country_lookup!$B:$F,2,FALSE)</f>
        <v>1_US</v>
      </c>
      <c r="AL448" t="str">
        <f>VLOOKUP(MID($AR448,1,255),country_lookup!$B:$F,3,FALSE)</f>
        <v>1_developed</v>
      </c>
      <c r="AM448" t="str">
        <f>VLOOKUP(MID($AR448,1,255),country_lookup!$B:$F,4,FALSE)</f>
        <v>1_western</v>
      </c>
      <c r="AN448" t="str">
        <f>VLOOKUP(MID($AR448,1,255),country_lookup!$B:$F,5,FALSE)</f>
        <v>1_common law</v>
      </c>
      <c r="AO448" s="10" t="str">
        <f>VLOOKUP(MID($AS448,1,255),source_lookup!$B:$K,4,FALSE)</f>
        <v>0_published</v>
      </c>
      <c r="AP448" s="10" t="str">
        <f>VLOOKUP(MID($AS448,1,255),source_lookup!$B:$K,6,FALSE)</f>
        <v>1_VHB high</v>
      </c>
      <c r="AQ448" s="10" t="str">
        <f>VLOOKUP(MID($AS448,1,255),source_lookup!$B:$K,10,FALSE)</f>
        <v>1_fin/acc/econ</v>
      </c>
      <c r="AR448" t="s">
        <v>85</v>
      </c>
      <c r="AS448" t="s">
        <v>143</v>
      </c>
    </row>
    <row r="449" spans="1:45" x14ac:dyDescent="0.3">
      <c r="A449" t="s">
        <v>19</v>
      </c>
      <c r="B449">
        <v>448</v>
      </c>
      <c r="C449" s="1">
        <v>-2.9881994697308473E-2</v>
      </c>
      <c r="D449" s="2">
        <v>560</v>
      </c>
      <c r="E449" s="4">
        <v>5596</v>
      </c>
      <c r="F449" s="4" t="s">
        <v>347</v>
      </c>
      <c r="G449" s="4" t="s">
        <v>346</v>
      </c>
      <c r="H449" t="s">
        <v>77</v>
      </c>
      <c r="I449" t="s">
        <v>352</v>
      </c>
      <c r="J449" s="3">
        <v>2006</v>
      </c>
      <c r="K449" s="3">
        <v>2015</v>
      </c>
      <c r="L449" s="6">
        <f t="shared" si="131"/>
        <v>2010.5</v>
      </c>
      <c r="M449" s="6">
        <f t="shared" si="132"/>
        <v>2010.5</v>
      </c>
      <c r="N449" s="7">
        <f t="shared" si="120"/>
        <v>0</v>
      </c>
      <c r="O449" s="7">
        <f t="shared" si="121"/>
        <v>0</v>
      </c>
      <c r="P449" s="7">
        <f t="shared" si="122"/>
        <v>0</v>
      </c>
      <c r="Q449" s="7">
        <f t="shared" si="133"/>
        <v>0</v>
      </c>
      <c r="R449" s="10" t="str">
        <f t="shared" si="123"/>
        <v>0_Pre</v>
      </c>
      <c r="S449" s="10" t="str">
        <f t="shared" si="124"/>
        <v>0_Pre</v>
      </c>
      <c r="T449" s="10" t="str">
        <f t="shared" si="125"/>
        <v>0_Pre</v>
      </c>
      <c r="U449" s="10" t="str">
        <f t="shared" si="126"/>
        <v>0_Pre</v>
      </c>
      <c r="V449" s="10" t="str">
        <f t="shared" si="134"/>
        <v>0_Pre</v>
      </c>
      <c r="W449" s="10" t="str">
        <f t="shared" si="127"/>
        <v>clean_pre</v>
      </c>
      <c r="X449" s="10" t="str">
        <f t="shared" si="128"/>
        <v>0_Pre</v>
      </c>
      <c r="Y449" s="10" t="str">
        <f t="shared" si="129"/>
        <v>0_Pre</v>
      </c>
      <c r="Z449" s="10" t="str">
        <f t="shared" si="130"/>
        <v>0_Pre</v>
      </c>
      <c r="AA449" s="10" t="str">
        <f t="shared" si="135"/>
        <v>0_Pre</v>
      </c>
      <c r="AB449" s="10" t="str">
        <f t="shared" si="136"/>
        <v>0_Pre</v>
      </c>
      <c r="AC449" s="10" t="str">
        <f t="shared" si="137"/>
        <v>0_Pre</v>
      </c>
      <c r="AD449" s="10" t="str">
        <f t="shared" si="138"/>
        <v>1_pre sample median</v>
      </c>
      <c r="AE449" s="10" t="str">
        <f t="shared" si="139"/>
        <v>1_pre sample first tertile</v>
      </c>
      <c r="AF449" t="s">
        <v>80</v>
      </c>
      <c r="AG449" t="s">
        <v>75</v>
      </c>
      <c r="AH449" t="s">
        <v>78</v>
      </c>
      <c r="AI449" t="s">
        <v>122</v>
      </c>
      <c r="AJ449" t="s">
        <v>123</v>
      </c>
      <c r="AK449" t="str">
        <f>VLOOKUP(MID($AR449,1,255),country_lookup!$B:$F,2,FALSE)</f>
        <v>1_US</v>
      </c>
      <c r="AL449" t="str">
        <f>VLOOKUP(MID($AR449,1,255),country_lookup!$B:$F,3,FALSE)</f>
        <v>1_developed</v>
      </c>
      <c r="AM449" t="str">
        <f>VLOOKUP(MID($AR449,1,255),country_lookup!$B:$F,4,FALSE)</f>
        <v>1_western</v>
      </c>
      <c r="AN449" t="str">
        <f>VLOOKUP(MID($AR449,1,255),country_lookup!$B:$F,5,FALSE)</f>
        <v>1_common law</v>
      </c>
      <c r="AO449" s="10" t="str">
        <f>VLOOKUP(MID($AS449,1,255),source_lookup!$B:$K,4,FALSE)</f>
        <v>0_published</v>
      </c>
      <c r="AP449" s="10" t="str">
        <f>VLOOKUP(MID($AS449,1,255),source_lookup!$B:$K,6,FALSE)</f>
        <v>1_VHB high</v>
      </c>
      <c r="AQ449" s="10" t="str">
        <f>VLOOKUP(MID($AS449,1,255),source_lookup!$B:$K,10,FALSE)</f>
        <v>1_fin/acc/econ</v>
      </c>
      <c r="AR449" t="s">
        <v>85</v>
      </c>
      <c r="AS449" t="s">
        <v>143</v>
      </c>
    </row>
    <row r="450" spans="1:45" x14ac:dyDescent="0.3">
      <c r="A450" t="s">
        <v>19</v>
      </c>
      <c r="B450">
        <v>449</v>
      </c>
      <c r="C450" s="1">
        <v>-3.9835895439210296E-2</v>
      </c>
      <c r="D450" s="2">
        <v>289</v>
      </c>
      <c r="E450" s="4">
        <v>2889</v>
      </c>
      <c r="F450" s="4" t="s">
        <v>347</v>
      </c>
      <c r="G450" s="4" t="s">
        <v>346</v>
      </c>
      <c r="H450" t="s">
        <v>77</v>
      </c>
      <c r="I450" t="s">
        <v>352</v>
      </c>
      <c r="J450" s="3">
        <v>2006</v>
      </c>
      <c r="K450" s="3">
        <v>2015</v>
      </c>
      <c r="L450" s="6">
        <f t="shared" si="131"/>
        <v>2010.5</v>
      </c>
      <c r="M450" s="6">
        <f t="shared" si="132"/>
        <v>2010.5</v>
      </c>
      <c r="N450" s="7">
        <f t="shared" ref="N450:N513" si="140">MAX(0,$K450-MAX($J450,2016)+1)/($K450-$J450+1)</f>
        <v>0</v>
      </c>
      <c r="O450" s="7">
        <f t="shared" ref="O450:O513" si="141">MAX(0,$K450-MAX($J450,2017)+1)/($K450-$J450+1)</f>
        <v>0</v>
      </c>
      <c r="P450" s="7">
        <f t="shared" ref="P450:P513" si="142">MAX(0,$K450-MAX($J450,2018)+1)/($K450-$J450+1)</f>
        <v>0</v>
      </c>
      <c r="Q450" s="7">
        <f t="shared" si="133"/>
        <v>0</v>
      </c>
      <c r="R450" s="10" t="str">
        <f t="shared" ref="R450:R513" si="143">IF(N450&gt;=0.5,"1_Post","0_Pre")</f>
        <v>0_Pre</v>
      </c>
      <c r="S450" s="10" t="str">
        <f t="shared" ref="S450:S513" si="144">IF($L450&gt;=2016,"1_Post","0_Pre")</f>
        <v>0_Pre</v>
      </c>
      <c r="T450" s="10" t="str">
        <f t="shared" ref="T450:T513" si="145">IF($M450&gt;=2016,"1_Post","0_Pre")</f>
        <v>0_Pre</v>
      </c>
      <c r="U450" s="10" t="str">
        <f t="shared" ref="U450:U513" si="146">IF($K450&gt;=2016,"1_Post","0_Pre")</f>
        <v>0_Pre</v>
      </c>
      <c r="V450" s="10" t="str">
        <f t="shared" si="134"/>
        <v>0_Pre</v>
      </c>
      <c r="W450" s="10" t="str">
        <f t="shared" ref="W450:W513" si="147">IF($K450&lt;=2015,"clean_pre",IF($J450&gt;=2016,"clean_post","straddle"))</f>
        <v>clean_pre</v>
      </c>
      <c r="X450" s="10" t="str">
        <f t="shared" ref="X450:X513" si="148">IF(O450&gt;=0.5,"1_Post","0_Pre")</f>
        <v>0_Pre</v>
      </c>
      <c r="Y450" s="10" t="str">
        <f t="shared" ref="Y450:Y513" si="149">IF(P450&gt;=0.5,"1_Post","0_Pre")</f>
        <v>0_Pre</v>
      </c>
      <c r="Z450" s="10" t="str">
        <f t="shared" ref="Z450:Z513" si="150">IF(Q450&gt;=0.5,"1_Post","0_Pre")</f>
        <v>0_Pre</v>
      </c>
      <c r="AA450" s="10" t="str">
        <f t="shared" si="135"/>
        <v>0_Pre</v>
      </c>
      <c r="AB450" s="10" t="str">
        <f t="shared" si="136"/>
        <v>0_Pre</v>
      </c>
      <c r="AC450" s="10" t="str">
        <f t="shared" si="137"/>
        <v>0_Pre</v>
      </c>
      <c r="AD450" s="10" t="str">
        <f t="shared" si="138"/>
        <v>1_pre sample median</v>
      </c>
      <c r="AE450" s="10" t="str">
        <f t="shared" si="139"/>
        <v>1_pre sample first tertile</v>
      </c>
      <c r="AF450" t="s">
        <v>80</v>
      </c>
      <c r="AG450" t="s">
        <v>75</v>
      </c>
      <c r="AH450" t="s">
        <v>78</v>
      </c>
      <c r="AI450" t="s">
        <v>122</v>
      </c>
      <c r="AJ450" t="s">
        <v>123</v>
      </c>
      <c r="AK450" t="str">
        <f>VLOOKUP(MID($AR450,1,255),country_lookup!$B:$F,2,FALSE)</f>
        <v>1_US</v>
      </c>
      <c r="AL450" t="str">
        <f>VLOOKUP(MID($AR450,1,255),country_lookup!$B:$F,3,FALSE)</f>
        <v>1_developed</v>
      </c>
      <c r="AM450" t="str">
        <f>VLOOKUP(MID($AR450,1,255),country_lookup!$B:$F,4,FALSE)</f>
        <v>1_western</v>
      </c>
      <c r="AN450" t="str">
        <f>VLOOKUP(MID($AR450,1,255),country_lookup!$B:$F,5,FALSE)</f>
        <v>1_common law</v>
      </c>
      <c r="AO450" s="10" t="str">
        <f>VLOOKUP(MID($AS450,1,255),source_lookup!$B:$K,4,FALSE)</f>
        <v>0_published</v>
      </c>
      <c r="AP450" s="10" t="str">
        <f>VLOOKUP(MID($AS450,1,255),source_lookup!$B:$K,6,FALSE)</f>
        <v>1_VHB high</v>
      </c>
      <c r="AQ450" s="10" t="str">
        <f>VLOOKUP(MID($AS450,1,255),source_lookup!$B:$K,10,FALSE)</f>
        <v>1_fin/acc/econ</v>
      </c>
      <c r="AR450" t="s">
        <v>85</v>
      </c>
      <c r="AS450" t="s">
        <v>143</v>
      </c>
    </row>
    <row r="451" spans="1:45" x14ac:dyDescent="0.3">
      <c r="A451" t="s">
        <v>19</v>
      </c>
      <c r="B451">
        <v>450</v>
      </c>
      <c r="C451" s="1">
        <v>-3.5472026130105076E-2</v>
      </c>
      <c r="D451" s="2">
        <v>289</v>
      </c>
      <c r="E451" s="4">
        <v>2889</v>
      </c>
      <c r="F451" s="4" t="s">
        <v>347</v>
      </c>
      <c r="G451" s="4" t="s">
        <v>346</v>
      </c>
      <c r="H451" t="s">
        <v>77</v>
      </c>
      <c r="I451" t="s">
        <v>352</v>
      </c>
      <c r="J451" s="3">
        <v>2006</v>
      </c>
      <c r="K451" s="3">
        <v>2015</v>
      </c>
      <c r="L451" s="6">
        <f t="shared" ref="L451:L514" si="151">ROUND(AVERAGE(J451:K451),100)</f>
        <v>2010.5</v>
      </c>
      <c r="M451" s="6">
        <f t="shared" ref="M451:M514" si="152">ROUND(MEDIAN(J451:K451),100)</f>
        <v>2010.5</v>
      </c>
      <c r="N451" s="7">
        <f t="shared" si="140"/>
        <v>0</v>
      </c>
      <c r="O451" s="7">
        <f t="shared" si="141"/>
        <v>0</v>
      </c>
      <c r="P451" s="7">
        <f t="shared" si="142"/>
        <v>0</v>
      </c>
      <c r="Q451" s="7">
        <f t="shared" ref="Q451:Q514" si="153">MAX(0,$K451-MAX($J451,2019)+1)/($K451-$J451+1)</f>
        <v>0</v>
      </c>
      <c r="R451" s="10" t="str">
        <f t="shared" si="143"/>
        <v>0_Pre</v>
      </c>
      <c r="S451" s="10" t="str">
        <f t="shared" si="144"/>
        <v>0_Pre</v>
      </c>
      <c r="T451" s="10" t="str">
        <f t="shared" si="145"/>
        <v>0_Pre</v>
      </c>
      <c r="U451" s="10" t="str">
        <f t="shared" si="146"/>
        <v>0_Pre</v>
      </c>
      <c r="V451" s="10" t="str">
        <f t="shared" ref="V451:V514" si="154">IF($J451&lt;=2017,"0_Pre","1_Post")</f>
        <v>0_Pre</v>
      </c>
      <c r="W451" s="10" t="str">
        <f t="shared" si="147"/>
        <v>clean_pre</v>
      </c>
      <c r="X451" s="10" t="str">
        <f t="shared" si="148"/>
        <v>0_Pre</v>
      </c>
      <c r="Y451" s="10" t="str">
        <f t="shared" si="149"/>
        <v>0_Pre</v>
      </c>
      <c r="Z451" s="10" t="str">
        <f t="shared" si="150"/>
        <v>0_Pre</v>
      </c>
      <c r="AA451" s="10" t="str">
        <f t="shared" ref="AA451:AA514" si="155">IF($K451&gt;=2017,"1_Post","0_Pre")</f>
        <v>0_Pre</v>
      </c>
      <c r="AB451" s="10" t="str">
        <f t="shared" ref="AB451:AB514" si="156">IF($K451&gt;=2018,"1_Post","0_Pre")</f>
        <v>0_Pre</v>
      </c>
      <c r="AC451" s="10" t="str">
        <f t="shared" ref="AC451:AC514" si="157">IF($K451&gt;=2019,"1_Post","0_Pre")</f>
        <v>0_Pre</v>
      </c>
      <c r="AD451" s="10" t="str">
        <f t="shared" ref="AD451:AD514" si="158">IF(L451&lt;MEDIAN($L$2:$L$1307),"1_pre sample median","2_post sample median")</f>
        <v>1_pre sample median</v>
      </c>
      <c r="AE451" s="10" t="str">
        <f t="shared" ref="AE451:AE514" si="159">IF(L451&lt;=PERCENTILE($L$2:$L$1307,0.33),"1_pre sample first tertile",IF(L451&gt;=PERCENTILE($L$2:$L$1307,0.67),"3_post sample third tertile","2_in sample second tertile"))</f>
        <v>1_pre sample first tertile</v>
      </c>
      <c r="AF451" t="s">
        <v>80</v>
      </c>
      <c r="AG451" t="s">
        <v>75</v>
      </c>
      <c r="AH451" t="s">
        <v>78</v>
      </c>
      <c r="AI451" t="s">
        <v>122</v>
      </c>
      <c r="AJ451" t="s">
        <v>123</v>
      </c>
      <c r="AK451" t="str">
        <f>VLOOKUP(MID($AR451,1,255),country_lookup!$B:$F,2,FALSE)</f>
        <v>1_US</v>
      </c>
      <c r="AL451" t="str">
        <f>VLOOKUP(MID($AR451,1,255),country_lookup!$B:$F,3,FALSE)</f>
        <v>1_developed</v>
      </c>
      <c r="AM451" t="str">
        <f>VLOOKUP(MID($AR451,1,255),country_lookup!$B:$F,4,FALSE)</f>
        <v>1_western</v>
      </c>
      <c r="AN451" t="str">
        <f>VLOOKUP(MID($AR451,1,255),country_lookup!$B:$F,5,FALSE)</f>
        <v>1_common law</v>
      </c>
      <c r="AO451" s="10" t="str">
        <f>VLOOKUP(MID($AS451,1,255),source_lookup!$B:$K,4,FALSE)</f>
        <v>0_published</v>
      </c>
      <c r="AP451" s="10" t="str">
        <f>VLOOKUP(MID($AS451,1,255),source_lookup!$B:$K,6,FALSE)</f>
        <v>1_VHB high</v>
      </c>
      <c r="AQ451" s="10" t="str">
        <f>VLOOKUP(MID($AS451,1,255),source_lookup!$B:$K,10,FALSE)</f>
        <v>1_fin/acc/econ</v>
      </c>
      <c r="AR451" t="s">
        <v>85</v>
      </c>
      <c r="AS451" t="s">
        <v>143</v>
      </c>
    </row>
    <row r="452" spans="1:45" x14ac:dyDescent="0.3">
      <c r="A452" t="s">
        <v>19</v>
      </c>
      <c r="B452">
        <v>451</v>
      </c>
      <c r="C452" s="1">
        <v>-0.12160354107918689</v>
      </c>
      <c r="D452" s="2">
        <v>24</v>
      </c>
      <c r="E452" s="4">
        <v>240</v>
      </c>
      <c r="F452" s="4" t="s">
        <v>347</v>
      </c>
      <c r="G452" s="4" t="s">
        <v>346</v>
      </c>
      <c r="H452" t="s">
        <v>77</v>
      </c>
      <c r="I452" t="s">
        <v>352</v>
      </c>
      <c r="J452" s="3">
        <v>2006</v>
      </c>
      <c r="K452" s="3">
        <v>2015</v>
      </c>
      <c r="L452" s="6">
        <f t="shared" si="151"/>
        <v>2010.5</v>
      </c>
      <c r="M452" s="6">
        <f t="shared" si="152"/>
        <v>2010.5</v>
      </c>
      <c r="N452" s="7">
        <f t="shared" si="140"/>
        <v>0</v>
      </c>
      <c r="O452" s="7">
        <f t="shared" si="141"/>
        <v>0</v>
      </c>
      <c r="P452" s="7">
        <f t="shared" si="142"/>
        <v>0</v>
      </c>
      <c r="Q452" s="7">
        <f t="shared" si="153"/>
        <v>0</v>
      </c>
      <c r="R452" s="10" t="str">
        <f t="shared" si="143"/>
        <v>0_Pre</v>
      </c>
      <c r="S452" s="10" t="str">
        <f t="shared" si="144"/>
        <v>0_Pre</v>
      </c>
      <c r="T452" s="10" t="str">
        <f t="shared" si="145"/>
        <v>0_Pre</v>
      </c>
      <c r="U452" s="10" t="str">
        <f t="shared" si="146"/>
        <v>0_Pre</v>
      </c>
      <c r="V452" s="10" t="str">
        <f t="shared" si="154"/>
        <v>0_Pre</v>
      </c>
      <c r="W452" s="10" t="str">
        <f t="shared" si="147"/>
        <v>clean_pre</v>
      </c>
      <c r="X452" s="10" t="str">
        <f t="shared" si="148"/>
        <v>0_Pre</v>
      </c>
      <c r="Y452" s="10" t="str">
        <f t="shared" si="149"/>
        <v>0_Pre</v>
      </c>
      <c r="Z452" s="10" t="str">
        <f t="shared" si="150"/>
        <v>0_Pre</v>
      </c>
      <c r="AA452" s="10" t="str">
        <f t="shared" si="155"/>
        <v>0_Pre</v>
      </c>
      <c r="AB452" s="10" t="str">
        <f t="shared" si="156"/>
        <v>0_Pre</v>
      </c>
      <c r="AC452" s="10" t="str">
        <f t="shared" si="157"/>
        <v>0_Pre</v>
      </c>
      <c r="AD452" s="10" t="str">
        <f t="shared" si="158"/>
        <v>1_pre sample median</v>
      </c>
      <c r="AE452" s="10" t="str">
        <f t="shared" si="159"/>
        <v>1_pre sample first tertile</v>
      </c>
      <c r="AF452" t="s">
        <v>82</v>
      </c>
      <c r="AG452" t="s">
        <v>75</v>
      </c>
      <c r="AH452" t="s">
        <v>78</v>
      </c>
      <c r="AI452" t="s">
        <v>122</v>
      </c>
      <c r="AJ452" t="s">
        <v>123</v>
      </c>
      <c r="AK452" t="str">
        <f>VLOOKUP(MID($AR452,1,255),country_lookup!$B:$F,2,FALSE)</f>
        <v>1_US</v>
      </c>
      <c r="AL452" t="str">
        <f>VLOOKUP(MID($AR452,1,255),country_lookup!$B:$F,3,FALSE)</f>
        <v>1_developed</v>
      </c>
      <c r="AM452" t="str">
        <f>VLOOKUP(MID($AR452,1,255),country_lookup!$B:$F,4,FALSE)</f>
        <v>1_western</v>
      </c>
      <c r="AN452" t="str">
        <f>VLOOKUP(MID($AR452,1,255),country_lookup!$B:$F,5,FALSE)</f>
        <v>1_common law</v>
      </c>
      <c r="AO452" s="10" t="str">
        <f>VLOOKUP(MID($AS452,1,255),source_lookup!$B:$K,4,FALSE)</f>
        <v>0_published</v>
      </c>
      <c r="AP452" s="10" t="str">
        <f>VLOOKUP(MID($AS452,1,255),source_lookup!$B:$K,6,FALSE)</f>
        <v>1_VHB high</v>
      </c>
      <c r="AQ452" s="10" t="str">
        <f>VLOOKUP(MID($AS452,1,255),source_lookup!$B:$K,10,FALSE)</f>
        <v>1_fin/acc/econ</v>
      </c>
      <c r="AR452" t="s">
        <v>85</v>
      </c>
      <c r="AS452" t="s">
        <v>143</v>
      </c>
    </row>
    <row r="453" spans="1:45" x14ac:dyDescent="0.3">
      <c r="A453" t="s">
        <v>19</v>
      </c>
      <c r="B453">
        <v>452</v>
      </c>
      <c r="C453" s="1">
        <v>-9.1360886633488E-2</v>
      </c>
      <c r="D453" s="2">
        <v>163</v>
      </c>
      <c r="E453" s="4">
        <v>1628</v>
      </c>
      <c r="F453" s="4" t="s">
        <v>347</v>
      </c>
      <c r="G453" s="4" t="s">
        <v>346</v>
      </c>
      <c r="H453" t="s">
        <v>77</v>
      </c>
      <c r="I453" t="s">
        <v>352</v>
      </c>
      <c r="J453" s="3">
        <v>2006</v>
      </c>
      <c r="K453" s="3">
        <v>2015</v>
      </c>
      <c r="L453" s="6">
        <f t="shared" si="151"/>
        <v>2010.5</v>
      </c>
      <c r="M453" s="6">
        <f t="shared" si="152"/>
        <v>2010.5</v>
      </c>
      <c r="N453" s="7">
        <f t="shared" si="140"/>
        <v>0</v>
      </c>
      <c r="O453" s="7">
        <f t="shared" si="141"/>
        <v>0</v>
      </c>
      <c r="P453" s="7">
        <f t="shared" si="142"/>
        <v>0</v>
      </c>
      <c r="Q453" s="7">
        <f t="shared" si="153"/>
        <v>0</v>
      </c>
      <c r="R453" s="10" t="str">
        <f t="shared" si="143"/>
        <v>0_Pre</v>
      </c>
      <c r="S453" s="10" t="str">
        <f t="shared" si="144"/>
        <v>0_Pre</v>
      </c>
      <c r="T453" s="10" t="str">
        <f t="shared" si="145"/>
        <v>0_Pre</v>
      </c>
      <c r="U453" s="10" t="str">
        <f t="shared" si="146"/>
        <v>0_Pre</v>
      </c>
      <c r="V453" s="10" t="str">
        <f t="shared" si="154"/>
        <v>0_Pre</v>
      </c>
      <c r="W453" s="10" t="str">
        <f t="shared" si="147"/>
        <v>clean_pre</v>
      </c>
      <c r="X453" s="10" t="str">
        <f t="shared" si="148"/>
        <v>0_Pre</v>
      </c>
      <c r="Y453" s="10" t="str">
        <f t="shared" si="149"/>
        <v>0_Pre</v>
      </c>
      <c r="Z453" s="10" t="str">
        <f t="shared" si="150"/>
        <v>0_Pre</v>
      </c>
      <c r="AA453" s="10" t="str">
        <f t="shared" si="155"/>
        <v>0_Pre</v>
      </c>
      <c r="AB453" s="10" t="str">
        <f t="shared" si="156"/>
        <v>0_Pre</v>
      </c>
      <c r="AC453" s="10" t="str">
        <f t="shared" si="157"/>
        <v>0_Pre</v>
      </c>
      <c r="AD453" s="10" t="str">
        <f t="shared" si="158"/>
        <v>1_pre sample median</v>
      </c>
      <c r="AE453" s="10" t="str">
        <f t="shared" si="159"/>
        <v>1_pre sample first tertile</v>
      </c>
      <c r="AF453" t="s">
        <v>82</v>
      </c>
      <c r="AG453" t="s">
        <v>75</v>
      </c>
      <c r="AH453" t="s">
        <v>78</v>
      </c>
      <c r="AI453" t="s">
        <v>122</v>
      </c>
      <c r="AJ453" t="s">
        <v>123</v>
      </c>
      <c r="AK453" t="str">
        <f>VLOOKUP(MID($AR453,1,255),country_lookup!$B:$F,2,FALSE)</f>
        <v>1_US</v>
      </c>
      <c r="AL453" t="str">
        <f>VLOOKUP(MID($AR453,1,255),country_lookup!$B:$F,3,FALSE)</f>
        <v>1_developed</v>
      </c>
      <c r="AM453" t="str">
        <f>VLOOKUP(MID($AR453,1,255),country_lookup!$B:$F,4,FALSE)</f>
        <v>1_western</v>
      </c>
      <c r="AN453" t="str">
        <f>VLOOKUP(MID($AR453,1,255),country_lookup!$B:$F,5,FALSE)</f>
        <v>1_common law</v>
      </c>
      <c r="AO453" s="10" t="str">
        <f>VLOOKUP(MID($AS453,1,255),source_lookup!$B:$K,4,FALSE)</f>
        <v>0_published</v>
      </c>
      <c r="AP453" s="10" t="str">
        <f>VLOOKUP(MID($AS453,1,255),source_lookup!$B:$K,6,FALSE)</f>
        <v>1_VHB high</v>
      </c>
      <c r="AQ453" s="10" t="str">
        <f>VLOOKUP(MID($AS453,1,255),source_lookup!$B:$K,10,FALSE)</f>
        <v>1_fin/acc/econ</v>
      </c>
      <c r="AR453" t="s">
        <v>85</v>
      </c>
      <c r="AS453" t="s">
        <v>143</v>
      </c>
    </row>
    <row r="454" spans="1:45" x14ac:dyDescent="0.3">
      <c r="A454" t="s">
        <v>19</v>
      </c>
      <c r="B454">
        <v>453</v>
      </c>
      <c r="C454" s="1">
        <v>-2.8917748967877136E-2</v>
      </c>
      <c r="D454" s="2">
        <v>24</v>
      </c>
      <c r="E454" s="4">
        <v>240</v>
      </c>
      <c r="F454" s="4" t="s">
        <v>347</v>
      </c>
      <c r="G454" s="4" t="s">
        <v>346</v>
      </c>
      <c r="H454" t="s">
        <v>77</v>
      </c>
      <c r="I454" t="s">
        <v>352</v>
      </c>
      <c r="J454" s="3">
        <v>2006</v>
      </c>
      <c r="K454" s="3">
        <v>2015</v>
      </c>
      <c r="L454" s="6">
        <f t="shared" si="151"/>
        <v>2010.5</v>
      </c>
      <c r="M454" s="6">
        <f t="shared" si="152"/>
        <v>2010.5</v>
      </c>
      <c r="N454" s="7">
        <f t="shared" si="140"/>
        <v>0</v>
      </c>
      <c r="O454" s="7">
        <f t="shared" si="141"/>
        <v>0</v>
      </c>
      <c r="P454" s="7">
        <f t="shared" si="142"/>
        <v>0</v>
      </c>
      <c r="Q454" s="7">
        <f t="shared" si="153"/>
        <v>0</v>
      </c>
      <c r="R454" s="10" t="str">
        <f t="shared" si="143"/>
        <v>0_Pre</v>
      </c>
      <c r="S454" s="10" t="str">
        <f t="shared" si="144"/>
        <v>0_Pre</v>
      </c>
      <c r="T454" s="10" t="str">
        <f t="shared" si="145"/>
        <v>0_Pre</v>
      </c>
      <c r="U454" s="10" t="str">
        <f t="shared" si="146"/>
        <v>0_Pre</v>
      </c>
      <c r="V454" s="10" t="str">
        <f t="shared" si="154"/>
        <v>0_Pre</v>
      </c>
      <c r="W454" s="10" t="str">
        <f t="shared" si="147"/>
        <v>clean_pre</v>
      </c>
      <c r="X454" s="10" t="str">
        <f t="shared" si="148"/>
        <v>0_Pre</v>
      </c>
      <c r="Y454" s="10" t="str">
        <f t="shared" si="149"/>
        <v>0_Pre</v>
      </c>
      <c r="Z454" s="10" t="str">
        <f t="shared" si="150"/>
        <v>0_Pre</v>
      </c>
      <c r="AA454" s="10" t="str">
        <f t="shared" si="155"/>
        <v>0_Pre</v>
      </c>
      <c r="AB454" s="10" t="str">
        <f t="shared" si="156"/>
        <v>0_Pre</v>
      </c>
      <c r="AC454" s="10" t="str">
        <f t="shared" si="157"/>
        <v>0_Pre</v>
      </c>
      <c r="AD454" s="10" t="str">
        <f t="shared" si="158"/>
        <v>1_pre sample median</v>
      </c>
      <c r="AE454" s="10" t="str">
        <f t="shared" si="159"/>
        <v>1_pre sample first tertile</v>
      </c>
      <c r="AF454" t="s">
        <v>82</v>
      </c>
      <c r="AG454" t="s">
        <v>75</v>
      </c>
      <c r="AH454" t="s">
        <v>78</v>
      </c>
      <c r="AI454" t="s">
        <v>122</v>
      </c>
      <c r="AJ454" t="s">
        <v>123</v>
      </c>
      <c r="AK454" t="str">
        <f>VLOOKUP(MID($AR454,1,255),country_lookup!$B:$F,2,FALSE)</f>
        <v>1_US</v>
      </c>
      <c r="AL454" t="str">
        <f>VLOOKUP(MID($AR454,1,255),country_lookup!$B:$F,3,FALSE)</f>
        <v>1_developed</v>
      </c>
      <c r="AM454" t="str">
        <f>VLOOKUP(MID($AR454,1,255),country_lookup!$B:$F,4,FALSE)</f>
        <v>1_western</v>
      </c>
      <c r="AN454" t="str">
        <f>VLOOKUP(MID($AR454,1,255),country_lookup!$B:$F,5,FALSE)</f>
        <v>1_common law</v>
      </c>
      <c r="AO454" s="10" t="str">
        <f>VLOOKUP(MID($AS454,1,255),source_lookup!$B:$K,4,FALSE)</f>
        <v>0_published</v>
      </c>
      <c r="AP454" s="10" t="str">
        <f>VLOOKUP(MID($AS454,1,255),source_lookup!$B:$K,6,FALSE)</f>
        <v>1_VHB high</v>
      </c>
      <c r="AQ454" s="10" t="str">
        <f>VLOOKUP(MID($AS454,1,255),source_lookup!$B:$K,10,FALSE)</f>
        <v>1_fin/acc/econ</v>
      </c>
      <c r="AR454" t="s">
        <v>85</v>
      </c>
      <c r="AS454" t="s">
        <v>143</v>
      </c>
    </row>
    <row r="455" spans="1:45" x14ac:dyDescent="0.3">
      <c r="A455" t="s">
        <v>19</v>
      </c>
      <c r="B455">
        <v>454</v>
      </c>
      <c r="C455" s="1">
        <v>-0.11288042052470026</v>
      </c>
      <c r="D455" s="2">
        <v>163</v>
      </c>
      <c r="E455" s="4">
        <v>1628</v>
      </c>
      <c r="F455" s="4" t="s">
        <v>347</v>
      </c>
      <c r="G455" s="4" t="s">
        <v>346</v>
      </c>
      <c r="H455" t="s">
        <v>77</v>
      </c>
      <c r="I455" t="s">
        <v>352</v>
      </c>
      <c r="J455" s="3">
        <v>2006</v>
      </c>
      <c r="K455" s="3">
        <v>2015</v>
      </c>
      <c r="L455" s="6">
        <f t="shared" si="151"/>
        <v>2010.5</v>
      </c>
      <c r="M455" s="6">
        <f t="shared" si="152"/>
        <v>2010.5</v>
      </c>
      <c r="N455" s="7">
        <f t="shared" si="140"/>
        <v>0</v>
      </c>
      <c r="O455" s="7">
        <f t="shared" si="141"/>
        <v>0</v>
      </c>
      <c r="P455" s="7">
        <f t="shared" si="142"/>
        <v>0</v>
      </c>
      <c r="Q455" s="7">
        <f t="shared" si="153"/>
        <v>0</v>
      </c>
      <c r="R455" s="10" t="str">
        <f t="shared" si="143"/>
        <v>0_Pre</v>
      </c>
      <c r="S455" s="10" t="str">
        <f t="shared" si="144"/>
        <v>0_Pre</v>
      </c>
      <c r="T455" s="10" t="str">
        <f t="shared" si="145"/>
        <v>0_Pre</v>
      </c>
      <c r="U455" s="10" t="str">
        <f t="shared" si="146"/>
        <v>0_Pre</v>
      </c>
      <c r="V455" s="10" t="str">
        <f t="shared" si="154"/>
        <v>0_Pre</v>
      </c>
      <c r="W455" s="10" t="str">
        <f t="shared" si="147"/>
        <v>clean_pre</v>
      </c>
      <c r="X455" s="10" t="str">
        <f t="shared" si="148"/>
        <v>0_Pre</v>
      </c>
      <c r="Y455" s="10" t="str">
        <f t="shared" si="149"/>
        <v>0_Pre</v>
      </c>
      <c r="Z455" s="10" t="str">
        <f t="shared" si="150"/>
        <v>0_Pre</v>
      </c>
      <c r="AA455" s="10" t="str">
        <f t="shared" si="155"/>
        <v>0_Pre</v>
      </c>
      <c r="AB455" s="10" t="str">
        <f t="shared" si="156"/>
        <v>0_Pre</v>
      </c>
      <c r="AC455" s="10" t="str">
        <f t="shared" si="157"/>
        <v>0_Pre</v>
      </c>
      <c r="AD455" s="10" t="str">
        <f t="shared" si="158"/>
        <v>1_pre sample median</v>
      </c>
      <c r="AE455" s="10" t="str">
        <f t="shared" si="159"/>
        <v>1_pre sample first tertile</v>
      </c>
      <c r="AF455" t="s">
        <v>82</v>
      </c>
      <c r="AG455" t="s">
        <v>75</v>
      </c>
      <c r="AH455" t="s">
        <v>78</v>
      </c>
      <c r="AI455" t="s">
        <v>122</v>
      </c>
      <c r="AJ455" t="s">
        <v>123</v>
      </c>
      <c r="AK455" t="str">
        <f>VLOOKUP(MID($AR455,1,255),country_lookup!$B:$F,2,FALSE)</f>
        <v>1_US</v>
      </c>
      <c r="AL455" t="str">
        <f>VLOOKUP(MID($AR455,1,255),country_lookup!$B:$F,3,FALSE)</f>
        <v>1_developed</v>
      </c>
      <c r="AM455" t="str">
        <f>VLOOKUP(MID($AR455,1,255),country_lookup!$B:$F,4,FALSE)</f>
        <v>1_western</v>
      </c>
      <c r="AN455" t="str">
        <f>VLOOKUP(MID($AR455,1,255),country_lookup!$B:$F,5,FALSE)</f>
        <v>1_common law</v>
      </c>
      <c r="AO455" s="10" t="str">
        <f>VLOOKUP(MID($AS455,1,255),source_lookup!$B:$K,4,FALSE)</f>
        <v>0_published</v>
      </c>
      <c r="AP455" s="10" t="str">
        <f>VLOOKUP(MID($AS455,1,255),source_lookup!$B:$K,6,FALSE)</f>
        <v>1_VHB high</v>
      </c>
      <c r="AQ455" s="10" t="str">
        <f>VLOOKUP(MID($AS455,1,255),source_lookup!$B:$K,10,FALSE)</f>
        <v>1_fin/acc/econ</v>
      </c>
      <c r="AR455" t="s">
        <v>85</v>
      </c>
      <c r="AS455" t="s">
        <v>143</v>
      </c>
    </row>
    <row r="456" spans="1:45" x14ac:dyDescent="0.3">
      <c r="A456" t="s">
        <v>19</v>
      </c>
      <c r="B456">
        <v>455</v>
      </c>
      <c r="C456" s="1">
        <v>-0.21144048669204413</v>
      </c>
      <c r="D456" s="2">
        <v>102</v>
      </c>
      <c r="E456" s="4">
        <v>1018</v>
      </c>
      <c r="F456" s="4" t="s">
        <v>347</v>
      </c>
      <c r="G456" s="4" t="s">
        <v>346</v>
      </c>
      <c r="H456" t="s">
        <v>77</v>
      </c>
      <c r="I456" t="s">
        <v>352</v>
      </c>
      <c r="J456" s="3">
        <v>2006</v>
      </c>
      <c r="K456" s="3">
        <v>2015</v>
      </c>
      <c r="L456" s="6">
        <f t="shared" si="151"/>
        <v>2010.5</v>
      </c>
      <c r="M456" s="6">
        <f t="shared" si="152"/>
        <v>2010.5</v>
      </c>
      <c r="N456" s="7">
        <f t="shared" si="140"/>
        <v>0</v>
      </c>
      <c r="O456" s="7">
        <f t="shared" si="141"/>
        <v>0</v>
      </c>
      <c r="P456" s="7">
        <f t="shared" si="142"/>
        <v>0</v>
      </c>
      <c r="Q456" s="7">
        <f t="shared" si="153"/>
        <v>0</v>
      </c>
      <c r="R456" s="10" t="str">
        <f t="shared" si="143"/>
        <v>0_Pre</v>
      </c>
      <c r="S456" s="10" t="str">
        <f t="shared" si="144"/>
        <v>0_Pre</v>
      </c>
      <c r="T456" s="10" t="str">
        <f t="shared" si="145"/>
        <v>0_Pre</v>
      </c>
      <c r="U456" s="10" t="str">
        <f t="shared" si="146"/>
        <v>0_Pre</v>
      </c>
      <c r="V456" s="10" t="str">
        <f t="shared" si="154"/>
        <v>0_Pre</v>
      </c>
      <c r="W456" s="10" t="str">
        <f t="shared" si="147"/>
        <v>clean_pre</v>
      </c>
      <c r="X456" s="10" t="str">
        <f t="shared" si="148"/>
        <v>0_Pre</v>
      </c>
      <c r="Y456" s="10" t="str">
        <f t="shared" si="149"/>
        <v>0_Pre</v>
      </c>
      <c r="Z456" s="10" t="str">
        <f t="shared" si="150"/>
        <v>0_Pre</v>
      </c>
      <c r="AA456" s="10" t="str">
        <f t="shared" si="155"/>
        <v>0_Pre</v>
      </c>
      <c r="AB456" s="10" t="str">
        <f t="shared" si="156"/>
        <v>0_Pre</v>
      </c>
      <c r="AC456" s="10" t="str">
        <f t="shared" si="157"/>
        <v>0_Pre</v>
      </c>
      <c r="AD456" s="10" t="str">
        <f t="shared" si="158"/>
        <v>1_pre sample median</v>
      </c>
      <c r="AE456" s="10" t="str">
        <f t="shared" si="159"/>
        <v>1_pre sample first tertile</v>
      </c>
      <c r="AF456" t="s">
        <v>82</v>
      </c>
      <c r="AG456" t="s">
        <v>75</v>
      </c>
      <c r="AH456" t="s">
        <v>78</v>
      </c>
      <c r="AI456" t="s">
        <v>122</v>
      </c>
      <c r="AJ456" t="s">
        <v>123</v>
      </c>
      <c r="AK456" t="str">
        <f>VLOOKUP(MID($AR456,1,255),country_lookup!$B:$F,2,FALSE)</f>
        <v>1_US</v>
      </c>
      <c r="AL456" t="str">
        <f>VLOOKUP(MID($AR456,1,255),country_lookup!$B:$F,3,FALSE)</f>
        <v>1_developed</v>
      </c>
      <c r="AM456" t="str">
        <f>VLOOKUP(MID($AR456,1,255),country_lookup!$B:$F,4,FALSE)</f>
        <v>1_western</v>
      </c>
      <c r="AN456" t="str">
        <f>VLOOKUP(MID($AR456,1,255),country_lookup!$B:$F,5,FALSE)</f>
        <v>1_common law</v>
      </c>
      <c r="AO456" s="10" t="str">
        <f>VLOOKUP(MID($AS456,1,255),source_lookup!$B:$K,4,FALSE)</f>
        <v>0_published</v>
      </c>
      <c r="AP456" s="10" t="str">
        <f>VLOOKUP(MID($AS456,1,255),source_lookup!$B:$K,6,FALSE)</f>
        <v>1_VHB high</v>
      </c>
      <c r="AQ456" s="10" t="str">
        <f>VLOOKUP(MID($AS456,1,255),source_lookup!$B:$K,10,FALSE)</f>
        <v>1_fin/acc/econ</v>
      </c>
      <c r="AR456" t="s">
        <v>85</v>
      </c>
      <c r="AS456" t="s">
        <v>143</v>
      </c>
    </row>
    <row r="457" spans="1:45" x14ac:dyDescent="0.3">
      <c r="A457" t="s">
        <v>19</v>
      </c>
      <c r="B457">
        <v>456</v>
      </c>
      <c r="C457" s="1">
        <v>-8.5236475052412192E-3</v>
      </c>
      <c r="D457" s="2">
        <v>438</v>
      </c>
      <c r="E457" s="4">
        <v>1313</v>
      </c>
      <c r="F457" s="4" t="s">
        <v>347</v>
      </c>
      <c r="G457" s="4" t="s">
        <v>346</v>
      </c>
      <c r="H457" t="s">
        <v>77</v>
      </c>
      <c r="I457" t="s">
        <v>352</v>
      </c>
      <c r="J457" s="3">
        <v>2007</v>
      </c>
      <c r="K457" s="3">
        <v>2009</v>
      </c>
      <c r="L457" s="6">
        <f t="shared" si="151"/>
        <v>2008</v>
      </c>
      <c r="M457" s="6">
        <f t="shared" si="152"/>
        <v>2008</v>
      </c>
      <c r="N457" s="7">
        <f t="shared" si="140"/>
        <v>0</v>
      </c>
      <c r="O457" s="7">
        <f t="shared" si="141"/>
        <v>0</v>
      </c>
      <c r="P457" s="7">
        <f t="shared" si="142"/>
        <v>0</v>
      </c>
      <c r="Q457" s="7">
        <f t="shared" si="153"/>
        <v>0</v>
      </c>
      <c r="R457" s="10" t="str">
        <f t="shared" si="143"/>
        <v>0_Pre</v>
      </c>
      <c r="S457" s="10" t="str">
        <f t="shared" si="144"/>
        <v>0_Pre</v>
      </c>
      <c r="T457" s="10" t="str">
        <f t="shared" si="145"/>
        <v>0_Pre</v>
      </c>
      <c r="U457" s="10" t="str">
        <f t="shared" si="146"/>
        <v>0_Pre</v>
      </c>
      <c r="V457" s="10" t="str">
        <f t="shared" si="154"/>
        <v>0_Pre</v>
      </c>
      <c r="W457" s="10" t="str">
        <f t="shared" si="147"/>
        <v>clean_pre</v>
      </c>
      <c r="X457" s="10" t="str">
        <f t="shared" si="148"/>
        <v>0_Pre</v>
      </c>
      <c r="Y457" s="10" t="str">
        <f t="shared" si="149"/>
        <v>0_Pre</v>
      </c>
      <c r="Z457" s="10" t="str">
        <f t="shared" si="150"/>
        <v>0_Pre</v>
      </c>
      <c r="AA457" s="10" t="str">
        <f t="shared" si="155"/>
        <v>0_Pre</v>
      </c>
      <c r="AB457" s="10" t="str">
        <f t="shared" si="156"/>
        <v>0_Pre</v>
      </c>
      <c r="AC457" s="10" t="str">
        <f t="shared" si="157"/>
        <v>0_Pre</v>
      </c>
      <c r="AD457" s="10" t="str">
        <f t="shared" si="158"/>
        <v>1_pre sample median</v>
      </c>
      <c r="AE457" s="10" t="str">
        <f t="shared" si="159"/>
        <v>1_pre sample first tertile</v>
      </c>
      <c r="AF457" t="s">
        <v>80</v>
      </c>
      <c r="AG457" t="s">
        <v>75</v>
      </c>
      <c r="AH457" t="s">
        <v>78</v>
      </c>
      <c r="AI457" t="s">
        <v>122</v>
      </c>
      <c r="AJ457" t="s">
        <v>123</v>
      </c>
      <c r="AK457" t="str">
        <f>VLOOKUP(MID($AR457,1,255),country_lookup!$B:$F,2,FALSE)</f>
        <v>1_US</v>
      </c>
      <c r="AL457" t="str">
        <f>VLOOKUP(MID($AR457,1,255),country_lookup!$B:$F,3,FALSE)</f>
        <v>1_developed</v>
      </c>
      <c r="AM457" t="str">
        <f>VLOOKUP(MID($AR457,1,255),country_lookup!$B:$F,4,FALSE)</f>
        <v>1_western</v>
      </c>
      <c r="AN457" t="str">
        <f>VLOOKUP(MID($AR457,1,255),country_lookup!$B:$F,5,FALSE)</f>
        <v>1_common law</v>
      </c>
      <c r="AO457" s="10" t="str">
        <f>VLOOKUP(MID($AS457,1,255),source_lookup!$B:$K,4,FALSE)</f>
        <v>0_published</v>
      </c>
      <c r="AP457" s="10" t="str">
        <f>VLOOKUP(MID($AS457,1,255),source_lookup!$B:$K,6,FALSE)</f>
        <v>1_VHB high</v>
      </c>
      <c r="AQ457" s="10" t="str">
        <f>VLOOKUP(MID($AS457,1,255),source_lookup!$B:$K,10,FALSE)</f>
        <v>1_fin/acc/econ</v>
      </c>
      <c r="AR457" t="s">
        <v>85</v>
      </c>
      <c r="AS457" t="s">
        <v>143</v>
      </c>
    </row>
    <row r="458" spans="1:45" x14ac:dyDescent="0.3">
      <c r="A458" t="s">
        <v>19</v>
      </c>
      <c r="B458">
        <v>457</v>
      </c>
      <c r="C458" s="1">
        <v>-2.9477924886044775E-2</v>
      </c>
      <c r="D458" s="2">
        <v>438</v>
      </c>
      <c r="E458" s="4">
        <v>1313</v>
      </c>
      <c r="F458" s="4" t="s">
        <v>347</v>
      </c>
      <c r="G458" s="4" t="s">
        <v>346</v>
      </c>
      <c r="H458" t="s">
        <v>77</v>
      </c>
      <c r="I458" t="s">
        <v>352</v>
      </c>
      <c r="J458" s="3">
        <v>2007</v>
      </c>
      <c r="K458" s="3">
        <v>2009</v>
      </c>
      <c r="L458" s="6">
        <f t="shared" si="151"/>
        <v>2008</v>
      </c>
      <c r="M458" s="6">
        <f t="shared" si="152"/>
        <v>2008</v>
      </c>
      <c r="N458" s="7">
        <f t="shared" si="140"/>
        <v>0</v>
      </c>
      <c r="O458" s="7">
        <f t="shared" si="141"/>
        <v>0</v>
      </c>
      <c r="P458" s="7">
        <f t="shared" si="142"/>
        <v>0</v>
      </c>
      <c r="Q458" s="7">
        <f t="shared" si="153"/>
        <v>0</v>
      </c>
      <c r="R458" s="10" t="str">
        <f t="shared" si="143"/>
        <v>0_Pre</v>
      </c>
      <c r="S458" s="10" t="str">
        <f t="shared" si="144"/>
        <v>0_Pre</v>
      </c>
      <c r="T458" s="10" t="str">
        <f t="shared" si="145"/>
        <v>0_Pre</v>
      </c>
      <c r="U458" s="10" t="str">
        <f t="shared" si="146"/>
        <v>0_Pre</v>
      </c>
      <c r="V458" s="10" t="str">
        <f t="shared" si="154"/>
        <v>0_Pre</v>
      </c>
      <c r="W458" s="10" t="str">
        <f t="shared" si="147"/>
        <v>clean_pre</v>
      </c>
      <c r="X458" s="10" t="str">
        <f t="shared" si="148"/>
        <v>0_Pre</v>
      </c>
      <c r="Y458" s="10" t="str">
        <f t="shared" si="149"/>
        <v>0_Pre</v>
      </c>
      <c r="Z458" s="10" t="str">
        <f t="shared" si="150"/>
        <v>0_Pre</v>
      </c>
      <c r="AA458" s="10" t="str">
        <f t="shared" si="155"/>
        <v>0_Pre</v>
      </c>
      <c r="AB458" s="10" t="str">
        <f t="shared" si="156"/>
        <v>0_Pre</v>
      </c>
      <c r="AC458" s="10" t="str">
        <f t="shared" si="157"/>
        <v>0_Pre</v>
      </c>
      <c r="AD458" s="10" t="str">
        <f t="shared" si="158"/>
        <v>1_pre sample median</v>
      </c>
      <c r="AE458" s="10" t="str">
        <f t="shared" si="159"/>
        <v>1_pre sample first tertile</v>
      </c>
      <c r="AF458" t="s">
        <v>80</v>
      </c>
      <c r="AG458" t="s">
        <v>75</v>
      </c>
      <c r="AH458" t="s">
        <v>78</v>
      </c>
      <c r="AI458" t="s">
        <v>122</v>
      </c>
      <c r="AJ458" t="s">
        <v>123</v>
      </c>
      <c r="AK458" t="str">
        <f>VLOOKUP(MID($AR458,1,255),country_lookup!$B:$F,2,FALSE)</f>
        <v>1_US</v>
      </c>
      <c r="AL458" t="str">
        <f>VLOOKUP(MID($AR458,1,255),country_lookup!$B:$F,3,FALSE)</f>
        <v>1_developed</v>
      </c>
      <c r="AM458" t="str">
        <f>VLOOKUP(MID($AR458,1,255),country_lookup!$B:$F,4,FALSE)</f>
        <v>1_western</v>
      </c>
      <c r="AN458" t="str">
        <f>VLOOKUP(MID($AR458,1,255),country_lookup!$B:$F,5,FALSE)</f>
        <v>1_common law</v>
      </c>
      <c r="AO458" s="10" t="str">
        <f>VLOOKUP(MID($AS458,1,255),source_lookup!$B:$K,4,FALSE)</f>
        <v>0_published</v>
      </c>
      <c r="AP458" s="10" t="str">
        <f>VLOOKUP(MID($AS458,1,255),source_lookup!$B:$K,6,FALSE)</f>
        <v>1_VHB high</v>
      </c>
      <c r="AQ458" s="10" t="str">
        <f>VLOOKUP(MID($AS458,1,255),source_lookup!$B:$K,10,FALSE)</f>
        <v>1_fin/acc/econ</v>
      </c>
      <c r="AR458" t="s">
        <v>85</v>
      </c>
      <c r="AS458" t="s">
        <v>143</v>
      </c>
    </row>
    <row r="459" spans="1:45" x14ac:dyDescent="0.3">
      <c r="A459" t="s">
        <v>19</v>
      </c>
      <c r="B459">
        <v>458</v>
      </c>
      <c r="C459" s="1">
        <v>2.1467492172100047E-2</v>
      </c>
      <c r="D459" s="2">
        <v>438</v>
      </c>
      <c r="E459" s="4">
        <v>1313</v>
      </c>
      <c r="F459" s="4" t="s">
        <v>347</v>
      </c>
      <c r="G459" s="4" t="s">
        <v>346</v>
      </c>
      <c r="H459" t="s">
        <v>77</v>
      </c>
      <c r="I459" t="s">
        <v>352</v>
      </c>
      <c r="J459" s="3">
        <v>2007</v>
      </c>
      <c r="K459" s="3">
        <v>2009</v>
      </c>
      <c r="L459" s="6">
        <f t="shared" si="151"/>
        <v>2008</v>
      </c>
      <c r="M459" s="6">
        <f t="shared" si="152"/>
        <v>2008</v>
      </c>
      <c r="N459" s="7">
        <f t="shared" si="140"/>
        <v>0</v>
      </c>
      <c r="O459" s="7">
        <f t="shared" si="141"/>
        <v>0</v>
      </c>
      <c r="P459" s="7">
        <f t="shared" si="142"/>
        <v>0</v>
      </c>
      <c r="Q459" s="7">
        <f t="shared" si="153"/>
        <v>0</v>
      </c>
      <c r="R459" s="10" t="str">
        <f t="shared" si="143"/>
        <v>0_Pre</v>
      </c>
      <c r="S459" s="10" t="str">
        <f t="shared" si="144"/>
        <v>0_Pre</v>
      </c>
      <c r="T459" s="10" t="str">
        <f t="shared" si="145"/>
        <v>0_Pre</v>
      </c>
      <c r="U459" s="10" t="str">
        <f t="shared" si="146"/>
        <v>0_Pre</v>
      </c>
      <c r="V459" s="10" t="str">
        <f t="shared" si="154"/>
        <v>0_Pre</v>
      </c>
      <c r="W459" s="10" t="str">
        <f t="shared" si="147"/>
        <v>clean_pre</v>
      </c>
      <c r="X459" s="10" t="str">
        <f t="shared" si="148"/>
        <v>0_Pre</v>
      </c>
      <c r="Y459" s="10" t="str">
        <f t="shared" si="149"/>
        <v>0_Pre</v>
      </c>
      <c r="Z459" s="10" t="str">
        <f t="shared" si="150"/>
        <v>0_Pre</v>
      </c>
      <c r="AA459" s="10" t="str">
        <f t="shared" si="155"/>
        <v>0_Pre</v>
      </c>
      <c r="AB459" s="10" t="str">
        <f t="shared" si="156"/>
        <v>0_Pre</v>
      </c>
      <c r="AC459" s="10" t="str">
        <f t="shared" si="157"/>
        <v>0_Pre</v>
      </c>
      <c r="AD459" s="10" t="str">
        <f t="shared" si="158"/>
        <v>1_pre sample median</v>
      </c>
      <c r="AE459" s="10" t="str">
        <f t="shared" si="159"/>
        <v>1_pre sample first tertile</v>
      </c>
      <c r="AF459" t="s">
        <v>80</v>
      </c>
      <c r="AG459" t="s">
        <v>75</v>
      </c>
      <c r="AH459" t="s">
        <v>78</v>
      </c>
      <c r="AI459" t="s">
        <v>122</v>
      </c>
      <c r="AJ459" t="s">
        <v>123</v>
      </c>
      <c r="AK459" t="str">
        <f>VLOOKUP(MID($AR459,1,255),country_lookup!$B:$F,2,FALSE)</f>
        <v>1_US</v>
      </c>
      <c r="AL459" t="str">
        <f>VLOOKUP(MID($AR459,1,255),country_lookup!$B:$F,3,FALSE)</f>
        <v>1_developed</v>
      </c>
      <c r="AM459" t="str">
        <f>VLOOKUP(MID($AR459,1,255),country_lookup!$B:$F,4,FALSE)</f>
        <v>1_western</v>
      </c>
      <c r="AN459" t="str">
        <f>VLOOKUP(MID($AR459,1,255),country_lookup!$B:$F,5,FALSE)</f>
        <v>1_common law</v>
      </c>
      <c r="AO459" s="10" t="str">
        <f>VLOOKUP(MID($AS459,1,255),source_lookup!$B:$K,4,FALSE)</f>
        <v>0_published</v>
      </c>
      <c r="AP459" s="10" t="str">
        <f>VLOOKUP(MID($AS459,1,255),source_lookup!$B:$K,6,FALSE)</f>
        <v>1_VHB high</v>
      </c>
      <c r="AQ459" s="10" t="str">
        <f>VLOOKUP(MID($AS459,1,255),source_lookup!$B:$K,10,FALSE)</f>
        <v>1_fin/acc/econ</v>
      </c>
      <c r="AR459" t="s">
        <v>85</v>
      </c>
      <c r="AS459" t="s">
        <v>143</v>
      </c>
    </row>
    <row r="460" spans="1:45" x14ac:dyDescent="0.3">
      <c r="A460" t="s">
        <v>19</v>
      </c>
      <c r="B460">
        <v>459</v>
      </c>
      <c r="C460" s="1">
        <v>-9.3119410598835758E-2</v>
      </c>
      <c r="D460" s="2">
        <v>272</v>
      </c>
      <c r="E460" s="4">
        <v>817</v>
      </c>
      <c r="F460" s="4" t="s">
        <v>347</v>
      </c>
      <c r="G460" s="4" t="s">
        <v>346</v>
      </c>
      <c r="H460" t="s">
        <v>77</v>
      </c>
      <c r="I460" t="s">
        <v>352</v>
      </c>
      <c r="J460" s="3">
        <v>2007</v>
      </c>
      <c r="K460" s="3">
        <v>2009</v>
      </c>
      <c r="L460" s="6">
        <f t="shared" si="151"/>
        <v>2008</v>
      </c>
      <c r="M460" s="6">
        <f t="shared" si="152"/>
        <v>2008</v>
      </c>
      <c r="N460" s="7">
        <f t="shared" si="140"/>
        <v>0</v>
      </c>
      <c r="O460" s="7">
        <f t="shared" si="141"/>
        <v>0</v>
      </c>
      <c r="P460" s="7">
        <f t="shared" si="142"/>
        <v>0</v>
      </c>
      <c r="Q460" s="7">
        <f t="shared" si="153"/>
        <v>0</v>
      </c>
      <c r="R460" s="10" t="str">
        <f t="shared" si="143"/>
        <v>0_Pre</v>
      </c>
      <c r="S460" s="10" t="str">
        <f t="shared" si="144"/>
        <v>0_Pre</v>
      </c>
      <c r="T460" s="10" t="str">
        <f t="shared" si="145"/>
        <v>0_Pre</v>
      </c>
      <c r="U460" s="10" t="str">
        <f t="shared" si="146"/>
        <v>0_Pre</v>
      </c>
      <c r="V460" s="10" t="str">
        <f t="shared" si="154"/>
        <v>0_Pre</v>
      </c>
      <c r="W460" s="10" t="str">
        <f t="shared" si="147"/>
        <v>clean_pre</v>
      </c>
      <c r="X460" s="10" t="str">
        <f t="shared" si="148"/>
        <v>0_Pre</v>
      </c>
      <c r="Y460" s="10" t="str">
        <f t="shared" si="149"/>
        <v>0_Pre</v>
      </c>
      <c r="Z460" s="10" t="str">
        <f t="shared" si="150"/>
        <v>0_Pre</v>
      </c>
      <c r="AA460" s="10" t="str">
        <f t="shared" si="155"/>
        <v>0_Pre</v>
      </c>
      <c r="AB460" s="10" t="str">
        <f t="shared" si="156"/>
        <v>0_Pre</v>
      </c>
      <c r="AC460" s="10" t="str">
        <f t="shared" si="157"/>
        <v>0_Pre</v>
      </c>
      <c r="AD460" s="10" t="str">
        <f t="shared" si="158"/>
        <v>1_pre sample median</v>
      </c>
      <c r="AE460" s="10" t="str">
        <f t="shared" si="159"/>
        <v>1_pre sample first tertile</v>
      </c>
      <c r="AF460" t="s">
        <v>80</v>
      </c>
      <c r="AG460" t="s">
        <v>75</v>
      </c>
      <c r="AH460" t="s">
        <v>78</v>
      </c>
      <c r="AI460" t="s">
        <v>122</v>
      </c>
      <c r="AJ460" t="s">
        <v>123</v>
      </c>
      <c r="AK460" t="str">
        <f>VLOOKUP(MID($AR460,1,255),country_lookup!$B:$F,2,FALSE)</f>
        <v>1_US</v>
      </c>
      <c r="AL460" t="str">
        <f>VLOOKUP(MID($AR460,1,255),country_lookup!$B:$F,3,FALSE)</f>
        <v>1_developed</v>
      </c>
      <c r="AM460" t="str">
        <f>VLOOKUP(MID($AR460,1,255),country_lookup!$B:$F,4,FALSE)</f>
        <v>1_western</v>
      </c>
      <c r="AN460" t="str">
        <f>VLOOKUP(MID($AR460,1,255),country_lookup!$B:$F,5,FALSE)</f>
        <v>1_common law</v>
      </c>
      <c r="AO460" s="10" t="str">
        <f>VLOOKUP(MID($AS460,1,255),source_lookup!$B:$K,4,FALSE)</f>
        <v>0_published</v>
      </c>
      <c r="AP460" s="10" t="str">
        <f>VLOOKUP(MID($AS460,1,255),source_lookup!$B:$K,6,FALSE)</f>
        <v>1_VHB high</v>
      </c>
      <c r="AQ460" s="10" t="str">
        <f>VLOOKUP(MID($AS460,1,255),source_lookup!$B:$K,10,FALSE)</f>
        <v>1_fin/acc/econ</v>
      </c>
      <c r="AR460" t="s">
        <v>85</v>
      </c>
      <c r="AS460" t="s">
        <v>143</v>
      </c>
    </row>
    <row r="461" spans="1:45" x14ac:dyDescent="0.3">
      <c r="A461" t="s">
        <v>19</v>
      </c>
      <c r="B461">
        <v>460</v>
      </c>
      <c r="C461" s="1">
        <v>5.7034134968189411E-2</v>
      </c>
      <c r="D461" s="2">
        <v>272</v>
      </c>
      <c r="E461" s="4">
        <v>817</v>
      </c>
      <c r="F461" s="4" t="s">
        <v>347</v>
      </c>
      <c r="G461" s="4" t="s">
        <v>346</v>
      </c>
      <c r="H461" t="s">
        <v>77</v>
      </c>
      <c r="I461" t="s">
        <v>352</v>
      </c>
      <c r="J461" s="3">
        <v>2007</v>
      </c>
      <c r="K461" s="3">
        <v>2009</v>
      </c>
      <c r="L461" s="6">
        <f t="shared" si="151"/>
        <v>2008</v>
      </c>
      <c r="M461" s="6">
        <f t="shared" si="152"/>
        <v>2008</v>
      </c>
      <c r="N461" s="7">
        <f t="shared" si="140"/>
        <v>0</v>
      </c>
      <c r="O461" s="7">
        <f t="shared" si="141"/>
        <v>0</v>
      </c>
      <c r="P461" s="7">
        <f t="shared" si="142"/>
        <v>0</v>
      </c>
      <c r="Q461" s="7">
        <f t="shared" si="153"/>
        <v>0</v>
      </c>
      <c r="R461" s="10" t="str">
        <f t="shared" si="143"/>
        <v>0_Pre</v>
      </c>
      <c r="S461" s="10" t="str">
        <f t="shared" si="144"/>
        <v>0_Pre</v>
      </c>
      <c r="T461" s="10" t="str">
        <f t="shared" si="145"/>
        <v>0_Pre</v>
      </c>
      <c r="U461" s="10" t="str">
        <f t="shared" si="146"/>
        <v>0_Pre</v>
      </c>
      <c r="V461" s="10" t="str">
        <f t="shared" si="154"/>
        <v>0_Pre</v>
      </c>
      <c r="W461" s="10" t="str">
        <f t="shared" si="147"/>
        <v>clean_pre</v>
      </c>
      <c r="X461" s="10" t="str">
        <f t="shared" si="148"/>
        <v>0_Pre</v>
      </c>
      <c r="Y461" s="10" t="str">
        <f t="shared" si="149"/>
        <v>0_Pre</v>
      </c>
      <c r="Z461" s="10" t="str">
        <f t="shared" si="150"/>
        <v>0_Pre</v>
      </c>
      <c r="AA461" s="10" t="str">
        <f t="shared" si="155"/>
        <v>0_Pre</v>
      </c>
      <c r="AB461" s="10" t="str">
        <f t="shared" si="156"/>
        <v>0_Pre</v>
      </c>
      <c r="AC461" s="10" t="str">
        <f t="shared" si="157"/>
        <v>0_Pre</v>
      </c>
      <c r="AD461" s="10" t="str">
        <f t="shared" si="158"/>
        <v>1_pre sample median</v>
      </c>
      <c r="AE461" s="10" t="str">
        <f t="shared" si="159"/>
        <v>1_pre sample first tertile</v>
      </c>
      <c r="AF461" t="s">
        <v>80</v>
      </c>
      <c r="AG461" t="s">
        <v>75</v>
      </c>
      <c r="AH461" t="s">
        <v>78</v>
      </c>
      <c r="AI461" t="s">
        <v>122</v>
      </c>
      <c r="AJ461" t="s">
        <v>123</v>
      </c>
      <c r="AK461" t="str">
        <f>VLOOKUP(MID($AR461,1,255),country_lookup!$B:$F,2,FALSE)</f>
        <v>1_US</v>
      </c>
      <c r="AL461" t="str">
        <f>VLOOKUP(MID($AR461,1,255),country_lookup!$B:$F,3,FALSE)</f>
        <v>1_developed</v>
      </c>
      <c r="AM461" t="str">
        <f>VLOOKUP(MID($AR461,1,255),country_lookup!$B:$F,4,FALSE)</f>
        <v>1_western</v>
      </c>
      <c r="AN461" t="str">
        <f>VLOOKUP(MID($AR461,1,255),country_lookup!$B:$F,5,FALSE)</f>
        <v>1_common law</v>
      </c>
      <c r="AO461" s="10" t="str">
        <f>VLOOKUP(MID($AS461,1,255),source_lookup!$B:$K,4,FALSE)</f>
        <v>0_published</v>
      </c>
      <c r="AP461" s="10" t="str">
        <f>VLOOKUP(MID($AS461,1,255),source_lookup!$B:$K,6,FALSE)</f>
        <v>1_VHB high</v>
      </c>
      <c r="AQ461" s="10" t="str">
        <f>VLOOKUP(MID($AS461,1,255),source_lookup!$B:$K,10,FALSE)</f>
        <v>1_fin/acc/econ</v>
      </c>
      <c r="AR461" t="s">
        <v>85</v>
      </c>
      <c r="AS461" t="s">
        <v>143</v>
      </c>
    </row>
    <row r="462" spans="1:45" x14ac:dyDescent="0.3">
      <c r="A462" t="s">
        <v>19</v>
      </c>
      <c r="B462">
        <v>461</v>
      </c>
      <c r="C462" s="1">
        <v>-3.3633295449179909E-2</v>
      </c>
      <c r="D462" s="2">
        <v>599</v>
      </c>
      <c r="E462" s="4">
        <v>3596</v>
      </c>
      <c r="F462" s="4" t="s">
        <v>347</v>
      </c>
      <c r="G462" s="4" t="s">
        <v>346</v>
      </c>
      <c r="H462" t="s">
        <v>77</v>
      </c>
      <c r="I462" t="s">
        <v>352</v>
      </c>
      <c r="J462" s="3">
        <v>2010</v>
      </c>
      <c r="K462" s="3">
        <v>2015</v>
      </c>
      <c r="L462" s="6">
        <f t="shared" si="151"/>
        <v>2012.5</v>
      </c>
      <c r="M462" s="6">
        <f t="shared" si="152"/>
        <v>2012.5</v>
      </c>
      <c r="N462" s="7">
        <f t="shared" si="140"/>
        <v>0</v>
      </c>
      <c r="O462" s="7">
        <f t="shared" si="141"/>
        <v>0</v>
      </c>
      <c r="P462" s="7">
        <f t="shared" si="142"/>
        <v>0</v>
      </c>
      <c r="Q462" s="7">
        <f t="shared" si="153"/>
        <v>0</v>
      </c>
      <c r="R462" s="10" t="str">
        <f t="shared" si="143"/>
        <v>0_Pre</v>
      </c>
      <c r="S462" s="10" t="str">
        <f t="shared" si="144"/>
        <v>0_Pre</v>
      </c>
      <c r="T462" s="10" t="str">
        <f t="shared" si="145"/>
        <v>0_Pre</v>
      </c>
      <c r="U462" s="10" t="str">
        <f t="shared" si="146"/>
        <v>0_Pre</v>
      </c>
      <c r="V462" s="10" t="str">
        <f t="shared" si="154"/>
        <v>0_Pre</v>
      </c>
      <c r="W462" s="10" t="str">
        <f t="shared" si="147"/>
        <v>clean_pre</v>
      </c>
      <c r="X462" s="10" t="str">
        <f t="shared" si="148"/>
        <v>0_Pre</v>
      </c>
      <c r="Y462" s="10" t="str">
        <f t="shared" si="149"/>
        <v>0_Pre</v>
      </c>
      <c r="Z462" s="10" t="str">
        <f t="shared" si="150"/>
        <v>0_Pre</v>
      </c>
      <c r="AA462" s="10" t="str">
        <f t="shared" si="155"/>
        <v>0_Pre</v>
      </c>
      <c r="AB462" s="10" t="str">
        <f t="shared" si="156"/>
        <v>0_Pre</v>
      </c>
      <c r="AC462" s="10" t="str">
        <f t="shared" si="157"/>
        <v>0_Pre</v>
      </c>
      <c r="AD462" s="10" t="str">
        <f t="shared" si="158"/>
        <v>2_post sample median</v>
      </c>
      <c r="AE462" s="10" t="str">
        <f t="shared" si="159"/>
        <v>2_in sample second tertile</v>
      </c>
      <c r="AF462" t="s">
        <v>80</v>
      </c>
      <c r="AG462" t="s">
        <v>75</v>
      </c>
      <c r="AH462" t="s">
        <v>78</v>
      </c>
      <c r="AI462" t="s">
        <v>122</v>
      </c>
      <c r="AJ462" t="s">
        <v>122</v>
      </c>
      <c r="AK462" t="str">
        <f>VLOOKUP(MID($AR462,1,255),country_lookup!$B:$F,2,FALSE)</f>
        <v>1_US</v>
      </c>
      <c r="AL462" t="str">
        <f>VLOOKUP(MID($AR462,1,255),country_lookup!$B:$F,3,FALSE)</f>
        <v>1_developed</v>
      </c>
      <c r="AM462" t="str">
        <f>VLOOKUP(MID($AR462,1,255),country_lookup!$B:$F,4,FALSE)</f>
        <v>1_western</v>
      </c>
      <c r="AN462" t="str">
        <f>VLOOKUP(MID($AR462,1,255),country_lookup!$B:$F,5,FALSE)</f>
        <v>1_common law</v>
      </c>
      <c r="AO462" s="10" t="str">
        <f>VLOOKUP(MID($AS462,1,255),source_lookup!$B:$K,4,FALSE)</f>
        <v>0_published</v>
      </c>
      <c r="AP462" s="10" t="str">
        <f>VLOOKUP(MID($AS462,1,255),source_lookup!$B:$K,6,FALSE)</f>
        <v>1_VHB high</v>
      </c>
      <c r="AQ462" s="10" t="str">
        <f>VLOOKUP(MID($AS462,1,255),source_lookup!$B:$K,10,FALSE)</f>
        <v>1_fin/acc/econ</v>
      </c>
      <c r="AR462" t="s">
        <v>85</v>
      </c>
      <c r="AS462" t="s">
        <v>143</v>
      </c>
    </row>
    <row r="463" spans="1:45" x14ac:dyDescent="0.3">
      <c r="A463" t="s">
        <v>19</v>
      </c>
      <c r="B463">
        <v>462</v>
      </c>
      <c r="C463" s="1">
        <v>-3.4776067137881825E-2</v>
      </c>
      <c r="D463" s="2">
        <v>599</v>
      </c>
      <c r="E463" s="4">
        <v>3596</v>
      </c>
      <c r="F463" s="4" t="s">
        <v>347</v>
      </c>
      <c r="G463" s="4" t="s">
        <v>346</v>
      </c>
      <c r="H463" t="s">
        <v>77</v>
      </c>
      <c r="I463" t="s">
        <v>352</v>
      </c>
      <c r="J463" s="3">
        <v>2010</v>
      </c>
      <c r="K463" s="3">
        <v>2015</v>
      </c>
      <c r="L463" s="6">
        <f t="shared" si="151"/>
        <v>2012.5</v>
      </c>
      <c r="M463" s="6">
        <f t="shared" si="152"/>
        <v>2012.5</v>
      </c>
      <c r="N463" s="7">
        <f t="shared" si="140"/>
        <v>0</v>
      </c>
      <c r="O463" s="7">
        <f t="shared" si="141"/>
        <v>0</v>
      </c>
      <c r="P463" s="7">
        <f t="shared" si="142"/>
        <v>0</v>
      </c>
      <c r="Q463" s="7">
        <f t="shared" si="153"/>
        <v>0</v>
      </c>
      <c r="R463" s="10" t="str">
        <f t="shared" si="143"/>
        <v>0_Pre</v>
      </c>
      <c r="S463" s="10" t="str">
        <f t="shared" si="144"/>
        <v>0_Pre</v>
      </c>
      <c r="T463" s="10" t="str">
        <f t="shared" si="145"/>
        <v>0_Pre</v>
      </c>
      <c r="U463" s="10" t="str">
        <f t="shared" si="146"/>
        <v>0_Pre</v>
      </c>
      <c r="V463" s="10" t="str">
        <f t="shared" si="154"/>
        <v>0_Pre</v>
      </c>
      <c r="W463" s="10" t="str">
        <f t="shared" si="147"/>
        <v>clean_pre</v>
      </c>
      <c r="X463" s="10" t="str">
        <f t="shared" si="148"/>
        <v>0_Pre</v>
      </c>
      <c r="Y463" s="10" t="str">
        <f t="shared" si="149"/>
        <v>0_Pre</v>
      </c>
      <c r="Z463" s="10" t="str">
        <f t="shared" si="150"/>
        <v>0_Pre</v>
      </c>
      <c r="AA463" s="10" t="str">
        <f t="shared" si="155"/>
        <v>0_Pre</v>
      </c>
      <c r="AB463" s="10" t="str">
        <f t="shared" si="156"/>
        <v>0_Pre</v>
      </c>
      <c r="AC463" s="10" t="str">
        <f t="shared" si="157"/>
        <v>0_Pre</v>
      </c>
      <c r="AD463" s="10" t="str">
        <f t="shared" si="158"/>
        <v>2_post sample median</v>
      </c>
      <c r="AE463" s="10" t="str">
        <f t="shared" si="159"/>
        <v>2_in sample second tertile</v>
      </c>
      <c r="AF463" t="s">
        <v>80</v>
      </c>
      <c r="AG463" t="s">
        <v>75</v>
      </c>
      <c r="AH463" t="s">
        <v>78</v>
      </c>
      <c r="AI463" t="s">
        <v>122</v>
      </c>
      <c r="AJ463" t="s">
        <v>122</v>
      </c>
      <c r="AK463" t="str">
        <f>VLOOKUP(MID($AR463,1,255),country_lookup!$B:$F,2,FALSE)</f>
        <v>1_US</v>
      </c>
      <c r="AL463" t="str">
        <f>VLOOKUP(MID($AR463,1,255),country_lookup!$B:$F,3,FALSE)</f>
        <v>1_developed</v>
      </c>
      <c r="AM463" t="str">
        <f>VLOOKUP(MID($AR463,1,255),country_lookup!$B:$F,4,FALSE)</f>
        <v>1_western</v>
      </c>
      <c r="AN463" t="str">
        <f>VLOOKUP(MID($AR463,1,255),country_lookup!$B:$F,5,FALSE)</f>
        <v>1_common law</v>
      </c>
      <c r="AO463" s="10" t="str">
        <f>VLOOKUP(MID($AS463,1,255),source_lookup!$B:$K,4,FALSE)</f>
        <v>0_published</v>
      </c>
      <c r="AP463" s="10" t="str">
        <f>VLOOKUP(MID($AS463,1,255),source_lookup!$B:$K,6,FALSE)</f>
        <v>1_VHB high</v>
      </c>
      <c r="AQ463" s="10" t="str">
        <f>VLOOKUP(MID($AS463,1,255),source_lookup!$B:$K,10,FALSE)</f>
        <v>1_fin/acc/econ</v>
      </c>
      <c r="AR463" t="s">
        <v>85</v>
      </c>
      <c r="AS463" t="s">
        <v>143</v>
      </c>
    </row>
    <row r="464" spans="1:45" x14ac:dyDescent="0.3">
      <c r="A464" t="s">
        <v>19</v>
      </c>
      <c r="B464">
        <v>463</v>
      </c>
      <c r="C464" s="1">
        <v>-3.4902904342278126E-3</v>
      </c>
      <c r="D464" s="2">
        <v>599</v>
      </c>
      <c r="E464" s="4">
        <v>3596</v>
      </c>
      <c r="F464" s="4" t="s">
        <v>347</v>
      </c>
      <c r="G464" s="4" t="s">
        <v>346</v>
      </c>
      <c r="H464" t="s">
        <v>77</v>
      </c>
      <c r="I464" t="s">
        <v>352</v>
      </c>
      <c r="J464" s="3">
        <v>2010</v>
      </c>
      <c r="K464" s="3">
        <v>2015</v>
      </c>
      <c r="L464" s="6">
        <f t="shared" si="151"/>
        <v>2012.5</v>
      </c>
      <c r="M464" s="6">
        <f t="shared" si="152"/>
        <v>2012.5</v>
      </c>
      <c r="N464" s="7">
        <f t="shared" si="140"/>
        <v>0</v>
      </c>
      <c r="O464" s="7">
        <f t="shared" si="141"/>
        <v>0</v>
      </c>
      <c r="P464" s="7">
        <f t="shared" si="142"/>
        <v>0</v>
      </c>
      <c r="Q464" s="7">
        <f t="shared" si="153"/>
        <v>0</v>
      </c>
      <c r="R464" s="10" t="str">
        <f t="shared" si="143"/>
        <v>0_Pre</v>
      </c>
      <c r="S464" s="10" t="str">
        <f t="shared" si="144"/>
        <v>0_Pre</v>
      </c>
      <c r="T464" s="10" t="str">
        <f t="shared" si="145"/>
        <v>0_Pre</v>
      </c>
      <c r="U464" s="10" t="str">
        <f t="shared" si="146"/>
        <v>0_Pre</v>
      </c>
      <c r="V464" s="10" t="str">
        <f t="shared" si="154"/>
        <v>0_Pre</v>
      </c>
      <c r="W464" s="10" t="str">
        <f t="shared" si="147"/>
        <v>clean_pre</v>
      </c>
      <c r="X464" s="10" t="str">
        <f t="shared" si="148"/>
        <v>0_Pre</v>
      </c>
      <c r="Y464" s="10" t="str">
        <f t="shared" si="149"/>
        <v>0_Pre</v>
      </c>
      <c r="Z464" s="10" t="str">
        <f t="shared" si="150"/>
        <v>0_Pre</v>
      </c>
      <c r="AA464" s="10" t="str">
        <f t="shared" si="155"/>
        <v>0_Pre</v>
      </c>
      <c r="AB464" s="10" t="str">
        <f t="shared" si="156"/>
        <v>0_Pre</v>
      </c>
      <c r="AC464" s="10" t="str">
        <f t="shared" si="157"/>
        <v>0_Pre</v>
      </c>
      <c r="AD464" s="10" t="str">
        <f t="shared" si="158"/>
        <v>2_post sample median</v>
      </c>
      <c r="AE464" s="10" t="str">
        <f t="shared" si="159"/>
        <v>2_in sample second tertile</v>
      </c>
      <c r="AF464" t="s">
        <v>80</v>
      </c>
      <c r="AG464" t="s">
        <v>75</v>
      </c>
      <c r="AH464" t="s">
        <v>78</v>
      </c>
      <c r="AI464" t="s">
        <v>122</v>
      </c>
      <c r="AJ464" t="s">
        <v>122</v>
      </c>
      <c r="AK464" t="str">
        <f>VLOOKUP(MID($AR464,1,255),country_lookup!$B:$F,2,FALSE)</f>
        <v>1_US</v>
      </c>
      <c r="AL464" t="str">
        <f>VLOOKUP(MID($AR464,1,255),country_lookup!$B:$F,3,FALSE)</f>
        <v>1_developed</v>
      </c>
      <c r="AM464" t="str">
        <f>VLOOKUP(MID($AR464,1,255),country_lookup!$B:$F,4,FALSE)</f>
        <v>1_western</v>
      </c>
      <c r="AN464" t="str">
        <f>VLOOKUP(MID($AR464,1,255),country_lookup!$B:$F,5,FALSE)</f>
        <v>1_common law</v>
      </c>
      <c r="AO464" s="10" t="str">
        <f>VLOOKUP(MID($AS464,1,255),source_lookup!$B:$K,4,FALSE)</f>
        <v>0_published</v>
      </c>
      <c r="AP464" s="10" t="str">
        <f>VLOOKUP(MID($AS464,1,255),source_lookup!$B:$K,6,FALSE)</f>
        <v>1_VHB high</v>
      </c>
      <c r="AQ464" s="10" t="str">
        <f>VLOOKUP(MID($AS464,1,255),source_lookup!$B:$K,10,FALSE)</f>
        <v>1_fin/acc/econ</v>
      </c>
      <c r="AR464" t="s">
        <v>85</v>
      </c>
      <c r="AS464" t="s">
        <v>143</v>
      </c>
    </row>
    <row r="465" spans="1:45" x14ac:dyDescent="0.3">
      <c r="A465" t="s">
        <v>19</v>
      </c>
      <c r="B465">
        <v>464</v>
      </c>
      <c r="C465" s="1">
        <v>-4.7191723440483967E-2</v>
      </c>
      <c r="D465" s="2">
        <v>268</v>
      </c>
      <c r="E465" s="4">
        <v>1609</v>
      </c>
      <c r="F465" s="4" t="s">
        <v>347</v>
      </c>
      <c r="G465" s="4" t="s">
        <v>346</v>
      </c>
      <c r="H465" t="s">
        <v>77</v>
      </c>
      <c r="I465" t="s">
        <v>352</v>
      </c>
      <c r="J465" s="3">
        <v>2010</v>
      </c>
      <c r="K465" s="3">
        <v>2015</v>
      </c>
      <c r="L465" s="6">
        <f t="shared" si="151"/>
        <v>2012.5</v>
      </c>
      <c r="M465" s="6">
        <f t="shared" si="152"/>
        <v>2012.5</v>
      </c>
      <c r="N465" s="7">
        <f t="shared" si="140"/>
        <v>0</v>
      </c>
      <c r="O465" s="7">
        <f t="shared" si="141"/>
        <v>0</v>
      </c>
      <c r="P465" s="7">
        <f t="shared" si="142"/>
        <v>0</v>
      </c>
      <c r="Q465" s="7">
        <f t="shared" si="153"/>
        <v>0</v>
      </c>
      <c r="R465" s="10" t="str">
        <f t="shared" si="143"/>
        <v>0_Pre</v>
      </c>
      <c r="S465" s="10" t="str">
        <f t="shared" si="144"/>
        <v>0_Pre</v>
      </c>
      <c r="T465" s="10" t="str">
        <f t="shared" si="145"/>
        <v>0_Pre</v>
      </c>
      <c r="U465" s="10" t="str">
        <f t="shared" si="146"/>
        <v>0_Pre</v>
      </c>
      <c r="V465" s="10" t="str">
        <f t="shared" si="154"/>
        <v>0_Pre</v>
      </c>
      <c r="W465" s="10" t="str">
        <f t="shared" si="147"/>
        <v>clean_pre</v>
      </c>
      <c r="X465" s="10" t="str">
        <f t="shared" si="148"/>
        <v>0_Pre</v>
      </c>
      <c r="Y465" s="10" t="str">
        <f t="shared" si="149"/>
        <v>0_Pre</v>
      </c>
      <c r="Z465" s="10" t="str">
        <f t="shared" si="150"/>
        <v>0_Pre</v>
      </c>
      <c r="AA465" s="10" t="str">
        <f t="shared" si="155"/>
        <v>0_Pre</v>
      </c>
      <c r="AB465" s="10" t="str">
        <f t="shared" si="156"/>
        <v>0_Pre</v>
      </c>
      <c r="AC465" s="10" t="str">
        <f t="shared" si="157"/>
        <v>0_Pre</v>
      </c>
      <c r="AD465" s="10" t="str">
        <f t="shared" si="158"/>
        <v>2_post sample median</v>
      </c>
      <c r="AE465" s="10" t="str">
        <f t="shared" si="159"/>
        <v>2_in sample second tertile</v>
      </c>
      <c r="AF465" t="s">
        <v>80</v>
      </c>
      <c r="AG465" t="s">
        <v>75</v>
      </c>
      <c r="AH465" t="s">
        <v>78</v>
      </c>
      <c r="AI465" t="s">
        <v>122</v>
      </c>
      <c r="AJ465" t="s">
        <v>122</v>
      </c>
      <c r="AK465" t="str">
        <f>VLOOKUP(MID($AR465,1,255),country_lookup!$B:$F,2,FALSE)</f>
        <v>1_US</v>
      </c>
      <c r="AL465" t="str">
        <f>VLOOKUP(MID($AR465,1,255),country_lookup!$B:$F,3,FALSE)</f>
        <v>1_developed</v>
      </c>
      <c r="AM465" t="str">
        <f>VLOOKUP(MID($AR465,1,255),country_lookup!$B:$F,4,FALSE)</f>
        <v>1_western</v>
      </c>
      <c r="AN465" t="str">
        <f>VLOOKUP(MID($AR465,1,255),country_lookup!$B:$F,5,FALSE)</f>
        <v>1_common law</v>
      </c>
      <c r="AO465" s="10" t="str">
        <f>VLOOKUP(MID($AS465,1,255),source_lookup!$B:$K,4,FALSE)</f>
        <v>0_published</v>
      </c>
      <c r="AP465" s="10" t="str">
        <f>VLOOKUP(MID($AS465,1,255),source_lookup!$B:$K,6,FALSE)</f>
        <v>1_VHB high</v>
      </c>
      <c r="AQ465" s="10" t="str">
        <f>VLOOKUP(MID($AS465,1,255),source_lookup!$B:$K,10,FALSE)</f>
        <v>1_fin/acc/econ</v>
      </c>
      <c r="AR465" t="s">
        <v>85</v>
      </c>
      <c r="AS465" t="s">
        <v>143</v>
      </c>
    </row>
    <row r="466" spans="1:45" x14ac:dyDescent="0.3">
      <c r="A466" t="s">
        <v>19</v>
      </c>
      <c r="B466">
        <v>465</v>
      </c>
      <c r="C466" s="1">
        <v>-4.8320630745229874E-2</v>
      </c>
      <c r="D466" s="2">
        <v>268</v>
      </c>
      <c r="E466" s="4">
        <v>1609</v>
      </c>
      <c r="F466" s="4" t="s">
        <v>347</v>
      </c>
      <c r="G466" s="4" t="s">
        <v>346</v>
      </c>
      <c r="H466" t="s">
        <v>77</v>
      </c>
      <c r="I466" t="s">
        <v>352</v>
      </c>
      <c r="J466" s="3">
        <v>2010</v>
      </c>
      <c r="K466" s="3">
        <v>2015</v>
      </c>
      <c r="L466" s="6">
        <f t="shared" si="151"/>
        <v>2012.5</v>
      </c>
      <c r="M466" s="6">
        <f t="shared" si="152"/>
        <v>2012.5</v>
      </c>
      <c r="N466" s="7">
        <f t="shared" si="140"/>
        <v>0</v>
      </c>
      <c r="O466" s="7">
        <f t="shared" si="141"/>
        <v>0</v>
      </c>
      <c r="P466" s="7">
        <f t="shared" si="142"/>
        <v>0</v>
      </c>
      <c r="Q466" s="7">
        <f t="shared" si="153"/>
        <v>0</v>
      </c>
      <c r="R466" s="10" t="str">
        <f t="shared" si="143"/>
        <v>0_Pre</v>
      </c>
      <c r="S466" s="10" t="str">
        <f t="shared" si="144"/>
        <v>0_Pre</v>
      </c>
      <c r="T466" s="10" t="str">
        <f t="shared" si="145"/>
        <v>0_Pre</v>
      </c>
      <c r="U466" s="10" t="str">
        <f t="shared" si="146"/>
        <v>0_Pre</v>
      </c>
      <c r="V466" s="10" t="str">
        <f t="shared" si="154"/>
        <v>0_Pre</v>
      </c>
      <c r="W466" s="10" t="str">
        <f t="shared" si="147"/>
        <v>clean_pre</v>
      </c>
      <c r="X466" s="10" t="str">
        <f t="shared" si="148"/>
        <v>0_Pre</v>
      </c>
      <c r="Y466" s="10" t="str">
        <f t="shared" si="149"/>
        <v>0_Pre</v>
      </c>
      <c r="Z466" s="10" t="str">
        <f t="shared" si="150"/>
        <v>0_Pre</v>
      </c>
      <c r="AA466" s="10" t="str">
        <f t="shared" si="155"/>
        <v>0_Pre</v>
      </c>
      <c r="AB466" s="10" t="str">
        <f t="shared" si="156"/>
        <v>0_Pre</v>
      </c>
      <c r="AC466" s="10" t="str">
        <f t="shared" si="157"/>
        <v>0_Pre</v>
      </c>
      <c r="AD466" s="10" t="str">
        <f t="shared" si="158"/>
        <v>2_post sample median</v>
      </c>
      <c r="AE466" s="10" t="str">
        <f t="shared" si="159"/>
        <v>2_in sample second tertile</v>
      </c>
      <c r="AF466" t="s">
        <v>80</v>
      </c>
      <c r="AG466" t="s">
        <v>75</v>
      </c>
      <c r="AH466" t="s">
        <v>78</v>
      </c>
      <c r="AI466" t="s">
        <v>122</v>
      </c>
      <c r="AJ466" t="s">
        <v>122</v>
      </c>
      <c r="AK466" t="str">
        <f>VLOOKUP(MID($AR466,1,255),country_lookup!$B:$F,2,FALSE)</f>
        <v>1_US</v>
      </c>
      <c r="AL466" t="str">
        <f>VLOOKUP(MID($AR466,1,255),country_lookup!$B:$F,3,FALSE)</f>
        <v>1_developed</v>
      </c>
      <c r="AM466" t="str">
        <f>VLOOKUP(MID($AR466,1,255),country_lookup!$B:$F,4,FALSE)</f>
        <v>1_western</v>
      </c>
      <c r="AN466" t="str">
        <f>VLOOKUP(MID($AR466,1,255),country_lookup!$B:$F,5,FALSE)</f>
        <v>1_common law</v>
      </c>
      <c r="AO466" s="10" t="str">
        <f>VLOOKUP(MID($AS466,1,255),source_lookup!$B:$K,4,FALSE)</f>
        <v>0_published</v>
      </c>
      <c r="AP466" s="10" t="str">
        <f>VLOOKUP(MID($AS466,1,255),source_lookup!$B:$K,6,FALSE)</f>
        <v>1_VHB high</v>
      </c>
      <c r="AQ466" s="10" t="str">
        <f>VLOOKUP(MID($AS466,1,255),source_lookup!$B:$K,10,FALSE)</f>
        <v>1_fin/acc/econ</v>
      </c>
      <c r="AR466" t="s">
        <v>85</v>
      </c>
      <c r="AS466" t="s">
        <v>143</v>
      </c>
    </row>
    <row r="467" spans="1:45" x14ac:dyDescent="0.3">
      <c r="A467" t="s">
        <v>19</v>
      </c>
      <c r="B467">
        <v>466</v>
      </c>
      <c r="C467" s="1">
        <v>-3.819283125220508E-2</v>
      </c>
      <c r="D467" s="2">
        <v>560</v>
      </c>
      <c r="E467" s="4">
        <v>5596</v>
      </c>
      <c r="F467" s="4" t="s">
        <v>347</v>
      </c>
      <c r="G467" s="4" t="s">
        <v>346</v>
      </c>
      <c r="H467" t="s">
        <v>77</v>
      </c>
      <c r="I467" t="s">
        <v>352</v>
      </c>
      <c r="J467" s="3">
        <v>2006</v>
      </c>
      <c r="K467" s="3">
        <v>2015</v>
      </c>
      <c r="L467" s="6">
        <f t="shared" si="151"/>
        <v>2010.5</v>
      </c>
      <c r="M467" s="6">
        <f t="shared" si="152"/>
        <v>2010.5</v>
      </c>
      <c r="N467" s="7">
        <f t="shared" si="140"/>
        <v>0</v>
      </c>
      <c r="O467" s="7">
        <f t="shared" si="141"/>
        <v>0</v>
      </c>
      <c r="P467" s="7">
        <f t="shared" si="142"/>
        <v>0</v>
      </c>
      <c r="Q467" s="7">
        <f t="shared" si="153"/>
        <v>0</v>
      </c>
      <c r="R467" s="10" t="str">
        <f t="shared" si="143"/>
        <v>0_Pre</v>
      </c>
      <c r="S467" s="10" t="str">
        <f t="shared" si="144"/>
        <v>0_Pre</v>
      </c>
      <c r="T467" s="10" t="str">
        <f t="shared" si="145"/>
        <v>0_Pre</v>
      </c>
      <c r="U467" s="10" t="str">
        <f t="shared" si="146"/>
        <v>0_Pre</v>
      </c>
      <c r="V467" s="10" t="str">
        <f t="shared" si="154"/>
        <v>0_Pre</v>
      </c>
      <c r="W467" s="10" t="str">
        <f t="shared" si="147"/>
        <v>clean_pre</v>
      </c>
      <c r="X467" s="10" t="str">
        <f t="shared" si="148"/>
        <v>0_Pre</v>
      </c>
      <c r="Y467" s="10" t="str">
        <f t="shared" si="149"/>
        <v>0_Pre</v>
      </c>
      <c r="Z467" s="10" t="str">
        <f t="shared" si="150"/>
        <v>0_Pre</v>
      </c>
      <c r="AA467" s="10" t="str">
        <f t="shared" si="155"/>
        <v>0_Pre</v>
      </c>
      <c r="AB467" s="10" t="str">
        <f t="shared" si="156"/>
        <v>0_Pre</v>
      </c>
      <c r="AC467" s="10" t="str">
        <f t="shared" si="157"/>
        <v>0_Pre</v>
      </c>
      <c r="AD467" s="10" t="str">
        <f t="shared" si="158"/>
        <v>1_pre sample median</v>
      </c>
      <c r="AE467" s="10" t="str">
        <f t="shared" si="159"/>
        <v>1_pre sample first tertile</v>
      </c>
      <c r="AF467" t="s">
        <v>80</v>
      </c>
      <c r="AG467" t="s">
        <v>75</v>
      </c>
      <c r="AH467" t="s">
        <v>78</v>
      </c>
      <c r="AI467" t="s">
        <v>122</v>
      </c>
      <c r="AJ467" t="s">
        <v>123</v>
      </c>
      <c r="AK467" t="str">
        <f>VLOOKUP(MID($AR467,1,255),country_lookup!$B:$F,2,FALSE)</f>
        <v>1_US</v>
      </c>
      <c r="AL467" t="str">
        <f>VLOOKUP(MID($AR467,1,255),country_lookup!$B:$F,3,FALSE)</f>
        <v>1_developed</v>
      </c>
      <c r="AM467" t="str">
        <f>VLOOKUP(MID($AR467,1,255),country_lookup!$B:$F,4,FALSE)</f>
        <v>1_western</v>
      </c>
      <c r="AN467" t="str">
        <f>VLOOKUP(MID($AR467,1,255),country_lookup!$B:$F,5,FALSE)</f>
        <v>1_common law</v>
      </c>
      <c r="AO467" s="10" t="str">
        <f>VLOOKUP(MID($AS467,1,255),source_lookup!$B:$K,4,FALSE)</f>
        <v>0_published</v>
      </c>
      <c r="AP467" s="10" t="str">
        <f>VLOOKUP(MID($AS467,1,255),source_lookup!$B:$K,6,FALSE)</f>
        <v>1_VHB high</v>
      </c>
      <c r="AQ467" s="10" t="str">
        <f>VLOOKUP(MID($AS467,1,255),source_lookup!$B:$K,10,FALSE)</f>
        <v>1_fin/acc/econ</v>
      </c>
      <c r="AR467" t="s">
        <v>85</v>
      </c>
      <c r="AS467" t="s">
        <v>143</v>
      </c>
    </row>
    <row r="468" spans="1:45" x14ac:dyDescent="0.3">
      <c r="A468" t="s">
        <v>19</v>
      </c>
      <c r="B468">
        <v>467</v>
      </c>
      <c r="C468" s="1">
        <v>-1.4244402211800781E-3</v>
      </c>
      <c r="D468" s="2">
        <v>560</v>
      </c>
      <c r="E468" s="4">
        <v>5596</v>
      </c>
      <c r="F468" s="4" t="s">
        <v>347</v>
      </c>
      <c r="G468" s="4" t="s">
        <v>346</v>
      </c>
      <c r="H468" t="s">
        <v>77</v>
      </c>
      <c r="I468" t="s">
        <v>352</v>
      </c>
      <c r="J468" s="3">
        <v>2006</v>
      </c>
      <c r="K468" s="3">
        <v>2015</v>
      </c>
      <c r="L468" s="6">
        <f t="shared" si="151"/>
        <v>2010.5</v>
      </c>
      <c r="M468" s="6">
        <f t="shared" si="152"/>
        <v>2010.5</v>
      </c>
      <c r="N468" s="7">
        <f t="shared" si="140"/>
        <v>0</v>
      </c>
      <c r="O468" s="7">
        <f t="shared" si="141"/>
        <v>0</v>
      </c>
      <c r="P468" s="7">
        <f t="shared" si="142"/>
        <v>0</v>
      </c>
      <c r="Q468" s="7">
        <f t="shared" si="153"/>
        <v>0</v>
      </c>
      <c r="R468" s="10" t="str">
        <f t="shared" si="143"/>
        <v>0_Pre</v>
      </c>
      <c r="S468" s="10" t="str">
        <f t="shared" si="144"/>
        <v>0_Pre</v>
      </c>
      <c r="T468" s="10" t="str">
        <f t="shared" si="145"/>
        <v>0_Pre</v>
      </c>
      <c r="U468" s="10" t="str">
        <f t="shared" si="146"/>
        <v>0_Pre</v>
      </c>
      <c r="V468" s="10" t="str">
        <f t="shared" si="154"/>
        <v>0_Pre</v>
      </c>
      <c r="W468" s="10" t="str">
        <f t="shared" si="147"/>
        <v>clean_pre</v>
      </c>
      <c r="X468" s="10" t="str">
        <f t="shared" si="148"/>
        <v>0_Pre</v>
      </c>
      <c r="Y468" s="10" t="str">
        <f t="shared" si="149"/>
        <v>0_Pre</v>
      </c>
      <c r="Z468" s="10" t="str">
        <f t="shared" si="150"/>
        <v>0_Pre</v>
      </c>
      <c r="AA468" s="10" t="str">
        <f t="shared" si="155"/>
        <v>0_Pre</v>
      </c>
      <c r="AB468" s="10" t="str">
        <f t="shared" si="156"/>
        <v>0_Pre</v>
      </c>
      <c r="AC468" s="10" t="str">
        <f t="shared" si="157"/>
        <v>0_Pre</v>
      </c>
      <c r="AD468" s="10" t="str">
        <f t="shared" si="158"/>
        <v>1_pre sample median</v>
      </c>
      <c r="AE468" s="10" t="str">
        <f t="shared" si="159"/>
        <v>1_pre sample first tertile</v>
      </c>
      <c r="AF468" t="s">
        <v>80</v>
      </c>
      <c r="AG468" t="s">
        <v>75</v>
      </c>
      <c r="AH468" t="s">
        <v>78</v>
      </c>
      <c r="AI468" t="s">
        <v>122</v>
      </c>
      <c r="AJ468" t="s">
        <v>123</v>
      </c>
      <c r="AK468" t="str">
        <f>VLOOKUP(MID($AR468,1,255),country_lookup!$B:$F,2,FALSE)</f>
        <v>1_US</v>
      </c>
      <c r="AL468" t="str">
        <f>VLOOKUP(MID($AR468,1,255),country_lookup!$B:$F,3,FALSE)</f>
        <v>1_developed</v>
      </c>
      <c r="AM468" t="str">
        <f>VLOOKUP(MID($AR468,1,255),country_lookup!$B:$F,4,FALSE)</f>
        <v>1_western</v>
      </c>
      <c r="AN468" t="str">
        <f>VLOOKUP(MID($AR468,1,255),country_lookup!$B:$F,5,FALSE)</f>
        <v>1_common law</v>
      </c>
      <c r="AO468" s="10" t="str">
        <f>VLOOKUP(MID($AS468,1,255),source_lookup!$B:$K,4,FALSE)</f>
        <v>0_published</v>
      </c>
      <c r="AP468" s="10" t="str">
        <f>VLOOKUP(MID($AS468,1,255),source_lookup!$B:$K,6,FALSE)</f>
        <v>1_VHB high</v>
      </c>
      <c r="AQ468" s="10" t="str">
        <f>VLOOKUP(MID($AS468,1,255),source_lookup!$B:$K,10,FALSE)</f>
        <v>1_fin/acc/econ</v>
      </c>
      <c r="AR468" t="s">
        <v>85</v>
      </c>
      <c r="AS468" t="s">
        <v>143</v>
      </c>
    </row>
    <row r="469" spans="1:45" x14ac:dyDescent="0.3">
      <c r="A469" t="s">
        <v>19</v>
      </c>
      <c r="B469">
        <v>468</v>
      </c>
      <c r="C469" s="1">
        <v>-4.2784972954043349E-2</v>
      </c>
      <c r="D469" s="2">
        <v>289</v>
      </c>
      <c r="E469" s="4">
        <v>2889</v>
      </c>
      <c r="F469" s="4" t="s">
        <v>347</v>
      </c>
      <c r="G469" s="4" t="s">
        <v>346</v>
      </c>
      <c r="H469" t="s">
        <v>77</v>
      </c>
      <c r="I469" t="s">
        <v>352</v>
      </c>
      <c r="J469" s="3">
        <v>2006</v>
      </c>
      <c r="K469" s="3">
        <v>2015</v>
      </c>
      <c r="L469" s="6">
        <f t="shared" si="151"/>
        <v>2010.5</v>
      </c>
      <c r="M469" s="6">
        <f t="shared" si="152"/>
        <v>2010.5</v>
      </c>
      <c r="N469" s="7">
        <f t="shared" si="140"/>
        <v>0</v>
      </c>
      <c r="O469" s="7">
        <f t="shared" si="141"/>
        <v>0</v>
      </c>
      <c r="P469" s="7">
        <f t="shared" si="142"/>
        <v>0</v>
      </c>
      <c r="Q469" s="7">
        <f t="shared" si="153"/>
        <v>0</v>
      </c>
      <c r="R469" s="10" t="str">
        <f t="shared" si="143"/>
        <v>0_Pre</v>
      </c>
      <c r="S469" s="10" t="str">
        <f t="shared" si="144"/>
        <v>0_Pre</v>
      </c>
      <c r="T469" s="10" t="str">
        <f t="shared" si="145"/>
        <v>0_Pre</v>
      </c>
      <c r="U469" s="10" t="str">
        <f t="shared" si="146"/>
        <v>0_Pre</v>
      </c>
      <c r="V469" s="10" t="str">
        <f t="shared" si="154"/>
        <v>0_Pre</v>
      </c>
      <c r="W469" s="10" t="str">
        <f t="shared" si="147"/>
        <v>clean_pre</v>
      </c>
      <c r="X469" s="10" t="str">
        <f t="shared" si="148"/>
        <v>0_Pre</v>
      </c>
      <c r="Y469" s="10" t="str">
        <f t="shared" si="149"/>
        <v>0_Pre</v>
      </c>
      <c r="Z469" s="10" t="str">
        <f t="shared" si="150"/>
        <v>0_Pre</v>
      </c>
      <c r="AA469" s="10" t="str">
        <f t="shared" si="155"/>
        <v>0_Pre</v>
      </c>
      <c r="AB469" s="10" t="str">
        <f t="shared" si="156"/>
        <v>0_Pre</v>
      </c>
      <c r="AC469" s="10" t="str">
        <f t="shared" si="157"/>
        <v>0_Pre</v>
      </c>
      <c r="AD469" s="10" t="str">
        <f t="shared" si="158"/>
        <v>1_pre sample median</v>
      </c>
      <c r="AE469" s="10" t="str">
        <f t="shared" si="159"/>
        <v>1_pre sample first tertile</v>
      </c>
      <c r="AF469" t="s">
        <v>80</v>
      </c>
      <c r="AG469" t="s">
        <v>75</v>
      </c>
      <c r="AH469" t="s">
        <v>78</v>
      </c>
      <c r="AI469" t="s">
        <v>122</v>
      </c>
      <c r="AJ469" t="s">
        <v>123</v>
      </c>
      <c r="AK469" t="str">
        <f>VLOOKUP(MID($AR469,1,255),country_lookup!$B:$F,2,FALSE)</f>
        <v>1_US</v>
      </c>
      <c r="AL469" t="str">
        <f>VLOOKUP(MID($AR469,1,255),country_lookup!$B:$F,3,FALSE)</f>
        <v>1_developed</v>
      </c>
      <c r="AM469" t="str">
        <f>VLOOKUP(MID($AR469,1,255),country_lookup!$B:$F,4,FALSE)</f>
        <v>1_western</v>
      </c>
      <c r="AN469" t="str">
        <f>VLOOKUP(MID($AR469,1,255),country_lookup!$B:$F,5,FALSE)</f>
        <v>1_common law</v>
      </c>
      <c r="AO469" s="10" t="str">
        <f>VLOOKUP(MID($AS469,1,255),source_lookup!$B:$K,4,FALSE)</f>
        <v>0_published</v>
      </c>
      <c r="AP469" s="10" t="str">
        <f>VLOOKUP(MID($AS469,1,255),source_lookup!$B:$K,6,FALSE)</f>
        <v>1_VHB high</v>
      </c>
      <c r="AQ469" s="10" t="str">
        <f>VLOOKUP(MID($AS469,1,255),source_lookup!$B:$K,10,FALSE)</f>
        <v>1_fin/acc/econ</v>
      </c>
      <c r="AR469" t="s">
        <v>85</v>
      </c>
      <c r="AS469" t="s">
        <v>143</v>
      </c>
    </row>
    <row r="470" spans="1:45" x14ac:dyDescent="0.3">
      <c r="A470" t="s">
        <v>19</v>
      </c>
      <c r="B470">
        <v>469</v>
      </c>
      <c r="C470" s="1">
        <v>1.1275660956994251E-3</v>
      </c>
      <c r="D470" s="2">
        <v>289</v>
      </c>
      <c r="E470" s="4">
        <v>2889</v>
      </c>
      <c r="F470" s="4" t="s">
        <v>347</v>
      </c>
      <c r="G470" s="4" t="s">
        <v>346</v>
      </c>
      <c r="H470" t="s">
        <v>77</v>
      </c>
      <c r="I470" t="s">
        <v>352</v>
      </c>
      <c r="J470" s="3">
        <v>2006</v>
      </c>
      <c r="K470" s="3">
        <v>2015</v>
      </c>
      <c r="L470" s="6">
        <f t="shared" si="151"/>
        <v>2010.5</v>
      </c>
      <c r="M470" s="6">
        <f t="shared" si="152"/>
        <v>2010.5</v>
      </c>
      <c r="N470" s="7">
        <f t="shared" si="140"/>
        <v>0</v>
      </c>
      <c r="O470" s="7">
        <f t="shared" si="141"/>
        <v>0</v>
      </c>
      <c r="P470" s="7">
        <f t="shared" si="142"/>
        <v>0</v>
      </c>
      <c r="Q470" s="7">
        <f t="shared" si="153"/>
        <v>0</v>
      </c>
      <c r="R470" s="10" t="str">
        <f t="shared" si="143"/>
        <v>0_Pre</v>
      </c>
      <c r="S470" s="10" t="str">
        <f t="shared" si="144"/>
        <v>0_Pre</v>
      </c>
      <c r="T470" s="10" t="str">
        <f t="shared" si="145"/>
        <v>0_Pre</v>
      </c>
      <c r="U470" s="10" t="str">
        <f t="shared" si="146"/>
        <v>0_Pre</v>
      </c>
      <c r="V470" s="10" t="str">
        <f t="shared" si="154"/>
        <v>0_Pre</v>
      </c>
      <c r="W470" s="10" t="str">
        <f t="shared" si="147"/>
        <v>clean_pre</v>
      </c>
      <c r="X470" s="10" t="str">
        <f t="shared" si="148"/>
        <v>0_Pre</v>
      </c>
      <c r="Y470" s="10" t="str">
        <f t="shared" si="149"/>
        <v>0_Pre</v>
      </c>
      <c r="Z470" s="10" t="str">
        <f t="shared" si="150"/>
        <v>0_Pre</v>
      </c>
      <c r="AA470" s="10" t="str">
        <f t="shared" si="155"/>
        <v>0_Pre</v>
      </c>
      <c r="AB470" s="10" t="str">
        <f t="shared" si="156"/>
        <v>0_Pre</v>
      </c>
      <c r="AC470" s="10" t="str">
        <f t="shared" si="157"/>
        <v>0_Pre</v>
      </c>
      <c r="AD470" s="10" t="str">
        <f t="shared" si="158"/>
        <v>1_pre sample median</v>
      </c>
      <c r="AE470" s="10" t="str">
        <f t="shared" si="159"/>
        <v>1_pre sample first tertile</v>
      </c>
      <c r="AF470" t="s">
        <v>80</v>
      </c>
      <c r="AG470" t="s">
        <v>75</v>
      </c>
      <c r="AH470" t="s">
        <v>78</v>
      </c>
      <c r="AI470" t="s">
        <v>122</v>
      </c>
      <c r="AJ470" t="s">
        <v>123</v>
      </c>
      <c r="AK470" t="str">
        <f>VLOOKUP(MID($AR470,1,255),country_lookup!$B:$F,2,FALSE)</f>
        <v>1_US</v>
      </c>
      <c r="AL470" t="str">
        <f>VLOOKUP(MID($AR470,1,255),country_lookup!$B:$F,3,FALSE)</f>
        <v>1_developed</v>
      </c>
      <c r="AM470" t="str">
        <f>VLOOKUP(MID($AR470,1,255),country_lookup!$B:$F,4,FALSE)</f>
        <v>1_western</v>
      </c>
      <c r="AN470" t="str">
        <f>VLOOKUP(MID($AR470,1,255),country_lookup!$B:$F,5,FALSE)</f>
        <v>1_common law</v>
      </c>
      <c r="AO470" s="10" t="str">
        <f>VLOOKUP(MID($AS470,1,255),source_lookup!$B:$K,4,FALSE)</f>
        <v>0_published</v>
      </c>
      <c r="AP470" s="10" t="str">
        <f>VLOOKUP(MID($AS470,1,255),source_lookup!$B:$K,6,FALSE)</f>
        <v>1_VHB high</v>
      </c>
      <c r="AQ470" s="10" t="str">
        <f>VLOOKUP(MID($AS470,1,255),source_lookup!$B:$K,10,FALSE)</f>
        <v>1_fin/acc/econ</v>
      </c>
      <c r="AR470" t="s">
        <v>85</v>
      </c>
      <c r="AS470" t="s">
        <v>143</v>
      </c>
    </row>
    <row r="471" spans="1:45" x14ac:dyDescent="0.3">
      <c r="A471" t="s">
        <v>19</v>
      </c>
      <c r="B471">
        <v>470</v>
      </c>
      <c r="C471" s="1">
        <v>-4.209655666259355E-2</v>
      </c>
      <c r="D471" s="2">
        <v>548</v>
      </c>
      <c r="E471" s="4">
        <v>5480</v>
      </c>
      <c r="F471" s="4" t="s">
        <v>347</v>
      </c>
      <c r="G471" s="4" t="s">
        <v>346</v>
      </c>
      <c r="H471" t="s">
        <v>77</v>
      </c>
      <c r="I471" t="s">
        <v>352</v>
      </c>
      <c r="J471" s="3">
        <v>2006</v>
      </c>
      <c r="K471" s="3">
        <v>2015</v>
      </c>
      <c r="L471" s="6">
        <f t="shared" si="151"/>
        <v>2010.5</v>
      </c>
      <c r="M471" s="6">
        <f t="shared" si="152"/>
        <v>2010.5</v>
      </c>
      <c r="N471" s="7">
        <f t="shared" si="140"/>
        <v>0</v>
      </c>
      <c r="O471" s="7">
        <f t="shared" si="141"/>
        <v>0</v>
      </c>
      <c r="P471" s="7">
        <f t="shared" si="142"/>
        <v>0</v>
      </c>
      <c r="Q471" s="7">
        <f t="shared" si="153"/>
        <v>0</v>
      </c>
      <c r="R471" s="10" t="str">
        <f t="shared" si="143"/>
        <v>0_Pre</v>
      </c>
      <c r="S471" s="10" t="str">
        <f t="shared" si="144"/>
        <v>0_Pre</v>
      </c>
      <c r="T471" s="10" t="str">
        <f t="shared" si="145"/>
        <v>0_Pre</v>
      </c>
      <c r="U471" s="10" t="str">
        <f t="shared" si="146"/>
        <v>0_Pre</v>
      </c>
      <c r="V471" s="10" t="str">
        <f t="shared" si="154"/>
        <v>0_Pre</v>
      </c>
      <c r="W471" s="10" t="str">
        <f t="shared" si="147"/>
        <v>clean_pre</v>
      </c>
      <c r="X471" s="10" t="str">
        <f t="shared" si="148"/>
        <v>0_Pre</v>
      </c>
      <c r="Y471" s="10" t="str">
        <f t="shared" si="149"/>
        <v>0_Pre</v>
      </c>
      <c r="Z471" s="10" t="str">
        <f t="shared" si="150"/>
        <v>0_Pre</v>
      </c>
      <c r="AA471" s="10" t="str">
        <f t="shared" si="155"/>
        <v>0_Pre</v>
      </c>
      <c r="AB471" s="10" t="str">
        <f t="shared" si="156"/>
        <v>0_Pre</v>
      </c>
      <c r="AC471" s="10" t="str">
        <f t="shared" si="157"/>
        <v>0_Pre</v>
      </c>
      <c r="AD471" s="10" t="str">
        <f t="shared" si="158"/>
        <v>1_pre sample median</v>
      </c>
      <c r="AE471" s="10" t="str">
        <f t="shared" si="159"/>
        <v>1_pre sample first tertile</v>
      </c>
      <c r="AF471" t="s">
        <v>80</v>
      </c>
      <c r="AG471" t="s">
        <v>75</v>
      </c>
      <c r="AH471" t="s">
        <v>78</v>
      </c>
      <c r="AI471" t="s">
        <v>122</v>
      </c>
      <c r="AJ471" t="s">
        <v>123</v>
      </c>
      <c r="AK471" t="str">
        <f>VLOOKUP(MID($AR471,1,255),country_lookup!$B:$F,2,FALSE)</f>
        <v>1_US</v>
      </c>
      <c r="AL471" t="str">
        <f>VLOOKUP(MID($AR471,1,255),country_lookup!$B:$F,3,FALSE)</f>
        <v>1_developed</v>
      </c>
      <c r="AM471" t="str">
        <f>VLOOKUP(MID($AR471,1,255),country_lookup!$B:$F,4,FALSE)</f>
        <v>1_western</v>
      </c>
      <c r="AN471" t="str">
        <f>VLOOKUP(MID($AR471,1,255),country_lookup!$B:$F,5,FALSE)</f>
        <v>1_common law</v>
      </c>
      <c r="AO471" s="10" t="str">
        <f>VLOOKUP(MID($AS471,1,255),source_lookup!$B:$K,4,FALSE)</f>
        <v>0_published</v>
      </c>
      <c r="AP471" s="10" t="str">
        <f>VLOOKUP(MID($AS471,1,255),source_lookup!$B:$K,6,FALSE)</f>
        <v>1_VHB high</v>
      </c>
      <c r="AQ471" s="10" t="str">
        <f>VLOOKUP(MID($AS471,1,255),source_lookup!$B:$K,10,FALSE)</f>
        <v>1_fin/acc/econ</v>
      </c>
      <c r="AR471" t="s">
        <v>85</v>
      </c>
      <c r="AS471" t="s">
        <v>143</v>
      </c>
    </row>
    <row r="472" spans="1:45" x14ac:dyDescent="0.3">
      <c r="A472" t="s">
        <v>19</v>
      </c>
      <c r="B472">
        <v>471</v>
      </c>
      <c r="C472" s="1">
        <v>-2.3022809676239289E-2</v>
      </c>
      <c r="D472" s="2">
        <v>548</v>
      </c>
      <c r="E472" s="4">
        <v>5480</v>
      </c>
      <c r="F472" s="4" t="s">
        <v>347</v>
      </c>
      <c r="G472" s="4" t="s">
        <v>346</v>
      </c>
      <c r="H472" t="s">
        <v>77</v>
      </c>
      <c r="I472" t="s">
        <v>352</v>
      </c>
      <c r="J472" s="3">
        <v>2006</v>
      </c>
      <c r="K472" s="3">
        <v>2015</v>
      </c>
      <c r="L472" s="6">
        <f t="shared" si="151"/>
        <v>2010.5</v>
      </c>
      <c r="M472" s="6">
        <f t="shared" si="152"/>
        <v>2010.5</v>
      </c>
      <c r="N472" s="7">
        <f t="shared" si="140"/>
        <v>0</v>
      </c>
      <c r="O472" s="7">
        <f t="shared" si="141"/>
        <v>0</v>
      </c>
      <c r="P472" s="7">
        <f t="shared" si="142"/>
        <v>0</v>
      </c>
      <c r="Q472" s="7">
        <f t="shared" si="153"/>
        <v>0</v>
      </c>
      <c r="R472" s="10" t="str">
        <f t="shared" si="143"/>
        <v>0_Pre</v>
      </c>
      <c r="S472" s="10" t="str">
        <f t="shared" si="144"/>
        <v>0_Pre</v>
      </c>
      <c r="T472" s="10" t="str">
        <f t="shared" si="145"/>
        <v>0_Pre</v>
      </c>
      <c r="U472" s="10" t="str">
        <f t="shared" si="146"/>
        <v>0_Pre</v>
      </c>
      <c r="V472" s="10" t="str">
        <f t="shared" si="154"/>
        <v>0_Pre</v>
      </c>
      <c r="W472" s="10" t="str">
        <f t="shared" si="147"/>
        <v>clean_pre</v>
      </c>
      <c r="X472" s="10" t="str">
        <f t="shared" si="148"/>
        <v>0_Pre</v>
      </c>
      <c r="Y472" s="10" t="str">
        <f t="shared" si="149"/>
        <v>0_Pre</v>
      </c>
      <c r="Z472" s="10" t="str">
        <f t="shared" si="150"/>
        <v>0_Pre</v>
      </c>
      <c r="AA472" s="10" t="str">
        <f t="shared" si="155"/>
        <v>0_Pre</v>
      </c>
      <c r="AB472" s="10" t="str">
        <f t="shared" si="156"/>
        <v>0_Pre</v>
      </c>
      <c r="AC472" s="10" t="str">
        <f t="shared" si="157"/>
        <v>0_Pre</v>
      </c>
      <c r="AD472" s="10" t="str">
        <f t="shared" si="158"/>
        <v>1_pre sample median</v>
      </c>
      <c r="AE472" s="10" t="str">
        <f t="shared" si="159"/>
        <v>1_pre sample first tertile</v>
      </c>
      <c r="AF472" t="s">
        <v>80</v>
      </c>
      <c r="AG472" t="s">
        <v>75</v>
      </c>
      <c r="AH472" t="s">
        <v>78</v>
      </c>
      <c r="AI472" t="s">
        <v>122</v>
      </c>
      <c r="AJ472" t="s">
        <v>123</v>
      </c>
      <c r="AK472" t="str">
        <f>VLOOKUP(MID($AR472,1,255),country_lookup!$B:$F,2,FALSE)</f>
        <v>1_US</v>
      </c>
      <c r="AL472" t="str">
        <f>VLOOKUP(MID($AR472,1,255),country_lookup!$B:$F,3,FALSE)</f>
        <v>1_developed</v>
      </c>
      <c r="AM472" t="str">
        <f>VLOOKUP(MID($AR472,1,255),country_lookup!$B:$F,4,FALSE)</f>
        <v>1_western</v>
      </c>
      <c r="AN472" t="str">
        <f>VLOOKUP(MID($AR472,1,255),country_lookup!$B:$F,5,FALSE)</f>
        <v>1_common law</v>
      </c>
      <c r="AO472" s="10" t="str">
        <f>VLOOKUP(MID($AS472,1,255),source_lookup!$B:$K,4,FALSE)</f>
        <v>0_published</v>
      </c>
      <c r="AP472" s="10" t="str">
        <f>VLOOKUP(MID($AS472,1,255),source_lookup!$B:$K,6,FALSE)</f>
        <v>1_VHB high</v>
      </c>
      <c r="AQ472" s="10" t="str">
        <f>VLOOKUP(MID($AS472,1,255),source_lookup!$B:$K,10,FALSE)</f>
        <v>1_fin/acc/econ</v>
      </c>
      <c r="AR472" t="s">
        <v>85</v>
      </c>
      <c r="AS472" t="s">
        <v>143</v>
      </c>
    </row>
    <row r="473" spans="1:45" x14ac:dyDescent="0.3">
      <c r="A473" t="s">
        <v>19</v>
      </c>
      <c r="B473">
        <v>472</v>
      </c>
      <c r="C473" s="1">
        <v>-5.1024624074025533E-2</v>
      </c>
      <c r="D473" s="2">
        <v>284</v>
      </c>
      <c r="E473" s="4">
        <v>2838</v>
      </c>
      <c r="F473" s="4" t="s">
        <v>347</v>
      </c>
      <c r="G473" s="4" t="s">
        <v>346</v>
      </c>
      <c r="H473" t="s">
        <v>77</v>
      </c>
      <c r="I473" t="s">
        <v>352</v>
      </c>
      <c r="J473" s="3">
        <v>2006</v>
      </c>
      <c r="K473" s="3">
        <v>2015</v>
      </c>
      <c r="L473" s="6">
        <f t="shared" si="151"/>
        <v>2010.5</v>
      </c>
      <c r="M473" s="6">
        <f t="shared" si="152"/>
        <v>2010.5</v>
      </c>
      <c r="N473" s="7">
        <f t="shared" si="140"/>
        <v>0</v>
      </c>
      <c r="O473" s="7">
        <f t="shared" si="141"/>
        <v>0</v>
      </c>
      <c r="P473" s="7">
        <f t="shared" si="142"/>
        <v>0</v>
      </c>
      <c r="Q473" s="7">
        <f t="shared" si="153"/>
        <v>0</v>
      </c>
      <c r="R473" s="10" t="str">
        <f t="shared" si="143"/>
        <v>0_Pre</v>
      </c>
      <c r="S473" s="10" t="str">
        <f t="shared" si="144"/>
        <v>0_Pre</v>
      </c>
      <c r="T473" s="10" t="str">
        <f t="shared" si="145"/>
        <v>0_Pre</v>
      </c>
      <c r="U473" s="10" t="str">
        <f t="shared" si="146"/>
        <v>0_Pre</v>
      </c>
      <c r="V473" s="10" t="str">
        <f t="shared" si="154"/>
        <v>0_Pre</v>
      </c>
      <c r="W473" s="10" t="str">
        <f t="shared" si="147"/>
        <v>clean_pre</v>
      </c>
      <c r="X473" s="10" t="str">
        <f t="shared" si="148"/>
        <v>0_Pre</v>
      </c>
      <c r="Y473" s="10" t="str">
        <f t="shared" si="149"/>
        <v>0_Pre</v>
      </c>
      <c r="Z473" s="10" t="str">
        <f t="shared" si="150"/>
        <v>0_Pre</v>
      </c>
      <c r="AA473" s="10" t="str">
        <f t="shared" si="155"/>
        <v>0_Pre</v>
      </c>
      <c r="AB473" s="10" t="str">
        <f t="shared" si="156"/>
        <v>0_Pre</v>
      </c>
      <c r="AC473" s="10" t="str">
        <f t="shared" si="157"/>
        <v>0_Pre</v>
      </c>
      <c r="AD473" s="10" t="str">
        <f t="shared" si="158"/>
        <v>1_pre sample median</v>
      </c>
      <c r="AE473" s="10" t="str">
        <f t="shared" si="159"/>
        <v>1_pre sample first tertile</v>
      </c>
      <c r="AF473" t="s">
        <v>80</v>
      </c>
      <c r="AG473" t="s">
        <v>75</v>
      </c>
      <c r="AH473" t="s">
        <v>78</v>
      </c>
      <c r="AI473" t="s">
        <v>122</v>
      </c>
      <c r="AJ473" t="s">
        <v>123</v>
      </c>
      <c r="AK473" t="str">
        <f>VLOOKUP(MID($AR473,1,255),country_lookup!$B:$F,2,FALSE)</f>
        <v>1_US</v>
      </c>
      <c r="AL473" t="str">
        <f>VLOOKUP(MID($AR473,1,255),country_lookup!$B:$F,3,FALSE)</f>
        <v>1_developed</v>
      </c>
      <c r="AM473" t="str">
        <f>VLOOKUP(MID($AR473,1,255),country_lookup!$B:$F,4,FALSE)</f>
        <v>1_western</v>
      </c>
      <c r="AN473" t="str">
        <f>VLOOKUP(MID($AR473,1,255),country_lookup!$B:$F,5,FALSE)</f>
        <v>1_common law</v>
      </c>
      <c r="AO473" s="10" t="str">
        <f>VLOOKUP(MID($AS473,1,255),source_lookup!$B:$K,4,FALSE)</f>
        <v>0_published</v>
      </c>
      <c r="AP473" s="10" t="str">
        <f>VLOOKUP(MID($AS473,1,255),source_lookup!$B:$K,6,FALSE)</f>
        <v>1_VHB high</v>
      </c>
      <c r="AQ473" s="10" t="str">
        <f>VLOOKUP(MID($AS473,1,255),source_lookup!$B:$K,10,FALSE)</f>
        <v>1_fin/acc/econ</v>
      </c>
      <c r="AR473" t="s">
        <v>85</v>
      </c>
      <c r="AS473" t="s">
        <v>143</v>
      </c>
    </row>
    <row r="474" spans="1:45" x14ac:dyDescent="0.3">
      <c r="A474" t="s">
        <v>19</v>
      </c>
      <c r="B474">
        <v>473</v>
      </c>
      <c r="C474" s="1">
        <v>-2.8388200812719356E-2</v>
      </c>
      <c r="D474" s="2">
        <v>284</v>
      </c>
      <c r="E474" s="4">
        <v>2838</v>
      </c>
      <c r="F474" s="4" t="s">
        <v>347</v>
      </c>
      <c r="G474" s="4" t="s">
        <v>346</v>
      </c>
      <c r="H474" t="s">
        <v>77</v>
      </c>
      <c r="I474" t="s">
        <v>352</v>
      </c>
      <c r="J474" s="3">
        <v>2006</v>
      </c>
      <c r="K474" s="3">
        <v>2015</v>
      </c>
      <c r="L474" s="6">
        <f t="shared" si="151"/>
        <v>2010.5</v>
      </c>
      <c r="M474" s="6">
        <f t="shared" si="152"/>
        <v>2010.5</v>
      </c>
      <c r="N474" s="7">
        <f t="shared" si="140"/>
        <v>0</v>
      </c>
      <c r="O474" s="7">
        <f t="shared" si="141"/>
        <v>0</v>
      </c>
      <c r="P474" s="7">
        <f t="shared" si="142"/>
        <v>0</v>
      </c>
      <c r="Q474" s="7">
        <f t="shared" si="153"/>
        <v>0</v>
      </c>
      <c r="R474" s="10" t="str">
        <f t="shared" si="143"/>
        <v>0_Pre</v>
      </c>
      <c r="S474" s="10" t="str">
        <f t="shared" si="144"/>
        <v>0_Pre</v>
      </c>
      <c r="T474" s="10" t="str">
        <f t="shared" si="145"/>
        <v>0_Pre</v>
      </c>
      <c r="U474" s="10" t="str">
        <f t="shared" si="146"/>
        <v>0_Pre</v>
      </c>
      <c r="V474" s="10" t="str">
        <f t="shared" si="154"/>
        <v>0_Pre</v>
      </c>
      <c r="W474" s="10" t="str">
        <f t="shared" si="147"/>
        <v>clean_pre</v>
      </c>
      <c r="X474" s="10" t="str">
        <f t="shared" si="148"/>
        <v>0_Pre</v>
      </c>
      <c r="Y474" s="10" t="str">
        <f t="shared" si="149"/>
        <v>0_Pre</v>
      </c>
      <c r="Z474" s="10" t="str">
        <f t="shared" si="150"/>
        <v>0_Pre</v>
      </c>
      <c r="AA474" s="10" t="str">
        <f t="shared" si="155"/>
        <v>0_Pre</v>
      </c>
      <c r="AB474" s="10" t="str">
        <f t="shared" si="156"/>
        <v>0_Pre</v>
      </c>
      <c r="AC474" s="10" t="str">
        <f t="shared" si="157"/>
        <v>0_Pre</v>
      </c>
      <c r="AD474" s="10" t="str">
        <f t="shared" si="158"/>
        <v>1_pre sample median</v>
      </c>
      <c r="AE474" s="10" t="str">
        <f t="shared" si="159"/>
        <v>1_pre sample first tertile</v>
      </c>
      <c r="AF474" t="s">
        <v>80</v>
      </c>
      <c r="AG474" t="s">
        <v>75</v>
      </c>
      <c r="AH474" t="s">
        <v>78</v>
      </c>
      <c r="AI474" t="s">
        <v>122</v>
      </c>
      <c r="AJ474" t="s">
        <v>123</v>
      </c>
      <c r="AK474" t="str">
        <f>VLOOKUP(MID($AR474,1,255),country_lookup!$B:$F,2,FALSE)</f>
        <v>1_US</v>
      </c>
      <c r="AL474" t="str">
        <f>VLOOKUP(MID($AR474,1,255),country_lookup!$B:$F,3,FALSE)</f>
        <v>1_developed</v>
      </c>
      <c r="AM474" t="str">
        <f>VLOOKUP(MID($AR474,1,255),country_lookup!$B:$F,4,FALSE)</f>
        <v>1_western</v>
      </c>
      <c r="AN474" t="str">
        <f>VLOOKUP(MID($AR474,1,255),country_lookup!$B:$F,5,FALSE)</f>
        <v>1_common law</v>
      </c>
      <c r="AO474" s="10" t="str">
        <f>VLOOKUP(MID($AS474,1,255),source_lookup!$B:$K,4,FALSE)</f>
        <v>0_published</v>
      </c>
      <c r="AP474" s="10" t="str">
        <f>VLOOKUP(MID($AS474,1,255),source_lookup!$B:$K,6,FALSE)</f>
        <v>1_VHB high</v>
      </c>
      <c r="AQ474" s="10" t="str">
        <f>VLOOKUP(MID($AS474,1,255),source_lookup!$B:$K,10,FALSE)</f>
        <v>1_fin/acc/econ</v>
      </c>
      <c r="AR474" t="s">
        <v>85</v>
      </c>
      <c r="AS474" t="s">
        <v>143</v>
      </c>
    </row>
    <row r="475" spans="1:45" x14ac:dyDescent="0.3">
      <c r="A475" t="s">
        <v>19</v>
      </c>
      <c r="B475">
        <v>474</v>
      </c>
      <c r="C475" s="1">
        <v>-4.2738991323720846E-2</v>
      </c>
      <c r="D475" s="2">
        <v>284</v>
      </c>
      <c r="E475" s="4">
        <v>2838</v>
      </c>
      <c r="F475" s="4" t="s">
        <v>347</v>
      </c>
      <c r="G475" s="4" t="s">
        <v>346</v>
      </c>
      <c r="H475" t="s">
        <v>77</v>
      </c>
      <c r="I475" t="s">
        <v>352</v>
      </c>
      <c r="J475" s="3">
        <v>2006</v>
      </c>
      <c r="K475" s="3">
        <v>2015</v>
      </c>
      <c r="L475" s="6">
        <f t="shared" si="151"/>
        <v>2010.5</v>
      </c>
      <c r="M475" s="6">
        <f t="shared" si="152"/>
        <v>2010.5</v>
      </c>
      <c r="N475" s="7">
        <f t="shared" si="140"/>
        <v>0</v>
      </c>
      <c r="O475" s="7">
        <f t="shared" si="141"/>
        <v>0</v>
      </c>
      <c r="P475" s="7">
        <f t="shared" si="142"/>
        <v>0</v>
      </c>
      <c r="Q475" s="7">
        <f t="shared" si="153"/>
        <v>0</v>
      </c>
      <c r="R475" s="10" t="str">
        <f t="shared" si="143"/>
        <v>0_Pre</v>
      </c>
      <c r="S475" s="10" t="str">
        <f t="shared" si="144"/>
        <v>0_Pre</v>
      </c>
      <c r="T475" s="10" t="str">
        <f t="shared" si="145"/>
        <v>0_Pre</v>
      </c>
      <c r="U475" s="10" t="str">
        <f t="shared" si="146"/>
        <v>0_Pre</v>
      </c>
      <c r="V475" s="10" t="str">
        <f t="shared" si="154"/>
        <v>0_Pre</v>
      </c>
      <c r="W475" s="10" t="str">
        <f t="shared" si="147"/>
        <v>clean_pre</v>
      </c>
      <c r="X475" s="10" t="str">
        <f t="shared" si="148"/>
        <v>0_Pre</v>
      </c>
      <c r="Y475" s="10" t="str">
        <f t="shared" si="149"/>
        <v>0_Pre</v>
      </c>
      <c r="Z475" s="10" t="str">
        <f t="shared" si="150"/>
        <v>0_Pre</v>
      </c>
      <c r="AA475" s="10" t="str">
        <f t="shared" si="155"/>
        <v>0_Pre</v>
      </c>
      <c r="AB475" s="10" t="str">
        <f t="shared" si="156"/>
        <v>0_Pre</v>
      </c>
      <c r="AC475" s="10" t="str">
        <f t="shared" si="157"/>
        <v>0_Pre</v>
      </c>
      <c r="AD475" s="10" t="str">
        <f t="shared" si="158"/>
        <v>1_pre sample median</v>
      </c>
      <c r="AE475" s="10" t="str">
        <f t="shared" si="159"/>
        <v>1_pre sample first tertile</v>
      </c>
      <c r="AF475" t="s">
        <v>80</v>
      </c>
      <c r="AG475" t="s">
        <v>75</v>
      </c>
      <c r="AH475" t="s">
        <v>78</v>
      </c>
      <c r="AI475" t="s">
        <v>122</v>
      </c>
      <c r="AJ475" t="s">
        <v>123</v>
      </c>
      <c r="AK475" t="str">
        <f>VLOOKUP(MID($AR475,1,255),country_lookup!$B:$F,2,FALSE)</f>
        <v>1_US</v>
      </c>
      <c r="AL475" t="str">
        <f>VLOOKUP(MID($AR475,1,255),country_lookup!$B:$F,3,FALSE)</f>
        <v>1_developed</v>
      </c>
      <c r="AM475" t="str">
        <f>VLOOKUP(MID($AR475,1,255),country_lookup!$B:$F,4,FALSE)</f>
        <v>1_western</v>
      </c>
      <c r="AN475" t="str">
        <f>VLOOKUP(MID($AR475,1,255),country_lookup!$B:$F,5,FALSE)</f>
        <v>1_common law</v>
      </c>
      <c r="AO475" s="10" t="str">
        <f>VLOOKUP(MID($AS475,1,255),source_lookup!$B:$K,4,FALSE)</f>
        <v>0_published</v>
      </c>
      <c r="AP475" s="10" t="str">
        <f>VLOOKUP(MID($AS475,1,255),source_lookup!$B:$K,6,FALSE)</f>
        <v>1_VHB high</v>
      </c>
      <c r="AQ475" s="10" t="str">
        <f>VLOOKUP(MID($AS475,1,255),source_lookup!$B:$K,10,FALSE)</f>
        <v>1_fin/acc/econ</v>
      </c>
      <c r="AR475" t="s">
        <v>85</v>
      </c>
      <c r="AS475" t="s">
        <v>143</v>
      </c>
    </row>
    <row r="476" spans="1:45" x14ac:dyDescent="0.3">
      <c r="A476" t="s">
        <v>19</v>
      </c>
      <c r="B476">
        <v>475</v>
      </c>
      <c r="C476" s="1">
        <v>-1.3725719579964272E-2</v>
      </c>
      <c r="D476" s="2">
        <v>284</v>
      </c>
      <c r="E476" s="4">
        <v>2838</v>
      </c>
      <c r="F476" s="4" t="s">
        <v>347</v>
      </c>
      <c r="G476" s="4" t="s">
        <v>346</v>
      </c>
      <c r="H476" t="s">
        <v>77</v>
      </c>
      <c r="I476" t="s">
        <v>352</v>
      </c>
      <c r="J476" s="3">
        <v>2006</v>
      </c>
      <c r="K476" s="3">
        <v>2015</v>
      </c>
      <c r="L476" s="6">
        <f t="shared" si="151"/>
        <v>2010.5</v>
      </c>
      <c r="M476" s="6">
        <f t="shared" si="152"/>
        <v>2010.5</v>
      </c>
      <c r="N476" s="7">
        <f t="shared" si="140"/>
        <v>0</v>
      </c>
      <c r="O476" s="7">
        <f t="shared" si="141"/>
        <v>0</v>
      </c>
      <c r="P476" s="7">
        <f t="shared" si="142"/>
        <v>0</v>
      </c>
      <c r="Q476" s="7">
        <f t="shared" si="153"/>
        <v>0</v>
      </c>
      <c r="R476" s="10" t="str">
        <f t="shared" si="143"/>
        <v>0_Pre</v>
      </c>
      <c r="S476" s="10" t="str">
        <f t="shared" si="144"/>
        <v>0_Pre</v>
      </c>
      <c r="T476" s="10" t="str">
        <f t="shared" si="145"/>
        <v>0_Pre</v>
      </c>
      <c r="U476" s="10" t="str">
        <f t="shared" si="146"/>
        <v>0_Pre</v>
      </c>
      <c r="V476" s="10" t="str">
        <f t="shared" si="154"/>
        <v>0_Pre</v>
      </c>
      <c r="W476" s="10" t="str">
        <f t="shared" si="147"/>
        <v>clean_pre</v>
      </c>
      <c r="X476" s="10" t="str">
        <f t="shared" si="148"/>
        <v>0_Pre</v>
      </c>
      <c r="Y476" s="10" t="str">
        <f t="shared" si="149"/>
        <v>0_Pre</v>
      </c>
      <c r="Z476" s="10" t="str">
        <f t="shared" si="150"/>
        <v>0_Pre</v>
      </c>
      <c r="AA476" s="10" t="str">
        <f t="shared" si="155"/>
        <v>0_Pre</v>
      </c>
      <c r="AB476" s="10" t="str">
        <f t="shared" si="156"/>
        <v>0_Pre</v>
      </c>
      <c r="AC476" s="10" t="str">
        <f t="shared" si="157"/>
        <v>0_Pre</v>
      </c>
      <c r="AD476" s="10" t="str">
        <f t="shared" si="158"/>
        <v>1_pre sample median</v>
      </c>
      <c r="AE476" s="10" t="str">
        <f t="shared" si="159"/>
        <v>1_pre sample first tertile</v>
      </c>
      <c r="AF476" t="s">
        <v>80</v>
      </c>
      <c r="AG476" t="s">
        <v>75</v>
      </c>
      <c r="AH476" t="s">
        <v>78</v>
      </c>
      <c r="AI476" t="s">
        <v>122</v>
      </c>
      <c r="AJ476" t="s">
        <v>123</v>
      </c>
      <c r="AK476" t="str">
        <f>VLOOKUP(MID($AR476,1,255),country_lookup!$B:$F,2,FALSE)</f>
        <v>1_US</v>
      </c>
      <c r="AL476" t="str">
        <f>VLOOKUP(MID($AR476,1,255),country_lookup!$B:$F,3,FALSE)</f>
        <v>1_developed</v>
      </c>
      <c r="AM476" t="str">
        <f>VLOOKUP(MID($AR476,1,255),country_lookup!$B:$F,4,FALSE)</f>
        <v>1_western</v>
      </c>
      <c r="AN476" t="str">
        <f>VLOOKUP(MID($AR476,1,255),country_lookup!$B:$F,5,FALSE)</f>
        <v>1_common law</v>
      </c>
      <c r="AO476" s="10" t="str">
        <f>VLOOKUP(MID($AS476,1,255),source_lookup!$B:$K,4,FALSE)</f>
        <v>0_published</v>
      </c>
      <c r="AP476" s="10" t="str">
        <f>VLOOKUP(MID($AS476,1,255),source_lookup!$B:$K,6,FALSE)</f>
        <v>1_VHB high</v>
      </c>
      <c r="AQ476" s="10" t="str">
        <f>VLOOKUP(MID($AS476,1,255),source_lookup!$B:$K,10,FALSE)</f>
        <v>1_fin/acc/econ</v>
      </c>
      <c r="AR476" t="s">
        <v>85</v>
      </c>
      <c r="AS476" t="s">
        <v>143</v>
      </c>
    </row>
    <row r="477" spans="1:45" x14ac:dyDescent="0.3">
      <c r="A477" t="s">
        <v>19</v>
      </c>
      <c r="B477">
        <v>476</v>
      </c>
      <c r="C477" s="1">
        <v>-5.3488909777728209E-2</v>
      </c>
      <c r="D477" s="2">
        <v>163</v>
      </c>
      <c r="E477" s="4">
        <v>1628</v>
      </c>
      <c r="F477" s="4" t="s">
        <v>347</v>
      </c>
      <c r="G477" s="4" t="s">
        <v>346</v>
      </c>
      <c r="H477" t="s">
        <v>77</v>
      </c>
      <c r="I477" t="s">
        <v>352</v>
      </c>
      <c r="J477" s="3">
        <v>2006</v>
      </c>
      <c r="K477" s="3">
        <v>2015</v>
      </c>
      <c r="L477" s="6">
        <f t="shared" si="151"/>
        <v>2010.5</v>
      </c>
      <c r="M477" s="6">
        <f t="shared" si="152"/>
        <v>2010.5</v>
      </c>
      <c r="N477" s="7">
        <f t="shared" si="140"/>
        <v>0</v>
      </c>
      <c r="O477" s="7">
        <f t="shared" si="141"/>
        <v>0</v>
      </c>
      <c r="P477" s="7">
        <f t="shared" si="142"/>
        <v>0</v>
      </c>
      <c r="Q477" s="7">
        <f t="shared" si="153"/>
        <v>0</v>
      </c>
      <c r="R477" s="10" t="str">
        <f t="shared" si="143"/>
        <v>0_Pre</v>
      </c>
      <c r="S477" s="10" t="str">
        <f t="shared" si="144"/>
        <v>0_Pre</v>
      </c>
      <c r="T477" s="10" t="str">
        <f t="shared" si="145"/>
        <v>0_Pre</v>
      </c>
      <c r="U477" s="10" t="str">
        <f t="shared" si="146"/>
        <v>0_Pre</v>
      </c>
      <c r="V477" s="10" t="str">
        <f t="shared" si="154"/>
        <v>0_Pre</v>
      </c>
      <c r="W477" s="10" t="str">
        <f t="shared" si="147"/>
        <v>clean_pre</v>
      </c>
      <c r="X477" s="10" t="str">
        <f t="shared" si="148"/>
        <v>0_Pre</v>
      </c>
      <c r="Y477" s="10" t="str">
        <f t="shared" si="149"/>
        <v>0_Pre</v>
      </c>
      <c r="Z477" s="10" t="str">
        <f t="shared" si="150"/>
        <v>0_Pre</v>
      </c>
      <c r="AA477" s="10" t="str">
        <f t="shared" si="155"/>
        <v>0_Pre</v>
      </c>
      <c r="AB477" s="10" t="str">
        <f t="shared" si="156"/>
        <v>0_Pre</v>
      </c>
      <c r="AC477" s="10" t="str">
        <f t="shared" si="157"/>
        <v>0_Pre</v>
      </c>
      <c r="AD477" s="10" t="str">
        <f t="shared" si="158"/>
        <v>1_pre sample median</v>
      </c>
      <c r="AE477" s="10" t="str">
        <f t="shared" si="159"/>
        <v>1_pre sample first tertile</v>
      </c>
      <c r="AF477" t="s">
        <v>80</v>
      </c>
      <c r="AG477" t="s">
        <v>75</v>
      </c>
      <c r="AH477" t="s">
        <v>78</v>
      </c>
      <c r="AI477" t="s">
        <v>122</v>
      </c>
      <c r="AJ477" t="s">
        <v>123</v>
      </c>
      <c r="AK477" t="str">
        <f>VLOOKUP(MID($AR477,1,255),country_lookup!$B:$F,2,FALSE)</f>
        <v>1_US</v>
      </c>
      <c r="AL477" t="str">
        <f>VLOOKUP(MID($AR477,1,255),country_lookup!$B:$F,3,FALSE)</f>
        <v>1_developed</v>
      </c>
      <c r="AM477" t="str">
        <f>VLOOKUP(MID($AR477,1,255),country_lookup!$B:$F,4,FALSE)</f>
        <v>1_western</v>
      </c>
      <c r="AN477" t="str">
        <f>VLOOKUP(MID($AR477,1,255),country_lookup!$B:$F,5,FALSE)</f>
        <v>1_common law</v>
      </c>
      <c r="AO477" s="10" t="str">
        <f>VLOOKUP(MID($AS477,1,255),source_lookup!$B:$K,4,FALSE)</f>
        <v>0_published</v>
      </c>
      <c r="AP477" s="10" t="str">
        <f>VLOOKUP(MID($AS477,1,255),source_lookup!$B:$K,6,FALSE)</f>
        <v>1_VHB high</v>
      </c>
      <c r="AQ477" s="10" t="str">
        <f>VLOOKUP(MID($AS477,1,255),source_lookup!$B:$K,10,FALSE)</f>
        <v>1_fin/acc/econ</v>
      </c>
      <c r="AR477" t="s">
        <v>85</v>
      </c>
      <c r="AS477" t="s">
        <v>143</v>
      </c>
    </row>
    <row r="478" spans="1:45" x14ac:dyDescent="0.3">
      <c r="A478" t="s">
        <v>19</v>
      </c>
      <c r="B478">
        <v>477</v>
      </c>
      <c r="C478" s="1">
        <v>-5.1531085916207954E-2</v>
      </c>
      <c r="D478" s="2">
        <v>163</v>
      </c>
      <c r="E478" s="4">
        <v>1628</v>
      </c>
      <c r="F478" s="4" t="s">
        <v>347</v>
      </c>
      <c r="G478" s="4" t="s">
        <v>346</v>
      </c>
      <c r="H478" t="s">
        <v>77</v>
      </c>
      <c r="I478" t="s">
        <v>352</v>
      </c>
      <c r="J478" s="3">
        <v>2006</v>
      </c>
      <c r="K478" s="3">
        <v>2015</v>
      </c>
      <c r="L478" s="6">
        <f t="shared" si="151"/>
        <v>2010.5</v>
      </c>
      <c r="M478" s="6">
        <f t="shared" si="152"/>
        <v>2010.5</v>
      </c>
      <c r="N478" s="7">
        <f t="shared" si="140"/>
        <v>0</v>
      </c>
      <c r="O478" s="7">
        <f t="shared" si="141"/>
        <v>0</v>
      </c>
      <c r="P478" s="7">
        <f t="shared" si="142"/>
        <v>0</v>
      </c>
      <c r="Q478" s="7">
        <f t="shared" si="153"/>
        <v>0</v>
      </c>
      <c r="R478" s="10" t="str">
        <f t="shared" si="143"/>
        <v>0_Pre</v>
      </c>
      <c r="S478" s="10" t="str">
        <f t="shared" si="144"/>
        <v>0_Pre</v>
      </c>
      <c r="T478" s="10" t="str">
        <f t="shared" si="145"/>
        <v>0_Pre</v>
      </c>
      <c r="U478" s="10" t="str">
        <f t="shared" si="146"/>
        <v>0_Pre</v>
      </c>
      <c r="V478" s="10" t="str">
        <f t="shared" si="154"/>
        <v>0_Pre</v>
      </c>
      <c r="W478" s="10" t="str">
        <f t="shared" si="147"/>
        <v>clean_pre</v>
      </c>
      <c r="X478" s="10" t="str">
        <f t="shared" si="148"/>
        <v>0_Pre</v>
      </c>
      <c r="Y478" s="10" t="str">
        <f t="shared" si="149"/>
        <v>0_Pre</v>
      </c>
      <c r="Z478" s="10" t="str">
        <f t="shared" si="150"/>
        <v>0_Pre</v>
      </c>
      <c r="AA478" s="10" t="str">
        <f t="shared" si="155"/>
        <v>0_Pre</v>
      </c>
      <c r="AB478" s="10" t="str">
        <f t="shared" si="156"/>
        <v>0_Pre</v>
      </c>
      <c r="AC478" s="10" t="str">
        <f t="shared" si="157"/>
        <v>0_Pre</v>
      </c>
      <c r="AD478" s="10" t="str">
        <f t="shared" si="158"/>
        <v>1_pre sample median</v>
      </c>
      <c r="AE478" s="10" t="str">
        <f t="shared" si="159"/>
        <v>1_pre sample first tertile</v>
      </c>
      <c r="AF478" t="s">
        <v>80</v>
      </c>
      <c r="AG478" t="s">
        <v>75</v>
      </c>
      <c r="AH478" t="s">
        <v>78</v>
      </c>
      <c r="AI478" t="s">
        <v>122</v>
      </c>
      <c r="AJ478" t="s">
        <v>123</v>
      </c>
      <c r="AK478" t="str">
        <f>VLOOKUP(MID($AR478,1,255),country_lookup!$B:$F,2,FALSE)</f>
        <v>1_US</v>
      </c>
      <c r="AL478" t="str">
        <f>VLOOKUP(MID($AR478,1,255),country_lookup!$B:$F,3,FALSE)</f>
        <v>1_developed</v>
      </c>
      <c r="AM478" t="str">
        <f>VLOOKUP(MID($AR478,1,255),country_lookup!$B:$F,4,FALSE)</f>
        <v>1_western</v>
      </c>
      <c r="AN478" t="str">
        <f>VLOOKUP(MID($AR478,1,255),country_lookup!$B:$F,5,FALSE)</f>
        <v>1_common law</v>
      </c>
      <c r="AO478" s="10" t="str">
        <f>VLOOKUP(MID($AS478,1,255),source_lookup!$B:$K,4,FALSE)</f>
        <v>0_published</v>
      </c>
      <c r="AP478" s="10" t="str">
        <f>VLOOKUP(MID($AS478,1,255),source_lookup!$B:$K,6,FALSE)</f>
        <v>1_VHB high</v>
      </c>
      <c r="AQ478" s="10" t="str">
        <f>VLOOKUP(MID($AS478,1,255),source_lookup!$B:$K,10,FALSE)</f>
        <v>1_fin/acc/econ</v>
      </c>
      <c r="AR478" t="s">
        <v>85</v>
      </c>
      <c r="AS478" t="s">
        <v>143</v>
      </c>
    </row>
    <row r="479" spans="1:45" x14ac:dyDescent="0.3">
      <c r="A479" t="s">
        <v>19</v>
      </c>
      <c r="B479">
        <v>478</v>
      </c>
      <c r="C479" s="1">
        <v>-3.1156595907983659E-2</v>
      </c>
      <c r="D479" s="2">
        <v>163</v>
      </c>
      <c r="E479" s="4">
        <v>1628</v>
      </c>
      <c r="F479" s="4" t="s">
        <v>347</v>
      </c>
      <c r="G479" s="4" t="s">
        <v>346</v>
      </c>
      <c r="H479" t="s">
        <v>77</v>
      </c>
      <c r="I479" t="s">
        <v>352</v>
      </c>
      <c r="J479" s="3">
        <v>2006</v>
      </c>
      <c r="K479" s="3">
        <v>2015</v>
      </c>
      <c r="L479" s="6">
        <f t="shared" si="151"/>
        <v>2010.5</v>
      </c>
      <c r="M479" s="6">
        <f t="shared" si="152"/>
        <v>2010.5</v>
      </c>
      <c r="N479" s="7">
        <f t="shared" si="140"/>
        <v>0</v>
      </c>
      <c r="O479" s="7">
        <f t="shared" si="141"/>
        <v>0</v>
      </c>
      <c r="P479" s="7">
        <f t="shared" si="142"/>
        <v>0</v>
      </c>
      <c r="Q479" s="7">
        <f t="shared" si="153"/>
        <v>0</v>
      </c>
      <c r="R479" s="10" t="str">
        <f t="shared" si="143"/>
        <v>0_Pre</v>
      </c>
      <c r="S479" s="10" t="str">
        <f t="shared" si="144"/>
        <v>0_Pre</v>
      </c>
      <c r="T479" s="10" t="str">
        <f t="shared" si="145"/>
        <v>0_Pre</v>
      </c>
      <c r="U479" s="10" t="str">
        <f t="shared" si="146"/>
        <v>0_Pre</v>
      </c>
      <c r="V479" s="10" t="str">
        <f t="shared" si="154"/>
        <v>0_Pre</v>
      </c>
      <c r="W479" s="10" t="str">
        <f t="shared" si="147"/>
        <v>clean_pre</v>
      </c>
      <c r="X479" s="10" t="str">
        <f t="shared" si="148"/>
        <v>0_Pre</v>
      </c>
      <c r="Y479" s="10" t="str">
        <f t="shared" si="149"/>
        <v>0_Pre</v>
      </c>
      <c r="Z479" s="10" t="str">
        <f t="shared" si="150"/>
        <v>0_Pre</v>
      </c>
      <c r="AA479" s="10" t="str">
        <f t="shared" si="155"/>
        <v>0_Pre</v>
      </c>
      <c r="AB479" s="10" t="str">
        <f t="shared" si="156"/>
        <v>0_Pre</v>
      </c>
      <c r="AC479" s="10" t="str">
        <f t="shared" si="157"/>
        <v>0_Pre</v>
      </c>
      <c r="AD479" s="10" t="str">
        <f t="shared" si="158"/>
        <v>1_pre sample median</v>
      </c>
      <c r="AE479" s="10" t="str">
        <f t="shared" si="159"/>
        <v>1_pre sample first tertile</v>
      </c>
      <c r="AF479" t="s">
        <v>80</v>
      </c>
      <c r="AG479" t="s">
        <v>75</v>
      </c>
      <c r="AH479" t="s">
        <v>78</v>
      </c>
      <c r="AI479" t="s">
        <v>122</v>
      </c>
      <c r="AJ479" t="s">
        <v>123</v>
      </c>
      <c r="AK479" t="str">
        <f>VLOOKUP(MID($AR479,1,255),country_lookup!$B:$F,2,FALSE)</f>
        <v>1_US</v>
      </c>
      <c r="AL479" t="str">
        <f>VLOOKUP(MID($AR479,1,255),country_lookup!$B:$F,3,FALSE)</f>
        <v>1_developed</v>
      </c>
      <c r="AM479" t="str">
        <f>VLOOKUP(MID($AR479,1,255),country_lookup!$B:$F,4,FALSE)</f>
        <v>1_western</v>
      </c>
      <c r="AN479" t="str">
        <f>VLOOKUP(MID($AR479,1,255),country_lookup!$B:$F,5,FALSE)</f>
        <v>1_common law</v>
      </c>
      <c r="AO479" s="10" t="str">
        <f>VLOOKUP(MID($AS479,1,255),source_lookup!$B:$K,4,FALSE)</f>
        <v>0_published</v>
      </c>
      <c r="AP479" s="10" t="str">
        <f>VLOOKUP(MID($AS479,1,255),source_lookup!$B:$K,6,FALSE)</f>
        <v>1_VHB high</v>
      </c>
      <c r="AQ479" s="10" t="str">
        <f>VLOOKUP(MID($AS479,1,255),source_lookup!$B:$K,10,FALSE)</f>
        <v>1_fin/acc/econ</v>
      </c>
      <c r="AR479" t="s">
        <v>85</v>
      </c>
      <c r="AS479" t="s">
        <v>143</v>
      </c>
    </row>
    <row r="480" spans="1:45" x14ac:dyDescent="0.3">
      <c r="A480" t="s">
        <v>19</v>
      </c>
      <c r="B480">
        <v>479</v>
      </c>
      <c r="C480" s="1">
        <v>-7.333894412988487E-2</v>
      </c>
      <c r="D480" s="2">
        <v>163</v>
      </c>
      <c r="E480" s="4">
        <v>1628</v>
      </c>
      <c r="F480" s="4" t="s">
        <v>347</v>
      </c>
      <c r="G480" s="4" t="s">
        <v>346</v>
      </c>
      <c r="H480" t="s">
        <v>77</v>
      </c>
      <c r="I480" t="s">
        <v>352</v>
      </c>
      <c r="J480" s="3">
        <v>2006</v>
      </c>
      <c r="K480" s="3">
        <v>2015</v>
      </c>
      <c r="L480" s="6">
        <f t="shared" si="151"/>
        <v>2010.5</v>
      </c>
      <c r="M480" s="6">
        <f t="shared" si="152"/>
        <v>2010.5</v>
      </c>
      <c r="N480" s="7">
        <f t="shared" si="140"/>
        <v>0</v>
      </c>
      <c r="O480" s="7">
        <f t="shared" si="141"/>
        <v>0</v>
      </c>
      <c r="P480" s="7">
        <f t="shared" si="142"/>
        <v>0</v>
      </c>
      <c r="Q480" s="7">
        <f t="shared" si="153"/>
        <v>0</v>
      </c>
      <c r="R480" s="10" t="str">
        <f t="shared" si="143"/>
        <v>0_Pre</v>
      </c>
      <c r="S480" s="10" t="str">
        <f t="shared" si="144"/>
        <v>0_Pre</v>
      </c>
      <c r="T480" s="10" t="str">
        <f t="shared" si="145"/>
        <v>0_Pre</v>
      </c>
      <c r="U480" s="10" t="str">
        <f t="shared" si="146"/>
        <v>0_Pre</v>
      </c>
      <c r="V480" s="10" t="str">
        <f t="shared" si="154"/>
        <v>0_Pre</v>
      </c>
      <c r="W480" s="10" t="str">
        <f t="shared" si="147"/>
        <v>clean_pre</v>
      </c>
      <c r="X480" s="10" t="str">
        <f t="shared" si="148"/>
        <v>0_Pre</v>
      </c>
      <c r="Y480" s="10" t="str">
        <f t="shared" si="149"/>
        <v>0_Pre</v>
      </c>
      <c r="Z480" s="10" t="str">
        <f t="shared" si="150"/>
        <v>0_Pre</v>
      </c>
      <c r="AA480" s="10" t="str">
        <f t="shared" si="155"/>
        <v>0_Pre</v>
      </c>
      <c r="AB480" s="10" t="str">
        <f t="shared" si="156"/>
        <v>0_Pre</v>
      </c>
      <c r="AC480" s="10" t="str">
        <f t="shared" si="157"/>
        <v>0_Pre</v>
      </c>
      <c r="AD480" s="10" t="str">
        <f t="shared" si="158"/>
        <v>1_pre sample median</v>
      </c>
      <c r="AE480" s="10" t="str">
        <f t="shared" si="159"/>
        <v>1_pre sample first tertile</v>
      </c>
      <c r="AF480" t="s">
        <v>80</v>
      </c>
      <c r="AG480" t="s">
        <v>75</v>
      </c>
      <c r="AH480" t="s">
        <v>78</v>
      </c>
      <c r="AI480" t="s">
        <v>122</v>
      </c>
      <c r="AJ480" t="s">
        <v>123</v>
      </c>
      <c r="AK480" t="str">
        <f>VLOOKUP(MID($AR480,1,255),country_lookup!$B:$F,2,FALSE)</f>
        <v>1_US</v>
      </c>
      <c r="AL480" t="str">
        <f>VLOOKUP(MID($AR480,1,255),country_lookup!$B:$F,3,FALSE)</f>
        <v>1_developed</v>
      </c>
      <c r="AM480" t="str">
        <f>VLOOKUP(MID($AR480,1,255),country_lookup!$B:$F,4,FALSE)</f>
        <v>1_western</v>
      </c>
      <c r="AN480" t="str">
        <f>VLOOKUP(MID($AR480,1,255),country_lookup!$B:$F,5,FALSE)</f>
        <v>1_common law</v>
      </c>
      <c r="AO480" s="10" t="str">
        <f>VLOOKUP(MID($AS480,1,255),source_lookup!$B:$K,4,FALSE)</f>
        <v>0_published</v>
      </c>
      <c r="AP480" s="10" t="str">
        <f>VLOOKUP(MID($AS480,1,255),source_lookup!$B:$K,6,FALSE)</f>
        <v>1_VHB high</v>
      </c>
      <c r="AQ480" s="10" t="str">
        <f>VLOOKUP(MID($AS480,1,255),source_lookup!$B:$K,10,FALSE)</f>
        <v>1_fin/acc/econ</v>
      </c>
      <c r="AR480" t="s">
        <v>85</v>
      </c>
      <c r="AS480" t="s">
        <v>143</v>
      </c>
    </row>
    <row r="481" spans="1:45" x14ac:dyDescent="0.3">
      <c r="A481" t="s">
        <v>19</v>
      </c>
      <c r="B481">
        <v>480</v>
      </c>
      <c r="C481" s="1">
        <v>-0.25191036582958753</v>
      </c>
      <c r="D481" s="2">
        <v>76</v>
      </c>
      <c r="E481" s="4">
        <v>758</v>
      </c>
      <c r="F481" s="4" t="s">
        <v>347</v>
      </c>
      <c r="G481" s="4" t="s">
        <v>346</v>
      </c>
      <c r="H481" t="s">
        <v>77</v>
      </c>
      <c r="I481" t="s">
        <v>352</v>
      </c>
      <c r="J481" s="3">
        <v>2006</v>
      </c>
      <c r="K481" s="3">
        <v>2015</v>
      </c>
      <c r="L481" s="6">
        <f t="shared" si="151"/>
        <v>2010.5</v>
      </c>
      <c r="M481" s="6">
        <f t="shared" si="152"/>
        <v>2010.5</v>
      </c>
      <c r="N481" s="7">
        <f t="shared" si="140"/>
        <v>0</v>
      </c>
      <c r="O481" s="7">
        <f t="shared" si="141"/>
        <v>0</v>
      </c>
      <c r="P481" s="7">
        <f t="shared" si="142"/>
        <v>0</v>
      </c>
      <c r="Q481" s="7">
        <f t="shared" si="153"/>
        <v>0</v>
      </c>
      <c r="R481" s="10" t="str">
        <f t="shared" si="143"/>
        <v>0_Pre</v>
      </c>
      <c r="S481" s="10" t="str">
        <f t="shared" si="144"/>
        <v>0_Pre</v>
      </c>
      <c r="T481" s="10" t="str">
        <f t="shared" si="145"/>
        <v>0_Pre</v>
      </c>
      <c r="U481" s="10" t="str">
        <f t="shared" si="146"/>
        <v>0_Pre</v>
      </c>
      <c r="V481" s="10" t="str">
        <f t="shared" si="154"/>
        <v>0_Pre</v>
      </c>
      <c r="W481" s="10" t="str">
        <f t="shared" si="147"/>
        <v>clean_pre</v>
      </c>
      <c r="X481" s="10" t="str">
        <f t="shared" si="148"/>
        <v>0_Pre</v>
      </c>
      <c r="Y481" s="10" t="str">
        <f t="shared" si="149"/>
        <v>0_Pre</v>
      </c>
      <c r="Z481" s="10" t="str">
        <f t="shared" si="150"/>
        <v>0_Pre</v>
      </c>
      <c r="AA481" s="10" t="str">
        <f t="shared" si="155"/>
        <v>0_Pre</v>
      </c>
      <c r="AB481" s="10" t="str">
        <f t="shared" si="156"/>
        <v>0_Pre</v>
      </c>
      <c r="AC481" s="10" t="str">
        <f t="shared" si="157"/>
        <v>0_Pre</v>
      </c>
      <c r="AD481" s="10" t="str">
        <f t="shared" si="158"/>
        <v>1_pre sample median</v>
      </c>
      <c r="AE481" s="10" t="str">
        <f t="shared" si="159"/>
        <v>1_pre sample first tertile</v>
      </c>
      <c r="AF481" t="s">
        <v>80</v>
      </c>
      <c r="AG481" t="s">
        <v>75</v>
      </c>
      <c r="AH481" t="s">
        <v>78</v>
      </c>
      <c r="AI481" t="s">
        <v>122</v>
      </c>
      <c r="AJ481" t="s">
        <v>123</v>
      </c>
      <c r="AK481" t="str">
        <f>VLOOKUP(MID($AR481,1,255),country_lookup!$B:$F,2,FALSE)</f>
        <v>1_US</v>
      </c>
      <c r="AL481" t="str">
        <f>VLOOKUP(MID($AR481,1,255),country_lookup!$B:$F,3,FALSE)</f>
        <v>1_developed</v>
      </c>
      <c r="AM481" t="str">
        <f>VLOOKUP(MID($AR481,1,255),country_lookup!$B:$F,4,FALSE)</f>
        <v>1_western</v>
      </c>
      <c r="AN481" t="str">
        <f>VLOOKUP(MID($AR481,1,255),country_lookup!$B:$F,5,FALSE)</f>
        <v>1_common law</v>
      </c>
      <c r="AO481" s="10" t="str">
        <f>VLOOKUP(MID($AS481,1,255),source_lookup!$B:$K,4,FALSE)</f>
        <v>0_published</v>
      </c>
      <c r="AP481" s="10" t="str">
        <f>VLOOKUP(MID($AS481,1,255),source_lookup!$B:$K,6,FALSE)</f>
        <v>1_VHB high</v>
      </c>
      <c r="AQ481" s="10" t="str">
        <f>VLOOKUP(MID($AS481,1,255),source_lookup!$B:$K,10,FALSE)</f>
        <v>1_fin/acc/econ</v>
      </c>
      <c r="AR481" t="s">
        <v>85</v>
      </c>
      <c r="AS481" t="s">
        <v>143</v>
      </c>
    </row>
    <row r="482" spans="1:45" x14ac:dyDescent="0.3">
      <c r="A482" t="s">
        <v>19</v>
      </c>
      <c r="B482">
        <v>481</v>
      </c>
      <c r="C482" s="1">
        <v>-0.20109863399628117</v>
      </c>
      <c r="D482" s="2">
        <v>85</v>
      </c>
      <c r="E482" s="4">
        <v>847</v>
      </c>
      <c r="F482" s="4" t="s">
        <v>347</v>
      </c>
      <c r="G482" s="4" t="s">
        <v>346</v>
      </c>
      <c r="H482" t="s">
        <v>77</v>
      </c>
      <c r="I482" t="s">
        <v>352</v>
      </c>
      <c r="J482" s="3">
        <v>2006</v>
      </c>
      <c r="K482" s="3">
        <v>2015</v>
      </c>
      <c r="L482" s="6">
        <f t="shared" si="151"/>
        <v>2010.5</v>
      </c>
      <c r="M482" s="6">
        <f t="shared" si="152"/>
        <v>2010.5</v>
      </c>
      <c r="N482" s="7">
        <f t="shared" si="140"/>
        <v>0</v>
      </c>
      <c r="O482" s="7">
        <f t="shared" si="141"/>
        <v>0</v>
      </c>
      <c r="P482" s="7">
        <f t="shared" si="142"/>
        <v>0</v>
      </c>
      <c r="Q482" s="7">
        <f t="shared" si="153"/>
        <v>0</v>
      </c>
      <c r="R482" s="10" t="str">
        <f t="shared" si="143"/>
        <v>0_Pre</v>
      </c>
      <c r="S482" s="10" t="str">
        <f t="shared" si="144"/>
        <v>0_Pre</v>
      </c>
      <c r="T482" s="10" t="str">
        <f t="shared" si="145"/>
        <v>0_Pre</v>
      </c>
      <c r="U482" s="10" t="str">
        <f t="shared" si="146"/>
        <v>0_Pre</v>
      </c>
      <c r="V482" s="10" t="str">
        <f t="shared" si="154"/>
        <v>0_Pre</v>
      </c>
      <c r="W482" s="10" t="str">
        <f t="shared" si="147"/>
        <v>clean_pre</v>
      </c>
      <c r="X482" s="10" t="str">
        <f t="shared" si="148"/>
        <v>0_Pre</v>
      </c>
      <c r="Y482" s="10" t="str">
        <f t="shared" si="149"/>
        <v>0_Pre</v>
      </c>
      <c r="Z482" s="10" t="str">
        <f t="shared" si="150"/>
        <v>0_Pre</v>
      </c>
      <c r="AA482" s="10" t="str">
        <f t="shared" si="155"/>
        <v>0_Pre</v>
      </c>
      <c r="AB482" s="10" t="str">
        <f t="shared" si="156"/>
        <v>0_Pre</v>
      </c>
      <c r="AC482" s="10" t="str">
        <f t="shared" si="157"/>
        <v>0_Pre</v>
      </c>
      <c r="AD482" s="10" t="str">
        <f t="shared" si="158"/>
        <v>1_pre sample median</v>
      </c>
      <c r="AE482" s="10" t="str">
        <f t="shared" si="159"/>
        <v>1_pre sample first tertile</v>
      </c>
      <c r="AF482" t="s">
        <v>80</v>
      </c>
      <c r="AG482" t="s">
        <v>75</v>
      </c>
      <c r="AH482" t="s">
        <v>78</v>
      </c>
      <c r="AI482" t="s">
        <v>122</v>
      </c>
      <c r="AJ482" t="s">
        <v>123</v>
      </c>
      <c r="AK482" t="str">
        <f>VLOOKUP(MID($AR482,1,255),country_lookup!$B:$F,2,FALSE)</f>
        <v>1_US</v>
      </c>
      <c r="AL482" t="str">
        <f>VLOOKUP(MID($AR482,1,255),country_lookup!$B:$F,3,FALSE)</f>
        <v>1_developed</v>
      </c>
      <c r="AM482" t="str">
        <f>VLOOKUP(MID($AR482,1,255),country_lookup!$B:$F,4,FALSE)</f>
        <v>1_western</v>
      </c>
      <c r="AN482" t="str">
        <f>VLOOKUP(MID($AR482,1,255),country_lookup!$B:$F,5,FALSE)</f>
        <v>1_common law</v>
      </c>
      <c r="AO482" s="10" t="str">
        <f>VLOOKUP(MID($AS482,1,255),source_lookup!$B:$K,4,FALSE)</f>
        <v>0_published</v>
      </c>
      <c r="AP482" s="10" t="str">
        <f>VLOOKUP(MID($AS482,1,255),source_lookup!$B:$K,6,FALSE)</f>
        <v>1_VHB high</v>
      </c>
      <c r="AQ482" s="10" t="str">
        <f>VLOOKUP(MID($AS482,1,255),source_lookup!$B:$K,10,FALSE)</f>
        <v>1_fin/acc/econ</v>
      </c>
      <c r="AR482" t="s">
        <v>85</v>
      </c>
      <c r="AS482" t="s">
        <v>143</v>
      </c>
    </row>
    <row r="483" spans="1:45" x14ac:dyDescent="0.3">
      <c r="A483" t="s">
        <v>20</v>
      </c>
      <c r="B483">
        <v>482</v>
      </c>
      <c r="C483" s="1">
        <v>-4.3914618664792564E-2</v>
      </c>
      <c r="D483" s="2">
        <v>502</v>
      </c>
      <c r="E483" s="4">
        <v>6018</v>
      </c>
      <c r="F483" s="4" t="s">
        <v>346</v>
      </c>
      <c r="G483" s="4" t="s">
        <v>347</v>
      </c>
      <c r="H483" t="s">
        <v>77</v>
      </c>
      <c r="I483" t="s">
        <v>350</v>
      </c>
      <c r="J483" s="3">
        <v>2005</v>
      </c>
      <c r="K483" s="3">
        <v>2016</v>
      </c>
      <c r="L483" s="6">
        <f t="shared" si="151"/>
        <v>2010.5</v>
      </c>
      <c r="M483" s="6">
        <f t="shared" si="152"/>
        <v>2010.5</v>
      </c>
      <c r="N483" s="7">
        <f t="shared" si="140"/>
        <v>8.3333333333333329E-2</v>
      </c>
      <c r="O483" s="7">
        <f t="shared" si="141"/>
        <v>0</v>
      </c>
      <c r="P483" s="7">
        <f t="shared" si="142"/>
        <v>0</v>
      </c>
      <c r="Q483" s="7">
        <f t="shared" si="153"/>
        <v>0</v>
      </c>
      <c r="R483" s="10" t="str">
        <f t="shared" si="143"/>
        <v>0_Pre</v>
      </c>
      <c r="S483" s="10" t="str">
        <f t="shared" si="144"/>
        <v>0_Pre</v>
      </c>
      <c r="T483" s="10" t="str">
        <f t="shared" si="145"/>
        <v>0_Pre</v>
      </c>
      <c r="U483" s="10" t="str">
        <f t="shared" si="146"/>
        <v>1_Post</v>
      </c>
      <c r="V483" s="10" t="str">
        <f t="shared" si="154"/>
        <v>0_Pre</v>
      </c>
      <c r="W483" s="10" t="str">
        <f t="shared" si="147"/>
        <v>straddle</v>
      </c>
      <c r="X483" s="10" t="str">
        <f t="shared" si="148"/>
        <v>0_Pre</v>
      </c>
      <c r="Y483" s="10" t="str">
        <f t="shared" si="149"/>
        <v>0_Pre</v>
      </c>
      <c r="Z483" s="10" t="str">
        <f t="shared" si="150"/>
        <v>0_Pre</v>
      </c>
      <c r="AA483" s="10" t="str">
        <f t="shared" si="155"/>
        <v>0_Pre</v>
      </c>
      <c r="AB483" s="10" t="str">
        <f t="shared" si="156"/>
        <v>0_Pre</v>
      </c>
      <c r="AC483" s="10" t="str">
        <f t="shared" si="157"/>
        <v>0_Pre</v>
      </c>
      <c r="AD483" s="10" t="str">
        <f t="shared" si="158"/>
        <v>1_pre sample median</v>
      </c>
      <c r="AE483" s="10" t="str">
        <f t="shared" si="159"/>
        <v>1_pre sample first tertile</v>
      </c>
      <c r="AF483" t="s">
        <v>80</v>
      </c>
      <c r="AG483" t="s">
        <v>75</v>
      </c>
      <c r="AH483" t="s">
        <v>78</v>
      </c>
      <c r="AI483" t="s">
        <v>122</v>
      </c>
      <c r="AJ483" t="s">
        <v>122</v>
      </c>
      <c r="AK483" t="str">
        <f>VLOOKUP(MID($AR483,1,255),country_lookup!$B:$F,2,FALSE)</f>
        <v>2_Europe</v>
      </c>
      <c r="AL483" t="str">
        <f>VLOOKUP(MID($AR483,1,255),country_lookup!$B:$F,3,FALSE)</f>
        <v>1_developed</v>
      </c>
      <c r="AM483" t="str">
        <f>VLOOKUP(MID($AR483,1,255),country_lookup!$B:$F,4,FALSE)</f>
        <v>1_western</v>
      </c>
      <c r="AN483" t="str">
        <f>VLOOKUP(MID($AR483,1,255),country_lookup!$B:$F,5,FALSE)</f>
        <v>1_common law</v>
      </c>
      <c r="AO483" s="10" t="str">
        <f>VLOOKUP(MID($AS483,1,255),source_lookup!$B:$K,4,FALSE)</f>
        <v>0_published</v>
      </c>
      <c r="AP483" s="10" t="str">
        <f>VLOOKUP(MID($AS483,1,255),source_lookup!$B:$K,6,FALSE)</f>
        <v>1_VHB high</v>
      </c>
      <c r="AQ483" s="10" t="str">
        <f>VLOOKUP(MID($AS483,1,255),source_lookup!$B:$K,10,FALSE)</f>
        <v>1_fin/acc/econ</v>
      </c>
      <c r="AR483" t="s">
        <v>97</v>
      </c>
      <c r="AS483" t="s">
        <v>144</v>
      </c>
    </row>
    <row r="484" spans="1:45" x14ac:dyDescent="0.3">
      <c r="A484" t="s">
        <v>20</v>
      </c>
      <c r="B484">
        <v>483</v>
      </c>
      <c r="C484" s="1">
        <v>-4.2792099099867351E-2</v>
      </c>
      <c r="D484" s="2">
        <v>264</v>
      </c>
      <c r="E484" s="4">
        <v>3166</v>
      </c>
      <c r="F484" s="4" t="s">
        <v>346</v>
      </c>
      <c r="G484" s="4" t="s">
        <v>347</v>
      </c>
      <c r="H484" t="s">
        <v>77</v>
      </c>
      <c r="I484" t="s">
        <v>350</v>
      </c>
      <c r="J484" s="3">
        <v>2005</v>
      </c>
      <c r="K484" s="3">
        <v>2016</v>
      </c>
      <c r="L484" s="6">
        <f t="shared" si="151"/>
        <v>2010.5</v>
      </c>
      <c r="M484" s="6">
        <f t="shared" si="152"/>
        <v>2010.5</v>
      </c>
      <c r="N484" s="7">
        <f t="shared" si="140"/>
        <v>8.3333333333333329E-2</v>
      </c>
      <c r="O484" s="7">
        <f t="shared" si="141"/>
        <v>0</v>
      </c>
      <c r="P484" s="7">
        <f t="shared" si="142"/>
        <v>0</v>
      </c>
      <c r="Q484" s="7">
        <f t="shared" si="153"/>
        <v>0</v>
      </c>
      <c r="R484" s="10" t="str">
        <f t="shared" si="143"/>
        <v>0_Pre</v>
      </c>
      <c r="S484" s="10" t="str">
        <f t="shared" si="144"/>
        <v>0_Pre</v>
      </c>
      <c r="T484" s="10" t="str">
        <f t="shared" si="145"/>
        <v>0_Pre</v>
      </c>
      <c r="U484" s="10" t="str">
        <f t="shared" si="146"/>
        <v>1_Post</v>
      </c>
      <c r="V484" s="10" t="str">
        <f t="shared" si="154"/>
        <v>0_Pre</v>
      </c>
      <c r="W484" s="10" t="str">
        <f t="shared" si="147"/>
        <v>straddle</v>
      </c>
      <c r="X484" s="10" t="str">
        <f t="shared" si="148"/>
        <v>0_Pre</v>
      </c>
      <c r="Y484" s="10" t="str">
        <f t="shared" si="149"/>
        <v>0_Pre</v>
      </c>
      <c r="Z484" s="10" t="str">
        <f t="shared" si="150"/>
        <v>0_Pre</v>
      </c>
      <c r="AA484" s="10" t="str">
        <f t="shared" si="155"/>
        <v>0_Pre</v>
      </c>
      <c r="AB484" s="10" t="str">
        <f t="shared" si="156"/>
        <v>0_Pre</v>
      </c>
      <c r="AC484" s="10" t="str">
        <f t="shared" si="157"/>
        <v>0_Pre</v>
      </c>
      <c r="AD484" s="10" t="str">
        <f t="shared" si="158"/>
        <v>1_pre sample median</v>
      </c>
      <c r="AE484" s="10" t="str">
        <f t="shared" si="159"/>
        <v>1_pre sample first tertile</v>
      </c>
      <c r="AF484" t="s">
        <v>80</v>
      </c>
      <c r="AG484" t="s">
        <v>74</v>
      </c>
      <c r="AH484" t="s">
        <v>78</v>
      </c>
      <c r="AI484" t="s">
        <v>122</v>
      </c>
      <c r="AJ484" t="s">
        <v>122</v>
      </c>
      <c r="AK484" t="str">
        <f>VLOOKUP(MID($AR484,1,255),country_lookup!$B:$F,2,FALSE)</f>
        <v>2_Europe</v>
      </c>
      <c r="AL484" t="str">
        <f>VLOOKUP(MID($AR484,1,255),country_lookup!$B:$F,3,FALSE)</f>
        <v>1_developed</v>
      </c>
      <c r="AM484" t="str">
        <f>VLOOKUP(MID($AR484,1,255),country_lookup!$B:$F,4,FALSE)</f>
        <v>1_western</v>
      </c>
      <c r="AN484" t="str">
        <f>VLOOKUP(MID($AR484,1,255),country_lookup!$B:$F,5,FALSE)</f>
        <v>1_common law</v>
      </c>
      <c r="AO484" s="10" t="str">
        <f>VLOOKUP(MID($AS484,1,255),source_lookup!$B:$K,4,FALSE)</f>
        <v>0_published</v>
      </c>
      <c r="AP484" s="10" t="str">
        <f>VLOOKUP(MID($AS484,1,255),source_lookup!$B:$K,6,FALSE)</f>
        <v>1_VHB high</v>
      </c>
      <c r="AQ484" s="10" t="str">
        <f>VLOOKUP(MID($AS484,1,255),source_lookup!$B:$K,10,FALSE)</f>
        <v>1_fin/acc/econ</v>
      </c>
      <c r="AR484" t="s">
        <v>97</v>
      </c>
      <c r="AS484" t="s">
        <v>144</v>
      </c>
    </row>
    <row r="485" spans="1:45" x14ac:dyDescent="0.3">
      <c r="A485" t="s">
        <v>21</v>
      </c>
      <c r="B485">
        <v>484</v>
      </c>
      <c r="C485" s="1">
        <v>-3.8934972443653224E-2</v>
      </c>
      <c r="D485" s="2">
        <v>225</v>
      </c>
      <c r="E485" s="4">
        <v>5616</v>
      </c>
      <c r="F485" s="4" t="s">
        <v>347</v>
      </c>
      <c r="G485" s="4" t="s">
        <v>346</v>
      </c>
      <c r="H485" t="s">
        <v>77</v>
      </c>
      <c r="I485" t="s">
        <v>350</v>
      </c>
      <c r="J485" s="3">
        <v>1990</v>
      </c>
      <c r="K485" s="3">
        <v>2014</v>
      </c>
      <c r="L485" s="6">
        <f t="shared" si="151"/>
        <v>2002</v>
      </c>
      <c r="M485" s="6">
        <f t="shared" si="152"/>
        <v>2002</v>
      </c>
      <c r="N485" s="7">
        <f t="shared" si="140"/>
        <v>0</v>
      </c>
      <c r="O485" s="7">
        <f t="shared" si="141"/>
        <v>0</v>
      </c>
      <c r="P485" s="7">
        <f t="shared" si="142"/>
        <v>0</v>
      </c>
      <c r="Q485" s="7">
        <f t="shared" si="153"/>
        <v>0</v>
      </c>
      <c r="R485" s="10" t="str">
        <f t="shared" si="143"/>
        <v>0_Pre</v>
      </c>
      <c r="S485" s="10" t="str">
        <f t="shared" si="144"/>
        <v>0_Pre</v>
      </c>
      <c r="T485" s="10" t="str">
        <f t="shared" si="145"/>
        <v>0_Pre</v>
      </c>
      <c r="U485" s="10" t="str">
        <f t="shared" si="146"/>
        <v>0_Pre</v>
      </c>
      <c r="V485" s="10" t="str">
        <f t="shared" si="154"/>
        <v>0_Pre</v>
      </c>
      <c r="W485" s="10" t="str">
        <f t="shared" si="147"/>
        <v>clean_pre</v>
      </c>
      <c r="X485" s="10" t="str">
        <f t="shared" si="148"/>
        <v>0_Pre</v>
      </c>
      <c r="Y485" s="10" t="str">
        <f t="shared" si="149"/>
        <v>0_Pre</v>
      </c>
      <c r="Z485" s="10" t="str">
        <f t="shared" si="150"/>
        <v>0_Pre</v>
      </c>
      <c r="AA485" s="10" t="str">
        <f t="shared" si="155"/>
        <v>0_Pre</v>
      </c>
      <c r="AB485" s="10" t="str">
        <f t="shared" si="156"/>
        <v>0_Pre</v>
      </c>
      <c r="AC485" s="10" t="str">
        <f t="shared" si="157"/>
        <v>0_Pre</v>
      </c>
      <c r="AD485" s="10" t="str">
        <f t="shared" si="158"/>
        <v>1_pre sample median</v>
      </c>
      <c r="AE485" s="10" t="str">
        <f t="shared" si="159"/>
        <v>1_pre sample first tertile</v>
      </c>
      <c r="AF485" t="s">
        <v>80</v>
      </c>
      <c r="AG485" t="s">
        <v>75</v>
      </c>
      <c r="AH485" t="s">
        <v>78</v>
      </c>
      <c r="AI485" t="s">
        <v>70</v>
      </c>
      <c r="AJ485" t="s">
        <v>70</v>
      </c>
      <c r="AK485" t="str">
        <f>VLOOKUP(MID($AR485,1,255),country_lookup!$B:$F,2,FALSE)</f>
        <v>99_NCE</v>
      </c>
      <c r="AL485" t="str">
        <f>VLOOKUP(MID($AR485,1,255),country_lookup!$B:$F,3,FALSE)</f>
        <v>99_NCE</v>
      </c>
      <c r="AM485" t="str">
        <f>VLOOKUP(MID($AR485,1,255),country_lookup!$B:$F,4,FALSE)</f>
        <v>99_NCE</v>
      </c>
      <c r="AN485" t="str">
        <f>VLOOKUP(MID($AR485,1,255),country_lookup!$B:$F,5,FALSE)</f>
        <v>99_NCE</v>
      </c>
      <c r="AO485" s="10" t="str">
        <f>VLOOKUP(MID($AS485,1,255),source_lookup!$B:$K,4,FALSE)</f>
        <v>0_published</v>
      </c>
      <c r="AP485" s="10" t="str">
        <f>VLOOKUP(MID($AS485,1,255),source_lookup!$B:$K,6,FALSE)</f>
        <v>1_VHB high</v>
      </c>
      <c r="AQ485" s="10" t="str">
        <f>VLOOKUP(MID($AS485,1,255),source_lookup!$B:$K,10,FALSE)</f>
        <v>1_fin/acc/econ</v>
      </c>
      <c r="AR485" t="s">
        <v>98</v>
      </c>
      <c r="AS485" t="s">
        <v>145</v>
      </c>
    </row>
    <row r="486" spans="1:45" x14ac:dyDescent="0.3">
      <c r="A486" t="s">
        <v>21</v>
      </c>
      <c r="B486">
        <v>485</v>
      </c>
      <c r="C486" s="1">
        <v>-2.7744861807242515E-2</v>
      </c>
      <c r="D486" s="2">
        <v>225</v>
      </c>
      <c r="E486" s="4">
        <v>5616</v>
      </c>
      <c r="F486" s="4" t="s">
        <v>347</v>
      </c>
      <c r="G486" s="4" t="s">
        <v>346</v>
      </c>
      <c r="H486" t="s">
        <v>77</v>
      </c>
      <c r="I486" t="s">
        <v>350</v>
      </c>
      <c r="J486" s="3">
        <v>1990</v>
      </c>
      <c r="K486" s="3">
        <v>2014</v>
      </c>
      <c r="L486" s="6">
        <f t="shared" si="151"/>
        <v>2002</v>
      </c>
      <c r="M486" s="6">
        <f t="shared" si="152"/>
        <v>2002</v>
      </c>
      <c r="N486" s="7">
        <f t="shared" si="140"/>
        <v>0</v>
      </c>
      <c r="O486" s="7">
        <f t="shared" si="141"/>
        <v>0</v>
      </c>
      <c r="P486" s="7">
        <f t="shared" si="142"/>
        <v>0</v>
      </c>
      <c r="Q486" s="7">
        <f t="shared" si="153"/>
        <v>0</v>
      </c>
      <c r="R486" s="10" t="str">
        <f t="shared" si="143"/>
        <v>0_Pre</v>
      </c>
      <c r="S486" s="10" t="str">
        <f t="shared" si="144"/>
        <v>0_Pre</v>
      </c>
      <c r="T486" s="10" t="str">
        <f t="shared" si="145"/>
        <v>0_Pre</v>
      </c>
      <c r="U486" s="10" t="str">
        <f t="shared" si="146"/>
        <v>0_Pre</v>
      </c>
      <c r="V486" s="10" t="str">
        <f t="shared" si="154"/>
        <v>0_Pre</v>
      </c>
      <c r="W486" s="10" t="str">
        <f t="shared" si="147"/>
        <v>clean_pre</v>
      </c>
      <c r="X486" s="10" t="str">
        <f t="shared" si="148"/>
        <v>0_Pre</v>
      </c>
      <c r="Y486" s="10" t="str">
        <f t="shared" si="149"/>
        <v>0_Pre</v>
      </c>
      <c r="Z486" s="10" t="str">
        <f t="shared" si="150"/>
        <v>0_Pre</v>
      </c>
      <c r="AA486" s="10" t="str">
        <f t="shared" si="155"/>
        <v>0_Pre</v>
      </c>
      <c r="AB486" s="10" t="str">
        <f t="shared" si="156"/>
        <v>0_Pre</v>
      </c>
      <c r="AC486" s="10" t="str">
        <f t="shared" si="157"/>
        <v>0_Pre</v>
      </c>
      <c r="AD486" s="10" t="str">
        <f t="shared" si="158"/>
        <v>1_pre sample median</v>
      </c>
      <c r="AE486" s="10" t="str">
        <f t="shared" si="159"/>
        <v>1_pre sample first tertile</v>
      </c>
      <c r="AF486" t="s">
        <v>80</v>
      </c>
      <c r="AG486" t="s">
        <v>75</v>
      </c>
      <c r="AH486" t="s">
        <v>78</v>
      </c>
      <c r="AI486" t="s">
        <v>70</v>
      </c>
      <c r="AJ486" t="s">
        <v>70</v>
      </c>
      <c r="AK486" t="str">
        <f>VLOOKUP(MID($AR486,1,255),country_lookup!$B:$F,2,FALSE)</f>
        <v>99_NCE</v>
      </c>
      <c r="AL486" t="str">
        <f>VLOOKUP(MID($AR486,1,255),country_lookup!$B:$F,3,FALSE)</f>
        <v>99_NCE</v>
      </c>
      <c r="AM486" t="str">
        <f>VLOOKUP(MID($AR486,1,255),country_lookup!$B:$F,4,FALSE)</f>
        <v>99_NCE</v>
      </c>
      <c r="AN486" t="str">
        <f>VLOOKUP(MID($AR486,1,255),country_lookup!$B:$F,5,FALSE)</f>
        <v>99_NCE</v>
      </c>
      <c r="AO486" s="10" t="str">
        <f>VLOOKUP(MID($AS486,1,255),source_lookup!$B:$K,4,FALSE)</f>
        <v>0_published</v>
      </c>
      <c r="AP486" s="10" t="str">
        <f>VLOOKUP(MID($AS486,1,255),source_lookup!$B:$K,6,FALSE)</f>
        <v>1_VHB high</v>
      </c>
      <c r="AQ486" s="10" t="str">
        <f>VLOOKUP(MID($AS486,1,255),source_lookup!$B:$K,10,FALSE)</f>
        <v>1_fin/acc/econ</v>
      </c>
      <c r="AR486" t="s">
        <v>98</v>
      </c>
      <c r="AS486" t="s">
        <v>145</v>
      </c>
    </row>
    <row r="487" spans="1:45" x14ac:dyDescent="0.3">
      <c r="A487" t="s">
        <v>21</v>
      </c>
      <c r="B487">
        <v>486</v>
      </c>
      <c r="C487" s="1">
        <v>-3.8801834594110442E-2</v>
      </c>
      <c r="D487" s="2">
        <v>225</v>
      </c>
      <c r="E487" s="4">
        <v>5616</v>
      </c>
      <c r="F487" s="4" t="s">
        <v>347</v>
      </c>
      <c r="G487" s="4" t="s">
        <v>346</v>
      </c>
      <c r="H487" t="s">
        <v>77</v>
      </c>
      <c r="I487" t="s">
        <v>350</v>
      </c>
      <c r="J487" s="3">
        <v>1990</v>
      </c>
      <c r="K487" s="3">
        <v>2014</v>
      </c>
      <c r="L487" s="6">
        <f t="shared" si="151"/>
        <v>2002</v>
      </c>
      <c r="M487" s="6">
        <f t="shared" si="152"/>
        <v>2002</v>
      </c>
      <c r="N487" s="7">
        <f t="shared" si="140"/>
        <v>0</v>
      </c>
      <c r="O487" s="7">
        <f t="shared" si="141"/>
        <v>0</v>
      </c>
      <c r="P487" s="7">
        <f t="shared" si="142"/>
        <v>0</v>
      </c>
      <c r="Q487" s="7">
        <f t="shared" si="153"/>
        <v>0</v>
      </c>
      <c r="R487" s="10" t="str">
        <f t="shared" si="143"/>
        <v>0_Pre</v>
      </c>
      <c r="S487" s="10" t="str">
        <f t="shared" si="144"/>
        <v>0_Pre</v>
      </c>
      <c r="T487" s="10" t="str">
        <f t="shared" si="145"/>
        <v>0_Pre</v>
      </c>
      <c r="U487" s="10" t="str">
        <f t="shared" si="146"/>
        <v>0_Pre</v>
      </c>
      <c r="V487" s="10" t="str">
        <f t="shared" si="154"/>
        <v>0_Pre</v>
      </c>
      <c r="W487" s="10" t="str">
        <f t="shared" si="147"/>
        <v>clean_pre</v>
      </c>
      <c r="X487" s="10" t="str">
        <f t="shared" si="148"/>
        <v>0_Pre</v>
      </c>
      <c r="Y487" s="10" t="str">
        <f t="shared" si="149"/>
        <v>0_Pre</v>
      </c>
      <c r="Z487" s="10" t="str">
        <f t="shared" si="150"/>
        <v>0_Pre</v>
      </c>
      <c r="AA487" s="10" t="str">
        <f t="shared" si="155"/>
        <v>0_Pre</v>
      </c>
      <c r="AB487" s="10" t="str">
        <f t="shared" si="156"/>
        <v>0_Pre</v>
      </c>
      <c r="AC487" s="10" t="str">
        <f t="shared" si="157"/>
        <v>0_Pre</v>
      </c>
      <c r="AD487" s="10" t="str">
        <f t="shared" si="158"/>
        <v>1_pre sample median</v>
      </c>
      <c r="AE487" s="10" t="str">
        <f t="shared" si="159"/>
        <v>1_pre sample first tertile</v>
      </c>
      <c r="AF487" t="s">
        <v>80</v>
      </c>
      <c r="AG487" t="s">
        <v>75</v>
      </c>
      <c r="AH487" t="s">
        <v>78</v>
      </c>
      <c r="AI487" t="s">
        <v>70</v>
      </c>
      <c r="AJ487" t="s">
        <v>70</v>
      </c>
      <c r="AK487" t="str">
        <f>VLOOKUP(MID($AR487,1,255),country_lookup!$B:$F,2,FALSE)</f>
        <v>99_NCE</v>
      </c>
      <c r="AL487" t="str">
        <f>VLOOKUP(MID($AR487,1,255),country_lookup!$B:$F,3,FALSE)</f>
        <v>99_NCE</v>
      </c>
      <c r="AM487" t="str">
        <f>VLOOKUP(MID($AR487,1,255),country_lookup!$B:$F,4,FALSE)</f>
        <v>99_NCE</v>
      </c>
      <c r="AN487" t="str">
        <f>VLOOKUP(MID($AR487,1,255),country_lookup!$B:$F,5,FALSE)</f>
        <v>99_NCE</v>
      </c>
      <c r="AO487" s="10" t="str">
        <f>VLOOKUP(MID($AS487,1,255),source_lookup!$B:$K,4,FALSE)</f>
        <v>0_published</v>
      </c>
      <c r="AP487" s="10" t="str">
        <f>VLOOKUP(MID($AS487,1,255),source_lookup!$B:$K,6,FALSE)</f>
        <v>1_VHB high</v>
      </c>
      <c r="AQ487" s="10" t="str">
        <f>VLOOKUP(MID($AS487,1,255),source_lookup!$B:$K,10,FALSE)</f>
        <v>1_fin/acc/econ</v>
      </c>
      <c r="AR487" t="s">
        <v>98</v>
      </c>
      <c r="AS487" t="s">
        <v>145</v>
      </c>
    </row>
    <row r="488" spans="1:45" x14ac:dyDescent="0.3">
      <c r="A488" t="s">
        <v>21</v>
      </c>
      <c r="B488">
        <v>487</v>
      </c>
      <c r="C488" s="1">
        <v>-2.8815106619313354E-2</v>
      </c>
      <c r="D488" s="2">
        <v>1342</v>
      </c>
      <c r="E488" s="4">
        <v>33548</v>
      </c>
      <c r="F488" s="4" t="s">
        <v>347</v>
      </c>
      <c r="G488" s="4" t="s">
        <v>346</v>
      </c>
      <c r="H488" t="s">
        <v>77</v>
      </c>
      <c r="I488" t="s">
        <v>350</v>
      </c>
      <c r="J488" s="3">
        <v>1990</v>
      </c>
      <c r="K488" s="3">
        <v>2014</v>
      </c>
      <c r="L488" s="6">
        <f t="shared" si="151"/>
        <v>2002</v>
      </c>
      <c r="M488" s="6">
        <f t="shared" si="152"/>
        <v>2002</v>
      </c>
      <c r="N488" s="7">
        <f t="shared" si="140"/>
        <v>0</v>
      </c>
      <c r="O488" s="7">
        <f t="shared" si="141"/>
        <v>0</v>
      </c>
      <c r="P488" s="7">
        <f t="shared" si="142"/>
        <v>0</v>
      </c>
      <c r="Q488" s="7">
        <f t="shared" si="153"/>
        <v>0</v>
      </c>
      <c r="R488" s="10" t="str">
        <f t="shared" si="143"/>
        <v>0_Pre</v>
      </c>
      <c r="S488" s="10" t="str">
        <f t="shared" si="144"/>
        <v>0_Pre</v>
      </c>
      <c r="T488" s="10" t="str">
        <f t="shared" si="145"/>
        <v>0_Pre</v>
      </c>
      <c r="U488" s="10" t="str">
        <f t="shared" si="146"/>
        <v>0_Pre</v>
      </c>
      <c r="V488" s="10" t="str">
        <f t="shared" si="154"/>
        <v>0_Pre</v>
      </c>
      <c r="W488" s="10" t="str">
        <f t="shared" si="147"/>
        <v>clean_pre</v>
      </c>
      <c r="X488" s="10" t="str">
        <f t="shared" si="148"/>
        <v>0_Pre</v>
      </c>
      <c r="Y488" s="10" t="str">
        <f t="shared" si="149"/>
        <v>0_Pre</v>
      </c>
      <c r="Z488" s="10" t="str">
        <f t="shared" si="150"/>
        <v>0_Pre</v>
      </c>
      <c r="AA488" s="10" t="str">
        <f t="shared" si="155"/>
        <v>0_Pre</v>
      </c>
      <c r="AB488" s="10" t="str">
        <f t="shared" si="156"/>
        <v>0_Pre</v>
      </c>
      <c r="AC488" s="10" t="str">
        <f t="shared" si="157"/>
        <v>0_Pre</v>
      </c>
      <c r="AD488" s="10" t="str">
        <f t="shared" si="158"/>
        <v>1_pre sample median</v>
      </c>
      <c r="AE488" s="10" t="str">
        <f t="shared" si="159"/>
        <v>1_pre sample first tertile</v>
      </c>
      <c r="AF488" t="s">
        <v>80</v>
      </c>
      <c r="AG488" t="s">
        <v>75</v>
      </c>
      <c r="AH488" t="s">
        <v>78</v>
      </c>
      <c r="AI488" t="s">
        <v>70</v>
      </c>
      <c r="AJ488" t="s">
        <v>70</v>
      </c>
      <c r="AK488" t="str">
        <f>VLOOKUP(MID($AR488,1,255),country_lookup!$B:$F,2,FALSE)</f>
        <v>99_NCE</v>
      </c>
      <c r="AL488" t="str">
        <f>VLOOKUP(MID($AR488,1,255),country_lookup!$B:$F,3,FALSE)</f>
        <v>99_NCE</v>
      </c>
      <c r="AM488" t="str">
        <f>VLOOKUP(MID($AR488,1,255),country_lookup!$B:$F,4,FALSE)</f>
        <v>99_NCE</v>
      </c>
      <c r="AN488" t="str">
        <f>VLOOKUP(MID($AR488,1,255),country_lookup!$B:$F,5,FALSE)</f>
        <v>99_NCE</v>
      </c>
      <c r="AO488" s="10" t="str">
        <f>VLOOKUP(MID($AS488,1,255),source_lookup!$B:$K,4,FALSE)</f>
        <v>0_published</v>
      </c>
      <c r="AP488" s="10" t="str">
        <f>VLOOKUP(MID($AS488,1,255),source_lookup!$B:$K,6,FALSE)</f>
        <v>1_VHB high</v>
      </c>
      <c r="AQ488" s="10" t="str">
        <f>VLOOKUP(MID($AS488,1,255),source_lookup!$B:$K,10,FALSE)</f>
        <v>1_fin/acc/econ</v>
      </c>
      <c r="AR488" t="s">
        <v>99</v>
      </c>
      <c r="AS488" t="s">
        <v>145</v>
      </c>
    </row>
    <row r="489" spans="1:45" x14ac:dyDescent="0.3">
      <c r="A489" t="s">
        <v>21</v>
      </c>
      <c r="B489">
        <v>488</v>
      </c>
      <c r="C489" s="1">
        <v>-1.9105369907516694E-2</v>
      </c>
      <c r="D489" s="2">
        <v>1342</v>
      </c>
      <c r="E489" s="4">
        <v>33548</v>
      </c>
      <c r="F489" s="4" t="s">
        <v>347</v>
      </c>
      <c r="G489" s="4" t="s">
        <v>346</v>
      </c>
      <c r="H489" t="s">
        <v>77</v>
      </c>
      <c r="I489" t="s">
        <v>350</v>
      </c>
      <c r="J489" s="3">
        <v>1990</v>
      </c>
      <c r="K489" s="3">
        <v>2014</v>
      </c>
      <c r="L489" s="6">
        <f t="shared" si="151"/>
        <v>2002</v>
      </c>
      <c r="M489" s="6">
        <f t="shared" si="152"/>
        <v>2002</v>
      </c>
      <c r="N489" s="7">
        <f t="shared" si="140"/>
        <v>0</v>
      </c>
      <c r="O489" s="7">
        <f t="shared" si="141"/>
        <v>0</v>
      </c>
      <c r="P489" s="7">
        <f t="shared" si="142"/>
        <v>0</v>
      </c>
      <c r="Q489" s="7">
        <f t="shared" si="153"/>
        <v>0</v>
      </c>
      <c r="R489" s="10" t="str">
        <f t="shared" si="143"/>
        <v>0_Pre</v>
      </c>
      <c r="S489" s="10" t="str">
        <f t="shared" si="144"/>
        <v>0_Pre</v>
      </c>
      <c r="T489" s="10" t="str">
        <f t="shared" si="145"/>
        <v>0_Pre</v>
      </c>
      <c r="U489" s="10" t="str">
        <f t="shared" si="146"/>
        <v>0_Pre</v>
      </c>
      <c r="V489" s="10" t="str">
        <f t="shared" si="154"/>
        <v>0_Pre</v>
      </c>
      <c r="W489" s="10" t="str">
        <f t="shared" si="147"/>
        <v>clean_pre</v>
      </c>
      <c r="X489" s="10" t="str">
        <f t="shared" si="148"/>
        <v>0_Pre</v>
      </c>
      <c r="Y489" s="10" t="str">
        <f t="shared" si="149"/>
        <v>0_Pre</v>
      </c>
      <c r="Z489" s="10" t="str">
        <f t="shared" si="150"/>
        <v>0_Pre</v>
      </c>
      <c r="AA489" s="10" t="str">
        <f t="shared" si="155"/>
        <v>0_Pre</v>
      </c>
      <c r="AB489" s="10" t="str">
        <f t="shared" si="156"/>
        <v>0_Pre</v>
      </c>
      <c r="AC489" s="10" t="str">
        <f t="shared" si="157"/>
        <v>0_Pre</v>
      </c>
      <c r="AD489" s="10" t="str">
        <f t="shared" si="158"/>
        <v>1_pre sample median</v>
      </c>
      <c r="AE489" s="10" t="str">
        <f t="shared" si="159"/>
        <v>1_pre sample first tertile</v>
      </c>
      <c r="AF489" t="s">
        <v>80</v>
      </c>
      <c r="AG489" t="s">
        <v>75</v>
      </c>
      <c r="AH489" t="s">
        <v>78</v>
      </c>
      <c r="AI489" t="s">
        <v>70</v>
      </c>
      <c r="AJ489" t="s">
        <v>70</v>
      </c>
      <c r="AK489" t="str">
        <f>VLOOKUP(MID($AR489,1,255),country_lookup!$B:$F,2,FALSE)</f>
        <v>99_NCE</v>
      </c>
      <c r="AL489" t="str">
        <f>VLOOKUP(MID($AR489,1,255),country_lookup!$B:$F,3,FALSE)</f>
        <v>99_NCE</v>
      </c>
      <c r="AM489" t="str">
        <f>VLOOKUP(MID($AR489,1,255),country_lookup!$B:$F,4,FALSE)</f>
        <v>99_NCE</v>
      </c>
      <c r="AN489" t="str">
        <f>VLOOKUP(MID($AR489,1,255),country_lookup!$B:$F,5,FALSE)</f>
        <v>99_NCE</v>
      </c>
      <c r="AO489" s="10" t="str">
        <f>VLOOKUP(MID($AS489,1,255),source_lookup!$B:$K,4,FALSE)</f>
        <v>0_published</v>
      </c>
      <c r="AP489" s="10" t="str">
        <f>VLOOKUP(MID($AS489,1,255),source_lookup!$B:$K,6,FALSE)</f>
        <v>1_VHB high</v>
      </c>
      <c r="AQ489" s="10" t="str">
        <f>VLOOKUP(MID($AS489,1,255),source_lookup!$B:$K,10,FALSE)</f>
        <v>1_fin/acc/econ</v>
      </c>
      <c r="AR489" t="s">
        <v>99</v>
      </c>
      <c r="AS489" t="s">
        <v>145</v>
      </c>
    </row>
    <row r="490" spans="1:45" x14ac:dyDescent="0.3">
      <c r="A490" t="s">
        <v>21</v>
      </c>
      <c r="B490">
        <v>489</v>
      </c>
      <c r="C490" s="1">
        <v>-2.8760577738615473E-2</v>
      </c>
      <c r="D490" s="2">
        <v>1342</v>
      </c>
      <c r="E490" s="4">
        <v>33548</v>
      </c>
      <c r="F490" s="4" t="s">
        <v>347</v>
      </c>
      <c r="G490" s="4" t="s">
        <v>346</v>
      </c>
      <c r="H490" t="s">
        <v>77</v>
      </c>
      <c r="I490" t="s">
        <v>350</v>
      </c>
      <c r="J490" s="3">
        <v>1990</v>
      </c>
      <c r="K490" s="3">
        <v>2014</v>
      </c>
      <c r="L490" s="6">
        <f t="shared" si="151"/>
        <v>2002</v>
      </c>
      <c r="M490" s="6">
        <f t="shared" si="152"/>
        <v>2002</v>
      </c>
      <c r="N490" s="7">
        <f t="shared" si="140"/>
        <v>0</v>
      </c>
      <c r="O490" s="7">
        <f t="shared" si="141"/>
        <v>0</v>
      </c>
      <c r="P490" s="7">
        <f t="shared" si="142"/>
        <v>0</v>
      </c>
      <c r="Q490" s="7">
        <f t="shared" si="153"/>
        <v>0</v>
      </c>
      <c r="R490" s="10" t="str">
        <f t="shared" si="143"/>
        <v>0_Pre</v>
      </c>
      <c r="S490" s="10" t="str">
        <f t="shared" si="144"/>
        <v>0_Pre</v>
      </c>
      <c r="T490" s="10" t="str">
        <f t="shared" si="145"/>
        <v>0_Pre</v>
      </c>
      <c r="U490" s="10" t="str">
        <f t="shared" si="146"/>
        <v>0_Pre</v>
      </c>
      <c r="V490" s="10" t="str">
        <f t="shared" si="154"/>
        <v>0_Pre</v>
      </c>
      <c r="W490" s="10" t="str">
        <f t="shared" si="147"/>
        <v>clean_pre</v>
      </c>
      <c r="X490" s="10" t="str">
        <f t="shared" si="148"/>
        <v>0_Pre</v>
      </c>
      <c r="Y490" s="10" t="str">
        <f t="shared" si="149"/>
        <v>0_Pre</v>
      </c>
      <c r="Z490" s="10" t="str">
        <f t="shared" si="150"/>
        <v>0_Pre</v>
      </c>
      <c r="AA490" s="10" t="str">
        <f t="shared" si="155"/>
        <v>0_Pre</v>
      </c>
      <c r="AB490" s="10" t="str">
        <f t="shared" si="156"/>
        <v>0_Pre</v>
      </c>
      <c r="AC490" s="10" t="str">
        <f t="shared" si="157"/>
        <v>0_Pre</v>
      </c>
      <c r="AD490" s="10" t="str">
        <f t="shared" si="158"/>
        <v>1_pre sample median</v>
      </c>
      <c r="AE490" s="10" t="str">
        <f t="shared" si="159"/>
        <v>1_pre sample first tertile</v>
      </c>
      <c r="AF490" t="s">
        <v>80</v>
      </c>
      <c r="AG490" t="s">
        <v>75</v>
      </c>
      <c r="AH490" t="s">
        <v>78</v>
      </c>
      <c r="AI490" t="s">
        <v>70</v>
      </c>
      <c r="AJ490" t="s">
        <v>70</v>
      </c>
      <c r="AK490" t="str">
        <f>VLOOKUP(MID($AR490,1,255),country_lookup!$B:$F,2,FALSE)</f>
        <v>99_NCE</v>
      </c>
      <c r="AL490" t="str">
        <f>VLOOKUP(MID($AR490,1,255),country_lookup!$B:$F,3,FALSE)</f>
        <v>99_NCE</v>
      </c>
      <c r="AM490" t="str">
        <f>VLOOKUP(MID($AR490,1,255),country_lookup!$B:$F,4,FALSE)</f>
        <v>99_NCE</v>
      </c>
      <c r="AN490" t="str">
        <f>VLOOKUP(MID($AR490,1,255),country_lookup!$B:$F,5,FALSE)</f>
        <v>99_NCE</v>
      </c>
      <c r="AO490" s="10" t="str">
        <f>VLOOKUP(MID($AS490,1,255),source_lookup!$B:$K,4,FALSE)</f>
        <v>0_published</v>
      </c>
      <c r="AP490" s="10" t="str">
        <f>VLOOKUP(MID($AS490,1,255),source_lookup!$B:$K,6,FALSE)</f>
        <v>1_VHB high</v>
      </c>
      <c r="AQ490" s="10" t="str">
        <f>VLOOKUP(MID($AS490,1,255),source_lookup!$B:$K,10,FALSE)</f>
        <v>1_fin/acc/econ</v>
      </c>
      <c r="AR490" t="s">
        <v>99</v>
      </c>
      <c r="AS490" t="s">
        <v>145</v>
      </c>
    </row>
    <row r="491" spans="1:45" x14ac:dyDescent="0.3">
      <c r="A491" t="s">
        <v>21</v>
      </c>
      <c r="B491">
        <v>490</v>
      </c>
      <c r="C491" s="1">
        <v>3.1875984032659892E-2</v>
      </c>
      <c r="D491" s="2">
        <v>225</v>
      </c>
      <c r="E491" s="4">
        <v>5616</v>
      </c>
      <c r="F491" s="4" t="s">
        <v>347</v>
      </c>
      <c r="G491" s="4" t="s">
        <v>346</v>
      </c>
      <c r="H491" t="s">
        <v>77</v>
      </c>
      <c r="I491" t="s">
        <v>350</v>
      </c>
      <c r="J491" s="3">
        <v>1990</v>
      </c>
      <c r="K491" s="3">
        <v>2014</v>
      </c>
      <c r="L491" s="6">
        <f t="shared" si="151"/>
        <v>2002</v>
      </c>
      <c r="M491" s="6">
        <f t="shared" si="152"/>
        <v>2002</v>
      </c>
      <c r="N491" s="7">
        <f t="shared" si="140"/>
        <v>0</v>
      </c>
      <c r="O491" s="7">
        <f t="shared" si="141"/>
        <v>0</v>
      </c>
      <c r="P491" s="7">
        <f t="shared" si="142"/>
        <v>0</v>
      </c>
      <c r="Q491" s="7">
        <f t="shared" si="153"/>
        <v>0</v>
      </c>
      <c r="R491" s="10" t="str">
        <f t="shared" si="143"/>
        <v>0_Pre</v>
      </c>
      <c r="S491" s="10" t="str">
        <f t="shared" si="144"/>
        <v>0_Pre</v>
      </c>
      <c r="T491" s="10" t="str">
        <f t="shared" si="145"/>
        <v>0_Pre</v>
      </c>
      <c r="U491" s="10" t="str">
        <f t="shared" si="146"/>
        <v>0_Pre</v>
      </c>
      <c r="V491" s="10" t="str">
        <f t="shared" si="154"/>
        <v>0_Pre</v>
      </c>
      <c r="W491" s="10" t="str">
        <f t="shared" si="147"/>
        <v>clean_pre</v>
      </c>
      <c r="X491" s="10" t="str">
        <f t="shared" si="148"/>
        <v>0_Pre</v>
      </c>
      <c r="Y491" s="10" t="str">
        <f t="shared" si="149"/>
        <v>0_Pre</v>
      </c>
      <c r="Z491" s="10" t="str">
        <f t="shared" si="150"/>
        <v>0_Pre</v>
      </c>
      <c r="AA491" s="10" t="str">
        <f t="shared" si="155"/>
        <v>0_Pre</v>
      </c>
      <c r="AB491" s="10" t="str">
        <f t="shared" si="156"/>
        <v>0_Pre</v>
      </c>
      <c r="AC491" s="10" t="str">
        <f t="shared" si="157"/>
        <v>0_Pre</v>
      </c>
      <c r="AD491" s="10" t="str">
        <f t="shared" si="158"/>
        <v>1_pre sample median</v>
      </c>
      <c r="AE491" s="10" t="str">
        <f t="shared" si="159"/>
        <v>1_pre sample first tertile</v>
      </c>
      <c r="AF491" t="s">
        <v>80</v>
      </c>
      <c r="AG491" t="s">
        <v>75</v>
      </c>
      <c r="AH491" t="s">
        <v>78</v>
      </c>
      <c r="AI491" t="s">
        <v>70</v>
      </c>
      <c r="AJ491" t="s">
        <v>70</v>
      </c>
      <c r="AK491" t="str">
        <f>VLOOKUP(MID($AR491,1,255),country_lookup!$B:$F,2,FALSE)</f>
        <v>99_NCE</v>
      </c>
      <c r="AL491" t="str">
        <f>VLOOKUP(MID($AR491,1,255),country_lookup!$B:$F,3,FALSE)</f>
        <v>99_NCE</v>
      </c>
      <c r="AM491" t="str">
        <f>VLOOKUP(MID($AR491,1,255),country_lookup!$B:$F,4,FALSE)</f>
        <v>99_NCE</v>
      </c>
      <c r="AN491" t="str">
        <f>VLOOKUP(MID($AR491,1,255),country_lookup!$B:$F,5,FALSE)</f>
        <v>99_NCE</v>
      </c>
      <c r="AO491" s="10" t="str">
        <f>VLOOKUP(MID($AS491,1,255),source_lookup!$B:$K,4,FALSE)</f>
        <v>0_published</v>
      </c>
      <c r="AP491" s="10" t="str">
        <f>VLOOKUP(MID($AS491,1,255),source_lookup!$B:$K,6,FALSE)</f>
        <v>1_VHB high</v>
      </c>
      <c r="AQ491" s="10" t="str">
        <f>VLOOKUP(MID($AS491,1,255),source_lookup!$B:$K,10,FALSE)</f>
        <v>1_fin/acc/econ</v>
      </c>
      <c r="AR491" t="s">
        <v>98</v>
      </c>
      <c r="AS491" t="s">
        <v>145</v>
      </c>
    </row>
    <row r="492" spans="1:45" x14ac:dyDescent="0.3">
      <c r="A492" t="s">
        <v>21</v>
      </c>
      <c r="B492">
        <v>491</v>
      </c>
      <c r="C492" s="1">
        <v>-4.5323021001290681E-2</v>
      </c>
      <c r="D492" s="2">
        <v>225</v>
      </c>
      <c r="E492" s="4">
        <v>5616</v>
      </c>
      <c r="F492" s="4" t="s">
        <v>347</v>
      </c>
      <c r="G492" s="4" t="s">
        <v>346</v>
      </c>
      <c r="H492" t="s">
        <v>77</v>
      </c>
      <c r="I492" t="s">
        <v>350</v>
      </c>
      <c r="J492" s="3">
        <v>1990</v>
      </c>
      <c r="K492" s="3">
        <v>2014</v>
      </c>
      <c r="L492" s="6">
        <f t="shared" si="151"/>
        <v>2002</v>
      </c>
      <c r="M492" s="6">
        <f t="shared" si="152"/>
        <v>2002</v>
      </c>
      <c r="N492" s="7">
        <f t="shared" si="140"/>
        <v>0</v>
      </c>
      <c r="O492" s="7">
        <f t="shared" si="141"/>
        <v>0</v>
      </c>
      <c r="P492" s="7">
        <f t="shared" si="142"/>
        <v>0</v>
      </c>
      <c r="Q492" s="7">
        <f t="shared" si="153"/>
        <v>0</v>
      </c>
      <c r="R492" s="10" t="str">
        <f t="shared" si="143"/>
        <v>0_Pre</v>
      </c>
      <c r="S492" s="10" t="str">
        <f t="shared" si="144"/>
        <v>0_Pre</v>
      </c>
      <c r="T492" s="10" t="str">
        <f t="shared" si="145"/>
        <v>0_Pre</v>
      </c>
      <c r="U492" s="10" t="str">
        <f t="shared" si="146"/>
        <v>0_Pre</v>
      </c>
      <c r="V492" s="10" t="str">
        <f t="shared" si="154"/>
        <v>0_Pre</v>
      </c>
      <c r="W492" s="10" t="str">
        <f t="shared" si="147"/>
        <v>clean_pre</v>
      </c>
      <c r="X492" s="10" t="str">
        <f t="shared" si="148"/>
        <v>0_Pre</v>
      </c>
      <c r="Y492" s="10" t="str">
        <f t="shared" si="149"/>
        <v>0_Pre</v>
      </c>
      <c r="Z492" s="10" t="str">
        <f t="shared" si="150"/>
        <v>0_Pre</v>
      </c>
      <c r="AA492" s="10" t="str">
        <f t="shared" si="155"/>
        <v>0_Pre</v>
      </c>
      <c r="AB492" s="10" t="str">
        <f t="shared" si="156"/>
        <v>0_Pre</v>
      </c>
      <c r="AC492" s="10" t="str">
        <f t="shared" si="157"/>
        <v>0_Pre</v>
      </c>
      <c r="AD492" s="10" t="str">
        <f t="shared" si="158"/>
        <v>1_pre sample median</v>
      </c>
      <c r="AE492" s="10" t="str">
        <f t="shared" si="159"/>
        <v>1_pre sample first tertile</v>
      </c>
      <c r="AF492" t="s">
        <v>80</v>
      </c>
      <c r="AG492" t="s">
        <v>75</v>
      </c>
      <c r="AH492" t="s">
        <v>78</v>
      </c>
      <c r="AI492" t="s">
        <v>70</v>
      </c>
      <c r="AJ492" t="s">
        <v>70</v>
      </c>
      <c r="AK492" t="str">
        <f>VLOOKUP(MID($AR492,1,255),country_lookup!$B:$F,2,FALSE)</f>
        <v>99_NCE</v>
      </c>
      <c r="AL492" t="str">
        <f>VLOOKUP(MID($AR492,1,255),country_lookup!$B:$F,3,FALSE)</f>
        <v>99_NCE</v>
      </c>
      <c r="AM492" t="str">
        <f>VLOOKUP(MID($AR492,1,255),country_lookup!$B:$F,4,FALSE)</f>
        <v>99_NCE</v>
      </c>
      <c r="AN492" t="str">
        <f>VLOOKUP(MID($AR492,1,255),country_lookup!$B:$F,5,FALSE)</f>
        <v>99_NCE</v>
      </c>
      <c r="AO492" s="10" t="str">
        <f>VLOOKUP(MID($AS492,1,255),source_lookup!$B:$K,4,FALSE)</f>
        <v>0_published</v>
      </c>
      <c r="AP492" s="10" t="str">
        <f>VLOOKUP(MID($AS492,1,255),source_lookup!$B:$K,6,FALSE)</f>
        <v>1_VHB high</v>
      </c>
      <c r="AQ492" s="10" t="str">
        <f>VLOOKUP(MID($AS492,1,255),source_lookup!$B:$K,10,FALSE)</f>
        <v>1_fin/acc/econ</v>
      </c>
      <c r="AR492" t="s">
        <v>98</v>
      </c>
      <c r="AS492" t="s">
        <v>145</v>
      </c>
    </row>
    <row r="493" spans="1:45" x14ac:dyDescent="0.3">
      <c r="A493" t="s">
        <v>21</v>
      </c>
      <c r="B493">
        <v>492</v>
      </c>
      <c r="C493" s="1">
        <v>-5.0908033123771526E-2</v>
      </c>
      <c r="D493" s="2">
        <v>225</v>
      </c>
      <c r="E493" s="4">
        <v>5616</v>
      </c>
      <c r="F493" s="4" t="s">
        <v>347</v>
      </c>
      <c r="G493" s="4" t="s">
        <v>346</v>
      </c>
      <c r="H493" t="s">
        <v>77</v>
      </c>
      <c r="I493" t="s">
        <v>350</v>
      </c>
      <c r="J493" s="3">
        <v>1990</v>
      </c>
      <c r="K493" s="3">
        <v>2014</v>
      </c>
      <c r="L493" s="6">
        <f t="shared" si="151"/>
        <v>2002</v>
      </c>
      <c r="M493" s="6">
        <f t="shared" si="152"/>
        <v>2002</v>
      </c>
      <c r="N493" s="7">
        <f t="shared" si="140"/>
        <v>0</v>
      </c>
      <c r="O493" s="7">
        <f t="shared" si="141"/>
        <v>0</v>
      </c>
      <c r="P493" s="7">
        <f t="shared" si="142"/>
        <v>0</v>
      </c>
      <c r="Q493" s="7">
        <f t="shared" si="153"/>
        <v>0</v>
      </c>
      <c r="R493" s="10" t="str">
        <f t="shared" si="143"/>
        <v>0_Pre</v>
      </c>
      <c r="S493" s="10" t="str">
        <f t="shared" si="144"/>
        <v>0_Pre</v>
      </c>
      <c r="T493" s="10" t="str">
        <f t="shared" si="145"/>
        <v>0_Pre</v>
      </c>
      <c r="U493" s="10" t="str">
        <f t="shared" si="146"/>
        <v>0_Pre</v>
      </c>
      <c r="V493" s="10" t="str">
        <f t="shared" si="154"/>
        <v>0_Pre</v>
      </c>
      <c r="W493" s="10" t="str">
        <f t="shared" si="147"/>
        <v>clean_pre</v>
      </c>
      <c r="X493" s="10" t="str">
        <f t="shared" si="148"/>
        <v>0_Pre</v>
      </c>
      <c r="Y493" s="10" t="str">
        <f t="shared" si="149"/>
        <v>0_Pre</v>
      </c>
      <c r="Z493" s="10" t="str">
        <f t="shared" si="150"/>
        <v>0_Pre</v>
      </c>
      <c r="AA493" s="10" t="str">
        <f t="shared" si="155"/>
        <v>0_Pre</v>
      </c>
      <c r="AB493" s="10" t="str">
        <f t="shared" si="156"/>
        <v>0_Pre</v>
      </c>
      <c r="AC493" s="10" t="str">
        <f t="shared" si="157"/>
        <v>0_Pre</v>
      </c>
      <c r="AD493" s="10" t="str">
        <f t="shared" si="158"/>
        <v>1_pre sample median</v>
      </c>
      <c r="AE493" s="10" t="str">
        <f t="shared" si="159"/>
        <v>1_pre sample first tertile</v>
      </c>
      <c r="AF493" t="s">
        <v>80</v>
      </c>
      <c r="AG493" t="s">
        <v>75</v>
      </c>
      <c r="AH493" t="s">
        <v>78</v>
      </c>
      <c r="AI493" t="s">
        <v>70</v>
      </c>
      <c r="AJ493" t="s">
        <v>70</v>
      </c>
      <c r="AK493" t="str">
        <f>VLOOKUP(MID($AR493,1,255),country_lookup!$B:$F,2,FALSE)</f>
        <v>99_NCE</v>
      </c>
      <c r="AL493" t="str">
        <f>VLOOKUP(MID($AR493,1,255),country_lookup!$B:$F,3,FALSE)</f>
        <v>99_NCE</v>
      </c>
      <c r="AM493" t="str">
        <f>VLOOKUP(MID($AR493,1,255),country_lookup!$B:$F,4,FALSE)</f>
        <v>99_NCE</v>
      </c>
      <c r="AN493" t="str">
        <f>VLOOKUP(MID($AR493,1,255),country_lookup!$B:$F,5,FALSE)</f>
        <v>99_NCE</v>
      </c>
      <c r="AO493" s="10" t="str">
        <f>VLOOKUP(MID($AS493,1,255),source_lookup!$B:$K,4,FALSE)</f>
        <v>0_published</v>
      </c>
      <c r="AP493" s="10" t="str">
        <f>VLOOKUP(MID($AS493,1,255),source_lookup!$B:$K,6,FALSE)</f>
        <v>1_VHB high</v>
      </c>
      <c r="AQ493" s="10" t="str">
        <f>VLOOKUP(MID($AS493,1,255),source_lookup!$B:$K,10,FALSE)</f>
        <v>1_fin/acc/econ</v>
      </c>
      <c r="AR493" t="s">
        <v>98</v>
      </c>
      <c r="AS493" t="s">
        <v>145</v>
      </c>
    </row>
    <row r="494" spans="1:45" x14ac:dyDescent="0.3">
      <c r="A494" t="s">
        <v>21</v>
      </c>
      <c r="B494">
        <v>493</v>
      </c>
      <c r="C494" s="1">
        <v>9.9319696935128668E-2</v>
      </c>
      <c r="D494" s="2">
        <v>225</v>
      </c>
      <c r="E494" s="4">
        <v>5616</v>
      </c>
      <c r="F494" s="4" t="s">
        <v>347</v>
      </c>
      <c r="G494" s="4" t="s">
        <v>346</v>
      </c>
      <c r="H494" t="s">
        <v>77</v>
      </c>
      <c r="I494" t="s">
        <v>350</v>
      </c>
      <c r="J494" s="3">
        <v>1990</v>
      </c>
      <c r="K494" s="3">
        <v>2014</v>
      </c>
      <c r="L494" s="6">
        <f t="shared" si="151"/>
        <v>2002</v>
      </c>
      <c r="M494" s="6">
        <f t="shared" si="152"/>
        <v>2002</v>
      </c>
      <c r="N494" s="7">
        <f t="shared" si="140"/>
        <v>0</v>
      </c>
      <c r="O494" s="7">
        <f t="shared" si="141"/>
        <v>0</v>
      </c>
      <c r="P494" s="7">
        <f t="shared" si="142"/>
        <v>0</v>
      </c>
      <c r="Q494" s="7">
        <f t="shared" si="153"/>
        <v>0</v>
      </c>
      <c r="R494" s="10" t="str">
        <f t="shared" si="143"/>
        <v>0_Pre</v>
      </c>
      <c r="S494" s="10" t="str">
        <f t="shared" si="144"/>
        <v>0_Pre</v>
      </c>
      <c r="T494" s="10" t="str">
        <f t="shared" si="145"/>
        <v>0_Pre</v>
      </c>
      <c r="U494" s="10" t="str">
        <f t="shared" si="146"/>
        <v>0_Pre</v>
      </c>
      <c r="V494" s="10" t="str">
        <f t="shared" si="154"/>
        <v>0_Pre</v>
      </c>
      <c r="W494" s="10" t="str">
        <f t="shared" si="147"/>
        <v>clean_pre</v>
      </c>
      <c r="X494" s="10" t="str">
        <f t="shared" si="148"/>
        <v>0_Pre</v>
      </c>
      <c r="Y494" s="10" t="str">
        <f t="shared" si="149"/>
        <v>0_Pre</v>
      </c>
      <c r="Z494" s="10" t="str">
        <f t="shared" si="150"/>
        <v>0_Pre</v>
      </c>
      <c r="AA494" s="10" t="str">
        <f t="shared" si="155"/>
        <v>0_Pre</v>
      </c>
      <c r="AB494" s="10" t="str">
        <f t="shared" si="156"/>
        <v>0_Pre</v>
      </c>
      <c r="AC494" s="10" t="str">
        <f t="shared" si="157"/>
        <v>0_Pre</v>
      </c>
      <c r="AD494" s="10" t="str">
        <f t="shared" si="158"/>
        <v>1_pre sample median</v>
      </c>
      <c r="AE494" s="10" t="str">
        <f t="shared" si="159"/>
        <v>1_pre sample first tertile</v>
      </c>
      <c r="AF494" t="s">
        <v>80</v>
      </c>
      <c r="AG494" t="s">
        <v>75</v>
      </c>
      <c r="AH494" t="s">
        <v>78</v>
      </c>
      <c r="AI494" t="s">
        <v>70</v>
      </c>
      <c r="AJ494" t="s">
        <v>70</v>
      </c>
      <c r="AK494" t="str">
        <f>VLOOKUP(MID($AR494,1,255),country_lookup!$B:$F,2,FALSE)</f>
        <v>99_NCE</v>
      </c>
      <c r="AL494" t="str">
        <f>VLOOKUP(MID($AR494,1,255),country_lookup!$B:$F,3,FALSE)</f>
        <v>99_NCE</v>
      </c>
      <c r="AM494" t="str">
        <f>VLOOKUP(MID($AR494,1,255),country_lookup!$B:$F,4,FALSE)</f>
        <v>99_NCE</v>
      </c>
      <c r="AN494" t="str">
        <f>VLOOKUP(MID($AR494,1,255),country_lookup!$B:$F,5,FALSE)</f>
        <v>99_NCE</v>
      </c>
      <c r="AO494" s="10" t="str">
        <f>VLOOKUP(MID($AS494,1,255),source_lookup!$B:$K,4,FALSE)</f>
        <v>0_published</v>
      </c>
      <c r="AP494" s="10" t="str">
        <f>VLOOKUP(MID($AS494,1,255),source_lookup!$B:$K,6,FALSE)</f>
        <v>1_VHB high</v>
      </c>
      <c r="AQ494" s="10" t="str">
        <f>VLOOKUP(MID($AS494,1,255),source_lookup!$B:$K,10,FALSE)</f>
        <v>1_fin/acc/econ</v>
      </c>
      <c r="AR494" t="s">
        <v>99</v>
      </c>
      <c r="AS494" t="s">
        <v>145</v>
      </c>
    </row>
    <row r="495" spans="1:45" x14ac:dyDescent="0.3">
      <c r="A495" t="s">
        <v>21</v>
      </c>
      <c r="B495">
        <v>494</v>
      </c>
      <c r="C495" s="1">
        <v>-8.7598998537082848E-2</v>
      </c>
      <c r="D495" s="2">
        <v>225</v>
      </c>
      <c r="E495" s="4">
        <v>5616</v>
      </c>
      <c r="F495" s="4" t="s">
        <v>347</v>
      </c>
      <c r="G495" s="4" t="s">
        <v>346</v>
      </c>
      <c r="H495" t="s">
        <v>77</v>
      </c>
      <c r="I495" t="s">
        <v>350</v>
      </c>
      <c r="J495" s="3">
        <v>1990</v>
      </c>
      <c r="K495" s="3">
        <v>2014</v>
      </c>
      <c r="L495" s="6">
        <f t="shared" si="151"/>
        <v>2002</v>
      </c>
      <c r="M495" s="6">
        <f t="shared" si="152"/>
        <v>2002</v>
      </c>
      <c r="N495" s="7">
        <f t="shared" si="140"/>
        <v>0</v>
      </c>
      <c r="O495" s="7">
        <f t="shared" si="141"/>
        <v>0</v>
      </c>
      <c r="P495" s="7">
        <f t="shared" si="142"/>
        <v>0</v>
      </c>
      <c r="Q495" s="7">
        <f t="shared" si="153"/>
        <v>0</v>
      </c>
      <c r="R495" s="10" t="str">
        <f t="shared" si="143"/>
        <v>0_Pre</v>
      </c>
      <c r="S495" s="10" t="str">
        <f t="shared" si="144"/>
        <v>0_Pre</v>
      </c>
      <c r="T495" s="10" t="str">
        <f t="shared" si="145"/>
        <v>0_Pre</v>
      </c>
      <c r="U495" s="10" t="str">
        <f t="shared" si="146"/>
        <v>0_Pre</v>
      </c>
      <c r="V495" s="10" t="str">
        <f t="shared" si="154"/>
        <v>0_Pre</v>
      </c>
      <c r="W495" s="10" t="str">
        <f t="shared" si="147"/>
        <v>clean_pre</v>
      </c>
      <c r="X495" s="10" t="str">
        <f t="shared" si="148"/>
        <v>0_Pre</v>
      </c>
      <c r="Y495" s="10" t="str">
        <f t="shared" si="149"/>
        <v>0_Pre</v>
      </c>
      <c r="Z495" s="10" t="str">
        <f t="shared" si="150"/>
        <v>0_Pre</v>
      </c>
      <c r="AA495" s="10" t="str">
        <f t="shared" si="155"/>
        <v>0_Pre</v>
      </c>
      <c r="AB495" s="10" t="str">
        <f t="shared" si="156"/>
        <v>0_Pre</v>
      </c>
      <c r="AC495" s="10" t="str">
        <f t="shared" si="157"/>
        <v>0_Pre</v>
      </c>
      <c r="AD495" s="10" t="str">
        <f t="shared" si="158"/>
        <v>1_pre sample median</v>
      </c>
      <c r="AE495" s="10" t="str">
        <f t="shared" si="159"/>
        <v>1_pre sample first tertile</v>
      </c>
      <c r="AF495" t="s">
        <v>80</v>
      </c>
      <c r="AG495" t="s">
        <v>75</v>
      </c>
      <c r="AH495" t="s">
        <v>78</v>
      </c>
      <c r="AI495" t="s">
        <v>70</v>
      </c>
      <c r="AJ495" t="s">
        <v>70</v>
      </c>
      <c r="AK495" t="str">
        <f>VLOOKUP(MID($AR495,1,255),country_lookup!$B:$F,2,FALSE)</f>
        <v>99_NCE</v>
      </c>
      <c r="AL495" t="str">
        <f>VLOOKUP(MID($AR495,1,255),country_lookup!$B:$F,3,FALSE)</f>
        <v>99_NCE</v>
      </c>
      <c r="AM495" t="str">
        <f>VLOOKUP(MID($AR495,1,255),country_lookup!$B:$F,4,FALSE)</f>
        <v>99_NCE</v>
      </c>
      <c r="AN495" t="str">
        <f>VLOOKUP(MID($AR495,1,255),country_lookup!$B:$F,5,FALSE)</f>
        <v>99_NCE</v>
      </c>
      <c r="AO495" s="10" t="str">
        <f>VLOOKUP(MID($AS495,1,255),source_lookup!$B:$K,4,FALSE)</f>
        <v>0_published</v>
      </c>
      <c r="AP495" s="10" t="str">
        <f>VLOOKUP(MID($AS495,1,255),source_lookup!$B:$K,6,FALSE)</f>
        <v>1_VHB high</v>
      </c>
      <c r="AQ495" s="10" t="str">
        <f>VLOOKUP(MID($AS495,1,255),source_lookup!$B:$K,10,FALSE)</f>
        <v>1_fin/acc/econ</v>
      </c>
      <c r="AR495" t="s">
        <v>99</v>
      </c>
      <c r="AS495" t="s">
        <v>145</v>
      </c>
    </row>
    <row r="496" spans="1:45" x14ac:dyDescent="0.3">
      <c r="A496" t="s">
        <v>21</v>
      </c>
      <c r="B496">
        <v>495</v>
      </c>
      <c r="C496" s="1">
        <v>-9.7478602598015648E-2</v>
      </c>
      <c r="D496" s="2">
        <v>225</v>
      </c>
      <c r="E496" s="4">
        <v>5616</v>
      </c>
      <c r="F496" s="4" t="s">
        <v>347</v>
      </c>
      <c r="G496" s="4" t="s">
        <v>346</v>
      </c>
      <c r="H496" t="s">
        <v>77</v>
      </c>
      <c r="I496" t="s">
        <v>350</v>
      </c>
      <c r="J496" s="3">
        <v>1990</v>
      </c>
      <c r="K496" s="3">
        <v>2014</v>
      </c>
      <c r="L496" s="6">
        <f t="shared" si="151"/>
        <v>2002</v>
      </c>
      <c r="M496" s="6">
        <f t="shared" si="152"/>
        <v>2002</v>
      </c>
      <c r="N496" s="7">
        <f t="shared" si="140"/>
        <v>0</v>
      </c>
      <c r="O496" s="7">
        <f t="shared" si="141"/>
        <v>0</v>
      </c>
      <c r="P496" s="7">
        <f t="shared" si="142"/>
        <v>0</v>
      </c>
      <c r="Q496" s="7">
        <f t="shared" si="153"/>
        <v>0</v>
      </c>
      <c r="R496" s="10" t="str">
        <f t="shared" si="143"/>
        <v>0_Pre</v>
      </c>
      <c r="S496" s="10" t="str">
        <f t="shared" si="144"/>
        <v>0_Pre</v>
      </c>
      <c r="T496" s="10" t="str">
        <f t="shared" si="145"/>
        <v>0_Pre</v>
      </c>
      <c r="U496" s="10" t="str">
        <f t="shared" si="146"/>
        <v>0_Pre</v>
      </c>
      <c r="V496" s="10" t="str">
        <f t="shared" si="154"/>
        <v>0_Pre</v>
      </c>
      <c r="W496" s="10" t="str">
        <f t="shared" si="147"/>
        <v>clean_pre</v>
      </c>
      <c r="X496" s="10" t="str">
        <f t="shared" si="148"/>
        <v>0_Pre</v>
      </c>
      <c r="Y496" s="10" t="str">
        <f t="shared" si="149"/>
        <v>0_Pre</v>
      </c>
      <c r="Z496" s="10" t="str">
        <f t="shared" si="150"/>
        <v>0_Pre</v>
      </c>
      <c r="AA496" s="10" t="str">
        <f t="shared" si="155"/>
        <v>0_Pre</v>
      </c>
      <c r="AB496" s="10" t="str">
        <f t="shared" si="156"/>
        <v>0_Pre</v>
      </c>
      <c r="AC496" s="10" t="str">
        <f t="shared" si="157"/>
        <v>0_Pre</v>
      </c>
      <c r="AD496" s="10" t="str">
        <f t="shared" si="158"/>
        <v>1_pre sample median</v>
      </c>
      <c r="AE496" s="10" t="str">
        <f t="shared" si="159"/>
        <v>1_pre sample first tertile</v>
      </c>
      <c r="AF496" t="s">
        <v>80</v>
      </c>
      <c r="AG496" t="s">
        <v>75</v>
      </c>
      <c r="AH496" t="s">
        <v>78</v>
      </c>
      <c r="AI496" t="s">
        <v>70</v>
      </c>
      <c r="AJ496" t="s">
        <v>70</v>
      </c>
      <c r="AK496" t="str">
        <f>VLOOKUP(MID($AR496,1,255),country_lookup!$B:$F,2,FALSE)</f>
        <v>99_NCE</v>
      </c>
      <c r="AL496" t="str">
        <f>VLOOKUP(MID($AR496,1,255),country_lookup!$B:$F,3,FALSE)</f>
        <v>99_NCE</v>
      </c>
      <c r="AM496" t="str">
        <f>VLOOKUP(MID($AR496,1,255),country_lookup!$B:$F,4,FALSE)</f>
        <v>99_NCE</v>
      </c>
      <c r="AN496" t="str">
        <f>VLOOKUP(MID($AR496,1,255),country_lookup!$B:$F,5,FALSE)</f>
        <v>99_NCE</v>
      </c>
      <c r="AO496" s="10" t="str">
        <f>VLOOKUP(MID($AS496,1,255),source_lookup!$B:$K,4,FALSE)</f>
        <v>0_published</v>
      </c>
      <c r="AP496" s="10" t="str">
        <f>VLOOKUP(MID($AS496,1,255),source_lookup!$B:$K,6,FALSE)</f>
        <v>1_VHB high</v>
      </c>
      <c r="AQ496" s="10" t="str">
        <f>VLOOKUP(MID($AS496,1,255),source_lookup!$B:$K,10,FALSE)</f>
        <v>1_fin/acc/econ</v>
      </c>
      <c r="AR496" t="s">
        <v>99</v>
      </c>
      <c r="AS496" t="s">
        <v>145</v>
      </c>
    </row>
    <row r="497" spans="1:45" x14ac:dyDescent="0.3">
      <c r="A497" t="s">
        <v>21</v>
      </c>
      <c r="B497">
        <v>496</v>
      </c>
      <c r="C497" s="1">
        <v>-3.3741315274815012E-2</v>
      </c>
      <c r="D497" s="2">
        <v>184</v>
      </c>
      <c r="E497" s="4">
        <v>4601</v>
      </c>
      <c r="F497" s="4" t="s">
        <v>347</v>
      </c>
      <c r="G497" s="4" t="s">
        <v>346</v>
      </c>
      <c r="H497" t="s">
        <v>77</v>
      </c>
      <c r="I497" t="s">
        <v>350</v>
      </c>
      <c r="J497" s="3">
        <v>1990</v>
      </c>
      <c r="K497" s="3">
        <v>2014</v>
      </c>
      <c r="L497" s="6">
        <f t="shared" si="151"/>
        <v>2002</v>
      </c>
      <c r="M497" s="6">
        <f t="shared" si="152"/>
        <v>2002</v>
      </c>
      <c r="N497" s="7">
        <f t="shared" si="140"/>
        <v>0</v>
      </c>
      <c r="O497" s="7">
        <f t="shared" si="141"/>
        <v>0</v>
      </c>
      <c r="P497" s="7">
        <f t="shared" si="142"/>
        <v>0</v>
      </c>
      <c r="Q497" s="7">
        <f t="shared" si="153"/>
        <v>0</v>
      </c>
      <c r="R497" s="10" t="str">
        <f t="shared" si="143"/>
        <v>0_Pre</v>
      </c>
      <c r="S497" s="10" t="str">
        <f t="shared" si="144"/>
        <v>0_Pre</v>
      </c>
      <c r="T497" s="10" t="str">
        <f t="shared" si="145"/>
        <v>0_Pre</v>
      </c>
      <c r="U497" s="10" t="str">
        <f t="shared" si="146"/>
        <v>0_Pre</v>
      </c>
      <c r="V497" s="10" t="str">
        <f t="shared" si="154"/>
        <v>0_Pre</v>
      </c>
      <c r="W497" s="10" t="str">
        <f t="shared" si="147"/>
        <v>clean_pre</v>
      </c>
      <c r="X497" s="10" t="str">
        <f t="shared" si="148"/>
        <v>0_Pre</v>
      </c>
      <c r="Y497" s="10" t="str">
        <f t="shared" si="149"/>
        <v>0_Pre</v>
      </c>
      <c r="Z497" s="10" t="str">
        <f t="shared" si="150"/>
        <v>0_Pre</v>
      </c>
      <c r="AA497" s="10" t="str">
        <f t="shared" si="155"/>
        <v>0_Pre</v>
      </c>
      <c r="AB497" s="10" t="str">
        <f t="shared" si="156"/>
        <v>0_Pre</v>
      </c>
      <c r="AC497" s="10" t="str">
        <f t="shared" si="157"/>
        <v>0_Pre</v>
      </c>
      <c r="AD497" s="10" t="str">
        <f t="shared" si="158"/>
        <v>1_pre sample median</v>
      </c>
      <c r="AE497" s="10" t="str">
        <f t="shared" si="159"/>
        <v>1_pre sample first tertile</v>
      </c>
      <c r="AF497" t="s">
        <v>67</v>
      </c>
      <c r="AG497" t="s">
        <v>75</v>
      </c>
      <c r="AH497" t="s">
        <v>78</v>
      </c>
      <c r="AI497" t="s">
        <v>70</v>
      </c>
      <c r="AJ497" t="s">
        <v>70</v>
      </c>
      <c r="AK497" t="str">
        <f>VLOOKUP(MID($AR497,1,255),country_lookup!$B:$F,2,FALSE)</f>
        <v>99_NCE</v>
      </c>
      <c r="AL497" t="str">
        <f>VLOOKUP(MID($AR497,1,255),country_lookup!$B:$F,3,FALSE)</f>
        <v>99_NCE</v>
      </c>
      <c r="AM497" t="str">
        <f>VLOOKUP(MID($AR497,1,255),country_lookup!$B:$F,4,FALSE)</f>
        <v>99_NCE</v>
      </c>
      <c r="AN497" t="str">
        <f>VLOOKUP(MID($AR497,1,255),country_lookup!$B:$F,5,FALSE)</f>
        <v>99_NCE</v>
      </c>
      <c r="AO497" s="10" t="str">
        <f>VLOOKUP(MID($AS497,1,255),source_lookup!$B:$K,4,FALSE)</f>
        <v>0_published</v>
      </c>
      <c r="AP497" s="10" t="str">
        <f>VLOOKUP(MID($AS497,1,255),source_lookup!$B:$K,6,FALSE)</f>
        <v>1_VHB high</v>
      </c>
      <c r="AQ497" s="10" t="str">
        <f>VLOOKUP(MID($AS497,1,255),source_lookup!$B:$K,10,FALSE)</f>
        <v>1_fin/acc/econ</v>
      </c>
      <c r="AR497" t="s">
        <v>98</v>
      </c>
      <c r="AS497" t="s">
        <v>145</v>
      </c>
    </row>
    <row r="498" spans="1:45" x14ac:dyDescent="0.3">
      <c r="A498" t="s">
        <v>21</v>
      </c>
      <c r="B498">
        <v>497</v>
      </c>
      <c r="C498" s="1">
        <v>-2.0840150318508333E-2</v>
      </c>
      <c r="D498" s="2">
        <v>627</v>
      </c>
      <c r="E498" s="4">
        <v>15678</v>
      </c>
      <c r="F498" s="4" t="s">
        <v>347</v>
      </c>
      <c r="G498" s="4" t="s">
        <v>346</v>
      </c>
      <c r="H498" t="s">
        <v>77</v>
      </c>
      <c r="I498" t="s">
        <v>350</v>
      </c>
      <c r="J498" s="3">
        <v>1990</v>
      </c>
      <c r="K498" s="3">
        <v>2014</v>
      </c>
      <c r="L498" s="6">
        <f t="shared" si="151"/>
        <v>2002</v>
      </c>
      <c r="M498" s="6">
        <f t="shared" si="152"/>
        <v>2002</v>
      </c>
      <c r="N498" s="7">
        <f t="shared" si="140"/>
        <v>0</v>
      </c>
      <c r="O498" s="7">
        <f t="shared" si="141"/>
        <v>0</v>
      </c>
      <c r="P498" s="7">
        <f t="shared" si="142"/>
        <v>0</v>
      </c>
      <c r="Q498" s="7">
        <f t="shared" si="153"/>
        <v>0</v>
      </c>
      <c r="R498" s="10" t="str">
        <f t="shared" si="143"/>
        <v>0_Pre</v>
      </c>
      <c r="S498" s="10" t="str">
        <f t="shared" si="144"/>
        <v>0_Pre</v>
      </c>
      <c r="T498" s="10" t="str">
        <f t="shared" si="145"/>
        <v>0_Pre</v>
      </c>
      <c r="U498" s="10" t="str">
        <f t="shared" si="146"/>
        <v>0_Pre</v>
      </c>
      <c r="V498" s="10" t="str">
        <f t="shared" si="154"/>
        <v>0_Pre</v>
      </c>
      <c r="W498" s="10" t="str">
        <f t="shared" si="147"/>
        <v>clean_pre</v>
      </c>
      <c r="X498" s="10" t="str">
        <f t="shared" si="148"/>
        <v>0_Pre</v>
      </c>
      <c r="Y498" s="10" t="str">
        <f t="shared" si="149"/>
        <v>0_Pre</v>
      </c>
      <c r="Z498" s="10" t="str">
        <f t="shared" si="150"/>
        <v>0_Pre</v>
      </c>
      <c r="AA498" s="10" t="str">
        <f t="shared" si="155"/>
        <v>0_Pre</v>
      </c>
      <c r="AB498" s="10" t="str">
        <f t="shared" si="156"/>
        <v>0_Pre</v>
      </c>
      <c r="AC498" s="10" t="str">
        <f t="shared" si="157"/>
        <v>0_Pre</v>
      </c>
      <c r="AD498" s="10" t="str">
        <f t="shared" si="158"/>
        <v>1_pre sample median</v>
      </c>
      <c r="AE498" s="10" t="str">
        <f t="shared" si="159"/>
        <v>1_pre sample first tertile</v>
      </c>
      <c r="AF498" t="s">
        <v>67</v>
      </c>
      <c r="AG498" t="s">
        <v>75</v>
      </c>
      <c r="AH498" t="s">
        <v>78</v>
      </c>
      <c r="AI498" t="s">
        <v>70</v>
      </c>
      <c r="AJ498" t="s">
        <v>70</v>
      </c>
      <c r="AK498" t="str">
        <f>VLOOKUP(MID($AR498,1,255),country_lookup!$B:$F,2,FALSE)</f>
        <v>99_NCE</v>
      </c>
      <c r="AL498" t="str">
        <f>VLOOKUP(MID($AR498,1,255),country_lookup!$B:$F,3,FALSE)</f>
        <v>99_NCE</v>
      </c>
      <c r="AM498" t="str">
        <f>VLOOKUP(MID($AR498,1,255),country_lookup!$B:$F,4,FALSE)</f>
        <v>99_NCE</v>
      </c>
      <c r="AN498" t="str">
        <f>VLOOKUP(MID($AR498,1,255),country_lookup!$B:$F,5,FALSE)</f>
        <v>99_NCE</v>
      </c>
      <c r="AO498" s="10" t="str">
        <f>VLOOKUP(MID($AS498,1,255),source_lookup!$B:$K,4,FALSE)</f>
        <v>0_published</v>
      </c>
      <c r="AP498" s="10" t="str">
        <f>VLOOKUP(MID($AS498,1,255),source_lookup!$B:$K,6,FALSE)</f>
        <v>1_VHB high</v>
      </c>
      <c r="AQ498" s="10" t="str">
        <f>VLOOKUP(MID($AS498,1,255),source_lookup!$B:$K,10,FALSE)</f>
        <v>1_fin/acc/econ</v>
      </c>
      <c r="AR498" t="s">
        <v>98</v>
      </c>
      <c r="AS498" t="s">
        <v>145</v>
      </c>
    </row>
    <row r="499" spans="1:45" x14ac:dyDescent="0.3">
      <c r="A499" t="s">
        <v>21</v>
      </c>
      <c r="B499">
        <v>498</v>
      </c>
      <c r="C499" s="1">
        <v>-7.8109010606344412E-2</v>
      </c>
      <c r="D499" s="2">
        <v>134</v>
      </c>
      <c r="E499" s="4">
        <v>3343</v>
      </c>
      <c r="F499" s="4" t="s">
        <v>347</v>
      </c>
      <c r="G499" s="4" t="s">
        <v>346</v>
      </c>
      <c r="H499" t="s">
        <v>77</v>
      </c>
      <c r="I499" t="s">
        <v>350</v>
      </c>
      <c r="J499" s="3">
        <v>1990</v>
      </c>
      <c r="K499" s="3">
        <v>2014</v>
      </c>
      <c r="L499" s="6">
        <f t="shared" si="151"/>
        <v>2002</v>
      </c>
      <c r="M499" s="6">
        <f t="shared" si="152"/>
        <v>2002</v>
      </c>
      <c r="N499" s="7">
        <f t="shared" si="140"/>
        <v>0</v>
      </c>
      <c r="O499" s="7">
        <f t="shared" si="141"/>
        <v>0</v>
      </c>
      <c r="P499" s="7">
        <f t="shared" si="142"/>
        <v>0</v>
      </c>
      <c r="Q499" s="7">
        <f t="shared" si="153"/>
        <v>0</v>
      </c>
      <c r="R499" s="10" t="str">
        <f t="shared" si="143"/>
        <v>0_Pre</v>
      </c>
      <c r="S499" s="10" t="str">
        <f t="shared" si="144"/>
        <v>0_Pre</v>
      </c>
      <c r="T499" s="10" t="str">
        <f t="shared" si="145"/>
        <v>0_Pre</v>
      </c>
      <c r="U499" s="10" t="str">
        <f t="shared" si="146"/>
        <v>0_Pre</v>
      </c>
      <c r="V499" s="10" t="str">
        <f t="shared" si="154"/>
        <v>0_Pre</v>
      </c>
      <c r="W499" s="10" t="str">
        <f t="shared" si="147"/>
        <v>clean_pre</v>
      </c>
      <c r="X499" s="10" t="str">
        <f t="shared" si="148"/>
        <v>0_Pre</v>
      </c>
      <c r="Y499" s="10" t="str">
        <f t="shared" si="149"/>
        <v>0_Pre</v>
      </c>
      <c r="Z499" s="10" t="str">
        <f t="shared" si="150"/>
        <v>0_Pre</v>
      </c>
      <c r="AA499" s="10" t="str">
        <f t="shared" si="155"/>
        <v>0_Pre</v>
      </c>
      <c r="AB499" s="10" t="str">
        <f t="shared" si="156"/>
        <v>0_Pre</v>
      </c>
      <c r="AC499" s="10" t="str">
        <f t="shared" si="157"/>
        <v>0_Pre</v>
      </c>
      <c r="AD499" s="10" t="str">
        <f t="shared" si="158"/>
        <v>1_pre sample median</v>
      </c>
      <c r="AE499" s="10" t="str">
        <f t="shared" si="159"/>
        <v>1_pre sample first tertile</v>
      </c>
      <c r="AF499" t="s">
        <v>80</v>
      </c>
      <c r="AG499" t="s">
        <v>75</v>
      </c>
      <c r="AH499" t="s">
        <v>78</v>
      </c>
      <c r="AI499" t="s">
        <v>70</v>
      </c>
      <c r="AJ499" t="s">
        <v>70</v>
      </c>
      <c r="AK499" t="str">
        <f>VLOOKUP(MID($AR499,1,255),country_lookup!$B:$F,2,FALSE)</f>
        <v>99_NCE</v>
      </c>
      <c r="AL499" t="str">
        <f>VLOOKUP(MID($AR499,1,255),country_lookup!$B:$F,3,FALSE)</f>
        <v>99_NCE</v>
      </c>
      <c r="AM499" t="str">
        <f>VLOOKUP(MID($AR499,1,255),country_lookup!$B:$F,4,FALSE)</f>
        <v>99_NCE</v>
      </c>
      <c r="AN499" t="str">
        <f>VLOOKUP(MID($AR499,1,255),country_lookup!$B:$F,5,FALSE)</f>
        <v>99_NCE</v>
      </c>
      <c r="AO499" s="10" t="str">
        <f>VLOOKUP(MID($AS499,1,255),source_lookup!$B:$K,4,FALSE)</f>
        <v>0_published</v>
      </c>
      <c r="AP499" s="10" t="str">
        <f>VLOOKUP(MID($AS499,1,255),source_lookup!$B:$K,6,FALSE)</f>
        <v>1_VHB high</v>
      </c>
      <c r="AQ499" s="10" t="str">
        <f>VLOOKUP(MID($AS499,1,255),source_lookup!$B:$K,10,FALSE)</f>
        <v>1_fin/acc/econ</v>
      </c>
      <c r="AR499" t="s">
        <v>98</v>
      </c>
      <c r="AS499" t="s">
        <v>145</v>
      </c>
    </row>
    <row r="500" spans="1:45" x14ac:dyDescent="0.3">
      <c r="A500" t="s">
        <v>21</v>
      </c>
      <c r="B500">
        <v>499</v>
      </c>
      <c r="C500" s="1">
        <v>1.6779911181572682E-3</v>
      </c>
      <c r="D500" s="2">
        <v>91</v>
      </c>
      <c r="E500" s="4">
        <v>2273</v>
      </c>
      <c r="F500" s="4" t="s">
        <v>347</v>
      </c>
      <c r="G500" s="4" t="s">
        <v>346</v>
      </c>
      <c r="H500" t="s">
        <v>77</v>
      </c>
      <c r="I500" t="s">
        <v>350</v>
      </c>
      <c r="J500" s="3">
        <v>1990</v>
      </c>
      <c r="K500" s="3">
        <v>2014</v>
      </c>
      <c r="L500" s="6">
        <f t="shared" si="151"/>
        <v>2002</v>
      </c>
      <c r="M500" s="6">
        <f t="shared" si="152"/>
        <v>2002</v>
      </c>
      <c r="N500" s="7">
        <f t="shared" si="140"/>
        <v>0</v>
      </c>
      <c r="O500" s="7">
        <f t="shared" si="141"/>
        <v>0</v>
      </c>
      <c r="P500" s="7">
        <f t="shared" si="142"/>
        <v>0</v>
      </c>
      <c r="Q500" s="7">
        <f t="shared" si="153"/>
        <v>0</v>
      </c>
      <c r="R500" s="10" t="str">
        <f t="shared" si="143"/>
        <v>0_Pre</v>
      </c>
      <c r="S500" s="10" t="str">
        <f t="shared" si="144"/>
        <v>0_Pre</v>
      </c>
      <c r="T500" s="10" t="str">
        <f t="shared" si="145"/>
        <v>0_Pre</v>
      </c>
      <c r="U500" s="10" t="str">
        <f t="shared" si="146"/>
        <v>0_Pre</v>
      </c>
      <c r="V500" s="10" t="str">
        <f t="shared" si="154"/>
        <v>0_Pre</v>
      </c>
      <c r="W500" s="10" t="str">
        <f t="shared" si="147"/>
        <v>clean_pre</v>
      </c>
      <c r="X500" s="10" t="str">
        <f t="shared" si="148"/>
        <v>0_Pre</v>
      </c>
      <c r="Y500" s="10" t="str">
        <f t="shared" si="149"/>
        <v>0_Pre</v>
      </c>
      <c r="Z500" s="10" t="str">
        <f t="shared" si="150"/>
        <v>0_Pre</v>
      </c>
      <c r="AA500" s="10" t="str">
        <f t="shared" si="155"/>
        <v>0_Pre</v>
      </c>
      <c r="AB500" s="10" t="str">
        <f t="shared" si="156"/>
        <v>0_Pre</v>
      </c>
      <c r="AC500" s="10" t="str">
        <f t="shared" si="157"/>
        <v>0_Pre</v>
      </c>
      <c r="AD500" s="10" t="str">
        <f t="shared" si="158"/>
        <v>1_pre sample median</v>
      </c>
      <c r="AE500" s="10" t="str">
        <f t="shared" si="159"/>
        <v>1_pre sample first tertile</v>
      </c>
      <c r="AF500" t="s">
        <v>80</v>
      </c>
      <c r="AG500" t="s">
        <v>75</v>
      </c>
      <c r="AH500" t="s">
        <v>78</v>
      </c>
      <c r="AI500" t="s">
        <v>70</v>
      </c>
      <c r="AJ500" t="s">
        <v>70</v>
      </c>
      <c r="AK500" t="str">
        <f>VLOOKUP(MID($AR500,1,255),country_lookup!$B:$F,2,FALSE)</f>
        <v>99_NCE</v>
      </c>
      <c r="AL500" t="str">
        <f>VLOOKUP(MID($AR500,1,255),country_lookup!$B:$F,3,FALSE)</f>
        <v>99_NCE</v>
      </c>
      <c r="AM500" t="str">
        <f>VLOOKUP(MID($AR500,1,255),country_lookup!$B:$F,4,FALSE)</f>
        <v>99_NCE</v>
      </c>
      <c r="AN500" t="str">
        <f>VLOOKUP(MID($AR500,1,255),country_lookup!$B:$F,5,FALSE)</f>
        <v>99_NCE</v>
      </c>
      <c r="AO500" s="10" t="str">
        <f>VLOOKUP(MID($AS500,1,255),source_lookup!$B:$K,4,FALSE)</f>
        <v>0_published</v>
      </c>
      <c r="AP500" s="10" t="str">
        <f>VLOOKUP(MID($AS500,1,255),source_lookup!$B:$K,6,FALSE)</f>
        <v>1_VHB high</v>
      </c>
      <c r="AQ500" s="10" t="str">
        <f>VLOOKUP(MID($AS500,1,255),source_lookup!$B:$K,10,FALSE)</f>
        <v>1_fin/acc/econ</v>
      </c>
      <c r="AR500" t="s">
        <v>98</v>
      </c>
      <c r="AS500" t="s">
        <v>145</v>
      </c>
    </row>
    <row r="501" spans="1:45" x14ac:dyDescent="0.3">
      <c r="A501" t="s">
        <v>21</v>
      </c>
      <c r="B501">
        <v>500</v>
      </c>
      <c r="C501" s="1">
        <v>-8.922071015992486E-2</v>
      </c>
      <c r="D501" s="2">
        <v>106</v>
      </c>
      <c r="E501" s="4">
        <v>2660</v>
      </c>
      <c r="F501" s="4" t="s">
        <v>347</v>
      </c>
      <c r="G501" s="4" t="s">
        <v>346</v>
      </c>
      <c r="H501" t="s">
        <v>77</v>
      </c>
      <c r="I501" t="s">
        <v>350</v>
      </c>
      <c r="J501" s="3">
        <v>1990</v>
      </c>
      <c r="K501" s="3">
        <v>2014</v>
      </c>
      <c r="L501" s="6">
        <f t="shared" si="151"/>
        <v>2002</v>
      </c>
      <c r="M501" s="6">
        <f t="shared" si="152"/>
        <v>2002</v>
      </c>
      <c r="N501" s="7">
        <f t="shared" si="140"/>
        <v>0</v>
      </c>
      <c r="O501" s="7">
        <f t="shared" si="141"/>
        <v>0</v>
      </c>
      <c r="P501" s="7">
        <f t="shared" si="142"/>
        <v>0</v>
      </c>
      <c r="Q501" s="7">
        <f t="shared" si="153"/>
        <v>0</v>
      </c>
      <c r="R501" s="10" t="str">
        <f t="shared" si="143"/>
        <v>0_Pre</v>
      </c>
      <c r="S501" s="10" t="str">
        <f t="shared" si="144"/>
        <v>0_Pre</v>
      </c>
      <c r="T501" s="10" t="str">
        <f t="shared" si="145"/>
        <v>0_Pre</v>
      </c>
      <c r="U501" s="10" t="str">
        <f t="shared" si="146"/>
        <v>0_Pre</v>
      </c>
      <c r="V501" s="10" t="str">
        <f t="shared" si="154"/>
        <v>0_Pre</v>
      </c>
      <c r="W501" s="10" t="str">
        <f t="shared" si="147"/>
        <v>clean_pre</v>
      </c>
      <c r="X501" s="10" t="str">
        <f t="shared" si="148"/>
        <v>0_Pre</v>
      </c>
      <c r="Y501" s="10" t="str">
        <f t="shared" si="149"/>
        <v>0_Pre</v>
      </c>
      <c r="Z501" s="10" t="str">
        <f t="shared" si="150"/>
        <v>0_Pre</v>
      </c>
      <c r="AA501" s="10" t="str">
        <f t="shared" si="155"/>
        <v>0_Pre</v>
      </c>
      <c r="AB501" s="10" t="str">
        <f t="shared" si="156"/>
        <v>0_Pre</v>
      </c>
      <c r="AC501" s="10" t="str">
        <f t="shared" si="157"/>
        <v>0_Pre</v>
      </c>
      <c r="AD501" s="10" t="str">
        <f t="shared" si="158"/>
        <v>1_pre sample median</v>
      </c>
      <c r="AE501" s="10" t="str">
        <f t="shared" si="159"/>
        <v>1_pre sample first tertile</v>
      </c>
      <c r="AF501" t="s">
        <v>80</v>
      </c>
      <c r="AG501" t="s">
        <v>75</v>
      </c>
      <c r="AH501" t="s">
        <v>78</v>
      </c>
      <c r="AI501" t="s">
        <v>70</v>
      </c>
      <c r="AJ501" t="s">
        <v>70</v>
      </c>
      <c r="AK501" t="str">
        <f>VLOOKUP(MID($AR501,1,255),country_lookup!$B:$F,2,FALSE)</f>
        <v>99_NCE</v>
      </c>
      <c r="AL501" t="str">
        <f>VLOOKUP(MID($AR501,1,255),country_lookup!$B:$F,3,FALSE)</f>
        <v>99_NCE</v>
      </c>
      <c r="AM501" t="str">
        <f>VLOOKUP(MID($AR501,1,255),country_lookup!$B:$F,4,FALSE)</f>
        <v>99_NCE</v>
      </c>
      <c r="AN501" t="str">
        <f>VLOOKUP(MID($AR501,1,255),country_lookup!$B:$F,5,FALSE)</f>
        <v>99_NCE</v>
      </c>
      <c r="AO501" s="10" t="str">
        <f>VLOOKUP(MID($AS501,1,255),source_lookup!$B:$K,4,FALSE)</f>
        <v>0_published</v>
      </c>
      <c r="AP501" s="10" t="str">
        <f>VLOOKUP(MID($AS501,1,255),source_lookup!$B:$K,6,FALSE)</f>
        <v>1_VHB high</v>
      </c>
      <c r="AQ501" s="10" t="str">
        <f>VLOOKUP(MID($AS501,1,255),source_lookup!$B:$K,10,FALSE)</f>
        <v>1_fin/acc/econ</v>
      </c>
      <c r="AR501" t="s">
        <v>98</v>
      </c>
      <c r="AS501" t="s">
        <v>145</v>
      </c>
    </row>
    <row r="502" spans="1:45" x14ac:dyDescent="0.3">
      <c r="A502" t="s">
        <v>21</v>
      </c>
      <c r="B502">
        <v>501</v>
      </c>
      <c r="C502" s="1">
        <v>7.3569198257398567E-3</v>
      </c>
      <c r="D502" s="2">
        <v>118</v>
      </c>
      <c r="E502" s="4">
        <v>2956</v>
      </c>
      <c r="F502" s="4" t="s">
        <v>347</v>
      </c>
      <c r="G502" s="4" t="s">
        <v>346</v>
      </c>
      <c r="H502" t="s">
        <v>77</v>
      </c>
      <c r="I502" t="s">
        <v>350</v>
      </c>
      <c r="J502" s="3">
        <v>1990</v>
      </c>
      <c r="K502" s="3">
        <v>2014</v>
      </c>
      <c r="L502" s="6">
        <f t="shared" si="151"/>
        <v>2002</v>
      </c>
      <c r="M502" s="6">
        <f t="shared" si="152"/>
        <v>2002</v>
      </c>
      <c r="N502" s="7">
        <f t="shared" si="140"/>
        <v>0</v>
      </c>
      <c r="O502" s="7">
        <f t="shared" si="141"/>
        <v>0</v>
      </c>
      <c r="P502" s="7">
        <f t="shared" si="142"/>
        <v>0</v>
      </c>
      <c r="Q502" s="7">
        <f t="shared" si="153"/>
        <v>0</v>
      </c>
      <c r="R502" s="10" t="str">
        <f t="shared" si="143"/>
        <v>0_Pre</v>
      </c>
      <c r="S502" s="10" t="str">
        <f t="shared" si="144"/>
        <v>0_Pre</v>
      </c>
      <c r="T502" s="10" t="str">
        <f t="shared" si="145"/>
        <v>0_Pre</v>
      </c>
      <c r="U502" s="10" t="str">
        <f t="shared" si="146"/>
        <v>0_Pre</v>
      </c>
      <c r="V502" s="10" t="str">
        <f t="shared" si="154"/>
        <v>0_Pre</v>
      </c>
      <c r="W502" s="10" t="str">
        <f t="shared" si="147"/>
        <v>clean_pre</v>
      </c>
      <c r="X502" s="10" t="str">
        <f t="shared" si="148"/>
        <v>0_Pre</v>
      </c>
      <c r="Y502" s="10" t="str">
        <f t="shared" si="149"/>
        <v>0_Pre</v>
      </c>
      <c r="Z502" s="10" t="str">
        <f t="shared" si="150"/>
        <v>0_Pre</v>
      </c>
      <c r="AA502" s="10" t="str">
        <f t="shared" si="155"/>
        <v>0_Pre</v>
      </c>
      <c r="AB502" s="10" t="str">
        <f t="shared" si="156"/>
        <v>0_Pre</v>
      </c>
      <c r="AC502" s="10" t="str">
        <f t="shared" si="157"/>
        <v>0_Pre</v>
      </c>
      <c r="AD502" s="10" t="str">
        <f t="shared" si="158"/>
        <v>1_pre sample median</v>
      </c>
      <c r="AE502" s="10" t="str">
        <f t="shared" si="159"/>
        <v>1_pre sample first tertile</v>
      </c>
      <c r="AF502" t="s">
        <v>80</v>
      </c>
      <c r="AG502" t="s">
        <v>75</v>
      </c>
      <c r="AH502" t="s">
        <v>78</v>
      </c>
      <c r="AI502" t="s">
        <v>70</v>
      </c>
      <c r="AJ502" t="s">
        <v>70</v>
      </c>
      <c r="AK502" t="str">
        <f>VLOOKUP(MID($AR502,1,255),country_lookup!$B:$F,2,FALSE)</f>
        <v>99_NCE</v>
      </c>
      <c r="AL502" t="str">
        <f>VLOOKUP(MID($AR502,1,255),country_lookup!$B:$F,3,FALSE)</f>
        <v>99_NCE</v>
      </c>
      <c r="AM502" t="str">
        <f>VLOOKUP(MID($AR502,1,255),country_lookup!$B:$F,4,FALSE)</f>
        <v>99_NCE</v>
      </c>
      <c r="AN502" t="str">
        <f>VLOOKUP(MID($AR502,1,255),country_lookup!$B:$F,5,FALSE)</f>
        <v>99_NCE</v>
      </c>
      <c r="AO502" s="10" t="str">
        <f>VLOOKUP(MID($AS502,1,255),source_lookup!$B:$K,4,FALSE)</f>
        <v>0_published</v>
      </c>
      <c r="AP502" s="10" t="str">
        <f>VLOOKUP(MID($AS502,1,255),source_lookup!$B:$K,6,FALSE)</f>
        <v>1_VHB high</v>
      </c>
      <c r="AQ502" s="10" t="str">
        <f>VLOOKUP(MID($AS502,1,255),source_lookup!$B:$K,10,FALSE)</f>
        <v>1_fin/acc/econ</v>
      </c>
      <c r="AR502" t="s">
        <v>98</v>
      </c>
      <c r="AS502" t="s">
        <v>145</v>
      </c>
    </row>
    <row r="503" spans="1:45" x14ac:dyDescent="0.3">
      <c r="A503" t="s">
        <v>21</v>
      </c>
      <c r="B503">
        <v>502</v>
      </c>
      <c r="C503" s="1">
        <v>-6.5526474239594096E-2</v>
      </c>
      <c r="D503" s="2">
        <v>70</v>
      </c>
      <c r="E503" s="4">
        <v>1741</v>
      </c>
      <c r="F503" s="4" t="s">
        <v>347</v>
      </c>
      <c r="G503" s="4" t="s">
        <v>346</v>
      </c>
      <c r="H503" t="s">
        <v>77</v>
      </c>
      <c r="I503" t="s">
        <v>350</v>
      </c>
      <c r="J503" s="3">
        <v>1990</v>
      </c>
      <c r="K503" s="3">
        <v>2014</v>
      </c>
      <c r="L503" s="6">
        <f t="shared" si="151"/>
        <v>2002</v>
      </c>
      <c r="M503" s="6">
        <f t="shared" si="152"/>
        <v>2002</v>
      </c>
      <c r="N503" s="7">
        <f t="shared" si="140"/>
        <v>0</v>
      </c>
      <c r="O503" s="7">
        <f t="shared" si="141"/>
        <v>0</v>
      </c>
      <c r="P503" s="7">
        <f t="shared" si="142"/>
        <v>0</v>
      </c>
      <c r="Q503" s="7">
        <f t="shared" si="153"/>
        <v>0</v>
      </c>
      <c r="R503" s="10" t="str">
        <f t="shared" si="143"/>
        <v>0_Pre</v>
      </c>
      <c r="S503" s="10" t="str">
        <f t="shared" si="144"/>
        <v>0_Pre</v>
      </c>
      <c r="T503" s="10" t="str">
        <f t="shared" si="145"/>
        <v>0_Pre</v>
      </c>
      <c r="U503" s="10" t="str">
        <f t="shared" si="146"/>
        <v>0_Pre</v>
      </c>
      <c r="V503" s="10" t="str">
        <f t="shared" si="154"/>
        <v>0_Pre</v>
      </c>
      <c r="W503" s="10" t="str">
        <f t="shared" si="147"/>
        <v>clean_pre</v>
      </c>
      <c r="X503" s="10" t="str">
        <f t="shared" si="148"/>
        <v>0_Pre</v>
      </c>
      <c r="Y503" s="10" t="str">
        <f t="shared" si="149"/>
        <v>0_Pre</v>
      </c>
      <c r="Z503" s="10" t="str">
        <f t="shared" si="150"/>
        <v>0_Pre</v>
      </c>
      <c r="AA503" s="10" t="str">
        <f t="shared" si="155"/>
        <v>0_Pre</v>
      </c>
      <c r="AB503" s="10" t="str">
        <f t="shared" si="156"/>
        <v>0_Pre</v>
      </c>
      <c r="AC503" s="10" t="str">
        <f t="shared" si="157"/>
        <v>0_Pre</v>
      </c>
      <c r="AD503" s="10" t="str">
        <f t="shared" si="158"/>
        <v>1_pre sample median</v>
      </c>
      <c r="AE503" s="10" t="str">
        <f t="shared" si="159"/>
        <v>1_pre sample first tertile</v>
      </c>
      <c r="AF503" t="s">
        <v>80</v>
      </c>
      <c r="AG503" t="s">
        <v>75</v>
      </c>
      <c r="AH503" t="s">
        <v>78</v>
      </c>
      <c r="AI503" t="s">
        <v>70</v>
      </c>
      <c r="AJ503" t="s">
        <v>70</v>
      </c>
      <c r="AK503" t="str">
        <f>VLOOKUP(MID($AR503,1,255),country_lookup!$B:$F,2,FALSE)</f>
        <v>99_NCE</v>
      </c>
      <c r="AL503" t="str">
        <f>VLOOKUP(MID($AR503,1,255),country_lookup!$B:$F,3,FALSE)</f>
        <v>99_NCE</v>
      </c>
      <c r="AM503" t="str">
        <f>VLOOKUP(MID($AR503,1,255),country_lookup!$B:$F,4,FALSE)</f>
        <v>99_NCE</v>
      </c>
      <c r="AN503" t="str">
        <f>VLOOKUP(MID($AR503,1,255),country_lookup!$B:$F,5,FALSE)</f>
        <v>99_NCE</v>
      </c>
      <c r="AO503" s="10" t="str">
        <f>VLOOKUP(MID($AS503,1,255),source_lookup!$B:$K,4,FALSE)</f>
        <v>0_published</v>
      </c>
      <c r="AP503" s="10" t="str">
        <f>VLOOKUP(MID($AS503,1,255),source_lookup!$B:$K,6,FALSE)</f>
        <v>1_VHB high</v>
      </c>
      <c r="AQ503" s="10" t="str">
        <f>VLOOKUP(MID($AS503,1,255),source_lookup!$B:$K,10,FALSE)</f>
        <v>1_fin/acc/econ</v>
      </c>
      <c r="AR503" t="s">
        <v>98</v>
      </c>
      <c r="AS503" t="s">
        <v>145</v>
      </c>
    </row>
    <row r="504" spans="1:45" x14ac:dyDescent="0.3">
      <c r="A504" t="s">
        <v>21</v>
      </c>
      <c r="B504">
        <v>503</v>
      </c>
      <c r="C504" s="1">
        <v>-3.8625271536816011E-2</v>
      </c>
      <c r="D504" s="2">
        <v>153</v>
      </c>
      <c r="E504" s="4">
        <v>3823</v>
      </c>
      <c r="F504" s="4" t="s">
        <v>347</v>
      </c>
      <c r="G504" s="4" t="s">
        <v>346</v>
      </c>
      <c r="H504" t="s">
        <v>77</v>
      </c>
      <c r="I504" t="s">
        <v>350</v>
      </c>
      <c r="J504" s="3">
        <v>1990</v>
      </c>
      <c r="K504" s="3">
        <v>2014</v>
      </c>
      <c r="L504" s="6">
        <f t="shared" si="151"/>
        <v>2002</v>
      </c>
      <c r="M504" s="6">
        <f t="shared" si="152"/>
        <v>2002</v>
      </c>
      <c r="N504" s="7">
        <f t="shared" si="140"/>
        <v>0</v>
      </c>
      <c r="O504" s="7">
        <f t="shared" si="141"/>
        <v>0</v>
      </c>
      <c r="P504" s="7">
        <f t="shared" si="142"/>
        <v>0</v>
      </c>
      <c r="Q504" s="7">
        <f t="shared" si="153"/>
        <v>0</v>
      </c>
      <c r="R504" s="10" t="str">
        <f t="shared" si="143"/>
        <v>0_Pre</v>
      </c>
      <c r="S504" s="10" t="str">
        <f t="shared" si="144"/>
        <v>0_Pre</v>
      </c>
      <c r="T504" s="10" t="str">
        <f t="shared" si="145"/>
        <v>0_Pre</v>
      </c>
      <c r="U504" s="10" t="str">
        <f t="shared" si="146"/>
        <v>0_Pre</v>
      </c>
      <c r="V504" s="10" t="str">
        <f t="shared" si="154"/>
        <v>0_Pre</v>
      </c>
      <c r="W504" s="10" t="str">
        <f t="shared" si="147"/>
        <v>clean_pre</v>
      </c>
      <c r="X504" s="10" t="str">
        <f t="shared" si="148"/>
        <v>0_Pre</v>
      </c>
      <c r="Y504" s="10" t="str">
        <f t="shared" si="149"/>
        <v>0_Pre</v>
      </c>
      <c r="Z504" s="10" t="str">
        <f t="shared" si="150"/>
        <v>0_Pre</v>
      </c>
      <c r="AA504" s="10" t="str">
        <f t="shared" si="155"/>
        <v>0_Pre</v>
      </c>
      <c r="AB504" s="10" t="str">
        <f t="shared" si="156"/>
        <v>0_Pre</v>
      </c>
      <c r="AC504" s="10" t="str">
        <f t="shared" si="157"/>
        <v>0_Pre</v>
      </c>
      <c r="AD504" s="10" t="str">
        <f t="shared" si="158"/>
        <v>1_pre sample median</v>
      </c>
      <c r="AE504" s="10" t="str">
        <f t="shared" si="159"/>
        <v>1_pre sample first tertile</v>
      </c>
      <c r="AF504" t="s">
        <v>80</v>
      </c>
      <c r="AG504" t="s">
        <v>75</v>
      </c>
      <c r="AH504" t="s">
        <v>78</v>
      </c>
      <c r="AI504" t="s">
        <v>70</v>
      </c>
      <c r="AJ504" t="s">
        <v>70</v>
      </c>
      <c r="AK504" t="str">
        <f>VLOOKUP(MID($AR504,1,255),country_lookup!$B:$F,2,FALSE)</f>
        <v>99_NCE</v>
      </c>
      <c r="AL504" t="str">
        <f>VLOOKUP(MID($AR504,1,255),country_lookup!$B:$F,3,FALSE)</f>
        <v>99_NCE</v>
      </c>
      <c r="AM504" t="str">
        <f>VLOOKUP(MID($AR504,1,255),country_lookup!$B:$F,4,FALSE)</f>
        <v>99_NCE</v>
      </c>
      <c r="AN504" t="str">
        <f>VLOOKUP(MID($AR504,1,255),country_lookup!$B:$F,5,FALSE)</f>
        <v>99_NCE</v>
      </c>
      <c r="AO504" s="10" t="str">
        <f>VLOOKUP(MID($AS504,1,255),source_lookup!$B:$K,4,FALSE)</f>
        <v>0_published</v>
      </c>
      <c r="AP504" s="10" t="str">
        <f>VLOOKUP(MID($AS504,1,255),source_lookup!$B:$K,6,FALSE)</f>
        <v>1_VHB high</v>
      </c>
      <c r="AQ504" s="10" t="str">
        <f>VLOOKUP(MID($AS504,1,255),source_lookup!$B:$K,10,FALSE)</f>
        <v>1_fin/acc/econ</v>
      </c>
      <c r="AR504" t="s">
        <v>98</v>
      </c>
      <c r="AS504" t="s">
        <v>145</v>
      </c>
    </row>
    <row r="505" spans="1:45" x14ac:dyDescent="0.3">
      <c r="A505" t="s">
        <v>21</v>
      </c>
      <c r="B505">
        <v>504</v>
      </c>
      <c r="C505" s="1">
        <v>3.193554493427244E-2</v>
      </c>
      <c r="D505" s="2">
        <v>125</v>
      </c>
      <c r="E505" s="4">
        <v>1630</v>
      </c>
      <c r="F505" s="4" t="s">
        <v>347</v>
      </c>
      <c r="G505" s="4" t="s">
        <v>346</v>
      </c>
      <c r="H505" t="s">
        <v>77</v>
      </c>
      <c r="I505" t="s">
        <v>350</v>
      </c>
      <c r="J505" s="3">
        <v>1990</v>
      </c>
      <c r="K505" s="3">
        <v>2002</v>
      </c>
      <c r="L505" s="6">
        <f t="shared" si="151"/>
        <v>1996</v>
      </c>
      <c r="M505" s="6">
        <f t="shared" si="152"/>
        <v>1996</v>
      </c>
      <c r="N505" s="7">
        <f t="shared" si="140"/>
        <v>0</v>
      </c>
      <c r="O505" s="7">
        <f t="shared" si="141"/>
        <v>0</v>
      </c>
      <c r="P505" s="7">
        <f t="shared" si="142"/>
        <v>0</v>
      </c>
      <c r="Q505" s="7">
        <f t="shared" si="153"/>
        <v>0</v>
      </c>
      <c r="R505" s="10" t="str">
        <f t="shared" si="143"/>
        <v>0_Pre</v>
      </c>
      <c r="S505" s="10" t="str">
        <f t="shared" si="144"/>
        <v>0_Pre</v>
      </c>
      <c r="T505" s="10" t="str">
        <f t="shared" si="145"/>
        <v>0_Pre</v>
      </c>
      <c r="U505" s="10" t="str">
        <f t="shared" si="146"/>
        <v>0_Pre</v>
      </c>
      <c r="V505" s="10" t="str">
        <f t="shared" si="154"/>
        <v>0_Pre</v>
      </c>
      <c r="W505" s="10" t="str">
        <f t="shared" si="147"/>
        <v>clean_pre</v>
      </c>
      <c r="X505" s="10" t="str">
        <f t="shared" si="148"/>
        <v>0_Pre</v>
      </c>
      <c r="Y505" s="10" t="str">
        <f t="shared" si="149"/>
        <v>0_Pre</v>
      </c>
      <c r="Z505" s="10" t="str">
        <f t="shared" si="150"/>
        <v>0_Pre</v>
      </c>
      <c r="AA505" s="10" t="str">
        <f t="shared" si="155"/>
        <v>0_Pre</v>
      </c>
      <c r="AB505" s="10" t="str">
        <f t="shared" si="156"/>
        <v>0_Pre</v>
      </c>
      <c r="AC505" s="10" t="str">
        <f t="shared" si="157"/>
        <v>0_Pre</v>
      </c>
      <c r="AD505" s="10" t="str">
        <f t="shared" si="158"/>
        <v>1_pre sample median</v>
      </c>
      <c r="AE505" s="10" t="str">
        <f t="shared" si="159"/>
        <v>1_pre sample first tertile</v>
      </c>
      <c r="AF505" t="s">
        <v>80</v>
      </c>
      <c r="AG505" t="s">
        <v>75</v>
      </c>
      <c r="AH505" t="s">
        <v>78</v>
      </c>
      <c r="AI505" t="s">
        <v>70</v>
      </c>
      <c r="AJ505" t="s">
        <v>70</v>
      </c>
      <c r="AK505" t="str">
        <f>VLOOKUP(MID($AR505,1,255),country_lookup!$B:$F,2,FALSE)</f>
        <v>99_NCE</v>
      </c>
      <c r="AL505" t="str">
        <f>VLOOKUP(MID($AR505,1,255),country_lookup!$B:$F,3,FALSE)</f>
        <v>99_NCE</v>
      </c>
      <c r="AM505" t="str">
        <f>VLOOKUP(MID($AR505,1,255),country_lookup!$B:$F,4,FALSE)</f>
        <v>99_NCE</v>
      </c>
      <c r="AN505" t="str">
        <f>VLOOKUP(MID($AR505,1,255),country_lookup!$B:$F,5,FALSE)</f>
        <v>99_NCE</v>
      </c>
      <c r="AO505" s="10" t="str">
        <f>VLOOKUP(MID($AS505,1,255),source_lookup!$B:$K,4,FALSE)</f>
        <v>0_published</v>
      </c>
      <c r="AP505" s="10" t="str">
        <f>VLOOKUP(MID($AS505,1,255),source_lookup!$B:$K,6,FALSE)</f>
        <v>1_VHB high</v>
      </c>
      <c r="AQ505" s="10" t="str">
        <f>VLOOKUP(MID($AS505,1,255),source_lookup!$B:$K,10,FALSE)</f>
        <v>1_fin/acc/econ</v>
      </c>
      <c r="AR505" t="s">
        <v>98</v>
      </c>
      <c r="AS505" t="s">
        <v>145</v>
      </c>
    </row>
    <row r="506" spans="1:45" x14ac:dyDescent="0.3">
      <c r="A506" t="s">
        <v>21</v>
      </c>
      <c r="B506">
        <v>505</v>
      </c>
      <c r="C506" s="1">
        <v>-3.2927527734173498E-2</v>
      </c>
      <c r="D506" s="2">
        <v>332</v>
      </c>
      <c r="E506" s="4">
        <v>3986</v>
      </c>
      <c r="F506" s="4" t="s">
        <v>347</v>
      </c>
      <c r="G506" s="4" t="s">
        <v>346</v>
      </c>
      <c r="H506" t="s">
        <v>77</v>
      </c>
      <c r="I506" t="s">
        <v>350</v>
      </c>
      <c r="J506" s="3">
        <v>2003</v>
      </c>
      <c r="K506" s="3">
        <v>2014</v>
      </c>
      <c r="L506" s="6">
        <f t="shared" si="151"/>
        <v>2008.5</v>
      </c>
      <c r="M506" s="6">
        <f t="shared" si="152"/>
        <v>2008.5</v>
      </c>
      <c r="N506" s="7">
        <f t="shared" si="140"/>
        <v>0</v>
      </c>
      <c r="O506" s="7">
        <f t="shared" si="141"/>
        <v>0</v>
      </c>
      <c r="P506" s="7">
        <f t="shared" si="142"/>
        <v>0</v>
      </c>
      <c r="Q506" s="7">
        <f t="shared" si="153"/>
        <v>0</v>
      </c>
      <c r="R506" s="10" t="str">
        <f t="shared" si="143"/>
        <v>0_Pre</v>
      </c>
      <c r="S506" s="10" t="str">
        <f t="shared" si="144"/>
        <v>0_Pre</v>
      </c>
      <c r="T506" s="10" t="str">
        <f t="shared" si="145"/>
        <v>0_Pre</v>
      </c>
      <c r="U506" s="10" t="str">
        <f t="shared" si="146"/>
        <v>0_Pre</v>
      </c>
      <c r="V506" s="10" t="str">
        <f t="shared" si="154"/>
        <v>0_Pre</v>
      </c>
      <c r="W506" s="10" t="str">
        <f t="shared" si="147"/>
        <v>clean_pre</v>
      </c>
      <c r="X506" s="10" t="str">
        <f t="shared" si="148"/>
        <v>0_Pre</v>
      </c>
      <c r="Y506" s="10" t="str">
        <f t="shared" si="149"/>
        <v>0_Pre</v>
      </c>
      <c r="Z506" s="10" t="str">
        <f t="shared" si="150"/>
        <v>0_Pre</v>
      </c>
      <c r="AA506" s="10" t="str">
        <f t="shared" si="155"/>
        <v>0_Pre</v>
      </c>
      <c r="AB506" s="10" t="str">
        <f t="shared" si="156"/>
        <v>0_Pre</v>
      </c>
      <c r="AC506" s="10" t="str">
        <f t="shared" si="157"/>
        <v>0_Pre</v>
      </c>
      <c r="AD506" s="10" t="str">
        <f t="shared" si="158"/>
        <v>1_pre sample median</v>
      </c>
      <c r="AE506" s="10" t="str">
        <f t="shared" si="159"/>
        <v>1_pre sample first tertile</v>
      </c>
      <c r="AF506" t="s">
        <v>80</v>
      </c>
      <c r="AG506" t="s">
        <v>75</v>
      </c>
      <c r="AH506" t="s">
        <v>78</v>
      </c>
      <c r="AI506" t="s">
        <v>70</v>
      </c>
      <c r="AJ506" t="s">
        <v>70</v>
      </c>
      <c r="AK506" t="str">
        <f>VLOOKUP(MID($AR506,1,255),country_lookup!$B:$F,2,FALSE)</f>
        <v>99_NCE</v>
      </c>
      <c r="AL506" t="str">
        <f>VLOOKUP(MID($AR506,1,255),country_lookup!$B:$F,3,FALSE)</f>
        <v>99_NCE</v>
      </c>
      <c r="AM506" t="str">
        <f>VLOOKUP(MID($AR506,1,255),country_lookup!$B:$F,4,FALSE)</f>
        <v>99_NCE</v>
      </c>
      <c r="AN506" t="str">
        <f>VLOOKUP(MID($AR506,1,255),country_lookup!$B:$F,5,FALSE)</f>
        <v>99_NCE</v>
      </c>
      <c r="AO506" s="10" t="str">
        <f>VLOOKUP(MID($AS506,1,255),source_lookup!$B:$K,4,FALSE)</f>
        <v>0_published</v>
      </c>
      <c r="AP506" s="10" t="str">
        <f>VLOOKUP(MID($AS506,1,255),source_lookup!$B:$K,6,FALSE)</f>
        <v>1_VHB high</v>
      </c>
      <c r="AQ506" s="10" t="str">
        <f>VLOOKUP(MID($AS506,1,255),source_lookup!$B:$K,10,FALSE)</f>
        <v>1_fin/acc/econ</v>
      </c>
      <c r="AR506" t="s">
        <v>98</v>
      </c>
      <c r="AS506" t="s">
        <v>145</v>
      </c>
    </row>
    <row r="507" spans="1:45" x14ac:dyDescent="0.3">
      <c r="A507" t="s">
        <v>21</v>
      </c>
      <c r="B507">
        <v>506</v>
      </c>
      <c r="C507" s="1">
        <v>-4.0664404482865228E-2</v>
      </c>
      <c r="D507" s="2">
        <v>771</v>
      </c>
      <c r="E507" s="4">
        <v>19273</v>
      </c>
      <c r="F507" s="4" t="s">
        <v>347</v>
      </c>
      <c r="G507" s="4" t="s">
        <v>346</v>
      </c>
      <c r="H507" t="s">
        <v>77</v>
      </c>
      <c r="I507" t="s">
        <v>350</v>
      </c>
      <c r="J507" s="3">
        <v>1990</v>
      </c>
      <c r="K507" s="3">
        <v>2014</v>
      </c>
      <c r="L507" s="6">
        <f t="shared" si="151"/>
        <v>2002</v>
      </c>
      <c r="M507" s="6">
        <f t="shared" si="152"/>
        <v>2002</v>
      </c>
      <c r="N507" s="7">
        <f t="shared" si="140"/>
        <v>0</v>
      </c>
      <c r="O507" s="7">
        <f t="shared" si="141"/>
        <v>0</v>
      </c>
      <c r="P507" s="7">
        <f t="shared" si="142"/>
        <v>0</v>
      </c>
      <c r="Q507" s="7">
        <f t="shared" si="153"/>
        <v>0</v>
      </c>
      <c r="R507" s="10" t="str">
        <f t="shared" si="143"/>
        <v>0_Pre</v>
      </c>
      <c r="S507" s="10" t="str">
        <f t="shared" si="144"/>
        <v>0_Pre</v>
      </c>
      <c r="T507" s="10" t="str">
        <f t="shared" si="145"/>
        <v>0_Pre</v>
      </c>
      <c r="U507" s="10" t="str">
        <f t="shared" si="146"/>
        <v>0_Pre</v>
      </c>
      <c r="V507" s="10" t="str">
        <f t="shared" si="154"/>
        <v>0_Pre</v>
      </c>
      <c r="W507" s="10" t="str">
        <f t="shared" si="147"/>
        <v>clean_pre</v>
      </c>
      <c r="X507" s="10" t="str">
        <f t="shared" si="148"/>
        <v>0_Pre</v>
      </c>
      <c r="Y507" s="10" t="str">
        <f t="shared" si="149"/>
        <v>0_Pre</v>
      </c>
      <c r="Z507" s="10" t="str">
        <f t="shared" si="150"/>
        <v>0_Pre</v>
      </c>
      <c r="AA507" s="10" t="str">
        <f t="shared" si="155"/>
        <v>0_Pre</v>
      </c>
      <c r="AB507" s="10" t="str">
        <f t="shared" si="156"/>
        <v>0_Pre</v>
      </c>
      <c r="AC507" s="10" t="str">
        <f t="shared" si="157"/>
        <v>0_Pre</v>
      </c>
      <c r="AD507" s="10" t="str">
        <f t="shared" si="158"/>
        <v>1_pre sample median</v>
      </c>
      <c r="AE507" s="10" t="str">
        <f t="shared" si="159"/>
        <v>1_pre sample first tertile</v>
      </c>
      <c r="AF507" t="s">
        <v>80</v>
      </c>
      <c r="AG507" t="s">
        <v>75</v>
      </c>
      <c r="AH507" t="s">
        <v>78</v>
      </c>
      <c r="AI507" t="s">
        <v>70</v>
      </c>
      <c r="AJ507" t="s">
        <v>70</v>
      </c>
      <c r="AK507" t="str">
        <f>VLOOKUP(MID($AR507,1,255),country_lookup!$B:$F,2,FALSE)</f>
        <v>99_NCE</v>
      </c>
      <c r="AL507" t="str">
        <f>VLOOKUP(MID($AR507,1,255),country_lookup!$B:$F,3,FALSE)</f>
        <v>99_NCE</v>
      </c>
      <c r="AM507" t="str">
        <f>VLOOKUP(MID($AR507,1,255),country_lookup!$B:$F,4,FALSE)</f>
        <v>99_NCE</v>
      </c>
      <c r="AN507" t="str">
        <f>VLOOKUP(MID($AR507,1,255),country_lookup!$B:$F,5,FALSE)</f>
        <v>99_NCE</v>
      </c>
      <c r="AO507" s="10" t="str">
        <f>VLOOKUP(MID($AS507,1,255),source_lookup!$B:$K,4,FALSE)</f>
        <v>0_published</v>
      </c>
      <c r="AP507" s="10" t="str">
        <f>VLOOKUP(MID($AS507,1,255),source_lookup!$B:$K,6,FALSE)</f>
        <v>1_VHB high</v>
      </c>
      <c r="AQ507" s="10" t="str">
        <f>VLOOKUP(MID($AS507,1,255),source_lookup!$B:$K,10,FALSE)</f>
        <v>1_fin/acc/econ</v>
      </c>
      <c r="AR507" t="s">
        <v>99</v>
      </c>
      <c r="AS507" t="s">
        <v>145</v>
      </c>
    </row>
    <row r="508" spans="1:45" x14ac:dyDescent="0.3">
      <c r="A508" t="s">
        <v>21</v>
      </c>
      <c r="B508">
        <v>507</v>
      </c>
      <c r="C508" s="1">
        <v>-1.0880017341293626E-2</v>
      </c>
      <c r="D508" s="2">
        <v>571</v>
      </c>
      <c r="E508" s="4">
        <v>14275</v>
      </c>
      <c r="F508" s="4" t="s">
        <v>347</v>
      </c>
      <c r="G508" s="4" t="s">
        <v>346</v>
      </c>
      <c r="H508" t="s">
        <v>77</v>
      </c>
      <c r="I508" t="s">
        <v>350</v>
      </c>
      <c r="J508" s="3">
        <v>1990</v>
      </c>
      <c r="K508" s="3">
        <v>2014</v>
      </c>
      <c r="L508" s="6">
        <f t="shared" si="151"/>
        <v>2002</v>
      </c>
      <c r="M508" s="6">
        <f t="shared" si="152"/>
        <v>2002</v>
      </c>
      <c r="N508" s="7">
        <f t="shared" si="140"/>
        <v>0</v>
      </c>
      <c r="O508" s="7">
        <f t="shared" si="141"/>
        <v>0</v>
      </c>
      <c r="P508" s="7">
        <f t="shared" si="142"/>
        <v>0</v>
      </c>
      <c r="Q508" s="7">
        <f t="shared" si="153"/>
        <v>0</v>
      </c>
      <c r="R508" s="10" t="str">
        <f t="shared" si="143"/>
        <v>0_Pre</v>
      </c>
      <c r="S508" s="10" t="str">
        <f t="shared" si="144"/>
        <v>0_Pre</v>
      </c>
      <c r="T508" s="10" t="str">
        <f t="shared" si="145"/>
        <v>0_Pre</v>
      </c>
      <c r="U508" s="10" t="str">
        <f t="shared" si="146"/>
        <v>0_Pre</v>
      </c>
      <c r="V508" s="10" t="str">
        <f t="shared" si="154"/>
        <v>0_Pre</v>
      </c>
      <c r="W508" s="10" t="str">
        <f t="shared" si="147"/>
        <v>clean_pre</v>
      </c>
      <c r="X508" s="10" t="str">
        <f t="shared" si="148"/>
        <v>0_Pre</v>
      </c>
      <c r="Y508" s="10" t="str">
        <f t="shared" si="149"/>
        <v>0_Pre</v>
      </c>
      <c r="Z508" s="10" t="str">
        <f t="shared" si="150"/>
        <v>0_Pre</v>
      </c>
      <c r="AA508" s="10" t="str">
        <f t="shared" si="155"/>
        <v>0_Pre</v>
      </c>
      <c r="AB508" s="10" t="str">
        <f t="shared" si="156"/>
        <v>0_Pre</v>
      </c>
      <c r="AC508" s="10" t="str">
        <f t="shared" si="157"/>
        <v>0_Pre</v>
      </c>
      <c r="AD508" s="10" t="str">
        <f t="shared" si="158"/>
        <v>1_pre sample median</v>
      </c>
      <c r="AE508" s="10" t="str">
        <f t="shared" si="159"/>
        <v>1_pre sample first tertile</v>
      </c>
      <c r="AF508" t="s">
        <v>80</v>
      </c>
      <c r="AG508" t="s">
        <v>75</v>
      </c>
      <c r="AH508" t="s">
        <v>78</v>
      </c>
      <c r="AI508" t="s">
        <v>70</v>
      </c>
      <c r="AJ508" t="s">
        <v>70</v>
      </c>
      <c r="AK508" t="str">
        <f>VLOOKUP(MID($AR508,1,255),country_lookup!$B:$F,2,FALSE)</f>
        <v>99_NCE</v>
      </c>
      <c r="AL508" t="str">
        <f>VLOOKUP(MID($AR508,1,255),country_lookup!$B:$F,3,FALSE)</f>
        <v>99_NCE</v>
      </c>
      <c r="AM508" t="str">
        <f>VLOOKUP(MID($AR508,1,255),country_lookup!$B:$F,4,FALSE)</f>
        <v>99_NCE</v>
      </c>
      <c r="AN508" t="str">
        <f>VLOOKUP(MID($AR508,1,255),country_lookup!$B:$F,5,FALSE)</f>
        <v>99_NCE</v>
      </c>
      <c r="AO508" s="10" t="str">
        <f>VLOOKUP(MID($AS508,1,255),source_lookup!$B:$K,4,FALSE)</f>
        <v>0_published</v>
      </c>
      <c r="AP508" s="10" t="str">
        <f>VLOOKUP(MID($AS508,1,255),source_lookup!$B:$K,6,FALSE)</f>
        <v>1_VHB high</v>
      </c>
      <c r="AQ508" s="10" t="str">
        <f>VLOOKUP(MID($AS508,1,255),source_lookup!$B:$K,10,FALSE)</f>
        <v>1_fin/acc/econ</v>
      </c>
      <c r="AR508" t="s">
        <v>99</v>
      </c>
      <c r="AS508" t="s">
        <v>145</v>
      </c>
    </row>
    <row r="509" spans="1:45" x14ac:dyDescent="0.3">
      <c r="A509" t="s">
        <v>21</v>
      </c>
      <c r="B509">
        <v>508</v>
      </c>
      <c r="C509" s="1">
        <v>-4.6777836016327443E-2</v>
      </c>
      <c r="D509" s="2">
        <v>516</v>
      </c>
      <c r="E509" s="4">
        <v>12906</v>
      </c>
      <c r="F509" s="4" t="s">
        <v>347</v>
      </c>
      <c r="G509" s="4" t="s">
        <v>346</v>
      </c>
      <c r="H509" t="s">
        <v>77</v>
      </c>
      <c r="I509" t="s">
        <v>350</v>
      </c>
      <c r="J509" s="3">
        <v>1990</v>
      </c>
      <c r="K509" s="3">
        <v>2014</v>
      </c>
      <c r="L509" s="6">
        <f t="shared" si="151"/>
        <v>2002</v>
      </c>
      <c r="M509" s="6">
        <f t="shared" si="152"/>
        <v>2002</v>
      </c>
      <c r="N509" s="7">
        <f t="shared" si="140"/>
        <v>0</v>
      </c>
      <c r="O509" s="7">
        <f t="shared" si="141"/>
        <v>0</v>
      </c>
      <c r="P509" s="7">
        <f t="shared" si="142"/>
        <v>0</v>
      </c>
      <c r="Q509" s="7">
        <f t="shared" si="153"/>
        <v>0</v>
      </c>
      <c r="R509" s="10" t="str">
        <f t="shared" si="143"/>
        <v>0_Pre</v>
      </c>
      <c r="S509" s="10" t="str">
        <f t="shared" si="144"/>
        <v>0_Pre</v>
      </c>
      <c r="T509" s="10" t="str">
        <f t="shared" si="145"/>
        <v>0_Pre</v>
      </c>
      <c r="U509" s="10" t="str">
        <f t="shared" si="146"/>
        <v>0_Pre</v>
      </c>
      <c r="V509" s="10" t="str">
        <f t="shared" si="154"/>
        <v>0_Pre</v>
      </c>
      <c r="W509" s="10" t="str">
        <f t="shared" si="147"/>
        <v>clean_pre</v>
      </c>
      <c r="X509" s="10" t="str">
        <f t="shared" si="148"/>
        <v>0_Pre</v>
      </c>
      <c r="Y509" s="10" t="str">
        <f t="shared" si="149"/>
        <v>0_Pre</v>
      </c>
      <c r="Z509" s="10" t="str">
        <f t="shared" si="150"/>
        <v>0_Pre</v>
      </c>
      <c r="AA509" s="10" t="str">
        <f t="shared" si="155"/>
        <v>0_Pre</v>
      </c>
      <c r="AB509" s="10" t="str">
        <f t="shared" si="156"/>
        <v>0_Pre</v>
      </c>
      <c r="AC509" s="10" t="str">
        <f t="shared" si="157"/>
        <v>0_Pre</v>
      </c>
      <c r="AD509" s="10" t="str">
        <f t="shared" si="158"/>
        <v>1_pre sample median</v>
      </c>
      <c r="AE509" s="10" t="str">
        <f t="shared" si="159"/>
        <v>1_pre sample first tertile</v>
      </c>
      <c r="AF509" t="s">
        <v>80</v>
      </c>
      <c r="AG509" t="s">
        <v>75</v>
      </c>
      <c r="AH509" t="s">
        <v>78</v>
      </c>
      <c r="AI509" t="s">
        <v>70</v>
      </c>
      <c r="AJ509" t="s">
        <v>70</v>
      </c>
      <c r="AK509" t="str">
        <f>VLOOKUP(MID($AR509,1,255),country_lookup!$B:$F,2,FALSE)</f>
        <v>99_NCE</v>
      </c>
      <c r="AL509" t="str">
        <f>VLOOKUP(MID($AR509,1,255),country_lookup!$B:$F,3,FALSE)</f>
        <v>99_NCE</v>
      </c>
      <c r="AM509" t="str">
        <f>VLOOKUP(MID($AR509,1,255),country_lookup!$B:$F,4,FALSE)</f>
        <v>99_NCE</v>
      </c>
      <c r="AN509" t="str">
        <f>VLOOKUP(MID($AR509,1,255),country_lookup!$B:$F,5,FALSE)</f>
        <v>99_NCE</v>
      </c>
      <c r="AO509" s="10" t="str">
        <f>VLOOKUP(MID($AS509,1,255),source_lookup!$B:$K,4,FALSE)</f>
        <v>0_published</v>
      </c>
      <c r="AP509" s="10" t="str">
        <f>VLOOKUP(MID($AS509,1,255),source_lookup!$B:$K,6,FALSE)</f>
        <v>1_VHB high</v>
      </c>
      <c r="AQ509" s="10" t="str">
        <f>VLOOKUP(MID($AS509,1,255),source_lookup!$B:$K,10,FALSE)</f>
        <v>1_fin/acc/econ</v>
      </c>
      <c r="AR509" t="s">
        <v>99</v>
      </c>
      <c r="AS509" t="s">
        <v>145</v>
      </c>
    </row>
    <row r="510" spans="1:45" x14ac:dyDescent="0.3">
      <c r="A510" t="s">
        <v>21</v>
      </c>
      <c r="B510">
        <v>509</v>
      </c>
      <c r="C510" s="1">
        <v>-2.7065408600989133E-2</v>
      </c>
      <c r="D510" s="2">
        <v>826</v>
      </c>
      <c r="E510" s="4">
        <v>20642</v>
      </c>
      <c r="F510" s="4" t="s">
        <v>347</v>
      </c>
      <c r="G510" s="4" t="s">
        <v>346</v>
      </c>
      <c r="H510" t="s">
        <v>77</v>
      </c>
      <c r="I510" t="s">
        <v>350</v>
      </c>
      <c r="J510" s="3">
        <v>1990</v>
      </c>
      <c r="K510" s="3">
        <v>2014</v>
      </c>
      <c r="L510" s="6">
        <f t="shared" si="151"/>
        <v>2002</v>
      </c>
      <c r="M510" s="6">
        <f t="shared" si="152"/>
        <v>2002</v>
      </c>
      <c r="N510" s="7">
        <f t="shared" si="140"/>
        <v>0</v>
      </c>
      <c r="O510" s="7">
        <f t="shared" si="141"/>
        <v>0</v>
      </c>
      <c r="P510" s="7">
        <f t="shared" si="142"/>
        <v>0</v>
      </c>
      <c r="Q510" s="7">
        <f t="shared" si="153"/>
        <v>0</v>
      </c>
      <c r="R510" s="10" t="str">
        <f t="shared" si="143"/>
        <v>0_Pre</v>
      </c>
      <c r="S510" s="10" t="str">
        <f t="shared" si="144"/>
        <v>0_Pre</v>
      </c>
      <c r="T510" s="10" t="str">
        <f t="shared" si="145"/>
        <v>0_Pre</v>
      </c>
      <c r="U510" s="10" t="str">
        <f t="shared" si="146"/>
        <v>0_Pre</v>
      </c>
      <c r="V510" s="10" t="str">
        <f t="shared" si="154"/>
        <v>0_Pre</v>
      </c>
      <c r="W510" s="10" t="str">
        <f t="shared" si="147"/>
        <v>clean_pre</v>
      </c>
      <c r="X510" s="10" t="str">
        <f t="shared" si="148"/>
        <v>0_Pre</v>
      </c>
      <c r="Y510" s="10" t="str">
        <f t="shared" si="149"/>
        <v>0_Pre</v>
      </c>
      <c r="Z510" s="10" t="str">
        <f t="shared" si="150"/>
        <v>0_Pre</v>
      </c>
      <c r="AA510" s="10" t="str">
        <f t="shared" si="155"/>
        <v>0_Pre</v>
      </c>
      <c r="AB510" s="10" t="str">
        <f t="shared" si="156"/>
        <v>0_Pre</v>
      </c>
      <c r="AC510" s="10" t="str">
        <f t="shared" si="157"/>
        <v>0_Pre</v>
      </c>
      <c r="AD510" s="10" t="str">
        <f t="shared" si="158"/>
        <v>1_pre sample median</v>
      </c>
      <c r="AE510" s="10" t="str">
        <f t="shared" si="159"/>
        <v>1_pre sample first tertile</v>
      </c>
      <c r="AF510" t="s">
        <v>80</v>
      </c>
      <c r="AG510" t="s">
        <v>75</v>
      </c>
      <c r="AH510" t="s">
        <v>78</v>
      </c>
      <c r="AI510" t="s">
        <v>70</v>
      </c>
      <c r="AJ510" t="s">
        <v>70</v>
      </c>
      <c r="AK510" t="str">
        <f>VLOOKUP(MID($AR510,1,255),country_lookup!$B:$F,2,FALSE)</f>
        <v>99_NCE</v>
      </c>
      <c r="AL510" t="str">
        <f>VLOOKUP(MID($AR510,1,255),country_lookup!$B:$F,3,FALSE)</f>
        <v>99_NCE</v>
      </c>
      <c r="AM510" t="str">
        <f>VLOOKUP(MID($AR510,1,255),country_lookup!$B:$F,4,FALSE)</f>
        <v>99_NCE</v>
      </c>
      <c r="AN510" t="str">
        <f>VLOOKUP(MID($AR510,1,255),country_lookup!$B:$F,5,FALSE)</f>
        <v>99_NCE</v>
      </c>
      <c r="AO510" s="10" t="str">
        <f>VLOOKUP(MID($AS510,1,255),source_lookup!$B:$K,4,FALSE)</f>
        <v>0_published</v>
      </c>
      <c r="AP510" s="10" t="str">
        <f>VLOOKUP(MID($AS510,1,255),source_lookup!$B:$K,6,FALSE)</f>
        <v>1_VHB high</v>
      </c>
      <c r="AQ510" s="10" t="str">
        <f>VLOOKUP(MID($AS510,1,255),source_lookup!$B:$K,10,FALSE)</f>
        <v>1_fin/acc/econ</v>
      </c>
      <c r="AR510" t="s">
        <v>99</v>
      </c>
      <c r="AS510" t="s">
        <v>145</v>
      </c>
    </row>
    <row r="511" spans="1:45" x14ac:dyDescent="0.3">
      <c r="A511" t="s">
        <v>21</v>
      </c>
      <c r="B511">
        <v>510</v>
      </c>
      <c r="C511" s="1">
        <v>-6.5526474239594096E-2</v>
      </c>
      <c r="D511" s="2">
        <v>70</v>
      </c>
      <c r="E511" s="4">
        <v>1741</v>
      </c>
      <c r="F511" s="4" t="s">
        <v>347</v>
      </c>
      <c r="G511" s="4" t="s">
        <v>346</v>
      </c>
      <c r="H511" t="s">
        <v>77</v>
      </c>
      <c r="I511" t="s">
        <v>350</v>
      </c>
      <c r="J511" s="3">
        <v>1990</v>
      </c>
      <c r="K511" s="3">
        <v>2014</v>
      </c>
      <c r="L511" s="6">
        <f t="shared" si="151"/>
        <v>2002</v>
      </c>
      <c r="M511" s="6">
        <f t="shared" si="152"/>
        <v>2002</v>
      </c>
      <c r="N511" s="7">
        <f t="shared" si="140"/>
        <v>0</v>
      </c>
      <c r="O511" s="7">
        <f t="shared" si="141"/>
        <v>0</v>
      </c>
      <c r="P511" s="7">
        <f t="shared" si="142"/>
        <v>0</v>
      </c>
      <c r="Q511" s="7">
        <f t="shared" si="153"/>
        <v>0</v>
      </c>
      <c r="R511" s="10" t="str">
        <f t="shared" si="143"/>
        <v>0_Pre</v>
      </c>
      <c r="S511" s="10" t="str">
        <f t="shared" si="144"/>
        <v>0_Pre</v>
      </c>
      <c r="T511" s="10" t="str">
        <f t="shared" si="145"/>
        <v>0_Pre</v>
      </c>
      <c r="U511" s="10" t="str">
        <f t="shared" si="146"/>
        <v>0_Pre</v>
      </c>
      <c r="V511" s="10" t="str">
        <f t="shared" si="154"/>
        <v>0_Pre</v>
      </c>
      <c r="W511" s="10" t="str">
        <f t="shared" si="147"/>
        <v>clean_pre</v>
      </c>
      <c r="X511" s="10" t="str">
        <f t="shared" si="148"/>
        <v>0_Pre</v>
      </c>
      <c r="Y511" s="10" t="str">
        <f t="shared" si="149"/>
        <v>0_Pre</v>
      </c>
      <c r="Z511" s="10" t="str">
        <f t="shared" si="150"/>
        <v>0_Pre</v>
      </c>
      <c r="AA511" s="10" t="str">
        <f t="shared" si="155"/>
        <v>0_Pre</v>
      </c>
      <c r="AB511" s="10" t="str">
        <f t="shared" si="156"/>
        <v>0_Pre</v>
      </c>
      <c r="AC511" s="10" t="str">
        <f t="shared" si="157"/>
        <v>0_Pre</v>
      </c>
      <c r="AD511" s="10" t="str">
        <f t="shared" si="158"/>
        <v>1_pre sample median</v>
      </c>
      <c r="AE511" s="10" t="str">
        <f t="shared" si="159"/>
        <v>1_pre sample first tertile</v>
      </c>
      <c r="AF511" t="s">
        <v>80</v>
      </c>
      <c r="AG511" t="s">
        <v>75</v>
      </c>
      <c r="AH511" t="s">
        <v>78</v>
      </c>
      <c r="AI511" t="s">
        <v>70</v>
      </c>
      <c r="AJ511" t="s">
        <v>70</v>
      </c>
      <c r="AK511" t="str">
        <f>VLOOKUP(MID($AR511,1,255),country_lookup!$B:$F,2,FALSE)</f>
        <v>99_NCE</v>
      </c>
      <c r="AL511" t="str">
        <f>VLOOKUP(MID($AR511,1,255),country_lookup!$B:$F,3,FALSE)</f>
        <v>99_NCE</v>
      </c>
      <c r="AM511" t="str">
        <f>VLOOKUP(MID($AR511,1,255),country_lookup!$B:$F,4,FALSE)</f>
        <v>99_NCE</v>
      </c>
      <c r="AN511" t="str">
        <f>VLOOKUP(MID($AR511,1,255),country_lookup!$B:$F,5,FALSE)</f>
        <v>99_NCE</v>
      </c>
      <c r="AO511" s="10" t="str">
        <f>VLOOKUP(MID($AS511,1,255),source_lookup!$B:$K,4,FALSE)</f>
        <v>0_published</v>
      </c>
      <c r="AP511" s="10" t="str">
        <f>VLOOKUP(MID($AS511,1,255),source_lookup!$B:$K,6,FALSE)</f>
        <v>1_VHB high</v>
      </c>
      <c r="AQ511" s="10" t="str">
        <f>VLOOKUP(MID($AS511,1,255),source_lookup!$B:$K,10,FALSE)</f>
        <v>1_fin/acc/econ</v>
      </c>
      <c r="AR511" t="s">
        <v>99</v>
      </c>
      <c r="AS511" t="s">
        <v>145</v>
      </c>
    </row>
    <row r="512" spans="1:45" x14ac:dyDescent="0.3">
      <c r="A512" t="s">
        <v>21</v>
      </c>
      <c r="B512">
        <v>511</v>
      </c>
      <c r="C512" s="1">
        <v>-2.5412761619615094E-2</v>
      </c>
      <c r="D512" s="2">
        <v>1270</v>
      </c>
      <c r="E512" s="4">
        <v>31755</v>
      </c>
      <c r="F512" s="4" t="s">
        <v>347</v>
      </c>
      <c r="G512" s="4" t="s">
        <v>346</v>
      </c>
      <c r="H512" t="s">
        <v>77</v>
      </c>
      <c r="I512" t="s">
        <v>350</v>
      </c>
      <c r="J512" s="3">
        <v>1990</v>
      </c>
      <c r="K512" s="3">
        <v>2014</v>
      </c>
      <c r="L512" s="6">
        <f t="shared" si="151"/>
        <v>2002</v>
      </c>
      <c r="M512" s="6">
        <f t="shared" si="152"/>
        <v>2002</v>
      </c>
      <c r="N512" s="7">
        <f t="shared" si="140"/>
        <v>0</v>
      </c>
      <c r="O512" s="7">
        <f t="shared" si="141"/>
        <v>0</v>
      </c>
      <c r="P512" s="7">
        <f t="shared" si="142"/>
        <v>0</v>
      </c>
      <c r="Q512" s="7">
        <f t="shared" si="153"/>
        <v>0</v>
      </c>
      <c r="R512" s="10" t="str">
        <f t="shared" si="143"/>
        <v>0_Pre</v>
      </c>
      <c r="S512" s="10" t="str">
        <f t="shared" si="144"/>
        <v>0_Pre</v>
      </c>
      <c r="T512" s="10" t="str">
        <f t="shared" si="145"/>
        <v>0_Pre</v>
      </c>
      <c r="U512" s="10" t="str">
        <f t="shared" si="146"/>
        <v>0_Pre</v>
      </c>
      <c r="V512" s="10" t="str">
        <f t="shared" si="154"/>
        <v>0_Pre</v>
      </c>
      <c r="W512" s="10" t="str">
        <f t="shared" si="147"/>
        <v>clean_pre</v>
      </c>
      <c r="X512" s="10" t="str">
        <f t="shared" si="148"/>
        <v>0_Pre</v>
      </c>
      <c r="Y512" s="10" t="str">
        <f t="shared" si="149"/>
        <v>0_Pre</v>
      </c>
      <c r="Z512" s="10" t="str">
        <f t="shared" si="150"/>
        <v>0_Pre</v>
      </c>
      <c r="AA512" s="10" t="str">
        <f t="shared" si="155"/>
        <v>0_Pre</v>
      </c>
      <c r="AB512" s="10" t="str">
        <f t="shared" si="156"/>
        <v>0_Pre</v>
      </c>
      <c r="AC512" s="10" t="str">
        <f t="shared" si="157"/>
        <v>0_Pre</v>
      </c>
      <c r="AD512" s="10" t="str">
        <f t="shared" si="158"/>
        <v>1_pre sample median</v>
      </c>
      <c r="AE512" s="10" t="str">
        <f t="shared" si="159"/>
        <v>1_pre sample first tertile</v>
      </c>
      <c r="AF512" t="s">
        <v>80</v>
      </c>
      <c r="AG512" t="s">
        <v>75</v>
      </c>
      <c r="AH512" t="s">
        <v>78</v>
      </c>
      <c r="AI512" t="s">
        <v>70</v>
      </c>
      <c r="AJ512" t="s">
        <v>70</v>
      </c>
      <c r="AK512" t="str">
        <f>VLOOKUP(MID($AR512,1,255),country_lookup!$B:$F,2,FALSE)</f>
        <v>99_NCE</v>
      </c>
      <c r="AL512" t="str">
        <f>VLOOKUP(MID($AR512,1,255),country_lookup!$B:$F,3,FALSE)</f>
        <v>99_NCE</v>
      </c>
      <c r="AM512" t="str">
        <f>VLOOKUP(MID($AR512,1,255),country_lookup!$B:$F,4,FALSE)</f>
        <v>99_NCE</v>
      </c>
      <c r="AN512" t="str">
        <f>VLOOKUP(MID($AR512,1,255),country_lookup!$B:$F,5,FALSE)</f>
        <v>99_NCE</v>
      </c>
      <c r="AO512" s="10" t="str">
        <f>VLOOKUP(MID($AS512,1,255),source_lookup!$B:$K,4,FALSE)</f>
        <v>0_published</v>
      </c>
      <c r="AP512" s="10" t="str">
        <f>VLOOKUP(MID($AS512,1,255),source_lookup!$B:$K,6,FALSE)</f>
        <v>1_VHB high</v>
      </c>
      <c r="AQ512" s="10" t="str">
        <f>VLOOKUP(MID($AS512,1,255),source_lookup!$B:$K,10,FALSE)</f>
        <v>1_fin/acc/econ</v>
      </c>
      <c r="AR512" t="s">
        <v>99</v>
      </c>
      <c r="AS512" t="s">
        <v>145</v>
      </c>
    </row>
    <row r="513" spans="1:45" x14ac:dyDescent="0.3">
      <c r="A513" t="s">
        <v>21</v>
      </c>
      <c r="B513">
        <v>512</v>
      </c>
      <c r="C513" s="1">
        <v>-6.5777004439646451E-3</v>
      </c>
      <c r="D513" s="2">
        <v>974</v>
      </c>
      <c r="E513" s="4">
        <v>12656</v>
      </c>
      <c r="F513" s="4" t="s">
        <v>347</v>
      </c>
      <c r="G513" s="4" t="s">
        <v>346</v>
      </c>
      <c r="H513" t="s">
        <v>77</v>
      </c>
      <c r="I513" t="s">
        <v>350</v>
      </c>
      <c r="J513" s="3">
        <v>1990</v>
      </c>
      <c r="K513" s="3">
        <v>2002</v>
      </c>
      <c r="L513" s="6">
        <f t="shared" si="151"/>
        <v>1996</v>
      </c>
      <c r="M513" s="6">
        <f t="shared" si="152"/>
        <v>1996</v>
      </c>
      <c r="N513" s="7">
        <f t="shared" si="140"/>
        <v>0</v>
      </c>
      <c r="O513" s="7">
        <f t="shared" si="141"/>
        <v>0</v>
      </c>
      <c r="P513" s="7">
        <f t="shared" si="142"/>
        <v>0</v>
      </c>
      <c r="Q513" s="7">
        <f t="shared" si="153"/>
        <v>0</v>
      </c>
      <c r="R513" s="10" t="str">
        <f t="shared" si="143"/>
        <v>0_Pre</v>
      </c>
      <c r="S513" s="10" t="str">
        <f t="shared" si="144"/>
        <v>0_Pre</v>
      </c>
      <c r="T513" s="10" t="str">
        <f t="shared" si="145"/>
        <v>0_Pre</v>
      </c>
      <c r="U513" s="10" t="str">
        <f t="shared" si="146"/>
        <v>0_Pre</v>
      </c>
      <c r="V513" s="10" t="str">
        <f t="shared" si="154"/>
        <v>0_Pre</v>
      </c>
      <c r="W513" s="10" t="str">
        <f t="shared" si="147"/>
        <v>clean_pre</v>
      </c>
      <c r="X513" s="10" t="str">
        <f t="shared" si="148"/>
        <v>0_Pre</v>
      </c>
      <c r="Y513" s="10" t="str">
        <f t="shared" si="149"/>
        <v>0_Pre</v>
      </c>
      <c r="Z513" s="10" t="str">
        <f t="shared" si="150"/>
        <v>0_Pre</v>
      </c>
      <c r="AA513" s="10" t="str">
        <f t="shared" si="155"/>
        <v>0_Pre</v>
      </c>
      <c r="AB513" s="10" t="str">
        <f t="shared" si="156"/>
        <v>0_Pre</v>
      </c>
      <c r="AC513" s="10" t="str">
        <f t="shared" si="157"/>
        <v>0_Pre</v>
      </c>
      <c r="AD513" s="10" t="str">
        <f t="shared" si="158"/>
        <v>1_pre sample median</v>
      </c>
      <c r="AE513" s="10" t="str">
        <f t="shared" si="159"/>
        <v>1_pre sample first tertile</v>
      </c>
      <c r="AF513" t="s">
        <v>80</v>
      </c>
      <c r="AG513" t="s">
        <v>75</v>
      </c>
      <c r="AH513" t="s">
        <v>78</v>
      </c>
      <c r="AI513" t="s">
        <v>70</v>
      </c>
      <c r="AJ513" t="s">
        <v>70</v>
      </c>
      <c r="AK513" t="str">
        <f>VLOOKUP(MID($AR513,1,255),country_lookup!$B:$F,2,FALSE)</f>
        <v>99_NCE</v>
      </c>
      <c r="AL513" t="str">
        <f>VLOOKUP(MID($AR513,1,255),country_lookup!$B:$F,3,FALSE)</f>
        <v>99_NCE</v>
      </c>
      <c r="AM513" t="str">
        <f>VLOOKUP(MID($AR513,1,255),country_lookup!$B:$F,4,FALSE)</f>
        <v>99_NCE</v>
      </c>
      <c r="AN513" t="str">
        <f>VLOOKUP(MID($AR513,1,255),country_lookup!$B:$F,5,FALSE)</f>
        <v>99_NCE</v>
      </c>
      <c r="AO513" s="10" t="str">
        <f>VLOOKUP(MID($AS513,1,255),source_lookup!$B:$K,4,FALSE)</f>
        <v>0_published</v>
      </c>
      <c r="AP513" s="10" t="str">
        <f>VLOOKUP(MID($AS513,1,255),source_lookup!$B:$K,6,FALSE)</f>
        <v>1_VHB high</v>
      </c>
      <c r="AQ513" s="10" t="str">
        <f>VLOOKUP(MID($AS513,1,255),source_lookup!$B:$K,10,FALSE)</f>
        <v>1_fin/acc/econ</v>
      </c>
      <c r="AR513" t="s">
        <v>99</v>
      </c>
      <c r="AS513" t="s">
        <v>145</v>
      </c>
    </row>
    <row r="514" spans="1:45" x14ac:dyDescent="0.3">
      <c r="A514" t="s">
        <v>21</v>
      </c>
      <c r="B514">
        <v>513</v>
      </c>
      <c r="C514" s="1">
        <v>-1.7918805617115981E-3</v>
      </c>
      <c r="D514" s="2">
        <v>1741</v>
      </c>
      <c r="E514" s="4">
        <v>20892</v>
      </c>
      <c r="F514" s="4" t="s">
        <v>347</v>
      </c>
      <c r="G514" s="4" t="s">
        <v>346</v>
      </c>
      <c r="H514" t="s">
        <v>77</v>
      </c>
      <c r="I514" t="s">
        <v>350</v>
      </c>
      <c r="J514" s="3">
        <v>2003</v>
      </c>
      <c r="K514" s="3">
        <v>2014</v>
      </c>
      <c r="L514" s="6">
        <f t="shared" si="151"/>
        <v>2008.5</v>
      </c>
      <c r="M514" s="6">
        <f t="shared" si="152"/>
        <v>2008.5</v>
      </c>
      <c r="N514" s="7">
        <f t="shared" ref="N514:N577" si="160">MAX(0,$K514-MAX($J514,2016)+1)/($K514-$J514+1)</f>
        <v>0</v>
      </c>
      <c r="O514" s="7">
        <f t="shared" ref="O514:O577" si="161">MAX(0,$K514-MAX($J514,2017)+1)/($K514-$J514+1)</f>
        <v>0</v>
      </c>
      <c r="P514" s="7">
        <f t="shared" ref="P514:P577" si="162">MAX(0,$K514-MAX($J514,2018)+1)/($K514-$J514+1)</f>
        <v>0</v>
      </c>
      <c r="Q514" s="7">
        <f t="shared" si="153"/>
        <v>0</v>
      </c>
      <c r="R514" s="10" t="str">
        <f t="shared" ref="R514:R577" si="163">IF(N514&gt;=0.5,"1_Post","0_Pre")</f>
        <v>0_Pre</v>
      </c>
      <c r="S514" s="10" t="str">
        <f t="shared" ref="S514:S577" si="164">IF($L514&gt;=2016,"1_Post","0_Pre")</f>
        <v>0_Pre</v>
      </c>
      <c r="T514" s="10" t="str">
        <f t="shared" ref="T514:T577" si="165">IF($M514&gt;=2016,"1_Post","0_Pre")</f>
        <v>0_Pre</v>
      </c>
      <c r="U514" s="10" t="str">
        <f t="shared" ref="U514:U577" si="166">IF($K514&gt;=2016,"1_Post","0_Pre")</f>
        <v>0_Pre</v>
      </c>
      <c r="V514" s="10" t="str">
        <f t="shared" si="154"/>
        <v>0_Pre</v>
      </c>
      <c r="W514" s="10" t="str">
        <f t="shared" ref="W514:W577" si="167">IF($K514&lt;=2015,"clean_pre",IF($J514&gt;=2016,"clean_post","straddle"))</f>
        <v>clean_pre</v>
      </c>
      <c r="X514" s="10" t="str">
        <f t="shared" ref="X514:X577" si="168">IF(O514&gt;=0.5,"1_Post","0_Pre")</f>
        <v>0_Pre</v>
      </c>
      <c r="Y514" s="10" t="str">
        <f t="shared" ref="Y514:Y577" si="169">IF(P514&gt;=0.5,"1_Post","0_Pre")</f>
        <v>0_Pre</v>
      </c>
      <c r="Z514" s="10" t="str">
        <f t="shared" ref="Z514:Z577" si="170">IF(Q514&gt;=0.5,"1_Post","0_Pre")</f>
        <v>0_Pre</v>
      </c>
      <c r="AA514" s="10" t="str">
        <f t="shared" si="155"/>
        <v>0_Pre</v>
      </c>
      <c r="AB514" s="10" t="str">
        <f t="shared" si="156"/>
        <v>0_Pre</v>
      </c>
      <c r="AC514" s="10" t="str">
        <f t="shared" si="157"/>
        <v>0_Pre</v>
      </c>
      <c r="AD514" s="10" t="str">
        <f t="shared" si="158"/>
        <v>1_pre sample median</v>
      </c>
      <c r="AE514" s="10" t="str">
        <f t="shared" si="159"/>
        <v>1_pre sample first tertile</v>
      </c>
      <c r="AF514" t="s">
        <v>80</v>
      </c>
      <c r="AG514" t="s">
        <v>75</v>
      </c>
      <c r="AH514" t="s">
        <v>78</v>
      </c>
      <c r="AI514" t="s">
        <v>70</v>
      </c>
      <c r="AJ514" t="s">
        <v>70</v>
      </c>
      <c r="AK514" t="str">
        <f>VLOOKUP(MID($AR514,1,255),country_lookup!$B:$F,2,FALSE)</f>
        <v>99_NCE</v>
      </c>
      <c r="AL514" t="str">
        <f>VLOOKUP(MID($AR514,1,255),country_lookup!$B:$F,3,FALSE)</f>
        <v>99_NCE</v>
      </c>
      <c r="AM514" t="str">
        <f>VLOOKUP(MID($AR514,1,255),country_lookup!$B:$F,4,FALSE)</f>
        <v>99_NCE</v>
      </c>
      <c r="AN514" t="str">
        <f>VLOOKUP(MID($AR514,1,255),country_lookup!$B:$F,5,FALSE)</f>
        <v>99_NCE</v>
      </c>
      <c r="AO514" s="10" t="str">
        <f>VLOOKUP(MID($AS514,1,255),source_lookup!$B:$K,4,FALSE)</f>
        <v>0_published</v>
      </c>
      <c r="AP514" s="10" t="str">
        <f>VLOOKUP(MID($AS514,1,255),source_lookup!$B:$K,6,FALSE)</f>
        <v>1_VHB high</v>
      </c>
      <c r="AQ514" s="10" t="str">
        <f>VLOOKUP(MID($AS514,1,255),source_lookup!$B:$K,10,FALSE)</f>
        <v>1_fin/acc/econ</v>
      </c>
      <c r="AR514" t="s">
        <v>99</v>
      </c>
      <c r="AS514" t="s">
        <v>145</v>
      </c>
    </row>
    <row r="515" spans="1:45" x14ac:dyDescent="0.3">
      <c r="A515" t="s">
        <v>21</v>
      </c>
      <c r="B515">
        <v>514</v>
      </c>
      <c r="C515" s="1">
        <v>-4.4025634543553807E-2</v>
      </c>
      <c r="D515" s="2">
        <v>132</v>
      </c>
      <c r="E515" s="4">
        <v>3296</v>
      </c>
      <c r="F515" s="4" t="s">
        <v>347</v>
      </c>
      <c r="G515" s="4" t="s">
        <v>346</v>
      </c>
      <c r="H515" t="s">
        <v>77</v>
      </c>
      <c r="I515" t="s">
        <v>350</v>
      </c>
      <c r="J515" s="3">
        <v>1990</v>
      </c>
      <c r="K515" s="3">
        <v>2014</v>
      </c>
      <c r="L515" s="6">
        <f t="shared" ref="L515:L578" si="171">ROUND(AVERAGE(J515:K515),100)</f>
        <v>2002</v>
      </c>
      <c r="M515" s="6">
        <f t="shared" ref="M515:M578" si="172">ROUND(MEDIAN(J515:K515),100)</f>
        <v>2002</v>
      </c>
      <c r="N515" s="7">
        <f t="shared" si="160"/>
        <v>0</v>
      </c>
      <c r="O515" s="7">
        <f t="shared" si="161"/>
        <v>0</v>
      </c>
      <c r="P515" s="7">
        <f t="shared" si="162"/>
        <v>0</v>
      </c>
      <c r="Q515" s="7">
        <f t="shared" ref="Q515:Q578" si="173">MAX(0,$K515-MAX($J515,2019)+1)/($K515-$J515+1)</f>
        <v>0</v>
      </c>
      <c r="R515" s="10" t="str">
        <f t="shared" si="163"/>
        <v>0_Pre</v>
      </c>
      <c r="S515" s="10" t="str">
        <f t="shared" si="164"/>
        <v>0_Pre</v>
      </c>
      <c r="T515" s="10" t="str">
        <f t="shared" si="165"/>
        <v>0_Pre</v>
      </c>
      <c r="U515" s="10" t="str">
        <f t="shared" si="166"/>
        <v>0_Pre</v>
      </c>
      <c r="V515" s="10" t="str">
        <f t="shared" ref="V515:V578" si="174">IF($J515&lt;=2017,"0_Pre","1_Post")</f>
        <v>0_Pre</v>
      </c>
      <c r="W515" s="10" t="str">
        <f t="shared" si="167"/>
        <v>clean_pre</v>
      </c>
      <c r="X515" s="10" t="str">
        <f t="shared" si="168"/>
        <v>0_Pre</v>
      </c>
      <c r="Y515" s="10" t="str">
        <f t="shared" si="169"/>
        <v>0_Pre</v>
      </c>
      <c r="Z515" s="10" t="str">
        <f t="shared" si="170"/>
        <v>0_Pre</v>
      </c>
      <c r="AA515" s="10" t="str">
        <f t="shared" ref="AA515:AA578" si="175">IF($K515&gt;=2017,"1_Post","0_Pre")</f>
        <v>0_Pre</v>
      </c>
      <c r="AB515" s="10" t="str">
        <f t="shared" ref="AB515:AB578" si="176">IF($K515&gt;=2018,"1_Post","0_Pre")</f>
        <v>0_Pre</v>
      </c>
      <c r="AC515" s="10" t="str">
        <f t="shared" ref="AC515:AC578" si="177">IF($K515&gt;=2019,"1_Post","0_Pre")</f>
        <v>0_Pre</v>
      </c>
      <c r="AD515" s="10" t="str">
        <f t="shared" ref="AD515:AD578" si="178">IF(L515&lt;MEDIAN($L$2:$L$1307),"1_pre sample median","2_post sample median")</f>
        <v>1_pre sample median</v>
      </c>
      <c r="AE515" s="10" t="str">
        <f t="shared" ref="AE515:AE578" si="179">IF(L515&lt;=PERCENTILE($L$2:$L$1307,0.33),"1_pre sample first tertile",IF(L515&gt;=PERCENTILE($L$2:$L$1307,0.67),"3_post sample third tertile","2_in sample second tertile"))</f>
        <v>1_pre sample first tertile</v>
      </c>
      <c r="AF515" t="s">
        <v>80</v>
      </c>
      <c r="AG515" t="s">
        <v>75</v>
      </c>
      <c r="AH515" t="s">
        <v>78</v>
      </c>
      <c r="AI515" t="s">
        <v>70</v>
      </c>
      <c r="AJ515" t="s">
        <v>70</v>
      </c>
      <c r="AK515" t="str">
        <f>VLOOKUP(MID($AR515,1,255),country_lookup!$B:$F,2,FALSE)</f>
        <v>99_NCE</v>
      </c>
      <c r="AL515" t="str">
        <f>VLOOKUP(MID($AR515,1,255),country_lookup!$B:$F,3,FALSE)</f>
        <v>99_NCE</v>
      </c>
      <c r="AM515" t="str">
        <f>VLOOKUP(MID($AR515,1,255),country_lookup!$B:$F,4,FALSE)</f>
        <v>99_NCE</v>
      </c>
      <c r="AN515" t="str">
        <f>VLOOKUP(MID($AR515,1,255),country_lookup!$B:$F,5,FALSE)</f>
        <v>99_NCE</v>
      </c>
      <c r="AO515" s="10" t="str">
        <f>VLOOKUP(MID($AS515,1,255),source_lookup!$B:$K,4,FALSE)</f>
        <v>0_published</v>
      </c>
      <c r="AP515" s="10" t="str">
        <f>VLOOKUP(MID($AS515,1,255),source_lookup!$B:$K,6,FALSE)</f>
        <v>1_VHB high</v>
      </c>
      <c r="AQ515" s="10" t="str">
        <f>VLOOKUP(MID($AS515,1,255),source_lookup!$B:$K,10,FALSE)</f>
        <v>1_fin/acc/econ</v>
      </c>
      <c r="AR515" t="s">
        <v>98</v>
      </c>
      <c r="AS515" t="s">
        <v>145</v>
      </c>
    </row>
    <row r="516" spans="1:45" x14ac:dyDescent="0.3">
      <c r="A516" t="s">
        <v>21</v>
      </c>
      <c r="B516">
        <v>515</v>
      </c>
      <c r="C516" s="1">
        <v>-0.12051024740972192</v>
      </c>
      <c r="D516" s="2">
        <v>32</v>
      </c>
      <c r="E516" s="4">
        <v>803</v>
      </c>
      <c r="F516" s="4" t="s">
        <v>347</v>
      </c>
      <c r="G516" s="4" t="s">
        <v>346</v>
      </c>
      <c r="H516" t="s">
        <v>77</v>
      </c>
      <c r="I516" t="s">
        <v>350</v>
      </c>
      <c r="J516" s="3">
        <v>1990</v>
      </c>
      <c r="K516" s="3">
        <v>2014</v>
      </c>
      <c r="L516" s="6">
        <f t="shared" si="171"/>
        <v>2002</v>
      </c>
      <c r="M516" s="6">
        <f t="shared" si="172"/>
        <v>2002</v>
      </c>
      <c r="N516" s="7">
        <f t="shared" si="160"/>
        <v>0</v>
      </c>
      <c r="O516" s="7">
        <f t="shared" si="161"/>
        <v>0</v>
      </c>
      <c r="P516" s="7">
        <f t="shared" si="162"/>
        <v>0</v>
      </c>
      <c r="Q516" s="7">
        <f t="shared" si="173"/>
        <v>0</v>
      </c>
      <c r="R516" s="10" t="str">
        <f t="shared" si="163"/>
        <v>0_Pre</v>
      </c>
      <c r="S516" s="10" t="str">
        <f t="shared" si="164"/>
        <v>0_Pre</v>
      </c>
      <c r="T516" s="10" t="str">
        <f t="shared" si="165"/>
        <v>0_Pre</v>
      </c>
      <c r="U516" s="10" t="str">
        <f t="shared" si="166"/>
        <v>0_Pre</v>
      </c>
      <c r="V516" s="10" t="str">
        <f t="shared" si="174"/>
        <v>0_Pre</v>
      </c>
      <c r="W516" s="10" t="str">
        <f t="shared" si="167"/>
        <v>clean_pre</v>
      </c>
      <c r="X516" s="10" t="str">
        <f t="shared" si="168"/>
        <v>0_Pre</v>
      </c>
      <c r="Y516" s="10" t="str">
        <f t="shared" si="169"/>
        <v>0_Pre</v>
      </c>
      <c r="Z516" s="10" t="str">
        <f t="shared" si="170"/>
        <v>0_Pre</v>
      </c>
      <c r="AA516" s="10" t="str">
        <f t="shared" si="175"/>
        <v>0_Pre</v>
      </c>
      <c r="AB516" s="10" t="str">
        <f t="shared" si="176"/>
        <v>0_Pre</v>
      </c>
      <c r="AC516" s="10" t="str">
        <f t="shared" si="177"/>
        <v>0_Pre</v>
      </c>
      <c r="AD516" s="10" t="str">
        <f t="shared" si="178"/>
        <v>1_pre sample median</v>
      </c>
      <c r="AE516" s="10" t="str">
        <f t="shared" si="179"/>
        <v>1_pre sample first tertile</v>
      </c>
      <c r="AF516" t="s">
        <v>80</v>
      </c>
      <c r="AG516" t="s">
        <v>75</v>
      </c>
      <c r="AH516" t="s">
        <v>78</v>
      </c>
      <c r="AI516" t="s">
        <v>70</v>
      </c>
      <c r="AJ516" t="s">
        <v>70</v>
      </c>
      <c r="AK516" t="str">
        <f>VLOOKUP(MID($AR516,1,255),country_lookup!$B:$F,2,FALSE)</f>
        <v>99_NCE</v>
      </c>
      <c r="AL516" t="str">
        <f>VLOOKUP(MID($AR516,1,255),country_lookup!$B:$F,3,FALSE)</f>
        <v>99_NCE</v>
      </c>
      <c r="AM516" t="str">
        <f>VLOOKUP(MID($AR516,1,255),country_lookup!$B:$F,4,FALSE)</f>
        <v>99_NCE</v>
      </c>
      <c r="AN516" t="str">
        <f>VLOOKUP(MID($AR516,1,255),country_lookup!$B:$F,5,FALSE)</f>
        <v>99_NCE</v>
      </c>
      <c r="AO516" s="10" t="str">
        <f>VLOOKUP(MID($AS516,1,255),source_lookup!$B:$K,4,FALSE)</f>
        <v>0_published</v>
      </c>
      <c r="AP516" s="10" t="str">
        <f>VLOOKUP(MID($AS516,1,255),source_lookup!$B:$K,6,FALSE)</f>
        <v>1_VHB high</v>
      </c>
      <c r="AQ516" s="10" t="str">
        <f>VLOOKUP(MID($AS516,1,255),source_lookup!$B:$K,10,FALSE)</f>
        <v>1_fin/acc/econ</v>
      </c>
      <c r="AR516" t="s">
        <v>98</v>
      </c>
      <c r="AS516" t="s">
        <v>145</v>
      </c>
    </row>
    <row r="517" spans="1:45" x14ac:dyDescent="0.3">
      <c r="A517" t="s">
        <v>21</v>
      </c>
      <c r="B517">
        <v>516</v>
      </c>
      <c r="C517" s="1">
        <v>-3.0877381970631997E-2</v>
      </c>
      <c r="D517" s="2">
        <v>31</v>
      </c>
      <c r="E517" s="4">
        <v>775</v>
      </c>
      <c r="F517" s="4" t="s">
        <v>347</v>
      </c>
      <c r="G517" s="4" t="s">
        <v>346</v>
      </c>
      <c r="H517" t="s">
        <v>77</v>
      </c>
      <c r="I517" t="s">
        <v>350</v>
      </c>
      <c r="J517" s="3">
        <v>1990</v>
      </c>
      <c r="K517" s="3">
        <v>2014</v>
      </c>
      <c r="L517" s="6">
        <f t="shared" si="171"/>
        <v>2002</v>
      </c>
      <c r="M517" s="6">
        <f t="shared" si="172"/>
        <v>2002</v>
      </c>
      <c r="N517" s="7">
        <f t="shared" si="160"/>
        <v>0</v>
      </c>
      <c r="O517" s="7">
        <f t="shared" si="161"/>
        <v>0</v>
      </c>
      <c r="P517" s="7">
        <f t="shared" si="162"/>
        <v>0</v>
      </c>
      <c r="Q517" s="7">
        <f t="shared" si="173"/>
        <v>0</v>
      </c>
      <c r="R517" s="10" t="str">
        <f t="shared" si="163"/>
        <v>0_Pre</v>
      </c>
      <c r="S517" s="10" t="str">
        <f t="shared" si="164"/>
        <v>0_Pre</v>
      </c>
      <c r="T517" s="10" t="str">
        <f t="shared" si="165"/>
        <v>0_Pre</v>
      </c>
      <c r="U517" s="10" t="str">
        <f t="shared" si="166"/>
        <v>0_Pre</v>
      </c>
      <c r="V517" s="10" t="str">
        <f t="shared" si="174"/>
        <v>0_Pre</v>
      </c>
      <c r="W517" s="10" t="str">
        <f t="shared" si="167"/>
        <v>clean_pre</v>
      </c>
      <c r="X517" s="10" t="str">
        <f t="shared" si="168"/>
        <v>0_Pre</v>
      </c>
      <c r="Y517" s="10" t="str">
        <f t="shared" si="169"/>
        <v>0_Pre</v>
      </c>
      <c r="Z517" s="10" t="str">
        <f t="shared" si="170"/>
        <v>0_Pre</v>
      </c>
      <c r="AA517" s="10" t="str">
        <f t="shared" si="175"/>
        <v>0_Pre</v>
      </c>
      <c r="AB517" s="10" t="str">
        <f t="shared" si="176"/>
        <v>0_Pre</v>
      </c>
      <c r="AC517" s="10" t="str">
        <f t="shared" si="177"/>
        <v>0_Pre</v>
      </c>
      <c r="AD517" s="10" t="str">
        <f t="shared" si="178"/>
        <v>1_pre sample median</v>
      </c>
      <c r="AE517" s="10" t="str">
        <f t="shared" si="179"/>
        <v>1_pre sample first tertile</v>
      </c>
      <c r="AF517" t="s">
        <v>80</v>
      </c>
      <c r="AG517" t="s">
        <v>75</v>
      </c>
      <c r="AH517" t="s">
        <v>78</v>
      </c>
      <c r="AI517" t="s">
        <v>70</v>
      </c>
      <c r="AJ517" t="s">
        <v>70</v>
      </c>
      <c r="AK517" t="str">
        <f>VLOOKUP(MID($AR517,1,255),country_lookup!$B:$F,2,FALSE)</f>
        <v>99_NCE</v>
      </c>
      <c r="AL517" t="str">
        <f>VLOOKUP(MID($AR517,1,255),country_lookup!$B:$F,3,FALSE)</f>
        <v>99_NCE</v>
      </c>
      <c r="AM517" t="str">
        <f>VLOOKUP(MID($AR517,1,255),country_lookup!$B:$F,4,FALSE)</f>
        <v>99_NCE</v>
      </c>
      <c r="AN517" t="str">
        <f>VLOOKUP(MID($AR517,1,255),country_lookup!$B:$F,5,FALSE)</f>
        <v>99_NCE</v>
      </c>
      <c r="AO517" s="10" t="str">
        <f>VLOOKUP(MID($AS517,1,255),source_lookup!$B:$K,4,FALSE)</f>
        <v>0_published</v>
      </c>
      <c r="AP517" s="10" t="str">
        <f>VLOOKUP(MID($AS517,1,255),source_lookup!$B:$K,6,FALSE)</f>
        <v>1_VHB high</v>
      </c>
      <c r="AQ517" s="10" t="str">
        <f>VLOOKUP(MID($AS517,1,255),source_lookup!$B:$K,10,FALSE)</f>
        <v>1_fin/acc/econ</v>
      </c>
      <c r="AR517" t="s">
        <v>98</v>
      </c>
      <c r="AS517" t="s">
        <v>145</v>
      </c>
    </row>
    <row r="518" spans="1:45" x14ac:dyDescent="0.3">
      <c r="A518" t="s">
        <v>21</v>
      </c>
      <c r="B518">
        <v>517</v>
      </c>
      <c r="C518" s="1">
        <v>2.7116723930255618E-2</v>
      </c>
      <c r="D518" s="2">
        <v>26</v>
      </c>
      <c r="E518" s="4">
        <v>647</v>
      </c>
      <c r="F518" s="4" t="s">
        <v>347</v>
      </c>
      <c r="G518" s="4" t="s">
        <v>346</v>
      </c>
      <c r="H518" t="s">
        <v>77</v>
      </c>
      <c r="I518" t="s">
        <v>350</v>
      </c>
      <c r="J518" s="3">
        <v>1990</v>
      </c>
      <c r="K518" s="3">
        <v>2014</v>
      </c>
      <c r="L518" s="6">
        <f t="shared" si="171"/>
        <v>2002</v>
      </c>
      <c r="M518" s="6">
        <f t="shared" si="172"/>
        <v>2002</v>
      </c>
      <c r="N518" s="7">
        <f t="shared" si="160"/>
        <v>0</v>
      </c>
      <c r="O518" s="7">
        <f t="shared" si="161"/>
        <v>0</v>
      </c>
      <c r="P518" s="7">
        <f t="shared" si="162"/>
        <v>0</v>
      </c>
      <c r="Q518" s="7">
        <f t="shared" si="173"/>
        <v>0</v>
      </c>
      <c r="R518" s="10" t="str">
        <f t="shared" si="163"/>
        <v>0_Pre</v>
      </c>
      <c r="S518" s="10" t="str">
        <f t="shared" si="164"/>
        <v>0_Pre</v>
      </c>
      <c r="T518" s="10" t="str">
        <f t="shared" si="165"/>
        <v>0_Pre</v>
      </c>
      <c r="U518" s="10" t="str">
        <f t="shared" si="166"/>
        <v>0_Pre</v>
      </c>
      <c r="V518" s="10" t="str">
        <f t="shared" si="174"/>
        <v>0_Pre</v>
      </c>
      <c r="W518" s="10" t="str">
        <f t="shared" si="167"/>
        <v>clean_pre</v>
      </c>
      <c r="X518" s="10" t="str">
        <f t="shared" si="168"/>
        <v>0_Pre</v>
      </c>
      <c r="Y518" s="10" t="str">
        <f t="shared" si="169"/>
        <v>0_Pre</v>
      </c>
      <c r="Z518" s="10" t="str">
        <f t="shared" si="170"/>
        <v>0_Pre</v>
      </c>
      <c r="AA518" s="10" t="str">
        <f t="shared" si="175"/>
        <v>0_Pre</v>
      </c>
      <c r="AB518" s="10" t="str">
        <f t="shared" si="176"/>
        <v>0_Pre</v>
      </c>
      <c r="AC518" s="10" t="str">
        <f t="shared" si="177"/>
        <v>0_Pre</v>
      </c>
      <c r="AD518" s="10" t="str">
        <f t="shared" si="178"/>
        <v>1_pre sample median</v>
      </c>
      <c r="AE518" s="10" t="str">
        <f t="shared" si="179"/>
        <v>1_pre sample first tertile</v>
      </c>
      <c r="AF518" t="s">
        <v>80</v>
      </c>
      <c r="AG518" t="s">
        <v>75</v>
      </c>
      <c r="AH518" t="s">
        <v>78</v>
      </c>
      <c r="AI518" t="s">
        <v>70</v>
      </c>
      <c r="AJ518" t="s">
        <v>70</v>
      </c>
      <c r="AK518" t="str">
        <f>VLOOKUP(MID($AR518,1,255),country_lookup!$B:$F,2,FALSE)</f>
        <v>99_NCE</v>
      </c>
      <c r="AL518" t="str">
        <f>VLOOKUP(MID($AR518,1,255),country_lookup!$B:$F,3,FALSE)</f>
        <v>99_NCE</v>
      </c>
      <c r="AM518" t="str">
        <f>VLOOKUP(MID($AR518,1,255),country_lookup!$B:$F,4,FALSE)</f>
        <v>99_NCE</v>
      </c>
      <c r="AN518" t="str">
        <f>VLOOKUP(MID($AR518,1,255),country_lookup!$B:$F,5,FALSE)</f>
        <v>99_NCE</v>
      </c>
      <c r="AO518" s="10" t="str">
        <f>VLOOKUP(MID($AS518,1,255),source_lookup!$B:$K,4,FALSE)</f>
        <v>0_published</v>
      </c>
      <c r="AP518" s="10" t="str">
        <f>VLOOKUP(MID($AS518,1,255),source_lookup!$B:$K,6,FALSE)</f>
        <v>1_VHB high</v>
      </c>
      <c r="AQ518" s="10" t="str">
        <f>VLOOKUP(MID($AS518,1,255),source_lookup!$B:$K,10,FALSE)</f>
        <v>1_fin/acc/econ</v>
      </c>
      <c r="AR518" t="s">
        <v>98</v>
      </c>
      <c r="AS518" t="s">
        <v>145</v>
      </c>
    </row>
    <row r="519" spans="1:45" x14ac:dyDescent="0.3">
      <c r="A519" t="s">
        <v>21</v>
      </c>
      <c r="B519">
        <v>518</v>
      </c>
      <c r="C519" s="1">
        <v>-0.15289881148380022</v>
      </c>
      <c r="D519" s="2">
        <v>6</v>
      </c>
      <c r="E519" s="4">
        <v>154</v>
      </c>
      <c r="F519" s="4" t="s">
        <v>347</v>
      </c>
      <c r="G519" s="4" t="s">
        <v>346</v>
      </c>
      <c r="H519" t="s">
        <v>77</v>
      </c>
      <c r="I519" t="s">
        <v>350</v>
      </c>
      <c r="J519" s="3">
        <v>1990</v>
      </c>
      <c r="K519" s="3">
        <v>2014</v>
      </c>
      <c r="L519" s="6">
        <f t="shared" si="171"/>
        <v>2002</v>
      </c>
      <c r="M519" s="6">
        <f t="shared" si="172"/>
        <v>2002</v>
      </c>
      <c r="N519" s="7">
        <f t="shared" si="160"/>
        <v>0</v>
      </c>
      <c r="O519" s="7">
        <f t="shared" si="161"/>
        <v>0</v>
      </c>
      <c r="P519" s="7">
        <f t="shared" si="162"/>
        <v>0</v>
      </c>
      <c r="Q519" s="7">
        <f t="shared" si="173"/>
        <v>0</v>
      </c>
      <c r="R519" s="10" t="str">
        <f t="shared" si="163"/>
        <v>0_Pre</v>
      </c>
      <c r="S519" s="10" t="str">
        <f t="shared" si="164"/>
        <v>0_Pre</v>
      </c>
      <c r="T519" s="10" t="str">
        <f t="shared" si="165"/>
        <v>0_Pre</v>
      </c>
      <c r="U519" s="10" t="str">
        <f t="shared" si="166"/>
        <v>0_Pre</v>
      </c>
      <c r="V519" s="10" t="str">
        <f t="shared" si="174"/>
        <v>0_Pre</v>
      </c>
      <c r="W519" s="10" t="str">
        <f t="shared" si="167"/>
        <v>clean_pre</v>
      </c>
      <c r="X519" s="10" t="str">
        <f t="shared" si="168"/>
        <v>0_Pre</v>
      </c>
      <c r="Y519" s="10" t="str">
        <f t="shared" si="169"/>
        <v>0_Pre</v>
      </c>
      <c r="Z519" s="10" t="str">
        <f t="shared" si="170"/>
        <v>0_Pre</v>
      </c>
      <c r="AA519" s="10" t="str">
        <f t="shared" si="175"/>
        <v>0_Pre</v>
      </c>
      <c r="AB519" s="10" t="str">
        <f t="shared" si="176"/>
        <v>0_Pre</v>
      </c>
      <c r="AC519" s="10" t="str">
        <f t="shared" si="177"/>
        <v>0_Pre</v>
      </c>
      <c r="AD519" s="10" t="str">
        <f t="shared" si="178"/>
        <v>1_pre sample median</v>
      </c>
      <c r="AE519" s="10" t="str">
        <f t="shared" si="179"/>
        <v>1_pre sample first tertile</v>
      </c>
      <c r="AF519" t="s">
        <v>80</v>
      </c>
      <c r="AG519" t="s">
        <v>75</v>
      </c>
      <c r="AH519" t="s">
        <v>78</v>
      </c>
      <c r="AI519" t="s">
        <v>70</v>
      </c>
      <c r="AJ519" t="s">
        <v>70</v>
      </c>
      <c r="AK519" t="str">
        <f>VLOOKUP(MID($AR519,1,255),country_lookup!$B:$F,2,FALSE)</f>
        <v>99_NCE</v>
      </c>
      <c r="AL519" t="str">
        <f>VLOOKUP(MID($AR519,1,255),country_lookup!$B:$F,3,FALSE)</f>
        <v>99_NCE</v>
      </c>
      <c r="AM519" t="str">
        <f>VLOOKUP(MID($AR519,1,255),country_lookup!$B:$F,4,FALSE)</f>
        <v>99_NCE</v>
      </c>
      <c r="AN519" t="str">
        <f>VLOOKUP(MID($AR519,1,255),country_lookup!$B:$F,5,FALSE)</f>
        <v>99_NCE</v>
      </c>
      <c r="AO519" s="10" t="str">
        <f>VLOOKUP(MID($AS519,1,255),source_lookup!$B:$K,4,FALSE)</f>
        <v>0_published</v>
      </c>
      <c r="AP519" s="10" t="str">
        <f>VLOOKUP(MID($AS519,1,255),source_lookup!$B:$K,6,FALSE)</f>
        <v>1_VHB high</v>
      </c>
      <c r="AQ519" s="10" t="str">
        <f>VLOOKUP(MID($AS519,1,255),source_lookup!$B:$K,10,FALSE)</f>
        <v>1_fin/acc/econ</v>
      </c>
      <c r="AR519" t="s">
        <v>98</v>
      </c>
      <c r="AS519" t="s">
        <v>145</v>
      </c>
    </row>
    <row r="520" spans="1:45" x14ac:dyDescent="0.3">
      <c r="A520" t="s">
        <v>21</v>
      </c>
      <c r="B520">
        <v>519</v>
      </c>
      <c r="C520" s="1">
        <v>-5.2306789798549191E-2</v>
      </c>
      <c r="D520" s="2">
        <v>6</v>
      </c>
      <c r="E520" s="4">
        <v>154</v>
      </c>
      <c r="F520" s="4" t="s">
        <v>347</v>
      </c>
      <c r="G520" s="4" t="s">
        <v>346</v>
      </c>
      <c r="H520" t="s">
        <v>77</v>
      </c>
      <c r="I520" t="s">
        <v>350</v>
      </c>
      <c r="J520" s="3">
        <v>1990</v>
      </c>
      <c r="K520" s="3">
        <v>2014</v>
      </c>
      <c r="L520" s="6">
        <f t="shared" si="171"/>
        <v>2002</v>
      </c>
      <c r="M520" s="6">
        <f t="shared" si="172"/>
        <v>2002</v>
      </c>
      <c r="N520" s="7">
        <f t="shared" si="160"/>
        <v>0</v>
      </c>
      <c r="O520" s="7">
        <f t="shared" si="161"/>
        <v>0</v>
      </c>
      <c r="P520" s="7">
        <f t="shared" si="162"/>
        <v>0</v>
      </c>
      <c r="Q520" s="7">
        <f t="shared" si="173"/>
        <v>0</v>
      </c>
      <c r="R520" s="10" t="str">
        <f t="shared" si="163"/>
        <v>0_Pre</v>
      </c>
      <c r="S520" s="10" t="str">
        <f t="shared" si="164"/>
        <v>0_Pre</v>
      </c>
      <c r="T520" s="10" t="str">
        <f t="shared" si="165"/>
        <v>0_Pre</v>
      </c>
      <c r="U520" s="10" t="str">
        <f t="shared" si="166"/>
        <v>0_Pre</v>
      </c>
      <c r="V520" s="10" t="str">
        <f t="shared" si="174"/>
        <v>0_Pre</v>
      </c>
      <c r="W520" s="10" t="str">
        <f t="shared" si="167"/>
        <v>clean_pre</v>
      </c>
      <c r="X520" s="10" t="str">
        <f t="shared" si="168"/>
        <v>0_Pre</v>
      </c>
      <c r="Y520" s="10" t="str">
        <f t="shared" si="169"/>
        <v>0_Pre</v>
      </c>
      <c r="Z520" s="10" t="str">
        <f t="shared" si="170"/>
        <v>0_Pre</v>
      </c>
      <c r="AA520" s="10" t="str">
        <f t="shared" si="175"/>
        <v>0_Pre</v>
      </c>
      <c r="AB520" s="10" t="str">
        <f t="shared" si="176"/>
        <v>0_Pre</v>
      </c>
      <c r="AC520" s="10" t="str">
        <f t="shared" si="177"/>
        <v>0_Pre</v>
      </c>
      <c r="AD520" s="10" t="str">
        <f t="shared" si="178"/>
        <v>1_pre sample median</v>
      </c>
      <c r="AE520" s="10" t="str">
        <f t="shared" si="179"/>
        <v>1_pre sample first tertile</v>
      </c>
      <c r="AF520" t="s">
        <v>80</v>
      </c>
      <c r="AG520" t="s">
        <v>75</v>
      </c>
      <c r="AH520" t="s">
        <v>78</v>
      </c>
      <c r="AI520" t="s">
        <v>70</v>
      </c>
      <c r="AJ520" t="s">
        <v>70</v>
      </c>
      <c r="AK520" t="str">
        <f>VLOOKUP(MID($AR520,1,255),country_lookup!$B:$F,2,FALSE)</f>
        <v>99_NCE</v>
      </c>
      <c r="AL520" t="str">
        <f>VLOOKUP(MID($AR520,1,255),country_lookup!$B:$F,3,FALSE)</f>
        <v>99_NCE</v>
      </c>
      <c r="AM520" t="str">
        <f>VLOOKUP(MID($AR520,1,255),country_lookup!$B:$F,4,FALSE)</f>
        <v>99_NCE</v>
      </c>
      <c r="AN520" t="str">
        <f>VLOOKUP(MID($AR520,1,255),country_lookup!$B:$F,5,FALSE)</f>
        <v>99_NCE</v>
      </c>
      <c r="AO520" s="10" t="str">
        <f>VLOOKUP(MID($AS520,1,255),source_lookup!$B:$K,4,FALSE)</f>
        <v>0_published</v>
      </c>
      <c r="AP520" s="10" t="str">
        <f>VLOOKUP(MID($AS520,1,255),source_lookup!$B:$K,6,FALSE)</f>
        <v>1_VHB high</v>
      </c>
      <c r="AQ520" s="10" t="str">
        <f>VLOOKUP(MID($AS520,1,255),source_lookup!$B:$K,10,FALSE)</f>
        <v>1_fin/acc/econ</v>
      </c>
      <c r="AR520" t="s">
        <v>98</v>
      </c>
      <c r="AS520" t="s">
        <v>145</v>
      </c>
    </row>
    <row r="521" spans="1:45" x14ac:dyDescent="0.3">
      <c r="A521" t="s">
        <v>21</v>
      </c>
      <c r="B521">
        <v>520</v>
      </c>
      <c r="C521" s="1">
        <v>6.0326648244996471E-2</v>
      </c>
      <c r="D521" s="2">
        <v>6</v>
      </c>
      <c r="E521" s="4">
        <v>154</v>
      </c>
      <c r="F521" s="4" t="s">
        <v>347</v>
      </c>
      <c r="G521" s="4" t="s">
        <v>346</v>
      </c>
      <c r="H521" t="s">
        <v>77</v>
      </c>
      <c r="I521" t="s">
        <v>350</v>
      </c>
      <c r="J521" s="3">
        <v>1990</v>
      </c>
      <c r="K521" s="3">
        <v>2014</v>
      </c>
      <c r="L521" s="6">
        <f t="shared" si="171"/>
        <v>2002</v>
      </c>
      <c r="M521" s="6">
        <f t="shared" si="172"/>
        <v>2002</v>
      </c>
      <c r="N521" s="7">
        <f t="shared" si="160"/>
        <v>0</v>
      </c>
      <c r="O521" s="7">
        <f t="shared" si="161"/>
        <v>0</v>
      </c>
      <c r="P521" s="7">
        <f t="shared" si="162"/>
        <v>0</v>
      </c>
      <c r="Q521" s="7">
        <f t="shared" si="173"/>
        <v>0</v>
      </c>
      <c r="R521" s="10" t="str">
        <f t="shared" si="163"/>
        <v>0_Pre</v>
      </c>
      <c r="S521" s="10" t="str">
        <f t="shared" si="164"/>
        <v>0_Pre</v>
      </c>
      <c r="T521" s="10" t="str">
        <f t="shared" si="165"/>
        <v>0_Pre</v>
      </c>
      <c r="U521" s="10" t="str">
        <f t="shared" si="166"/>
        <v>0_Pre</v>
      </c>
      <c r="V521" s="10" t="str">
        <f t="shared" si="174"/>
        <v>0_Pre</v>
      </c>
      <c r="W521" s="10" t="str">
        <f t="shared" si="167"/>
        <v>clean_pre</v>
      </c>
      <c r="X521" s="10" t="str">
        <f t="shared" si="168"/>
        <v>0_Pre</v>
      </c>
      <c r="Y521" s="10" t="str">
        <f t="shared" si="169"/>
        <v>0_Pre</v>
      </c>
      <c r="Z521" s="10" t="str">
        <f t="shared" si="170"/>
        <v>0_Pre</v>
      </c>
      <c r="AA521" s="10" t="str">
        <f t="shared" si="175"/>
        <v>0_Pre</v>
      </c>
      <c r="AB521" s="10" t="str">
        <f t="shared" si="176"/>
        <v>0_Pre</v>
      </c>
      <c r="AC521" s="10" t="str">
        <f t="shared" si="177"/>
        <v>0_Pre</v>
      </c>
      <c r="AD521" s="10" t="str">
        <f t="shared" si="178"/>
        <v>1_pre sample median</v>
      </c>
      <c r="AE521" s="10" t="str">
        <f t="shared" si="179"/>
        <v>1_pre sample first tertile</v>
      </c>
      <c r="AF521" t="s">
        <v>80</v>
      </c>
      <c r="AG521" t="s">
        <v>75</v>
      </c>
      <c r="AH521" t="s">
        <v>78</v>
      </c>
      <c r="AI521" t="s">
        <v>70</v>
      </c>
      <c r="AJ521" t="s">
        <v>70</v>
      </c>
      <c r="AK521" t="str">
        <f>VLOOKUP(MID($AR521,1,255),country_lookup!$B:$F,2,FALSE)</f>
        <v>99_NCE</v>
      </c>
      <c r="AL521" t="str">
        <f>VLOOKUP(MID($AR521,1,255),country_lookup!$B:$F,3,FALSE)</f>
        <v>99_NCE</v>
      </c>
      <c r="AM521" t="str">
        <f>VLOOKUP(MID($AR521,1,255),country_lookup!$B:$F,4,FALSE)</f>
        <v>99_NCE</v>
      </c>
      <c r="AN521" t="str">
        <f>VLOOKUP(MID($AR521,1,255),country_lookup!$B:$F,5,FALSE)</f>
        <v>99_NCE</v>
      </c>
      <c r="AO521" s="10" t="str">
        <f>VLOOKUP(MID($AS521,1,255),source_lookup!$B:$K,4,FALSE)</f>
        <v>0_published</v>
      </c>
      <c r="AP521" s="10" t="str">
        <f>VLOOKUP(MID($AS521,1,255),source_lookup!$B:$K,6,FALSE)</f>
        <v>1_VHB high</v>
      </c>
      <c r="AQ521" s="10" t="str">
        <f>VLOOKUP(MID($AS521,1,255),source_lookup!$B:$K,10,FALSE)</f>
        <v>1_fin/acc/econ</v>
      </c>
      <c r="AR521" t="s">
        <v>98</v>
      </c>
      <c r="AS521" t="s">
        <v>145</v>
      </c>
    </row>
    <row r="522" spans="1:45" x14ac:dyDescent="0.3">
      <c r="A522" t="s">
        <v>21</v>
      </c>
      <c r="B522">
        <v>521</v>
      </c>
      <c r="C522" s="1">
        <v>-8.4310157396304E-2</v>
      </c>
      <c r="D522" s="2">
        <v>6</v>
      </c>
      <c r="E522" s="4">
        <v>154</v>
      </c>
      <c r="F522" s="4" t="s">
        <v>347</v>
      </c>
      <c r="G522" s="4" t="s">
        <v>346</v>
      </c>
      <c r="H522" t="s">
        <v>77</v>
      </c>
      <c r="I522" t="s">
        <v>350</v>
      </c>
      <c r="J522" s="3">
        <v>1990</v>
      </c>
      <c r="K522" s="3">
        <v>2014</v>
      </c>
      <c r="L522" s="6">
        <f t="shared" si="171"/>
        <v>2002</v>
      </c>
      <c r="M522" s="6">
        <f t="shared" si="172"/>
        <v>2002</v>
      </c>
      <c r="N522" s="7">
        <f t="shared" si="160"/>
        <v>0</v>
      </c>
      <c r="O522" s="7">
        <f t="shared" si="161"/>
        <v>0</v>
      </c>
      <c r="P522" s="7">
        <f t="shared" si="162"/>
        <v>0</v>
      </c>
      <c r="Q522" s="7">
        <f t="shared" si="173"/>
        <v>0</v>
      </c>
      <c r="R522" s="10" t="str">
        <f t="shared" si="163"/>
        <v>0_Pre</v>
      </c>
      <c r="S522" s="10" t="str">
        <f t="shared" si="164"/>
        <v>0_Pre</v>
      </c>
      <c r="T522" s="10" t="str">
        <f t="shared" si="165"/>
        <v>0_Pre</v>
      </c>
      <c r="U522" s="10" t="str">
        <f t="shared" si="166"/>
        <v>0_Pre</v>
      </c>
      <c r="V522" s="10" t="str">
        <f t="shared" si="174"/>
        <v>0_Pre</v>
      </c>
      <c r="W522" s="10" t="str">
        <f t="shared" si="167"/>
        <v>clean_pre</v>
      </c>
      <c r="X522" s="10" t="str">
        <f t="shared" si="168"/>
        <v>0_Pre</v>
      </c>
      <c r="Y522" s="10" t="str">
        <f t="shared" si="169"/>
        <v>0_Pre</v>
      </c>
      <c r="Z522" s="10" t="str">
        <f t="shared" si="170"/>
        <v>0_Pre</v>
      </c>
      <c r="AA522" s="10" t="str">
        <f t="shared" si="175"/>
        <v>0_Pre</v>
      </c>
      <c r="AB522" s="10" t="str">
        <f t="shared" si="176"/>
        <v>0_Pre</v>
      </c>
      <c r="AC522" s="10" t="str">
        <f t="shared" si="177"/>
        <v>0_Pre</v>
      </c>
      <c r="AD522" s="10" t="str">
        <f t="shared" si="178"/>
        <v>1_pre sample median</v>
      </c>
      <c r="AE522" s="10" t="str">
        <f t="shared" si="179"/>
        <v>1_pre sample first tertile</v>
      </c>
      <c r="AF522" t="s">
        <v>80</v>
      </c>
      <c r="AG522" t="s">
        <v>75</v>
      </c>
      <c r="AH522" t="s">
        <v>78</v>
      </c>
      <c r="AI522" t="s">
        <v>70</v>
      </c>
      <c r="AJ522" t="s">
        <v>70</v>
      </c>
      <c r="AK522" t="str">
        <f>VLOOKUP(MID($AR522,1,255),country_lookup!$B:$F,2,FALSE)</f>
        <v>99_NCE</v>
      </c>
      <c r="AL522" t="str">
        <f>VLOOKUP(MID($AR522,1,255),country_lookup!$B:$F,3,FALSE)</f>
        <v>99_NCE</v>
      </c>
      <c r="AM522" t="str">
        <f>VLOOKUP(MID($AR522,1,255),country_lookup!$B:$F,4,FALSE)</f>
        <v>99_NCE</v>
      </c>
      <c r="AN522" t="str">
        <f>VLOOKUP(MID($AR522,1,255),country_lookup!$B:$F,5,FALSE)</f>
        <v>99_NCE</v>
      </c>
      <c r="AO522" s="10" t="str">
        <f>VLOOKUP(MID($AS522,1,255),source_lookup!$B:$K,4,FALSE)</f>
        <v>0_published</v>
      </c>
      <c r="AP522" s="10" t="str">
        <f>VLOOKUP(MID($AS522,1,255),source_lookup!$B:$K,6,FALSE)</f>
        <v>1_VHB high</v>
      </c>
      <c r="AQ522" s="10" t="str">
        <f>VLOOKUP(MID($AS522,1,255),source_lookup!$B:$K,10,FALSE)</f>
        <v>1_fin/acc/econ</v>
      </c>
      <c r="AR522" t="s">
        <v>98</v>
      </c>
      <c r="AS522" t="s">
        <v>145</v>
      </c>
    </row>
    <row r="523" spans="1:45" x14ac:dyDescent="0.3">
      <c r="A523" t="s">
        <v>21</v>
      </c>
      <c r="B523">
        <v>522</v>
      </c>
      <c r="C523" s="1">
        <v>-4.0149982214756533E-2</v>
      </c>
      <c r="D523" s="2">
        <v>808</v>
      </c>
      <c r="E523" s="4">
        <v>20193</v>
      </c>
      <c r="F523" s="4" t="s">
        <v>347</v>
      </c>
      <c r="G523" s="4" t="s">
        <v>346</v>
      </c>
      <c r="H523" t="s">
        <v>77</v>
      </c>
      <c r="I523" t="s">
        <v>350</v>
      </c>
      <c r="J523" s="3">
        <v>1990</v>
      </c>
      <c r="K523" s="3">
        <v>2014</v>
      </c>
      <c r="L523" s="6">
        <f t="shared" si="171"/>
        <v>2002</v>
      </c>
      <c r="M523" s="6">
        <f t="shared" si="172"/>
        <v>2002</v>
      </c>
      <c r="N523" s="7">
        <f t="shared" si="160"/>
        <v>0</v>
      </c>
      <c r="O523" s="7">
        <f t="shared" si="161"/>
        <v>0</v>
      </c>
      <c r="P523" s="7">
        <f t="shared" si="162"/>
        <v>0</v>
      </c>
      <c r="Q523" s="7">
        <f t="shared" si="173"/>
        <v>0</v>
      </c>
      <c r="R523" s="10" t="str">
        <f t="shared" si="163"/>
        <v>0_Pre</v>
      </c>
      <c r="S523" s="10" t="str">
        <f t="shared" si="164"/>
        <v>0_Pre</v>
      </c>
      <c r="T523" s="10" t="str">
        <f t="shared" si="165"/>
        <v>0_Pre</v>
      </c>
      <c r="U523" s="10" t="str">
        <f t="shared" si="166"/>
        <v>0_Pre</v>
      </c>
      <c r="V523" s="10" t="str">
        <f t="shared" si="174"/>
        <v>0_Pre</v>
      </c>
      <c r="W523" s="10" t="str">
        <f t="shared" si="167"/>
        <v>clean_pre</v>
      </c>
      <c r="X523" s="10" t="str">
        <f t="shared" si="168"/>
        <v>0_Pre</v>
      </c>
      <c r="Y523" s="10" t="str">
        <f t="shared" si="169"/>
        <v>0_Pre</v>
      </c>
      <c r="Z523" s="10" t="str">
        <f t="shared" si="170"/>
        <v>0_Pre</v>
      </c>
      <c r="AA523" s="10" t="str">
        <f t="shared" si="175"/>
        <v>0_Pre</v>
      </c>
      <c r="AB523" s="10" t="str">
        <f t="shared" si="176"/>
        <v>0_Pre</v>
      </c>
      <c r="AC523" s="10" t="str">
        <f t="shared" si="177"/>
        <v>0_Pre</v>
      </c>
      <c r="AD523" s="10" t="str">
        <f t="shared" si="178"/>
        <v>1_pre sample median</v>
      </c>
      <c r="AE523" s="10" t="str">
        <f t="shared" si="179"/>
        <v>1_pre sample first tertile</v>
      </c>
      <c r="AF523" t="s">
        <v>80</v>
      </c>
      <c r="AG523" t="s">
        <v>75</v>
      </c>
      <c r="AH523" t="s">
        <v>78</v>
      </c>
      <c r="AI523" t="s">
        <v>70</v>
      </c>
      <c r="AJ523" t="s">
        <v>70</v>
      </c>
      <c r="AK523" t="str">
        <f>VLOOKUP(MID($AR523,1,255),country_lookup!$B:$F,2,FALSE)</f>
        <v>99_NCE</v>
      </c>
      <c r="AL523" t="str">
        <f>VLOOKUP(MID($AR523,1,255),country_lookup!$B:$F,3,FALSE)</f>
        <v>99_NCE</v>
      </c>
      <c r="AM523" t="str">
        <f>VLOOKUP(MID($AR523,1,255),country_lookup!$B:$F,4,FALSE)</f>
        <v>99_NCE</v>
      </c>
      <c r="AN523" t="str">
        <f>VLOOKUP(MID($AR523,1,255),country_lookup!$B:$F,5,FALSE)</f>
        <v>99_NCE</v>
      </c>
      <c r="AO523" s="10" t="str">
        <f>VLOOKUP(MID($AS523,1,255),source_lookup!$B:$K,4,FALSE)</f>
        <v>0_published</v>
      </c>
      <c r="AP523" s="10" t="str">
        <f>VLOOKUP(MID($AS523,1,255),source_lookup!$B:$K,6,FALSE)</f>
        <v>1_VHB high</v>
      </c>
      <c r="AQ523" s="10" t="str">
        <f>VLOOKUP(MID($AS523,1,255),source_lookup!$B:$K,10,FALSE)</f>
        <v>1_fin/acc/econ</v>
      </c>
      <c r="AR523" t="s">
        <v>99</v>
      </c>
      <c r="AS523" t="s">
        <v>145</v>
      </c>
    </row>
    <row r="524" spans="1:45" x14ac:dyDescent="0.3">
      <c r="A524" t="s">
        <v>21</v>
      </c>
      <c r="B524">
        <v>523</v>
      </c>
      <c r="C524" s="1">
        <v>-2.712782912233392E-2</v>
      </c>
      <c r="D524" s="2">
        <v>287</v>
      </c>
      <c r="E524" s="4">
        <v>7183</v>
      </c>
      <c r="F524" s="4" t="s">
        <v>347</v>
      </c>
      <c r="G524" s="4" t="s">
        <v>346</v>
      </c>
      <c r="H524" t="s">
        <v>77</v>
      </c>
      <c r="I524" t="s">
        <v>350</v>
      </c>
      <c r="J524" s="3">
        <v>1990</v>
      </c>
      <c r="K524" s="3">
        <v>2014</v>
      </c>
      <c r="L524" s="6">
        <f t="shared" si="171"/>
        <v>2002</v>
      </c>
      <c r="M524" s="6">
        <f t="shared" si="172"/>
        <v>2002</v>
      </c>
      <c r="N524" s="7">
        <f t="shared" si="160"/>
        <v>0</v>
      </c>
      <c r="O524" s="7">
        <f t="shared" si="161"/>
        <v>0</v>
      </c>
      <c r="P524" s="7">
        <f t="shared" si="162"/>
        <v>0</v>
      </c>
      <c r="Q524" s="7">
        <f t="shared" si="173"/>
        <v>0</v>
      </c>
      <c r="R524" s="10" t="str">
        <f t="shared" si="163"/>
        <v>0_Pre</v>
      </c>
      <c r="S524" s="10" t="str">
        <f t="shared" si="164"/>
        <v>0_Pre</v>
      </c>
      <c r="T524" s="10" t="str">
        <f t="shared" si="165"/>
        <v>0_Pre</v>
      </c>
      <c r="U524" s="10" t="str">
        <f t="shared" si="166"/>
        <v>0_Pre</v>
      </c>
      <c r="V524" s="10" t="str">
        <f t="shared" si="174"/>
        <v>0_Pre</v>
      </c>
      <c r="W524" s="10" t="str">
        <f t="shared" si="167"/>
        <v>clean_pre</v>
      </c>
      <c r="X524" s="10" t="str">
        <f t="shared" si="168"/>
        <v>0_Pre</v>
      </c>
      <c r="Y524" s="10" t="str">
        <f t="shared" si="169"/>
        <v>0_Pre</v>
      </c>
      <c r="Z524" s="10" t="str">
        <f t="shared" si="170"/>
        <v>0_Pre</v>
      </c>
      <c r="AA524" s="10" t="str">
        <f t="shared" si="175"/>
        <v>0_Pre</v>
      </c>
      <c r="AB524" s="10" t="str">
        <f t="shared" si="176"/>
        <v>0_Pre</v>
      </c>
      <c r="AC524" s="10" t="str">
        <f t="shared" si="177"/>
        <v>0_Pre</v>
      </c>
      <c r="AD524" s="10" t="str">
        <f t="shared" si="178"/>
        <v>1_pre sample median</v>
      </c>
      <c r="AE524" s="10" t="str">
        <f t="shared" si="179"/>
        <v>1_pre sample first tertile</v>
      </c>
      <c r="AF524" t="s">
        <v>80</v>
      </c>
      <c r="AG524" t="s">
        <v>75</v>
      </c>
      <c r="AH524" t="s">
        <v>78</v>
      </c>
      <c r="AI524" t="s">
        <v>70</v>
      </c>
      <c r="AJ524" t="s">
        <v>70</v>
      </c>
      <c r="AK524" t="str">
        <f>VLOOKUP(MID($AR524,1,255),country_lookup!$B:$F,2,FALSE)</f>
        <v>99_NCE</v>
      </c>
      <c r="AL524" t="str">
        <f>VLOOKUP(MID($AR524,1,255),country_lookup!$B:$F,3,FALSE)</f>
        <v>99_NCE</v>
      </c>
      <c r="AM524" t="str">
        <f>VLOOKUP(MID($AR524,1,255),country_lookup!$B:$F,4,FALSE)</f>
        <v>99_NCE</v>
      </c>
      <c r="AN524" t="str">
        <f>VLOOKUP(MID($AR524,1,255),country_lookup!$B:$F,5,FALSE)</f>
        <v>99_NCE</v>
      </c>
      <c r="AO524" s="10" t="str">
        <f>VLOOKUP(MID($AS524,1,255),source_lookup!$B:$K,4,FALSE)</f>
        <v>0_published</v>
      </c>
      <c r="AP524" s="10" t="str">
        <f>VLOOKUP(MID($AS524,1,255),source_lookup!$B:$K,6,FALSE)</f>
        <v>1_VHB high</v>
      </c>
      <c r="AQ524" s="10" t="str">
        <f>VLOOKUP(MID($AS524,1,255),source_lookup!$B:$K,10,FALSE)</f>
        <v>1_fin/acc/econ</v>
      </c>
      <c r="AR524" t="s">
        <v>99</v>
      </c>
      <c r="AS524" t="s">
        <v>145</v>
      </c>
    </row>
    <row r="525" spans="1:45" x14ac:dyDescent="0.3">
      <c r="A525" t="s">
        <v>21</v>
      </c>
      <c r="B525">
        <v>524</v>
      </c>
      <c r="C525" s="1">
        <v>-3.6928759250369342E-2</v>
      </c>
      <c r="D525" s="2">
        <v>289</v>
      </c>
      <c r="E525" s="4">
        <v>7220</v>
      </c>
      <c r="F525" s="4" t="s">
        <v>347</v>
      </c>
      <c r="G525" s="4" t="s">
        <v>346</v>
      </c>
      <c r="H525" t="s">
        <v>77</v>
      </c>
      <c r="I525" t="s">
        <v>350</v>
      </c>
      <c r="J525" s="3">
        <v>1990</v>
      </c>
      <c r="K525" s="3">
        <v>2014</v>
      </c>
      <c r="L525" s="6">
        <f t="shared" si="171"/>
        <v>2002</v>
      </c>
      <c r="M525" s="6">
        <f t="shared" si="172"/>
        <v>2002</v>
      </c>
      <c r="N525" s="7">
        <f t="shared" si="160"/>
        <v>0</v>
      </c>
      <c r="O525" s="7">
        <f t="shared" si="161"/>
        <v>0</v>
      </c>
      <c r="P525" s="7">
        <f t="shared" si="162"/>
        <v>0</v>
      </c>
      <c r="Q525" s="7">
        <f t="shared" si="173"/>
        <v>0</v>
      </c>
      <c r="R525" s="10" t="str">
        <f t="shared" si="163"/>
        <v>0_Pre</v>
      </c>
      <c r="S525" s="10" t="str">
        <f t="shared" si="164"/>
        <v>0_Pre</v>
      </c>
      <c r="T525" s="10" t="str">
        <f t="shared" si="165"/>
        <v>0_Pre</v>
      </c>
      <c r="U525" s="10" t="str">
        <f t="shared" si="166"/>
        <v>0_Pre</v>
      </c>
      <c r="V525" s="10" t="str">
        <f t="shared" si="174"/>
        <v>0_Pre</v>
      </c>
      <c r="W525" s="10" t="str">
        <f t="shared" si="167"/>
        <v>clean_pre</v>
      </c>
      <c r="X525" s="10" t="str">
        <f t="shared" si="168"/>
        <v>0_Pre</v>
      </c>
      <c r="Y525" s="10" t="str">
        <f t="shared" si="169"/>
        <v>0_Pre</v>
      </c>
      <c r="Z525" s="10" t="str">
        <f t="shared" si="170"/>
        <v>0_Pre</v>
      </c>
      <c r="AA525" s="10" t="str">
        <f t="shared" si="175"/>
        <v>0_Pre</v>
      </c>
      <c r="AB525" s="10" t="str">
        <f t="shared" si="176"/>
        <v>0_Pre</v>
      </c>
      <c r="AC525" s="10" t="str">
        <f t="shared" si="177"/>
        <v>0_Pre</v>
      </c>
      <c r="AD525" s="10" t="str">
        <f t="shared" si="178"/>
        <v>1_pre sample median</v>
      </c>
      <c r="AE525" s="10" t="str">
        <f t="shared" si="179"/>
        <v>1_pre sample first tertile</v>
      </c>
      <c r="AF525" t="s">
        <v>80</v>
      </c>
      <c r="AG525" t="s">
        <v>75</v>
      </c>
      <c r="AH525" t="s">
        <v>78</v>
      </c>
      <c r="AI525" t="s">
        <v>70</v>
      </c>
      <c r="AJ525" t="s">
        <v>70</v>
      </c>
      <c r="AK525" t="str">
        <f>VLOOKUP(MID($AR525,1,255),country_lookup!$B:$F,2,FALSE)</f>
        <v>99_NCE</v>
      </c>
      <c r="AL525" t="str">
        <f>VLOOKUP(MID($AR525,1,255),country_lookup!$B:$F,3,FALSE)</f>
        <v>99_NCE</v>
      </c>
      <c r="AM525" t="str">
        <f>VLOOKUP(MID($AR525,1,255),country_lookup!$B:$F,4,FALSE)</f>
        <v>99_NCE</v>
      </c>
      <c r="AN525" t="str">
        <f>VLOOKUP(MID($AR525,1,255),country_lookup!$B:$F,5,FALSE)</f>
        <v>99_NCE</v>
      </c>
      <c r="AO525" s="10" t="str">
        <f>VLOOKUP(MID($AS525,1,255),source_lookup!$B:$K,4,FALSE)</f>
        <v>0_published</v>
      </c>
      <c r="AP525" s="10" t="str">
        <f>VLOOKUP(MID($AS525,1,255),source_lookup!$B:$K,6,FALSE)</f>
        <v>1_VHB high</v>
      </c>
      <c r="AQ525" s="10" t="str">
        <f>VLOOKUP(MID($AS525,1,255),source_lookup!$B:$K,10,FALSE)</f>
        <v>1_fin/acc/econ</v>
      </c>
      <c r="AR525" t="s">
        <v>99</v>
      </c>
      <c r="AS525" t="s">
        <v>145</v>
      </c>
    </row>
    <row r="526" spans="1:45" x14ac:dyDescent="0.3">
      <c r="A526" t="s">
        <v>21</v>
      </c>
      <c r="B526">
        <v>525</v>
      </c>
      <c r="C526" s="1">
        <v>3.4454973575535567E-3</v>
      </c>
      <c r="D526" s="2">
        <v>264</v>
      </c>
      <c r="E526" s="4">
        <v>6604</v>
      </c>
      <c r="F526" s="4" t="s">
        <v>347</v>
      </c>
      <c r="G526" s="4" t="s">
        <v>346</v>
      </c>
      <c r="H526" t="s">
        <v>77</v>
      </c>
      <c r="I526" t="s">
        <v>350</v>
      </c>
      <c r="J526" s="3">
        <v>1990</v>
      </c>
      <c r="K526" s="3">
        <v>2014</v>
      </c>
      <c r="L526" s="6">
        <f t="shared" si="171"/>
        <v>2002</v>
      </c>
      <c r="M526" s="6">
        <f t="shared" si="172"/>
        <v>2002</v>
      </c>
      <c r="N526" s="7">
        <f t="shared" si="160"/>
        <v>0</v>
      </c>
      <c r="O526" s="7">
        <f t="shared" si="161"/>
        <v>0</v>
      </c>
      <c r="P526" s="7">
        <f t="shared" si="162"/>
        <v>0</v>
      </c>
      <c r="Q526" s="7">
        <f t="shared" si="173"/>
        <v>0</v>
      </c>
      <c r="R526" s="10" t="str">
        <f t="shared" si="163"/>
        <v>0_Pre</v>
      </c>
      <c r="S526" s="10" t="str">
        <f t="shared" si="164"/>
        <v>0_Pre</v>
      </c>
      <c r="T526" s="10" t="str">
        <f t="shared" si="165"/>
        <v>0_Pre</v>
      </c>
      <c r="U526" s="10" t="str">
        <f t="shared" si="166"/>
        <v>0_Pre</v>
      </c>
      <c r="V526" s="10" t="str">
        <f t="shared" si="174"/>
        <v>0_Pre</v>
      </c>
      <c r="W526" s="10" t="str">
        <f t="shared" si="167"/>
        <v>clean_pre</v>
      </c>
      <c r="X526" s="10" t="str">
        <f t="shared" si="168"/>
        <v>0_Pre</v>
      </c>
      <c r="Y526" s="10" t="str">
        <f t="shared" si="169"/>
        <v>0_Pre</v>
      </c>
      <c r="Z526" s="10" t="str">
        <f t="shared" si="170"/>
        <v>0_Pre</v>
      </c>
      <c r="AA526" s="10" t="str">
        <f t="shared" si="175"/>
        <v>0_Pre</v>
      </c>
      <c r="AB526" s="10" t="str">
        <f t="shared" si="176"/>
        <v>0_Pre</v>
      </c>
      <c r="AC526" s="10" t="str">
        <f t="shared" si="177"/>
        <v>0_Pre</v>
      </c>
      <c r="AD526" s="10" t="str">
        <f t="shared" si="178"/>
        <v>1_pre sample median</v>
      </c>
      <c r="AE526" s="10" t="str">
        <f t="shared" si="179"/>
        <v>1_pre sample first tertile</v>
      </c>
      <c r="AF526" t="s">
        <v>80</v>
      </c>
      <c r="AG526" t="s">
        <v>75</v>
      </c>
      <c r="AH526" t="s">
        <v>78</v>
      </c>
      <c r="AI526" t="s">
        <v>70</v>
      </c>
      <c r="AJ526" t="s">
        <v>70</v>
      </c>
      <c r="AK526" t="str">
        <f>VLOOKUP(MID($AR526,1,255),country_lookup!$B:$F,2,FALSE)</f>
        <v>99_NCE</v>
      </c>
      <c r="AL526" t="str">
        <f>VLOOKUP(MID($AR526,1,255),country_lookup!$B:$F,3,FALSE)</f>
        <v>99_NCE</v>
      </c>
      <c r="AM526" t="str">
        <f>VLOOKUP(MID($AR526,1,255),country_lookup!$B:$F,4,FALSE)</f>
        <v>99_NCE</v>
      </c>
      <c r="AN526" t="str">
        <f>VLOOKUP(MID($AR526,1,255),country_lookup!$B:$F,5,FALSE)</f>
        <v>99_NCE</v>
      </c>
      <c r="AO526" s="10" t="str">
        <f>VLOOKUP(MID($AS526,1,255),source_lookup!$B:$K,4,FALSE)</f>
        <v>0_published</v>
      </c>
      <c r="AP526" s="10" t="str">
        <f>VLOOKUP(MID($AS526,1,255),source_lookup!$B:$K,6,FALSE)</f>
        <v>1_VHB high</v>
      </c>
      <c r="AQ526" s="10" t="str">
        <f>VLOOKUP(MID($AS526,1,255),source_lookup!$B:$K,10,FALSE)</f>
        <v>1_fin/acc/econ</v>
      </c>
      <c r="AR526" t="s">
        <v>99</v>
      </c>
      <c r="AS526" t="s">
        <v>145</v>
      </c>
    </row>
    <row r="527" spans="1:45" x14ac:dyDescent="0.3">
      <c r="A527" t="s">
        <v>21</v>
      </c>
      <c r="B527">
        <v>526</v>
      </c>
      <c r="C527" s="1">
        <v>-3.8916379440068573E-2</v>
      </c>
      <c r="D527" s="2">
        <v>75</v>
      </c>
      <c r="E527" s="4">
        <v>1883</v>
      </c>
      <c r="F527" s="4" t="s">
        <v>347</v>
      </c>
      <c r="G527" s="4" t="s">
        <v>346</v>
      </c>
      <c r="H527" t="s">
        <v>77</v>
      </c>
      <c r="I527" t="s">
        <v>350</v>
      </c>
      <c r="J527" s="3">
        <v>1990</v>
      </c>
      <c r="K527" s="3">
        <v>2014</v>
      </c>
      <c r="L527" s="6">
        <f t="shared" si="171"/>
        <v>2002</v>
      </c>
      <c r="M527" s="6">
        <f t="shared" si="172"/>
        <v>2002</v>
      </c>
      <c r="N527" s="7">
        <f t="shared" si="160"/>
        <v>0</v>
      </c>
      <c r="O527" s="7">
        <f t="shared" si="161"/>
        <v>0</v>
      </c>
      <c r="P527" s="7">
        <f t="shared" si="162"/>
        <v>0</v>
      </c>
      <c r="Q527" s="7">
        <f t="shared" si="173"/>
        <v>0</v>
      </c>
      <c r="R527" s="10" t="str">
        <f t="shared" si="163"/>
        <v>0_Pre</v>
      </c>
      <c r="S527" s="10" t="str">
        <f t="shared" si="164"/>
        <v>0_Pre</v>
      </c>
      <c r="T527" s="10" t="str">
        <f t="shared" si="165"/>
        <v>0_Pre</v>
      </c>
      <c r="U527" s="10" t="str">
        <f t="shared" si="166"/>
        <v>0_Pre</v>
      </c>
      <c r="V527" s="10" t="str">
        <f t="shared" si="174"/>
        <v>0_Pre</v>
      </c>
      <c r="W527" s="10" t="str">
        <f t="shared" si="167"/>
        <v>clean_pre</v>
      </c>
      <c r="X527" s="10" t="str">
        <f t="shared" si="168"/>
        <v>0_Pre</v>
      </c>
      <c r="Y527" s="10" t="str">
        <f t="shared" si="169"/>
        <v>0_Pre</v>
      </c>
      <c r="Z527" s="10" t="str">
        <f t="shared" si="170"/>
        <v>0_Pre</v>
      </c>
      <c r="AA527" s="10" t="str">
        <f t="shared" si="175"/>
        <v>0_Pre</v>
      </c>
      <c r="AB527" s="10" t="str">
        <f t="shared" si="176"/>
        <v>0_Pre</v>
      </c>
      <c r="AC527" s="10" t="str">
        <f t="shared" si="177"/>
        <v>0_Pre</v>
      </c>
      <c r="AD527" s="10" t="str">
        <f t="shared" si="178"/>
        <v>1_pre sample median</v>
      </c>
      <c r="AE527" s="10" t="str">
        <f t="shared" si="179"/>
        <v>1_pre sample first tertile</v>
      </c>
      <c r="AF527" t="s">
        <v>80</v>
      </c>
      <c r="AG527" t="s">
        <v>75</v>
      </c>
      <c r="AH527" t="s">
        <v>78</v>
      </c>
      <c r="AI527" t="s">
        <v>70</v>
      </c>
      <c r="AJ527" t="s">
        <v>70</v>
      </c>
      <c r="AK527" t="str">
        <f>VLOOKUP(MID($AR527,1,255),country_lookup!$B:$F,2,FALSE)</f>
        <v>99_NCE</v>
      </c>
      <c r="AL527" t="str">
        <f>VLOOKUP(MID($AR527,1,255),country_lookup!$B:$F,3,FALSE)</f>
        <v>99_NCE</v>
      </c>
      <c r="AM527" t="str">
        <f>VLOOKUP(MID($AR527,1,255),country_lookup!$B:$F,4,FALSE)</f>
        <v>99_NCE</v>
      </c>
      <c r="AN527" t="str">
        <f>VLOOKUP(MID($AR527,1,255),country_lookup!$B:$F,5,FALSE)</f>
        <v>99_NCE</v>
      </c>
      <c r="AO527" s="10" t="str">
        <f>VLOOKUP(MID($AS527,1,255),source_lookup!$B:$K,4,FALSE)</f>
        <v>0_published</v>
      </c>
      <c r="AP527" s="10" t="str">
        <f>VLOOKUP(MID($AS527,1,255),source_lookup!$B:$K,6,FALSE)</f>
        <v>1_VHB high</v>
      </c>
      <c r="AQ527" s="10" t="str">
        <f>VLOOKUP(MID($AS527,1,255),source_lookup!$B:$K,10,FALSE)</f>
        <v>1_fin/acc/econ</v>
      </c>
      <c r="AR527" t="s">
        <v>99</v>
      </c>
      <c r="AS527" t="s">
        <v>145</v>
      </c>
    </row>
    <row r="528" spans="1:45" x14ac:dyDescent="0.3">
      <c r="A528" t="s">
        <v>21</v>
      </c>
      <c r="B528">
        <v>527</v>
      </c>
      <c r="C528" s="1">
        <v>1.6131409460073565E-3</v>
      </c>
      <c r="D528" s="2">
        <v>75</v>
      </c>
      <c r="E528" s="4">
        <v>1883</v>
      </c>
      <c r="F528" s="4" t="s">
        <v>347</v>
      </c>
      <c r="G528" s="4" t="s">
        <v>346</v>
      </c>
      <c r="H528" t="s">
        <v>77</v>
      </c>
      <c r="I528" t="s">
        <v>350</v>
      </c>
      <c r="J528" s="3">
        <v>1990</v>
      </c>
      <c r="K528" s="3">
        <v>2014</v>
      </c>
      <c r="L528" s="6">
        <f t="shared" si="171"/>
        <v>2002</v>
      </c>
      <c r="M528" s="6">
        <f t="shared" si="172"/>
        <v>2002</v>
      </c>
      <c r="N528" s="7">
        <f t="shared" si="160"/>
        <v>0</v>
      </c>
      <c r="O528" s="7">
        <f t="shared" si="161"/>
        <v>0</v>
      </c>
      <c r="P528" s="7">
        <f t="shared" si="162"/>
        <v>0</v>
      </c>
      <c r="Q528" s="7">
        <f t="shared" si="173"/>
        <v>0</v>
      </c>
      <c r="R528" s="10" t="str">
        <f t="shared" si="163"/>
        <v>0_Pre</v>
      </c>
      <c r="S528" s="10" t="str">
        <f t="shared" si="164"/>
        <v>0_Pre</v>
      </c>
      <c r="T528" s="10" t="str">
        <f t="shared" si="165"/>
        <v>0_Pre</v>
      </c>
      <c r="U528" s="10" t="str">
        <f t="shared" si="166"/>
        <v>0_Pre</v>
      </c>
      <c r="V528" s="10" t="str">
        <f t="shared" si="174"/>
        <v>0_Pre</v>
      </c>
      <c r="W528" s="10" t="str">
        <f t="shared" si="167"/>
        <v>clean_pre</v>
      </c>
      <c r="X528" s="10" t="str">
        <f t="shared" si="168"/>
        <v>0_Pre</v>
      </c>
      <c r="Y528" s="10" t="str">
        <f t="shared" si="169"/>
        <v>0_Pre</v>
      </c>
      <c r="Z528" s="10" t="str">
        <f t="shared" si="170"/>
        <v>0_Pre</v>
      </c>
      <c r="AA528" s="10" t="str">
        <f t="shared" si="175"/>
        <v>0_Pre</v>
      </c>
      <c r="AB528" s="10" t="str">
        <f t="shared" si="176"/>
        <v>0_Pre</v>
      </c>
      <c r="AC528" s="10" t="str">
        <f t="shared" si="177"/>
        <v>0_Pre</v>
      </c>
      <c r="AD528" s="10" t="str">
        <f t="shared" si="178"/>
        <v>1_pre sample median</v>
      </c>
      <c r="AE528" s="10" t="str">
        <f t="shared" si="179"/>
        <v>1_pre sample first tertile</v>
      </c>
      <c r="AF528" t="s">
        <v>80</v>
      </c>
      <c r="AG528" t="s">
        <v>75</v>
      </c>
      <c r="AH528" t="s">
        <v>78</v>
      </c>
      <c r="AI528" t="s">
        <v>70</v>
      </c>
      <c r="AJ528" t="s">
        <v>70</v>
      </c>
      <c r="AK528" t="str">
        <f>VLOOKUP(MID($AR528,1,255),country_lookup!$B:$F,2,FALSE)</f>
        <v>99_NCE</v>
      </c>
      <c r="AL528" t="str">
        <f>VLOOKUP(MID($AR528,1,255),country_lookup!$B:$F,3,FALSE)</f>
        <v>99_NCE</v>
      </c>
      <c r="AM528" t="str">
        <f>VLOOKUP(MID($AR528,1,255),country_lookup!$B:$F,4,FALSE)</f>
        <v>99_NCE</v>
      </c>
      <c r="AN528" t="str">
        <f>VLOOKUP(MID($AR528,1,255),country_lookup!$B:$F,5,FALSE)</f>
        <v>99_NCE</v>
      </c>
      <c r="AO528" s="10" t="str">
        <f>VLOOKUP(MID($AS528,1,255),source_lookup!$B:$K,4,FALSE)</f>
        <v>0_published</v>
      </c>
      <c r="AP528" s="10" t="str">
        <f>VLOOKUP(MID($AS528,1,255),source_lookup!$B:$K,6,FALSE)</f>
        <v>1_VHB high</v>
      </c>
      <c r="AQ528" s="10" t="str">
        <f>VLOOKUP(MID($AS528,1,255),source_lookup!$B:$K,10,FALSE)</f>
        <v>1_fin/acc/econ</v>
      </c>
      <c r="AR528" t="s">
        <v>99</v>
      </c>
      <c r="AS528" t="s">
        <v>145</v>
      </c>
    </row>
    <row r="529" spans="1:45" x14ac:dyDescent="0.3">
      <c r="A529" t="s">
        <v>21</v>
      </c>
      <c r="B529">
        <v>528</v>
      </c>
      <c r="C529" s="1">
        <v>-1.0600058726892578E-2</v>
      </c>
      <c r="D529" s="2">
        <v>75</v>
      </c>
      <c r="E529" s="4">
        <v>1883</v>
      </c>
      <c r="F529" s="4" t="s">
        <v>347</v>
      </c>
      <c r="G529" s="4" t="s">
        <v>346</v>
      </c>
      <c r="H529" t="s">
        <v>77</v>
      </c>
      <c r="I529" t="s">
        <v>350</v>
      </c>
      <c r="J529" s="3">
        <v>1990</v>
      </c>
      <c r="K529" s="3">
        <v>2014</v>
      </c>
      <c r="L529" s="6">
        <f t="shared" si="171"/>
        <v>2002</v>
      </c>
      <c r="M529" s="6">
        <f t="shared" si="172"/>
        <v>2002</v>
      </c>
      <c r="N529" s="7">
        <f t="shared" si="160"/>
        <v>0</v>
      </c>
      <c r="O529" s="7">
        <f t="shared" si="161"/>
        <v>0</v>
      </c>
      <c r="P529" s="7">
        <f t="shared" si="162"/>
        <v>0</v>
      </c>
      <c r="Q529" s="7">
        <f t="shared" si="173"/>
        <v>0</v>
      </c>
      <c r="R529" s="10" t="str">
        <f t="shared" si="163"/>
        <v>0_Pre</v>
      </c>
      <c r="S529" s="10" t="str">
        <f t="shared" si="164"/>
        <v>0_Pre</v>
      </c>
      <c r="T529" s="10" t="str">
        <f t="shared" si="165"/>
        <v>0_Pre</v>
      </c>
      <c r="U529" s="10" t="str">
        <f t="shared" si="166"/>
        <v>0_Pre</v>
      </c>
      <c r="V529" s="10" t="str">
        <f t="shared" si="174"/>
        <v>0_Pre</v>
      </c>
      <c r="W529" s="10" t="str">
        <f t="shared" si="167"/>
        <v>clean_pre</v>
      </c>
      <c r="X529" s="10" t="str">
        <f t="shared" si="168"/>
        <v>0_Pre</v>
      </c>
      <c r="Y529" s="10" t="str">
        <f t="shared" si="169"/>
        <v>0_Pre</v>
      </c>
      <c r="Z529" s="10" t="str">
        <f t="shared" si="170"/>
        <v>0_Pre</v>
      </c>
      <c r="AA529" s="10" t="str">
        <f t="shared" si="175"/>
        <v>0_Pre</v>
      </c>
      <c r="AB529" s="10" t="str">
        <f t="shared" si="176"/>
        <v>0_Pre</v>
      </c>
      <c r="AC529" s="10" t="str">
        <f t="shared" si="177"/>
        <v>0_Pre</v>
      </c>
      <c r="AD529" s="10" t="str">
        <f t="shared" si="178"/>
        <v>1_pre sample median</v>
      </c>
      <c r="AE529" s="10" t="str">
        <f t="shared" si="179"/>
        <v>1_pre sample first tertile</v>
      </c>
      <c r="AF529" t="s">
        <v>80</v>
      </c>
      <c r="AG529" t="s">
        <v>75</v>
      </c>
      <c r="AH529" t="s">
        <v>78</v>
      </c>
      <c r="AI529" t="s">
        <v>70</v>
      </c>
      <c r="AJ529" t="s">
        <v>70</v>
      </c>
      <c r="AK529" t="str">
        <f>VLOOKUP(MID($AR529,1,255),country_lookup!$B:$F,2,FALSE)</f>
        <v>99_NCE</v>
      </c>
      <c r="AL529" t="str">
        <f>VLOOKUP(MID($AR529,1,255),country_lookup!$B:$F,3,FALSE)</f>
        <v>99_NCE</v>
      </c>
      <c r="AM529" t="str">
        <f>VLOOKUP(MID($AR529,1,255),country_lookup!$B:$F,4,FALSE)</f>
        <v>99_NCE</v>
      </c>
      <c r="AN529" t="str">
        <f>VLOOKUP(MID($AR529,1,255),country_lookup!$B:$F,5,FALSE)</f>
        <v>99_NCE</v>
      </c>
      <c r="AO529" s="10" t="str">
        <f>VLOOKUP(MID($AS529,1,255),source_lookup!$B:$K,4,FALSE)</f>
        <v>0_published</v>
      </c>
      <c r="AP529" s="10" t="str">
        <f>VLOOKUP(MID($AS529,1,255),source_lookup!$B:$K,6,FALSE)</f>
        <v>1_VHB high</v>
      </c>
      <c r="AQ529" s="10" t="str">
        <f>VLOOKUP(MID($AS529,1,255),source_lookup!$B:$K,10,FALSE)</f>
        <v>1_fin/acc/econ</v>
      </c>
      <c r="AR529" t="s">
        <v>99</v>
      </c>
      <c r="AS529" t="s">
        <v>145</v>
      </c>
    </row>
    <row r="530" spans="1:45" x14ac:dyDescent="0.3">
      <c r="A530" t="s">
        <v>21</v>
      </c>
      <c r="B530">
        <v>529</v>
      </c>
      <c r="C530" s="1">
        <v>4.1480464287232521E-3</v>
      </c>
      <c r="D530" s="2">
        <v>75</v>
      </c>
      <c r="E530" s="4">
        <v>1883</v>
      </c>
      <c r="F530" s="4" t="s">
        <v>347</v>
      </c>
      <c r="G530" s="4" t="s">
        <v>346</v>
      </c>
      <c r="H530" t="s">
        <v>77</v>
      </c>
      <c r="I530" t="s">
        <v>350</v>
      </c>
      <c r="J530" s="3">
        <v>1990</v>
      </c>
      <c r="K530" s="3">
        <v>2014</v>
      </c>
      <c r="L530" s="6">
        <f t="shared" si="171"/>
        <v>2002</v>
      </c>
      <c r="M530" s="6">
        <f t="shared" si="172"/>
        <v>2002</v>
      </c>
      <c r="N530" s="7">
        <f t="shared" si="160"/>
        <v>0</v>
      </c>
      <c r="O530" s="7">
        <f t="shared" si="161"/>
        <v>0</v>
      </c>
      <c r="P530" s="7">
        <f t="shared" si="162"/>
        <v>0</v>
      </c>
      <c r="Q530" s="7">
        <f t="shared" si="173"/>
        <v>0</v>
      </c>
      <c r="R530" s="10" t="str">
        <f t="shared" si="163"/>
        <v>0_Pre</v>
      </c>
      <c r="S530" s="10" t="str">
        <f t="shared" si="164"/>
        <v>0_Pre</v>
      </c>
      <c r="T530" s="10" t="str">
        <f t="shared" si="165"/>
        <v>0_Pre</v>
      </c>
      <c r="U530" s="10" t="str">
        <f t="shared" si="166"/>
        <v>0_Pre</v>
      </c>
      <c r="V530" s="10" t="str">
        <f t="shared" si="174"/>
        <v>0_Pre</v>
      </c>
      <c r="W530" s="10" t="str">
        <f t="shared" si="167"/>
        <v>clean_pre</v>
      </c>
      <c r="X530" s="10" t="str">
        <f t="shared" si="168"/>
        <v>0_Pre</v>
      </c>
      <c r="Y530" s="10" t="str">
        <f t="shared" si="169"/>
        <v>0_Pre</v>
      </c>
      <c r="Z530" s="10" t="str">
        <f t="shared" si="170"/>
        <v>0_Pre</v>
      </c>
      <c r="AA530" s="10" t="str">
        <f t="shared" si="175"/>
        <v>0_Pre</v>
      </c>
      <c r="AB530" s="10" t="str">
        <f t="shared" si="176"/>
        <v>0_Pre</v>
      </c>
      <c r="AC530" s="10" t="str">
        <f t="shared" si="177"/>
        <v>0_Pre</v>
      </c>
      <c r="AD530" s="10" t="str">
        <f t="shared" si="178"/>
        <v>1_pre sample median</v>
      </c>
      <c r="AE530" s="10" t="str">
        <f t="shared" si="179"/>
        <v>1_pre sample first tertile</v>
      </c>
      <c r="AF530" t="s">
        <v>80</v>
      </c>
      <c r="AG530" t="s">
        <v>75</v>
      </c>
      <c r="AH530" t="s">
        <v>78</v>
      </c>
      <c r="AI530" t="s">
        <v>70</v>
      </c>
      <c r="AJ530" t="s">
        <v>70</v>
      </c>
      <c r="AK530" t="str">
        <f>VLOOKUP(MID($AR530,1,255),country_lookup!$B:$F,2,FALSE)</f>
        <v>99_NCE</v>
      </c>
      <c r="AL530" t="str">
        <f>VLOOKUP(MID($AR530,1,255),country_lookup!$B:$F,3,FALSE)</f>
        <v>99_NCE</v>
      </c>
      <c r="AM530" t="str">
        <f>VLOOKUP(MID($AR530,1,255),country_lookup!$B:$F,4,FALSE)</f>
        <v>99_NCE</v>
      </c>
      <c r="AN530" t="str">
        <f>VLOOKUP(MID($AR530,1,255),country_lookup!$B:$F,5,FALSE)</f>
        <v>99_NCE</v>
      </c>
      <c r="AO530" s="10" t="str">
        <f>VLOOKUP(MID($AS530,1,255),source_lookup!$B:$K,4,FALSE)</f>
        <v>0_published</v>
      </c>
      <c r="AP530" s="10" t="str">
        <f>VLOOKUP(MID($AS530,1,255),source_lookup!$B:$K,6,FALSE)</f>
        <v>1_VHB high</v>
      </c>
      <c r="AQ530" s="10" t="str">
        <f>VLOOKUP(MID($AS530,1,255),source_lookup!$B:$K,10,FALSE)</f>
        <v>1_fin/acc/econ</v>
      </c>
      <c r="AR530" t="s">
        <v>99</v>
      </c>
      <c r="AS530" t="s">
        <v>145</v>
      </c>
    </row>
    <row r="531" spans="1:45" x14ac:dyDescent="0.3">
      <c r="A531" t="s">
        <v>22</v>
      </c>
      <c r="B531">
        <v>530</v>
      </c>
      <c r="C531" s="1">
        <v>-9.7274610563431003E-4</v>
      </c>
      <c r="D531" s="2">
        <v>743</v>
      </c>
      <c r="E531" s="4">
        <v>743</v>
      </c>
      <c r="F531" s="4" t="s">
        <v>347</v>
      </c>
      <c r="G531" s="4" t="s">
        <v>346</v>
      </c>
      <c r="H531" t="s">
        <v>77</v>
      </c>
      <c r="I531" t="s">
        <v>352</v>
      </c>
      <c r="J531" s="3">
        <v>2020</v>
      </c>
      <c r="K531" s="3">
        <v>2020</v>
      </c>
      <c r="L531" s="6">
        <f t="shared" si="171"/>
        <v>2020</v>
      </c>
      <c r="M531" s="6">
        <f t="shared" si="172"/>
        <v>2020</v>
      </c>
      <c r="N531" s="7">
        <f t="shared" si="160"/>
        <v>1</v>
      </c>
      <c r="O531" s="7">
        <f t="shared" si="161"/>
        <v>1</v>
      </c>
      <c r="P531" s="7">
        <f t="shared" si="162"/>
        <v>1</v>
      </c>
      <c r="Q531" s="7">
        <f t="shared" si="173"/>
        <v>1</v>
      </c>
      <c r="R531" s="10" t="str">
        <f t="shared" si="163"/>
        <v>1_Post</v>
      </c>
      <c r="S531" s="10" t="str">
        <f t="shared" si="164"/>
        <v>1_Post</v>
      </c>
      <c r="T531" s="10" t="str">
        <f t="shared" si="165"/>
        <v>1_Post</v>
      </c>
      <c r="U531" s="10" t="str">
        <f t="shared" si="166"/>
        <v>1_Post</v>
      </c>
      <c r="V531" s="10" t="str">
        <f t="shared" si="174"/>
        <v>1_Post</v>
      </c>
      <c r="W531" s="10" t="str">
        <f t="shared" si="167"/>
        <v>clean_post</v>
      </c>
      <c r="X531" s="10" t="str">
        <f t="shared" si="168"/>
        <v>1_Post</v>
      </c>
      <c r="Y531" s="10" t="str">
        <f t="shared" si="169"/>
        <v>1_Post</v>
      </c>
      <c r="Z531" s="10" t="str">
        <f t="shared" si="170"/>
        <v>1_Post</v>
      </c>
      <c r="AA531" s="10" t="str">
        <f t="shared" si="175"/>
        <v>1_Post</v>
      </c>
      <c r="AB531" s="10" t="str">
        <f t="shared" si="176"/>
        <v>1_Post</v>
      </c>
      <c r="AC531" s="10" t="str">
        <f t="shared" si="177"/>
        <v>1_Post</v>
      </c>
      <c r="AD531" s="10" t="str">
        <f t="shared" si="178"/>
        <v>2_post sample median</v>
      </c>
      <c r="AE531" s="10" t="str">
        <f t="shared" si="179"/>
        <v>3_post sample third tertile</v>
      </c>
      <c r="AF531" t="s">
        <v>82</v>
      </c>
      <c r="AG531" t="s">
        <v>75</v>
      </c>
      <c r="AH531" t="s">
        <v>78</v>
      </c>
      <c r="AI531" t="s">
        <v>70</v>
      </c>
      <c r="AJ531" t="s">
        <v>70</v>
      </c>
      <c r="AK531" t="str">
        <f>VLOOKUP(MID($AR531,1,255),country_lookup!$B:$F,2,FALSE)</f>
        <v>99_NCE</v>
      </c>
      <c r="AL531" t="str">
        <f>VLOOKUP(MID($AR531,1,255),country_lookup!$B:$F,3,FALSE)</f>
        <v>99_NCE</v>
      </c>
      <c r="AM531" t="str">
        <f>VLOOKUP(MID($AR531,1,255),country_lookup!$B:$F,4,FALSE)</f>
        <v>99_NCE</v>
      </c>
      <c r="AN531" t="str">
        <f>VLOOKUP(MID($AR531,1,255),country_lookup!$B:$F,5,FALSE)</f>
        <v>99_NCE</v>
      </c>
      <c r="AO531" s="10" t="str">
        <f>VLOOKUP(MID($AS531,1,255),source_lookup!$B:$K,4,FALSE)</f>
        <v>0_published</v>
      </c>
      <c r="AP531" s="10" t="str">
        <f>VLOOKUP(MID($AS531,1,255),source_lookup!$B:$K,6,FALSE)</f>
        <v>1_VHB high</v>
      </c>
      <c r="AQ531" s="10" t="str">
        <f>VLOOKUP(MID($AS531,1,255),source_lookup!$B:$K,10,FALSE)</f>
        <v>1_fin/acc/econ</v>
      </c>
      <c r="AR531" t="s">
        <v>90</v>
      </c>
      <c r="AS531" t="s">
        <v>146</v>
      </c>
    </row>
    <row r="532" spans="1:45" x14ac:dyDescent="0.3">
      <c r="A532" t="s">
        <v>22</v>
      </c>
      <c r="B532">
        <v>531</v>
      </c>
      <c r="C532" s="1">
        <v>-1.3566770212537211E-3</v>
      </c>
      <c r="D532" s="2">
        <v>725</v>
      </c>
      <c r="E532" s="4">
        <v>725</v>
      </c>
      <c r="F532" s="4" t="s">
        <v>347</v>
      </c>
      <c r="G532" s="4" t="s">
        <v>346</v>
      </c>
      <c r="H532" t="s">
        <v>77</v>
      </c>
      <c r="I532" t="s">
        <v>352</v>
      </c>
      <c r="J532" s="3">
        <v>2020</v>
      </c>
      <c r="K532" s="3">
        <v>2020</v>
      </c>
      <c r="L532" s="6">
        <f t="shared" si="171"/>
        <v>2020</v>
      </c>
      <c r="M532" s="6">
        <f t="shared" si="172"/>
        <v>2020</v>
      </c>
      <c r="N532" s="7">
        <f t="shared" si="160"/>
        <v>1</v>
      </c>
      <c r="O532" s="7">
        <f t="shared" si="161"/>
        <v>1</v>
      </c>
      <c r="P532" s="7">
        <f t="shared" si="162"/>
        <v>1</v>
      </c>
      <c r="Q532" s="7">
        <f t="shared" si="173"/>
        <v>1</v>
      </c>
      <c r="R532" s="10" t="str">
        <f t="shared" si="163"/>
        <v>1_Post</v>
      </c>
      <c r="S532" s="10" t="str">
        <f t="shared" si="164"/>
        <v>1_Post</v>
      </c>
      <c r="T532" s="10" t="str">
        <f t="shared" si="165"/>
        <v>1_Post</v>
      </c>
      <c r="U532" s="10" t="str">
        <f t="shared" si="166"/>
        <v>1_Post</v>
      </c>
      <c r="V532" s="10" t="str">
        <f t="shared" si="174"/>
        <v>1_Post</v>
      </c>
      <c r="W532" s="10" t="str">
        <f t="shared" si="167"/>
        <v>clean_post</v>
      </c>
      <c r="X532" s="10" t="str">
        <f t="shared" si="168"/>
        <v>1_Post</v>
      </c>
      <c r="Y532" s="10" t="str">
        <f t="shared" si="169"/>
        <v>1_Post</v>
      </c>
      <c r="Z532" s="10" t="str">
        <f t="shared" si="170"/>
        <v>1_Post</v>
      </c>
      <c r="AA532" s="10" t="str">
        <f t="shared" si="175"/>
        <v>1_Post</v>
      </c>
      <c r="AB532" s="10" t="str">
        <f t="shared" si="176"/>
        <v>1_Post</v>
      </c>
      <c r="AC532" s="10" t="str">
        <f t="shared" si="177"/>
        <v>1_Post</v>
      </c>
      <c r="AD532" s="10" t="str">
        <f t="shared" si="178"/>
        <v>2_post sample median</v>
      </c>
      <c r="AE532" s="10" t="str">
        <f t="shared" si="179"/>
        <v>3_post sample third tertile</v>
      </c>
      <c r="AF532" t="s">
        <v>82</v>
      </c>
      <c r="AG532" t="s">
        <v>75</v>
      </c>
      <c r="AH532" t="s">
        <v>78</v>
      </c>
      <c r="AI532" t="s">
        <v>70</v>
      </c>
      <c r="AJ532" t="s">
        <v>70</v>
      </c>
      <c r="AK532" t="str">
        <f>VLOOKUP(MID($AR532,1,255),country_lookup!$B:$F,2,FALSE)</f>
        <v>99_NCE</v>
      </c>
      <c r="AL532" t="str">
        <f>VLOOKUP(MID($AR532,1,255),country_lookup!$B:$F,3,FALSE)</f>
        <v>99_NCE</v>
      </c>
      <c r="AM532" t="str">
        <f>VLOOKUP(MID($AR532,1,255),country_lookup!$B:$F,4,FALSE)</f>
        <v>99_NCE</v>
      </c>
      <c r="AN532" t="str">
        <f>VLOOKUP(MID($AR532,1,255),country_lookup!$B:$F,5,FALSE)</f>
        <v>99_NCE</v>
      </c>
      <c r="AO532" s="10" t="str">
        <f>VLOOKUP(MID($AS532,1,255),source_lookup!$B:$K,4,FALSE)</f>
        <v>0_published</v>
      </c>
      <c r="AP532" s="10" t="str">
        <f>VLOOKUP(MID($AS532,1,255),source_lookup!$B:$K,6,FALSE)</f>
        <v>1_VHB high</v>
      </c>
      <c r="AQ532" s="10" t="str">
        <f>VLOOKUP(MID($AS532,1,255),source_lookup!$B:$K,10,FALSE)</f>
        <v>1_fin/acc/econ</v>
      </c>
      <c r="AR532" t="s">
        <v>90</v>
      </c>
      <c r="AS532" t="s">
        <v>146</v>
      </c>
    </row>
    <row r="533" spans="1:45" x14ac:dyDescent="0.3">
      <c r="A533" t="s">
        <v>22</v>
      </c>
      <c r="B533">
        <v>532</v>
      </c>
      <c r="C533" s="1">
        <v>-1.0433784799442427E-3</v>
      </c>
      <c r="D533" s="2">
        <v>694</v>
      </c>
      <c r="E533" s="4">
        <v>694</v>
      </c>
      <c r="F533" s="4" t="s">
        <v>347</v>
      </c>
      <c r="G533" s="4" t="s">
        <v>346</v>
      </c>
      <c r="H533" t="s">
        <v>77</v>
      </c>
      <c r="I533" t="s">
        <v>352</v>
      </c>
      <c r="J533" s="3">
        <v>2020</v>
      </c>
      <c r="K533" s="3">
        <v>2020</v>
      </c>
      <c r="L533" s="6">
        <f t="shared" si="171"/>
        <v>2020</v>
      </c>
      <c r="M533" s="6">
        <f t="shared" si="172"/>
        <v>2020</v>
      </c>
      <c r="N533" s="7">
        <f t="shared" si="160"/>
        <v>1</v>
      </c>
      <c r="O533" s="7">
        <f t="shared" si="161"/>
        <v>1</v>
      </c>
      <c r="P533" s="7">
        <f t="shared" si="162"/>
        <v>1</v>
      </c>
      <c r="Q533" s="7">
        <f t="shared" si="173"/>
        <v>1</v>
      </c>
      <c r="R533" s="10" t="str">
        <f t="shared" si="163"/>
        <v>1_Post</v>
      </c>
      <c r="S533" s="10" t="str">
        <f t="shared" si="164"/>
        <v>1_Post</v>
      </c>
      <c r="T533" s="10" t="str">
        <f t="shared" si="165"/>
        <v>1_Post</v>
      </c>
      <c r="U533" s="10" t="str">
        <f t="shared" si="166"/>
        <v>1_Post</v>
      </c>
      <c r="V533" s="10" t="str">
        <f t="shared" si="174"/>
        <v>1_Post</v>
      </c>
      <c r="W533" s="10" t="str">
        <f t="shared" si="167"/>
        <v>clean_post</v>
      </c>
      <c r="X533" s="10" t="str">
        <f t="shared" si="168"/>
        <v>1_Post</v>
      </c>
      <c r="Y533" s="10" t="str">
        <f t="shared" si="169"/>
        <v>1_Post</v>
      </c>
      <c r="Z533" s="10" t="str">
        <f t="shared" si="170"/>
        <v>1_Post</v>
      </c>
      <c r="AA533" s="10" t="str">
        <f t="shared" si="175"/>
        <v>1_Post</v>
      </c>
      <c r="AB533" s="10" t="str">
        <f t="shared" si="176"/>
        <v>1_Post</v>
      </c>
      <c r="AC533" s="10" t="str">
        <f t="shared" si="177"/>
        <v>1_Post</v>
      </c>
      <c r="AD533" s="10" t="str">
        <f t="shared" si="178"/>
        <v>2_post sample median</v>
      </c>
      <c r="AE533" s="10" t="str">
        <f t="shared" si="179"/>
        <v>3_post sample third tertile</v>
      </c>
      <c r="AF533" t="s">
        <v>82</v>
      </c>
      <c r="AG533" t="s">
        <v>75</v>
      </c>
      <c r="AH533" t="s">
        <v>78</v>
      </c>
      <c r="AI533" t="s">
        <v>70</v>
      </c>
      <c r="AJ533" t="s">
        <v>70</v>
      </c>
      <c r="AK533" t="str">
        <f>VLOOKUP(MID($AR533,1,255),country_lookup!$B:$F,2,FALSE)</f>
        <v>99_NCE</v>
      </c>
      <c r="AL533" t="str">
        <f>VLOOKUP(MID($AR533,1,255),country_lookup!$B:$F,3,FALSE)</f>
        <v>99_NCE</v>
      </c>
      <c r="AM533" t="str">
        <f>VLOOKUP(MID($AR533,1,255),country_lookup!$B:$F,4,FALSE)</f>
        <v>99_NCE</v>
      </c>
      <c r="AN533" t="str">
        <f>VLOOKUP(MID($AR533,1,255),country_lookup!$B:$F,5,FALSE)</f>
        <v>99_NCE</v>
      </c>
      <c r="AO533" s="10" t="str">
        <f>VLOOKUP(MID($AS533,1,255),source_lookup!$B:$K,4,FALSE)</f>
        <v>0_published</v>
      </c>
      <c r="AP533" s="10" t="str">
        <f>VLOOKUP(MID($AS533,1,255),source_lookup!$B:$K,6,FALSE)</f>
        <v>1_VHB high</v>
      </c>
      <c r="AQ533" s="10" t="str">
        <f>VLOOKUP(MID($AS533,1,255),source_lookup!$B:$K,10,FALSE)</f>
        <v>1_fin/acc/econ</v>
      </c>
      <c r="AR533" t="s">
        <v>90</v>
      </c>
      <c r="AS533" t="s">
        <v>146</v>
      </c>
    </row>
    <row r="534" spans="1:45" x14ac:dyDescent="0.3">
      <c r="A534" t="s">
        <v>22</v>
      </c>
      <c r="B534">
        <v>533</v>
      </c>
      <c r="C534" s="1">
        <v>-1.6668071659764903E-3</v>
      </c>
      <c r="D534" s="2">
        <v>642</v>
      </c>
      <c r="E534" s="4">
        <v>642</v>
      </c>
      <c r="F534" s="4" t="s">
        <v>347</v>
      </c>
      <c r="G534" s="4" t="s">
        <v>346</v>
      </c>
      <c r="H534" t="s">
        <v>77</v>
      </c>
      <c r="I534" t="s">
        <v>352</v>
      </c>
      <c r="J534" s="3">
        <v>2020</v>
      </c>
      <c r="K534" s="3">
        <v>2020</v>
      </c>
      <c r="L534" s="6">
        <f t="shared" si="171"/>
        <v>2020</v>
      </c>
      <c r="M534" s="6">
        <f t="shared" si="172"/>
        <v>2020</v>
      </c>
      <c r="N534" s="7">
        <f t="shared" si="160"/>
        <v>1</v>
      </c>
      <c r="O534" s="7">
        <f t="shared" si="161"/>
        <v>1</v>
      </c>
      <c r="P534" s="7">
        <f t="shared" si="162"/>
        <v>1</v>
      </c>
      <c r="Q534" s="7">
        <f t="shared" si="173"/>
        <v>1</v>
      </c>
      <c r="R534" s="10" t="str">
        <f t="shared" si="163"/>
        <v>1_Post</v>
      </c>
      <c r="S534" s="10" t="str">
        <f t="shared" si="164"/>
        <v>1_Post</v>
      </c>
      <c r="T534" s="10" t="str">
        <f t="shared" si="165"/>
        <v>1_Post</v>
      </c>
      <c r="U534" s="10" t="str">
        <f t="shared" si="166"/>
        <v>1_Post</v>
      </c>
      <c r="V534" s="10" t="str">
        <f t="shared" si="174"/>
        <v>1_Post</v>
      </c>
      <c r="W534" s="10" t="str">
        <f t="shared" si="167"/>
        <v>clean_post</v>
      </c>
      <c r="X534" s="10" t="str">
        <f t="shared" si="168"/>
        <v>1_Post</v>
      </c>
      <c r="Y534" s="10" t="str">
        <f t="shared" si="169"/>
        <v>1_Post</v>
      </c>
      <c r="Z534" s="10" t="str">
        <f t="shared" si="170"/>
        <v>1_Post</v>
      </c>
      <c r="AA534" s="10" t="str">
        <f t="shared" si="175"/>
        <v>1_Post</v>
      </c>
      <c r="AB534" s="10" t="str">
        <f t="shared" si="176"/>
        <v>1_Post</v>
      </c>
      <c r="AC534" s="10" t="str">
        <f t="shared" si="177"/>
        <v>1_Post</v>
      </c>
      <c r="AD534" s="10" t="str">
        <f t="shared" si="178"/>
        <v>2_post sample median</v>
      </c>
      <c r="AE534" s="10" t="str">
        <f t="shared" si="179"/>
        <v>3_post sample third tertile</v>
      </c>
      <c r="AF534" t="s">
        <v>82</v>
      </c>
      <c r="AG534" t="s">
        <v>75</v>
      </c>
      <c r="AH534" t="s">
        <v>78</v>
      </c>
      <c r="AI534" t="s">
        <v>70</v>
      </c>
      <c r="AJ534" t="s">
        <v>70</v>
      </c>
      <c r="AK534" t="str">
        <f>VLOOKUP(MID($AR534,1,255),country_lookup!$B:$F,2,FALSE)</f>
        <v>99_NCE</v>
      </c>
      <c r="AL534" t="str">
        <f>VLOOKUP(MID($AR534,1,255),country_lookup!$B:$F,3,FALSE)</f>
        <v>99_NCE</v>
      </c>
      <c r="AM534" t="str">
        <f>VLOOKUP(MID($AR534,1,255),country_lookup!$B:$F,4,FALSE)</f>
        <v>99_NCE</v>
      </c>
      <c r="AN534" t="str">
        <f>VLOOKUP(MID($AR534,1,255),country_lookup!$B:$F,5,FALSE)</f>
        <v>99_NCE</v>
      </c>
      <c r="AO534" s="10" t="str">
        <f>VLOOKUP(MID($AS534,1,255),source_lookup!$B:$K,4,FALSE)</f>
        <v>0_published</v>
      </c>
      <c r="AP534" s="10" t="str">
        <f>VLOOKUP(MID($AS534,1,255),source_lookup!$B:$K,6,FALSE)</f>
        <v>1_VHB high</v>
      </c>
      <c r="AQ534" s="10" t="str">
        <f>VLOOKUP(MID($AS534,1,255),source_lookup!$B:$K,10,FALSE)</f>
        <v>1_fin/acc/econ</v>
      </c>
      <c r="AR534" t="s">
        <v>90</v>
      </c>
      <c r="AS534" t="s">
        <v>146</v>
      </c>
    </row>
    <row r="535" spans="1:45" x14ac:dyDescent="0.3">
      <c r="A535" t="s">
        <v>22</v>
      </c>
      <c r="B535">
        <v>534</v>
      </c>
      <c r="C535" s="1">
        <v>-1.6548398872219764E-3</v>
      </c>
      <c r="D535" s="2">
        <v>642</v>
      </c>
      <c r="E535" s="4">
        <v>642</v>
      </c>
      <c r="F535" s="4" t="s">
        <v>347</v>
      </c>
      <c r="G535" s="4" t="s">
        <v>346</v>
      </c>
      <c r="H535" t="s">
        <v>77</v>
      </c>
      <c r="I535" t="s">
        <v>352</v>
      </c>
      <c r="J535" s="3">
        <v>2020</v>
      </c>
      <c r="K535" s="3">
        <v>2020</v>
      </c>
      <c r="L535" s="6">
        <f t="shared" si="171"/>
        <v>2020</v>
      </c>
      <c r="M535" s="6">
        <f t="shared" si="172"/>
        <v>2020</v>
      </c>
      <c r="N535" s="7">
        <f t="shared" si="160"/>
        <v>1</v>
      </c>
      <c r="O535" s="7">
        <f t="shared" si="161"/>
        <v>1</v>
      </c>
      <c r="P535" s="7">
        <f t="shared" si="162"/>
        <v>1</v>
      </c>
      <c r="Q535" s="7">
        <f t="shared" si="173"/>
        <v>1</v>
      </c>
      <c r="R535" s="10" t="str">
        <f t="shared" si="163"/>
        <v>1_Post</v>
      </c>
      <c r="S535" s="10" t="str">
        <f t="shared" si="164"/>
        <v>1_Post</v>
      </c>
      <c r="T535" s="10" t="str">
        <f t="shared" si="165"/>
        <v>1_Post</v>
      </c>
      <c r="U535" s="10" t="str">
        <f t="shared" si="166"/>
        <v>1_Post</v>
      </c>
      <c r="V535" s="10" t="str">
        <f t="shared" si="174"/>
        <v>1_Post</v>
      </c>
      <c r="W535" s="10" t="str">
        <f t="shared" si="167"/>
        <v>clean_post</v>
      </c>
      <c r="X535" s="10" t="str">
        <f t="shared" si="168"/>
        <v>1_Post</v>
      </c>
      <c r="Y535" s="10" t="str">
        <f t="shared" si="169"/>
        <v>1_Post</v>
      </c>
      <c r="Z535" s="10" t="str">
        <f t="shared" si="170"/>
        <v>1_Post</v>
      </c>
      <c r="AA535" s="10" t="str">
        <f t="shared" si="175"/>
        <v>1_Post</v>
      </c>
      <c r="AB535" s="10" t="str">
        <f t="shared" si="176"/>
        <v>1_Post</v>
      </c>
      <c r="AC535" s="10" t="str">
        <f t="shared" si="177"/>
        <v>1_Post</v>
      </c>
      <c r="AD535" s="10" t="str">
        <f t="shared" si="178"/>
        <v>2_post sample median</v>
      </c>
      <c r="AE535" s="10" t="str">
        <f t="shared" si="179"/>
        <v>3_post sample third tertile</v>
      </c>
      <c r="AF535" t="s">
        <v>82</v>
      </c>
      <c r="AG535" t="s">
        <v>75</v>
      </c>
      <c r="AH535" t="s">
        <v>78</v>
      </c>
      <c r="AI535" t="s">
        <v>70</v>
      </c>
      <c r="AJ535" t="s">
        <v>70</v>
      </c>
      <c r="AK535" t="str">
        <f>VLOOKUP(MID($AR535,1,255),country_lookup!$B:$F,2,FALSE)</f>
        <v>99_NCE</v>
      </c>
      <c r="AL535" t="str">
        <f>VLOOKUP(MID($AR535,1,255),country_lookup!$B:$F,3,FALSE)</f>
        <v>99_NCE</v>
      </c>
      <c r="AM535" t="str">
        <f>VLOOKUP(MID($AR535,1,255),country_lookup!$B:$F,4,FALSE)</f>
        <v>99_NCE</v>
      </c>
      <c r="AN535" t="str">
        <f>VLOOKUP(MID($AR535,1,255),country_lookup!$B:$F,5,FALSE)</f>
        <v>99_NCE</v>
      </c>
      <c r="AO535" s="10" t="str">
        <f>VLOOKUP(MID($AS535,1,255),source_lookup!$B:$K,4,FALSE)</f>
        <v>0_published</v>
      </c>
      <c r="AP535" s="10" t="str">
        <f>VLOOKUP(MID($AS535,1,255),source_lookup!$B:$K,6,FALSE)</f>
        <v>1_VHB high</v>
      </c>
      <c r="AQ535" s="10" t="str">
        <f>VLOOKUP(MID($AS535,1,255),source_lookup!$B:$K,10,FALSE)</f>
        <v>1_fin/acc/econ</v>
      </c>
      <c r="AR535" t="s">
        <v>90</v>
      </c>
      <c r="AS535" t="s">
        <v>146</v>
      </c>
    </row>
    <row r="536" spans="1:45" x14ac:dyDescent="0.3">
      <c r="A536" t="s">
        <v>22</v>
      </c>
      <c r="B536">
        <v>535</v>
      </c>
      <c r="C536" s="1">
        <v>-1.5943594062055009E-3</v>
      </c>
      <c r="D536" s="2">
        <v>670</v>
      </c>
      <c r="E536" s="4">
        <v>670</v>
      </c>
      <c r="F536" s="4" t="s">
        <v>347</v>
      </c>
      <c r="G536" s="4" t="s">
        <v>346</v>
      </c>
      <c r="H536" t="s">
        <v>77</v>
      </c>
      <c r="I536" t="s">
        <v>352</v>
      </c>
      <c r="J536" s="3">
        <v>2020</v>
      </c>
      <c r="K536" s="3">
        <v>2020</v>
      </c>
      <c r="L536" s="6">
        <f t="shared" si="171"/>
        <v>2020</v>
      </c>
      <c r="M536" s="6">
        <f t="shared" si="172"/>
        <v>2020</v>
      </c>
      <c r="N536" s="7">
        <f t="shared" si="160"/>
        <v>1</v>
      </c>
      <c r="O536" s="7">
        <f t="shared" si="161"/>
        <v>1</v>
      </c>
      <c r="P536" s="7">
        <f t="shared" si="162"/>
        <v>1</v>
      </c>
      <c r="Q536" s="7">
        <f t="shared" si="173"/>
        <v>1</v>
      </c>
      <c r="R536" s="10" t="str">
        <f t="shared" si="163"/>
        <v>1_Post</v>
      </c>
      <c r="S536" s="10" t="str">
        <f t="shared" si="164"/>
        <v>1_Post</v>
      </c>
      <c r="T536" s="10" t="str">
        <f t="shared" si="165"/>
        <v>1_Post</v>
      </c>
      <c r="U536" s="10" t="str">
        <f t="shared" si="166"/>
        <v>1_Post</v>
      </c>
      <c r="V536" s="10" t="str">
        <f t="shared" si="174"/>
        <v>1_Post</v>
      </c>
      <c r="W536" s="10" t="str">
        <f t="shared" si="167"/>
        <v>clean_post</v>
      </c>
      <c r="X536" s="10" t="str">
        <f t="shared" si="168"/>
        <v>1_Post</v>
      </c>
      <c r="Y536" s="10" t="str">
        <f t="shared" si="169"/>
        <v>1_Post</v>
      </c>
      <c r="Z536" s="10" t="str">
        <f t="shared" si="170"/>
        <v>1_Post</v>
      </c>
      <c r="AA536" s="10" t="str">
        <f t="shared" si="175"/>
        <v>1_Post</v>
      </c>
      <c r="AB536" s="10" t="str">
        <f t="shared" si="176"/>
        <v>1_Post</v>
      </c>
      <c r="AC536" s="10" t="str">
        <f t="shared" si="177"/>
        <v>1_Post</v>
      </c>
      <c r="AD536" s="10" t="str">
        <f t="shared" si="178"/>
        <v>2_post sample median</v>
      </c>
      <c r="AE536" s="10" t="str">
        <f t="shared" si="179"/>
        <v>3_post sample third tertile</v>
      </c>
      <c r="AF536" t="s">
        <v>82</v>
      </c>
      <c r="AG536" t="s">
        <v>75</v>
      </c>
      <c r="AH536" t="s">
        <v>78</v>
      </c>
      <c r="AI536" t="s">
        <v>70</v>
      </c>
      <c r="AJ536" t="s">
        <v>70</v>
      </c>
      <c r="AK536" t="str">
        <f>VLOOKUP(MID($AR536,1,255),country_lookup!$B:$F,2,FALSE)</f>
        <v>99_NCE</v>
      </c>
      <c r="AL536" t="str">
        <f>VLOOKUP(MID($AR536,1,255),country_lookup!$B:$F,3,FALSE)</f>
        <v>99_NCE</v>
      </c>
      <c r="AM536" t="str">
        <f>VLOOKUP(MID($AR536,1,255),country_lookup!$B:$F,4,FALSE)</f>
        <v>99_NCE</v>
      </c>
      <c r="AN536" t="str">
        <f>VLOOKUP(MID($AR536,1,255),country_lookup!$B:$F,5,FALSE)</f>
        <v>99_NCE</v>
      </c>
      <c r="AO536" s="10" t="str">
        <f>VLOOKUP(MID($AS536,1,255),source_lookup!$B:$K,4,FALSE)</f>
        <v>0_published</v>
      </c>
      <c r="AP536" s="10" t="str">
        <f>VLOOKUP(MID($AS536,1,255),source_lookup!$B:$K,6,FALSE)</f>
        <v>1_VHB high</v>
      </c>
      <c r="AQ536" s="10" t="str">
        <f>VLOOKUP(MID($AS536,1,255),source_lookup!$B:$K,10,FALSE)</f>
        <v>1_fin/acc/econ</v>
      </c>
      <c r="AR536" t="s">
        <v>90</v>
      </c>
      <c r="AS536" t="s">
        <v>146</v>
      </c>
    </row>
    <row r="537" spans="1:45" x14ac:dyDescent="0.3">
      <c r="A537" t="s">
        <v>22</v>
      </c>
      <c r="B537">
        <v>536</v>
      </c>
      <c r="C537" s="1">
        <v>-1.641523948828895E-3</v>
      </c>
      <c r="D537" s="2">
        <v>670</v>
      </c>
      <c r="E537" s="4">
        <v>670</v>
      </c>
      <c r="F537" s="4" t="s">
        <v>347</v>
      </c>
      <c r="G537" s="4" t="s">
        <v>346</v>
      </c>
      <c r="H537" t="s">
        <v>77</v>
      </c>
      <c r="I537" t="s">
        <v>352</v>
      </c>
      <c r="J537" s="3">
        <v>2020</v>
      </c>
      <c r="K537" s="3">
        <v>2020</v>
      </c>
      <c r="L537" s="6">
        <f t="shared" si="171"/>
        <v>2020</v>
      </c>
      <c r="M537" s="6">
        <f t="shared" si="172"/>
        <v>2020</v>
      </c>
      <c r="N537" s="7">
        <f t="shared" si="160"/>
        <v>1</v>
      </c>
      <c r="O537" s="7">
        <f t="shared" si="161"/>
        <v>1</v>
      </c>
      <c r="P537" s="7">
        <f t="shared" si="162"/>
        <v>1</v>
      </c>
      <c r="Q537" s="7">
        <f t="shared" si="173"/>
        <v>1</v>
      </c>
      <c r="R537" s="10" t="str">
        <f t="shared" si="163"/>
        <v>1_Post</v>
      </c>
      <c r="S537" s="10" t="str">
        <f t="shared" si="164"/>
        <v>1_Post</v>
      </c>
      <c r="T537" s="10" t="str">
        <f t="shared" si="165"/>
        <v>1_Post</v>
      </c>
      <c r="U537" s="10" t="str">
        <f t="shared" si="166"/>
        <v>1_Post</v>
      </c>
      <c r="V537" s="10" t="str">
        <f t="shared" si="174"/>
        <v>1_Post</v>
      </c>
      <c r="W537" s="10" t="str">
        <f t="shared" si="167"/>
        <v>clean_post</v>
      </c>
      <c r="X537" s="10" t="str">
        <f t="shared" si="168"/>
        <v>1_Post</v>
      </c>
      <c r="Y537" s="10" t="str">
        <f t="shared" si="169"/>
        <v>1_Post</v>
      </c>
      <c r="Z537" s="10" t="str">
        <f t="shared" si="170"/>
        <v>1_Post</v>
      </c>
      <c r="AA537" s="10" t="str">
        <f t="shared" si="175"/>
        <v>1_Post</v>
      </c>
      <c r="AB537" s="10" t="str">
        <f t="shared" si="176"/>
        <v>1_Post</v>
      </c>
      <c r="AC537" s="10" t="str">
        <f t="shared" si="177"/>
        <v>1_Post</v>
      </c>
      <c r="AD537" s="10" t="str">
        <f t="shared" si="178"/>
        <v>2_post sample median</v>
      </c>
      <c r="AE537" s="10" t="str">
        <f t="shared" si="179"/>
        <v>3_post sample third tertile</v>
      </c>
      <c r="AF537" t="s">
        <v>82</v>
      </c>
      <c r="AG537" t="s">
        <v>75</v>
      </c>
      <c r="AH537" t="s">
        <v>78</v>
      </c>
      <c r="AI537" t="s">
        <v>70</v>
      </c>
      <c r="AJ537" t="s">
        <v>70</v>
      </c>
      <c r="AK537" t="str">
        <f>VLOOKUP(MID($AR537,1,255),country_lookup!$B:$F,2,FALSE)</f>
        <v>99_NCE</v>
      </c>
      <c r="AL537" t="str">
        <f>VLOOKUP(MID($AR537,1,255),country_lookup!$B:$F,3,FALSE)</f>
        <v>99_NCE</v>
      </c>
      <c r="AM537" t="str">
        <f>VLOOKUP(MID($AR537,1,255),country_lookup!$B:$F,4,FALSE)</f>
        <v>99_NCE</v>
      </c>
      <c r="AN537" t="str">
        <f>VLOOKUP(MID($AR537,1,255),country_lookup!$B:$F,5,FALSE)</f>
        <v>99_NCE</v>
      </c>
      <c r="AO537" s="10" t="str">
        <f>VLOOKUP(MID($AS537,1,255),source_lookup!$B:$K,4,FALSE)</f>
        <v>0_published</v>
      </c>
      <c r="AP537" s="10" t="str">
        <f>VLOOKUP(MID($AS537,1,255),source_lookup!$B:$K,6,FALSE)</f>
        <v>1_VHB high</v>
      </c>
      <c r="AQ537" s="10" t="str">
        <f>VLOOKUP(MID($AS537,1,255),source_lookup!$B:$K,10,FALSE)</f>
        <v>1_fin/acc/econ</v>
      </c>
      <c r="AR537" t="s">
        <v>90</v>
      </c>
      <c r="AS537" t="s">
        <v>146</v>
      </c>
    </row>
    <row r="538" spans="1:45" x14ac:dyDescent="0.3">
      <c r="A538" t="s">
        <v>22</v>
      </c>
      <c r="B538">
        <v>537</v>
      </c>
      <c r="C538" s="1">
        <v>-1.3643840524253184E-3</v>
      </c>
      <c r="D538" s="2">
        <v>642</v>
      </c>
      <c r="E538" s="4">
        <v>642</v>
      </c>
      <c r="F538" s="4" t="s">
        <v>347</v>
      </c>
      <c r="G538" s="4" t="s">
        <v>346</v>
      </c>
      <c r="H538" t="s">
        <v>77</v>
      </c>
      <c r="I538" t="s">
        <v>352</v>
      </c>
      <c r="J538" s="3">
        <v>2020</v>
      </c>
      <c r="K538" s="3">
        <v>2020</v>
      </c>
      <c r="L538" s="6">
        <f t="shared" si="171"/>
        <v>2020</v>
      </c>
      <c r="M538" s="6">
        <f t="shared" si="172"/>
        <v>2020</v>
      </c>
      <c r="N538" s="7">
        <f t="shared" si="160"/>
        <v>1</v>
      </c>
      <c r="O538" s="7">
        <f t="shared" si="161"/>
        <v>1</v>
      </c>
      <c r="P538" s="7">
        <f t="shared" si="162"/>
        <v>1</v>
      </c>
      <c r="Q538" s="7">
        <f t="shared" si="173"/>
        <v>1</v>
      </c>
      <c r="R538" s="10" t="str">
        <f t="shared" si="163"/>
        <v>1_Post</v>
      </c>
      <c r="S538" s="10" t="str">
        <f t="shared" si="164"/>
        <v>1_Post</v>
      </c>
      <c r="T538" s="10" t="str">
        <f t="shared" si="165"/>
        <v>1_Post</v>
      </c>
      <c r="U538" s="10" t="str">
        <f t="shared" si="166"/>
        <v>1_Post</v>
      </c>
      <c r="V538" s="10" t="str">
        <f t="shared" si="174"/>
        <v>1_Post</v>
      </c>
      <c r="W538" s="10" t="str">
        <f t="shared" si="167"/>
        <v>clean_post</v>
      </c>
      <c r="X538" s="10" t="str">
        <f t="shared" si="168"/>
        <v>1_Post</v>
      </c>
      <c r="Y538" s="10" t="str">
        <f t="shared" si="169"/>
        <v>1_Post</v>
      </c>
      <c r="Z538" s="10" t="str">
        <f t="shared" si="170"/>
        <v>1_Post</v>
      </c>
      <c r="AA538" s="10" t="str">
        <f t="shared" si="175"/>
        <v>1_Post</v>
      </c>
      <c r="AB538" s="10" t="str">
        <f t="shared" si="176"/>
        <v>1_Post</v>
      </c>
      <c r="AC538" s="10" t="str">
        <f t="shared" si="177"/>
        <v>1_Post</v>
      </c>
      <c r="AD538" s="10" t="str">
        <f t="shared" si="178"/>
        <v>2_post sample median</v>
      </c>
      <c r="AE538" s="10" t="str">
        <f t="shared" si="179"/>
        <v>3_post sample third tertile</v>
      </c>
      <c r="AF538" t="s">
        <v>82</v>
      </c>
      <c r="AG538" t="s">
        <v>75</v>
      </c>
      <c r="AH538" t="s">
        <v>78</v>
      </c>
      <c r="AI538" t="s">
        <v>70</v>
      </c>
      <c r="AJ538" t="s">
        <v>70</v>
      </c>
      <c r="AK538" t="str">
        <f>VLOOKUP(MID($AR538,1,255),country_lookup!$B:$F,2,FALSE)</f>
        <v>99_NCE</v>
      </c>
      <c r="AL538" t="str">
        <f>VLOOKUP(MID($AR538,1,255),country_lookup!$B:$F,3,FALSE)</f>
        <v>99_NCE</v>
      </c>
      <c r="AM538" t="str">
        <f>VLOOKUP(MID($AR538,1,255),country_lookup!$B:$F,4,FALSE)</f>
        <v>99_NCE</v>
      </c>
      <c r="AN538" t="str">
        <f>VLOOKUP(MID($AR538,1,255),country_lookup!$B:$F,5,FALSE)</f>
        <v>99_NCE</v>
      </c>
      <c r="AO538" s="10" t="str">
        <f>VLOOKUP(MID($AS538,1,255),source_lookup!$B:$K,4,FALSE)</f>
        <v>0_published</v>
      </c>
      <c r="AP538" s="10" t="str">
        <f>VLOOKUP(MID($AS538,1,255),source_lookup!$B:$K,6,FALSE)</f>
        <v>1_VHB high</v>
      </c>
      <c r="AQ538" s="10" t="str">
        <f>VLOOKUP(MID($AS538,1,255),source_lookup!$B:$K,10,FALSE)</f>
        <v>1_fin/acc/econ</v>
      </c>
      <c r="AR538" t="s">
        <v>90</v>
      </c>
      <c r="AS538" t="s">
        <v>146</v>
      </c>
    </row>
    <row r="539" spans="1:45" x14ac:dyDescent="0.3">
      <c r="A539" t="s">
        <v>22</v>
      </c>
      <c r="B539">
        <v>538</v>
      </c>
      <c r="C539" s="1">
        <v>-1.3013504671990611E-3</v>
      </c>
      <c r="D539" s="2">
        <v>642</v>
      </c>
      <c r="E539" s="4">
        <v>642</v>
      </c>
      <c r="F539" s="4" t="s">
        <v>347</v>
      </c>
      <c r="G539" s="4" t="s">
        <v>346</v>
      </c>
      <c r="H539" t="s">
        <v>77</v>
      </c>
      <c r="I539" t="s">
        <v>352</v>
      </c>
      <c r="J539" s="3">
        <v>2020</v>
      </c>
      <c r="K539" s="3">
        <v>2020</v>
      </c>
      <c r="L539" s="6">
        <f t="shared" si="171"/>
        <v>2020</v>
      </c>
      <c r="M539" s="6">
        <f t="shared" si="172"/>
        <v>2020</v>
      </c>
      <c r="N539" s="7">
        <f t="shared" si="160"/>
        <v>1</v>
      </c>
      <c r="O539" s="7">
        <f t="shared" si="161"/>
        <v>1</v>
      </c>
      <c r="P539" s="7">
        <f t="shared" si="162"/>
        <v>1</v>
      </c>
      <c r="Q539" s="7">
        <f t="shared" si="173"/>
        <v>1</v>
      </c>
      <c r="R539" s="10" t="str">
        <f t="shared" si="163"/>
        <v>1_Post</v>
      </c>
      <c r="S539" s="10" t="str">
        <f t="shared" si="164"/>
        <v>1_Post</v>
      </c>
      <c r="T539" s="10" t="str">
        <f t="shared" si="165"/>
        <v>1_Post</v>
      </c>
      <c r="U539" s="10" t="str">
        <f t="shared" si="166"/>
        <v>1_Post</v>
      </c>
      <c r="V539" s="10" t="str">
        <f t="shared" si="174"/>
        <v>1_Post</v>
      </c>
      <c r="W539" s="10" t="str">
        <f t="shared" si="167"/>
        <v>clean_post</v>
      </c>
      <c r="X539" s="10" t="str">
        <f t="shared" si="168"/>
        <v>1_Post</v>
      </c>
      <c r="Y539" s="10" t="str">
        <f t="shared" si="169"/>
        <v>1_Post</v>
      </c>
      <c r="Z539" s="10" t="str">
        <f t="shared" si="170"/>
        <v>1_Post</v>
      </c>
      <c r="AA539" s="10" t="str">
        <f t="shared" si="175"/>
        <v>1_Post</v>
      </c>
      <c r="AB539" s="10" t="str">
        <f t="shared" si="176"/>
        <v>1_Post</v>
      </c>
      <c r="AC539" s="10" t="str">
        <f t="shared" si="177"/>
        <v>1_Post</v>
      </c>
      <c r="AD539" s="10" t="str">
        <f t="shared" si="178"/>
        <v>2_post sample median</v>
      </c>
      <c r="AE539" s="10" t="str">
        <f t="shared" si="179"/>
        <v>3_post sample third tertile</v>
      </c>
      <c r="AF539" t="s">
        <v>82</v>
      </c>
      <c r="AG539" t="s">
        <v>75</v>
      </c>
      <c r="AH539" t="s">
        <v>78</v>
      </c>
      <c r="AI539" t="s">
        <v>70</v>
      </c>
      <c r="AJ539" t="s">
        <v>70</v>
      </c>
      <c r="AK539" t="str">
        <f>VLOOKUP(MID($AR539,1,255),country_lookup!$B:$F,2,FALSE)</f>
        <v>99_NCE</v>
      </c>
      <c r="AL539" t="str">
        <f>VLOOKUP(MID($AR539,1,255),country_lookup!$B:$F,3,FALSE)</f>
        <v>99_NCE</v>
      </c>
      <c r="AM539" t="str">
        <f>VLOOKUP(MID($AR539,1,255),country_lookup!$B:$F,4,FALSE)</f>
        <v>99_NCE</v>
      </c>
      <c r="AN539" t="str">
        <f>VLOOKUP(MID($AR539,1,255),country_lookup!$B:$F,5,FALSE)</f>
        <v>99_NCE</v>
      </c>
      <c r="AO539" s="10" t="str">
        <f>VLOOKUP(MID($AS539,1,255),source_lookup!$B:$K,4,FALSE)</f>
        <v>0_published</v>
      </c>
      <c r="AP539" s="10" t="str">
        <f>VLOOKUP(MID($AS539,1,255),source_lookup!$B:$K,6,FALSE)</f>
        <v>1_VHB high</v>
      </c>
      <c r="AQ539" s="10" t="str">
        <f>VLOOKUP(MID($AS539,1,255),source_lookup!$B:$K,10,FALSE)</f>
        <v>1_fin/acc/econ</v>
      </c>
      <c r="AR539" t="s">
        <v>90</v>
      </c>
      <c r="AS539" t="s">
        <v>146</v>
      </c>
    </row>
    <row r="540" spans="1:45" x14ac:dyDescent="0.3">
      <c r="A540" t="s">
        <v>22</v>
      </c>
      <c r="B540">
        <v>539</v>
      </c>
      <c r="C540" s="1">
        <v>-8.8705784877498412E-4</v>
      </c>
      <c r="D540" s="2">
        <v>670</v>
      </c>
      <c r="E540" s="4">
        <v>670</v>
      </c>
      <c r="F540" s="4" t="s">
        <v>347</v>
      </c>
      <c r="G540" s="4" t="s">
        <v>346</v>
      </c>
      <c r="H540" t="s">
        <v>77</v>
      </c>
      <c r="I540" t="s">
        <v>352</v>
      </c>
      <c r="J540" s="3">
        <v>2020</v>
      </c>
      <c r="K540" s="3">
        <v>2020</v>
      </c>
      <c r="L540" s="6">
        <f t="shared" si="171"/>
        <v>2020</v>
      </c>
      <c r="M540" s="6">
        <f t="shared" si="172"/>
        <v>2020</v>
      </c>
      <c r="N540" s="7">
        <f t="shared" si="160"/>
        <v>1</v>
      </c>
      <c r="O540" s="7">
        <f t="shared" si="161"/>
        <v>1</v>
      </c>
      <c r="P540" s="7">
        <f t="shared" si="162"/>
        <v>1</v>
      </c>
      <c r="Q540" s="7">
        <f t="shared" si="173"/>
        <v>1</v>
      </c>
      <c r="R540" s="10" t="str">
        <f t="shared" si="163"/>
        <v>1_Post</v>
      </c>
      <c r="S540" s="10" t="str">
        <f t="shared" si="164"/>
        <v>1_Post</v>
      </c>
      <c r="T540" s="10" t="str">
        <f t="shared" si="165"/>
        <v>1_Post</v>
      </c>
      <c r="U540" s="10" t="str">
        <f t="shared" si="166"/>
        <v>1_Post</v>
      </c>
      <c r="V540" s="10" t="str">
        <f t="shared" si="174"/>
        <v>1_Post</v>
      </c>
      <c r="W540" s="10" t="str">
        <f t="shared" si="167"/>
        <v>clean_post</v>
      </c>
      <c r="X540" s="10" t="str">
        <f t="shared" si="168"/>
        <v>1_Post</v>
      </c>
      <c r="Y540" s="10" t="str">
        <f t="shared" si="169"/>
        <v>1_Post</v>
      </c>
      <c r="Z540" s="10" t="str">
        <f t="shared" si="170"/>
        <v>1_Post</v>
      </c>
      <c r="AA540" s="10" t="str">
        <f t="shared" si="175"/>
        <v>1_Post</v>
      </c>
      <c r="AB540" s="10" t="str">
        <f t="shared" si="176"/>
        <v>1_Post</v>
      </c>
      <c r="AC540" s="10" t="str">
        <f t="shared" si="177"/>
        <v>1_Post</v>
      </c>
      <c r="AD540" s="10" t="str">
        <f t="shared" si="178"/>
        <v>2_post sample median</v>
      </c>
      <c r="AE540" s="10" t="str">
        <f t="shared" si="179"/>
        <v>3_post sample third tertile</v>
      </c>
      <c r="AF540" t="s">
        <v>82</v>
      </c>
      <c r="AG540" t="s">
        <v>75</v>
      </c>
      <c r="AH540" t="s">
        <v>78</v>
      </c>
      <c r="AI540" t="s">
        <v>70</v>
      </c>
      <c r="AJ540" t="s">
        <v>70</v>
      </c>
      <c r="AK540" t="str">
        <f>VLOOKUP(MID($AR540,1,255),country_lookup!$B:$F,2,FALSE)</f>
        <v>99_NCE</v>
      </c>
      <c r="AL540" t="str">
        <f>VLOOKUP(MID($AR540,1,255),country_lookup!$B:$F,3,FALSE)</f>
        <v>99_NCE</v>
      </c>
      <c r="AM540" t="str">
        <f>VLOOKUP(MID($AR540,1,255),country_lookup!$B:$F,4,FALSE)</f>
        <v>99_NCE</v>
      </c>
      <c r="AN540" t="str">
        <f>VLOOKUP(MID($AR540,1,255),country_lookup!$B:$F,5,FALSE)</f>
        <v>99_NCE</v>
      </c>
      <c r="AO540" s="10" t="str">
        <f>VLOOKUP(MID($AS540,1,255),source_lookup!$B:$K,4,FALSE)</f>
        <v>0_published</v>
      </c>
      <c r="AP540" s="10" t="str">
        <f>VLOOKUP(MID($AS540,1,255),source_lookup!$B:$K,6,FALSE)</f>
        <v>1_VHB high</v>
      </c>
      <c r="AQ540" s="10" t="str">
        <f>VLOOKUP(MID($AS540,1,255),source_lookup!$B:$K,10,FALSE)</f>
        <v>1_fin/acc/econ</v>
      </c>
      <c r="AR540" t="s">
        <v>90</v>
      </c>
      <c r="AS540" t="s">
        <v>146</v>
      </c>
    </row>
    <row r="541" spans="1:45" x14ac:dyDescent="0.3">
      <c r="A541" t="s">
        <v>22</v>
      </c>
      <c r="B541">
        <v>540</v>
      </c>
      <c r="C541" s="1">
        <v>-9.6288620304552585E-4</v>
      </c>
      <c r="D541" s="2">
        <v>670</v>
      </c>
      <c r="E541" s="4">
        <v>670</v>
      </c>
      <c r="F541" s="4" t="s">
        <v>347</v>
      </c>
      <c r="G541" s="4" t="s">
        <v>346</v>
      </c>
      <c r="H541" t="s">
        <v>77</v>
      </c>
      <c r="I541" t="s">
        <v>352</v>
      </c>
      <c r="J541" s="3">
        <v>2020</v>
      </c>
      <c r="K541" s="3">
        <v>2020</v>
      </c>
      <c r="L541" s="6">
        <f t="shared" si="171"/>
        <v>2020</v>
      </c>
      <c r="M541" s="6">
        <f t="shared" si="172"/>
        <v>2020</v>
      </c>
      <c r="N541" s="7">
        <f t="shared" si="160"/>
        <v>1</v>
      </c>
      <c r="O541" s="7">
        <f t="shared" si="161"/>
        <v>1</v>
      </c>
      <c r="P541" s="7">
        <f t="shared" si="162"/>
        <v>1</v>
      </c>
      <c r="Q541" s="7">
        <f t="shared" si="173"/>
        <v>1</v>
      </c>
      <c r="R541" s="10" t="str">
        <f t="shared" si="163"/>
        <v>1_Post</v>
      </c>
      <c r="S541" s="10" t="str">
        <f t="shared" si="164"/>
        <v>1_Post</v>
      </c>
      <c r="T541" s="10" t="str">
        <f t="shared" si="165"/>
        <v>1_Post</v>
      </c>
      <c r="U541" s="10" t="str">
        <f t="shared" si="166"/>
        <v>1_Post</v>
      </c>
      <c r="V541" s="10" t="str">
        <f t="shared" si="174"/>
        <v>1_Post</v>
      </c>
      <c r="W541" s="10" t="str">
        <f t="shared" si="167"/>
        <v>clean_post</v>
      </c>
      <c r="X541" s="10" t="str">
        <f t="shared" si="168"/>
        <v>1_Post</v>
      </c>
      <c r="Y541" s="10" t="str">
        <f t="shared" si="169"/>
        <v>1_Post</v>
      </c>
      <c r="Z541" s="10" t="str">
        <f t="shared" si="170"/>
        <v>1_Post</v>
      </c>
      <c r="AA541" s="10" t="str">
        <f t="shared" si="175"/>
        <v>1_Post</v>
      </c>
      <c r="AB541" s="10" t="str">
        <f t="shared" si="176"/>
        <v>1_Post</v>
      </c>
      <c r="AC541" s="10" t="str">
        <f t="shared" si="177"/>
        <v>1_Post</v>
      </c>
      <c r="AD541" s="10" t="str">
        <f t="shared" si="178"/>
        <v>2_post sample median</v>
      </c>
      <c r="AE541" s="10" t="str">
        <f t="shared" si="179"/>
        <v>3_post sample third tertile</v>
      </c>
      <c r="AF541" t="s">
        <v>82</v>
      </c>
      <c r="AG541" t="s">
        <v>75</v>
      </c>
      <c r="AH541" t="s">
        <v>78</v>
      </c>
      <c r="AI541" t="s">
        <v>70</v>
      </c>
      <c r="AJ541" t="s">
        <v>70</v>
      </c>
      <c r="AK541" t="str">
        <f>VLOOKUP(MID($AR541,1,255),country_lookup!$B:$F,2,FALSE)</f>
        <v>99_NCE</v>
      </c>
      <c r="AL541" t="str">
        <f>VLOOKUP(MID($AR541,1,255),country_lookup!$B:$F,3,FALSE)</f>
        <v>99_NCE</v>
      </c>
      <c r="AM541" t="str">
        <f>VLOOKUP(MID($AR541,1,255),country_lookup!$B:$F,4,FALSE)</f>
        <v>99_NCE</v>
      </c>
      <c r="AN541" t="str">
        <f>VLOOKUP(MID($AR541,1,255),country_lookup!$B:$F,5,FALSE)</f>
        <v>99_NCE</v>
      </c>
      <c r="AO541" s="10" t="str">
        <f>VLOOKUP(MID($AS541,1,255),source_lookup!$B:$K,4,FALSE)</f>
        <v>0_published</v>
      </c>
      <c r="AP541" s="10" t="str">
        <f>VLOOKUP(MID($AS541,1,255),source_lookup!$B:$K,6,FALSE)</f>
        <v>1_VHB high</v>
      </c>
      <c r="AQ541" s="10" t="str">
        <f>VLOOKUP(MID($AS541,1,255),source_lookup!$B:$K,10,FALSE)</f>
        <v>1_fin/acc/econ</v>
      </c>
      <c r="AR541" t="s">
        <v>90</v>
      </c>
      <c r="AS541" t="s">
        <v>146</v>
      </c>
    </row>
    <row r="542" spans="1:45" x14ac:dyDescent="0.3">
      <c r="A542" t="s">
        <v>22</v>
      </c>
      <c r="B542">
        <v>541</v>
      </c>
      <c r="C542" s="1">
        <v>2.7377876463442114E-3</v>
      </c>
      <c r="D542" s="2">
        <v>670</v>
      </c>
      <c r="E542" s="4">
        <v>670</v>
      </c>
      <c r="F542" s="4" t="s">
        <v>347</v>
      </c>
      <c r="G542" s="4" t="s">
        <v>346</v>
      </c>
      <c r="H542" t="s">
        <v>77</v>
      </c>
      <c r="I542" t="s">
        <v>352</v>
      </c>
      <c r="J542" s="3">
        <v>2020</v>
      </c>
      <c r="K542" s="3">
        <v>2020</v>
      </c>
      <c r="L542" s="6">
        <f t="shared" si="171"/>
        <v>2020</v>
      </c>
      <c r="M542" s="6">
        <f t="shared" si="172"/>
        <v>2020</v>
      </c>
      <c r="N542" s="7">
        <f t="shared" si="160"/>
        <v>1</v>
      </c>
      <c r="O542" s="7">
        <f t="shared" si="161"/>
        <v>1</v>
      </c>
      <c r="P542" s="7">
        <f t="shared" si="162"/>
        <v>1</v>
      </c>
      <c r="Q542" s="7">
        <f t="shared" si="173"/>
        <v>1</v>
      </c>
      <c r="R542" s="10" t="str">
        <f t="shared" si="163"/>
        <v>1_Post</v>
      </c>
      <c r="S542" s="10" t="str">
        <f t="shared" si="164"/>
        <v>1_Post</v>
      </c>
      <c r="T542" s="10" t="str">
        <f t="shared" si="165"/>
        <v>1_Post</v>
      </c>
      <c r="U542" s="10" t="str">
        <f t="shared" si="166"/>
        <v>1_Post</v>
      </c>
      <c r="V542" s="10" t="str">
        <f t="shared" si="174"/>
        <v>1_Post</v>
      </c>
      <c r="W542" s="10" t="str">
        <f t="shared" si="167"/>
        <v>clean_post</v>
      </c>
      <c r="X542" s="10" t="str">
        <f t="shared" si="168"/>
        <v>1_Post</v>
      </c>
      <c r="Y542" s="10" t="str">
        <f t="shared" si="169"/>
        <v>1_Post</v>
      </c>
      <c r="Z542" s="10" t="str">
        <f t="shared" si="170"/>
        <v>1_Post</v>
      </c>
      <c r="AA542" s="10" t="str">
        <f t="shared" si="175"/>
        <v>1_Post</v>
      </c>
      <c r="AB542" s="10" t="str">
        <f t="shared" si="176"/>
        <v>1_Post</v>
      </c>
      <c r="AC542" s="10" t="str">
        <f t="shared" si="177"/>
        <v>1_Post</v>
      </c>
      <c r="AD542" s="10" t="str">
        <f t="shared" si="178"/>
        <v>2_post sample median</v>
      </c>
      <c r="AE542" s="10" t="str">
        <f t="shared" si="179"/>
        <v>3_post sample third tertile</v>
      </c>
      <c r="AF542" t="s">
        <v>82</v>
      </c>
      <c r="AG542" t="s">
        <v>75</v>
      </c>
      <c r="AH542" t="s">
        <v>78</v>
      </c>
      <c r="AI542" t="s">
        <v>70</v>
      </c>
      <c r="AJ542" t="s">
        <v>70</v>
      </c>
      <c r="AK542" t="str">
        <f>VLOOKUP(MID($AR542,1,255),country_lookup!$B:$F,2,FALSE)</f>
        <v>99_NCE</v>
      </c>
      <c r="AL542" t="str">
        <f>VLOOKUP(MID($AR542,1,255),country_lookup!$B:$F,3,FALSE)</f>
        <v>99_NCE</v>
      </c>
      <c r="AM542" t="str">
        <f>VLOOKUP(MID($AR542,1,255),country_lookup!$B:$F,4,FALSE)</f>
        <v>99_NCE</v>
      </c>
      <c r="AN542" t="str">
        <f>VLOOKUP(MID($AR542,1,255),country_lookup!$B:$F,5,FALSE)</f>
        <v>99_NCE</v>
      </c>
      <c r="AO542" s="10" t="str">
        <f>VLOOKUP(MID($AS542,1,255),source_lookup!$B:$K,4,FALSE)</f>
        <v>0_published</v>
      </c>
      <c r="AP542" s="10" t="str">
        <f>VLOOKUP(MID($AS542,1,255),source_lookup!$B:$K,6,FALSE)</f>
        <v>1_VHB high</v>
      </c>
      <c r="AQ542" s="10" t="str">
        <f>VLOOKUP(MID($AS542,1,255),source_lookup!$B:$K,10,FALSE)</f>
        <v>1_fin/acc/econ</v>
      </c>
      <c r="AR542" t="s">
        <v>90</v>
      </c>
      <c r="AS542" t="s">
        <v>146</v>
      </c>
    </row>
    <row r="543" spans="1:45" x14ac:dyDescent="0.3">
      <c r="A543" t="s">
        <v>22</v>
      </c>
      <c r="B543">
        <v>542</v>
      </c>
      <c r="C543" s="1">
        <v>-2.1832347328470396E-3</v>
      </c>
      <c r="D543" s="2">
        <v>524</v>
      </c>
      <c r="E543" s="4">
        <v>524</v>
      </c>
      <c r="F543" s="4" t="s">
        <v>347</v>
      </c>
      <c r="G543" s="4" t="s">
        <v>346</v>
      </c>
      <c r="H543" t="s">
        <v>77</v>
      </c>
      <c r="I543" t="s">
        <v>352</v>
      </c>
      <c r="J543" s="3">
        <v>2020</v>
      </c>
      <c r="K543" s="3">
        <v>2020</v>
      </c>
      <c r="L543" s="6">
        <f t="shared" si="171"/>
        <v>2020</v>
      </c>
      <c r="M543" s="6">
        <f t="shared" si="172"/>
        <v>2020</v>
      </c>
      <c r="N543" s="7">
        <f t="shared" si="160"/>
        <v>1</v>
      </c>
      <c r="O543" s="7">
        <f t="shared" si="161"/>
        <v>1</v>
      </c>
      <c r="P543" s="7">
        <f t="shared" si="162"/>
        <v>1</v>
      </c>
      <c r="Q543" s="7">
        <f t="shared" si="173"/>
        <v>1</v>
      </c>
      <c r="R543" s="10" t="str">
        <f t="shared" si="163"/>
        <v>1_Post</v>
      </c>
      <c r="S543" s="10" t="str">
        <f t="shared" si="164"/>
        <v>1_Post</v>
      </c>
      <c r="T543" s="10" t="str">
        <f t="shared" si="165"/>
        <v>1_Post</v>
      </c>
      <c r="U543" s="10" t="str">
        <f t="shared" si="166"/>
        <v>1_Post</v>
      </c>
      <c r="V543" s="10" t="str">
        <f t="shared" si="174"/>
        <v>1_Post</v>
      </c>
      <c r="W543" s="10" t="str">
        <f t="shared" si="167"/>
        <v>clean_post</v>
      </c>
      <c r="X543" s="10" t="str">
        <f t="shared" si="168"/>
        <v>1_Post</v>
      </c>
      <c r="Y543" s="10" t="str">
        <f t="shared" si="169"/>
        <v>1_Post</v>
      </c>
      <c r="Z543" s="10" t="str">
        <f t="shared" si="170"/>
        <v>1_Post</v>
      </c>
      <c r="AA543" s="10" t="str">
        <f t="shared" si="175"/>
        <v>1_Post</v>
      </c>
      <c r="AB543" s="10" t="str">
        <f t="shared" si="176"/>
        <v>1_Post</v>
      </c>
      <c r="AC543" s="10" t="str">
        <f t="shared" si="177"/>
        <v>1_Post</v>
      </c>
      <c r="AD543" s="10" t="str">
        <f t="shared" si="178"/>
        <v>2_post sample median</v>
      </c>
      <c r="AE543" s="10" t="str">
        <f t="shared" si="179"/>
        <v>3_post sample third tertile</v>
      </c>
      <c r="AF543" t="s">
        <v>82</v>
      </c>
      <c r="AG543" t="s">
        <v>75</v>
      </c>
      <c r="AH543" t="s">
        <v>78</v>
      </c>
      <c r="AI543" t="s">
        <v>70</v>
      </c>
      <c r="AJ543" t="s">
        <v>70</v>
      </c>
      <c r="AK543" t="str">
        <f>VLOOKUP(MID($AR543,1,255),country_lookup!$B:$F,2,FALSE)</f>
        <v>99_NCE</v>
      </c>
      <c r="AL543" t="str">
        <f>VLOOKUP(MID($AR543,1,255),country_lookup!$B:$F,3,FALSE)</f>
        <v>99_NCE</v>
      </c>
      <c r="AM543" t="str">
        <f>VLOOKUP(MID($AR543,1,255),country_lookup!$B:$F,4,FALSE)</f>
        <v>99_NCE</v>
      </c>
      <c r="AN543" t="str">
        <f>VLOOKUP(MID($AR543,1,255),country_lookup!$B:$F,5,FALSE)</f>
        <v>99_NCE</v>
      </c>
      <c r="AO543" s="10" t="str">
        <f>VLOOKUP(MID($AS543,1,255),source_lookup!$B:$K,4,FALSE)</f>
        <v>0_published</v>
      </c>
      <c r="AP543" s="10" t="str">
        <f>VLOOKUP(MID($AS543,1,255),source_lookup!$B:$K,6,FALSE)</f>
        <v>1_VHB high</v>
      </c>
      <c r="AQ543" s="10" t="str">
        <f>VLOOKUP(MID($AS543,1,255),source_lookup!$B:$K,10,FALSE)</f>
        <v>1_fin/acc/econ</v>
      </c>
      <c r="AR543" t="s">
        <v>90</v>
      </c>
      <c r="AS543" t="s">
        <v>146</v>
      </c>
    </row>
    <row r="544" spans="1:45" x14ac:dyDescent="0.3">
      <c r="A544" t="s">
        <v>22</v>
      </c>
      <c r="B544">
        <v>543</v>
      </c>
      <c r="C544" s="1">
        <v>-2.1734854598326856E-3</v>
      </c>
      <c r="D544" s="2">
        <v>524</v>
      </c>
      <c r="E544" s="4">
        <v>524</v>
      </c>
      <c r="F544" s="4" t="s">
        <v>347</v>
      </c>
      <c r="G544" s="4" t="s">
        <v>346</v>
      </c>
      <c r="H544" t="s">
        <v>77</v>
      </c>
      <c r="I544" t="s">
        <v>352</v>
      </c>
      <c r="J544" s="3">
        <v>2020</v>
      </c>
      <c r="K544" s="3">
        <v>2020</v>
      </c>
      <c r="L544" s="6">
        <f t="shared" si="171"/>
        <v>2020</v>
      </c>
      <c r="M544" s="6">
        <f t="shared" si="172"/>
        <v>2020</v>
      </c>
      <c r="N544" s="7">
        <f t="shared" si="160"/>
        <v>1</v>
      </c>
      <c r="O544" s="7">
        <f t="shared" si="161"/>
        <v>1</v>
      </c>
      <c r="P544" s="7">
        <f t="shared" si="162"/>
        <v>1</v>
      </c>
      <c r="Q544" s="7">
        <f t="shared" si="173"/>
        <v>1</v>
      </c>
      <c r="R544" s="10" t="str">
        <f t="shared" si="163"/>
        <v>1_Post</v>
      </c>
      <c r="S544" s="10" t="str">
        <f t="shared" si="164"/>
        <v>1_Post</v>
      </c>
      <c r="T544" s="10" t="str">
        <f t="shared" si="165"/>
        <v>1_Post</v>
      </c>
      <c r="U544" s="10" t="str">
        <f t="shared" si="166"/>
        <v>1_Post</v>
      </c>
      <c r="V544" s="10" t="str">
        <f t="shared" si="174"/>
        <v>1_Post</v>
      </c>
      <c r="W544" s="10" t="str">
        <f t="shared" si="167"/>
        <v>clean_post</v>
      </c>
      <c r="X544" s="10" t="str">
        <f t="shared" si="168"/>
        <v>1_Post</v>
      </c>
      <c r="Y544" s="10" t="str">
        <f t="shared" si="169"/>
        <v>1_Post</v>
      </c>
      <c r="Z544" s="10" t="str">
        <f t="shared" si="170"/>
        <v>1_Post</v>
      </c>
      <c r="AA544" s="10" t="str">
        <f t="shared" si="175"/>
        <v>1_Post</v>
      </c>
      <c r="AB544" s="10" t="str">
        <f t="shared" si="176"/>
        <v>1_Post</v>
      </c>
      <c r="AC544" s="10" t="str">
        <f t="shared" si="177"/>
        <v>1_Post</v>
      </c>
      <c r="AD544" s="10" t="str">
        <f t="shared" si="178"/>
        <v>2_post sample median</v>
      </c>
      <c r="AE544" s="10" t="str">
        <f t="shared" si="179"/>
        <v>3_post sample third tertile</v>
      </c>
      <c r="AF544" t="s">
        <v>82</v>
      </c>
      <c r="AG544" t="s">
        <v>75</v>
      </c>
      <c r="AH544" t="s">
        <v>78</v>
      </c>
      <c r="AI544" t="s">
        <v>70</v>
      </c>
      <c r="AJ544" t="s">
        <v>70</v>
      </c>
      <c r="AK544" t="str">
        <f>VLOOKUP(MID($AR544,1,255),country_lookup!$B:$F,2,FALSE)</f>
        <v>99_NCE</v>
      </c>
      <c r="AL544" t="str">
        <f>VLOOKUP(MID($AR544,1,255),country_lookup!$B:$F,3,FALSE)</f>
        <v>99_NCE</v>
      </c>
      <c r="AM544" t="str">
        <f>VLOOKUP(MID($AR544,1,255),country_lookup!$B:$F,4,FALSE)</f>
        <v>99_NCE</v>
      </c>
      <c r="AN544" t="str">
        <f>VLOOKUP(MID($AR544,1,255),country_lookup!$B:$F,5,FALSE)</f>
        <v>99_NCE</v>
      </c>
      <c r="AO544" s="10" t="str">
        <f>VLOOKUP(MID($AS544,1,255),source_lookup!$B:$K,4,FALSE)</f>
        <v>0_published</v>
      </c>
      <c r="AP544" s="10" t="str">
        <f>VLOOKUP(MID($AS544,1,255),source_lookup!$B:$K,6,FALSE)</f>
        <v>1_VHB high</v>
      </c>
      <c r="AQ544" s="10" t="str">
        <f>VLOOKUP(MID($AS544,1,255),source_lookup!$B:$K,10,FALSE)</f>
        <v>1_fin/acc/econ</v>
      </c>
      <c r="AR544" t="s">
        <v>90</v>
      </c>
      <c r="AS544" t="s">
        <v>146</v>
      </c>
    </row>
    <row r="545" spans="1:45" x14ac:dyDescent="0.3">
      <c r="A545" t="s">
        <v>22</v>
      </c>
      <c r="B545">
        <v>544</v>
      </c>
      <c r="C545" s="1">
        <v>-2.0959368015140436E-3</v>
      </c>
      <c r="D545" s="2">
        <v>543</v>
      </c>
      <c r="E545" s="4">
        <v>543</v>
      </c>
      <c r="F545" s="4" t="s">
        <v>347</v>
      </c>
      <c r="G545" s="4" t="s">
        <v>346</v>
      </c>
      <c r="H545" t="s">
        <v>77</v>
      </c>
      <c r="I545" t="s">
        <v>352</v>
      </c>
      <c r="J545" s="3">
        <v>2020</v>
      </c>
      <c r="K545" s="3">
        <v>2020</v>
      </c>
      <c r="L545" s="6">
        <f t="shared" si="171"/>
        <v>2020</v>
      </c>
      <c r="M545" s="6">
        <f t="shared" si="172"/>
        <v>2020</v>
      </c>
      <c r="N545" s="7">
        <f t="shared" si="160"/>
        <v>1</v>
      </c>
      <c r="O545" s="7">
        <f t="shared" si="161"/>
        <v>1</v>
      </c>
      <c r="P545" s="7">
        <f t="shared" si="162"/>
        <v>1</v>
      </c>
      <c r="Q545" s="7">
        <f t="shared" si="173"/>
        <v>1</v>
      </c>
      <c r="R545" s="10" t="str">
        <f t="shared" si="163"/>
        <v>1_Post</v>
      </c>
      <c r="S545" s="10" t="str">
        <f t="shared" si="164"/>
        <v>1_Post</v>
      </c>
      <c r="T545" s="10" t="str">
        <f t="shared" si="165"/>
        <v>1_Post</v>
      </c>
      <c r="U545" s="10" t="str">
        <f t="shared" si="166"/>
        <v>1_Post</v>
      </c>
      <c r="V545" s="10" t="str">
        <f t="shared" si="174"/>
        <v>1_Post</v>
      </c>
      <c r="W545" s="10" t="str">
        <f t="shared" si="167"/>
        <v>clean_post</v>
      </c>
      <c r="X545" s="10" t="str">
        <f t="shared" si="168"/>
        <v>1_Post</v>
      </c>
      <c r="Y545" s="10" t="str">
        <f t="shared" si="169"/>
        <v>1_Post</v>
      </c>
      <c r="Z545" s="10" t="str">
        <f t="shared" si="170"/>
        <v>1_Post</v>
      </c>
      <c r="AA545" s="10" t="str">
        <f t="shared" si="175"/>
        <v>1_Post</v>
      </c>
      <c r="AB545" s="10" t="str">
        <f t="shared" si="176"/>
        <v>1_Post</v>
      </c>
      <c r="AC545" s="10" t="str">
        <f t="shared" si="177"/>
        <v>1_Post</v>
      </c>
      <c r="AD545" s="10" t="str">
        <f t="shared" si="178"/>
        <v>2_post sample median</v>
      </c>
      <c r="AE545" s="10" t="str">
        <f t="shared" si="179"/>
        <v>3_post sample third tertile</v>
      </c>
      <c r="AF545" t="s">
        <v>82</v>
      </c>
      <c r="AG545" t="s">
        <v>75</v>
      </c>
      <c r="AH545" t="s">
        <v>78</v>
      </c>
      <c r="AI545" t="s">
        <v>70</v>
      </c>
      <c r="AJ545" t="s">
        <v>70</v>
      </c>
      <c r="AK545" t="str">
        <f>VLOOKUP(MID($AR545,1,255),country_lookup!$B:$F,2,FALSE)</f>
        <v>99_NCE</v>
      </c>
      <c r="AL545" t="str">
        <f>VLOOKUP(MID($AR545,1,255),country_lookup!$B:$F,3,FALSE)</f>
        <v>99_NCE</v>
      </c>
      <c r="AM545" t="str">
        <f>VLOOKUP(MID($AR545,1,255),country_lookup!$B:$F,4,FALSE)</f>
        <v>99_NCE</v>
      </c>
      <c r="AN545" t="str">
        <f>VLOOKUP(MID($AR545,1,255),country_lookup!$B:$F,5,FALSE)</f>
        <v>99_NCE</v>
      </c>
      <c r="AO545" s="10" t="str">
        <f>VLOOKUP(MID($AS545,1,255),source_lookup!$B:$K,4,FALSE)</f>
        <v>0_published</v>
      </c>
      <c r="AP545" s="10" t="str">
        <f>VLOOKUP(MID($AS545,1,255),source_lookup!$B:$K,6,FALSE)</f>
        <v>1_VHB high</v>
      </c>
      <c r="AQ545" s="10" t="str">
        <f>VLOOKUP(MID($AS545,1,255),source_lookup!$B:$K,10,FALSE)</f>
        <v>1_fin/acc/econ</v>
      </c>
      <c r="AR545" t="s">
        <v>90</v>
      </c>
      <c r="AS545" t="s">
        <v>146</v>
      </c>
    </row>
    <row r="546" spans="1:45" x14ac:dyDescent="0.3">
      <c r="A546" t="s">
        <v>22</v>
      </c>
      <c r="B546">
        <v>545</v>
      </c>
      <c r="C546" s="1">
        <v>-2.1772456112955055E-3</v>
      </c>
      <c r="D546" s="2">
        <v>543</v>
      </c>
      <c r="E546" s="4">
        <v>543</v>
      </c>
      <c r="F546" s="4" t="s">
        <v>347</v>
      </c>
      <c r="G546" s="4" t="s">
        <v>346</v>
      </c>
      <c r="H546" t="s">
        <v>77</v>
      </c>
      <c r="I546" t="s">
        <v>352</v>
      </c>
      <c r="J546" s="3">
        <v>2020</v>
      </c>
      <c r="K546" s="3">
        <v>2020</v>
      </c>
      <c r="L546" s="6">
        <f t="shared" si="171"/>
        <v>2020</v>
      </c>
      <c r="M546" s="6">
        <f t="shared" si="172"/>
        <v>2020</v>
      </c>
      <c r="N546" s="7">
        <f t="shared" si="160"/>
        <v>1</v>
      </c>
      <c r="O546" s="7">
        <f t="shared" si="161"/>
        <v>1</v>
      </c>
      <c r="P546" s="7">
        <f t="shared" si="162"/>
        <v>1</v>
      </c>
      <c r="Q546" s="7">
        <f t="shared" si="173"/>
        <v>1</v>
      </c>
      <c r="R546" s="10" t="str">
        <f t="shared" si="163"/>
        <v>1_Post</v>
      </c>
      <c r="S546" s="10" t="str">
        <f t="shared" si="164"/>
        <v>1_Post</v>
      </c>
      <c r="T546" s="10" t="str">
        <f t="shared" si="165"/>
        <v>1_Post</v>
      </c>
      <c r="U546" s="10" t="str">
        <f t="shared" si="166"/>
        <v>1_Post</v>
      </c>
      <c r="V546" s="10" t="str">
        <f t="shared" si="174"/>
        <v>1_Post</v>
      </c>
      <c r="W546" s="10" t="str">
        <f t="shared" si="167"/>
        <v>clean_post</v>
      </c>
      <c r="X546" s="10" t="str">
        <f t="shared" si="168"/>
        <v>1_Post</v>
      </c>
      <c r="Y546" s="10" t="str">
        <f t="shared" si="169"/>
        <v>1_Post</v>
      </c>
      <c r="Z546" s="10" t="str">
        <f t="shared" si="170"/>
        <v>1_Post</v>
      </c>
      <c r="AA546" s="10" t="str">
        <f t="shared" si="175"/>
        <v>1_Post</v>
      </c>
      <c r="AB546" s="10" t="str">
        <f t="shared" si="176"/>
        <v>1_Post</v>
      </c>
      <c r="AC546" s="10" t="str">
        <f t="shared" si="177"/>
        <v>1_Post</v>
      </c>
      <c r="AD546" s="10" t="str">
        <f t="shared" si="178"/>
        <v>2_post sample median</v>
      </c>
      <c r="AE546" s="10" t="str">
        <f t="shared" si="179"/>
        <v>3_post sample third tertile</v>
      </c>
      <c r="AF546" t="s">
        <v>82</v>
      </c>
      <c r="AG546" t="s">
        <v>75</v>
      </c>
      <c r="AH546" t="s">
        <v>78</v>
      </c>
      <c r="AI546" t="s">
        <v>70</v>
      </c>
      <c r="AJ546" t="s">
        <v>70</v>
      </c>
      <c r="AK546" t="str">
        <f>VLOOKUP(MID($AR546,1,255),country_lookup!$B:$F,2,FALSE)</f>
        <v>99_NCE</v>
      </c>
      <c r="AL546" t="str">
        <f>VLOOKUP(MID($AR546,1,255),country_lookup!$B:$F,3,FALSE)</f>
        <v>99_NCE</v>
      </c>
      <c r="AM546" t="str">
        <f>VLOOKUP(MID($AR546,1,255),country_lookup!$B:$F,4,FALSE)</f>
        <v>99_NCE</v>
      </c>
      <c r="AN546" t="str">
        <f>VLOOKUP(MID($AR546,1,255),country_lookup!$B:$F,5,FALSE)</f>
        <v>99_NCE</v>
      </c>
      <c r="AO546" s="10" t="str">
        <f>VLOOKUP(MID($AS546,1,255),source_lookup!$B:$K,4,FALSE)</f>
        <v>0_published</v>
      </c>
      <c r="AP546" s="10" t="str">
        <f>VLOOKUP(MID($AS546,1,255),source_lookup!$B:$K,6,FALSE)</f>
        <v>1_VHB high</v>
      </c>
      <c r="AQ546" s="10" t="str">
        <f>VLOOKUP(MID($AS546,1,255),source_lookup!$B:$K,10,FALSE)</f>
        <v>1_fin/acc/econ</v>
      </c>
      <c r="AR546" t="s">
        <v>90</v>
      </c>
      <c r="AS546" t="s">
        <v>146</v>
      </c>
    </row>
    <row r="547" spans="1:45" x14ac:dyDescent="0.3">
      <c r="A547" t="s">
        <v>22</v>
      </c>
      <c r="B547">
        <v>546</v>
      </c>
      <c r="C547" s="1">
        <v>-1.6341076498707148E-3</v>
      </c>
      <c r="D547" s="2">
        <v>524</v>
      </c>
      <c r="E547" s="4">
        <v>524</v>
      </c>
      <c r="F547" s="4" t="s">
        <v>347</v>
      </c>
      <c r="G547" s="4" t="s">
        <v>346</v>
      </c>
      <c r="H547" t="s">
        <v>77</v>
      </c>
      <c r="I547" t="s">
        <v>352</v>
      </c>
      <c r="J547" s="3">
        <v>2020</v>
      </c>
      <c r="K547" s="3">
        <v>2020</v>
      </c>
      <c r="L547" s="6">
        <f t="shared" si="171"/>
        <v>2020</v>
      </c>
      <c r="M547" s="6">
        <f t="shared" si="172"/>
        <v>2020</v>
      </c>
      <c r="N547" s="7">
        <f t="shared" si="160"/>
        <v>1</v>
      </c>
      <c r="O547" s="7">
        <f t="shared" si="161"/>
        <v>1</v>
      </c>
      <c r="P547" s="7">
        <f t="shared" si="162"/>
        <v>1</v>
      </c>
      <c r="Q547" s="7">
        <f t="shared" si="173"/>
        <v>1</v>
      </c>
      <c r="R547" s="10" t="str">
        <f t="shared" si="163"/>
        <v>1_Post</v>
      </c>
      <c r="S547" s="10" t="str">
        <f t="shared" si="164"/>
        <v>1_Post</v>
      </c>
      <c r="T547" s="10" t="str">
        <f t="shared" si="165"/>
        <v>1_Post</v>
      </c>
      <c r="U547" s="10" t="str">
        <f t="shared" si="166"/>
        <v>1_Post</v>
      </c>
      <c r="V547" s="10" t="str">
        <f t="shared" si="174"/>
        <v>1_Post</v>
      </c>
      <c r="W547" s="10" t="str">
        <f t="shared" si="167"/>
        <v>clean_post</v>
      </c>
      <c r="X547" s="10" t="str">
        <f t="shared" si="168"/>
        <v>1_Post</v>
      </c>
      <c r="Y547" s="10" t="str">
        <f t="shared" si="169"/>
        <v>1_Post</v>
      </c>
      <c r="Z547" s="10" t="str">
        <f t="shared" si="170"/>
        <v>1_Post</v>
      </c>
      <c r="AA547" s="10" t="str">
        <f t="shared" si="175"/>
        <v>1_Post</v>
      </c>
      <c r="AB547" s="10" t="str">
        <f t="shared" si="176"/>
        <v>1_Post</v>
      </c>
      <c r="AC547" s="10" t="str">
        <f t="shared" si="177"/>
        <v>1_Post</v>
      </c>
      <c r="AD547" s="10" t="str">
        <f t="shared" si="178"/>
        <v>2_post sample median</v>
      </c>
      <c r="AE547" s="10" t="str">
        <f t="shared" si="179"/>
        <v>3_post sample third tertile</v>
      </c>
      <c r="AF547" t="s">
        <v>82</v>
      </c>
      <c r="AG547" t="s">
        <v>75</v>
      </c>
      <c r="AH547" t="s">
        <v>78</v>
      </c>
      <c r="AI547" t="s">
        <v>70</v>
      </c>
      <c r="AJ547" t="s">
        <v>70</v>
      </c>
      <c r="AK547" t="str">
        <f>VLOOKUP(MID($AR547,1,255),country_lookup!$B:$F,2,FALSE)</f>
        <v>99_NCE</v>
      </c>
      <c r="AL547" t="str">
        <f>VLOOKUP(MID($AR547,1,255),country_lookup!$B:$F,3,FALSE)</f>
        <v>99_NCE</v>
      </c>
      <c r="AM547" t="str">
        <f>VLOOKUP(MID($AR547,1,255),country_lookup!$B:$F,4,FALSE)</f>
        <v>99_NCE</v>
      </c>
      <c r="AN547" t="str">
        <f>VLOOKUP(MID($AR547,1,255),country_lookup!$B:$F,5,FALSE)</f>
        <v>99_NCE</v>
      </c>
      <c r="AO547" s="10" t="str">
        <f>VLOOKUP(MID($AS547,1,255),source_lookup!$B:$K,4,FALSE)</f>
        <v>0_published</v>
      </c>
      <c r="AP547" s="10" t="str">
        <f>VLOOKUP(MID($AS547,1,255),source_lookup!$B:$K,6,FALSE)</f>
        <v>1_VHB high</v>
      </c>
      <c r="AQ547" s="10" t="str">
        <f>VLOOKUP(MID($AS547,1,255),source_lookup!$B:$K,10,FALSE)</f>
        <v>1_fin/acc/econ</v>
      </c>
      <c r="AR547" t="s">
        <v>90</v>
      </c>
      <c r="AS547" t="s">
        <v>146</v>
      </c>
    </row>
    <row r="548" spans="1:45" x14ac:dyDescent="0.3">
      <c r="A548" t="s">
        <v>22</v>
      </c>
      <c r="B548">
        <v>547</v>
      </c>
      <c r="C548" s="1">
        <v>-1.6089395396754263E-3</v>
      </c>
      <c r="D548" s="2">
        <v>524</v>
      </c>
      <c r="E548" s="4">
        <v>524</v>
      </c>
      <c r="F548" s="4" t="s">
        <v>347</v>
      </c>
      <c r="G548" s="4" t="s">
        <v>346</v>
      </c>
      <c r="H548" t="s">
        <v>77</v>
      </c>
      <c r="I548" t="s">
        <v>352</v>
      </c>
      <c r="J548" s="3">
        <v>2020</v>
      </c>
      <c r="K548" s="3">
        <v>2020</v>
      </c>
      <c r="L548" s="6">
        <f t="shared" si="171"/>
        <v>2020</v>
      </c>
      <c r="M548" s="6">
        <f t="shared" si="172"/>
        <v>2020</v>
      </c>
      <c r="N548" s="7">
        <f t="shared" si="160"/>
        <v>1</v>
      </c>
      <c r="O548" s="7">
        <f t="shared" si="161"/>
        <v>1</v>
      </c>
      <c r="P548" s="7">
        <f t="shared" si="162"/>
        <v>1</v>
      </c>
      <c r="Q548" s="7">
        <f t="shared" si="173"/>
        <v>1</v>
      </c>
      <c r="R548" s="10" t="str">
        <f t="shared" si="163"/>
        <v>1_Post</v>
      </c>
      <c r="S548" s="10" t="str">
        <f t="shared" si="164"/>
        <v>1_Post</v>
      </c>
      <c r="T548" s="10" t="str">
        <f t="shared" si="165"/>
        <v>1_Post</v>
      </c>
      <c r="U548" s="10" t="str">
        <f t="shared" si="166"/>
        <v>1_Post</v>
      </c>
      <c r="V548" s="10" t="str">
        <f t="shared" si="174"/>
        <v>1_Post</v>
      </c>
      <c r="W548" s="10" t="str">
        <f t="shared" si="167"/>
        <v>clean_post</v>
      </c>
      <c r="X548" s="10" t="str">
        <f t="shared" si="168"/>
        <v>1_Post</v>
      </c>
      <c r="Y548" s="10" t="str">
        <f t="shared" si="169"/>
        <v>1_Post</v>
      </c>
      <c r="Z548" s="10" t="str">
        <f t="shared" si="170"/>
        <v>1_Post</v>
      </c>
      <c r="AA548" s="10" t="str">
        <f t="shared" si="175"/>
        <v>1_Post</v>
      </c>
      <c r="AB548" s="10" t="str">
        <f t="shared" si="176"/>
        <v>1_Post</v>
      </c>
      <c r="AC548" s="10" t="str">
        <f t="shared" si="177"/>
        <v>1_Post</v>
      </c>
      <c r="AD548" s="10" t="str">
        <f t="shared" si="178"/>
        <v>2_post sample median</v>
      </c>
      <c r="AE548" s="10" t="str">
        <f t="shared" si="179"/>
        <v>3_post sample third tertile</v>
      </c>
      <c r="AF548" t="s">
        <v>82</v>
      </c>
      <c r="AG548" t="s">
        <v>75</v>
      </c>
      <c r="AH548" t="s">
        <v>78</v>
      </c>
      <c r="AI548" t="s">
        <v>70</v>
      </c>
      <c r="AJ548" t="s">
        <v>70</v>
      </c>
      <c r="AK548" t="str">
        <f>VLOOKUP(MID($AR548,1,255),country_lookup!$B:$F,2,FALSE)</f>
        <v>99_NCE</v>
      </c>
      <c r="AL548" t="str">
        <f>VLOOKUP(MID($AR548,1,255),country_lookup!$B:$F,3,FALSE)</f>
        <v>99_NCE</v>
      </c>
      <c r="AM548" t="str">
        <f>VLOOKUP(MID($AR548,1,255),country_lookup!$B:$F,4,FALSE)</f>
        <v>99_NCE</v>
      </c>
      <c r="AN548" t="str">
        <f>VLOOKUP(MID($AR548,1,255),country_lookup!$B:$F,5,FALSE)</f>
        <v>99_NCE</v>
      </c>
      <c r="AO548" s="10" t="str">
        <f>VLOOKUP(MID($AS548,1,255),source_lookup!$B:$K,4,FALSE)</f>
        <v>0_published</v>
      </c>
      <c r="AP548" s="10" t="str">
        <f>VLOOKUP(MID($AS548,1,255),source_lookup!$B:$K,6,FALSE)</f>
        <v>1_VHB high</v>
      </c>
      <c r="AQ548" s="10" t="str">
        <f>VLOOKUP(MID($AS548,1,255),source_lookup!$B:$K,10,FALSE)</f>
        <v>1_fin/acc/econ</v>
      </c>
      <c r="AR548" t="s">
        <v>90</v>
      </c>
      <c r="AS548" t="s">
        <v>146</v>
      </c>
    </row>
    <row r="549" spans="1:45" x14ac:dyDescent="0.3">
      <c r="A549" t="s">
        <v>22</v>
      </c>
      <c r="B549">
        <v>548</v>
      </c>
      <c r="C549" s="1">
        <v>-7.6861065432118781E-4</v>
      </c>
      <c r="D549" s="2">
        <v>543</v>
      </c>
      <c r="E549" s="4">
        <v>543</v>
      </c>
      <c r="F549" s="4" t="s">
        <v>347</v>
      </c>
      <c r="G549" s="4" t="s">
        <v>346</v>
      </c>
      <c r="H549" t="s">
        <v>77</v>
      </c>
      <c r="I549" t="s">
        <v>352</v>
      </c>
      <c r="J549" s="3">
        <v>2020</v>
      </c>
      <c r="K549" s="3">
        <v>2020</v>
      </c>
      <c r="L549" s="6">
        <f t="shared" si="171"/>
        <v>2020</v>
      </c>
      <c r="M549" s="6">
        <f t="shared" si="172"/>
        <v>2020</v>
      </c>
      <c r="N549" s="7">
        <f t="shared" si="160"/>
        <v>1</v>
      </c>
      <c r="O549" s="7">
        <f t="shared" si="161"/>
        <v>1</v>
      </c>
      <c r="P549" s="7">
        <f t="shared" si="162"/>
        <v>1</v>
      </c>
      <c r="Q549" s="7">
        <f t="shared" si="173"/>
        <v>1</v>
      </c>
      <c r="R549" s="10" t="str">
        <f t="shared" si="163"/>
        <v>1_Post</v>
      </c>
      <c r="S549" s="10" t="str">
        <f t="shared" si="164"/>
        <v>1_Post</v>
      </c>
      <c r="T549" s="10" t="str">
        <f t="shared" si="165"/>
        <v>1_Post</v>
      </c>
      <c r="U549" s="10" t="str">
        <f t="shared" si="166"/>
        <v>1_Post</v>
      </c>
      <c r="V549" s="10" t="str">
        <f t="shared" si="174"/>
        <v>1_Post</v>
      </c>
      <c r="W549" s="10" t="str">
        <f t="shared" si="167"/>
        <v>clean_post</v>
      </c>
      <c r="X549" s="10" t="str">
        <f t="shared" si="168"/>
        <v>1_Post</v>
      </c>
      <c r="Y549" s="10" t="str">
        <f t="shared" si="169"/>
        <v>1_Post</v>
      </c>
      <c r="Z549" s="10" t="str">
        <f t="shared" si="170"/>
        <v>1_Post</v>
      </c>
      <c r="AA549" s="10" t="str">
        <f t="shared" si="175"/>
        <v>1_Post</v>
      </c>
      <c r="AB549" s="10" t="str">
        <f t="shared" si="176"/>
        <v>1_Post</v>
      </c>
      <c r="AC549" s="10" t="str">
        <f t="shared" si="177"/>
        <v>1_Post</v>
      </c>
      <c r="AD549" s="10" t="str">
        <f t="shared" si="178"/>
        <v>2_post sample median</v>
      </c>
      <c r="AE549" s="10" t="str">
        <f t="shared" si="179"/>
        <v>3_post sample third tertile</v>
      </c>
      <c r="AF549" t="s">
        <v>82</v>
      </c>
      <c r="AG549" t="s">
        <v>75</v>
      </c>
      <c r="AH549" t="s">
        <v>78</v>
      </c>
      <c r="AI549" t="s">
        <v>70</v>
      </c>
      <c r="AJ549" t="s">
        <v>70</v>
      </c>
      <c r="AK549" t="str">
        <f>VLOOKUP(MID($AR549,1,255),country_lookup!$B:$F,2,FALSE)</f>
        <v>99_NCE</v>
      </c>
      <c r="AL549" t="str">
        <f>VLOOKUP(MID($AR549,1,255),country_lookup!$B:$F,3,FALSE)</f>
        <v>99_NCE</v>
      </c>
      <c r="AM549" t="str">
        <f>VLOOKUP(MID($AR549,1,255),country_lookup!$B:$F,4,FALSE)</f>
        <v>99_NCE</v>
      </c>
      <c r="AN549" t="str">
        <f>VLOOKUP(MID($AR549,1,255),country_lookup!$B:$F,5,FALSE)</f>
        <v>99_NCE</v>
      </c>
      <c r="AO549" s="10" t="str">
        <f>VLOOKUP(MID($AS549,1,255),source_lookup!$B:$K,4,FALSE)</f>
        <v>0_published</v>
      </c>
      <c r="AP549" s="10" t="str">
        <f>VLOOKUP(MID($AS549,1,255),source_lookup!$B:$K,6,FALSE)</f>
        <v>1_VHB high</v>
      </c>
      <c r="AQ549" s="10" t="str">
        <f>VLOOKUP(MID($AS549,1,255),source_lookup!$B:$K,10,FALSE)</f>
        <v>1_fin/acc/econ</v>
      </c>
      <c r="AR549" t="s">
        <v>90</v>
      </c>
      <c r="AS549" t="s">
        <v>146</v>
      </c>
    </row>
    <row r="550" spans="1:45" x14ac:dyDescent="0.3">
      <c r="A550" t="s">
        <v>22</v>
      </c>
      <c r="B550">
        <v>549</v>
      </c>
      <c r="C550" s="1">
        <v>-1.2261164367018981E-3</v>
      </c>
      <c r="D550" s="2">
        <v>543</v>
      </c>
      <c r="E550" s="4">
        <v>543</v>
      </c>
      <c r="F550" s="4" t="s">
        <v>347</v>
      </c>
      <c r="G550" s="4" t="s">
        <v>346</v>
      </c>
      <c r="H550" t="s">
        <v>77</v>
      </c>
      <c r="I550" t="s">
        <v>352</v>
      </c>
      <c r="J550" s="3">
        <v>2020</v>
      </c>
      <c r="K550" s="3">
        <v>2020</v>
      </c>
      <c r="L550" s="6">
        <f t="shared" si="171"/>
        <v>2020</v>
      </c>
      <c r="M550" s="6">
        <f t="shared" si="172"/>
        <v>2020</v>
      </c>
      <c r="N550" s="7">
        <f t="shared" si="160"/>
        <v>1</v>
      </c>
      <c r="O550" s="7">
        <f t="shared" si="161"/>
        <v>1</v>
      </c>
      <c r="P550" s="7">
        <f t="shared" si="162"/>
        <v>1</v>
      </c>
      <c r="Q550" s="7">
        <f t="shared" si="173"/>
        <v>1</v>
      </c>
      <c r="R550" s="10" t="str">
        <f t="shared" si="163"/>
        <v>1_Post</v>
      </c>
      <c r="S550" s="10" t="str">
        <f t="shared" si="164"/>
        <v>1_Post</v>
      </c>
      <c r="T550" s="10" t="str">
        <f t="shared" si="165"/>
        <v>1_Post</v>
      </c>
      <c r="U550" s="10" t="str">
        <f t="shared" si="166"/>
        <v>1_Post</v>
      </c>
      <c r="V550" s="10" t="str">
        <f t="shared" si="174"/>
        <v>1_Post</v>
      </c>
      <c r="W550" s="10" t="str">
        <f t="shared" si="167"/>
        <v>clean_post</v>
      </c>
      <c r="X550" s="10" t="str">
        <f t="shared" si="168"/>
        <v>1_Post</v>
      </c>
      <c r="Y550" s="10" t="str">
        <f t="shared" si="169"/>
        <v>1_Post</v>
      </c>
      <c r="Z550" s="10" t="str">
        <f t="shared" si="170"/>
        <v>1_Post</v>
      </c>
      <c r="AA550" s="10" t="str">
        <f t="shared" si="175"/>
        <v>1_Post</v>
      </c>
      <c r="AB550" s="10" t="str">
        <f t="shared" si="176"/>
        <v>1_Post</v>
      </c>
      <c r="AC550" s="10" t="str">
        <f t="shared" si="177"/>
        <v>1_Post</v>
      </c>
      <c r="AD550" s="10" t="str">
        <f t="shared" si="178"/>
        <v>2_post sample median</v>
      </c>
      <c r="AE550" s="10" t="str">
        <f t="shared" si="179"/>
        <v>3_post sample third tertile</v>
      </c>
      <c r="AF550" t="s">
        <v>82</v>
      </c>
      <c r="AG550" t="s">
        <v>75</v>
      </c>
      <c r="AH550" t="s">
        <v>78</v>
      </c>
      <c r="AI550" t="s">
        <v>70</v>
      </c>
      <c r="AJ550" t="s">
        <v>70</v>
      </c>
      <c r="AK550" t="str">
        <f>VLOOKUP(MID($AR550,1,255),country_lookup!$B:$F,2,FALSE)</f>
        <v>99_NCE</v>
      </c>
      <c r="AL550" t="str">
        <f>VLOOKUP(MID($AR550,1,255),country_lookup!$B:$F,3,FALSE)</f>
        <v>99_NCE</v>
      </c>
      <c r="AM550" t="str">
        <f>VLOOKUP(MID($AR550,1,255),country_lookup!$B:$F,4,FALSE)</f>
        <v>99_NCE</v>
      </c>
      <c r="AN550" t="str">
        <f>VLOOKUP(MID($AR550,1,255),country_lookup!$B:$F,5,FALSE)</f>
        <v>99_NCE</v>
      </c>
      <c r="AO550" s="10" t="str">
        <f>VLOOKUP(MID($AS550,1,255),source_lookup!$B:$K,4,FALSE)</f>
        <v>0_published</v>
      </c>
      <c r="AP550" s="10" t="str">
        <f>VLOOKUP(MID($AS550,1,255),source_lookup!$B:$K,6,FALSE)</f>
        <v>1_VHB high</v>
      </c>
      <c r="AQ550" s="10" t="str">
        <f>VLOOKUP(MID($AS550,1,255),source_lookup!$B:$K,10,FALSE)</f>
        <v>1_fin/acc/econ</v>
      </c>
      <c r="AR550" t="s">
        <v>90</v>
      </c>
      <c r="AS550" t="s">
        <v>146</v>
      </c>
    </row>
    <row r="551" spans="1:45" x14ac:dyDescent="0.3">
      <c r="A551" t="s">
        <v>22</v>
      </c>
      <c r="B551">
        <v>550</v>
      </c>
      <c r="C551" s="1">
        <v>4.0231650225077296E-3</v>
      </c>
      <c r="D551" s="2">
        <v>543</v>
      </c>
      <c r="E551" s="4">
        <v>543</v>
      </c>
      <c r="F551" s="4" t="s">
        <v>347</v>
      </c>
      <c r="G551" s="4" t="s">
        <v>346</v>
      </c>
      <c r="H551" t="s">
        <v>77</v>
      </c>
      <c r="I551" t="s">
        <v>352</v>
      </c>
      <c r="J551" s="3">
        <v>2020</v>
      </c>
      <c r="K551" s="3">
        <v>2020</v>
      </c>
      <c r="L551" s="6">
        <f t="shared" si="171"/>
        <v>2020</v>
      </c>
      <c r="M551" s="6">
        <f t="shared" si="172"/>
        <v>2020</v>
      </c>
      <c r="N551" s="7">
        <f t="shared" si="160"/>
        <v>1</v>
      </c>
      <c r="O551" s="7">
        <f t="shared" si="161"/>
        <v>1</v>
      </c>
      <c r="P551" s="7">
        <f t="shared" si="162"/>
        <v>1</v>
      </c>
      <c r="Q551" s="7">
        <f t="shared" si="173"/>
        <v>1</v>
      </c>
      <c r="R551" s="10" t="str">
        <f t="shared" si="163"/>
        <v>1_Post</v>
      </c>
      <c r="S551" s="10" t="str">
        <f t="shared" si="164"/>
        <v>1_Post</v>
      </c>
      <c r="T551" s="10" t="str">
        <f t="shared" si="165"/>
        <v>1_Post</v>
      </c>
      <c r="U551" s="10" t="str">
        <f t="shared" si="166"/>
        <v>1_Post</v>
      </c>
      <c r="V551" s="10" t="str">
        <f t="shared" si="174"/>
        <v>1_Post</v>
      </c>
      <c r="W551" s="10" t="str">
        <f t="shared" si="167"/>
        <v>clean_post</v>
      </c>
      <c r="X551" s="10" t="str">
        <f t="shared" si="168"/>
        <v>1_Post</v>
      </c>
      <c r="Y551" s="10" t="str">
        <f t="shared" si="169"/>
        <v>1_Post</v>
      </c>
      <c r="Z551" s="10" t="str">
        <f t="shared" si="170"/>
        <v>1_Post</v>
      </c>
      <c r="AA551" s="10" t="str">
        <f t="shared" si="175"/>
        <v>1_Post</v>
      </c>
      <c r="AB551" s="10" t="str">
        <f t="shared" si="176"/>
        <v>1_Post</v>
      </c>
      <c r="AC551" s="10" t="str">
        <f t="shared" si="177"/>
        <v>1_Post</v>
      </c>
      <c r="AD551" s="10" t="str">
        <f t="shared" si="178"/>
        <v>2_post sample median</v>
      </c>
      <c r="AE551" s="10" t="str">
        <f t="shared" si="179"/>
        <v>3_post sample third tertile</v>
      </c>
      <c r="AF551" t="s">
        <v>82</v>
      </c>
      <c r="AG551" t="s">
        <v>75</v>
      </c>
      <c r="AH551" t="s">
        <v>78</v>
      </c>
      <c r="AI551" t="s">
        <v>70</v>
      </c>
      <c r="AJ551" t="s">
        <v>70</v>
      </c>
      <c r="AK551" t="str">
        <f>VLOOKUP(MID($AR551,1,255),country_lookup!$B:$F,2,FALSE)</f>
        <v>99_NCE</v>
      </c>
      <c r="AL551" t="str">
        <f>VLOOKUP(MID($AR551,1,255),country_lookup!$B:$F,3,FALSE)</f>
        <v>99_NCE</v>
      </c>
      <c r="AM551" t="str">
        <f>VLOOKUP(MID($AR551,1,255),country_lookup!$B:$F,4,FALSE)</f>
        <v>99_NCE</v>
      </c>
      <c r="AN551" t="str">
        <f>VLOOKUP(MID($AR551,1,255),country_lookup!$B:$F,5,FALSE)</f>
        <v>99_NCE</v>
      </c>
      <c r="AO551" s="10" t="str">
        <f>VLOOKUP(MID($AS551,1,255),source_lookup!$B:$K,4,FALSE)</f>
        <v>0_published</v>
      </c>
      <c r="AP551" s="10" t="str">
        <f>VLOOKUP(MID($AS551,1,255),source_lookup!$B:$K,6,FALSE)</f>
        <v>1_VHB high</v>
      </c>
      <c r="AQ551" s="10" t="str">
        <f>VLOOKUP(MID($AS551,1,255),source_lookup!$B:$K,10,FALSE)</f>
        <v>1_fin/acc/econ</v>
      </c>
      <c r="AR551" t="s">
        <v>90</v>
      </c>
      <c r="AS551" t="s">
        <v>146</v>
      </c>
    </row>
    <row r="552" spans="1:45" x14ac:dyDescent="0.3">
      <c r="A552" t="s">
        <v>23</v>
      </c>
      <c r="B552">
        <v>551</v>
      </c>
      <c r="C552" s="1">
        <v>-3.5999999999999997E-2</v>
      </c>
      <c r="D552" s="2">
        <v>73</v>
      </c>
      <c r="E552" s="4">
        <v>514</v>
      </c>
      <c r="F552" s="4" t="s">
        <v>346</v>
      </c>
      <c r="G552" s="4" t="s">
        <v>347</v>
      </c>
      <c r="H552" t="s">
        <v>76</v>
      </c>
      <c r="I552" t="s">
        <v>353</v>
      </c>
      <c r="J552" s="3">
        <v>2008</v>
      </c>
      <c r="K552" s="3">
        <v>2014</v>
      </c>
      <c r="L552" s="6">
        <f t="shared" si="171"/>
        <v>2011</v>
      </c>
      <c r="M552" s="6">
        <f t="shared" si="172"/>
        <v>2011</v>
      </c>
      <c r="N552" s="7">
        <f t="shared" si="160"/>
        <v>0</v>
      </c>
      <c r="O552" s="7">
        <f t="shared" si="161"/>
        <v>0</v>
      </c>
      <c r="P552" s="7">
        <f t="shared" si="162"/>
        <v>0</v>
      </c>
      <c r="Q552" s="7">
        <f t="shared" si="173"/>
        <v>0</v>
      </c>
      <c r="R552" s="10" t="str">
        <f t="shared" si="163"/>
        <v>0_Pre</v>
      </c>
      <c r="S552" s="10" t="str">
        <f t="shared" si="164"/>
        <v>0_Pre</v>
      </c>
      <c r="T552" s="10" t="str">
        <f t="shared" si="165"/>
        <v>0_Pre</v>
      </c>
      <c r="U552" s="10" t="str">
        <f t="shared" si="166"/>
        <v>0_Pre</v>
      </c>
      <c r="V552" s="10" t="str">
        <f t="shared" si="174"/>
        <v>0_Pre</v>
      </c>
      <c r="W552" s="10" t="str">
        <f t="shared" si="167"/>
        <v>clean_pre</v>
      </c>
      <c r="X552" s="10" t="str">
        <f t="shared" si="168"/>
        <v>0_Pre</v>
      </c>
      <c r="Y552" s="10" t="str">
        <f t="shared" si="169"/>
        <v>0_Pre</v>
      </c>
      <c r="Z552" s="10" t="str">
        <f t="shared" si="170"/>
        <v>0_Pre</v>
      </c>
      <c r="AA552" s="10" t="str">
        <f t="shared" si="175"/>
        <v>0_Pre</v>
      </c>
      <c r="AB552" s="10" t="str">
        <f t="shared" si="176"/>
        <v>0_Pre</v>
      </c>
      <c r="AC552" s="10" t="str">
        <f t="shared" si="177"/>
        <v>0_Pre</v>
      </c>
      <c r="AD552" s="10" t="str">
        <f t="shared" si="178"/>
        <v>1_pre sample median</v>
      </c>
      <c r="AE552" s="10" t="str">
        <f t="shared" si="179"/>
        <v>2_in sample second tertile</v>
      </c>
      <c r="AF552" t="s">
        <v>80</v>
      </c>
      <c r="AG552" t="s">
        <v>74</v>
      </c>
      <c r="AH552" t="s">
        <v>79</v>
      </c>
      <c r="AI552" t="s">
        <v>122</v>
      </c>
      <c r="AJ552" t="s">
        <v>123</v>
      </c>
      <c r="AK552" t="str">
        <f>VLOOKUP(MID($AR552,1,255),country_lookup!$B:$F,2,FALSE)</f>
        <v>3_AsiaPac</v>
      </c>
      <c r="AL552" t="str">
        <f>VLOOKUP(MID($AR552,1,255),country_lookup!$B:$F,3,FALSE)</f>
        <v>2_developing</v>
      </c>
      <c r="AM552" t="str">
        <f>VLOOKUP(MID($AR552,1,255),country_lookup!$B:$F,4,FALSE)</f>
        <v>2_non_western</v>
      </c>
      <c r="AN552" t="str">
        <f>VLOOKUP(MID($AR552,1,255),country_lookup!$B:$F,5,FALSE)</f>
        <v>2_civil law</v>
      </c>
      <c r="AO552" s="10" t="str">
        <f>VLOOKUP(MID($AS552,1,255),source_lookup!$B:$K,4,FALSE)</f>
        <v>0_published</v>
      </c>
      <c r="AP552" s="10" t="str">
        <f>VLOOKUP(MID($AS552,1,255),source_lookup!$B:$K,6,FALSE)</f>
        <v>1_VHB high</v>
      </c>
      <c r="AQ552" s="10" t="str">
        <f>VLOOKUP(MID($AS552,1,255),source_lookup!$B:$K,10,FALSE)</f>
        <v>1_fin/acc/econ</v>
      </c>
      <c r="AR552" t="s">
        <v>94</v>
      </c>
      <c r="AS552" t="s">
        <v>147</v>
      </c>
    </row>
    <row r="553" spans="1:45" x14ac:dyDescent="0.3">
      <c r="A553" t="s">
        <v>23</v>
      </c>
      <c r="B553">
        <v>552</v>
      </c>
      <c r="C553" s="1">
        <v>-0.40356715613563088</v>
      </c>
      <c r="D553" s="2">
        <v>73</v>
      </c>
      <c r="E553" s="4">
        <v>514</v>
      </c>
      <c r="F553" s="4" t="s">
        <v>346</v>
      </c>
      <c r="G553" s="4" t="s">
        <v>347</v>
      </c>
      <c r="H553" t="s">
        <v>77</v>
      </c>
      <c r="I553" t="s">
        <v>352</v>
      </c>
      <c r="J553" s="3">
        <v>2008</v>
      </c>
      <c r="K553" s="3">
        <v>2014</v>
      </c>
      <c r="L553" s="6">
        <f t="shared" si="171"/>
        <v>2011</v>
      </c>
      <c r="M553" s="6">
        <f t="shared" si="172"/>
        <v>2011</v>
      </c>
      <c r="N553" s="7">
        <f t="shared" si="160"/>
        <v>0</v>
      </c>
      <c r="O553" s="7">
        <f t="shared" si="161"/>
        <v>0</v>
      </c>
      <c r="P553" s="7">
        <f t="shared" si="162"/>
        <v>0</v>
      </c>
      <c r="Q553" s="7">
        <f t="shared" si="173"/>
        <v>0</v>
      </c>
      <c r="R553" s="10" t="str">
        <f t="shared" si="163"/>
        <v>0_Pre</v>
      </c>
      <c r="S553" s="10" t="str">
        <f t="shared" si="164"/>
        <v>0_Pre</v>
      </c>
      <c r="T553" s="10" t="str">
        <f t="shared" si="165"/>
        <v>0_Pre</v>
      </c>
      <c r="U553" s="10" t="str">
        <f t="shared" si="166"/>
        <v>0_Pre</v>
      </c>
      <c r="V553" s="10" t="str">
        <f t="shared" si="174"/>
        <v>0_Pre</v>
      </c>
      <c r="W553" s="10" t="str">
        <f t="shared" si="167"/>
        <v>clean_pre</v>
      </c>
      <c r="X553" s="10" t="str">
        <f t="shared" si="168"/>
        <v>0_Pre</v>
      </c>
      <c r="Y553" s="10" t="str">
        <f t="shared" si="169"/>
        <v>0_Pre</v>
      </c>
      <c r="Z553" s="10" t="str">
        <f t="shared" si="170"/>
        <v>0_Pre</v>
      </c>
      <c r="AA553" s="10" t="str">
        <f t="shared" si="175"/>
        <v>0_Pre</v>
      </c>
      <c r="AB553" s="10" t="str">
        <f t="shared" si="176"/>
        <v>0_Pre</v>
      </c>
      <c r="AC553" s="10" t="str">
        <f t="shared" si="177"/>
        <v>0_Pre</v>
      </c>
      <c r="AD553" s="10" t="str">
        <f t="shared" si="178"/>
        <v>1_pre sample median</v>
      </c>
      <c r="AE553" s="10" t="str">
        <f t="shared" si="179"/>
        <v>2_in sample second tertile</v>
      </c>
      <c r="AF553" t="s">
        <v>80</v>
      </c>
      <c r="AG553" t="s">
        <v>74</v>
      </c>
      <c r="AH553" t="s">
        <v>79</v>
      </c>
      <c r="AI553" t="s">
        <v>122</v>
      </c>
      <c r="AJ553" t="s">
        <v>123</v>
      </c>
      <c r="AK553" t="str">
        <f>VLOOKUP(MID($AR553,1,255),country_lookup!$B:$F,2,FALSE)</f>
        <v>3_AsiaPac</v>
      </c>
      <c r="AL553" t="str">
        <f>VLOOKUP(MID($AR553,1,255),country_lookup!$B:$F,3,FALSE)</f>
        <v>2_developing</v>
      </c>
      <c r="AM553" t="str">
        <f>VLOOKUP(MID($AR553,1,255),country_lookup!$B:$F,4,FALSE)</f>
        <v>2_non_western</v>
      </c>
      <c r="AN553" t="str">
        <f>VLOOKUP(MID($AR553,1,255),country_lookup!$B:$F,5,FALSE)</f>
        <v>2_civil law</v>
      </c>
      <c r="AO553" s="10" t="str">
        <f>VLOOKUP(MID($AS553,1,255),source_lookup!$B:$K,4,FALSE)</f>
        <v>0_published</v>
      </c>
      <c r="AP553" s="10" t="str">
        <f>VLOOKUP(MID($AS553,1,255),source_lookup!$B:$K,6,FALSE)</f>
        <v>1_VHB high</v>
      </c>
      <c r="AQ553" s="10" t="str">
        <f>VLOOKUP(MID($AS553,1,255),source_lookup!$B:$K,10,FALSE)</f>
        <v>1_fin/acc/econ</v>
      </c>
      <c r="AR553" t="s">
        <v>94</v>
      </c>
      <c r="AS553" t="s">
        <v>147</v>
      </c>
    </row>
    <row r="554" spans="1:45" x14ac:dyDescent="0.3">
      <c r="A554" t="s">
        <v>23</v>
      </c>
      <c r="B554">
        <v>553</v>
      </c>
      <c r="C554" s="1">
        <v>-0.40356715613563088</v>
      </c>
      <c r="D554" s="2">
        <v>73</v>
      </c>
      <c r="E554" s="4">
        <v>514</v>
      </c>
      <c r="F554" s="4" t="s">
        <v>346</v>
      </c>
      <c r="G554" s="4" t="s">
        <v>347</v>
      </c>
      <c r="H554" t="s">
        <v>77</v>
      </c>
      <c r="I554" t="s">
        <v>352</v>
      </c>
      <c r="J554" s="3">
        <v>2008</v>
      </c>
      <c r="K554" s="3">
        <v>2014</v>
      </c>
      <c r="L554" s="6">
        <f t="shared" si="171"/>
        <v>2011</v>
      </c>
      <c r="M554" s="6">
        <f t="shared" si="172"/>
        <v>2011</v>
      </c>
      <c r="N554" s="7">
        <f t="shared" si="160"/>
        <v>0</v>
      </c>
      <c r="O554" s="7">
        <f t="shared" si="161"/>
        <v>0</v>
      </c>
      <c r="P554" s="7">
        <f t="shared" si="162"/>
        <v>0</v>
      </c>
      <c r="Q554" s="7">
        <f t="shared" si="173"/>
        <v>0</v>
      </c>
      <c r="R554" s="10" t="str">
        <f t="shared" si="163"/>
        <v>0_Pre</v>
      </c>
      <c r="S554" s="10" t="str">
        <f t="shared" si="164"/>
        <v>0_Pre</v>
      </c>
      <c r="T554" s="10" t="str">
        <f t="shared" si="165"/>
        <v>0_Pre</v>
      </c>
      <c r="U554" s="10" t="str">
        <f t="shared" si="166"/>
        <v>0_Pre</v>
      </c>
      <c r="V554" s="10" t="str">
        <f t="shared" si="174"/>
        <v>0_Pre</v>
      </c>
      <c r="W554" s="10" t="str">
        <f t="shared" si="167"/>
        <v>clean_pre</v>
      </c>
      <c r="X554" s="10" t="str">
        <f t="shared" si="168"/>
        <v>0_Pre</v>
      </c>
      <c r="Y554" s="10" t="str">
        <f t="shared" si="169"/>
        <v>0_Pre</v>
      </c>
      <c r="Z554" s="10" t="str">
        <f t="shared" si="170"/>
        <v>0_Pre</v>
      </c>
      <c r="AA554" s="10" t="str">
        <f t="shared" si="175"/>
        <v>0_Pre</v>
      </c>
      <c r="AB554" s="10" t="str">
        <f t="shared" si="176"/>
        <v>0_Pre</v>
      </c>
      <c r="AC554" s="10" t="str">
        <f t="shared" si="177"/>
        <v>0_Pre</v>
      </c>
      <c r="AD554" s="10" t="str">
        <f t="shared" si="178"/>
        <v>1_pre sample median</v>
      </c>
      <c r="AE554" s="10" t="str">
        <f t="shared" si="179"/>
        <v>2_in sample second tertile</v>
      </c>
      <c r="AF554" t="s">
        <v>80</v>
      </c>
      <c r="AG554" t="s">
        <v>74</v>
      </c>
      <c r="AH554" t="s">
        <v>79</v>
      </c>
      <c r="AI554" t="s">
        <v>122</v>
      </c>
      <c r="AJ554" t="s">
        <v>123</v>
      </c>
      <c r="AK554" t="str">
        <f>VLOOKUP(MID($AR554,1,255),country_lookup!$B:$F,2,FALSE)</f>
        <v>3_AsiaPac</v>
      </c>
      <c r="AL554" t="str">
        <f>VLOOKUP(MID($AR554,1,255),country_lookup!$B:$F,3,FALSE)</f>
        <v>2_developing</v>
      </c>
      <c r="AM554" t="str">
        <f>VLOOKUP(MID($AR554,1,255),country_lookup!$B:$F,4,FALSE)</f>
        <v>2_non_western</v>
      </c>
      <c r="AN554" t="str">
        <f>VLOOKUP(MID($AR554,1,255),country_lookup!$B:$F,5,FALSE)</f>
        <v>2_civil law</v>
      </c>
      <c r="AO554" s="10" t="str">
        <f>VLOOKUP(MID($AS554,1,255),source_lookup!$B:$K,4,FALSE)</f>
        <v>0_published</v>
      </c>
      <c r="AP554" s="10" t="str">
        <f>VLOOKUP(MID($AS554,1,255),source_lookup!$B:$K,6,FALSE)</f>
        <v>1_VHB high</v>
      </c>
      <c r="AQ554" s="10" t="str">
        <f>VLOOKUP(MID($AS554,1,255),source_lookup!$B:$K,10,FALSE)</f>
        <v>1_fin/acc/econ</v>
      </c>
      <c r="AR554" t="s">
        <v>94</v>
      </c>
      <c r="AS554" t="s">
        <v>147</v>
      </c>
    </row>
    <row r="555" spans="1:45" x14ac:dyDescent="0.3">
      <c r="A555" t="s">
        <v>23</v>
      </c>
      <c r="B555">
        <v>554</v>
      </c>
      <c r="C555" s="1">
        <v>-0.40356715613563088</v>
      </c>
      <c r="D555" s="2">
        <v>73</v>
      </c>
      <c r="E555" s="4">
        <v>514</v>
      </c>
      <c r="F555" s="4" t="s">
        <v>346</v>
      </c>
      <c r="G555" s="4" t="s">
        <v>347</v>
      </c>
      <c r="H555" t="s">
        <v>77</v>
      </c>
      <c r="I555" t="s">
        <v>352</v>
      </c>
      <c r="J555" s="3">
        <v>2008</v>
      </c>
      <c r="K555" s="3">
        <v>2014</v>
      </c>
      <c r="L555" s="6">
        <f t="shared" si="171"/>
        <v>2011</v>
      </c>
      <c r="M555" s="6">
        <f t="shared" si="172"/>
        <v>2011</v>
      </c>
      <c r="N555" s="7">
        <f t="shared" si="160"/>
        <v>0</v>
      </c>
      <c r="O555" s="7">
        <f t="shared" si="161"/>
        <v>0</v>
      </c>
      <c r="P555" s="7">
        <f t="shared" si="162"/>
        <v>0</v>
      </c>
      <c r="Q555" s="7">
        <f t="shared" si="173"/>
        <v>0</v>
      </c>
      <c r="R555" s="10" t="str">
        <f t="shared" si="163"/>
        <v>0_Pre</v>
      </c>
      <c r="S555" s="10" t="str">
        <f t="shared" si="164"/>
        <v>0_Pre</v>
      </c>
      <c r="T555" s="10" t="str">
        <f t="shared" si="165"/>
        <v>0_Pre</v>
      </c>
      <c r="U555" s="10" t="str">
        <f t="shared" si="166"/>
        <v>0_Pre</v>
      </c>
      <c r="V555" s="10" t="str">
        <f t="shared" si="174"/>
        <v>0_Pre</v>
      </c>
      <c r="W555" s="10" t="str">
        <f t="shared" si="167"/>
        <v>clean_pre</v>
      </c>
      <c r="X555" s="10" t="str">
        <f t="shared" si="168"/>
        <v>0_Pre</v>
      </c>
      <c r="Y555" s="10" t="str">
        <f t="shared" si="169"/>
        <v>0_Pre</v>
      </c>
      <c r="Z555" s="10" t="str">
        <f t="shared" si="170"/>
        <v>0_Pre</v>
      </c>
      <c r="AA555" s="10" t="str">
        <f t="shared" si="175"/>
        <v>0_Pre</v>
      </c>
      <c r="AB555" s="10" t="str">
        <f t="shared" si="176"/>
        <v>0_Pre</v>
      </c>
      <c r="AC555" s="10" t="str">
        <f t="shared" si="177"/>
        <v>0_Pre</v>
      </c>
      <c r="AD555" s="10" t="str">
        <f t="shared" si="178"/>
        <v>1_pre sample median</v>
      </c>
      <c r="AE555" s="10" t="str">
        <f t="shared" si="179"/>
        <v>2_in sample second tertile</v>
      </c>
      <c r="AF555" t="s">
        <v>80</v>
      </c>
      <c r="AG555" t="s">
        <v>74</v>
      </c>
      <c r="AH555" t="s">
        <v>79</v>
      </c>
      <c r="AI555" t="s">
        <v>122</v>
      </c>
      <c r="AJ555" t="s">
        <v>123</v>
      </c>
      <c r="AK555" t="str">
        <f>VLOOKUP(MID($AR555,1,255),country_lookup!$B:$F,2,FALSE)</f>
        <v>3_AsiaPac</v>
      </c>
      <c r="AL555" t="str">
        <f>VLOOKUP(MID($AR555,1,255),country_lookup!$B:$F,3,FALSE)</f>
        <v>2_developing</v>
      </c>
      <c r="AM555" t="str">
        <f>VLOOKUP(MID($AR555,1,255),country_lookup!$B:$F,4,FALSE)</f>
        <v>2_non_western</v>
      </c>
      <c r="AN555" t="str">
        <f>VLOOKUP(MID($AR555,1,255),country_lookup!$B:$F,5,FALSE)</f>
        <v>2_civil law</v>
      </c>
      <c r="AO555" s="10" t="str">
        <f>VLOOKUP(MID($AS555,1,255),source_lookup!$B:$K,4,FALSE)</f>
        <v>0_published</v>
      </c>
      <c r="AP555" s="10" t="str">
        <f>VLOOKUP(MID($AS555,1,255),source_lookup!$B:$K,6,FALSE)</f>
        <v>1_VHB high</v>
      </c>
      <c r="AQ555" s="10" t="str">
        <f>VLOOKUP(MID($AS555,1,255),source_lookup!$B:$K,10,FALSE)</f>
        <v>1_fin/acc/econ</v>
      </c>
      <c r="AR555" t="s">
        <v>94</v>
      </c>
      <c r="AS555" t="s">
        <v>147</v>
      </c>
    </row>
    <row r="556" spans="1:45" x14ac:dyDescent="0.3">
      <c r="A556" t="s">
        <v>23</v>
      </c>
      <c r="B556">
        <v>555</v>
      </c>
      <c r="C556" s="1">
        <v>0.17374889710522776</v>
      </c>
      <c r="D556" s="2">
        <v>73</v>
      </c>
      <c r="E556" s="4">
        <v>514</v>
      </c>
      <c r="F556" s="4" t="s">
        <v>346</v>
      </c>
      <c r="G556" s="4" t="s">
        <v>347</v>
      </c>
      <c r="H556" t="s">
        <v>77</v>
      </c>
      <c r="I556" t="s">
        <v>352</v>
      </c>
      <c r="J556" s="3">
        <v>2008</v>
      </c>
      <c r="K556" s="3">
        <v>2014</v>
      </c>
      <c r="L556" s="6">
        <f t="shared" si="171"/>
        <v>2011</v>
      </c>
      <c r="M556" s="6">
        <f t="shared" si="172"/>
        <v>2011</v>
      </c>
      <c r="N556" s="7">
        <f t="shared" si="160"/>
        <v>0</v>
      </c>
      <c r="O556" s="7">
        <f t="shared" si="161"/>
        <v>0</v>
      </c>
      <c r="P556" s="7">
        <f t="shared" si="162"/>
        <v>0</v>
      </c>
      <c r="Q556" s="7">
        <f t="shared" si="173"/>
        <v>0</v>
      </c>
      <c r="R556" s="10" t="str">
        <f t="shared" si="163"/>
        <v>0_Pre</v>
      </c>
      <c r="S556" s="10" t="str">
        <f t="shared" si="164"/>
        <v>0_Pre</v>
      </c>
      <c r="T556" s="10" t="str">
        <f t="shared" si="165"/>
        <v>0_Pre</v>
      </c>
      <c r="U556" s="10" t="str">
        <f t="shared" si="166"/>
        <v>0_Pre</v>
      </c>
      <c r="V556" s="10" t="str">
        <f t="shared" si="174"/>
        <v>0_Pre</v>
      </c>
      <c r="W556" s="10" t="str">
        <f t="shared" si="167"/>
        <v>clean_pre</v>
      </c>
      <c r="X556" s="10" t="str">
        <f t="shared" si="168"/>
        <v>0_Pre</v>
      </c>
      <c r="Y556" s="10" t="str">
        <f t="shared" si="169"/>
        <v>0_Pre</v>
      </c>
      <c r="Z556" s="10" t="str">
        <f t="shared" si="170"/>
        <v>0_Pre</v>
      </c>
      <c r="AA556" s="10" t="str">
        <f t="shared" si="175"/>
        <v>0_Pre</v>
      </c>
      <c r="AB556" s="10" t="str">
        <f t="shared" si="176"/>
        <v>0_Pre</v>
      </c>
      <c r="AC556" s="10" t="str">
        <f t="shared" si="177"/>
        <v>0_Pre</v>
      </c>
      <c r="AD556" s="10" t="str">
        <f t="shared" si="178"/>
        <v>1_pre sample median</v>
      </c>
      <c r="AE556" s="10" t="str">
        <f t="shared" si="179"/>
        <v>2_in sample second tertile</v>
      </c>
      <c r="AF556" t="s">
        <v>80</v>
      </c>
      <c r="AG556" t="s">
        <v>74</v>
      </c>
      <c r="AH556" t="s">
        <v>79</v>
      </c>
      <c r="AI556" t="s">
        <v>122</v>
      </c>
      <c r="AJ556" t="s">
        <v>123</v>
      </c>
      <c r="AK556" t="str">
        <f>VLOOKUP(MID($AR556,1,255),country_lookup!$B:$F,2,FALSE)</f>
        <v>3_AsiaPac</v>
      </c>
      <c r="AL556" t="str">
        <f>VLOOKUP(MID($AR556,1,255),country_lookup!$B:$F,3,FALSE)</f>
        <v>2_developing</v>
      </c>
      <c r="AM556" t="str">
        <f>VLOOKUP(MID($AR556,1,255),country_lookup!$B:$F,4,FALSE)</f>
        <v>2_non_western</v>
      </c>
      <c r="AN556" t="str">
        <f>VLOOKUP(MID($AR556,1,255),country_lookup!$B:$F,5,FALSE)</f>
        <v>2_civil law</v>
      </c>
      <c r="AO556" s="10" t="str">
        <f>VLOOKUP(MID($AS556,1,255),source_lookup!$B:$K,4,FALSE)</f>
        <v>0_published</v>
      </c>
      <c r="AP556" s="10" t="str">
        <f>VLOOKUP(MID($AS556,1,255),source_lookup!$B:$K,6,FALSE)</f>
        <v>1_VHB high</v>
      </c>
      <c r="AQ556" s="10" t="str">
        <f>VLOOKUP(MID($AS556,1,255),source_lookup!$B:$K,10,FALSE)</f>
        <v>1_fin/acc/econ</v>
      </c>
      <c r="AR556" t="s">
        <v>94</v>
      </c>
      <c r="AS556" t="s">
        <v>147</v>
      </c>
    </row>
    <row r="557" spans="1:45" x14ac:dyDescent="0.3">
      <c r="A557" t="s">
        <v>23</v>
      </c>
      <c r="B557">
        <v>556</v>
      </c>
      <c r="C557" s="1">
        <v>0.17374889710522776</v>
      </c>
      <c r="D557" s="2">
        <v>73</v>
      </c>
      <c r="E557" s="4">
        <v>514</v>
      </c>
      <c r="F557" s="4" t="s">
        <v>346</v>
      </c>
      <c r="G557" s="4" t="s">
        <v>347</v>
      </c>
      <c r="H557" t="s">
        <v>77</v>
      </c>
      <c r="I557" t="s">
        <v>352</v>
      </c>
      <c r="J557" s="3">
        <v>2008</v>
      </c>
      <c r="K557" s="3">
        <v>2014</v>
      </c>
      <c r="L557" s="6">
        <f t="shared" si="171"/>
        <v>2011</v>
      </c>
      <c r="M557" s="6">
        <f t="shared" si="172"/>
        <v>2011</v>
      </c>
      <c r="N557" s="7">
        <f t="shared" si="160"/>
        <v>0</v>
      </c>
      <c r="O557" s="7">
        <f t="shared" si="161"/>
        <v>0</v>
      </c>
      <c r="P557" s="7">
        <f t="shared" si="162"/>
        <v>0</v>
      </c>
      <c r="Q557" s="7">
        <f t="shared" si="173"/>
        <v>0</v>
      </c>
      <c r="R557" s="10" t="str">
        <f t="shared" si="163"/>
        <v>0_Pre</v>
      </c>
      <c r="S557" s="10" t="str">
        <f t="shared" si="164"/>
        <v>0_Pre</v>
      </c>
      <c r="T557" s="10" t="str">
        <f t="shared" si="165"/>
        <v>0_Pre</v>
      </c>
      <c r="U557" s="10" t="str">
        <f t="shared" si="166"/>
        <v>0_Pre</v>
      </c>
      <c r="V557" s="10" t="str">
        <f t="shared" si="174"/>
        <v>0_Pre</v>
      </c>
      <c r="W557" s="10" t="str">
        <f t="shared" si="167"/>
        <v>clean_pre</v>
      </c>
      <c r="X557" s="10" t="str">
        <f t="shared" si="168"/>
        <v>0_Pre</v>
      </c>
      <c r="Y557" s="10" t="str">
        <f t="shared" si="169"/>
        <v>0_Pre</v>
      </c>
      <c r="Z557" s="10" t="str">
        <f t="shared" si="170"/>
        <v>0_Pre</v>
      </c>
      <c r="AA557" s="10" t="str">
        <f t="shared" si="175"/>
        <v>0_Pre</v>
      </c>
      <c r="AB557" s="10" t="str">
        <f t="shared" si="176"/>
        <v>0_Pre</v>
      </c>
      <c r="AC557" s="10" t="str">
        <f t="shared" si="177"/>
        <v>0_Pre</v>
      </c>
      <c r="AD557" s="10" t="str">
        <f t="shared" si="178"/>
        <v>1_pre sample median</v>
      </c>
      <c r="AE557" s="10" t="str">
        <f t="shared" si="179"/>
        <v>2_in sample second tertile</v>
      </c>
      <c r="AF557" t="s">
        <v>80</v>
      </c>
      <c r="AG557" t="s">
        <v>74</v>
      </c>
      <c r="AH557" t="s">
        <v>79</v>
      </c>
      <c r="AI557" t="s">
        <v>122</v>
      </c>
      <c r="AJ557" t="s">
        <v>123</v>
      </c>
      <c r="AK557" t="str">
        <f>VLOOKUP(MID($AR557,1,255),country_lookup!$B:$F,2,FALSE)</f>
        <v>3_AsiaPac</v>
      </c>
      <c r="AL557" t="str">
        <f>VLOOKUP(MID($AR557,1,255),country_lookup!$B:$F,3,FALSE)</f>
        <v>2_developing</v>
      </c>
      <c r="AM557" t="str">
        <f>VLOOKUP(MID($AR557,1,255),country_lookup!$B:$F,4,FALSE)</f>
        <v>2_non_western</v>
      </c>
      <c r="AN557" t="str">
        <f>VLOOKUP(MID($AR557,1,255),country_lookup!$B:$F,5,FALSE)</f>
        <v>2_civil law</v>
      </c>
      <c r="AO557" s="10" t="str">
        <f>VLOOKUP(MID($AS557,1,255),source_lookup!$B:$K,4,FALSE)</f>
        <v>0_published</v>
      </c>
      <c r="AP557" s="10" t="str">
        <f>VLOOKUP(MID($AS557,1,255),source_lookup!$B:$K,6,FALSE)</f>
        <v>1_VHB high</v>
      </c>
      <c r="AQ557" s="10" t="str">
        <f>VLOOKUP(MID($AS557,1,255),source_lookup!$B:$K,10,FALSE)</f>
        <v>1_fin/acc/econ</v>
      </c>
      <c r="AR557" t="s">
        <v>94</v>
      </c>
      <c r="AS557" t="s">
        <v>147</v>
      </c>
    </row>
    <row r="558" spans="1:45" x14ac:dyDescent="0.3">
      <c r="A558" t="s">
        <v>23</v>
      </c>
      <c r="B558">
        <v>557</v>
      </c>
      <c r="C558" s="1">
        <v>0.13118084083398779</v>
      </c>
      <c r="D558" s="2">
        <v>73</v>
      </c>
      <c r="E558" s="4">
        <v>514</v>
      </c>
      <c r="F558" s="4" t="s">
        <v>346</v>
      </c>
      <c r="G558" s="4" t="s">
        <v>347</v>
      </c>
      <c r="H558" t="s">
        <v>77</v>
      </c>
      <c r="I558" t="s">
        <v>352</v>
      </c>
      <c r="J558" s="3">
        <v>2008</v>
      </c>
      <c r="K558" s="3">
        <v>2014</v>
      </c>
      <c r="L558" s="6">
        <f t="shared" si="171"/>
        <v>2011</v>
      </c>
      <c r="M558" s="6">
        <f t="shared" si="172"/>
        <v>2011</v>
      </c>
      <c r="N558" s="7">
        <f t="shared" si="160"/>
        <v>0</v>
      </c>
      <c r="O558" s="7">
        <f t="shared" si="161"/>
        <v>0</v>
      </c>
      <c r="P558" s="7">
        <f t="shared" si="162"/>
        <v>0</v>
      </c>
      <c r="Q558" s="7">
        <f t="shared" si="173"/>
        <v>0</v>
      </c>
      <c r="R558" s="10" t="str">
        <f t="shared" si="163"/>
        <v>0_Pre</v>
      </c>
      <c r="S558" s="10" t="str">
        <f t="shared" si="164"/>
        <v>0_Pre</v>
      </c>
      <c r="T558" s="10" t="str">
        <f t="shared" si="165"/>
        <v>0_Pre</v>
      </c>
      <c r="U558" s="10" t="str">
        <f t="shared" si="166"/>
        <v>0_Pre</v>
      </c>
      <c r="V558" s="10" t="str">
        <f t="shared" si="174"/>
        <v>0_Pre</v>
      </c>
      <c r="W558" s="10" t="str">
        <f t="shared" si="167"/>
        <v>clean_pre</v>
      </c>
      <c r="X558" s="10" t="str">
        <f t="shared" si="168"/>
        <v>0_Pre</v>
      </c>
      <c r="Y558" s="10" t="str">
        <f t="shared" si="169"/>
        <v>0_Pre</v>
      </c>
      <c r="Z558" s="10" t="str">
        <f t="shared" si="170"/>
        <v>0_Pre</v>
      </c>
      <c r="AA558" s="10" t="str">
        <f t="shared" si="175"/>
        <v>0_Pre</v>
      </c>
      <c r="AB558" s="10" t="str">
        <f t="shared" si="176"/>
        <v>0_Pre</v>
      </c>
      <c r="AC558" s="10" t="str">
        <f t="shared" si="177"/>
        <v>0_Pre</v>
      </c>
      <c r="AD558" s="10" t="str">
        <f t="shared" si="178"/>
        <v>1_pre sample median</v>
      </c>
      <c r="AE558" s="10" t="str">
        <f t="shared" si="179"/>
        <v>2_in sample second tertile</v>
      </c>
      <c r="AF558" t="s">
        <v>80</v>
      </c>
      <c r="AG558" t="s">
        <v>74</v>
      </c>
      <c r="AH558" t="s">
        <v>79</v>
      </c>
      <c r="AI558" t="s">
        <v>122</v>
      </c>
      <c r="AJ558" t="s">
        <v>123</v>
      </c>
      <c r="AK558" t="str">
        <f>VLOOKUP(MID($AR558,1,255),country_lookup!$B:$F,2,FALSE)</f>
        <v>3_AsiaPac</v>
      </c>
      <c r="AL558" t="str">
        <f>VLOOKUP(MID($AR558,1,255),country_lookup!$B:$F,3,FALSE)</f>
        <v>2_developing</v>
      </c>
      <c r="AM558" t="str">
        <f>VLOOKUP(MID($AR558,1,255),country_lookup!$B:$F,4,FALSE)</f>
        <v>2_non_western</v>
      </c>
      <c r="AN558" t="str">
        <f>VLOOKUP(MID($AR558,1,255),country_lookup!$B:$F,5,FALSE)</f>
        <v>2_civil law</v>
      </c>
      <c r="AO558" s="10" t="str">
        <f>VLOOKUP(MID($AS558,1,255),source_lookup!$B:$K,4,FALSE)</f>
        <v>0_published</v>
      </c>
      <c r="AP558" s="10" t="str">
        <f>VLOOKUP(MID($AS558,1,255),source_lookup!$B:$K,6,FALSE)</f>
        <v>1_VHB high</v>
      </c>
      <c r="AQ558" s="10" t="str">
        <f>VLOOKUP(MID($AS558,1,255),source_lookup!$B:$K,10,FALSE)</f>
        <v>1_fin/acc/econ</v>
      </c>
      <c r="AR558" t="s">
        <v>94</v>
      </c>
      <c r="AS558" t="s">
        <v>147</v>
      </c>
    </row>
    <row r="559" spans="1:45" x14ac:dyDescent="0.3">
      <c r="A559" t="s">
        <v>23</v>
      </c>
      <c r="B559">
        <v>558</v>
      </c>
      <c r="C559" s="1">
        <v>2.645560249723521E-2</v>
      </c>
      <c r="D559" s="2">
        <v>73</v>
      </c>
      <c r="E559" s="4">
        <v>514</v>
      </c>
      <c r="F559" s="4" t="s">
        <v>346</v>
      </c>
      <c r="G559" s="4" t="s">
        <v>347</v>
      </c>
      <c r="H559" t="s">
        <v>77</v>
      </c>
      <c r="I559" t="s">
        <v>352</v>
      </c>
      <c r="J559" s="3">
        <v>2008</v>
      </c>
      <c r="K559" s="3">
        <v>2014</v>
      </c>
      <c r="L559" s="6">
        <f t="shared" si="171"/>
        <v>2011</v>
      </c>
      <c r="M559" s="6">
        <f t="shared" si="172"/>
        <v>2011</v>
      </c>
      <c r="N559" s="7">
        <f t="shared" si="160"/>
        <v>0</v>
      </c>
      <c r="O559" s="7">
        <f t="shared" si="161"/>
        <v>0</v>
      </c>
      <c r="P559" s="7">
        <f t="shared" si="162"/>
        <v>0</v>
      </c>
      <c r="Q559" s="7">
        <f t="shared" si="173"/>
        <v>0</v>
      </c>
      <c r="R559" s="10" t="str">
        <f t="shared" si="163"/>
        <v>0_Pre</v>
      </c>
      <c r="S559" s="10" t="str">
        <f t="shared" si="164"/>
        <v>0_Pre</v>
      </c>
      <c r="T559" s="10" t="str">
        <f t="shared" si="165"/>
        <v>0_Pre</v>
      </c>
      <c r="U559" s="10" t="str">
        <f t="shared" si="166"/>
        <v>0_Pre</v>
      </c>
      <c r="V559" s="10" t="str">
        <f t="shared" si="174"/>
        <v>0_Pre</v>
      </c>
      <c r="W559" s="10" t="str">
        <f t="shared" si="167"/>
        <v>clean_pre</v>
      </c>
      <c r="X559" s="10" t="str">
        <f t="shared" si="168"/>
        <v>0_Pre</v>
      </c>
      <c r="Y559" s="10" t="str">
        <f t="shared" si="169"/>
        <v>0_Pre</v>
      </c>
      <c r="Z559" s="10" t="str">
        <f t="shared" si="170"/>
        <v>0_Pre</v>
      </c>
      <c r="AA559" s="10" t="str">
        <f t="shared" si="175"/>
        <v>0_Pre</v>
      </c>
      <c r="AB559" s="10" t="str">
        <f t="shared" si="176"/>
        <v>0_Pre</v>
      </c>
      <c r="AC559" s="10" t="str">
        <f t="shared" si="177"/>
        <v>0_Pre</v>
      </c>
      <c r="AD559" s="10" t="str">
        <f t="shared" si="178"/>
        <v>1_pre sample median</v>
      </c>
      <c r="AE559" s="10" t="str">
        <f t="shared" si="179"/>
        <v>2_in sample second tertile</v>
      </c>
      <c r="AF559" t="s">
        <v>80</v>
      </c>
      <c r="AG559" t="s">
        <v>74</v>
      </c>
      <c r="AH559" t="s">
        <v>79</v>
      </c>
      <c r="AI559" t="s">
        <v>122</v>
      </c>
      <c r="AJ559" t="s">
        <v>123</v>
      </c>
      <c r="AK559" t="str">
        <f>VLOOKUP(MID($AR559,1,255),country_lookup!$B:$F,2,FALSE)</f>
        <v>3_AsiaPac</v>
      </c>
      <c r="AL559" t="str">
        <f>VLOOKUP(MID($AR559,1,255),country_lookup!$B:$F,3,FALSE)</f>
        <v>2_developing</v>
      </c>
      <c r="AM559" t="str">
        <f>VLOOKUP(MID($AR559,1,255),country_lookup!$B:$F,4,FALSE)</f>
        <v>2_non_western</v>
      </c>
      <c r="AN559" t="str">
        <f>VLOOKUP(MID($AR559,1,255),country_lookup!$B:$F,5,FALSE)</f>
        <v>2_civil law</v>
      </c>
      <c r="AO559" s="10" t="str">
        <f>VLOOKUP(MID($AS559,1,255),source_lookup!$B:$K,4,FALSE)</f>
        <v>0_published</v>
      </c>
      <c r="AP559" s="10" t="str">
        <f>VLOOKUP(MID($AS559,1,255),source_lookup!$B:$K,6,FALSE)</f>
        <v>1_VHB high</v>
      </c>
      <c r="AQ559" s="10" t="str">
        <f>VLOOKUP(MID($AS559,1,255),source_lookup!$B:$K,10,FALSE)</f>
        <v>1_fin/acc/econ</v>
      </c>
      <c r="AR559" t="s">
        <v>94</v>
      </c>
      <c r="AS559" t="s">
        <v>147</v>
      </c>
    </row>
    <row r="560" spans="1:45" x14ac:dyDescent="0.3">
      <c r="A560" t="s">
        <v>23</v>
      </c>
      <c r="B560">
        <v>559</v>
      </c>
      <c r="C560" s="1">
        <v>2.5196631687449511E-2</v>
      </c>
      <c r="D560" s="2">
        <v>73</v>
      </c>
      <c r="E560" s="4">
        <v>514</v>
      </c>
      <c r="F560" s="4" t="s">
        <v>346</v>
      </c>
      <c r="G560" s="4" t="s">
        <v>347</v>
      </c>
      <c r="H560" t="s">
        <v>77</v>
      </c>
      <c r="I560" t="s">
        <v>352</v>
      </c>
      <c r="J560" s="3">
        <v>2008</v>
      </c>
      <c r="K560" s="3">
        <v>2014</v>
      </c>
      <c r="L560" s="6">
        <f t="shared" si="171"/>
        <v>2011</v>
      </c>
      <c r="M560" s="6">
        <f t="shared" si="172"/>
        <v>2011</v>
      </c>
      <c r="N560" s="7">
        <f t="shared" si="160"/>
        <v>0</v>
      </c>
      <c r="O560" s="7">
        <f t="shared" si="161"/>
        <v>0</v>
      </c>
      <c r="P560" s="7">
        <f t="shared" si="162"/>
        <v>0</v>
      </c>
      <c r="Q560" s="7">
        <f t="shared" si="173"/>
        <v>0</v>
      </c>
      <c r="R560" s="10" t="str">
        <f t="shared" si="163"/>
        <v>0_Pre</v>
      </c>
      <c r="S560" s="10" t="str">
        <f t="shared" si="164"/>
        <v>0_Pre</v>
      </c>
      <c r="T560" s="10" t="str">
        <f t="shared" si="165"/>
        <v>0_Pre</v>
      </c>
      <c r="U560" s="10" t="str">
        <f t="shared" si="166"/>
        <v>0_Pre</v>
      </c>
      <c r="V560" s="10" t="str">
        <f t="shared" si="174"/>
        <v>0_Pre</v>
      </c>
      <c r="W560" s="10" t="str">
        <f t="shared" si="167"/>
        <v>clean_pre</v>
      </c>
      <c r="X560" s="10" t="str">
        <f t="shared" si="168"/>
        <v>0_Pre</v>
      </c>
      <c r="Y560" s="10" t="str">
        <f t="shared" si="169"/>
        <v>0_Pre</v>
      </c>
      <c r="Z560" s="10" t="str">
        <f t="shared" si="170"/>
        <v>0_Pre</v>
      </c>
      <c r="AA560" s="10" t="str">
        <f t="shared" si="175"/>
        <v>0_Pre</v>
      </c>
      <c r="AB560" s="10" t="str">
        <f t="shared" si="176"/>
        <v>0_Pre</v>
      </c>
      <c r="AC560" s="10" t="str">
        <f t="shared" si="177"/>
        <v>0_Pre</v>
      </c>
      <c r="AD560" s="10" t="str">
        <f t="shared" si="178"/>
        <v>1_pre sample median</v>
      </c>
      <c r="AE560" s="10" t="str">
        <f t="shared" si="179"/>
        <v>2_in sample second tertile</v>
      </c>
      <c r="AF560" t="s">
        <v>80</v>
      </c>
      <c r="AG560" t="s">
        <v>74</v>
      </c>
      <c r="AH560" t="s">
        <v>79</v>
      </c>
      <c r="AI560" t="s">
        <v>122</v>
      </c>
      <c r="AJ560" t="s">
        <v>123</v>
      </c>
      <c r="AK560" t="str">
        <f>VLOOKUP(MID($AR560,1,255),country_lookup!$B:$F,2,FALSE)</f>
        <v>3_AsiaPac</v>
      </c>
      <c r="AL560" t="str">
        <f>VLOOKUP(MID($AR560,1,255),country_lookup!$B:$F,3,FALSE)</f>
        <v>2_developing</v>
      </c>
      <c r="AM560" t="str">
        <f>VLOOKUP(MID($AR560,1,255),country_lookup!$B:$F,4,FALSE)</f>
        <v>2_non_western</v>
      </c>
      <c r="AN560" t="str">
        <f>VLOOKUP(MID($AR560,1,255),country_lookup!$B:$F,5,FALSE)</f>
        <v>2_civil law</v>
      </c>
      <c r="AO560" s="10" t="str">
        <f>VLOOKUP(MID($AS560,1,255),source_lookup!$B:$K,4,FALSE)</f>
        <v>0_published</v>
      </c>
      <c r="AP560" s="10" t="str">
        <f>VLOOKUP(MID($AS560,1,255),source_lookup!$B:$K,6,FALSE)</f>
        <v>1_VHB high</v>
      </c>
      <c r="AQ560" s="10" t="str">
        <f>VLOOKUP(MID($AS560,1,255),source_lookup!$B:$K,10,FALSE)</f>
        <v>1_fin/acc/econ</v>
      </c>
      <c r="AR560" t="s">
        <v>94</v>
      </c>
      <c r="AS560" t="s">
        <v>147</v>
      </c>
    </row>
    <row r="561" spans="1:45" x14ac:dyDescent="0.3">
      <c r="A561" t="s">
        <v>23</v>
      </c>
      <c r="B561">
        <v>560</v>
      </c>
      <c r="C561" s="1">
        <v>2.2048693185121176E-2</v>
      </c>
      <c r="D561" s="2">
        <v>73</v>
      </c>
      <c r="E561" s="4">
        <v>514</v>
      </c>
      <c r="F561" s="4" t="s">
        <v>346</v>
      </c>
      <c r="G561" s="4" t="s">
        <v>347</v>
      </c>
      <c r="H561" t="s">
        <v>77</v>
      </c>
      <c r="I561" t="s">
        <v>352</v>
      </c>
      <c r="J561" s="3">
        <v>2008</v>
      </c>
      <c r="K561" s="3">
        <v>2014</v>
      </c>
      <c r="L561" s="6">
        <f t="shared" si="171"/>
        <v>2011</v>
      </c>
      <c r="M561" s="6">
        <f t="shared" si="172"/>
        <v>2011</v>
      </c>
      <c r="N561" s="7">
        <f t="shared" si="160"/>
        <v>0</v>
      </c>
      <c r="O561" s="7">
        <f t="shared" si="161"/>
        <v>0</v>
      </c>
      <c r="P561" s="7">
        <f t="shared" si="162"/>
        <v>0</v>
      </c>
      <c r="Q561" s="7">
        <f t="shared" si="173"/>
        <v>0</v>
      </c>
      <c r="R561" s="10" t="str">
        <f t="shared" si="163"/>
        <v>0_Pre</v>
      </c>
      <c r="S561" s="10" t="str">
        <f t="shared" si="164"/>
        <v>0_Pre</v>
      </c>
      <c r="T561" s="10" t="str">
        <f t="shared" si="165"/>
        <v>0_Pre</v>
      </c>
      <c r="U561" s="10" t="str">
        <f t="shared" si="166"/>
        <v>0_Pre</v>
      </c>
      <c r="V561" s="10" t="str">
        <f t="shared" si="174"/>
        <v>0_Pre</v>
      </c>
      <c r="W561" s="10" t="str">
        <f t="shared" si="167"/>
        <v>clean_pre</v>
      </c>
      <c r="X561" s="10" t="str">
        <f t="shared" si="168"/>
        <v>0_Pre</v>
      </c>
      <c r="Y561" s="10" t="str">
        <f t="shared" si="169"/>
        <v>0_Pre</v>
      </c>
      <c r="Z561" s="10" t="str">
        <f t="shared" si="170"/>
        <v>0_Pre</v>
      </c>
      <c r="AA561" s="10" t="str">
        <f t="shared" si="175"/>
        <v>0_Pre</v>
      </c>
      <c r="AB561" s="10" t="str">
        <f t="shared" si="176"/>
        <v>0_Pre</v>
      </c>
      <c r="AC561" s="10" t="str">
        <f t="shared" si="177"/>
        <v>0_Pre</v>
      </c>
      <c r="AD561" s="10" t="str">
        <f t="shared" si="178"/>
        <v>1_pre sample median</v>
      </c>
      <c r="AE561" s="10" t="str">
        <f t="shared" si="179"/>
        <v>2_in sample second tertile</v>
      </c>
      <c r="AF561" t="s">
        <v>80</v>
      </c>
      <c r="AG561" t="s">
        <v>74</v>
      </c>
      <c r="AH561" t="s">
        <v>79</v>
      </c>
      <c r="AI561" t="s">
        <v>122</v>
      </c>
      <c r="AJ561" t="s">
        <v>123</v>
      </c>
      <c r="AK561" t="str">
        <f>VLOOKUP(MID($AR561,1,255),country_lookup!$B:$F,2,FALSE)</f>
        <v>3_AsiaPac</v>
      </c>
      <c r="AL561" t="str">
        <f>VLOOKUP(MID($AR561,1,255),country_lookup!$B:$F,3,FALSE)</f>
        <v>2_developing</v>
      </c>
      <c r="AM561" t="str">
        <f>VLOOKUP(MID($AR561,1,255),country_lookup!$B:$F,4,FALSE)</f>
        <v>2_non_western</v>
      </c>
      <c r="AN561" t="str">
        <f>VLOOKUP(MID($AR561,1,255),country_lookup!$B:$F,5,FALSE)</f>
        <v>2_civil law</v>
      </c>
      <c r="AO561" s="10" t="str">
        <f>VLOOKUP(MID($AS561,1,255),source_lookup!$B:$K,4,FALSE)</f>
        <v>0_published</v>
      </c>
      <c r="AP561" s="10" t="str">
        <f>VLOOKUP(MID($AS561,1,255),source_lookup!$B:$K,6,FALSE)</f>
        <v>1_VHB high</v>
      </c>
      <c r="AQ561" s="10" t="str">
        <f>VLOOKUP(MID($AS561,1,255),source_lookup!$B:$K,10,FALSE)</f>
        <v>1_fin/acc/econ</v>
      </c>
      <c r="AR561" t="s">
        <v>94</v>
      </c>
      <c r="AS561" t="s">
        <v>147</v>
      </c>
    </row>
    <row r="562" spans="1:45" x14ac:dyDescent="0.3">
      <c r="A562" t="s">
        <v>23</v>
      </c>
      <c r="B562">
        <v>561</v>
      </c>
      <c r="C562" s="1">
        <v>1.8900098753273979E-2</v>
      </c>
      <c r="D562" s="2">
        <v>73</v>
      </c>
      <c r="E562" s="4">
        <v>514</v>
      </c>
      <c r="F562" s="4" t="s">
        <v>346</v>
      </c>
      <c r="G562" s="4" t="s">
        <v>347</v>
      </c>
      <c r="H562" t="s">
        <v>77</v>
      </c>
      <c r="I562" t="s">
        <v>352</v>
      </c>
      <c r="J562" s="3">
        <v>2008</v>
      </c>
      <c r="K562" s="3">
        <v>2014</v>
      </c>
      <c r="L562" s="6">
        <f t="shared" si="171"/>
        <v>2011</v>
      </c>
      <c r="M562" s="6">
        <f t="shared" si="172"/>
        <v>2011</v>
      </c>
      <c r="N562" s="7">
        <f t="shared" si="160"/>
        <v>0</v>
      </c>
      <c r="O562" s="7">
        <f t="shared" si="161"/>
        <v>0</v>
      </c>
      <c r="P562" s="7">
        <f t="shared" si="162"/>
        <v>0</v>
      </c>
      <c r="Q562" s="7">
        <f t="shared" si="173"/>
        <v>0</v>
      </c>
      <c r="R562" s="10" t="str">
        <f t="shared" si="163"/>
        <v>0_Pre</v>
      </c>
      <c r="S562" s="10" t="str">
        <f t="shared" si="164"/>
        <v>0_Pre</v>
      </c>
      <c r="T562" s="10" t="str">
        <f t="shared" si="165"/>
        <v>0_Pre</v>
      </c>
      <c r="U562" s="10" t="str">
        <f t="shared" si="166"/>
        <v>0_Pre</v>
      </c>
      <c r="V562" s="10" t="str">
        <f t="shared" si="174"/>
        <v>0_Pre</v>
      </c>
      <c r="W562" s="10" t="str">
        <f t="shared" si="167"/>
        <v>clean_pre</v>
      </c>
      <c r="X562" s="10" t="str">
        <f t="shared" si="168"/>
        <v>0_Pre</v>
      </c>
      <c r="Y562" s="10" t="str">
        <f t="shared" si="169"/>
        <v>0_Pre</v>
      </c>
      <c r="Z562" s="10" t="str">
        <f t="shared" si="170"/>
        <v>0_Pre</v>
      </c>
      <c r="AA562" s="10" t="str">
        <f t="shared" si="175"/>
        <v>0_Pre</v>
      </c>
      <c r="AB562" s="10" t="str">
        <f t="shared" si="176"/>
        <v>0_Pre</v>
      </c>
      <c r="AC562" s="10" t="str">
        <f t="shared" si="177"/>
        <v>0_Pre</v>
      </c>
      <c r="AD562" s="10" t="str">
        <f t="shared" si="178"/>
        <v>1_pre sample median</v>
      </c>
      <c r="AE562" s="10" t="str">
        <f t="shared" si="179"/>
        <v>2_in sample second tertile</v>
      </c>
      <c r="AF562" t="s">
        <v>80</v>
      </c>
      <c r="AG562" t="s">
        <v>74</v>
      </c>
      <c r="AH562" t="s">
        <v>79</v>
      </c>
      <c r="AI562" t="s">
        <v>122</v>
      </c>
      <c r="AJ562" t="s">
        <v>123</v>
      </c>
      <c r="AK562" t="str">
        <f>VLOOKUP(MID($AR562,1,255),country_lookup!$B:$F,2,FALSE)</f>
        <v>3_AsiaPac</v>
      </c>
      <c r="AL562" t="str">
        <f>VLOOKUP(MID($AR562,1,255),country_lookup!$B:$F,3,FALSE)</f>
        <v>2_developing</v>
      </c>
      <c r="AM562" t="str">
        <f>VLOOKUP(MID($AR562,1,255),country_lookup!$B:$F,4,FALSE)</f>
        <v>2_non_western</v>
      </c>
      <c r="AN562" t="str">
        <f>VLOOKUP(MID($AR562,1,255),country_lookup!$B:$F,5,FALSE)</f>
        <v>2_civil law</v>
      </c>
      <c r="AO562" s="10" t="str">
        <f>VLOOKUP(MID($AS562,1,255),source_lookup!$B:$K,4,FALSE)</f>
        <v>0_published</v>
      </c>
      <c r="AP562" s="10" t="str">
        <f>VLOOKUP(MID($AS562,1,255),source_lookup!$B:$K,6,FALSE)</f>
        <v>1_VHB high</v>
      </c>
      <c r="AQ562" s="10" t="str">
        <f>VLOOKUP(MID($AS562,1,255),source_lookup!$B:$K,10,FALSE)</f>
        <v>1_fin/acc/econ</v>
      </c>
      <c r="AR562" t="s">
        <v>94</v>
      </c>
      <c r="AS562" t="s">
        <v>147</v>
      </c>
    </row>
    <row r="563" spans="1:45" x14ac:dyDescent="0.3">
      <c r="A563" t="s">
        <v>23</v>
      </c>
      <c r="B563">
        <v>562</v>
      </c>
      <c r="C563" s="1">
        <v>4.0097958674908708E-3</v>
      </c>
      <c r="D563" s="2">
        <v>73</v>
      </c>
      <c r="E563" s="4">
        <v>514</v>
      </c>
      <c r="F563" s="4" t="s">
        <v>346</v>
      </c>
      <c r="G563" s="4" t="s">
        <v>347</v>
      </c>
      <c r="H563" t="s">
        <v>77</v>
      </c>
      <c r="I563" t="s">
        <v>352</v>
      </c>
      <c r="J563" s="3">
        <v>2008</v>
      </c>
      <c r="K563" s="3">
        <v>2014</v>
      </c>
      <c r="L563" s="6">
        <f t="shared" si="171"/>
        <v>2011</v>
      </c>
      <c r="M563" s="6">
        <f t="shared" si="172"/>
        <v>2011</v>
      </c>
      <c r="N563" s="7">
        <f t="shared" si="160"/>
        <v>0</v>
      </c>
      <c r="O563" s="7">
        <f t="shared" si="161"/>
        <v>0</v>
      </c>
      <c r="P563" s="7">
        <f t="shared" si="162"/>
        <v>0</v>
      </c>
      <c r="Q563" s="7">
        <f t="shared" si="173"/>
        <v>0</v>
      </c>
      <c r="R563" s="10" t="str">
        <f t="shared" si="163"/>
        <v>0_Pre</v>
      </c>
      <c r="S563" s="10" t="str">
        <f t="shared" si="164"/>
        <v>0_Pre</v>
      </c>
      <c r="T563" s="10" t="str">
        <f t="shared" si="165"/>
        <v>0_Pre</v>
      </c>
      <c r="U563" s="10" t="str">
        <f t="shared" si="166"/>
        <v>0_Pre</v>
      </c>
      <c r="V563" s="10" t="str">
        <f t="shared" si="174"/>
        <v>0_Pre</v>
      </c>
      <c r="W563" s="10" t="str">
        <f t="shared" si="167"/>
        <v>clean_pre</v>
      </c>
      <c r="X563" s="10" t="str">
        <f t="shared" si="168"/>
        <v>0_Pre</v>
      </c>
      <c r="Y563" s="10" t="str">
        <f t="shared" si="169"/>
        <v>0_Pre</v>
      </c>
      <c r="Z563" s="10" t="str">
        <f t="shared" si="170"/>
        <v>0_Pre</v>
      </c>
      <c r="AA563" s="10" t="str">
        <f t="shared" si="175"/>
        <v>0_Pre</v>
      </c>
      <c r="AB563" s="10" t="str">
        <f t="shared" si="176"/>
        <v>0_Pre</v>
      </c>
      <c r="AC563" s="10" t="str">
        <f t="shared" si="177"/>
        <v>0_Pre</v>
      </c>
      <c r="AD563" s="10" t="str">
        <f t="shared" si="178"/>
        <v>1_pre sample median</v>
      </c>
      <c r="AE563" s="10" t="str">
        <f t="shared" si="179"/>
        <v>2_in sample second tertile</v>
      </c>
      <c r="AF563" t="s">
        <v>80</v>
      </c>
      <c r="AG563" t="s">
        <v>74</v>
      </c>
      <c r="AH563" t="s">
        <v>79</v>
      </c>
      <c r="AI563" t="s">
        <v>122</v>
      </c>
      <c r="AJ563" t="s">
        <v>123</v>
      </c>
      <c r="AK563" t="str">
        <f>VLOOKUP(MID($AR563,1,255),country_lookup!$B:$F,2,FALSE)</f>
        <v>3_AsiaPac</v>
      </c>
      <c r="AL563" t="str">
        <f>VLOOKUP(MID($AR563,1,255),country_lookup!$B:$F,3,FALSE)</f>
        <v>2_developing</v>
      </c>
      <c r="AM563" t="str">
        <f>VLOOKUP(MID($AR563,1,255),country_lookup!$B:$F,4,FALSE)</f>
        <v>2_non_western</v>
      </c>
      <c r="AN563" t="str">
        <f>VLOOKUP(MID($AR563,1,255),country_lookup!$B:$F,5,FALSE)</f>
        <v>2_civil law</v>
      </c>
      <c r="AO563" s="10" t="str">
        <f>VLOOKUP(MID($AS563,1,255),source_lookup!$B:$K,4,FALSE)</f>
        <v>0_published</v>
      </c>
      <c r="AP563" s="10" t="str">
        <f>VLOOKUP(MID($AS563,1,255),source_lookup!$B:$K,6,FALSE)</f>
        <v>1_VHB high</v>
      </c>
      <c r="AQ563" s="10" t="str">
        <f>VLOOKUP(MID($AS563,1,255),source_lookup!$B:$K,10,FALSE)</f>
        <v>1_fin/acc/econ</v>
      </c>
      <c r="AR563" t="s">
        <v>94</v>
      </c>
      <c r="AS563" t="s">
        <v>147</v>
      </c>
    </row>
    <row r="564" spans="1:45" x14ac:dyDescent="0.3">
      <c r="A564" t="s">
        <v>23</v>
      </c>
      <c r="B564">
        <v>563</v>
      </c>
      <c r="C564" s="1">
        <v>-2.0049100222336567E-3</v>
      </c>
      <c r="D564" s="2">
        <v>73</v>
      </c>
      <c r="E564" s="4">
        <v>514</v>
      </c>
      <c r="F564" s="4" t="s">
        <v>346</v>
      </c>
      <c r="G564" s="4" t="s">
        <v>347</v>
      </c>
      <c r="H564" t="s">
        <v>77</v>
      </c>
      <c r="I564" t="s">
        <v>352</v>
      </c>
      <c r="J564" s="3">
        <v>2008</v>
      </c>
      <c r="K564" s="3">
        <v>2014</v>
      </c>
      <c r="L564" s="6">
        <f t="shared" si="171"/>
        <v>2011</v>
      </c>
      <c r="M564" s="6">
        <f t="shared" si="172"/>
        <v>2011</v>
      </c>
      <c r="N564" s="7">
        <f t="shared" si="160"/>
        <v>0</v>
      </c>
      <c r="O564" s="7">
        <f t="shared" si="161"/>
        <v>0</v>
      </c>
      <c r="P564" s="7">
        <f t="shared" si="162"/>
        <v>0</v>
      </c>
      <c r="Q564" s="7">
        <f t="shared" si="173"/>
        <v>0</v>
      </c>
      <c r="R564" s="10" t="str">
        <f t="shared" si="163"/>
        <v>0_Pre</v>
      </c>
      <c r="S564" s="10" t="str">
        <f t="shared" si="164"/>
        <v>0_Pre</v>
      </c>
      <c r="T564" s="10" t="str">
        <f t="shared" si="165"/>
        <v>0_Pre</v>
      </c>
      <c r="U564" s="10" t="str">
        <f t="shared" si="166"/>
        <v>0_Pre</v>
      </c>
      <c r="V564" s="10" t="str">
        <f t="shared" si="174"/>
        <v>0_Pre</v>
      </c>
      <c r="W564" s="10" t="str">
        <f t="shared" si="167"/>
        <v>clean_pre</v>
      </c>
      <c r="X564" s="10" t="str">
        <f t="shared" si="168"/>
        <v>0_Pre</v>
      </c>
      <c r="Y564" s="10" t="str">
        <f t="shared" si="169"/>
        <v>0_Pre</v>
      </c>
      <c r="Z564" s="10" t="str">
        <f t="shared" si="170"/>
        <v>0_Pre</v>
      </c>
      <c r="AA564" s="10" t="str">
        <f t="shared" si="175"/>
        <v>0_Pre</v>
      </c>
      <c r="AB564" s="10" t="str">
        <f t="shared" si="176"/>
        <v>0_Pre</v>
      </c>
      <c r="AC564" s="10" t="str">
        <f t="shared" si="177"/>
        <v>0_Pre</v>
      </c>
      <c r="AD564" s="10" t="str">
        <f t="shared" si="178"/>
        <v>1_pre sample median</v>
      </c>
      <c r="AE564" s="10" t="str">
        <f t="shared" si="179"/>
        <v>2_in sample second tertile</v>
      </c>
      <c r="AF564" t="s">
        <v>80</v>
      </c>
      <c r="AG564" t="s">
        <v>74</v>
      </c>
      <c r="AH564" t="s">
        <v>79</v>
      </c>
      <c r="AI564" t="s">
        <v>122</v>
      </c>
      <c r="AJ564" t="s">
        <v>123</v>
      </c>
      <c r="AK564" t="str">
        <f>VLOOKUP(MID($AR564,1,255),country_lookup!$B:$F,2,FALSE)</f>
        <v>3_AsiaPac</v>
      </c>
      <c r="AL564" t="str">
        <f>VLOOKUP(MID($AR564,1,255),country_lookup!$B:$F,3,FALSE)</f>
        <v>2_developing</v>
      </c>
      <c r="AM564" t="str">
        <f>VLOOKUP(MID($AR564,1,255),country_lookup!$B:$F,4,FALSE)</f>
        <v>2_non_western</v>
      </c>
      <c r="AN564" t="str">
        <f>VLOOKUP(MID($AR564,1,255),country_lookup!$B:$F,5,FALSE)</f>
        <v>2_civil law</v>
      </c>
      <c r="AO564" s="10" t="str">
        <f>VLOOKUP(MID($AS564,1,255),source_lookup!$B:$K,4,FALSE)</f>
        <v>0_published</v>
      </c>
      <c r="AP564" s="10" t="str">
        <f>VLOOKUP(MID($AS564,1,255),source_lookup!$B:$K,6,FALSE)</f>
        <v>1_VHB high</v>
      </c>
      <c r="AQ564" s="10" t="str">
        <f>VLOOKUP(MID($AS564,1,255),source_lookup!$B:$K,10,FALSE)</f>
        <v>1_fin/acc/econ</v>
      </c>
      <c r="AR564" t="s">
        <v>94</v>
      </c>
      <c r="AS564" t="s">
        <v>147</v>
      </c>
    </row>
    <row r="565" spans="1:45" x14ac:dyDescent="0.3">
      <c r="A565" t="s">
        <v>23</v>
      </c>
      <c r="B565">
        <v>564</v>
      </c>
      <c r="C565" s="1">
        <v>-3.528626763093868E-3</v>
      </c>
      <c r="D565" s="2">
        <v>73</v>
      </c>
      <c r="E565" s="4">
        <v>514</v>
      </c>
      <c r="F565" s="4" t="s">
        <v>346</v>
      </c>
      <c r="G565" s="4" t="s">
        <v>347</v>
      </c>
      <c r="H565" t="s">
        <v>77</v>
      </c>
      <c r="I565" t="s">
        <v>352</v>
      </c>
      <c r="J565" s="3">
        <v>2008</v>
      </c>
      <c r="K565" s="3">
        <v>2014</v>
      </c>
      <c r="L565" s="6">
        <f t="shared" si="171"/>
        <v>2011</v>
      </c>
      <c r="M565" s="6">
        <f t="shared" si="172"/>
        <v>2011</v>
      </c>
      <c r="N565" s="7">
        <f t="shared" si="160"/>
        <v>0</v>
      </c>
      <c r="O565" s="7">
        <f t="shared" si="161"/>
        <v>0</v>
      </c>
      <c r="P565" s="7">
        <f t="shared" si="162"/>
        <v>0</v>
      </c>
      <c r="Q565" s="7">
        <f t="shared" si="173"/>
        <v>0</v>
      </c>
      <c r="R565" s="10" t="str">
        <f t="shared" si="163"/>
        <v>0_Pre</v>
      </c>
      <c r="S565" s="10" t="str">
        <f t="shared" si="164"/>
        <v>0_Pre</v>
      </c>
      <c r="T565" s="10" t="str">
        <f t="shared" si="165"/>
        <v>0_Pre</v>
      </c>
      <c r="U565" s="10" t="str">
        <f t="shared" si="166"/>
        <v>0_Pre</v>
      </c>
      <c r="V565" s="10" t="str">
        <f t="shared" si="174"/>
        <v>0_Pre</v>
      </c>
      <c r="W565" s="10" t="str">
        <f t="shared" si="167"/>
        <v>clean_pre</v>
      </c>
      <c r="X565" s="10" t="str">
        <f t="shared" si="168"/>
        <v>0_Pre</v>
      </c>
      <c r="Y565" s="10" t="str">
        <f t="shared" si="169"/>
        <v>0_Pre</v>
      </c>
      <c r="Z565" s="10" t="str">
        <f t="shared" si="170"/>
        <v>0_Pre</v>
      </c>
      <c r="AA565" s="10" t="str">
        <f t="shared" si="175"/>
        <v>0_Pre</v>
      </c>
      <c r="AB565" s="10" t="str">
        <f t="shared" si="176"/>
        <v>0_Pre</v>
      </c>
      <c r="AC565" s="10" t="str">
        <f t="shared" si="177"/>
        <v>0_Pre</v>
      </c>
      <c r="AD565" s="10" t="str">
        <f t="shared" si="178"/>
        <v>1_pre sample median</v>
      </c>
      <c r="AE565" s="10" t="str">
        <f t="shared" si="179"/>
        <v>2_in sample second tertile</v>
      </c>
      <c r="AF565" t="s">
        <v>80</v>
      </c>
      <c r="AG565" t="s">
        <v>74</v>
      </c>
      <c r="AH565" t="s">
        <v>79</v>
      </c>
      <c r="AI565" t="s">
        <v>122</v>
      </c>
      <c r="AJ565" t="s">
        <v>123</v>
      </c>
      <c r="AK565" t="str">
        <f>VLOOKUP(MID($AR565,1,255),country_lookup!$B:$F,2,FALSE)</f>
        <v>3_AsiaPac</v>
      </c>
      <c r="AL565" t="str">
        <f>VLOOKUP(MID($AR565,1,255),country_lookup!$B:$F,3,FALSE)</f>
        <v>2_developing</v>
      </c>
      <c r="AM565" t="str">
        <f>VLOOKUP(MID($AR565,1,255),country_lookup!$B:$F,4,FALSE)</f>
        <v>2_non_western</v>
      </c>
      <c r="AN565" t="str">
        <f>VLOOKUP(MID($AR565,1,255),country_lookup!$B:$F,5,FALSE)</f>
        <v>2_civil law</v>
      </c>
      <c r="AO565" s="10" t="str">
        <f>VLOOKUP(MID($AS565,1,255),source_lookup!$B:$K,4,FALSE)</f>
        <v>0_published</v>
      </c>
      <c r="AP565" s="10" t="str">
        <f>VLOOKUP(MID($AS565,1,255),source_lookup!$B:$K,6,FALSE)</f>
        <v>1_VHB high</v>
      </c>
      <c r="AQ565" s="10" t="str">
        <f>VLOOKUP(MID($AS565,1,255),source_lookup!$B:$K,10,FALSE)</f>
        <v>1_fin/acc/econ</v>
      </c>
      <c r="AR565" t="s">
        <v>94</v>
      </c>
      <c r="AS565" t="s">
        <v>147</v>
      </c>
    </row>
    <row r="566" spans="1:45" x14ac:dyDescent="0.3">
      <c r="A566" t="s">
        <v>23</v>
      </c>
      <c r="B566">
        <v>565</v>
      </c>
      <c r="C566" s="1">
        <v>-4.9008421595623172E-3</v>
      </c>
      <c r="D566" s="2">
        <v>73</v>
      </c>
      <c r="E566" s="4">
        <v>514</v>
      </c>
      <c r="F566" s="4" t="s">
        <v>346</v>
      </c>
      <c r="G566" s="4" t="s">
        <v>347</v>
      </c>
      <c r="H566" t="s">
        <v>77</v>
      </c>
      <c r="I566" t="s">
        <v>352</v>
      </c>
      <c r="J566" s="3">
        <v>2008</v>
      </c>
      <c r="K566" s="3">
        <v>2014</v>
      </c>
      <c r="L566" s="6">
        <f t="shared" si="171"/>
        <v>2011</v>
      </c>
      <c r="M566" s="6">
        <f t="shared" si="172"/>
        <v>2011</v>
      </c>
      <c r="N566" s="7">
        <f t="shared" si="160"/>
        <v>0</v>
      </c>
      <c r="O566" s="7">
        <f t="shared" si="161"/>
        <v>0</v>
      </c>
      <c r="P566" s="7">
        <f t="shared" si="162"/>
        <v>0</v>
      </c>
      <c r="Q566" s="7">
        <f t="shared" si="173"/>
        <v>0</v>
      </c>
      <c r="R566" s="10" t="str">
        <f t="shared" si="163"/>
        <v>0_Pre</v>
      </c>
      <c r="S566" s="10" t="str">
        <f t="shared" si="164"/>
        <v>0_Pre</v>
      </c>
      <c r="T566" s="10" t="str">
        <f t="shared" si="165"/>
        <v>0_Pre</v>
      </c>
      <c r="U566" s="10" t="str">
        <f t="shared" si="166"/>
        <v>0_Pre</v>
      </c>
      <c r="V566" s="10" t="str">
        <f t="shared" si="174"/>
        <v>0_Pre</v>
      </c>
      <c r="W566" s="10" t="str">
        <f t="shared" si="167"/>
        <v>clean_pre</v>
      </c>
      <c r="X566" s="10" t="str">
        <f t="shared" si="168"/>
        <v>0_Pre</v>
      </c>
      <c r="Y566" s="10" t="str">
        <f t="shared" si="169"/>
        <v>0_Pre</v>
      </c>
      <c r="Z566" s="10" t="str">
        <f t="shared" si="170"/>
        <v>0_Pre</v>
      </c>
      <c r="AA566" s="10" t="str">
        <f t="shared" si="175"/>
        <v>0_Pre</v>
      </c>
      <c r="AB566" s="10" t="str">
        <f t="shared" si="176"/>
        <v>0_Pre</v>
      </c>
      <c r="AC566" s="10" t="str">
        <f t="shared" si="177"/>
        <v>0_Pre</v>
      </c>
      <c r="AD566" s="10" t="str">
        <f t="shared" si="178"/>
        <v>1_pre sample median</v>
      </c>
      <c r="AE566" s="10" t="str">
        <f t="shared" si="179"/>
        <v>2_in sample second tertile</v>
      </c>
      <c r="AF566" t="s">
        <v>80</v>
      </c>
      <c r="AG566" t="s">
        <v>74</v>
      </c>
      <c r="AH566" t="s">
        <v>79</v>
      </c>
      <c r="AI566" t="s">
        <v>122</v>
      </c>
      <c r="AJ566" t="s">
        <v>123</v>
      </c>
      <c r="AK566" t="str">
        <f>VLOOKUP(MID($AR566,1,255),country_lookup!$B:$F,2,FALSE)</f>
        <v>3_AsiaPac</v>
      </c>
      <c r="AL566" t="str">
        <f>VLOOKUP(MID($AR566,1,255),country_lookup!$B:$F,3,FALSE)</f>
        <v>2_developing</v>
      </c>
      <c r="AM566" t="str">
        <f>VLOOKUP(MID($AR566,1,255),country_lookup!$B:$F,4,FALSE)</f>
        <v>2_non_western</v>
      </c>
      <c r="AN566" t="str">
        <f>VLOOKUP(MID($AR566,1,255),country_lookup!$B:$F,5,FALSE)</f>
        <v>2_civil law</v>
      </c>
      <c r="AO566" s="10" t="str">
        <f>VLOOKUP(MID($AS566,1,255),source_lookup!$B:$K,4,FALSE)</f>
        <v>0_published</v>
      </c>
      <c r="AP566" s="10" t="str">
        <f>VLOOKUP(MID($AS566,1,255),source_lookup!$B:$K,6,FALSE)</f>
        <v>1_VHB high</v>
      </c>
      <c r="AQ566" s="10" t="str">
        <f>VLOOKUP(MID($AS566,1,255),source_lookup!$B:$K,10,FALSE)</f>
        <v>1_fin/acc/econ</v>
      </c>
      <c r="AR566" t="s">
        <v>94</v>
      </c>
      <c r="AS566" t="s">
        <v>147</v>
      </c>
    </row>
    <row r="567" spans="1:45" x14ac:dyDescent="0.3">
      <c r="A567" t="s">
        <v>23</v>
      </c>
      <c r="B567">
        <v>566</v>
      </c>
      <c r="C567" s="1">
        <v>-5.7531364141596821E-3</v>
      </c>
      <c r="D567" s="2">
        <v>73</v>
      </c>
      <c r="E567" s="4">
        <v>514</v>
      </c>
      <c r="F567" s="4" t="s">
        <v>346</v>
      </c>
      <c r="G567" s="4" t="s">
        <v>347</v>
      </c>
      <c r="H567" t="s">
        <v>77</v>
      </c>
      <c r="I567" t="s">
        <v>352</v>
      </c>
      <c r="J567" s="3">
        <v>2008</v>
      </c>
      <c r="K567" s="3">
        <v>2014</v>
      </c>
      <c r="L567" s="6">
        <f t="shared" si="171"/>
        <v>2011</v>
      </c>
      <c r="M567" s="6">
        <f t="shared" si="172"/>
        <v>2011</v>
      </c>
      <c r="N567" s="7">
        <f t="shared" si="160"/>
        <v>0</v>
      </c>
      <c r="O567" s="7">
        <f t="shared" si="161"/>
        <v>0</v>
      </c>
      <c r="P567" s="7">
        <f t="shared" si="162"/>
        <v>0</v>
      </c>
      <c r="Q567" s="7">
        <f t="shared" si="173"/>
        <v>0</v>
      </c>
      <c r="R567" s="10" t="str">
        <f t="shared" si="163"/>
        <v>0_Pre</v>
      </c>
      <c r="S567" s="10" t="str">
        <f t="shared" si="164"/>
        <v>0_Pre</v>
      </c>
      <c r="T567" s="10" t="str">
        <f t="shared" si="165"/>
        <v>0_Pre</v>
      </c>
      <c r="U567" s="10" t="str">
        <f t="shared" si="166"/>
        <v>0_Pre</v>
      </c>
      <c r="V567" s="10" t="str">
        <f t="shared" si="174"/>
        <v>0_Pre</v>
      </c>
      <c r="W567" s="10" t="str">
        <f t="shared" si="167"/>
        <v>clean_pre</v>
      </c>
      <c r="X567" s="10" t="str">
        <f t="shared" si="168"/>
        <v>0_Pre</v>
      </c>
      <c r="Y567" s="10" t="str">
        <f t="shared" si="169"/>
        <v>0_Pre</v>
      </c>
      <c r="Z567" s="10" t="str">
        <f t="shared" si="170"/>
        <v>0_Pre</v>
      </c>
      <c r="AA567" s="10" t="str">
        <f t="shared" si="175"/>
        <v>0_Pre</v>
      </c>
      <c r="AB567" s="10" t="str">
        <f t="shared" si="176"/>
        <v>0_Pre</v>
      </c>
      <c r="AC567" s="10" t="str">
        <f t="shared" si="177"/>
        <v>0_Pre</v>
      </c>
      <c r="AD567" s="10" t="str">
        <f t="shared" si="178"/>
        <v>1_pre sample median</v>
      </c>
      <c r="AE567" s="10" t="str">
        <f t="shared" si="179"/>
        <v>2_in sample second tertile</v>
      </c>
      <c r="AF567" t="s">
        <v>80</v>
      </c>
      <c r="AG567" t="s">
        <v>74</v>
      </c>
      <c r="AH567" t="s">
        <v>79</v>
      </c>
      <c r="AI567" t="s">
        <v>122</v>
      </c>
      <c r="AJ567" t="s">
        <v>123</v>
      </c>
      <c r="AK567" t="str">
        <f>VLOOKUP(MID($AR567,1,255),country_lookup!$B:$F,2,FALSE)</f>
        <v>3_AsiaPac</v>
      </c>
      <c r="AL567" t="str">
        <f>VLOOKUP(MID($AR567,1,255),country_lookup!$B:$F,3,FALSE)</f>
        <v>2_developing</v>
      </c>
      <c r="AM567" t="str">
        <f>VLOOKUP(MID($AR567,1,255),country_lookup!$B:$F,4,FALSE)</f>
        <v>2_non_western</v>
      </c>
      <c r="AN567" t="str">
        <f>VLOOKUP(MID($AR567,1,255),country_lookup!$B:$F,5,FALSE)</f>
        <v>2_civil law</v>
      </c>
      <c r="AO567" s="10" t="str">
        <f>VLOOKUP(MID($AS567,1,255),source_lookup!$B:$K,4,FALSE)</f>
        <v>0_published</v>
      </c>
      <c r="AP567" s="10" t="str">
        <f>VLOOKUP(MID($AS567,1,255),source_lookup!$B:$K,6,FALSE)</f>
        <v>1_VHB high</v>
      </c>
      <c r="AQ567" s="10" t="str">
        <f>VLOOKUP(MID($AS567,1,255),source_lookup!$B:$K,10,FALSE)</f>
        <v>1_fin/acc/econ</v>
      </c>
      <c r="AR567" t="s">
        <v>94</v>
      </c>
      <c r="AS567" t="s">
        <v>147</v>
      </c>
    </row>
    <row r="568" spans="1:45" x14ac:dyDescent="0.3">
      <c r="A568" t="s">
        <v>23</v>
      </c>
      <c r="B568">
        <v>567</v>
      </c>
      <c r="C568" s="1">
        <v>-6.0146333602529066E-3</v>
      </c>
      <c r="D568" s="2">
        <v>73</v>
      </c>
      <c r="E568" s="4">
        <v>514</v>
      </c>
      <c r="F568" s="4" t="s">
        <v>346</v>
      </c>
      <c r="G568" s="4" t="s">
        <v>347</v>
      </c>
      <c r="H568" t="s">
        <v>77</v>
      </c>
      <c r="I568" t="s">
        <v>352</v>
      </c>
      <c r="J568" s="3">
        <v>2008</v>
      </c>
      <c r="K568" s="3">
        <v>2014</v>
      </c>
      <c r="L568" s="6">
        <f t="shared" si="171"/>
        <v>2011</v>
      </c>
      <c r="M568" s="6">
        <f t="shared" si="172"/>
        <v>2011</v>
      </c>
      <c r="N568" s="7">
        <f t="shared" si="160"/>
        <v>0</v>
      </c>
      <c r="O568" s="7">
        <f t="shared" si="161"/>
        <v>0</v>
      </c>
      <c r="P568" s="7">
        <f t="shared" si="162"/>
        <v>0</v>
      </c>
      <c r="Q568" s="7">
        <f t="shared" si="173"/>
        <v>0</v>
      </c>
      <c r="R568" s="10" t="str">
        <f t="shared" si="163"/>
        <v>0_Pre</v>
      </c>
      <c r="S568" s="10" t="str">
        <f t="shared" si="164"/>
        <v>0_Pre</v>
      </c>
      <c r="T568" s="10" t="str">
        <f t="shared" si="165"/>
        <v>0_Pre</v>
      </c>
      <c r="U568" s="10" t="str">
        <f t="shared" si="166"/>
        <v>0_Pre</v>
      </c>
      <c r="V568" s="10" t="str">
        <f t="shared" si="174"/>
        <v>0_Pre</v>
      </c>
      <c r="W568" s="10" t="str">
        <f t="shared" si="167"/>
        <v>clean_pre</v>
      </c>
      <c r="X568" s="10" t="str">
        <f t="shared" si="168"/>
        <v>0_Pre</v>
      </c>
      <c r="Y568" s="10" t="str">
        <f t="shared" si="169"/>
        <v>0_Pre</v>
      </c>
      <c r="Z568" s="10" t="str">
        <f t="shared" si="170"/>
        <v>0_Pre</v>
      </c>
      <c r="AA568" s="10" t="str">
        <f t="shared" si="175"/>
        <v>0_Pre</v>
      </c>
      <c r="AB568" s="10" t="str">
        <f t="shared" si="176"/>
        <v>0_Pre</v>
      </c>
      <c r="AC568" s="10" t="str">
        <f t="shared" si="177"/>
        <v>0_Pre</v>
      </c>
      <c r="AD568" s="10" t="str">
        <f t="shared" si="178"/>
        <v>1_pre sample median</v>
      </c>
      <c r="AE568" s="10" t="str">
        <f t="shared" si="179"/>
        <v>2_in sample second tertile</v>
      </c>
      <c r="AF568" t="s">
        <v>80</v>
      </c>
      <c r="AG568" t="s">
        <v>74</v>
      </c>
      <c r="AH568" t="s">
        <v>79</v>
      </c>
      <c r="AI568" t="s">
        <v>122</v>
      </c>
      <c r="AJ568" t="s">
        <v>123</v>
      </c>
      <c r="AK568" t="str">
        <f>VLOOKUP(MID($AR568,1,255),country_lookup!$B:$F,2,FALSE)</f>
        <v>3_AsiaPac</v>
      </c>
      <c r="AL568" t="str">
        <f>VLOOKUP(MID($AR568,1,255),country_lookup!$B:$F,3,FALSE)</f>
        <v>2_developing</v>
      </c>
      <c r="AM568" t="str">
        <f>VLOOKUP(MID($AR568,1,255),country_lookup!$B:$F,4,FALSE)</f>
        <v>2_non_western</v>
      </c>
      <c r="AN568" t="str">
        <f>VLOOKUP(MID($AR568,1,255),country_lookup!$B:$F,5,FALSE)</f>
        <v>2_civil law</v>
      </c>
      <c r="AO568" s="10" t="str">
        <f>VLOOKUP(MID($AS568,1,255),source_lookup!$B:$K,4,FALSE)</f>
        <v>0_published</v>
      </c>
      <c r="AP568" s="10" t="str">
        <f>VLOOKUP(MID($AS568,1,255),source_lookup!$B:$K,6,FALSE)</f>
        <v>1_VHB high</v>
      </c>
      <c r="AQ568" s="10" t="str">
        <f>VLOOKUP(MID($AS568,1,255),source_lookup!$B:$K,10,FALSE)</f>
        <v>1_fin/acc/econ</v>
      </c>
      <c r="AR568" t="s">
        <v>94</v>
      </c>
      <c r="AS568" t="s">
        <v>147</v>
      </c>
    </row>
    <row r="569" spans="1:45" x14ac:dyDescent="0.3">
      <c r="A569" t="s">
        <v>23</v>
      </c>
      <c r="B569">
        <v>568</v>
      </c>
      <c r="C569" s="1">
        <v>-6.3010333596901806E-3</v>
      </c>
      <c r="D569" s="2">
        <v>73</v>
      </c>
      <c r="E569" s="4">
        <v>514</v>
      </c>
      <c r="F569" s="4" t="s">
        <v>346</v>
      </c>
      <c r="G569" s="4" t="s">
        <v>347</v>
      </c>
      <c r="H569" t="s">
        <v>77</v>
      </c>
      <c r="I569" t="s">
        <v>352</v>
      </c>
      <c r="J569" s="3">
        <v>2008</v>
      </c>
      <c r="K569" s="3">
        <v>2014</v>
      </c>
      <c r="L569" s="6">
        <f t="shared" si="171"/>
        <v>2011</v>
      </c>
      <c r="M569" s="6">
        <f t="shared" si="172"/>
        <v>2011</v>
      </c>
      <c r="N569" s="7">
        <f t="shared" si="160"/>
        <v>0</v>
      </c>
      <c r="O569" s="7">
        <f t="shared" si="161"/>
        <v>0</v>
      </c>
      <c r="P569" s="7">
        <f t="shared" si="162"/>
        <v>0</v>
      </c>
      <c r="Q569" s="7">
        <f t="shared" si="173"/>
        <v>0</v>
      </c>
      <c r="R569" s="10" t="str">
        <f t="shared" si="163"/>
        <v>0_Pre</v>
      </c>
      <c r="S569" s="10" t="str">
        <f t="shared" si="164"/>
        <v>0_Pre</v>
      </c>
      <c r="T569" s="10" t="str">
        <f t="shared" si="165"/>
        <v>0_Pre</v>
      </c>
      <c r="U569" s="10" t="str">
        <f t="shared" si="166"/>
        <v>0_Pre</v>
      </c>
      <c r="V569" s="10" t="str">
        <f t="shared" si="174"/>
        <v>0_Pre</v>
      </c>
      <c r="W569" s="10" t="str">
        <f t="shared" si="167"/>
        <v>clean_pre</v>
      </c>
      <c r="X569" s="10" t="str">
        <f t="shared" si="168"/>
        <v>0_Pre</v>
      </c>
      <c r="Y569" s="10" t="str">
        <f t="shared" si="169"/>
        <v>0_Pre</v>
      </c>
      <c r="Z569" s="10" t="str">
        <f t="shared" si="170"/>
        <v>0_Pre</v>
      </c>
      <c r="AA569" s="10" t="str">
        <f t="shared" si="175"/>
        <v>0_Pre</v>
      </c>
      <c r="AB569" s="10" t="str">
        <f t="shared" si="176"/>
        <v>0_Pre</v>
      </c>
      <c r="AC569" s="10" t="str">
        <f t="shared" si="177"/>
        <v>0_Pre</v>
      </c>
      <c r="AD569" s="10" t="str">
        <f t="shared" si="178"/>
        <v>1_pre sample median</v>
      </c>
      <c r="AE569" s="10" t="str">
        <f t="shared" si="179"/>
        <v>2_in sample second tertile</v>
      </c>
      <c r="AF569" t="s">
        <v>80</v>
      </c>
      <c r="AG569" t="s">
        <v>74</v>
      </c>
      <c r="AH569" t="s">
        <v>79</v>
      </c>
      <c r="AI569" t="s">
        <v>122</v>
      </c>
      <c r="AJ569" t="s">
        <v>123</v>
      </c>
      <c r="AK569" t="str">
        <f>VLOOKUP(MID($AR569,1,255),country_lookup!$B:$F,2,FALSE)</f>
        <v>3_AsiaPac</v>
      </c>
      <c r="AL569" t="str">
        <f>VLOOKUP(MID($AR569,1,255),country_lookup!$B:$F,3,FALSE)</f>
        <v>2_developing</v>
      </c>
      <c r="AM569" t="str">
        <f>VLOOKUP(MID($AR569,1,255),country_lookup!$B:$F,4,FALSE)</f>
        <v>2_non_western</v>
      </c>
      <c r="AN569" t="str">
        <f>VLOOKUP(MID($AR569,1,255),country_lookup!$B:$F,5,FALSE)</f>
        <v>2_civil law</v>
      </c>
      <c r="AO569" s="10" t="str">
        <f>VLOOKUP(MID($AS569,1,255),source_lookup!$B:$K,4,FALSE)</f>
        <v>0_published</v>
      </c>
      <c r="AP569" s="10" t="str">
        <f>VLOOKUP(MID($AS569,1,255),source_lookup!$B:$K,6,FALSE)</f>
        <v>1_VHB high</v>
      </c>
      <c r="AQ569" s="10" t="str">
        <f>VLOOKUP(MID($AS569,1,255),source_lookup!$B:$K,10,FALSE)</f>
        <v>1_fin/acc/econ</v>
      </c>
      <c r="AR569" t="s">
        <v>94</v>
      </c>
      <c r="AS569" t="s">
        <v>147</v>
      </c>
    </row>
    <row r="570" spans="1:45" x14ac:dyDescent="0.3">
      <c r="A570" t="s">
        <v>23</v>
      </c>
      <c r="B570">
        <v>569</v>
      </c>
      <c r="C570" s="1">
        <v>-8.8212785940899666E-3</v>
      </c>
      <c r="D570" s="2">
        <v>73</v>
      </c>
      <c r="E570" s="4">
        <v>514</v>
      </c>
      <c r="F570" s="4" t="s">
        <v>346</v>
      </c>
      <c r="G570" s="4" t="s">
        <v>347</v>
      </c>
      <c r="H570" t="s">
        <v>77</v>
      </c>
      <c r="I570" t="s">
        <v>352</v>
      </c>
      <c r="J570" s="3">
        <v>2008</v>
      </c>
      <c r="K570" s="3">
        <v>2014</v>
      </c>
      <c r="L570" s="6">
        <f t="shared" si="171"/>
        <v>2011</v>
      </c>
      <c r="M570" s="6">
        <f t="shared" si="172"/>
        <v>2011</v>
      </c>
      <c r="N570" s="7">
        <f t="shared" si="160"/>
        <v>0</v>
      </c>
      <c r="O570" s="7">
        <f t="shared" si="161"/>
        <v>0</v>
      </c>
      <c r="P570" s="7">
        <f t="shared" si="162"/>
        <v>0</v>
      </c>
      <c r="Q570" s="7">
        <f t="shared" si="173"/>
        <v>0</v>
      </c>
      <c r="R570" s="10" t="str">
        <f t="shared" si="163"/>
        <v>0_Pre</v>
      </c>
      <c r="S570" s="10" t="str">
        <f t="shared" si="164"/>
        <v>0_Pre</v>
      </c>
      <c r="T570" s="10" t="str">
        <f t="shared" si="165"/>
        <v>0_Pre</v>
      </c>
      <c r="U570" s="10" t="str">
        <f t="shared" si="166"/>
        <v>0_Pre</v>
      </c>
      <c r="V570" s="10" t="str">
        <f t="shared" si="174"/>
        <v>0_Pre</v>
      </c>
      <c r="W570" s="10" t="str">
        <f t="shared" si="167"/>
        <v>clean_pre</v>
      </c>
      <c r="X570" s="10" t="str">
        <f t="shared" si="168"/>
        <v>0_Pre</v>
      </c>
      <c r="Y570" s="10" t="str">
        <f t="shared" si="169"/>
        <v>0_Pre</v>
      </c>
      <c r="Z570" s="10" t="str">
        <f t="shared" si="170"/>
        <v>0_Pre</v>
      </c>
      <c r="AA570" s="10" t="str">
        <f t="shared" si="175"/>
        <v>0_Pre</v>
      </c>
      <c r="AB570" s="10" t="str">
        <f t="shared" si="176"/>
        <v>0_Pre</v>
      </c>
      <c r="AC570" s="10" t="str">
        <f t="shared" si="177"/>
        <v>0_Pre</v>
      </c>
      <c r="AD570" s="10" t="str">
        <f t="shared" si="178"/>
        <v>1_pre sample median</v>
      </c>
      <c r="AE570" s="10" t="str">
        <f t="shared" si="179"/>
        <v>2_in sample second tertile</v>
      </c>
      <c r="AF570" t="s">
        <v>80</v>
      </c>
      <c r="AG570" t="s">
        <v>74</v>
      </c>
      <c r="AH570" t="s">
        <v>79</v>
      </c>
      <c r="AI570" t="s">
        <v>122</v>
      </c>
      <c r="AJ570" t="s">
        <v>123</v>
      </c>
      <c r="AK570" t="str">
        <f>VLOOKUP(MID($AR570,1,255),country_lookup!$B:$F,2,FALSE)</f>
        <v>3_AsiaPac</v>
      </c>
      <c r="AL570" t="str">
        <f>VLOOKUP(MID($AR570,1,255),country_lookup!$B:$F,3,FALSE)</f>
        <v>2_developing</v>
      </c>
      <c r="AM570" t="str">
        <f>VLOOKUP(MID($AR570,1,255),country_lookup!$B:$F,4,FALSE)</f>
        <v>2_non_western</v>
      </c>
      <c r="AN570" t="str">
        <f>VLOOKUP(MID($AR570,1,255),country_lookup!$B:$F,5,FALSE)</f>
        <v>2_civil law</v>
      </c>
      <c r="AO570" s="10" t="str">
        <f>VLOOKUP(MID($AS570,1,255),source_lookup!$B:$K,4,FALSE)</f>
        <v>0_published</v>
      </c>
      <c r="AP570" s="10" t="str">
        <f>VLOOKUP(MID($AS570,1,255),source_lookup!$B:$K,6,FALSE)</f>
        <v>1_VHB high</v>
      </c>
      <c r="AQ570" s="10" t="str">
        <f>VLOOKUP(MID($AS570,1,255),source_lookup!$B:$K,10,FALSE)</f>
        <v>1_fin/acc/econ</v>
      </c>
      <c r="AR570" t="s">
        <v>94</v>
      </c>
      <c r="AS570" t="s">
        <v>147</v>
      </c>
    </row>
    <row r="571" spans="1:45" x14ac:dyDescent="0.3">
      <c r="A571" t="s">
        <v>23</v>
      </c>
      <c r="B571">
        <v>570</v>
      </c>
      <c r="C571" s="1">
        <v>-1.1026356928399426E-2</v>
      </c>
      <c r="D571" s="2">
        <v>73</v>
      </c>
      <c r="E571" s="4">
        <v>514</v>
      </c>
      <c r="F571" s="4" t="s">
        <v>346</v>
      </c>
      <c r="G571" s="4" t="s">
        <v>347</v>
      </c>
      <c r="H571" t="s">
        <v>77</v>
      </c>
      <c r="I571" t="s">
        <v>352</v>
      </c>
      <c r="J571" s="3">
        <v>2008</v>
      </c>
      <c r="K571" s="3">
        <v>2014</v>
      </c>
      <c r="L571" s="6">
        <f t="shared" si="171"/>
        <v>2011</v>
      </c>
      <c r="M571" s="6">
        <f t="shared" si="172"/>
        <v>2011</v>
      </c>
      <c r="N571" s="7">
        <f t="shared" si="160"/>
        <v>0</v>
      </c>
      <c r="O571" s="7">
        <f t="shared" si="161"/>
        <v>0</v>
      </c>
      <c r="P571" s="7">
        <f t="shared" si="162"/>
        <v>0</v>
      </c>
      <c r="Q571" s="7">
        <f t="shared" si="173"/>
        <v>0</v>
      </c>
      <c r="R571" s="10" t="str">
        <f t="shared" si="163"/>
        <v>0_Pre</v>
      </c>
      <c r="S571" s="10" t="str">
        <f t="shared" si="164"/>
        <v>0_Pre</v>
      </c>
      <c r="T571" s="10" t="str">
        <f t="shared" si="165"/>
        <v>0_Pre</v>
      </c>
      <c r="U571" s="10" t="str">
        <f t="shared" si="166"/>
        <v>0_Pre</v>
      </c>
      <c r="V571" s="10" t="str">
        <f t="shared" si="174"/>
        <v>0_Pre</v>
      </c>
      <c r="W571" s="10" t="str">
        <f t="shared" si="167"/>
        <v>clean_pre</v>
      </c>
      <c r="X571" s="10" t="str">
        <f t="shared" si="168"/>
        <v>0_Pre</v>
      </c>
      <c r="Y571" s="10" t="str">
        <f t="shared" si="169"/>
        <v>0_Pre</v>
      </c>
      <c r="Z571" s="10" t="str">
        <f t="shared" si="170"/>
        <v>0_Pre</v>
      </c>
      <c r="AA571" s="10" t="str">
        <f t="shared" si="175"/>
        <v>0_Pre</v>
      </c>
      <c r="AB571" s="10" t="str">
        <f t="shared" si="176"/>
        <v>0_Pre</v>
      </c>
      <c r="AC571" s="10" t="str">
        <f t="shared" si="177"/>
        <v>0_Pre</v>
      </c>
      <c r="AD571" s="10" t="str">
        <f t="shared" si="178"/>
        <v>1_pre sample median</v>
      </c>
      <c r="AE571" s="10" t="str">
        <f t="shared" si="179"/>
        <v>2_in sample second tertile</v>
      </c>
      <c r="AF571" t="s">
        <v>80</v>
      </c>
      <c r="AG571" t="s">
        <v>74</v>
      </c>
      <c r="AH571" t="s">
        <v>79</v>
      </c>
      <c r="AI571" t="s">
        <v>122</v>
      </c>
      <c r="AJ571" t="s">
        <v>123</v>
      </c>
      <c r="AK571" t="str">
        <f>VLOOKUP(MID($AR571,1,255),country_lookup!$B:$F,2,FALSE)</f>
        <v>3_AsiaPac</v>
      </c>
      <c r="AL571" t="str">
        <f>VLOOKUP(MID($AR571,1,255),country_lookup!$B:$F,3,FALSE)</f>
        <v>2_developing</v>
      </c>
      <c r="AM571" t="str">
        <f>VLOOKUP(MID($AR571,1,255),country_lookup!$B:$F,4,FALSE)</f>
        <v>2_non_western</v>
      </c>
      <c r="AN571" t="str">
        <f>VLOOKUP(MID($AR571,1,255),country_lookup!$B:$F,5,FALSE)</f>
        <v>2_civil law</v>
      </c>
      <c r="AO571" s="10" t="str">
        <f>VLOOKUP(MID($AS571,1,255),source_lookup!$B:$K,4,FALSE)</f>
        <v>0_published</v>
      </c>
      <c r="AP571" s="10" t="str">
        <f>VLOOKUP(MID($AS571,1,255),source_lookup!$B:$K,6,FALSE)</f>
        <v>1_VHB high</v>
      </c>
      <c r="AQ571" s="10" t="str">
        <f>VLOOKUP(MID($AS571,1,255),source_lookup!$B:$K,10,FALSE)</f>
        <v>1_fin/acc/econ</v>
      </c>
      <c r="AR571" t="s">
        <v>94</v>
      </c>
      <c r="AS571" t="s">
        <v>147</v>
      </c>
    </row>
    <row r="572" spans="1:45" x14ac:dyDescent="0.3">
      <c r="A572" t="s">
        <v>23</v>
      </c>
      <c r="B572">
        <v>571</v>
      </c>
      <c r="C572" s="1">
        <v>-1.4701114166157225E-2</v>
      </c>
      <c r="D572" s="2">
        <v>73</v>
      </c>
      <c r="E572" s="4">
        <v>514</v>
      </c>
      <c r="F572" s="4" t="s">
        <v>346</v>
      </c>
      <c r="G572" s="4" t="s">
        <v>347</v>
      </c>
      <c r="H572" t="s">
        <v>77</v>
      </c>
      <c r="I572" t="s">
        <v>352</v>
      </c>
      <c r="J572" s="3">
        <v>2008</v>
      </c>
      <c r="K572" s="3">
        <v>2014</v>
      </c>
      <c r="L572" s="6">
        <f t="shared" si="171"/>
        <v>2011</v>
      </c>
      <c r="M572" s="6">
        <f t="shared" si="172"/>
        <v>2011</v>
      </c>
      <c r="N572" s="7">
        <f t="shared" si="160"/>
        <v>0</v>
      </c>
      <c r="O572" s="7">
        <f t="shared" si="161"/>
        <v>0</v>
      </c>
      <c r="P572" s="7">
        <f t="shared" si="162"/>
        <v>0</v>
      </c>
      <c r="Q572" s="7">
        <f t="shared" si="173"/>
        <v>0</v>
      </c>
      <c r="R572" s="10" t="str">
        <f t="shared" si="163"/>
        <v>0_Pre</v>
      </c>
      <c r="S572" s="10" t="str">
        <f t="shared" si="164"/>
        <v>0_Pre</v>
      </c>
      <c r="T572" s="10" t="str">
        <f t="shared" si="165"/>
        <v>0_Pre</v>
      </c>
      <c r="U572" s="10" t="str">
        <f t="shared" si="166"/>
        <v>0_Pre</v>
      </c>
      <c r="V572" s="10" t="str">
        <f t="shared" si="174"/>
        <v>0_Pre</v>
      </c>
      <c r="W572" s="10" t="str">
        <f t="shared" si="167"/>
        <v>clean_pre</v>
      </c>
      <c r="X572" s="10" t="str">
        <f t="shared" si="168"/>
        <v>0_Pre</v>
      </c>
      <c r="Y572" s="10" t="str">
        <f t="shared" si="169"/>
        <v>0_Pre</v>
      </c>
      <c r="Z572" s="10" t="str">
        <f t="shared" si="170"/>
        <v>0_Pre</v>
      </c>
      <c r="AA572" s="10" t="str">
        <f t="shared" si="175"/>
        <v>0_Pre</v>
      </c>
      <c r="AB572" s="10" t="str">
        <f t="shared" si="176"/>
        <v>0_Pre</v>
      </c>
      <c r="AC572" s="10" t="str">
        <f t="shared" si="177"/>
        <v>0_Pre</v>
      </c>
      <c r="AD572" s="10" t="str">
        <f t="shared" si="178"/>
        <v>1_pre sample median</v>
      </c>
      <c r="AE572" s="10" t="str">
        <f t="shared" si="179"/>
        <v>2_in sample second tertile</v>
      </c>
      <c r="AF572" t="s">
        <v>80</v>
      </c>
      <c r="AG572" t="s">
        <v>74</v>
      </c>
      <c r="AH572" t="s">
        <v>79</v>
      </c>
      <c r="AI572" t="s">
        <v>122</v>
      </c>
      <c r="AJ572" t="s">
        <v>123</v>
      </c>
      <c r="AK572" t="str">
        <f>VLOOKUP(MID($AR572,1,255),country_lookup!$B:$F,2,FALSE)</f>
        <v>3_AsiaPac</v>
      </c>
      <c r="AL572" t="str">
        <f>VLOOKUP(MID($AR572,1,255),country_lookup!$B:$F,3,FALSE)</f>
        <v>2_developing</v>
      </c>
      <c r="AM572" t="str">
        <f>VLOOKUP(MID($AR572,1,255),country_lookup!$B:$F,4,FALSE)</f>
        <v>2_non_western</v>
      </c>
      <c r="AN572" t="str">
        <f>VLOOKUP(MID($AR572,1,255),country_lookup!$B:$F,5,FALSE)</f>
        <v>2_civil law</v>
      </c>
      <c r="AO572" s="10" t="str">
        <f>VLOOKUP(MID($AS572,1,255),source_lookup!$B:$K,4,FALSE)</f>
        <v>0_published</v>
      </c>
      <c r="AP572" s="10" t="str">
        <f>VLOOKUP(MID($AS572,1,255),source_lookup!$B:$K,6,FALSE)</f>
        <v>1_VHB high</v>
      </c>
      <c r="AQ572" s="10" t="str">
        <f>VLOOKUP(MID($AS572,1,255),source_lookup!$B:$K,10,FALSE)</f>
        <v>1_fin/acc/econ</v>
      </c>
      <c r="AR572" t="s">
        <v>94</v>
      </c>
      <c r="AS572" t="s">
        <v>147</v>
      </c>
    </row>
    <row r="573" spans="1:45" x14ac:dyDescent="0.3">
      <c r="A573" t="s">
        <v>23</v>
      </c>
      <c r="B573">
        <v>572</v>
      </c>
      <c r="C573" s="1">
        <v>-2.645560249723521E-2</v>
      </c>
      <c r="D573" s="2">
        <v>73</v>
      </c>
      <c r="E573" s="4">
        <v>514</v>
      </c>
      <c r="F573" s="4" t="s">
        <v>346</v>
      </c>
      <c r="G573" s="4" t="s">
        <v>347</v>
      </c>
      <c r="H573" t="s">
        <v>77</v>
      </c>
      <c r="I573" t="s">
        <v>352</v>
      </c>
      <c r="J573" s="3">
        <v>2008</v>
      </c>
      <c r="K573" s="3">
        <v>2014</v>
      </c>
      <c r="L573" s="6">
        <f t="shared" si="171"/>
        <v>2011</v>
      </c>
      <c r="M573" s="6">
        <f t="shared" si="172"/>
        <v>2011</v>
      </c>
      <c r="N573" s="7">
        <f t="shared" si="160"/>
        <v>0</v>
      </c>
      <c r="O573" s="7">
        <f t="shared" si="161"/>
        <v>0</v>
      </c>
      <c r="P573" s="7">
        <f t="shared" si="162"/>
        <v>0</v>
      </c>
      <c r="Q573" s="7">
        <f t="shared" si="173"/>
        <v>0</v>
      </c>
      <c r="R573" s="10" t="str">
        <f t="shared" si="163"/>
        <v>0_Pre</v>
      </c>
      <c r="S573" s="10" t="str">
        <f t="shared" si="164"/>
        <v>0_Pre</v>
      </c>
      <c r="T573" s="10" t="str">
        <f t="shared" si="165"/>
        <v>0_Pre</v>
      </c>
      <c r="U573" s="10" t="str">
        <f t="shared" si="166"/>
        <v>0_Pre</v>
      </c>
      <c r="V573" s="10" t="str">
        <f t="shared" si="174"/>
        <v>0_Pre</v>
      </c>
      <c r="W573" s="10" t="str">
        <f t="shared" si="167"/>
        <v>clean_pre</v>
      </c>
      <c r="X573" s="10" t="str">
        <f t="shared" si="168"/>
        <v>0_Pre</v>
      </c>
      <c r="Y573" s="10" t="str">
        <f t="shared" si="169"/>
        <v>0_Pre</v>
      </c>
      <c r="Z573" s="10" t="str">
        <f t="shared" si="170"/>
        <v>0_Pre</v>
      </c>
      <c r="AA573" s="10" t="str">
        <f t="shared" si="175"/>
        <v>0_Pre</v>
      </c>
      <c r="AB573" s="10" t="str">
        <f t="shared" si="176"/>
        <v>0_Pre</v>
      </c>
      <c r="AC573" s="10" t="str">
        <f t="shared" si="177"/>
        <v>0_Pre</v>
      </c>
      <c r="AD573" s="10" t="str">
        <f t="shared" si="178"/>
        <v>1_pre sample median</v>
      </c>
      <c r="AE573" s="10" t="str">
        <f t="shared" si="179"/>
        <v>2_in sample second tertile</v>
      </c>
      <c r="AF573" t="s">
        <v>80</v>
      </c>
      <c r="AG573" t="s">
        <v>74</v>
      </c>
      <c r="AH573" t="s">
        <v>79</v>
      </c>
      <c r="AI573" t="s">
        <v>122</v>
      </c>
      <c r="AJ573" t="s">
        <v>123</v>
      </c>
      <c r="AK573" t="str">
        <f>VLOOKUP(MID($AR573,1,255),country_lookup!$B:$F,2,FALSE)</f>
        <v>3_AsiaPac</v>
      </c>
      <c r="AL573" t="str">
        <f>VLOOKUP(MID($AR573,1,255),country_lookup!$B:$F,3,FALSE)</f>
        <v>2_developing</v>
      </c>
      <c r="AM573" t="str">
        <f>VLOOKUP(MID($AR573,1,255),country_lookup!$B:$F,4,FALSE)</f>
        <v>2_non_western</v>
      </c>
      <c r="AN573" t="str">
        <f>VLOOKUP(MID($AR573,1,255),country_lookup!$B:$F,5,FALSE)</f>
        <v>2_civil law</v>
      </c>
      <c r="AO573" s="10" t="str">
        <f>VLOOKUP(MID($AS573,1,255),source_lookup!$B:$K,4,FALSE)</f>
        <v>0_published</v>
      </c>
      <c r="AP573" s="10" t="str">
        <f>VLOOKUP(MID($AS573,1,255),source_lookup!$B:$K,6,FALSE)</f>
        <v>1_VHB high</v>
      </c>
      <c r="AQ573" s="10" t="str">
        <f>VLOOKUP(MID($AS573,1,255),source_lookup!$B:$K,10,FALSE)</f>
        <v>1_fin/acc/econ</v>
      </c>
      <c r="AR573" t="s">
        <v>94</v>
      </c>
      <c r="AS573" t="s">
        <v>147</v>
      </c>
    </row>
    <row r="574" spans="1:45" x14ac:dyDescent="0.3">
      <c r="A574" t="s">
        <v>23</v>
      </c>
      <c r="B574">
        <v>573</v>
      </c>
      <c r="C574" s="1">
        <v>-6.6017827220349226E-2</v>
      </c>
      <c r="D574" s="2">
        <v>73</v>
      </c>
      <c r="E574" s="4">
        <v>514</v>
      </c>
      <c r="F574" s="4" t="s">
        <v>346</v>
      </c>
      <c r="G574" s="4" t="s">
        <v>347</v>
      </c>
      <c r="H574" t="s">
        <v>77</v>
      </c>
      <c r="I574" t="s">
        <v>352</v>
      </c>
      <c r="J574" s="3">
        <v>2008</v>
      </c>
      <c r="K574" s="3">
        <v>2014</v>
      </c>
      <c r="L574" s="6">
        <f t="shared" si="171"/>
        <v>2011</v>
      </c>
      <c r="M574" s="6">
        <f t="shared" si="172"/>
        <v>2011</v>
      </c>
      <c r="N574" s="7">
        <f t="shared" si="160"/>
        <v>0</v>
      </c>
      <c r="O574" s="7">
        <f t="shared" si="161"/>
        <v>0</v>
      </c>
      <c r="P574" s="7">
        <f t="shared" si="162"/>
        <v>0</v>
      </c>
      <c r="Q574" s="7">
        <f t="shared" si="173"/>
        <v>0</v>
      </c>
      <c r="R574" s="10" t="str">
        <f t="shared" si="163"/>
        <v>0_Pre</v>
      </c>
      <c r="S574" s="10" t="str">
        <f t="shared" si="164"/>
        <v>0_Pre</v>
      </c>
      <c r="T574" s="10" t="str">
        <f t="shared" si="165"/>
        <v>0_Pre</v>
      </c>
      <c r="U574" s="10" t="str">
        <f t="shared" si="166"/>
        <v>0_Pre</v>
      </c>
      <c r="V574" s="10" t="str">
        <f t="shared" si="174"/>
        <v>0_Pre</v>
      </c>
      <c r="W574" s="10" t="str">
        <f t="shared" si="167"/>
        <v>clean_pre</v>
      </c>
      <c r="X574" s="10" t="str">
        <f t="shared" si="168"/>
        <v>0_Pre</v>
      </c>
      <c r="Y574" s="10" t="str">
        <f t="shared" si="169"/>
        <v>0_Pre</v>
      </c>
      <c r="Z574" s="10" t="str">
        <f t="shared" si="170"/>
        <v>0_Pre</v>
      </c>
      <c r="AA574" s="10" t="str">
        <f t="shared" si="175"/>
        <v>0_Pre</v>
      </c>
      <c r="AB574" s="10" t="str">
        <f t="shared" si="176"/>
        <v>0_Pre</v>
      </c>
      <c r="AC574" s="10" t="str">
        <f t="shared" si="177"/>
        <v>0_Pre</v>
      </c>
      <c r="AD574" s="10" t="str">
        <f t="shared" si="178"/>
        <v>1_pre sample median</v>
      </c>
      <c r="AE574" s="10" t="str">
        <f t="shared" si="179"/>
        <v>2_in sample second tertile</v>
      </c>
      <c r="AF574" t="s">
        <v>80</v>
      </c>
      <c r="AG574" t="s">
        <v>74</v>
      </c>
      <c r="AH574" t="s">
        <v>79</v>
      </c>
      <c r="AI574" t="s">
        <v>122</v>
      </c>
      <c r="AJ574" t="s">
        <v>123</v>
      </c>
      <c r="AK574" t="str">
        <f>VLOOKUP(MID($AR574,1,255),country_lookup!$B:$F,2,FALSE)</f>
        <v>3_AsiaPac</v>
      </c>
      <c r="AL574" t="str">
        <f>VLOOKUP(MID($AR574,1,255),country_lookup!$B:$F,3,FALSE)</f>
        <v>2_developing</v>
      </c>
      <c r="AM574" t="str">
        <f>VLOOKUP(MID($AR574,1,255),country_lookup!$B:$F,4,FALSE)</f>
        <v>2_non_western</v>
      </c>
      <c r="AN574" t="str">
        <f>VLOOKUP(MID($AR574,1,255),country_lookup!$B:$F,5,FALSE)</f>
        <v>2_civil law</v>
      </c>
      <c r="AO574" s="10" t="str">
        <f>VLOOKUP(MID($AS574,1,255),source_lookup!$B:$K,4,FALSE)</f>
        <v>0_published</v>
      </c>
      <c r="AP574" s="10" t="str">
        <f>VLOOKUP(MID($AS574,1,255),source_lookup!$B:$K,6,FALSE)</f>
        <v>1_VHB high</v>
      </c>
      <c r="AQ574" s="10" t="str">
        <f>VLOOKUP(MID($AS574,1,255),source_lookup!$B:$K,10,FALSE)</f>
        <v>1_fin/acc/econ</v>
      </c>
      <c r="AR574" t="s">
        <v>94</v>
      </c>
      <c r="AS574" t="s">
        <v>147</v>
      </c>
    </row>
    <row r="575" spans="1:45" x14ac:dyDescent="0.3">
      <c r="A575" t="s">
        <v>23</v>
      </c>
      <c r="B575">
        <v>574</v>
      </c>
      <c r="C575" s="1">
        <v>-8.7874955032749363E-2</v>
      </c>
      <c r="D575" s="2">
        <v>73</v>
      </c>
      <c r="E575" s="4">
        <v>514</v>
      </c>
      <c r="F575" s="4" t="s">
        <v>346</v>
      </c>
      <c r="G575" s="4" t="s">
        <v>347</v>
      </c>
      <c r="H575" t="s">
        <v>77</v>
      </c>
      <c r="I575" t="s">
        <v>352</v>
      </c>
      <c r="J575" s="3">
        <v>2008</v>
      </c>
      <c r="K575" s="3">
        <v>2014</v>
      </c>
      <c r="L575" s="6">
        <f t="shared" si="171"/>
        <v>2011</v>
      </c>
      <c r="M575" s="6">
        <f t="shared" si="172"/>
        <v>2011</v>
      </c>
      <c r="N575" s="7">
        <f t="shared" si="160"/>
        <v>0</v>
      </c>
      <c r="O575" s="7">
        <f t="shared" si="161"/>
        <v>0</v>
      </c>
      <c r="P575" s="7">
        <f t="shared" si="162"/>
        <v>0</v>
      </c>
      <c r="Q575" s="7">
        <f t="shared" si="173"/>
        <v>0</v>
      </c>
      <c r="R575" s="10" t="str">
        <f t="shared" si="163"/>
        <v>0_Pre</v>
      </c>
      <c r="S575" s="10" t="str">
        <f t="shared" si="164"/>
        <v>0_Pre</v>
      </c>
      <c r="T575" s="10" t="str">
        <f t="shared" si="165"/>
        <v>0_Pre</v>
      </c>
      <c r="U575" s="10" t="str">
        <f t="shared" si="166"/>
        <v>0_Pre</v>
      </c>
      <c r="V575" s="10" t="str">
        <f t="shared" si="174"/>
        <v>0_Pre</v>
      </c>
      <c r="W575" s="10" t="str">
        <f t="shared" si="167"/>
        <v>clean_pre</v>
      </c>
      <c r="X575" s="10" t="str">
        <f t="shared" si="168"/>
        <v>0_Pre</v>
      </c>
      <c r="Y575" s="10" t="str">
        <f t="shared" si="169"/>
        <v>0_Pre</v>
      </c>
      <c r="Z575" s="10" t="str">
        <f t="shared" si="170"/>
        <v>0_Pre</v>
      </c>
      <c r="AA575" s="10" t="str">
        <f t="shared" si="175"/>
        <v>0_Pre</v>
      </c>
      <c r="AB575" s="10" t="str">
        <f t="shared" si="176"/>
        <v>0_Pre</v>
      </c>
      <c r="AC575" s="10" t="str">
        <f t="shared" si="177"/>
        <v>0_Pre</v>
      </c>
      <c r="AD575" s="10" t="str">
        <f t="shared" si="178"/>
        <v>1_pre sample median</v>
      </c>
      <c r="AE575" s="10" t="str">
        <f t="shared" si="179"/>
        <v>2_in sample second tertile</v>
      </c>
      <c r="AF575" t="s">
        <v>80</v>
      </c>
      <c r="AG575" t="s">
        <v>74</v>
      </c>
      <c r="AH575" t="s">
        <v>79</v>
      </c>
      <c r="AI575" t="s">
        <v>122</v>
      </c>
      <c r="AJ575" t="s">
        <v>123</v>
      </c>
      <c r="AK575" t="str">
        <f>VLOOKUP(MID($AR575,1,255),country_lookup!$B:$F,2,FALSE)</f>
        <v>3_AsiaPac</v>
      </c>
      <c r="AL575" t="str">
        <f>VLOOKUP(MID($AR575,1,255),country_lookup!$B:$F,3,FALSE)</f>
        <v>2_developing</v>
      </c>
      <c r="AM575" t="str">
        <f>VLOOKUP(MID($AR575,1,255),country_lookup!$B:$F,4,FALSE)</f>
        <v>2_non_western</v>
      </c>
      <c r="AN575" t="str">
        <f>VLOOKUP(MID($AR575,1,255),country_lookup!$B:$F,5,FALSE)</f>
        <v>2_civil law</v>
      </c>
      <c r="AO575" s="10" t="str">
        <f>VLOOKUP(MID($AS575,1,255),source_lookup!$B:$K,4,FALSE)</f>
        <v>0_published</v>
      </c>
      <c r="AP575" s="10" t="str">
        <f>VLOOKUP(MID($AS575,1,255),source_lookup!$B:$K,6,FALSE)</f>
        <v>1_VHB high</v>
      </c>
      <c r="AQ575" s="10" t="str">
        <f>VLOOKUP(MID($AS575,1,255),source_lookup!$B:$K,10,FALSE)</f>
        <v>1_fin/acc/econ</v>
      </c>
      <c r="AR575" t="s">
        <v>94</v>
      </c>
      <c r="AS575" t="s">
        <v>147</v>
      </c>
    </row>
    <row r="576" spans="1:45" x14ac:dyDescent="0.3">
      <c r="A576" t="s">
        <v>23</v>
      </c>
      <c r="B576">
        <v>575</v>
      </c>
      <c r="C576" s="1">
        <v>-8.7874955032749363E-2</v>
      </c>
      <c r="D576" s="2">
        <v>73</v>
      </c>
      <c r="E576" s="4">
        <v>514</v>
      </c>
      <c r="F576" s="4" t="s">
        <v>346</v>
      </c>
      <c r="G576" s="4" t="s">
        <v>347</v>
      </c>
      <c r="H576" t="s">
        <v>77</v>
      </c>
      <c r="I576" t="s">
        <v>352</v>
      </c>
      <c r="J576" s="3">
        <v>2008</v>
      </c>
      <c r="K576" s="3">
        <v>2014</v>
      </c>
      <c r="L576" s="6">
        <f t="shared" si="171"/>
        <v>2011</v>
      </c>
      <c r="M576" s="6">
        <f t="shared" si="172"/>
        <v>2011</v>
      </c>
      <c r="N576" s="7">
        <f t="shared" si="160"/>
        <v>0</v>
      </c>
      <c r="O576" s="7">
        <f t="shared" si="161"/>
        <v>0</v>
      </c>
      <c r="P576" s="7">
        <f t="shared" si="162"/>
        <v>0</v>
      </c>
      <c r="Q576" s="7">
        <f t="shared" si="173"/>
        <v>0</v>
      </c>
      <c r="R576" s="10" t="str">
        <f t="shared" si="163"/>
        <v>0_Pre</v>
      </c>
      <c r="S576" s="10" t="str">
        <f t="shared" si="164"/>
        <v>0_Pre</v>
      </c>
      <c r="T576" s="10" t="str">
        <f t="shared" si="165"/>
        <v>0_Pre</v>
      </c>
      <c r="U576" s="10" t="str">
        <f t="shared" si="166"/>
        <v>0_Pre</v>
      </c>
      <c r="V576" s="10" t="str">
        <f t="shared" si="174"/>
        <v>0_Pre</v>
      </c>
      <c r="W576" s="10" t="str">
        <f t="shared" si="167"/>
        <v>clean_pre</v>
      </c>
      <c r="X576" s="10" t="str">
        <f t="shared" si="168"/>
        <v>0_Pre</v>
      </c>
      <c r="Y576" s="10" t="str">
        <f t="shared" si="169"/>
        <v>0_Pre</v>
      </c>
      <c r="Z576" s="10" t="str">
        <f t="shared" si="170"/>
        <v>0_Pre</v>
      </c>
      <c r="AA576" s="10" t="str">
        <f t="shared" si="175"/>
        <v>0_Pre</v>
      </c>
      <c r="AB576" s="10" t="str">
        <f t="shared" si="176"/>
        <v>0_Pre</v>
      </c>
      <c r="AC576" s="10" t="str">
        <f t="shared" si="177"/>
        <v>0_Pre</v>
      </c>
      <c r="AD576" s="10" t="str">
        <f t="shared" si="178"/>
        <v>1_pre sample median</v>
      </c>
      <c r="AE576" s="10" t="str">
        <f t="shared" si="179"/>
        <v>2_in sample second tertile</v>
      </c>
      <c r="AF576" t="s">
        <v>80</v>
      </c>
      <c r="AG576" t="s">
        <v>74</v>
      </c>
      <c r="AH576" t="s">
        <v>79</v>
      </c>
      <c r="AI576" t="s">
        <v>122</v>
      </c>
      <c r="AJ576" t="s">
        <v>123</v>
      </c>
      <c r="AK576" t="str">
        <f>VLOOKUP(MID($AR576,1,255),country_lookup!$B:$F,2,FALSE)</f>
        <v>3_AsiaPac</v>
      </c>
      <c r="AL576" t="str">
        <f>VLOOKUP(MID($AR576,1,255),country_lookup!$B:$F,3,FALSE)</f>
        <v>2_developing</v>
      </c>
      <c r="AM576" t="str">
        <f>VLOOKUP(MID($AR576,1,255),country_lookup!$B:$F,4,FALSE)</f>
        <v>2_non_western</v>
      </c>
      <c r="AN576" t="str">
        <f>VLOOKUP(MID($AR576,1,255),country_lookup!$B:$F,5,FALSE)</f>
        <v>2_civil law</v>
      </c>
      <c r="AO576" s="10" t="str">
        <f>VLOOKUP(MID($AS576,1,255),source_lookup!$B:$K,4,FALSE)</f>
        <v>0_published</v>
      </c>
      <c r="AP576" s="10" t="str">
        <f>VLOOKUP(MID($AS576,1,255),source_lookup!$B:$K,6,FALSE)</f>
        <v>1_VHB high</v>
      </c>
      <c r="AQ576" s="10" t="str">
        <f>VLOOKUP(MID($AS576,1,255),source_lookup!$B:$K,10,FALSE)</f>
        <v>1_fin/acc/econ</v>
      </c>
      <c r="AR576" t="s">
        <v>94</v>
      </c>
      <c r="AS576" t="s">
        <v>147</v>
      </c>
    </row>
    <row r="577" spans="1:45" x14ac:dyDescent="0.3">
      <c r="A577" t="s">
        <v>23</v>
      </c>
      <c r="B577">
        <v>576</v>
      </c>
      <c r="C577" s="1">
        <v>-8.7874955032749363E-2</v>
      </c>
      <c r="D577" s="2">
        <v>73</v>
      </c>
      <c r="E577" s="4">
        <v>514</v>
      </c>
      <c r="F577" s="4" t="s">
        <v>346</v>
      </c>
      <c r="G577" s="4" t="s">
        <v>347</v>
      </c>
      <c r="H577" t="s">
        <v>77</v>
      </c>
      <c r="I577" t="s">
        <v>352</v>
      </c>
      <c r="J577" s="3">
        <v>2008</v>
      </c>
      <c r="K577" s="3">
        <v>2014</v>
      </c>
      <c r="L577" s="6">
        <f t="shared" si="171"/>
        <v>2011</v>
      </c>
      <c r="M577" s="6">
        <f t="shared" si="172"/>
        <v>2011</v>
      </c>
      <c r="N577" s="7">
        <f t="shared" si="160"/>
        <v>0</v>
      </c>
      <c r="O577" s="7">
        <f t="shared" si="161"/>
        <v>0</v>
      </c>
      <c r="P577" s="7">
        <f t="shared" si="162"/>
        <v>0</v>
      </c>
      <c r="Q577" s="7">
        <f t="shared" si="173"/>
        <v>0</v>
      </c>
      <c r="R577" s="10" t="str">
        <f t="shared" si="163"/>
        <v>0_Pre</v>
      </c>
      <c r="S577" s="10" t="str">
        <f t="shared" si="164"/>
        <v>0_Pre</v>
      </c>
      <c r="T577" s="10" t="str">
        <f t="shared" si="165"/>
        <v>0_Pre</v>
      </c>
      <c r="U577" s="10" t="str">
        <f t="shared" si="166"/>
        <v>0_Pre</v>
      </c>
      <c r="V577" s="10" t="str">
        <f t="shared" si="174"/>
        <v>0_Pre</v>
      </c>
      <c r="W577" s="10" t="str">
        <f t="shared" si="167"/>
        <v>clean_pre</v>
      </c>
      <c r="X577" s="10" t="str">
        <f t="shared" si="168"/>
        <v>0_Pre</v>
      </c>
      <c r="Y577" s="10" t="str">
        <f t="shared" si="169"/>
        <v>0_Pre</v>
      </c>
      <c r="Z577" s="10" t="str">
        <f t="shared" si="170"/>
        <v>0_Pre</v>
      </c>
      <c r="AA577" s="10" t="str">
        <f t="shared" si="175"/>
        <v>0_Pre</v>
      </c>
      <c r="AB577" s="10" t="str">
        <f t="shared" si="176"/>
        <v>0_Pre</v>
      </c>
      <c r="AC577" s="10" t="str">
        <f t="shared" si="177"/>
        <v>0_Pre</v>
      </c>
      <c r="AD577" s="10" t="str">
        <f t="shared" si="178"/>
        <v>1_pre sample median</v>
      </c>
      <c r="AE577" s="10" t="str">
        <f t="shared" si="179"/>
        <v>2_in sample second tertile</v>
      </c>
      <c r="AF577" t="s">
        <v>80</v>
      </c>
      <c r="AG577" t="s">
        <v>74</v>
      </c>
      <c r="AH577" t="s">
        <v>79</v>
      </c>
      <c r="AI577" t="s">
        <v>122</v>
      </c>
      <c r="AJ577" t="s">
        <v>123</v>
      </c>
      <c r="AK577" t="str">
        <f>VLOOKUP(MID($AR577,1,255),country_lookup!$B:$F,2,FALSE)</f>
        <v>3_AsiaPac</v>
      </c>
      <c r="AL577" t="str">
        <f>VLOOKUP(MID($AR577,1,255),country_lookup!$B:$F,3,FALSE)</f>
        <v>2_developing</v>
      </c>
      <c r="AM577" t="str">
        <f>VLOOKUP(MID($AR577,1,255),country_lookup!$B:$F,4,FALSE)</f>
        <v>2_non_western</v>
      </c>
      <c r="AN577" t="str">
        <f>VLOOKUP(MID($AR577,1,255),country_lookup!$B:$F,5,FALSE)</f>
        <v>2_civil law</v>
      </c>
      <c r="AO577" s="10" t="str">
        <f>VLOOKUP(MID($AS577,1,255),source_lookup!$B:$K,4,FALSE)</f>
        <v>0_published</v>
      </c>
      <c r="AP577" s="10" t="str">
        <f>VLOOKUP(MID($AS577,1,255),source_lookup!$B:$K,6,FALSE)</f>
        <v>1_VHB high</v>
      </c>
      <c r="AQ577" s="10" t="str">
        <f>VLOOKUP(MID($AS577,1,255),source_lookup!$B:$K,10,FALSE)</f>
        <v>1_fin/acc/econ</v>
      </c>
      <c r="AR577" t="s">
        <v>94</v>
      </c>
      <c r="AS577" t="s">
        <v>147</v>
      </c>
    </row>
    <row r="578" spans="1:45" x14ac:dyDescent="0.3">
      <c r="A578" t="s">
        <v>23</v>
      </c>
      <c r="B578">
        <v>577</v>
      </c>
      <c r="C578" s="1">
        <v>-8.7874955032749363E-2</v>
      </c>
      <c r="D578" s="2">
        <v>73</v>
      </c>
      <c r="E578" s="4">
        <v>514</v>
      </c>
      <c r="F578" s="4" t="s">
        <v>346</v>
      </c>
      <c r="G578" s="4" t="s">
        <v>347</v>
      </c>
      <c r="H578" t="s">
        <v>77</v>
      </c>
      <c r="I578" t="s">
        <v>352</v>
      </c>
      <c r="J578" s="3">
        <v>2008</v>
      </c>
      <c r="K578" s="3">
        <v>2014</v>
      </c>
      <c r="L578" s="6">
        <f t="shared" si="171"/>
        <v>2011</v>
      </c>
      <c r="M578" s="6">
        <f t="shared" si="172"/>
        <v>2011</v>
      </c>
      <c r="N578" s="7">
        <f t="shared" ref="N578:N641" si="180">MAX(0,$K578-MAX($J578,2016)+1)/($K578-$J578+1)</f>
        <v>0</v>
      </c>
      <c r="O578" s="7">
        <f t="shared" ref="O578:O641" si="181">MAX(0,$K578-MAX($J578,2017)+1)/($K578-$J578+1)</f>
        <v>0</v>
      </c>
      <c r="P578" s="7">
        <f t="shared" ref="P578:P641" si="182">MAX(0,$K578-MAX($J578,2018)+1)/($K578-$J578+1)</f>
        <v>0</v>
      </c>
      <c r="Q578" s="7">
        <f t="shared" si="173"/>
        <v>0</v>
      </c>
      <c r="R578" s="10" t="str">
        <f t="shared" ref="R578:R641" si="183">IF(N578&gt;=0.5,"1_Post","0_Pre")</f>
        <v>0_Pre</v>
      </c>
      <c r="S578" s="10" t="str">
        <f t="shared" ref="S578:S641" si="184">IF($L578&gt;=2016,"1_Post","0_Pre")</f>
        <v>0_Pre</v>
      </c>
      <c r="T578" s="10" t="str">
        <f t="shared" ref="T578:T641" si="185">IF($M578&gt;=2016,"1_Post","0_Pre")</f>
        <v>0_Pre</v>
      </c>
      <c r="U578" s="10" t="str">
        <f t="shared" ref="U578:U641" si="186">IF($K578&gt;=2016,"1_Post","0_Pre")</f>
        <v>0_Pre</v>
      </c>
      <c r="V578" s="10" t="str">
        <f t="shared" si="174"/>
        <v>0_Pre</v>
      </c>
      <c r="W578" s="10" t="str">
        <f t="shared" ref="W578:W641" si="187">IF($K578&lt;=2015,"clean_pre",IF($J578&gt;=2016,"clean_post","straddle"))</f>
        <v>clean_pre</v>
      </c>
      <c r="X578" s="10" t="str">
        <f t="shared" ref="X578:X641" si="188">IF(O578&gt;=0.5,"1_Post","0_Pre")</f>
        <v>0_Pre</v>
      </c>
      <c r="Y578" s="10" t="str">
        <f t="shared" ref="Y578:Y641" si="189">IF(P578&gt;=0.5,"1_Post","0_Pre")</f>
        <v>0_Pre</v>
      </c>
      <c r="Z578" s="10" t="str">
        <f t="shared" ref="Z578:Z641" si="190">IF(Q578&gt;=0.5,"1_Post","0_Pre")</f>
        <v>0_Pre</v>
      </c>
      <c r="AA578" s="10" t="str">
        <f t="shared" si="175"/>
        <v>0_Pre</v>
      </c>
      <c r="AB578" s="10" t="str">
        <f t="shared" si="176"/>
        <v>0_Pre</v>
      </c>
      <c r="AC578" s="10" t="str">
        <f t="shared" si="177"/>
        <v>0_Pre</v>
      </c>
      <c r="AD578" s="10" t="str">
        <f t="shared" si="178"/>
        <v>1_pre sample median</v>
      </c>
      <c r="AE578" s="10" t="str">
        <f t="shared" si="179"/>
        <v>2_in sample second tertile</v>
      </c>
      <c r="AF578" t="s">
        <v>80</v>
      </c>
      <c r="AG578" t="s">
        <v>74</v>
      </c>
      <c r="AH578" t="s">
        <v>79</v>
      </c>
      <c r="AI578" t="s">
        <v>122</v>
      </c>
      <c r="AJ578" t="s">
        <v>123</v>
      </c>
      <c r="AK578" t="str">
        <f>VLOOKUP(MID($AR578,1,255),country_lookup!$B:$F,2,FALSE)</f>
        <v>3_AsiaPac</v>
      </c>
      <c r="AL578" t="str">
        <f>VLOOKUP(MID($AR578,1,255),country_lookup!$B:$F,3,FALSE)</f>
        <v>2_developing</v>
      </c>
      <c r="AM578" t="str">
        <f>VLOOKUP(MID($AR578,1,255),country_lookup!$B:$F,4,FALSE)</f>
        <v>2_non_western</v>
      </c>
      <c r="AN578" t="str">
        <f>VLOOKUP(MID($AR578,1,255),country_lookup!$B:$F,5,FALSE)</f>
        <v>2_civil law</v>
      </c>
      <c r="AO578" s="10" t="str">
        <f>VLOOKUP(MID($AS578,1,255),source_lookup!$B:$K,4,FALSE)</f>
        <v>0_published</v>
      </c>
      <c r="AP578" s="10" t="str">
        <f>VLOOKUP(MID($AS578,1,255),source_lookup!$B:$K,6,FALSE)</f>
        <v>1_VHB high</v>
      </c>
      <c r="AQ578" s="10" t="str">
        <f>VLOOKUP(MID($AS578,1,255),source_lookup!$B:$K,10,FALSE)</f>
        <v>1_fin/acc/econ</v>
      </c>
      <c r="AR578" t="s">
        <v>94</v>
      </c>
      <c r="AS578" t="s">
        <v>147</v>
      </c>
    </row>
    <row r="579" spans="1:45" x14ac:dyDescent="0.3">
      <c r="A579" t="s">
        <v>23</v>
      </c>
      <c r="B579">
        <v>578</v>
      </c>
      <c r="C579" s="1">
        <v>-0.1023781393777983</v>
      </c>
      <c r="D579" s="2">
        <v>73</v>
      </c>
      <c r="E579" s="4">
        <v>514</v>
      </c>
      <c r="F579" s="4" t="s">
        <v>346</v>
      </c>
      <c r="G579" s="4" t="s">
        <v>347</v>
      </c>
      <c r="H579" t="s">
        <v>77</v>
      </c>
      <c r="I579" t="s">
        <v>352</v>
      </c>
      <c r="J579" s="3">
        <v>2008</v>
      </c>
      <c r="K579" s="3">
        <v>2014</v>
      </c>
      <c r="L579" s="6">
        <f t="shared" ref="L579:L642" si="191">ROUND(AVERAGE(J579:K579),100)</f>
        <v>2011</v>
      </c>
      <c r="M579" s="6">
        <f t="shared" ref="M579:M642" si="192">ROUND(MEDIAN(J579:K579),100)</f>
        <v>2011</v>
      </c>
      <c r="N579" s="7">
        <f t="shared" si="180"/>
        <v>0</v>
      </c>
      <c r="O579" s="7">
        <f t="shared" si="181"/>
        <v>0</v>
      </c>
      <c r="P579" s="7">
        <f t="shared" si="182"/>
        <v>0</v>
      </c>
      <c r="Q579" s="7">
        <f t="shared" ref="Q579:Q642" si="193">MAX(0,$K579-MAX($J579,2019)+1)/($K579-$J579+1)</f>
        <v>0</v>
      </c>
      <c r="R579" s="10" t="str">
        <f t="shared" si="183"/>
        <v>0_Pre</v>
      </c>
      <c r="S579" s="10" t="str">
        <f t="shared" si="184"/>
        <v>0_Pre</v>
      </c>
      <c r="T579" s="10" t="str">
        <f t="shared" si="185"/>
        <v>0_Pre</v>
      </c>
      <c r="U579" s="10" t="str">
        <f t="shared" si="186"/>
        <v>0_Pre</v>
      </c>
      <c r="V579" s="10" t="str">
        <f t="shared" ref="V579:V642" si="194">IF($J579&lt;=2017,"0_Pre","1_Post")</f>
        <v>0_Pre</v>
      </c>
      <c r="W579" s="10" t="str">
        <f t="shared" si="187"/>
        <v>clean_pre</v>
      </c>
      <c r="X579" s="10" t="str">
        <f t="shared" si="188"/>
        <v>0_Pre</v>
      </c>
      <c r="Y579" s="10" t="str">
        <f t="shared" si="189"/>
        <v>0_Pre</v>
      </c>
      <c r="Z579" s="10" t="str">
        <f t="shared" si="190"/>
        <v>0_Pre</v>
      </c>
      <c r="AA579" s="10" t="str">
        <f t="shared" ref="AA579:AA642" si="195">IF($K579&gt;=2017,"1_Post","0_Pre")</f>
        <v>0_Pre</v>
      </c>
      <c r="AB579" s="10" t="str">
        <f t="shared" ref="AB579:AB642" si="196">IF($K579&gt;=2018,"1_Post","0_Pre")</f>
        <v>0_Pre</v>
      </c>
      <c r="AC579" s="10" t="str">
        <f t="shared" ref="AC579:AC642" si="197">IF($K579&gt;=2019,"1_Post","0_Pre")</f>
        <v>0_Pre</v>
      </c>
      <c r="AD579" s="10" t="str">
        <f t="shared" ref="AD579:AD642" si="198">IF(L579&lt;MEDIAN($L$2:$L$1307),"1_pre sample median","2_post sample median")</f>
        <v>1_pre sample median</v>
      </c>
      <c r="AE579" s="10" t="str">
        <f t="shared" ref="AE579:AE642" si="199">IF(L579&lt;=PERCENTILE($L$2:$L$1307,0.33),"1_pre sample first tertile",IF(L579&gt;=PERCENTILE($L$2:$L$1307,0.67),"3_post sample third tertile","2_in sample second tertile"))</f>
        <v>2_in sample second tertile</v>
      </c>
      <c r="AF579" t="s">
        <v>80</v>
      </c>
      <c r="AG579" t="s">
        <v>74</v>
      </c>
      <c r="AH579" t="s">
        <v>79</v>
      </c>
      <c r="AI579" t="s">
        <v>122</v>
      </c>
      <c r="AJ579" t="s">
        <v>123</v>
      </c>
      <c r="AK579" t="str">
        <f>VLOOKUP(MID($AR579,1,255),country_lookup!$B:$F,2,FALSE)</f>
        <v>3_AsiaPac</v>
      </c>
      <c r="AL579" t="str">
        <f>VLOOKUP(MID($AR579,1,255),country_lookup!$B:$F,3,FALSE)</f>
        <v>2_developing</v>
      </c>
      <c r="AM579" t="str">
        <f>VLOOKUP(MID($AR579,1,255),country_lookup!$B:$F,4,FALSE)</f>
        <v>2_non_western</v>
      </c>
      <c r="AN579" t="str">
        <f>VLOOKUP(MID($AR579,1,255),country_lookup!$B:$F,5,FALSE)</f>
        <v>2_civil law</v>
      </c>
      <c r="AO579" s="10" t="str">
        <f>VLOOKUP(MID($AS579,1,255),source_lookup!$B:$K,4,FALSE)</f>
        <v>0_published</v>
      </c>
      <c r="AP579" s="10" t="str">
        <f>VLOOKUP(MID($AS579,1,255),source_lookup!$B:$K,6,FALSE)</f>
        <v>1_VHB high</v>
      </c>
      <c r="AQ579" s="10" t="str">
        <f>VLOOKUP(MID($AS579,1,255),source_lookup!$B:$K,10,FALSE)</f>
        <v>1_fin/acc/econ</v>
      </c>
      <c r="AR579" t="s">
        <v>94</v>
      </c>
      <c r="AS579" t="s">
        <v>147</v>
      </c>
    </row>
    <row r="580" spans="1:45" x14ac:dyDescent="0.3">
      <c r="A580" t="s">
        <v>23</v>
      </c>
      <c r="B580">
        <v>579</v>
      </c>
      <c r="C580" s="1">
        <v>-0.13118084083398779</v>
      </c>
      <c r="D580" s="2">
        <v>73</v>
      </c>
      <c r="E580" s="4">
        <v>514</v>
      </c>
      <c r="F580" s="4" t="s">
        <v>346</v>
      </c>
      <c r="G580" s="4" t="s">
        <v>347</v>
      </c>
      <c r="H580" t="s">
        <v>77</v>
      </c>
      <c r="I580" t="s">
        <v>352</v>
      </c>
      <c r="J580" s="3">
        <v>2008</v>
      </c>
      <c r="K580" s="3">
        <v>2014</v>
      </c>
      <c r="L580" s="6">
        <f t="shared" si="191"/>
        <v>2011</v>
      </c>
      <c r="M580" s="6">
        <f t="shared" si="192"/>
        <v>2011</v>
      </c>
      <c r="N580" s="7">
        <f t="shared" si="180"/>
        <v>0</v>
      </c>
      <c r="O580" s="7">
        <f t="shared" si="181"/>
        <v>0</v>
      </c>
      <c r="P580" s="7">
        <f t="shared" si="182"/>
        <v>0</v>
      </c>
      <c r="Q580" s="7">
        <f t="shared" si="193"/>
        <v>0</v>
      </c>
      <c r="R580" s="10" t="str">
        <f t="shared" si="183"/>
        <v>0_Pre</v>
      </c>
      <c r="S580" s="10" t="str">
        <f t="shared" si="184"/>
        <v>0_Pre</v>
      </c>
      <c r="T580" s="10" t="str">
        <f t="shared" si="185"/>
        <v>0_Pre</v>
      </c>
      <c r="U580" s="10" t="str">
        <f t="shared" si="186"/>
        <v>0_Pre</v>
      </c>
      <c r="V580" s="10" t="str">
        <f t="shared" si="194"/>
        <v>0_Pre</v>
      </c>
      <c r="W580" s="10" t="str">
        <f t="shared" si="187"/>
        <v>clean_pre</v>
      </c>
      <c r="X580" s="10" t="str">
        <f t="shared" si="188"/>
        <v>0_Pre</v>
      </c>
      <c r="Y580" s="10" t="str">
        <f t="shared" si="189"/>
        <v>0_Pre</v>
      </c>
      <c r="Z580" s="10" t="str">
        <f t="shared" si="190"/>
        <v>0_Pre</v>
      </c>
      <c r="AA580" s="10" t="str">
        <f t="shared" si="195"/>
        <v>0_Pre</v>
      </c>
      <c r="AB580" s="10" t="str">
        <f t="shared" si="196"/>
        <v>0_Pre</v>
      </c>
      <c r="AC580" s="10" t="str">
        <f t="shared" si="197"/>
        <v>0_Pre</v>
      </c>
      <c r="AD580" s="10" t="str">
        <f t="shared" si="198"/>
        <v>1_pre sample median</v>
      </c>
      <c r="AE580" s="10" t="str">
        <f t="shared" si="199"/>
        <v>2_in sample second tertile</v>
      </c>
      <c r="AF580" t="s">
        <v>80</v>
      </c>
      <c r="AG580" t="s">
        <v>74</v>
      </c>
      <c r="AH580" t="s">
        <v>79</v>
      </c>
      <c r="AI580" t="s">
        <v>122</v>
      </c>
      <c r="AJ580" t="s">
        <v>123</v>
      </c>
      <c r="AK580" t="str">
        <f>VLOOKUP(MID($AR580,1,255),country_lookup!$B:$F,2,FALSE)</f>
        <v>3_AsiaPac</v>
      </c>
      <c r="AL580" t="str">
        <f>VLOOKUP(MID($AR580,1,255),country_lookup!$B:$F,3,FALSE)</f>
        <v>2_developing</v>
      </c>
      <c r="AM580" t="str">
        <f>VLOOKUP(MID($AR580,1,255),country_lookup!$B:$F,4,FALSE)</f>
        <v>2_non_western</v>
      </c>
      <c r="AN580" t="str">
        <f>VLOOKUP(MID($AR580,1,255),country_lookup!$B:$F,5,FALSE)</f>
        <v>2_civil law</v>
      </c>
      <c r="AO580" s="10" t="str">
        <f>VLOOKUP(MID($AS580,1,255),source_lookup!$B:$K,4,FALSE)</f>
        <v>0_published</v>
      </c>
      <c r="AP580" s="10" t="str">
        <f>VLOOKUP(MID($AS580,1,255),source_lookup!$B:$K,6,FALSE)</f>
        <v>1_VHB high</v>
      </c>
      <c r="AQ580" s="10" t="str">
        <f>VLOOKUP(MID($AS580,1,255),source_lookup!$B:$K,10,FALSE)</f>
        <v>1_fin/acc/econ</v>
      </c>
      <c r="AR580" t="s">
        <v>94</v>
      </c>
      <c r="AS580" t="s">
        <v>147</v>
      </c>
    </row>
    <row r="581" spans="1:45" x14ac:dyDescent="0.3">
      <c r="A581" t="s">
        <v>23</v>
      </c>
      <c r="B581">
        <v>580</v>
      </c>
      <c r="C581" s="1">
        <v>-0.13118084083398779</v>
      </c>
      <c r="D581" s="2">
        <v>73</v>
      </c>
      <c r="E581" s="4">
        <v>514</v>
      </c>
      <c r="F581" s="4" t="s">
        <v>346</v>
      </c>
      <c r="G581" s="4" t="s">
        <v>347</v>
      </c>
      <c r="H581" t="s">
        <v>77</v>
      </c>
      <c r="I581" t="s">
        <v>352</v>
      </c>
      <c r="J581" s="3">
        <v>2008</v>
      </c>
      <c r="K581" s="3">
        <v>2014</v>
      </c>
      <c r="L581" s="6">
        <f t="shared" si="191"/>
        <v>2011</v>
      </c>
      <c r="M581" s="6">
        <f t="shared" si="192"/>
        <v>2011</v>
      </c>
      <c r="N581" s="7">
        <f t="shared" si="180"/>
        <v>0</v>
      </c>
      <c r="O581" s="7">
        <f t="shared" si="181"/>
        <v>0</v>
      </c>
      <c r="P581" s="7">
        <f t="shared" si="182"/>
        <v>0</v>
      </c>
      <c r="Q581" s="7">
        <f t="shared" si="193"/>
        <v>0</v>
      </c>
      <c r="R581" s="10" t="str">
        <f t="shared" si="183"/>
        <v>0_Pre</v>
      </c>
      <c r="S581" s="10" t="str">
        <f t="shared" si="184"/>
        <v>0_Pre</v>
      </c>
      <c r="T581" s="10" t="str">
        <f t="shared" si="185"/>
        <v>0_Pre</v>
      </c>
      <c r="U581" s="10" t="str">
        <f t="shared" si="186"/>
        <v>0_Pre</v>
      </c>
      <c r="V581" s="10" t="str">
        <f t="shared" si="194"/>
        <v>0_Pre</v>
      </c>
      <c r="W581" s="10" t="str">
        <f t="shared" si="187"/>
        <v>clean_pre</v>
      </c>
      <c r="X581" s="10" t="str">
        <f t="shared" si="188"/>
        <v>0_Pre</v>
      </c>
      <c r="Y581" s="10" t="str">
        <f t="shared" si="189"/>
        <v>0_Pre</v>
      </c>
      <c r="Z581" s="10" t="str">
        <f t="shared" si="190"/>
        <v>0_Pre</v>
      </c>
      <c r="AA581" s="10" t="str">
        <f t="shared" si="195"/>
        <v>0_Pre</v>
      </c>
      <c r="AB581" s="10" t="str">
        <f t="shared" si="196"/>
        <v>0_Pre</v>
      </c>
      <c r="AC581" s="10" t="str">
        <f t="shared" si="197"/>
        <v>0_Pre</v>
      </c>
      <c r="AD581" s="10" t="str">
        <f t="shared" si="198"/>
        <v>1_pre sample median</v>
      </c>
      <c r="AE581" s="10" t="str">
        <f t="shared" si="199"/>
        <v>2_in sample second tertile</v>
      </c>
      <c r="AF581" t="s">
        <v>80</v>
      </c>
      <c r="AG581" t="s">
        <v>74</v>
      </c>
      <c r="AH581" t="s">
        <v>79</v>
      </c>
      <c r="AI581" t="s">
        <v>122</v>
      </c>
      <c r="AJ581" t="s">
        <v>123</v>
      </c>
      <c r="AK581" t="str">
        <f>VLOOKUP(MID($AR581,1,255),country_lookup!$B:$F,2,FALSE)</f>
        <v>3_AsiaPac</v>
      </c>
      <c r="AL581" t="str">
        <f>VLOOKUP(MID($AR581,1,255),country_lookup!$B:$F,3,FALSE)</f>
        <v>2_developing</v>
      </c>
      <c r="AM581" t="str">
        <f>VLOOKUP(MID($AR581,1,255),country_lookup!$B:$F,4,FALSE)</f>
        <v>2_non_western</v>
      </c>
      <c r="AN581" t="str">
        <f>VLOOKUP(MID($AR581,1,255),country_lookup!$B:$F,5,FALSE)</f>
        <v>2_civil law</v>
      </c>
      <c r="AO581" s="10" t="str">
        <f>VLOOKUP(MID($AS581,1,255),source_lookup!$B:$K,4,FALSE)</f>
        <v>0_published</v>
      </c>
      <c r="AP581" s="10" t="str">
        <f>VLOOKUP(MID($AS581,1,255),source_lookup!$B:$K,6,FALSE)</f>
        <v>1_VHB high</v>
      </c>
      <c r="AQ581" s="10" t="str">
        <f>VLOOKUP(MID($AS581,1,255),source_lookup!$B:$K,10,FALSE)</f>
        <v>1_fin/acc/econ</v>
      </c>
      <c r="AR581" t="s">
        <v>94</v>
      </c>
      <c r="AS581" t="s">
        <v>147</v>
      </c>
    </row>
    <row r="582" spans="1:45" x14ac:dyDescent="0.3">
      <c r="A582" t="s">
        <v>23</v>
      </c>
      <c r="B582">
        <v>581</v>
      </c>
      <c r="C582" s="1">
        <v>-0.17374889710522776</v>
      </c>
      <c r="D582" s="2">
        <v>73</v>
      </c>
      <c r="E582" s="4">
        <v>514</v>
      </c>
      <c r="F582" s="4" t="s">
        <v>346</v>
      </c>
      <c r="G582" s="4" t="s">
        <v>347</v>
      </c>
      <c r="H582" t="s">
        <v>77</v>
      </c>
      <c r="I582" t="s">
        <v>352</v>
      </c>
      <c r="J582" s="3">
        <v>2008</v>
      </c>
      <c r="K582" s="3">
        <v>2014</v>
      </c>
      <c r="L582" s="6">
        <f t="shared" si="191"/>
        <v>2011</v>
      </c>
      <c r="M582" s="6">
        <f t="shared" si="192"/>
        <v>2011</v>
      </c>
      <c r="N582" s="7">
        <f t="shared" si="180"/>
        <v>0</v>
      </c>
      <c r="O582" s="7">
        <f t="shared" si="181"/>
        <v>0</v>
      </c>
      <c r="P582" s="7">
        <f t="shared" si="182"/>
        <v>0</v>
      </c>
      <c r="Q582" s="7">
        <f t="shared" si="193"/>
        <v>0</v>
      </c>
      <c r="R582" s="10" t="str">
        <f t="shared" si="183"/>
        <v>0_Pre</v>
      </c>
      <c r="S582" s="10" t="str">
        <f t="shared" si="184"/>
        <v>0_Pre</v>
      </c>
      <c r="T582" s="10" t="str">
        <f t="shared" si="185"/>
        <v>0_Pre</v>
      </c>
      <c r="U582" s="10" t="str">
        <f t="shared" si="186"/>
        <v>0_Pre</v>
      </c>
      <c r="V582" s="10" t="str">
        <f t="shared" si="194"/>
        <v>0_Pre</v>
      </c>
      <c r="W582" s="10" t="str">
        <f t="shared" si="187"/>
        <v>clean_pre</v>
      </c>
      <c r="X582" s="10" t="str">
        <f t="shared" si="188"/>
        <v>0_Pre</v>
      </c>
      <c r="Y582" s="10" t="str">
        <f t="shared" si="189"/>
        <v>0_Pre</v>
      </c>
      <c r="Z582" s="10" t="str">
        <f t="shared" si="190"/>
        <v>0_Pre</v>
      </c>
      <c r="AA582" s="10" t="str">
        <f t="shared" si="195"/>
        <v>0_Pre</v>
      </c>
      <c r="AB582" s="10" t="str">
        <f t="shared" si="196"/>
        <v>0_Pre</v>
      </c>
      <c r="AC582" s="10" t="str">
        <f t="shared" si="197"/>
        <v>0_Pre</v>
      </c>
      <c r="AD582" s="10" t="str">
        <f t="shared" si="198"/>
        <v>1_pre sample median</v>
      </c>
      <c r="AE582" s="10" t="str">
        <f t="shared" si="199"/>
        <v>2_in sample second tertile</v>
      </c>
      <c r="AF582" t="s">
        <v>80</v>
      </c>
      <c r="AG582" t="s">
        <v>74</v>
      </c>
      <c r="AH582" t="s">
        <v>79</v>
      </c>
      <c r="AI582" t="s">
        <v>122</v>
      </c>
      <c r="AJ582" t="s">
        <v>123</v>
      </c>
      <c r="AK582" t="str">
        <f>VLOOKUP(MID($AR582,1,255),country_lookup!$B:$F,2,FALSE)</f>
        <v>3_AsiaPac</v>
      </c>
      <c r="AL582" t="str">
        <f>VLOOKUP(MID($AR582,1,255),country_lookup!$B:$F,3,FALSE)</f>
        <v>2_developing</v>
      </c>
      <c r="AM582" t="str">
        <f>VLOOKUP(MID($AR582,1,255),country_lookup!$B:$F,4,FALSE)</f>
        <v>2_non_western</v>
      </c>
      <c r="AN582" t="str">
        <f>VLOOKUP(MID($AR582,1,255),country_lookup!$B:$F,5,FALSE)</f>
        <v>2_civil law</v>
      </c>
      <c r="AO582" s="10" t="str">
        <f>VLOOKUP(MID($AS582,1,255),source_lookup!$B:$K,4,FALSE)</f>
        <v>0_published</v>
      </c>
      <c r="AP582" s="10" t="str">
        <f>VLOOKUP(MID($AS582,1,255),source_lookup!$B:$K,6,FALSE)</f>
        <v>1_VHB high</v>
      </c>
      <c r="AQ582" s="10" t="str">
        <f>VLOOKUP(MID($AS582,1,255),source_lookup!$B:$K,10,FALSE)</f>
        <v>1_fin/acc/econ</v>
      </c>
      <c r="AR582" t="s">
        <v>94</v>
      </c>
      <c r="AS582" t="s">
        <v>147</v>
      </c>
    </row>
    <row r="583" spans="1:45" x14ac:dyDescent="0.3">
      <c r="A583" t="s">
        <v>23</v>
      </c>
      <c r="B583">
        <v>582</v>
      </c>
      <c r="C583" s="1">
        <v>-4.4065264923923174E-2</v>
      </c>
      <c r="D583" s="2">
        <v>73</v>
      </c>
      <c r="E583" s="4">
        <v>514</v>
      </c>
      <c r="F583" s="4" t="s">
        <v>346</v>
      </c>
      <c r="G583" s="4" t="s">
        <v>347</v>
      </c>
      <c r="H583" t="s">
        <v>77</v>
      </c>
      <c r="I583" t="s">
        <v>352</v>
      </c>
      <c r="J583" s="3">
        <v>2008</v>
      </c>
      <c r="K583" s="3">
        <v>2014</v>
      </c>
      <c r="L583" s="6">
        <f t="shared" si="191"/>
        <v>2011</v>
      </c>
      <c r="M583" s="6">
        <f t="shared" si="192"/>
        <v>2011</v>
      </c>
      <c r="N583" s="7">
        <f t="shared" si="180"/>
        <v>0</v>
      </c>
      <c r="O583" s="7">
        <f t="shared" si="181"/>
        <v>0</v>
      </c>
      <c r="P583" s="7">
        <f t="shared" si="182"/>
        <v>0</v>
      </c>
      <c r="Q583" s="7">
        <f t="shared" si="193"/>
        <v>0</v>
      </c>
      <c r="R583" s="10" t="str">
        <f t="shared" si="183"/>
        <v>0_Pre</v>
      </c>
      <c r="S583" s="10" t="str">
        <f t="shared" si="184"/>
        <v>0_Pre</v>
      </c>
      <c r="T583" s="10" t="str">
        <f t="shared" si="185"/>
        <v>0_Pre</v>
      </c>
      <c r="U583" s="10" t="str">
        <f t="shared" si="186"/>
        <v>0_Pre</v>
      </c>
      <c r="V583" s="10" t="str">
        <f t="shared" si="194"/>
        <v>0_Pre</v>
      </c>
      <c r="W583" s="10" t="str">
        <f t="shared" si="187"/>
        <v>clean_pre</v>
      </c>
      <c r="X583" s="10" t="str">
        <f t="shared" si="188"/>
        <v>0_Pre</v>
      </c>
      <c r="Y583" s="10" t="str">
        <f t="shared" si="189"/>
        <v>0_Pre</v>
      </c>
      <c r="Z583" s="10" t="str">
        <f t="shared" si="190"/>
        <v>0_Pre</v>
      </c>
      <c r="AA583" s="10" t="str">
        <f t="shared" si="195"/>
        <v>0_Pre</v>
      </c>
      <c r="AB583" s="10" t="str">
        <f t="shared" si="196"/>
        <v>0_Pre</v>
      </c>
      <c r="AC583" s="10" t="str">
        <f t="shared" si="197"/>
        <v>0_Pre</v>
      </c>
      <c r="AD583" s="10" t="str">
        <f t="shared" si="198"/>
        <v>1_pre sample median</v>
      </c>
      <c r="AE583" s="10" t="str">
        <f t="shared" si="199"/>
        <v>2_in sample second tertile</v>
      </c>
      <c r="AF583" t="s">
        <v>80</v>
      </c>
      <c r="AG583" t="s">
        <v>74</v>
      </c>
      <c r="AH583" t="s">
        <v>79</v>
      </c>
      <c r="AI583" t="s">
        <v>122</v>
      </c>
      <c r="AJ583" t="s">
        <v>123</v>
      </c>
      <c r="AK583" t="str">
        <f>VLOOKUP(MID($AR583,1,255),country_lookup!$B:$F,2,FALSE)</f>
        <v>3_AsiaPac</v>
      </c>
      <c r="AL583" t="str">
        <f>VLOOKUP(MID($AR583,1,255),country_lookup!$B:$F,3,FALSE)</f>
        <v>2_developing</v>
      </c>
      <c r="AM583" t="str">
        <f>VLOOKUP(MID($AR583,1,255),country_lookup!$B:$F,4,FALSE)</f>
        <v>2_non_western</v>
      </c>
      <c r="AN583" t="str">
        <f>VLOOKUP(MID($AR583,1,255),country_lookup!$B:$F,5,FALSE)</f>
        <v>2_civil law</v>
      </c>
      <c r="AO583" s="10" t="str">
        <f>VLOOKUP(MID($AS583,1,255),source_lookup!$B:$K,4,FALSE)</f>
        <v>0_published</v>
      </c>
      <c r="AP583" s="10" t="str">
        <f>VLOOKUP(MID($AS583,1,255),source_lookup!$B:$K,6,FALSE)</f>
        <v>1_VHB high</v>
      </c>
      <c r="AQ583" s="10" t="str">
        <f>VLOOKUP(MID($AS583,1,255),source_lookup!$B:$K,10,FALSE)</f>
        <v>1_fin/acc/econ</v>
      </c>
      <c r="AR583" t="s">
        <v>94</v>
      </c>
      <c r="AS583" t="s">
        <v>147</v>
      </c>
    </row>
    <row r="584" spans="1:45" x14ac:dyDescent="0.3">
      <c r="A584" t="s">
        <v>23</v>
      </c>
      <c r="B584">
        <v>583</v>
      </c>
      <c r="C584" s="1">
        <v>-8.7874955032749363E-2</v>
      </c>
      <c r="D584" s="2">
        <v>73</v>
      </c>
      <c r="E584" s="4">
        <v>514</v>
      </c>
      <c r="F584" s="4" t="s">
        <v>346</v>
      </c>
      <c r="G584" s="4" t="s">
        <v>347</v>
      </c>
      <c r="H584" t="s">
        <v>77</v>
      </c>
      <c r="I584" t="s">
        <v>352</v>
      </c>
      <c r="J584" s="3">
        <v>2008</v>
      </c>
      <c r="K584" s="3">
        <v>2014</v>
      </c>
      <c r="L584" s="6">
        <f t="shared" si="191"/>
        <v>2011</v>
      </c>
      <c r="M584" s="6">
        <f t="shared" si="192"/>
        <v>2011</v>
      </c>
      <c r="N584" s="7">
        <f t="shared" si="180"/>
        <v>0</v>
      </c>
      <c r="O584" s="7">
        <f t="shared" si="181"/>
        <v>0</v>
      </c>
      <c r="P584" s="7">
        <f t="shared" si="182"/>
        <v>0</v>
      </c>
      <c r="Q584" s="7">
        <f t="shared" si="193"/>
        <v>0</v>
      </c>
      <c r="R584" s="10" t="str">
        <f t="shared" si="183"/>
        <v>0_Pre</v>
      </c>
      <c r="S584" s="10" t="str">
        <f t="shared" si="184"/>
        <v>0_Pre</v>
      </c>
      <c r="T584" s="10" t="str">
        <f t="shared" si="185"/>
        <v>0_Pre</v>
      </c>
      <c r="U584" s="10" t="str">
        <f t="shared" si="186"/>
        <v>0_Pre</v>
      </c>
      <c r="V584" s="10" t="str">
        <f t="shared" si="194"/>
        <v>0_Pre</v>
      </c>
      <c r="W584" s="10" t="str">
        <f t="shared" si="187"/>
        <v>clean_pre</v>
      </c>
      <c r="X584" s="10" t="str">
        <f t="shared" si="188"/>
        <v>0_Pre</v>
      </c>
      <c r="Y584" s="10" t="str">
        <f t="shared" si="189"/>
        <v>0_Pre</v>
      </c>
      <c r="Z584" s="10" t="str">
        <f t="shared" si="190"/>
        <v>0_Pre</v>
      </c>
      <c r="AA584" s="10" t="str">
        <f t="shared" si="195"/>
        <v>0_Pre</v>
      </c>
      <c r="AB584" s="10" t="str">
        <f t="shared" si="196"/>
        <v>0_Pre</v>
      </c>
      <c r="AC584" s="10" t="str">
        <f t="shared" si="197"/>
        <v>0_Pre</v>
      </c>
      <c r="AD584" s="10" t="str">
        <f t="shared" si="198"/>
        <v>1_pre sample median</v>
      </c>
      <c r="AE584" s="10" t="str">
        <f t="shared" si="199"/>
        <v>2_in sample second tertile</v>
      </c>
      <c r="AF584" t="s">
        <v>80</v>
      </c>
      <c r="AG584" t="s">
        <v>74</v>
      </c>
      <c r="AH584" t="s">
        <v>79</v>
      </c>
      <c r="AI584" t="s">
        <v>122</v>
      </c>
      <c r="AJ584" t="s">
        <v>123</v>
      </c>
      <c r="AK584" t="str">
        <f>VLOOKUP(MID($AR584,1,255),country_lookup!$B:$F,2,FALSE)</f>
        <v>3_AsiaPac</v>
      </c>
      <c r="AL584" t="str">
        <f>VLOOKUP(MID($AR584,1,255),country_lookup!$B:$F,3,FALSE)</f>
        <v>2_developing</v>
      </c>
      <c r="AM584" t="str">
        <f>VLOOKUP(MID($AR584,1,255),country_lookup!$B:$F,4,FALSE)</f>
        <v>2_non_western</v>
      </c>
      <c r="AN584" t="str">
        <f>VLOOKUP(MID($AR584,1,255),country_lookup!$B:$F,5,FALSE)</f>
        <v>2_civil law</v>
      </c>
      <c r="AO584" s="10" t="str">
        <f>VLOOKUP(MID($AS584,1,255),source_lookup!$B:$K,4,FALSE)</f>
        <v>0_published</v>
      </c>
      <c r="AP584" s="10" t="str">
        <f>VLOOKUP(MID($AS584,1,255),source_lookup!$B:$K,6,FALSE)</f>
        <v>1_VHB high</v>
      </c>
      <c r="AQ584" s="10" t="str">
        <f>VLOOKUP(MID($AS584,1,255),source_lookup!$B:$K,10,FALSE)</f>
        <v>1_fin/acc/econ</v>
      </c>
      <c r="AR584" t="s">
        <v>94</v>
      </c>
      <c r="AS584" t="s">
        <v>147</v>
      </c>
    </row>
    <row r="585" spans="1:45" x14ac:dyDescent="0.3">
      <c r="A585" t="s">
        <v>23</v>
      </c>
      <c r="B585">
        <v>584</v>
      </c>
      <c r="C585" s="1">
        <v>-0.215365246126974</v>
      </c>
      <c r="D585" s="2">
        <v>73</v>
      </c>
      <c r="E585" s="4">
        <v>514</v>
      </c>
      <c r="F585" s="4" t="s">
        <v>346</v>
      </c>
      <c r="G585" s="4" t="s">
        <v>347</v>
      </c>
      <c r="H585" t="s">
        <v>77</v>
      </c>
      <c r="I585" t="s">
        <v>352</v>
      </c>
      <c r="J585" s="3">
        <v>2008</v>
      </c>
      <c r="K585" s="3">
        <v>2014</v>
      </c>
      <c r="L585" s="6">
        <f t="shared" si="191"/>
        <v>2011</v>
      </c>
      <c r="M585" s="6">
        <f t="shared" si="192"/>
        <v>2011</v>
      </c>
      <c r="N585" s="7">
        <f t="shared" si="180"/>
        <v>0</v>
      </c>
      <c r="O585" s="7">
        <f t="shared" si="181"/>
        <v>0</v>
      </c>
      <c r="P585" s="7">
        <f t="shared" si="182"/>
        <v>0</v>
      </c>
      <c r="Q585" s="7">
        <f t="shared" si="193"/>
        <v>0</v>
      </c>
      <c r="R585" s="10" t="str">
        <f t="shared" si="183"/>
        <v>0_Pre</v>
      </c>
      <c r="S585" s="10" t="str">
        <f t="shared" si="184"/>
        <v>0_Pre</v>
      </c>
      <c r="T585" s="10" t="str">
        <f t="shared" si="185"/>
        <v>0_Pre</v>
      </c>
      <c r="U585" s="10" t="str">
        <f t="shared" si="186"/>
        <v>0_Pre</v>
      </c>
      <c r="V585" s="10" t="str">
        <f t="shared" si="194"/>
        <v>0_Pre</v>
      </c>
      <c r="W585" s="10" t="str">
        <f t="shared" si="187"/>
        <v>clean_pre</v>
      </c>
      <c r="X585" s="10" t="str">
        <f t="shared" si="188"/>
        <v>0_Pre</v>
      </c>
      <c r="Y585" s="10" t="str">
        <f t="shared" si="189"/>
        <v>0_Pre</v>
      </c>
      <c r="Z585" s="10" t="str">
        <f t="shared" si="190"/>
        <v>0_Pre</v>
      </c>
      <c r="AA585" s="10" t="str">
        <f t="shared" si="195"/>
        <v>0_Pre</v>
      </c>
      <c r="AB585" s="10" t="str">
        <f t="shared" si="196"/>
        <v>0_Pre</v>
      </c>
      <c r="AC585" s="10" t="str">
        <f t="shared" si="197"/>
        <v>0_Pre</v>
      </c>
      <c r="AD585" s="10" t="str">
        <f t="shared" si="198"/>
        <v>1_pre sample median</v>
      </c>
      <c r="AE585" s="10" t="str">
        <f t="shared" si="199"/>
        <v>2_in sample second tertile</v>
      </c>
      <c r="AF585" t="s">
        <v>80</v>
      </c>
      <c r="AG585" t="s">
        <v>74</v>
      </c>
      <c r="AH585" t="s">
        <v>79</v>
      </c>
      <c r="AI585" t="s">
        <v>122</v>
      </c>
      <c r="AJ585" t="s">
        <v>123</v>
      </c>
      <c r="AK585" t="str">
        <f>VLOOKUP(MID($AR585,1,255),country_lookup!$B:$F,2,FALSE)</f>
        <v>3_AsiaPac</v>
      </c>
      <c r="AL585" t="str">
        <f>VLOOKUP(MID($AR585,1,255),country_lookup!$B:$F,3,FALSE)</f>
        <v>2_developing</v>
      </c>
      <c r="AM585" t="str">
        <f>VLOOKUP(MID($AR585,1,255),country_lookup!$B:$F,4,FALSE)</f>
        <v>2_non_western</v>
      </c>
      <c r="AN585" t="str">
        <f>VLOOKUP(MID($AR585,1,255),country_lookup!$B:$F,5,FALSE)</f>
        <v>2_civil law</v>
      </c>
      <c r="AO585" s="10" t="str">
        <f>VLOOKUP(MID($AS585,1,255),source_lookup!$B:$K,4,FALSE)</f>
        <v>0_published</v>
      </c>
      <c r="AP585" s="10" t="str">
        <f>VLOOKUP(MID($AS585,1,255),source_lookup!$B:$K,6,FALSE)</f>
        <v>1_VHB high</v>
      </c>
      <c r="AQ585" s="10" t="str">
        <f>VLOOKUP(MID($AS585,1,255),source_lookup!$B:$K,10,FALSE)</f>
        <v>1_fin/acc/econ</v>
      </c>
      <c r="AR585" t="s">
        <v>94</v>
      </c>
      <c r="AS585" t="s">
        <v>147</v>
      </c>
    </row>
    <row r="586" spans="1:45" x14ac:dyDescent="0.3">
      <c r="A586" t="s">
        <v>23</v>
      </c>
      <c r="B586">
        <v>585</v>
      </c>
      <c r="C586" s="1">
        <v>-0.40356715613563088</v>
      </c>
      <c r="D586" s="2">
        <v>73</v>
      </c>
      <c r="E586" s="4">
        <v>514</v>
      </c>
      <c r="F586" s="4" t="s">
        <v>346</v>
      </c>
      <c r="G586" s="4" t="s">
        <v>347</v>
      </c>
      <c r="H586" t="s">
        <v>77</v>
      </c>
      <c r="I586" t="s">
        <v>352</v>
      </c>
      <c r="J586" s="3">
        <v>2008</v>
      </c>
      <c r="K586" s="3">
        <v>2014</v>
      </c>
      <c r="L586" s="6">
        <f t="shared" si="191"/>
        <v>2011</v>
      </c>
      <c r="M586" s="6">
        <f t="shared" si="192"/>
        <v>2011</v>
      </c>
      <c r="N586" s="7">
        <f t="shared" si="180"/>
        <v>0</v>
      </c>
      <c r="O586" s="7">
        <f t="shared" si="181"/>
        <v>0</v>
      </c>
      <c r="P586" s="7">
        <f t="shared" si="182"/>
        <v>0</v>
      </c>
      <c r="Q586" s="7">
        <f t="shared" si="193"/>
        <v>0</v>
      </c>
      <c r="R586" s="10" t="str">
        <f t="shared" si="183"/>
        <v>0_Pre</v>
      </c>
      <c r="S586" s="10" t="str">
        <f t="shared" si="184"/>
        <v>0_Pre</v>
      </c>
      <c r="T586" s="10" t="str">
        <f t="shared" si="185"/>
        <v>0_Pre</v>
      </c>
      <c r="U586" s="10" t="str">
        <f t="shared" si="186"/>
        <v>0_Pre</v>
      </c>
      <c r="V586" s="10" t="str">
        <f t="shared" si="194"/>
        <v>0_Pre</v>
      </c>
      <c r="W586" s="10" t="str">
        <f t="shared" si="187"/>
        <v>clean_pre</v>
      </c>
      <c r="X586" s="10" t="str">
        <f t="shared" si="188"/>
        <v>0_Pre</v>
      </c>
      <c r="Y586" s="10" t="str">
        <f t="shared" si="189"/>
        <v>0_Pre</v>
      </c>
      <c r="Z586" s="10" t="str">
        <f t="shared" si="190"/>
        <v>0_Pre</v>
      </c>
      <c r="AA586" s="10" t="str">
        <f t="shared" si="195"/>
        <v>0_Pre</v>
      </c>
      <c r="AB586" s="10" t="str">
        <f t="shared" si="196"/>
        <v>0_Pre</v>
      </c>
      <c r="AC586" s="10" t="str">
        <f t="shared" si="197"/>
        <v>0_Pre</v>
      </c>
      <c r="AD586" s="10" t="str">
        <f t="shared" si="198"/>
        <v>1_pre sample median</v>
      </c>
      <c r="AE586" s="10" t="str">
        <f t="shared" si="199"/>
        <v>2_in sample second tertile</v>
      </c>
      <c r="AF586" t="s">
        <v>80</v>
      </c>
      <c r="AG586" t="s">
        <v>74</v>
      </c>
      <c r="AH586" t="s">
        <v>79</v>
      </c>
      <c r="AI586" t="s">
        <v>122</v>
      </c>
      <c r="AJ586" t="s">
        <v>123</v>
      </c>
      <c r="AK586" t="str">
        <f>VLOOKUP(MID($AR586,1,255),country_lookup!$B:$F,2,FALSE)</f>
        <v>3_AsiaPac</v>
      </c>
      <c r="AL586" t="str">
        <f>VLOOKUP(MID($AR586,1,255),country_lookup!$B:$F,3,FALSE)</f>
        <v>2_developing</v>
      </c>
      <c r="AM586" t="str">
        <f>VLOOKUP(MID($AR586,1,255),country_lookup!$B:$F,4,FALSE)</f>
        <v>2_non_western</v>
      </c>
      <c r="AN586" t="str">
        <f>VLOOKUP(MID($AR586,1,255),country_lookup!$B:$F,5,FALSE)</f>
        <v>2_civil law</v>
      </c>
      <c r="AO586" s="10" t="str">
        <f>VLOOKUP(MID($AS586,1,255),source_lookup!$B:$K,4,FALSE)</f>
        <v>0_published</v>
      </c>
      <c r="AP586" s="10" t="str">
        <f>VLOOKUP(MID($AS586,1,255),source_lookup!$B:$K,6,FALSE)</f>
        <v>1_VHB high</v>
      </c>
      <c r="AQ586" s="10" t="str">
        <f>VLOOKUP(MID($AS586,1,255),source_lookup!$B:$K,10,FALSE)</f>
        <v>1_fin/acc/econ</v>
      </c>
      <c r="AR586" t="s">
        <v>94</v>
      </c>
      <c r="AS586" t="s">
        <v>147</v>
      </c>
    </row>
    <row r="587" spans="1:45" x14ac:dyDescent="0.3">
      <c r="A587" t="s">
        <v>23</v>
      </c>
      <c r="B587">
        <v>586</v>
      </c>
      <c r="C587" s="1">
        <v>-0.66154120165562247</v>
      </c>
      <c r="D587" s="2">
        <v>73</v>
      </c>
      <c r="E587" s="4">
        <v>514</v>
      </c>
      <c r="F587" s="4" t="s">
        <v>346</v>
      </c>
      <c r="G587" s="4" t="s">
        <v>347</v>
      </c>
      <c r="H587" t="s">
        <v>77</v>
      </c>
      <c r="I587" t="s">
        <v>352</v>
      </c>
      <c r="J587" s="3">
        <v>2008</v>
      </c>
      <c r="K587" s="3">
        <v>2014</v>
      </c>
      <c r="L587" s="6">
        <f t="shared" si="191"/>
        <v>2011</v>
      </c>
      <c r="M587" s="6">
        <f t="shared" si="192"/>
        <v>2011</v>
      </c>
      <c r="N587" s="7">
        <f t="shared" si="180"/>
        <v>0</v>
      </c>
      <c r="O587" s="7">
        <f t="shared" si="181"/>
        <v>0</v>
      </c>
      <c r="P587" s="7">
        <f t="shared" si="182"/>
        <v>0</v>
      </c>
      <c r="Q587" s="7">
        <f t="shared" si="193"/>
        <v>0</v>
      </c>
      <c r="R587" s="10" t="str">
        <f t="shared" si="183"/>
        <v>0_Pre</v>
      </c>
      <c r="S587" s="10" t="str">
        <f t="shared" si="184"/>
        <v>0_Pre</v>
      </c>
      <c r="T587" s="10" t="str">
        <f t="shared" si="185"/>
        <v>0_Pre</v>
      </c>
      <c r="U587" s="10" t="str">
        <f t="shared" si="186"/>
        <v>0_Pre</v>
      </c>
      <c r="V587" s="10" t="str">
        <f t="shared" si="194"/>
        <v>0_Pre</v>
      </c>
      <c r="W587" s="10" t="str">
        <f t="shared" si="187"/>
        <v>clean_pre</v>
      </c>
      <c r="X587" s="10" t="str">
        <f t="shared" si="188"/>
        <v>0_Pre</v>
      </c>
      <c r="Y587" s="10" t="str">
        <f t="shared" si="189"/>
        <v>0_Pre</v>
      </c>
      <c r="Z587" s="10" t="str">
        <f t="shared" si="190"/>
        <v>0_Pre</v>
      </c>
      <c r="AA587" s="10" t="str">
        <f t="shared" si="195"/>
        <v>0_Pre</v>
      </c>
      <c r="AB587" s="10" t="str">
        <f t="shared" si="196"/>
        <v>0_Pre</v>
      </c>
      <c r="AC587" s="10" t="str">
        <f t="shared" si="197"/>
        <v>0_Pre</v>
      </c>
      <c r="AD587" s="10" t="str">
        <f t="shared" si="198"/>
        <v>1_pre sample median</v>
      </c>
      <c r="AE587" s="10" t="str">
        <f t="shared" si="199"/>
        <v>2_in sample second tertile</v>
      </c>
      <c r="AF587" t="s">
        <v>80</v>
      </c>
      <c r="AG587" t="s">
        <v>74</v>
      </c>
      <c r="AH587" t="s">
        <v>79</v>
      </c>
      <c r="AI587" t="s">
        <v>122</v>
      </c>
      <c r="AJ587" t="s">
        <v>123</v>
      </c>
      <c r="AK587" t="str">
        <f>VLOOKUP(MID($AR587,1,255),country_lookup!$B:$F,2,FALSE)</f>
        <v>3_AsiaPac</v>
      </c>
      <c r="AL587" t="str">
        <f>VLOOKUP(MID($AR587,1,255),country_lookup!$B:$F,3,FALSE)</f>
        <v>2_developing</v>
      </c>
      <c r="AM587" t="str">
        <f>VLOOKUP(MID($AR587,1,255),country_lookup!$B:$F,4,FALSE)</f>
        <v>2_non_western</v>
      </c>
      <c r="AN587" t="str">
        <f>VLOOKUP(MID($AR587,1,255),country_lookup!$B:$F,5,FALSE)</f>
        <v>2_civil law</v>
      </c>
      <c r="AO587" s="10" t="str">
        <f>VLOOKUP(MID($AS587,1,255),source_lookup!$B:$K,4,FALSE)</f>
        <v>0_published</v>
      </c>
      <c r="AP587" s="10" t="str">
        <f>VLOOKUP(MID($AS587,1,255),source_lookup!$B:$K,6,FALSE)</f>
        <v>1_VHB high</v>
      </c>
      <c r="AQ587" s="10" t="str">
        <f>VLOOKUP(MID($AS587,1,255),source_lookup!$B:$K,10,FALSE)</f>
        <v>1_fin/acc/econ</v>
      </c>
      <c r="AR587" t="s">
        <v>94</v>
      </c>
      <c r="AS587" t="s">
        <v>147</v>
      </c>
    </row>
    <row r="588" spans="1:45" x14ac:dyDescent="0.3">
      <c r="A588" t="s">
        <v>23</v>
      </c>
      <c r="B588">
        <v>587</v>
      </c>
      <c r="C588" s="1">
        <v>-0.66154120165562247</v>
      </c>
      <c r="D588" s="2">
        <v>73</v>
      </c>
      <c r="E588" s="4">
        <v>514</v>
      </c>
      <c r="F588" s="4" t="s">
        <v>346</v>
      </c>
      <c r="G588" s="4" t="s">
        <v>347</v>
      </c>
      <c r="H588" t="s">
        <v>77</v>
      </c>
      <c r="I588" t="s">
        <v>352</v>
      </c>
      <c r="J588" s="3">
        <v>2008</v>
      </c>
      <c r="K588" s="3">
        <v>2014</v>
      </c>
      <c r="L588" s="6">
        <f t="shared" si="191"/>
        <v>2011</v>
      </c>
      <c r="M588" s="6">
        <f t="shared" si="192"/>
        <v>2011</v>
      </c>
      <c r="N588" s="7">
        <f t="shared" si="180"/>
        <v>0</v>
      </c>
      <c r="O588" s="7">
        <f t="shared" si="181"/>
        <v>0</v>
      </c>
      <c r="P588" s="7">
        <f t="shared" si="182"/>
        <v>0</v>
      </c>
      <c r="Q588" s="7">
        <f t="shared" si="193"/>
        <v>0</v>
      </c>
      <c r="R588" s="10" t="str">
        <f t="shared" si="183"/>
        <v>0_Pre</v>
      </c>
      <c r="S588" s="10" t="str">
        <f t="shared" si="184"/>
        <v>0_Pre</v>
      </c>
      <c r="T588" s="10" t="str">
        <f t="shared" si="185"/>
        <v>0_Pre</v>
      </c>
      <c r="U588" s="10" t="str">
        <f t="shared" si="186"/>
        <v>0_Pre</v>
      </c>
      <c r="V588" s="10" t="str">
        <f t="shared" si="194"/>
        <v>0_Pre</v>
      </c>
      <c r="W588" s="10" t="str">
        <f t="shared" si="187"/>
        <v>clean_pre</v>
      </c>
      <c r="X588" s="10" t="str">
        <f t="shared" si="188"/>
        <v>0_Pre</v>
      </c>
      <c r="Y588" s="10" t="str">
        <f t="shared" si="189"/>
        <v>0_Pre</v>
      </c>
      <c r="Z588" s="10" t="str">
        <f t="shared" si="190"/>
        <v>0_Pre</v>
      </c>
      <c r="AA588" s="10" t="str">
        <f t="shared" si="195"/>
        <v>0_Pre</v>
      </c>
      <c r="AB588" s="10" t="str">
        <f t="shared" si="196"/>
        <v>0_Pre</v>
      </c>
      <c r="AC588" s="10" t="str">
        <f t="shared" si="197"/>
        <v>0_Pre</v>
      </c>
      <c r="AD588" s="10" t="str">
        <f t="shared" si="198"/>
        <v>1_pre sample median</v>
      </c>
      <c r="AE588" s="10" t="str">
        <f t="shared" si="199"/>
        <v>2_in sample second tertile</v>
      </c>
      <c r="AF588" t="s">
        <v>80</v>
      </c>
      <c r="AG588" t="s">
        <v>74</v>
      </c>
      <c r="AH588" t="s">
        <v>79</v>
      </c>
      <c r="AI588" t="s">
        <v>122</v>
      </c>
      <c r="AJ588" t="s">
        <v>123</v>
      </c>
      <c r="AK588" t="str">
        <f>VLOOKUP(MID($AR588,1,255),country_lookup!$B:$F,2,FALSE)</f>
        <v>3_AsiaPac</v>
      </c>
      <c r="AL588" t="str">
        <f>VLOOKUP(MID($AR588,1,255),country_lookup!$B:$F,3,FALSE)</f>
        <v>2_developing</v>
      </c>
      <c r="AM588" t="str">
        <f>VLOOKUP(MID($AR588,1,255),country_lookup!$B:$F,4,FALSE)</f>
        <v>2_non_western</v>
      </c>
      <c r="AN588" t="str">
        <f>VLOOKUP(MID($AR588,1,255),country_lookup!$B:$F,5,FALSE)</f>
        <v>2_civil law</v>
      </c>
      <c r="AO588" s="10" t="str">
        <f>VLOOKUP(MID($AS588,1,255),source_lookup!$B:$K,4,FALSE)</f>
        <v>0_published</v>
      </c>
      <c r="AP588" s="10" t="str">
        <f>VLOOKUP(MID($AS588,1,255),source_lookup!$B:$K,6,FALSE)</f>
        <v>1_VHB high</v>
      </c>
      <c r="AQ588" s="10" t="str">
        <f>VLOOKUP(MID($AS588,1,255),source_lookup!$B:$K,10,FALSE)</f>
        <v>1_fin/acc/econ</v>
      </c>
      <c r="AR588" t="s">
        <v>94</v>
      </c>
      <c r="AS588" t="s">
        <v>147</v>
      </c>
    </row>
    <row r="589" spans="1:45" x14ac:dyDescent="0.3">
      <c r="A589" t="s">
        <v>23</v>
      </c>
      <c r="B589">
        <v>588</v>
      </c>
      <c r="C589" s="1">
        <v>-0.17374889710522776</v>
      </c>
      <c r="D589" s="2">
        <v>73</v>
      </c>
      <c r="E589" s="4">
        <v>514</v>
      </c>
      <c r="F589" s="4" t="s">
        <v>346</v>
      </c>
      <c r="G589" s="4" t="s">
        <v>347</v>
      </c>
      <c r="H589" t="s">
        <v>77</v>
      </c>
      <c r="I589" t="s">
        <v>352</v>
      </c>
      <c r="J589" s="3">
        <v>2008</v>
      </c>
      <c r="K589" s="3">
        <v>2014</v>
      </c>
      <c r="L589" s="6">
        <f t="shared" si="191"/>
        <v>2011</v>
      </c>
      <c r="M589" s="6">
        <f t="shared" si="192"/>
        <v>2011</v>
      </c>
      <c r="N589" s="7">
        <f t="shared" si="180"/>
        <v>0</v>
      </c>
      <c r="O589" s="7">
        <f t="shared" si="181"/>
        <v>0</v>
      </c>
      <c r="P589" s="7">
        <f t="shared" si="182"/>
        <v>0</v>
      </c>
      <c r="Q589" s="7">
        <f t="shared" si="193"/>
        <v>0</v>
      </c>
      <c r="R589" s="10" t="str">
        <f t="shared" si="183"/>
        <v>0_Pre</v>
      </c>
      <c r="S589" s="10" t="str">
        <f t="shared" si="184"/>
        <v>0_Pre</v>
      </c>
      <c r="T589" s="10" t="str">
        <f t="shared" si="185"/>
        <v>0_Pre</v>
      </c>
      <c r="U589" s="10" t="str">
        <f t="shared" si="186"/>
        <v>0_Pre</v>
      </c>
      <c r="V589" s="10" t="str">
        <f t="shared" si="194"/>
        <v>0_Pre</v>
      </c>
      <c r="W589" s="10" t="str">
        <f t="shared" si="187"/>
        <v>clean_pre</v>
      </c>
      <c r="X589" s="10" t="str">
        <f t="shared" si="188"/>
        <v>0_Pre</v>
      </c>
      <c r="Y589" s="10" t="str">
        <f t="shared" si="189"/>
        <v>0_Pre</v>
      </c>
      <c r="Z589" s="10" t="str">
        <f t="shared" si="190"/>
        <v>0_Pre</v>
      </c>
      <c r="AA589" s="10" t="str">
        <f t="shared" si="195"/>
        <v>0_Pre</v>
      </c>
      <c r="AB589" s="10" t="str">
        <f t="shared" si="196"/>
        <v>0_Pre</v>
      </c>
      <c r="AC589" s="10" t="str">
        <f t="shared" si="197"/>
        <v>0_Pre</v>
      </c>
      <c r="AD589" s="10" t="str">
        <f t="shared" si="198"/>
        <v>1_pre sample median</v>
      </c>
      <c r="AE589" s="10" t="str">
        <f t="shared" si="199"/>
        <v>2_in sample second tertile</v>
      </c>
      <c r="AF589" t="s">
        <v>80</v>
      </c>
      <c r="AG589" t="s">
        <v>74</v>
      </c>
      <c r="AH589" t="s">
        <v>79</v>
      </c>
      <c r="AI589" t="s">
        <v>122</v>
      </c>
      <c r="AJ589" t="s">
        <v>123</v>
      </c>
      <c r="AK589" t="str">
        <f>VLOOKUP(MID($AR589,1,255),country_lookup!$B:$F,2,FALSE)</f>
        <v>3_AsiaPac</v>
      </c>
      <c r="AL589" t="str">
        <f>VLOOKUP(MID($AR589,1,255),country_lookup!$B:$F,3,FALSE)</f>
        <v>2_developing</v>
      </c>
      <c r="AM589" t="str">
        <f>VLOOKUP(MID($AR589,1,255),country_lookup!$B:$F,4,FALSE)</f>
        <v>2_non_western</v>
      </c>
      <c r="AN589" t="str">
        <f>VLOOKUP(MID($AR589,1,255),country_lookup!$B:$F,5,FALSE)</f>
        <v>2_civil law</v>
      </c>
      <c r="AO589" s="10" t="str">
        <f>VLOOKUP(MID($AS589,1,255),source_lookup!$B:$K,4,FALSE)</f>
        <v>0_published</v>
      </c>
      <c r="AP589" s="10" t="str">
        <f>VLOOKUP(MID($AS589,1,255),source_lookup!$B:$K,6,FALSE)</f>
        <v>1_VHB high</v>
      </c>
      <c r="AQ589" s="10" t="str">
        <f>VLOOKUP(MID($AS589,1,255),source_lookup!$B:$K,10,FALSE)</f>
        <v>1_fin/acc/econ</v>
      </c>
      <c r="AR589" t="s">
        <v>94</v>
      </c>
      <c r="AS589" t="s">
        <v>147</v>
      </c>
    </row>
    <row r="590" spans="1:45" x14ac:dyDescent="0.3">
      <c r="A590" t="s">
        <v>23</v>
      </c>
      <c r="B590">
        <v>589</v>
      </c>
      <c r="C590" s="1">
        <v>-0.79780462561371279</v>
      </c>
      <c r="D590" s="2">
        <v>73</v>
      </c>
      <c r="E590" s="4">
        <v>514</v>
      </c>
      <c r="F590" s="4" t="s">
        <v>346</v>
      </c>
      <c r="G590" s="4" t="s">
        <v>347</v>
      </c>
      <c r="H590" t="s">
        <v>77</v>
      </c>
      <c r="I590" t="s">
        <v>352</v>
      </c>
      <c r="J590" s="3">
        <v>2008</v>
      </c>
      <c r="K590" s="3">
        <v>2014</v>
      </c>
      <c r="L590" s="6">
        <f t="shared" si="191"/>
        <v>2011</v>
      </c>
      <c r="M590" s="6">
        <f t="shared" si="192"/>
        <v>2011</v>
      </c>
      <c r="N590" s="7">
        <f t="shared" si="180"/>
        <v>0</v>
      </c>
      <c r="O590" s="7">
        <f t="shared" si="181"/>
        <v>0</v>
      </c>
      <c r="P590" s="7">
        <f t="shared" si="182"/>
        <v>0</v>
      </c>
      <c r="Q590" s="7">
        <f t="shared" si="193"/>
        <v>0</v>
      </c>
      <c r="R590" s="10" t="str">
        <f t="shared" si="183"/>
        <v>0_Pre</v>
      </c>
      <c r="S590" s="10" t="str">
        <f t="shared" si="184"/>
        <v>0_Pre</v>
      </c>
      <c r="T590" s="10" t="str">
        <f t="shared" si="185"/>
        <v>0_Pre</v>
      </c>
      <c r="U590" s="10" t="str">
        <f t="shared" si="186"/>
        <v>0_Pre</v>
      </c>
      <c r="V590" s="10" t="str">
        <f t="shared" si="194"/>
        <v>0_Pre</v>
      </c>
      <c r="W590" s="10" t="str">
        <f t="shared" si="187"/>
        <v>clean_pre</v>
      </c>
      <c r="X590" s="10" t="str">
        <f t="shared" si="188"/>
        <v>0_Pre</v>
      </c>
      <c r="Y590" s="10" t="str">
        <f t="shared" si="189"/>
        <v>0_Pre</v>
      </c>
      <c r="Z590" s="10" t="str">
        <f t="shared" si="190"/>
        <v>0_Pre</v>
      </c>
      <c r="AA590" s="10" t="str">
        <f t="shared" si="195"/>
        <v>0_Pre</v>
      </c>
      <c r="AB590" s="10" t="str">
        <f t="shared" si="196"/>
        <v>0_Pre</v>
      </c>
      <c r="AC590" s="10" t="str">
        <f t="shared" si="197"/>
        <v>0_Pre</v>
      </c>
      <c r="AD590" s="10" t="str">
        <f t="shared" si="198"/>
        <v>1_pre sample median</v>
      </c>
      <c r="AE590" s="10" t="str">
        <f t="shared" si="199"/>
        <v>2_in sample second tertile</v>
      </c>
      <c r="AF590" t="s">
        <v>80</v>
      </c>
      <c r="AG590" t="s">
        <v>74</v>
      </c>
      <c r="AH590" t="s">
        <v>79</v>
      </c>
      <c r="AI590" t="s">
        <v>122</v>
      </c>
      <c r="AJ590" t="s">
        <v>123</v>
      </c>
      <c r="AK590" t="str">
        <f>VLOOKUP(MID($AR590,1,255),country_lookup!$B:$F,2,FALSE)</f>
        <v>3_AsiaPac</v>
      </c>
      <c r="AL590" t="str">
        <f>VLOOKUP(MID($AR590,1,255),country_lookup!$B:$F,3,FALSE)</f>
        <v>2_developing</v>
      </c>
      <c r="AM590" t="str">
        <f>VLOOKUP(MID($AR590,1,255),country_lookup!$B:$F,4,FALSE)</f>
        <v>2_non_western</v>
      </c>
      <c r="AN590" t="str">
        <f>VLOOKUP(MID($AR590,1,255),country_lookup!$B:$F,5,FALSE)</f>
        <v>2_civil law</v>
      </c>
      <c r="AO590" s="10" t="str">
        <f>VLOOKUP(MID($AS590,1,255),source_lookup!$B:$K,4,FALSE)</f>
        <v>0_published</v>
      </c>
      <c r="AP590" s="10" t="str">
        <f>VLOOKUP(MID($AS590,1,255),source_lookup!$B:$K,6,FALSE)</f>
        <v>1_VHB high</v>
      </c>
      <c r="AQ590" s="10" t="str">
        <f>VLOOKUP(MID($AS590,1,255),source_lookup!$B:$K,10,FALSE)</f>
        <v>1_fin/acc/econ</v>
      </c>
      <c r="AR590" t="s">
        <v>94</v>
      </c>
      <c r="AS590" t="s">
        <v>147</v>
      </c>
    </row>
    <row r="591" spans="1:45" x14ac:dyDescent="0.3">
      <c r="A591" t="s">
        <v>24</v>
      </c>
      <c r="B591">
        <v>590</v>
      </c>
      <c r="C591" s="1">
        <v>-7.5211092950042732E-2</v>
      </c>
      <c r="D591" s="2">
        <v>114</v>
      </c>
      <c r="E591" s="4">
        <v>1250</v>
      </c>
      <c r="F591" s="4" t="s">
        <v>346</v>
      </c>
      <c r="G591" s="4" t="s">
        <v>347</v>
      </c>
      <c r="H591" t="s">
        <v>77</v>
      </c>
      <c r="I591" t="s">
        <v>352</v>
      </c>
      <c r="J591" s="3">
        <v>2006</v>
      </c>
      <c r="K591" s="3">
        <v>2016</v>
      </c>
      <c r="L591" s="6">
        <f t="shared" si="191"/>
        <v>2011</v>
      </c>
      <c r="M591" s="6">
        <f t="shared" si="192"/>
        <v>2011</v>
      </c>
      <c r="N591" s="7">
        <f t="shared" si="180"/>
        <v>9.0909090909090912E-2</v>
      </c>
      <c r="O591" s="7">
        <f t="shared" si="181"/>
        <v>0</v>
      </c>
      <c r="P591" s="7">
        <f t="shared" si="182"/>
        <v>0</v>
      </c>
      <c r="Q591" s="7">
        <f t="shared" si="193"/>
        <v>0</v>
      </c>
      <c r="R591" s="10" t="str">
        <f t="shared" si="183"/>
        <v>0_Pre</v>
      </c>
      <c r="S591" s="10" t="str">
        <f t="shared" si="184"/>
        <v>0_Pre</v>
      </c>
      <c r="T591" s="10" t="str">
        <f t="shared" si="185"/>
        <v>0_Pre</v>
      </c>
      <c r="U591" s="10" t="str">
        <f t="shared" si="186"/>
        <v>1_Post</v>
      </c>
      <c r="V591" s="10" t="str">
        <f t="shared" si="194"/>
        <v>0_Pre</v>
      </c>
      <c r="W591" s="10" t="str">
        <f t="shared" si="187"/>
        <v>straddle</v>
      </c>
      <c r="X591" s="10" t="str">
        <f t="shared" si="188"/>
        <v>0_Pre</v>
      </c>
      <c r="Y591" s="10" t="str">
        <f t="shared" si="189"/>
        <v>0_Pre</v>
      </c>
      <c r="Z591" s="10" t="str">
        <f t="shared" si="190"/>
        <v>0_Pre</v>
      </c>
      <c r="AA591" s="10" t="str">
        <f t="shared" si="195"/>
        <v>0_Pre</v>
      </c>
      <c r="AB591" s="10" t="str">
        <f t="shared" si="196"/>
        <v>0_Pre</v>
      </c>
      <c r="AC591" s="10" t="str">
        <f t="shared" si="197"/>
        <v>0_Pre</v>
      </c>
      <c r="AD591" s="10" t="str">
        <f t="shared" si="198"/>
        <v>1_pre sample median</v>
      </c>
      <c r="AE591" s="10" t="str">
        <f t="shared" si="199"/>
        <v>2_in sample second tertile</v>
      </c>
      <c r="AF591" t="s">
        <v>80</v>
      </c>
      <c r="AG591" t="s">
        <v>74</v>
      </c>
      <c r="AH591" t="s">
        <v>78</v>
      </c>
      <c r="AI591" t="s">
        <v>122</v>
      </c>
      <c r="AJ591" t="s">
        <v>123</v>
      </c>
      <c r="AK591" t="str">
        <f>VLOOKUP(MID($AR591,1,255),country_lookup!$B:$F,2,FALSE)</f>
        <v>3_AsiaPac</v>
      </c>
      <c r="AL591" t="str">
        <f>VLOOKUP(MID($AR591,1,255),country_lookup!$B:$F,3,FALSE)</f>
        <v>2_developing</v>
      </c>
      <c r="AM591" t="str">
        <f>VLOOKUP(MID($AR591,1,255),country_lookup!$B:$F,4,FALSE)</f>
        <v>2_non_western</v>
      </c>
      <c r="AN591" t="str">
        <f>VLOOKUP(MID($AR591,1,255),country_lookup!$B:$F,5,FALSE)</f>
        <v>2_civil law</v>
      </c>
      <c r="AO591" s="10" t="str">
        <f>VLOOKUP(MID($AS591,1,255),source_lookup!$B:$K,4,FALSE)</f>
        <v>0_published</v>
      </c>
      <c r="AP591" s="10" t="str">
        <f>VLOOKUP(MID($AS591,1,255),source_lookup!$B:$K,6,FALSE)</f>
        <v>0_VHB low</v>
      </c>
      <c r="AQ591" s="10" t="str">
        <f>VLOOKUP(MID($AS591,1,255),source_lookup!$B:$K,10,FALSE)</f>
        <v>1_fin/acc/econ</v>
      </c>
      <c r="AR591" t="s">
        <v>94</v>
      </c>
      <c r="AS591" t="s">
        <v>148</v>
      </c>
    </row>
    <row r="592" spans="1:45" x14ac:dyDescent="0.3">
      <c r="A592" t="s">
        <v>24</v>
      </c>
      <c r="B592">
        <v>591</v>
      </c>
      <c r="C592" s="1">
        <v>-0.21192081970138082</v>
      </c>
      <c r="D592" s="2">
        <v>114</v>
      </c>
      <c r="E592" s="4">
        <v>1250</v>
      </c>
      <c r="F592" s="4" t="s">
        <v>346</v>
      </c>
      <c r="G592" s="4" t="s">
        <v>347</v>
      </c>
      <c r="H592" t="s">
        <v>77</v>
      </c>
      <c r="I592" t="s">
        <v>352</v>
      </c>
      <c r="J592" s="3">
        <v>2006</v>
      </c>
      <c r="K592" s="3">
        <v>2016</v>
      </c>
      <c r="L592" s="6">
        <f t="shared" si="191"/>
        <v>2011</v>
      </c>
      <c r="M592" s="6">
        <f t="shared" si="192"/>
        <v>2011</v>
      </c>
      <c r="N592" s="7">
        <f t="shared" si="180"/>
        <v>9.0909090909090912E-2</v>
      </c>
      <c r="O592" s="7">
        <f t="shared" si="181"/>
        <v>0</v>
      </c>
      <c r="P592" s="7">
        <f t="shared" si="182"/>
        <v>0</v>
      </c>
      <c r="Q592" s="7">
        <f t="shared" si="193"/>
        <v>0</v>
      </c>
      <c r="R592" s="10" t="str">
        <f t="shared" si="183"/>
        <v>0_Pre</v>
      </c>
      <c r="S592" s="10" t="str">
        <f t="shared" si="184"/>
        <v>0_Pre</v>
      </c>
      <c r="T592" s="10" t="str">
        <f t="shared" si="185"/>
        <v>0_Pre</v>
      </c>
      <c r="U592" s="10" t="str">
        <f t="shared" si="186"/>
        <v>1_Post</v>
      </c>
      <c r="V592" s="10" t="str">
        <f t="shared" si="194"/>
        <v>0_Pre</v>
      </c>
      <c r="W592" s="10" t="str">
        <f t="shared" si="187"/>
        <v>straddle</v>
      </c>
      <c r="X592" s="10" t="str">
        <f t="shared" si="188"/>
        <v>0_Pre</v>
      </c>
      <c r="Y592" s="10" t="str">
        <f t="shared" si="189"/>
        <v>0_Pre</v>
      </c>
      <c r="Z592" s="10" t="str">
        <f t="shared" si="190"/>
        <v>0_Pre</v>
      </c>
      <c r="AA592" s="10" t="str">
        <f t="shared" si="195"/>
        <v>0_Pre</v>
      </c>
      <c r="AB592" s="10" t="str">
        <f t="shared" si="196"/>
        <v>0_Pre</v>
      </c>
      <c r="AC592" s="10" t="str">
        <f t="shared" si="197"/>
        <v>0_Pre</v>
      </c>
      <c r="AD592" s="10" t="str">
        <f t="shared" si="198"/>
        <v>1_pre sample median</v>
      </c>
      <c r="AE592" s="10" t="str">
        <f t="shared" si="199"/>
        <v>2_in sample second tertile</v>
      </c>
      <c r="AF592" t="s">
        <v>80</v>
      </c>
      <c r="AG592" t="s">
        <v>74</v>
      </c>
      <c r="AH592" t="s">
        <v>78</v>
      </c>
      <c r="AI592" t="s">
        <v>122</v>
      </c>
      <c r="AJ592" t="s">
        <v>123</v>
      </c>
      <c r="AK592" t="str">
        <f>VLOOKUP(MID($AR592,1,255),country_lookup!$B:$F,2,FALSE)</f>
        <v>3_AsiaPac</v>
      </c>
      <c r="AL592" t="str">
        <f>VLOOKUP(MID($AR592,1,255),country_lookup!$B:$F,3,FALSE)</f>
        <v>2_developing</v>
      </c>
      <c r="AM592" t="str">
        <f>VLOOKUP(MID($AR592,1,255),country_lookup!$B:$F,4,FALSE)</f>
        <v>2_non_western</v>
      </c>
      <c r="AN592" t="str">
        <f>VLOOKUP(MID($AR592,1,255),country_lookup!$B:$F,5,FALSE)</f>
        <v>2_civil law</v>
      </c>
      <c r="AO592" s="10" t="str">
        <f>VLOOKUP(MID($AS592,1,255),source_lookup!$B:$K,4,FALSE)</f>
        <v>0_published</v>
      </c>
      <c r="AP592" s="10" t="str">
        <f>VLOOKUP(MID($AS592,1,255),source_lookup!$B:$K,6,FALSE)</f>
        <v>0_VHB low</v>
      </c>
      <c r="AQ592" s="10" t="str">
        <f>VLOOKUP(MID($AS592,1,255),source_lookup!$B:$K,10,FALSE)</f>
        <v>1_fin/acc/econ</v>
      </c>
      <c r="AR592" t="s">
        <v>94</v>
      </c>
      <c r="AS592" t="s">
        <v>148</v>
      </c>
    </row>
    <row r="593" spans="1:45" x14ac:dyDescent="0.3">
      <c r="A593" t="s">
        <v>24</v>
      </c>
      <c r="B593">
        <v>592</v>
      </c>
      <c r="C593" s="1">
        <v>-0.16860369659560936</v>
      </c>
      <c r="D593" s="2">
        <v>114</v>
      </c>
      <c r="E593" s="4">
        <v>1250</v>
      </c>
      <c r="F593" s="4" t="s">
        <v>346</v>
      </c>
      <c r="G593" s="4" t="s">
        <v>347</v>
      </c>
      <c r="H593" t="s">
        <v>77</v>
      </c>
      <c r="I593" t="s">
        <v>352</v>
      </c>
      <c r="J593" s="3">
        <v>2006</v>
      </c>
      <c r="K593" s="3">
        <v>2016</v>
      </c>
      <c r="L593" s="6">
        <f t="shared" si="191"/>
        <v>2011</v>
      </c>
      <c r="M593" s="6">
        <f t="shared" si="192"/>
        <v>2011</v>
      </c>
      <c r="N593" s="7">
        <f t="shared" si="180"/>
        <v>9.0909090909090912E-2</v>
      </c>
      <c r="O593" s="7">
        <f t="shared" si="181"/>
        <v>0</v>
      </c>
      <c r="P593" s="7">
        <f t="shared" si="182"/>
        <v>0</v>
      </c>
      <c r="Q593" s="7">
        <f t="shared" si="193"/>
        <v>0</v>
      </c>
      <c r="R593" s="10" t="str">
        <f t="shared" si="183"/>
        <v>0_Pre</v>
      </c>
      <c r="S593" s="10" t="str">
        <f t="shared" si="184"/>
        <v>0_Pre</v>
      </c>
      <c r="T593" s="10" t="str">
        <f t="shared" si="185"/>
        <v>0_Pre</v>
      </c>
      <c r="U593" s="10" t="str">
        <f t="shared" si="186"/>
        <v>1_Post</v>
      </c>
      <c r="V593" s="10" t="str">
        <f t="shared" si="194"/>
        <v>0_Pre</v>
      </c>
      <c r="W593" s="10" t="str">
        <f t="shared" si="187"/>
        <v>straddle</v>
      </c>
      <c r="X593" s="10" t="str">
        <f t="shared" si="188"/>
        <v>0_Pre</v>
      </c>
      <c r="Y593" s="10" t="str">
        <f t="shared" si="189"/>
        <v>0_Pre</v>
      </c>
      <c r="Z593" s="10" t="str">
        <f t="shared" si="190"/>
        <v>0_Pre</v>
      </c>
      <c r="AA593" s="10" t="str">
        <f t="shared" si="195"/>
        <v>0_Pre</v>
      </c>
      <c r="AB593" s="10" t="str">
        <f t="shared" si="196"/>
        <v>0_Pre</v>
      </c>
      <c r="AC593" s="10" t="str">
        <f t="shared" si="197"/>
        <v>0_Pre</v>
      </c>
      <c r="AD593" s="10" t="str">
        <f t="shared" si="198"/>
        <v>1_pre sample median</v>
      </c>
      <c r="AE593" s="10" t="str">
        <f t="shared" si="199"/>
        <v>2_in sample second tertile</v>
      </c>
      <c r="AF593" t="s">
        <v>80</v>
      </c>
      <c r="AG593" t="s">
        <v>74</v>
      </c>
      <c r="AH593" t="s">
        <v>78</v>
      </c>
      <c r="AI593" t="s">
        <v>122</v>
      </c>
      <c r="AJ593" t="s">
        <v>123</v>
      </c>
      <c r="AK593" t="str">
        <f>VLOOKUP(MID($AR593,1,255),country_lookup!$B:$F,2,FALSE)</f>
        <v>3_AsiaPac</v>
      </c>
      <c r="AL593" t="str">
        <f>VLOOKUP(MID($AR593,1,255),country_lookup!$B:$F,3,FALSE)</f>
        <v>2_developing</v>
      </c>
      <c r="AM593" t="str">
        <f>VLOOKUP(MID($AR593,1,255),country_lookup!$B:$F,4,FALSE)</f>
        <v>2_non_western</v>
      </c>
      <c r="AN593" t="str">
        <f>VLOOKUP(MID($AR593,1,255),country_lookup!$B:$F,5,FALSE)</f>
        <v>2_civil law</v>
      </c>
      <c r="AO593" s="10" t="str">
        <f>VLOOKUP(MID($AS593,1,255),source_lookup!$B:$K,4,FALSE)</f>
        <v>0_published</v>
      </c>
      <c r="AP593" s="10" t="str">
        <f>VLOOKUP(MID($AS593,1,255),source_lookup!$B:$K,6,FALSE)</f>
        <v>0_VHB low</v>
      </c>
      <c r="AQ593" s="10" t="str">
        <f>VLOOKUP(MID($AS593,1,255),source_lookup!$B:$K,10,FALSE)</f>
        <v>1_fin/acc/econ</v>
      </c>
      <c r="AR593" t="s">
        <v>94</v>
      </c>
      <c r="AS593" t="s">
        <v>148</v>
      </c>
    </row>
    <row r="594" spans="1:45" x14ac:dyDescent="0.3">
      <c r="A594" t="s">
        <v>25</v>
      </c>
      <c r="B594">
        <v>593</v>
      </c>
      <c r="C594" s="1">
        <v>-5.3143274815960623E-2</v>
      </c>
      <c r="D594" s="2">
        <v>2317</v>
      </c>
      <c r="E594" s="4">
        <v>41706</v>
      </c>
      <c r="F594" s="4" t="s">
        <v>346</v>
      </c>
      <c r="G594" s="4" t="s">
        <v>346</v>
      </c>
      <c r="H594" t="s">
        <v>77</v>
      </c>
      <c r="I594" t="s">
        <v>352</v>
      </c>
      <c r="J594" s="3">
        <v>1992</v>
      </c>
      <c r="K594" s="3">
        <v>2009</v>
      </c>
      <c r="L594" s="6">
        <f t="shared" si="191"/>
        <v>2000.5</v>
      </c>
      <c r="M594" s="6">
        <f t="shared" si="192"/>
        <v>2000.5</v>
      </c>
      <c r="N594" s="7">
        <f t="shared" si="180"/>
        <v>0</v>
      </c>
      <c r="O594" s="7">
        <f t="shared" si="181"/>
        <v>0</v>
      </c>
      <c r="P594" s="7">
        <f t="shared" si="182"/>
        <v>0</v>
      </c>
      <c r="Q594" s="7">
        <f t="shared" si="193"/>
        <v>0</v>
      </c>
      <c r="R594" s="10" t="str">
        <f t="shared" si="183"/>
        <v>0_Pre</v>
      </c>
      <c r="S594" s="10" t="str">
        <f t="shared" si="184"/>
        <v>0_Pre</v>
      </c>
      <c r="T594" s="10" t="str">
        <f t="shared" si="185"/>
        <v>0_Pre</v>
      </c>
      <c r="U594" s="10" t="str">
        <f t="shared" si="186"/>
        <v>0_Pre</v>
      </c>
      <c r="V594" s="10" t="str">
        <f t="shared" si="194"/>
        <v>0_Pre</v>
      </c>
      <c r="W594" s="10" t="str">
        <f t="shared" si="187"/>
        <v>clean_pre</v>
      </c>
      <c r="X594" s="10" t="str">
        <f t="shared" si="188"/>
        <v>0_Pre</v>
      </c>
      <c r="Y594" s="10" t="str">
        <f t="shared" si="189"/>
        <v>0_Pre</v>
      </c>
      <c r="Z594" s="10" t="str">
        <f t="shared" si="190"/>
        <v>0_Pre</v>
      </c>
      <c r="AA594" s="10" t="str">
        <f t="shared" si="195"/>
        <v>0_Pre</v>
      </c>
      <c r="AB594" s="10" t="str">
        <f t="shared" si="196"/>
        <v>0_Pre</v>
      </c>
      <c r="AC594" s="10" t="str">
        <f t="shared" si="197"/>
        <v>0_Pre</v>
      </c>
      <c r="AD594" s="10" t="str">
        <f t="shared" si="198"/>
        <v>1_pre sample median</v>
      </c>
      <c r="AE594" s="10" t="str">
        <f t="shared" si="199"/>
        <v>1_pre sample first tertile</v>
      </c>
      <c r="AF594" t="s">
        <v>82</v>
      </c>
      <c r="AG594" t="s">
        <v>75</v>
      </c>
      <c r="AH594" t="s">
        <v>78</v>
      </c>
      <c r="AI594" t="s">
        <v>122</v>
      </c>
      <c r="AJ594" t="s">
        <v>123</v>
      </c>
      <c r="AK594" t="str">
        <f>VLOOKUP(MID($AR594,1,255),country_lookup!$B:$F,2,FALSE)</f>
        <v>1_US</v>
      </c>
      <c r="AL594" t="str">
        <f>VLOOKUP(MID($AR594,1,255),country_lookup!$B:$F,3,FALSE)</f>
        <v>1_developed</v>
      </c>
      <c r="AM594" t="str">
        <f>VLOOKUP(MID($AR594,1,255),country_lookup!$B:$F,4,FALSE)</f>
        <v>1_western</v>
      </c>
      <c r="AN594" t="str">
        <f>VLOOKUP(MID($AR594,1,255),country_lookup!$B:$F,5,FALSE)</f>
        <v>1_common law</v>
      </c>
      <c r="AO594" s="10" t="str">
        <f>VLOOKUP(MID($AS594,1,255),source_lookup!$B:$K,4,FALSE)</f>
        <v>0_published</v>
      </c>
      <c r="AP594" s="10" t="str">
        <f>VLOOKUP(MID($AS594,1,255),source_lookup!$B:$K,6,FALSE)</f>
        <v>1_VHB high</v>
      </c>
      <c r="AQ594" s="10" t="str">
        <f>VLOOKUP(MID($AS594,1,255),source_lookup!$B:$K,10,FALSE)</f>
        <v>1_fin/acc/econ</v>
      </c>
      <c r="AR594" t="s">
        <v>85</v>
      </c>
      <c r="AS594" t="s">
        <v>149</v>
      </c>
    </row>
    <row r="595" spans="1:45" x14ac:dyDescent="0.3">
      <c r="A595" t="s">
        <v>25</v>
      </c>
      <c r="B595">
        <v>594</v>
      </c>
      <c r="C595" s="1">
        <v>-5.3373817922063825E-2</v>
      </c>
      <c r="D595" s="2">
        <v>2317</v>
      </c>
      <c r="E595" s="4">
        <v>41706</v>
      </c>
      <c r="F595" s="4" t="s">
        <v>346</v>
      </c>
      <c r="G595" s="4" t="s">
        <v>346</v>
      </c>
      <c r="H595" t="s">
        <v>77</v>
      </c>
      <c r="I595" t="s">
        <v>352</v>
      </c>
      <c r="J595" s="3">
        <v>1992</v>
      </c>
      <c r="K595" s="3">
        <v>2009</v>
      </c>
      <c r="L595" s="6">
        <f t="shared" si="191"/>
        <v>2000.5</v>
      </c>
      <c r="M595" s="6">
        <f t="shared" si="192"/>
        <v>2000.5</v>
      </c>
      <c r="N595" s="7">
        <f t="shared" si="180"/>
        <v>0</v>
      </c>
      <c r="O595" s="7">
        <f t="shared" si="181"/>
        <v>0</v>
      </c>
      <c r="P595" s="7">
        <f t="shared" si="182"/>
        <v>0</v>
      </c>
      <c r="Q595" s="7">
        <f t="shared" si="193"/>
        <v>0</v>
      </c>
      <c r="R595" s="10" t="str">
        <f t="shared" si="183"/>
        <v>0_Pre</v>
      </c>
      <c r="S595" s="10" t="str">
        <f t="shared" si="184"/>
        <v>0_Pre</v>
      </c>
      <c r="T595" s="10" t="str">
        <f t="shared" si="185"/>
        <v>0_Pre</v>
      </c>
      <c r="U595" s="10" t="str">
        <f t="shared" si="186"/>
        <v>0_Pre</v>
      </c>
      <c r="V595" s="10" t="str">
        <f t="shared" si="194"/>
        <v>0_Pre</v>
      </c>
      <c r="W595" s="10" t="str">
        <f t="shared" si="187"/>
        <v>clean_pre</v>
      </c>
      <c r="X595" s="10" t="str">
        <f t="shared" si="188"/>
        <v>0_Pre</v>
      </c>
      <c r="Y595" s="10" t="str">
        <f t="shared" si="189"/>
        <v>0_Pre</v>
      </c>
      <c r="Z595" s="10" t="str">
        <f t="shared" si="190"/>
        <v>0_Pre</v>
      </c>
      <c r="AA595" s="10" t="str">
        <f t="shared" si="195"/>
        <v>0_Pre</v>
      </c>
      <c r="AB595" s="10" t="str">
        <f t="shared" si="196"/>
        <v>0_Pre</v>
      </c>
      <c r="AC595" s="10" t="str">
        <f t="shared" si="197"/>
        <v>0_Pre</v>
      </c>
      <c r="AD595" s="10" t="str">
        <f t="shared" si="198"/>
        <v>1_pre sample median</v>
      </c>
      <c r="AE595" s="10" t="str">
        <f t="shared" si="199"/>
        <v>1_pre sample first tertile</v>
      </c>
      <c r="AF595" t="s">
        <v>82</v>
      </c>
      <c r="AG595" t="s">
        <v>75</v>
      </c>
      <c r="AH595" t="s">
        <v>78</v>
      </c>
      <c r="AI595" t="s">
        <v>122</v>
      </c>
      <c r="AJ595" t="s">
        <v>123</v>
      </c>
      <c r="AK595" t="str">
        <f>VLOOKUP(MID($AR595,1,255),country_lookup!$B:$F,2,FALSE)</f>
        <v>1_US</v>
      </c>
      <c r="AL595" t="str">
        <f>VLOOKUP(MID($AR595,1,255),country_lookup!$B:$F,3,FALSE)</f>
        <v>1_developed</v>
      </c>
      <c r="AM595" t="str">
        <f>VLOOKUP(MID($AR595,1,255),country_lookup!$B:$F,4,FALSE)</f>
        <v>1_western</v>
      </c>
      <c r="AN595" t="str">
        <f>VLOOKUP(MID($AR595,1,255),country_lookup!$B:$F,5,FALSE)</f>
        <v>1_common law</v>
      </c>
      <c r="AO595" s="10" t="str">
        <f>VLOOKUP(MID($AS595,1,255),source_lookup!$B:$K,4,FALSE)</f>
        <v>0_published</v>
      </c>
      <c r="AP595" s="10" t="str">
        <f>VLOOKUP(MID($AS595,1,255),source_lookup!$B:$K,6,FALSE)</f>
        <v>1_VHB high</v>
      </c>
      <c r="AQ595" s="10" t="str">
        <f>VLOOKUP(MID($AS595,1,255),source_lookup!$B:$K,10,FALSE)</f>
        <v>1_fin/acc/econ</v>
      </c>
      <c r="AR595" t="s">
        <v>85</v>
      </c>
      <c r="AS595" t="s">
        <v>149</v>
      </c>
    </row>
    <row r="596" spans="1:45" x14ac:dyDescent="0.3">
      <c r="A596" t="s">
        <v>25</v>
      </c>
      <c r="B596">
        <v>595</v>
      </c>
      <c r="C596" s="1">
        <v>-5.3373817922063832E-2</v>
      </c>
      <c r="D596" s="2">
        <v>2317</v>
      </c>
      <c r="E596" s="4">
        <v>41706</v>
      </c>
      <c r="F596" s="4" t="s">
        <v>346</v>
      </c>
      <c r="G596" s="4" t="s">
        <v>346</v>
      </c>
      <c r="H596" t="s">
        <v>77</v>
      </c>
      <c r="I596" t="s">
        <v>352</v>
      </c>
      <c r="J596" s="3">
        <v>1992</v>
      </c>
      <c r="K596" s="3">
        <v>2009</v>
      </c>
      <c r="L596" s="6">
        <f t="shared" si="191"/>
        <v>2000.5</v>
      </c>
      <c r="M596" s="6">
        <f t="shared" si="192"/>
        <v>2000.5</v>
      </c>
      <c r="N596" s="7">
        <f t="shared" si="180"/>
        <v>0</v>
      </c>
      <c r="O596" s="7">
        <f t="shared" si="181"/>
        <v>0</v>
      </c>
      <c r="P596" s="7">
        <f t="shared" si="182"/>
        <v>0</v>
      </c>
      <c r="Q596" s="7">
        <f t="shared" si="193"/>
        <v>0</v>
      </c>
      <c r="R596" s="10" t="str">
        <f t="shared" si="183"/>
        <v>0_Pre</v>
      </c>
      <c r="S596" s="10" t="str">
        <f t="shared" si="184"/>
        <v>0_Pre</v>
      </c>
      <c r="T596" s="10" t="str">
        <f t="shared" si="185"/>
        <v>0_Pre</v>
      </c>
      <c r="U596" s="10" t="str">
        <f t="shared" si="186"/>
        <v>0_Pre</v>
      </c>
      <c r="V596" s="10" t="str">
        <f t="shared" si="194"/>
        <v>0_Pre</v>
      </c>
      <c r="W596" s="10" t="str">
        <f t="shared" si="187"/>
        <v>clean_pre</v>
      </c>
      <c r="X596" s="10" t="str">
        <f t="shared" si="188"/>
        <v>0_Pre</v>
      </c>
      <c r="Y596" s="10" t="str">
        <f t="shared" si="189"/>
        <v>0_Pre</v>
      </c>
      <c r="Z596" s="10" t="str">
        <f t="shared" si="190"/>
        <v>0_Pre</v>
      </c>
      <c r="AA596" s="10" t="str">
        <f t="shared" si="195"/>
        <v>0_Pre</v>
      </c>
      <c r="AB596" s="10" t="str">
        <f t="shared" si="196"/>
        <v>0_Pre</v>
      </c>
      <c r="AC596" s="10" t="str">
        <f t="shared" si="197"/>
        <v>0_Pre</v>
      </c>
      <c r="AD596" s="10" t="str">
        <f t="shared" si="198"/>
        <v>1_pre sample median</v>
      </c>
      <c r="AE596" s="10" t="str">
        <f t="shared" si="199"/>
        <v>1_pre sample first tertile</v>
      </c>
      <c r="AF596" t="s">
        <v>82</v>
      </c>
      <c r="AG596" t="s">
        <v>75</v>
      </c>
      <c r="AH596" t="s">
        <v>78</v>
      </c>
      <c r="AI596" t="s">
        <v>122</v>
      </c>
      <c r="AJ596" t="s">
        <v>123</v>
      </c>
      <c r="AK596" t="str">
        <f>VLOOKUP(MID($AR596,1,255),country_lookup!$B:$F,2,FALSE)</f>
        <v>1_US</v>
      </c>
      <c r="AL596" t="str">
        <f>VLOOKUP(MID($AR596,1,255),country_lookup!$B:$F,3,FALSE)</f>
        <v>1_developed</v>
      </c>
      <c r="AM596" t="str">
        <f>VLOOKUP(MID($AR596,1,255),country_lookup!$B:$F,4,FALSE)</f>
        <v>1_western</v>
      </c>
      <c r="AN596" t="str">
        <f>VLOOKUP(MID($AR596,1,255),country_lookup!$B:$F,5,FALSE)</f>
        <v>1_common law</v>
      </c>
      <c r="AO596" s="10" t="str">
        <f>VLOOKUP(MID($AS596,1,255),source_lookup!$B:$K,4,FALSE)</f>
        <v>0_published</v>
      </c>
      <c r="AP596" s="10" t="str">
        <f>VLOOKUP(MID($AS596,1,255),source_lookup!$B:$K,6,FALSE)</f>
        <v>1_VHB high</v>
      </c>
      <c r="AQ596" s="10" t="str">
        <f>VLOOKUP(MID($AS596,1,255),source_lookup!$B:$K,10,FALSE)</f>
        <v>1_fin/acc/econ</v>
      </c>
      <c r="AR596" t="s">
        <v>85</v>
      </c>
      <c r="AS596" t="s">
        <v>149</v>
      </c>
    </row>
    <row r="597" spans="1:45" x14ac:dyDescent="0.3">
      <c r="A597" t="s">
        <v>26</v>
      </c>
      <c r="B597">
        <v>596</v>
      </c>
      <c r="C597" s="1">
        <v>-3.9E-2</v>
      </c>
      <c r="D597" s="2">
        <v>7032</v>
      </c>
      <c r="E597" s="4">
        <v>14064</v>
      </c>
      <c r="F597" s="4" t="s">
        <v>347</v>
      </c>
      <c r="G597" s="4" t="s">
        <v>346</v>
      </c>
      <c r="H597" t="s">
        <v>76</v>
      </c>
      <c r="I597" t="s">
        <v>353</v>
      </c>
      <c r="J597" s="3">
        <v>2015</v>
      </c>
      <c r="K597" s="3">
        <v>2016</v>
      </c>
      <c r="L597" s="6">
        <f t="shared" si="191"/>
        <v>2015.5</v>
      </c>
      <c r="M597" s="6">
        <f t="shared" si="192"/>
        <v>2015.5</v>
      </c>
      <c r="N597" s="7">
        <f t="shared" si="180"/>
        <v>0.5</v>
      </c>
      <c r="O597" s="7">
        <f t="shared" si="181"/>
        <v>0</v>
      </c>
      <c r="P597" s="7">
        <f t="shared" si="182"/>
        <v>0</v>
      </c>
      <c r="Q597" s="7">
        <f t="shared" si="193"/>
        <v>0</v>
      </c>
      <c r="R597" s="10" t="str">
        <f t="shared" si="183"/>
        <v>1_Post</v>
      </c>
      <c r="S597" s="10" t="str">
        <f t="shared" si="184"/>
        <v>0_Pre</v>
      </c>
      <c r="T597" s="10" t="str">
        <f t="shared" si="185"/>
        <v>0_Pre</v>
      </c>
      <c r="U597" s="10" t="str">
        <f t="shared" si="186"/>
        <v>1_Post</v>
      </c>
      <c r="V597" s="10" t="str">
        <f t="shared" si="194"/>
        <v>0_Pre</v>
      </c>
      <c r="W597" s="10" t="str">
        <f t="shared" si="187"/>
        <v>straddle</v>
      </c>
      <c r="X597" s="10" t="str">
        <f t="shared" si="188"/>
        <v>0_Pre</v>
      </c>
      <c r="Y597" s="10" t="str">
        <f t="shared" si="189"/>
        <v>0_Pre</v>
      </c>
      <c r="Z597" s="10" t="str">
        <f t="shared" si="190"/>
        <v>0_Pre</v>
      </c>
      <c r="AA597" s="10" t="str">
        <f t="shared" si="195"/>
        <v>0_Pre</v>
      </c>
      <c r="AB597" s="10" t="str">
        <f t="shared" si="196"/>
        <v>0_Pre</v>
      </c>
      <c r="AC597" s="10" t="str">
        <f t="shared" si="197"/>
        <v>0_Pre</v>
      </c>
      <c r="AD597" s="10" t="str">
        <f t="shared" si="198"/>
        <v>2_post sample median</v>
      </c>
      <c r="AE597" s="10" t="str">
        <f t="shared" si="199"/>
        <v>3_post sample third tertile</v>
      </c>
      <c r="AF597" t="s">
        <v>82</v>
      </c>
      <c r="AG597" t="s">
        <v>75</v>
      </c>
      <c r="AH597" t="s">
        <v>78</v>
      </c>
      <c r="AI597" t="s">
        <v>70</v>
      </c>
      <c r="AJ597" t="s">
        <v>70</v>
      </c>
      <c r="AK597" t="str">
        <f>VLOOKUP(MID($AR597,1,255),country_lookup!$B:$F,2,FALSE)</f>
        <v>99_NCE</v>
      </c>
      <c r="AL597" t="str">
        <f>VLOOKUP(MID($AR597,1,255),country_lookup!$B:$F,3,FALSE)</f>
        <v>99_NCE</v>
      </c>
      <c r="AM597" t="str">
        <f>VLOOKUP(MID($AR597,1,255),country_lookup!$B:$F,4,FALSE)</f>
        <v>99_NCE</v>
      </c>
      <c r="AN597" t="str">
        <f>VLOOKUP(MID($AR597,1,255),country_lookup!$B:$F,5,FALSE)</f>
        <v>99_NCE</v>
      </c>
      <c r="AO597" s="10" t="str">
        <f>VLOOKUP(MID($AS597,1,255),source_lookup!$B:$K,4,FALSE)</f>
        <v>0_published</v>
      </c>
      <c r="AP597" s="10" t="str">
        <f>VLOOKUP(MID($AS597,1,255),source_lookup!$B:$K,6,FALSE)</f>
        <v>1_VHB high</v>
      </c>
      <c r="AQ597" s="10" t="str">
        <f>VLOOKUP(MID($AS597,1,255),source_lookup!$B:$K,10,FALSE)</f>
        <v>1_fin/acc/econ</v>
      </c>
      <c r="AR597" t="s">
        <v>90</v>
      </c>
      <c r="AS597" t="s">
        <v>150</v>
      </c>
    </row>
    <row r="598" spans="1:45" x14ac:dyDescent="0.3">
      <c r="A598" t="s">
        <v>27</v>
      </c>
      <c r="B598">
        <v>597</v>
      </c>
      <c r="C598" s="1">
        <v>-4.36E-2</v>
      </c>
      <c r="D598" s="2">
        <v>80</v>
      </c>
      <c r="E598" s="4">
        <v>480</v>
      </c>
      <c r="F598" s="4" t="s">
        <v>346</v>
      </c>
      <c r="G598" s="4" t="s">
        <v>346</v>
      </c>
      <c r="H598" t="s">
        <v>76</v>
      </c>
      <c r="I598" t="s">
        <v>353</v>
      </c>
      <c r="J598" s="3">
        <v>2010</v>
      </c>
      <c r="K598" s="3">
        <v>2015</v>
      </c>
      <c r="L598" s="6">
        <f t="shared" si="191"/>
        <v>2012.5</v>
      </c>
      <c r="M598" s="6">
        <f t="shared" si="192"/>
        <v>2012.5</v>
      </c>
      <c r="N598" s="7">
        <f t="shared" si="180"/>
        <v>0</v>
      </c>
      <c r="O598" s="7">
        <f t="shared" si="181"/>
        <v>0</v>
      </c>
      <c r="P598" s="7">
        <f t="shared" si="182"/>
        <v>0</v>
      </c>
      <c r="Q598" s="7">
        <f t="shared" si="193"/>
        <v>0</v>
      </c>
      <c r="R598" s="10" t="str">
        <f t="shared" si="183"/>
        <v>0_Pre</v>
      </c>
      <c r="S598" s="10" t="str">
        <f t="shared" si="184"/>
        <v>0_Pre</v>
      </c>
      <c r="T598" s="10" t="str">
        <f t="shared" si="185"/>
        <v>0_Pre</v>
      </c>
      <c r="U598" s="10" t="str">
        <f t="shared" si="186"/>
        <v>0_Pre</v>
      </c>
      <c r="V598" s="10" t="str">
        <f t="shared" si="194"/>
        <v>0_Pre</v>
      </c>
      <c r="W598" s="10" t="str">
        <f t="shared" si="187"/>
        <v>clean_pre</v>
      </c>
      <c r="X598" s="10" t="str">
        <f t="shared" si="188"/>
        <v>0_Pre</v>
      </c>
      <c r="Y598" s="10" t="str">
        <f t="shared" si="189"/>
        <v>0_Pre</v>
      </c>
      <c r="Z598" s="10" t="str">
        <f t="shared" si="190"/>
        <v>0_Pre</v>
      </c>
      <c r="AA598" s="10" t="str">
        <f t="shared" si="195"/>
        <v>0_Pre</v>
      </c>
      <c r="AB598" s="10" t="str">
        <f t="shared" si="196"/>
        <v>0_Pre</v>
      </c>
      <c r="AC598" s="10" t="str">
        <f t="shared" si="197"/>
        <v>0_Pre</v>
      </c>
      <c r="AD598" s="10" t="str">
        <f t="shared" si="198"/>
        <v>2_post sample median</v>
      </c>
      <c r="AE598" s="10" t="str">
        <f t="shared" si="199"/>
        <v>2_in sample second tertile</v>
      </c>
      <c r="AF598" t="s">
        <v>80</v>
      </c>
      <c r="AG598" t="s">
        <v>74</v>
      </c>
      <c r="AH598" t="s">
        <v>78</v>
      </c>
      <c r="AI598" t="s">
        <v>122</v>
      </c>
      <c r="AJ598" t="s">
        <v>122</v>
      </c>
      <c r="AK598" t="str">
        <f>VLOOKUP(MID($AR598,1,255),country_lookup!$B:$F,2,FALSE)</f>
        <v>2_Europe</v>
      </c>
      <c r="AL598" t="str">
        <f>VLOOKUP(MID($AR598,1,255),country_lookup!$B:$F,3,FALSE)</f>
        <v>1_developed</v>
      </c>
      <c r="AM598" t="str">
        <f>VLOOKUP(MID($AR598,1,255),country_lookup!$B:$F,4,FALSE)</f>
        <v>1_western</v>
      </c>
      <c r="AN598" t="str">
        <f>VLOOKUP(MID($AR598,1,255),country_lookup!$B:$F,5,FALSE)</f>
        <v>2_civil law</v>
      </c>
      <c r="AO598" s="10" t="str">
        <f>VLOOKUP(MID($AS598,1,255),source_lookup!$B:$K,4,FALSE)</f>
        <v>0_published</v>
      </c>
      <c r="AP598" s="10" t="str">
        <f>VLOOKUP(MID($AS598,1,255),source_lookup!$B:$K,6,FALSE)</f>
        <v>1_VHB high</v>
      </c>
      <c r="AQ598" s="10" t="str">
        <f>VLOOKUP(MID($AS598,1,255),source_lookup!$B:$K,10,FALSE)</f>
        <v>3_mgmt</v>
      </c>
      <c r="AR598" t="s">
        <v>100</v>
      </c>
      <c r="AS598" t="s">
        <v>151</v>
      </c>
    </row>
    <row r="599" spans="1:45" x14ac:dyDescent="0.3">
      <c r="A599" t="s">
        <v>27</v>
      </c>
      <c r="B599">
        <v>598</v>
      </c>
      <c r="C599" s="1">
        <v>-2.549918796570696E-6</v>
      </c>
      <c r="D599" s="2">
        <v>80</v>
      </c>
      <c r="E599" s="4">
        <v>480</v>
      </c>
      <c r="F599" s="4" t="s">
        <v>346</v>
      </c>
      <c r="G599" s="4" t="s">
        <v>346</v>
      </c>
      <c r="H599" t="s">
        <v>77</v>
      </c>
      <c r="I599" t="s">
        <v>352</v>
      </c>
      <c r="J599" s="3">
        <v>2010</v>
      </c>
      <c r="K599" s="3">
        <v>2015</v>
      </c>
      <c r="L599" s="6">
        <f t="shared" si="191"/>
        <v>2012.5</v>
      </c>
      <c r="M599" s="6">
        <f t="shared" si="192"/>
        <v>2012.5</v>
      </c>
      <c r="N599" s="7">
        <f t="shared" si="180"/>
        <v>0</v>
      </c>
      <c r="O599" s="7">
        <f t="shared" si="181"/>
        <v>0</v>
      </c>
      <c r="P599" s="7">
        <f t="shared" si="182"/>
        <v>0</v>
      </c>
      <c r="Q599" s="7">
        <f t="shared" si="193"/>
        <v>0</v>
      </c>
      <c r="R599" s="10" t="str">
        <f t="shared" si="183"/>
        <v>0_Pre</v>
      </c>
      <c r="S599" s="10" t="str">
        <f t="shared" si="184"/>
        <v>0_Pre</v>
      </c>
      <c r="T599" s="10" t="str">
        <f t="shared" si="185"/>
        <v>0_Pre</v>
      </c>
      <c r="U599" s="10" t="str">
        <f t="shared" si="186"/>
        <v>0_Pre</v>
      </c>
      <c r="V599" s="10" t="str">
        <f t="shared" si="194"/>
        <v>0_Pre</v>
      </c>
      <c r="W599" s="10" t="str">
        <f t="shared" si="187"/>
        <v>clean_pre</v>
      </c>
      <c r="X599" s="10" t="str">
        <f t="shared" si="188"/>
        <v>0_Pre</v>
      </c>
      <c r="Y599" s="10" t="str">
        <f t="shared" si="189"/>
        <v>0_Pre</v>
      </c>
      <c r="Z599" s="10" t="str">
        <f t="shared" si="190"/>
        <v>0_Pre</v>
      </c>
      <c r="AA599" s="10" t="str">
        <f t="shared" si="195"/>
        <v>0_Pre</v>
      </c>
      <c r="AB599" s="10" t="str">
        <f t="shared" si="196"/>
        <v>0_Pre</v>
      </c>
      <c r="AC599" s="10" t="str">
        <f t="shared" si="197"/>
        <v>0_Pre</v>
      </c>
      <c r="AD599" s="10" t="str">
        <f t="shared" si="198"/>
        <v>2_post sample median</v>
      </c>
      <c r="AE599" s="10" t="str">
        <f t="shared" si="199"/>
        <v>2_in sample second tertile</v>
      </c>
      <c r="AF599" t="s">
        <v>80</v>
      </c>
      <c r="AG599" t="s">
        <v>74</v>
      </c>
      <c r="AH599" t="s">
        <v>78</v>
      </c>
      <c r="AI599" t="s">
        <v>122</v>
      </c>
      <c r="AJ599" t="s">
        <v>122</v>
      </c>
      <c r="AK599" t="str">
        <f>VLOOKUP(MID($AR599,1,255),country_lookup!$B:$F,2,FALSE)</f>
        <v>2_Europe</v>
      </c>
      <c r="AL599" t="str">
        <f>VLOOKUP(MID($AR599,1,255),country_lookup!$B:$F,3,FALSE)</f>
        <v>1_developed</v>
      </c>
      <c r="AM599" t="str">
        <f>VLOOKUP(MID($AR599,1,255),country_lookup!$B:$F,4,FALSE)</f>
        <v>1_western</v>
      </c>
      <c r="AN599" t="str">
        <f>VLOOKUP(MID($AR599,1,255),country_lookup!$B:$F,5,FALSE)</f>
        <v>2_civil law</v>
      </c>
      <c r="AO599" s="10" t="str">
        <f>VLOOKUP(MID($AS599,1,255),source_lookup!$B:$K,4,FALSE)</f>
        <v>0_published</v>
      </c>
      <c r="AP599" s="10" t="str">
        <f>VLOOKUP(MID($AS599,1,255),source_lookup!$B:$K,6,FALSE)</f>
        <v>1_VHB high</v>
      </c>
      <c r="AQ599" s="10" t="str">
        <f>VLOOKUP(MID($AS599,1,255),source_lookup!$B:$K,10,FALSE)</f>
        <v>3_mgmt</v>
      </c>
      <c r="AR599" t="s">
        <v>100</v>
      </c>
      <c r="AS599" t="s">
        <v>151</v>
      </c>
    </row>
    <row r="600" spans="1:45" x14ac:dyDescent="0.3">
      <c r="A600" t="s">
        <v>28</v>
      </c>
      <c r="B600">
        <v>599</v>
      </c>
      <c r="C600" s="1">
        <v>-5.6744231208828606E-2</v>
      </c>
      <c r="D600" s="2">
        <v>149</v>
      </c>
      <c r="E600" s="4">
        <v>1003</v>
      </c>
      <c r="F600" s="4" t="s">
        <v>347</v>
      </c>
      <c r="G600" s="4" t="s">
        <v>346</v>
      </c>
      <c r="H600" t="s">
        <v>77</v>
      </c>
      <c r="I600" t="s">
        <v>352</v>
      </c>
      <c r="J600" s="3">
        <v>2006</v>
      </c>
      <c r="K600" s="3">
        <v>2017</v>
      </c>
      <c r="L600" s="6">
        <f t="shared" si="191"/>
        <v>2011.5</v>
      </c>
      <c r="M600" s="6">
        <f t="shared" si="192"/>
        <v>2011.5</v>
      </c>
      <c r="N600" s="7">
        <f t="shared" si="180"/>
        <v>0.16666666666666666</v>
      </c>
      <c r="O600" s="7">
        <f t="shared" si="181"/>
        <v>8.3333333333333329E-2</v>
      </c>
      <c r="P600" s="7">
        <f t="shared" si="182"/>
        <v>0</v>
      </c>
      <c r="Q600" s="7">
        <f t="shared" si="193"/>
        <v>0</v>
      </c>
      <c r="R600" s="10" t="str">
        <f t="shared" si="183"/>
        <v>0_Pre</v>
      </c>
      <c r="S600" s="10" t="str">
        <f t="shared" si="184"/>
        <v>0_Pre</v>
      </c>
      <c r="T600" s="10" t="str">
        <f t="shared" si="185"/>
        <v>0_Pre</v>
      </c>
      <c r="U600" s="10" t="str">
        <f t="shared" si="186"/>
        <v>1_Post</v>
      </c>
      <c r="V600" s="10" t="str">
        <f t="shared" si="194"/>
        <v>0_Pre</v>
      </c>
      <c r="W600" s="10" t="str">
        <f t="shared" si="187"/>
        <v>straddle</v>
      </c>
      <c r="X600" s="10" t="str">
        <f t="shared" si="188"/>
        <v>0_Pre</v>
      </c>
      <c r="Y600" s="10" t="str">
        <f t="shared" si="189"/>
        <v>0_Pre</v>
      </c>
      <c r="Z600" s="10" t="str">
        <f t="shared" si="190"/>
        <v>0_Pre</v>
      </c>
      <c r="AA600" s="10" t="str">
        <f t="shared" si="195"/>
        <v>1_Post</v>
      </c>
      <c r="AB600" s="10" t="str">
        <f t="shared" si="196"/>
        <v>0_Pre</v>
      </c>
      <c r="AC600" s="10" t="str">
        <f t="shared" si="197"/>
        <v>0_Pre</v>
      </c>
      <c r="AD600" s="10" t="str">
        <f t="shared" si="198"/>
        <v>1_pre sample median</v>
      </c>
      <c r="AE600" s="10" t="str">
        <f t="shared" si="199"/>
        <v>2_in sample second tertile</v>
      </c>
      <c r="AF600" t="s">
        <v>81</v>
      </c>
      <c r="AG600" t="s">
        <v>75</v>
      </c>
      <c r="AH600" t="s">
        <v>78</v>
      </c>
      <c r="AI600" t="s">
        <v>70</v>
      </c>
      <c r="AJ600" t="s">
        <v>70</v>
      </c>
      <c r="AK600" t="str">
        <f>VLOOKUP(MID($AR600,1,255),country_lookup!$B:$F,2,FALSE)</f>
        <v>2_Europe</v>
      </c>
      <c r="AL600" t="str">
        <f>VLOOKUP(MID($AR600,1,255),country_lookup!$B:$F,3,FALSE)</f>
        <v>99_NCE</v>
      </c>
      <c r="AM600" t="str">
        <f>VLOOKUP(MID($AR600,1,255),country_lookup!$B:$F,4,FALSE)</f>
        <v>1_western</v>
      </c>
      <c r="AN600" t="str">
        <f>VLOOKUP(MID($AR600,1,255),country_lookup!$B:$F,5,FALSE)</f>
        <v>2_civil law</v>
      </c>
      <c r="AO600" s="10" t="str">
        <f>VLOOKUP(MID($AS600,1,255),source_lookup!$B:$K,4,FALSE)</f>
        <v>0_published</v>
      </c>
      <c r="AP600" s="10" t="str">
        <f>VLOOKUP(MID($AS600,1,255),source_lookup!$B:$K,6,FALSE)</f>
        <v>1_VHB high</v>
      </c>
      <c r="AQ600" s="10" t="str">
        <f>VLOOKUP(MID($AS600,1,255),source_lookup!$B:$K,10,FALSE)</f>
        <v>1_fin/acc/econ</v>
      </c>
      <c r="AR600" t="s">
        <v>101</v>
      </c>
      <c r="AS600" t="s">
        <v>152</v>
      </c>
    </row>
    <row r="601" spans="1:45" x14ac:dyDescent="0.3">
      <c r="A601" t="s">
        <v>28</v>
      </c>
      <c r="B601">
        <v>600</v>
      </c>
      <c r="C601" s="1">
        <v>-0.13929870241075584</v>
      </c>
      <c r="D601" s="2">
        <v>30</v>
      </c>
      <c r="E601" s="4">
        <v>365</v>
      </c>
      <c r="F601" s="4" t="s">
        <v>347</v>
      </c>
      <c r="G601" s="4" t="s">
        <v>346</v>
      </c>
      <c r="H601" t="s">
        <v>77</v>
      </c>
      <c r="I601" t="s">
        <v>352</v>
      </c>
      <c r="J601" s="3">
        <v>2006</v>
      </c>
      <c r="K601" s="3">
        <v>2017</v>
      </c>
      <c r="L601" s="6">
        <f t="shared" si="191"/>
        <v>2011.5</v>
      </c>
      <c r="M601" s="6">
        <f t="shared" si="192"/>
        <v>2011.5</v>
      </c>
      <c r="N601" s="7">
        <f t="shared" si="180"/>
        <v>0.16666666666666666</v>
      </c>
      <c r="O601" s="7">
        <f t="shared" si="181"/>
        <v>8.3333333333333329E-2</v>
      </c>
      <c r="P601" s="7">
        <f t="shared" si="182"/>
        <v>0</v>
      </c>
      <c r="Q601" s="7">
        <f t="shared" si="193"/>
        <v>0</v>
      </c>
      <c r="R601" s="10" t="str">
        <f t="shared" si="183"/>
        <v>0_Pre</v>
      </c>
      <c r="S601" s="10" t="str">
        <f t="shared" si="184"/>
        <v>0_Pre</v>
      </c>
      <c r="T601" s="10" t="str">
        <f t="shared" si="185"/>
        <v>0_Pre</v>
      </c>
      <c r="U601" s="10" t="str">
        <f t="shared" si="186"/>
        <v>1_Post</v>
      </c>
      <c r="V601" s="10" t="str">
        <f t="shared" si="194"/>
        <v>0_Pre</v>
      </c>
      <c r="W601" s="10" t="str">
        <f t="shared" si="187"/>
        <v>straddle</v>
      </c>
      <c r="X601" s="10" t="str">
        <f t="shared" si="188"/>
        <v>0_Pre</v>
      </c>
      <c r="Y601" s="10" t="str">
        <f t="shared" si="189"/>
        <v>0_Pre</v>
      </c>
      <c r="Z601" s="10" t="str">
        <f t="shared" si="190"/>
        <v>0_Pre</v>
      </c>
      <c r="AA601" s="10" t="str">
        <f t="shared" si="195"/>
        <v>1_Post</v>
      </c>
      <c r="AB601" s="10" t="str">
        <f t="shared" si="196"/>
        <v>0_Pre</v>
      </c>
      <c r="AC601" s="10" t="str">
        <f t="shared" si="197"/>
        <v>0_Pre</v>
      </c>
      <c r="AD601" s="10" t="str">
        <f t="shared" si="198"/>
        <v>1_pre sample median</v>
      </c>
      <c r="AE601" s="10" t="str">
        <f t="shared" si="199"/>
        <v>2_in sample second tertile</v>
      </c>
      <c r="AF601" t="s">
        <v>81</v>
      </c>
      <c r="AG601" t="s">
        <v>75</v>
      </c>
      <c r="AH601" t="s">
        <v>78</v>
      </c>
      <c r="AI601" t="s">
        <v>70</v>
      </c>
      <c r="AJ601" t="s">
        <v>70</v>
      </c>
      <c r="AK601" t="str">
        <f>VLOOKUP(MID($AR601,1,255),country_lookup!$B:$F,2,FALSE)</f>
        <v>2_Europe</v>
      </c>
      <c r="AL601" t="str">
        <f>VLOOKUP(MID($AR601,1,255),country_lookup!$B:$F,3,FALSE)</f>
        <v>99_NCE</v>
      </c>
      <c r="AM601" t="str">
        <f>VLOOKUP(MID($AR601,1,255),country_lookup!$B:$F,4,FALSE)</f>
        <v>1_western</v>
      </c>
      <c r="AN601" t="str">
        <f>VLOOKUP(MID($AR601,1,255),country_lookup!$B:$F,5,FALSE)</f>
        <v>2_civil law</v>
      </c>
      <c r="AO601" s="10" t="str">
        <f>VLOOKUP(MID($AS601,1,255),source_lookup!$B:$K,4,FALSE)</f>
        <v>0_published</v>
      </c>
      <c r="AP601" s="10" t="str">
        <f>VLOOKUP(MID($AS601,1,255),source_lookup!$B:$K,6,FALSE)</f>
        <v>1_VHB high</v>
      </c>
      <c r="AQ601" s="10" t="str">
        <f>VLOOKUP(MID($AS601,1,255),source_lookup!$B:$K,10,FALSE)</f>
        <v>1_fin/acc/econ</v>
      </c>
      <c r="AR601" t="s">
        <v>101</v>
      </c>
      <c r="AS601" t="s">
        <v>152</v>
      </c>
    </row>
    <row r="602" spans="1:45" x14ac:dyDescent="0.3">
      <c r="A602" t="s">
        <v>28</v>
      </c>
      <c r="B602">
        <v>601</v>
      </c>
      <c r="C602" s="1">
        <v>-2.4936625723590948E-2</v>
      </c>
      <c r="D602" s="2">
        <v>29</v>
      </c>
      <c r="E602" s="4">
        <v>350</v>
      </c>
      <c r="F602" s="4" t="s">
        <v>347</v>
      </c>
      <c r="G602" s="4" t="s">
        <v>346</v>
      </c>
      <c r="H602" t="s">
        <v>77</v>
      </c>
      <c r="I602" t="s">
        <v>352</v>
      </c>
      <c r="J602" s="3">
        <v>2006</v>
      </c>
      <c r="K602" s="3">
        <v>2017</v>
      </c>
      <c r="L602" s="6">
        <f t="shared" si="191"/>
        <v>2011.5</v>
      </c>
      <c r="M602" s="6">
        <f t="shared" si="192"/>
        <v>2011.5</v>
      </c>
      <c r="N602" s="7">
        <f t="shared" si="180"/>
        <v>0.16666666666666666</v>
      </c>
      <c r="O602" s="7">
        <f t="shared" si="181"/>
        <v>8.3333333333333329E-2</v>
      </c>
      <c r="P602" s="7">
        <f t="shared" si="182"/>
        <v>0</v>
      </c>
      <c r="Q602" s="7">
        <f t="shared" si="193"/>
        <v>0</v>
      </c>
      <c r="R602" s="10" t="str">
        <f t="shared" si="183"/>
        <v>0_Pre</v>
      </c>
      <c r="S602" s="10" t="str">
        <f t="shared" si="184"/>
        <v>0_Pre</v>
      </c>
      <c r="T602" s="10" t="str">
        <f t="shared" si="185"/>
        <v>0_Pre</v>
      </c>
      <c r="U602" s="10" t="str">
        <f t="shared" si="186"/>
        <v>1_Post</v>
      </c>
      <c r="V602" s="10" t="str">
        <f t="shared" si="194"/>
        <v>0_Pre</v>
      </c>
      <c r="W602" s="10" t="str">
        <f t="shared" si="187"/>
        <v>straddle</v>
      </c>
      <c r="X602" s="10" t="str">
        <f t="shared" si="188"/>
        <v>0_Pre</v>
      </c>
      <c r="Y602" s="10" t="str">
        <f t="shared" si="189"/>
        <v>0_Pre</v>
      </c>
      <c r="Z602" s="10" t="str">
        <f t="shared" si="190"/>
        <v>0_Pre</v>
      </c>
      <c r="AA602" s="10" t="str">
        <f t="shared" si="195"/>
        <v>1_Post</v>
      </c>
      <c r="AB602" s="10" t="str">
        <f t="shared" si="196"/>
        <v>0_Pre</v>
      </c>
      <c r="AC602" s="10" t="str">
        <f t="shared" si="197"/>
        <v>0_Pre</v>
      </c>
      <c r="AD602" s="10" t="str">
        <f t="shared" si="198"/>
        <v>1_pre sample median</v>
      </c>
      <c r="AE602" s="10" t="str">
        <f t="shared" si="199"/>
        <v>2_in sample second tertile</v>
      </c>
      <c r="AF602" t="s">
        <v>81</v>
      </c>
      <c r="AG602" t="s">
        <v>75</v>
      </c>
      <c r="AH602" t="s">
        <v>78</v>
      </c>
      <c r="AI602" t="s">
        <v>70</v>
      </c>
      <c r="AJ602" t="s">
        <v>70</v>
      </c>
      <c r="AK602" t="str">
        <f>VLOOKUP(MID($AR602,1,255),country_lookup!$B:$F,2,FALSE)</f>
        <v>2_Europe</v>
      </c>
      <c r="AL602" t="str">
        <f>VLOOKUP(MID($AR602,1,255),country_lookup!$B:$F,3,FALSE)</f>
        <v>99_NCE</v>
      </c>
      <c r="AM602" t="str">
        <f>VLOOKUP(MID($AR602,1,255),country_lookup!$B:$F,4,FALSE)</f>
        <v>1_western</v>
      </c>
      <c r="AN602" t="str">
        <f>VLOOKUP(MID($AR602,1,255),country_lookup!$B:$F,5,FALSE)</f>
        <v>2_civil law</v>
      </c>
      <c r="AO602" s="10" t="str">
        <f>VLOOKUP(MID($AS602,1,255),source_lookup!$B:$K,4,FALSE)</f>
        <v>0_published</v>
      </c>
      <c r="AP602" s="10" t="str">
        <f>VLOOKUP(MID($AS602,1,255),source_lookup!$B:$K,6,FALSE)</f>
        <v>1_VHB high</v>
      </c>
      <c r="AQ602" s="10" t="str">
        <f>VLOOKUP(MID($AS602,1,255),source_lookup!$B:$K,10,FALSE)</f>
        <v>1_fin/acc/econ</v>
      </c>
      <c r="AR602" t="s">
        <v>101</v>
      </c>
      <c r="AS602" t="s">
        <v>152</v>
      </c>
    </row>
    <row r="603" spans="1:45" x14ac:dyDescent="0.3">
      <c r="A603" t="s">
        <v>28</v>
      </c>
      <c r="B603">
        <v>602</v>
      </c>
      <c r="C603" s="1">
        <v>-9.2617937406776027E-2</v>
      </c>
      <c r="D603" s="2">
        <v>44</v>
      </c>
      <c r="E603" s="4">
        <v>526</v>
      </c>
      <c r="F603" s="4" t="s">
        <v>347</v>
      </c>
      <c r="G603" s="4" t="s">
        <v>346</v>
      </c>
      <c r="H603" t="s">
        <v>77</v>
      </c>
      <c r="I603" t="s">
        <v>352</v>
      </c>
      <c r="J603" s="3">
        <v>2006</v>
      </c>
      <c r="K603" s="3">
        <v>2017</v>
      </c>
      <c r="L603" s="6">
        <f t="shared" si="191"/>
        <v>2011.5</v>
      </c>
      <c r="M603" s="6">
        <f t="shared" si="192"/>
        <v>2011.5</v>
      </c>
      <c r="N603" s="7">
        <f t="shared" si="180"/>
        <v>0.16666666666666666</v>
      </c>
      <c r="O603" s="7">
        <f t="shared" si="181"/>
        <v>8.3333333333333329E-2</v>
      </c>
      <c r="P603" s="7">
        <f t="shared" si="182"/>
        <v>0</v>
      </c>
      <c r="Q603" s="7">
        <f t="shared" si="193"/>
        <v>0</v>
      </c>
      <c r="R603" s="10" t="str">
        <f t="shared" si="183"/>
        <v>0_Pre</v>
      </c>
      <c r="S603" s="10" t="str">
        <f t="shared" si="184"/>
        <v>0_Pre</v>
      </c>
      <c r="T603" s="10" t="str">
        <f t="shared" si="185"/>
        <v>0_Pre</v>
      </c>
      <c r="U603" s="10" t="str">
        <f t="shared" si="186"/>
        <v>1_Post</v>
      </c>
      <c r="V603" s="10" t="str">
        <f t="shared" si="194"/>
        <v>0_Pre</v>
      </c>
      <c r="W603" s="10" t="str">
        <f t="shared" si="187"/>
        <v>straddle</v>
      </c>
      <c r="X603" s="10" t="str">
        <f t="shared" si="188"/>
        <v>0_Pre</v>
      </c>
      <c r="Y603" s="10" t="str">
        <f t="shared" si="189"/>
        <v>0_Pre</v>
      </c>
      <c r="Z603" s="10" t="str">
        <f t="shared" si="190"/>
        <v>0_Pre</v>
      </c>
      <c r="AA603" s="10" t="str">
        <f t="shared" si="195"/>
        <v>1_Post</v>
      </c>
      <c r="AB603" s="10" t="str">
        <f t="shared" si="196"/>
        <v>0_Pre</v>
      </c>
      <c r="AC603" s="10" t="str">
        <f t="shared" si="197"/>
        <v>0_Pre</v>
      </c>
      <c r="AD603" s="10" t="str">
        <f t="shared" si="198"/>
        <v>1_pre sample median</v>
      </c>
      <c r="AE603" s="10" t="str">
        <f t="shared" si="199"/>
        <v>2_in sample second tertile</v>
      </c>
      <c r="AF603" t="s">
        <v>81</v>
      </c>
      <c r="AG603" t="s">
        <v>75</v>
      </c>
      <c r="AH603" t="s">
        <v>78</v>
      </c>
      <c r="AI603" t="s">
        <v>70</v>
      </c>
      <c r="AJ603" t="s">
        <v>70</v>
      </c>
      <c r="AK603" t="str">
        <f>VLOOKUP(MID($AR603,1,255),country_lookup!$B:$F,2,FALSE)</f>
        <v>2_Europe</v>
      </c>
      <c r="AL603" t="str">
        <f>VLOOKUP(MID($AR603,1,255),country_lookup!$B:$F,3,FALSE)</f>
        <v>99_NCE</v>
      </c>
      <c r="AM603" t="str">
        <f>VLOOKUP(MID($AR603,1,255),country_lookup!$B:$F,4,FALSE)</f>
        <v>1_western</v>
      </c>
      <c r="AN603" t="str">
        <f>VLOOKUP(MID($AR603,1,255),country_lookup!$B:$F,5,FALSE)</f>
        <v>2_civil law</v>
      </c>
      <c r="AO603" s="10" t="str">
        <f>VLOOKUP(MID($AS603,1,255),source_lookup!$B:$K,4,FALSE)</f>
        <v>0_published</v>
      </c>
      <c r="AP603" s="10" t="str">
        <f>VLOOKUP(MID($AS603,1,255),source_lookup!$B:$K,6,FALSE)</f>
        <v>1_VHB high</v>
      </c>
      <c r="AQ603" s="10" t="str">
        <f>VLOOKUP(MID($AS603,1,255),source_lookup!$B:$K,10,FALSE)</f>
        <v>1_fin/acc/econ</v>
      </c>
      <c r="AR603" t="s">
        <v>101</v>
      </c>
      <c r="AS603" t="s">
        <v>152</v>
      </c>
    </row>
    <row r="604" spans="1:45" x14ac:dyDescent="0.3">
      <c r="A604" t="s">
        <v>28</v>
      </c>
      <c r="B604">
        <v>603</v>
      </c>
      <c r="C604" s="1">
        <v>-3.5294508453468324E-3</v>
      </c>
      <c r="D604" s="2">
        <v>40</v>
      </c>
      <c r="E604" s="4">
        <v>475</v>
      </c>
      <c r="F604" s="4" t="s">
        <v>347</v>
      </c>
      <c r="G604" s="4" t="s">
        <v>346</v>
      </c>
      <c r="H604" t="s">
        <v>77</v>
      </c>
      <c r="I604" t="s">
        <v>352</v>
      </c>
      <c r="J604" s="3">
        <v>2006</v>
      </c>
      <c r="K604" s="3">
        <v>2017</v>
      </c>
      <c r="L604" s="6">
        <f t="shared" si="191"/>
        <v>2011.5</v>
      </c>
      <c r="M604" s="6">
        <f t="shared" si="192"/>
        <v>2011.5</v>
      </c>
      <c r="N604" s="7">
        <f t="shared" si="180"/>
        <v>0.16666666666666666</v>
      </c>
      <c r="O604" s="7">
        <f t="shared" si="181"/>
        <v>8.3333333333333329E-2</v>
      </c>
      <c r="P604" s="7">
        <f t="shared" si="182"/>
        <v>0</v>
      </c>
      <c r="Q604" s="7">
        <f t="shared" si="193"/>
        <v>0</v>
      </c>
      <c r="R604" s="10" t="str">
        <f t="shared" si="183"/>
        <v>0_Pre</v>
      </c>
      <c r="S604" s="10" t="str">
        <f t="shared" si="184"/>
        <v>0_Pre</v>
      </c>
      <c r="T604" s="10" t="str">
        <f t="shared" si="185"/>
        <v>0_Pre</v>
      </c>
      <c r="U604" s="10" t="str">
        <f t="shared" si="186"/>
        <v>1_Post</v>
      </c>
      <c r="V604" s="10" t="str">
        <f t="shared" si="194"/>
        <v>0_Pre</v>
      </c>
      <c r="W604" s="10" t="str">
        <f t="shared" si="187"/>
        <v>straddle</v>
      </c>
      <c r="X604" s="10" t="str">
        <f t="shared" si="188"/>
        <v>0_Pre</v>
      </c>
      <c r="Y604" s="10" t="str">
        <f t="shared" si="189"/>
        <v>0_Pre</v>
      </c>
      <c r="Z604" s="10" t="str">
        <f t="shared" si="190"/>
        <v>0_Pre</v>
      </c>
      <c r="AA604" s="10" t="str">
        <f t="shared" si="195"/>
        <v>1_Post</v>
      </c>
      <c r="AB604" s="10" t="str">
        <f t="shared" si="196"/>
        <v>0_Pre</v>
      </c>
      <c r="AC604" s="10" t="str">
        <f t="shared" si="197"/>
        <v>0_Pre</v>
      </c>
      <c r="AD604" s="10" t="str">
        <f t="shared" si="198"/>
        <v>1_pre sample median</v>
      </c>
      <c r="AE604" s="10" t="str">
        <f t="shared" si="199"/>
        <v>2_in sample second tertile</v>
      </c>
      <c r="AF604" t="s">
        <v>81</v>
      </c>
      <c r="AG604" t="s">
        <v>75</v>
      </c>
      <c r="AH604" t="s">
        <v>78</v>
      </c>
      <c r="AI604" t="s">
        <v>70</v>
      </c>
      <c r="AJ604" t="s">
        <v>70</v>
      </c>
      <c r="AK604" t="str">
        <f>VLOOKUP(MID($AR604,1,255),country_lookup!$B:$F,2,FALSE)</f>
        <v>2_Europe</v>
      </c>
      <c r="AL604" t="str">
        <f>VLOOKUP(MID($AR604,1,255),country_lookup!$B:$F,3,FALSE)</f>
        <v>99_NCE</v>
      </c>
      <c r="AM604" t="str">
        <f>VLOOKUP(MID($AR604,1,255),country_lookup!$B:$F,4,FALSE)</f>
        <v>1_western</v>
      </c>
      <c r="AN604" t="str">
        <f>VLOOKUP(MID($AR604,1,255),country_lookup!$B:$F,5,FALSE)</f>
        <v>2_civil law</v>
      </c>
      <c r="AO604" s="10" t="str">
        <f>VLOOKUP(MID($AS604,1,255),source_lookup!$B:$K,4,FALSE)</f>
        <v>0_published</v>
      </c>
      <c r="AP604" s="10" t="str">
        <f>VLOOKUP(MID($AS604,1,255),source_lookup!$B:$K,6,FALSE)</f>
        <v>1_VHB high</v>
      </c>
      <c r="AQ604" s="10" t="str">
        <f>VLOOKUP(MID($AS604,1,255),source_lookup!$B:$K,10,FALSE)</f>
        <v>1_fin/acc/econ</v>
      </c>
      <c r="AR604" t="s">
        <v>101</v>
      </c>
      <c r="AS604" t="s">
        <v>152</v>
      </c>
    </row>
    <row r="605" spans="1:45" x14ac:dyDescent="0.3">
      <c r="A605" t="s">
        <v>28</v>
      </c>
      <c r="B605">
        <v>604</v>
      </c>
      <c r="C605" s="1">
        <v>-3.1715907510205379E-2</v>
      </c>
      <c r="D605" s="2">
        <v>40</v>
      </c>
      <c r="E605" s="4">
        <v>476</v>
      </c>
      <c r="F605" s="4" t="s">
        <v>347</v>
      </c>
      <c r="G605" s="4" t="s">
        <v>346</v>
      </c>
      <c r="H605" t="s">
        <v>77</v>
      </c>
      <c r="I605" t="s">
        <v>352</v>
      </c>
      <c r="J605" s="3">
        <v>2006</v>
      </c>
      <c r="K605" s="3">
        <v>2017</v>
      </c>
      <c r="L605" s="6">
        <f t="shared" si="191"/>
        <v>2011.5</v>
      </c>
      <c r="M605" s="6">
        <f t="shared" si="192"/>
        <v>2011.5</v>
      </c>
      <c r="N605" s="7">
        <f t="shared" si="180"/>
        <v>0.16666666666666666</v>
      </c>
      <c r="O605" s="7">
        <f t="shared" si="181"/>
        <v>8.3333333333333329E-2</v>
      </c>
      <c r="P605" s="7">
        <f t="shared" si="182"/>
        <v>0</v>
      </c>
      <c r="Q605" s="7">
        <f t="shared" si="193"/>
        <v>0</v>
      </c>
      <c r="R605" s="10" t="str">
        <f t="shared" si="183"/>
        <v>0_Pre</v>
      </c>
      <c r="S605" s="10" t="str">
        <f t="shared" si="184"/>
        <v>0_Pre</v>
      </c>
      <c r="T605" s="10" t="str">
        <f t="shared" si="185"/>
        <v>0_Pre</v>
      </c>
      <c r="U605" s="10" t="str">
        <f t="shared" si="186"/>
        <v>1_Post</v>
      </c>
      <c r="V605" s="10" t="str">
        <f t="shared" si="194"/>
        <v>0_Pre</v>
      </c>
      <c r="W605" s="10" t="str">
        <f t="shared" si="187"/>
        <v>straddle</v>
      </c>
      <c r="X605" s="10" t="str">
        <f t="shared" si="188"/>
        <v>0_Pre</v>
      </c>
      <c r="Y605" s="10" t="str">
        <f t="shared" si="189"/>
        <v>0_Pre</v>
      </c>
      <c r="Z605" s="10" t="str">
        <f t="shared" si="190"/>
        <v>0_Pre</v>
      </c>
      <c r="AA605" s="10" t="str">
        <f t="shared" si="195"/>
        <v>1_Post</v>
      </c>
      <c r="AB605" s="10" t="str">
        <f t="shared" si="196"/>
        <v>0_Pre</v>
      </c>
      <c r="AC605" s="10" t="str">
        <f t="shared" si="197"/>
        <v>0_Pre</v>
      </c>
      <c r="AD605" s="10" t="str">
        <f t="shared" si="198"/>
        <v>1_pre sample median</v>
      </c>
      <c r="AE605" s="10" t="str">
        <f t="shared" si="199"/>
        <v>2_in sample second tertile</v>
      </c>
      <c r="AF605" t="s">
        <v>81</v>
      </c>
      <c r="AG605" t="s">
        <v>75</v>
      </c>
      <c r="AH605" t="s">
        <v>78</v>
      </c>
      <c r="AI605" t="s">
        <v>70</v>
      </c>
      <c r="AJ605" t="s">
        <v>70</v>
      </c>
      <c r="AK605" t="str">
        <f>VLOOKUP(MID($AR605,1,255),country_lookup!$B:$F,2,FALSE)</f>
        <v>2_Europe</v>
      </c>
      <c r="AL605" t="str">
        <f>VLOOKUP(MID($AR605,1,255),country_lookup!$B:$F,3,FALSE)</f>
        <v>99_NCE</v>
      </c>
      <c r="AM605" t="str">
        <f>VLOOKUP(MID($AR605,1,255),country_lookup!$B:$F,4,FALSE)</f>
        <v>1_western</v>
      </c>
      <c r="AN605" t="str">
        <f>VLOOKUP(MID($AR605,1,255),country_lookup!$B:$F,5,FALSE)</f>
        <v>2_civil law</v>
      </c>
      <c r="AO605" s="10" t="str">
        <f>VLOOKUP(MID($AS605,1,255),source_lookup!$B:$K,4,FALSE)</f>
        <v>0_published</v>
      </c>
      <c r="AP605" s="10" t="str">
        <f>VLOOKUP(MID($AS605,1,255),source_lookup!$B:$K,6,FALSE)</f>
        <v>1_VHB high</v>
      </c>
      <c r="AQ605" s="10" t="str">
        <f>VLOOKUP(MID($AS605,1,255),source_lookup!$B:$K,10,FALSE)</f>
        <v>1_fin/acc/econ</v>
      </c>
      <c r="AR605" t="s">
        <v>101</v>
      </c>
      <c r="AS605" t="s">
        <v>152</v>
      </c>
    </row>
    <row r="606" spans="1:45" x14ac:dyDescent="0.3">
      <c r="A606" t="s">
        <v>28</v>
      </c>
      <c r="B606">
        <v>605</v>
      </c>
      <c r="C606" s="1">
        <v>-3.4271238914807364E-2</v>
      </c>
      <c r="D606" s="2">
        <v>44</v>
      </c>
      <c r="E606" s="4">
        <v>525</v>
      </c>
      <c r="F606" s="4" t="s">
        <v>347</v>
      </c>
      <c r="G606" s="4" t="s">
        <v>346</v>
      </c>
      <c r="H606" t="s">
        <v>77</v>
      </c>
      <c r="I606" t="s">
        <v>352</v>
      </c>
      <c r="J606" s="3">
        <v>2006</v>
      </c>
      <c r="K606" s="3">
        <v>2017</v>
      </c>
      <c r="L606" s="6">
        <f t="shared" si="191"/>
        <v>2011.5</v>
      </c>
      <c r="M606" s="6">
        <f t="shared" si="192"/>
        <v>2011.5</v>
      </c>
      <c r="N606" s="7">
        <f t="shared" si="180"/>
        <v>0.16666666666666666</v>
      </c>
      <c r="O606" s="7">
        <f t="shared" si="181"/>
        <v>8.3333333333333329E-2</v>
      </c>
      <c r="P606" s="7">
        <f t="shared" si="182"/>
        <v>0</v>
      </c>
      <c r="Q606" s="7">
        <f t="shared" si="193"/>
        <v>0</v>
      </c>
      <c r="R606" s="10" t="str">
        <f t="shared" si="183"/>
        <v>0_Pre</v>
      </c>
      <c r="S606" s="10" t="str">
        <f t="shared" si="184"/>
        <v>0_Pre</v>
      </c>
      <c r="T606" s="10" t="str">
        <f t="shared" si="185"/>
        <v>0_Pre</v>
      </c>
      <c r="U606" s="10" t="str">
        <f t="shared" si="186"/>
        <v>1_Post</v>
      </c>
      <c r="V606" s="10" t="str">
        <f t="shared" si="194"/>
        <v>0_Pre</v>
      </c>
      <c r="W606" s="10" t="str">
        <f t="shared" si="187"/>
        <v>straddle</v>
      </c>
      <c r="X606" s="10" t="str">
        <f t="shared" si="188"/>
        <v>0_Pre</v>
      </c>
      <c r="Y606" s="10" t="str">
        <f t="shared" si="189"/>
        <v>0_Pre</v>
      </c>
      <c r="Z606" s="10" t="str">
        <f t="shared" si="190"/>
        <v>0_Pre</v>
      </c>
      <c r="AA606" s="10" t="str">
        <f t="shared" si="195"/>
        <v>1_Post</v>
      </c>
      <c r="AB606" s="10" t="str">
        <f t="shared" si="196"/>
        <v>0_Pre</v>
      </c>
      <c r="AC606" s="10" t="str">
        <f t="shared" si="197"/>
        <v>0_Pre</v>
      </c>
      <c r="AD606" s="10" t="str">
        <f t="shared" si="198"/>
        <v>1_pre sample median</v>
      </c>
      <c r="AE606" s="10" t="str">
        <f t="shared" si="199"/>
        <v>2_in sample second tertile</v>
      </c>
      <c r="AF606" t="s">
        <v>81</v>
      </c>
      <c r="AG606" t="s">
        <v>75</v>
      </c>
      <c r="AH606" t="s">
        <v>78</v>
      </c>
      <c r="AI606" t="s">
        <v>70</v>
      </c>
      <c r="AJ606" t="s">
        <v>70</v>
      </c>
      <c r="AK606" t="str">
        <f>VLOOKUP(MID($AR606,1,255),country_lookup!$B:$F,2,FALSE)</f>
        <v>2_Europe</v>
      </c>
      <c r="AL606" t="str">
        <f>VLOOKUP(MID($AR606,1,255),country_lookup!$B:$F,3,FALSE)</f>
        <v>99_NCE</v>
      </c>
      <c r="AM606" t="str">
        <f>VLOOKUP(MID($AR606,1,255),country_lookup!$B:$F,4,FALSE)</f>
        <v>1_western</v>
      </c>
      <c r="AN606" t="str">
        <f>VLOOKUP(MID($AR606,1,255),country_lookup!$B:$F,5,FALSE)</f>
        <v>2_civil law</v>
      </c>
      <c r="AO606" s="10" t="str">
        <f>VLOOKUP(MID($AS606,1,255),source_lookup!$B:$K,4,FALSE)</f>
        <v>0_published</v>
      </c>
      <c r="AP606" s="10" t="str">
        <f>VLOOKUP(MID($AS606,1,255),source_lookup!$B:$K,6,FALSE)</f>
        <v>1_VHB high</v>
      </c>
      <c r="AQ606" s="10" t="str">
        <f>VLOOKUP(MID($AS606,1,255),source_lookup!$B:$K,10,FALSE)</f>
        <v>1_fin/acc/econ</v>
      </c>
      <c r="AR606" t="s">
        <v>101</v>
      </c>
      <c r="AS606" t="s">
        <v>152</v>
      </c>
    </row>
    <row r="607" spans="1:45" x14ac:dyDescent="0.3">
      <c r="A607" t="s">
        <v>28</v>
      </c>
      <c r="B607">
        <v>606</v>
      </c>
      <c r="C607" s="1">
        <v>-0.14299949188252684</v>
      </c>
      <c r="D607" s="2">
        <v>42</v>
      </c>
      <c r="E607" s="4">
        <v>500</v>
      </c>
      <c r="F607" s="4" t="s">
        <v>347</v>
      </c>
      <c r="G607" s="4" t="s">
        <v>346</v>
      </c>
      <c r="H607" t="s">
        <v>77</v>
      </c>
      <c r="I607" t="s">
        <v>352</v>
      </c>
      <c r="J607" s="3">
        <v>2006</v>
      </c>
      <c r="K607" s="3">
        <v>2017</v>
      </c>
      <c r="L607" s="6">
        <f t="shared" si="191"/>
        <v>2011.5</v>
      </c>
      <c r="M607" s="6">
        <f t="shared" si="192"/>
        <v>2011.5</v>
      </c>
      <c r="N607" s="7">
        <f t="shared" si="180"/>
        <v>0.16666666666666666</v>
      </c>
      <c r="O607" s="7">
        <f t="shared" si="181"/>
        <v>8.3333333333333329E-2</v>
      </c>
      <c r="P607" s="7">
        <f t="shared" si="182"/>
        <v>0</v>
      </c>
      <c r="Q607" s="7">
        <f t="shared" si="193"/>
        <v>0</v>
      </c>
      <c r="R607" s="10" t="str">
        <f t="shared" si="183"/>
        <v>0_Pre</v>
      </c>
      <c r="S607" s="10" t="str">
        <f t="shared" si="184"/>
        <v>0_Pre</v>
      </c>
      <c r="T607" s="10" t="str">
        <f t="shared" si="185"/>
        <v>0_Pre</v>
      </c>
      <c r="U607" s="10" t="str">
        <f t="shared" si="186"/>
        <v>1_Post</v>
      </c>
      <c r="V607" s="10" t="str">
        <f t="shared" si="194"/>
        <v>0_Pre</v>
      </c>
      <c r="W607" s="10" t="str">
        <f t="shared" si="187"/>
        <v>straddle</v>
      </c>
      <c r="X607" s="10" t="str">
        <f t="shared" si="188"/>
        <v>0_Pre</v>
      </c>
      <c r="Y607" s="10" t="str">
        <f t="shared" si="189"/>
        <v>0_Pre</v>
      </c>
      <c r="Z607" s="10" t="str">
        <f t="shared" si="190"/>
        <v>0_Pre</v>
      </c>
      <c r="AA607" s="10" t="str">
        <f t="shared" si="195"/>
        <v>1_Post</v>
      </c>
      <c r="AB607" s="10" t="str">
        <f t="shared" si="196"/>
        <v>0_Pre</v>
      </c>
      <c r="AC607" s="10" t="str">
        <f t="shared" si="197"/>
        <v>0_Pre</v>
      </c>
      <c r="AD607" s="10" t="str">
        <f t="shared" si="198"/>
        <v>1_pre sample median</v>
      </c>
      <c r="AE607" s="10" t="str">
        <f t="shared" si="199"/>
        <v>2_in sample second tertile</v>
      </c>
      <c r="AF607" t="s">
        <v>81</v>
      </c>
      <c r="AG607" t="s">
        <v>75</v>
      </c>
      <c r="AH607" t="s">
        <v>78</v>
      </c>
      <c r="AI607" t="s">
        <v>70</v>
      </c>
      <c r="AJ607" t="s">
        <v>70</v>
      </c>
      <c r="AK607" t="str">
        <f>VLOOKUP(MID($AR607,1,255),country_lookup!$B:$F,2,FALSE)</f>
        <v>2_Europe</v>
      </c>
      <c r="AL607" t="str">
        <f>VLOOKUP(MID($AR607,1,255),country_lookup!$B:$F,3,FALSE)</f>
        <v>99_NCE</v>
      </c>
      <c r="AM607" t="str">
        <f>VLOOKUP(MID($AR607,1,255),country_lookup!$B:$F,4,FALSE)</f>
        <v>1_western</v>
      </c>
      <c r="AN607" t="str">
        <f>VLOOKUP(MID($AR607,1,255),country_lookup!$B:$F,5,FALSE)</f>
        <v>2_civil law</v>
      </c>
      <c r="AO607" s="10" t="str">
        <f>VLOOKUP(MID($AS607,1,255),source_lookup!$B:$K,4,FALSE)</f>
        <v>0_published</v>
      </c>
      <c r="AP607" s="10" t="str">
        <f>VLOOKUP(MID($AS607,1,255),source_lookup!$B:$K,6,FALSE)</f>
        <v>1_VHB high</v>
      </c>
      <c r="AQ607" s="10" t="str">
        <f>VLOOKUP(MID($AS607,1,255),source_lookup!$B:$K,10,FALSE)</f>
        <v>1_fin/acc/econ</v>
      </c>
      <c r="AR607" t="s">
        <v>101</v>
      </c>
      <c r="AS607" t="s">
        <v>152</v>
      </c>
    </row>
    <row r="608" spans="1:45" x14ac:dyDescent="0.3">
      <c r="A608" t="s">
        <v>28</v>
      </c>
      <c r="B608">
        <v>607</v>
      </c>
      <c r="C608" s="1">
        <v>-2.2377469175267228E-2</v>
      </c>
      <c r="D608" s="2">
        <v>42</v>
      </c>
      <c r="E608" s="4">
        <v>499</v>
      </c>
      <c r="F608" s="4" t="s">
        <v>347</v>
      </c>
      <c r="G608" s="4" t="s">
        <v>346</v>
      </c>
      <c r="H608" t="s">
        <v>77</v>
      </c>
      <c r="I608" t="s">
        <v>352</v>
      </c>
      <c r="J608" s="3">
        <v>2006</v>
      </c>
      <c r="K608" s="3">
        <v>2017</v>
      </c>
      <c r="L608" s="6">
        <f t="shared" si="191"/>
        <v>2011.5</v>
      </c>
      <c r="M608" s="6">
        <f t="shared" si="192"/>
        <v>2011.5</v>
      </c>
      <c r="N608" s="7">
        <f t="shared" si="180"/>
        <v>0.16666666666666666</v>
      </c>
      <c r="O608" s="7">
        <f t="shared" si="181"/>
        <v>8.3333333333333329E-2</v>
      </c>
      <c r="P608" s="7">
        <f t="shared" si="182"/>
        <v>0</v>
      </c>
      <c r="Q608" s="7">
        <f t="shared" si="193"/>
        <v>0</v>
      </c>
      <c r="R608" s="10" t="str">
        <f t="shared" si="183"/>
        <v>0_Pre</v>
      </c>
      <c r="S608" s="10" t="str">
        <f t="shared" si="184"/>
        <v>0_Pre</v>
      </c>
      <c r="T608" s="10" t="str">
        <f t="shared" si="185"/>
        <v>0_Pre</v>
      </c>
      <c r="U608" s="10" t="str">
        <f t="shared" si="186"/>
        <v>1_Post</v>
      </c>
      <c r="V608" s="10" t="str">
        <f t="shared" si="194"/>
        <v>0_Pre</v>
      </c>
      <c r="W608" s="10" t="str">
        <f t="shared" si="187"/>
        <v>straddle</v>
      </c>
      <c r="X608" s="10" t="str">
        <f t="shared" si="188"/>
        <v>0_Pre</v>
      </c>
      <c r="Y608" s="10" t="str">
        <f t="shared" si="189"/>
        <v>0_Pre</v>
      </c>
      <c r="Z608" s="10" t="str">
        <f t="shared" si="190"/>
        <v>0_Pre</v>
      </c>
      <c r="AA608" s="10" t="str">
        <f t="shared" si="195"/>
        <v>1_Post</v>
      </c>
      <c r="AB608" s="10" t="str">
        <f t="shared" si="196"/>
        <v>0_Pre</v>
      </c>
      <c r="AC608" s="10" t="str">
        <f t="shared" si="197"/>
        <v>0_Pre</v>
      </c>
      <c r="AD608" s="10" t="str">
        <f t="shared" si="198"/>
        <v>1_pre sample median</v>
      </c>
      <c r="AE608" s="10" t="str">
        <f t="shared" si="199"/>
        <v>2_in sample second tertile</v>
      </c>
      <c r="AF608" t="s">
        <v>81</v>
      </c>
      <c r="AG608" t="s">
        <v>75</v>
      </c>
      <c r="AH608" t="s">
        <v>78</v>
      </c>
      <c r="AI608" t="s">
        <v>70</v>
      </c>
      <c r="AJ608" t="s">
        <v>70</v>
      </c>
      <c r="AK608" t="str">
        <f>VLOOKUP(MID($AR608,1,255),country_lookup!$B:$F,2,FALSE)</f>
        <v>2_Europe</v>
      </c>
      <c r="AL608" t="str">
        <f>VLOOKUP(MID($AR608,1,255),country_lookup!$B:$F,3,FALSE)</f>
        <v>99_NCE</v>
      </c>
      <c r="AM608" t="str">
        <f>VLOOKUP(MID($AR608,1,255),country_lookup!$B:$F,4,FALSE)</f>
        <v>1_western</v>
      </c>
      <c r="AN608" t="str">
        <f>VLOOKUP(MID($AR608,1,255),country_lookup!$B:$F,5,FALSE)</f>
        <v>2_civil law</v>
      </c>
      <c r="AO608" s="10" t="str">
        <f>VLOOKUP(MID($AS608,1,255),source_lookup!$B:$K,4,FALSE)</f>
        <v>0_published</v>
      </c>
      <c r="AP608" s="10" t="str">
        <f>VLOOKUP(MID($AS608,1,255),source_lookup!$B:$K,6,FALSE)</f>
        <v>1_VHB high</v>
      </c>
      <c r="AQ608" s="10" t="str">
        <f>VLOOKUP(MID($AS608,1,255),source_lookup!$B:$K,10,FALSE)</f>
        <v>1_fin/acc/econ</v>
      </c>
      <c r="AR608" t="s">
        <v>101</v>
      </c>
      <c r="AS608" t="s">
        <v>152</v>
      </c>
    </row>
    <row r="609" spans="1:45" x14ac:dyDescent="0.3">
      <c r="A609" t="s">
        <v>29</v>
      </c>
      <c r="B609">
        <v>608</v>
      </c>
      <c r="C609" s="1">
        <v>9.3449922050103981E-2</v>
      </c>
      <c r="D609" s="2">
        <v>74</v>
      </c>
      <c r="E609" s="4">
        <v>588</v>
      </c>
      <c r="F609" s="4" t="s">
        <v>346</v>
      </c>
      <c r="G609" s="4" t="s">
        <v>347</v>
      </c>
      <c r="H609" t="s">
        <v>77</v>
      </c>
      <c r="I609" t="s">
        <v>350</v>
      </c>
      <c r="J609" s="3">
        <v>2005</v>
      </c>
      <c r="K609" s="3">
        <v>2012</v>
      </c>
      <c r="L609" s="6">
        <f t="shared" si="191"/>
        <v>2008.5</v>
      </c>
      <c r="M609" s="6">
        <f t="shared" si="192"/>
        <v>2008.5</v>
      </c>
      <c r="N609" s="7">
        <f t="shared" si="180"/>
        <v>0</v>
      </c>
      <c r="O609" s="7">
        <f t="shared" si="181"/>
        <v>0</v>
      </c>
      <c r="P609" s="7">
        <f t="shared" si="182"/>
        <v>0</v>
      </c>
      <c r="Q609" s="7">
        <f t="shared" si="193"/>
        <v>0</v>
      </c>
      <c r="R609" s="10" t="str">
        <f t="shared" si="183"/>
        <v>0_Pre</v>
      </c>
      <c r="S609" s="10" t="str">
        <f t="shared" si="184"/>
        <v>0_Pre</v>
      </c>
      <c r="T609" s="10" t="str">
        <f t="shared" si="185"/>
        <v>0_Pre</v>
      </c>
      <c r="U609" s="10" t="str">
        <f t="shared" si="186"/>
        <v>0_Pre</v>
      </c>
      <c r="V609" s="10" t="str">
        <f t="shared" si="194"/>
        <v>0_Pre</v>
      </c>
      <c r="W609" s="10" t="str">
        <f t="shared" si="187"/>
        <v>clean_pre</v>
      </c>
      <c r="X609" s="10" t="str">
        <f t="shared" si="188"/>
        <v>0_Pre</v>
      </c>
      <c r="Y609" s="10" t="str">
        <f t="shared" si="189"/>
        <v>0_Pre</v>
      </c>
      <c r="Z609" s="10" t="str">
        <f t="shared" si="190"/>
        <v>0_Pre</v>
      </c>
      <c r="AA609" s="10" t="str">
        <f t="shared" si="195"/>
        <v>0_Pre</v>
      </c>
      <c r="AB609" s="10" t="str">
        <f t="shared" si="196"/>
        <v>0_Pre</v>
      </c>
      <c r="AC609" s="10" t="str">
        <f t="shared" si="197"/>
        <v>0_Pre</v>
      </c>
      <c r="AD609" s="10" t="str">
        <f t="shared" si="198"/>
        <v>1_pre sample median</v>
      </c>
      <c r="AE609" s="10" t="str">
        <f t="shared" si="199"/>
        <v>1_pre sample first tertile</v>
      </c>
      <c r="AF609" t="s">
        <v>80</v>
      </c>
      <c r="AG609" t="s">
        <v>75</v>
      </c>
      <c r="AH609" t="s">
        <v>78</v>
      </c>
      <c r="AI609" t="s">
        <v>70</v>
      </c>
      <c r="AJ609" t="s">
        <v>70</v>
      </c>
      <c r="AK609" t="str">
        <f>VLOOKUP(MID($AR609,1,255),country_lookup!$B:$F,2,FALSE)</f>
        <v>99_NCE</v>
      </c>
      <c r="AL609" t="str">
        <f>VLOOKUP(MID($AR609,1,255),country_lookup!$B:$F,3,FALSE)</f>
        <v>99_NCE</v>
      </c>
      <c r="AM609" t="str">
        <f>VLOOKUP(MID($AR609,1,255),country_lookup!$B:$F,4,FALSE)</f>
        <v>99_NCE</v>
      </c>
      <c r="AN609" t="str">
        <f>VLOOKUP(MID($AR609,1,255),country_lookup!$B:$F,5,FALSE)</f>
        <v>99_NCE</v>
      </c>
      <c r="AO609" s="10" t="str">
        <f>VLOOKUP(MID($AS609,1,255),source_lookup!$B:$K,4,FALSE)</f>
        <v>0_published</v>
      </c>
      <c r="AP609" s="10" t="str">
        <f>VLOOKUP(MID($AS609,1,255),source_lookup!$B:$K,6,FALSE)</f>
        <v>1_VHB high</v>
      </c>
      <c r="AQ609" s="10" t="str">
        <f>VLOOKUP(MID($AS609,1,255),source_lookup!$B:$K,10,FALSE)</f>
        <v>1_fin/acc/econ</v>
      </c>
      <c r="AR609" t="s">
        <v>102</v>
      </c>
      <c r="AS609" t="s">
        <v>153</v>
      </c>
    </row>
    <row r="610" spans="1:45" x14ac:dyDescent="0.3">
      <c r="A610" t="s">
        <v>29</v>
      </c>
      <c r="B610">
        <v>609</v>
      </c>
      <c r="C610" s="1">
        <v>-1.4574444928898412E-2</v>
      </c>
      <c r="D610" s="2">
        <v>59</v>
      </c>
      <c r="E610" s="4">
        <v>470</v>
      </c>
      <c r="F610" s="4" t="s">
        <v>346</v>
      </c>
      <c r="G610" s="4" t="s">
        <v>347</v>
      </c>
      <c r="H610" t="s">
        <v>77</v>
      </c>
      <c r="I610" t="s">
        <v>350</v>
      </c>
      <c r="J610" s="3">
        <v>2005</v>
      </c>
      <c r="K610" s="3">
        <v>2012</v>
      </c>
      <c r="L610" s="6">
        <f t="shared" si="191"/>
        <v>2008.5</v>
      </c>
      <c r="M610" s="6">
        <f t="shared" si="192"/>
        <v>2008.5</v>
      </c>
      <c r="N610" s="7">
        <f t="shared" si="180"/>
        <v>0</v>
      </c>
      <c r="O610" s="7">
        <f t="shared" si="181"/>
        <v>0</v>
      </c>
      <c r="P610" s="7">
        <f t="shared" si="182"/>
        <v>0</v>
      </c>
      <c r="Q610" s="7">
        <f t="shared" si="193"/>
        <v>0</v>
      </c>
      <c r="R610" s="10" t="str">
        <f t="shared" si="183"/>
        <v>0_Pre</v>
      </c>
      <c r="S610" s="10" t="str">
        <f t="shared" si="184"/>
        <v>0_Pre</v>
      </c>
      <c r="T610" s="10" t="str">
        <f t="shared" si="185"/>
        <v>0_Pre</v>
      </c>
      <c r="U610" s="10" t="str">
        <f t="shared" si="186"/>
        <v>0_Pre</v>
      </c>
      <c r="V610" s="10" t="str">
        <f t="shared" si="194"/>
        <v>0_Pre</v>
      </c>
      <c r="W610" s="10" t="str">
        <f t="shared" si="187"/>
        <v>clean_pre</v>
      </c>
      <c r="X610" s="10" t="str">
        <f t="shared" si="188"/>
        <v>0_Pre</v>
      </c>
      <c r="Y610" s="10" t="str">
        <f t="shared" si="189"/>
        <v>0_Pre</v>
      </c>
      <c r="Z610" s="10" t="str">
        <f t="shared" si="190"/>
        <v>0_Pre</v>
      </c>
      <c r="AA610" s="10" t="str">
        <f t="shared" si="195"/>
        <v>0_Pre</v>
      </c>
      <c r="AB610" s="10" t="str">
        <f t="shared" si="196"/>
        <v>0_Pre</v>
      </c>
      <c r="AC610" s="10" t="str">
        <f t="shared" si="197"/>
        <v>0_Pre</v>
      </c>
      <c r="AD610" s="10" t="str">
        <f t="shared" si="198"/>
        <v>1_pre sample median</v>
      </c>
      <c r="AE610" s="10" t="str">
        <f t="shared" si="199"/>
        <v>1_pre sample first tertile</v>
      </c>
      <c r="AF610" t="s">
        <v>80</v>
      </c>
      <c r="AG610" t="s">
        <v>75</v>
      </c>
      <c r="AH610" t="s">
        <v>78</v>
      </c>
      <c r="AI610" t="s">
        <v>70</v>
      </c>
      <c r="AJ610" t="s">
        <v>70</v>
      </c>
      <c r="AK610" t="str">
        <f>VLOOKUP(MID($AR610,1,255),country_lookup!$B:$F,2,FALSE)</f>
        <v>99_NCE</v>
      </c>
      <c r="AL610" t="str">
        <f>VLOOKUP(MID($AR610,1,255),country_lookup!$B:$F,3,FALSE)</f>
        <v>99_NCE</v>
      </c>
      <c r="AM610" t="str">
        <f>VLOOKUP(MID($AR610,1,255),country_lookup!$B:$F,4,FALSE)</f>
        <v>99_NCE</v>
      </c>
      <c r="AN610" t="str">
        <f>VLOOKUP(MID($AR610,1,255),country_lookup!$B:$F,5,FALSE)</f>
        <v>99_NCE</v>
      </c>
      <c r="AO610" s="10" t="str">
        <f>VLOOKUP(MID($AS610,1,255),source_lookup!$B:$K,4,FALSE)</f>
        <v>0_published</v>
      </c>
      <c r="AP610" s="10" t="str">
        <f>VLOOKUP(MID($AS610,1,255),source_lookup!$B:$K,6,FALSE)</f>
        <v>1_VHB high</v>
      </c>
      <c r="AQ610" s="10" t="str">
        <f>VLOOKUP(MID($AS610,1,255),source_lookup!$B:$K,10,FALSE)</f>
        <v>1_fin/acc/econ</v>
      </c>
      <c r="AR610" t="s">
        <v>102</v>
      </c>
      <c r="AS610" t="s">
        <v>153</v>
      </c>
    </row>
    <row r="611" spans="1:45" x14ac:dyDescent="0.3">
      <c r="A611" t="s">
        <v>29</v>
      </c>
      <c r="B611">
        <v>610</v>
      </c>
      <c r="C611" s="1">
        <v>-0.2174059830668181</v>
      </c>
      <c r="D611" s="2">
        <v>74</v>
      </c>
      <c r="E611" s="4">
        <v>588</v>
      </c>
      <c r="F611" s="4" t="s">
        <v>346</v>
      </c>
      <c r="G611" s="4" t="s">
        <v>347</v>
      </c>
      <c r="H611" t="s">
        <v>77</v>
      </c>
      <c r="I611" t="s">
        <v>350</v>
      </c>
      <c r="J611" s="3">
        <v>2005</v>
      </c>
      <c r="K611" s="3">
        <v>2012</v>
      </c>
      <c r="L611" s="6">
        <f t="shared" si="191"/>
        <v>2008.5</v>
      </c>
      <c r="M611" s="6">
        <f t="shared" si="192"/>
        <v>2008.5</v>
      </c>
      <c r="N611" s="7">
        <f t="shared" si="180"/>
        <v>0</v>
      </c>
      <c r="O611" s="7">
        <f t="shared" si="181"/>
        <v>0</v>
      </c>
      <c r="P611" s="7">
        <f t="shared" si="182"/>
        <v>0</v>
      </c>
      <c r="Q611" s="7">
        <f t="shared" si="193"/>
        <v>0</v>
      </c>
      <c r="R611" s="10" t="str">
        <f t="shared" si="183"/>
        <v>0_Pre</v>
      </c>
      <c r="S611" s="10" t="str">
        <f t="shared" si="184"/>
        <v>0_Pre</v>
      </c>
      <c r="T611" s="10" t="str">
        <f t="shared" si="185"/>
        <v>0_Pre</v>
      </c>
      <c r="U611" s="10" t="str">
        <f t="shared" si="186"/>
        <v>0_Pre</v>
      </c>
      <c r="V611" s="10" t="str">
        <f t="shared" si="194"/>
        <v>0_Pre</v>
      </c>
      <c r="W611" s="10" t="str">
        <f t="shared" si="187"/>
        <v>clean_pre</v>
      </c>
      <c r="X611" s="10" t="str">
        <f t="shared" si="188"/>
        <v>0_Pre</v>
      </c>
      <c r="Y611" s="10" t="str">
        <f t="shared" si="189"/>
        <v>0_Pre</v>
      </c>
      <c r="Z611" s="10" t="str">
        <f t="shared" si="190"/>
        <v>0_Pre</v>
      </c>
      <c r="AA611" s="10" t="str">
        <f t="shared" si="195"/>
        <v>0_Pre</v>
      </c>
      <c r="AB611" s="10" t="str">
        <f t="shared" si="196"/>
        <v>0_Pre</v>
      </c>
      <c r="AC611" s="10" t="str">
        <f t="shared" si="197"/>
        <v>0_Pre</v>
      </c>
      <c r="AD611" s="10" t="str">
        <f t="shared" si="198"/>
        <v>1_pre sample median</v>
      </c>
      <c r="AE611" s="10" t="str">
        <f t="shared" si="199"/>
        <v>1_pre sample first tertile</v>
      </c>
      <c r="AF611" t="s">
        <v>80</v>
      </c>
      <c r="AG611" t="s">
        <v>75</v>
      </c>
      <c r="AH611" t="s">
        <v>78</v>
      </c>
      <c r="AI611" t="s">
        <v>70</v>
      </c>
      <c r="AJ611" t="s">
        <v>70</v>
      </c>
      <c r="AK611" t="str">
        <f>VLOOKUP(MID($AR611,1,255),country_lookup!$B:$F,2,FALSE)</f>
        <v>99_NCE</v>
      </c>
      <c r="AL611" t="str">
        <f>VLOOKUP(MID($AR611,1,255),country_lookup!$B:$F,3,FALSE)</f>
        <v>99_NCE</v>
      </c>
      <c r="AM611" t="str">
        <f>VLOOKUP(MID($AR611,1,255),country_lookup!$B:$F,4,FALSE)</f>
        <v>99_NCE</v>
      </c>
      <c r="AN611" t="str">
        <f>VLOOKUP(MID($AR611,1,255),country_lookup!$B:$F,5,FALSE)</f>
        <v>99_NCE</v>
      </c>
      <c r="AO611" s="10" t="str">
        <f>VLOOKUP(MID($AS611,1,255),source_lookup!$B:$K,4,FALSE)</f>
        <v>0_published</v>
      </c>
      <c r="AP611" s="10" t="str">
        <f>VLOOKUP(MID($AS611,1,255),source_lookup!$B:$K,6,FALSE)</f>
        <v>1_VHB high</v>
      </c>
      <c r="AQ611" s="10" t="str">
        <f>VLOOKUP(MID($AS611,1,255),source_lookup!$B:$K,10,FALSE)</f>
        <v>1_fin/acc/econ</v>
      </c>
      <c r="AR611" t="s">
        <v>102</v>
      </c>
      <c r="AS611" t="s">
        <v>153</v>
      </c>
    </row>
    <row r="612" spans="1:45" x14ac:dyDescent="0.3">
      <c r="A612" t="s">
        <v>29</v>
      </c>
      <c r="B612">
        <v>611</v>
      </c>
      <c r="C612" s="1">
        <v>-0.16363531763007427</v>
      </c>
      <c r="D612" s="2">
        <v>59</v>
      </c>
      <c r="E612" s="4">
        <v>470</v>
      </c>
      <c r="F612" s="4" t="s">
        <v>346</v>
      </c>
      <c r="G612" s="4" t="s">
        <v>347</v>
      </c>
      <c r="H612" t="s">
        <v>77</v>
      </c>
      <c r="I612" t="s">
        <v>350</v>
      </c>
      <c r="J612" s="3">
        <v>2005</v>
      </c>
      <c r="K612" s="3">
        <v>2012</v>
      </c>
      <c r="L612" s="6">
        <f t="shared" si="191"/>
        <v>2008.5</v>
      </c>
      <c r="M612" s="6">
        <f t="shared" si="192"/>
        <v>2008.5</v>
      </c>
      <c r="N612" s="7">
        <f t="shared" si="180"/>
        <v>0</v>
      </c>
      <c r="O612" s="7">
        <f t="shared" si="181"/>
        <v>0</v>
      </c>
      <c r="P612" s="7">
        <f t="shared" si="182"/>
        <v>0</v>
      </c>
      <c r="Q612" s="7">
        <f t="shared" si="193"/>
        <v>0</v>
      </c>
      <c r="R612" s="10" t="str">
        <f t="shared" si="183"/>
        <v>0_Pre</v>
      </c>
      <c r="S612" s="10" t="str">
        <f t="shared" si="184"/>
        <v>0_Pre</v>
      </c>
      <c r="T612" s="10" t="str">
        <f t="shared" si="185"/>
        <v>0_Pre</v>
      </c>
      <c r="U612" s="10" t="str">
        <f t="shared" si="186"/>
        <v>0_Pre</v>
      </c>
      <c r="V612" s="10" t="str">
        <f t="shared" si="194"/>
        <v>0_Pre</v>
      </c>
      <c r="W612" s="10" t="str">
        <f t="shared" si="187"/>
        <v>clean_pre</v>
      </c>
      <c r="X612" s="10" t="str">
        <f t="shared" si="188"/>
        <v>0_Pre</v>
      </c>
      <c r="Y612" s="10" t="str">
        <f t="shared" si="189"/>
        <v>0_Pre</v>
      </c>
      <c r="Z612" s="10" t="str">
        <f t="shared" si="190"/>
        <v>0_Pre</v>
      </c>
      <c r="AA612" s="10" t="str">
        <f t="shared" si="195"/>
        <v>0_Pre</v>
      </c>
      <c r="AB612" s="10" t="str">
        <f t="shared" si="196"/>
        <v>0_Pre</v>
      </c>
      <c r="AC612" s="10" t="str">
        <f t="shared" si="197"/>
        <v>0_Pre</v>
      </c>
      <c r="AD612" s="10" t="str">
        <f t="shared" si="198"/>
        <v>1_pre sample median</v>
      </c>
      <c r="AE612" s="10" t="str">
        <f t="shared" si="199"/>
        <v>1_pre sample first tertile</v>
      </c>
      <c r="AF612" t="s">
        <v>80</v>
      </c>
      <c r="AG612" t="s">
        <v>75</v>
      </c>
      <c r="AH612" t="s">
        <v>78</v>
      </c>
      <c r="AI612" t="s">
        <v>70</v>
      </c>
      <c r="AJ612" t="s">
        <v>70</v>
      </c>
      <c r="AK612" t="str">
        <f>VLOOKUP(MID($AR612,1,255),country_lookup!$B:$F,2,FALSE)</f>
        <v>99_NCE</v>
      </c>
      <c r="AL612" t="str">
        <f>VLOOKUP(MID($AR612,1,255),country_lookup!$B:$F,3,FALSE)</f>
        <v>99_NCE</v>
      </c>
      <c r="AM612" t="str">
        <f>VLOOKUP(MID($AR612,1,255),country_lookup!$B:$F,4,FALSE)</f>
        <v>99_NCE</v>
      </c>
      <c r="AN612" t="str">
        <f>VLOOKUP(MID($AR612,1,255),country_lookup!$B:$F,5,FALSE)</f>
        <v>99_NCE</v>
      </c>
      <c r="AO612" s="10" t="str">
        <f>VLOOKUP(MID($AS612,1,255),source_lookup!$B:$K,4,FALSE)</f>
        <v>0_published</v>
      </c>
      <c r="AP612" s="10" t="str">
        <f>VLOOKUP(MID($AS612,1,255),source_lookup!$B:$K,6,FALSE)</f>
        <v>1_VHB high</v>
      </c>
      <c r="AQ612" s="10" t="str">
        <f>VLOOKUP(MID($AS612,1,255),source_lookup!$B:$K,10,FALSE)</f>
        <v>1_fin/acc/econ</v>
      </c>
      <c r="AR612" t="s">
        <v>102</v>
      </c>
      <c r="AS612" t="s">
        <v>153</v>
      </c>
    </row>
    <row r="613" spans="1:45" x14ac:dyDescent="0.3">
      <c r="A613" t="s">
        <v>29</v>
      </c>
      <c r="B613">
        <v>612</v>
      </c>
      <c r="C613" s="1">
        <v>4.3819811666582871E-3</v>
      </c>
      <c r="D613" s="2">
        <v>59</v>
      </c>
      <c r="E613" s="4">
        <v>470</v>
      </c>
      <c r="F613" s="4" t="s">
        <v>346</v>
      </c>
      <c r="G613" s="4" t="s">
        <v>347</v>
      </c>
      <c r="H613" t="s">
        <v>77</v>
      </c>
      <c r="I613" t="s">
        <v>350</v>
      </c>
      <c r="J613" s="3">
        <v>2005</v>
      </c>
      <c r="K613" s="3">
        <v>2012</v>
      </c>
      <c r="L613" s="6">
        <f t="shared" si="191"/>
        <v>2008.5</v>
      </c>
      <c r="M613" s="6">
        <f t="shared" si="192"/>
        <v>2008.5</v>
      </c>
      <c r="N613" s="7">
        <f t="shared" si="180"/>
        <v>0</v>
      </c>
      <c r="O613" s="7">
        <f t="shared" si="181"/>
        <v>0</v>
      </c>
      <c r="P613" s="7">
        <f t="shared" si="182"/>
        <v>0</v>
      </c>
      <c r="Q613" s="7">
        <f t="shared" si="193"/>
        <v>0</v>
      </c>
      <c r="R613" s="10" t="str">
        <f t="shared" si="183"/>
        <v>0_Pre</v>
      </c>
      <c r="S613" s="10" t="str">
        <f t="shared" si="184"/>
        <v>0_Pre</v>
      </c>
      <c r="T613" s="10" t="str">
        <f t="shared" si="185"/>
        <v>0_Pre</v>
      </c>
      <c r="U613" s="10" t="str">
        <f t="shared" si="186"/>
        <v>0_Pre</v>
      </c>
      <c r="V613" s="10" t="str">
        <f t="shared" si="194"/>
        <v>0_Pre</v>
      </c>
      <c r="W613" s="10" t="str">
        <f t="shared" si="187"/>
        <v>clean_pre</v>
      </c>
      <c r="X613" s="10" t="str">
        <f t="shared" si="188"/>
        <v>0_Pre</v>
      </c>
      <c r="Y613" s="10" t="str">
        <f t="shared" si="189"/>
        <v>0_Pre</v>
      </c>
      <c r="Z613" s="10" t="str">
        <f t="shared" si="190"/>
        <v>0_Pre</v>
      </c>
      <c r="AA613" s="10" t="str">
        <f t="shared" si="195"/>
        <v>0_Pre</v>
      </c>
      <c r="AB613" s="10" t="str">
        <f t="shared" si="196"/>
        <v>0_Pre</v>
      </c>
      <c r="AC613" s="10" t="str">
        <f t="shared" si="197"/>
        <v>0_Pre</v>
      </c>
      <c r="AD613" s="10" t="str">
        <f t="shared" si="198"/>
        <v>1_pre sample median</v>
      </c>
      <c r="AE613" s="10" t="str">
        <f t="shared" si="199"/>
        <v>1_pre sample first tertile</v>
      </c>
      <c r="AF613" t="s">
        <v>80</v>
      </c>
      <c r="AG613" t="s">
        <v>75</v>
      </c>
      <c r="AH613" t="s">
        <v>78</v>
      </c>
      <c r="AI613" t="s">
        <v>70</v>
      </c>
      <c r="AJ613" t="s">
        <v>70</v>
      </c>
      <c r="AK613" t="str">
        <f>VLOOKUP(MID($AR613,1,255),country_lookup!$B:$F,2,FALSE)</f>
        <v>99_NCE</v>
      </c>
      <c r="AL613" t="str">
        <f>VLOOKUP(MID($AR613,1,255),country_lookup!$B:$F,3,FALSE)</f>
        <v>99_NCE</v>
      </c>
      <c r="AM613" t="str">
        <f>VLOOKUP(MID($AR613,1,255),country_lookup!$B:$F,4,FALSE)</f>
        <v>99_NCE</v>
      </c>
      <c r="AN613" t="str">
        <f>VLOOKUP(MID($AR613,1,255),country_lookup!$B:$F,5,FALSE)</f>
        <v>99_NCE</v>
      </c>
      <c r="AO613" s="10" t="str">
        <f>VLOOKUP(MID($AS613,1,255),source_lookup!$B:$K,4,FALSE)</f>
        <v>0_published</v>
      </c>
      <c r="AP613" s="10" t="str">
        <f>VLOOKUP(MID($AS613,1,255),source_lookup!$B:$K,6,FALSE)</f>
        <v>1_VHB high</v>
      </c>
      <c r="AQ613" s="10" t="str">
        <f>VLOOKUP(MID($AS613,1,255),source_lookup!$B:$K,10,FALSE)</f>
        <v>1_fin/acc/econ</v>
      </c>
      <c r="AR613" t="s">
        <v>102</v>
      </c>
      <c r="AS613" t="s">
        <v>153</v>
      </c>
    </row>
    <row r="614" spans="1:45" x14ac:dyDescent="0.3">
      <c r="A614" t="s">
        <v>29</v>
      </c>
      <c r="B614">
        <v>613</v>
      </c>
      <c r="C614" s="1">
        <v>-2.167439050525357E-2</v>
      </c>
      <c r="D614" s="2">
        <v>59</v>
      </c>
      <c r="E614" s="4">
        <v>470</v>
      </c>
      <c r="F614" s="4" t="s">
        <v>346</v>
      </c>
      <c r="G614" s="4" t="s">
        <v>347</v>
      </c>
      <c r="H614" t="s">
        <v>77</v>
      </c>
      <c r="I614" t="s">
        <v>350</v>
      </c>
      <c r="J614" s="3">
        <v>2005</v>
      </c>
      <c r="K614" s="3">
        <v>2012</v>
      </c>
      <c r="L614" s="6">
        <f t="shared" si="191"/>
        <v>2008.5</v>
      </c>
      <c r="M614" s="6">
        <f t="shared" si="192"/>
        <v>2008.5</v>
      </c>
      <c r="N614" s="7">
        <f t="shared" si="180"/>
        <v>0</v>
      </c>
      <c r="O614" s="7">
        <f t="shared" si="181"/>
        <v>0</v>
      </c>
      <c r="P614" s="7">
        <f t="shared" si="182"/>
        <v>0</v>
      </c>
      <c r="Q614" s="7">
        <f t="shared" si="193"/>
        <v>0</v>
      </c>
      <c r="R614" s="10" t="str">
        <f t="shared" si="183"/>
        <v>0_Pre</v>
      </c>
      <c r="S614" s="10" t="str">
        <f t="shared" si="184"/>
        <v>0_Pre</v>
      </c>
      <c r="T614" s="10" t="str">
        <f t="shared" si="185"/>
        <v>0_Pre</v>
      </c>
      <c r="U614" s="10" t="str">
        <f t="shared" si="186"/>
        <v>0_Pre</v>
      </c>
      <c r="V614" s="10" t="str">
        <f t="shared" si="194"/>
        <v>0_Pre</v>
      </c>
      <c r="W614" s="10" t="str">
        <f t="shared" si="187"/>
        <v>clean_pre</v>
      </c>
      <c r="X614" s="10" t="str">
        <f t="shared" si="188"/>
        <v>0_Pre</v>
      </c>
      <c r="Y614" s="10" t="str">
        <f t="shared" si="189"/>
        <v>0_Pre</v>
      </c>
      <c r="Z614" s="10" t="str">
        <f t="shared" si="190"/>
        <v>0_Pre</v>
      </c>
      <c r="AA614" s="10" t="str">
        <f t="shared" si="195"/>
        <v>0_Pre</v>
      </c>
      <c r="AB614" s="10" t="str">
        <f t="shared" si="196"/>
        <v>0_Pre</v>
      </c>
      <c r="AC614" s="10" t="str">
        <f t="shared" si="197"/>
        <v>0_Pre</v>
      </c>
      <c r="AD614" s="10" t="str">
        <f t="shared" si="198"/>
        <v>1_pre sample median</v>
      </c>
      <c r="AE614" s="10" t="str">
        <f t="shared" si="199"/>
        <v>1_pre sample first tertile</v>
      </c>
      <c r="AF614" t="s">
        <v>80</v>
      </c>
      <c r="AG614" t="s">
        <v>75</v>
      </c>
      <c r="AH614" t="s">
        <v>78</v>
      </c>
      <c r="AI614" t="s">
        <v>70</v>
      </c>
      <c r="AJ614" t="s">
        <v>70</v>
      </c>
      <c r="AK614" t="str">
        <f>VLOOKUP(MID($AR614,1,255),country_lookup!$B:$F,2,FALSE)</f>
        <v>99_NCE</v>
      </c>
      <c r="AL614" t="str">
        <f>VLOOKUP(MID($AR614,1,255),country_lookup!$B:$F,3,FALSE)</f>
        <v>99_NCE</v>
      </c>
      <c r="AM614" t="str">
        <f>VLOOKUP(MID($AR614,1,255),country_lookup!$B:$F,4,FALSE)</f>
        <v>99_NCE</v>
      </c>
      <c r="AN614" t="str">
        <f>VLOOKUP(MID($AR614,1,255),country_lookup!$B:$F,5,FALSE)</f>
        <v>99_NCE</v>
      </c>
      <c r="AO614" s="10" t="str">
        <f>VLOOKUP(MID($AS614,1,255),source_lookup!$B:$K,4,FALSE)</f>
        <v>0_published</v>
      </c>
      <c r="AP614" s="10" t="str">
        <f>VLOOKUP(MID($AS614,1,255),source_lookup!$B:$K,6,FALSE)</f>
        <v>1_VHB high</v>
      </c>
      <c r="AQ614" s="10" t="str">
        <f>VLOOKUP(MID($AS614,1,255),source_lookup!$B:$K,10,FALSE)</f>
        <v>1_fin/acc/econ</v>
      </c>
      <c r="AR614" t="s">
        <v>102</v>
      </c>
      <c r="AS614" t="s">
        <v>153</v>
      </c>
    </row>
    <row r="615" spans="1:45" x14ac:dyDescent="0.3">
      <c r="A615" t="s">
        <v>29</v>
      </c>
      <c r="B615">
        <v>614</v>
      </c>
      <c r="C615" s="1">
        <v>-8.302494706097556E-3</v>
      </c>
      <c r="D615" s="2">
        <v>59</v>
      </c>
      <c r="E615" s="4">
        <v>470</v>
      </c>
      <c r="F615" s="4" t="s">
        <v>346</v>
      </c>
      <c r="G615" s="4" t="s">
        <v>347</v>
      </c>
      <c r="H615" t="s">
        <v>77</v>
      </c>
      <c r="I615" t="s">
        <v>350</v>
      </c>
      <c r="J615" s="3">
        <v>2005</v>
      </c>
      <c r="K615" s="3">
        <v>2012</v>
      </c>
      <c r="L615" s="6">
        <f t="shared" si="191"/>
        <v>2008.5</v>
      </c>
      <c r="M615" s="6">
        <f t="shared" si="192"/>
        <v>2008.5</v>
      </c>
      <c r="N615" s="7">
        <f t="shared" si="180"/>
        <v>0</v>
      </c>
      <c r="O615" s="7">
        <f t="shared" si="181"/>
        <v>0</v>
      </c>
      <c r="P615" s="7">
        <f t="shared" si="182"/>
        <v>0</v>
      </c>
      <c r="Q615" s="7">
        <f t="shared" si="193"/>
        <v>0</v>
      </c>
      <c r="R615" s="10" t="str">
        <f t="shared" si="183"/>
        <v>0_Pre</v>
      </c>
      <c r="S615" s="10" t="str">
        <f t="shared" si="184"/>
        <v>0_Pre</v>
      </c>
      <c r="T615" s="10" t="str">
        <f t="shared" si="185"/>
        <v>0_Pre</v>
      </c>
      <c r="U615" s="10" t="str">
        <f t="shared" si="186"/>
        <v>0_Pre</v>
      </c>
      <c r="V615" s="10" t="str">
        <f t="shared" si="194"/>
        <v>0_Pre</v>
      </c>
      <c r="W615" s="10" t="str">
        <f t="shared" si="187"/>
        <v>clean_pre</v>
      </c>
      <c r="X615" s="10" t="str">
        <f t="shared" si="188"/>
        <v>0_Pre</v>
      </c>
      <c r="Y615" s="10" t="str">
        <f t="shared" si="189"/>
        <v>0_Pre</v>
      </c>
      <c r="Z615" s="10" t="str">
        <f t="shared" si="190"/>
        <v>0_Pre</v>
      </c>
      <c r="AA615" s="10" t="str">
        <f t="shared" si="195"/>
        <v>0_Pre</v>
      </c>
      <c r="AB615" s="10" t="str">
        <f t="shared" si="196"/>
        <v>0_Pre</v>
      </c>
      <c r="AC615" s="10" t="str">
        <f t="shared" si="197"/>
        <v>0_Pre</v>
      </c>
      <c r="AD615" s="10" t="str">
        <f t="shared" si="198"/>
        <v>1_pre sample median</v>
      </c>
      <c r="AE615" s="10" t="str">
        <f t="shared" si="199"/>
        <v>1_pre sample first tertile</v>
      </c>
      <c r="AF615" t="s">
        <v>80</v>
      </c>
      <c r="AG615" t="s">
        <v>75</v>
      </c>
      <c r="AH615" t="s">
        <v>78</v>
      </c>
      <c r="AI615" t="s">
        <v>70</v>
      </c>
      <c r="AJ615" t="s">
        <v>70</v>
      </c>
      <c r="AK615" t="str">
        <f>VLOOKUP(MID($AR615,1,255),country_lookup!$B:$F,2,FALSE)</f>
        <v>99_NCE</v>
      </c>
      <c r="AL615" t="str">
        <f>VLOOKUP(MID($AR615,1,255),country_lookup!$B:$F,3,FALSE)</f>
        <v>99_NCE</v>
      </c>
      <c r="AM615" t="str">
        <f>VLOOKUP(MID($AR615,1,255),country_lookup!$B:$F,4,FALSE)</f>
        <v>99_NCE</v>
      </c>
      <c r="AN615" t="str">
        <f>VLOOKUP(MID($AR615,1,255),country_lookup!$B:$F,5,FALSE)</f>
        <v>99_NCE</v>
      </c>
      <c r="AO615" s="10" t="str">
        <f>VLOOKUP(MID($AS615,1,255),source_lookup!$B:$K,4,FALSE)</f>
        <v>0_published</v>
      </c>
      <c r="AP615" s="10" t="str">
        <f>VLOOKUP(MID($AS615,1,255),source_lookup!$B:$K,6,FALSE)</f>
        <v>1_VHB high</v>
      </c>
      <c r="AQ615" s="10" t="str">
        <f>VLOOKUP(MID($AS615,1,255),source_lookup!$B:$K,10,FALSE)</f>
        <v>1_fin/acc/econ</v>
      </c>
      <c r="AR615" t="s">
        <v>102</v>
      </c>
      <c r="AS615" t="s">
        <v>153</v>
      </c>
    </row>
    <row r="616" spans="1:45" x14ac:dyDescent="0.3">
      <c r="A616" t="s">
        <v>29</v>
      </c>
      <c r="B616">
        <v>615</v>
      </c>
      <c r="C616" s="1">
        <v>-0.18556241848691607</v>
      </c>
      <c r="D616" s="2">
        <v>59</v>
      </c>
      <c r="E616" s="4">
        <v>470</v>
      </c>
      <c r="F616" s="4" t="s">
        <v>346</v>
      </c>
      <c r="G616" s="4" t="s">
        <v>347</v>
      </c>
      <c r="H616" t="s">
        <v>77</v>
      </c>
      <c r="I616" t="s">
        <v>350</v>
      </c>
      <c r="J616" s="3">
        <v>2005</v>
      </c>
      <c r="K616" s="3">
        <v>2012</v>
      </c>
      <c r="L616" s="6">
        <f t="shared" si="191"/>
        <v>2008.5</v>
      </c>
      <c r="M616" s="6">
        <f t="shared" si="192"/>
        <v>2008.5</v>
      </c>
      <c r="N616" s="7">
        <f t="shared" si="180"/>
        <v>0</v>
      </c>
      <c r="O616" s="7">
        <f t="shared" si="181"/>
        <v>0</v>
      </c>
      <c r="P616" s="7">
        <f t="shared" si="182"/>
        <v>0</v>
      </c>
      <c r="Q616" s="7">
        <f t="shared" si="193"/>
        <v>0</v>
      </c>
      <c r="R616" s="10" t="str">
        <f t="shared" si="183"/>
        <v>0_Pre</v>
      </c>
      <c r="S616" s="10" t="str">
        <f t="shared" si="184"/>
        <v>0_Pre</v>
      </c>
      <c r="T616" s="10" t="str">
        <f t="shared" si="185"/>
        <v>0_Pre</v>
      </c>
      <c r="U616" s="10" t="str">
        <f t="shared" si="186"/>
        <v>0_Pre</v>
      </c>
      <c r="V616" s="10" t="str">
        <f t="shared" si="194"/>
        <v>0_Pre</v>
      </c>
      <c r="W616" s="10" t="str">
        <f t="shared" si="187"/>
        <v>clean_pre</v>
      </c>
      <c r="X616" s="10" t="str">
        <f t="shared" si="188"/>
        <v>0_Pre</v>
      </c>
      <c r="Y616" s="10" t="str">
        <f t="shared" si="189"/>
        <v>0_Pre</v>
      </c>
      <c r="Z616" s="10" t="str">
        <f t="shared" si="190"/>
        <v>0_Pre</v>
      </c>
      <c r="AA616" s="10" t="str">
        <f t="shared" si="195"/>
        <v>0_Pre</v>
      </c>
      <c r="AB616" s="10" t="str">
        <f t="shared" si="196"/>
        <v>0_Pre</v>
      </c>
      <c r="AC616" s="10" t="str">
        <f t="shared" si="197"/>
        <v>0_Pre</v>
      </c>
      <c r="AD616" s="10" t="str">
        <f t="shared" si="198"/>
        <v>1_pre sample median</v>
      </c>
      <c r="AE616" s="10" t="str">
        <f t="shared" si="199"/>
        <v>1_pre sample first tertile</v>
      </c>
      <c r="AF616" t="s">
        <v>80</v>
      </c>
      <c r="AG616" t="s">
        <v>75</v>
      </c>
      <c r="AH616" t="s">
        <v>78</v>
      </c>
      <c r="AI616" t="s">
        <v>70</v>
      </c>
      <c r="AJ616" t="s">
        <v>70</v>
      </c>
      <c r="AK616" t="str">
        <f>VLOOKUP(MID($AR616,1,255),country_lookup!$B:$F,2,FALSE)</f>
        <v>99_NCE</v>
      </c>
      <c r="AL616" t="str">
        <f>VLOOKUP(MID($AR616,1,255),country_lookup!$B:$F,3,FALSE)</f>
        <v>99_NCE</v>
      </c>
      <c r="AM616" t="str">
        <f>VLOOKUP(MID($AR616,1,255),country_lookup!$B:$F,4,FALSE)</f>
        <v>99_NCE</v>
      </c>
      <c r="AN616" t="str">
        <f>VLOOKUP(MID($AR616,1,255),country_lookup!$B:$F,5,FALSE)</f>
        <v>99_NCE</v>
      </c>
      <c r="AO616" s="10" t="str">
        <f>VLOOKUP(MID($AS616,1,255),source_lookup!$B:$K,4,FALSE)</f>
        <v>0_published</v>
      </c>
      <c r="AP616" s="10" t="str">
        <f>VLOOKUP(MID($AS616,1,255),source_lookup!$B:$K,6,FALSE)</f>
        <v>1_VHB high</v>
      </c>
      <c r="AQ616" s="10" t="str">
        <f>VLOOKUP(MID($AS616,1,255),source_lookup!$B:$K,10,FALSE)</f>
        <v>1_fin/acc/econ</v>
      </c>
      <c r="AR616" t="s">
        <v>102</v>
      </c>
      <c r="AS616" t="s">
        <v>153</v>
      </c>
    </row>
    <row r="617" spans="1:45" x14ac:dyDescent="0.3">
      <c r="A617" t="s">
        <v>29</v>
      </c>
      <c r="B617">
        <v>616</v>
      </c>
      <c r="C617" s="1">
        <v>-0.17837031487162758</v>
      </c>
      <c r="D617" s="2">
        <v>59</v>
      </c>
      <c r="E617" s="4">
        <v>470</v>
      </c>
      <c r="F617" s="4" t="s">
        <v>346</v>
      </c>
      <c r="G617" s="4" t="s">
        <v>347</v>
      </c>
      <c r="H617" t="s">
        <v>77</v>
      </c>
      <c r="I617" t="s">
        <v>350</v>
      </c>
      <c r="J617" s="3">
        <v>2005</v>
      </c>
      <c r="K617" s="3">
        <v>2012</v>
      </c>
      <c r="L617" s="6">
        <f t="shared" si="191"/>
        <v>2008.5</v>
      </c>
      <c r="M617" s="6">
        <f t="shared" si="192"/>
        <v>2008.5</v>
      </c>
      <c r="N617" s="7">
        <f t="shared" si="180"/>
        <v>0</v>
      </c>
      <c r="O617" s="7">
        <f t="shared" si="181"/>
        <v>0</v>
      </c>
      <c r="P617" s="7">
        <f t="shared" si="182"/>
        <v>0</v>
      </c>
      <c r="Q617" s="7">
        <f t="shared" si="193"/>
        <v>0</v>
      </c>
      <c r="R617" s="10" t="str">
        <f t="shared" si="183"/>
        <v>0_Pre</v>
      </c>
      <c r="S617" s="10" t="str">
        <f t="shared" si="184"/>
        <v>0_Pre</v>
      </c>
      <c r="T617" s="10" t="str">
        <f t="shared" si="185"/>
        <v>0_Pre</v>
      </c>
      <c r="U617" s="10" t="str">
        <f t="shared" si="186"/>
        <v>0_Pre</v>
      </c>
      <c r="V617" s="10" t="str">
        <f t="shared" si="194"/>
        <v>0_Pre</v>
      </c>
      <c r="W617" s="10" t="str">
        <f t="shared" si="187"/>
        <v>clean_pre</v>
      </c>
      <c r="X617" s="10" t="str">
        <f t="shared" si="188"/>
        <v>0_Pre</v>
      </c>
      <c r="Y617" s="10" t="str">
        <f t="shared" si="189"/>
        <v>0_Pre</v>
      </c>
      <c r="Z617" s="10" t="str">
        <f t="shared" si="190"/>
        <v>0_Pre</v>
      </c>
      <c r="AA617" s="10" t="str">
        <f t="shared" si="195"/>
        <v>0_Pre</v>
      </c>
      <c r="AB617" s="10" t="str">
        <f t="shared" si="196"/>
        <v>0_Pre</v>
      </c>
      <c r="AC617" s="10" t="str">
        <f t="shared" si="197"/>
        <v>0_Pre</v>
      </c>
      <c r="AD617" s="10" t="str">
        <f t="shared" si="198"/>
        <v>1_pre sample median</v>
      </c>
      <c r="AE617" s="10" t="str">
        <f t="shared" si="199"/>
        <v>1_pre sample first tertile</v>
      </c>
      <c r="AF617" t="s">
        <v>80</v>
      </c>
      <c r="AG617" t="s">
        <v>75</v>
      </c>
      <c r="AH617" t="s">
        <v>78</v>
      </c>
      <c r="AI617" t="s">
        <v>70</v>
      </c>
      <c r="AJ617" t="s">
        <v>70</v>
      </c>
      <c r="AK617" t="str">
        <f>VLOOKUP(MID($AR617,1,255),country_lookup!$B:$F,2,FALSE)</f>
        <v>99_NCE</v>
      </c>
      <c r="AL617" t="str">
        <f>VLOOKUP(MID($AR617,1,255),country_lookup!$B:$F,3,FALSE)</f>
        <v>99_NCE</v>
      </c>
      <c r="AM617" t="str">
        <f>VLOOKUP(MID($AR617,1,255),country_lookup!$B:$F,4,FALSE)</f>
        <v>99_NCE</v>
      </c>
      <c r="AN617" t="str">
        <f>VLOOKUP(MID($AR617,1,255),country_lookup!$B:$F,5,FALSE)</f>
        <v>99_NCE</v>
      </c>
      <c r="AO617" s="10" t="str">
        <f>VLOOKUP(MID($AS617,1,255),source_lookup!$B:$K,4,FALSE)</f>
        <v>0_published</v>
      </c>
      <c r="AP617" s="10" t="str">
        <f>VLOOKUP(MID($AS617,1,255),source_lookup!$B:$K,6,FALSE)</f>
        <v>1_VHB high</v>
      </c>
      <c r="AQ617" s="10" t="str">
        <f>VLOOKUP(MID($AS617,1,255),source_lookup!$B:$K,10,FALSE)</f>
        <v>1_fin/acc/econ</v>
      </c>
      <c r="AR617" t="s">
        <v>102</v>
      </c>
      <c r="AS617" t="s">
        <v>153</v>
      </c>
    </row>
    <row r="618" spans="1:45" x14ac:dyDescent="0.3">
      <c r="A618" t="s">
        <v>29</v>
      </c>
      <c r="B618">
        <v>617</v>
      </c>
      <c r="C618" s="1">
        <v>-0.18122433332843491</v>
      </c>
      <c r="D618" s="2">
        <v>59</v>
      </c>
      <c r="E618" s="4">
        <v>470</v>
      </c>
      <c r="F618" s="4" t="s">
        <v>346</v>
      </c>
      <c r="G618" s="4" t="s">
        <v>347</v>
      </c>
      <c r="H618" t="s">
        <v>77</v>
      </c>
      <c r="I618" t="s">
        <v>350</v>
      </c>
      <c r="J618" s="3">
        <v>2005</v>
      </c>
      <c r="K618" s="3">
        <v>2012</v>
      </c>
      <c r="L618" s="6">
        <f t="shared" si="191"/>
        <v>2008.5</v>
      </c>
      <c r="M618" s="6">
        <f t="shared" si="192"/>
        <v>2008.5</v>
      </c>
      <c r="N618" s="7">
        <f t="shared" si="180"/>
        <v>0</v>
      </c>
      <c r="O618" s="7">
        <f t="shared" si="181"/>
        <v>0</v>
      </c>
      <c r="P618" s="7">
        <f t="shared" si="182"/>
        <v>0</v>
      </c>
      <c r="Q618" s="7">
        <f t="shared" si="193"/>
        <v>0</v>
      </c>
      <c r="R618" s="10" t="str">
        <f t="shared" si="183"/>
        <v>0_Pre</v>
      </c>
      <c r="S618" s="10" t="str">
        <f t="shared" si="184"/>
        <v>0_Pre</v>
      </c>
      <c r="T618" s="10" t="str">
        <f t="shared" si="185"/>
        <v>0_Pre</v>
      </c>
      <c r="U618" s="10" t="str">
        <f t="shared" si="186"/>
        <v>0_Pre</v>
      </c>
      <c r="V618" s="10" t="str">
        <f t="shared" si="194"/>
        <v>0_Pre</v>
      </c>
      <c r="W618" s="10" t="str">
        <f t="shared" si="187"/>
        <v>clean_pre</v>
      </c>
      <c r="X618" s="10" t="str">
        <f t="shared" si="188"/>
        <v>0_Pre</v>
      </c>
      <c r="Y618" s="10" t="str">
        <f t="shared" si="189"/>
        <v>0_Pre</v>
      </c>
      <c r="Z618" s="10" t="str">
        <f t="shared" si="190"/>
        <v>0_Pre</v>
      </c>
      <c r="AA618" s="10" t="str">
        <f t="shared" si="195"/>
        <v>0_Pre</v>
      </c>
      <c r="AB618" s="10" t="str">
        <f t="shared" si="196"/>
        <v>0_Pre</v>
      </c>
      <c r="AC618" s="10" t="str">
        <f t="shared" si="197"/>
        <v>0_Pre</v>
      </c>
      <c r="AD618" s="10" t="str">
        <f t="shared" si="198"/>
        <v>1_pre sample median</v>
      </c>
      <c r="AE618" s="10" t="str">
        <f t="shared" si="199"/>
        <v>1_pre sample first tertile</v>
      </c>
      <c r="AF618" t="s">
        <v>80</v>
      </c>
      <c r="AG618" t="s">
        <v>75</v>
      </c>
      <c r="AH618" t="s">
        <v>78</v>
      </c>
      <c r="AI618" t="s">
        <v>70</v>
      </c>
      <c r="AJ618" t="s">
        <v>70</v>
      </c>
      <c r="AK618" t="str">
        <f>VLOOKUP(MID($AR618,1,255),country_lookup!$B:$F,2,FALSE)</f>
        <v>99_NCE</v>
      </c>
      <c r="AL618" t="str">
        <f>VLOOKUP(MID($AR618,1,255),country_lookup!$B:$F,3,FALSE)</f>
        <v>99_NCE</v>
      </c>
      <c r="AM618" t="str">
        <f>VLOOKUP(MID($AR618,1,255),country_lookup!$B:$F,4,FALSE)</f>
        <v>99_NCE</v>
      </c>
      <c r="AN618" t="str">
        <f>VLOOKUP(MID($AR618,1,255),country_lookup!$B:$F,5,FALSE)</f>
        <v>99_NCE</v>
      </c>
      <c r="AO618" s="10" t="str">
        <f>VLOOKUP(MID($AS618,1,255),source_lookup!$B:$K,4,FALSE)</f>
        <v>0_published</v>
      </c>
      <c r="AP618" s="10" t="str">
        <f>VLOOKUP(MID($AS618,1,255),source_lookup!$B:$K,6,FALSE)</f>
        <v>1_VHB high</v>
      </c>
      <c r="AQ618" s="10" t="str">
        <f>VLOOKUP(MID($AS618,1,255),source_lookup!$B:$K,10,FALSE)</f>
        <v>1_fin/acc/econ</v>
      </c>
      <c r="AR618" t="s">
        <v>102</v>
      </c>
      <c r="AS618" t="s">
        <v>153</v>
      </c>
    </row>
    <row r="619" spans="1:45" x14ac:dyDescent="0.3">
      <c r="A619" t="s">
        <v>29</v>
      </c>
      <c r="B619">
        <v>618</v>
      </c>
      <c r="C619" s="1">
        <v>-1.397618647829652E-2</v>
      </c>
      <c r="D619" s="2">
        <v>21</v>
      </c>
      <c r="E619" s="4">
        <v>164</v>
      </c>
      <c r="F619" s="4" t="s">
        <v>346</v>
      </c>
      <c r="G619" s="4" t="s">
        <v>347</v>
      </c>
      <c r="H619" t="s">
        <v>77</v>
      </c>
      <c r="I619" t="s">
        <v>350</v>
      </c>
      <c r="J619" s="3">
        <v>2005</v>
      </c>
      <c r="K619" s="3">
        <v>2012</v>
      </c>
      <c r="L619" s="6">
        <f t="shared" si="191"/>
        <v>2008.5</v>
      </c>
      <c r="M619" s="6">
        <f t="shared" si="192"/>
        <v>2008.5</v>
      </c>
      <c r="N619" s="7">
        <f t="shared" si="180"/>
        <v>0</v>
      </c>
      <c r="O619" s="7">
        <f t="shared" si="181"/>
        <v>0</v>
      </c>
      <c r="P619" s="7">
        <f t="shared" si="182"/>
        <v>0</v>
      </c>
      <c r="Q619" s="7">
        <f t="shared" si="193"/>
        <v>0</v>
      </c>
      <c r="R619" s="10" t="str">
        <f t="shared" si="183"/>
        <v>0_Pre</v>
      </c>
      <c r="S619" s="10" t="str">
        <f t="shared" si="184"/>
        <v>0_Pre</v>
      </c>
      <c r="T619" s="10" t="str">
        <f t="shared" si="185"/>
        <v>0_Pre</v>
      </c>
      <c r="U619" s="10" t="str">
        <f t="shared" si="186"/>
        <v>0_Pre</v>
      </c>
      <c r="V619" s="10" t="str">
        <f t="shared" si="194"/>
        <v>0_Pre</v>
      </c>
      <c r="W619" s="10" t="str">
        <f t="shared" si="187"/>
        <v>clean_pre</v>
      </c>
      <c r="X619" s="10" t="str">
        <f t="shared" si="188"/>
        <v>0_Pre</v>
      </c>
      <c r="Y619" s="10" t="str">
        <f t="shared" si="189"/>
        <v>0_Pre</v>
      </c>
      <c r="Z619" s="10" t="str">
        <f t="shared" si="190"/>
        <v>0_Pre</v>
      </c>
      <c r="AA619" s="10" t="str">
        <f t="shared" si="195"/>
        <v>0_Pre</v>
      </c>
      <c r="AB619" s="10" t="str">
        <f t="shared" si="196"/>
        <v>0_Pre</v>
      </c>
      <c r="AC619" s="10" t="str">
        <f t="shared" si="197"/>
        <v>0_Pre</v>
      </c>
      <c r="AD619" s="10" t="str">
        <f t="shared" si="198"/>
        <v>1_pre sample median</v>
      </c>
      <c r="AE619" s="10" t="str">
        <f t="shared" si="199"/>
        <v>1_pre sample first tertile</v>
      </c>
      <c r="AF619" t="s">
        <v>80</v>
      </c>
      <c r="AG619" t="s">
        <v>75</v>
      </c>
      <c r="AH619" t="s">
        <v>78</v>
      </c>
      <c r="AI619" t="s">
        <v>70</v>
      </c>
      <c r="AJ619" t="s">
        <v>70</v>
      </c>
      <c r="AK619" t="str">
        <f>VLOOKUP(MID($AR619,1,255),country_lookup!$B:$F,2,FALSE)</f>
        <v>99_NCE</v>
      </c>
      <c r="AL619" t="str">
        <f>VLOOKUP(MID($AR619,1,255),country_lookup!$B:$F,3,FALSE)</f>
        <v>99_NCE</v>
      </c>
      <c r="AM619" t="str">
        <f>VLOOKUP(MID($AR619,1,255),country_lookup!$B:$F,4,FALSE)</f>
        <v>99_NCE</v>
      </c>
      <c r="AN619" t="str">
        <f>VLOOKUP(MID($AR619,1,255),country_lookup!$B:$F,5,FALSE)</f>
        <v>99_NCE</v>
      </c>
      <c r="AO619" s="10" t="str">
        <f>VLOOKUP(MID($AS619,1,255),source_lookup!$B:$K,4,FALSE)</f>
        <v>0_published</v>
      </c>
      <c r="AP619" s="10" t="str">
        <f>VLOOKUP(MID($AS619,1,255),source_lookup!$B:$K,6,FALSE)</f>
        <v>1_VHB high</v>
      </c>
      <c r="AQ619" s="10" t="str">
        <f>VLOOKUP(MID($AS619,1,255),source_lookup!$B:$K,10,FALSE)</f>
        <v>1_fin/acc/econ</v>
      </c>
      <c r="AR619" t="s">
        <v>102</v>
      </c>
      <c r="AS619" t="s">
        <v>153</v>
      </c>
    </row>
    <row r="620" spans="1:45" x14ac:dyDescent="0.3">
      <c r="A620" t="s">
        <v>29</v>
      </c>
      <c r="B620">
        <v>619</v>
      </c>
      <c r="C620" s="1">
        <v>-5.0630955011283446E-3</v>
      </c>
      <c r="D620" s="2">
        <v>15</v>
      </c>
      <c r="E620" s="4">
        <v>118</v>
      </c>
      <c r="F620" s="4" t="s">
        <v>346</v>
      </c>
      <c r="G620" s="4" t="s">
        <v>347</v>
      </c>
      <c r="H620" t="s">
        <v>77</v>
      </c>
      <c r="I620" t="s">
        <v>350</v>
      </c>
      <c r="J620" s="3">
        <v>2005</v>
      </c>
      <c r="K620" s="3">
        <v>2012</v>
      </c>
      <c r="L620" s="6">
        <f t="shared" si="191"/>
        <v>2008.5</v>
      </c>
      <c r="M620" s="6">
        <f t="shared" si="192"/>
        <v>2008.5</v>
      </c>
      <c r="N620" s="7">
        <f t="shared" si="180"/>
        <v>0</v>
      </c>
      <c r="O620" s="7">
        <f t="shared" si="181"/>
        <v>0</v>
      </c>
      <c r="P620" s="7">
        <f t="shared" si="182"/>
        <v>0</v>
      </c>
      <c r="Q620" s="7">
        <f t="shared" si="193"/>
        <v>0</v>
      </c>
      <c r="R620" s="10" t="str">
        <f t="shared" si="183"/>
        <v>0_Pre</v>
      </c>
      <c r="S620" s="10" t="str">
        <f t="shared" si="184"/>
        <v>0_Pre</v>
      </c>
      <c r="T620" s="10" t="str">
        <f t="shared" si="185"/>
        <v>0_Pre</v>
      </c>
      <c r="U620" s="10" t="str">
        <f t="shared" si="186"/>
        <v>0_Pre</v>
      </c>
      <c r="V620" s="10" t="str">
        <f t="shared" si="194"/>
        <v>0_Pre</v>
      </c>
      <c r="W620" s="10" t="str">
        <f t="shared" si="187"/>
        <v>clean_pre</v>
      </c>
      <c r="X620" s="10" t="str">
        <f t="shared" si="188"/>
        <v>0_Pre</v>
      </c>
      <c r="Y620" s="10" t="str">
        <f t="shared" si="189"/>
        <v>0_Pre</v>
      </c>
      <c r="Z620" s="10" t="str">
        <f t="shared" si="190"/>
        <v>0_Pre</v>
      </c>
      <c r="AA620" s="10" t="str">
        <f t="shared" si="195"/>
        <v>0_Pre</v>
      </c>
      <c r="AB620" s="10" t="str">
        <f t="shared" si="196"/>
        <v>0_Pre</v>
      </c>
      <c r="AC620" s="10" t="str">
        <f t="shared" si="197"/>
        <v>0_Pre</v>
      </c>
      <c r="AD620" s="10" t="str">
        <f t="shared" si="198"/>
        <v>1_pre sample median</v>
      </c>
      <c r="AE620" s="10" t="str">
        <f t="shared" si="199"/>
        <v>1_pre sample first tertile</v>
      </c>
      <c r="AF620" t="s">
        <v>80</v>
      </c>
      <c r="AG620" t="s">
        <v>75</v>
      </c>
      <c r="AH620" t="s">
        <v>78</v>
      </c>
      <c r="AI620" t="s">
        <v>70</v>
      </c>
      <c r="AJ620" t="s">
        <v>70</v>
      </c>
      <c r="AK620" t="str">
        <f>VLOOKUP(MID($AR620,1,255),country_lookup!$B:$F,2,FALSE)</f>
        <v>99_NCE</v>
      </c>
      <c r="AL620" t="str">
        <f>VLOOKUP(MID($AR620,1,255),country_lookup!$B:$F,3,FALSE)</f>
        <v>99_NCE</v>
      </c>
      <c r="AM620" t="str">
        <f>VLOOKUP(MID($AR620,1,255),country_lookup!$B:$F,4,FALSE)</f>
        <v>99_NCE</v>
      </c>
      <c r="AN620" t="str">
        <f>VLOOKUP(MID($AR620,1,255),country_lookup!$B:$F,5,FALSE)</f>
        <v>99_NCE</v>
      </c>
      <c r="AO620" s="10" t="str">
        <f>VLOOKUP(MID($AS620,1,255),source_lookup!$B:$K,4,FALSE)</f>
        <v>0_published</v>
      </c>
      <c r="AP620" s="10" t="str">
        <f>VLOOKUP(MID($AS620,1,255),source_lookup!$B:$K,6,FALSE)</f>
        <v>1_VHB high</v>
      </c>
      <c r="AQ620" s="10" t="str">
        <f>VLOOKUP(MID($AS620,1,255),source_lookup!$B:$K,10,FALSE)</f>
        <v>1_fin/acc/econ</v>
      </c>
      <c r="AR620" t="s">
        <v>102</v>
      </c>
      <c r="AS620" t="s">
        <v>153</v>
      </c>
    </row>
    <row r="621" spans="1:45" x14ac:dyDescent="0.3">
      <c r="A621" t="s">
        <v>29</v>
      </c>
      <c r="B621">
        <v>620</v>
      </c>
      <c r="C621" s="1">
        <v>2.4285345520585876E-2</v>
      </c>
      <c r="D621" s="2">
        <v>15</v>
      </c>
      <c r="E621" s="4">
        <v>119</v>
      </c>
      <c r="F621" s="4" t="s">
        <v>346</v>
      </c>
      <c r="G621" s="4" t="s">
        <v>347</v>
      </c>
      <c r="H621" t="s">
        <v>77</v>
      </c>
      <c r="I621" t="s">
        <v>350</v>
      </c>
      <c r="J621" s="3">
        <v>2005</v>
      </c>
      <c r="K621" s="3">
        <v>2012</v>
      </c>
      <c r="L621" s="6">
        <f t="shared" si="191"/>
        <v>2008.5</v>
      </c>
      <c r="M621" s="6">
        <f t="shared" si="192"/>
        <v>2008.5</v>
      </c>
      <c r="N621" s="7">
        <f t="shared" si="180"/>
        <v>0</v>
      </c>
      <c r="O621" s="7">
        <f t="shared" si="181"/>
        <v>0</v>
      </c>
      <c r="P621" s="7">
        <f t="shared" si="182"/>
        <v>0</v>
      </c>
      <c r="Q621" s="7">
        <f t="shared" si="193"/>
        <v>0</v>
      </c>
      <c r="R621" s="10" t="str">
        <f t="shared" si="183"/>
        <v>0_Pre</v>
      </c>
      <c r="S621" s="10" t="str">
        <f t="shared" si="184"/>
        <v>0_Pre</v>
      </c>
      <c r="T621" s="10" t="str">
        <f t="shared" si="185"/>
        <v>0_Pre</v>
      </c>
      <c r="U621" s="10" t="str">
        <f t="shared" si="186"/>
        <v>0_Pre</v>
      </c>
      <c r="V621" s="10" t="str">
        <f t="shared" si="194"/>
        <v>0_Pre</v>
      </c>
      <c r="W621" s="10" t="str">
        <f t="shared" si="187"/>
        <v>clean_pre</v>
      </c>
      <c r="X621" s="10" t="str">
        <f t="shared" si="188"/>
        <v>0_Pre</v>
      </c>
      <c r="Y621" s="10" t="str">
        <f t="shared" si="189"/>
        <v>0_Pre</v>
      </c>
      <c r="Z621" s="10" t="str">
        <f t="shared" si="190"/>
        <v>0_Pre</v>
      </c>
      <c r="AA621" s="10" t="str">
        <f t="shared" si="195"/>
        <v>0_Pre</v>
      </c>
      <c r="AB621" s="10" t="str">
        <f t="shared" si="196"/>
        <v>0_Pre</v>
      </c>
      <c r="AC621" s="10" t="str">
        <f t="shared" si="197"/>
        <v>0_Pre</v>
      </c>
      <c r="AD621" s="10" t="str">
        <f t="shared" si="198"/>
        <v>1_pre sample median</v>
      </c>
      <c r="AE621" s="10" t="str">
        <f t="shared" si="199"/>
        <v>1_pre sample first tertile</v>
      </c>
      <c r="AF621" t="s">
        <v>80</v>
      </c>
      <c r="AG621" t="s">
        <v>75</v>
      </c>
      <c r="AH621" t="s">
        <v>78</v>
      </c>
      <c r="AI621" t="s">
        <v>70</v>
      </c>
      <c r="AJ621" t="s">
        <v>70</v>
      </c>
      <c r="AK621" t="str">
        <f>VLOOKUP(MID($AR621,1,255),country_lookup!$B:$F,2,FALSE)</f>
        <v>99_NCE</v>
      </c>
      <c r="AL621" t="str">
        <f>VLOOKUP(MID($AR621,1,255),country_lookup!$B:$F,3,FALSE)</f>
        <v>99_NCE</v>
      </c>
      <c r="AM621" t="str">
        <f>VLOOKUP(MID($AR621,1,255),country_lookup!$B:$F,4,FALSE)</f>
        <v>99_NCE</v>
      </c>
      <c r="AN621" t="str">
        <f>VLOOKUP(MID($AR621,1,255),country_lookup!$B:$F,5,FALSE)</f>
        <v>99_NCE</v>
      </c>
      <c r="AO621" s="10" t="str">
        <f>VLOOKUP(MID($AS621,1,255),source_lookup!$B:$K,4,FALSE)</f>
        <v>0_published</v>
      </c>
      <c r="AP621" s="10" t="str">
        <f>VLOOKUP(MID($AS621,1,255),source_lookup!$B:$K,6,FALSE)</f>
        <v>1_VHB high</v>
      </c>
      <c r="AQ621" s="10" t="str">
        <f>VLOOKUP(MID($AS621,1,255),source_lookup!$B:$K,10,FALSE)</f>
        <v>1_fin/acc/econ</v>
      </c>
      <c r="AR621" t="s">
        <v>102</v>
      </c>
      <c r="AS621" t="s">
        <v>153</v>
      </c>
    </row>
    <row r="622" spans="1:45" x14ac:dyDescent="0.3">
      <c r="A622" t="s">
        <v>29</v>
      </c>
      <c r="B622">
        <v>621</v>
      </c>
      <c r="C622" s="1">
        <v>1.8135290150058971E-3</v>
      </c>
      <c r="D622" s="2">
        <v>15</v>
      </c>
      <c r="E622" s="4">
        <v>118</v>
      </c>
      <c r="F622" s="4" t="s">
        <v>346</v>
      </c>
      <c r="G622" s="4" t="s">
        <v>347</v>
      </c>
      <c r="H622" t="s">
        <v>77</v>
      </c>
      <c r="I622" t="s">
        <v>350</v>
      </c>
      <c r="J622" s="3">
        <v>2005</v>
      </c>
      <c r="K622" s="3">
        <v>2012</v>
      </c>
      <c r="L622" s="6">
        <f t="shared" si="191"/>
        <v>2008.5</v>
      </c>
      <c r="M622" s="6">
        <f t="shared" si="192"/>
        <v>2008.5</v>
      </c>
      <c r="N622" s="7">
        <f t="shared" si="180"/>
        <v>0</v>
      </c>
      <c r="O622" s="7">
        <f t="shared" si="181"/>
        <v>0</v>
      </c>
      <c r="P622" s="7">
        <f t="shared" si="182"/>
        <v>0</v>
      </c>
      <c r="Q622" s="7">
        <f t="shared" si="193"/>
        <v>0</v>
      </c>
      <c r="R622" s="10" t="str">
        <f t="shared" si="183"/>
        <v>0_Pre</v>
      </c>
      <c r="S622" s="10" t="str">
        <f t="shared" si="184"/>
        <v>0_Pre</v>
      </c>
      <c r="T622" s="10" t="str">
        <f t="shared" si="185"/>
        <v>0_Pre</v>
      </c>
      <c r="U622" s="10" t="str">
        <f t="shared" si="186"/>
        <v>0_Pre</v>
      </c>
      <c r="V622" s="10" t="str">
        <f t="shared" si="194"/>
        <v>0_Pre</v>
      </c>
      <c r="W622" s="10" t="str">
        <f t="shared" si="187"/>
        <v>clean_pre</v>
      </c>
      <c r="X622" s="10" t="str">
        <f t="shared" si="188"/>
        <v>0_Pre</v>
      </c>
      <c r="Y622" s="10" t="str">
        <f t="shared" si="189"/>
        <v>0_Pre</v>
      </c>
      <c r="Z622" s="10" t="str">
        <f t="shared" si="190"/>
        <v>0_Pre</v>
      </c>
      <c r="AA622" s="10" t="str">
        <f t="shared" si="195"/>
        <v>0_Pre</v>
      </c>
      <c r="AB622" s="10" t="str">
        <f t="shared" si="196"/>
        <v>0_Pre</v>
      </c>
      <c r="AC622" s="10" t="str">
        <f t="shared" si="197"/>
        <v>0_Pre</v>
      </c>
      <c r="AD622" s="10" t="str">
        <f t="shared" si="198"/>
        <v>1_pre sample median</v>
      </c>
      <c r="AE622" s="10" t="str">
        <f t="shared" si="199"/>
        <v>1_pre sample first tertile</v>
      </c>
      <c r="AF622" t="s">
        <v>80</v>
      </c>
      <c r="AG622" t="s">
        <v>75</v>
      </c>
      <c r="AH622" t="s">
        <v>78</v>
      </c>
      <c r="AI622" t="s">
        <v>70</v>
      </c>
      <c r="AJ622" t="s">
        <v>70</v>
      </c>
      <c r="AK622" t="str">
        <f>VLOOKUP(MID($AR622,1,255),country_lookup!$B:$F,2,FALSE)</f>
        <v>99_NCE</v>
      </c>
      <c r="AL622" t="str">
        <f>VLOOKUP(MID($AR622,1,255),country_lookup!$B:$F,3,FALSE)</f>
        <v>99_NCE</v>
      </c>
      <c r="AM622" t="str">
        <f>VLOOKUP(MID($AR622,1,255),country_lookup!$B:$F,4,FALSE)</f>
        <v>99_NCE</v>
      </c>
      <c r="AN622" t="str">
        <f>VLOOKUP(MID($AR622,1,255),country_lookup!$B:$F,5,FALSE)</f>
        <v>99_NCE</v>
      </c>
      <c r="AO622" s="10" t="str">
        <f>VLOOKUP(MID($AS622,1,255),source_lookup!$B:$K,4,FALSE)</f>
        <v>0_published</v>
      </c>
      <c r="AP622" s="10" t="str">
        <f>VLOOKUP(MID($AS622,1,255),source_lookup!$B:$K,6,FALSE)</f>
        <v>1_VHB high</v>
      </c>
      <c r="AQ622" s="10" t="str">
        <f>VLOOKUP(MID($AS622,1,255),source_lookup!$B:$K,10,FALSE)</f>
        <v>1_fin/acc/econ</v>
      </c>
      <c r="AR622" t="s">
        <v>102</v>
      </c>
      <c r="AS622" t="s">
        <v>153</v>
      </c>
    </row>
    <row r="623" spans="1:45" x14ac:dyDescent="0.3">
      <c r="A623" t="s">
        <v>29</v>
      </c>
      <c r="B623">
        <v>622</v>
      </c>
      <c r="C623" s="1">
        <v>2.9353676007119196E-2</v>
      </c>
      <c r="D623" s="2">
        <v>15</v>
      </c>
      <c r="E623" s="4">
        <v>118</v>
      </c>
      <c r="F623" s="4" t="s">
        <v>346</v>
      </c>
      <c r="G623" s="4" t="s">
        <v>347</v>
      </c>
      <c r="H623" t="s">
        <v>77</v>
      </c>
      <c r="I623" t="s">
        <v>350</v>
      </c>
      <c r="J623" s="3">
        <v>2005</v>
      </c>
      <c r="K623" s="3">
        <v>2012</v>
      </c>
      <c r="L623" s="6">
        <f t="shared" si="191"/>
        <v>2008.5</v>
      </c>
      <c r="M623" s="6">
        <f t="shared" si="192"/>
        <v>2008.5</v>
      </c>
      <c r="N623" s="7">
        <f t="shared" si="180"/>
        <v>0</v>
      </c>
      <c r="O623" s="7">
        <f t="shared" si="181"/>
        <v>0</v>
      </c>
      <c r="P623" s="7">
        <f t="shared" si="182"/>
        <v>0</v>
      </c>
      <c r="Q623" s="7">
        <f t="shared" si="193"/>
        <v>0</v>
      </c>
      <c r="R623" s="10" t="str">
        <f t="shared" si="183"/>
        <v>0_Pre</v>
      </c>
      <c r="S623" s="10" t="str">
        <f t="shared" si="184"/>
        <v>0_Pre</v>
      </c>
      <c r="T623" s="10" t="str">
        <f t="shared" si="185"/>
        <v>0_Pre</v>
      </c>
      <c r="U623" s="10" t="str">
        <f t="shared" si="186"/>
        <v>0_Pre</v>
      </c>
      <c r="V623" s="10" t="str">
        <f t="shared" si="194"/>
        <v>0_Pre</v>
      </c>
      <c r="W623" s="10" t="str">
        <f t="shared" si="187"/>
        <v>clean_pre</v>
      </c>
      <c r="X623" s="10" t="str">
        <f t="shared" si="188"/>
        <v>0_Pre</v>
      </c>
      <c r="Y623" s="10" t="str">
        <f t="shared" si="189"/>
        <v>0_Pre</v>
      </c>
      <c r="Z623" s="10" t="str">
        <f t="shared" si="190"/>
        <v>0_Pre</v>
      </c>
      <c r="AA623" s="10" t="str">
        <f t="shared" si="195"/>
        <v>0_Pre</v>
      </c>
      <c r="AB623" s="10" t="str">
        <f t="shared" si="196"/>
        <v>0_Pre</v>
      </c>
      <c r="AC623" s="10" t="str">
        <f t="shared" si="197"/>
        <v>0_Pre</v>
      </c>
      <c r="AD623" s="10" t="str">
        <f t="shared" si="198"/>
        <v>1_pre sample median</v>
      </c>
      <c r="AE623" s="10" t="str">
        <f t="shared" si="199"/>
        <v>1_pre sample first tertile</v>
      </c>
      <c r="AF623" t="s">
        <v>80</v>
      </c>
      <c r="AG623" t="s">
        <v>75</v>
      </c>
      <c r="AH623" t="s">
        <v>78</v>
      </c>
      <c r="AI623" t="s">
        <v>70</v>
      </c>
      <c r="AJ623" t="s">
        <v>70</v>
      </c>
      <c r="AK623" t="str">
        <f>VLOOKUP(MID($AR623,1,255),country_lookup!$B:$F,2,FALSE)</f>
        <v>99_NCE</v>
      </c>
      <c r="AL623" t="str">
        <f>VLOOKUP(MID($AR623,1,255),country_lookup!$B:$F,3,FALSE)</f>
        <v>99_NCE</v>
      </c>
      <c r="AM623" t="str">
        <f>VLOOKUP(MID($AR623,1,255),country_lookup!$B:$F,4,FALSE)</f>
        <v>99_NCE</v>
      </c>
      <c r="AN623" t="str">
        <f>VLOOKUP(MID($AR623,1,255),country_lookup!$B:$F,5,FALSE)</f>
        <v>99_NCE</v>
      </c>
      <c r="AO623" s="10" t="str">
        <f>VLOOKUP(MID($AS623,1,255),source_lookup!$B:$K,4,FALSE)</f>
        <v>0_published</v>
      </c>
      <c r="AP623" s="10" t="str">
        <f>VLOOKUP(MID($AS623,1,255),source_lookup!$B:$K,6,FALSE)</f>
        <v>1_VHB high</v>
      </c>
      <c r="AQ623" s="10" t="str">
        <f>VLOOKUP(MID($AS623,1,255),source_lookup!$B:$K,10,FALSE)</f>
        <v>1_fin/acc/econ</v>
      </c>
      <c r="AR623" t="s">
        <v>102</v>
      </c>
      <c r="AS623" t="s">
        <v>153</v>
      </c>
    </row>
    <row r="624" spans="1:45" x14ac:dyDescent="0.3">
      <c r="A624" t="s">
        <v>29</v>
      </c>
      <c r="B624">
        <v>623</v>
      </c>
      <c r="C624" s="1">
        <v>-1.6199987097585664E-2</v>
      </c>
      <c r="D624" s="2">
        <v>15</v>
      </c>
      <c r="E624" s="4">
        <v>118</v>
      </c>
      <c r="F624" s="4" t="s">
        <v>346</v>
      </c>
      <c r="G624" s="4" t="s">
        <v>347</v>
      </c>
      <c r="H624" t="s">
        <v>77</v>
      </c>
      <c r="I624" t="s">
        <v>350</v>
      </c>
      <c r="J624" s="3">
        <v>2005</v>
      </c>
      <c r="K624" s="3">
        <v>2012</v>
      </c>
      <c r="L624" s="6">
        <f t="shared" si="191"/>
        <v>2008.5</v>
      </c>
      <c r="M624" s="6">
        <f t="shared" si="192"/>
        <v>2008.5</v>
      </c>
      <c r="N624" s="7">
        <f t="shared" si="180"/>
        <v>0</v>
      </c>
      <c r="O624" s="7">
        <f t="shared" si="181"/>
        <v>0</v>
      </c>
      <c r="P624" s="7">
        <f t="shared" si="182"/>
        <v>0</v>
      </c>
      <c r="Q624" s="7">
        <f t="shared" si="193"/>
        <v>0</v>
      </c>
      <c r="R624" s="10" t="str">
        <f t="shared" si="183"/>
        <v>0_Pre</v>
      </c>
      <c r="S624" s="10" t="str">
        <f t="shared" si="184"/>
        <v>0_Pre</v>
      </c>
      <c r="T624" s="10" t="str">
        <f t="shared" si="185"/>
        <v>0_Pre</v>
      </c>
      <c r="U624" s="10" t="str">
        <f t="shared" si="186"/>
        <v>0_Pre</v>
      </c>
      <c r="V624" s="10" t="str">
        <f t="shared" si="194"/>
        <v>0_Pre</v>
      </c>
      <c r="W624" s="10" t="str">
        <f t="shared" si="187"/>
        <v>clean_pre</v>
      </c>
      <c r="X624" s="10" t="str">
        <f t="shared" si="188"/>
        <v>0_Pre</v>
      </c>
      <c r="Y624" s="10" t="str">
        <f t="shared" si="189"/>
        <v>0_Pre</v>
      </c>
      <c r="Z624" s="10" t="str">
        <f t="shared" si="190"/>
        <v>0_Pre</v>
      </c>
      <c r="AA624" s="10" t="str">
        <f t="shared" si="195"/>
        <v>0_Pre</v>
      </c>
      <c r="AB624" s="10" t="str">
        <f t="shared" si="196"/>
        <v>0_Pre</v>
      </c>
      <c r="AC624" s="10" t="str">
        <f t="shared" si="197"/>
        <v>0_Pre</v>
      </c>
      <c r="AD624" s="10" t="str">
        <f t="shared" si="198"/>
        <v>1_pre sample median</v>
      </c>
      <c r="AE624" s="10" t="str">
        <f t="shared" si="199"/>
        <v>1_pre sample first tertile</v>
      </c>
      <c r="AF624" t="s">
        <v>80</v>
      </c>
      <c r="AG624" t="s">
        <v>75</v>
      </c>
      <c r="AH624" t="s">
        <v>78</v>
      </c>
      <c r="AI624" t="s">
        <v>70</v>
      </c>
      <c r="AJ624" t="s">
        <v>70</v>
      </c>
      <c r="AK624" t="str">
        <f>VLOOKUP(MID($AR624,1,255),country_lookup!$B:$F,2,FALSE)</f>
        <v>99_NCE</v>
      </c>
      <c r="AL624" t="str">
        <f>VLOOKUP(MID($AR624,1,255),country_lookup!$B:$F,3,FALSE)</f>
        <v>99_NCE</v>
      </c>
      <c r="AM624" t="str">
        <f>VLOOKUP(MID($AR624,1,255),country_lookup!$B:$F,4,FALSE)</f>
        <v>99_NCE</v>
      </c>
      <c r="AN624" t="str">
        <f>VLOOKUP(MID($AR624,1,255),country_lookup!$B:$F,5,FALSE)</f>
        <v>99_NCE</v>
      </c>
      <c r="AO624" s="10" t="str">
        <f>VLOOKUP(MID($AS624,1,255),source_lookup!$B:$K,4,FALSE)</f>
        <v>0_published</v>
      </c>
      <c r="AP624" s="10" t="str">
        <f>VLOOKUP(MID($AS624,1,255),source_lookup!$B:$K,6,FALSE)</f>
        <v>1_VHB high</v>
      </c>
      <c r="AQ624" s="10" t="str">
        <f>VLOOKUP(MID($AS624,1,255),source_lookup!$B:$K,10,FALSE)</f>
        <v>1_fin/acc/econ</v>
      </c>
      <c r="AR624" t="s">
        <v>102</v>
      </c>
      <c r="AS624" t="s">
        <v>153</v>
      </c>
    </row>
    <row r="625" spans="1:45" x14ac:dyDescent="0.3">
      <c r="A625" t="s">
        <v>29</v>
      </c>
      <c r="B625">
        <v>624</v>
      </c>
      <c r="C625" s="1">
        <v>-3.1167597513853196E-3</v>
      </c>
      <c r="D625" s="2">
        <v>15</v>
      </c>
      <c r="E625" s="4">
        <v>119</v>
      </c>
      <c r="F625" s="4" t="s">
        <v>346</v>
      </c>
      <c r="G625" s="4" t="s">
        <v>347</v>
      </c>
      <c r="H625" t="s">
        <v>77</v>
      </c>
      <c r="I625" t="s">
        <v>350</v>
      </c>
      <c r="J625" s="3">
        <v>2005</v>
      </c>
      <c r="K625" s="3">
        <v>2012</v>
      </c>
      <c r="L625" s="6">
        <f t="shared" si="191"/>
        <v>2008.5</v>
      </c>
      <c r="M625" s="6">
        <f t="shared" si="192"/>
        <v>2008.5</v>
      </c>
      <c r="N625" s="7">
        <f t="shared" si="180"/>
        <v>0</v>
      </c>
      <c r="O625" s="7">
        <f t="shared" si="181"/>
        <v>0</v>
      </c>
      <c r="P625" s="7">
        <f t="shared" si="182"/>
        <v>0</v>
      </c>
      <c r="Q625" s="7">
        <f t="shared" si="193"/>
        <v>0</v>
      </c>
      <c r="R625" s="10" t="str">
        <f t="shared" si="183"/>
        <v>0_Pre</v>
      </c>
      <c r="S625" s="10" t="str">
        <f t="shared" si="184"/>
        <v>0_Pre</v>
      </c>
      <c r="T625" s="10" t="str">
        <f t="shared" si="185"/>
        <v>0_Pre</v>
      </c>
      <c r="U625" s="10" t="str">
        <f t="shared" si="186"/>
        <v>0_Pre</v>
      </c>
      <c r="V625" s="10" t="str">
        <f t="shared" si="194"/>
        <v>0_Pre</v>
      </c>
      <c r="W625" s="10" t="str">
        <f t="shared" si="187"/>
        <v>clean_pre</v>
      </c>
      <c r="X625" s="10" t="str">
        <f t="shared" si="188"/>
        <v>0_Pre</v>
      </c>
      <c r="Y625" s="10" t="str">
        <f t="shared" si="189"/>
        <v>0_Pre</v>
      </c>
      <c r="Z625" s="10" t="str">
        <f t="shared" si="190"/>
        <v>0_Pre</v>
      </c>
      <c r="AA625" s="10" t="str">
        <f t="shared" si="195"/>
        <v>0_Pre</v>
      </c>
      <c r="AB625" s="10" t="str">
        <f t="shared" si="196"/>
        <v>0_Pre</v>
      </c>
      <c r="AC625" s="10" t="str">
        <f t="shared" si="197"/>
        <v>0_Pre</v>
      </c>
      <c r="AD625" s="10" t="str">
        <f t="shared" si="198"/>
        <v>1_pre sample median</v>
      </c>
      <c r="AE625" s="10" t="str">
        <f t="shared" si="199"/>
        <v>1_pre sample first tertile</v>
      </c>
      <c r="AF625" t="s">
        <v>80</v>
      </c>
      <c r="AG625" t="s">
        <v>75</v>
      </c>
      <c r="AH625" t="s">
        <v>78</v>
      </c>
      <c r="AI625" t="s">
        <v>70</v>
      </c>
      <c r="AJ625" t="s">
        <v>70</v>
      </c>
      <c r="AK625" t="str">
        <f>VLOOKUP(MID($AR625,1,255),country_lookup!$B:$F,2,FALSE)</f>
        <v>99_NCE</v>
      </c>
      <c r="AL625" t="str">
        <f>VLOOKUP(MID($AR625,1,255),country_lookup!$B:$F,3,FALSE)</f>
        <v>99_NCE</v>
      </c>
      <c r="AM625" t="str">
        <f>VLOOKUP(MID($AR625,1,255),country_lookup!$B:$F,4,FALSE)</f>
        <v>99_NCE</v>
      </c>
      <c r="AN625" t="str">
        <f>VLOOKUP(MID($AR625,1,255),country_lookup!$B:$F,5,FALSE)</f>
        <v>99_NCE</v>
      </c>
      <c r="AO625" s="10" t="str">
        <f>VLOOKUP(MID($AS625,1,255),source_lookup!$B:$K,4,FALSE)</f>
        <v>0_published</v>
      </c>
      <c r="AP625" s="10" t="str">
        <f>VLOOKUP(MID($AS625,1,255),source_lookup!$B:$K,6,FALSE)</f>
        <v>1_VHB high</v>
      </c>
      <c r="AQ625" s="10" t="str">
        <f>VLOOKUP(MID($AS625,1,255),source_lookup!$B:$K,10,FALSE)</f>
        <v>1_fin/acc/econ</v>
      </c>
      <c r="AR625" t="s">
        <v>102</v>
      </c>
      <c r="AS625" t="s">
        <v>153</v>
      </c>
    </row>
    <row r="626" spans="1:45" x14ac:dyDescent="0.3">
      <c r="A626" t="s">
        <v>29</v>
      </c>
      <c r="B626">
        <v>625</v>
      </c>
      <c r="C626" s="1">
        <v>5.0417776526447532E-3</v>
      </c>
      <c r="D626" s="2">
        <v>15</v>
      </c>
      <c r="E626" s="4">
        <v>119</v>
      </c>
      <c r="F626" s="4" t="s">
        <v>346</v>
      </c>
      <c r="G626" s="4" t="s">
        <v>347</v>
      </c>
      <c r="H626" t="s">
        <v>77</v>
      </c>
      <c r="I626" t="s">
        <v>350</v>
      </c>
      <c r="J626" s="3">
        <v>2005</v>
      </c>
      <c r="K626" s="3">
        <v>2012</v>
      </c>
      <c r="L626" s="6">
        <f t="shared" si="191"/>
        <v>2008.5</v>
      </c>
      <c r="M626" s="6">
        <f t="shared" si="192"/>
        <v>2008.5</v>
      </c>
      <c r="N626" s="7">
        <f t="shared" si="180"/>
        <v>0</v>
      </c>
      <c r="O626" s="7">
        <f t="shared" si="181"/>
        <v>0</v>
      </c>
      <c r="P626" s="7">
        <f t="shared" si="182"/>
        <v>0</v>
      </c>
      <c r="Q626" s="7">
        <f t="shared" si="193"/>
        <v>0</v>
      </c>
      <c r="R626" s="10" t="str">
        <f t="shared" si="183"/>
        <v>0_Pre</v>
      </c>
      <c r="S626" s="10" t="str">
        <f t="shared" si="184"/>
        <v>0_Pre</v>
      </c>
      <c r="T626" s="10" t="str">
        <f t="shared" si="185"/>
        <v>0_Pre</v>
      </c>
      <c r="U626" s="10" t="str">
        <f t="shared" si="186"/>
        <v>0_Pre</v>
      </c>
      <c r="V626" s="10" t="str">
        <f t="shared" si="194"/>
        <v>0_Pre</v>
      </c>
      <c r="W626" s="10" t="str">
        <f t="shared" si="187"/>
        <v>clean_pre</v>
      </c>
      <c r="X626" s="10" t="str">
        <f t="shared" si="188"/>
        <v>0_Pre</v>
      </c>
      <c r="Y626" s="10" t="str">
        <f t="shared" si="189"/>
        <v>0_Pre</v>
      </c>
      <c r="Z626" s="10" t="str">
        <f t="shared" si="190"/>
        <v>0_Pre</v>
      </c>
      <c r="AA626" s="10" t="str">
        <f t="shared" si="195"/>
        <v>0_Pre</v>
      </c>
      <c r="AB626" s="10" t="str">
        <f t="shared" si="196"/>
        <v>0_Pre</v>
      </c>
      <c r="AC626" s="10" t="str">
        <f t="shared" si="197"/>
        <v>0_Pre</v>
      </c>
      <c r="AD626" s="10" t="str">
        <f t="shared" si="198"/>
        <v>1_pre sample median</v>
      </c>
      <c r="AE626" s="10" t="str">
        <f t="shared" si="199"/>
        <v>1_pre sample first tertile</v>
      </c>
      <c r="AF626" t="s">
        <v>80</v>
      </c>
      <c r="AG626" t="s">
        <v>75</v>
      </c>
      <c r="AH626" t="s">
        <v>78</v>
      </c>
      <c r="AI626" t="s">
        <v>70</v>
      </c>
      <c r="AJ626" t="s">
        <v>70</v>
      </c>
      <c r="AK626" t="str">
        <f>VLOOKUP(MID($AR626,1,255),country_lookup!$B:$F,2,FALSE)</f>
        <v>99_NCE</v>
      </c>
      <c r="AL626" t="str">
        <f>VLOOKUP(MID($AR626,1,255),country_lookup!$B:$F,3,FALSE)</f>
        <v>99_NCE</v>
      </c>
      <c r="AM626" t="str">
        <f>VLOOKUP(MID($AR626,1,255),country_lookup!$B:$F,4,FALSE)</f>
        <v>99_NCE</v>
      </c>
      <c r="AN626" t="str">
        <f>VLOOKUP(MID($AR626,1,255),country_lookup!$B:$F,5,FALSE)</f>
        <v>99_NCE</v>
      </c>
      <c r="AO626" s="10" t="str">
        <f>VLOOKUP(MID($AS626,1,255),source_lookup!$B:$K,4,FALSE)</f>
        <v>0_published</v>
      </c>
      <c r="AP626" s="10" t="str">
        <f>VLOOKUP(MID($AS626,1,255),source_lookup!$B:$K,6,FALSE)</f>
        <v>1_VHB high</v>
      </c>
      <c r="AQ626" s="10" t="str">
        <f>VLOOKUP(MID($AS626,1,255),source_lookup!$B:$K,10,FALSE)</f>
        <v>1_fin/acc/econ</v>
      </c>
      <c r="AR626" t="s">
        <v>102</v>
      </c>
      <c r="AS626" t="s">
        <v>153</v>
      </c>
    </row>
    <row r="627" spans="1:45" x14ac:dyDescent="0.3">
      <c r="A627" t="s">
        <v>29</v>
      </c>
      <c r="B627">
        <v>626</v>
      </c>
      <c r="C627" s="1">
        <v>0.11716649034795655</v>
      </c>
      <c r="D627" s="2">
        <v>15</v>
      </c>
      <c r="E627" s="4">
        <v>119</v>
      </c>
      <c r="F627" s="4" t="s">
        <v>346</v>
      </c>
      <c r="G627" s="4" t="s">
        <v>347</v>
      </c>
      <c r="H627" t="s">
        <v>77</v>
      </c>
      <c r="I627" t="s">
        <v>350</v>
      </c>
      <c r="J627" s="3">
        <v>2005</v>
      </c>
      <c r="K627" s="3">
        <v>2012</v>
      </c>
      <c r="L627" s="6">
        <f t="shared" si="191"/>
        <v>2008.5</v>
      </c>
      <c r="M627" s="6">
        <f t="shared" si="192"/>
        <v>2008.5</v>
      </c>
      <c r="N627" s="7">
        <f t="shared" si="180"/>
        <v>0</v>
      </c>
      <c r="O627" s="7">
        <f t="shared" si="181"/>
        <v>0</v>
      </c>
      <c r="P627" s="7">
        <f t="shared" si="182"/>
        <v>0</v>
      </c>
      <c r="Q627" s="7">
        <f t="shared" si="193"/>
        <v>0</v>
      </c>
      <c r="R627" s="10" t="str">
        <f t="shared" si="183"/>
        <v>0_Pre</v>
      </c>
      <c r="S627" s="10" t="str">
        <f t="shared" si="184"/>
        <v>0_Pre</v>
      </c>
      <c r="T627" s="10" t="str">
        <f t="shared" si="185"/>
        <v>0_Pre</v>
      </c>
      <c r="U627" s="10" t="str">
        <f t="shared" si="186"/>
        <v>0_Pre</v>
      </c>
      <c r="V627" s="10" t="str">
        <f t="shared" si="194"/>
        <v>0_Pre</v>
      </c>
      <c r="W627" s="10" t="str">
        <f t="shared" si="187"/>
        <v>clean_pre</v>
      </c>
      <c r="X627" s="10" t="str">
        <f t="shared" si="188"/>
        <v>0_Pre</v>
      </c>
      <c r="Y627" s="10" t="str">
        <f t="shared" si="189"/>
        <v>0_Pre</v>
      </c>
      <c r="Z627" s="10" t="str">
        <f t="shared" si="190"/>
        <v>0_Pre</v>
      </c>
      <c r="AA627" s="10" t="str">
        <f t="shared" si="195"/>
        <v>0_Pre</v>
      </c>
      <c r="AB627" s="10" t="str">
        <f t="shared" si="196"/>
        <v>0_Pre</v>
      </c>
      <c r="AC627" s="10" t="str">
        <f t="shared" si="197"/>
        <v>0_Pre</v>
      </c>
      <c r="AD627" s="10" t="str">
        <f t="shared" si="198"/>
        <v>1_pre sample median</v>
      </c>
      <c r="AE627" s="10" t="str">
        <f t="shared" si="199"/>
        <v>1_pre sample first tertile</v>
      </c>
      <c r="AF627" t="s">
        <v>80</v>
      </c>
      <c r="AG627" t="s">
        <v>75</v>
      </c>
      <c r="AH627" t="s">
        <v>78</v>
      </c>
      <c r="AI627" t="s">
        <v>70</v>
      </c>
      <c r="AJ627" t="s">
        <v>70</v>
      </c>
      <c r="AK627" t="str">
        <f>VLOOKUP(MID($AR627,1,255),country_lookup!$B:$F,2,FALSE)</f>
        <v>99_NCE</v>
      </c>
      <c r="AL627" t="str">
        <f>VLOOKUP(MID($AR627,1,255),country_lookup!$B:$F,3,FALSE)</f>
        <v>99_NCE</v>
      </c>
      <c r="AM627" t="str">
        <f>VLOOKUP(MID($AR627,1,255),country_lookup!$B:$F,4,FALSE)</f>
        <v>99_NCE</v>
      </c>
      <c r="AN627" t="str">
        <f>VLOOKUP(MID($AR627,1,255),country_lookup!$B:$F,5,FALSE)</f>
        <v>99_NCE</v>
      </c>
      <c r="AO627" s="10" t="str">
        <f>VLOOKUP(MID($AS627,1,255),source_lookup!$B:$K,4,FALSE)</f>
        <v>0_published</v>
      </c>
      <c r="AP627" s="10" t="str">
        <f>VLOOKUP(MID($AS627,1,255),source_lookup!$B:$K,6,FALSE)</f>
        <v>1_VHB high</v>
      </c>
      <c r="AQ627" s="10" t="str">
        <f>VLOOKUP(MID($AS627,1,255),source_lookup!$B:$K,10,FALSE)</f>
        <v>1_fin/acc/econ</v>
      </c>
      <c r="AR627" t="s">
        <v>102</v>
      </c>
      <c r="AS627" t="s">
        <v>153</v>
      </c>
    </row>
    <row r="628" spans="1:45" x14ac:dyDescent="0.3">
      <c r="A628" t="s">
        <v>30</v>
      </c>
      <c r="B628">
        <v>627</v>
      </c>
      <c r="C628" s="1">
        <v>-2.281181633689891E-2</v>
      </c>
      <c r="D628" s="2">
        <v>1728</v>
      </c>
      <c r="E628" s="4">
        <v>22465</v>
      </c>
      <c r="F628" s="4" t="s">
        <v>347</v>
      </c>
      <c r="G628" s="4" t="s">
        <v>346</v>
      </c>
      <c r="H628" t="s">
        <v>77</v>
      </c>
      <c r="I628" t="s">
        <v>350</v>
      </c>
      <c r="J628" s="3">
        <v>2008</v>
      </c>
      <c r="K628" s="3">
        <v>2020</v>
      </c>
      <c r="L628" s="6">
        <f t="shared" si="191"/>
        <v>2014</v>
      </c>
      <c r="M628" s="6">
        <f t="shared" si="192"/>
        <v>2014</v>
      </c>
      <c r="N628" s="7">
        <f t="shared" si="180"/>
        <v>0.38461538461538464</v>
      </c>
      <c r="O628" s="7">
        <f t="shared" si="181"/>
        <v>0.30769230769230771</v>
      </c>
      <c r="P628" s="7">
        <f t="shared" si="182"/>
        <v>0.23076923076923078</v>
      </c>
      <c r="Q628" s="7">
        <f t="shared" si="193"/>
        <v>0.15384615384615385</v>
      </c>
      <c r="R628" s="10" t="str">
        <f t="shared" si="183"/>
        <v>0_Pre</v>
      </c>
      <c r="S628" s="10" t="str">
        <f t="shared" si="184"/>
        <v>0_Pre</v>
      </c>
      <c r="T628" s="10" t="str">
        <f t="shared" si="185"/>
        <v>0_Pre</v>
      </c>
      <c r="U628" s="10" t="str">
        <f t="shared" si="186"/>
        <v>1_Post</v>
      </c>
      <c r="V628" s="10" t="str">
        <f t="shared" si="194"/>
        <v>0_Pre</v>
      </c>
      <c r="W628" s="10" t="str">
        <f t="shared" si="187"/>
        <v>straddle</v>
      </c>
      <c r="X628" s="10" t="str">
        <f t="shared" si="188"/>
        <v>0_Pre</v>
      </c>
      <c r="Y628" s="10" t="str">
        <f t="shared" si="189"/>
        <v>0_Pre</v>
      </c>
      <c r="Z628" s="10" t="str">
        <f t="shared" si="190"/>
        <v>0_Pre</v>
      </c>
      <c r="AA628" s="10" t="str">
        <f t="shared" si="195"/>
        <v>1_Post</v>
      </c>
      <c r="AB628" s="10" t="str">
        <f t="shared" si="196"/>
        <v>1_Post</v>
      </c>
      <c r="AC628" s="10" t="str">
        <f t="shared" si="197"/>
        <v>1_Post</v>
      </c>
      <c r="AD628" s="10" t="str">
        <f t="shared" si="198"/>
        <v>2_post sample median</v>
      </c>
      <c r="AE628" s="10" t="str">
        <f t="shared" si="199"/>
        <v>3_post sample third tertile</v>
      </c>
      <c r="AF628" t="s">
        <v>80</v>
      </c>
      <c r="AG628" t="s">
        <v>74</v>
      </c>
      <c r="AH628" t="s">
        <v>78</v>
      </c>
      <c r="AI628" t="s">
        <v>122</v>
      </c>
      <c r="AJ628" t="s">
        <v>123</v>
      </c>
      <c r="AK628" t="str">
        <f>VLOOKUP(MID($AR628,1,255),country_lookup!$B:$F,2,FALSE)</f>
        <v>3_AsiaPac</v>
      </c>
      <c r="AL628" t="str">
        <f>VLOOKUP(MID($AR628,1,255),country_lookup!$B:$F,3,FALSE)</f>
        <v>2_developing</v>
      </c>
      <c r="AM628" t="str">
        <f>VLOOKUP(MID($AR628,1,255),country_lookup!$B:$F,4,FALSE)</f>
        <v>2_non_western</v>
      </c>
      <c r="AN628" t="str">
        <f>VLOOKUP(MID($AR628,1,255),country_lookup!$B:$F,5,FALSE)</f>
        <v>2_civil law</v>
      </c>
      <c r="AO628" s="10" t="str">
        <f>VLOOKUP(MID($AS628,1,255),source_lookup!$B:$K,4,FALSE)</f>
        <v>0_published</v>
      </c>
      <c r="AP628" s="10" t="str">
        <f>VLOOKUP(MID($AS628,1,255),source_lookup!$B:$K,6,FALSE)</f>
        <v>1_VHB high</v>
      </c>
      <c r="AQ628" s="10" t="str">
        <f>VLOOKUP(MID($AS628,1,255),source_lookup!$B:$K,10,FALSE)</f>
        <v>2_sust</v>
      </c>
      <c r="AR628" t="s">
        <v>94</v>
      </c>
      <c r="AS628" t="s">
        <v>154</v>
      </c>
    </row>
    <row r="629" spans="1:45" x14ac:dyDescent="0.3">
      <c r="A629" t="s">
        <v>30</v>
      </c>
      <c r="B629">
        <v>628</v>
      </c>
      <c r="C629" s="1">
        <v>-1.7277532621839824E-2</v>
      </c>
      <c r="D629" s="2">
        <v>1728</v>
      </c>
      <c r="E629" s="4">
        <v>22465</v>
      </c>
      <c r="F629" s="4" t="s">
        <v>347</v>
      </c>
      <c r="G629" s="4" t="s">
        <v>346</v>
      </c>
      <c r="H629" t="s">
        <v>77</v>
      </c>
      <c r="I629" t="s">
        <v>350</v>
      </c>
      <c r="J629" s="3">
        <v>2008</v>
      </c>
      <c r="K629" s="3">
        <v>2020</v>
      </c>
      <c r="L629" s="6">
        <f t="shared" si="191"/>
        <v>2014</v>
      </c>
      <c r="M629" s="6">
        <f t="shared" si="192"/>
        <v>2014</v>
      </c>
      <c r="N629" s="7">
        <f t="shared" si="180"/>
        <v>0.38461538461538464</v>
      </c>
      <c r="O629" s="7">
        <f t="shared" si="181"/>
        <v>0.30769230769230771</v>
      </c>
      <c r="P629" s="7">
        <f t="shared" si="182"/>
        <v>0.23076923076923078</v>
      </c>
      <c r="Q629" s="7">
        <f t="shared" si="193"/>
        <v>0.15384615384615385</v>
      </c>
      <c r="R629" s="10" t="str">
        <f t="shared" si="183"/>
        <v>0_Pre</v>
      </c>
      <c r="S629" s="10" t="str">
        <f t="shared" si="184"/>
        <v>0_Pre</v>
      </c>
      <c r="T629" s="10" t="str">
        <f t="shared" si="185"/>
        <v>0_Pre</v>
      </c>
      <c r="U629" s="10" t="str">
        <f t="shared" si="186"/>
        <v>1_Post</v>
      </c>
      <c r="V629" s="10" t="str">
        <f t="shared" si="194"/>
        <v>0_Pre</v>
      </c>
      <c r="W629" s="10" t="str">
        <f t="shared" si="187"/>
        <v>straddle</v>
      </c>
      <c r="X629" s="10" t="str">
        <f t="shared" si="188"/>
        <v>0_Pre</v>
      </c>
      <c r="Y629" s="10" t="str">
        <f t="shared" si="189"/>
        <v>0_Pre</v>
      </c>
      <c r="Z629" s="10" t="str">
        <f t="shared" si="190"/>
        <v>0_Pre</v>
      </c>
      <c r="AA629" s="10" t="str">
        <f t="shared" si="195"/>
        <v>1_Post</v>
      </c>
      <c r="AB629" s="10" t="str">
        <f t="shared" si="196"/>
        <v>1_Post</v>
      </c>
      <c r="AC629" s="10" t="str">
        <f t="shared" si="197"/>
        <v>1_Post</v>
      </c>
      <c r="AD629" s="10" t="str">
        <f t="shared" si="198"/>
        <v>2_post sample median</v>
      </c>
      <c r="AE629" s="10" t="str">
        <f t="shared" si="199"/>
        <v>3_post sample third tertile</v>
      </c>
      <c r="AF629" t="s">
        <v>80</v>
      </c>
      <c r="AG629" t="s">
        <v>74</v>
      </c>
      <c r="AH629" t="s">
        <v>78</v>
      </c>
      <c r="AI629" t="s">
        <v>122</v>
      </c>
      <c r="AJ629" t="s">
        <v>123</v>
      </c>
      <c r="AK629" t="str">
        <f>VLOOKUP(MID($AR629,1,255),country_lookup!$B:$F,2,FALSE)</f>
        <v>3_AsiaPac</v>
      </c>
      <c r="AL629" t="str">
        <f>VLOOKUP(MID($AR629,1,255),country_lookup!$B:$F,3,FALSE)</f>
        <v>2_developing</v>
      </c>
      <c r="AM629" t="str">
        <f>VLOOKUP(MID($AR629,1,255),country_lookup!$B:$F,4,FALSE)</f>
        <v>2_non_western</v>
      </c>
      <c r="AN629" t="str">
        <f>VLOOKUP(MID($AR629,1,255),country_lookup!$B:$F,5,FALSE)</f>
        <v>2_civil law</v>
      </c>
      <c r="AO629" s="10" t="str">
        <f>VLOOKUP(MID($AS629,1,255),source_lookup!$B:$K,4,FALSE)</f>
        <v>0_published</v>
      </c>
      <c r="AP629" s="10" t="str">
        <f>VLOOKUP(MID($AS629,1,255),source_lookup!$B:$K,6,FALSE)</f>
        <v>1_VHB high</v>
      </c>
      <c r="AQ629" s="10" t="str">
        <f>VLOOKUP(MID($AS629,1,255),source_lookup!$B:$K,10,FALSE)</f>
        <v>2_sust</v>
      </c>
      <c r="AR629" t="s">
        <v>94</v>
      </c>
      <c r="AS629" t="s">
        <v>154</v>
      </c>
    </row>
    <row r="630" spans="1:45" x14ac:dyDescent="0.3">
      <c r="A630" t="s">
        <v>30</v>
      </c>
      <c r="B630">
        <v>629</v>
      </c>
      <c r="C630" s="1">
        <v>-8.8705326801518346E-3</v>
      </c>
      <c r="D630" s="2">
        <v>1161</v>
      </c>
      <c r="E630" s="4">
        <v>15098</v>
      </c>
      <c r="F630" s="4" t="s">
        <v>347</v>
      </c>
      <c r="G630" s="4" t="s">
        <v>346</v>
      </c>
      <c r="H630" t="s">
        <v>77</v>
      </c>
      <c r="I630" t="s">
        <v>350</v>
      </c>
      <c r="J630" s="3">
        <v>2008</v>
      </c>
      <c r="K630" s="3">
        <v>2020</v>
      </c>
      <c r="L630" s="6">
        <f t="shared" si="191"/>
        <v>2014</v>
      </c>
      <c r="M630" s="6">
        <f t="shared" si="192"/>
        <v>2014</v>
      </c>
      <c r="N630" s="7">
        <f t="shared" si="180"/>
        <v>0.38461538461538464</v>
      </c>
      <c r="O630" s="7">
        <f t="shared" si="181"/>
        <v>0.30769230769230771</v>
      </c>
      <c r="P630" s="7">
        <f t="shared" si="182"/>
        <v>0.23076923076923078</v>
      </c>
      <c r="Q630" s="7">
        <f t="shared" si="193"/>
        <v>0.15384615384615385</v>
      </c>
      <c r="R630" s="10" t="str">
        <f t="shared" si="183"/>
        <v>0_Pre</v>
      </c>
      <c r="S630" s="10" t="str">
        <f t="shared" si="184"/>
        <v>0_Pre</v>
      </c>
      <c r="T630" s="10" t="str">
        <f t="shared" si="185"/>
        <v>0_Pre</v>
      </c>
      <c r="U630" s="10" t="str">
        <f t="shared" si="186"/>
        <v>1_Post</v>
      </c>
      <c r="V630" s="10" t="str">
        <f t="shared" si="194"/>
        <v>0_Pre</v>
      </c>
      <c r="W630" s="10" t="str">
        <f t="shared" si="187"/>
        <v>straddle</v>
      </c>
      <c r="X630" s="10" t="str">
        <f t="shared" si="188"/>
        <v>0_Pre</v>
      </c>
      <c r="Y630" s="10" t="str">
        <f t="shared" si="189"/>
        <v>0_Pre</v>
      </c>
      <c r="Z630" s="10" t="str">
        <f t="shared" si="190"/>
        <v>0_Pre</v>
      </c>
      <c r="AA630" s="10" t="str">
        <f t="shared" si="195"/>
        <v>1_Post</v>
      </c>
      <c r="AB630" s="10" t="str">
        <f t="shared" si="196"/>
        <v>1_Post</v>
      </c>
      <c r="AC630" s="10" t="str">
        <f t="shared" si="197"/>
        <v>1_Post</v>
      </c>
      <c r="AD630" s="10" t="str">
        <f t="shared" si="198"/>
        <v>2_post sample median</v>
      </c>
      <c r="AE630" s="10" t="str">
        <f t="shared" si="199"/>
        <v>3_post sample third tertile</v>
      </c>
      <c r="AF630" t="s">
        <v>80</v>
      </c>
      <c r="AG630" t="s">
        <v>74</v>
      </c>
      <c r="AH630" t="s">
        <v>78</v>
      </c>
      <c r="AI630" t="s">
        <v>122</v>
      </c>
      <c r="AJ630" t="s">
        <v>123</v>
      </c>
      <c r="AK630" t="str">
        <f>VLOOKUP(MID($AR630,1,255),country_lookup!$B:$F,2,FALSE)</f>
        <v>3_AsiaPac</v>
      </c>
      <c r="AL630" t="str">
        <f>VLOOKUP(MID($AR630,1,255),country_lookup!$B:$F,3,FALSE)</f>
        <v>2_developing</v>
      </c>
      <c r="AM630" t="str">
        <f>VLOOKUP(MID($AR630,1,255),country_lookup!$B:$F,4,FALSE)</f>
        <v>2_non_western</v>
      </c>
      <c r="AN630" t="str">
        <f>VLOOKUP(MID($AR630,1,255),country_lookup!$B:$F,5,FALSE)</f>
        <v>2_civil law</v>
      </c>
      <c r="AO630" s="10" t="str">
        <f>VLOOKUP(MID($AS630,1,255),source_lookup!$B:$K,4,FALSE)</f>
        <v>0_published</v>
      </c>
      <c r="AP630" s="10" t="str">
        <f>VLOOKUP(MID($AS630,1,255),source_lookup!$B:$K,6,FALSE)</f>
        <v>1_VHB high</v>
      </c>
      <c r="AQ630" s="10" t="str">
        <f>VLOOKUP(MID($AS630,1,255),source_lookup!$B:$K,10,FALSE)</f>
        <v>2_sust</v>
      </c>
      <c r="AR630" t="s">
        <v>94</v>
      </c>
      <c r="AS630" t="s">
        <v>154</v>
      </c>
    </row>
    <row r="631" spans="1:45" x14ac:dyDescent="0.3">
      <c r="A631" t="s">
        <v>30</v>
      </c>
      <c r="B631">
        <v>630</v>
      </c>
      <c r="C631" s="1">
        <v>-1.7494932708973163E-2</v>
      </c>
      <c r="D631" s="2">
        <v>1161</v>
      </c>
      <c r="E631" s="4">
        <v>15098</v>
      </c>
      <c r="F631" s="4" t="s">
        <v>347</v>
      </c>
      <c r="G631" s="4" t="s">
        <v>346</v>
      </c>
      <c r="H631" t="s">
        <v>77</v>
      </c>
      <c r="I631" t="s">
        <v>350</v>
      </c>
      <c r="J631" s="3">
        <v>2008</v>
      </c>
      <c r="K631" s="3">
        <v>2020</v>
      </c>
      <c r="L631" s="6">
        <f t="shared" si="191"/>
        <v>2014</v>
      </c>
      <c r="M631" s="6">
        <f t="shared" si="192"/>
        <v>2014</v>
      </c>
      <c r="N631" s="7">
        <f t="shared" si="180"/>
        <v>0.38461538461538464</v>
      </c>
      <c r="O631" s="7">
        <f t="shared" si="181"/>
        <v>0.30769230769230771</v>
      </c>
      <c r="P631" s="7">
        <f t="shared" si="182"/>
        <v>0.23076923076923078</v>
      </c>
      <c r="Q631" s="7">
        <f t="shared" si="193"/>
        <v>0.15384615384615385</v>
      </c>
      <c r="R631" s="10" t="str">
        <f t="shared" si="183"/>
        <v>0_Pre</v>
      </c>
      <c r="S631" s="10" t="str">
        <f t="shared" si="184"/>
        <v>0_Pre</v>
      </c>
      <c r="T631" s="10" t="str">
        <f t="shared" si="185"/>
        <v>0_Pre</v>
      </c>
      <c r="U631" s="10" t="str">
        <f t="shared" si="186"/>
        <v>1_Post</v>
      </c>
      <c r="V631" s="10" t="str">
        <f t="shared" si="194"/>
        <v>0_Pre</v>
      </c>
      <c r="W631" s="10" t="str">
        <f t="shared" si="187"/>
        <v>straddle</v>
      </c>
      <c r="X631" s="10" t="str">
        <f t="shared" si="188"/>
        <v>0_Pre</v>
      </c>
      <c r="Y631" s="10" t="str">
        <f t="shared" si="189"/>
        <v>0_Pre</v>
      </c>
      <c r="Z631" s="10" t="str">
        <f t="shared" si="190"/>
        <v>0_Pre</v>
      </c>
      <c r="AA631" s="10" t="str">
        <f t="shared" si="195"/>
        <v>1_Post</v>
      </c>
      <c r="AB631" s="10" t="str">
        <f t="shared" si="196"/>
        <v>1_Post</v>
      </c>
      <c r="AC631" s="10" t="str">
        <f t="shared" si="197"/>
        <v>1_Post</v>
      </c>
      <c r="AD631" s="10" t="str">
        <f t="shared" si="198"/>
        <v>2_post sample median</v>
      </c>
      <c r="AE631" s="10" t="str">
        <f t="shared" si="199"/>
        <v>3_post sample third tertile</v>
      </c>
      <c r="AF631" t="s">
        <v>80</v>
      </c>
      <c r="AG631" t="s">
        <v>74</v>
      </c>
      <c r="AH631" t="s">
        <v>78</v>
      </c>
      <c r="AI631" t="s">
        <v>122</v>
      </c>
      <c r="AJ631" t="s">
        <v>123</v>
      </c>
      <c r="AK631" t="str">
        <f>VLOOKUP(MID($AR631,1,255),country_lookup!$B:$F,2,FALSE)</f>
        <v>3_AsiaPac</v>
      </c>
      <c r="AL631" t="str">
        <f>VLOOKUP(MID($AR631,1,255),country_lookup!$B:$F,3,FALSE)</f>
        <v>2_developing</v>
      </c>
      <c r="AM631" t="str">
        <f>VLOOKUP(MID($AR631,1,255),country_lookup!$B:$F,4,FALSE)</f>
        <v>2_non_western</v>
      </c>
      <c r="AN631" t="str">
        <f>VLOOKUP(MID($AR631,1,255),country_lookup!$B:$F,5,FALSE)</f>
        <v>2_civil law</v>
      </c>
      <c r="AO631" s="10" t="str">
        <f>VLOOKUP(MID($AS631,1,255),source_lookup!$B:$K,4,FALSE)</f>
        <v>0_published</v>
      </c>
      <c r="AP631" s="10" t="str">
        <f>VLOOKUP(MID($AS631,1,255),source_lookup!$B:$K,6,FALSE)</f>
        <v>1_VHB high</v>
      </c>
      <c r="AQ631" s="10" t="str">
        <f>VLOOKUP(MID($AS631,1,255),source_lookup!$B:$K,10,FALSE)</f>
        <v>2_sust</v>
      </c>
      <c r="AR631" t="s">
        <v>94</v>
      </c>
      <c r="AS631" t="s">
        <v>154</v>
      </c>
    </row>
    <row r="632" spans="1:45" x14ac:dyDescent="0.3">
      <c r="A632" t="s">
        <v>30</v>
      </c>
      <c r="B632">
        <v>631</v>
      </c>
      <c r="C632" s="1">
        <v>-1.9532179319291802E-3</v>
      </c>
      <c r="D632" s="2">
        <v>1161</v>
      </c>
      <c r="E632" s="4">
        <v>15098</v>
      </c>
      <c r="F632" s="4" t="s">
        <v>347</v>
      </c>
      <c r="G632" s="4" t="s">
        <v>346</v>
      </c>
      <c r="H632" t="s">
        <v>77</v>
      </c>
      <c r="I632" t="s">
        <v>350</v>
      </c>
      <c r="J632" s="3">
        <v>2008</v>
      </c>
      <c r="K632" s="3">
        <v>2020</v>
      </c>
      <c r="L632" s="6">
        <f t="shared" si="191"/>
        <v>2014</v>
      </c>
      <c r="M632" s="6">
        <f t="shared" si="192"/>
        <v>2014</v>
      </c>
      <c r="N632" s="7">
        <f t="shared" si="180"/>
        <v>0.38461538461538464</v>
      </c>
      <c r="O632" s="7">
        <f t="shared" si="181"/>
        <v>0.30769230769230771</v>
      </c>
      <c r="P632" s="7">
        <f t="shared" si="182"/>
        <v>0.23076923076923078</v>
      </c>
      <c r="Q632" s="7">
        <f t="shared" si="193"/>
        <v>0.15384615384615385</v>
      </c>
      <c r="R632" s="10" t="str">
        <f t="shared" si="183"/>
        <v>0_Pre</v>
      </c>
      <c r="S632" s="10" t="str">
        <f t="shared" si="184"/>
        <v>0_Pre</v>
      </c>
      <c r="T632" s="10" t="str">
        <f t="shared" si="185"/>
        <v>0_Pre</v>
      </c>
      <c r="U632" s="10" t="str">
        <f t="shared" si="186"/>
        <v>1_Post</v>
      </c>
      <c r="V632" s="10" t="str">
        <f t="shared" si="194"/>
        <v>0_Pre</v>
      </c>
      <c r="W632" s="10" t="str">
        <f t="shared" si="187"/>
        <v>straddle</v>
      </c>
      <c r="X632" s="10" t="str">
        <f t="shared" si="188"/>
        <v>0_Pre</v>
      </c>
      <c r="Y632" s="10" t="str">
        <f t="shared" si="189"/>
        <v>0_Pre</v>
      </c>
      <c r="Z632" s="10" t="str">
        <f t="shared" si="190"/>
        <v>0_Pre</v>
      </c>
      <c r="AA632" s="10" t="str">
        <f t="shared" si="195"/>
        <v>1_Post</v>
      </c>
      <c r="AB632" s="10" t="str">
        <f t="shared" si="196"/>
        <v>1_Post</v>
      </c>
      <c r="AC632" s="10" t="str">
        <f t="shared" si="197"/>
        <v>1_Post</v>
      </c>
      <c r="AD632" s="10" t="str">
        <f t="shared" si="198"/>
        <v>2_post sample median</v>
      </c>
      <c r="AE632" s="10" t="str">
        <f t="shared" si="199"/>
        <v>3_post sample third tertile</v>
      </c>
      <c r="AF632" t="s">
        <v>80</v>
      </c>
      <c r="AG632" t="s">
        <v>74</v>
      </c>
      <c r="AH632" t="s">
        <v>78</v>
      </c>
      <c r="AI632" t="s">
        <v>122</v>
      </c>
      <c r="AJ632" t="s">
        <v>123</v>
      </c>
      <c r="AK632" t="str">
        <f>VLOOKUP(MID($AR632,1,255),country_lookup!$B:$F,2,FALSE)</f>
        <v>3_AsiaPac</v>
      </c>
      <c r="AL632" t="str">
        <f>VLOOKUP(MID($AR632,1,255),country_lookup!$B:$F,3,FALSE)</f>
        <v>2_developing</v>
      </c>
      <c r="AM632" t="str">
        <f>VLOOKUP(MID($AR632,1,255),country_lookup!$B:$F,4,FALSE)</f>
        <v>2_non_western</v>
      </c>
      <c r="AN632" t="str">
        <f>VLOOKUP(MID($AR632,1,255),country_lookup!$B:$F,5,FALSE)</f>
        <v>2_civil law</v>
      </c>
      <c r="AO632" s="10" t="str">
        <f>VLOOKUP(MID($AS632,1,255),source_lookup!$B:$K,4,FALSE)</f>
        <v>0_published</v>
      </c>
      <c r="AP632" s="10" t="str">
        <f>VLOOKUP(MID($AS632,1,255),source_lookup!$B:$K,6,FALSE)</f>
        <v>1_VHB high</v>
      </c>
      <c r="AQ632" s="10" t="str">
        <f>VLOOKUP(MID($AS632,1,255),source_lookup!$B:$K,10,FALSE)</f>
        <v>2_sust</v>
      </c>
      <c r="AR632" t="s">
        <v>94</v>
      </c>
      <c r="AS632" t="s">
        <v>154</v>
      </c>
    </row>
    <row r="633" spans="1:45" x14ac:dyDescent="0.3">
      <c r="A633" t="s">
        <v>30</v>
      </c>
      <c r="B633">
        <v>632</v>
      </c>
      <c r="C633" s="1">
        <v>-2.2537707124098288E-2</v>
      </c>
      <c r="D633" s="2">
        <v>1161</v>
      </c>
      <c r="E633" s="4">
        <v>15098</v>
      </c>
      <c r="F633" s="4" t="s">
        <v>347</v>
      </c>
      <c r="G633" s="4" t="s">
        <v>346</v>
      </c>
      <c r="H633" t="s">
        <v>77</v>
      </c>
      <c r="I633" t="s">
        <v>350</v>
      </c>
      <c r="J633" s="3">
        <v>2008</v>
      </c>
      <c r="K633" s="3">
        <v>2020</v>
      </c>
      <c r="L633" s="6">
        <f t="shared" si="191"/>
        <v>2014</v>
      </c>
      <c r="M633" s="6">
        <f t="shared" si="192"/>
        <v>2014</v>
      </c>
      <c r="N633" s="7">
        <f t="shared" si="180"/>
        <v>0.38461538461538464</v>
      </c>
      <c r="O633" s="7">
        <f t="shared" si="181"/>
        <v>0.30769230769230771</v>
      </c>
      <c r="P633" s="7">
        <f t="shared" si="182"/>
        <v>0.23076923076923078</v>
      </c>
      <c r="Q633" s="7">
        <f t="shared" si="193"/>
        <v>0.15384615384615385</v>
      </c>
      <c r="R633" s="10" t="str">
        <f t="shared" si="183"/>
        <v>0_Pre</v>
      </c>
      <c r="S633" s="10" t="str">
        <f t="shared" si="184"/>
        <v>0_Pre</v>
      </c>
      <c r="T633" s="10" t="str">
        <f t="shared" si="185"/>
        <v>0_Pre</v>
      </c>
      <c r="U633" s="10" t="str">
        <f t="shared" si="186"/>
        <v>1_Post</v>
      </c>
      <c r="V633" s="10" t="str">
        <f t="shared" si="194"/>
        <v>0_Pre</v>
      </c>
      <c r="W633" s="10" t="str">
        <f t="shared" si="187"/>
        <v>straddle</v>
      </c>
      <c r="X633" s="10" t="str">
        <f t="shared" si="188"/>
        <v>0_Pre</v>
      </c>
      <c r="Y633" s="10" t="str">
        <f t="shared" si="189"/>
        <v>0_Pre</v>
      </c>
      <c r="Z633" s="10" t="str">
        <f t="shared" si="190"/>
        <v>0_Pre</v>
      </c>
      <c r="AA633" s="10" t="str">
        <f t="shared" si="195"/>
        <v>1_Post</v>
      </c>
      <c r="AB633" s="10" t="str">
        <f t="shared" si="196"/>
        <v>1_Post</v>
      </c>
      <c r="AC633" s="10" t="str">
        <f t="shared" si="197"/>
        <v>1_Post</v>
      </c>
      <c r="AD633" s="10" t="str">
        <f t="shared" si="198"/>
        <v>2_post sample median</v>
      </c>
      <c r="AE633" s="10" t="str">
        <f t="shared" si="199"/>
        <v>3_post sample third tertile</v>
      </c>
      <c r="AF633" t="s">
        <v>80</v>
      </c>
      <c r="AG633" t="s">
        <v>74</v>
      </c>
      <c r="AH633" t="s">
        <v>78</v>
      </c>
      <c r="AI633" t="s">
        <v>122</v>
      </c>
      <c r="AJ633" t="s">
        <v>123</v>
      </c>
      <c r="AK633" t="str">
        <f>VLOOKUP(MID($AR633,1,255),country_lookup!$B:$F,2,FALSE)</f>
        <v>3_AsiaPac</v>
      </c>
      <c r="AL633" t="str">
        <f>VLOOKUP(MID($AR633,1,255),country_lookup!$B:$F,3,FALSE)</f>
        <v>2_developing</v>
      </c>
      <c r="AM633" t="str">
        <f>VLOOKUP(MID($AR633,1,255),country_lookup!$B:$F,4,FALSE)</f>
        <v>2_non_western</v>
      </c>
      <c r="AN633" t="str">
        <f>VLOOKUP(MID($AR633,1,255),country_lookup!$B:$F,5,FALSE)</f>
        <v>2_civil law</v>
      </c>
      <c r="AO633" s="10" t="str">
        <f>VLOOKUP(MID($AS633,1,255),source_lookup!$B:$K,4,FALSE)</f>
        <v>0_published</v>
      </c>
      <c r="AP633" s="10" t="str">
        <f>VLOOKUP(MID($AS633,1,255),source_lookup!$B:$K,6,FALSE)</f>
        <v>1_VHB high</v>
      </c>
      <c r="AQ633" s="10" t="str">
        <f>VLOOKUP(MID($AS633,1,255),source_lookup!$B:$K,10,FALSE)</f>
        <v>2_sust</v>
      </c>
      <c r="AR633" t="s">
        <v>94</v>
      </c>
      <c r="AS633" t="s">
        <v>154</v>
      </c>
    </row>
    <row r="634" spans="1:45" x14ac:dyDescent="0.3">
      <c r="A634" t="s">
        <v>30</v>
      </c>
      <c r="B634">
        <v>633</v>
      </c>
      <c r="C634" s="1">
        <v>-2.4145670467981297E-2</v>
      </c>
      <c r="D634" s="2">
        <v>1652</v>
      </c>
      <c r="E634" s="4">
        <v>21482</v>
      </c>
      <c r="F634" s="4" t="s">
        <v>347</v>
      </c>
      <c r="G634" s="4" t="s">
        <v>346</v>
      </c>
      <c r="H634" t="s">
        <v>77</v>
      </c>
      <c r="I634" t="s">
        <v>350</v>
      </c>
      <c r="J634" s="3">
        <v>2008</v>
      </c>
      <c r="K634" s="3">
        <v>2020</v>
      </c>
      <c r="L634" s="6">
        <f t="shared" si="191"/>
        <v>2014</v>
      </c>
      <c r="M634" s="6">
        <f t="shared" si="192"/>
        <v>2014</v>
      </c>
      <c r="N634" s="7">
        <f t="shared" si="180"/>
        <v>0.38461538461538464</v>
      </c>
      <c r="O634" s="7">
        <f t="shared" si="181"/>
        <v>0.30769230769230771</v>
      </c>
      <c r="P634" s="7">
        <f t="shared" si="182"/>
        <v>0.23076923076923078</v>
      </c>
      <c r="Q634" s="7">
        <f t="shared" si="193"/>
        <v>0.15384615384615385</v>
      </c>
      <c r="R634" s="10" t="str">
        <f t="shared" si="183"/>
        <v>0_Pre</v>
      </c>
      <c r="S634" s="10" t="str">
        <f t="shared" si="184"/>
        <v>0_Pre</v>
      </c>
      <c r="T634" s="10" t="str">
        <f t="shared" si="185"/>
        <v>0_Pre</v>
      </c>
      <c r="U634" s="10" t="str">
        <f t="shared" si="186"/>
        <v>1_Post</v>
      </c>
      <c r="V634" s="10" t="str">
        <f t="shared" si="194"/>
        <v>0_Pre</v>
      </c>
      <c r="W634" s="10" t="str">
        <f t="shared" si="187"/>
        <v>straddle</v>
      </c>
      <c r="X634" s="10" t="str">
        <f t="shared" si="188"/>
        <v>0_Pre</v>
      </c>
      <c r="Y634" s="10" t="str">
        <f t="shared" si="189"/>
        <v>0_Pre</v>
      </c>
      <c r="Z634" s="10" t="str">
        <f t="shared" si="190"/>
        <v>0_Pre</v>
      </c>
      <c r="AA634" s="10" t="str">
        <f t="shared" si="195"/>
        <v>1_Post</v>
      </c>
      <c r="AB634" s="10" t="str">
        <f t="shared" si="196"/>
        <v>1_Post</v>
      </c>
      <c r="AC634" s="10" t="str">
        <f t="shared" si="197"/>
        <v>1_Post</v>
      </c>
      <c r="AD634" s="10" t="str">
        <f t="shared" si="198"/>
        <v>2_post sample median</v>
      </c>
      <c r="AE634" s="10" t="str">
        <f t="shared" si="199"/>
        <v>3_post sample third tertile</v>
      </c>
      <c r="AF634" t="s">
        <v>80</v>
      </c>
      <c r="AG634" t="s">
        <v>74</v>
      </c>
      <c r="AH634" t="s">
        <v>78</v>
      </c>
      <c r="AI634" t="s">
        <v>122</v>
      </c>
      <c r="AJ634" t="s">
        <v>123</v>
      </c>
      <c r="AK634" t="str">
        <f>VLOOKUP(MID($AR634,1,255),country_lookup!$B:$F,2,FALSE)</f>
        <v>3_AsiaPac</v>
      </c>
      <c r="AL634" t="str">
        <f>VLOOKUP(MID($AR634,1,255),country_lookup!$B:$F,3,FALSE)</f>
        <v>2_developing</v>
      </c>
      <c r="AM634" t="str">
        <f>VLOOKUP(MID($AR634,1,255),country_lookup!$B:$F,4,FALSE)</f>
        <v>2_non_western</v>
      </c>
      <c r="AN634" t="str">
        <f>VLOOKUP(MID($AR634,1,255),country_lookup!$B:$F,5,FALSE)</f>
        <v>2_civil law</v>
      </c>
      <c r="AO634" s="10" t="str">
        <f>VLOOKUP(MID($AS634,1,255),source_lookup!$B:$K,4,FALSE)</f>
        <v>0_published</v>
      </c>
      <c r="AP634" s="10" t="str">
        <f>VLOOKUP(MID($AS634,1,255),source_lookup!$B:$K,6,FALSE)</f>
        <v>1_VHB high</v>
      </c>
      <c r="AQ634" s="10" t="str">
        <f>VLOOKUP(MID($AS634,1,255),source_lookup!$B:$K,10,FALSE)</f>
        <v>2_sust</v>
      </c>
      <c r="AR634" t="s">
        <v>94</v>
      </c>
      <c r="AS634" t="s">
        <v>154</v>
      </c>
    </row>
    <row r="635" spans="1:45" x14ac:dyDescent="0.3">
      <c r="A635" t="s">
        <v>30</v>
      </c>
      <c r="B635">
        <v>634</v>
      </c>
      <c r="C635" s="1">
        <v>-9.940347201543822E-3</v>
      </c>
      <c r="D635" s="2">
        <v>1637</v>
      </c>
      <c r="E635" s="4">
        <v>21276</v>
      </c>
      <c r="F635" s="4" t="s">
        <v>347</v>
      </c>
      <c r="G635" s="4" t="s">
        <v>346</v>
      </c>
      <c r="H635" t="s">
        <v>77</v>
      </c>
      <c r="I635" t="s">
        <v>350</v>
      </c>
      <c r="J635" s="3">
        <v>2008</v>
      </c>
      <c r="K635" s="3">
        <v>2020</v>
      </c>
      <c r="L635" s="6">
        <f t="shared" si="191"/>
        <v>2014</v>
      </c>
      <c r="M635" s="6">
        <f t="shared" si="192"/>
        <v>2014</v>
      </c>
      <c r="N635" s="7">
        <f t="shared" si="180"/>
        <v>0.38461538461538464</v>
      </c>
      <c r="O635" s="7">
        <f t="shared" si="181"/>
        <v>0.30769230769230771</v>
      </c>
      <c r="P635" s="7">
        <f t="shared" si="182"/>
        <v>0.23076923076923078</v>
      </c>
      <c r="Q635" s="7">
        <f t="shared" si="193"/>
        <v>0.15384615384615385</v>
      </c>
      <c r="R635" s="10" t="str">
        <f t="shared" si="183"/>
        <v>0_Pre</v>
      </c>
      <c r="S635" s="10" t="str">
        <f t="shared" si="184"/>
        <v>0_Pre</v>
      </c>
      <c r="T635" s="10" t="str">
        <f t="shared" si="185"/>
        <v>0_Pre</v>
      </c>
      <c r="U635" s="10" t="str">
        <f t="shared" si="186"/>
        <v>1_Post</v>
      </c>
      <c r="V635" s="10" t="str">
        <f t="shared" si="194"/>
        <v>0_Pre</v>
      </c>
      <c r="W635" s="10" t="str">
        <f t="shared" si="187"/>
        <v>straddle</v>
      </c>
      <c r="X635" s="10" t="str">
        <f t="shared" si="188"/>
        <v>0_Pre</v>
      </c>
      <c r="Y635" s="10" t="str">
        <f t="shared" si="189"/>
        <v>0_Pre</v>
      </c>
      <c r="Z635" s="10" t="str">
        <f t="shared" si="190"/>
        <v>0_Pre</v>
      </c>
      <c r="AA635" s="10" t="str">
        <f t="shared" si="195"/>
        <v>1_Post</v>
      </c>
      <c r="AB635" s="10" t="str">
        <f t="shared" si="196"/>
        <v>1_Post</v>
      </c>
      <c r="AC635" s="10" t="str">
        <f t="shared" si="197"/>
        <v>1_Post</v>
      </c>
      <c r="AD635" s="10" t="str">
        <f t="shared" si="198"/>
        <v>2_post sample median</v>
      </c>
      <c r="AE635" s="10" t="str">
        <f t="shared" si="199"/>
        <v>3_post sample third tertile</v>
      </c>
      <c r="AF635" t="s">
        <v>80</v>
      </c>
      <c r="AG635" t="s">
        <v>74</v>
      </c>
      <c r="AH635" t="s">
        <v>78</v>
      </c>
      <c r="AI635" t="s">
        <v>122</v>
      </c>
      <c r="AJ635" t="s">
        <v>123</v>
      </c>
      <c r="AK635" t="str">
        <f>VLOOKUP(MID($AR635,1,255),country_lookup!$B:$F,2,FALSE)</f>
        <v>3_AsiaPac</v>
      </c>
      <c r="AL635" t="str">
        <f>VLOOKUP(MID($AR635,1,255),country_lookup!$B:$F,3,FALSE)</f>
        <v>2_developing</v>
      </c>
      <c r="AM635" t="str">
        <f>VLOOKUP(MID($AR635,1,255),country_lookup!$B:$F,4,FALSE)</f>
        <v>2_non_western</v>
      </c>
      <c r="AN635" t="str">
        <f>VLOOKUP(MID($AR635,1,255),country_lookup!$B:$F,5,FALSE)</f>
        <v>2_civil law</v>
      </c>
      <c r="AO635" s="10" t="str">
        <f>VLOOKUP(MID($AS635,1,255),source_lookup!$B:$K,4,FALSE)</f>
        <v>0_published</v>
      </c>
      <c r="AP635" s="10" t="str">
        <f>VLOOKUP(MID($AS635,1,255),source_lookup!$B:$K,6,FALSE)</f>
        <v>1_VHB high</v>
      </c>
      <c r="AQ635" s="10" t="str">
        <f>VLOOKUP(MID($AS635,1,255),source_lookup!$B:$K,10,FALSE)</f>
        <v>2_sust</v>
      </c>
      <c r="AR635" t="s">
        <v>94</v>
      </c>
      <c r="AS635" t="s">
        <v>154</v>
      </c>
    </row>
    <row r="636" spans="1:45" x14ac:dyDescent="0.3">
      <c r="A636" t="s">
        <v>30</v>
      </c>
      <c r="B636">
        <v>635</v>
      </c>
      <c r="C636" s="1">
        <v>-1.7767689663308609E-2</v>
      </c>
      <c r="D636" s="2">
        <v>1596</v>
      </c>
      <c r="E636" s="4">
        <v>20753</v>
      </c>
      <c r="F636" s="4" t="s">
        <v>347</v>
      </c>
      <c r="G636" s="4" t="s">
        <v>346</v>
      </c>
      <c r="H636" t="s">
        <v>77</v>
      </c>
      <c r="I636" t="s">
        <v>350</v>
      </c>
      <c r="J636" s="3">
        <v>2008</v>
      </c>
      <c r="K636" s="3">
        <v>2020</v>
      </c>
      <c r="L636" s="6">
        <f t="shared" si="191"/>
        <v>2014</v>
      </c>
      <c r="M636" s="6">
        <f t="shared" si="192"/>
        <v>2014</v>
      </c>
      <c r="N636" s="7">
        <f t="shared" si="180"/>
        <v>0.38461538461538464</v>
      </c>
      <c r="O636" s="7">
        <f t="shared" si="181"/>
        <v>0.30769230769230771</v>
      </c>
      <c r="P636" s="7">
        <f t="shared" si="182"/>
        <v>0.23076923076923078</v>
      </c>
      <c r="Q636" s="7">
        <f t="shared" si="193"/>
        <v>0.15384615384615385</v>
      </c>
      <c r="R636" s="10" t="str">
        <f t="shared" si="183"/>
        <v>0_Pre</v>
      </c>
      <c r="S636" s="10" t="str">
        <f t="shared" si="184"/>
        <v>0_Pre</v>
      </c>
      <c r="T636" s="10" t="str">
        <f t="shared" si="185"/>
        <v>0_Pre</v>
      </c>
      <c r="U636" s="10" t="str">
        <f t="shared" si="186"/>
        <v>1_Post</v>
      </c>
      <c r="V636" s="10" t="str">
        <f t="shared" si="194"/>
        <v>0_Pre</v>
      </c>
      <c r="W636" s="10" t="str">
        <f t="shared" si="187"/>
        <v>straddle</v>
      </c>
      <c r="X636" s="10" t="str">
        <f t="shared" si="188"/>
        <v>0_Pre</v>
      </c>
      <c r="Y636" s="10" t="str">
        <f t="shared" si="189"/>
        <v>0_Pre</v>
      </c>
      <c r="Z636" s="10" t="str">
        <f t="shared" si="190"/>
        <v>0_Pre</v>
      </c>
      <c r="AA636" s="10" t="str">
        <f t="shared" si="195"/>
        <v>1_Post</v>
      </c>
      <c r="AB636" s="10" t="str">
        <f t="shared" si="196"/>
        <v>1_Post</v>
      </c>
      <c r="AC636" s="10" t="str">
        <f t="shared" si="197"/>
        <v>1_Post</v>
      </c>
      <c r="AD636" s="10" t="str">
        <f t="shared" si="198"/>
        <v>2_post sample median</v>
      </c>
      <c r="AE636" s="10" t="str">
        <f t="shared" si="199"/>
        <v>3_post sample third tertile</v>
      </c>
      <c r="AF636" t="s">
        <v>80</v>
      </c>
      <c r="AG636" t="s">
        <v>74</v>
      </c>
      <c r="AH636" t="s">
        <v>78</v>
      </c>
      <c r="AI636" t="s">
        <v>122</v>
      </c>
      <c r="AJ636" t="s">
        <v>123</v>
      </c>
      <c r="AK636" t="str">
        <f>VLOOKUP(MID($AR636,1,255),country_lookup!$B:$F,2,FALSE)</f>
        <v>3_AsiaPac</v>
      </c>
      <c r="AL636" t="str">
        <f>VLOOKUP(MID($AR636,1,255),country_lookup!$B:$F,3,FALSE)</f>
        <v>2_developing</v>
      </c>
      <c r="AM636" t="str">
        <f>VLOOKUP(MID($AR636,1,255),country_lookup!$B:$F,4,FALSE)</f>
        <v>2_non_western</v>
      </c>
      <c r="AN636" t="str">
        <f>VLOOKUP(MID($AR636,1,255),country_lookup!$B:$F,5,FALSE)</f>
        <v>2_civil law</v>
      </c>
      <c r="AO636" s="10" t="str">
        <f>VLOOKUP(MID($AS636,1,255),source_lookup!$B:$K,4,FALSE)</f>
        <v>0_published</v>
      </c>
      <c r="AP636" s="10" t="str">
        <f>VLOOKUP(MID($AS636,1,255),source_lookup!$B:$K,6,FALSE)</f>
        <v>1_VHB high</v>
      </c>
      <c r="AQ636" s="10" t="str">
        <f>VLOOKUP(MID($AS636,1,255),source_lookup!$B:$K,10,FALSE)</f>
        <v>2_sust</v>
      </c>
      <c r="AR636" t="s">
        <v>94</v>
      </c>
      <c r="AS636" t="s">
        <v>154</v>
      </c>
    </row>
    <row r="637" spans="1:45" x14ac:dyDescent="0.3">
      <c r="A637" t="s">
        <v>30</v>
      </c>
      <c r="B637">
        <v>636</v>
      </c>
      <c r="C637" s="1">
        <v>-3.17261461789047E-2</v>
      </c>
      <c r="D637" s="2">
        <v>1637</v>
      </c>
      <c r="E637" s="4">
        <v>21276</v>
      </c>
      <c r="F637" s="4" t="s">
        <v>347</v>
      </c>
      <c r="G637" s="4" t="s">
        <v>346</v>
      </c>
      <c r="H637" t="s">
        <v>77</v>
      </c>
      <c r="I637" t="s">
        <v>350</v>
      </c>
      <c r="J637" s="3">
        <v>2008</v>
      </c>
      <c r="K637" s="3">
        <v>2020</v>
      </c>
      <c r="L637" s="6">
        <f t="shared" si="191"/>
        <v>2014</v>
      </c>
      <c r="M637" s="6">
        <f t="shared" si="192"/>
        <v>2014</v>
      </c>
      <c r="N637" s="7">
        <f t="shared" si="180"/>
        <v>0.38461538461538464</v>
      </c>
      <c r="O637" s="7">
        <f t="shared" si="181"/>
        <v>0.30769230769230771</v>
      </c>
      <c r="P637" s="7">
        <f t="shared" si="182"/>
        <v>0.23076923076923078</v>
      </c>
      <c r="Q637" s="7">
        <f t="shared" si="193"/>
        <v>0.15384615384615385</v>
      </c>
      <c r="R637" s="10" t="str">
        <f t="shared" si="183"/>
        <v>0_Pre</v>
      </c>
      <c r="S637" s="10" t="str">
        <f t="shared" si="184"/>
        <v>0_Pre</v>
      </c>
      <c r="T637" s="10" t="str">
        <f t="shared" si="185"/>
        <v>0_Pre</v>
      </c>
      <c r="U637" s="10" t="str">
        <f t="shared" si="186"/>
        <v>1_Post</v>
      </c>
      <c r="V637" s="10" t="str">
        <f t="shared" si="194"/>
        <v>0_Pre</v>
      </c>
      <c r="W637" s="10" t="str">
        <f t="shared" si="187"/>
        <v>straddle</v>
      </c>
      <c r="X637" s="10" t="str">
        <f t="shared" si="188"/>
        <v>0_Pre</v>
      </c>
      <c r="Y637" s="10" t="str">
        <f t="shared" si="189"/>
        <v>0_Pre</v>
      </c>
      <c r="Z637" s="10" t="str">
        <f t="shared" si="190"/>
        <v>0_Pre</v>
      </c>
      <c r="AA637" s="10" t="str">
        <f t="shared" si="195"/>
        <v>1_Post</v>
      </c>
      <c r="AB637" s="10" t="str">
        <f t="shared" si="196"/>
        <v>1_Post</v>
      </c>
      <c r="AC637" s="10" t="str">
        <f t="shared" si="197"/>
        <v>1_Post</v>
      </c>
      <c r="AD637" s="10" t="str">
        <f t="shared" si="198"/>
        <v>2_post sample median</v>
      </c>
      <c r="AE637" s="10" t="str">
        <f t="shared" si="199"/>
        <v>3_post sample third tertile</v>
      </c>
      <c r="AF637" t="s">
        <v>80</v>
      </c>
      <c r="AG637" t="s">
        <v>74</v>
      </c>
      <c r="AH637" t="s">
        <v>78</v>
      </c>
      <c r="AI637" t="s">
        <v>122</v>
      </c>
      <c r="AJ637" t="s">
        <v>123</v>
      </c>
      <c r="AK637" t="str">
        <f>VLOOKUP(MID($AR637,1,255),country_lookup!$B:$F,2,FALSE)</f>
        <v>3_AsiaPac</v>
      </c>
      <c r="AL637" t="str">
        <f>VLOOKUP(MID($AR637,1,255),country_lookup!$B:$F,3,FALSE)</f>
        <v>2_developing</v>
      </c>
      <c r="AM637" t="str">
        <f>VLOOKUP(MID($AR637,1,255),country_lookup!$B:$F,4,FALSE)</f>
        <v>2_non_western</v>
      </c>
      <c r="AN637" t="str">
        <f>VLOOKUP(MID($AR637,1,255),country_lookup!$B:$F,5,FALSE)</f>
        <v>2_civil law</v>
      </c>
      <c r="AO637" s="10" t="str">
        <f>VLOOKUP(MID($AS637,1,255),source_lookup!$B:$K,4,FALSE)</f>
        <v>0_published</v>
      </c>
      <c r="AP637" s="10" t="str">
        <f>VLOOKUP(MID($AS637,1,255),source_lookup!$B:$K,6,FALSE)</f>
        <v>1_VHB high</v>
      </c>
      <c r="AQ637" s="10" t="str">
        <f>VLOOKUP(MID($AS637,1,255),source_lookup!$B:$K,10,FALSE)</f>
        <v>2_sust</v>
      </c>
      <c r="AR637" t="s">
        <v>94</v>
      </c>
      <c r="AS637" t="s">
        <v>154</v>
      </c>
    </row>
    <row r="638" spans="1:45" x14ac:dyDescent="0.3">
      <c r="A638" t="s">
        <v>30</v>
      </c>
      <c r="B638">
        <v>637</v>
      </c>
      <c r="C638" s="1">
        <v>1.1461551171727405E-2</v>
      </c>
      <c r="D638" s="2">
        <v>1652</v>
      </c>
      <c r="E638" s="4">
        <v>21482</v>
      </c>
      <c r="F638" s="4" t="s">
        <v>347</v>
      </c>
      <c r="G638" s="4" t="s">
        <v>346</v>
      </c>
      <c r="H638" t="s">
        <v>77</v>
      </c>
      <c r="I638" t="s">
        <v>350</v>
      </c>
      <c r="J638" s="3">
        <v>2008</v>
      </c>
      <c r="K638" s="3">
        <v>2020</v>
      </c>
      <c r="L638" s="6">
        <f t="shared" si="191"/>
        <v>2014</v>
      </c>
      <c r="M638" s="6">
        <f t="shared" si="192"/>
        <v>2014</v>
      </c>
      <c r="N638" s="7">
        <f t="shared" si="180"/>
        <v>0.38461538461538464</v>
      </c>
      <c r="O638" s="7">
        <f t="shared" si="181"/>
        <v>0.30769230769230771</v>
      </c>
      <c r="P638" s="7">
        <f t="shared" si="182"/>
        <v>0.23076923076923078</v>
      </c>
      <c r="Q638" s="7">
        <f t="shared" si="193"/>
        <v>0.15384615384615385</v>
      </c>
      <c r="R638" s="10" t="str">
        <f t="shared" si="183"/>
        <v>0_Pre</v>
      </c>
      <c r="S638" s="10" t="str">
        <f t="shared" si="184"/>
        <v>0_Pre</v>
      </c>
      <c r="T638" s="10" t="str">
        <f t="shared" si="185"/>
        <v>0_Pre</v>
      </c>
      <c r="U638" s="10" t="str">
        <f t="shared" si="186"/>
        <v>1_Post</v>
      </c>
      <c r="V638" s="10" t="str">
        <f t="shared" si="194"/>
        <v>0_Pre</v>
      </c>
      <c r="W638" s="10" t="str">
        <f t="shared" si="187"/>
        <v>straddle</v>
      </c>
      <c r="X638" s="10" t="str">
        <f t="shared" si="188"/>
        <v>0_Pre</v>
      </c>
      <c r="Y638" s="10" t="str">
        <f t="shared" si="189"/>
        <v>0_Pre</v>
      </c>
      <c r="Z638" s="10" t="str">
        <f t="shared" si="190"/>
        <v>0_Pre</v>
      </c>
      <c r="AA638" s="10" t="str">
        <f t="shared" si="195"/>
        <v>1_Post</v>
      </c>
      <c r="AB638" s="10" t="str">
        <f t="shared" si="196"/>
        <v>1_Post</v>
      </c>
      <c r="AC638" s="10" t="str">
        <f t="shared" si="197"/>
        <v>1_Post</v>
      </c>
      <c r="AD638" s="10" t="str">
        <f t="shared" si="198"/>
        <v>2_post sample median</v>
      </c>
      <c r="AE638" s="10" t="str">
        <f t="shared" si="199"/>
        <v>3_post sample third tertile</v>
      </c>
      <c r="AF638" t="s">
        <v>80</v>
      </c>
      <c r="AG638" t="s">
        <v>74</v>
      </c>
      <c r="AH638" t="s">
        <v>78</v>
      </c>
      <c r="AI638" t="s">
        <v>122</v>
      </c>
      <c r="AJ638" t="s">
        <v>123</v>
      </c>
      <c r="AK638" t="str">
        <f>VLOOKUP(MID($AR638,1,255),country_lookup!$B:$F,2,FALSE)</f>
        <v>3_AsiaPac</v>
      </c>
      <c r="AL638" t="str">
        <f>VLOOKUP(MID($AR638,1,255),country_lookup!$B:$F,3,FALSE)</f>
        <v>2_developing</v>
      </c>
      <c r="AM638" t="str">
        <f>VLOOKUP(MID($AR638,1,255),country_lookup!$B:$F,4,FALSE)</f>
        <v>2_non_western</v>
      </c>
      <c r="AN638" t="str">
        <f>VLOOKUP(MID($AR638,1,255),country_lookup!$B:$F,5,FALSE)</f>
        <v>2_civil law</v>
      </c>
      <c r="AO638" s="10" t="str">
        <f>VLOOKUP(MID($AS638,1,255),source_lookup!$B:$K,4,FALSE)</f>
        <v>0_published</v>
      </c>
      <c r="AP638" s="10" t="str">
        <f>VLOOKUP(MID($AS638,1,255),source_lookup!$B:$K,6,FALSE)</f>
        <v>1_VHB high</v>
      </c>
      <c r="AQ638" s="10" t="str">
        <f>VLOOKUP(MID($AS638,1,255),source_lookup!$B:$K,10,FALSE)</f>
        <v>2_sust</v>
      </c>
      <c r="AR638" t="s">
        <v>94</v>
      </c>
      <c r="AS638" t="s">
        <v>154</v>
      </c>
    </row>
    <row r="639" spans="1:45" x14ac:dyDescent="0.3">
      <c r="A639" t="s">
        <v>30</v>
      </c>
      <c r="B639">
        <v>638</v>
      </c>
      <c r="C639" s="1">
        <v>-2.6385450271070164E-2</v>
      </c>
      <c r="D639" s="2">
        <v>1637</v>
      </c>
      <c r="E639" s="4">
        <v>21276</v>
      </c>
      <c r="F639" s="4" t="s">
        <v>347</v>
      </c>
      <c r="G639" s="4" t="s">
        <v>346</v>
      </c>
      <c r="H639" t="s">
        <v>77</v>
      </c>
      <c r="I639" t="s">
        <v>350</v>
      </c>
      <c r="J639" s="3">
        <v>2008</v>
      </c>
      <c r="K639" s="3">
        <v>2020</v>
      </c>
      <c r="L639" s="6">
        <f t="shared" si="191"/>
        <v>2014</v>
      </c>
      <c r="M639" s="6">
        <f t="shared" si="192"/>
        <v>2014</v>
      </c>
      <c r="N639" s="7">
        <f t="shared" si="180"/>
        <v>0.38461538461538464</v>
      </c>
      <c r="O639" s="7">
        <f t="shared" si="181"/>
        <v>0.30769230769230771</v>
      </c>
      <c r="P639" s="7">
        <f t="shared" si="182"/>
        <v>0.23076923076923078</v>
      </c>
      <c r="Q639" s="7">
        <f t="shared" si="193"/>
        <v>0.15384615384615385</v>
      </c>
      <c r="R639" s="10" t="str">
        <f t="shared" si="183"/>
        <v>0_Pre</v>
      </c>
      <c r="S639" s="10" t="str">
        <f t="shared" si="184"/>
        <v>0_Pre</v>
      </c>
      <c r="T639" s="10" t="str">
        <f t="shared" si="185"/>
        <v>0_Pre</v>
      </c>
      <c r="U639" s="10" t="str">
        <f t="shared" si="186"/>
        <v>1_Post</v>
      </c>
      <c r="V639" s="10" t="str">
        <f t="shared" si="194"/>
        <v>0_Pre</v>
      </c>
      <c r="W639" s="10" t="str">
        <f t="shared" si="187"/>
        <v>straddle</v>
      </c>
      <c r="X639" s="10" t="str">
        <f t="shared" si="188"/>
        <v>0_Pre</v>
      </c>
      <c r="Y639" s="10" t="str">
        <f t="shared" si="189"/>
        <v>0_Pre</v>
      </c>
      <c r="Z639" s="10" t="str">
        <f t="shared" si="190"/>
        <v>0_Pre</v>
      </c>
      <c r="AA639" s="10" t="str">
        <f t="shared" si="195"/>
        <v>1_Post</v>
      </c>
      <c r="AB639" s="10" t="str">
        <f t="shared" si="196"/>
        <v>1_Post</v>
      </c>
      <c r="AC639" s="10" t="str">
        <f t="shared" si="197"/>
        <v>1_Post</v>
      </c>
      <c r="AD639" s="10" t="str">
        <f t="shared" si="198"/>
        <v>2_post sample median</v>
      </c>
      <c r="AE639" s="10" t="str">
        <f t="shared" si="199"/>
        <v>3_post sample third tertile</v>
      </c>
      <c r="AF639" t="s">
        <v>80</v>
      </c>
      <c r="AG639" t="s">
        <v>74</v>
      </c>
      <c r="AH639" t="s">
        <v>78</v>
      </c>
      <c r="AI639" t="s">
        <v>122</v>
      </c>
      <c r="AJ639" t="s">
        <v>123</v>
      </c>
      <c r="AK639" t="str">
        <f>VLOOKUP(MID($AR639,1,255),country_lookup!$B:$F,2,FALSE)</f>
        <v>3_AsiaPac</v>
      </c>
      <c r="AL639" t="str">
        <f>VLOOKUP(MID($AR639,1,255),country_lookup!$B:$F,3,FALSE)</f>
        <v>2_developing</v>
      </c>
      <c r="AM639" t="str">
        <f>VLOOKUP(MID($AR639,1,255),country_lookup!$B:$F,4,FALSE)</f>
        <v>2_non_western</v>
      </c>
      <c r="AN639" t="str">
        <f>VLOOKUP(MID($AR639,1,255),country_lookup!$B:$F,5,FALSE)</f>
        <v>2_civil law</v>
      </c>
      <c r="AO639" s="10" t="str">
        <f>VLOOKUP(MID($AS639,1,255),source_lookup!$B:$K,4,FALSE)</f>
        <v>0_published</v>
      </c>
      <c r="AP639" s="10" t="str">
        <f>VLOOKUP(MID($AS639,1,255),source_lookup!$B:$K,6,FALSE)</f>
        <v>1_VHB high</v>
      </c>
      <c r="AQ639" s="10" t="str">
        <f>VLOOKUP(MID($AS639,1,255),source_lookup!$B:$K,10,FALSE)</f>
        <v>2_sust</v>
      </c>
      <c r="AR639" t="s">
        <v>94</v>
      </c>
      <c r="AS639" t="s">
        <v>154</v>
      </c>
    </row>
    <row r="640" spans="1:45" x14ac:dyDescent="0.3">
      <c r="A640" t="s">
        <v>30</v>
      </c>
      <c r="B640">
        <v>639</v>
      </c>
      <c r="C640" s="1">
        <v>-2.1513978023525702E-2</v>
      </c>
      <c r="D640" s="2">
        <v>1596</v>
      </c>
      <c r="E640" s="4">
        <v>20753</v>
      </c>
      <c r="F640" s="4" t="s">
        <v>347</v>
      </c>
      <c r="G640" s="4" t="s">
        <v>346</v>
      </c>
      <c r="H640" t="s">
        <v>77</v>
      </c>
      <c r="I640" t="s">
        <v>350</v>
      </c>
      <c r="J640" s="3">
        <v>2008</v>
      </c>
      <c r="K640" s="3">
        <v>2020</v>
      </c>
      <c r="L640" s="6">
        <f t="shared" si="191"/>
        <v>2014</v>
      </c>
      <c r="M640" s="6">
        <f t="shared" si="192"/>
        <v>2014</v>
      </c>
      <c r="N640" s="7">
        <f t="shared" si="180"/>
        <v>0.38461538461538464</v>
      </c>
      <c r="O640" s="7">
        <f t="shared" si="181"/>
        <v>0.30769230769230771</v>
      </c>
      <c r="P640" s="7">
        <f t="shared" si="182"/>
        <v>0.23076923076923078</v>
      </c>
      <c r="Q640" s="7">
        <f t="shared" si="193"/>
        <v>0.15384615384615385</v>
      </c>
      <c r="R640" s="10" t="str">
        <f t="shared" si="183"/>
        <v>0_Pre</v>
      </c>
      <c r="S640" s="10" t="str">
        <f t="shared" si="184"/>
        <v>0_Pre</v>
      </c>
      <c r="T640" s="10" t="str">
        <f t="shared" si="185"/>
        <v>0_Pre</v>
      </c>
      <c r="U640" s="10" t="str">
        <f t="shared" si="186"/>
        <v>1_Post</v>
      </c>
      <c r="V640" s="10" t="str">
        <f t="shared" si="194"/>
        <v>0_Pre</v>
      </c>
      <c r="W640" s="10" t="str">
        <f t="shared" si="187"/>
        <v>straddle</v>
      </c>
      <c r="X640" s="10" t="str">
        <f t="shared" si="188"/>
        <v>0_Pre</v>
      </c>
      <c r="Y640" s="10" t="str">
        <f t="shared" si="189"/>
        <v>0_Pre</v>
      </c>
      <c r="Z640" s="10" t="str">
        <f t="shared" si="190"/>
        <v>0_Pre</v>
      </c>
      <c r="AA640" s="10" t="str">
        <f t="shared" si="195"/>
        <v>1_Post</v>
      </c>
      <c r="AB640" s="10" t="str">
        <f t="shared" si="196"/>
        <v>1_Post</v>
      </c>
      <c r="AC640" s="10" t="str">
        <f t="shared" si="197"/>
        <v>1_Post</v>
      </c>
      <c r="AD640" s="10" t="str">
        <f t="shared" si="198"/>
        <v>2_post sample median</v>
      </c>
      <c r="AE640" s="10" t="str">
        <f t="shared" si="199"/>
        <v>3_post sample third tertile</v>
      </c>
      <c r="AF640" t="s">
        <v>80</v>
      </c>
      <c r="AG640" t="s">
        <v>74</v>
      </c>
      <c r="AH640" t="s">
        <v>78</v>
      </c>
      <c r="AI640" t="s">
        <v>122</v>
      </c>
      <c r="AJ640" t="s">
        <v>123</v>
      </c>
      <c r="AK640" t="str">
        <f>VLOOKUP(MID($AR640,1,255),country_lookup!$B:$F,2,FALSE)</f>
        <v>3_AsiaPac</v>
      </c>
      <c r="AL640" t="str">
        <f>VLOOKUP(MID($AR640,1,255),country_lookup!$B:$F,3,FALSE)</f>
        <v>2_developing</v>
      </c>
      <c r="AM640" t="str">
        <f>VLOOKUP(MID($AR640,1,255),country_lookup!$B:$F,4,FALSE)</f>
        <v>2_non_western</v>
      </c>
      <c r="AN640" t="str">
        <f>VLOOKUP(MID($AR640,1,255),country_lookup!$B:$F,5,FALSE)</f>
        <v>2_civil law</v>
      </c>
      <c r="AO640" s="10" t="str">
        <f>VLOOKUP(MID($AS640,1,255),source_lookup!$B:$K,4,FALSE)</f>
        <v>0_published</v>
      </c>
      <c r="AP640" s="10" t="str">
        <f>VLOOKUP(MID($AS640,1,255),source_lookup!$B:$K,6,FALSE)</f>
        <v>1_VHB high</v>
      </c>
      <c r="AQ640" s="10" t="str">
        <f>VLOOKUP(MID($AS640,1,255),source_lookup!$B:$K,10,FALSE)</f>
        <v>2_sust</v>
      </c>
      <c r="AR640" t="s">
        <v>94</v>
      </c>
      <c r="AS640" t="s">
        <v>154</v>
      </c>
    </row>
    <row r="641" spans="1:45" x14ac:dyDescent="0.3">
      <c r="A641" t="s">
        <v>30</v>
      </c>
      <c r="B641">
        <v>640</v>
      </c>
      <c r="C641" s="1">
        <v>1.7890645154649231E-2</v>
      </c>
      <c r="D641" s="2">
        <v>1637</v>
      </c>
      <c r="E641" s="4">
        <v>21276</v>
      </c>
      <c r="F641" s="4" t="s">
        <v>347</v>
      </c>
      <c r="G641" s="4" t="s">
        <v>346</v>
      </c>
      <c r="H641" t="s">
        <v>77</v>
      </c>
      <c r="I641" t="s">
        <v>350</v>
      </c>
      <c r="J641" s="3">
        <v>2008</v>
      </c>
      <c r="K641" s="3">
        <v>2020</v>
      </c>
      <c r="L641" s="6">
        <f t="shared" si="191"/>
        <v>2014</v>
      </c>
      <c r="M641" s="6">
        <f t="shared" si="192"/>
        <v>2014</v>
      </c>
      <c r="N641" s="7">
        <f t="shared" si="180"/>
        <v>0.38461538461538464</v>
      </c>
      <c r="O641" s="7">
        <f t="shared" si="181"/>
        <v>0.30769230769230771</v>
      </c>
      <c r="P641" s="7">
        <f t="shared" si="182"/>
        <v>0.23076923076923078</v>
      </c>
      <c r="Q641" s="7">
        <f t="shared" si="193"/>
        <v>0.15384615384615385</v>
      </c>
      <c r="R641" s="10" t="str">
        <f t="shared" si="183"/>
        <v>0_Pre</v>
      </c>
      <c r="S641" s="10" t="str">
        <f t="shared" si="184"/>
        <v>0_Pre</v>
      </c>
      <c r="T641" s="10" t="str">
        <f t="shared" si="185"/>
        <v>0_Pre</v>
      </c>
      <c r="U641" s="10" t="str">
        <f t="shared" si="186"/>
        <v>1_Post</v>
      </c>
      <c r="V641" s="10" t="str">
        <f t="shared" si="194"/>
        <v>0_Pre</v>
      </c>
      <c r="W641" s="10" t="str">
        <f t="shared" si="187"/>
        <v>straddle</v>
      </c>
      <c r="X641" s="10" t="str">
        <f t="shared" si="188"/>
        <v>0_Pre</v>
      </c>
      <c r="Y641" s="10" t="str">
        <f t="shared" si="189"/>
        <v>0_Pre</v>
      </c>
      <c r="Z641" s="10" t="str">
        <f t="shared" si="190"/>
        <v>0_Pre</v>
      </c>
      <c r="AA641" s="10" t="str">
        <f t="shared" si="195"/>
        <v>1_Post</v>
      </c>
      <c r="AB641" s="10" t="str">
        <f t="shared" si="196"/>
        <v>1_Post</v>
      </c>
      <c r="AC641" s="10" t="str">
        <f t="shared" si="197"/>
        <v>1_Post</v>
      </c>
      <c r="AD641" s="10" t="str">
        <f t="shared" si="198"/>
        <v>2_post sample median</v>
      </c>
      <c r="AE641" s="10" t="str">
        <f t="shared" si="199"/>
        <v>3_post sample third tertile</v>
      </c>
      <c r="AF641" t="s">
        <v>80</v>
      </c>
      <c r="AG641" t="s">
        <v>74</v>
      </c>
      <c r="AH641" t="s">
        <v>78</v>
      </c>
      <c r="AI641" t="s">
        <v>122</v>
      </c>
      <c r="AJ641" t="s">
        <v>123</v>
      </c>
      <c r="AK641" t="str">
        <f>VLOOKUP(MID($AR641,1,255),country_lookup!$B:$F,2,FALSE)</f>
        <v>3_AsiaPac</v>
      </c>
      <c r="AL641" t="str">
        <f>VLOOKUP(MID($AR641,1,255),country_lookup!$B:$F,3,FALSE)</f>
        <v>2_developing</v>
      </c>
      <c r="AM641" t="str">
        <f>VLOOKUP(MID($AR641,1,255),country_lookup!$B:$F,4,FALSE)</f>
        <v>2_non_western</v>
      </c>
      <c r="AN641" t="str">
        <f>VLOOKUP(MID($AR641,1,255),country_lookup!$B:$F,5,FALSE)</f>
        <v>2_civil law</v>
      </c>
      <c r="AO641" s="10" t="str">
        <f>VLOOKUP(MID($AS641,1,255),source_lookup!$B:$K,4,FALSE)</f>
        <v>0_published</v>
      </c>
      <c r="AP641" s="10" t="str">
        <f>VLOOKUP(MID($AS641,1,255),source_lookup!$B:$K,6,FALSE)</f>
        <v>1_VHB high</v>
      </c>
      <c r="AQ641" s="10" t="str">
        <f>VLOOKUP(MID($AS641,1,255),source_lookup!$B:$K,10,FALSE)</f>
        <v>2_sust</v>
      </c>
      <c r="AR641" t="s">
        <v>94</v>
      </c>
      <c r="AS641" t="s">
        <v>154</v>
      </c>
    </row>
    <row r="642" spans="1:45" x14ac:dyDescent="0.3">
      <c r="A642" t="s">
        <v>30</v>
      </c>
      <c r="B642">
        <v>641</v>
      </c>
      <c r="C642" s="1">
        <v>-2.2032294728842591E-2</v>
      </c>
      <c r="D642" s="2">
        <v>1652</v>
      </c>
      <c r="E642" s="4">
        <v>21482</v>
      </c>
      <c r="F642" s="4" t="s">
        <v>347</v>
      </c>
      <c r="G642" s="4" t="s">
        <v>346</v>
      </c>
      <c r="H642" t="s">
        <v>77</v>
      </c>
      <c r="I642" t="s">
        <v>350</v>
      </c>
      <c r="J642" s="3">
        <v>2008</v>
      </c>
      <c r="K642" s="3">
        <v>2020</v>
      </c>
      <c r="L642" s="6">
        <f t="shared" si="191"/>
        <v>2014</v>
      </c>
      <c r="M642" s="6">
        <f t="shared" si="192"/>
        <v>2014</v>
      </c>
      <c r="N642" s="7">
        <f t="shared" ref="N642:N705" si="200">MAX(0,$K642-MAX($J642,2016)+1)/($K642-$J642+1)</f>
        <v>0.38461538461538464</v>
      </c>
      <c r="O642" s="7">
        <f t="shared" ref="O642:O705" si="201">MAX(0,$K642-MAX($J642,2017)+1)/($K642-$J642+1)</f>
        <v>0.30769230769230771</v>
      </c>
      <c r="P642" s="7">
        <f t="shared" ref="P642:P705" si="202">MAX(0,$K642-MAX($J642,2018)+1)/($K642-$J642+1)</f>
        <v>0.23076923076923078</v>
      </c>
      <c r="Q642" s="7">
        <f t="shared" si="193"/>
        <v>0.15384615384615385</v>
      </c>
      <c r="R642" s="10" t="str">
        <f t="shared" ref="R642:R705" si="203">IF(N642&gt;=0.5,"1_Post","0_Pre")</f>
        <v>0_Pre</v>
      </c>
      <c r="S642" s="10" t="str">
        <f t="shared" ref="S642:S705" si="204">IF($L642&gt;=2016,"1_Post","0_Pre")</f>
        <v>0_Pre</v>
      </c>
      <c r="T642" s="10" t="str">
        <f t="shared" ref="T642:T705" si="205">IF($M642&gt;=2016,"1_Post","0_Pre")</f>
        <v>0_Pre</v>
      </c>
      <c r="U642" s="10" t="str">
        <f t="shared" ref="U642:U705" si="206">IF($K642&gt;=2016,"1_Post","0_Pre")</f>
        <v>1_Post</v>
      </c>
      <c r="V642" s="10" t="str">
        <f t="shared" si="194"/>
        <v>0_Pre</v>
      </c>
      <c r="W642" s="10" t="str">
        <f t="shared" ref="W642:W705" si="207">IF($K642&lt;=2015,"clean_pre",IF($J642&gt;=2016,"clean_post","straddle"))</f>
        <v>straddle</v>
      </c>
      <c r="X642" s="10" t="str">
        <f t="shared" ref="X642:X705" si="208">IF(O642&gt;=0.5,"1_Post","0_Pre")</f>
        <v>0_Pre</v>
      </c>
      <c r="Y642" s="10" t="str">
        <f t="shared" ref="Y642:Y705" si="209">IF(P642&gt;=0.5,"1_Post","0_Pre")</f>
        <v>0_Pre</v>
      </c>
      <c r="Z642" s="10" t="str">
        <f t="shared" ref="Z642:Z705" si="210">IF(Q642&gt;=0.5,"1_Post","0_Pre")</f>
        <v>0_Pre</v>
      </c>
      <c r="AA642" s="10" t="str">
        <f t="shared" si="195"/>
        <v>1_Post</v>
      </c>
      <c r="AB642" s="10" t="str">
        <f t="shared" si="196"/>
        <v>1_Post</v>
      </c>
      <c r="AC642" s="10" t="str">
        <f t="shared" si="197"/>
        <v>1_Post</v>
      </c>
      <c r="AD642" s="10" t="str">
        <f t="shared" si="198"/>
        <v>2_post sample median</v>
      </c>
      <c r="AE642" s="10" t="str">
        <f t="shared" si="199"/>
        <v>3_post sample third tertile</v>
      </c>
      <c r="AF642" t="s">
        <v>80</v>
      </c>
      <c r="AG642" t="s">
        <v>74</v>
      </c>
      <c r="AH642" t="s">
        <v>78</v>
      </c>
      <c r="AI642" t="s">
        <v>122</v>
      </c>
      <c r="AJ642" t="s">
        <v>123</v>
      </c>
      <c r="AK642" t="str">
        <f>VLOOKUP(MID($AR642,1,255),country_lookup!$B:$F,2,FALSE)</f>
        <v>3_AsiaPac</v>
      </c>
      <c r="AL642" t="str">
        <f>VLOOKUP(MID($AR642,1,255),country_lookup!$B:$F,3,FALSE)</f>
        <v>2_developing</v>
      </c>
      <c r="AM642" t="str">
        <f>VLOOKUP(MID($AR642,1,255),country_lookup!$B:$F,4,FALSE)</f>
        <v>2_non_western</v>
      </c>
      <c r="AN642" t="str">
        <f>VLOOKUP(MID($AR642,1,255),country_lookup!$B:$F,5,FALSE)</f>
        <v>2_civil law</v>
      </c>
      <c r="AO642" s="10" t="str">
        <f>VLOOKUP(MID($AS642,1,255),source_lookup!$B:$K,4,FALSE)</f>
        <v>0_published</v>
      </c>
      <c r="AP642" s="10" t="str">
        <f>VLOOKUP(MID($AS642,1,255),source_lookup!$B:$K,6,FALSE)</f>
        <v>1_VHB high</v>
      </c>
      <c r="AQ642" s="10" t="str">
        <f>VLOOKUP(MID($AS642,1,255),source_lookup!$B:$K,10,FALSE)</f>
        <v>2_sust</v>
      </c>
      <c r="AR642" t="s">
        <v>94</v>
      </c>
      <c r="AS642" t="s">
        <v>154</v>
      </c>
    </row>
    <row r="643" spans="1:45" x14ac:dyDescent="0.3">
      <c r="A643" t="s">
        <v>30</v>
      </c>
      <c r="B643">
        <v>642</v>
      </c>
      <c r="C643" s="1">
        <v>-3.7020799445573213E-3</v>
      </c>
      <c r="D643" s="2">
        <v>1637</v>
      </c>
      <c r="E643" s="4">
        <v>21276</v>
      </c>
      <c r="F643" s="4" t="s">
        <v>347</v>
      </c>
      <c r="G643" s="4" t="s">
        <v>346</v>
      </c>
      <c r="H643" t="s">
        <v>77</v>
      </c>
      <c r="I643" t="s">
        <v>350</v>
      </c>
      <c r="J643" s="3">
        <v>2008</v>
      </c>
      <c r="K643" s="3">
        <v>2020</v>
      </c>
      <c r="L643" s="6">
        <f t="shared" ref="L643:L706" si="211">ROUND(AVERAGE(J643:K643),100)</f>
        <v>2014</v>
      </c>
      <c r="M643" s="6">
        <f t="shared" ref="M643:M706" si="212">ROUND(MEDIAN(J643:K643),100)</f>
        <v>2014</v>
      </c>
      <c r="N643" s="7">
        <f t="shared" si="200"/>
        <v>0.38461538461538464</v>
      </c>
      <c r="O643" s="7">
        <f t="shared" si="201"/>
        <v>0.30769230769230771</v>
      </c>
      <c r="P643" s="7">
        <f t="shared" si="202"/>
        <v>0.23076923076923078</v>
      </c>
      <c r="Q643" s="7">
        <f t="shared" ref="Q643:Q706" si="213">MAX(0,$K643-MAX($J643,2019)+1)/($K643-$J643+1)</f>
        <v>0.15384615384615385</v>
      </c>
      <c r="R643" s="10" t="str">
        <f t="shared" si="203"/>
        <v>0_Pre</v>
      </c>
      <c r="S643" s="10" t="str">
        <f t="shared" si="204"/>
        <v>0_Pre</v>
      </c>
      <c r="T643" s="10" t="str">
        <f t="shared" si="205"/>
        <v>0_Pre</v>
      </c>
      <c r="U643" s="10" t="str">
        <f t="shared" si="206"/>
        <v>1_Post</v>
      </c>
      <c r="V643" s="10" t="str">
        <f t="shared" ref="V643:V706" si="214">IF($J643&lt;=2017,"0_Pre","1_Post")</f>
        <v>0_Pre</v>
      </c>
      <c r="W643" s="10" t="str">
        <f t="shared" si="207"/>
        <v>straddle</v>
      </c>
      <c r="X643" s="10" t="str">
        <f t="shared" si="208"/>
        <v>0_Pre</v>
      </c>
      <c r="Y643" s="10" t="str">
        <f t="shared" si="209"/>
        <v>0_Pre</v>
      </c>
      <c r="Z643" s="10" t="str">
        <f t="shared" si="210"/>
        <v>0_Pre</v>
      </c>
      <c r="AA643" s="10" t="str">
        <f t="shared" ref="AA643:AA706" si="215">IF($K643&gt;=2017,"1_Post","0_Pre")</f>
        <v>1_Post</v>
      </c>
      <c r="AB643" s="10" t="str">
        <f t="shared" ref="AB643:AB706" si="216">IF($K643&gt;=2018,"1_Post","0_Pre")</f>
        <v>1_Post</v>
      </c>
      <c r="AC643" s="10" t="str">
        <f t="shared" ref="AC643:AC706" si="217">IF($K643&gt;=2019,"1_Post","0_Pre")</f>
        <v>1_Post</v>
      </c>
      <c r="AD643" s="10" t="str">
        <f t="shared" ref="AD643:AD706" si="218">IF(L643&lt;MEDIAN($L$2:$L$1307),"1_pre sample median","2_post sample median")</f>
        <v>2_post sample median</v>
      </c>
      <c r="AE643" s="10" t="str">
        <f t="shared" ref="AE643:AE706" si="219">IF(L643&lt;=PERCENTILE($L$2:$L$1307,0.33),"1_pre sample first tertile",IF(L643&gt;=PERCENTILE($L$2:$L$1307,0.67),"3_post sample third tertile","2_in sample second tertile"))</f>
        <v>3_post sample third tertile</v>
      </c>
      <c r="AF643" t="s">
        <v>80</v>
      </c>
      <c r="AG643" t="s">
        <v>74</v>
      </c>
      <c r="AH643" t="s">
        <v>78</v>
      </c>
      <c r="AI643" t="s">
        <v>122</v>
      </c>
      <c r="AJ643" t="s">
        <v>123</v>
      </c>
      <c r="AK643" t="str">
        <f>VLOOKUP(MID($AR643,1,255),country_lookup!$B:$F,2,FALSE)</f>
        <v>3_AsiaPac</v>
      </c>
      <c r="AL643" t="str">
        <f>VLOOKUP(MID($AR643,1,255),country_lookup!$B:$F,3,FALSE)</f>
        <v>2_developing</v>
      </c>
      <c r="AM643" t="str">
        <f>VLOOKUP(MID($AR643,1,255),country_lookup!$B:$F,4,FALSE)</f>
        <v>2_non_western</v>
      </c>
      <c r="AN643" t="str">
        <f>VLOOKUP(MID($AR643,1,255),country_lookup!$B:$F,5,FALSE)</f>
        <v>2_civil law</v>
      </c>
      <c r="AO643" s="10" t="str">
        <f>VLOOKUP(MID($AS643,1,255),source_lookup!$B:$K,4,FALSE)</f>
        <v>0_published</v>
      </c>
      <c r="AP643" s="10" t="str">
        <f>VLOOKUP(MID($AS643,1,255),source_lookup!$B:$K,6,FALSE)</f>
        <v>1_VHB high</v>
      </c>
      <c r="AQ643" s="10" t="str">
        <f>VLOOKUP(MID($AS643,1,255),source_lookup!$B:$K,10,FALSE)</f>
        <v>2_sust</v>
      </c>
      <c r="AR643" t="s">
        <v>94</v>
      </c>
      <c r="AS643" t="s">
        <v>154</v>
      </c>
    </row>
    <row r="644" spans="1:45" x14ac:dyDescent="0.3">
      <c r="A644" t="s">
        <v>30</v>
      </c>
      <c r="B644">
        <v>643</v>
      </c>
      <c r="C644" s="1">
        <v>-1.3187892193433417E-2</v>
      </c>
      <c r="D644" s="2">
        <v>1596</v>
      </c>
      <c r="E644" s="4">
        <v>20753</v>
      </c>
      <c r="F644" s="4" t="s">
        <v>347</v>
      </c>
      <c r="G644" s="4" t="s">
        <v>346</v>
      </c>
      <c r="H644" t="s">
        <v>77</v>
      </c>
      <c r="I644" t="s">
        <v>350</v>
      </c>
      <c r="J644" s="3">
        <v>2008</v>
      </c>
      <c r="K644" s="3">
        <v>2020</v>
      </c>
      <c r="L644" s="6">
        <f t="shared" si="211"/>
        <v>2014</v>
      </c>
      <c r="M644" s="6">
        <f t="shared" si="212"/>
        <v>2014</v>
      </c>
      <c r="N644" s="7">
        <f t="shared" si="200"/>
        <v>0.38461538461538464</v>
      </c>
      <c r="O644" s="7">
        <f t="shared" si="201"/>
        <v>0.30769230769230771</v>
      </c>
      <c r="P644" s="7">
        <f t="shared" si="202"/>
        <v>0.23076923076923078</v>
      </c>
      <c r="Q644" s="7">
        <f t="shared" si="213"/>
        <v>0.15384615384615385</v>
      </c>
      <c r="R644" s="10" t="str">
        <f t="shared" si="203"/>
        <v>0_Pre</v>
      </c>
      <c r="S644" s="10" t="str">
        <f t="shared" si="204"/>
        <v>0_Pre</v>
      </c>
      <c r="T644" s="10" t="str">
        <f t="shared" si="205"/>
        <v>0_Pre</v>
      </c>
      <c r="U644" s="10" t="str">
        <f t="shared" si="206"/>
        <v>1_Post</v>
      </c>
      <c r="V644" s="10" t="str">
        <f t="shared" si="214"/>
        <v>0_Pre</v>
      </c>
      <c r="W644" s="10" t="str">
        <f t="shared" si="207"/>
        <v>straddle</v>
      </c>
      <c r="X644" s="10" t="str">
        <f t="shared" si="208"/>
        <v>0_Pre</v>
      </c>
      <c r="Y644" s="10" t="str">
        <f t="shared" si="209"/>
        <v>0_Pre</v>
      </c>
      <c r="Z644" s="10" t="str">
        <f t="shared" si="210"/>
        <v>0_Pre</v>
      </c>
      <c r="AA644" s="10" t="str">
        <f t="shared" si="215"/>
        <v>1_Post</v>
      </c>
      <c r="AB644" s="10" t="str">
        <f t="shared" si="216"/>
        <v>1_Post</v>
      </c>
      <c r="AC644" s="10" t="str">
        <f t="shared" si="217"/>
        <v>1_Post</v>
      </c>
      <c r="AD644" s="10" t="str">
        <f t="shared" si="218"/>
        <v>2_post sample median</v>
      </c>
      <c r="AE644" s="10" t="str">
        <f t="shared" si="219"/>
        <v>3_post sample third tertile</v>
      </c>
      <c r="AF644" t="s">
        <v>80</v>
      </c>
      <c r="AG644" t="s">
        <v>74</v>
      </c>
      <c r="AH644" t="s">
        <v>78</v>
      </c>
      <c r="AI644" t="s">
        <v>122</v>
      </c>
      <c r="AJ644" t="s">
        <v>123</v>
      </c>
      <c r="AK644" t="str">
        <f>VLOOKUP(MID($AR644,1,255),country_lookup!$B:$F,2,FALSE)</f>
        <v>3_AsiaPac</v>
      </c>
      <c r="AL644" t="str">
        <f>VLOOKUP(MID($AR644,1,255),country_lookup!$B:$F,3,FALSE)</f>
        <v>2_developing</v>
      </c>
      <c r="AM644" t="str">
        <f>VLOOKUP(MID($AR644,1,255),country_lookup!$B:$F,4,FALSE)</f>
        <v>2_non_western</v>
      </c>
      <c r="AN644" t="str">
        <f>VLOOKUP(MID($AR644,1,255),country_lookup!$B:$F,5,FALSE)</f>
        <v>2_civil law</v>
      </c>
      <c r="AO644" s="10" t="str">
        <f>VLOOKUP(MID($AS644,1,255),source_lookup!$B:$K,4,FALSE)</f>
        <v>0_published</v>
      </c>
      <c r="AP644" s="10" t="str">
        <f>VLOOKUP(MID($AS644,1,255),source_lookup!$B:$K,6,FALSE)</f>
        <v>1_VHB high</v>
      </c>
      <c r="AQ644" s="10" t="str">
        <f>VLOOKUP(MID($AS644,1,255),source_lookup!$B:$K,10,FALSE)</f>
        <v>2_sust</v>
      </c>
      <c r="AR644" t="s">
        <v>94</v>
      </c>
      <c r="AS644" t="s">
        <v>154</v>
      </c>
    </row>
    <row r="645" spans="1:45" x14ac:dyDescent="0.3">
      <c r="A645" t="s">
        <v>30</v>
      </c>
      <c r="B645">
        <v>644</v>
      </c>
      <c r="C645" s="1">
        <v>-2.7686614676669333E-2</v>
      </c>
      <c r="D645" s="2">
        <v>1637</v>
      </c>
      <c r="E645" s="4">
        <v>21276</v>
      </c>
      <c r="F645" s="4" t="s">
        <v>347</v>
      </c>
      <c r="G645" s="4" t="s">
        <v>346</v>
      </c>
      <c r="H645" t="s">
        <v>77</v>
      </c>
      <c r="I645" t="s">
        <v>350</v>
      </c>
      <c r="J645" s="3">
        <v>2008</v>
      </c>
      <c r="K645" s="3">
        <v>2020</v>
      </c>
      <c r="L645" s="6">
        <f t="shared" si="211"/>
        <v>2014</v>
      </c>
      <c r="M645" s="6">
        <f t="shared" si="212"/>
        <v>2014</v>
      </c>
      <c r="N645" s="7">
        <f t="shared" si="200"/>
        <v>0.38461538461538464</v>
      </c>
      <c r="O645" s="7">
        <f t="shared" si="201"/>
        <v>0.30769230769230771</v>
      </c>
      <c r="P645" s="7">
        <f t="shared" si="202"/>
        <v>0.23076923076923078</v>
      </c>
      <c r="Q645" s="7">
        <f t="shared" si="213"/>
        <v>0.15384615384615385</v>
      </c>
      <c r="R645" s="10" t="str">
        <f t="shared" si="203"/>
        <v>0_Pre</v>
      </c>
      <c r="S645" s="10" t="str">
        <f t="shared" si="204"/>
        <v>0_Pre</v>
      </c>
      <c r="T645" s="10" t="str">
        <f t="shared" si="205"/>
        <v>0_Pre</v>
      </c>
      <c r="U645" s="10" t="str">
        <f t="shared" si="206"/>
        <v>1_Post</v>
      </c>
      <c r="V645" s="10" t="str">
        <f t="shared" si="214"/>
        <v>0_Pre</v>
      </c>
      <c r="W645" s="10" t="str">
        <f t="shared" si="207"/>
        <v>straddle</v>
      </c>
      <c r="X645" s="10" t="str">
        <f t="shared" si="208"/>
        <v>0_Pre</v>
      </c>
      <c r="Y645" s="10" t="str">
        <f t="shared" si="209"/>
        <v>0_Pre</v>
      </c>
      <c r="Z645" s="10" t="str">
        <f t="shared" si="210"/>
        <v>0_Pre</v>
      </c>
      <c r="AA645" s="10" t="str">
        <f t="shared" si="215"/>
        <v>1_Post</v>
      </c>
      <c r="AB645" s="10" t="str">
        <f t="shared" si="216"/>
        <v>1_Post</v>
      </c>
      <c r="AC645" s="10" t="str">
        <f t="shared" si="217"/>
        <v>1_Post</v>
      </c>
      <c r="AD645" s="10" t="str">
        <f t="shared" si="218"/>
        <v>2_post sample median</v>
      </c>
      <c r="AE645" s="10" t="str">
        <f t="shared" si="219"/>
        <v>3_post sample third tertile</v>
      </c>
      <c r="AF645" t="s">
        <v>80</v>
      </c>
      <c r="AG645" t="s">
        <v>74</v>
      </c>
      <c r="AH645" t="s">
        <v>78</v>
      </c>
      <c r="AI645" t="s">
        <v>122</v>
      </c>
      <c r="AJ645" t="s">
        <v>123</v>
      </c>
      <c r="AK645" t="str">
        <f>VLOOKUP(MID($AR645,1,255),country_lookup!$B:$F,2,FALSE)</f>
        <v>3_AsiaPac</v>
      </c>
      <c r="AL645" t="str">
        <f>VLOOKUP(MID($AR645,1,255),country_lookup!$B:$F,3,FALSE)</f>
        <v>2_developing</v>
      </c>
      <c r="AM645" t="str">
        <f>VLOOKUP(MID($AR645,1,255),country_lookup!$B:$F,4,FALSE)</f>
        <v>2_non_western</v>
      </c>
      <c r="AN645" t="str">
        <f>VLOOKUP(MID($AR645,1,255),country_lookup!$B:$F,5,FALSE)</f>
        <v>2_civil law</v>
      </c>
      <c r="AO645" s="10" t="str">
        <f>VLOOKUP(MID($AS645,1,255),source_lookup!$B:$K,4,FALSE)</f>
        <v>0_published</v>
      </c>
      <c r="AP645" s="10" t="str">
        <f>VLOOKUP(MID($AS645,1,255),source_lookup!$B:$K,6,FALSE)</f>
        <v>1_VHB high</v>
      </c>
      <c r="AQ645" s="10" t="str">
        <f>VLOOKUP(MID($AS645,1,255),source_lookup!$B:$K,10,FALSE)</f>
        <v>2_sust</v>
      </c>
      <c r="AR645" t="s">
        <v>94</v>
      </c>
      <c r="AS645" t="s">
        <v>154</v>
      </c>
    </row>
    <row r="646" spans="1:45" x14ac:dyDescent="0.3">
      <c r="A646" t="s">
        <v>30</v>
      </c>
      <c r="B646">
        <v>645</v>
      </c>
      <c r="C646" s="1">
        <v>1.4189995265141E-2</v>
      </c>
      <c r="D646" s="2">
        <v>1652</v>
      </c>
      <c r="E646" s="4">
        <v>21482</v>
      </c>
      <c r="F646" s="4" t="s">
        <v>347</v>
      </c>
      <c r="G646" s="4" t="s">
        <v>346</v>
      </c>
      <c r="H646" t="s">
        <v>77</v>
      </c>
      <c r="I646" t="s">
        <v>350</v>
      </c>
      <c r="J646" s="3">
        <v>2008</v>
      </c>
      <c r="K646" s="3">
        <v>2020</v>
      </c>
      <c r="L646" s="6">
        <f t="shared" si="211"/>
        <v>2014</v>
      </c>
      <c r="M646" s="6">
        <f t="shared" si="212"/>
        <v>2014</v>
      </c>
      <c r="N646" s="7">
        <f t="shared" si="200"/>
        <v>0.38461538461538464</v>
      </c>
      <c r="O646" s="7">
        <f t="shared" si="201"/>
        <v>0.30769230769230771</v>
      </c>
      <c r="P646" s="7">
        <f t="shared" si="202"/>
        <v>0.23076923076923078</v>
      </c>
      <c r="Q646" s="7">
        <f t="shared" si="213"/>
        <v>0.15384615384615385</v>
      </c>
      <c r="R646" s="10" t="str">
        <f t="shared" si="203"/>
        <v>0_Pre</v>
      </c>
      <c r="S646" s="10" t="str">
        <f t="shared" si="204"/>
        <v>0_Pre</v>
      </c>
      <c r="T646" s="10" t="str">
        <f t="shared" si="205"/>
        <v>0_Pre</v>
      </c>
      <c r="U646" s="10" t="str">
        <f t="shared" si="206"/>
        <v>1_Post</v>
      </c>
      <c r="V646" s="10" t="str">
        <f t="shared" si="214"/>
        <v>0_Pre</v>
      </c>
      <c r="W646" s="10" t="str">
        <f t="shared" si="207"/>
        <v>straddle</v>
      </c>
      <c r="X646" s="10" t="str">
        <f t="shared" si="208"/>
        <v>0_Pre</v>
      </c>
      <c r="Y646" s="10" t="str">
        <f t="shared" si="209"/>
        <v>0_Pre</v>
      </c>
      <c r="Z646" s="10" t="str">
        <f t="shared" si="210"/>
        <v>0_Pre</v>
      </c>
      <c r="AA646" s="10" t="str">
        <f t="shared" si="215"/>
        <v>1_Post</v>
      </c>
      <c r="AB646" s="10" t="str">
        <f t="shared" si="216"/>
        <v>1_Post</v>
      </c>
      <c r="AC646" s="10" t="str">
        <f t="shared" si="217"/>
        <v>1_Post</v>
      </c>
      <c r="AD646" s="10" t="str">
        <f t="shared" si="218"/>
        <v>2_post sample median</v>
      </c>
      <c r="AE646" s="10" t="str">
        <f t="shared" si="219"/>
        <v>3_post sample third tertile</v>
      </c>
      <c r="AF646" t="s">
        <v>80</v>
      </c>
      <c r="AG646" t="s">
        <v>74</v>
      </c>
      <c r="AH646" t="s">
        <v>78</v>
      </c>
      <c r="AI646" t="s">
        <v>122</v>
      </c>
      <c r="AJ646" t="s">
        <v>123</v>
      </c>
      <c r="AK646" t="str">
        <f>VLOOKUP(MID($AR646,1,255),country_lookup!$B:$F,2,FALSE)</f>
        <v>3_AsiaPac</v>
      </c>
      <c r="AL646" t="str">
        <f>VLOOKUP(MID($AR646,1,255),country_lookup!$B:$F,3,FALSE)</f>
        <v>2_developing</v>
      </c>
      <c r="AM646" t="str">
        <f>VLOOKUP(MID($AR646,1,255),country_lookup!$B:$F,4,FALSE)</f>
        <v>2_non_western</v>
      </c>
      <c r="AN646" t="str">
        <f>VLOOKUP(MID($AR646,1,255),country_lookup!$B:$F,5,FALSE)</f>
        <v>2_civil law</v>
      </c>
      <c r="AO646" s="10" t="str">
        <f>VLOOKUP(MID($AS646,1,255),source_lookup!$B:$K,4,FALSE)</f>
        <v>0_published</v>
      </c>
      <c r="AP646" s="10" t="str">
        <f>VLOOKUP(MID($AS646,1,255),source_lookup!$B:$K,6,FALSE)</f>
        <v>1_VHB high</v>
      </c>
      <c r="AQ646" s="10" t="str">
        <f>VLOOKUP(MID($AS646,1,255),source_lookup!$B:$K,10,FALSE)</f>
        <v>2_sust</v>
      </c>
      <c r="AR646" t="s">
        <v>94</v>
      </c>
      <c r="AS646" t="s">
        <v>154</v>
      </c>
    </row>
    <row r="647" spans="1:45" x14ac:dyDescent="0.3">
      <c r="A647" t="s">
        <v>30</v>
      </c>
      <c r="B647">
        <v>646</v>
      </c>
      <c r="C647" s="1">
        <v>-2.1179517429552555E-2</v>
      </c>
      <c r="D647" s="2">
        <v>1637</v>
      </c>
      <c r="E647" s="4">
        <v>21276</v>
      </c>
      <c r="F647" s="4" t="s">
        <v>347</v>
      </c>
      <c r="G647" s="4" t="s">
        <v>346</v>
      </c>
      <c r="H647" t="s">
        <v>77</v>
      </c>
      <c r="I647" t="s">
        <v>350</v>
      </c>
      <c r="J647" s="3">
        <v>2008</v>
      </c>
      <c r="K647" s="3">
        <v>2020</v>
      </c>
      <c r="L647" s="6">
        <f t="shared" si="211"/>
        <v>2014</v>
      </c>
      <c r="M647" s="6">
        <f t="shared" si="212"/>
        <v>2014</v>
      </c>
      <c r="N647" s="7">
        <f t="shared" si="200"/>
        <v>0.38461538461538464</v>
      </c>
      <c r="O647" s="7">
        <f t="shared" si="201"/>
        <v>0.30769230769230771</v>
      </c>
      <c r="P647" s="7">
        <f t="shared" si="202"/>
        <v>0.23076923076923078</v>
      </c>
      <c r="Q647" s="7">
        <f t="shared" si="213"/>
        <v>0.15384615384615385</v>
      </c>
      <c r="R647" s="10" t="str">
        <f t="shared" si="203"/>
        <v>0_Pre</v>
      </c>
      <c r="S647" s="10" t="str">
        <f t="shared" si="204"/>
        <v>0_Pre</v>
      </c>
      <c r="T647" s="10" t="str">
        <f t="shared" si="205"/>
        <v>0_Pre</v>
      </c>
      <c r="U647" s="10" t="str">
        <f t="shared" si="206"/>
        <v>1_Post</v>
      </c>
      <c r="V647" s="10" t="str">
        <f t="shared" si="214"/>
        <v>0_Pre</v>
      </c>
      <c r="W647" s="10" t="str">
        <f t="shared" si="207"/>
        <v>straddle</v>
      </c>
      <c r="X647" s="10" t="str">
        <f t="shared" si="208"/>
        <v>0_Pre</v>
      </c>
      <c r="Y647" s="10" t="str">
        <f t="shared" si="209"/>
        <v>0_Pre</v>
      </c>
      <c r="Z647" s="10" t="str">
        <f t="shared" si="210"/>
        <v>0_Pre</v>
      </c>
      <c r="AA647" s="10" t="str">
        <f t="shared" si="215"/>
        <v>1_Post</v>
      </c>
      <c r="AB647" s="10" t="str">
        <f t="shared" si="216"/>
        <v>1_Post</v>
      </c>
      <c r="AC647" s="10" t="str">
        <f t="shared" si="217"/>
        <v>1_Post</v>
      </c>
      <c r="AD647" s="10" t="str">
        <f t="shared" si="218"/>
        <v>2_post sample median</v>
      </c>
      <c r="AE647" s="10" t="str">
        <f t="shared" si="219"/>
        <v>3_post sample third tertile</v>
      </c>
      <c r="AF647" t="s">
        <v>80</v>
      </c>
      <c r="AG647" t="s">
        <v>74</v>
      </c>
      <c r="AH647" t="s">
        <v>78</v>
      </c>
      <c r="AI647" t="s">
        <v>122</v>
      </c>
      <c r="AJ647" t="s">
        <v>123</v>
      </c>
      <c r="AK647" t="str">
        <f>VLOOKUP(MID($AR647,1,255),country_lookup!$B:$F,2,FALSE)</f>
        <v>3_AsiaPac</v>
      </c>
      <c r="AL647" t="str">
        <f>VLOOKUP(MID($AR647,1,255),country_lookup!$B:$F,3,FALSE)</f>
        <v>2_developing</v>
      </c>
      <c r="AM647" t="str">
        <f>VLOOKUP(MID($AR647,1,255),country_lookup!$B:$F,4,FALSE)</f>
        <v>2_non_western</v>
      </c>
      <c r="AN647" t="str">
        <f>VLOOKUP(MID($AR647,1,255),country_lookup!$B:$F,5,FALSE)</f>
        <v>2_civil law</v>
      </c>
      <c r="AO647" s="10" t="str">
        <f>VLOOKUP(MID($AS647,1,255),source_lookup!$B:$K,4,FALSE)</f>
        <v>0_published</v>
      </c>
      <c r="AP647" s="10" t="str">
        <f>VLOOKUP(MID($AS647,1,255),source_lookup!$B:$K,6,FALSE)</f>
        <v>1_VHB high</v>
      </c>
      <c r="AQ647" s="10" t="str">
        <f>VLOOKUP(MID($AS647,1,255),source_lookup!$B:$K,10,FALSE)</f>
        <v>2_sust</v>
      </c>
      <c r="AR647" t="s">
        <v>94</v>
      </c>
      <c r="AS647" t="s">
        <v>154</v>
      </c>
    </row>
    <row r="648" spans="1:45" x14ac:dyDescent="0.3">
      <c r="A648" t="s">
        <v>30</v>
      </c>
      <c r="B648">
        <v>647</v>
      </c>
      <c r="C648" s="1">
        <v>-1.6796301185215506E-2</v>
      </c>
      <c r="D648" s="2">
        <v>1596</v>
      </c>
      <c r="E648" s="4">
        <v>20753</v>
      </c>
      <c r="F648" s="4" t="s">
        <v>347</v>
      </c>
      <c r="G648" s="4" t="s">
        <v>346</v>
      </c>
      <c r="H648" t="s">
        <v>77</v>
      </c>
      <c r="I648" t="s">
        <v>350</v>
      </c>
      <c r="J648" s="3">
        <v>2008</v>
      </c>
      <c r="K648" s="3">
        <v>2020</v>
      </c>
      <c r="L648" s="6">
        <f t="shared" si="211"/>
        <v>2014</v>
      </c>
      <c r="M648" s="6">
        <f t="shared" si="212"/>
        <v>2014</v>
      </c>
      <c r="N648" s="7">
        <f t="shared" si="200"/>
        <v>0.38461538461538464</v>
      </c>
      <c r="O648" s="7">
        <f t="shared" si="201"/>
        <v>0.30769230769230771</v>
      </c>
      <c r="P648" s="7">
        <f t="shared" si="202"/>
        <v>0.23076923076923078</v>
      </c>
      <c r="Q648" s="7">
        <f t="shared" si="213"/>
        <v>0.15384615384615385</v>
      </c>
      <c r="R648" s="10" t="str">
        <f t="shared" si="203"/>
        <v>0_Pre</v>
      </c>
      <c r="S648" s="10" t="str">
        <f t="shared" si="204"/>
        <v>0_Pre</v>
      </c>
      <c r="T648" s="10" t="str">
        <f t="shared" si="205"/>
        <v>0_Pre</v>
      </c>
      <c r="U648" s="10" t="str">
        <f t="shared" si="206"/>
        <v>1_Post</v>
      </c>
      <c r="V648" s="10" t="str">
        <f t="shared" si="214"/>
        <v>0_Pre</v>
      </c>
      <c r="W648" s="10" t="str">
        <f t="shared" si="207"/>
        <v>straddle</v>
      </c>
      <c r="X648" s="10" t="str">
        <f t="shared" si="208"/>
        <v>0_Pre</v>
      </c>
      <c r="Y648" s="10" t="str">
        <f t="shared" si="209"/>
        <v>0_Pre</v>
      </c>
      <c r="Z648" s="10" t="str">
        <f t="shared" si="210"/>
        <v>0_Pre</v>
      </c>
      <c r="AA648" s="10" t="str">
        <f t="shared" si="215"/>
        <v>1_Post</v>
      </c>
      <c r="AB648" s="10" t="str">
        <f t="shared" si="216"/>
        <v>1_Post</v>
      </c>
      <c r="AC648" s="10" t="str">
        <f t="shared" si="217"/>
        <v>1_Post</v>
      </c>
      <c r="AD648" s="10" t="str">
        <f t="shared" si="218"/>
        <v>2_post sample median</v>
      </c>
      <c r="AE648" s="10" t="str">
        <f t="shared" si="219"/>
        <v>3_post sample third tertile</v>
      </c>
      <c r="AF648" t="s">
        <v>80</v>
      </c>
      <c r="AG648" t="s">
        <v>74</v>
      </c>
      <c r="AH648" t="s">
        <v>78</v>
      </c>
      <c r="AI648" t="s">
        <v>122</v>
      </c>
      <c r="AJ648" t="s">
        <v>123</v>
      </c>
      <c r="AK648" t="str">
        <f>VLOOKUP(MID($AR648,1,255),country_lookup!$B:$F,2,FALSE)</f>
        <v>3_AsiaPac</v>
      </c>
      <c r="AL648" t="str">
        <f>VLOOKUP(MID($AR648,1,255),country_lookup!$B:$F,3,FALSE)</f>
        <v>2_developing</v>
      </c>
      <c r="AM648" t="str">
        <f>VLOOKUP(MID($AR648,1,255),country_lookup!$B:$F,4,FALSE)</f>
        <v>2_non_western</v>
      </c>
      <c r="AN648" t="str">
        <f>VLOOKUP(MID($AR648,1,255),country_lookup!$B:$F,5,FALSE)</f>
        <v>2_civil law</v>
      </c>
      <c r="AO648" s="10" t="str">
        <f>VLOOKUP(MID($AS648,1,255),source_lookup!$B:$K,4,FALSE)</f>
        <v>0_published</v>
      </c>
      <c r="AP648" s="10" t="str">
        <f>VLOOKUP(MID($AS648,1,255),source_lookup!$B:$K,6,FALSE)</f>
        <v>1_VHB high</v>
      </c>
      <c r="AQ648" s="10" t="str">
        <f>VLOOKUP(MID($AS648,1,255),source_lookup!$B:$K,10,FALSE)</f>
        <v>2_sust</v>
      </c>
      <c r="AR648" t="s">
        <v>94</v>
      </c>
      <c r="AS648" t="s">
        <v>154</v>
      </c>
    </row>
    <row r="649" spans="1:45" x14ac:dyDescent="0.3">
      <c r="A649" t="s">
        <v>30</v>
      </c>
      <c r="B649">
        <v>648</v>
      </c>
      <c r="C649" s="1">
        <v>1.8644400212726221E-2</v>
      </c>
      <c r="D649" s="2">
        <v>1637</v>
      </c>
      <c r="E649" s="4">
        <v>21276</v>
      </c>
      <c r="F649" s="4" t="s">
        <v>347</v>
      </c>
      <c r="G649" s="4" t="s">
        <v>346</v>
      </c>
      <c r="H649" t="s">
        <v>77</v>
      </c>
      <c r="I649" t="s">
        <v>350</v>
      </c>
      <c r="J649" s="3">
        <v>2008</v>
      </c>
      <c r="K649" s="3">
        <v>2020</v>
      </c>
      <c r="L649" s="6">
        <f t="shared" si="211"/>
        <v>2014</v>
      </c>
      <c r="M649" s="6">
        <f t="shared" si="212"/>
        <v>2014</v>
      </c>
      <c r="N649" s="7">
        <f t="shared" si="200"/>
        <v>0.38461538461538464</v>
      </c>
      <c r="O649" s="7">
        <f t="shared" si="201"/>
        <v>0.30769230769230771</v>
      </c>
      <c r="P649" s="7">
        <f t="shared" si="202"/>
        <v>0.23076923076923078</v>
      </c>
      <c r="Q649" s="7">
        <f t="shared" si="213"/>
        <v>0.15384615384615385</v>
      </c>
      <c r="R649" s="10" t="str">
        <f t="shared" si="203"/>
        <v>0_Pre</v>
      </c>
      <c r="S649" s="10" t="str">
        <f t="shared" si="204"/>
        <v>0_Pre</v>
      </c>
      <c r="T649" s="10" t="str">
        <f t="shared" si="205"/>
        <v>0_Pre</v>
      </c>
      <c r="U649" s="10" t="str">
        <f t="shared" si="206"/>
        <v>1_Post</v>
      </c>
      <c r="V649" s="10" t="str">
        <f t="shared" si="214"/>
        <v>0_Pre</v>
      </c>
      <c r="W649" s="10" t="str">
        <f t="shared" si="207"/>
        <v>straddle</v>
      </c>
      <c r="X649" s="10" t="str">
        <f t="shared" si="208"/>
        <v>0_Pre</v>
      </c>
      <c r="Y649" s="10" t="str">
        <f t="shared" si="209"/>
        <v>0_Pre</v>
      </c>
      <c r="Z649" s="10" t="str">
        <f t="shared" si="210"/>
        <v>0_Pre</v>
      </c>
      <c r="AA649" s="10" t="str">
        <f t="shared" si="215"/>
        <v>1_Post</v>
      </c>
      <c r="AB649" s="10" t="str">
        <f t="shared" si="216"/>
        <v>1_Post</v>
      </c>
      <c r="AC649" s="10" t="str">
        <f t="shared" si="217"/>
        <v>1_Post</v>
      </c>
      <c r="AD649" s="10" t="str">
        <f t="shared" si="218"/>
        <v>2_post sample median</v>
      </c>
      <c r="AE649" s="10" t="str">
        <f t="shared" si="219"/>
        <v>3_post sample third tertile</v>
      </c>
      <c r="AF649" t="s">
        <v>80</v>
      </c>
      <c r="AG649" t="s">
        <v>74</v>
      </c>
      <c r="AH649" t="s">
        <v>78</v>
      </c>
      <c r="AI649" t="s">
        <v>122</v>
      </c>
      <c r="AJ649" t="s">
        <v>123</v>
      </c>
      <c r="AK649" t="str">
        <f>VLOOKUP(MID($AR649,1,255),country_lookup!$B:$F,2,FALSE)</f>
        <v>3_AsiaPac</v>
      </c>
      <c r="AL649" t="str">
        <f>VLOOKUP(MID($AR649,1,255),country_lookup!$B:$F,3,FALSE)</f>
        <v>2_developing</v>
      </c>
      <c r="AM649" t="str">
        <f>VLOOKUP(MID($AR649,1,255),country_lookup!$B:$F,4,FALSE)</f>
        <v>2_non_western</v>
      </c>
      <c r="AN649" t="str">
        <f>VLOOKUP(MID($AR649,1,255),country_lookup!$B:$F,5,FALSE)</f>
        <v>2_civil law</v>
      </c>
      <c r="AO649" s="10" t="str">
        <f>VLOOKUP(MID($AS649,1,255),source_lookup!$B:$K,4,FALSE)</f>
        <v>0_published</v>
      </c>
      <c r="AP649" s="10" t="str">
        <f>VLOOKUP(MID($AS649,1,255),source_lookup!$B:$K,6,FALSE)</f>
        <v>1_VHB high</v>
      </c>
      <c r="AQ649" s="10" t="str">
        <f>VLOOKUP(MID($AS649,1,255),source_lookup!$B:$K,10,FALSE)</f>
        <v>2_sust</v>
      </c>
      <c r="AR649" t="s">
        <v>94</v>
      </c>
      <c r="AS649" t="s">
        <v>154</v>
      </c>
    </row>
    <row r="650" spans="1:45" x14ac:dyDescent="0.3">
      <c r="A650" t="s">
        <v>30</v>
      </c>
      <c r="B650">
        <v>649</v>
      </c>
      <c r="C650" s="1">
        <v>-2.25358602617487E-2</v>
      </c>
      <c r="D650" s="2">
        <v>668</v>
      </c>
      <c r="E650" s="4">
        <v>8679</v>
      </c>
      <c r="F650" s="4" t="s">
        <v>347</v>
      </c>
      <c r="G650" s="4" t="s">
        <v>346</v>
      </c>
      <c r="H650" t="s">
        <v>77</v>
      </c>
      <c r="I650" t="s">
        <v>350</v>
      </c>
      <c r="J650" s="3">
        <v>2008</v>
      </c>
      <c r="K650" s="3">
        <v>2020</v>
      </c>
      <c r="L650" s="6">
        <f t="shared" si="211"/>
        <v>2014</v>
      </c>
      <c r="M650" s="6">
        <f t="shared" si="212"/>
        <v>2014</v>
      </c>
      <c r="N650" s="7">
        <f t="shared" si="200"/>
        <v>0.38461538461538464</v>
      </c>
      <c r="O650" s="7">
        <f t="shared" si="201"/>
        <v>0.30769230769230771</v>
      </c>
      <c r="P650" s="7">
        <f t="shared" si="202"/>
        <v>0.23076923076923078</v>
      </c>
      <c r="Q650" s="7">
        <f t="shared" si="213"/>
        <v>0.15384615384615385</v>
      </c>
      <c r="R650" s="10" t="str">
        <f t="shared" si="203"/>
        <v>0_Pre</v>
      </c>
      <c r="S650" s="10" t="str">
        <f t="shared" si="204"/>
        <v>0_Pre</v>
      </c>
      <c r="T650" s="10" t="str">
        <f t="shared" si="205"/>
        <v>0_Pre</v>
      </c>
      <c r="U650" s="10" t="str">
        <f t="shared" si="206"/>
        <v>1_Post</v>
      </c>
      <c r="V650" s="10" t="str">
        <f t="shared" si="214"/>
        <v>0_Pre</v>
      </c>
      <c r="W650" s="10" t="str">
        <f t="shared" si="207"/>
        <v>straddle</v>
      </c>
      <c r="X650" s="10" t="str">
        <f t="shared" si="208"/>
        <v>0_Pre</v>
      </c>
      <c r="Y650" s="10" t="str">
        <f t="shared" si="209"/>
        <v>0_Pre</v>
      </c>
      <c r="Z650" s="10" t="str">
        <f t="shared" si="210"/>
        <v>0_Pre</v>
      </c>
      <c r="AA650" s="10" t="str">
        <f t="shared" si="215"/>
        <v>1_Post</v>
      </c>
      <c r="AB650" s="10" t="str">
        <f t="shared" si="216"/>
        <v>1_Post</v>
      </c>
      <c r="AC650" s="10" t="str">
        <f t="shared" si="217"/>
        <v>1_Post</v>
      </c>
      <c r="AD650" s="10" t="str">
        <f t="shared" si="218"/>
        <v>2_post sample median</v>
      </c>
      <c r="AE650" s="10" t="str">
        <f t="shared" si="219"/>
        <v>3_post sample third tertile</v>
      </c>
      <c r="AF650" t="s">
        <v>80</v>
      </c>
      <c r="AG650" t="s">
        <v>74</v>
      </c>
      <c r="AH650" t="s">
        <v>78</v>
      </c>
      <c r="AI650" t="s">
        <v>122</v>
      </c>
      <c r="AJ650" t="s">
        <v>123</v>
      </c>
      <c r="AK650" t="str">
        <f>VLOOKUP(MID($AR650,1,255),country_lookup!$B:$F,2,FALSE)</f>
        <v>3_AsiaPac</v>
      </c>
      <c r="AL650" t="str">
        <f>VLOOKUP(MID($AR650,1,255),country_lookup!$B:$F,3,FALSE)</f>
        <v>2_developing</v>
      </c>
      <c r="AM650" t="str">
        <f>VLOOKUP(MID($AR650,1,255),country_lookup!$B:$F,4,FALSE)</f>
        <v>2_non_western</v>
      </c>
      <c r="AN650" t="str">
        <f>VLOOKUP(MID($AR650,1,255),country_lookup!$B:$F,5,FALSE)</f>
        <v>2_civil law</v>
      </c>
      <c r="AO650" s="10" t="str">
        <f>VLOOKUP(MID($AS650,1,255),source_lookup!$B:$K,4,FALSE)</f>
        <v>0_published</v>
      </c>
      <c r="AP650" s="10" t="str">
        <f>VLOOKUP(MID($AS650,1,255),source_lookup!$B:$K,6,FALSE)</f>
        <v>1_VHB high</v>
      </c>
      <c r="AQ650" s="10" t="str">
        <f>VLOOKUP(MID($AS650,1,255),source_lookup!$B:$K,10,FALSE)</f>
        <v>2_sust</v>
      </c>
      <c r="AR650" t="s">
        <v>94</v>
      </c>
      <c r="AS650" t="s">
        <v>154</v>
      </c>
    </row>
    <row r="651" spans="1:45" x14ac:dyDescent="0.3">
      <c r="A651" t="s">
        <v>30</v>
      </c>
      <c r="B651">
        <v>650</v>
      </c>
      <c r="C651" s="1">
        <v>-2.6536025229295993E-2</v>
      </c>
      <c r="D651" s="2">
        <v>1042</v>
      </c>
      <c r="E651" s="4">
        <v>13550</v>
      </c>
      <c r="F651" s="4" t="s">
        <v>347</v>
      </c>
      <c r="G651" s="4" t="s">
        <v>346</v>
      </c>
      <c r="H651" t="s">
        <v>77</v>
      </c>
      <c r="I651" t="s">
        <v>350</v>
      </c>
      <c r="J651" s="3">
        <v>2008</v>
      </c>
      <c r="K651" s="3">
        <v>2020</v>
      </c>
      <c r="L651" s="6">
        <f t="shared" si="211"/>
        <v>2014</v>
      </c>
      <c r="M651" s="6">
        <f t="shared" si="212"/>
        <v>2014</v>
      </c>
      <c r="N651" s="7">
        <f t="shared" si="200"/>
        <v>0.38461538461538464</v>
      </c>
      <c r="O651" s="7">
        <f t="shared" si="201"/>
        <v>0.30769230769230771</v>
      </c>
      <c r="P651" s="7">
        <f t="shared" si="202"/>
        <v>0.23076923076923078</v>
      </c>
      <c r="Q651" s="7">
        <f t="shared" si="213"/>
        <v>0.15384615384615385</v>
      </c>
      <c r="R651" s="10" t="str">
        <f t="shared" si="203"/>
        <v>0_Pre</v>
      </c>
      <c r="S651" s="10" t="str">
        <f t="shared" si="204"/>
        <v>0_Pre</v>
      </c>
      <c r="T651" s="10" t="str">
        <f t="shared" si="205"/>
        <v>0_Pre</v>
      </c>
      <c r="U651" s="10" t="str">
        <f t="shared" si="206"/>
        <v>1_Post</v>
      </c>
      <c r="V651" s="10" t="str">
        <f t="shared" si="214"/>
        <v>0_Pre</v>
      </c>
      <c r="W651" s="10" t="str">
        <f t="shared" si="207"/>
        <v>straddle</v>
      </c>
      <c r="X651" s="10" t="str">
        <f t="shared" si="208"/>
        <v>0_Pre</v>
      </c>
      <c r="Y651" s="10" t="str">
        <f t="shared" si="209"/>
        <v>0_Pre</v>
      </c>
      <c r="Z651" s="10" t="str">
        <f t="shared" si="210"/>
        <v>0_Pre</v>
      </c>
      <c r="AA651" s="10" t="str">
        <f t="shared" si="215"/>
        <v>1_Post</v>
      </c>
      <c r="AB651" s="10" t="str">
        <f t="shared" si="216"/>
        <v>1_Post</v>
      </c>
      <c r="AC651" s="10" t="str">
        <f t="shared" si="217"/>
        <v>1_Post</v>
      </c>
      <c r="AD651" s="10" t="str">
        <f t="shared" si="218"/>
        <v>2_post sample median</v>
      </c>
      <c r="AE651" s="10" t="str">
        <f t="shared" si="219"/>
        <v>3_post sample third tertile</v>
      </c>
      <c r="AF651" t="s">
        <v>80</v>
      </c>
      <c r="AG651" t="s">
        <v>74</v>
      </c>
      <c r="AH651" t="s">
        <v>78</v>
      </c>
      <c r="AI651" t="s">
        <v>122</v>
      </c>
      <c r="AJ651" t="s">
        <v>123</v>
      </c>
      <c r="AK651" t="str">
        <f>VLOOKUP(MID($AR651,1,255),country_lookup!$B:$F,2,FALSE)</f>
        <v>3_AsiaPac</v>
      </c>
      <c r="AL651" t="str">
        <f>VLOOKUP(MID($AR651,1,255),country_lookup!$B:$F,3,FALSE)</f>
        <v>2_developing</v>
      </c>
      <c r="AM651" t="str">
        <f>VLOOKUP(MID($AR651,1,255),country_lookup!$B:$F,4,FALSE)</f>
        <v>2_non_western</v>
      </c>
      <c r="AN651" t="str">
        <f>VLOOKUP(MID($AR651,1,255),country_lookup!$B:$F,5,FALSE)</f>
        <v>2_civil law</v>
      </c>
      <c r="AO651" s="10" t="str">
        <f>VLOOKUP(MID($AS651,1,255),source_lookup!$B:$K,4,FALSE)</f>
        <v>0_published</v>
      </c>
      <c r="AP651" s="10" t="str">
        <f>VLOOKUP(MID($AS651,1,255),source_lookup!$B:$K,6,FALSE)</f>
        <v>1_VHB high</v>
      </c>
      <c r="AQ651" s="10" t="str">
        <f>VLOOKUP(MID($AS651,1,255),source_lookup!$B:$K,10,FALSE)</f>
        <v>2_sust</v>
      </c>
      <c r="AR651" t="s">
        <v>94</v>
      </c>
      <c r="AS651" t="s">
        <v>154</v>
      </c>
    </row>
    <row r="652" spans="1:45" x14ac:dyDescent="0.3">
      <c r="A652" t="s">
        <v>30</v>
      </c>
      <c r="B652">
        <v>651</v>
      </c>
      <c r="C652" s="1">
        <v>-1.6957420598867848E-2</v>
      </c>
      <c r="D652" s="2">
        <v>1042</v>
      </c>
      <c r="E652" s="4">
        <v>8679</v>
      </c>
      <c r="F652" s="4" t="s">
        <v>347</v>
      </c>
      <c r="G652" s="4" t="s">
        <v>346</v>
      </c>
      <c r="H652" t="s">
        <v>77</v>
      </c>
      <c r="I652" t="s">
        <v>350</v>
      </c>
      <c r="J652" s="3">
        <v>2008</v>
      </c>
      <c r="K652" s="3">
        <v>2020</v>
      </c>
      <c r="L652" s="6">
        <f t="shared" si="211"/>
        <v>2014</v>
      </c>
      <c r="M652" s="6">
        <f t="shared" si="212"/>
        <v>2014</v>
      </c>
      <c r="N652" s="7">
        <f t="shared" si="200"/>
        <v>0.38461538461538464</v>
      </c>
      <c r="O652" s="7">
        <f t="shared" si="201"/>
        <v>0.30769230769230771</v>
      </c>
      <c r="P652" s="7">
        <f t="shared" si="202"/>
        <v>0.23076923076923078</v>
      </c>
      <c r="Q652" s="7">
        <f t="shared" si="213"/>
        <v>0.15384615384615385</v>
      </c>
      <c r="R652" s="10" t="str">
        <f t="shared" si="203"/>
        <v>0_Pre</v>
      </c>
      <c r="S652" s="10" t="str">
        <f t="shared" si="204"/>
        <v>0_Pre</v>
      </c>
      <c r="T652" s="10" t="str">
        <f t="shared" si="205"/>
        <v>0_Pre</v>
      </c>
      <c r="U652" s="10" t="str">
        <f t="shared" si="206"/>
        <v>1_Post</v>
      </c>
      <c r="V652" s="10" t="str">
        <f t="shared" si="214"/>
        <v>0_Pre</v>
      </c>
      <c r="W652" s="10" t="str">
        <f t="shared" si="207"/>
        <v>straddle</v>
      </c>
      <c r="X652" s="10" t="str">
        <f t="shared" si="208"/>
        <v>0_Pre</v>
      </c>
      <c r="Y652" s="10" t="str">
        <f t="shared" si="209"/>
        <v>0_Pre</v>
      </c>
      <c r="Z652" s="10" t="str">
        <f t="shared" si="210"/>
        <v>0_Pre</v>
      </c>
      <c r="AA652" s="10" t="str">
        <f t="shared" si="215"/>
        <v>1_Post</v>
      </c>
      <c r="AB652" s="10" t="str">
        <f t="shared" si="216"/>
        <v>1_Post</v>
      </c>
      <c r="AC652" s="10" t="str">
        <f t="shared" si="217"/>
        <v>1_Post</v>
      </c>
      <c r="AD652" s="10" t="str">
        <f t="shared" si="218"/>
        <v>2_post sample median</v>
      </c>
      <c r="AE652" s="10" t="str">
        <f t="shared" si="219"/>
        <v>3_post sample third tertile</v>
      </c>
      <c r="AF652" t="s">
        <v>80</v>
      </c>
      <c r="AG652" t="s">
        <v>74</v>
      </c>
      <c r="AH652" t="s">
        <v>78</v>
      </c>
      <c r="AI652" t="s">
        <v>122</v>
      </c>
      <c r="AJ652" t="s">
        <v>123</v>
      </c>
      <c r="AK652" t="str">
        <f>VLOOKUP(MID($AR652,1,255),country_lookup!$B:$F,2,FALSE)</f>
        <v>3_AsiaPac</v>
      </c>
      <c r="AL652" t="str">
        <f>VLOOKUP(MID($AR652,1,255),country_lookup!$B:$F,3,FALSE)</f>
        <v>2_developing</v>
      </c>
      <c r="AM652" t="str">
        <f>VLOOKUP(MID($AR652,1,255),country_lookup!$B:$F,4,FALSE)</f>
        <v>2_non_western</v>
      </c>
      <c r="AN652" t="str">
        <f>VLOOKUP(MID($AR652,1,255),country_lookup!$B:$F,5,FALSE)</f>
        <v>2_civil law</v>
      </c>
      <c r="AO652" s="10" t="str">
        <f>VLOOKUP(MID($AS652,1,255),source_lookup!$B:$K,4,FALSE)</f>
        <v>0_published</v>
      </c>
      <c r="AP652" s="10" t="str">
        <f>VLOOKUP(MID($AS652,1,255),source_lookup!$B:$K,6,FALSE)</f>
        <v>1_VHB high</v>
      </c>
      <c r="AQ652" s="10" t="str">
        <f>VLOOKUP(MID($AS652,1,255),source_lookup!$B:$K,10,FALSE)</f>
        <v>2_sust</v>
      </c>
      <c r="AR652" t="s">
        <v>94</v>
      </c>
      <c r="AS652" t="s">
        <v>154</v>
      </c>
    </row>
    <row r="653" spans="1:45" x14ac:dyDescent="0.3">
      <c r="A653" t="s">
        <v>30</v>
      </c>
      <c r="B653">
        <v>652</v>
      </c>
      <c r="C653" s="1">
        <v>-2.8852854268641474E-2</v>
      </c>
      <c r="D653" s="2">
        <v>1042</v>
      </c>
      <c r="E653" s="4">
        <v>13550</v>
      </c>
      <c r="F653" s="4" t="s">
        <v>347</v>
      </c>
      <c r="G653" s="4" t="s">
        <v>346</v>
      </c>
      <c r="H653" t="s">
        <v>77</v>
      </c>
      <c r="I653" t="s">
        <v>350</v>
      </c>
      <c r="J653" s="3">
        <v>2008</v>
      </c>
      <c r="K653" s="3">
        <v>2020</v>
      </c>
      <c r="L653" s="6">
        <f t="shared" si="211"/>
        <v>2014</v>
      </c>
      <c r="M653" s="6">
        <f t="shared" si="212"/>
        <v>2014</v>
      </c>
      <c r="N653" s="7">
        <f t="shared" si="200"/>
        <v>0.38461538461538464</v>
      </c>
      <c r="O653" s="7">
        <f t="shared" si="201"/>
        <v>0.30769230769230771</v>
      </c>
      <c r="P653" s="7">
        <f t="shared" si="202"/>
        <v>0.23076923076923078</v>
      </c>
      <c r="Q653" s="7">
        <f t="shared" si="213"/>
        <v>0.15384615384615385</v>
      </c>
      <c r="R653" s="10" t="str">
        <f t="shared" si="203"/>
        <v>0_Pre</v>
      </c>
      <c r="S653" s="10" t="str">
        <f t="shared" si="204"/>
        <v>0_Pre</v>
      </c>
      <c r="T653" s="10" t="str">
        <f t="shared" si="205"/>
        <v>0_Pre</v>
      </c>
      <c r="U653" s="10" t="str">
        <f t="shared" si="206"/>
        <v>1_Post</v>
      </c>
      <c r="V653" s="10" t="str">
        <f t="shared" si="214"/>
        <v>0_Pre</v>
      </c>
      <c r="W653" s="10" t="str">
        <f t="shared" si="207"/>
        <v>straddle</v>
      </c>
      <c r="X653" s="10" t="str">
        <f t="shared" si="208"/>
        <v>0_Pre</v>
      </c>
      <c r="Y653" s="10" t="str">
        <f t="shared" si="209"/>
        <v>0_Pre</v>
      </c>
      <c r="Z653" s="10" t="str">
        <f t="shared" si="210"/>
        <v>0_Pre</v>
      </c>
      <c r="AA653" s="10" t="str">
        <f t="shared" si="215"/>
        <v>1_Post</v>
      </c>
      <c r="AB653" s="10" t="str">
        <f t="shared" si="216"/>
        <v>1_Post</v>
      </c>
      <c r="AC653" s="10" t="str">
        <f t="shared" si="217"/>
        <v>1_Post</v>
      </c>
      <c r="AD653" s="10" t="str">
        <f t="shared" si="218"/>
        <v>2_post sample median</v>
      </c>
      <c r="AE653" s="10" t="str">
        <f t="shared" si="219"/>
        <v>3_post sample third tertile</v>
      </c>
      <c r="AF653" t="s">
        <v>80</v>
      </c>
      <c r="AG653" t="s">
        <v>74</v>
      </c>
      <c r="AH653" t="s">
        <v>78</v>
      </c>
      <c r="AI653" t="s">
        <v>122</v>
      </c>
      <c r="AJ653" t="s">
        <v>123</v>
      </c>
      <c r="AK653" t="str">
        <f>VLOOKUP(MID($AR653,1,255),country_lookup!$B:$F,2,FALSE)</f>
        <v>3_AsiaPac</v>
      </c>
      <c r="AL653" t="str">
        <f>VLOOKUP(MID($AR653,1,255),country_lookup!$B:$F,3,FALSE)</f>
        <v>2_developing</v>
      </c>
      <c r="AM653" t="str">
        <f>VLOOKUP(MID($AR653,1,255),country_lookup!$B:$F,4,FALSE)</f>
        <v>2_non_western</v>
      </c>
      <c r="AN653" t="str">
        <f>VLOOKUP(MID($AR653,1,255),country_lookup!$B:$F,5,FALSE)</f>
        <v>2_civil law</v>
      </c>
      <c r="AO653" s="10" t="str">
        <f>VLOOKUP(MID($AS653,1,255),source_lookup!$B:$K,4,FALSE)</f>
        <v>0_published</v>
      </c>
      <c r="AP653" s="10" t="str">
        <f>VLOOKUP(MID($AS653,1,255),source_lookup!$B:$K,6,FALSE)</f>
        <v>1_VHB high</v>
      </c>
      <c r="AQ653" s="10" t="str">
        <f>VLOOKUP(MID($AS653,1,255),source_lookup!$B:$K,10,FALSE)</f>
        <v>2_sust</v>
      </c>
      <c r="AR653" t="s">
        <v>94</v>
      </c>
      <c r="AS653" t="s">
        <v>154</v>
      </c>
    </row>
    <row r="654" spans="1:45" x14ac:dyDescent="0.3">
      <c r="A654" t="s">
        <v>30</v>
      </c>
      <c r="B654">
        <v>653</v>
      </c>
      <c r="C654" s="1">
        <v>-3.1226011537408505E-2</v>
      </c>
      <c r="D654" s="2">
        <v>954</v>
      </c>
      <c r="E654" s="4">
        <v>12408</v>
      </c>
      <c r="F654" s="4" t="s">
        <v>347</v>
      </c>
      <c r="G654" s="4" t="s">
        <v>346</v>
      </c>
      <c r="H654" t="s">
        <v>77</v>
      </c>
      <c r="I654" t="s">
        <v>350</v>
      </c>
      <c r="J654" s="3">
        <v>2008</v>
      </c>
      <c r="K654" s="3">
        <v>2020</v>
      </c>
      <c r="L654" s="6">
        <f t="shared" si="211"/>
        <v>2014</v>
      </c>
      <c r="M654" s="6">
        <f t="shared" si="212"/>
        <v>2014</v>
      </c>
      <c r="N654" s="7">
        <f t="shared" si="200"/>
        <v>0.38461538461538464</v>
      </c>
      <c r="O654" s="7">
        <f t="shared" si="201"/>
        <v>0.30769230769230771</v>
      </c>
      <c r="P654" s="7">
        <f t="shared" si="202"/>
        <v>0.23076923076923078</v>
      </c>
      <c r="Q654" s="7">
        <f t="shared" si="213"/>
        <v>0.15384615384615385</v>
      </c>
      <c r="R654" s="10" t="str">
        <f t="shared" si="203"/>
        <v>0_Pre</v>
      </c>
      <c r="S654" s="10" t="str">
        <f t="shared" si="204"/>
        <v>0_Pre</v>
      </c>
      <c r="T654" s="10" t="str">
        <f t="shared" si="205"/>
        <v>0_Pre</v>
      </c>
      <c r="U654" s="10" t="str">
        <f t="shared" si="206"/>
        <v>1_Post</v>
      </c>
      <c r="V654" s="10" t="str">
        <f t="shared" si="214"/>
        <v>0_Pre</v>
      </c>
      <c r="W654" s="10" t="str">
        <f t="shared" si="207"/>
        <v>straddle</v>
      </c>
      <c r="X654" s="10" t="str">
        <f t="shared" si="208"/>
        <v>0_Pre</v>
      </c>
      <c r="Y654" s="10" t="str">
        <f t="shared" si="209"/>
        <v>0_Pre</v>
      </c>
      <c r="Z654" s="10" t="str">
        <f t="shared" si="210"/>
        <v>0_Pre</v>
      </c>
      <c r="AA654" s="10" t="str">
        <f t="shared" si="215"/>
        <v>1_Post</v>
      </c>
      <c r="AB654" s="10" t="str">
        <f t="shared" si="216"/>
        <v>1_Post</v>
      </c>
      <c r="AC654" s="10" t="str">
        <f t="shared" si="217"/>
        <v>1_Post</v>
      </c>
      <c r="AD654" s="10" t="str">
        <f t="shared" si="218"/>
        <v>2_post sample median</v>
      </c>
      <c r="AE654" s="10" t="str">
        <f t="shared" si="219"/>
        <v>3_post sample third tertile</v>
      </c>
      <c r="AF654" t="s">
        <v>80</v>
      </c>
      <c r="AG654" t="s">
        <v>74</v>
      </c>
      <c r="AH654" t="s">
        <v>78</v>
      </c>
      <c r="AI654" t="s">
        <v>122</v>
      </c>
      <c r="AJ654" t="s">
        <v>123</v>
      </c>
      <c r="AK654" t="str">
        <f>VLOOKUP(MID($AR654,1,255),country_lookup!$B:$F,2,FALSE)</f>
        <v>3_AsiaPac</v>
      </c>
      <c r="AL654" t="str">
        <f>VLOOKUP(MID($AR654,1,255),country_lookup!$B:$F,3,FALSE)</f>
        <v>2_developing</v>
      </c>
      <c r="AM654" t="str">
        <f>VLOOKUP(MID($AR654,1,255),country_lookup!$B:$F,4,FALSE)</f>
        <v>2_non_western</v>
      </c>
      <c r="AN654" t="str">
        <f>VLOOKUP(MID($AR654,1,255),country_lookup!$B:$F,5,FALSE)</f>
        <v>2_civil law</v>
      </c>
      <c r="AO654" s="10" t="str">
        <f>VLOOKUP(MID($AS654,1,255),source_lookup!$B:$K,4,FALSE)</f>
        <v>0_published</v>
      </c>
      <c r="AP654" s="10" t="str">
        <f>VLOOKUP(MID($AS654,1,255),source_lookup!$B:$K,6,FALSE)</f>
        <v>1_VHB high</v>
      </c>
      <c r="AQ654" s="10" t="str">
        <f>VLOOKUP(MID($AS654,1,255),source_lookup!$B:$K,10,FALSE)</f>
        <v>2_sust</v>
      </c>
      <c r="AR654" t="s">
        <v>94</v>
      </c>
      <c r="AS654" t="s">
        <v>154</v>
      </c>
    </row>
    <row r="655" spans="1:45" x14ac:dyDescent="0.3">
      <c r="A655" t="s">
        <v>30</v>
      </c>
      <c r="B655">
        <v>654</v>
      </c>
      <c r="C655" s="1">
        <v>-2.2779540774458842E-2</v>
      </c>
      <c r="D655" s="2">
        <v>88</v>
      </c>
      <c r="E655" s="4">
        <v>1142</v>
      </c>
      <c r="F655" s="4" t="s">
        <v>347</v>
      </c>
      <c r="G655" s="4" t="s">
        <v>346</v>
      </c>
      <c r="H655" t="s">
        <v>77</v>
      </c>
      <c r="I655" t="s">
        <v>350</v>
      </c>
      <c r="J655" s="3">
        <v>2008</v>
      </c>
      <c r="K655" s="3">
        <v>2020</v>
      </c>
      <c r="L655" s="6">
        <f t="shared" si="211"/>
        <v>2014</v>
      </c>
      <c r="M655" s="6">
        <f t="shared" si="212"/>
        <v>2014</v>
      </c>
      <c r="N655" s="7">
        <f t="shared" si="200"/>
        <v>0.38461538461538464</v>
      </c>
      <c r="O655" s="7">
        <f t="shared" si="201"/>
        <v>0.30769230769230771</v>
      </c>
      <c r="P655" s="7">
        <f t="shared" si="202"/>
        <v>0.23076923076923078</v>
      </c>
      <c r="Q655" s="7">
        <f t="shared" si="213"/>
        <v>0.15384615384615385</v>
      </c>
      <c r="R655" s="10" t="str">
        <f t="shared" si="203"/>
        <v>0_Pre</v>
      </c>
      <c r="S655" s="10" t="str">
        <f t="shared" si="204"/>
        <v>0_Pre</v>
      </c>
      <c r="T655" s="10" t="str">
        <f t="shared" si="205"/>
        <v>0_Pre</v>
      </c>
      <c r="U655" s="10" t="str">
        <f t="shared" si="206"/>
        <v>1_Post</v>
      </c>
      <c r="V655" s="10" t="str">
        <f t="shared" si="214"/>
        <v>0_Pre</v>
      </c>
      <c r="W655" s="10" t="str">
        <f t="shared" si="207"/>
        <v>straddle</v>
      </c>
      <c r="X655" s="10" t="str">
        <f t="shared" si="208"/>
        <v>0_Pre</v>
      </c>
      <c r="Y655" s="10" t="str">
        <f t="shared" si="209"/>
        <v>0_Pre</v>
      </c>
      <c r="Z655" s="10" t="str">
        <f t="shared" si="210"/>
        <v>0_Pre</v>
      </c>
      <c r="AA655" s="10" t="str">
        <f t="shared" si="215"/>
        <v>1_Post</v>
      </c>
      <c r="AB655" s="10" t="str">
        <f t="shared" si="216"/>
        <v>1_Post</v>
      </c>
      <c r="AC655" s="10" t="str">
        <f t="shared" si="217"/>
        <v>1_Post</v>
      </c>
      <c r="AD655" s="10" t="str">
        <f t="shared" si="218"/>
        <v>2_post sample median</v>
      </c>
      <c r="AE655" s="10" t="str">
        <f t="shared" si="219"/>
        <v>3_post sample third tertile</v>
      </c>
      <c r="AF655" t="s">
        <v>80</v>
      </c>
      <c r="AG655" t="s">
        <v>74</v>
      </c>
      <c r="AH655" t="s">
        <v>78</v>
      </c>
      <c r="AI655" t="s">
        <v>122</v>
      </c>
      <c r="AJ655" t="s">
        <v>123</v>
      </c>
      <c r="AK655" t="str">
        <f>VLOOKUP(MID($AR655,1,255),country_lookup!$B:$F,2,FALSE)</f>
        <v>3_AsiaPac</v>
      </c>
      <c r="AL655" t="str">
        <f>VLOOKUP(MID($AR655,1,255),country_lookup!$B:$F,3,FALSE)</f>
        <v>2_developing</v>
      </c>
      <c r="AM655" t="str">
        <f>VLOOKUP(MID($AR655,1,255),country_lookup!$B:$F,4,FALSE)</f>
        <v>2_non_western</v>
      </c>
      <c r="AN655" t="str">
        <f>VLOOKUP(MID($AR655,1,255),country_lookup!$B:$F,5,FALSE)</f>
        <v>2_civil law</v>
      </c>
      <c r="AO655" s="10" t="str">
        <f>VLOOKUP(MID($AS655,1,255),source_lookup!$B:$K,4,FALSE)</f>
        <v>0_published</v>
      </c>
      <c r="AP655" s="10" t="str">
        <f>VLOOKUP(MID($AS655,1,255),source_lookup!$B:$K,6,FALSE)</f>
        <v>1_VHB high</v>
      </c>
      <c r="AQ655" s="10" t="str">
        <f>VLOOKUP(MID($AS655,1,255),source_lookup!$B:$K,10,FALSE)</f>
        <v>2_sust</v>
      </c>
      <c r="AR655" t="s">
        <v>94</v>
      </c>
      <c r="AS655" t="s">
        <v>154</v>
      </c>
    </row>
    <row r="656" spans="1:45" x14ac:dyDescent="0.3">
      <c r="A656" t="s">
        <v>30</v>
      </c>
      <c r="B656">
        <v>655</v>
      </c>
      <c r="C656" s="1">
        <v>-8.0883822021120863E-2</v>
      </c>
      <c r="D656" s="2">
        <v>954</v>
      </c>
      <c r="E656" s="4">
        <v>8679</v>
      </c>
      <c r="F656" s="4" t="s">
        <v>347</v>
      </c>
      <c r="G656" s="4" t="s">
        <v>346</v>
      </c>
      <c r="H656" t="s">
        <v>77</v>
      </c>
      <c r="I656" t="s">
        <v>350</v>
      </c>
      <c r="J656" s="3">
        <v>2008</v>
      </c>
      <c r="K656" s="3">
        <v>2020</v>
      </c>
      <c r="L656" s="6">
        <f t="shared" si="211"/>
        <v>2014</v>
      </c>
      <c r="M656" s="6">
        <f t="shared" si="212"/>
        <v>2014</v>
      </c>
      <c r="N656" s="7">
        <f t="shared" si="200"/>
        <v>0.38461538461538464</v>
      </c>
      <c r="O656" s="7">
        <f t="shared" si="201"/>
        <v>0.30769230769230771</v>
      </c>
      <c r="P656" s="7">
        <f t="shared" si="202"/>
        <v>0.23076923076923078</v>
      </c>
      <c r="Q656" s="7">
        <f t="shared" si="213"/>
        <v>0.15384615384615385</v>
      </c>
      <c r="R656" s="10" t="str">
        <f t="shared" si="203"/>
        <v>0_Pre</v>
      </c>
      <c r="S656" s="10" t="str">
        <f t="shared" si="204"/>
        <v>0_Pre</v>
      </c>
      <c r="T656" s="10" t="str">
        <f t="shared" si="205"/>
        <v>0_Pre</v>
      </c>
      <c r="U656" s="10" t="str">
        <f t="shared" si="206"/>
        <v>1_Post</v>
      </c>
      <c r="V656" s="10" t="str">
        <f t="shared" si="214"/>
        <v>0_Pre</v>
      </c>
      <c r="W656" s="10" t="str">
        <f t="shared" si="207"/>
        <v>straddle</v>
      </c>
      <c r="X656" s="10" t="str">
        <f t="shared" si="208"/>
        <v>0_Pre</v>
      </c>
      <c r="Y656" s="10" t="str">
        <f t="shared" si="209"/>
        <v>0_Pre</v>
      </c>
      <c r="Z656" s="10" t="str">
        <f t="shared" si="210"/>
        <v>0_Pre</v>
      </c>
      <c r="AA656" s="10" t="str">
        <f t="shared" si="215"/>
        <v>1_Post</v>
      </c>
      <c r="AB656" s="10" t="str">
        <f t="shared" si="216"/>
        <v>1_Post</v>
      </c>
      <c r="AC656" s="10" t="str">
        <f t="shared" si="217"/>
        <v>1_Post</v>
      </c>
      <c r="AD656" s="10" t="str">
        <f t="shared" si="218"/>
        <v>2_post sample median</v>
      </c>
      <c r="AE656" s="10" t="str">
        <f t="shared" si="219"/>
        <v>3_post sample third tertile</v>
      </c>
      <c r="AF656" t="s">
        <v>80</v>
      </c>
      <c r="AG656" t="s">
        <v>74</v>
      </c>
      <c r="AH656" t="s">
        <v>78</v>
      </c>
      <c r="AI656" t="s">
        <v>122</v>
      </c>
      <c r="AJ656" t="s">
        <v>123</v>
      </c>
      <c r="AK656" t="str">
        <f>VLOOKUP(MID($AR656,1,255),country_lookup!$B:$F,2,FALSE)</f>
        <v>3_AsiaPac</v>
      </c>
      <c r="AL656" t="str">
        <f>VLOOKUP(MID($AR656,1,255),country_lookup!$B:$F,3,FALSE)</f>
        <v>2_developing</v>
      </c>
      <c r="AM656" t="str">
        <f>VLOOKUP(MID($AR656,1,255),country_lookup!$B:$F,4,FALSE)</f>
        <v>2_non_western</v>
      </c>
      <c r="AN656" t="str">
        <f>VLOOKUP(MID($AR656,1,255),country_lookup!$B:$F,5,FALSE)</f>
        <v>2_civil law</v>
      </c>
      <c r="AO656" s="10" t="str">
        <f>VLOOKUP(MID($AS656,1,255),source_lookup!$B:$K,4,FALSE)</f>
        <v>0_published</v>
      </c>
      <c r="AP656" s="10" t="str">
        <f>VLOOKUP(MID($AS656,1,255),source_lookup!$B:$K,6,FALSE)</f>
        <v>1_VHB high</v>
      </c>
      <c r="AQ656" s="10" t="str">
        <f>VLOOKUP(MID($AS656,1,255),source_lookup!$B:$K,10,FALSE)</f>
        <v>2_sust</v>
      </c>
      <c r="AR656" t="s">
        <v>94</v>
      </c>
      <c r="AS656" t="s">
        <v>154</v>
      </c>
    </row>
    <row r="657" spans="1:45" x14ac:dyDescent="0.3">
      <c r="A657" t="s">
        <v>30</v>
      </c>
      <c r="B657">
        <v>656</v>
      </c>
      <c r="C657" s="1">
        <v>1.546330557766864E-3</v>
      </c>
      <c r="D657" s="2">
        <v>88</v>
      </c>
      <c r="E657" s="4">
        <v>13550</v>
      </c>
      <c r="F657" s="4" t="s">
        <v>347</v>
      </c>
      <c r="G657" s="4" t="s">
        <v>346</v>
      </c>
      <c r="H657" t="s">
        <v>77</v>
      </c>
      <c r="I657" t="s">
        <v>350</v>
      </c>
      <c r="J657" s="3">
        <v>2008</v>
      </c>
      <c r="K657" s="3">
        <v>2020</v>
      </c>
      <c r="L657" s="6">
        <f t="shared" si="211"/>
        <v>2014</v>
      </c>
      <c r="M657" s="6">
        <f t="shared" si="212"/>
        <v>2014</v>
      </c>
      <c r="N657" s="7">
        <f t="shared" si="200"/>
        <v>0.38461538461538464</v>
      </c>
      <c r="O657" s="7">
        <f t="shared" si="201"/>
        <v>0.30769230769230771</v>
      </c>
      <c r="P657" s="7">
        <f t="shared" si="202"/>
        <v>0.23076923076923078</v>
      </c>
      <c r="Q657" s="7">
        <f t="shared" si="213"/>
        <v>0.15384615384615385</v>
      </c>
      <c r="R657" s="10" t="str">
        <f t="shared" si="203"/>
        <v>0_Pre</v>
      </c>
      <c r="S657" s="10" t="str">
        <f t="shared" si="204"/>
        <v>0_Pre</v>
      </c>
      <c r="T657" s="10" t="str">
        <f t="shared" si="205"/>
        <v>0_Pre</v>
      </c>
      <c r="U657" s="10" t="str">
        <f t="shared" si="206"/>
        <v>1_Post</v>
      </c>
      <c r="V657" s="10" t="str">
        <f t="shared" si="214"/>
        <v>0_Pre</v>
      </c>
      <c r="W657" s="10" t="str">
        <f t="shared" si="207"/>
        <v>straddle</v>
      </c>
      <c r="X657" s="10" t="str">
        <f t="shared" si="208"/>
        <v>0_Pre</v>
      </c>
      <c r="Y657" s="10" t="str">
        <f t="shared" si="209"/>
        <v>0_Pre</v>
      </c>
      <c r="Z657" s="10" t="str">
        <f t="shared" si="210"/>
        <v>0_Pre</v>
      </c>
      <c r="AA657" s="10" t="str">
        <f t="shared" si="215"/>
        <v>1_Post</v>
      </c>
      <c r="AB657" s="10" t="str">
        <f t="shared" si="216"/>
        <v>1_Post</v>
      </c>
      <c r="AC657" s="10" t="str">
        <f t="shared" si="217"/>
        <v>1_Post</v>
      </c>
      <c r="AD657" s="10" t="str">
        <f t="shared" si="218"/>
        <v>2_post sample median</v>
      </c>
      <c r="AE657" s="10" t="str">
        <f t="shared" si="219"/>
        <v>3_post sample third tertile</v>
      </c>
      <c r="AF657" t="s">
        <v>80</v>
      </c>
      <c r="AG657" t="s">
        <v>74</v>
      </c>
      <c r="AH657" t="s">
        <v>78</v>
      </c>
      <c r="AI657" t="s">
        <v>122</v>
      </c>
      <c r="AJ657" t="s">
        <v>123</v>
      </c>
      <c r="AK657" t="str">
        <f>VLOOKUP(MID($AR657,1,255),country_lookup!$B:$F,2,FALSE)</f>
        <v>3_AsiaPac</v>
      </c>
      <c r="AL657" t="str">
        <f>VLOOKUP(MID($AR657,1,255),country_lookup!$B:$F,3,FALSE)</f>
        <v>2_developing</v>
      </c>
      <c r="AM657" t="str">
        <f>VLOOKUP(MID($AR657,1,255),country_lookup!$B:$F,4,FALSE)</f>
        <v>2_non_western</v>
      </c>
      <c r="AN657" t="str">
        <f>VLOOKUP(MID($AR657,1,255),country_lookup!$B:$F,5,FALSE)</f>
        <v>2_civil law</v>
      </c>
      <c r="AO657" s="10" t="str">
        <f>VLOOKUP(MID($AS657,1,255),source_lookup!$B:$K,4,FALSE)</f>
        <v>0_published</v>
      </c>
      <c r="AP657" s="10" t="str">
        <f>VLOOKUP(MID($AS657,1,255),source_lookup!$B:$K,6,FALSE)</f>
        <v>1_VHB high</v>
      </c>
      <c r="AQ657" s="10" t="str">
        <f>VLOOKUP(MID($AS657,1,255),source_lookup!$B:$K,10,FALSE)</f>
        <v>2_sust</v>
      </c>
      <c r="AR657" t="s">
        <v>94</v>
      </c>
      <c r="AS657" t="s">
        <v>154</v>
      </c>
    </row>
    <row r="658" spans="1:45" x14ac:dyDescent="0.3">
      <c r="A658" t="s">
        <v>30</v>
      </c>
      <c r="B658">
        <v>657</v>
      </c>
      <c r="C658" s="1">
        <v>-9.4887512153641711E-3</v>
      </c>
      <c r="D658" s="2">
        <v>328</v>
      </c>
      <c r="E658" s="4">
        <v>4269</v>
      </c>
      <c r="F658" s="4" t="s">
        <v>347</v>
      </c>
      <c r="G658" s="4" t="s">
        <v>346</v>
      </c>
      <c r="H658" t="s">
        <v>77</v>
      </c>
      <c r="I658" t="s">
        <v>350</v>
      </c>
      <c r="J658" s="3">
        <v>2008</v>
      </c>
      <c r="K658" s="3">
        <v>2020</v>
      </c>
      <c r="L658" s="6">
        <f t="shared" si="211"/>
        <v>2014</v>
      </c>
      <c r="M658" s="6">
        <f t="shared" si="212"/>
        <v>2014</v>
      </c>
      <c r="N658" s="7">
        <f t="shared" si="200"/>
        <v>0.38461538461538464</v>
      </c>
      <c r="O658" s="7">
        <f t="shared" si="201"/>
        <v>0.30769230769230771</v>
      </c>
      <c r="P658" s="7">
        <f t="shared" si="202"/>
        <v>0.23076923076923078</v>
      </c>
      <c r="Q658" s="7">
        <f t="shared" si="213"/>
        <v>0.15384615384615385</v>
      </c>
      <c r="R658" s="10" t="str">
        <f t="shared" si="203"/>
        <v>0_Pre</v>
      </c>
      <c r="S658" s="10" t="str">
        <f t="shared" si="204"/>
        <v>0_Pre</v>
      </c>
      <c r="T658" s="10" t="str">
        <f t="shared" si="205"/>
        <v>0_Pre</v>
      </c>
      <c r="U658" s="10" t="str">
        <f t="shared" si="206"/>
        <v>1_Post</v>
      </c>
      <c r="V658" s="10" t="str">
        <f t="shared" si="214"/>
        <v>0_Pre</v>
      </c>
      <c r="W658" s="10" t="str">
        <f t="shared" si="207"/>
        <v>straddle</v>
      </c>
      <c r="X658" s="10" t="str">
        <f t="shared" si="208"/>
        <v>0_Pre</v>
      </c>
      <c r="Y658" s="10" t="str">
        <f t="shared" si="209"/>
        <v>0_Pre</v>
      </c>
      <c r="Z658" s="10" t="str">
        <f t="shared" si="210"/>
        <v>0_Pre</v>
      </c>
      <c r="AA658" s="10" t="str">
        <f t="shared" si="215"/>
        <v>1_Post</v>
      </c>
      <c r="AB658" s="10" t="str">
        <f t="shared" si="216"/>
        <v>1_Post</v>
      </c>
      <c r="AC658" s="10" t="str">
        <f t="shared" si="217"/>
        <v>1_Post</v>
      </c>
      <c r="AD658" s="10" t="str">
        <f t="shared" si="218"/>
        <v>2_post sample median</v>
      </c>
      <c r="AE658" s="10" t="str">
        <f t="shared" si="219"/>
        <v>3_post sample third tertile</v>
      </c>
      <c r="AF658" t="s">
        <v>80</v>
      </c>
      <c r="AG658" t="s">
        <v>74</v>
      </c>
      <c r="AH658" t="s">
        <v>78</v>
      </c>
      <c r="AI658" t="s">
        <v>122</v>
      </c>
      <c r="AJ658" t="s">
        <v>123</v>
      </c>
      <c r="AK658" t="str">
        <f>VLOOKUP(MID($AR658,1,255),country_lookup!$B:$F,2,FALSE)</f>
        <v>3_AsiaPac</v>
      </c>
      <c r="AL658" t="str">
        <f>VLOOKUP(MID($AR658,1,255),country_lookup!$B:$F,3,FALSE)</f>
        <v>2_developing</v>
      </c>
      <c r="AM658" t="str">
        <f>VLOOKUP(MID($AR658,1,255),country_lookup!$B:$F,4,FALSE)</f>
        <v>2_non_western</v>
      </c>
      <c r="AN658" t="str">
        <f>VLOOKUP(MID($AR658,1,255),country_lookup!$B:$F,5,FALSE)</f>
        <v>2_civil law</v>
      </c>
      <c r="AO658" s="10" t="str">
        <f>VLOOKUP(MID($AS658,1,255),source_lookup!$B:$K,4,FALSE)</f>
        <v>0_published</v>
      </c>
      <c r="AP658" s="10" t="str">
        <f>VLOOKUP(MID($AS658,1,255),source_lookup!$B:$K,6,FALSE)</f>
        <v>1_VHB high</v>
      </c>
      <c r="AQ658" s="10" t="str">
        <f>VLOOKUP(MID($AS658,1,255),source_lookup!$B:$K,10,FALSE)</f>
        <v>2_sust</v>
      </c>
      <c r="AR658" t="s">
        <v>94</v>
      </c>
      <c r="AS658" t="s">
        <v>154</v>
      </c>
    </row>
    <row r="659" spans="1:45" x14ac:dyDescent="0.3">
      <c r="A659" t="s">
        <v>30</v>
      </c>
      <c r="B659">
        <v>658</v>
      </c>
      <c r="C659" s="1">
        <v>-3.6176190250078726E-2</v>
      </c>
      <c r="D659" s="2">
        <v>394</v>
      </c>
      <c r="E659" s="4">
        <v>5119</v>
      </c>
      <c r="F659" s="4" t="s">
        <v>347</v>
      </c>
      <c r="G659" s="4" t="s">
        <v>346</v>
      </c>
      <c r="H659" t="s">
        <v>77</v>
      </c>
      <c r="I659" t="s">
        <v>350</v>
      </c>
      <c r="J659" s="3">
        <v>2008</v>
      </c>
      <c r="K659" s="3">
        <v>2020</v>
      </c>
      <c r="L659" s="6">
        <f t="shared" si="211"/>
        <v>2014</v>
      </c>
      <c r="M659" s="6">
        <f t="shared" si="212"/>
        <v>2014</v>
      </c>
      <c r="N659" s="7">
        <f t="shared" si="200"/>
        <v>0.38461538461538464</v>
      </c>
      <c r="O659" s="7">
        <f t="shared" si="201"/>
        <v>0.30769230769230771</v>
      </c>
      <c r="P659" s="7">
        <f t="shared" si="202"/>
        <v>0.23076923076923078</v>
      </c>
      <c r="Q659" s="7">
        <f t="shared" si="213"/>
        <v>0.15384615384615385</v>
      </c>
      <c r="R659" s="10" t="str">
        <f t="shared" si="203"/>
        <v>0_Pre</v>
      </c>
      <c r="S659" s="10" t="str">
        <f t="shared" si="204"/>
        <v>0_Pre</v>
      </c>
      <c r="T659" s="10" t="str">
        <f t="shared" si="205"/>
        <v>0_Pre</v>
      </c>
      <c r="U659" s="10" t="str">
        <f t="shared" si="206"/>
        <v>1_Post</v>
      </c>
      <c r="V659" s="10" t="str">
        <f t="shared" si="214"/>
        <v>0_Pre</v>
      </c>
      <c r="W659" s="10" t="str">
        <f t="shared" si="207"/>
        <v>straddle</v>
      </c>
      <c r="X659" s="10" t="str">
        <f t="shared" si="208"/>
        <v>0_Pre</v>
      </c>
      <c r="Y659" s="10" t="str">
        <f t="shared" si="209"/>
        <v>0_Pre</v>
      </c>
      <c r="Z659" s="10" t="str">
        <f t="shared" si="210"/>
        <v>0_Pre</v>
      </c>
      <c r="AA659" s="10" t="str">
        <f t="shared" si="215"/>
        <v>1_Post</v>
      </c>
      <c r="AB659" s="10" t="str">
        <f t="shared" si="216"/>
        <v>1_Post</v>
      </c>
      <c r="AC659" s="10" t="str">
        <f t="shared" si="217"/>
        <v>1_Post</v>
      </c>
      <c r="AD659" s="10" t="str">
        <f t="shared" si="218"/>
        <v>2_post sample median</v>
      </c>
      <c r="AE659" s="10" t="str">
        <f t="shared" si="219"/>
        <v>3_post sample third tertile</v>
      </c>
      <c r="AF659" t="s">
        <v>80</v>
      </c>
      <c r="AG659" t="s">
        <v>74</v>
      </c>
      <c r="AH659" t="s">
        <v>78</v>
      </c>
      <c r="AI659" t="s">
        <v>122</v>
      </c>
      <c r="AJ659" t="s">
        <v>123</v>
      </c>
      <c r="AK659" t="str">
        <f>VLOOKUP(MID($AR659,1,255),country_lookup!$B:$F,2,FALSE)</f>
        <v>3_AsiaPac</v>
      </c>
      <c r="AL659" t="str">
        <f>VLOOKUP(MID($AR659,1,255),country_lookup!$B:$F,3,FALSE)</f>
        <v>2_developing</v>
      </c>
      <c r="AM659" t="str">
        <f>VLOOKUP(MID($AR659,1,255),country_lookup!$B:$F,4,FALSE)</f>
        <v>2_non_western</v>
      </c>
      <c r="AN659" t="str">
        <f>VLOOKUP(MID($AR659,1,255),country_lookup!$B:$F,5,FALSE)</f>
        <v>2_civil law</v>
      </c>
      <c r="AO659" s="10" t="str">
        <f>VLOOKUP(MID($AS659,1,255),source_lookup!$B:$K,4,FALSE)</f>
        <v>0_published</v>
      </c>
      <c r="AP659" s="10" t="str">
        <f>VLOOKUP(MID($AS659,1,255),source_lookup!$B:$K,6,FALSE)</f>
        <v>1_VHB high</v>
      </c>
      <c r="AQ659" s="10" t="str">
        <f>VLOOKUP(MID($AS659,1,255),source_lookup!$B:$K,10,FALSE)</f>
        <v>2_sust</v>
      </c>
      <c r="AR659" t="s">
        <v>94</v>
      </c>
      <c r="AS659" t="s">
        <v>154</v>
      </c>
    </row>
    <row r="660" spans="1:45" x14ac:dyDescent="0.3">
      <c r="A660" t="s">
        <v>30</v>
      </c>
      <c r="B660">
        <v>659</v>
      </c>
      <c r="C660" s="1">
        <v>-1.6635534224491138E-2</v>
      </c>
      <c r="D660" s="2">
        <v>328</v>
      </c>
      <c r="E660" s="4">
        <v>8679</v>
      </c>
      <c r="F660" s="4" t="s">
        <v>347</v>
      </c>
      <c r="G660" s="4" t="s">
        <v>346</v>
      </c>
      <c r="H660" t="s">
        <v>77</v>
      </c>
      <c r="I660" t="s">
        <v>350</v>
      </c>
      <c r="J660" s="3">
        <v>2008</v>
      </c>
      <c r="K660" s="3">
        <v>2020</v>
      </c>
      <c r="L660" s="6">
        <f t="shared" si="211"/>
        <v>2014</v>
      </c>
      <c r="M660" s="6">
        <f t="shared" si="212"/>
        <v>2014</v>
      </c>
      <c r="N660" s="7">
        <f t="shared" si="200"/>
        <v>0.38461538461538464</v>
      </c>
      <c r="O660" s="7">
        <f t="shared" si="201"/>
        <v>0.30769230769230771</v>
      </c>
      <c r="P660" s="7">
        <f t="shared" si="202"/>
        <v>0.23076923076923078</v>
      </c>
      <c r="Q660" s="7">
        <f t="shared" si="213"/>
        <v>0.15384615384615385</v>
      </c>
      <c r="R660" s="10" t="str">
        <f t="shared" si="203"/>
        <v>0_Pre</v>
      </c>
      <c r="S660" s="10" t="str">
        <f t="shared" si="204"/>
        <v>0_Pre</v>
      </c>
      <c r="T660" s="10" t="str">
        <f t="shared" si="205"/>
        <v>0_Pre</v>
      </c>
      <c r="U660" s="10" t="str">
        <f t="shared" si="206"/>
        <v>1_Post</v>
      </c>
      <c r="V660" s="10" t="str">
        <f t="shared" si="214"/>
        <v>0_Pre</v>
      </c>
      <c r="W660" s="10" t="str">
        <f t="shared" si="207"/>
        <v>straddle</v>
      </c>
      <c r="X660" s="10" t="str">
        <f t="shared" si="208"/>
        <v>0_Pre</v>
      </c>
      <c r="Y660" s="10" t="str">
        <f t="shared" si="209"/>
        <v>0_Pre</v>
      </c>
      <c r="Z660" s="10" t="str">
        <f t="shared" si="210"/>
        <v>0_Pre</v>
      </c>
      <c r="AA660" s="10" t="str">
        <f t="shared" si="215"/>
        <v>1_Post</v>
      </c>
      <c r="AB660" s="10" t="str">
        <f t="shared" si="216"/>
        <v>1_Post</v>
      </c>
      <c r="AC660" s="10" t="str">
        <f t="shared" si="217"/>
        <v>1_Post</v>
      </c>
      <c r="AD660" s="10" t="str">
        <f t="shared" si="218"/>
        <v>2_post sample median</v>
      </c>
      <c r="AE660" s="10" t="str">
        <f t="shared" si="219"/>
        <v>3_post sample third tertile</v>
      </c>
      <c r="AF660" t="s">
        <v>80</v>
      </c>
      <c r="AG660" t="s">
        <v>74</v>
      </c>
      <c r="AH660" t="s">
        <v>78</v>
      </c>
      <c r="AI660" t="s">
        <v>122</v>
      </c>
      <c r="AJ660" t="s">
        <v>123</v>
      </c>
      <c r="AK660" t="str">
        <f>VLOOKUP(MID($AR660,1,255),country_lookup!$B:$F,2,FALSE)</f>
        <v>3_AsiaPac</v>
      </c>
      <c r="AL660" t="str">
        <f>VLOOKUP(MID($AR660,1,255),country_lookup!$B:$F,3,FALSE)</f>
        <v>2_developing</v>
      </c>
      <c r="AM660" t="str">
        <f>VLOOKUP(MID($AR660,1,255),country_lookup!$B:$F,4,FALSE)</f>
        <v>2_non_western</v>
      </c>
      <c r="AN660" t="str">
        <f>VLOOKUP(MID($AR660,1,255),country_lookup!$B:$F,5,FALSE)</f>
        <v>2_civil law</v>
      </c>
      <c r="AO660" s="10" t="str">
        <f>VLOOKUP(MID($AS660,1,255),source_lookup!$B:$K,4,FALSE)</f>
        <v>0_published</v>
      </c>
      <c r="AP660" s="10" t="str">
        <f>VLOOKUP(MID($AS660,1,255),source_lookup!$B:$K,6,FALSE)</f>
        <v>1_VHB high</v>
      </c>
      <c r="AQ660" s="10" t="str">
        <f>VLOOKUP(MID($AS660,1,255),source_lookup!$B:$K,10,FALSE)</f>
        <v>2_sust</v>
      </c>
      <c r="AR660" t="s">
        <v>94</v>
      </c>
      <c r="AS660" t="s">
        <v>154</v>
      </c>
    </row>
    <row r="661" spans="1:45" x14ac:dyDescent="0.3">
      <c r="A661" t="s">
        <v>30</v>
      </c>
      <c r="B661">
        <v>660</v>
      </c>
      <c r="C661" s="1">
        <v>-2.06992369695587E-2</v>
      </c>
      <c r="D661" s="2">
        <v>394</v>
      </c>
      <c r="E661" s="4">
        <v>13550</v>
      </c>
      <c r="F661" s="4" t="s">
        <v>347</v>
      </c>
      <c r="G661" s="4" t="s">
        <v>346</v>
      </c>
      <c r="H661" t="s">
        <v>77</v>
      </c>
      <c r="I661" t="s">
        <v>350</v>
      </c>
      <c r="J661" s="3">
        <v>2008</v>
      </c>
      <c r="K661" s="3">
        <v>2020</v>
      </c>
      <c r="L661" s="6">
        <f t="shared" si="211"/>
        <v>2014</v>
      </c>
      <c r="M661" s="6">
        <f t="shared" si="212"/>
        <v>2014</v>
      </c>
      <c r="N661" s="7">
        <f t="shared" si="200"/>
        <v>0.38461538461538464</v>
      </c>
      <c r="O661" s="7">
        <f t="shared" si="201"/>
        <v>0.30769230769230771</v>
      </c>
      <c r="P661" s="7">
        <f t="shared" si="202"/>
        <v>0.23076923076923078</v>
      </c>
      <c r="Q661" s="7">
        <f t="shared" si="213"/>
        <v>0.15384615384615385</v>
      </c>
      <c r="R661" s="10" t="str">
        <f t="shared" si="203"/>
        <v>0_Pre</v>
      </c>
      <c r="S661" s="10" t="str">
        <f t="shared" si="204"/>
        <v>0_Pre</v>
      </c>
      <c r="T661" s="10" t="str">
        <f t="shared" si="205"/>
        <v>0_Pre</v>
      </c>
      <c r="U661" s="10" t="str">
        <f t="shared" si="206"/>
        <v>1_Post</v>
      </c>
      <c r="V661" s="10" t="str">
        <f t="shared" si="214"/>
        <v>0_Pre</v>
      </c>
      <c r="W661" s="10" t="str">
        <f t="shared" si="207"/>
        <v>straddle</v>
      </c>
      <c r="X661" s="10" t="str">
        <f t="shared" si="208"/>
        <v>0_Pre</v>
      </c>
      <c r="Y661" s="10" t="str">
        <f t="shared" si="209"/>
        <v>0_Pre</v>
      </c>
      <c r="Z661" s="10" t="str">
        <f t="shared" si="210"/>
        <v>0_Pre</v>
      </c>
      <c r="AA661" s="10" t="str">
        <f t="shared" si="215"/>
        <v>1_Post</v>
      </c>
      <c r="AB661" s="10" t="str">
        <f t="shared" si="216"/>
        <v>1_Post</v>
      </c>
      <c r="AC661" s="10" t="str">
        <f t="shared" si="217"/>
        <v>1_Post</v>
      </c>
      <c r="AD661" s="10" t="str">
        <f t="shared" si="218"/>
        <v>2_post sample median</v>
      </c>
      <c r="AE661" s="10" t="str">
        <f t="shared" si="219"/>
        <v>3_post sample third tertile</v>
      </c>
      <c r="AF661" t="s">
        <v>80</v>
      </c>
      <c r="AG661" t="s">
        <v>74</v>
      </c>
      <c r="AH661" t="s">
        <v>78</v>
      </c>
      <c r="AI661" t="s">
        <v>122</v>
      </c>
      <c r="AJ661" t="s">
        <v>123</v>
      </c>
      <c r="AK661" t="str">
        <f>VLOOKUP(MID($AR661,1,255),country_lookup!$B:$F,2,FALSE)</f>
        <v>3_AsiaPac</v>
      </c>
      <c r="AL661" t="str">
        <f>VLOOKUP(MID($AR661,1,255),country_lookup!$B:$F,3,FALSE)</f>
        <v>2_developing</v>
      </c>
      <c r="AM661" t="str">
        <f>VLOOKUP(MID($AR661,1,255),country_lookup!$B:$F,4,FALSE)</f>
        <v>2_non_western</v>
      </c>
      <c r="AN661" t="str">
        <f>VLOOKUP(MID($AR661,1,255),country_lookup!$B:$F,5,FALSE)</f>
        <v>2_civil law</v>
      </c>
      <c r="AO661" s="10" t="str">
        <f>VLOOKUP(MID($AS661,1,255),source_lookup!$B:$K,4,FALSE)</f>
        <v>0_published</v>
      </c>
      <c r="AP661" s="10" t="str">
        <f>VLOOKUP(MID($AS661,1,255),source_lookup!$B:$K,6,FALSE)</f>
        <v>1_VHB high</v>
      </c>
      <c r="AQ661" s="10" t="str">
        <f>VLOOKUP(MID($AS661,1,255),source_lookup!$B:$K,10,FALSE)</f>
        <v>2_sust</v>
      </c>
      <c r="AR661" t="s">
        <v>94</v>
      </c>
      <c r="AS661" t="s">
        <v>154</v>
      </c>
    </row>
    <row r="662" spans="1:45" x14ac:dyDescent="0.3">
      <c r="A662" t="s">
        <v>30</v>
      </c>
      <c r="B662">
        <v>661</v>
      </c>
      <c r="C662" s="1">
        <v>-3.0056334578415778E-2</v>
      </c>
      <c r="D662" s="2">
        <v>527</v>
      </c>
      <c r="E662" s="4">
        <v>6857</v>
      </c>
      <c r="F662" s="4" t="s">
        <v>347</v>
      </c>
      <c r="G662" s="4" t="s">
        <v>346</v>
      </c>
      <c r="H662" t="s">
        <v>77</v>
      </c>
      <c r="I662" t="s">
        <v>350</v>
      </c>
      <c r="J662" s="3">
        <v>2008</v>
      </c>
      <c r="K662" s="3">
        <v>2020</v>
      </c>
      <c r="L662" s="6">
        <f t="shared" si="211"/>
        <v>2014</v>
      </c>
      <c r="M662" s="6">
        <f t="shared" si="212"/>
        <v>2014</v>
      </c>
      <c r="N662" s="7">
        <f t="shared" si="200"/>
        <v>0.38461538461538464</v>
      </c>
      <c r="O662" s="7">
        <f t="shared" si="201"/>
        <v>0.30769230769230771</v>
      </c>
      <c r="P662" s="7">
        <f t="shared" si="202"/>
        <v>0.23076923076923078</v>
      </c>
      <c r="Q662" s="7">
        <f t="shared" si="213"/>
        <v>0.15384615384615385</v>
      </c>
      <c r="R662" s="10" t="str">
        <f t="shared" si="203"/>
        <v>0_Pre</v>
      </c>
      <c r="S662" s="10" t="str">
        <f t="shared" si="204"/>
        <v>0_Pre</v>
      </c>
      <c r="T662" s="10" t="str">
        <f t="shared" si="205"/>
        <v>0_Pre</v>
      </c>
      <c r="U662" s="10" t="str">
        <f t="shared" si="206"/>
        <v>1_Post</v>
      </c>
      <c r="V662" s="10" t="str">
        <f t="shared" si="214"/>
        <v>0_Pre</v>
      </c>
      <c r="W662" s="10" t="str">
        <f t="shared" si="207"/>
        <v>straddle</v>
      </c>
      <c r="X662" s="10" t="str">
        <f t="shared" si="208"/>
        <v>0_Pre</v>
      </c>
      <c r="Y662" s="10" t="str">
        <f t="shared" si="209"/>
        <v>0_Pre</v>
      </c>
      <c r="Z662" s="10" t="str">
        <f t="shared" si="210"/>
        <v>0_Pre</v>
      </c>
      <c r="AA662" s="10" t="str">
        <f t="shared" si="215"/>
        <v>1_Post</v>
      </c>
      <c r="AB662" s="10" t="str">
        <f t="shared" si="216"/>
        <v>1_Post</v>
      </c>
      <c r="AC662" s="10" t="str">
        <f t="shared" si="217"/>
        <v>1_Post</v>
      </c>
      <c r="AD662" s="10" t="str">
        <f t="shared" si="218"/>
        <v>2_post sample median</v>
      </c>
      <c r="AE662" s="10" t="str">
        <f t="shared" si="219"/>
        <v>3_post sample third tertile</v>
      </c>
      <c r="AF662" t="s">
        <v>80</v>
      </c>
      <c r="AG662" t="s">
        <v>74</v>
      </c>
      <c r="AH662" t="s">
        <v>78</v>
      </c>
      <c r="AI662" t="s">
        <v>122</v>
      </c>
      <c r="AJ662" t="s">
        <v>123</v>
      </c>
      <c r="AK662" t="str">
        <f>VLOOKUP(MID($AR662,1,255),country_lookup!$B:$F,2,FALSE)</f>
        <v>3_AsiaPac</v>
      </c>
      <c r="AL662" t="str">
        <f>VLOOKUP(MID($AR662,1,255),country_lookup!$B:$F,3,FALSE)</f>
        <v>2_developing</v>
      </c>
      <c r="AM662" t="str">
        <f>VLOOKUP(MID($AR662,1,255),country_lookup!$B:$F,4,FALSE)</f>
        <v>2_non_western</v>
      </c>
      <c r="AN662" t="str">
        <f>VLOOKUP(MID($AR662,1,255),country_lookup!$B:$F,5,FALSE)</f>
        <v>2_civil law</v>
      </c>
      <c r="AO662" s="10" t="str">
        <f>VLOOKUP(MID($AS662,1,255),source_lookup!$B:$K,4,FALSE)</f>
        <v>0_published</v>
      </c>
      <c r="AP662" s="10" t="str">
        <f>VLOOKUP(MID($AS662,1,255),source_lookup!$B:$K,6,FALSE)</f>
        <v>1_VHB high</v>
      </c>
      <c r="AQ662" s="10" t="str">
        <f>VLOOKUP(MID($AS662,1,255),source_lookup!$B:$K,10,FALSE)</f>
        <v>2_sust</v>
      </c>
      <c r="AR662" t="s">
        <v>94</v>
      </c>
      <c r="AS662" t="s">
        <v>154</v>
      </c>
    </row>
    <row r="663" spans="1:45" x14ac:dyDescent="0.3">
      <c r="A663" t="s">
        <v>30</v>
      </c>
      <c r="B663">
        <v>662</v>
      </c>
      <c r="C663" s="1">
        <v>-2.5770156545400903E-3</v>
      </c>
      <c r="D663" s="2">
        <v>140</v>
      </c>
      <c r="E663" s="4">
        <v>1822</v>
      </c>
      <c r="F663" s="4" t="s">
        <v>347</v>
      </c>
      <c r="G663" s="4" t="s">
        <v>346</v>
      </c>
      <c r="H663" t="s">
        <v>77</v>
      </c>
      <c r="I663" t="s">
        <v>350</v>
      </c>
      <c r="J663" s="3">
        <v>2008</v>
      </c>
      <c r="K663" s="3">
        <v>2020</v>
      </c>
      <c r="L663" s="6">
        <f t="shared" si="211"/>
        <v>2014</v>
      </c>
      <c r="M663" s="6">
        <f t="shared" si="212"/>
        <v>2014</v>
      </c>
      <c r="N663" s="7">
        <f t="shared" si="200"/>
        <v>0.38461538461538464</v>
      </c>
      <c r="O663" s="7">
        <f t="shared" si="201"/>
        <v>0.30769230769230771</v>
      </c>
      <c r="P663" s="7">
        <f t="shared" si="202"/>
        <v>0.23076923076923078</v>
      </c>
      <c r="Q663" s="7">
        <f t="shared" si="213"/>
        <v>0.15384615384615385</v>
      </c>
      <c r="R663" s="10" t="str">
        <f t="shared" si="203"/>
        <v>0_Pre</v>
      </c>
      <c r="S663" s="10" t="str">
        <f t="shared" si="204"/>
        <v>0_Pre</v>
      </c>
      <c r="T663" s="10" t="str">
        <f t="shared" si="205"/>
        <v>0_Pre</v>
      </c>
      <c r="U663" s="10" t="str">
        <f t="shared" si="206"/>
        <v>1_Post</v>
      </c>
      <c r="V663" s="10" t="str">
        <f t="shared" si="214"/>
        <v>0_Pre</v>
      </c>
      <c r="W663" s="10" t="str">
        <f t="shared" si="207"/>
        <v>straddle</v>
      </c>
      <c r="X663" s="10" t="str">
        <f t="shared" si="208"/>
        <v>0_Pre</v>
      </c>
      <c r="Y663" s="10" t="str">
        <f t="shared" si="209"/>
        <v>0_Pre</v>
      </c>
      <c r="Z663" s="10" t="str">
        <f t="shared" si="210"/>
        <v>0_Pre</v>
      </c>
      <c r="AA663" s="10" t="str">
        <f t="shared" si="215"/>
        <v>1_Post</v>
      </c>
      <c r="AB663" s="10" t="str">
        <f t="shared" si="216"/>
        <v>1_Post</v>
      </c>
      <c r="AC663" s="10" t="str">
        <f t="shared" si="217"/>
        <v>1_Post</v>
      </c>
      <c r="AD663" s="10" t="str">
        <f t="shared" si="218"/>
        <v>2_post sample median</v>
      </c>
      <c r="AE663" s="10" t="str">
        <f t="shared" si="219"/>
        <v>3_post sample third tertile</v>
      </c>
      <c r="AF663" t="s">
        <v>80</v>
      </c>
      <c r="AG663" t="s">
        <v>74</v>
      </c>
      <c r="AH663" t="s">
        <v>78</v>
      </c>
      <c r="AI663" t="s">
        <v>122</v>
      </c>
      <c r="AJ663" t="s">
        <v>123</v>
      </c>
      <c r="AK663" t="str">
        <f>VLOOKUP(MID($AR663,1,255),country_lookup!$B:$F,2,FALSE)</f>
        <v>3_AsiaPac</v>
      </c>
      <c r="AL663" t="str">
        <f>VLOOKUP(MID($AR663,1,255),country_lookup!$B:$F,3,FALSE)</f>
        <v>2_developing</v>
      </c>
      <c r="AM663" t="str">
        <f>VLOOKUP(MID($AR663,1,255),country_lookup!$B:$F,4,FALSE)</f>
        <v>2_non_western</v>
      </c>
      <c r="AN663" t="str">
        <f>VLOOKUP(MID($AR663,1,255),country_lookup!$B:$F,5,FALSE)</f>
        <v>2_civil law</v>
      </c>
      <c r="AO663" s="10" t="str">
        <f>VLOOKUP(MID($AS663,1,255),source_lookup!$B:$K,4,FALSE)</f>
        <v>0_published</v>
      </c>
      <c r="AP663" s="10" t="str">
        <f>VLOOKUP(MID($AS663,1,255),source_lookup!$B:$K,6,FALSE)</f>
        <v>1_VHB high</v>
      </c>
      <c r="AQ663" s="10" t="str">
        <f>VLOOKUP(MID($AS663,1,255),source_lookup!$B:$K,10,FALSE)</f>
        <v>2_sust</v>
      </c>
      <c r="AR663" t="s">
        <v>94</v>
      </c>
      <c r="AS663" t="s">
        <v>154</v>
      </c>
    </row>
    <row r="664" spans="1:45" x14ac:dyDescent="0.3">
      <c r="A664" t="s">
        <v>30</v>
      </c>
      <c r="B664">
        <v>663</v>
      </c>
      <c r="C664" s="1">
        <v>-2.8326621160477509E-2</v>
      </c>
      <c r="D664" s="2">
        <v>527</v>
      </c>
      <c r="E664" s="4">
        <v>8679</v>
      </c>
      <c r="F664" s="4" t="s">
        <v>347</v>
      </c>
      <c r="G664" s="4" t="s">
        <v>346</v>
      </c>
      <c r="H664" t="s">
        <v>77</v>
      </c>
      <c r="I664" t="s">
        <v>350</v>
      </c>
      <c r="J664" s="3">
        <v>2008</v>
      </c>
      <c r="K664" s="3">
        <v>2020</v>
      </c>
      <c r="L664" s="6">
        <f t="shared" si="211"/>
        <v>2014</v>
      </c>
      <c r="M664" s="6">
        <f t="shared" si="212"/>
        <v>2014</v>
      </c>
      <c r="N664" s="7">
        <f t="shared" si="200"/>
        <v>0.38461538461538464</v>
      </c>
      <c r="O664" s="7">
        <f t="shared" si="201"/>
        <v>0.30769230769230771</v>
      </c>
      <c r="P664" s="7">
        <f t="shared" si="202"/>
        <v>0.23076923076923078</v>
      </c>
      <c r="Q664" s="7">
        <f t="shared" si="213"/>
        <v>0.15384615384615385</v>
      </c>
      <c r="R664" s="10" t="str">
        <f t="shared" si="203"/>
        <v>0_Pre</v>
      </c>
      <c r="S664" s="10" t="str">
        <f t="shared" si="204"/>
        <v>0_Pre</v>
      </c>
      <c r="T664" s="10" t="str">
        <f t="shared" si="205"/>
        <v>0_Pre</v>
      </c>
      <c r="U664" s="10" t="str">
        <f t="shared" si="206"/>
        <v>1_Post</v>
      </c>
      <c r="V664" s="10" t="str">
        <f t="shared" si="214"/>
        <v>0_Pre</v>
      </c>
      <c r="W664" s="10" t="str">
        <f t="shared" si="207"/>
        <v>straddle</v>
      </c>
      <c r="X664" s="10" t="str">
        <f t="shared" si="208"/>
        <v>0_Pre</v>
      </c>
      <c r="Y664" s="10" t="str">
        <f t="shared" si="209"/>
        <v>0_Pre</v>
      </c>
      <c r="Z664" s="10" t="str">
        <f t="shared" si="210"/>
        <v>0_Pre</v>
      </c>
      <c r="AA664" s="10" t="str">
        <f t="shared" si="215"/>
        <v>1_Post</v>
      </c>
      <c r="AB664" s="10" t="str">
        <f t="shared" si="216"/>
        <v>1_Post</v>
      </c>
      <c r="AC664" s="10" t="str">
        <f t="shared" si="217"/>
        <v>1_Post</v>
      </c>
      <c r="AD664" s="10" t="str">
        <f t="shared" si="218"/>
        <v>2_post sample median</v>
      </c>
      <c r="AE664" s="10" t="str">
        <f t="shared" si="219"/>
        <v>3_post sample third tertile</v>
      </c>
      <c r="AF664" t="s">
        <v>80</v>
      </c>
      <c r="AG664" t="s">
        <v>74</v>
      </c>
      <c r="AH664" t="s">
        <v>78</v>
      </c>
      <c r="AI664" t="s">
        <v>122</v>
      </c>
      <c r="AJ664" t="s">
        <v>123</v>
      </c>
      <c r="AK664" t="str">
        <f>VLOOKUP(MID($AR664,1,255),country_lookup!$B:$F,2,FALSE)</f>
        <v>3_AsiaPac</v>
      </c>
      <c r="AL664" t="str">
        <f>VLOOKUP(MID($AR664,1,255),country_lookup!$B:$F,3,FALSE)</f>
        <v>2_developing</v>
      </c>
      <c r="AM664" t="str">
        <f>VLOOKUP(MID($AR664,1,255),country_lookup!$B:$F,4,FALSE)</f>
        <v>2_non_western</v>
      </c>
      <c r="AN664" t="str">
        <f>VLOOKUP(MID($AR664,1,255),country_lookup!$B:$F,5,FALSE)</f>
        <v>2_civil law</v>
      </c>
      <c r="AO664" s="10" t="str">
        <f>VLOOKUP(MID($AS664,1,255),source_lookup!$B:$K,4,FALSE)</f>
        <v>0_published</v>
      </c>
      <c r="AP664" s="10" t="str">
        <f>VLOOKUP(MID($AS664,1,255),source_lookup!$B:$K,6,FALSE)</f>
        <v>1_VHB high</v>
      </c>
      <c r="AQ664" s="10" t="str">
        <f>VLOOKUP(MID($AS664,1,255),source_lookup!$B:$K,10,FALSE)</f>
        <v>2_sust</v>
      </c>
      <c r="AR664" t="s">
        <v>94</v>
      </c>
      <c r="AS664" t="s">
        <v>154</v>
      </c>
    </row>
    <row r="665" spans="1:45" x14ac:dyDescent="0.3">
      <c r="A665" t="s">
        <v>30</v>
      </c>
      <c r="B665">
        <v>664</v>
      </c>
      <c r="C665" s="1">
        <v>3.4362940338196398E-4</v>
      </c>
      <c r="D665" s="2">
        <v>140</v>
      </c>
      <c r="E665" s="4">
        <v>13550</v>
      </c>
      <c r="F665" s="4" t="s">
        <v>347</v>
      </c>
      <c r="G665" s="4" t="s">
        <v>346</v>
      </c>
      <c r="H665" t="s">
        <v>77</v>
      </c>
      <c r="I665" t="s">
        <v>350</v>
      </c>
      <c r="J665" s="3">
        <v>2008</v>
      </c>
      <c r="K665" s="3">
        <v>2020</v>
      </c>
      <c r="L665" s="6">
        <f t="shared" si="211"/>
        <v>2014</v>
      </c>
      <c r="M665" s="6">
        <f t="shared" si="212"/>
        <v>2014</v>
      </c>
      <c r="N665" s="7">
        <f t="shared" si="200"/>
        <v>0.38461538461538464</v>
      </c>
      <c r="O665" s="7">
        <f t="shared" si="201"/>
        <v>0.30769230769230771</v>
      </c>
      <c r="P665" s="7">
        <f t="shared" si="202"/>
        <v>0.23076923076923078</v>
      </c>
      <c r="Q665" s="7">
        <f t="shared" si="213"/>
        <v>0.15384615384615385</v>
      </c>
      <c r="R665" s="10" t="str">
        <f t="shared" si="203"/>
        <v>0_Pre</v>
      </c>
      <c r="S665" s="10" t="str">
        <f t="shared" si="204"/>
        <v>0_Pre</v>
      </c>
      <c r="T665" s="10" t="str">
        <f t="shared" si="205"/>
        <v>0_Pre</v>
      </c>
      <c r="U665" s="10" t="str">
        <f t="shared" si="206"/>
        <v>1_Post</v>
      </c>
      <c r="V665" s="10" t="str">
        <f t="shared" si="214"/>
        <v>0_Pre</v>
      </c>
      <c r="W665" s="10" t="str">
        <f t="shared" si="207"/>
        <v>straddle</v>
      </c>
      <c r="X665" s="10" t="str">
        <f t="shared" si="208"/>
        <v>0_Pre</v>
      </c>
      <c r="Y665" s="10" t="str">
        <f t="shared" si="209"/>
        <v>0_Pre</v>
      </c>
      <c r="Z665" s="10" t="str">
        <f t="shared" si="210"/>
        <v>0_Pre</v>
      </c>
      <c r="AA665" s="10" t="str">
        <f t="shared" si="215"/>
        <v>1_Post</v>
      </c>
      <c r="AB665" s="10" t="str">
        <f t="shared" si="216"/>
        <v>1_Post</v>
      </c>
      <c r="AC665" s="10" t="str">
        <f t="shared" si="217"/>
        <v>1_Post</v>
      </c>
      <c r="AD665" s="10" t="str">
        <f t="shared" si="218"/>
        <v>2_post sample median</v>
      </c>
      <c r="AE665" s="10" t="str">
        <f t="shared" si="219"/>
        <v>3_post sample third tertile</v>
      </c>
      <c r="AF665" t="s">
        <v>80</v>
      </c>
      <c r="AG665" t="s">
        <v>74</v>
      </c>
      <c r="AH665" t="s">
        <v>78</v>
      </c>
      <c r="AI665" t="s">
        <v>122</v>
      </c>
      <c r="AJ665" t="s">
        <v>123</v>
      </c>
      <c r="AK665" t="str">
        <f>VLOOKUP(MID($AR665,1,255),country_lookup!$B:$F,2,FALSE)</f>
        <v>3_AsiaPac</v>
      </c>
      <c r="AL665" t="str">
        <f>VLOOKUP(MID($AR665,1,255),country_lookup!$B:$F,3,FALSE)</f>
        <v>2_developing</v>
      </c>
      <c r="AM665" t="str">
        <f>VLOOKUP(MID($AR665,1,255),country_lookup!$B:$F,4,FALSE)</f>
        <v>2_non_western</v>
      </c>
      <c r="AN665" t="str">
        <f>VLOOKUP(MID($AR665,1,255),country_lookup!$B:$F,5,FALSE)</f>
        <v>2_civil law</v>
      </c>
      <c r="AO665" s="10" t="str">
        <f>VLOOKUP(MID($AS665,1,255),source_lookup!$B:$K,4,FALSE)</f>
        <v>0_published</v>
      </c>
      <c r="AP665" s="10" t="str">
        <f>VLOOKUP(MID($AS665,1,255),source_lookup!$B:$K,6,FALSE)</f>
        <v>1_VHB high</v>
      </c>
      <c r="AQ665" s="10" t="str">
        <f>VLOOKUP(MID($AS665,1,255),source_lookup!$B:$K,10,FALSE)</f>
        <v>2_sust</v>
      </c>
      <c r="AR665" t="s">
        <v>94</v>
      </c>
      <c r="AS665" t="s">
        <v>154</v>
      </c>
    </row>
    <row r="666" spans="1:45" x14ac:dyDescent="0.3">
      <c r="A666" t="s">
        <v>30</v>
      </c>
      <c r="B666">
        <v>665</v>
      </c>
      <c r="C666" s="1">
        <v>-4.2991721103742386E-2</v>
      </c>
      <c r="D666" s="2">
        <v>196</v>
      </c>
      <c r="E666" s="4">
        <v>2543</v>
      </c>
      <c r="F666" s="4" t="s">
        <v>347</v>
      </c>
      <c r="G666" s="4" t="s">
        <v>346</v>
      </c>
      <c r="H666" t="s">
        <v>77</v>
      </c>
      <c r="I666" t="s">
        <v>350</v>
      </c>
      <c r="J666" s="3">
        <v>2008</v>
      </c>
      <c r="K666" s="3">
        <v>2020</v>
      </c>
      <c r="L666" s="6">
        <f t="shared" si="211"/>
        <v>2014</v>
      </c>
      <c r="M666" s="6">
        <f t="shared" si="212"/>
        <v>2014</v>
      </c>
      <c r="N666" s="7">
        <f t="shared" si="200"/>
        <v>0.38461538461538464</v>
      </c>
      <c r="O666" s="7">
        <f t="shared" si="201"/>
        <v>0.30769230769230771</v>
      </c>
      <c r="P666" s="7">
        <f t="shared" si="202"/>
        <v>0.23076923076923078</v>
      </c>
      <c r="Q666" s="7">
        <f t="shared" si="213"/>
        <v>0.15384615384615385</v>
      </c>
      <c r="R666" s="10" t="str">
        <f t="shared" si="203"/>
        <v>0_Pre</v>
      </c>
      <c r="S666" s="10" t="str">
        <f t="shared" si="204"/>
        <v>0_Pre</v>
      </c>
      <c r="T666" s="10" t="str">
        <f t="shared" si="205"/>
        <v>0_Pre</v>
      </c>
      <c r="U666" s="10" t="str">
        <f t="shared" si="206"/>
        <v>1_Post</v>
      </c>
      <c r="V666" s="10" t="str">
        <f t="shared" si="214"/>
        <v>0_Pre</v>
      </c>
      <c r="W666" s="10" t="str">
        <f t="shared" si="207"/>
        <v>straddle</v>
      </c>
      <c r="X666" s="10" t="str">
        <f t="shared" si="208"/>
        <v>0_Pre</v>
      </c>
      <c r="Y666" s="10" t="str">
        <f t="shared" si="209"/>
        <v>0_Pre</v>
      </c>
      <c r="Z666" s="10" t="str">
        <f t="shared" si="210"/>
        <v>0_Pre</v>
      </c>
      <c r="AA666" s="10" t="str">
        <f t="shared" si="215"/>
        <v>1_Post</v>
      </c>
      <c r="AB666" s="10" t="str">
        <f t="shared" si="216"/>
        <v>1_Post</v>
      </c>
      <c r="AC666" s="10" t="str">
        <f t="shared" si="217"/>
        <v>1_Post</v>
      </c>
      <c r="AD666" s="10" t="str">
        <f t="shared" si="218"/>
        <v>2_post sample median</v>
      </c>
      <c r="AE666" s="10" t="str">
        <f t="shared" si="219"/>
        <v>3_post sample third tertile</v>
      </c>
      <c r="AF666" t="s">
        <v>80</v>
      </c>
      <c r="AG666" t="s">
        <v>74</v>
      </c>
      <c r="AH666" t="s">
        <v>78</v>
      </c>
      <c r="AI666" t="s">
        <v>122</v>
      </c>
      <c r="AJ666" t="s">
        <v>123</v>
      </c>
      <c r="AK666" t="str">
        <f>VLOOKUP(MID($AR666,1,255),country_lookup!$B:$F,2,FALSE)</f>
        <v>3_AsiaPac</v>
      </c>
      <c r="AL666" t="str">
        <f>VLOOKUP(MID($AR666,1,255),country_lookup!$B:$F,3,FALSE)</f>
        <v>2_developing</v>
      </c>
      <c r="AM666" t="str">
        <f>VLOOKUP(MID($AR666,1,255),country_lookup!$B:$F,4,FALSE)</f>
        <v>2_non_western</v>
      </c>
      <c r="AN666" t="str">
        <f>VLOOKUP(MID($AR666,1,255),country_lookup!$B:$F,5,FALSE)</f>
        <v>2_civil law</v>
      </c>
      <c r="AO666" s="10" t="str">
        <f>VLOOKUP(MID($AS666,1,255),source_lookup!$B:$K,4,FALSE)</f>
        <v>0_published</v>
      </c>
      <c r="AP666" s="10" t="str">
        <f>VLOOKUP(MID($AS666,1,255),source_lookup!$B:$K,6,FALSE)</f>
        <v>1_VHB high</v>
      </c>
      <c r="AQ666" s="10" t="str">
        <f>VLOOKUP(MID($AS666,1,255),source_lookup!$B:$K,10,FALSE)</f>
        <v>2_sust</v>
      </c>
      <c r="AR666" t="s">
        <v>94</v>
      </c>
      <c r="AS666" t="s">
        <v>154</v>
      </c>
    </row>
    <row r="667" spans="1:45" x14ac:dyDescent="0.3">
      <c r="A667" t="s">
        <v>30</v>
      </c>
      <c r="B667">
        <v>666</v>
      </c>
      <c r="C667" s="1">
        <v>1.2499023551926019E-2</v>
      </c>
      <c r="D667" s="2">
        <v>241</v>
      </c>
      <c r="E667" s="4">
        <v>3136</v>
      </c>
      <c r="F667" s="4" t="s">
        <v>347</v>
      </c>
      <c r="G667" s="4" t="s">
        <v>346</v>
      </c>
      <c r="H667" t="s">
        <v>77</v>
      </c>
      <c r="I667" t="s">
        <v>350</v>
      </c>
      <c r="J667" s="3">
        <v>2008</v>
      </c>
      <c r="K667" s="3">
        <v>2020</v>
      </c>
      <c r="L667" s="6">
        <f t="shared" si="211"/>
        <v>2014</v>
      </c>
      <c r="M667" s="6">
        <f t="shared" si="212"/>
        <v>2014</v>
      </c>
      <c r="N667" s="7">
        <f t="shared" si="200"/>
        <v>0.38461538461538464</v>
      </c>
      <c r="O667" s="7">
        <f t="shared" si="201"/>
        <v>0.30769230769230771</v>
      </c>
      <c r="P667" s="7">
        <f t="shared" si="202"/>
        <v>0.23076923076923078</v>
      </c>
      <c r="Q667" s="7">
        <f t="shared" si="213"/>
        <v>0.15384615384615385</v>
      </c>
      <c r="R667" s="10" t="str">
        <f t="shared" si="203"/>
        <v>0_Pre</v>
      </c>
      <c r="S667" s="10" t="str">
        <f t="shared" si="204"/>
        <v>0_Pre</v>
      </c>
      <c r="T667" s="10" t="str">
        <f t="shared" si="205"/>
        <v>0_Pre</v>
      </c>
      <c r="U667" s="10" t="str">
        <f t="shared" si="206"/>
        <v>1_Post</v>
      </c>
      <c r="V667" s="10" t="str">
        <f t="shared" si="214"/>
        <v>0_Pre</v>
      </c>
      <c r="W667" s="10" t="str">
        <f t="shared" si="207"/>
        <v>straddle</v>
      </c>
      <c r="X667" s="10" t="str">
        <f t="shared" si="208"/>
        <v>0_Pre</v>
      </c>
      <c r="Y667" s="10" t="str">
        <f t="shared" si="209"/>
        <v>0_Pre</v>
      </c>
      <c r="Z667" s="10" t="str">
        <f t="shared" si="210"/>
        <v>0_Pre</v>
      </c>
      <c r="AA667" s="10" t="str">
        <f t="shared" si="215"/>
        <v>1_Post</v>
      </c>
      <c r="AB667" s="10" t="str">
        <f t="shared" si="216"/>
        <v>1_Post</v>
      </c>
      <c r="AC667" s="10" t="str">
        <f t="shared" si="217"/>
        <v>1_Post</v>
      </c>
      <c r="AD667" s="10" t="str">
        <f t="shared" si="218"/>
        <v>2_post sample median</v>
      </c>
      <c r="AE667" s="10" t="str">
        <f t="shared" si="219"/>
        <v>3_post sample third tertile</v>
      </c>
      <c r="AF667" t="s">
        <v>80</v>
      </c>
      <c r="AG667" t="s">
        <v>74</v>
      </c>
      <c r="AH667" t="s">
        <v>78</v>
      </c>
      <c r="AI667" t="s">
        <v>122</v>
      </c>
      <c r="AJ667" t="s">
        <v>123</v>
      </c>
      <c r="AK667" t="str">
        <f>VLOOKUP(MID($AR667,1,255),country_lookup!$B:$F,2,FALSE)</f>
        <v>3_AsiaPac</v>
      </c>
      <c r="AL667" t="str">
        <f>VLOOKUP(MID($AR667,1,255),country_lookup!$B:$F,3,FALSE)</f>
        <v>2_developing</v>
      </c>
      <c r="AM667" t="str">
        <f>VLOOKUP(MID($AR667,1,255),country_lookup!$B:$F,4,FALSE)</f>
        <v>2_non_western</v>
      </c>
      <c r="AN667" t="str">
        <f>VLOOKUP(MID($AR667,1,255),country_lookup!$B:$F,5,FALSE)</f>
        <v>2_civil law</v>
      </c>
      <c r="AO667" s="10" t="str">
        <f>VLOOKUP(MID($AS667,1,255),source_lookup!$B:$K,4,FALSE)</f>
        <v>0_published</v>
      </c>
      <c r="AP667" s="10" t="str">
        <f>VLOOKUP(MID($AS667,1,255),source_lookup!$B:$K,6,FALSE)</f>
        <v>1_VHB high</v>
      </c>
      <c r="AQ667" s="10" t="str">
        <f>VLOOKUP(MID($AS667,1,255),source_lookup!$B:$K,10,FALSE)</f>
        <v>2_sust</v>
      </c>
      <c r="AR667" t="s">
        <v>94</v>
      </c>
      <c r="AS667" t="s">
        <v>154</v>
      </c>
    </row>
    <row r="668" spans="1:45" x14ac:dyDescent="0.3">
      <c r="A668" t="s">
        <v>30</v>
      </c>
      <c r="B668">
        <v>667</v>
      </c>
      <c r="C668" s="1">
        <v>-2.3930161704603867E-2</v>
      </c>
      <c r="D668" s="2">
        <v>196</v>
      </c>
      <c r="E668" s="4">
        <v>8679</v>
      </c>
      <c r="F668" s="4" t="s">
        <v>347</v>
      </c>
      <c r="G668" s="4" t="s">
        <v>346</v>
      </c>
      <c r="H668" t="s">
        <v>77</v>
      </c>
      <c r="I668" t="s">
        <v>350</v>
      </c>
      <c r="J668" s="3">
        <v>2008</v>
      </c>
      <c r="K668" s="3">
        <v>2020</v>
      </c>
      <c r="L668" s="6">
        <f t="shared" si="211"/>
        <v>2014</v>
      </c>
      <c r="M668" s="6">
        <f t="shared" si="212"/>
        <v>2014</v>
      </c>
      <c r="N668" s="7">
        <f t="shared" si="200"/>
        <v>0.38461538461538464</v>
      </c>
      <c r="O668" s="7">
        <f t="shared" si="201"/>
        <v>0.30769230769230771</v>
      </c>
      <c r="P668" s="7">
        <f t="shared" si="202"/>
        <v>0.23076923076923078</v>
      </c>
      <c r="Q668" s="7">
        <f t="shared" si="213"/>
        <v>0.15384615384615385</v>
      </c>
      <c r="R668" s="10" t="str">
        <f t="shared" si="203"/>
        <v>0_Pre</v>
      </c>
      <c r="S668" s="10" t="str">
        <f t="shared" si="204"/>
        <v>0_Pre</v>
      </c>
      <c r="T668" s="10" t="str">
        <f t="shared" si="205"/>
        <v>0_Pre</v>
      </c>
      <c r="U668" s="10" t="str">
        <f t="shared" si="206"/>
        <v>1_Post</v>
      </c>
      <c r="V668" s="10" t="str">
        <f t="shared" si="214"/>
        <v>0_Pre</v>
      </c>
      <c r="W668" s="10" t="str">
        <f t="shared" si="207"/>
        <v>straddle</v>
      </c>
      <c r="X668" s="10" t="str">
        <f t="shared" si="208"/>
        <v>0_Pre</v>
      </c>
      <c r="Y668" s="10" t="str">
        <f t="shared" si="209"/>
        <v>0_Pre</v>
      </c>
      <c r="Z668" s="10" t="str">
        <f t="shared" si="210"/>
        <v>0_Pre</v>
      </c>
      <c r="AA668" s="10" t="str">
        <f t="shared" si="215"/>
        <v>1_Post</v>
      </c>
      <c r="AB668" s="10" t="str">
        <f t="shared" si="216"/>
        <v>1_Post</v>
      </c>
      <c r="AC668" s="10" t="str">
        <f t="shared" si="217"/>
        <v>1_Post</v>
      </c>
      <c r="AD668" s="10" t="str">
        <f t="shared" si="218"/>
        <v>2_post sample median</v>
      </c>
      <c r="AE668" s="10" t="str">
        <f t="shared" si="219"/>
        <v>3_post sample third tertile</v>
      </c>
      <c r="AF668" t="s">
        <v>80</v>
      </c>
      <c r="AG668" t="s">
        <v>74</v>
      </c>
      <c r="AH668" t="s">
        <v>78</v>
      </c>
      <c r="AI668" t="s">
        <v>122</v>
      </c>
      <c r="AJ668" t="s">
        <v>123</v>
      </c>
      <c r="AK668" t="str">
        <f>VLOOKUP(MID($AR668,1,255),country_lookup!$B:$F,2,FALSE)</f>
        <v>3_AsiaPac</v>
      </c>
      <c r="AL668" t="str">
        <f>VLOOKUP(MID($AR668,1,255),country_lookup!$B:$F,3,FALSE)</f>
        <v>2_developing</v>
      </c>
      <c r="AM668" t="str">
        <f>VLOOKUP(MID($AR668,1,255),country_lookup!$B:$F,4,FALSE)</f>
        <v>2_non_western</v>
      </c>
      <c r="AN668" t="str">
        <f>VLOOKUP(MID($AR668,1,255),country_lookup!$B:$F,5,FALSE)</f>
        <v>2_civil law</v>
      </c>
      <c r="AO668" s="10" t="str">
        <f>VLOOKUP(MID($AS668,1,255),source_lookup!$B:$K,4,FALSE)</f>
        <v>0_published</v>
      </c>
      <c r="AP668" s="10" t="str">
        <f>VLOOKUP(MID($AS668,1,255),source_lookup!$B:$K,6,FALSE)</f>
        <v>1_VHB high</v>
      </c>
      <c r="AQ668" s="10" t="str">
        <f>VLOOKUP(MID($AS668,1,255),source_lookup!$B:$K,10,FALSE)</f>
        <v>2_sust</v>
      </c>
      <c r="AR668" t="s">
        <v>94</v>
      </c>
      <c r="AS668" t="s">
        <v>154</v>
      </c>
    </row>
    <row r="669" spans="1:45" x14ac:dyDescent="0.3">
      <c r="A669" t="s">
        <v>30</v>
      </c>
      <c r="B669">
        <v>668</v>
      </c>
      <c r="C669" s="1">
        <v>1.3486228285231843E-2</v>
      </c>
      <c r="D669" s="2">
        <v>241</v>
      </c>
      <c r="E669" s="4">
        <v>13550</v>
      </c>
      <c r="F669" s="4" t="s">
        <v>347</v>
      </c>
      <c r="G669" s="4" t="s">
        <v>346</v>
      </c>
      <c r="H669" t="s">
        <v>77</v>
      </c>
      <c r="I669" t="s">
        <v>350</v>
      </c>
      <c r="J669" s="3">
        <v>2008</v>
      </c>
      <c r="K669" s="3">
        <v>2020</v>
      </c>
      <c r="L669" s="6">
        <f t="shared" si="211"/>
        <v>2014</v>
      </c>
      <c r="M669" s="6">
        <f t="shared" si="212"/>
        <v>2014</v>
      </c>
      <c r="N669" s="7">
        <f t="shared" si="200"/>
        <v>0.38461538461538464</v>
      </c>
      <c r="O669" s="7">
        <f t="shared" si="201"/>
        <v>0.30769230769230771</v>
      </c>
      <c r="P669" s="7">
        <f t="shared" si="202"/>
        <v>0.23076923076923078</v>
      </c>
      <c r="Q669" s="7">
        <f t="shared" si="213"/>
        <v>0.15384615384615385</v>
      </c>
      <c r="R669" s="10" t="str">
        <f t="shared" si="203"/>
        <v>0_Pre</v>
      </c>
      <c r="S669" s="10" t="str">
        <f t="shared" si="204"/>
        <v>0_Pre</v>
      </c>
      <c r="T669" s="10" t="str">
        <f t="shared" si="205"/>
        <v>0_Pre</v>
      </c>
      <c r="U669" s="10" t="str">
        <f t="shared" si="206"/>
        <v>1_Post</v>
      </c>
      <c r="V669" s="10" t="str">
        <f t="shared" si="214"/>
        <v>0_Pre</v>
      </c>
      <c r="W669" s="10" t="str">
        <f t="shared" si="207"/>
        <v>straddle</v>
      </c>
      <c r="X669" s="10" t="str">
        <f t="shared" si="208"/>
        <v>0_Pre</v>
      </c>
      <c r="Y669" s="10" t="str">
        <f t="shared" si="209"/>
        <v>0_Pre</v>
      </c>
      <c r="Z669" s="10" t="str">
        <f t="shared" si="210"/>
        <v>0_Pre</v>
      </c>
      <c r="AA669" s="10" t="str">
        <f t="shared" si="215"/>
        <v>1_Post</v>
      </c>
      <c r="AB669" s="10" t="str">
        <f t="shared" si="216"/>
        <v>1_Post</v>
      </c>
      <c r="AC669" s="10" t="str">
        <f t="shared" si="217"/>
        <v>1_Post</v>
      </c>
      <c r="AD669" s="10" t="str">
        <f t="shared" si="218"/>
        <v>2_post sample median</v>
      </c>
      <c r="AE669" s="10" t="str">
        <f t="shared" si="219"/>
        <v>3_post sample third tertile</v>
      </c>
      <c r="AF669" t="s">
        <v>80</v>
      </c>
      <c r="AG669" t="s">
        <v>74</v>
      </c>
      <c r="AH669" t="s">
        <v>78</v>
      </c>
      <c r="AI669" t="s">
        <v>122</v>
      </c>
      <c r="AJ669" t="s">
        <v>123</v>
      </c>
      <c r="AK669" t="str">
        <f>VLOOKUP(MID($AR669,1,255),country_lookup!$B:$F,2,FALSE)</f>
        <v>3_AsiaPac</v>
      </c>
      <c r="AL669" t="str">
        <f>VLOOKUP(MID($AR669,1,255),country_lookup!$B:$F,3,FALSE)</f>
        <v>2_developing</v>
      </c>
      <c r="AM669" t="str">
        <f>VLOOKUP(MID($AR669,1,255),country_lookup!$B:$F,4,FALSE)</f>
        <v>2_non_western</v>
      </c>
      <c r="AN669" t="str">
        <f>VLOOKUP(MID($AR669,1,255),country_lookup!$B:$F,5,FALSE)</f>
        <v>2_civil law</v>
      </c>
      <c r="AO669" s="10" t="str">
        <f>VLOOKUP(MID($AS669,1,255),source_lookup!$B:$K,4,FALSE)</f>
        <v>0_published</v>
      </c>
      <c r="AP669" s="10" t="str">
        <f>VLOOKUP(MID($AS669,1,255),source_lookup!$B:$K,6,FALSE)</f>
        <v>1_VHB high</v>
      </c>
      <c r="AQ669" s="10" t="str">
        <f>VLOOKUP(MID($AS669,1,255),source_lookup!$B:$K,10,FALSE)</f>
        <v>2_sust</v>
      </c>
      <c r="AR669" t="s">
        <v>94</v>
      </c>
      <c r="AS669" t="s">
        <v>154</v>
      </c>
    </row>
    <row r="670" spans="1:45" x14ac:dyDescent="0.3">
      <c r="A670" t="s">
        <v>30</v>
      </c>
      <c r="B670">
        <v>669</v>
      </c>
      <c r="C670" s="1">
        <v>-6.6155024210335686E-2</v>
      </c>
      <c r="D670" s="2">
        <v>92</v>
      </c>
      <c r="E670" s="4">
        <v>1193</v>
      </c>
      <c r="F670" s="4" t="s">
        <v>347</v>
      </c>
      <c r="G670" s="4" t="s">
        <v>346</v>
      </c>
      <c r="H670" t="s">
        <v>77</v>
      </c>
      <c r="I670" t="s">
        <v>350</v>
      </c>
      <c r="J670" s="3">
        <v>2008</v>
      </c>
      <c r="K670" s="3">
        <v>2020</v>
      </c>
      <c r="L670" s="6">
        <f t="shared" si="211"/>
        <v>2014</v>
      </c>
      <c r="M670" s="6">
        <f t="shared" si="212"/>
        <v>2014</v>
      </c>
      <c r="N670" s="7">
        <f t="shared" si="200"/>
        <v>0.38461538461538464</v>
      </c>
      <c r="O670" s="7">
        <f t="shared" si="201"/>
        <v>0.30769230769230771</v>
      </c>
      <c r="P670" s="7">
        <f t="shared" si="202"/>
        <v>0.23076923076923078</v>
      </c>
      <c r="Q670" s="7">
        <f t="shared" si="213"/>
        <v>0.15384615384615385</v>
      </c>
      <c r="R670" s="10" t="str">
        <f t="shared" si="203"/>
        <v>0_Pre</v>
      </c>
      <c r="S670" s="10" t="str">
        <f t="shared" si="204"/>
        <v>0_Pre</v>
      </c>
      <c r="T670" s="10" t="str">
        <f t="shared" si="205"/>
        <v>0_Pre</v>
      </c>
      <c r="U670" s="10" t="str">
        <f t="shared" si="206"/>
        <v>1_Post</v>
      </c>
      <c r="V670" s="10" t="str">
        <f t="shared" si="214"/>
        <v>0_Pre</v>
      </c>
      <c r="W670" s="10" t="str">
        <f t="shared" si="207"/>
        <v>straddle</v>
      </c>
      <c r="X670" s="10" t="str">
        <f t="shared" si="208"/>
        <v>0_Pre</v>
      </c>
      <c r="Y670" s="10" t="str">
        <f t="shared" si="209"/>
        <v>0_Pre</v>
      </c>
      <c r="Z670" s="10" t="str">
        <f t="shared" si="210"/>
        <v>0_Pre</v>
      </c>
      <c r="AA670" s="10" t="str">
        <f t="shared" si="215"/>
        <v>1_Post</v>
      </c>
      <c r="AB670" s="10" t="str">
        <f t="shared" si="216"/>
        <v>1_Post</v>
      </c>
      <c r="AC670" s="10" t="str">
        <f t="shared" si="217"/>
        <v>1_Post</v>
      </c>
      <c r="AD670" s="10" t="str">
        <f t="shared" si="218"/>
        <v>2_post sample median</v>
      </c>
      <c r="AE670" s="10" t="str">
        <f t="shared" si="219"/>
        <v>3_post sample third tertile</v>
      </c>
      <c r="AF670" t="s">
        <v>80</v>
      </c>
      <c r="AG670" t="s">
        <v>74</v>
      </c>
      <c r="AH670" t="s">
        <v>78</v>
      </c>
      <c r="AI670" t="s">
        <v>122</v>
      </c>
      <c r="AJ670" t="s">
        <v>123</v>
      </c>
      <c r="AK670" t="str">
        <f>VLOOKUP(MID($AR670,1,255),country_lookup!$B:$F,2,FALSE)</f>
        <v>3_AsiaPac</v>
      </c>
      <c r="AL670" t="str">
        <f>VLOOKUP(MID($AR670,1,255),country_lookup!$B:$F,3,FALSE)</f>
        <v>2_developing</v>
      </c>
      <c r="AM670" t="str">
        <f>VLOOKUP(MID($AR670,1,255),country_lookup!$B:$F,4,FALSE)</f>
        <v>2_non_western</v>
      </c>
      <c r="AN670" t="str">
        <f>VLOOKUP(MID($AR670,1,255),country_lookup!$B:$F,5,FALSE)</f>
        <v>2_civil law</v>
      </c>
      <c r="AO670" s="10" t="str">
        <f>VLOOKUP(MID($AS670,1,255),source_lookup!$B:$K,4,FALSE)</f>
        <v>0_published</v>
      </c>
      <c r="AP670" s="10" t="str">
        <f>VLOOKUP(MID($AS670,1,255),source_lookup!$B:$K,6,FALSE)</f>
        <v>1_VHB high</v>
      </c>
      <c r="AQ670" s="10" t="str">
        <f>VLOOKUP(MID($AS670,1,255),source_lookup!$B:$K,10,FALSE)</f>
        <v>2_sust</v>
      </c>
      <c r="AR670" t="s">
        <v>94</v>
      </c>
      <c r="AS670" t="s">
        <v>154</v>
      </c>
    </row>
    <row r="671" spans="1:45" x14ac:dyDescent="0.3">
      <c r="A671" t="s">
        <v>30</v>
      </c>
      <c r="B671">
        <v>670</v>
      </c>
      <c r="C671" s="1">
        <v>-5.6078649226922808E-2</v>
      </c>
      <c r="D671" s="2">
        <v>92</v>
      </c>
      <c r="E671" s="4">
        <v>1193</v>
      </c>
      <c r="F671" s="4" t="s">
        <v>347</v>
      </c>
      <c r="G671" s="4" t="s">
        <v>346</v>
      </c>
      <c r="H671" t="s">
        <v>77</v>
      </c>
      <c r="I671" t="s">
        <v>350</v>
      </c>
      <c r="J671" s="3">
        <v>2008</v>
      </c>
      <c r="K671" s="3">
        <v>2020</v>
      </c>
      <c r="L671" s="6">
        <f t="shared" si="211"/>
        <v>2014</v>
      </c>
      <c r="M671" s="6">
        <f t="shared" si="212"/>
        <v>2014</v>
      </c>
      <c r="N671" s="7">
        <f t="shared" si="200"/>
        <v>0.38461538461538464</v>
      </c>
      <c r="O671" s="7">
        <f t="shared" si="201"/>
        <v>0.30769230769230771</v>
      </c>
      <c r="P671" s="7">
        <f t="shared" si="202"/>
        <v>0.23076923076923078</v>
      </c>
      <c r="Q671" s="7">
        <f t="shared" si="213"/>
        <v>0.15384615384615385</v>
      </c>
      <c r="R671" s="10" t="str">
        <f t="shared" si="203"/>
        <v>0_Pre</v>
      </c>
      <c r="S671" s="10" t="str">
        <f t="shared" si="204"/>
        <v>0_Pre</v>
      </c>
      <c r="T671" s="10" t="str">
        <f t="shared" si="205"/>
        <v>0_Pre</v>
      </c>
      <c r="U671" s="10" t="str">
        <f t="shared" si="206"/>
        <v>1_Post</v>
      </c>
      <c r="V671" s="10" t="str">
        <f t="shared" si="214"/>
        <v>0_Pre</v>
      </c>
      <c r="W671" s="10" t="str">
        <f t="shared" si="207"/>
        <v>straddle</v>
      </c>
      <c r="X671" s="10" t="str">
        <f t="shared" si="208"/>
        <v>0_Pre</v>
      </c>
      <c r="Y671" s="10" t="str">
        <f t="shared" si="209"/>
        <v>0_Pre</v>
      </c>
      <c r="Z671" s="10" t="str">
        <f t="shared" si="210"/>
        <v>0_Pre</v>
      </c>
      <c r="AA671" s="10" t="str">
        <f t="shared" si="215"/>
        <v>1_Post</v>
      </c>
      <c r="AB671" s="10" t="str">
        <f t="shared" si="216"/>
        <v>1_Post</v>
      </c>
      <c r="AC671" s="10" t="str">
        <f t="shared" si="217"/>
        <v>1_Post</v>
      </c>
      <c r="AD671" s="10" t="str">
        <f t="shared" si="218"/>
        <v>2_post sample median</v>
      </c>
      <c r="AE671" s="10" t="str">
        <f t="shared" si="219"/>
        <v>3_post sample third tertile</v>
      </c>
      <c r="AF671" t="s">
        <v>80</v>
      </c>
      <c r="AG671" t="s">
        <v>74</v>
      </c>
      <c r="AH671" t="s">
        <v>78</v>
      </c>
      <c r="AI671" t="s">
        <v>122</v>
      </c>
      <c r="AJ671" t="s">
        <v>123</v>
      </c>
      <c r="AK671" t="str">
        <f>VLOOKUP(MID($AR671,1,255),country_lookup!$B:$F,2,FALSE)</f>
        <v>3_AsiaPac</v>
      </c>
      <c r="AL671" t="str">
        <f>VLOOKUP(MID($AR671,1,255),country_lookup!$B:$F,3,FALSE)</f>
        <v>2_developing</v>
      </c>
      <c r="AM671" t="str">
        <f>VLOOKUP(MID($AR671,1,255),country_lookup!$B:$F,4,FALSE)</f>
        <v>2_non_western</v>
      </c>
      <c r="AN671" t="str">
        <f>VLOOKUP(MID($AR671,1,255),country_lookup!$B:$F,5,FALSE)</f>
        <v>2_civil law</v>
      </c>
      <c r="AO671" s="10" t="str">
        <f>VLOOKUP(MID($AS671,1,255),source_lookup!$B:$K,4,FALSE)</f>
        <v>0_published</v>
      </c>
      <c r="AP671" s="10" t="str">
        <f>VLOOKUP(MID($AS671,1,255),source_lookup!$B:$K,6,FALSE)</f>
        <v>1_VHB high</v>
      </c>
      <c r="AQ671" s="10" t="str">
        <f>VLOOKUP(MID($AS671,1,255),source_lookup!$B:$K,10,FALSE)</f>
        <v>2_sust</v>
      </c>
      <c r="AR671" t="s">
        <v>94</v>
      </c>
      <c r="AS671" t="s">
        <v>154</v>
      </c>
    </row>
    <row r="672" spans="1:45" x14ac:dyDescent="0.3">
      <c r="A672" t="s">
        <v>31</v>
      </c>
      <c r="B672">
        <v>671</v>
      </c>
      <c r="C672" s="1">
        <v>-2.6476287827598255E-2</v>
      </c>
      <c r="D672" s="2">
        <v>1139</v>
      </c>
      <c r="E672" s="4">
        <v>6832</v>
      </c>
      <c r="F672" s="4" t="s">
        <v>346</v>
      </c>
      <c r="G672" s="4" t="s">
        <v>347</v>
      </c>
      <c r="H672" t="s">
        <v>77</v>
      </c>
      <c r="I672" t="s">
        <v>352</v>
      </c>
      <c r="J672" s="3">
        <v>2010</v>
      </c>
      <c r="K672" s="3">
        <v>2015</v>
      </c>
      <c r="L672" s="6">
        <f t="shared" si="211"/>
        <v>2012.5</v>
      </c>
      <c r="M672" s="6">
        <f t="shared" si="212"/>
        <v>2012.5</v>
      </c>
      <c r="N672" s="7">
        <f t="shared" si="200"/>
        <v>0</v>
      </c>
      <c r="O672" s="7">
        <f t="shared" si="201"/>
        <v>0</v>
      </c>
      <c r="P672" s="7">
        <f t="shared" si="202"/>
        <v>0</v>
      </c>
      <c r="Q672" s="7">
        <f t="shared" si="213"/>
        <v>0</v>
      </c>
      <c r="R672" s="10" t="str">
        <f t="shared" si="203"/>
        <v>0_Pre</v>
      </c>
      <c r="S672" s="10" t="str">
        <f t="shared" si="204"/>
        <v>0_Pre</v>
      </c>
      <c r="T672" s="10" t="str">
        <f t="shared" si="205"/>
        <v>0_Pre</v>
      </c>
      <c r="U672" s="10" t="str">
        <f t="shared" si="206"/>
        <v>0_Pre</v>
      </c>
      <c r="V672" s="10" t="str">
        <f t="shared" si="214"/>
        <v>0_Pre</v>
      </c>
      <c r="W672" s="10" t="str">
        <f t="shared" si="207"/>
        <v>clean_pre</v>
      </c>
      <c r="X672" s="10" t="str">
        <f t="shared" si="208"/>
        <v>0_Pre</v>
      </c>
      <c r="Y672" s="10" t="str">
        <f t="shared" si="209"/>
        <v>0_Pre</v>
      </c>
      <c r="Z672" s="10" t="str">
        <f t="shared" si="210"/>
        <v>0_Pre</v>
      </c>
      <c r="AA672" s="10" t="str">
        <f t="shared" si="215"/>
        <v>0_Pre</v>
      </c>
      <c r="AB672" s="10" t="str">
        <f t="shared" si="216"/>
        <v>0_Pre</v>
      </c>
      <c r="AC672" s="10" t="str">
        <f t="shared" si="217"/>
        <v>0_Pre</v>
      </c>
      <c r="AD672" s="10" t="str">
        <f t="shared" si="218"/>
        <v>2_post sample median</v>
      </c>
      <c r="AE672" s="10" t="str">
        <f t="shared" si="219"/>
        <v>2_in sample second tertile</v>
      </c>
      <c r="AF672" t="s">
        <v>82</v>
      </c>
      <c r="AG672" t="s">
        <v>75</v>
      </c>
      <c r="AH672" t="s">
        <v>78</v>
      </c>
      <c r="AI672" t="s">
        <v>122</v>
      </c>
      <c r="AJ672" t="s">
        <v>123</v>
      </c>
      <c r="AK672" t="str">
        <f>VLOOKUP(MID($AR672,1,255),country_lookup!$B:$F,2,FALSE)</f>
        <v>3_AsiaPac</v>
      </c>
      <c r="AL672" t="str">
        <f>VLOOKUP(MID($AR672,1,255),country_lookup!$B:$F,3,FALSE)</f>
        <v>1_developed</v>
      </c>
      <c r="AM672" t="str">
        <f>VLOOKUP(MID($AR672,1,255),country_lookup!$B:$F,4,FALSE)</f>
        <v>2_non_western</v>
      </c>
      <c r="AN672" t="str">
        <f>VLOOKUP(MID($AR672,1,255),country_lookup!$B:$F,5,FALSE)</f>
        <v>2_civil law</v>
      </c>
      <c r="AO672" s="10" t="str">
        <f>VLOOKUP(MID($AS672,1,255),source_lookup!$B:$K,4,FALSE)</f>
        <v>0_published</v>
      </c>
      <c r="AP672" s="10" t="str">
        <f>VLOOKUP(MID($AS672,1,255),source_lookup!$B:$K,6,FALSE)</f>
        <v>0_VHB low</v>
      </c>
      <c r="AQ672" s="10" t="str">
        <f>VLOOKUP(MID($AS672,1,255),source_lookup!$B:$K,10,FALSE)</f>
        <v>2_sust</v>
      </c>
      <c r="AR672" t="s">
        <v>103</v>
      </c>
      <c r="AS672" t="s">
        <v>155</v>
      </c>
    </row>
    <row r="673" spans="1:45" x14ac:dyDescent="0.3">
      <c r="A673" t="s">
        <v>31</v>
      </c>
      <c r="B673">
        <v>672</v>
      </c>
      <c r="C673" s="1">
        <v>-3.6697309421860946E-2</v>
      </c>
      <c r="D673" s="2">
        <v>1139</v>
      </c>
      <c r="E673" s="4">
        <v>6832</v>
      </c>
      <c r="F673" s="4" t="s">
        <v>346</v>
      </c>
      <c r="G673" s="4" t="s">
        <v>347</v>
      </c>
      <c r="H673" t="s">
        <v>77</v>
      </c>
      <c r="I673" t="s">
        <v>352</v>
      </c>
      <c r="J673" s="3">
        <v>2010</v>
      </c>
      <c r="K673" s="3">
        <v>2015</v>
      </c>
      <c r="L673" s="6">
        <f t="shared" si="211"/>
        <v>2012.5</v>
      </c>
      <c r="M673" s="6">
        <f t="shared" si="212"/>
        <v>2012.5</v>
      </c>
      <c r="N673" s="7">
        <f t="shared" si="200"/>
        <v>0</v>
      </c>
      <c r="O673" s="7">
        <f t="shared" si="201"/>
        <v>0</v>
      </c>
      <c r="P673" s="7">
        <f t="shared" si="202"/>
        <v>0</v>
      </c>
      <c r="Q673" s="7">
        <f t="shared" si="213"/>
        <v>0</v>
      </c>
      <c r="R673" s="10" t="str">
        <f t="shared" si="203"/>
        <v>0_Pre</v>
      </c>
      <c r="S673" s="10" t="str">
        <f t="shared" si="204"/>
        <v>0_Pre</v>
      </c>
      <c r="T673" s="10" t="str">
        <f t="shared" si="205"/>
        <v>0_Pre</v>
      </c>
      <c r="U673" s="10" t="str">
        <f t="shared" si="206"/>
        <v>0_Pre</v>
      </c>
      <c r="V673" s="10" t="str">
        <f t="shared" si="214"/>
        <v>0_Pre</v>
      </c>
      <c r="W673" s="10" t="str">
        <f t="shared" si="207"/>
        <v>clean_pre</v>
      </c>
      <c r="X673" s="10" t="str">
        <f t="shared" si="208"/>
        <v>0_Pre</v>
      </c>
      <c r="Y673" s="10" t="str">
        <f t="shared" si="209"/>
        <v>0_Pre</v>
      </c>
      <c r="Z673" s="10" t="str">
        <f t="shared" si="210"/>
        <v>0_Pre</v>
      </c>
      <c r="AA673" s="10" t="str">
        <f t="shared" si="215"/>
        <v>0_Pre</v>
      </c>
      <c r="AB673" s="10" t="str">
        <f t="shared" si="216"/>
        <v>0_Pre</v>
      </c>
      <c r="AC673" s="10" t="str">
        <f t="shared" si="217"/>
        <v>0_Pre</v>
      </c>
      <c r="AD673" s="10" t="str">
        <f t="shared" si="218"/>
        <v>2_post sample median</v>
      </c>
      <c r="AE673" s="10" t="str">
        <f t="shared" si="219"/>
        <v>2_in sample second tertile</v>
      </c>
      <c r="AF673" t="s">
        <v>82</v>
      </c>
      <c r="AG673" t="s">
        <v>75</v>
      </c>
      <c r="AH673" t="s">
        <v>78</v>
      </c>
      <c r="AI673" t="s">
        <v>122</v>
      </c>
      <c r="AJ673" t="s">
        <v>123</v>
      </c>
      <c r="AK673" t="str">
        <f>VLOOKUP(MID($AR673,1,255),country_lookup!$B:$F,2,FALSE)</f>
        <v>3_AsiaPac</v>
      </c>
      <c r="AL673" t="str">
        <f>VLOOKUP(MID($AR673,1,255),country_lookup!$B:$F,3,FALSE)</f>
        <v>1_developed</v>
      </c>
      <c r="AM673" t="str">
        <f>VLOOKUP(MID($AR673,1,255),country_lookup!$B:$F,4,FALSE)</f>
        <v>2_non_western</v>
      </c>
      <c r="AN673" t="str">
        <f>VLOOKUP(MID($AR673,1,255),country_lookup!$B:$F,5,FALSE)</f>
        <v>2_civil law</v>
      </c>
      <c r="AO673" s="10" t="str">
        <f>VLOOKUP(MID($AS673,1,255),source_lookup!$B:$K,4,FALSE)</f>
        <v>0_published</v>
      </c>
      <c r="AP673" s="10" t="str">
        <f>VLOOKUP(MID($AS673,1,255),source_lookup!$B:$K,6,FALSE)</f>
        <v>0_VHB low</v>
      </c>
      <c r="AQ673" s="10" t="str">
        <f>VLOOKUP(MID($AS673,1,255),source_lookup!$B:$K,10,FALSE)</f>
        <v>2_sust</v>
      </c>
      <c r="AR673" t="s">
        <v>103</v>
      </c>
      <c r="AS673" t="s">
        <v>155</v>
      </c>
    </row>
    <row r="674" spans="1:45" x14ac:dyDescent="0.3">
      <c r="A674" t="s">
        <v>31</v>
      </c>
      <c r="B674">
        <v>673</v>
      </c>
      <c r="C674" s="1">
        <v>-2.5962365972454163E-2</v>
      </c>
      <c r="D674" s="2">
        <v>1139</v>
      </c>
      <c r="E674" s="4">
        <v>6832</v>
      </c>
      <c r="F674" s="4" t="s">
        <v>346</v>
      </c>
      <c r="G674" s="4" t="s">
        <v>347</v>
      </c>
      <c r="H674" t="s">
        <v>77</v>
      </c>
      <c r="I674" t="s">
        <v>352</v>
      </c>
      <c r="J674" s="3">
        <v>2010</v>
      </c>
      <c r="K674" s="3">
        <v>2015</v>
      </c>
      <c r="L674" s="6">
        <f t="shared" si="211"/>
        <v>2012.5</v>
      </c>
      <c r="M674" s="6">
        <f t="shared" si="212"/>
        <v>2012.5</v>
      </c>
      <c r="N674" s="7">
        <f t="shared" si="200"/>
        <v>0</v>
      </c>
      <c r="O674" s="7">
        <f t="shared" si="201"/>
        <v>0</v>
      </c>
      <c r="P674" s="7">
        <f t="shared" si="202"/>
        <v>0</v>
      </c>
      <c r="Q674" s="7">
        <f t="shared" si="213"/>
        <v>0</v>
      </c>
      <c r="R674" s="10" t="str">
        <f t="shared" si="203"/>
        <v>0_Pre</v>
      </c>
      <c r="S674" s="10" t="str">
        <f t="shared" si="204"/>
        <v>0_Pre</v>
      </c>
      <c r="T674" s="10" t="str">
        <f t="shared" si="205"/>
        <v>0_Pre</v>
      </c>
      <c r="U674" s="10" t="str">
        <f t="shared" si="206"/>
        <v>0_Pre</v>
      </c>
      <c r="V674" s="10" t="str">
        <f t="shared" si="214"/>
        <v>0_Pre</v>
      </c>
      <c r="W674" s="10" t="str">
        <f t="shared" si="207"/>
        <v>clean_pre</v>
      </c>
      <c r="X674" s="10" t="str">
        <f t="shared" si="208"/>
        <v>0_Pre</v>
      </c>
      <c r="Y674" s="10" t="str">
        <f t="shared" si="209"/>
        <v>0_Pre</v>
      </c>
      <c r="Z674" s="10" t="str">
        <f t="shared" si="210"/>
        <v>0_Pre</v>
      </c>
      <c r="AA674" s="10" t="str">
        <f t="shared" si="215"/>
        <v>0_Pre</v>
      </c>
      <c r="AB674" s="10" t="str">
        <f t="shared" si="216"/>
        <v>0_Pre</v>
      </c>
      <c r="AC674" s="10" t="str">
        <f t="shared" si="217"/>
        <v>0_Pre</v>
      </c>
      <c r="AD674" s="10" t="str">
        <f t="shared" si="218"/>
        <v>2_post sample median</v>
      </c>
      <c r="AE674" s="10" t="str">
        <f t="shared" si="219"/>
        <v>2_in sample second tertile</v>
      </c>
      <c r="AF674" t="s">
        <v>82</v>
      </c>
      <c r="AG674" t="s">
        <v>75</v>
      </c>
      <c r="AH674" t="s">
        <v>78</v>
      </c>
      <c r="AI674" t="s">
        <v>122</v>
      </c>
      <c r="AJ674" t="s">
        <v>123</v>
      </c>
      <c r="AK674" t="str">
        <f>VLOOKUP(MID($AR674,1,255),country_lookup!$B:$F,2,FALSE)</f>
        <v>3_AsiaPac</v>
      </c>
      <c r="AL674" t="str">
        <f>VLOOKUP(MID($AR674,1,255),country_lookup!$B:$F,3,FALSE)</f>
        <v>1_developed</v>
      </c>
      <c r="AM674" t="str">
        <f>VLOOKUP(MID($AR674,1,255),country_lookup!$B:$F,4,FALSE)</f>
        <v>2_non_western</v>
      </c>
      <c r="AN674" t="str">
        <f>VLOOKUP(MID($AR674,1,255),country_lookup!$B:$F,5,FALSE)</f>
        <v>2_civil law</v>
      </c>
      <c r="AO674" s="10" t="str">
        <f>VLOOKUP(MID($AS674,1,255),source_lookup!$B:$K,4,FALSE)</f>
        <v>0_published</v>
      </c>
      <c r="AP674" s="10" t="str">
        <f>VLOOKUP(MID($AS674,1,255),source_lookup!$B:$K,6,FALSE)</f>
        <v>0_VHB low</v>
      </c>
      <c r="AQ674" s="10" t="str">
        <f>VLOOKUP(MID($AS674,1,255),source_lookup!$B:$K,10,FALSE)</f>
        <v>2_sust</v>
      </c>
      <c r="AR674" t="s">
        <v>103</v>
      </c>
      <c r="AS674" t="s">
        <v>155</v>
      </c>
    </row>
    <row r="675" spans="1:45" x14ac:dyDescent="0.3">
      <c r="A675" t="s">
        <v>31</v>
      </c>
      <c r="B675">
        <v>674</v>
      </c>
      <c r="C675" s="1">
        <v>-2.5052997642670667E-2</v>
      </c>
      <c r="D675" s="2">
        <v>1139</v>
      </c>
      <c r="E675" s="4">
        <v>6832</v>
      </c>
      <c r="F675" s="4" t="s">
        <v>346</v>
      </c>
      <c r="G675" s="4" t="s">
        <v>347</v>
      </c>
      <c r="H675" t="s">
        <v>77</v>
      </c>
      <c r="I675" t="s">
        <v>352</v>
      </c>
      <c r="J675" s="3">
        <v>2010</v>
      </c>
      <c r="K675" s="3">
        <v>2015</v>
      </c>
      <c r="L675" s="6">
        <f t="shared" si="211"/>
        <v>2012.5</v>
      </c>
      <c r="M675" s="6">
        <f t="shared" si="212"/>
        <v>2012.5</v>
      </c>
      <c r="N675" s="7">
        <f t="shared" si="200"/>
        <v>0</v>
      </c>
      <c r="O675" s="7">
        <f t="shared" si="201"/>
        <v>0</v>
      </c>
      <c r="P675" s="7">
        <f t="shared" si="202"/>
        <v>0</v>
      </c>
      <c r="Q675" s="7">
        <f t="shared" si="213"/>
        <v>0</v>
      </c>
      <c r="R675" s="10" t="str">
        <f t="shared" si="203"/>
        <v>0_Pre</v>
      </c>
      <c r="S675" s="10" t="str">
        <f t="shared" si="204"/>
        <v>0_Pre</v>
      </c>
      <c r="T675" s="10" t="str">
        <f t="shared" si="205"/>
        <v>0_Pre</v>
      </c>
      <c r="U675" s="10" t="str">
        <f t="shared" si="206"/>
        <v>0_Pre</v>
      </c>
      <c r="V675" s="10" t="str">
        <f t="shared" si="214"/>
        <v>0_Pre</v>
      </c>
      <c r="W675" s="10" t="str">
        <f t="shared" si="207"/>
        <v>clean_pre</v>
      </c>
      <c r="X675" s="10" t="str">
        <f t="shared" si="208"/>
        <v>0_Pre</v>
      </c>
      <c r="Y675" s="10" t="str">
        <f t="shared" si="209"/>
        <v>0_Pre</v>
      </c>
      <c r="Z675" s="10" t="str">
        <f t="shared" si="210"/>
        <v>0_Pre</v>
      </c>
      <c r="AA675" s="10" t="str">
        <f t="shared" si="215"/>
        <v>0_Pre</v>
      </c>
      <c r="AB675" s="10" t="str">
        <f t="shared" si="216"/>
        <v>0_Pre</v>
      </c>
      <c r="AC675" s="10" t="str">
        <f t="shared" si="217"/>
        <v>0_Pre</v>
      </c>
      <c r="AD675" s="10" t="str">
        <f t="shared" si="218"/>
        <v>2_post sample median</v>
      </c>
      <c r="AE675" s="10" t="str">
        <f t="shared" si="219"/>
        <v>2_in sample second tertile</v>
      </c>
      <c r="AF675" t="s">
        <v>82</v>
      </c>
      <c r="AG675" t="s">
        <v>75</v>
      </c>
      <c r="AH675" t="s">
        <v>78</v>
      </c>
      <c r="AI675" t="s">
        <v>122</v>
      </c>
      <c r="AJ675" t="s">
        <v>123</v>
      </c>
      <c r="AK675" t="str">
        <f>VLOOKUP(MID($AR675,1,255),country_lookup!$B:$F,2,FALSE)</f>
        <v>3_AsiaPac</v>
      </c>
      <c r="AL675" t="str">
        <f>VLOOKUP(MID($AR675,1,255),country_lookup!$B:$F,3,FALSE)</f>
        <v>1_developed</v>
      </c>
      <c r="AM675" t="str">
        <f>VLOOKUP(MID($AR675,1,255),country_lookup!$B:$F,4,FALSE)</f>
        <v>2_non_western</v>
      </c>
      <c r="AN675" t="str">
        <f>VLOOKUP(MID($AR675,1,255),country_lookup!$B:$F,5,FALSE)</f>
        <v>2_civil law</v>
      </c>
      <c r="AO675" s="10" t="str">
        <f>VLOOKUP(MID($AS675,1,255),source_lookup!$B:$K,4,FALSE)</f>
        <v>0_published</v>
      </c>
      <c r="AP675" s="10" t="str">
        <f>VLOOKUP(MID($AS675,1,255),source_lookup!$B:$K,6,FALSE)</f>
        <v>0_VHB low</v>
      </c>
      <c r="AQ675" s="10" t="str">
        <f>VLOOKUP(MID($AS675,1,255),source_lookup!$B:$K,10,FALSE)</f>
        <v>2_sust</v>
      </c>
      <c r="AR675" t="s">
        <v>103</v>
      </c>
      <c r="AS675" t="s">
        <v>155</v>
      </c>
    </row>
    <row r="676" spans="1:45" x14ac:dyDescent="0.3">
      <c r="A676" t="s">
        <v>31</v>
      </c>
      <c r="B676">
        <v>675</v>
      </c>
      <c r="C676" s="1">
        <v>-2.5859527541094524E-2</v>
      </c>
      <c r="D676" s="2">
        <v>1139</v>
      </c>
      <c r="E676" s="4">
        <v>6832</v>
      </c>
      <c r="F676" s="4" t="s">
        <v>346</v>
      </c>
      <c r="G676" s="4" t="s">
        <v>347</v>
      </c>
      <c r="H676" t="s">
        <v>77</v>
      </c>
      <c r="I676" t="s">
        <v>352</v>
      </c>
      <c r="J676" s="3">
        <v>2010</v>
      </c>
      <c r="K676" s="3">
        <v>2015</v>
      </c>
      <c r="L676" s="6">
        <f t="shared" si="211"/>
        <v>2012.5</v>
      </c>
      <c r="M676" s="6">
        <f t="shared" si="212"/>
        <v>2012.5</v>
      </c>
      <c r="N676" s="7">
        <f t="shared" si="200"/>
        <v>0</v>
      </c>
      <c r="O676" s="7">
        <f t="shared" si="201"/>
        <v>0</v>
      </c>
      <c r="P676" s="7">
        <f t="shared" si="202"/>
        <v>0</v>
      </c>
      <c r="Q676" s="7">
        <f t="shared" si="213"/>
        <v>0</v>
      </c>
      <c r="R676" s="10" t="str">
        <f t="shared" si="203"/>
        <v>0_Pre</v>
      </c>
      <c r="S676" s="10" t="str">
        <f t="shared" si="204"/>
        <v>0_Pre</v>
      </c>
      <c r="T676" s="10" t="str">
        <f t="shared" si="205"/>
        <v>0_Pre</v>
      </c>
      <c r="U676" s="10" t="str">
        <f t="shared" si="206"/>
        <v>0_Pre</v>
      </c>
      <c r="V676" s="10" t="str">
        <f t="shared" si="214"/>
        <v>0_Pre</v>
      </c>
      <c r="W676" s="10" t="str">
        <f t="shared" si="207"/>
        <v>clean_pre</v>
      </c>
      <c r="X676" s="10" t="str">
        <f t="shared" si="208"/>
        <v>0_Pre</v>
      </c>
      <c r="Y676" s="10" t="str">
        <f t="shared" si="209"/>
        <v>0_Pre</v>
      </c>
      <c r="Z676" s="10" t="str">
        <f t="shared" si="210"/>
        <v>0_Pre</v>
      </c>
      <c r="AA676" s="10" t="str">
        <f t="shared" si="215"/>
        <v>0_Pre</v>
      </c>
      <c r="AB676" s="10" t="str">
        <f t="shared" si="216"/>
        <v>0_Pre</v>
      </c>
      <c r="AC676" s="10" t="str">
        <f t="shared" si="217"/>
        <v>0_Pre</v>
      </c>
      <c r="AD676" s="10" t="str">
        <f t="shared" si="218"/>
        <v>2_post sample median</v>
      </c>
      <c r="AE676" s="10" t="str">
        <f t="shared" si="219"/>
        <v>2_in sample second tertile</v>
      </c>
      <c r="AF676" t="s">
        <v>82</v>
      </c>
      <c r="AG676" t="s">
        <v>75</v>
      </c>
      <c r="AH676" t="s">
        <v>78</v>
      </c>
      <c r="AI676" t="s">
        <v>122</v>
      </c>
      <c r="AJ676" t="s">
        <v>123</v>
      </c>
      <c r="AK676" t="str">
        <f>VLOOKUP(MID($AR676,1,255),country_lookup!$B:$F,2,FALSE)</f>
        <v>3_AsiaPac</v>
      </c>
      <c r="AL676" t="str">
        <f>VLOOKUP(MID($AR676,1,255),country_lookup!$B:$F,3,FALSE)</f>
        <v>1_developed</v>
      </c>
      <c r="AM676" t="str">
        <f>VLOOKUP(MID($AR676,1,255),country_lookup!$B:$F,4,FALSE)</f>
        <v>2_non_western</v>
      </c>
      <c r="AN676" t="str">
        <f>VLOOKUP(MID($AR676,1,255),country_lookup!$B:$F,5,FALSE)</f>
        <v>2_civil law</v>
      </c>
      <c r="AO676" s="10" t="str">
        <f>VLOOKUP(MID($AS676,1,255),source_lookup!$B:$K,4,FALSE)</f>
        <v>0_published</v>
      </c>
      <c r="AP676" s="10" t="str">
        <f>VLOOKUP(MID($AS676,1,255),source_lookup!$B:$K,6,FALSE)</f>
        <v>0_VHB low</v>
      </c>
      <c r="AQ676" s="10" t="str">
        <f>VLOOKUP(MID($AS676,1,255),source_lookup!$B:$K,10,FALSE)</f>
        <v>2_sust</v>
      </c>
      <c r="AR676" t="s">
        <v>103</v>
      </c>
      <c r="AS676" t="s">
        <v>155</v>
      </c>
    </row>
    <row r="677" spans="1:45" x14ac:dyDescent="0.3">
      <c r="A677" t="s">
        <v>31</v>
      </c>
      <c r="B677">
        <v>676</v>
      </c>
      <c r="C677" s="1">
        <v>-2.5156599747722726E-2</v>
      </c>
      <c r="D677" s="2">
        <v>1139</v>
      </c>
      <c r="E677" s="4">
        <v>6832</v>
      </c>
      <c r="F677" s="4" t="s">
        <v>346</v>
      </c>
      <c r="G677" s="4" t="s">
        <v>347</v>
      </c>
      <c r="H677" t="s">
        <v>77</v>
      </c>
      <c r="I677" t="s">
        <v>352</v>
      </c>
      <c r="J677" s="3">
        <v>2010</v>
      </c>
      <c r="K677" s="3">
        <v>2015</v>
      </c>
      <c r="L677" s="6">
        <f t="shared" si="211"/>
        <v>2012.5</v>
      </c>
      <c r="M677" s="6">
        <f t="shared" si="212"/>
        <v>2012.5</v>
      </c>
      <c r="N677" s="7">
        <f t="shared" si="200"/>
        <v>0</v>
      </c>
      <c r="O677" s="7">
        <f t="shared" si="201"/>
        <v>0</v>
      </c>
      <c r="P677" s="7">
        <f t="shared" si="202"/>
        <v>0</v>
      </c>
      <c r="Q677" s="7">
        <f t="shared" si="213"/>
        <v>0</v>
      </c>
      <c r="R677" s="10" t="str">
        <f t="shared" si="203"/>
        <v>0_Pre</v>
      </c>
      <c r="S677" s="10" t="str">
        <f t="shared" si="204"/>
        <v>0_Pre</v>
      </c>
      <c r="T677" s="10" t="str">
        <f t="shared" si="205"/>
        <v>0_Pre</v>
      </c>
      <c r="U677" s="10" t="str">
        <f t="shared" si="206"/>
        <v>0_Pre</v>
      </c>
      <c r="V677" s="10" t="str">
        <f t="shared" si="214"/>
        <v>0_Pre</v>
      </c>
      <c r="W677" s="10" t="str">
        <f t="shared" si="207"/>
        <v>clean_pre</v>
      </c>
      <c r="X677" s="10" t="str">
        <f t="shared" si="208"/>
        <v>0_Pre</v>
      </c>
      <c r="Y677" s="10" t="str">
        <f t="shared" si="209"/>
        <v>0_Pre</v>
      </c>
      <c r="Z677" s="10" t="str">
        <f t="shared" si="210"/>
        <v>0_Pre</v>
      </c>
      <c r="AA677" s="10" t="str">
        <f t="shared" si="215"/>
        <v>0_Pre</v>
      </c>
      <c r="AB677" s="10" t="str">
        <f t="shared" si="216"/>
        <v>0_Pre</v>
      </c>
      <c r="AC677" s="10" t="str">
        <f t="shared" si="217"/>
        <v>0_Pre</v>
      </c>
      <c r="AD677" s="10" t="str">
        <f t="shared" si="218"/>
        <v>2_post sample median</v>
      </c>
      <c r="AE677" s="10" t="str">
        <f t="shared" si="219"/>
        <v>2_in sample second tertile</v>
      </c>
      <c r="AF677" t="s">
        <v>82</v>
      </c>
      <c r="AG677" t="s">
        <v>75</v>
      </c>
      <c r="AH677" t="s">
        <v>78</v>
      </c>
      <c r="AI677" t="s">
        <v>122</v>
      </c>
      <c r="AJ677" t="s">
        <v>123</v>
      </c>
      <c r="AK677" t="str">
        <f>VLOOKUP(MID($AR677,1,255),country_lookup!$B:$F,2,FALSE)</f>
        <v>3_AsiaPac</v>
      </c>
      <c r="AL677" t="str">
        <f>VLOOKUP(MID($AR677,1,255),country_lookup!$B:$F,3,FALSE)</f>
        <v>1_developed</v>
      </c>
      <c r="AM677" t="str">
        <f>VLOOKUP(MID($AR677,1,255),country_lookup!$B:$F,4,FALSE)</f>
        <v>2_non_western</v>
      </c>
      <c r="AN677" t="str">
        <f>VLOOKUP(MID($AR677,1,255),country_lookup!$B:$F,5,FALSE)</f>
        <v>2_civil law</v>
      </c>
      <c r="AO677" s="10" t="str">
        <f>VLOOKUP(MID($AS677,1,255),source_lookup!$B:$K,4,FALSE)</f>
        <v>0_published</v>
      </c>
      <c r="AP677" s="10" t="str">
        <f>VLOOKUP(MID($AS677,1,255),source_lookup!$B:$K,6,FALSE)</f>
        <v>0_VHB low</v>
      </c>
      <c r="AQ677" s="10" t="str">
        <f>VLOOKUP(MID($AS677,1,255),source_lookup!$B:$K,10,FALSE)</f>
        <v>2_sust</v>
      </c>
      <c r="AR677" t="s">
        <v>103</v>
      </c>
      <c r="AS677" t="s">
        <v>155</v>
      </c>
    </row>
    <row r="678" spans="1:45" x14ac:dyDescent="0.3">
      <c r="A678" t="s">
        <v>31</v>
      </c>
      <c r="B678">
        <v>677</v>
      </c>
      <c r="C678" s="1">
        <v>-2.5382431347229426E-2</v>
      </c>
      <c r="D678" s="2">
        <v>1139</v>
      </c>
      <c r="E678" s="4">
        <v>6832</v>
      </c>
      <c r="F678" s="4" t="s">
        <v>346</v>
      </c>
      <c r="G678" s="4" t="s">
        <v>347</v>
      </c>
      <c r="H678" t="s">
        <v>77</v>
      </c>
      <c r="I678" t="s">
        <v>352</v>
      </c>
      <c r="J678" s="3">
        <v>2010</v>
      </c>
      <c r="K678" s="3">
        <v>2015</v>
      </c>
      <c r="L678" s="6">
        <f t="shared" si="211"/>
        <v>2012.5</v>
      </c>
      <c r="M678" s="6">
        <f t="shared" si="212"/>
        <v>2012.5</v>
      </c>
      <c r="N678" s="7">
        <f t="shared" si="200"/>
        <v>0</v>
      </c>
      <c r="O678" s="7">
        <f t="shared" si="201"/>
        <v>0</v>
      </c>
      <c r="P678" s="7">
        <f t="shared" si="202"/>
        <v>0</v>
      </c>
      <c r="Q678" s="7">
        <f t="shared" si="213"/>
        <v>0</v>
      </c>
      <c r="R678" s="10" t="str">
        <f t="shared" si="203"/>
        <v>0_Pre</v>
      </c>
      <c r="S678" s="10" t="str">
        <f t="shared" si="204"/>
        <v>0_Pre</v>
      </c>
      <c r="T678" s="10" t="str">
        <f t="shared" si="205"/>
        <v>0_Pre</v>
      </c>
      <c r="U678" s="10" t="str">
        <f t="shared" si="206"/>
        <v>0_Pre</v>
      </c>
      <c r="V678" s="10" t="str">
        <f t="shared" si="214"/>
        <v>0_Pre</v>
      </c>
      <c r="W678" s="10" t="str">
        <f t="shared" si="207"/>
        <v>clean_pre</v>
      </c>
      <c r="X678" s="10" t="str">
        <f t="shared" si="208"/>
        <v>0_Pre</v>
      </c>
      <c r="Y678" s="10" t="str">
        <f t="shared" si="209"/>
        <v>0_Pre</v>
      </c>
      <c r="Z678" s="10" t="str">
        <f t="shared" si="210"/>
        <v>0_Pre</v>
      </c>
      <c r="AA678" s="10" t="str">
        <f t="shared" si="215"/>
        <v>0_Pre</v>
      </c>
      <c r="AB678" s="10" t="str">
        <f t="shared" si="216"/>
        <v>0_Pre</v>
      </c>
      <c r="AC678" s="10" t="str">
        <f t="shared" si="217"/>
        <v>0_Pre</v>
      </c>
      <c r="AD678" s="10" t="str">
        <f t="shared" si="218"/>
        <v>2_post sample median</v>
      </c>
      <c r="AE678" s="10" t="str">
        <f t="shared" si="219"/>
        <v>2_in sample second tertile</v>
      </c>
      <c r="AF678" t="s">
        <v>82</v>
      </c>
      <c r="AG678" t="s">
        <v>75</v>
      </c>
      <c r="AH678" t="s">
        <v>78</v>
      </c>
      <c r="AI678" t="s">
        <v>122</v>
      </c>
      <c r="AJ678" t="s">
        <v>123</v>
      </c>
      <c r="AK678" t="str">
        <f>VLOOKUP(MID($AR678,1,255),country_lookup!$B:$F,2,FALSE)</f>
        <v>3_AsiaPac</v>
      </c>
      <c r="AL678" t="str">
        <f>VLOOKUP(MID($AR678,1,255),country_lookup!$B:$F,3,FALSE)</f>
        <v>1_developed</v>
      </c>
      <c r="AM678" t="str">
        <f>VLOOKUP(MID($AR678,1,255),country_lookup!$B:$F,4,FALSE)</f>
        <v>2_non_western</v>
      </c>
      <c r="AN678" t="str">
        <f>VLOOKUP(MID($AR678,1,255),country_lookup!$B:$F,5,FALSE)</f>
        <v>2_civil law</v>
      </c>
      <c r="AO678" s="10" t="str">
        <f>VLOOKUP(MID($AS678,1,255),source_lookup!$B:$K,4,FALSE)</f>
        <v>0_published</v>
      </c>
      <c r="AP678" s="10" t="str">
        <f>VLOOKUP(MID($AS678,1,255),source_lookup!$B:$K,6,FALSE)</f>
        <v>0_VHB low</v>
      </c>
      <c r="AQ678" s="10" t="str">
        <f>VLOOKUP(MID($AS678,1,255),source_lookup!$B:$K,10,FALSE)</f>
        <v>2_sust</v>
      </c>
      <c r="AR678" t="s">
        <v>103</v>
      </c>
      <c r="AS678" t="s">
        <v>155</v>
      </c>
    </row>
    <row r="679" spans="1:45" x14ac:dyDescent="0.3">
      <c r="A679" t="s">
        <v>31</v>
      </c>
      <c r="B679">
        <v>678</v>
      </c>
      <c r="C679" s="1">
        <v>-2.6402678909661553E-2</v>
      </c>
      <c r="D679" s="2">
        <v>1139</v>
      </c>
      <c r="E679" s="4">
        <v>6832</v>
      </c>
      <c r="F679" s="4" t="s">
        <v>346</v>
      </c>
      <c r="G679" s="4" t="s">
        <v>347</v>
      </c>
      <c r="H679" t="s">
        <v>77</v>
      </c>
      <c r="I679" t="s">
        <v>352</v>
      </c>
      <c r="J679" s="3">
        <v>2010</v>
      </c>
      <c r="K679" s="3">
        <v>2015</v>
      </c>
      <c r="L679" s="6">
        <f t="shared" si="211"/>
        <v>2012.5</v>
      </c>
      <c r="M679" s="6">
        <f t="shared" si="212"/>
        <v>2012.5</v>
      </c>
      <c r="N679" s="7">
        <f t="shared" si="200"/>
        <v>0</v>
      </c>
      <c r="O679" s="7">
        <f t="shared" si="201"/>
        <v>0</v>
      </c>
      <c r="P679" s="7">
        <f t="shared" si="202"/>
        <v>0</v>
      </c>
      <c r="Q679" s="7">
        <f t="shared" si="213"/>
        <v>0</v>
      </c>
      <c r="R679" s="10" t="str">
        <f t="shared" si="203"/>
        <v>0_Pre</v>
      </c>
      <c r="S679" s="10" t="str">
        <f t="shared" si="204"/>
        <v>0_Pre</v>
      </c>
      <c r="T679" s="10" t="str">
        <f t="shared" si="205"/>
        <v>0_Pre</v>
      </c>
      <c r="U679" s="10" t="str">
        <f t="shared" si="206"/>
        <v>0_Pre</v>
      </c>
      <c r="V679" s="10" t="str">
        <f t="shared" si="214"/>
        <v>0_Pre</v>
      </c>
      <c r="W679" s="10" t="str">
        <f t="shared" si="207"/>
        <v>clean_pre</v>
      </c>
      <c r="X679" s="10" t="str">
        <f t="shared" si="208"/>
        <v>0_Pre</v>
      </c>
      <c r="Y679" s="10" t="str">
        <f t="shared" si="209"/>
        <v>0_Pre</v>
      </c>
      <c r="Z679" s="10" t="str">
        <f t="shared" si="210"/>
        <v>0_Pre</v>
      </c>
      <c r="AA679" s="10" t="str">
        <f t="shared" si="215"/>
        <v>0_Pre</v>
      </c>
      <c r="AB679" s="10" t="str">
        <f t="shared" si="216"/>
        <v>0_Pre</v>
      </c>
      <c r="AC679" s="10" t="str">
        <f t="shared" si="217"/>
        <v>0_Pre</v>
      </c>
      <c r="AD679" s="10" t="str">
        <f t="shared" si="218"/>
        <v>2_post sample median</v>
      </c>
      <c r="AE679" s="10" t="str">
        <f t="shared" si="219"/>
        <v>2_in sample second tertile</v>
      </c>
      <c r="AF679" t="s">
        <v>82</v>
      </c>
      <c r="AG679" t="s">
        <v>75</v>
      </c>
      <c r="AH679" t="s">
        <v>78</v>
      </c>
      <c r="AI679" t="s">
        <v>122</v>
      </c>
      <c r="AJ679" t="s">
        <v>123</v>
      </c>
      <c r="AK679" t="str">
        <f>VLOOKUP(MID($AR679,1,255),country_lookup!$B:$F,2,FALSE)</f>
        <v>3_AsiaPac</v>
      </c>
      <c r="AL679" t="str">
        <f>VLOOKUP(MID($AR679,1,255),country_lookup!$B:$F,3,FALSE)</f>
        <v>1_developed</v>
      </c>
      <c r="AM679" t="str">
        <f>VLOOKUP(MID($AR679,1,255),country_lookup!$B:$F,4,FALSE)</f>
        <v>2_non_western</v>
      </c>
      <c r="AN679" t="str">
        <f>VLOOKUP(MID($AR679,1,255),country_lookup!$B:$F,5,FALSE)</f>
        <v>2_civil law</v>
      </c>
      <c r="AO679" s="10" t="str">
        <f>VLOOKUP(MID($AS679,1,255),source_lookup!$B:$K,4,FALSE)</f>
        <v>0_published</v>
      </c>
      <c r="AP679" s="10" t="str">
        <f>VLOOKUP(MID($AS679,1,255),source_lookup!$B:$K,6,FALSE)</f>
        <v>0_VHB low</v>
      </c>
      <c r="AQ679" s="10" t="str">
        <f>VLOOKUP(MID($AS679,1,255),source_lookup!$B:$K,10,FALSE)</f>
        <v>2_sust</v>
      </c>
      <c r="AR679" t="s">
        <v>103</v>
      </c>
      <c r="AS679" t="s">
        <v>155</v>
      </c>
    </row>
    <row r="680" spans="1:45" x14ac:dyDescent="0.3">
      <c r="A680" t="s">
        <v>32</v>
      </c>
      <c r="B680">
        <v>679</v>
      </c>
      <c r="C680" s="1">
        <v>-5.2833651658067214E-2</v>
      </c>
      <c r="D680" s="2">
        <v>117</v>
      </c>
      <c r="E680" s="4">
        <v>1516</v>
      </c>
      <c r="F680" s="4" t="s">
        <v>346</v>
      </c>
      <c r="G680" s="4" t="s">
        <v>347</v>
      </c>
      <c r="H680" t="s">
        <v>77</v>
      </c>
      <c r="I680" t="s">
        <v>350</v>
      </c>
      <c r="J680" s="3">
        <v>1995</v>
      </c>
      <c r="K680" s="3">
        <v>2007</v>
      </c>
      <c r="L680" s="6">
        <f t="shared" si="211"/>
        <v>2001</v>
      </c>
      <c r="M680" s="6">
        <f t="shared" si="212"/>
        <v>2001</v>
      </c>
      <c r="N680" s="7">
        <f t="shared" si="200"/>
        <v>0</v>
      </c>
      <c r="O680" s="7">
        <f t="shared" si="201"/>
        <v>0</v>
      </c>
      <c r="P680" s="7">
        <f t="shared" si="202"/>
        <v>0</v>
      </c>
      <c r="Q680" s="7">
        <f t="shared" si="213"/>
        <v>0</v>
      </c>
      <c r="R680" s="10" t="str">
        <f t="shared" si="203"/>
        <v>0_Pre</v>
      </c>
      <c r="S680" s="10" t="str">
        <f t="shared" si="204"/>
        <v>0_Pre</v>
      </c>
      <c r="T680" s="10" t="str">
        <f t="shared" si="205"/>
        <v>0_Pre</v>
      </c>
      <c r="U680" s="10" t="str">
        <f t="shared" si="206"/>
        <v>0_Pre</v>
      </c>
      <c r="V680" s="10" t="str">
        <f t="shared" si="214"/>
        <v>0_Pre</v>
      </c>
      <c r="W680" s="10" t="str">
        <f t="shared" si="207"/>
        <v>clean_pre</v>
      </c>
      <c r="X680" s="10" t="str">
        <f t="shared" si="208"/>
        <v>0_Pre</v>
      </c>
      <c r="Y680" s="10" t="str">
        <f t="shared" si="209"/>
        <v>0_Pre</v>
      </c>
      <c r="Z680" s="10" t="str">
        <f t="shared" si="210"/>
        <v>0_Pre</v>
      </c>
      <c r="AA680" s="10" t="str">
        <f t="shared" si="215"/>
        <v>0_Pre</v>
      </c>
      <c r="AB680" s="10" t="str">
        <f t="shared" si="216"/>
        <v>0_Pre</v>
      </c>
      <c r="AC680" s="10" t="str">
        <f t="shared" si="217"/>
        <v>0_Pre</v>
      </c>
      <c r="AD680" s="10" t="str">
        <f t="shared" si="218"/>
        <v>1_pre sample median</v>
      </c>
      <c r="AE680" s="10" t="str">
        <f t="shared" si="219"/>
        <v>1_pre sample first tertile</v>
      </c>
      <c r="AF680" t="s">
        <v>67</v>
      </c>
      <c r="AG680" t="s">
        <v>75</v>
      </c>
      <c r="AH680" t="s">
        <v>78</v>
      </c>
      <c r="AI680" t="s">
        <v>123</v>
      </c>
      <c r="AJ680" t="s">
        <v>123</v>
      </c>
      <c r="AK680" t="str">
        <f>VLOOKUP(MID($AR680,1,255),country_lookup!$B:$F,2,FALSE)</f>
        <v>1_US</v>
      </c>
      <c r="AL680" t="str">
        <f>VLOOKUP(MID($AR680,1,255),country_lookup!$B:$F,3,FALSE)</f>
        <v>1_developed</v>
      </c>
      <c r="AM680" t="str">
        <f>VLOOKUP(MID($AR680,1,255),country_lookup!$B:$F,4,FALSE)</f>
        <v>1_western</v>
      </c>
      <c r="AN680" t="str">
        <f>VLOOKUP(MID($AR680,1,255),country_lookup!$B:$F,5,FALSE)</f>
        <v>1_common law</v>
      </c>
      <c r="AO680" s="10" t="str">
        <f>VLOOKUP(MID($AS680,1,255),source_lookup!$B:$K,4,FALSE)</f>
        <v>0_published</v>
      </c>
      <c r="AP680" s="10" t="str">
        <f>VLOOKUP(MID($AS680,1,255),source_lookup!$B:$K,6,FALSE)</f>
        <v>1_VHB high</v>
      </c>
      <c r="AQ680" s="10" t="str">
        <f>VLOOKUP(MID($AS680,1,255),source_lookup!$B:$K,10,FALSE)</f>
        <v>1_fin/acc/econ</v>
      </c>
      <c r="AR680" t="s">
        <v>85</v>
      </c>
      <c r="AS680" t="s">
        <v>156</v>
      </c>
    </row>
    <row r="681" spans="1:45" x14ac:dyDescent="0.3">
      <c r="A681" t="s">
        <v>33</v>
      </c>
      <c r="B681">
        <v>680</v>
      </c>
      <c r="C681" s="1">
        <v>-0.02</v>
      </c>
      <c r="D681" s="2">
        <v>78</v>
      </c>
      <c r="E681" s="4">
        <v>255</v>
      </c>
      <c r="F681" s="4" t="s">
        <v>346</v>
      </c>
      <c r="G681" s="4" t="s">
        <v>347</v>
      </c>
      <c r="H681" t="s">
        <v>76</v>
      </c>
      <c r="I681" t="s">
        <v>353</v>
      </c>
      <c r="J681" s="3">
        <v>2009</v>
      </c>
      <c r="K681" s="3">
        <v>2013</v>
      </c>
      <c r="L681" s="6">
        <f t="shared" si="211"/>
        <v>2011</v>
      </c>
      <c r="M681" s="6">
        <f t="shared" si="212"/>
        <v>2011</v>
      </c>
      <c r="N681" s="7">
        <f t="shared" si="200"/>
        <v>0</v>
      </c>
      <c r="O681" s="7">
        <f t="shared" si="201"/>
        <v>0</v>
      </c>
      <c r="P681" s="7">
        <f t="shared" si="202"/>
        <v>0</v>
      </c>
      <c r="Q681" s="7">
        <f t="shared" si="213"/>
        <v>0</v>
      </c>
      <c r="R681" s="10" t="str">
        <f t="shared" si="203"/>
        <v>0_Pre</v>
      </c>
      <c r="S681" s="10" t="str">
        <f t="shared" si="204"/>
        <v>0_Pre</v>
      </c>
      <c r="T681" s="10" t="str">
        <f t="shared" si="205"/>
        <v>0_Pre</v>
      </c>
      <c r="U681" s="10" t="str">
        <f t="shared" si="206"/>
        <v>0_Pre</v>
      </c>
      <c r="V681" s="10" t="str">
        <f t="shared" si="214"/>
        <v>0_Pre</v>
      </c>
      <c r="W681" s="10" t="str">
        <f t="shared" si="207"/>
        <v>clean_pre</v>
      </c>
      <c r="X681" s="10" t="str">
        <f t="shared" si="208"/>
        <v>0_Pre</v>
      </c>
      <c r="Y681" s="10" t="str">
        <f t="shared" si="209"/>
        <v>0_Pre</v>
      </c>
      <c r="Z681" s="10" t="str">
        <f t="shared" si="210"/>
        <v>0_Pre</v>
      </c>
      <c r="AA681" s="10" t="str">
        <f t="shared" si="215"/>
        <v>0_Pre</v>
      </c>
      <c r="AB681" s="10" t="str">
        <f t="shared" si="216"/>
        <v>0_Pre</v>
      </c>
      <c r="AC681" s="10" t="str">
        <f t="shared" si="217"/>
        <v>0_Pre</v>
      </c>
      <c r="AD681" s="10" t="str">
        <f t="shared" si="218"/>
        <v>1_pre sample median</v>
      </c>
      <c r="AE681" s="10" t="str">
        <f t="shared" si="219"/>
        <v>2_in sample second tertile</v>
      </c>
      <c r="AF681" t="s">
        <v>80</v>
      </c>
      <c r="AG681" t="s">
        <v>75</v>
      </c>
      <c r="AH681" t="s">
        <v>79</v>
      </c>
      <c r="AI681" t="s">
        <v>123</v>
      </c>
      <c r="AJ681" t="s">
        <v>123</v>
      </c>
      <c r="AK681" t="str">
        <f>VLOOKUP(MID($AR681,1,255),country_lookup!$B:$F,2,FALSE)</f>
        <v>3_AsiaPac</v>
      </c>
      <c r="AL681" t="str">
        <f>VLOOKUP(MID($AR681,1,255),country_lookup!$B:$F,3,FALSE)</f>
        <v>1_developed</v>
      </c>
      <c r="AM681" t="str">
        <f>VLOOKUP(MID($AR681,1,255),country_lookup!$B:$F,4,FALSE)</f>
        <v>1_western</v>
      </c>
      <c r="AN681" t="str">
        <f>VLOOKUP(MID($AR681,1,255),country_lookup!$B:$F,5,FALSE)</f>
        <v>1_common law</v>
      </c>
      <c r="AO681" s="10" t="str">
        <f>VLOOKUP(MID($AS681,1,255),source_lookup!$B:$K,4,FALSE)</f>
        <v>0_published</v>
      </c>
      <c r="AP681" s="10" t="str">
        <f>VLOOKUP(MID($AS681,1,255),source_lookup!$B:$K,6,FALSE)</f>
        <v>1_VHB high</v>
      </c>
      <c r="AQ681" s="10" t="str">
        <f>VLOOKUP(MID($AS681,1,255),source_lookup!$B:$K,10,FALSE)</f>
        <v>3_mgmt</v>
      </c>
      <c r="AR681" t="s">
        <v>104</v>
      </c>
      <c r="AS681" t="s">
        <v>157</v>
      </c>
    </row>
    <row r="682" spans="1:45" x14ac:dyDescent="0.3">
      <c r="A682" t="s">
        <v>33</v>
      </c>
      <c r="B682">
        <v>681</v>
      </c>
      <c r="C682" s="1">
        <v>-0.10299999999999999</v>
      </c>
      <c r="D682" s="2">
        <v>78</v>
      </c>
      <c r="E682" s="4">
        <v>255</v>
      </c>
      <c r="F682" s="4" t="s">
        <v>346</v>
      </c>
      <c r="G682" s="4" t="s">
        <v>347</v>
      </c>
      <c r="H682" t="s">
        <v>76</v>
      </c>
      <c r="I682" t="s">
        <v>353</v>
      </c>
      <c r="J682" s="3">
        <v>2009</v>
      </c>
      <c r="K682" s="3">
        <v>2013</v>
      </c>
      <c r="L682" s="6">
        <f t="shared" si="211"/>
        <v>2011</v>
      </c>
      <c r="M682" s="6">
        <f t="shared" si="212"/>
        <v>2011</v>
      </c>
      <c r="N682" s="7">
        <f t="shared" si="200"/>
        <v>0</v>
      </c>
      <c r="O682" s="7">
        <f t="shared" si="201"/>
        <v>0</v>
      </c>
      <c r="P682" s="7">
        <f t="shared" si="202"/>
        <v>0</v>
      </c>
      <c r="Q682" s="7">
        <f t="shared" si="213"/>
        <v>0</v>
      </c>
      <c r="R682" s="10" t="str">
        <f t="shared" si="203"/>
        <v>0_Pre</v>
      </c>
      <c r="S682" s="10" t="str">
        <f t="shared" si="204"/>
        <v>0_Pre</v>
      </c>
      <c r="T682" s="10" t="str">
        <f t="shared" si="205"/>
        <v>0_Pre</v>
      </c>
      <c r="U682" s="10" t="str">
        <f t="shared" si="206"/>
        <v>0_Pre</v>
      </c>
      <c r="V682" s="10" t="str">
        <f t="shared" si="214"/>
        <v>0_Pre</v>
      </c>
      <c r="W682" s="10" t="str">
        <f t="shared" si="207"/>
        <v>clean_pre</v>
      </c>
      <c r="X682" s="10" t="str">
        <f t="shared" si="208"/>
        <v>0_Pre</v>
      </c>
      <c r="Y682" s="10" t="str">
        <f t="shared" si="209"/>
        <v>0_Pre</v>
      </c>
      <c r="Z682" s="10" t="str">
        <f t="shared" si="210"/>
        <v>0_Pre</v>
      </c>
      <c r="AA682" s="10" t="str">
        <f t="shared" si="215"/>
        <v>0_Pre</v>
      </c>
      <c r="AB682" s="10" t="str">
        <f t="shared" si="216"/>
        <v>0_Pre</v>
      </c>
      <c r="AC682" s="10" t="str">
        <f t="shared" si="217"/>
        <v>0_Pre</v>
      </c>
      <c r="AD682" s="10" t="str">
        <f t="shared" si="218"/>
        <v>1_pre sample median</v>
      </c>
      <c r="AE682" s="10" t="str">
        <f t="shared" si="219"/>
        <v>2_in sample second tertile</v>
      </c>
      <c r="AF682" t="s">
        <v>80</v>
      </c>
      <c r="AG682" t="s">
        <v>74</v>
      </c>
      <c r="AH682" t="s">
        <v>79</v>
      </c>
      <c r="AI682" t="s">
        <v>123</v>
      </c>
      <c r="AJ682" t="s">
        <v>123</v>
      </c>
      <c r="AK682" t="str">
        <f>VLOOKUP(MID($AR682,1,255),country_lookup!$B:$F,2,FALSE)</f>
        <v>3_AsiaPac</v>
      </c>
      <c r="AL682" t="str">
        <f>VLOOKUP(MID($AR682,1,255),country_lookup!$B:$F,3,FALSE)</f>
        <v>1_developed</v>
      </c>
      <c r="AM682" t="str">
        <f>VLOOKUP(MID($AR682,1,255),country_lookup!$B:$F,4,FALSE)</f>
        <v>1_western</v>
      </c>
      <c r="AN682" t="str">
        <f>VLOOKUP(MID($AR682,1,255),country_lookup!$B:$F,5,FALSE)</f>
        <v>1_common law</v>
      </c>
      <c r="AO682" s="10" t="str">
        <f>VLOOKUP(MID($AS682,1,255),source_lookup!$B:$K,4,FALSE)</f>
        <v>0_published</v>
      </c>
      <c r="AP682" s="10" t="str">
        <f>VLOOKUP(MID($AS682,1,255),source_lookup!$B:$K,6,FALSE)</f>
        <v>1_VHB high</v>
      </c>
      <c r="AQ682" s="10" t="str">
        <f>VLOOKUP(MID($AS682,1,255),source_lookup!$B:$K,10,FALSE)</f>
        <v>3_mgmt</v>
      </c>
      <c r="AR682" t="s">
        <v>104</v>
      </c>
      <c r="AS682" t="s">
        <v>157</v>
      </c>
    </row>
    <row r="683" spans="1:45" x14ac:dyDescent="0.3">
      <c r="A683" t="s">
        <v>33</v>
      </c>
      <c r="B683">
        <v>682</v>
      </c>
      <c r="C683" s="1">
        <v>-5.7331401130714915E-2</v>
      </c>
      <c r="D683" s="2">
        <v>78</v>
      </c>
      <c r="E683" s="4">
        <v>255</v>
      </c>
      <c r="F683" s="4" t="s">
        <v>346</v>
      </c>
      <c r="G683" s="4" t="s">
        <v>347</v>
      </c>
      <c r="H683" t="s">
        <v>77</v>
      </c>
      <c r="I683" t="s">
        <v>351</v>
      </c>
      <c r="J683" s="3">
        <v>2009</v>
      </c>
      <c r="K683" s="3">
        <v>2013</v>
      </c>
      <c r="L683" s="6">
        <f t="shared" si="211"/>
        <v>2011</v>
      </c>
      <c r="M683" s="6">
        <f t="shared" si="212"/>
        <v>2011</v>
      </c>
      <c r="N683" s="7">
        <f t="shared" si="200"/>
        <v>0</v>
      </c>
      <c r="O683" s="7">
        <f t="shared" si="201"/>
        <v>0</v>
      </c>
      <c r="P683" s="7">
        <f t="shared" si="202"/>
        <v>0</v>
      </c>
      <c r="Q683" s="7">
        <f t="shared" si="213"/>
        <v>0</v>
      </c>
      <c r="R683" s="10" t="str">
        <f t="shared" si="203"/>
        <v>0_Pre</v>
      </c>
      <c r="S683" s="10" t="str">
        <f t="shared" si="204"/>
        <v>0_Pre</v>
      </c>
      <c r="T683" s="10" t="str">
        <f t="shared" si="205"/>
        <v>0_Pre</v>
      </c>
      <c r="U683" s="10" t="str">
        <f t="shared" si="206"/>
        <v>0_Pre</v>
      </c>
      <c r="V683" s="10" t="str">
        <f t="shared" si="214"/>
        <v>0_Pre</v>
      </c>
      <c r="W683" s="10" t="str">
        <f t="shared" si="207"/>
        <v>clean_pre</v>
      </c>
      <c r="X683" s="10" t="str">
        <f t="shared" si="208"/>
        <v>0_Pre</v>
      </c>
      <c r="Y683" s="10" t="str">
        <f t="shared" si="209"/>
        <v>0_Pre</v>
      </c>
      <c r="Z683" s="10" t="str">
        <f t="shared" si="210"/>
        <v>0_Pre</v>
      </c>
      <c r="AA683" s="10" t="str">
        <f t="shared" si="215"/>
        <v>0_Pre</v>
      </c>
      <c r="AB683" s="10" t="str">
        <f t="shared" si="216"/>
        <v>0_Pre</v>
      </c>
      <c r="AC683" s="10" t="str">
        <f t="shared" si="217"/>
        <v>0_Pre</v>
      </c>
      <c r="AD683" s="10" t="str">
        <f t="shared" si="218"/>
        <v>1_pre sample median</v>
      </c>
      <c r="AE683" s="10" t="str">
        <f t="shared" si="219"/>
        <v>2_in sample second tertile</v>
      </c>
      <c r="AF683" t="s">
        <v>80</v>
      </c>
      <c r="AG683" t="s">
        <v>75</v>
      </c>
      <c r="AH683" t="s">
        <v>79</v>
      </c>
      <c r="AI683" t="s">
        <v>123</v>
      </c>
      <c r="AJ683" t="s">
        <v>123</v>
      </c>
      <c r="AK683" t="str">
        <f>VLOOKUP(MID($AR683,1,255),country_lookup!$B:$F,2,FALSE)</f>
        <v>3_AsiaPac</v>
      </c>
      <c r="AL683" t="str">
        <f>VLOOKUP(MID($AR683,1,255),country_lookup!$B:$F,3,FALSE)</f>
        <v>1_developed</v>
      </c>
      <c r="AM683" t="str">
        <f>VLOOKUP(MID($AR683,1,255),country_lookup!$B:$F,4,FALSE)</f>
        <v>1_western</v>
      </c>
      <c r="AN683" t="str">
        <f>VLOOKUP(MID($AR683,1,255),country_lookup!$B:$F,5,FALSE)</f>
        <v>1_common law</v>
      </c>
      <c r="AO683" s="10" t="str">
        <f>VLOOKUP(MID($AS683,1,255),source_lookup!$B:$K,4,FALSE)</f>
        <v>0_published</v>
      </c>
      <c r="AP683" s="10" t="str">
        <f>VLOOKUP(MID($AS683,1,255),source_lookup!$B:$K,6,FALSE)</f>
        <v>1_VHB high</v>
      </c>
      <c r="AQ683" s="10" t="str">
        <f>VLOOKUP(MID($AS683,1,255),source_lookup!$B:$K,10,FALSE)</f>
        <v>3_mgmt</v>
      </c>
      <c r="AR683" t="s">
        <v>104</v>
      </c>
      <c r="AS683" t="s">
        <v>157</v>
      </c>
    </row>
    <row r="684" spans="1:45" x14ac:dyDescent="0.3">
      <c r="A684" t="s">
        <v>33</v>
      </c>
      <c r="B684">
        <v>683</v>
      </c>
      <c r="C684" s="1">
        <v>-0.10765169252646244</v>
      </c>
      <c r="D684" s="2">
        <v>78</v>
      </c>
      <c r="E684" s="4">
        <v>255</v>
      </c>
      <c r="F684" s="4" t="s">
        <v>346</v>
      </c>
      <c r="G684" s="4" t="s">
        <v>347</v>
      </c>
      <c r="H684" t="s">
        <v>77</v>
      </c>
      <c r="I684" t="s">
        <v>351</v>
      </c>
      <c r="J684" s="3">
        <v>2009</v>
      </c>
      <c r="K684" s="3">
        <v>2013</v>
      </c>
      <c r="L684" s="6">
        <f t="shared" si="211"/>
        <v>2011</v>
      </c>
      <c r="M684" s="6">
        <f t="shared" si="212"/>
        <v>2011</v>
      </c>
      <c r="N684" s="7">
        <f t="shared" si="200"/>
        <v>0</v>
      </c>
      <c r="O684" s="7">
        <f t="shared" si="201"/>
        <v>0</v>
      </c>
      <c r="P684" s="7">
        <f t="shared" si="202"/>
        <v>0</v>
      </c>
      <c r="Q684" s="7">
        <f t="shared" si="213"/>
        <v>0</v>
      </c>
      <c r="R684" s="10" t="str">
        <f t="shared" si="203"/>
        <v>0_Pre</v>
      </c>
      <c r="S684" s="10" t="str">
        <f t="shared" si="204"/>
        <v>0_Pre</v>
      </c>
      <c r="T684" s="10" t="str">
        <f t="shared" si="205"/>
        <v>0_Pre</v>
      </c>
      <c r="U684" s="10" t="str">
        <f t="shared" si="206"/>
        <v>0_Pre</v>
      </c>
      <c r="V684" s="10" t="str">
        <f t="shared" si="214"/>
        <v>0_Pre</v>
      </c>
      <c r="W684" s="10" t="str">
        <f t="shared" si="207"/>
        <v>clean_pre</v>
      </c>
      <c r="X684" s="10" t="str">
        <f t="shared" si="208"/>
        <v>0_Pre</v>
      </c>
      <c r="Y684" s="10" t="str">
        <f t="shared" si="209"/>
        <v>0_Pre</v>
      </c>
      <c r="Z684" s="10" t="str">
        <f t="shared" si="210"/>
        <v>0_Pre</v>
      </c>
      <c r="AA684" s="10" t="str">
        <f t="shared" si="215"/>
        <v>0_Pre</v>
      </c>
      <c r="AB684" s="10" t="str">
        <f t="shared" si="216"/>
        <v>0_Pre</v>
      </c>
      <c r="AC684" s="10" t="str">
        <f t="shared" si="217"/>
        <v>0_Pre</v>
      </c>
      <c r="AD684" s="10" t="str">
        <f t="shared" si="218"/>
        <v>1_pre sample median</v>
      </c>
      <c r="AE684" s="10" t="str">
        <f t="shared" si="219"/>
        <v>2_in sample second tertile</v>
      </c>
      <c r="AF684" t="s">
        <v>80</v>
      </c>
      <c r="AG684" t="s">
        <v>75</v>
      </c>
      <c r="AH684" t="s">
        <v>79</v>
      </c>
      <c r="AI684" t="s">
        <v>123</v>
      </c>
      <c r="AJ684" t="s">
        <v>123</v>
      </c>
      <c r="AK684" t="str">
        <f>VLOOKUP(MID($AR684,1,255),country_lookup!$B:$F,2,FALSE)</f>
        <v>3_AsiaPac</v>
      </c>
      <c r="AL684" t="str">
        <f>VLOOKUP(MID($AR684,1,255),country_lookup!$B:$F,3,FALSE)</f>
        <v>1_developed</v>
      </c>
      <c r="AM684" t="str">
        <f>VLOOKUP(MID($AR684,1,255),country_lookup!$B:$F,4,FALSE)</f>
        <v>1_western</v>
      </c>
      <c r="AN684" t="str">
        <f>VLOOKUP(MID($AR684,1,255),country_lookup!$B:$F,5,FALSE)</f>
        <v>1_common law</v>
      </c>
      <c r="AO684" s="10" t="str">
        <f>VLOOKUP(MID($AS684,1,255),source_lookup!$B:$K,4,FALSE)</f>
        <v>0_published</v>
      </c>
      <c r="AP684" s="10" t="str">
        <f>VLOOKUP(MID($AS684,1,255),source_lookup!$B:$K,6,FALSE)</f>
        <v>1_VHB high</v>
      </c>
      <c r="AQ684" s="10" t="str">
        <f>VLOOKUP(MID($AS684,1,255),source_lookup!$B:$K,10,FALSE)</f>
        <v>3_mgmt</v>
      </c>
      <c r="AR684" t="s">
        <v>104</v>
      </c>
      <c r="AS684" t="s">
        <v>157</v>
      </c>
    </row>
    <row r="685" spans="1:45" x14ac:dyDescent="0.3">
      <c r="A685" t="s">
        <v>33</v>
      </c>
      <c r="B685">
        <v>684</v>
      </c>
      <c r="C685" s="1">
        <v>-0.15649939337668986</v>
      </c>
      <c r="D685" s="2">
        <v>78</v>
      </c>
      <c r="E685" s="4">
        <v>255</v>
      </c>
      <c r="F685" s="4" t="s">
        <v>346</v>
      </c>
      <c r="G685" s="4" t="s">
        <v>347</v>
      </c>
      <c r="H685" t="s">
        <v>77</v>
      </c>
      <c r="I685" t="s">
        <v>351</v>
      </c>
      <c r="J685" s="3">
        <v>2009</v>
      </c>
      <c r="K685" s="3">
        <v>2013</v>
      </c>
      <c r="L685" s="6">
        <f t="shared" si="211"/>
        <v>2011</v>
      </c>
      <c r="M685" s="6">
        <f t="shared" si="212"/>
        <v>2011</v>
      </c>
      <c r="N685" s="7">
        <f t="shared" si="200"/>
        <v>0</v>
      </c>
      <c r="O685" s="7">
        <f t="shared" si="201"/>
        <v>0</v>
      </c>
      <c r="P685" s="7">
        <f t="shared" si="202"/>
        <v>0</v>
      </c>
      <c r="Q685" s="7">
        <f t="shared" si="213"/>
        <v>0</v>
      </c>
      <c r="R685" s="10" t="str">
        <f t="shared" si="203"/>
        <v>0_Pre</v>
      </c>
      <c r="S685" s="10" t="str">
        <f t="shared" si="204"/>
        <v>0_Pre</v>
      </c>
      <c r="T685" s="10" t="str">
        <f t="shared" si="205"/>
        <v>0_Pre</v>
      </c>
      <c r="U685" s="10" t="str">
        <f t="shared" si="206"/>
        <v>0_Pre</v>
      </c>
      <c r="V685" s="10" t="str">
        <f t="shared" si="214"/>
        <v>0_Pre</v>
      </c>
      <c r="W685" s="10" t="str">
        <f t="shared" si="207"/>
        <v>clean_pre</v>
      </c>
      <c r="X685" s="10" t="str">
        <f t="shared" si="208"/>
        <v>0_Pre</v>
      </c>
      <c r="Y685" s="10" t="str">
        <f t="shared" si="209"/>
        <v>0_Pre</v>
      </c>
      <c r="Z685" s="10" t="str">
        <f t="shared" si="210"/>
        <v>0_Pre</v>
      </c>
      <c r="AA685" s="10" t="str">
        <f t="shared" si="215"/>
        <v>0_Pre</v>
      </c>
      <c r="AB685" s="10" t="str">
        <f t="shared" si="216"/>
        <v>0_Pre</v>
      </c>
      <c r="AC685" s="10" t="str">
        <f t="shared" si="217"/>
        <v>0_Pre</v>
      </c>
      <c r="AD685" s="10" t="str">
        <f t="shared" si="218"/>
        <v>1_pre sample median</v>
      </c>
      <c r="AE685" s="10" t="str">
        <f t="shared" si="219"/>
        <v>2_in sample second tertile</v>
      </c>
      <c r="AF685" t="s">
        <v>80</v>
      </c>
      <c r="AG685" t="s">
        <v>75</v>
      </c>
      <c r="AH685" t="s">
        <v>79</v>
      </c>
      <c r="AI685" t="s">
        <v>123</v>
      </c>
      <c r="AJ685" t="s">
        <v>123</v>
      </c>
      <c r="AK685" t="str">
        <f>VLOOKUP(MID($AR685,1,255),country_lookup!$B:$F,2,FALSE)</f>
        <v>3_AsiaPac</v>
      </c>
      <c r="AL685" t="str">
        <f>VLOOKUP(MID($AR685,1,255),country_lookup!$B:$F,3,FALSE)</f>
        <v>1_developed</v>
      </c>
      <c r="AM685" t="str">
        <f>VLOOKUP(MID($AR685,1,255),country_lookup!$B:$F,4,FALSE)</f>
        <v>1_western</v>
      </c>
      <c r="AN685" t="str">
        <f>VLOOKUP(MID($AR685,1,255),country_lookup!$B:$F,5,FALSE)</f>
        <v>1_common law</v>
      </c>
      <c r="AO685" s="10" t="str">
        <f>VLOOKUP(MID($AS685,1,255),source_lookup!$B:$K,4,FALSE)</f>
        <v>0_published</v>
      </c>
      <c r="AP685" s="10" t="str">
        <f>VLOOKUP(MID($AS685,1,255),source_lookup!$B:$K,6,FALSE)</f>
        <v>1_VHB high</v>
      </c>
      <c r="AQ685" s="10" t="str">
        <f>VLOOKUP(MID($AS685,1,255),source_lookup!$B:$K,10,FALSE)</f>
        <v>3_mgmt</v>
      </c>
      <c r="AR685" t="s">
        <v>104</v>
      </c>
      <c r="AS685" t="s">
        <v>157</v>
      </c>
    </row>
    <row r="686" spans="1:45" x14ac:dyDescent="0.3">
      <c r="A686" t="s">
        <v>33</v>
      </c>
      <c r="B686">
        <v>685</v>
      </c>
      <c r="C686" s="1">
        <v>-0.10794445370163865</v>
      </c>
      <c r="D686" s="2">
        <v>78</v>
      </c>
      <c r="E686" s="4">
        <v>252</v>
      </c>
      <c r="F686" s="4" t="s">
        <v>346</v>
      </c>
      <c r="G686" s="4" t="s">
        <v>347</v>
      </c>
      <c r="H686" t="s">
        <v>77</v>
      </c>
      <c r="I686" t="s">
        <v>351</v>
      </c>
      <c r="J686" s="3">
        <v>2009</v>
      </c>
      <c r="K686" s="3">
        <v>2013</v>
      </c>
      <c r="L686" s="6">
        <f t="shared" si="211"/>
        <v>2011</v>
      </c>
      <c r="M686" s="6">
        <f t="shared" si="212"/>
        <v>2011</v>
      </c>
      <c r="N686" s="7">
        <f t="shared" si="200"/>
        <v>0</v>
      </c>
      <c r="O686" s="7">
        <f t="shared" si="201"/>
        <v>0</v>
      </c>
      <c r="P686" s="7">
        <f t="shared" si="202"/>
        <v>0</v>
      </c>
      <c r="Q686" s="7">
        <f t="shared" si="213"/>
        <v>0</v>
      </c>
      <c r="R686" s="10" t="str">
        <f t="shared" si="203"/>
        <v>0_Pre</v>
      </c>
      <c r="S686" s="10" t="str">
        <f t="shared" si="204"/>
        <v>0_Pre</v>
      </c>
      <c r="T686" s="10" t="str">
        <f t="shared" si="205"/>
        <v>0_Pre</v>
      </c>
      <c r="U686" s="10" t="str">
        <f t="shared" si="206"/>
        <v>0_Pre</v>
      </c>
      <c r="V686" s="10" t="str">
        <f t="shared" si="214"/>
        <v>0_Pre</v>
      </c>
      <c r="W686" s="10" t="str">
        <f t="shared" si="207"/>
        <v>clean_pre</v>
      </c>
      <c r="X686" s="10" t="str">
        <f t="shared" si="208"/>
        <v>0_Pre</v>
      </c>
      <c r="Y686" s="10" t="str">
        <f t="shared" si="209"/>
        <v>0_Pre</v>
      </c>
      <c r="Z686" s="10" t="str">
        <f t="shared" si="210"/>
        <v>0_Pre</v>
      </c>
      <c r="AA686" s="10" t="str">
        <f t="shared" si="215"/>
        <v>0_Pre</v>
      </c>
      <c r="AB686" s="10" t="str">
        <f t="shared" si="216"/>
        <v>0_Pre</v>
      </c>
      <c r="AC686" s="10" t="str">
        <f t="shared" si="217"/>
        <v>0_Pre</v>
      </c>
      <c r="AD686" s="10" t="str">
        <f t="shared" si="218"/>
        <v>1_pre sample median</v>
      </c>
      <c r="AE686" s="10" t="str">
        <f t="shared" si="219"/>
        <v>2_in sample second tertile</v>
      </c>
      <c r="AF686" t="s">
        <v>80</v>
      </c>
      <c r="AG686" t="s">
        <v>75</v>
      </c>
      <c r="AH686" t="s">
        <v>79</v>
      </c>
      <c r="AI686" t="s">
        <v>123</v>
      </c>
      <c r="AJ686" t="s">
        <v>123</v>
      </c>
      <c r="AK686" t="str">
        <f>VLOOKUP(MID($AR686,1,255),country_lookup!$B:$F,2,FALSE)</f>
        <v>3_AsiaPac</v>
      </c>
      <c r="AL686" t="str">
        <f>VLOOKUP(MID($AR686,1,255),country_lookup!$B:$F,3,FALSE)</f>
        <v>1_developed</v>
      </c>
      <c r="AM686" t="str">
        <f>VLOOKUP(MID($AR686,1,255),country_lookup!$B:$F,4,FALSE)</f>
        <v>1_western</v>
      </c>
      <c r="AN686" t="str">
        <f>VLOOKUP(MID($AR686,1,255),country_lookup!$B:$F,5,FALSE)</f>
        <v>1_common law</v>
      </c>
      <c r="AO686" s="10" t="str">
        <f>VLOOKUP(MID($AS686,1,255),source_lookup!$B:$K,4,FALSE)</f>
        <v>0_published</v>
      </c>
      <c r="AP686" s="10" t="str">
        <f>VLOOKUP(MID($AS686,1,255),source_lookup!$B:$K,6,FALSE)</f>
        <v>1_VHB high</v>
      </c>
      <c r="AQ686" s="10" t="str">
        <f>VLOOKUP(MID($AS686,1,255),source_lookup!$B:$K,10,FALSE)</f>
        <v>3_mgmt</v>
      </c>
      <c r="AR686" t="s">
        <v>104</v>
      </c>
      <c r="AS686" t="s">
        <v>157</v>
      </c>
    </row>
    <row r="687" spans="1:45" x14ac:dyDescent="0.3">
      <c r="A687" t="s">
        <v>33</v>
      </c>
      <c r="B687">
        <v>686</v>
      </c>
      <c r="C687" s="1">
        <v>8.3521344997534771E-3</v>
      </c>
      <c r="D687" s="2">
        <v>78</v>
      </c>
      <c r="E687" s="4">
        <v>255</v>
      </c>
      <c r="F687" s="4" t="s">
        <v>346</v>
      </c>
      <c r="G687" s="4" t="s">
        <v>347</v>
      </c>
      <c r="H687" t="s">
        <v>77</v>
      </c>
      <c r="I687" t="s">
        <v>351</v>
      </c>
      <c r="J687" s="3">
        <v>2009</v>
      </c>
      <c r="K687" s="3">
        <v>2013</v>
      </c>
      <c r="L687" s="6">
        <f t="shared" si="211"/>
        <v>2011</v>
      </c>
      <c r="M687" s="6">
        <f t="shared" si="212"/>
        <v>2011</v>
      </c>
      <c r="N687" s="7">
        <f t="shared" si="200"/>
        <v>0</v>
      </c>
      <c r="O687" s="7">
        <f t="shared" si="201"/>
        <v>0</v>
      </c>
      <c r="P687" s="7">
        <f t="shared" si="202"/>
        <v>0</v>
      </c>
      <c r="Q687" s="7">
        <f t="shared" si="213"/>
        <v>0</v>
      </c>
      <c r="R687" s="10" t="str">
        <f t="shared" si="203"/>
        <v>0_Pre</v>
      </c>
      <c r="S687" s="10" t="str">
        <f t="shared" si="204"/>
        <v>0_Pre</v>
      </c>
      <c r="T687" s="10" t="str">
        <f t="shared" si="205"/>
        <v>0_Pre</v>
      </c>
      <c r="U687" s="10" t="str">
        <f t="shared" si="206"/>
        <v>0_Pre</v>
      </c>
      <c r="V687" s="10" t="str">
        <f t="shared" si="214"/>
        <v>0_Pre</v>
      </c>
      <c r="W687" s="10" t="str">
        <f t="shared" si="207"/>
        <v>clean_pre</v>
      </c>
      <c r="X687" s="10" t="str">
        <f t="shared" si="208"/>
        <v>0_Pre</v>
      </c>
      <c r="Y687" s="10" t="str">
        <f t="shared" si="209"/>
        <v>0_Pre</v>
      </c>
      <c r="Z687" s="10" t="str">
        <f t="shared" si="210"/>
        <v>0_Pre</v>
      </c>
      <c r="AA687" s="10" t="str">
        <f t="shared" si="215"/>
        <v>0_Pre</v>
      </c>
      <c r="AB687" s="10" t="str">
        <f t="shared" si="216"/>
        <v>0_Pre</v>
      </c>
      <c r="AC687" s="10" t="str">
        <f t="shared" si="217"/>
        <v>0_Pre</v>
      </c>
      <c r="AD687" s="10" t="str">
        <f t="shared" si="218"/>
        <v>1_pre sample median</v>
      </c>
      <c r="AE687" s="10" t="str">
        <f t="shared" si="219"/>
        <v>2_in sample second tertile</v>
      </c>
      <c r="AF687" t="s">
        <v>80</v>
      </c>
      <c r="AG687" t="s">
        <v>74</v>
      </c>
      <c r="AH687" t="s">
        <v>79</v>
      </c>
      <c r="AI687" t="s">
        <v>123</v>
      </c>
      <c r="AJ687" t="s">
        <v>123</v>
      </c>
      <c r="AK687" t="str">
        <f>VLOOKUP(MID($AR687,1,255),country_lookup!$B:$F,2,FALSE)</f>
        <v>3_AsiaPac</v>
      </c>
      <c r="AL687" t="str">
        <f>VLOOKUP(MID($AR687,1,255),country_lookup!$B:$F,3,FALSE)</f>
        <v>1_developed</v>
      </c>
      <c r="AM687" t="str">
        <f>VLOOKUP(MID($AR687,1,255),country_lookup!$B:$F,4,FALSE)</f>
        <v>1_western</v>
      </c>
      <c r="AN687" t="str">
        <f>VLOOKUP(MID($AR687,1,255),country_lookup!$B:$F,5,FALSE)</f>
        <v>1_common law</v>
      </c>
      <c r="AO687" s="10" t="str">
        <f>VLOOKUP(MID($AS687,1,255),source_lookup!$B:$K,4,FALSE)</f>
        <v>0_published</v>
      </c>
      <c r="AP687" s="10" t="str">
        <f>VLOOKUP(MID($AS687,1,255),source_lookup!$B:$K,6,FALSE)</f>
        <v>1_VHB high</v>
      </c>
      <c r="AQ687" s="10" t="str">
        <f>VLOOKUP(MID($AS687,1,255),source_lookup!$B:$K,10,FALSE)</f>
        <v>3_mgmt</v>
      </c>
      <c r="AR687" t="s">
        <v>104</v>
      </c>
      <c r="AS687" t="s">
        <v>157</v>
      </c>
    </row>
    <row r="688" spans="1:45" x14ac:dyDescent="0.3">
      <c r="A688" t="s">
        <v>33</v>
      </c>
      <c r="B688">
        <v>687</v>
      </c>
      <c r="C688" s="1">
        <v>-5.3845026743834706E-2</v>
      </c>
      <c r="D688" s="2">
        <v>78</v>
      </c>
      <c r="E688" s="4">
        <v>255</v>
      </c>
      <c r="F688" s="4" t="s">
        <v>346</v>
      </c>
      <c r="G688" s="4" t="s">
        <v>347</v>
      </c>
      <c r="H688" t="s">
        <v>77</v>
      </c>
      <c r="I688" t="s">
        <v>351</v>
      </c>
      <c r="J688" s="3">
        <v>2009</v>
      </c>
      <c r="K688" s="3">
        <v>2013</v>
      </c>
      <c r="L688" s="6">
        <f t="shared" si="211"/>
        <v>2011</v>
      </c>
      <c r="M688" s="6">
        <f t="shared" si="212"/>
        <v>2011</v>
      </c>
      <c r="N688" s="7">
        <f t="shared" si="200"/>
        <v>0</v>
      </c>
      <c r="O688" s="7">
        <f t="shared" si="201"/>
        <v>0</v>
      </c>
      <c r="P688" s="7">
        <f t="shared" si="202"/>
        <v>0</v>
      </c>
      <c r="Q688" s="7">
        <f t="shared" si="213"/>
        <v>0</v>
      </c>
      <c r="R688" s="10" t="str">
        <f t="shared" si="203"/>
        <v>0_Pre</v>
      </c>
      <c r="S688" s="10" t="str">
        <f t="shared" si="204"/>
        <v>0_Pre</v>
      </c>
      <c r="T688" s="10" t="str">
        <f t="shared" si="205"/>
        <v>0_Pre</v>
      </c>
      <c r="U688" s="10" t="str">
        <f t="shared" si="206"/>
        <v>0_Pre</v>
      </c>
      <c r="V688" s="10" t="str">
        <f t="shared" si="214"/>
        <v>0_Pre</v>
      </c>
      <c r="W688" s="10" t="str">
        <f t="shared" si="207"/>
        <v>clean_pre</v>
      </c>
      <c r="X688" s="10" t="str">
        <f t="shared" si="208"/>
        <v>0_Pre</v>
      </c>
      <c r="Y688" s="10" t="str">
        <f t="shared" si="209"/>
        <v>0_Pre</v>
      </c>
      <c r="Z688" s="10" t="str">
        <f t="shared" si="210"/>
        <v>0_Pre</v>
      </c>
      <c r="AA688" s="10" t="str">
        <f t="shared" si="215"/>
        <v>0_Pre</v>
      </c>
      <c r="AB688" s="10" t="str">
        <f t="shared" si="216"/>
        <v>0_Pre</v>
      </c>
      <c r="AC688" s="10" t="str">
        <f t="shared" si="217"/>
        <v>0_Pre</v>
      </c>
      <c r="AD688" s="10" t="str">
        <f t="shared" si="218"/>
        <v>1_pre sample median</v>
      </c>
      <c r="AE688" s="10" t="str">
        <f t="shared" si="219"/>
        <v>2_in sample second tertile</v>
      </c>
      <c r="AF688" t="s">
        <v>80</v>
      </c>
      <c r="AG688" t="s">
        <v>74</v>
      </c>
      <c r="AH688" t="s">
        <v>79</v>
      </c>
      <c r="AI688" t="s">
        <v>123</v>
      </c>
      <c r="AJ688" t="s">
        <v>123</v>
      </c>
      <c r="AK688" t="str">
        <f>VLOOKUP(MID($AR688,1,255),country_lookup!$B:$F,2,FALSE)</f>
        <v>3_AsiaPac</v>
      </c>
      <c r="AL688" t="str">
        <f>VLOOKUP(MID($AR688,1,255),country_lookup!$B:$F,3,FALSE)</f>
        <v>1_developed</v>
      </c>
      <c r="AM688" t="str">
        <f>VLOOKUP(MID($AR688,1,255),country_lookup!$B:$F,4,FALSE)</f>
        <v>1_western</v>
      </c>
      <c r="AN688" t="str">
        <f>VLOOKUP(MID($AR688,1,255),country_lookup!$B:$F,5,FALSE)</f>
        <v>1_common law</v>
      </c>
      <c r="AO688" s="10" t="str">
        <f>VLOOKUP(MID($AS688,1,255),source_lookup!$B:$K,4,FALSE)</f>
        <v>0_published</v>
      </c>
      <c r="AP688" s="10" t="str">
        <f>VLOOKUP(MID($AS688,1,255),source_lookup!$B:$K,6,FALSE)</f>
        <v>1_VHB high</v>
      </c>
      <c r="AQ688" s="10" t="str">
        <f>VLOOKUP(MID($AS688,1,255),source_lookup!$B:$K,10,FALSE)</f>
        <v>3_mgmt</v>
      </c>
      <c r="AR688" t="s">
        <v>104</v>
      </c>
      <c r="AS688" t="s">
        <v>157</v>
      </c>
    </row>
    <row r="689" spans="1:45" x14ac:dyDescent="0.3">
      <c r="A689" t="s">
        <v>33</v>
      </c>
      <c r="B689">
        <v>688</v>
      </c>
      <c r="C689" s="1">
        <v>3.5529921808509619E-2</v>
      </c>
      <c r="D689" s="2">
        <v>78</v>
      </c>
      <c r="E689" s="4">
        <v>252</v>
      </c>
      <c r="F689" s="4" t="s">
        <v>346</v>
      </c>
      <c r="G689" s="4" t="s">
        <v>347</v>
      </c>
      <c r="H689" t="s">
        <v>77</v>
      </c>
      <c r="I689" t="s">
        <v>351</v>
      </c>
      <c r="J689" s="3">
        <v>2009</v>
      </c>
      <c r="K689" s="3">
        <v>2013</v>
      </c>
      <c r="L689" s="6">
        <f t="shared" si="211"/>
        <v>2011</v>
      </c>
      <c r="M689" s="6">
        <f t="shared" si="212"/>
        <v>2011</v>
      </c>
      <c r="N689" s="7">
        <f t="shared" si="200"/>
        <v>0</v>
      </c>
      <c r="O689" s="7">
        <f t="shared" si="201"/>
        <v>0</v>
      </c>
      <c r="P689" s="7">
        <f t="shared" si="202"/>
        <v>0</v>
      </c>
      <c r="Q689" s="7">
        <f t="shared" si="213"/>
        <v>0</v>
      </c>
      <c r="R689" s="10" t="str">
        <f t="shared" si="203"/>
        <v>0_Pre</v>
      </c>
      <c r="S689" s="10" t="str">
        <f t="shared" si="204"/>
        <v>0_Pre</v>
      </c>
      <c r="T689" s="10" t="str">
        <f t="shared" si="205"/>
        <v>0_Pre</v>
      </c>
      <c r="U689" s="10" t="str">
        <f t="shared" si="206"/>
        <v>0_Pre</v>
      </c>
      <c r="V689" s="10" t="str">
        <f t="shared" si="214"/>
        <v>0_Pre</v>
      </c>
      <c r="W689" s="10" t="str">
        <f t="shared" si="207"/>
        <v>clean_pre</v>
      </c>
      <c r="X689" s="10" t="str">
        <f t="shared" si="208"/>
        <v>0_Pre</v>
      </c>
      <c r="Y689" s="10" t="str">
        <f t="shared" si="209"/>
        <v>0_Pre</v>
      </c>
      <c r="Z689" s="10" t="str">
        <f t="shared" si="210"/>
        <v>0_Pre</v>
      </c>
      <c r="AA689" s="10" t="str">
        <f t="shared" si="215"/>
        <v>0_Pre</v>
      </c>
      <c r="AB689" s="10" t="str">
        <f t="shared" si="216"/>
        <v>0_Pre</v>
      </c>
      <c r="AC689" s="10" t="str">
        <f t="shared" si="217"/>
        <v>0_Pre</v>
      </c>
      <c r="AD689" s="10" t="str">
        <f t="shared" si="218"/>
        <v>1_pre sample median</v>
      </c>
      <c r="AE689" s="10" t="str">
        <f t="shared" si="219"/>
        <v>2_in sample second tertile</v>
      </c>
      <c r="AF689" t="s">
        <v>80</v>
      </c>
      <c r="AG689" t="s">
        <v>74</v>
      </c>
      <c r="AH689" t="s">
        <v>79</v>
      </c>
      <c r="AI689" t="s">
        <v>123</v>
      </c>
      <c r="AJ689" t="s">
        <v>123</v>
      </c>
      <c r="AK689" t="str">
        <f>VLOOKUP(MID($AR689,1,255),country_lookup!$B:$F,2,FALSE)</f>
        <v>3_AsiaPac</v>
      </c>
      <c r="AL689" t="str">
        <f>VLOOKUP(MID($AR689,1,255),country_lookup!$B:$F,3,FALSE)</f>
        <v>1_developed</v>
      </c>
      <c r="AM689" t="str">
        <f>VLOOKUP(MID($AR689,1,255),country_lookup!$B:$F,4,FALSE)</f>
        <v>1_western</v>
      </c>
      <c r="AN689" t="str">
        <f>VLOOKUP(MID($AR689,1,255),country_lookup!$B:$F,5,FALSE)</f>
        <v>1_common law</v>
      </c>
      <c r="AO689" s="10" t="str">
        <f>VLOOKUP(MID($AS689,1,255),source_lookup!$B:$K,4,FALSE)</f>
        <v>0_published</v>
      </c>
      <c r="AP689" s="10" t="str">
        <f>VLOOKUP(MID($AS689,1,255),source_lookup!$B:$K,6,FALSE)</f>
        <v>1_VHB high</v>
      </c>
      <c r="AQ689" s="10" t="str">
        <f>VLOOKUP(MID($AS689,1,255),source_lookup!$B:$K,10,FALSE)</f>
        <v>3_mgmt</v>
      </c>
      <c r="AR689" t="s">
        <v>104</v>
      </c>
      <c r="AS689" t="s">
        <v>157</v>
      </c>
    </row>
    <row r="690" spans="1:45" x14ac:dyDescent="0.3">
      <c r="A690" t="s">
        <v>33</v>
      </c>
      <c r="B690">
        <v>689</v>
      </c>
      <c r="C690" s="1">
        <v>-0.11321212349009936</v>
      </c>
      <c r="D690" s="2">
        <v>78</v>
      </c>
      <c r="E690" s="4">
        <v>255</v>
      </c>
      <c r="F690" s="4" t="s">
        <v>346</v>
      </c>
      <c r="G690" s="4" t="s">
        <v>347</v>
      </c>
      <c r="H690" t="s">
        <v>77</v>
      </c>
      <c r="I690" t="s">
        <v>351</v>
      </c>
      <c r="J690" s="3">
        <v>2009</v>
      </c>
      <c r="K690" s="3">
        <v>2013</v>
      </c>
      <c r="L690" s="6">
        <f t="shared" si="211"/>
        <v>2011</v>
      </c>
      <c r="M690" s="6">
        <f t="shared" si="212"/>
        <v>2011</v>
      </c>
      <c r="N690" s="7">
        <f t="shared" si="200"/>
        <v>0</v>
      </c>
      <c r="O690" s="7">
        <f t="shared" si="201"/>
        <v>0</v>
      </c>
      <c r="P690" s="7">
        <f t="shared" si="202"/>
        <v>0</v>
      </c>
      <c r="Q690" s="7">
        <f t="shared" si="213"/>
        <v>0</v>
      </c>
      <c r="R690" s="10" t="str">
        <f t="shared" si="203"/>
        <v>0_Pre</v>
      </c>
      <c r="S690" s="10" t="str">
        <f t="shared" si="204"/>
        <v>0_Pre</v>
      </c>
      <c r="T690" s="10" t="str">
        <f t="shared" si="205"/>
        <v>0_Pre</v>
      </c>
      <c r="U690" s="10" t="str">
        <f t="shared" si="206"/>
        <v>0_Pre</v>
      </c>
      <c r="V690" s="10" t="str">
        <f t="shared" si="214"/>
        <v>0_Pre</v>
      </c>
      <c r="W690" s="10" t="str">
        <f t="shared" si="207"/>
        <v>clean_pre</v>
      </c>
      <c r="X690" s="10" t="str">
        <f t="shared" si="208"/>
        <v>0_Pre</v>
      </c>
      <c r="Y690" s="10" t="str">
        <f t="shared" si="209"/>
        <v>0_Pre</v>
      </c>
      <c r="Z690" s="10" t="str">
        <f t="shared" si="210"/>
        <v>0_Pre</v>
      </c>
      <c r="AA690" s="10" t="str">
        <f t="shared" si="215"/>
        <v>0_Pre</v>
      </c>
      <c r="AB690" s="10" t="str">
        <f t="shared" si="216"/>
        <v>0_Pre</v>
      </c>
      <c r="AC690" s="10" t="str">
        <f t="shared" si="217"/>
        <v>0_Pre</v>
      </c>
      <c r="AD690" s="10" t="str">
        <f t="shared" si="218"/>
        <v>1_pre sample median</v>
      </c>
      <c r="AE690" s="10" t="str">
        <f t="shared" si="219"/>
        <v>2_in sample second tertile</v>
      </c>
      <c r="AF690" t="s">
        <v>80</v>
      </c>
      <c r="AG690" t="s">
        <v>74</v>
      </c>
      <c r="AH690" t="s">
        <v>79</v>
      </c>
      <c r="AI690" t="s">
        <v>123</v>
      </c>
      <c r="AJ690" t="s">
        <v>123</v>
      </c>
      <c r="AK690" t="str">
        <f>VLOOKUP(MID($AR690,1,255),country_lookup!$B:$F,2,FALSE)</f>
        <v>3_AsiaPac</v>
      </c>
      <c r="AL690" t="str">
        <f>VLOOKUP(MID($AR690,1,255),country_lookup!$B:$F,3,FALSE)</f>
        <v>1_developed</v>
      </c>
      <c r="AM690" t="str">
        <f>VLOOKUP(MID($AR690,1,255),country_lookup!$B:$F,4,FALSE)</f>
        <v>1_western</v>
      </c>
      <c r="AN690" t="str">
        <f>VLOOKUP(MID($AR690,1,255),country_lookup!$B:$F,5,FALSE)</f>
        <v>1_common law</v>
      </c>
      <c r="AO690" s="10" t="str">
        <f>VLOOKUP(MID($AS690,1,255),source_lookup!$B:$K,4,FALSE)</f>
        <v>0_published</v>
      </c>
      <c r="AP690" s="10" t="str">
        <f>VLOOKUP(MID($AS690,1,255),source_lookup!$B:$K,6,FALSE)</f>
        <v>1_VHB high</v>
      </c>
      <c r="AQ690" s="10" t="str">
        <f>VLOOKUP(MID($AS690,1,255),source_lookup!$B:$K,10,FALSE)</f>
        <v>3_mgmt</v>
      </c>
      <c r="AR690" t="s">
        <v>104</v>
      </c>
      <c r="AS690" t="s">
        <v>157</v>
      </c>
    </row>
    <row r="691" spans="1:45" x14ac:dyDescent="0.3">
      <c r="A691" t="s">
        <v>33</v>
      </c>
      <c r="B691">
        <v>690</v>
      </c>
      <c r="C691" s="1">
        <v>-0.17895561689976705</v>
      </c>
      <c r="D691" s="2">
        <v>78</v>
      </c>
      <c r="E691" s="4">
        <v>255</v>
      </c>
      <c r="F691" s="4" t="s">
        <v>346</v>
      </c>
      <c r="G691" s="4" t="s">
        <v>347</v>
      </c>
      <c r="H691" t="s">
        <v>77</v>
      </c>
      <c r="I691" t="s">
        <v>351</v>
      </c>
      <c r="J691" s="3">
        <v>2009</v>
      </c>
      <c r="K691" s="3">
        <v>2013</v>
      </c>
      <c r="L691" s="6">
        <f t="shared" si="211"/>
        <v>2011</v>
      </c>
      <c r="M691" s="6">
        <f t="shared" si="212"/>
        <v>2011</v>
      </c>
      <c r="N691" s="7">
        <f t="shared" si="200"/>
        <v>0</v>
      </c>
      <c r="O691" s="7">
        <f t="shared" si="201"/>
        <v>0</v>
      </c>
      <c r="P691" s="7">
        <f t="shared" si="202"/>
        <v>0</v>
      </c>
      <c r="Q691" s="7">
        <f t="shared" si="213"/>
        <v>0</v>
      </c>
      <c r="R691" s="10" t="str">
        <f t="shared" si="203"/>
        <v>0_Pre</v>
      </c>
      <c r="S691" s="10" t="str">
        <f t="shared" si="204"/>
        <v>0_Pre</v>
      </c>
      <c r="T691" s="10" t="str">
        <f t="shared" si="205"/>
        <v>0_Pre</v>
      </c>
      <c r="U691" s="10" t="str">
        <f t="shared" si="206"/>
        <v>0_Pre</v>
      </c>
      <c r="V691" s="10" t="str">
        <f t="shared" si="214"/>
        <v>0_Pre</v>
      </c>
      <c r="W691" s="10" t="str">
        <f t="shared" si="207"/>
        <v>clean_pre</v>
      </c>
      <c r="X691" s="10" t="str">
        <f t="shared" si="208"/>
        <v>0_Pre</v>
      </c>
      <c r="Y691" s="10" t="str">
        <f t="shared" si="209"/>
        <v>0_Pre</v>
      </c>
      <c r="Z691" s="10" t="str">
        <f t="shared" si="210"/>
        <v>0_Pre</v>
      </c>
      <c r="AA691" s="10" t="str">
        <f t="shared" si="215"/>
        <v>0_Pre</v>
      </c>
      <c r="AB691" s="10" t="str">
        <f t="shared" si="216"/>
        <v>0_Pre</v>
      </c>
      <c r="AC691" s="10" t="str">
        <f t="shared" si="217"/>
        <v>0_Pre</v>
      </c>
      <c r="AD691" s="10" t="str">
        <f t="shared" si="218"/>
        <v>1_pre sample median</v>
      </c>
      <c r="AE691" s="10" t="str">
        <f t="shared" si="219"/>
        <v>2_in sample second tertile</v>
      </c>
      <c r="AF691" t="s">
        <v>80</v>
      </c>
      <c r="AG691" t="s">
        <v>74</v>
      </c>
      <c r="AH691" t="s">
        <v>79</v>
      </c>
      <c r="AI691" t="s">
        <v>123</v>
      </c>
      <c r="AJ691" t="s">
        <v>123</v>
      </c>
      <c r="AK691" t="str">
        <f>VLOOKUP(MID($AR691,1,255),country_lookup!$B:$F,2,FALSE)</f>
        <v>3_AsiaPac</v>
      </c>
      <c r="AL691" t="str">
        <f>VLOOKUP(MID($AR691,1,255),country_lookup!$B:$F,3,FALSE)</f>
        <v>1_developed</v>
      </c>
      <c r="AM691" t="str">
        <f>VLOOKUP(MID($AR691,1,255),country_lookup!$B:$F,4,FALSE)</f>
        <v>1_western</v>
      </c>
      <c r="AN691" t="str">
        <f>VLOOKUP(MID($AR691,1,255),country_lookup!$B:$F,5,FALSE)</f>
        <v>1_common law</v>
      </c>
      <c r="AO691" s="10" t="str">
        <f>VLOOKUP(MID($AS691,1,255),source_lookup!$B:$K,4,FALSE)</f>
        <v>0_published</v>
      </c>
      <c r="AP691" s="10" t="str">
        <f>VLOOKUP(MID($AS691,1,255),source_lookup!$B:$K,6,FALSE)</f>
        <v>1_VHB high</v>
      </c>
      <c r="AQ691" s="10" t="str">
        <f>VLOOKUP(MID($AS691,1,255),source_lookup!$B:$K,10,FALSE)</f>
        <v>3_mgmt</v>
      </c>
      <c r="AR691" t="s">
        <v>104</v>
      </c>
      <c r="AS691" t="s">
        <v>157</v>
      </c>
    </row>
    <row r="692" spans="1:45" x14ac:dyDescent="0.3">
      <c r="A692" t="s">
        <v>33</v>
      </c>
      <c r="B692">
        <v>691</v>
      </c>
      <c r="C692" s="1">
        <v>-8.720827773406924E-3</v>
      </c>
      <c r="D692" s="2">
        <v>78</v>
      </c>
      <c r="E692" s="4">
        <v>252</v>
      </c>
      <c r="F692" s="4" t="s">
        <v>346</v>
      </c>
      <c r="G692" s="4" t="s">
        <v>347</v>
      </c>
      <c r="H692" t="s">
        <v>77</v>
      </c>
      <c r="I692" t="s">
        <v>351</v>
      </c>
      <c r="J692" s="3">
        <v>2009</v>
      </c>
      <c r="K692" s="3">
        <v>2013</v>
      </c>
      <c r="L692" s="6">
        <f t="shared" si="211"/>
        <v>2011</v>
      </c>
      <c r="M692" s="6">
        <f t="shared" si="212"/>
        <v>2011</v>
      </c>
      <c r="N692" s="7">
        <f t="shared" si="200"/>
        <v>0</v>
      </c>
      <c r="O692" s="7">
        <f t="shared" si="201"/>
        <v>0</v>
      </c>
      <c r="P692" s="7">
        <f t="shared" si="202"/>
        <v>0</v>
      </c>
      <c r="Q692" s="7">
        <f t="shared" si="213"/>
        <v>0</v>
      </c>
      <c r="R692" s="10" t="str">
        <f t="shared" si="203"/>
        <v>0_Pre</v>
      </c>
      <c r="S692" s="10" t="str">
        <f t="shared" si="204"/>
        <v>0_Pre</v>
      </c>
      <c r="T692" s="10" t="str">
        <f t="shared" si="205"/>
        <v>0_Pre</v>
      </c>
      <c r="U692" s="10" t="str">
        <f t="shared" si="206"/>
        <v>0_Pre</v>
      </c>
      <c r="V692" s="10" t="str">
        <f t="shared" si="214"/>
        <v>0_Pre</v>
      </c>
      <c r="W692" s="10" t="str">
        <f t="shared" si="207"/>
        <v>clean_pre</v>
      </c>
      <c r="X692" s="10" t="str">
        <f t="shared" si="208"/>
        <v>0_Pre</v>
      </c>
      <c r="Y692" s="10" t="str">
        <f t="shared" si="209"/>
        <v>0_Pre</v>
      </c>
      <c r="Z692" s="10" t="str">
        <f t="shared" si="210"/>
        <v>0_Pre</v>
      </c>
      <c r="AA692" s="10" t="str">
        <f t="shared" si="215"/>
        <v>0_Pre</v>
      </c>
      <c r="AB692" s="10" t="str">
        <f t="shared" si="216"/>
        <v>0_Pre</v>
      </c>
      <c r="AC692" s="10" t="str">
        <f t="shared" si="217"/>
        <v>0_Pre</v>
      </c>
      <c r="AD692" s="10" t="str">
        <f t="shared" si="218"/>
        <v>1_pre sample median</v>
      </c>
      <c r="AE692" s="10" t="str">
        <f t="shared" si="219"/>
        <v>2_in sample second tertile</v>
      </c>
      <c r="AF692" t="s">
        <v>80</v>
      </c>
      <c r="AG692" t="s">
        <v>74</v>
      </c>
      <c r="AH692" t="s">
        <v>79</v>
      </c>
      <c r="AI692" t="s">
        <v>123</v>
      </c>
      <c r="AJ692" t="s">
        <v>123</v>
      </c>
      <c r="AK692" t="str">
        <f>VLOOKUP(MID($AR692,1,255),country_lookup!$B:$F,2,FALSE)</f>
        <v>3_AsiaPac</v>
      </c>
      <c r="AL692" t="str">
        <f>VLOOKUP(MID($AR692,1,255),country_lookup!$B:$F,3,FALSE)</f>
        <v>1_developed</v>
      </c>
      <c r="AM692" t="str">
        <f>VLOOKUP(MID($AR692,1,255),country_lookup!$B:$F,4,FALSE)</f>
        <v>1_western</v>
      </c>
      <c r="AN692" t="str">
        <f>VLOOKUP(MID($AR692,1,255),country_lookup!$B:$F,5,FALSE)</f>
        <v>1_common law</v>
      </c>
      <c r="AO692" s="10" t="str">
        <f>VLOOKUP(MID($AS692,1,255),source_lookup!$B:$K,4,FALSE)</f>
        <v>0_published</v>
      </c>
      <c r="AP692" s="10" t="str">
        <f>VLOOKUP(MID($AS692,1,255),source_lookup!$B:$K,6,FALSE)</f>
        <v>1_VHB high</v>
      </c>
      <c r="AQ692" s="10" t="str">
        <f>VLOOKUP(MID($AS692,1,255),source_lookup!$B:$K,10,FALSE)</f>
        <v>3_mgmt</v>
      </c>
      <c r="AR692" t="s">
        <v>104</v>
      </c>
      <c r="AS692" t="s">
        <v>157</v>
      </c>
    </row>
    <row r="693" spans="1:45" x14ac:dyDescent="0.3">
      <c r="A693" t="s">
        <v>34</v>
      </c>
      <c r="B693">
        <v>692</v>
      </c>
      <c r="C693" s="1">
        <v>-0.19</v>
      </c>
      <c r="D693" s="2">
        <v>57</v>
      </c>
      <c r="E693" s="4">
        <v>510</v>
      </c>
      <c r="F693" s="4" t="s">
        <v>346</v>
      </c>
      <c r="G693" s="4" t="s">
        <v>347</v>
      </c>
      <c r="H693" t="s">
        <v>76</v>
      </c>
      <c r="I693" t="s">
        <v>353</v>
      </c>
      <c r="J693" s="3">
        <v>2011</v>
      </c>
      <c r="K693" s="3">
        <v>2019</v>
      </c>
      <c r="L693" s="6">
        <f t="shared" si="211"/>
        <v>2015</v>
      </c>
      <c r="M693" s="6">
        <f t="shared" si="212"/>
        <v>2015</v>
      </c>
      <c r="N693" s="7">
        <f t="shared" si="200"/>
        <v>0.44444444444444442</v>
      </c>
      <c r="O693" s="7">
        <f t="shared" si="201"/>
        <v>0.33333333333333331</v>
      </c>
      <c r="P693" s="7">
        <f t="shared" si="202"/>
        <v>0.22222222222222221</v>
      </c>
      <c r="Q693" s="7">
        <f t="shared" si="213"/>
        <v>0.1111111111111111</v>
      </c>
      <c r="R693" s="10" t="str">
        <f t="shared" si="203"/>
        <v>0_Pre</v>
      </c>
      <c r="S693" s="10" t="str">
        <f t="shared" si="204"/>
        <v>0_Pre</v>
      </c>
      <c r="T693" s="10" t="str">
        <f t="shared" si="205"/>
        <v>0_Pre</v>
      </c>
      <c r="U693" s="10" t="str">
        <f t="shared" si="206"/>
        <v>1_Post</v>
      </c>
      <c r="V693" s="10" t="str">
        <f t="shared" si="214"/>
        <v>0_Pre</v>
      </c>
      <c r="W693" s="10" t="str">
        <f t="shared" si="207"/>
        <v>straddle</v>
      </c>
      <c r="X693" s="10" t="str">
        <f t="shared" si="208"/>
        <v>0_Pre</v>
      </c>
      <c r="Y693" s="10" t="str">
        <f t="shared" si="209"/>
        <v>0_Pre</v>
      </c>
      <c r="Z693" s="10" t="str">
        <f t="shared" si="210"/>
        <v>0_Pre</v>
      </c>
      <c r="AA693" s="10" t="str">
        <f t="shared" si="215"/>
        <v>1_Post</v>
      </c>
      <c r="AB693" s="10" t="str">
        <f t="shared" si="216"/>
        <v>1_Post</v>
      </c>
      <c r="AC693" s="10" t="str">
        <f t="shared" si="217"/>
        <v>1_Post</v>
      </c>
      <c r="AD693" s="10" t="str">
        <f t="shared" si="218"/>
        <v>2_post sample median</v>
      </c>
      <c r="AE693" s="10" t="str">
        <f t="shared" si="219"/>
        <v>3_post sample third tertile</v>
      </c>
      <c r="AF693" t="s">
        <v>67</v>
      </c>
      <c r="AG693" t="s">
        <v>75</v>
      </c>
      <c r="AH693" t="s">
        <v>78</v>
      </c>
      <c r="AI693" t="s">
        <v>122</v>
      </c>
      <c r="AJ693" t="s">
        <v>123</v>
      </c>
      <c r="AK693" t="str">
        <f>VLOOKUP(MID($AR693,1,255),country_lookup!$B:$F,2,FALSE)</f>
        <v>3_AsiaPac</v>
      </c>
      <c r="AL693" t="str">
        <f>VLOOKUP(MID($AR693,1,255),country_lookup!$B:$F,3,FALSE)</f>
        <v>1_developed</v>
      </c>
      <c r="AM693" t="str">
        <f>VLOOKUP(MID($AR693,1,255),country_lookup!$B:$F,4,FALSE)</f>
        <v>2_non_western</v>
      </c>
      <c r="AN693" t="str">
        <f>VLOOKUP(MID($AR693,1,255),country_lookup!$B:$F,5,FALSE)</f>
        <v>2_civil law</v>
      </c>
      <c r="AO693" s="10" t="str">
        <f>VLOOKUP(MID($AS693,1,255),source_lookup!$B:$K,4,FALSE)</f>
        <v>0_published</v>
      </c>
      <c r="AP693" s="10" t="str">
        <f>VLOOKUP(MID($AS693,1,255),source_lookup!$B:$K,6,FALSE)</f>
        <v>0_VHB low</v>
      </c>
      <c r="AQ693" s="10" t="str">
        <f>VLOOKUP(MID($AS693,1,255),source_lookup!$B:$K,10,FALSE)</f>
        <v>3_mgmt</v>
      </c>
      <c r="AR693" t="s">
        <v>103</v>
      </c>
      <c r="AS693" t="s">
        <v>158</v>
      </c>
    </row>
    <row r="694" spans="1:45" x14ac:dyDescent="0.3">
      <c r="A694" t="s">
        <v>34</v>
      </c>
      <c r="B694">
        <v>693</v>
      </c>
      <c r="C694" s="1">
        <v>-0.26</v>
      </c>
      <c r="D694" s="2">
        <v>57</v>
      </c>
      <c r="E694" s="4">
        <v>510</v>
      </c>
      <c r="F694" s="4" t="s">
        <v>346</v>
      </c>
      <c r="G694" s="4" t="s">
        <v>347</v>
      </c>
      <c r="H694" t="s">
        <v>76</v>
      </c>
      <c r="I694" t="s">
        <v>353</v>
      </c>
      <c r="J694" s="3">
        <v>2011</v>
      </c>
      <c r="K694" s="3">
        <v>2019</v>
      </c>
      <c r="L694" s="6">
        <f t="shared" si="211"/>
        <v>2015</v>
      </c>
      <c r="M694" s="6">
        <f t="shared" si="212"/>
        <v>2015</v>
      </c>
      <c r="N694" s="7">
        <f t="shared" si="200"/>
        <v>0.44444444444444442</v>
      </c>
      <c r="O694" s="7">
        <f t="shared" si="201"/>
        <v>0.33333333333333331</v>
      </c>
      <c r="P694" s="7">
        <f t="shared" si="202"/>
        <v>0.22222222222222221</v>
      </c>
      <c r="Q694" s="7">
        <f t="shared" si="213"/>
        <v>0.1111111111111111</v>
      </c>
      <c r="R694" s="10" t="str">
        <f t="shared" si="203"/>
        <v>0_Pre</v>
      </c>
      <c r="S694" s="10" t="str">
        <f t="shared" si="204"/>
        <v>0_Pre</v>
      </c>
      <c r="T694" s="10" t="str">
        <f t="shared" si="205"/>
        <v>0_Pre</v>
      </c>
      <c r="U694" s="10" t="str">
        <f t="shared" si="206"/>
        <v>1_Post</v>
      </c>
      <c r="V694" s="10" t="str">
        <f t="shared" si="214"/>
        <v>0_Pre</v>
      </c>
      <c r="W694" s="10" t="str">
        <f t="shared" si="207"/>
        <v>straddle</v>
      </c>
      <c r="X694" s="10" t="str">
        <f t="shared" si="208"/>
        <v>0_Pre</v>
      </c>
      <c r="Y694" s="10" t="str">
        <f t="shared" si="209"/>
        <v>0_Pre</v>
      </c>
      <c r="Z694" s="10" t="str">
        <f t="shared" si="210"/>
        <v>0_Pre</v>
      </c>
      <c r="AA694" s="10" t="str">
        <f t="shared" si="215"/>
        <v>1_Post</v>
      </c>
      <c r="AB694" s="10" t="str">
        <f t="shared" si="216"/>
        <v>1_Post</v>
      </c>
      <c r="AC694" s="10" t="str">
        <f t="shared" si="217"/>
        <v>1_Post</v>
      </c>
      <c r="AD694" s="10" t="str">
        <f t="shared" si="218"/>
        <v>2_post sample median</v>
      </c>
      <c r="AE694" s="10" t="str">
        <f t="shared" si="219"/>
        <v>3_post sample third tertile</v>
      </c>
      <c r="AF694" t="s">
        <v>67</v>
      </c>
      <c r="AG694" t="s">
        <v>75</v>
      </c>
      <c r="AH694" t="s">
        <v>78</v>
      </c>
      <c r="AI694" t="s">
        <v>122</v>
      </c>
      <c r="AJ694" t="s">
        <v>123</v>
      </c>
      <c r="AK694" t="str">
        <f>VLOOKUP(MID($AR694,1,255),country_lookup!$B:$F,2,FALSE)</f>
        <v>3_AsiaPac</v>
      </c>
      <c r="AL694" t="str">
        <f>VLOOKUP(MID($AR694,1,255),country_lookup!$B:$F,3,FALSE)</f>
        <v>1_developed</v>
      </c>
      <c r="AM694" t="str">
        <f>VLOOKUP(MID($AR694,1,255),country_lookup!$B:$F,4,FALSE)</f>
        <v>2_non_western</v>
      </c>
      <c r="AN694" t="str">
        <f>VLOOKUP(MID($AR694,1,255),country_lookup!$B:$F,5,FALSE)</f>
        <v>2_civil law</v>
      </c>
      <c r="AO694" s="10" t="str">
        <f>VLOOKUP(MID($AS694,1,255),source_lookup!$B:$K,4,FALSE)</f>
        <v>0_published</v>
      </c>
      <c r="AP694" s="10" t="str">
        <f>VLOOKUP(MID($AS694,1,255),source_lookup!$B:$K,6,FALSE)</f>
        <v>0_VHB low</v>
      </c>
      <c r="AQ694" s="10" t="str">
        <f>VLOOKUP(MID($AS694,1,255),source_lookup!$B:$K,10,FALSE)</f>
        <v>3_mgmt</v>
      </c>
      <c r="AR694" t="s">
        <v>103</v>
      </c>
      <c r="AS694" t="s">
        <v>158</v>
      </c>
    </row>
    <row r="695" spans="1:45" x14ac:dyDescent="0.3">
      <c r="A695" t="s">
        <v>34</v>
      </c>
      <c r="B695">
        <v>694</v>
      </c>
      <c r="C695" s="1">
        <v>-0.16</v>
      </c>
      <c r="D695" s="2">
        <v>57</v>
      </c>
      <c r="E695" s="4">
        <v>510</v>
      </c>
      <c r="F695" s="4" t="s">
        <v>346</v>
      </c>
      <c r="G695" s="4" t="s">
        <v>347</v>
      </c>
      <c r="H695" t="s">
        <v>76</v>
      </c>
      <c r="I695" t="s">
        <v>353</v>
      </c>
      <c r="J695" s="3">
        <v>2011</v>
      </c>
      <c r="K695" s="3">
        <v>2019</v>
      </c>
      <c r="L695" s="6">
        <f t="shared" si="211"/>
        <v>2015</v>
      </c>
      <c r="M695" s="6">
        <f t="shared" si="212"/>
        <v>2015</v>
      </c>
      <c r="N695" s="7">
        <f t="shared" si="200"/>
        <v>0.44444444444444442</v>
      </c>
      <c r="O695" s="7">
        <f t="shared" si="201"/>
        <v>0.33333333333333331</v>
      </c>
      <c r="P695" s="7">
        <f t="shared" si="202"/>
        <v>0.22222222222222221</v>
      </c>
      <c r="Q695" s="7">
        <f t="shared" si="213"/>
        <v>0.1111111111111111</v>
      </c>
      <c r="R695" s="10" t="str">
        <f t="shared" si="203"/>
        <v>0_Pre</v>
      </c>
      <c r="S695" s="10" t="str">
        <f t="shared" si="204"/>
        <v>0_Pre</v>
      </c>
      <c r="T695" s="10" t="str">
        <f t="shared" si="205"/>
        <v>0_Pre</v>
      </c>
      <c r="U695" s="10" t="str">
        <f t="shared" si="206"/>
        <v>1_Post</v>
      </c>
      <c r="V695" s="10" t="str">
        <f t="shared" si="214"/>
        <v>0_Pre</v>
      </c>
      <c r="W695" s="10" t="str">
        <f t="shared" si="207"/>
        <v>straddle</v>
      </c>
      <c r="X695" s="10" t="str">
        <f t="shared" si="208"/>
        <v>0_Pre</v>
      </c>
      <c r="Y695" s="10" t="str">
        <f t="shared" si="209"/>
        <v>0_Pre</v>
      </c>
      <c r="Z695" s="10" t="str">
        <f t="shared" si="210"/>
        <v>0_Pre</v>
      </c>
      <c r="AA695" s="10" t="str">
        <f t="shared" si="215"/>
        <v>1_Post</v>
      </c>
      <c r="AB695" s="10" t="str">
        <f t="shared" si="216"/>
        <v>1_Post</v>
      </c>
      <c r="AC695" s="10" t="str">
        <f t="shared" si="217"/>
        <v>1_Post</v>
      </c>
      <c r="AD695" s="10" t="str">
        <f t="shared" si="218"/>
        <v>2_post sample median</v>
      </c>
      <c r="AE695" s="10" t="str">
        <f t="shared" si="219"/>
        <v>3_post sample third tertile</v>
      </c>
      <c r="AF695" t="s">
        <v>67</v>
      </c>
      <c r="AG695" t="s">
        <v>75</v>
      </c>
      <c r="AH695" t="s">
        <v>78</v>
      </c>
      <c r="AI695" t="s">
        <v>122</v>
      </c>
      <c r="AJ695" t="s">
        <v>123</v>
      </c>
      <c r="AK695" t="str">
        <f>VLOOKUP(MID($AR695,1,255),country_lookup!$B:$F,2,FALSE)</f>
        <v>3_AsiaPac</v>
      </c>
      <c r="AL695" t="str">
        <f>VLOOKUP(MID($AR695,1,255),country_lookup!$B:$F,3,FALSE)</f>
        <v>1_developed</v>
      </c>
      <c r="AM695" t="str">
        <f>VLOOKUP(MID($AR695,1,255),country_lookup!$B:$F,4,FALSE)</f>
        <v>2_non_western</v>
      </c>
      <c r="AN695" t="str">
        <f>VLOOKUP(MID($AR695,1,255),country_lookup!$B:$F,5,FALSE)</f>
        <v>2_civil law</v>
      </c>
      <c r="AO695" s="10" t="str">
        <f>VLOOKUP(MID($AS695,1,255),source_lookup!$B:$K,4,FALSE)</f>
        <v>0_published</v>
      </c>
      <c r="AP695" s="10" t="str">
        <f>VLOOKUP(MID($AS695,1,255),source_lookup!$B:$K,6,FALSE)</f>
        <v>0_VHB low</v>
      </c>
      <c r="AQ695" s="10" t="str">
        <f>VLOOKUP(MID($AS695,1,255),source_lookup!$B:$K,10,FALSE)</f>
        <v>3_mgmt</v>
      </c>
      <c r="AR695" t="s">
        <v>103</v>
      </c>
      <c r="AS695" t="s">
        <v>158</v>
      </c>
    </row>
    <row r="696" spans="1:45" x14ac:dyDescent="0.3">
      <c r="A696" t="s">
        <v>34</v>
      </c>
      <c r="B696">
        <v>695</v>
      </c>
      <c r="C696" s="1">
        <v>-0.17</v>
      </c>
      <c r="D696" s="2">
        <v>57</v>
      </c>
      <c r="E696" s="4">
        <v>510</v>
      </c>
      <c r="F696" s="4" t="s">
        <v>346</v>
      </c>
      <c r="G696" s="4" t="s">
        <v>347</v>
      </c>
      <c r="H696" t="s">
        <v>76</v>
      </c>
      <c r="I696" t="s">
        <v>353</v>
      </c>
      <c r="J696" s="3">
        <v>2011</v>
      </c>
      <c r="K696" s="3">
        <v>2019</v>
      </c>
      <c r="L696" s="6">
        <f t="shared" si="211"/>
        <v>2015</v>
      </c>
      <c r="M696" s="6">
        <f t="shared" si="212"/>
        <v>2015</v>
      </c>
      <c r="N696" s="7">
        <f t="shared" si="200"/>
        <v>0.44444444444444442</v>
      </c>
      <c r="O696" s="7">
        <f t="shared" si="201"/>
        <v>0.33333333333333331</v>
      </c>
      <c r="P696" s="7">
        <f t="shared" si="202"/>
        <v>0.22222222222222221</v>
      </c>
      <c r="Q696" s="7">
        <f t="shared" si="213"/>
        <v>0.1111111111111111</v>
      </c>
      <c r="R696" s="10" t="str">
        <f t="shared" si="203"/>
        <v>0_Pre</v>
      </c>
      <c r="S696" s="10" t="str">
        <f t="shared" si="204"/>
        <v>0_Pre</v>
      </c>
      <c r="T696" s="10" t="str">
        <f t="shared" si="205"/>
        <v>0_Pre</v>
      </c>
      <c r="U696" s="10" t="str">
        <f t="shared" si="206"/>
        <v>1_Post</v>
      </c>
      <c r="V696" s="10" t="str">
        <f t="shared" si="214"/>
        <v>0_Pre</v>
      </c>
      <c r="W696" s="10" t="str">
        <f t="shared" si="207"/>
        <v>straddle</v>
      </c>
      <c r="X696" s="10" t="str">
        <f t="shared" si="208"/>
        <v>0_Pre</v>
      </c>
      <c r="Y696" s="10" t="str">
        <f t="shared" si="209"/>
        <v>0_Pre</v>
      </c>
      <c r="Z696" s="10" t="str">
        <f t="shared" si="210"/>
        <v>0_Pre</v>
      </c>
      <c r="AA696" s="10" t="str">
        <f t="shared" si="215"/>
        <v>1_Post</v>
      </c>
      <c r="AB696" s="10" t="str">
        <f t="shared" si="216"/>
        <v>1_Post</v>
      </c>
      <c r="AC696" s="10" t="str">
        <f t="shared" si="217"/>
        <v>1_Post</v>
      </c>
      <c r="AD696" s="10" t="str">
        <f t="shared" si="218"/>
        <v>2_post sample median</v>
      </c>
      <c r="AE696" s="10" t="str">
        <f t="shared" si="219"/>
        <v>3_post sample third tertile</v>
      </c>
      <c r="AF696" t="s">
        <v>67</v>
      </c>
      <c r="AG696" t="s">
        <v>75</v>
      </c>
      <c r="AH696" t="s">
        <v>78</v>
      </c>
      <c r="AI696" t="s">
        <v>122</v>
      </c>
      <c r="AJ696" t="s">
        <v>123</v>
      </c>
      <c r="AK696" t="str">
        <f>VLOOKUP(MID($AR696,1,255),country_lookup!$B:$F,2,FALSE)</f>
        <v>3_AsiaPac</v>
      </c>
      <c r="AL696" t="str">
        <f>VLOOKUP(MID($AR696,1,255),country_lookup!$B:$F,3,FALSE)</f>
        <v>1_developed</v>
      </c>
      <c r="AM696" t="str">
        <f>VLOOKUP(MID($AR696,1,255),country_lookup!$B:$F,4,FALSE)</f>
        <v>2_non_western</v>
      </c>
      <c r="AN696" t="str">
        <f>VLOOKUP(MID($AR696,1,255),country_lookup!$B:$F,5,FALSE)</f>
        <v>2_civil law</v>
      </c>
      <c r="AO696" s="10" t="str">
        <f>VLOOKUP(MID($AS696,1,255),source_lookup!$B:$K,4,FALSE)</f>
        <v>0_published</v>
      </c>
      <c r="AP696" s="10" t="str">
        <f>VLOOKUP(MID($AS696,1,255),source_lookup!$B:$K,6,FALSE)</f>
        <v>0_VHB low</v>
      </c>
      <c r="AQ696" s="10" t="str">
        <f>VLOOKUP(MID($AS696,1,255),source_lookup!$B:$K,10,FALSE)</f>
        <v>3_mgmt</v>
      </c>
      <c r="AR696" t="s">
        <v>103</v>
      </c>
      <c r="AS696" t="s">
        <v>158</v>
      </c>
    </row>
    <row r="697" spans="1:45" x14ac:dyDescent="0.3">
      <c r="A697" t="s">
        <v>34</v>
      </c>
      <c r="B697">
        <v>696</v>
      </c>
      <c r="C697" s="1">
        <v>-0.12693617620454004</v>
      </c>
      <c r="D697" s="2">
        <v>57</v>
      </c>
      <c r="E697" s="4">
        <v>510</v>
      </c>
      <c r="F697" s="4" t="s">
        <v>346</v>
      </c>
      <c r="G697" s="4" t="s">
        <v>347</v>
      </c>
      <c r="H697" t="s">
        <v>77</v>
      </c>
      <c r="I697" t="s">
        <v>352</v>
      </c>
      <c r="J697" s="3">
        <v>2011</v>
      </c>
      <c r="K697" s="3">
        <v>2019</v>
      </c>
      <c r="L697" s="6">
        <f t="shared" si="211"/>
        <v>2015</v>
      </c>
      <c r="M697" s="6">
        <f t="shared" si="212"/>
        <v>2015</v>
      </c>
      <c r="N697" s="7">
        <f t="shared" si="200"/>
        <v>0.44444444444444442</v>
      </c>
      <c r="O697" s="7">
        <f t="shared" si="201"/>
        <v>0.33333333333333331</v>
      </c>
      <c r="P697" s="7">
        <f t="shared" si="202"/>
        <v>0.22222222222222221</v>
      </c>
      <c r="Q697" s="7">
        <f t="shared" si="213"/>
        <v>0.1111111111111111</v>
      </c>
      <c r="R697" s="10" t="str">
        <f t="shared" si="203"/>
        <v>0_Pre</v>
      </c>
      <c r="S697" s="10" t="str">
        <f t="shared" si="204"/>
        <v>0_Pre</v>
      </c>
      <c r="T697" s="10" t="str">
        <f t="shared" si="205"/>
        <v>0_Pre</v>
      </c>
      <c r="U697" s="10" t="str">
        <f t="shared" si="206"/>
        <v>1_Post</v>
      </c>
      <c r="V697" s="10" t="str">
        <f t="shared" si="214"/>
        <v>0_Pre</v>
      </c>
      <c r="W697" s="10" t="str">
        <f t="shared" si="207"/>
        <v>straddle</v>
      </c>
      <c r="X697" s="10" t="str">
        <f t="shared" si="208"/>
        <v>0_Pre</v>
      </c>
      <c r="Y697" s="10" t="str">
        <f t="shared" si="209"/>
        <v>0_Pre</v>
      </c>
      <c r="Z697" s="10" t="str">
        <f t="shared" si="210"/>
        <v>0_Pre</v>
      </c>
      <c r="AA697" s="10" t="str">
        <f t="shared" si="215"/>
        <v>1_Post</v>
      </c>
      <c r="AB697" s="10" t="str">
        <f t="shared" si="216"/>
        <v>1_Post</v>
      </c>
      <c r="AC697" s="10" t="str">
        <f t="shared" si="217"/>
        <v>1_Post</v>
      </c>
      <c r="AD697" s="10" t="str">
        <f t="shared" si="218"/>
        <v>2_post sample median</v>
      </c>
      <c r="AE697" s="10" t="str">
        <f t="shared" si="219"/>
        <v>3_post sample third tertile</v>
      </c>
      <c r="AF697" t="s">
        <v>67</v>
      </c>
      <c r="AG697" t="s">
        <v>75</v>
      </c>
      <c r="AH697" t="s">
        <v>78</v>
      </c>
      <c r="AI697" t="s">
        <v>122</v>
      </c>
      <c r="AJ697" t="s">
        <v>123</v>
      </c>
      <c r="AK697" t="str">
        <f>VLOOKUP(MID($AR697,1,255),country_lookup!$B:$F,2,FALSE)</f>
        <v>3_AsiaPac</v>
      </c>
      <c r="AL697" t="str">
        <f>VLOOKUP(MID($AR697,1,255),country_lookup!$B:$F,3,FALSE)</f>
        <v>1_developed</v>
      </c>
      <c r="AM697" t="str">
        <f>VLOOKUP(MID($AR697,1,255),country_lookup!$B:$F,4,FALSE)</f>
        <v>2_non_western</v>
      </c>
      <c r="AN697" t="str">
        <f>VLOOKUP(MID($AR697,1,255),country_lookup!$B:$F,5,FALSE)</f>
        <v>2_civil law</v>
      </c>
      <c r="AO697" s="10" t="str">
        <f>VLOOKUP(MID($AS697,1,255),source_lookup!$B:$K,4,FALSE)</f>
        <v>0_published</v>
      </c>
      <c r="AP697" s="10" t="str">
        <f>VLOOKUP(MID($AS697,1,255),source_lookup!$B:$K,6,FALSE)</f>
        <v>0_VHB low</v>
      </c>
      <c r="AQ697" s="10" t="str">
        <f>VLOOKUP(MID($AS697,1,255),source_lookup!$B:$K,10,FALSE)</f>
        <v>3_mgmt</v>
      </c>
      <c r="AR697" t="s">
        <v>103</v>
      </c>
      <c r="AS697" t="s">
        <v>158</v>
      </c>
    </row>
    <row r="698" spans="1:45" x14ac:dyDescent="0.3">
      <c r="A698" t="s">
        <v>34</v>
      </c>
      <c r="B698">
        <v>697</v>
      </c>
      <c r="C698" s="1">
        <v>-8.7340819323484184E-2</v>
      </c>
      <c r="D698" s="2">
        <v>57</v>
      </c>
      <c r="E698" s="4">
        <v>510</v>
      </c>
      <c r="F698" s="4" t="s">
        <v>346</v>
      </c>
      <c r="G698" s="4" t="s">
        <v>347</v>
      </c>
      <c r="H698" t="s">
        <v>77</v>
      </c>
      <c r="I698" t="s">
        <v>352</v>
      </c>
      <c r="J698" s="3">
        <v>2011</v>
      </c>
      <c r="K698" s="3">
        <v>2019</v>
      </c>
      <c r="L698" s="6">
        <f t="shared" si="211"/>
        <v>2015</v>
      </c>
      <c r="M698" s="6">
        <f t="shared" si="212"/>
        <v>2015</v>
      </c>
      <c r="N698" s="7">
        <f t="shared" si="200"/>
        <v>0.44444444444444442</v>
      </c>
      <c r="O698" s="7">
        <f t="shared" si="201"/>
        <v>0.33333333333333331</v>
      </c>
      <c r="P698" s="7">
        <f t="shared" si="202"/>
        <v>0.22222222222222221</v>
      </c>
      <c r="Q698" s="7">
        <f t="shared" si="213"/>
        <v>0.1111111111111111</v>
      </c>
      <c r="R698" s="10" t="str">
        <f t="shared" si="203"/>
        <v>0_Pre</v>
      </c>
      <c r="S698" s="10" t="str">
        <f t="shared" si="204"/>
        <v>0_Pre</v>
      </c>
      <c r="T698" s="10" t="str">
        <f t="shared" si="205"/>
        <v>0_Pre</v>
      </c>
      <c r="U698" s="10" t="str">
        <f t="shared" si="206"/>
        <v>1_Post</v>
      </c>
      <c r="V698" s="10" t="str">
        <f t="shared" si="214"/>
        <v>0_Pre</v>
      </c>
      <c r="W698" s="10" t="str">
        <f t="shared" si="207"/>
        <v>straddle</v>
      </c>
      <c r="X698" s="10" t="str">
        <f t="shared" si="208"/>
        <v>0_Pre</v>
      </c>
      <c r="Y698" s="10" t="str">
        <f t="shared" si="209"/>
        <v>0_Pre</v>
      </c>
      <c r="Z698" s="10" t="str">
        <f t="shared" si="210"/>
        <v>0_Pre</v>
      </c>
      <c r="AA698" s="10" t="str">
        <f t="shared" si="215"/>
        <v>1_Post</v>
      </c>
      <c r="AB698" s="10" t="str">
        <f t="shared" si="216"/>
        <v>1_Post</v>
      </c>
      <c r="AC698" s="10" t="str">
        <f t="shared" si="217"/>
        <v>1_Post</v>
      </c>
      <c r="AD698" s="10" t="str">
        <f t="shared" si="218"/>
        <v>2_post sample median</v>
      </c>
      <c r="AE698" s="10" t="str">
        <f t="shared" si="219"/>
        <v>3_post sample third tertile</v>
      </c>
      <c r="AF698" t="s">
        <v>67</v>
      </c>
      <c r="AG698" t="s">
        <v>75</v>
      </c>
      <c r="AH698" t="s">
        <v>78</v>
      </c>
      <c r="AI698" t="s">
        <v>122</v>
      </c>
      <c r="AJ698" t="s">
        <v>123</v>
      </c>
      <c r="AK698" t="str">
        <f>VLOOKUP(MID($AR698,1,255),country_lookup!$B:$F,2,FALSE)</f>
        <v>3_AsiaPac</v>
      </c>
      <c r="AL698" t="str">
        <f>VLOOKUP(MID($AR698,1,255),country_lookup!$B:$F,3,FALSE)</f>
        <v>1_developed</v>
      </c>
      <c r="AM698" t="str">
        <f>VLOOKUP(MID($AR698,1,255),country_lookup!$B:$F,4,FALSE)</f>
        <v>2_non_western</v>
      </c>
      <c r="AN698" t="str">
        <f>VLOOKUP(MID($AR698,1,255),country_lookup!$B:$F,5,FALSE)</f>
        <v>2_civil law</v>
      </c>
      <c r="AO698" s="10" t="str">
        <f>VLOOKUP(MID($AS698,1,255),source_lookup!$B:$K,4,FALSE)</f>
        <v>0_published</v>
      </c>
      <c r="AP698" s="10" t="str">
        <f>VLOOKUP(MID($AS698,1,255),source_lookup!$B:$K,6,FALSE)</f>
        <v>0_VHB low</v>
      </c>
      <c r="AQ698" s="10" t="str">
        <f>VLOOKUP(MID($AS698,1,255),source_lookup!$B:$K,10,FALSE)</f>
        <v>3_mgmt</v>
      </c>
      <c r="AR698" t="s">
        <v>103</v>
      </c>
      <c r="AS698" t="s">
        <v>158</v>
      </c>
    </row>
    <row r="699" spans="1:45" x14ac:dyDescent="0.3">
      <c r="A699" t="s">
        <v>34</v>
      </c>
      <c r="B699">
        <v>698</v>
      </c>
      <c r="C699" s="1">
        <v>-8.0330507409379193E-2</v>
      </c>
      <c r="D699" s="2">
        <v>57</v>
      </c>
      <c r="E699" s="4">
        <v>510</v>
      </c>
      <c r="F699" s="4" t="s">
        <v>346</v>
      </c>
      <c r="G699" s="4" t="s">
        <v>347</v>
      </c>
      <c r="H699" t="s">
        <v>77</v>
      </c>
      <c r="I699" t="s">
        <v>352</v>
      </c>
      <c r="J699" s="3">
        <v>2011</v>
      </c>
      <c r="K699" s="3">
        <v>2019</v>
      </c>
      <c r="L699" s="6">
        <f t="shared" si="211"/>
        <v>2015</v>
      </c>
      <c r="M699" s="6">
        <f t="shared" si="212"/>
        <v>2015</v>
      </c>
      <c r="N699" s="7">
        <f t="shared" si="200"/>
        <v>0.44444444444444442</v>
      </c>
      <c r="O699" s="7">
        <f t="shared" si="201"/>
        <v>0.33333333333333331</v>
      </c>
      <c r="P699" s="7">
        <f t="shared" si="202"/>
        <v>0.22222222222222221</v>
      </c>
      <c r="Q699" s="7">
        <f t="shared" si="213"/>
        <v>0.1111111111111111</v>
      </c>
      <c r="R699" s="10" t="str">
        <f t="shared" si="203"/>
        <v>0_Pre</v>
      </c>
      <c r="S699" s="10" t="str">
        <f t="shared" si="204"/>
        <v>0_Pre</v>
      </c>
      <c r="T699" s="10" t="str">
        <f t="shared" si="205"/>
        <v>0_Pre</v>
      </c>
      <c r="U699" s="10" t="str">
        <f t="shared" si="206"/>
        <v>1_Post</v>
      </c>
      <c r="V699" s="10" t="str">
        <f t="shared" si="214"/>
        <v>0_Pre</v>
      </c>
      <c r="W699" s="10" t="str">
        <f t="shared" si="207"/>
        <v>straddle</v>
      </c>
      <c r="X699" s="10" t="str">
        <f t="shared" si="208"/>
        <v>0_Pre</v>
      </c>
      <c r="Y699" s="10" t="str">
        <f t="shared" si="209"/>
        <v>0_Pre</v>
      </c>
      <c r="Z699" s="10" t="str">
        <f t="shared" si="210"/>
        <v>0_Pre</v>
      </c>
      <c r="AA699" s="10" t="str">
        <f t="shared" si="215"/>
        <v>1_Post</v>
      </c>
      <c r="AB699" s="10" t="str">
        <f t="shared" si="216"/>
        <v>1_Post</v>
      </c>
      <c r="AC699" s="10" t="str">
        <f t="shared" si="217"/>
        <v>1_Post</v>
      </c>
      <c r="AD699" s="10" t="str">
        <f t="shared" si="218"/>
        <v>2_post sample median</v>
      </c>
      <c r="AE699" s="10" t="str">
        <f t="shared" si="219"/>
        <v>3_post sample third tertile</v>
      </c>
      <c r="AF699" t="s">
        <v>67</v>
      </c>
      <c r="AG699" t="s">
        <v>75</v>
      </c>
      <c r="AH699" t="s">
        <v>78</v>
      </c>
      <c r="AI699" t="s">
        <v>122</v>
      </c>
      <c r="AJ699" t="s">
        <v>123</v>
      </c>
      <c r="AK699" t="str">
        <f>VLOOKUP(MID($AR699,1,255),country_lookup!$B:$F,2,FALSE)</f>
        <v>3_AsiaPac</v>
      </c>
      <c r="AL699" t="str">
        <f>VLOOKUP(MID($AR699,1,255),country_lookup!$B:$F,3,FALSE)</f>
        <v>1_developed</v>
      </c>
      <c r="AM699" t="str">
        <f>VLOOKUP(MID($AR699,1,255),country_lookup!$B:$F,4,FALSE)</f>
        <v>2_non_western</v>
      </c>
      <c r="AN699" t="str">
        <f>VLOOKUP(MID($AR699,1,255),country_lookup!$B:$F,5,FALSE)</f>
        <v>2_civil law</v>
      </c>
      <c r="AO699" s="10" t="str">
        <f>VLOOKUP(MID($AS699,1,255),source_lookup!$B:$K,4,FALSE)</f>
        <v>0_published</v>
      </c>
      <c r="AP699" s="10" t="str">
        <f>VLOOKUP(MID($AS699,1,255),source_lookup!$B:$K,6,FALSE)</f>
        <v>0_VHB low</v>
      </c>
      <c r="AQ699" s="10" t="str">
        <f>VLOOKUP(MID($AS699,1,255),source_lookup!$B:$K,10,FALSE)</f>
        <v>3_mgmt</v>
      </c>
      <c r="AR699" t="s">
        <v>103</v>
      </c>
      <c r="AS699" t="s">
        <v>158</v>
      </c>
    </row>
    <row r="700" spans="1:45" x14ac:dyDescent="0.3">
      <c r="A700" t="s">
        <v>34</v>
      </c>
      <c r="B700">
        <v>699</v>
      </c>
      <c r="C700" s="1">
        <v>-7.8137288430229768E-2</v>
      </c>
      <c r="D700" s="2">
        <v>57</v>
      </c>
      <c r="E700" s="4">
        <v>510</v>
      </c>
      <c r="F700" s="4" t="s">
        <v>346</v>
      </c>
      <c r="G700" s="4" t="s">
        <v>347</v>
      </c>
      <c r="H700" t="s">
        <v>77</v>
      </c>
      <c r="I700" t="s">
        <v>352</v>
      </c>
      <c r="J700" s="3">
        <v>2011</v>
      </c>
      <c r="K700" s="3">
        <v>2019</v>
      </c>
      <c r="L700" s="6">
        <f t="shared" si="211"/>
        <v>2015</v>
      </c>
      <c r="M700" s="6">
        <f t="shared" si="212"/>
        <v>2015</v>
      </c>
      <c r="N700" s="7">
        <f t="shared" si="200"/>
        <v>0.44444444444444442</v>
      </c>
      <c r="O700" s="7">
        <f t="shared" si="201"/>
        <v>0.33333333333333331</v>
      </c>
      <c r="P700" s="7">
        <f t="shared" si="202"/>
        <v>0.22222222222222221</v>
      </c>
      <c r="Q700" s="7">
        <f t="shared" si="213"/>
        <v>0.1111111111111111</v>
      </c>
      <c r="R700" s="10" t="str">
        <f t="shared" si="203"/>
        <v>0_Pre</v>
      </c>
      <c r="S700" s="10" t="str">
        <f t="shared" si="204"/>
        <v>0_Pre</v>
      </c>
      <c r="T700" s="10" t="str">
        <f t="shared" si="205"/>
        <v>0_Pre</v>
      </c>
      <c r="U700" s="10" t="str">
        <f t="shared" si="206"/>
        <v>1_Post</v>
      </c>
      <c r="V700" s="10" t="str">
        <f t="shared" si="214"/>
        <v>0_Pre</v>
      </c>
      <c r="W700" s="10" t="str">
        <f t="shared" si="207"/>
        <v>straddle</v>
      </c>
      <c r="X700" s="10" t="str">
        <f t="shared" si="208"/>
        <v>0_Pre</v>
      </c>
      <c r="Y700" s="10" t="str">
        <f t="shared" si="209"/>
        <v>0_Pre</v>
      </c>
      <c r="Z700" s="10" t="str">
        <f t="shared" si="210"/>
        <v>0_Pre</v>
      </c>
      <c r="AA700" s="10" t="str">
        <f t="shared" si="215"/>
        <v>1_Post</v>
      </c>
      <c r="AB700" s="10" t="str">
        <f t="shared" si="216"/>
        <v>1_Post</v>
      </c>
      <c r="AC700" s="10" t="str">
        <f t="shared" si="217"/>
        <v>1_Post</v>
      </c>
      <c r="AD700" s="10" t="str">
        <f t="shared" si="218"/>
        <v>2_post sample median</v>
      </c>
      <c r="AE700" s="10" t="str">
        <f t="shared" si="219"/>
        <v>3_post sample third tertile</v>
      </c>
      <c r="AF700" t="s">
        <v>67</v>
      </c>
      <c r="AG700" t="s">
        <v>75</v>
      </c>
      <c r="AH700" t="s">
        <v>78</v>
      </c>
      <c r="AI700" t="s">
        <v>122</v>
      </c>
      <c r="AJ700" t="s">
        <v>123</v>
      </c>
      <c r="AK700" t="str">
        <f>VLOOKUP(MID($AR700,1,255),country_lookup!$B:$F,2,FALSE)</f>
        <v>3_AsiaPac</v>
      </c>
      <c r="AL700" t="str">
        <f>VLOOKUP(MID($AR700,1,255),country_lookup!$B:$F,3,FALSE)</f>
        <v>1_developed</v>
      </c>
      <c r="AM700" t="str">
        <f>VLOOKUP(MID($AR700,1,255),country_lookup!$B:$F,4,FALSE)</f>
        <v>2_non_western</v>
      </c>
      <c r="AN700" t="str">
        <f>VLOOKUP(MID($AR700,1,255),country_lookup!$B:$F,5,FALSE)</f>
        <v>2_civil law</v>
      </c>
      <c r="AO700" s="10" t="str">
        <f>VLOOKUP(MID($AS700,1,255),source_lookup!$B:$K,4,FALSE)</f>
        <v>0_published</v>
      </c>
      <c r="AP700" s="10" t="str">
        <f>VLOOKUP(MID($AS700,1,255),source_lookup!$B:$K,6,FALSE)</f>
        <v>0_VHB low</v>
      </c>
      <c r="AQ700" s="10" t="str">
        <f>VLOOKUP(MID($AS700,1,255),source_lookup!$B:$K,10,FALSE)</f>
        <v>3_mgmt</v>
      </c>
      <c r="AR700" t="s">
        <v>103</v>
      </c>
      <c r="AS700" t="s">
        <v>158</v>
      </c>
    </row>
    <row r="701" spans="1:45" x14ac:dyDescent="0.3">
      <c r="A701" t="s">
        <v>34</v>
      </c>
      <c r="B701">
        <v>700</v>
      </c>
      <c r="C701" s="1">
        <v>-0.18424065939616804</v>
      </c>
      <c r="D701" s="2">
        <v>27</v>
      </c>
      <c r="E701" s="4">
        <v>241</v>
      </c>
      <c r="F701" s="4" t="s">
        <v>346</v>
      </c>
      <c r="G701" s="4" t="s">
        <v>347</v>
      </c>
      <c r="H701" t="s">
        <v>77</v>
      </c>
      <c r="I701" t="s">
        <v>352</v>
      </c>
      <c r="J701" s="3">
        <v>2011</v>
      </c>
      <c r="K701" s="3">
        <v>2019</v>
      </c>
      <c r="L701" s="6">
        <f t="shared" si="211"/>
        <v>2015</v>
      </c>
      <c r="M701" s="6">
        <f t="shared" si="212"/>
        <v>2015</v>
      </c>
      <c r="N701" s="7">
        <f t="shared" si="200"/>
        <v>0.44444444444444442</v>
      </c>
      <c r="O701" s="7">
        <f t="shared" si="201"/>
        <v>0.33333333333333331</v>
      </c>
      <c r="P701" s="7">
        <f t="shared" si="202"/>
        <v>0.22222222222222221</v>
      </c>
      <c r="Q701" s="7">
        <f t="shared" si="213"/>
        <v>0.1111111111111111</v>
      </c>
      <c r="R701" s="10" t="str">
        <f t="shared" si="203"/>
        <v>0_Pre</v>
      </c>
      <c r="S701" s="10" t="str">
        <f t="shared" si="204"/>
        <v>0_Pre</v>
      </c>
      <c r="T701" s="10" t="str">
        <f t="shared" si="205"/>
        <v>0_Pre</v>
      </c>
      <c r="U701" s="10" t="str">
        <f t="shared" si="206"/>
        <v>1_Post</v>
      </c>
      <c r="V701" s="10" t="str">
        <f t="shared" si="214"/>
        <v>0_Pre</v>
      </c>
      <c r="W701" s="10" t="str">
        <f t="shared" si="207"/>
        <v>straddle</v>
      </c>
      <c r="X701" s="10" t="str">
        <f t="shared" si="208"/>
        <v>0_Pre</v>
      </c>
      <c r="Y701" s="10" t="str">
        <f t="shared" si="209"/>
        <v>0_Pre</v>
      </c>
      <c r="Z701" s="10" t="str">
        <f t="shared" si="210"/>
        <v>0_Pre</v>
      </c>
      <c r="AA701" s="10" t="str">
        <f t="shared" si="215"/>
        <v>1_Post</v>
      </c>
      <c r="AB701" s="10" t="str">
        <f t="shared" si="216"/>
        <v>1_Post</v>
      </c>
      <c r="AC701" s="10" t="str">
        <f t="shared" si="217"/>
        <v>1_Post</v>
      </c>
      <c r="AD701" s="10" t="str">
        <f t="shared" si="218"/>
        <v>2_post sample median</v>
      </c>
      <c r="AE701" s="10" t="str">
        <f t="shared" si="219"/>
        <v>3_post sample third tertile</v>
      </c>
      <c r="AF701" t="s">
        <v>67</v>
      </c>
      <c r="AG701" t="s">
        <v>75</v>
      </c>
      <c r="AH701" t="s">
        <v>78</v>
      </c>
      <c r="AI701" t="s">
        <v>122</v>
      </c>
      <c r="AJ701" t="s">
        <v>123</v>
      </c>
      <c r="AK701" t="str">
        <f>VLOOKUP(MID($AR701,1,255),country_lookup!$B:$F,2,FALSE)</f>
        <v>3_AsiaPac</v>
      </c>
      <c r="AL701" t="str">
        <f>VLOOKUP(MID($AR701,1,255),country_lookup!$B:$F,3,FALSE)</f>
        <v>1_developed</v>
      </c>
      <c r="AM701" t="str">
        <f>VLOOKUP(MID($AR701,1,255),country_lookup!$B:$F,4,FALSE)</f>
        <v>2_non_western</v>
      </c>
      <c r="AN701" t="str">
        <f>VLOOKUP(MID($AR701,1,255),country_lookup!$B:$F,5,FALSE)</f>
        <v>2_civil law</v>
      </c>
      <c r="AO701" s="10" t="str">
        <f>VLOOKUP(MID($AS701,1,255),source_lookup!$B:$K,4,FALSE)</f>
        <v>0_published</v>
      </c>
      <c r="AP701" s="10" t="str">
        <f>VLOOKUP(MID($AS701,1,255),source_lookup!$B:$K,6,FALSE)</f>
        <v>0_VHB low</v>
      </c>
      <c r="AQ701" s="10" t="str">
        <f>VLOOKUP(MID($AS701,1,255),source_lookup!$B:$K,10,FALSE)</f>
        <v>3_mgmt</v>
      </c>
      <c r="AR701" t="s">
        <v>103</v>
      </c>
      <c r="AS701" t="s">
        <v>158</v>
      </c>
    </row>
    <row r="702" spans="1:45" x14ac:dyDescent="0.3">
      <c r="A702" t="s">
        <v>34</v>
      </c>
      <c r="B702">
        <v>701</v>
      </c>
      <c r="C702" s="1">
        <v>-0.12714679023804371</v>
      </c>
      <c r="D702" s="2">
        <v>27</v>
      </c>
      <c r="E702" s="4">
        <v>241</v>
      </c>
      <c r="F702" s="4" t="s">
        <v>346</v>
      </c>
      <c r="G702" s="4" t="s">
        <v>347</v>
      </c>
      <c r="H702" t="s">
        <v>77</v>
      </c>
      <c r="I702" t="s">
        <v>352</v>
      </c>
      <c r="J702" s="3">
        <v>2011</v>
      </c>
      <c r="K702" s="3">
        <v>2019</v>
      </c>
      <c r="L702" s="6">
        <f t="shared" si="211"/>
        <v>2015</v>
      </c>
      <c r="M702" s="6">
        <f t="shared" si="212"/>
        <v>2015</v>
      </c>
      <c r="N702" s="7">
        <f t="shared" si="200"/>
        <v>0.44444444444444442</v>
      </c>
      <c r="O702" s="7">
        <f t="shared" si="201"/>
        <v>0.33333333333333331</v>
      </c>
      <c r="P702" s="7">
        <f t="shared" si="202"/>
        <v>0.22222222222222221</v>
      </c>
      <c r="Q702" s="7">
        <f t="shared" si="213"/>
        <v>0.1111111111111111</v>
      </c>
      <c r="R702" s="10" t="str">
        <f t="shared" si="203"/>
        <v>0_Pre</v>
      </c>
      <c r="S702" s="10" t="str">
        <f t="shared" si="204"/>
        <v>0_Pre</v>
      </c>
      <c r="T702" s="10" t="str">
        <f t="shared" si="205"/>
        <v>0_Pre</v>
      </c>
      <c r="U702" s="10" t="str">
        <f t="shared" si="206"/>
        <v>1_Post</v>
      </c>
      <c r="V702" s="10" t="str">
        <f t="shared" si="214"/>
        <v>0_Pre</v>
      </c>
      <c r="W702" s="10" t="str">
        <f t="shared" si="207"/>
        <v>straddle</v>
      </c>
      <c r="X702" s="10" t="str">
        <f t="shared" si="208"/>
        <v>0_Pre</v>
      </c>
      <c r="Y702" s="10" t="str">
        <f t="shared" si="209"/>
        <v>0_Pre</v>
      </c>
      <c r="Z702" s="10" t="str">
        <f t="shared" si="210"/>
        <v>0_Pre</v>
      </c>
      <c r="AA702" s="10" t="str">
        <f t="shared" si="215"/>
        <v>1_Post</v>
      </c>
      <c r="AB702" s="10" t="str">
        <f t="shared" si="216"/>
        <v>1_Post</v>
      </c>
      <c r="AC702" s="10" t="str">
        <f t="shared" si="217"/>
        <v>1_Post</v>
      </c>
      <c r="AD702" s="10" t="str">
        <f t="shared" si="218"/>
        <v>2_post sample median</v>
      </c>
      <c r="AE702" s="10" t="str">
        <f t="shared" si="219"/>
        <v>3_post sample third tertile</v>
      </c>
      <c r="AF702" t="s">
        <v>67</v>
      </c>
      <c r="AG702" t="s">
        <v>75</v>
      </c>
      <c r="AH702" t="s">
        <v>78</v>
      </c>
      <c r="AI702" t="s">
        <v>122</v>
      </c>
      <c r="AJ702" t="s">
        <v>123</v>
      </c>
      <c r="AK702" t="str">
        <f>VLOOKUP(MID($AR702,1,255),country_lookup!$B:$F,2,FALSE)</f>
        <v>3_AsiaPac</v>
      </c>
      <c r="AL702" t="str">
        <f>VLOOKUP(MID($AR702,1,255),country_lookup!$B:$F,3,FALSE)</f>
        <v>1_developed</v>
      </c>
      <c r="AM702" t="str">
        <f>VLOOKUP(MID($AR702,1,255),country_lookup!$B:$F,4,FALSE)</f>
        <v>2_non_western</v>
      </c>
      <c r="AN702" t="str">
        <f>VLOOKUP(MID($AR702,1,255),country_lookup!$B:$F,5,FALSE)</f>
        <v>2_civil law</v>
      </c>
      <c r="AO702" s="10" t="str">
        <f>VLOOKUP(MID($AS702,1,255),source_lookup!$B:$K,4,FALSE)</f>
        <v>0_published</v>
      </c>
      <c r="AP702" s="10" t="str">
        <f>VLOOKUP(MID($AS702,1,255),source_lookup!$B:$K,6,FALSE)</f>
        <v>0_VHB low</v>
      </c>
      <c r="AQ702" s="10" t="str">
        <f>VLOOKUP(MID($AS702,1,255),source_lookup!$B:$K,10,FALSE)</f>
        <v>3_mgmt</v>
      </c>
      <c r="AR702" t="s">
        <v>103</v>
      </c>
      <c r="AS702" t="s">
        <v>158</v>
      </c>
    </row>
    <row r="703" spans="1:45" x14ac:dyDescent="0.3">
      <c r="A703" t="s">
        <v>34</v>
      </c>
      <c r="B703">
        <v>702</v>
      </c>
      <c r="C703" s="1">
        <v>-0.12651811427820941</v>
      </c>
      <c r="D703" s="2">
        <v>27</v>
      </c>
      <c r="E703" s="4">
        <v>241</v>
      </c>
      <c r="F703" s="4" t="s">
        <v>346</v>
      </c>
      <c r="G703" s="4" t="s">
        <v>347</v>
      </c>
      <c r="H703" t="s">
        <v>77</v>
      </c>
      <c r="I703" t="s">
        <v>352</v>
      </c>
      <c r="J703" s="3">
        <v>2011</v>
      </c>
      <c r="K703" s="3">
        <v>2019</v>
      </c>
      <c r="L703" s="6">
        <f t="shared" si="211"/>
        <v>2015</v>
      </c>
      <c r="M703" s="6">
        <f t="shared" si="212"/>
        <v>2015</v>
      </c>
      <c r="N703" s="7">
        <f t="shared" si="200"/>
        <v>0.44444444444444442</v>
      </c>
      <c r="O703" s="7">
        <f t="shared" si="201"/>
        <v>0.33333333333333331</v>
      </c>
      <c r="P703" s="7">
        <f t="shared" si="202"/>
        <v>0.22222222222222221</v>
      </c>
      <c r="Q703" s="7">
        <f t="shared" si="213"/>
        <v>0.1111111111111111</v>
      </c>
      <c r="R703" s="10" t="str">
        <f t="shared" si="203"/>
        <v>0_Pre</v>
      </c>
      <c r="S703" s="10" t="str">
        <f t="shared" si="204"/>
        <v>0_Pre</v>
      </c>
      <c r="T703" s="10" t="str">
        <f t="shared" si="205"/>
        <v>0_Pre</v>
      </c>
      <c r="U703" s="10" t="str">
        <f t="shared" si="206"/>
        <v>1_Post</v>
      </c>
      <c r="V703" s="10" t="str">
        <f t="shared" si="214"/>
        <v>0_Pre</v>
      </c>
      <c r="W703" s="10" t="str">
        <f t="shared" si="207"/>
        <v>straddle</v>
      </c>
      <c r="X703" s="10" t="str">
        <f t="shared" si="208"/>
        <v>0_Pre</v>
      </c>
      <c r="Y703" s="10" t="str">
        <f t="shared" si="209"/>
        <v>0_Pre</v>
      </c>
      <c r="Z703" s="10" t="str">
        <f t="shared" si="210"/>
        <v>0_Pre</v>
      </c>
      <c r="AA703" s="10" t="str">
        <f t="shared" si="215"/>
        <v>1_Post</v>
      </c>
      <c r="AB703" s="10" t="str">
        <f t="shared" si="216"/>
        <v>1_Post</v>
      </c>
      <c r="AC703" s="10" t="str">
        <f t="shared" si="217"/>
        <v>1_Post</v>
      </c>
      <c r="AD703" s="10" t="str">
        <f t="shared" si="218"/>
        <v>2_post sample median</v>
      </c>
      <c r="AE703" s="10" t="str">
        <f t="shared" si="219"/>
        <v>3_post sample third tertile</v>
      </c>
      <c r="AF703" t="s">
        <v>67</v>
      </c>
      <c r="AG703" t="s">
        <v>75</v>
      </c>
      <c r="AH703" t="s">
        <v>78</v>
      </c>
      <c r="AI703" t="s">
        <v>122</v>
      </c>
      <c r="AJ703" t="s">
        <v>123</v>
      </c>
      <c r="AK703" t="str">
        <f>VLOOKUP(MID($AR703,1,255),country_lookup!$B:$F,2,FALSE)</f>
        <v>3_AsiaPac</v>
      </c>
      <c r="AL703" t="str">
        <f>VLOOKUP(MID($AR703,1,255),country_lookup!$B:$F,3,FALSE)</f>
        <v>1_developed</v>
      </c>
      <c r="AM703" t="str">
        <f>VLOOKUP(MID($AR703,1,255),country_lookup!$B:$F,4,FALSE)</f>
        <v>2_non_western</v>
      </c>
      <c r="AN703" t="str">
        <f>VLOOKUP(MID($AR703,1,255),country_lookup!$B:$F,5,FALSE)</f>
        <v>2_civil law</v>
      </c>
      <c r="AO703" s="10" t="str">
        <f>VLOOKUP(MID($AS703,1,255),source_lookup!$B:$K,4,FALSE)</f>
        <v>0_published</v>
      </c>
      <c r="AP703" s="10" t="str">
        <f>VLOOKUP(MID($AS703,1,255),source_lookup!$B:$K,6,FALSE)</f>
        <v>0_VHB low</v>
      </c>
      <c r="AQ703" s="10" t="str">
        <f>VLOOKUP(MID($AS703,1,255),source_lookup!$B:$K,10,FALSE)</f>
        <v>3_mgmt</v>
      </c>
      <c r="AR703" t="s">
        <v>103</v>
      </c>
      <c r="AS703" t="s">
        <v>158</v>
      </c>
    </row>
    <row r="704" spans="1:45" x14ac:dyDescent="0.3">
      <c r="A704" t="s">
        <v>34</v>
      </c>
      <c r="B704">
        <v>703</v>
      </c>
      <c r="C704" s="1">
        <v>-0.114545110469916</v>
      </c>
      <c r="D704" s="2">
        <v>27</v>
      </c>
      <c r="E704" s="4">
        <v>241</v>
      </c>
      <c r="F704" s="4" t="s">
        <v>346</v>
      </c>
      <c r="G704" s="4" t="s">
        <v>347</v>
      </c>
      <c r="H704" t="s">
        <v>77</v>
      </c>
      <c r="I704" t="s">
        <v>352</v>
      </c>
      <c r="J704" s="3">
        <v>2011</v>
      </c>
      <c r="K704" s="3">
        <v>2019</v>
      </c>
      <c r="L704" s="6">
        <f t="shared" si="211"/>
        <v>2015</v>
      </c>
      <c r="M704" s="6">
        <f t="shared" si="212"/>
        <v>2015</v>
      </c>
      <c r="N704" s="7">
        <f t="shared" si="200"/>
        <v>0.44444444444444442</v>
      </c>
      <c r="O704" s="7">
        <f t="shared" si="201"/>
        <v>0.33333333333333331</v>
      </c>
      <c r="P704" s="7">
        <f t="shared" si="202"/>
        <v>0.22222222222222221</v>
      </c>
      <c r="Q704" s="7">
        <f t="shared" si="213"/>
        <v>0.1111111111111111</v>
      </c>
      <c r="R704" s="10" t="str">
        <f t="shared" si="203"/>
        <v>0_Pre</v>
      </c>
      <c r="S704" s="10" t="str">
        <f t="shared" si="204"/>
        <v>0_Pre</v>
      </c>
      <c r="T704" s="10" t="str">
        <f t="shared" si="205"/>
        <v>0_Pre</v>
      </c>
      <c r="U704" s="10" t="str">
        <f t="shared" si="206"/>
        <v>1_Post</v>
      </c>
      <c r="V704" s="10" t="str">
        <f t="shared" si="214"/>
        <v>0_Pre</v>
      </c>
      <c r="W704" s="10" t="str">
        <f t="shared" si="207"/>
        <v>straddle</v>
      </c>
      <c r="X704" s="10" t="str">
        <f t="shared" si="208"/>
        <v>0_Pre</v>
      </c>
      <c r="Y704" s="10" t="str">
        <f t="shared" si="209"/>
        <v>0_Pre</v>
      </c>
      <c r="Z704" s="10" t="str">
        <f t="shared" si="210"/>
        <v>0_Pre</v>
      </c>
      <c r="AA704" s="10" t="str">
        <f t="shared" si="215"/>
        <v>1_Post</v>
      </c>
      <c r="AB704" s="10" t="str">
        <f t="shared" si="216"/>
        <v>1_Post</v>
      </c>
      <c r="AC704" s="10" t="str">
        <f t="shared" si="217"/>
        <v>1_Post</v>
      </c>
      <c r="AD704" s="10" t="str">
        <f t="shared" si="218"/>
        <v>2_post sample median</v>
      </c>
      <c r="AE704" s="10" t="str">
        <f t="shared" si="219"/>
        <v>3_post sample third tertile</v>
      </c>
      <c r="AF704" t="s">
        <v>67</v>
      </c>
      <c r="AG704" t="s">
        <v>75</v>
      </c>
      <c r="AH704" t="s">
        <v>78</v>
      </c>
      <c r="AI704" t="s">
        <v>122</v>
      </c>
      <c r="AJ704" t="s">
        <v>123</v>
      </c>
      <c r="AK704" t="str">
        <f>VLOOKUP(MID($AR704,1,255),country_lookup!$B:$F,2,FALSE)</f>
        <v>3_AsiaPac</v>
      </c>
      <c r="AL704" t="str">
        <f>VLOOKUP(MID($AR704,1,255),country_lookup!$B:$F,3,FALSE)</f>
        <v>1_developed</v>
      </c>
      <c r="AM704" t="str">
        <f>VLOOKUP(MID($AR704,1,255),country_lookup!$B:$F,4,FALSE)</f>
        <v>2_non_western</v>
      </c>
      <c r="AN704" t="str">
        <f>VLOOKUP(MID($AR704,1,255),country_lookup!$B:$F,5,FALSE)</f>
        <v>2_civil law</v>
      </c>
      <c r="AO704" s="10" t="str">
        <f>VLOOKUP(MID($AS704,1,255),source_lookup!$B:$K,4,FALSE)</f>
        <v>0_published</v>
      </c>
      <c r="AP704" s="10" t="str">
        <f>VLOOKUP(MID($AS704,1,255),source_lookup!$B:$K,6,FALSE)</f>
        <v>0_VHB low</v>
      </c>
      <c r="AQ704" s="10" t="str">
        <f>VLOOKUP(MID($AS704,1,255),source_lookup!$B:$K,10,FALSE)</f>
        <v>3_mgmt</v>
      </c>
      <c r="AR704" t="s">
        <v>103</v>
      </c>
      <c r="AS704" t="s">
        <v>158</v>
      </c>
    </row>
    <row r="705" spans="1:45" x14ac:dyDescent="0.3">
      <c r="A705" t="s">
        <v>34</v>
      </c>
      <c r="B705">
        <v>704</v>
      </c>
      <c r="C705" s="1">
        <v>-0.15598218562451732</v>
      </c>
      <c r="D705" s="2">
        <v>30</v>
      </c>
      <c r="E705" s="4">
        <v>269</v>
      </c>
      <c r="F705" s="4" t="s">
        <v>346</v>
      </c>
      <c r="G705" s="4" t="s">
        <v>347</v>
      </c>
      <c r="H705" t="s">
        <v>77</v>
      </c>
      <c r="I705" t="s">
        <v>352</v>
      </c>
      <c r="J705" s="3">
        <v>2011</v>
      </c>
      <c r="K705" s="3">
        <v>2019</v>
      </c>
      <c r="L705" s="6">
        <f t="shared" si="211"/>
        <v>2015</v>
      </c>
      <c r="M705" s="6">
        <f t="shared" si="212"/>
        <v>2015</v>
      </c>
      <c r="N705" s="7">
        <f t="shared" si="200"/>
        <v>0.44444444444444442</v>
      </c>
      <c r="O705" s="7">
        <f t="shared" si="201"/>
        <v>0.33333333333333331</v>
      </c>
      <c r="P705" s="7">
        <f t="shared" si="202"/>
        <v>0.22222222222222221</v>
      </c>
      <c r="Q705" s="7">
        <f t="shared" si="213"/>
        <v>0.1111111111111111</v>
      </c>
      <c r="R705" s="10" t="str">
        <f t="shared" si="203"/>
        <v>0_Pre</v>
      </c>
      <c r="S705" s="10" t="str">
        <f t="shared" si="204"/>
        <v>0_Pre</v>
      </c>
      <c r="T705" s="10" t="str">
        <f t="shared" si="205"/>
        <v>0_Pre</v>
      </c>
      <c r="U705" s="10" t="str">
        <f t="shared" si="206"/>
        <v>1_Post</v>
      </c>
      <c r="V705" s="10" t="str">
        <f t="shared" si="214"/>
        <v>0_Pre</v>
      </c>
      <c r="W705" s="10" t="str">
        <f t="shared" si="207"/>
        <v>straddle</v>
      </c>
      <c r="X705" s="10" t="str">
        <f t="shared" si="208"/>
        <v>0_Pre</v>
      </c>
      <c r="Y705" s="10" t="str">
        <f t="shared" si="209"/>
        <v>0_Pre</v>
      </c>
      <c r="Z705" s="10" t="str">
        <f t="shared" si="210"/>
        <v>0_Pre</v>
      </c>
      <c r="AA705" s="10" t="str">
        <f t="shared" si="215"/>
        <v>1_Post</v>
      </c>
      <c r="AB705" s="10" t="str">
        <f t="shared" si="216"/>
        <v>1_Post</v>
      </c>
      <c r="AC705" s="10" t="str">
        <f t="shared" si="217"/>
        <v>1_Post</v>
      </c>
      <c r="AD705" s="10" t="str">
        <f t="shared" si="218"/>
        <v>2_post sample median</v>
      </c>
      <c r="AE705" s="10" t="str">
        <f t="shared" si="219"/>
        <v>3_post sample third tertile</v>
      </c>
      <c r="AF705" t="s">
        <v>67</v>
      </c>
      <c r="AG705" t="s">
        <v>75</v>
      </c>
      <c r="AH705" t="s">
        <v>78</v>
      </c>
      <c r="AI705" t="s">
        <v>122</v>
      </c>
      <c r="AJ705" t="s">
        <v>123</v>
      </c>
      <c r="AK705" t="str">
        <f>VLOOKUP(MID($AR705,1,255),country_lookup!$B:$F,2,FALSE)</f>
        <v>3_AsiaPac</v>
      </c>
      <c r="AL705" t="str">
        <f>VLOOKUP(MID($AR705,1,255),country_lookup!$B:$F,3,FALSE)</f>
        <v>1_developed</v>
      </c>
      <c r="AM705" t="str">
        <f>VLOOKUP(MID($AR705,1,255),country_lookup!$B:$F,4,FALSE)</f>
        <v>2_non_western</v>
      </c>
      <c r="AN705" t="str">
        <f>VLOOKUP(MID($AR705,1,255),country_lookup!$B:$F,5,FALSE)</f>
        <v>2_civil law</v>
      </c>
      <c r="AO705" s="10" t="str">
        <f>VLOOKUP(MID($AS705,1,255),source_lookup!$B:$K,4,FALSE)</f>
        <v>0_published</v>
      </c>
      <c r="AP705" s="10" t="str">
        <f>VLOOKUP(MID($AS705,1,255),source_lookup!$B:$K,6,FALSE)</f>
        <v>0_VHB low</v>
      </c>
      <c r="AQ705" s="10" t="str">
        <f>VLOOKUP(MID($AS705,1,255),source_lookup!$B:$K,10,FALSE)</f>
        <v>3_mgmt</v>
      </c>
      <c r="AR705" t="s">
        <v>103</v>
      </c>
      <c r="AS705" t="s">
        <v>158</v>
      </c>
    </row>
    <row r="706" spans="1:45" x14ac:dyDescent="0.3">
      <c r="A706" t="s">
        <v>34</v>
      </c>
      <c r="B706">
        <v>705</v>
      </c>
      <c r="C706" s="1">
        <v>-0.10249841825742873</v>
      </c>
      <c r="D706" s="2">
        <v>30</v>
      </c>
      <c r="E706" s="4">
        <v>269</v>
      </c>
      <c r="F706" s="4" t="s">
        <v>346</v>
      </c>
      <c r="G706" s="4" t="s">
        <v>347</v>
      </c>
      <c r="H706" t="s">
        <v>77</v>
      </c>
      <c r="I706" t="s">
        <v>352</v>
      </c>
      <c r="J706" s="3">
        <v>2011</v>
      </c>
      <c r="K706" s="3">
        <v>2019</v>
      </c>
      <c r="L706" s="6">
        <f t="shared" si="211"/>
        <v>2015</v>
      </c>
      <c r="M706" s="6">
        <f t="shared" si="212"/>
        <v>2015</v>
      </c>
      <c r="N706" s="7">
        <f t="shared" ref="N706:N769" si="220">MAX(0,$K706-MAX($J706,2016)+1)/($K706-$J706+1)</f>
        <v>0.44444444444444442</v>
      </c>
      <c r="O706" s="7">
        <f t="shared" ref="O706:O769" si="221">MAX(0,$K706-MAX($J706,2017)+1)/($K706-$J706+1)</f>
        <v>0.33333333333333331</v>
      </c>
      <c r="P706" s="7">
        <f t="shared" ref="P706:P769" si="222">MAX(0,$K706-MAX($J706,2018)+1)/($K706-$J706+1)</f>
        <v>0.22222222222222221</v>
      </c>
      <c r="Q706" s="7">
        <f t="shared" si="213"/>
        <v>0.1111111111111111</v>
      </c>
      <c r="R706" s="10" t="str">
        <f t="shared" ref="R706:R769" si="223">IF(N706&gt;=0.5,"1_Post","0_Pre")</f>
        <v>0_Pre</v>
      </c>
      <c r="S706" s="10" t="str">
        <f t="shared" ref="S706:S769" si="224">IF($L706&gt;=2016,"1_Post","0_Pre")</f>
        <v>0_Pre</v>
      </c>
      <c r="T706" s="10" t="str">
        <f t="shared" ref="T706:T769" si="225">IF($M706&gt;=2016,"1_Post","0_Pre")</f>
        <v>0_Pre</v>
      </c>
      <c r="U706" s="10" t="str">
        <f t="shared" ref="U706:U769" si="226">IF($K706&gt;=2016,"1_Post","0_Pre")</f>
        <v>1_Post</v>
      </c>
      <c r="V706" s="10" t="str">
        <f t="shared" si="214"/>
        <v>0_Pre</v>
      </c>
      <c r="W706" s="10" t="str">
        <f t="shared" ref="W706:W769" si="227">IF($K706&lt;=2015,"clean_pre",IF($J706&gt;=2016,"clean_post","straddle"))</f>
        <v>straddle</v>
      </c>
      <c r="X706" s="10" t="str">
        <f t="shared" ref="X706:X769" si="228">IF(O706&gt;=0.5,"1_Post","0_Pre")</f>
        <v>0_Pre</v>
      </c>
      <c r="Y706" s="10" t="str">
        <f t="shared" ref="Y706:Y769" si="229">IF(P706&gt;=0.5,"1_Post","0_Pre")</f>
        <v>0_Pre</v>
      </c>
      <c r="Z706" s="10" t="str">
        <f t="shared" ref="Z706:Z769" si="230">IF(Q706&gt;=0.5,"1_Post","0_Pre")</f>
        <v>0_Pre</v>
      </c>
      <c r="AA706" s="10" t="str">
        <f t="shared" si="215"/>
        <v>1_Post</v>
      </c>
      <c r="AB706" s="10" t="str">
        <f t="shared" si="216"/>
        <v>1_Post</v>
      </c>
      <c r="AC706" s="10" t="str">
        <f t="shared" si="217"/>
        <v>1_Post</v>
      </c>
      <c r="AD706" s="10" t="str">
        <f t="shared" si="218"/>
        <v>2_post sample median</v>
      </c>
      <c r="AE706" s="10" t="str">
        <f t="shared" si="219"/>
        <v>3_post sample third tertile</v>
      </c>
      <c r="AF706" t="s">
        <v>67</v>
      </c>
      <c r="AG706" t="s">
        <v>75</v>
      </c>
      <c r="AH706" t="s">
        <v>78</v>
      </c>
      <c r="AI706" t="s">
        <v>122</v>
      </c>
      <c r="AJ706" t="s">
        <v>123</v>
      </c>
      <c r="AK706" t="str">
        <f>VLOOKUP(MID($AR706,1,255),country_lookup!$B:$F,2,FALSE)</f>
        <v>3_AsiaPac</v>
      </c>
      <c r="AL706" t="str">
        <f>VLOOKUP(MID($AR706,1,255),country_lookup!$B:$F,3,FALSE)</f>
        <v>1_developed</v>
      </c>
      <c r="AM706" t="str">
        <f>VLOOKUP(MID($AR706,1,255),country_lookup!$B:$F,4,FALSE)</f>
        <v>2_non_western</v>
      </c>
      <c r="AN706" t="str">
        <f>VLOOKUP(MID($AR706,1,255),country_lookup!$B:$F,5,FALSE)</f>
        <v>2_civil law</v>
      </c>
      <c r="AO706" s="10" t="str">
        <f>VLOOKUP(MID($AS706,1,255),source_lookup!$B:$K,4,FALSE)</f>
        <v>0_published</v>
      </c>
      <c r="AP706" s="10" t="str">
        <f>VLOOKUP(MID($AS706,1,255),source_lookup!$B:$K,6,FALSE)</f>
        <v>0_VHB low</v>
      </c>
      <c r="AQ706" s="10" t="str">
        <f>VLOOKUP(MID($AS706,1,255),source_lookup!$B:$K,10,FALSE)</f>
        <v>3_mgmt</v>
      </c>
      <c r="AR706" t="s">
        <v>103</v>
      </c>
      <c r="AS706" t="s">
        <v>158</v>
      </c>
    </row>
    <row r="707" spans="1:45" x14ac:dyDescent="0.3">
      <c r="A707" t="s">
        <v>34</v>
      </c>
      <c r="B707">
        <v>706</v>
      </c>
      <c r="C707" s="1">
        <v>-0.10309848986968644</v>
      </c>
      <c r="D707" s="2">
        <v>30</v>
      </c>
      <c r="E707" s="4">
        <v>269</v>
      </c>
      <c r="F707" s="4" t="s">
        <v>346</v>
      </c>
      <c r="G707" s="4" t="s">
        <v>347</v>
      </c>
      <c r="H707" t="s">
        <v>77</v>
      </c>
      <c r="I707" t="s">
        <v>352</v>
      </c>
      <c r="J707" s="3">
        <v>2011</v>
      </c>
      <c r="K707" s="3">
        <v>2019</v>
      </c>
      <c r="L707" s="6">
        <f t="shared" ref="L707:L770" si="231">ROUND(AVERAGE(J707:K707),100)</f>
        <v>2015</v>
      </c>
      <c r="M707" s="6">
        <f t="shared" ref="M707:M770" si="232">ROUND(MEDIAN(J707:K707),100)</f>
        <v>2015</v>
      </c>
      <c r="N707" s="7">
        <f t="shared" si="220"/>
        <v>0.44444444444444442</v>
      </c>
      <c r="O707" s="7">
        <f t="shared" si="221"/>
        <v>0.33333333333333331</v>
      </c>
      <c r="P707" s="7">
        <f t="shared" si="222"/>
        <v>0.22222222222222221</v>
      </c>
      <c r="Q707" s="7">
        <f t="shared" ref="Q707:Q770" si="233">MAX(0,$K707-MAX($J707,2019)+1)/($K707-$J707+1)</f>
        <v>0.1111111111111111</v>
      </c>
      <c r="R707" s="10" t="str">
        <f t="shared" si="223"/>
        <v>0_Pre</v>
      </c>
      <c r="S707" s="10" t="str">
        <f t="shared" si="224"/>
        <v>0_Pre</v>
      </c>
      <c r="T707" s="10" t="str">
        <f t="shared" si="225"/>
        <v>0_Pre</v>
      </c>
      <c r="U707" s="10" t="str">
        <f t="shared" si="226"/>
        <v>1_Post</v>
      </c>
      <c r="V707" s="10" t="str">
        <f t="shared" ref="V707:V770" si="234">IF($J707&lt;=2017,"0_Pre","1_Post")</f>
        <v>0_Pre</v>
      </c>
      <c r="W707" s="10" t="str">
        <f t="shared" si="227"/>
        <v>straddle</v>
      </c>
      <c r="X707" s="10" t="str">
        <f t="shared" si="228"/>
        <v>0_Pre</v>
      </c>
      <c r="Y707" s="10" t="str">
        <f t="shared" si="229"/>
        <v>0_Pre</v>
      </c>
      <c r="Z707" s="10" t="str">
        <f t="shared" si="230"/>
        <v>0_Pre</v>
      </c>
      <c r="AA707" s="10" t="str">
        <f t="shared" ref="AA707:AA770" si="235">IF($K707&gt;=2017,"1_Post","0_Pre")</f>
        <v>1_Post</v>
      </c>
      <c r="AB707" s="10" t="str">
        <f t="shared" ref="AB707:AB770" si="236">IF($K707&gt;=2018,"1_Post","0_Pre")</f>
        <v>1_Post</v>
      </c>
      <c r="AC707" s="10" t="str">
        <f t="shared" ref="AC707:AC770" si="237">IF($K707&gt;=2019,"1_Post","0_Pre")</f>
        <v>1_Post</v>
      </c>
      <c r="AD707" s="10" t="str">
        <f t="shared" ref="AD707:AD770" si="238">IF(L707&lt;MEDIAN($L$2:$L$1307),"1_pre sample median","2_post sample median")</f>
        <v>2_post sample median</v>
      </c>
      <c r="AE707" s="10" t="str">
        <f t="shared" ref="AE707:AE770" si="239">IF(L707&lt;=PERCENTILE($L$2:$L$1307,0.33),"1_pre sample first tertile",IF(L707&gt;=PERCENTILE($L$2:$L$1307,0.67),"3_post sample third tertile","2_in sample second tertile"))</f>
        <v>3_post sample third tertile</v>
      </c>
      <c r="AF707" t="s">
        <v>67</v>
      </c>
      <c r="AG707" t="s">
        <v>75</v>
      </c>
      <c r="AH707" t="s">
        <v>78</v>
      </c>
      <c r="AI707" t="s">
        <v>122</v>
      </c>
      <c r="AJ707" t="s">
        <v>123</v>
      </c>
      <c r="AK707" t="str">
        <f>VLOOKUP(MID($AR707,1,255),country_lookup!$B:$F,2,FALSE)</f>
        <v>3_AsiaPac</v>
      </c>
      <c r="AL707" t="str">
        <f>VLOOKUP(MID($AR707,1,255),country_lookup!$B:$F,3,FALSE)</f>
        <v>1_developed</v>
      </c>
      <c r="AM707" t="str">
        <f>VLOOKUP(MID($AR707,1,255),country_lookup!$B:$F,4,FALSE)</f>
        <v>2_non_western</v>
      </c>
      <c r="AN707" t="str">
        <f>VLOOKUP(MID($AR707,1,255),country_lookup!$B:$F,5,FALSE)</f>
        <v>2_civil law</v>
      </c>
      <c r="AO707" s="10" t="str">
        <f>VLOOKUP(MID($AS707,1,255),source_lookup!$B:$K,4,FALSE)</f>
        <v>0_published</v>
      </c>
      <c r="AP707" s="10" t="str">
        <f>VLOOKUP(MID($AS707,1,255),source_lookup!$B:$K,6,FALSE)</f>
        <v>0_VHB low</v>
      </c>
      <c r="AQ707" s="10" t="str">
        <f>VLOOKUP(MID($AS707,1,255),source_lookup!$B:$K,10,FALSE)</f>
        <v>3_mgmt</v>
      </c>
      <c r="AR707" t="s">
        <v>103</v>
      </c>
      <c r="AS707" t="s">
        <v>158</v>
      </c>
    </row>
    <row r="708" spans="1:45" x14ac:dyDescent="0.3">
      <c r="A708" t="s">
        <v>34</v>
      </c>
      <c r="B708">
        <v>707</v>
      </c>
      <c r="C708" s="1">
        <v>-0.11865902555479285</v>
      </c>
      <c r="D708" s="2">
        <v>30</v>
      </c>
      <c r="E708" s="4">
        <v>269</v>
      </c>
      <c r="F708" s="4" t="s">
        <v>346</v>
      </c>
      <c r="G708" s="4" t="s">
        <v>347</v>
      </c>
      <c r="H708" t="s">
        <v>77</v>
      </c>
      <c r="I708" t="s">
        <v>352</v>
      </c>
      <c r="J708" s="3">
        <v>2011</v>
      </c>
      <c r="K708" s="3">
        <v>2019</v>
      </c>
      <c r="L708" s="6">
        <f t="shared" si="231"/>
        <v>2015</v>
      </c>
      <c r="M708" s="6">
        <f t="shared" si="232"/>
        <v>2015</v>
      </c>
      <c r="N708" s="7">
        <f t="shared" si="220"/>
        <v>0.44444444444444442</v>
      </c>
      <c r="O708" s="7">
        <f t="shared" si="221"/>
        <v>0.33333333333333331</v>
      </c>
      <c r="P708" s="7">
        <f t="shared" si="222"/>
        <v>0.22222222222222221</v>
      </c>
      <c r="Q708" s="7">
        <f t="shared" si="233"/>
        <v>0.1111111111111111</v>
      </c>
      <c r="R708" s="10" t="str">
        <f t="shared" si="223"/>
        <v>0_Pre</v>
      </c>
      <c r="S708" s="10" t="str">
        <f t="shared" si="224"/>
        <v>0_Pre</v>
      </c>
      <c r="T708" s="10" t="str">
        <f t="shared" si="225"/>
        <v>0_Pre</v>
      </c>
      <c r="U708" s="10" t="str">
        <f t="shared" si="226"/>
        <v>1_Post</v>
      </c>
      <c r="V708" s="10" t="str">
        <f t="shared" si="234"/>
        <v>0_Pre</v>
      </c>
      <c r="W708" s="10" t="str">
        <f t="shared" si="227"/>
        <v>straddle</v>
      </c>
      <c r="X708" s="10" t="str">
        <f t="shared" si="228"/>
        <v>0_Pre</v>
      </c>
      <c r="Y708" s="10" t="str">
        <f t="shared" si="229"/>
        <v>0_Pre</v>
      </c>
      <c r="Z708" s="10" t="str">
        <f t="shared" si="230"/>
        <v>0_Pre</v>
      </c>
      <c r="AA708" s="10" t="str">
        <f t="shared" si="235"/>
        <v>1_Post</v>
      </c>
      <c r="AB708" s="10" t="str">
        <f t="shared" si="236"/>
        <v>1_Post</v>
      </c>
      <c r="AC708" s="10" t="str">
        <f t="shared" si="237"/>
        <v>1_Post</v>
      </c>
      <c r="AD708" s="10" t="str">
        <f t="shared" si="238"/>
        <v>2_post sample median</v>
      </c>
      <c r="AE708" s="10" t="str">
        <f t="shared" si="239"/>
        <v>3_post sample third tertile</v>
      </c>
      <c r="AF708" t="s">
        <v>67</v>
      </c>
      <c r="AG708" t="s">
        <v>75</v>
      </c>
      <c r="AH708" t="s">
        <v>78</v>
      </c>
      <c r="AI708" t="s">
        <v>122</v>
      </c>
      <c r="AJ708" t="s">
        <v>123</v>
      </c>
      <c r="AK708" t="str">
        <f>VLOOKUP(MID($AR708,1,255),country_lookup!$B:$F,2,FALSE)</f>
        <v>3_AsiaPac</v>
      </c>
      <c r="AL708" t="str">
        <f>VLOOKUP(MID($AR708,1,255),country_lookup!$B:$F,3,FALSE)</f>
        <v>1_developed</v>
      </c>
      <c r="AM708" t="str">
        <f>VLOOKUP(MID($AR708,1,255),country_lookup!$B:$F,4,FALSE)</f>
        <v>2_non_western</v>
      </c>
      <c r="AN708" t="str">
        <f>VLOOKUP(MID($AR708,1,255),country_lookup!$B:$F,5,FALSE)</f>
        <v>2_civil law</v>
      </c>
      <c r="AO708" s="10" t="str">
        <f>VLOOKUP(MID($AS708,1,255),source_lookup!$B:$K,4,FALSE)</f>
        <v>0_published</v>
      </c>
      <c r="AP708" s="10" t="str">
        <f>VLOOKUP(MID($AS708,1,255),source_lookup!$B:$K,6,FALSE)</f>
        <v>0_VHB low</v>
      </c>
      <c r="AQ708" s="10" t="str">
        <f>VLOOKUP(MID($AS708,1,255),source_lookup!$B:$K,10,FALSE)</f>
        <v>3_mgmt</v>
      </c>
      <c r="AR708" t="s">
        <v>103</v>
      </c>
      <c r="AS708" t="s">
        <v>158</v>
      </c>
    </row>
    <row r="709" spans="1:45" x14ac:dyDescent="0.3">
      <c r="A709" t="s">
        <v>34</v>
      </c>
      <c r="B709">
        <v>708</v>
      </c>
      <c r="C709" s="1">
        <v>-0.13900716020407178</v>
      </c>
      <c r="D709" s="2">
        <v>57</v>
      </c>
      <c r="E709" s="4">
        <v>510</v>
      </c>
      <c r="F709" s="4" t="s">
        <v>346</v>
      </c>
      <c r="G709" s="4" t="s">
        <v>347</v>
      </c>
      <c r="H709" t="s">
        <v>77</v>
      </c>
      <c r="I709" t="s">
        <v>350</v>
      </c>
      <c r="J709" s="3">
        <v>2011</v>
      </c>
      <c r="K709" s="3">
        <v>2019</v>
      </c>
      <c r="L709" s="6">
        <f t="shared" si="231"/>
        <v>2015</v>
      </c>
      <c r="M709" s="6">
        <f t="shared" si="232"/>
        <v>2015</v>
      </c>
      <c r="N709" s="7">
        <f t="shared" si="220"/>
        <v>0.44444444444444442</v>
      </c>
      <c r="O709" s="7">
        <f t="shared" si="221"/>
        <v>0.33333333333333331</v>
      </c>
      <c r="P709" s="7">
        <f t="shared" si="222"/>
        <v>0.22222222222222221</v>
      </c>
      <c r="Q709" s="7">
        <f t="shared" si="233"/>
        <v>0.1111111111111111</v>
      </c>
      <c r="R709" s="10" t="str">
        <f t="shared" si="223"/>
        <v>0_Pre</v>
      </c>
      <c r="S709" s="10" t="str">
        <f t="shared" si="224"/>
        <v>0_Pre</v>
      </c>
      <c r="T709" s="10" t="str">
        <f t="shared" si="225"/>
        <v>0_Pre</v>
      </c>
      <c r="U709" s="10" t="str">
        <f t="shared" si="226"/>
        <v>1_Post</v>
      </c>
      <c r="V709" s="10" t="str">
        <f t="shared" si="234"/>
        <v>0_Pre</v>
      </c>
      <c r="W709" s="10" t="str">
        <f t="shared" si="227"/>
        <v>straddle</v>
      </c>
      <c r="X709" s="10" t="str">
        <f t="shared" si="228"/>
        <v>0_Pre</v>
      </c>
      <c r="Y709" s="10" t="str">
        <f t="shared" si="229"/>
        <v>0_Pre</v>
      </c>
      <c r="Z709" s="10" t="str">
        <f t="shared" si="230"/>
        <v>0_Pre</v>
      </c>
      <c r="AA709" s="10" t="str">
        <f t="shared" si="235"/>
        <v>1_Post</v>
      </c>
      <c r="AB709" s="10" t="str">
        <f t="shared" si="236"/>
        <v>1_Post</v>
      </c>
      <c r="AC709" s="10" t="str">
        <f t="shared" si="237"/>
        <v>1_Post</v>
      </c>
      <c r="AD709" s="10" t="str">
        <f t="shared" si="238"/>
        <v>2_post sample median</v>
      </c>
      <c r="AE709" s="10" t="str">
        <f t="shared" si="239"/>
        <v>3_post sample third tertile</v>
      </c>
      <c r="AF709" t="s">
        <v>67</v>
      </c>
      <c r="AG709" t="s">
        <v>75</v>
      </c>
      <c r="AH709" t="s">
        <v>78</v>
      </c>
      <c r="AI709" t="s">
        <v>122</v>
      </c>
      <c r="AJ709" t="s">
        <v>123</v>
      </c>
      <c r="AK709" t="str">
        <f>VLOOKUP(MID($AR709,1,255),country_lookup!$B:$F,2,FALSE)</f>
        <v>3_AsiaPac</v>
      </c>
      <c r="AL709" t="str">
        <f>VLOOKUP(MID($AR709,1,255),country_lookup!$B:$F,3,FALSE)</f>
        <v>1_developed</v>
      </c>
      <c r="AM709" t="str">
        <f>VLOOKUP(MID($AR709,1,255),country_lookup!$B:$F,4,FALSE)</f>
        <v>2_non_western</v>
      </c>
      <c r="AN709" t="str">
        <f>VLOOKUP(MID($AR709,1,255),country_lookup!$B:$F,5,FALSE)</f>
        <v>2_civil law</v>
      </c>
      <c r="AO709" s="10" t="str">
        <f>VLOOKUP(MID($AS709,1,255),source_lookup!$B:$K,4,FALSE)</f>
        <v>0_published</v>
      </c>
      <c r="AP709" s="10" t="str">
        <f>VLOOKUP(MID($AS709,1,255),source_lookup!$B:$K,6,FALSE)</f>
        <v>0_VHB low</v>
      </c>
      <c r="AQ709" s="10" t="str">
        <f>VLOOKUP(MID($AS709,1,255),source_lookup!$B:$K,10,FALSE)</f>
        <v>3_mgmt</v>
      </c>
      <c r="AR709" t="s">
        <v>103</v>
      </c>
      <c r="AS709" t="s">
        <v>158</v>
      </c>
    </row>
    <row r="710" spans="1:45" x14ac:dyDescent="0.3">
      <c r="A710" t="s">
        <v>34</v>
      </c>
      <c r="B710">
        <v>709</v>
      </c>
      <c r="C710" s="1">
        <v>-5.7910425375142412E-2</v>
      </c>
      <c r="D710" s="2">
        <v>57</v>
      </c>
      <c r="E710" s="4">
        <v>510</v>
      </c>
      <c r="F710" s="4" t="s">
        <v>346</v>
      </c>
      <c r="G710" s="4" t="s">
        <v>347</v>
      </c>
      <c r="H710" t="s">
        <v>77</v>
      </c>
      <c r="I710" t="s">
        <v>352</v>
      </c>
      <c r="J710" s="3">
        <v>2011</v>
      </c>
      <c r="K710" s="3">
        <v>2019</v>
      </c>
      <c r="L710" s="6">
        <f t="shared" si="231"/>
        <v>2015</v>
      </c>
      <c r="M710" s="6">
        <f t="shared" si="232"/>
        <v>2015</v>
      </c>
      <c r="N710" s="7">
        <f t="shared" si="220"/>
        <v>0.44444444444444442</v>
      </c>
      <c r="O710" s="7">
        <f t="shared" si="221"/>
        <v>0.33333333333333331</v>
      </c>
      <c r="P710" s="7">
        <f t="shared" si="222"/>
        <v>0.22222222222222221</v>
      </c>
      <c r="Q710" s="7">
        <f t="shared" si="233"/>
        <v>0.1111111111111111</v>
      </c>
      <c r="R710" s="10" t="str">
        <f t="shared" si="223"/>
        <v>0_Pre</v>
      </c>
      <c r="S710" s="10" t="str">
        <f t="shared" si="224"/>
        <v>0_Pre</v>
      </c>
      <c r="T710" s="10" t="str">
        <f t="shared" si="225"/>
        <v>0_Pre</v>
      </c>
      <c r="U710" s="10" t="str">
        <f t="shared" si="226"/>
        <v>1_Post</v>
      </c>
      <c r="V710" s="10" t="str">
        <f t="shared" si="234"/>
        <v>0_Pre</v>
      </c>
      <c r="W710" s="10" t="str">
        <f t="shared" si="227"/>
        <v>straddle</v>
      </c>
      <c r="X710" s="10" t="str">
        <f t="shared" si="228"/>
        <v>0_Pre</v>
      </c>
      <c r="Y710" s="10" t="str">
        <f t="shared" si="229"/>
        <v>0_Pre</v>
      </c>
      <c r="Z710" s="10" t="str">
        <f t="shared" si="230"/>
        <v>0_Pre</v>
      </c>
      <c r="AA710" s="10" t="str">
        <f t="shared" si="235"/>
        <v>1_Post</v>
      </c>
      <c r="AB710" s="10" t="str">
        <f t="shared" si="236"/>
        <v>1_Post</v>
      </c>
      <c r="AC710" s="10" t="str">
        <f t="shared" si="237"/>
        <v>1_Post</v>
      </c>
      <c r="AD710" s="10" t="str">
        <f t="shared" si="238"/>
        <v>2_post sample median</v>
      </c>
      <c r="AE710" s="10" t="str">
        <f t="shared" si="239"/>
        <v>3_post sample third tertile</v>
      </c>
      <c r="AF710" t="s">
        <v>67</v>
      </c>
      <c r="AG710" t="s">
        <v>75</v>
      </c>
      <c r="AH710" t="s">
        <v>78</v>
      </c>
      <c r="AI710" t="s">
        <v>122</v>
      </c>
      <c r="AJ710" t="s">
        <v>123</v>
      </c>
      <c r="AK710" t="str">
        <f>VLOOKUP(MID($AR710,1,255),country_lookup!$B:$F,2,FALSE)</f>
        <v>3_AsiaPac</v>
      </c>
      <c r="AL710" t="str">
        <f>VLOOKUP(MID($AR710,1,255),country_lookup!$B:$F,3,FALSE)</f>
        <v>1_developed</v>
      </c>
      <c r="AM710" t="str">
        <f>VLOOKUP(MID($AR710,1,255),country_lookup!$B:$F,4,FALSE)</f>
        <v>2_non_western</v>
      </c>
      <c r="AN710" t="str">
        <f>VLOOKUP(MID($AR710,1,255),country_lookup!$B:$F,5,FALSE)</f>
        <v>2_civil law</v>
      </c>
      <c r="AO710" s="10" t="str">
        <f>VLOOKUP(MID($AS710,1,255),source_lookup!$B:$K,4,FALSE)</f>
        <v>0_published</v>
      </c>
      <c r="AP710" s="10" t="str">
        <f>VLOOKUP(MID($AS710,1,255),source_lookup!$B:$K,6,FALSE)</f>
        <v>0_VHB low</v>
      </c>
      <c r="AQ710" s="10" t="str">
        <f>VLOOKUP(MID($AS710,1,255),source_lookup!$B:$K,10,FALSE)</f>
        <v>3_mgmt</v>
      </c>
      <c r="AR710" t="s">
        <v>103</v>
      </c>
      <c r="AS710" t="s">
        <v>158</v>
      </c>
    </row>
    <row r="711" spans="1:45" x14ac:dyDescent="0.3">
      <c r="A711" t="s">
        <v>34</v>
      </c>
      <c r="B711">
        <v>710</v>
      </c>
      <c r="C711" s="1">
        <v>-2.8770569026187527E-2</v>
      </c>
      <c r="D711" s="2">
        <v>57</v>
      </c>
      <c r="E711" s="4">
        <v>510</v>
      </c>
      <c r="F711" s="4" t="s">
        <v>346</v>
      </c>
      <c r="G711" s="4" t="s">
        <v>347</v>
      </c>
      <c r="H711" t="s">
        <v>77</v>
      </c>
      <c r="I711" t="s">
        <v>352</v>
      </c>
      <c r="J711" s="3">
        <v>2011</v>
      </c>
      <c r="K711" s="3">
        <v>2019</v>
      </c>
      <c r="L711" s="6">
        <f t="shared" si="231"/>
        <v>2015</v>
      </c>
      <c r="M711" s="6">
        <f t="shared" si="232"/>
        <v>2015</v>
      </c>
      <c r="N711" s="7">
        <f t="shared" si="220"/>
        <v>0.44444444444444442</v>
      </c>
      <c r="O711" s="7">
        <f t="shared" si="221"/>
        <v>0.33333333333333331</v>
      </c>
      <c r="P711" s="7">
        <f t="shared" si="222"/>
        <v>0.22222222222222221</v>
      </c>
      <c r="Q711" s="7">
        <f t="shared" si="233"/>
        <v>0.1111111111111111</v>
      </c>
      <c r="R711" s="10" t="str">
        <f t="shared" si="223"/>
        <v>0_Pre</v>
      </c>
      <c r="S711" s="10" t="str">
        <f t="shared" si="224"/>
        <v>0_Pre</v>
      </c>
      <c r="T711" s="10" t="str">
        <f t="shared" si="225"/>
        <v>0_Pre</v>
      </c>
      <c r="U711" s="10" t="str">
        <f t="shared" si="226"/>
        <v>1_Post</v>
      </c>
      <c r="V711" s="10" t="str">
        <f t="shared" si="234"/>
        <v>0_Pre</v>
      </c>
      <c r="W711" s="10" t="str">
        <f t="shared" si="227"/>
        <v>straddle</v>
      </c>
      <c r="X711" s="10" t="str">
        <f t="shared" si="228"/>
        <v>0_Pre</v>
      </c>
      <c r="Y711" s="10" t="str">
        <f t="shared" si="229"/>
        <v>0_Pre</v>
      </c>
      <c r="Z711" s="10" t="str">
        <f t="shared" si="230"/>
        <v>0_Pre</v>
      </c>
      <c r="AA711" s="10" t="str">
        <f t="shared" si="235"/>
        <v>1_Post</v>
      </c>
      <c r="AB711" s="10" t="str">
        <f t="shared" si="236"/>
        <v>1_Post</v>
      </c>
      <c r="AC711" s="10" t="str">
        <f t="shared" si="237"/>
        <v>1_Post</v>
      </c>
      <c r="AD711" s="10" t="str">
        <f t="shared" si="238"/>
        <v>2_post sample median</v>
      </c>
      <c r="AE711" s="10" t="str">
        <f t="shared" si="239"/>
        <v>3_post sample third tertile</v>
      </c>
      <c r="AF711" t="s">
        <v>67</v>
      </c>
      <c r="AG711" t="s">
        <v>75</v>
      </c>
      <c r="AH711" t="s">
        <v>78</v>
      </c>
      <c r="AI711" t="s">
        <v>122</v>
      </c>
      <c r="AJ711" t="s">
        <v>123</v>
      </c>
      <c r="AK711" t="str">
        <f>VLOOKUP(MID($AR711,1,255),country_lookup!$B:$F,2,FALSE)</f>
        <v>3_AsiaPac</v>
      </c>
      <c r="AL711" t="str">
        <f>VLOOKUP(MID($AR711,1,255),country_lookup!$B:$F,3,FALSE)</f>
        <v>1_developed</v>
      </c>
      <c r="AM711" t="str">
        <f>VLOOKUP(MID($AR711,1,255),country_lookup!$B:$F,4,FALSE)</f>
        <v>2_non_western</v>
      </c>
      <c r="AN711" t="str">
        <f>VLOOKUP(MID($AR711,1,255),country_lookup!$B:$F,5,FALSE)</f>
        <v>2_civil law</v>
      </c>
      <c r="AO711" s="10" t="str">
        <f>VLOOKUP(MID($AS711,1,255),source_lookup!$B:$K,4,FALSE)</f>
        <v>0_published</v>
      </c>
      <c r="AP711" s="10" t="str">
        <f>VLOOKUP(MID($AS711,1,255),source_lookup!$B:$K,6,FALSE)</f>
        <v>0_VHB low</v>
      </c>
      <c r="AQ711" s="10" t="str">
        <f>VLOOKUP(MID($AS711,1,255),source_lookup!$B:$K,10,FALSE)</f>
        <v>3_mgmt</v>
      </c>
      <c r="AR711" t="s">
        <v>103</v>
      </c>
      <c r="AS711" t="s">
        <v>158</v>
      </c>
    </row>
    <row r="712" spans="1:45" x14ac:dyDescent="0.3">
      <c r="A712" t="s">
        <v>34</v>
      </c>
      <c r="B712">
        <v>711</v>
      </c>
      <c r="C712" s="1">
        <v>6.1991850783295246E-3</v>
      </c>
      <c r="D712" s="2">
        <v>57</v>
      </c>
      <c r="E712" s="4">
        <v>510</v>
      </c>
      <c r="F712" s="4" t="s">
        <v>346</v>
      </c>
      <c r="G712" s="4" t="s">
        <v>347</v>
      </c>
      <c r="H712" t="s">
        <v>77</v>
      </c>
      <c r="I712" t="s">
        <v>352</v>
      </c>
      <c r="J712" s="3">
        <v>2011</v>
      </c>
      <c r="K712" s="3">
        <v>2019</v>
      </c>
      <c r="L712" s="6">
        <f t="shared" si="231"/>
        <v>2015</v>
      </c>
      <c r="M712" s="6">
        <f t="shared" si="232"/>
        <v>2015</v>
      </c>
      <c r="N712" s="7">
        <f t="shared" si="220"/>
        <v>0.44444444444444442</v>
      </c>
      <c r="O712" s="7">
        <f t="shared" si="221"/>
        <v>0.33333333333333331</v>
      </c>
      <c r="P712" s="7">
        <f t="shared" si="222"/>
        <v>0.22222222222222221</v>
      </c>
      <c r="Q712" s="7">
        <f t="shared" si="233"/>
        <v>0.1111111111111111</v>
      </c>
      <c r="R712" s="10" t="str">
        <f t="shared" si="223"/>
        <v>0_Pre</v>
      </c>
      <c r="S712" s="10" t="str">
        <f t="shared" si="224"/>
        <v>0_Pre</v>
      </c>
      <c r="T712" s="10" t="str">
        <f t="shared" si="225"/>
        <v>0_Pre</v>
      </c>
      <c r="U712" s="10" t="str">
        <f t="shared" si="226"/>
        <v>1_Post</v>
      </c>
      <c r="V712" s="10" t="str">
        <f t="shared" si="234"/>
        <v>0_Pre</v>
      </c>
      <c r="W712" s="10" t="str">
        <f t="shared" si="227"/>
        <v>straddle</v>
      </c>
      <c r="X712" s="10" t="str">
        <f t="shared" si="228"/>
        <v>0_Pre</v>
      </c>
      <c r="Y712" s="10" t="str">
        <f t="shared" si="229"/>
        <v>0_Pre</v>
      </c>
      <c r="Z712" s="10" t="str">
        <f t="shared" si="230"/>
        <v>0_Pre</v>
      </c>
      <c r="AA712" s="10" t="str">
        <f t="shared" si="235"/>
        <v>1_Post</v>
      </c>
      <c r="AB712" s="10" t="str">
        <f t="shared" si="236"/>
        <v>1_Post</v>
      </c>
      <c r="AC712" s="10" t="str">
        <f t="shared" si="237"/>
        <v>1_Post</v>
      </c>
      <c r="AD712" s="10" t="str">
        <f t="shared" si="238"/>
        <v>2_post sample median</v>
      </c>
      <c r="AE712" s="10" t="str">
        <f t="shared" si="239"/>
        <v>3_post sample third tertile</v>
      </c>
      <c r="AF712" t="s">
        <v>67</v>
      </c>
      <c r="AG712" t="s">
        <v>75</v>
      </c>
      <c r="AH712" t="s">
        <v>78</v>
      </c>
      <c r="AI712" t="s">
        <v>122</v>
      </c>
      <c r="AJ712" t="s">
        <v>123</v>
      </c>
      <c r="AK712" t="str">
        <f>VLOOKUP(MID($AR712,1,255),country_lookup!$B:$F,2,FALSE)</f>
        <v>3_AsiaPac</v>
      </c>
      <c r="AL712" t="str">
        <f>VLOOKUP(MID($AR712,1,255),country_lookup!$B:$F,3,FALSE)</f>
        <v>1_developed</v>
      </c>
      <c r="AM712" t="str">
        <f>VLOOKUP(MID($AR712,1,255),country_lookup!$B:$F,4,FALSE)</f>
        <v>2_non_western</v>
      </c>
      <c r="AN712" t="str">
        <f>VLOOKUP(MID($AR712,1,255),country_lookup!$B:$F,5,FALSE)</f>
        <v>2_civil law</v>
      </c>
      <c r="AO712" s="10" t="str">
        <f>VLOOKUP(MID($AS712,1,255),source_lookup!$B:$K,4,FALSE)</f>
        <v>0_published</v>
      </c>
      <c r="AP712" s="10" t="str">
        <f>VLOOKUP(MID($AS712,1,255),source_lookup!$B:$K,6,FALSE)</f>
        <v>0_VHB low</v>
      </c>
      <c r="AQ712" s="10" t="str">
        <f>VLOOKUP(MID($AS712,1,255),source_lookup!$B:$K,10,FALSE)</f>
        <v>3_mgmt</v>
      </c>
      <c r="AR712" t="s">
        <v>103</v>
      </c>
      <c r="AS712" t="s">
        <v>158</v>
      </c>
    </row>
    <row r="713" spans="1:45" x14ac:dyDescent="0.3">
      <c r="A713" t="s">
        <v>34</v>
      </c>
      <c r="B713">
        <v>712</v>
      </c>
      <c r="C713" s="1">
        <v>-2.6559074428842804E-2</v>
      </c>
      <c r="D713" s="2">
        <v>57</v>
      </c>
      <c r="E713" s="4">
        <v>510</v>
      </c>
      <c r="F713" s="4" t="s">
        <v>346</v>
      </c>
      <c r="G713" s="4" t="s">
        <v>347</v>
      </c>
      <c r="H713" t="s">
        <v>77</v>
      </c>
      <c r="I713" t="s">
        <v>352</v>
      </c>
      <c r="J713" s="3">
        <v>2011</v>
      </c>
      <c r="K713" s="3">
        <v>2019</v>
      </c>
      <c r="L713" s="6">
        <f t="shared" si="231"/>
        <v>2015</v>
      </c>
      <c r="M713" s="6">
        <f t="shared" si="232"/>
        <v>2015</v>
      </c>
      <c r="N713" s="7">
        <f t="shared" si="220"/>
        <v>0.44444444444444442</v>
      </c>
      <c r="O713" s="7">
        <f t="shared" si="221"/>
        <v>0.33333333333333331</v>
      </c>
      <c r="P713" s="7">
        <f t="shared" si="222"/>
        <v>0.22222222222222221</v>
      </c>
      <c r="Q713" s="7">
        <f t="shared" si="233"/>
        <v>0.1111111111111111</v>
      </c>
      <c r="R713" s="10" t="str">
        <f t="shared" si="223"/>
        <v>0_Pre</v>
      </c>
      <c r="S713" s="10" t="str">
        <f t="shared" si="224"/>
        <v>0_Pre</v>
      </c>
      <c r="T713" s="10" t="str">
        <f t="shared" si="225"/>
        <v>0_Pre</v>
      </c>
      <c r="U713" s="10" t="str">
        <f t="shared" si="226"/>
        <v>1_Post</v>
      </c>
      <c r="V713" s="10" t="str">
        <f t="shared" si="234"/>
        <v>0_Pre</v>
      </c>
      <c r="W713" s="10" t="str">
        <f t="shared" si="227"/>
        <v>straddle</v>
      </c>
      <c r="X713" s="10" t="str">
        <f t="shared" si="228"/>
        <v>0_Pre</v>
      </c>
      <c r="Y713" s="10" t="str">
        <f t="shared" si="229"/>
        <v>0_Pre</v>
      </c>
      <c r="Z713" s="10" t="str">
        <f t="shared" si="230"/>
        <v>0_Pre</v>
      </c>
      <c r="AA713" s="10" t="str">
        <f t="shared" si="235"/>
        <v>1_Post</v>
      </c>
      <c r="AB713" s="10" t="str">
        <f t="shared" si="236"/>
        <v>1_Post</v>
      </c>
      <c r="AC713" s="10" t="str">
        <f t="shared" si="237"/>
        <v>1_Post</v>
      </c>
      <c r="AD713" s="10" t="str">
        <f t="shared" si="238"/>
        <v>2_post sample median</v>
      </c>
      <c r="AE713" s="10" t="str">
        <f t="shared" si="239"/>
        <v>3_post sample third tertile</v>
      </c>
      <c r="AF713" t="s">
        <v>67</v>
      </c>
      <c r="AG713" t="s">
        <v>75</v>
      </c>
      <c r="AH713" t="s">
        <v>78</v>
      </c>
      <c r="AI713" t="s">
        <v>122</v>
      </c>
      <c r="AJ713" t="s">
        <v>123</v>
      </c>
      <c r="AK713" t="str">
        <f>VLOOKUP(MID($AR713,1,255),country_lookup!$B:$F,2,FALSE)</f>
        <v>3_AsiaPac</v>
      </c>
      <c r="AL713" t="str">
        <f>VLOOKUP(MID($AR713,1,255),country_lookup!$B:$F,3,FALSE)</f>
        <v>1_developed</v>
      </c>
      <c r="AM713" t="str">
        <f>VLOOKUP(MID($AR713,1,255),country_lookup!$B:$F,4,FALSE)</f>
        <v>2_non_western</v>
      </c>
      <c r="AN713" t="str">
        <f>VLOOKUP(MID($AR713,1,255),country_lookup!$B:$F,5,FALSE)</f>
        <v>2_civil law</v>
      </c>
      <c r="AO713" s="10" t="str">
        <f>VLOOKUP(MID($AS713,1,255),source_lookup!$B:$K,4,FALSE)</f>
        <v>0_published</v>
      </c>
      <c r="AP713" s="10" t="str">
        <f>VLOOKUP(MID($AS713,1,255),source_lookup!$B:$K,6,FALSE)</f>
        <v>0_VHB low</v>
      </c>
      <c r="AQ713" s="10" t="str">
        <f>VLOOKUP(MID($AS713,1,255),source_lookup!$B:$K,10,FALSE)</f>
        <v>3_mgmt</v>
      </c>
      <c r="AR713" t="s">
        <v>103</v>
      </c>
      <c r="AS713" t="s">
        <v>158</v>
      </c>
    </row>
    <row r="714" spans="1:45" x14ac:dyDescent="0.3">
      <c r="A714" t="s">
        <v>34</v>
      </c>
      <c r="B714">
        <v>713</v>
      </c>
      <c r="C714" s="1">
        <v>-9.826812631555025E-2</v>
      </c>
      <c r="D714" s="2">
        <v>57</v>
      </c>
      <c r="E714" s="4">
        <v>510</v>
      </c>
      <c r="F714" s="4" t="s">
        <v>346</v>
      </c>
      <c r="G714" s="4" t="s">
        <v>347</v>
      </c>
      <c r="H714" t="s">
        <v>77</v>
      </c>
      <c r="I714" t="s">
        <v>352</v>
      </c>
      <c r="J714" s="3">
        <v>2011</v>
      </c>
      <c r="K714" s="3">
        <v>2019</v>
      </c>
      <c r="L714" s="6">
        <f t="shared" si="231"/>
        <v>2015</v>
      </c>
      <c r="M714" s="6">
        <f t="shared" si="232"/>
        <v>2015</v>
      </c>
      <c r="N714" s="7">
        <f t="shared" si="220"/>
        <v>0.44444444444444442</v>
      </c>
      <c r="O714" s="7">
        <f t="shared" si="221"/>
        <v>0.33333333333333331</v>
      </c>
      <c r="P714" s="7">
        <f t="shared" si="222"/>
        <v>0.22222222222222221</v>
      </c>
      <c r="Q714" s="7">
        <f t="shared" si="233"/>
        <v>0.1111111111111111</v>
      </c>
      <c r="R714" s="10" t="str">
        <f t="shared" si="223"/>
        <v>0_Pre</v>
      </c>
      <c r="S714" s="10" t="str">
        <f t="shared" si="224"/>
        <v>0_Pre</v>
      </c>
      <c r="T714" s="10" t="str">
        <f t="shared" si="225"/>
        <v>0_Pre</v>
      </c>
      <c r="U714" s="10" t="str">
        <f t="shared" si="226"/>
        <v>1_Post</v>
      </c>
      <c r="V714" s="10" t="str">
        <f t="shared" si="234"/>
        <v>0_Pre</v>
      </c>
      <c r="W714" s="10" t="str">
        <f t="shared" si="227"/>
        <v>straddle</v>
      </c>
      <c r="X714" s="10" t="str">
        <f t="shared" si="228"/>
        <v>0_Pre</v>
      </c>
      <c r="Y714" s="10" t="str">
        <f t="shared" si="229"/>
        <v>0_Pre</v>
      </c>
      <c r="Z714" s="10" t="str">
        <f t="shared" si="230"/>
        <v>0_Pre</v>
      </c>
      <c r="AA714" s="10" t="str">
        <f t="shared" si="235"/>
        <v>1_Post</v>
      </c>
      <c r="AB714" s="10" t="str">
        <f t="shared" si="236"/>
        <v>1_Post</v>
      </c>
      <c r="AC714" s="10" t="str">
        <f t="shared" si="237"/>
        <v>1_Post</v>
      </c>
      <c r="AD714" s="10" t="str">
        <f t="shared" si="238"/>
        <v>2_post sample median</v>
      </c>
      <c r="AE714" s="10" t="str">
        <f t="shared" si="239"/>
        <v>3_post sample third tertile</v>
      </c>
      <c r="AF714" t="s">
        <v>67</v>
      </c>
      <c r="AG714" t="s">
        <v>75</v>
      </c>
      <c r="AH714" t="s">
        <v>78</v>
      </c>
      <c r="AI714" t="s">
        <v>122</v>
      </c>
      <c r="AJ714" t="s">
        <v>123</v>
      </c>
      <c r="AK714" t="str">
        <f>VLOOKUP(MID($AR714,1,255),country_lookup!$B:$F,2,FALSE)</f>
        <v>3_AsiaPac</v>
      </c>
      <c r="AL714" t="str">
        <f>VLOOKUP(MID($AR714,1,255),country_lookup!$B:$F,3,FALSE)</f>
        <v>1_developed</v>
      </c>
      <c r="AM714" t="str">
        <f>VLOOKUP(MID($AR714,1,255),country_lookup!$B:$F,4,FALSE)</f>
        <v>2_non_western</v>
      </c>
      <c r="AN714" t="str">
        <f>VLOOKUP(MID($AR714,1,255),country_lookup!$B:$F,5,FALSE)</f>
        <v>2_civil law</v>
      </c>
      <c r="AO714" s="10" t="str">
        <f>VLOOKUP(MID($AS714,1,255),source_lookup!$B:$K,4,FALSE)</f>
        <v>0_published</v>
      </c>
      <c r="AP714" s="10" t="str">
        <f>VLOOKUP(MID($AS714,1,255),source_lookup!$B:$K,6,FALSE)</f>
        <v>0_VHB low</v>
      </c>
      <c r="AQ714" s="10" t="str">
        <f>VLOOKUP(MID($AS714,1,255),source_lookup!$B:$K,10,FALSE)</f>
        <v>3_mgmt</v>
      </c>
      <c r="AR714" t="s">
        <v>103</v>
      </c>
      <c r="AS714" t="s">
        <v>158</v>
      </c>
    </row>
    <row r="715" spans="1:45" x14ac:dyDescent="0.3">
      <c r="A715" t="s">
        <v>34</v>
      </c>
      <c r="B715">
        <v>714</v>
      </c>
      <c r="C715" s="1">
        <v>-8.1207470221181757E-2</v>
      </c>
      <c r="D715" s="2">
        <v>57</v>
      </c>
      <c r="E715" s="4">
        <v>510</v>
      </c>
      <c r="F715" s="4" t="s">
        <v>346</v>
      </c>
      <c r="G715" s="4" t="s">
        <v>347</v>
      </c>
      <c r="H715" t="s">
        <v>77</v>
      </c>
      <c r="I715" t="s">
        <v>352</v>
      </c>
      <c r="J715" s="3">
        <v>2011</v>
      </c>
      <c r="K715" s="3">
        <v>2019</v>
      </c>
      <c r="L715" s="6">
        <f t="shared" si="231"/>
        <v>2015</v>
      </c>
      <c r="M715" s="6">
        <f t="shared" si="232"/>
        <v>2015</v>
      </c>
      <c r="N715" s="7">
        <f t="shared" si="220"/>
        <v>0.44444444444444442</v>
      </c>
      <c r="O715" s="7">
        <f t="shared" si="221"/>
        <v>0.33333333333333331</v>
      </c>
      <c r="P715" s="7">
        <f t="shared" si="222"/>
        <v>0.22222222222222221</v>
      </c>
      <c r="Q715" s="7">
        <f t="shared" si="233"/>
        <v>0.1111111111111111</v>
      </c>
      <c r="R715" s="10" t="str">
        <f t="shared" si="223"/>
        <v>0_Pre</v>
      </c>
      <c r="S715" s="10" t="str">
        <f t="shared" si="224"/>
        <v>0_Pre</v>
      </c>
      <c r="T715" s="10" t="str">
        <f t="shared" si="225"/>
        <v>0_Pre</v>
      </c>
      <c r="U715" s="10" t="str">
        <f t="shared" si="226"/>
        <v>1_Post</v>
      </c>
      <c r="V715" s="10" t="str">
        <f t="shared" si="234"/>
        <v>0_Pre</v>
      </c>
      <c r="W715" s="10" t="str">
        <f t="shared" si="227"/>
        <v>straddle</v>
      </c>
      <c r="X715" s="10" t="str">
        <f t="shared" si="228"/>
        <v>0_Pre</v>
      </c>
      <c r="Y715" s="10" t="str">
        <f t="shared" si="229"/>
        <v>0_Pre</v>
      </c>
      <c r="Z715" s="10" t="str">
        <f t="shared" si="230"/>
        <v>0_Pre</v>
      </c>
      <c r="AA715" s="10" t="str">
        <f t="shared" si="235"/>
        <v>1_Post</v>
      </c>
      <c r="AB715" s="10" t="str">
        <f t="shared" si="236"/>
        <v>1_Post</v>
      </c>
      <c r="AC715" s="10" t="str">
        <f t="shared" si="237"/>
        <v>1_Post</v>
      </c>
      <c r="AD715" s="10" t="str">
        <f t="shared" si="238"/>
        <v>2_post sample median</v>
      </c>
      <c r="AE715" s="10" t="str">
        <f t="shared" si="239"/>
        <v>3_post sample third tertile</v>
      </c>
      <c r="AF715" t="s">
        <v>67</v>
      </c>
      <c r="AG715" t="s">
        <v>75</v>
      </c>
      <c r="AH715" t="s">
        <v>78</v>
      </c>
      <c r="AI715" t="s">
        <v>122</v>
      </c>
      <c r="AJ715" t="s">
        <v>123</v>
      </c>
      <c r="AK715" t="str">
        <f>VLOOKUP(MID($AR715,1,255),country_lookup!$B:$F,2,FALSE)</f>
        <v>3_AsiaPac</v>
      </c>
      <c r="AL715" t="str">
        <f>VLOOKUP(MID($AR715,1,255),country_lookup!$B:$F,3,FALSE)</f>
        <v>1_developed</v>
      </c>
      <c r="AM715" t="str">
        <f>VLOOKUP(MID($AR715,1,255),country_lookup!$B:$F,4,FALSE)</f>
        <v>2_non_western</v>
      </c>
      <c r="AN715" t="str">
        <f>VLOOKUP(MID($AR715,1,255),country_lookup!$B:$F,5,FALSE)</f>
        <v>2_civil law</v>
      </c>
      <c r="AO715" s="10" t="str">
        <f>VLOOKUP(MID($AS715,1,255),source_lookup!$B:$K,4,FALSE)</f>
        <v>0_published</v>
      </c>
      <c r="AP715" s="10" t="str">
        <f>VLOOKUP(MID($AS715,1,255),source_lookup!$B:$K,6,FALSE)</f>
        <v>0_VHB low</v>
      </c>
      <c r="AQ715" s="10" t="str">
        <f>VLOOKUP(MID($AS715,1,255),source_lookup!$B:$K,10,FALSE)</f>
        <v>3_mgmt</v>
      </c>
      <c r="AR715" t="s">
        <v>103</v>
      </c>
      <c r="AS715" t="s">
        <v>158</v>
      </c>
    </row>
    <row r="716" spans="1:45" x14ac:dyDescent="0.3">
      <c r="A716" t="s">
        <v>34</v>
      </c>
      <c r="B716">
        <v>715</v>
      </c>
      <c r="C716" s="1">
        <v>-0.13125400762105788</v>
      </c>
      <c r="D716" s="2">
        <v>57</v>
      </c>
      <c r="E716" s="4">
        <v>510</v>
      </c>
      <c r="F716" s="4" t="s">
        <v>346</v>
      </c>
      <c r="G716" s="4" t="s">
        <v>347</v>
      </c>
      <c r="H716" t="s">
        <v>77</v>
      </c>
      <c r="I716" t="s">
        <v>352</v>
      </c>
      <c r="J716" s="3">
        <v>2011</v>
      </c>
      <c r="K716" s="3">
        <v>2019</v>
      </c>
      <c r="L716" s="6">
        <f t="shared" si="231"/>
        <v>2015</v>
      </c>
      <c r="M716" s="6">
        <f t="shared" si="232"/>
        <v>2015</v>
      </c>
      <c r="N716" s="7">
        <f t="shared" si="220"/>
        <v>0.44444444444444442</v>
      </c>
      <c r="O716" s="7">
        <f t="shared" si="221"/>
        <v>0.33333333333333331</v>
      </c>
      <c r="P716" s="7">
        <f t="shared" si="222"/>
        <v>0.22222222222222221</v>
      </c>
      <c r="Q716" s="7">
        <f t="shared" si="233"/>
        <v>0.1111111111111111</v>
      </c>
      <c r="R716" s="10" t="str">
        <f t="shared" si="223"/>
        <v>0_Pre</v>
      </c>
      <c r="S716" s="10" t="str">
        <f t="shared" si="224"/>
        <v>0_Pre</v>
      </c>
      <c r="T716" s="10" t="str">
        <f t="shared" si="225"/>
        <v>0_Pre</v>
      </c>
      <c r="U716" s="10" t="str">
        <f t="shared" si="226"/>
        <v>1_Post</v>
      </c>
      <c r="V716" s="10" t="str">
        <f t="shared" si="234"/>
        <v>0_Pre</v>
      </c>
      <c r="W716" s="10" t="str">
        <f t="shared" si="227"/>
        <v>straddle</v>
      </c>
      <c r="X716" s="10" t="str">
        <f t="shared" si="228"/>
        <v>0_Pre</v>
      </c>
      <c r="Y716" s="10" t="str">
        <f t="shared" si="229"/>
        <v>0_Pre</v>
      </c>
      <c r="Z716" s="10" t="str">
        <f t="shared" si="230"/>
        <v>0_Pre</v>
      </c>
      <c r="AA716" s="10" t="str">
        <f t="shared" si="235"/>
        <v>1_Post</v>
      </c>
      <c r="AB716" s="10" t="str">
        <f t="shared" si="236"/>
        <v>1_Post</v>
      </c>
      <c r="AC716" s="10" t="str">
        <f t="shared" si="237"/>
        <v>1_Post</v>
      </c>
      <c r="AD716" s="10" t="str">
        <f t="shared" si="238"/>
        <v>2_post sample median</v>
      </c>
      <c r="AE716" s="10" t="str">
        <f t="shared" si="239"/>
        <v>3_post sample third tertile</v>
      </c>
      <c r="AF716" t="s">
        <v>67</v>
      </c>
      <c r="AG716" t="s">
        <v>75</v>
      </c>
      <c r="AH716" t="s">
        <v>78</v>
      </c>
      <c r="AI716" t="s">
        <v>122</v>
      </c>
      <c r="AJ716" t="s">
        <v>123</v>
      </c>
      <c r="AK716" t="str">
        <f>VLOOKUP(MID($AR716,1,255),country_lookup!$B:$F,2,FALSE)</f>
        <v>3_AsiaPac</v>
      </c>
      <c r="AL716" t="str">
        <f>VLOOKUP(MID($AR716,1,255),country_lookup!$B:$F,3,FALSE)</f>
        <v>1_developed</v>
      </c>
      <c r="AM716" t="str">
        <f>VLOOKUP(MID($AR716,1,255),country_lookup!$B:$F,4,FALSE)</f>
        <v>2_non_western</v>
      </c>
      <c r="AN716" t="str">
        <f>VLOOKUP(MID($AR716,1,255),country_lookup!$B:$F,5,FALSE)</f>
        <v>2_civil law</v>
      </c>
      <c r="AO716" s="10" t="str">
        <f>VLOOKUP(MID($AS716,1,255),source_lookup!$B:$K,4,FALSE)</f>
        <v>0_published</v>
      </c>
      <c r="AP716" s="10" t="str">
        <f>VLOOKUP(MID($AS716,1,255),source_lookup!$B:$K,6,FALSE)</f>
        <v>0_VHB low</v>
      </c>
      <c r="AQ716" s="10" t="str">
        <f>VLOOKUP(MID($AS716,1,255),source_lookup!$B:$K,10,FALSE)</f>
        <v>3_mgmt</v>
      </c>
      <c r="AR716" t="s">
        <v>103</v>
      </c>
      <c r="AS716" t="s">
        <v>158</v>
      </c>
    </row>
    <row r="717" spans="1:45" x14ac:dyDescent="0.3">
      <c r="A717" t="s">
        <v>34</v>
      </c>
      <c r="B717">
        <v>716</v>
      </c>
      <c r="C717" s="1">
        <v>-7.4625790037040549E-2</v>
      </c>
      <c r="D717" s="2">
        <v>57</v>
      </c>
      <c r="E717" s="4">
        <v>510</v>
      </c>
      <c r="F717" s="4" t="s">
        <v>346</v>
      </c>
      <c r="G717" s="4" t="s">
        <v>347</v>
      </c>
      <c r="H717" t="s">
        <v>77</v>
      </c>
      <c r="I717" t="s">
        <v>352</v>
      </c>
      <c r="J717" s="3">
        <v>2011</v>
      </c>
      <c r="K717" s="3">
        <v>2019</v>
      </c>
      <c r="L717" s="6">
        <f t="shared" si="231"/>
        <v>2015</v>
      </c>
      <c r="M717" s="6">
        <f t="shared" si="232"/>
        <v>2015</v>
      </c>
      <c r="N717" s="7">
        <f t="shared" si="220"/>
        <v>0.44444444444444442</v>
      </c>
      <c r="O717" s="7">
        <f t="shared" si="221"/>
        <v>0.33333333333333331</v>
      </c>
      <c r="P717" s="7">
        <f t="shared" si="222"/>
        <v>0.22222222222222221</v>
      </c>
      <c r="Q717" s="7">
        <f t="shared" si="233"/>
        <v>0.1111111111111111</v>
      </c>
      <c r="R717" s="10" t="str">
        <f t="shared" si="223"/>
        <v>0_Pre</v>
      </c>
      <c r="S717" s="10" t="str">
        <f t="shared" si="224"/>
        <v>0_Pre</v>
      </c>
      <c r="T717" s="10" t="str">
        <f t="shared" si="225"/>
        <v>0_Pre</v>
      </c>
      <c r="U717" s="10" t="str">
        <f t="shared" si="226"/>
        <v>1_Post</v>
      </c>
      <c r="V717" s="10" t="str">
        <f t="shared" si="234"/>
        <v>0_Pre</v>
      </c>
      <c r="W717" s="10" t="str">
        <f t="shared" si="227"/>
        <v>straddle</v>
      </c>
      <c r="X717" s="10" t="str">
        <f t="shared" si="228"/>
        <v>0_Pre</v>
      </c>
      <c r="Y717" s="10" t="str">
        <f t="shared" si="229"/>
        <v>0_Pre</v>
      </c>
      <c r="Z717" s="10" t="str">
        <f t="shared" si="230"/>
        <v>0_Pre</v>
      </c>
      <c r="AA717" s="10" t="str">
        <f t="shared" si="235"/>
        <v>1_Post</v>
      </c>
      <c r="AB717" s="10" t="str">
        <f t="shared" si="236"/>
        <v>1_Post</v>
      </c>
      <c r="AC717" s="10" t="str">
        <f t="shared" si="237"/>
        <v>1_Post</v>
      </c>
      <c r="AD717" s="10" t="str">
        <f t="shared" si="238"/>
        <v>2_post sample median</v>
      </c>
      <c r="AE717" s="10" t="str">
        <f t="shared" si="239"/>
        <v>3_post sample third tertile</v>
      </c>
      <c r="AF717" t="s">
        <v>67</v>
      </c>
      <c r="AG717" t="s">
        <v>75</v>
      </c>
      <c r="AH717" t="s">
        <v>78</v>
      </c>
      <c r="AI717" t="s">
        <v>122</v>
      </c>
      <c r="AJ717" t="s">
        <v>123</v>
      </c>
      <c r="AK717" t="str">
        <f>VLOOKUP(MID($AR717,1,255),country_lookup!$B:$F,2,FALSE)</f>
        <v>3_AsiaPac</v>
      </c>
      <c r="AL717" t="str">
        <f>VLOOKUP(MID($AR717,1,255),country_lookup!$B:$F,3,FALSE)</f>
        <v>1_developed</v>
      </c>
      <c r="AM717" t="str">
        <f>VLOOKUP(MID($AR717,1,255),country_lookup!$B:$F,4,FALSE)</f>
        <v>2_non_western</v>
      </c>
      <c r="AN717" t="str">
        <f>VLOOKUP(MID($AR717,1,255),country_lookup!$B:$F,5,FALSE)</f>
        <v>2_civil law</v>
      </c>
      <c r="AO717" s="10" t="str">
        <f>VLOOKUP(MID($AS717,1,255),source_lookup!$B:$K,4,FALSE)</f>
        <v>0_published</v>
      </c>
      <c r="AP717" s="10" t="str">
        <f>VLOOKUP(MID($AS717,1,255),source_lookup!$B:$K,6,FALSE)</f>
        <v>0_VHB low</v>
      </c>
      <c r="AQ717" s="10" t="str">
        <f>VLOOKUP(MID($AS717,1,255),source_lookup!$B:$K,10,FALSE)</f>
        <v>3_mgmt</v>
      </c>
      <c r="AR717" t="s">
        <v>103</v>
      </c>
      <c r="AS717" t="s">
        <v>158</v>
      </c>
    </row>
    <row r="718" spans="1:45" x14ac:dyDescent="0.3">
      <c r="A718" t="s">
        <v>34</v>
      </c>
      <c r="B718">
        <v>717</v>
      </c>
      <c r="C718" s="1">
        <v>4.6003218432413936E-2</v>
      </c>
      <c r="D718" s="2">
        <v>57</v>
      </c>
      <c r="E718" s="4">
        <v>510</v>
      </c>
      <c r="F718" s="4" t="s">
        <v>346</v>
      </c>
      <c r="G718" s="4" t="s">
        <v>347</v>
      </c>
      <c r="H718" t="s">
        <v>77</v>
      </c>
      <c r="I718" t="s">
        <v>352</v>
      </c>
      <c r="J718" s="3">
        <v>2011</v>
      </c>
      <c r="K718" s="3">
        <v>2019</v>
      </c>
      <c r="L718" s="6">
        <f t="shared" si="231"/>
        <v>2015</v>
      </c>
      <c r="M718" s="6">
        <f t="shared" si="232"/>
        <v>2015</v>
      </c>
      <c r="N718" s="7">
        <f t="shared" si="220"/>
        <v>0.44444444444444442</v>
      </c>
      <c r="O718" s="7">
        <f t="shared" si="221"/>
        <v>0.33333333333333331</v>
      </c>
      <c r="P718" s="7">
        <f t="shared" si="222"/>
        <v>0.22222222222222221</v>
      </c>
      <c r="Q718" s="7">
        <f t="shared" si="233"/>
        <v>0.1111111111111111</v>
      </c>
      <c r="R718" s="10" t="str">
        <f t="shared" si="223"/>
        <v>0_Pre</v>
      </c>
      <c r="S718" s="10" t="str">
        <f t="shared" si="224"/>
        <v>0_Pre</v>
      </c>
      <c r="T718" s="10" t="str">
        <f t="shared" si="225"/>
        <v>0_Pre</v>
      </c>
      <c r="U718" s="10" t="str">
        <f t="shared" si="226"/>
        <v>1_Post</v>
      </c>
      <c r="V718" s="10" t="str">
        <f t="shared" si="234"/>
        <v>0_Pre</v>
      </c>
      <c r="W718" s="10" t="str">
        <f t="shared" si="227"/>
        <v>straddle</v>
      </c>
      <c r="X718" s="10" t="str">
        <f t="shared" si="228"/>
        <v>0_Pre</v>
      </c>
      <c r="Y718" s="10" t="str">
        <f t="shared" si="229"/>
        <v>0_Pre</v>
      </c>
      <c r="Z718" s="10" t="str">
        <f t="shared" si="230"/>
        <v>0_Pre</v>
      </c>
      <c r="AA718" s="10" t="str">
        <f t="shared" si="235"/>
        <v>1_Post</v>
      </c>
      <c r="AB718" s="10" t="str">
        <f t="shared" si="236"/>
        <v>1_Post</v>
      </c>
      <c r="AC718" s="10" t="str">
        <f t="shared" si="237"/>
        <v>1_Post</v>
      </c>
      <c r="AD718" s="10" t="str">
        <f t="shared" si="238"/>
        <v>2_post sample median</v>
      </c>
      <c r="AE718" s="10" t="str">
        <f t="shared" si="239"/>
        <v>3_post sample third tertile</v>
      </c>
      <c r="AF718" t="s">
        <v>67</v>
      </c>
      <c r="AG718" t="s">
        <v>75</v>
      </c>
      <c r="AH718" t="s">
        <v>78</v>
      </c>
      <c r="AI718" t="s">
        <v>122</v>
      </c>
      <c r="AJ718" t="s">
        <v>123</v>
      </c>
      <c r="AK718" t="str">
        <f>VLOOKUP(MID($AR718,1,255),country_lookup!$B:$F,2,FALSE)</f>
        <v>3_AsiaPac</v>
      </c>
      <c r="AL718" t="str">
        <f>VLOOKUP(MID($AR718,1,255),country_lookup!$B:$F,3,FALSE)</f>
        <v>1_developed</v>
      </c>
      <c r="AM718" t="str">
        <f>VLOOKUP(MID($AR718,1,255),country_lookup!$B:$F,4,FALSE)</f>
        <v>2_non_western</v>
      </c>
      <c r="AN718" t="str">
        <f>VLOOKUP(MID($AR718,1,255),country_lookup!$B:$F,5,FALSE)</f>
        <v>2_civil law</v>
      </c>
      <c r="AO718" s="10" t="str">
        <f>VLOOKUP(MID($AS718,1,255),source_lookup!$B:$K,4,FALSE)</f>
        <v>0_published</v>
      </c>
      <c r="AP718" s="10" t="str">
        <f>VLOOKUP(MID($AS718,1,255),source_lookup!$B:$K,6,FALSE)</f>
        <v>0_VHB low</v>
      </c>
      <c r="AQ718" s="10" t="str">
        <f>VLOOKUP(MID($AS718,1,255),source_lookup!$B:$K,10,FALSE)</f>
        <v>3_mgmt</v>
      </c>
      <c r="AR718" t="s">
        <v>103</v>
      </c>
      <c r="AS718" t="s">
        <v>158</v>
      </c>
    </row>
    <row r="719" spans="1:45" x14ac:dyDescent="0.3">
      <c r="A719" t="s">
        <v>34</v>
      </c>
      <c r="B719">
        <v>718</v>
      </c>
      <c r="C719" s="1">
        <v>-6.8474059862399364E-2</v>
      </c>
      <c r="D719" s="2">
        <v>57</v>
      </c>
      <c r="E719" s="4">
        <v>510</v>
      </c>
      <c r="F719" s="4" t="s">
        <v>346</v>
      </c>
      <c r="G719" s="4" t="s">
        <v>347</v>
      </c>
      <c r="H719" t="s">
        <v>77</v>
      </c>
      <c r="I719" t="s">
        <v>352</v>
      </c>
      <c r="J719" s="3">
        <v>2011</v>
      </c>
      <c r="K719" s="3">
        <v>2019</v>
      </c>
      <c r="L719" s="6">
        <f t="shared" si="231"/>
        <v>2015</v>
      </c>
      <c r="M719" s="6">
        <f t="shared" si="232"/>
        <v>2015</v>
      </c>
      <c r="N719" s="7">
        <f t="shared" si="220"/>
        <v>0.44444444444444442</v>
      </c>
      <c r="O719" s="7">
        <f t="shared" si="221"/>
        <v>0.33333333333333331</v>
      </c>
      <c r="P719" s="7">
        <f t="shared" si="222"/>
        <v>0.22222222222222221</v>
      </c>
      <c r="Q719" s="7">
        <f t="shared" si="233"/>
        <v>0.1111111111111111</v>
      </c>
      <c r="R719" s="10" t="str">
        <f t="shared" si="223"/>
        <v>0_Pre</v>
      </c>
      <c r="S719" s="10" t="str">
        <f t="shared" si="224"/>
        <v>0_Pre</v>
      </c>
      <c r="T719" s="10" t="str">
        <f t="shared" si="225"/>
        <v>0_Pre</v>
      </c>
      <c r="U719" s="10" t="str">
        <f t="shared" si="226"/>
        <v>1_Post</v>
      </c>
      <c r="V719" s="10" t="str">
        <f t="shared" si="234"/>
        <v>0_Pre</v>
      </c>
      <c r="W719" s="10" t="str">
        <f t="shared" si="227"/>
        <v>straddle</v>
      </c>
      <c r="X719" s="10" t="str">
        <f t="shared" si="228"/>
        <v>0_Pre</v>
      </c>
      <c r="Y719" s="10" t="str">
        <f t="shared" si="229"/>
        <v>0_Pre</v>
      </c>
      <c r="Z719" s="10" t="str">
        <f t="shared" si="230"/>
        <v>0_Pre</v>
      </c>
      <c r="AA719" s="10" t="str">
        <f t="shared" si="235"/>
        <v>1_Post</v>
      </c>
      <c r="AB719" s="10" t="str">
        <f t="shared" si="236"/>
        <v>1_Post</v>
      </c>
      <c r="AC719" s="10" t="str">
        <f t="shared" si="237"/>
        <v>1_Post</v>
      </c>
      <c r="AD719" s="10" t="str">
        <f t="shared" si="238"/>
        <v>2_post sample median</v>
      </c>
      <c r="AE719" s="10" t="str">
        <f t="shared" si="239"/>
        <v>3_post sample third tertile</v>
      </c>
      <c r="AF719" t="s">
        <v>67</v>
      </c>
      <c r="AG719" t="s">
        <v>75</v>
      </c>
      <c r="AH719" t="s">
        <v>78</v>
      </c>
      <c r="AI719" t="s">
        <v>122</v>
      </c>
      <c r="AJ719" t="s">
        <v>123</v>
      </c>
      <c r="AK719" t="str">
        <f>VLOOKUP(MID($AR719,1,255),country_lookup!$B:$F,2,FALSE)</f>
        <v>3_AsiaPac</v>
      </c>
      <c r="AL719" t="str">
        <f>VLOOKUP(MID($AR719,1,255),country_lookup!$B:$F,3,FALSE)</f>
        <v>1_developed</v>
      </c>
      <c r="AM719" t="str">
        <f>VLOOKUP(MID($AR719,1,255),country_lookup!$B:$F,4,FALSE)</f>
        <v>2_non_western</v>
      </c>
      <c r="AN719" t="str">
        <f>VLOOKUP(MID($AR719,1,255),country_lookup!$B:$F,5,FALSE)</f>
        <v>2_civil law</v>
      </c>
      <c r="AO719" s="10" t="str">
        <f>VLOOKUP(MID($AS719,1,255),source_lookup!$B:$K,4,FALSE)</f>
        <v>0_published</v>
      </c>
      <c r="AP719" s="10" t="str">
        <f>VLOOKUP(MID($AS719,1,255),source_lookup!$B:$K,6,FALSE)</f>
        <v>0_VHB low</v>
      </c>
      <c r="AQ719" s="10" t="str">
        <f>VLOOKUP(MID($AS719,1,255),source_lookup!$B:$K,10,FALSE)</f>
        <v>3_mgmt</v>
      </c>
      <c r="AR719" t="s">
        <v>103</v>
      </c>
      <c r="AS719" t="s">
        <v>158</v>
      </c>
    </row>
    <row r="720" spans="1:45" x14ac:dyDescent="0.3">
      <c r="A720" t="s">
        <v>34</v>
      </c>
      <c r="B720">
        <v>719</v>
      </c>
      <c r="C720" s="1">
        <v>-7.9014713972136857E-2</v>
      </c>
      <c r="D720" s="2">
        <v>57</v>
      </c>
      <c r="E720" s="4">
        <v>510</v>
      </c>
      <c r="F720" s="4" t="s">
        <v>346</v>
      </c>
      <c r="G720" s="4" t="s">
        <v>347</v>
      </c>
      <c r="H720" t="s">
        <v>77</v>
      </c>
      <c r="I720" t="s">
        <v>352</v>
      </c>
      <c r="J720" s="3">
        <v>2011</v>
      </c>
      <c r="K720" s="3">
        <v>2019</v>
      </c>
      <c r="L720" s="6">
        <f t="shared" si="231"/>
        <v>2015</v>
      </c>
      <c r="M720" s="6">
        <f t="shared" si="232"/>
        <v>2015</v>
      </c>
      <c r="N720" s="7">
        <f t="shared" si="220"/>
        <v>0.44444444444444442</v>
      </c>
      <c r="O720" s="7">
        <f t="shared" si="221"/>
        <v>0.33333333333333331</v>
      </c>
      <c r="P720" s="7">
        <f t="shared" si="222"/>
        <v>0.22222222222222221</v>
      </c>
      <c r="Q720" s="7">
        <f t="shared" si="233"/>
        <v>0.1111111111111111</v>
      </c>
      <c r="R720" s="10" t="str">
        <f t="shared" si="223"/>
        <v>0_Pre</v>
      </c>
      <c r="S720" s="10" t="str">
        <f t="shared" si="224"/>
        <v>0_Pre</v>
      </c>
      <c r="T720" s="10" t="str">
        <f t="shared" si="225"/>
        <v>0_Pre</v>
      </c>
      <c r="U720" s="10" t="str">
        <f t="shared" si="226"/>
        <v>1_Post</v>
      </c>
      <c r="V720" s="10" t="str">
        <f t="shared" si="234"/>
        <v>0_Pre</v>
      </c>
      <c r="W720" s="10" t="str">
        <f t="shared" si="227"/>
        <v>straddle</v>
      </c>
      <c r="X720" s="10" t="str">
        <f t="shared" si="228"/>
        <v>0_Pre</v>
      </c>
      <c r="Y720" s="10" t="str">
        <f t="shared" si="229"/>
        <v>0_Pre</v>
      </c>
      <c r="Z720" s="10" t="str">
        <f t="shared" si="230"/>
        <v>0_Pre</v>
      </c>
      <c r="AA720" s="10" t="str">
        <f t="shared" si="235"/>
        <v>1_Post</v>
      </c>
      <c r="AB720" s="10" t="str">
        <f t="shared" si="236"/>
        <v>1_Post</v>
      </c>
      <c r="AC720" s="10" t="str">
        <f t="shared" si="237"/>
        <v>1_Post</v>
      </c>
      <c r="AD720" s="10" t="str">
        <f t="shared" si="238"/>
        <v>2_post sample median</v>
      </c>
      <c r="AE720" s="10" t="str">
        <f t="shared" si="239"/>
        <v>3_post sample third tertile</v>
      </c>
      <c r="AF720" t="s">
        <v>67</v>
      </c>
      <c r="AG720" t="s">
        <v>75</v>
      </c>
      <c r="AH720" t="s">
        <v>78</v>
      </c>
      <c r="AI720" t="s">
        <v>122</v>
      </c>
      <c r="AJ720" t="s">
        <v>123</v>
      </c>
      <c r="AK720" t="str">
        <f>VLOOKUP(MID($AR720,1,255),country_lookup!$B:$F,2,FALSE)</f>
        <v>3_AsiaPac</v>
      </c>
      <c r="AL720" t="str">
        <f>VLOOKUP(MID($AR720,1,255),country_lookup!$B:$F,3,FALSE)</f>
        <v>1_developed</v>
      </c>
      <c r="AM720" t="str">
        <f>VLOOKUP(MID($AR720,1,255),country_lookup!$B:$F,4,FALSE)</f>
        <v>2_non_western</v>
      </c>
      <c r="AN720" t="str">
        <f>VLOOKUP(MID($AR720,1,255),country_lookup!$B:$F,5,FALSE)</f>
        <v>2_civil law</v>
      </c>
      <c r="AO720" s="10" t="str">
        <f>VLOOKUP(MID($AS720,1,255),source_lookup!$B:$K,4,FALSE)</f>
        <v>0_published</v>
      </c>
      <c r="AP720" s="10" t="str">
        <f>VLOOKUP(MID($AS720,1,255),source_lookup!$B:$K,6,FALSE)</f>
        <v>0_VHB low</v>
      </c>
      <c r="AQ720" s="10" t="str">
        <f>VLOOKUP(MID($AS720,1,255),source_lookup!$B:$K,10,FALSE)</f>
        <v>3_mgmt</v>
      </c>
      <c r="AR720" t="s">
        <v>103</v>
      </c>
      <c r="AS720" t="s">
        <v>158</v>
      </c>
    </row>
    <row r="721" spans="1:45" x14ac:dyDescent="0.3">
      <c r="A721" t="s">
        <v>34</v>
      </c>
      <c r="B721">
        <v>720</v>
      </c>
      <c r="C721" s="1">
        <v>-8.0330507409379179E-2</v>
      </c>
      <c r="D721" s="2">
        <v>57</v>
      </c>
      <c r="E721" s="4">
        <v>510</v>
      </c>
      <c r="F721" s="4" t="s">
        <v>346</v>
      </c>
      <c r="G721" s="4" t="s">
        <v>347</v>
      </c>
      <c r="H721" t="s">
        <v>77</v>
      </c>
      <c r="I721" t="s">
        <v>352</v>
      </c>
      <c r="J721" s="3">
        <v>2011</v>
      </c>
      <c r="K721" s="3">
        <v>2019</v>
      </c>
      <c r="L721" s="6">
        <f t="shared" si="231"/>
        <v>2015</v>
      </c>
      <c r="M721" s="6">
        <f t="shared" si="232"/>
        <v>2015</v>
      </c>
      <c r="N721" s="7">
        <f t="shared" si="220"/>
        <v>0.44444444444444442</v>
      </c>
      <c r="O721" s="7">
        <f t="shared" si="221"/>
        <v>0.33333333333333331</v>
      </c>
      <c r="P721" s="7">
        <f t="shared" si="222"/>
        <v>0.22222222222222221</v>
      </c>
      <c r="Q721" s="7">
        <f t="shared" si="233"/>
        <v>0.1111111111111111</v>
      </c>
      <c r="R721" s="10" t="str">
        <f t="shared" si="223"/>
        <v>0_Pre</v>
      </c>
      <c r="S721" s="10" t="str">
        <f t="shared" si="224"/>
        <v>0_Pre</v>
      </c>
      <c r="T721" s="10" t="str">
        <f t="shared" si="225"/>
        <v>0_Pre</v>
      </c>
      <c r="U721" s="10" t="str">
        <f t="shared" si="226"/>
        <v>1_Post</v>
      </c>
      <c r="V721" s="10" t="str">
        <f t="shared" si="234"/>
        <v>0_Pre</v>
      </c>
      <c r="W721" s="10" t="str">
        <f t="shared" si="227"/>
        <v>straddle</v>
      </c>
      <c r="X721" s="10" t="str">
        <f t="shared" si="228"/>
        <v>0_Pre</v>
      </c>
      <c r="Y721" s="10" t="str">
        <f t="shared" si="229"/>
        <v>0_Pre</v>
      </c>
      <c r="Z721" s="10" t="str">
        <f t="shared" si="230"/>
        <v>0_Pre</v>
      </c>
      <c r="AA721" s="10" t="str">
        <f t="shared" si="235"/>
        <v>1_Post</v>
      </c>
      <c r="AB721" s="10" t="str">
        <f t="shared" si="236"/>
        <v>1_Post</v>
      </c>
      <c r="AC721" s="10" t="str">
        <f t="shared" si="237"/>
        <v>1_Post</v>
      </c>
      <c r="AD721" s="10" t="str">
        <f t="shared" si="238"/>
        <v>2_post sample median</v>
      </c>
      <c r="AE721" s="10" t="str">
        <f t="shared" si="239"/>
        <v>3_post sample third tertile</v>
      </c>
      <c r="AF721" t="s">
        <v>67</v>
      </c>
      <c r="AG721" t="s">
        <v>75</v>
      </c>
      <c r="AH721" t="s">
        <v>78</v>
      </c>
      <c r="AI721" t="s">
        <v>122</v>
      </c>
      <c r="AJ721" t="s">
        <v>123</v>
      </c>
      <c r="AK721" t="str">
        <f>VLOOKUP(MID($AR721,1,255),country_lookup!$B:$F,2,FALSE)</f>
        <v>3_AsiaPac</v>
      </c>
      <c r="AL721" t="str">
        <f>VLOOKUP(MID($AR721,1,255),country_lookup!$B:$F,3,FALSE)</f>
        <v>1_developed</v>
      </c>
      <c r="AM721" t="str">
        <f>VLOOKUP(MID($AR721,1,255),country_lookup!$B:$F,4,FALSE)</f>
        <v>2_non_western</v>
      </c>
      <c r="AN721" t="str">
        <f>VLOOKUP(MID($AR721,1,255),country_lookup!$B:$F,5,FALSE)</f>
        <v>2_civil law</v>
      </c>
      <c r="AO721" s="10" t="str">
        <f>VLOOKUP(MID($AS721,1,255),source_lookup!$B:$K,4,FALSE)</f>
        <v>0_published</v>
      </c>
      <c r="AP721" s="10" t="str">
        <f>VLOOKUP(MID($AS721,1,255),source_lookup!$B:$K,6,FALSE)</f>
        <v>0_VHB low</v>
      </c>
      <c r="AQ721" s="10" t="str">
        <f>VLOOKUP(MID($AS721,1,255),source_lookup!$B:$K,10,FALSE)</f>
        <v>3_mgmt</v>
      </c>
      <c r="AR721" t="s">
        <v>103</v>
      </c>
      <c r="AS721" t="s">
        <v>158</v>
      </c>
    </row>
    <row r="722" spans="1:45" x14ac:dyDescent="0.3">
      <c r="A722" t="s">
        <v>34</v>
      </c>
      <c r="B722">
        <v>721</v>
      </c>
      <c r="C722" s="1">
        <v>-0.10741984040956501</v>
      </c>
      <c r="D722" s="2">
        <v>57</v>
      </c>
      <c r="E722" s="4">
        <v>510</v>
      </c>
      <c r="F722" s="4" t="s">
        <v>346</v>
      </c>
      <c r="G722" s="4" t="s">
        <v>347</v>
      </c>
      <c r="H722" t="s">
        <v>77</v>
      </c>
      <c r="I722" t="s">
        <v>352</v>
      </c>
      <c r="J722" s="3">
        <v>2011</v>
      </c>
      <c r="K722" s="3">
        <v>2019</v>
      </c>
      <c r="L722" s="6">
        <f t="shared" si="231"/>
        <v>2015</v>
      </c>
      <c r="M722" s="6">
        <f t="shared" si="232"/>
        <v>2015</v>
      </c>
      <c r="N722" s="7">
        <f t="shared" si="220"/>
        <v>0.44444444444444442</v>
      </c>
      <c r="O722" s="7">
        <f t="shared" si="221"/>
        <v>0.33333333333333331</v>
      </c>
      <c r="P722" s="7">
        <f t="shared" si="222"/>
        <v>0.22222222222222221</v>
      </c>
      <c r="Q722" s="7">
        <f t="shared" si="233"/>
        <v>0.1111111111111111</v>
      </c>
      <c r="R722" s="10" t="str">
        <f t="shared" si="223"/>
        <v>0_Pre</v>
      </c>
      <c r="S722" s="10" t="str">
        <f t="shared" si="224"/>
        <v>0_Pre</v>
      </c>
      <c r="T722" s="10" t="str">
        <f t="shared" si="225"/>
        <v>0_Pre</v>
      </c>
      <c r="U722" s="10" t="str">
        <f t="shared" si="226"/>
        <v>1_Post</v>
      </c>
      <c r="V722" s="10" t="str">
        <f t="shared" si="234"/>
        <v>0_Pre</v>
      </c>
      <c r="W722" s="10" t="str">
        <f t="shared" si="227"/>
        <v>straddle</v>
      </c>
      <c r="X722" s="10" t="str">
        <f t="shared" si="228"/>
        <v>0_Pre</v>
      </c>
      <c r="Y722" s="10" t="str">
        <f t="shared" si="229"/>
        <v>0_Pre</v>
      </c>
      <c r="Z722" s="10" t="str">
        <f t="shared" si="230"/>
        <v>0_Pre</v>
      </c>
      <c r="AA722" s="10" t="str">
        <f t="shared" si="235"/>
        <v>1_Post</v>
      </c>
      <c r="AB722" s="10" t="str">
        <f t="shared" si="236"/>
        <v>1_Post</v>
      </c>
      <c r="AC722" s="10" t="str">
        <f t="shared" si="237"/>
        <v>1_Post</v>
      </c>
      <c r="AD722" s="10" t="str">
        <f t="shared" si="238"/>
        <v>2_post sample median</v>
      </c>
      <c r="AE722" s="10" t="str">
        <f t="shared" si="239"/>
        <v>3_post sample third tertile</v>
      </c>
      <c r="AF722" t="s">
        <v>67</v>
      </c>
      <c r="AG722" t="s">
        <v>75</v>
      </c>
      <c r="AH722" t="s">
        <v>78</v>
      </c>
      <c r="AI722" t="s">
        <v>122</v>
      </c>
      <c r="AJ722" t="s">
        <v>123</v>
      </c>
      <c r="AK722" t="str">
        <f>VLOOKUP(MID($AR722,1,255),country_lookup!$B:$F,2,FALSE)</f>
        <v>3_AsiaPac</v>
      </c>
      <c r="AL722" t="str">
        <f>VLOOKUP(MID($AR722,1,255),country_lookup!$B:$F,3,FALSE)</f>
        <v>1_developed</v>
      </c>
      <c r="AM722" t="str">
        <f>VLOOKUP(MID($AR722,1,255),country_lookup!$B:$F,4,FALSE)</f>
        <v>2_non_western</v>
      </c>
      <c r="AN722" t="str">
        <f>VLOOKUP(MID($AR722,1,255),country_lookup!$B:$F,5,FALSE)</f>
        <v>2_civil law</v>
      </c>
      <c r="AO722" s="10" t="str">
        <f>VLOOKUP(MID($AS722,1,255),source_lookup!$B:$K,4,FALSE)</f>
        <v>0_published</v>
      </c>
      <c r="AP722" s="10" t="str">
        <f>VLOOKUP(MID($AS722,1,255),source_lookup!$B:$K,6,FALSE)</f>
        <v>0_VHB low</v>
      </c>
      <c r="AQ722" s="10" t="str">
        <f>VLOOKUP(MID($AS722,1,255),source_lookup!$B:$K,10,FALSE)</f>
        <v>3_mgmt</v>
      </c>
      <c r="AR722" t="s">
        <v>103</v>
      </c>
      <c r="AS722" t="s">
        <v>158</v>
      </c>
    </row>
    <row r="723" spans="1:45" x14ac:dyDescent="0.3">
      <c r="A723" t="s">
        <v>34</v>
      </c>
      <c r="B723">
        <v>722</v>
      </c>
      <c r="C723" s="1">
        <v>-7.9014713972136857E-2</v>
      </c>
      <c r="D723" s="2">
        <v>57</v>
      </c>
      <c r="E723" s="4">
        <v>510</v>
      </c>
      <c r="F723" s="4" t="s">
        <v>346</v>
      </c>
      <c r="G723" s="4" t="s">
        <v>347</v>
      </c>
      <c r="H723" t="s">
        <v>77</v>
      </c>
      <c r="I723" t="s">
        <v>352</v>
      </c>
      <c r="J723" s="3">
        <v>2011</v>
      </c>
      <c r="K723" s="3">
        <v>2019</v>
      </c>
      <c r="L723" s="6">
        <f t="shared" si="231"/>
        <v>2015</v>
      </c>
      <c r="M723" s="6">
        <f t="shared" si="232"/>
        <v>2015</v>
      </c>
      <c r="N723" s="7">
        <f t="shared" si="220"/>
        <v>0.44444444444444442</v>
      </c>
      <c r="O723" s="7">
        <f t="shared" si="221"/>
        <v>0.33333333333333331</v>
      </c>
      <c r="P723" s="7">
        <f t="shared" si="222"/>
        <v>0.22222222222222221</v>
      </c>
      <c r="Q723" s="7">
        <f t="shared" si="233"/>
        <v>0.1111111111111111</v>
      </c>
      <c r="R723" s="10" t="str">
        <f t="shared" si="223"/>
        <v>0_Pre</v>
      </c>
      <c r="S723" s="10" t="str">
        <f t="shared" si="224"/>
        <v>0_Pre</v>
      </c>
      <c r="T723" s="10" t="str">
        <f t="shared" si="225"/>
        <v>0_Pre</v>
      </c>
      <c r="U723" s="10" t="str">
        <f t="shared" si="226"/>
        <v>1_Post</v>
      </c>
      <c r="V723" s="10" t="str">
        <f t="shared" si="234"/>
        <v>0_Pre</v>
      </c>
      <c r="W723" s="10" t="str">
        <f t="shared" si="227"/>
        <v>straddle</v>
      </c>
      <c r="X723" s="10" t="str">
        <f t="shared" si="228"/>
        <v>0_Pre</v>
      </c>
      <c r="Y723" s="10" t="str">
        <f t="shared" si="229"/>
        <v>0_Pre</v>
      </c>
      <c r="Z723" s="10" t="str">
        <f t="shared" si="230"/>
        <v>0_Pre</v>
      </c>
      <c r="AA723" s="10" t="str">
        <f t="shared" si="235"/>
        <v>1_Post</v>
      </c>
      <c r="AB723" s="10" t="str">
        <f t="shared" si="236"/>
        <v>1_Post</v>
      </c>
      <c r="AC723" s="10" t="str">
        <f t="shared" si="237"/>
        <v>1_Post</v>
      </c>
      <c r="AD723" s="10" t="str">
        <f t="shared" si="238"/>
        <v>2_post sample median</v>
      </c>
      <c r="AE723" s="10" t="str">
        <f t="shared" si="239"/>
        <v>3_post sample third tertile</v>
      </c>
      <c r="AF723" t="s">
        <v>67</v>
      </c>
      <c r="AG723" t="s">
        <v>75</v>
      </c>
      <c r="AH723" t="s">
        <v>78</v>
      </c>
      <c r="AI723" t="s">
        <v>122</v>
      </c>
      <c r="AJ723" t="s">
        <v>123</v>
      </c>
      <c r="AK723" t="str">
        <f>VLOOKUP(MID($AR723,1,255),country_lookup!$B:$F,2,FALSE)</f>
        <v>3_AsiaPac</v>
      </c>
      <c r="AL723" t="str">
        <f>VLOOKUP(MID($AR723,1,255),country_lookup!$B:$F,3,FALSE)</f>
        <v>1_developed</v>
      </c>
      <c r="AM723" t="str">
        <f>VLOOKUP(MID($AR723,1,255),country_lookup!$B:$F,4,FALSE)</f>
        <v>2_non_western</v>
      </c>
      <c r="AN723" t="str">
        <f>VLOOKUP(MID($AR723,1,255),country_lookup!$B:$F,5,FALSE)</f>
        <v>2_civil law</v>
      </c>
      <c r="AO723" s="10" t="str">
        <f>VLOOKUP(MID($AS723,1,255),source_lookup!$B:$K,4,FALSE)</f>
        <v>0_published</v>
      </c>
      <c r="AP723" s="10" t="str">
        <f>VLOOKUP(MID($AS723,1,255),source_lookup!$B:$K,6,FALSE)</f>
        <v>0_VHB low</v>
      </c>
      <c r="AQ723" s="10" t="str">
        <f>VLOOKUP(MID($AS723,1,255),source_lookup!$B:$K,10,FALSE)</f>
        <v>3_mgmt</v>
      </c>
      <c r="AR723" t="s">
        <v>103</v>
      </c>
      <c r="AS723" t="s">
        <v>158</v>
      </c>
    </row>
    <row r="724" spans="1:45" x14ac:dyDescent="0.3">
      <c r="A724" t="s">
        <v>34</v>
      </c>
      <c r="B724">
        <v>723</v>
      </c>
      <c r="C724" s="1">
        <v>-7.5064881890303206E-2</v>
      </c>
      <c r="D724" s="2">
        <v>57</v>
      </c>
      <c r="E724" s="4">
        <v>510</v>
      </c>
      <c r="F724" s="4" t="s">
        <v>346</v>
      </c>
      <c r="G724" s="4" t="s">
        <v>347</v>
      </c>
      <c r="H724" t="s">
        <v>77</v>
      </c>
      <c r="I724" t="s">
        <v>352</v>
      </c>
      <c r="J724" s="3">
        <v>2011</v>
      </c>
      <c r="K724" s="3">
        <v>2019</v>
      </c>
      <c r="L724" s="6">
        <f t="shared" si="231"/>
        <v>2015</v>
      </c>
      <c r="M724" s="6">
        <f t="shared" si="232"/>
        <v>2015</v>
      </c>
      <c r="N724" s="7">
        <f t="shared" si="220"/>
        <v>0.44444444444444442</v>
      </c>
      <c r="O724" s="7">
        <f t="shared" si="221"/>
        <v>0.33333333333333331</v>
      </c>
      <c r="P724" s="7">
        <f t="shared" si="222"/>
        <v>0.22222222222222221</v>
      </c>
      <c r="Q724" s="7">
        <f t="shared" si="233"/>
        <v>0.1111111111111111</v>
      </c>
      <c r="R724" s="10" t="str">
        <f t="shared" si="223"/>
        <v>0_Pre</v>
      </c>
      <c r="S724" s="10" t="str">
        <f t="shared" si="224"/>
        <v>0_Pre</v>
      </c>
      <c r="T724" s="10" t="str">
        <f t="shared" si="225"/>
        <v>0_Pre</v>
      </c>
      <c r="U724" s="10" t="str">
        <f t="shared" si="226"/>
        <v>1_Post</v>
      </c>
      <c r="V724" s="10" t="str">
        <f t="shared" si="234"/>
        <v>0_Pre</v>
      </c>
      <c r="W724" s="10" t="str">
        <f t="shared" si="227"/>
        <v>straddle</v>
      </c>
      <c r="X724" s="10" t="str">
        <f t="shared" si="228"/>
        <v>0_Pre</v>
      </c>
      <c r="Y724" s="10" t="str">
        <f t="shared" si="229"/>
        <v>0_Pre</v>
      </c>
      <c r="Z724" s="10" t="str">
        <f t="shared" si="230"/>
        <v>0_Pre</v>
      </c>
      <c r="AA724" s="10" t="str">
        <f t="shared" si="235"/>
        <v>1_Post</v>
      </c>
      <c r="AB724" s="10" t="str">
        <f t="shared" si="236"/>
        <v>1_Post</v>
      </c>
      <c r="AC724" s="10" t="str">
        <f t="shared" si="237"/>
        <v>1_Post</v>
      </c>
      <c r="AD724" s="10" t="str">
        <f t="shared" si="238"/>
        <v>2_post sample median</v>
      </c>
      <c r="AE724" s="10" t="str">
        <f t="shared" si="239"/>
        <v>3_post sample third tertile</v>
      </c>
      <c r="AF724" t="s">
        <v>67</v>
      </c>
      <c r="AG724" t="s">
        <v>75</v>
      </c>
      <c r="AH724" t="s">
        <v>78</v>
      </c>
      <c r="AI724" t="s">
        <v>122</v>
      </c>
      <c r="AJ724" t="s">
        <v>123</v>
      </c>
      <c r="AK724" t="str">
        <f>VLOOKUP(MID($AR724,1,255),country_lookup!$B:$F,2,FALSE)</f>
        <v>3_AsiaPac</v>
      </c>
      <c r="AL724" t="str">
        <f>VLOOKUP(MID($AR724,1,255),country_lookup!$B:$F,3,FALSE)</f>
        <v>1_developed</v>
      </c>
      <c r="AM724" t="str">
        <f>VLOOKUP(MID($AR724,1,255),country_lookup!$B:$F,4,FALSE)</f>
        <v>2_non_western</v>
      </c>
      <c r="AN724" t="str">
        <f>VLOOKUP(MID($AR724,1,255),country_lookup!$B:$F,5,FALSE)</f>
        <v>2_civil law</v>
      </c>
      <c r="AO724" s="10" t="str">
        <f>VLOOKUP(MID($AS724,1,255),source_lookup!$B:$K,4,FALSE)</f>
        <v>0_published</v>
      </c>
      <c r="AP724" s="10" t="str">
        <f>VLOOKUP(MID($AS724,1,255),source_lookup!$B:$K,6,FALSE)</f>
        <v>0_VHB low</v>
      </c>
      <c r="AQ724" s="10" t="str">
        <f>VLOOKUP(MID($AS724,1,255),source_lookup!$B:$K,10,FALSE)</f>
        <v>3_mgmt</v>
      </c>
      <c r="AR724" t="s">
        <v>103</v>
      </c>
      <c r="AS724" t="s">
        <v>158</v>
      </c>
    </row>
    <row r="725" spans="1:45" x14ac:dyDescent="0.3">
      <c r="A725" t="s">
        <v>34</v>
      </c>
      <c r="B725">
        <v>724</v>
      </c>
      <c r="C725" s="1">
        <v>-7.4625790037040535E-2</v>
      </c>
      <c r="D725" s="2">
        <v>57</v>
      </c>
      <c r="E725" s="4">
        <v>510</v>
      </c>
      <c r="F725" s="4" t="s">
        <v>346</v>
      </c>
      <c r="G725" s="4" t="s">
        <v>347</v>
      </c>
      <c r="H725" t="s">
        <v>77</v>
      </c>
      <c r="I725" t="s">
        <v>352</v>
      </c>
      <c r="J725" s="3">
        <v>2011</v>
      </c>
      <c r="K725" s="3">
        <v>2019</v>
      </c>
      <c r="L725" s="6">
        <f t="shared" si="231"/>
        <v>2015</v>
      </c>
      <c r="M725" s="6">
        <f t="shared" si="232"/>
        <v>2015</v>
      </c>
      <c r="N725" s="7">
        <f t="shared" si="220"/>
        <v>0.44444444444444442</v>
      </c>
      <c r="O725" s="7">
        <f t="shared" si="221"/>
        <v>0.33333333333333331</v>
      </c>
      <c r="P725" s="7">
        <f t="shared" si="222"/>
        <v>0.22222222222222221</v>
      </c>
      <c r="Q725" s="7">
        <f t="shared" si="233"/>
        <v>0.1111111111111111</v>
      </c>
      <c r="R725" s="10" t="str">
        <f t="shared" si="223"/>
        <v>0_Pre</v>
      </c>
      <c r="S725" s="10" t="str">
        <f t="shared" si="224"/>
        <v>0_Pre</v>
      </c>
      <c r="T725" s="10" t="str">
        <f t="shared" si="225"/>
        <v>0_Pre</v>
      </c>
      <c r="U725" s="10" t="str">
        <f t="shared" si="226"/>
        <v>1_Post</v>
      </c>
      <c r="V725" s="10" t="str">
        <f t="shared" si="234"/>
        <v>0_Pre</v>
      </c>
      <c r="W725" s="10" t="str">
        <f t="shared" si="227"/>
        <v>straddle</v>
      </c>
      <c r="X725" s="10" t="str">
        <f t="shared" si="228"/>
        <v>0_Pre</v>
      </c>
      <c r="Y725" s="10" t="str">
        <f t="shared" si="229"/>
        <v>0_Pre</v>
      </c>
      <c r="Z725" s="10" t="str">
        <f t="shared" si="230"/>
        <v>0_Pre</v>
      </c>
      <c r="AA725" s="10" t="str">
        <f t="shared" si="235"/>
        <v>1_Post</v>
      </c>
      <c r="AB725" s="10" t="str">
        <f t="shared" si="236"/>
        <v>1_Post</v>
      </c>
      <c r="AC725" s="10" t="str">
        <f t="shared" si="237"/>
        <v>1_Post</v>
      </c>
      <c r="AD725" s="10" t="str">
        <f t="shared" si="238"/>
        <v>2_post sample median</v>
      </c>
      <c r="AE725" s="10" t="str">
        <f t="shared" si="239"/>
        <v>3_post sample third tertile</v>
      </c>
      <c r="AF725" t="s">
        <v>67</v>
      </c>
      <c r="AG725" t="s">
        <v>75</v>
      </c>
      <c r="AH725" t="s">
        <v>78</v>
      </c>
      <c r="AI725" t="s">
        <v>122</v>
      </c>
      <c r="AJ725" t="s">
        <v>123</v>
      </c>
      <c r="AK725" t="str">
        <f>VLOOKUP(MID($AR725,1,255),country_lookup!$B:$F,2,FALSE)</f>
        <v>3_AsiaPac</v>
      </c>
      <c r="AL725" t="str">
        <f>VLOOKUP(MID($AR725,1,255),country_lookup!$B:$F,3,FALSE)</f>
        <v>1_developed</v>
      </c>
      <c r="AM725" t="str">
        <f>VLOOKUP(MID($AR725,1,255),country_lookup!$B:$F,4,FALSE)</f>
        <v>2_non_western</v>
      </c>
      <c r="AN725" t="str">
        <f>VLOOKUP(MID($AR725,1,255),country_lookup!$B:$F,5,FALSE)</f>
        <v>2_civil law</v>
      </c>
      <c r="AO725" s="10" t="str">
        <f>VLOOKUP(MID($AS725,1,255),source_lookup!$B:$K,4,FALSE)</f>
        <v>0_published</v>
      </c>
      <c r="AP725" s="10" t="str">
        <f>VLOOKUP(MID($AS725,1,255),source_lookup!$B:$K,6,FALSE)</f>
        <v>0_VHB low</v>
      </c>
      <c r="AQ725" s="10" t="str">
        <f>VLOOKUP(MID($AS725,1,255),source_lookup!$B:$K,10,FALSE)</f>
        <v>3_mgmt</v>
      </c>
      <c r="AR725" t="s">
        <v>103</v>
      </c>
      <c r="AS725" t="s">
        <v>158</v>
      </c>
    </row>
    <row r="726" spans="1:45" x14ac:dyDescent="0.3">
      <c r="A726" t="s">
        <v>35</v>
      </c>
      <c r="B726">
        <v>725</v>
      </c>
      <c r="C726" s="1">
        <v>2.2730883420371863E-3</v>
      </c>
      <c r="D726" s="2">
        <v>382</v>
      </c>
      <c r="E726" s="4">
        <v>3441</v>
      </c>
      <c r="F726" s="4" t="s">
        <v>346</v>
      </c>
      <c r="G726" s="4" t="s">
        <v>346</v>
      </c>
      <c r="H726" t="s">
        <v>77</v>
      </c>
      <c r="I726" t="s">
        <v>352</v>
      </c>
      <c r="J726" s="3">
        <v>2010</v>
      </c>
      <c r="K726" s="3">
        <v>2018</v>
      </c>
      <c r="L726" s="6">
        <f t="shared" si="231"/>
        <v>2014</v>
      </c>
      <c r="M726" s="6">
        <f t="shared" si="232"/>
        <v>2014</v>
      </c>
      <c r="N726" s="7">
        <f t="shared" si="220"/>
        <v>0.33333333333333331</v>
      </c>
      <c r="O726" s="7">
        <f t="shared" si="221"/>
        <v>0.22222222222222221</v>
      </c>
      <c r="P726" s="7">
        <f t="shared" si="222"/>
        <v>0.1111111111111111</v>
      </c>
      <c r="Q726" s="7">
        <f t="shared" si="233"/>
        <v>0</v>
      </c>
      <c r="R726" s="10" t="str">
        <f t="shared" si="223"/>
        <v>0_Pre</v>
      </c>
      <c r="S726" s="10" t="str">
        <f t="shared" si="224"/>
        <v>0_Pre</v>
      </c>
      <c r="T726" s="10" t="str">
        <f t="shared" si="225"/>
        <v>0_Pre</v>
      </c>
      <c r="U726" s="10" t="str">
        <f t="shared" si="226"/>
        <v>1_Post</v>
      </c>
      <c r="V726" s="10" t="str">
        <f t="shared" si="234"/>
        <v>0_Pre</v>
      </c>
      <c r="W726" s="10" t="str">
        <f t="shared" si="227"/>
        <v>straddle</v>
      </c>
      <c r="X726" s="10" t="str">
        <f t="shared" si="228"/>
        <v>0_Pre</v>
      </c>
      <c r="Y726" s="10" t="str">
        <f t="shared" si="229"/>
        <v>0_Pre</v>
      </c>
      <c r="Z726" s="10" t="str">
        <f t="shared" si="230"/>
        <v>0_Pre</v>
      </c>
      <c r="AA726" s="10" t="str">
        <f t="shared" si="235"/>
        <v>1_Post</v>
      </c>
      <c r="AB726" s="10" t="str">
        <f t="shared" si="236"/>
        <v>1_Post</v>
      </c>
      <c r="AC726" s="10" t="str">
        <f t="shared" si="237"/>
        <v>0_Pre</v>
      </c>
      <c r="AD726" s="10" t="str">
        <f t="shared" si="238"/>
        <v>2_post sample median</v>
      </c>
      <c r="AE726" s="10" t="str">
        <f t="shared" si="239"/>
        <v>3_post sample third tertile</v>
      </c>
      <c r="AF726" t="s">
        <v>81</v>
      </c>
      <c r="AG726" t="s">
        <v>74</v>
      </c>
      <c r="AH726" t="s">
        <v>78</v>
      </c>
      <c r="AI726" t="s">
        <v>122</v>
      </c>
      <c r="AJ726" t="s">
        <v>122</v>
      </c>
      <c r="AK726" t="str">
        <f>VLOOKUP(MID($AR726,1,255),country_lookup!$B:$F,2,FALSE)</f>
        <v>1_US</v>
      </c>
      <c r="AL726" t="str">
        <f>VLOOKUP(MID($AR726,1,255),country_lookup!$B:$F,3,FALSE)</f>
        <v>1_developed</v>
      </c>
      <c r="AM726" t="str">
        <f>VLOOKUP(MID($AR726,1,255),country_lookup!$B:$F,4,FALSE)</f>
        <v>1_western</v>
      </c>
      <c r="AN726" t="str">
        <f>VLOOKUP(MID($AR726,1,255),country_lookup!$B:$F,5,FALSE)</f>
        <v>1_common law</v>
      </c>
      <c r="AO726" s="10" t="str">
        <f>VLOOKUP(MID($AS726,1,255),source_lookup!$B:$K,4,FALSE)</f>
        <v>0_published</v>
      </c>
      <c r="AP726" s="10" t="str">
        <f>VLOOKUP(MID($AS726,1,255),source_lookup!$B:$K,6,FALSE)</f>
        <v>1_VHB high</v>
      </c>
      <c r="AQ726" s="10" t="str">
        <f>VLOOKUP(MID($AS726,1,255),source_lookup!$B:$K,10,FALSE)</f>
        <v>1_fin/acc/econ</v>
      </c>
      <c r="AR726" t="s">
        <v>85</v>
      </c>
      <c r="AS726" t="s">
        <v>159</v>
      </c>
    </row>
    <row r="727" spans="1:45" x14ac:dyDescent="0.3">
      <c r="A727" t="s">
        <v>35</v>
      </c>
      <c r="B727">
        <v>726</v>
      </c>
      <c r="C727" s="1">
        <v>-2.4766540998874587E-2</v>
      </c>
      <c r="D727" s="2">
        <v>363</v>
      </c>
      <c r="E727" s="4">
        <v>3269</v>
      </c>
      <c r="F727" s="4" t="s">
        <v>346</v>
      </c>
      <c r="G727" s="4" t="s">
        <v>346</v>
      </c>
      <c r="H727" t="s">
        <v>77</v>
      </c>
      <c r="I727" t="s">
        <v>352</v>
      </c>
      <c r="J727" s="3">
        <v>2010</v>
      </c>
      <c r="K727" s="3">
        <v>2018</v>
      </c>
      <c r="L727" s="6">
        <f t="shared" si="231"/>
        <v>2014</v>
      </c>
      <c r="M727" s="6">
        <f t="shared" si="232"/>
        <v>2014</v>
      </c>
      <c r="N727" s="7">
        <f t="shared" si="220"/>
        <v>0.33333333333333331</v>
      </c>
      <c r="O727" s="7">
        <f t="shared" si="221"/>
        <v>0.22222222222222221</v>
      </c>
      <c r="P727" s="7">
        <f t="shared" si="222"/>
        <v>0.1111111111111111</v>
      </c>
      <c r="Q727" s="7">
        <f t="shared" si="233"/>
        <v>0</v>
      </c>
      <c r="R727" s="10" t="str">
        <f t="shared" si="223"/>
        <v>0_Pre</v>
      </c>
      <c r="S727" s="10" t="str">
        <f t="shared" si="224"/>
        <v>0_Pre</v>
      </c>
      <c r="T727" s="10" t="str">
        <f t="shared" si="225"/>
        <v>0_Pre</v>
      </c>
      <c r="U727" s="10" t="str">
        <f t="shared" si="226"/>
        <v>1_Post</v>
      </c>
      <c r="V727" s="10" t="str">
        <f t="shared" si="234"/>
        <v>0_Pre</v>
      </c>
      <c r="W727" s="10" t="str">
        <f t="shared" si="227"/>
        <v>straddle</v>
      </c>
      <c r="X727" s="10" t="str">
        <f t="shared" si="228"/>
        <v>0_Pre</v>
      </c>
      <c r="Y727" s="10" t="str">
        <f t="shared" si="229"/>
        <v>0_Pre</v>
      </c>
      <c r="Z727" s="10" t="str">
        <f t="shared" si="230"/>
        <v>0_Pre</v>
      </c>
      <c r="AA727" s="10" t="str">
        <f t="shared" si="235"/>
        <v>1_Post</v>
      </c>
      <c r="AB727" s="10" t="str">
        <f t="shared" si="236"/>
        <v>1_Post</v>
      </c>
      <c r="AC727" s="10" t="str">
        <f t="shared" si="237"/>
        <v>0_Pre</v>
      </c>
      <c r="AD727" s="10" t="str">
        <f t="shared" si="238"/>
        <v>2_post sample median</v>
      </c>
      <c r="AE727" s="10" t="str">
        <f t="shared" si="239"/>
        <v>3_post sample third tertile</v>
      </c>
      <c r="AF727" t="s">
        <v>81</v>
      </c>
      <c r="AG727" t="s">
        <v>74</v>
      </c>
      <c r="AH727" t="s">
        <v>78</v>
      </c>
      <c r="AI727" t="s">
        <v>122</v>
      </c>
      <c r="AJ727" t="s">
        <v>122</v>
      </c>
      <c r="AK727" t="str">
        <f>VLOOKUP(MID($AR727,1,255),country_lookup!$B:$F,2,FALSE)</f>
        <v>1_US</v>
      </c>
      <c r="AL727" t="str">
        <f>VLOOKUP(MID($AR727,1,255),country_lookup!$B:$F,3,FALSE)</f>
        <v>1_developed</v>
      </c>
      <c r="AM727" t="str">
        <f>VLOOKUP(MID($AR727,1,255),country_lookup!$B:$F,4,FALSE)</f>
        <v>1_western</v>
      </c>
      <c r="AN727" t="str">
        <f>VLOOKUP(MID($AR727,1,255),country_lookup!$B:$F,5,FALSE)</f>
        <v>1_common law</v>
      </c>
      <c r="AO727" s="10" t="str">
        <f>VLOOKUP(MID($AS727,1,255),source_lookup!$B:$K,4,FALSE)</f>
        <v>0_published</v>
      </c>
      <c r="AP727" s="10" t="str">
        <f>VLOOKUP(MID($AS727,1,255),source_lookup!$B:$K,6,FALSE)</f>
        <v>1_VHB high</v>
      </c>
      <c r="AQ727" s="10" t="str">
        <f>VLOOKUP(MID($AS727,1,255),source_lookup!$B:$K,10,FALSE)</f>
        <v>1_fin/acc/econ</v>
      </c>
      <c r="AR727" t="s">
        <v>85</v>
      </c>
      <c r="AS727" t="s">
        <v>159</v>
      </c>
    </row>
    <row r="728" spans="1:45" x14ac:dyDescent="0.3">
      <c r="A728" t="s">
        <v>35</v>
      </c>
      <c r="B728">
        <v>727</v>
      </c>
      <c r="C728" s="1">
        <v>1.10904249237159E-2</v>
      </c>
      <c r="D728" s="2">
        <v>262</v>
      </c>
      <c r="E728" s="4">
        <v>2357</v>
      </c>
      <c r="F728" s="4" t="s">
        <v>346</v>
      </c>
      <c r="G728" s="4" t="s">
        <v>346</v>
      </c>
      <c r="H728" t="s">
        <v>77</v>
      </c>
      <c r="I728" t="s">
        <v>352</v>
      </c>
      <c r="J728" s="3">
        <v>2010</v>
      </c>
      <c r="K728" s="3">
        <v>2018</v>
      </c>
      <c r="L728" s="6">
        <f t="shared" si="231"/>
        <v>2014</v>
      </c>
      <c r="M728" s="6">
        <f t="shared" si="232"/>
        <v>2014</v>
      </c>
      <c r="N728" s="7">
        <f t="shared" si="220"/>
        <v>0.33333333333333331</v>
      </c>
      <c r="O728" s="7">
        <f t="shared" si="221"/>
        <v>0.22222222222222221</v>
      </c>
      <c r="P728" s="7">
        <f t="shared" si="222"/>
        <v>0.1111111111111111</v>
      </c>
      <c r="Q728" s="7">
        <f t="shared" si="233"/>
        <v>0</v>
      </c>
      <c r="R728" s="10" t="str">
        <f t="shared" si="223"/>
        <v>0_Pre</v>
      </c>
      <c r="S728" s="10" t="str">
        <f t="shared" si="224"/>
        <v>0_Pre</v>
      </c>
      <c r="T728" s="10" t="str">
        <f t="shared" si="225"/>
        <v>0_Pre</v>
      </c>
      <c r="U728" s="10" t="str">
        <f t="shared" si="226"/>
        <v>1_Post</v>
      </c>
      <c r="V728" s="10" t="str">
        <f t="shared" si="234"/>
        <v>0_Pre</v>
      </c>
      <c r="W728" s="10" t="str">
        <f t="shared" si="227"/>
        <v>straddle</v>
      </c>
      <c r="X728" s="10" t="str">
        <f t="shared" si="228"/>
        <v>0_Pre</v>
      </c>
      <c r="Y728" s="10" t="str">
        <f t="shared" si="229"/>
        <v>0_Pre</v>
      </c>
      <c r="Z728" s="10" t="str">
        <f t="shared" si="230"/>
        <v>0_Pre</v>
      </c>
      <c r="AA728" s="10" t="str">
        <f t="shared" si="235"/>
        <v>1_Post</v>
      </c>
      <c r="AB728" s="10" t="str">
        <f t="shared" si="236"/>
        <v>1_Post</v>
      </c>
      <c r="AC728" s="10" t="str">
        <f t="shared" si="237"/>
        <v>0_Pre</v>
      </c>
      <c r="AD728" s="10" t="str">
        <f t="shared" si="238"/>
        <v>2_post sample median</v>
      </c>
      <c r="AE728" s="10" t="str">
        <f t="shared" si="239"/>
        <v>3_post sample third tertile</v>
      </c>
      <c r="AF728" t="s">
        <v>81</v>
      </c>
      <c r="AG728" t="s">
        <v>74</v>
      </c>
      <c r="AH728" t="s">
        <v>78</v>
      </c>
      <c r="AI728" t="s">
        <v>122</v>
      </c>
      <c r="AJ728" t="s">
        <v>122</v>
      </c>
      <c r="AK728" t="str">
        <f>VLOOKUP(MID($AR728,1,255),country_lookup!$B:$F,2,FALSE)</f>
        <v>1_US</v>
      </c>
      <c r="AL728" t="str">
        <f>VLOOKUP(MID($AR728,1,255),country_lookup!$B:$F,3,FALSE)</f>
        <v>1_developed</v>
      </c>
      <c r="AM728" t="str">
        <f>VLOOKUP(MID($AR728,1,255),country_lookup!$B:$F,4,FALSE)</f>
        <v>1_western</v>
      </c>
      <c r="AN728" t="str">
        <f>VLOOKUP(MID($AR728,1,255),country_lookup!$B:$F,5,FALSE)</f>
        <v>1_common law</v>
      </c>
      <c r="AO728" s="10" t="str">
        <f>VLOOKUP(MID($AS728,1,255),source_lookup!$B:$K,4,FALSE)</f>
        <v>0_published</v>
      </c>
      <c r="AP728" s="10" t="str">
        <f>VLOOKUP(MID($AS728,1,255),source_lookup!$B:$K,6,FALSE)</f>
        <v>1_VHB high</v>
      </c>
      <c r="AQ728" s="10" t="str">
        <f>VLOOKUP(MID($AS728,1,255),source_lookup!$B:$K,10,FALSE)</f>
        <v>1_fin/acc/econ</v>
      </c>
      <c r="AR728" t="s">
        <v>85</v>
      </c>
      <c r="AS728" t="s">
        <v>159</v>
      </c>
    </row>
    <row r="729" spans="1:45" x14ac:dyDescent="0.3">
      <c r="A729" t="s">
        <v>35</v>
      </c>
      <c r="B729">
        <v>728</v>
      </c>
      <c r="C729" s="1">
        <v>-1.4776633595878191E-2</v>
      </c>
      <c r="D729" s="2">
        <v>120</v>
      </c>
      <c r="E729" s="4">
        <v>1084</v>
      </c>
      <c r="F729" s="4" t="s">
        <v>346</v>
      </c>
      <c r="G729" s="4" t="s">
        <v>346</v>
      </c>
      <c r="H729" t="s">
        <v>77</v>
      </c>
      <c r="I729" t="s">
        <v>352</v>
      </c>
      <c r="J729" s="3">
        <v>2010</v>
      </c>
      <c r="K729" s="3">
        <v>2018</v>
      </c>
      <c r="L729" s="6">
        <f t="shared" si="231"/>
        <v>2014</v>
      </c>
      <c r="M729" s="6">
        <f t="shared" si="232"/>
        <v>2014</v>
      </c>
      <c r="N729" s="7">
        <f t="shared" si="220"/>
        <v>0.33333333333333331</v>
      </c>
      <c r="O729" s="7">
        <f t="shared" si="221"/>
        <v>0.22222222222222221</v>
      </c>
      <c r="P729" s="7">
        <f t="shared" si="222"/>
        <v>0.1111111111111111</v>
      </c>
      <c r="Q729" s="7">
        <f t="shared" si="233"/>
        <v>0</v>
      </c>
      <c r="R729" s="10" t="str">
        <f t="shared" si="223"/>
        <v>0_Pre</v>
      </c>
      <c r="S729" s="10" t="str">
        <f t="shared" si="224"/>
        <v>0_Pre</v>
      </c>
      <c r="T729" s="10" t="str">
        <f t="shared" si="225"/>
        <v>0_Pre</v>
      </c>
      <c r="U729" s="10" t="str">
        <f t="shared" si="226"/>
        <v>1_Post</v>
      </c>
      <c r="V729" s="10" t="str">
        <f t="shared" si="234"/>
        <v>0_Pre</v>
      </c>
      <c r="W729" s="10" t="str">
        <f t="shared" si="227"/>
        <v>straddle</v>
      </c>
      <c r="X729" s="10" t="str">
        <f t="shared" si="228"/>
        <v>0_Pre</v>
      </c>
      <c r="Y729" s="10" t="str">
        <f t="shared" si="229"/>
        <v>0_Pre</v>
      </c>
      <c r="Z729" s="10" t="str">
        <f t="shared" si="230"/>
        <v>0_Pre</v>
      </c>
      <c r="AA729" s="10" t="str">
        <f t="shared" si="235"/>
        <v>1_Post</v>
      </c>
      <c r="AB729" s="10" t="str">
        <f t="shared" si="236"/>
        <v>1_Post</v>
      </c>
      <c r="AC729" s="10" t="str">
        <f t="shared" si="237"/>
        <v>0_Pre</v>
      </c>
      <c r="AD729" s="10" t="str">
        <f t="shared" si="238"/>
        <v>2_post sample median</v>
      </c>
      <c r="AE729" s="10" t="str">
        <f t="shared" si="239"/>
        <v>3_post sample third tertile</v>
      </c>
      <c r="AF729" t="s">
        <v>81</v>
      </c>
      <c r="AG729" t="s">
        <v>74</v>
      </c>
      <c r="AH729" t="s">
        <v>78</v>
      </c>
      <c r="AI729" t="s">
        <v>122</v>
      </c>
      <c r="AJ729" t="s">
        <v>122</v>
      </c>
      <c r="AK729" t="str">
        <f>VLOOKUP(MID($AR729,1,255),country_lookup!$B:$F,2,FALSE)</f>
        <v>1_US</v>
      </c>
      <c r="AL729" t="str">
        <f>VLOOKUP(MID($AR729,1,255),country_lookup!$B:$F,3,FALSE)</f>
        <v>1_developed</v>
      </c>
      <c r="AM729" t="str">
        <f>VLOOKUP(MID($AR729,1,255),country_lookup!$B:$F,4,FALSE)</f>
        <v>1_western</v>
      </c>
      <c r="AN729" t="str">
        <f>VLOOKUP(MID($AR729,1,255),country_lookup!$B:$F,5,FALSE)</f>
        <v>1_common law</v>
      </c>
      <c r="AO729" s="10" t="str">
        <f>VLOOKUP(MID($AS729,1,255),source_lookup!$B:$K,4,FALSE)</f>
        <v>0_published</v>
      </c>
      <c r="AP729" s="10" t="str">
        <f>VLOOKUP(MID($AS729,1,255),source_lookup!$B:$K,6,FALSE)</f>
        <v>1_VHB high</v>
      </c>
      <c r="AQ729" s="10" t="str">
        <f>VLOOKUP(MID($AS729,1,255),source_lookup!$B:$K,10,FALSE)</f>
        <v>1_fin/acc/econ</v>
      </c>
      <c r="AR729" t="s">
        <v>85</v>
      </c>
      <c r="AS729" t="s">
        <v>159</v>
      </c>
    </row>
    <row r="730" spans="1:45" x14ac:dyDescent="0.3">
      <c r="A730" t="s">
        <v>35</v>
      </c>
      <c r="B730">
        <v>729</v>
      </c>
      <c r="C730" s="1">
        <v>1.043515382822407E-2</v>
      </c>
      <c r="D730" s="2">
        <v>248</v>
      </c>
      <c r="E730" s="4">
        <v>2234</v>
      </c>
      <c r="F730" s="4" t="s">
        <v>346</v>
      </c>
      <c r="G730" s="4" t="s">
        <v>346</v>
      </c>
      <c r="H730" t="s">
        <v>77</v>
      </c>
      <c r="I730" t="s">
        <v>352</v>
      </c>
      <c r="J730" s="3">
        <v>2010</v>
      </c>
      <c r="K730" s="3">
        <v>2018</v>
      </c>
      <c r="L730" s="6">
        <f t="shared" si="231"/>
        <v>2014</v>
      </c>
      <c r="M730" s="6">
        <f t="shared" si="232"/>
        <v>2014</v>
      </c>
      <c r="N730" s="7">
        <f t="shared" si="220"/>
        <v>0.33333333333333331</v>
      </c>
      <c r="O730" s="7">
        <f t="shared" si="221"/>
        <v>0.22222222222222221</v>
      </c>
      <c r="P730" s="7">
        <f t="shared" si="222"/>
        <v>0.1111111111111111</v>
      </c>
      <c r="Q730" s="7">
        <f t="shared" si="233"/>
        <v>0</v>
      </c>
      <c r="R730" s="10" t="str">
        <f t="shared" si="223"/>
        <v>0_Pre</v>
      </c>
      <c r="S730" s="10" t="str">
        <f t="shared" si="224"/>
        <v>0_Pre</v>
      </c>
      <c r="T730" s="10" t="str">
        <f t="shared" si="225"/>
        <v>0_Pre</v>
      </c>
      <c r="U730" s="10" t="str">
        <f t="shared" si="226"/>
        <v>1_Post</v>
      </c>
      <c r="V730" s="10" t="str">
        <f t="shared" si="234"/>
        <v>0_Pre</v>
      </c>
      <c r="W730" s="10" t="str">
        <f t="shared" si="227"/>
        <v>straddle</v>
      </c>
      <c r="X730" s="10" t="str">
        <f t="shared" si="228"/>
        <v>0_Pre</v>
      </c>
      <c r="Y730" s="10" t="str">
        <f t="shared" si="229"/>
        <v>0_Pre</v>
      </c>
      <c r="Z730" s="10" t="str">
        <f t="shared" si="230"/>
        <v>0_Pre</v>
      </c>
      <c r="AA730" s="10" t="str">
        <f t="shared" si="235"/>
        <v>1_Post</v>
      </c>
      <c r="AB730" s="10" t="str">
        <f t="shared" si="236"/>
        <v>1_Post</v>
      </c>
      <c r="AC730" s="10" t="str">
        <f t="shared" si="237"/>
        <v>0_Pre</v>
      </c>
      <c r="AD730" s="10" t="str">
        <f t="shared" si="238"/>
        <v>2_post sample median</v>
      </c>
      <c r="AE730" s="10" t="str">
        <f t="shared" si="239"/>
        <v>3_post sample third tertile</v>
      </c>
      <c r="AF730" t="s">
        <v>81</v>
      </c>
      <c r="AG730" t="s">
        <v>74</v>
      </c>
      <c r="AH730" t="s">
        <v>78</v>
      </c>
      <c r="AI730" t="s">
        <v>122</v>
      </c>
      <c r="AJ730" t="s">
        <v>122</v>
      </c>
      <c r="AK730" t="str">
        <f>VLOOKUP(MID($AR730,1,255),country_lookup!$B:$F,2,FALSE)</f>
        <v>1_US</v>
      </c>
      <c r="AL730" t="str">
        <f>VLOOKUP(MID($AR730,1,255),country_lookup!$B:$F,3,FALSE)</f>
        <v>1_developed</v>
      </c>
      <c r="AM730" t="str">
        <f>VLOOKUP(MID($AR730,1,255),country_lookup!$B:$F,4,FALSE)</f>
        <v>1_western</v>
      </c>
      <c r="AN730" t="str">
        <f>VLOOKUP(MID($AR730,1,255),country_lookup!$B:$F,5,FALSE)</f>
        <v>1_common law</v>
      </c>
      <c r="AO730" s="10" t="str">
        <f>VLOOKUP(MID($AS730,1,255),source_lookup!$B:$K,4,FALSE)</f>
        <v>0_published</v>
      </c>
      <c r="AP730" s="10" t="str">
        <f>VLOOKUP(MID($AS730,1,255),source_lookup!$B:$K,6,FALSE)</f>
        <v>1_VHB high</v>
      </c>
      <c r="AQ730" s="10" t="str">
        <f>VLOOKUP(MID($AS730,1,255),source_lookup!$B:$K,10,FALSE)</f>
        <v>1_fin/acc/econ</v>
      </c>
      <c r="AR730" t="s">
        <v>85</v>
      </c>
      <c r="AS730" t="s">
        <v>159</v>
      </c>
    </row>
    <row r="731" spans="1:45" x14ac:dyDescent="0.3">
      <c r="A731" t="s">
        <v>35</v>
      </c>
      <c r="B731">
        <v>730</v>
      </c>
      <c r="C731" s="1">
        <v>-8.0169612436009799E-2</v>
      </c>
      <c r="D731" s="2">
        <v>115</v>
      </c>
      <c r="E731" s="4">
        <v>1035</v>
      </c>
      <c r="F731" s="4" t="s">
        <v>346</v>
      </c>
      <c r="G731" s="4" t="s">
        <v>346</v>
      </c>
      <c r="H731" t="s">
        <v>77</v>
      </c>
      <c r="I731" t="s">
        <v>352</v>
      </c>
      <c r="J731" s="3">
        <v>2010</v>
      </c>
      <c r="K731" s="3">
        <v>2018</v>
      </c>
      <c r="L731" s="6">
        <f t="shared" si="231"/>
        <v>2014</v>
      </c>
      <c r="M731" s="6">
        <f t="shared" si="232"/>
        <v>2014</v>
      </c>
      <c r="N731" s="7">
        <f t="shared" si="220"/>
        <v>0.33333333333333331</v>
      </c>
      <c r="O731" s="7">
        <f t="shared" si="221"/>
        <v>0.22222222222222221</v>
      </c>
      <c r="P731" s="7">
        <f t="shared" si="222"/>
        <v>0.1111111111111111</v>
      </c>
      <c r="Q731" s="7">
        <f t="shared" si="233"/>
        <v>0</v>
      </c>
      <c r="R731" s="10" t="str">
        <f t="shared" si="223"/>
        <v>0_Pre</v>
      </c>
      <c r="S731" s="10" t="str">
        <f t="shared" si="224"/>
        <v>0_Pre</v>
      </c>
      <c r="T731" s="10" t="str">
        <f t="shared" si="225"/>
        <v>0_Pre</v>
      </c>
      <c r="U731" s="10" t="str">
        <f t="shared" si="226"/>
        <v>1_Post</v>
      </c>
      <c r="V731" s="10" t="str">
        <f t="shared" si="234"/>
        <v>0_Pre</v>
      </c>
      <c r="W731" s="10" t="str">
        <f t="shared" si="227"/>
        <v>straddle</v>
      </c>
      <c r="X731" s="10" t="str">
        <f t="shared" si="228"/>
        <v>0_Pre</v>
      </c>
      <c r="Y731" s="10" t="str">
        <f t="shared" si="229"/>
        <v>0_Pre</v>
      </c>
      <c r="Z731" s="10" t="str">
        <f t="shared" si="230"/>
        <v>0_Pre</v>
      </c>
      <c r="AA731" s="10" t="str">
        <f t="shared" si="235"/>
        <v>1_Post</v>
      </c>
      <c r="AB731" s="10" t="str">
        <f t="shared" si="236"/>
        <v>1_Post</v>
      </c>
      <c r="AC731" s="10" t="str">
        <f t="shared" si="237"/>
        <v>0_Pre</v>
      </c>
      <c r="AD731" s="10" t="str">
        <f t="shared" si="238"/>
        <v>2_post sample median</v>
      </c>
      <c r="AE731" s="10" t="str">
        <f t="shared" si="239"/>
        <v>3_post sample third tertile</v>
      </c>
      <c r="AF731" t="s">
        <v>81</v>
      </c>
      <c r="AG731" t="s">
        <v>74</v>
      </c>
      <c r="AH731" t="s">
        <v>78</v>
      </c>
      <c r="AI731" t="s">
        <v>122</v>
      </c>
      <c r="AJ731" t="s">
        <v>122</v>
      </c>
      <c r="AK731" t="str">
        <f>VLOOKUP(MID($AR731,1,255),country_lookup!$B:$F,2,FALSE)</f>
        <v>1_US</v>
      </c>
      <c r="AL731" t="str">
        <f>VLOOKUP(MID($AR731,1,255),country_lookup!$B:$F,3,FALSE)</f>
        <v>1_developed</v>
      </c>
      <c r="AM731" t="str">
        <f>VLOOKUP(MID($AR731,1,255),country_lookup!$B:$F,4,FALSE)</f>
        <v>1_western</v>
      </c>
      <c r="AN731" t="str">
        <f>VLOOKUP(MID($AR731,1,255),country_lookup!$B:$F,5,FALSE)</f>
        <v>1_common law</v>
      </c>
      <c r="AO731" s="10" t="str">
        <f>VLOOKUP(MID($AS731,1,255),source_lookup!$B:$K,4,FALSE)</f>
        <v>0_published</v>
      </c>
      <c r="AP731" s="10" t="str">
        <f>VLOOKUP(MID($AS731,1,255),source_lookup!$B:$K,6,FALSE)</f>
        <v>1_VHB high</v>
      </c>
      <c r="AQ731" s="10" t="str">
        <f>VLOOKUP(MID($AS731,1,255),source_lookup!$B:$K,10,FALSE)</f>
        <v>1_fin/acc/econ</v>
      </c>
      <c r="AR731" t="s">
        <v>85</v>
      </c>
      <c r="AS731" t="s">
        <v>159</v>
      </c>
    </row>
    <row r="732" spans="1:45" x14ac:dyDescent="0.3">
      <c r="A732" t="s">
        <v>35</v>
      </c>
      <c r="B732">
        <v>731</v>
      </c>
      <c r="C732" s="1">
        <v>5.1143950926123343E-3</v>
      </c>
      <c r="D732" s="2">
        <v>382</v>
      </c>
      <c r="E732" s="4">
        <v>3441</v>
      </c>
      <c r="F732" s="4" t="s">
        <v>346</v>
      </c>
      <c r="G732" s="4" t="s">
        <v>346</v>
      </c>
      <c r="H732" t="s">
        <v>77</v>
      </c>
      <c r="I732" t="s">
        <v>352</v>
      </c>
      <c r="J732" s="3">
        <v>2010</v>
      </c>
      <c r="K732" s="3">
        <v>2018</v>
      </c>
      <c r="L732" s="6">
        <f t="shared" si="231"/>
        <v>2014</v>
      </c>
      <c r="M732" s="6">
        <f t="shared" si="232"/>
        <v>2014</v>
      </c>
      <c r="N732" s="7">
        <f t="shared" si="220"/>
        <v>0.33333333333333331</v>
      </c>
      <c r="O732" s="7">
        <f t="shared" si="221"/>
        <v>0.22222222222222221</v>
      </c>
      <c r="P732" s="7">
        <f t="shared" si="222"/>
        <v>0.1111111111111111</v>
      </c>
      <c r="Q732" s="7">
        <f t="shared" si="233"/>
        <v>0</v>
      </c>
      <c r="R732" s="10" t="str">
        <f t="shared" si="223"/>
        <v>0_Pre</v>
      </c>
      <c r="S732" s="10" t="str">
        <f t="shared" si="224"/>
        <v>0_Pre</v>
      </c>
      <c r="T732" s="10" t="str">
        <f t="shared" si="225"/>
        <v>0_Pre</v>
      </c>
      <c r="U732" s="10" t="str">
        <f t="shared" si="226"/>
        <v>1_Post</v>
      </c>
      <c r="V732" s="10" t="str">
        <f t="shared" si="234"/>
        <v>0_Pre</v>
      </c>
      <c r="W732" s="10" t="str">
        <f t="shared" si="227"/>
        <v>straddle</v>
      </c>
      <c r="X732" s="10" t="str">
        <f t="shared" si="228"/>
        <v>0_Pre</v>
      </c>
      <c r="Y732" s="10" t="str">
        <f t="shared" si="229"/>
        <v>0_Pre</v>
      </c>
      <c r="Z732" s="10" t="str">
        <f t="shared" si="230"/>
        <v>0_Pre</v>
      </c>
      <c r="AA732" s="10" t="str">
        <f t="shared" si="235"/>
        <v>1_Post</v>
      </c>
      <c r="AB732" s="10" t="str">
        <f t="shared" si="236"/>
        <v>1_Post</v>
      </c>
      <c r="AC732" s="10" t="str">
        <f t="shared" si="237"/>
        <v>0_Pre</v>
      </c>
      <c r="AD732" s="10" t="str">
        <f t="shared" si="238"/>
        <v>2_post sample median</v>
      </c>
      <c r="AE732" s="10" t="str">
        <f t="shared" si="239"/>
        <v>3_post sample third tertile</v>
      </c>
      <c r="AF732" t="s">
        <v>81</v>
      </c>
      <c r="AG732" t="s">
        <v>74</v>
      </c>
      <c r="AH732" t="s">
        <v>78</v>
      </c>
      <c r="AI732" t="s">
        <v>122</v>
      </c>
      <c r="AJ732" t="s">
        <v>122</v>
      </c>
      <c r="AK732" t="str">
        <f>VLOOKUP(MID($AR732,1,255),country_lookup!$B:$F,2,FALSE)</f>
        <v>1_US</v>
      </c>
      <c r="AL732" t="str">
        <f>VLOOKUP(MID($AR732,1,255),country_lookup!$B:$F,3,FALSE)</f>
        <v>1_developed</v>
      </c>
      <c r="AM732" t="str">
        <f>VLOOKUP(MID($AR732,1,255),country_lookup!$B:$F,4,FALSE)</f>
        <v>1_western</v>
      </c>
      <c r="AN732" t="str">
        <f>VLOOKUP(MID($AR732,1,255),country_lookup!$B:$F,5,FALSE)</f>
        <v>1_common law</v>
      </c>
      <c r="AO732" s="10" t="str">
        <f>VLOOKUP(MID($AS732,1,255),source_lookup!$B:$K,4,FALSE)</f>
        <v>0_published</v>
      </c>
      <c r="AP732" s="10" t="str">
        <f>VLOOKUP(MID($AS732,1,255),source_lookup!$B:$K,6,FALSE)</f>
        <v>1_VHB high</v>
      </c>
      <c r="AQ732" s="10" t="str">
        <f>VLOOKUP(MID($AS732,1,255),source_lookup!$B:$K,10,FALSE)</f>
        <v>1_fin/acc/econ</v>
      </c>
      <c r="AR732" t="s">
        <v>85</v>
      </c>
      <c r="AS732" t="s">
        <v>159</v>
      </c>
    </row>
    <row r="733" spans="1:45" x14ac:dyDescent="0.3">
      <c r="A733" t="s">
        <v>35</v>
      </c>
      <c r="B733">
        <v>732</v>
      </c>
      <c r="C733" s="1">
        <v>-3.9341710787871116E-3</v>
      </c>
      <c r="D733" s="2">
        <v>382</v>
      </c>
      <c r="E733" s="4">
        <v>3441</v>
      </c>
      <c r="F733" s="4" t="s">
        <v>346</v>
      </c>
      <c r="G733" s="4" t="s">
        <v>346</v>
      </c>
      <c r="H733" t="s">
        <v>77</v>
      </c>
      <c r="I733" t="s">
        <v>352</v>
      </c>
      <c r="J733" s="3">
        <v>2010</v>
      </c>
      <c r="K733" s="3">
        <v>2018</v>
      </c>
      <c r="L733" s="6">
        <f t="shared" si="231"/>
        <v>2014</v>
      </c>
      <c r="M733" s="6">
        <f t="shared" si="232"/>
        <v>2014</v>
      </c>
      <c r="N733" s="7">
        <f t="shared" si="220"/>
        <v>0.33333333333333331</v>
      </c>
      <c r="O733" s="7">
        <f t="shared" si="221"/>
        <v>0.22222222222222221</v>
      </c>
      <c r="P733" s="7">
        <f t="shared" si="222"/>
        <v>0.1111111111111111</v>
      </c>
      <c r="Q733" s="7">
        <f t="shared" si="233"/>
        <v>0</v>
      </c>
      <c r="R733" s="10" t="str">
        <f t="shared" si="223"/>
        <v>0_Pre</v>
      </c>
      <c r="S733" s="10" t="str">
        <f t="shared" si="224"/>
        <v>0_Pre</v>
      </c>
      <c r="T733" s="10" t="str">
        <f t="shared" si="225"/>
        <v>0_Pre</v>
      </c>
      <c r="U733" s="10" t="str">
        <f t="shared" si="226"/>
        <v>1_Post</v>
      </c>
      <c r="V733" s="10" t="str">
        <f t="shared" si="234"/>
        <v>0_Pre</v>
      </c>
      <c r="W733" s="10" t="str">
        <f t="shared" si="227"/>
        <v>straddle</v>
      </c>
      <c r="X733" s="10" t="str">
        <f t="shared" si="228"/>
        <v>0_Pre</v>
      </c>
      <c r="Y733" s="10" t="str">
        <f t="shared" si="229"/>
        <v>0_Pre</v>
      </c>
      <c r="Z733" s="10" t="str">
        <f t="shared" si="230"/>
        <v>0_Pre</v>
      </c>
      <c r="AA733" s="10" t="str">
        <f t="shared" si="235"/>
        <v>1_Post</v>
      </c>
      <c r="AB733" s="10" t="str">
        <f t="shared" si="236"/>
        <v>1_Post</v>
      </c>
      <c r="AC733" s="10" t="str">
        <f t="shared" si="237"/>
        <v>0_Pre</v>
      </c>
      <c r="AD733" s="10" t="str">
        <f t="shared" si="238"/>
        <v>2_post sample median</v>
      </c>
      <c r="AE733" s="10" t="str">
        <f t="shared" si="239"/>
        <v>3_post sample third tertile</v>
      </c>
      <c r="AF733" t="s">
        <v>81</v>
      </c>
      <c r="AG733" t="s">
        <v>74</v>
      </c>
      <c r="AH733" t="s">
        <v>78</v>
      </c>
      <c r="AI733" t="s">
        <v>122</v>
      </c>
      <c r="AJ733" t="s">
        <v>122</v>
      </c>
      <c r="AK733" t="str">
        <f>VLOOKUP(MID($AR733,1,255),country_lookup!$B:$F,2,FALSE)</f>
        <v>1_US</v>
      </c>
      <c r="AL733" t="str">
        <f>VLOOKUP(MID($AR733,1,255),country_lookup!$B:$F,3,FALSE)</f>
        <v>1_developed</v>
      </c>
      <c r="AM733" t="str">
        <f>VLOOKUP(MID($AR733,1,255),country_lookup!$B:$F,4,FALSE)</f>
        <v>1_western</v>
      </c>
      <c r="AN733" t="str">
        <f>VLOOKUP(MID($AR733,1,255),country_lookup!$B:$F,5,FALSE)</f>
        <v>1_common law</v>
      </c>
      <c r="AO733" s="10" t="str">
        <f>VLOOKUP(MID($AS733,1,255),source_lookup!$B:$K,4,FALSE)</f>
        <v>0_published</v>
      </c>
      <c r="AP733" s="10" t="str">
        <f>VLOOKUP(MID($AS733,1,255),source_lookup!$B:$K,6,FALSE)</f>
        <v>1_VHB high</v>
      </c>
      <c r="AQ733" s="10" t="str">
        <f>VLOOKUP(MID($AS733,1,255),source_lookup!$B:$K,10,FALSE)</f>
        <v>1_fin/acc/econ</v>
      </c>
      <c r="AR733" t="s">
        <v>85</v>
      </c>
      <c r="AS733" t="s">
        <v>159</v>
      </c>
    </row>
    <row r="734" spans="1:45" x14ac:dyDescent="0.3">
      <c r="A734" t="s">
        <v>35</v>
      </c>
      <c r="B734">
        <v>733</v>
      </c>
      <c r="C734" s="1">
        <v>6.8657615748328469E-3</v>
      </c>
      <c r="D734" s="2">
        <v>262</v>
      </c>
      <c r="E734" s="4">
        <v>2357</v>
      </c>
      <c r="F734" s="4" t="s">
        <v>346</v>
      </c>
      <c r="G734" s="4" t="s">
        <v>346</v>
      </c>
      <c r="H734" t="s">
        <v>77</v>
      </c>
      <c r="I734" t="s">
        <v>352</v>
      </c>
      <c r="J734" s="3">
        <v>2010</v>
      </c>
      <c r="K734" s="3">
        <v>2018</v>
      </c>
      <c r="L734" s="6">
        <f t="shared" si="231"/>
        <v>2014</v>
      </c>
      <c r="M734" s="6">
        <f t="shared" si="232"/>
        <v>2014</v>
      </c>
      <c r="N734" s="7">
        <f t="shared" si="220"/>
        <v>0.33333333333333331</v>
      </c>
      <c r="O734" s="7">
        <f t="shared" si="221"/>
        <v>0.22222222222222221</v>
      </c>
      <c r="P734" s="7">
        <f t="shared" si="222"/>
        <v>0.1111111111111111</v>
      </c>
      <c r="Q734" s="7">
        <f t="shared" si="233"/>
        <v>0</v>
      </c>
      <c r="R734" s="10" t="str">
        <f t="shared" si="223"/>
        <v>0_Pre</v>
      </c>
      <c r="S734" s="10" t="str">
        <f t="shared" si="224"/>
        <v>0_Pre</v>
      </c>
      <c r="T734" s="10" t="str">
        <f t="shared" si="225"/>
        <v>0_Pre</v>
      </c>
      <c r="U734" s="10" t="str">
        <f t="shared" si="226"/>
        <v>1_Post</v>
      </c>
      <c r="V734" s="10" t="str">
        <f t="shared" si="234"/>
        <v>0_Pre</v>
      </c>
      <c r="W734" s="10" t="str">
        <f t="shared" si="227"/>
        <v>straddle</v>
      </c>
      <c r="X734" s="10" t="str">
        <f t="shared" si="228"/>
        <v>0_Pre</v>
      </c>
      <c r="Y734" s="10" t="str">
        <f t="shared" si="229"/>
        <v>0_Pre</v>
      </c>
      <c r="Z734" s="10" t="str">
        <f t="shared" si="230"/>
        <v>0_Pre</v>
      </c>
      <c r="AA734" s="10" t="str">
        <f t="shared" si="235"/>
        <v>1_Post</v>
      </c>
      <c r="AB734" s="10" t="str">
        <f t="shared" si="236"/>
        <v>1_Post</v>
      </c>
      <c r="AC734" s="10" t="str">
        <f t="shared" si="237"/>
        <v>0_Pre</v>
      </c>
      <c r="AD734" s="10" t="str">
        <f t="shared" si="238"/>
        <v>2_post sample median</v>
      </c>
      <c r="AE734" s="10" t="str">
        <f t="shared" si="239"/>
        <v>3_post sample third tertile</v>
      </c>
      <c r="AF734" t="s">
        <v>81</v>
      </c>
      <c r="AG734" t="s">
        <v>74</v>
      </c>
      <c r="AH734" t="s">
        <v>78</v>
      </c>
      <c r="AI734" t="s">
        <v>122</v>
      </c>
      <c r="AJ734" t="s">
        <v>122</v>
      </c>
      <c r="AK734" t="str">
        <f>VLOOKUP(MID($AR734,1,255),country_lookup!$B:$F,2,FALSE)</f>
        <v>1_US</v>
      </c>
      <c r="AL734" t="str">
        <f>VLOOKUP(MID($AR734,1,255),country_lookup!$B:$F,3,FALSE)</f>
        <v>1_developed</v>
      </c>
      <c r="AM734" t="str">
        <f>VLOOKUP(MID($AR734,1,255),country_lookup!$B:$F,4,FALSE)</f>
        <v>1_western</v>
      </c>
      <c r="AN734" t="str">
        <f>VLOOKUP(MID($AR734,1,255),country_lookup!$B:$F,5,FALSE)</f>
        <v>1_common law</v>
      </c>
      <c r="AO734" s="10" t="str">
        <f>VLOOKUP(MID($AS734,1,255),source_lookup!$B:$K,4,FALSE)</f>
        <v>0_published</v>
      </c>
      <c r="AP734" s="10" t="str">
        <f>VLOOKUP(MID($AS734,1,255),source_lookup!$B:$K,6,FALSE)</f>
        <v>1_VHB high</v>
      </c>
      <c r="AQ734" s="10" t="str">
        <f>VLOOKUP(MID($AS734,1,255),source_lookup!$B:$K,10,FALSE)</f>
        <v>1_fin/acc/econ</v>
      </c>
      <c r="AR734" t="s">
        <v>85</v>
      </c>
      <c r="AS734" t="s">
        <v>159</v>
      </c>
    </row>
    <row r="735" spans="1:45" x14ac:dyDescent="0.3">
      <c r="A735" t="s">
        <v>35</v>
      </c>
      <c r="B735">
        <v>734</v>
      </c>
      <c r="C735" s="1">
        <v>3.2350982266263963E-2</v>
      </c>
      <c r="D735" s="2">
        <v>262</v>
      </c>
      <c r="E735" s="4">
        <v>2357</v>
      </c>
      <c r="F735" s="4" t="s">
        <v>346</v>
      </c>
      <c r="G735" s="4" t="s">
        <v>346</v>
      </c>
      <c r="H735" t="s">
        <v>77</v>
      </c>
      <c r="I735" t="s">
        <v>352</v>
      </c>
      <c r="J735" s="3">
        <v>2010</v>
      </c>
      <c r="K735" s="3">
        <v>2018</v>
      </c>
      <c r="L735" s="6">
        <f t="shared" si="231"/>
        <v>2014</v>
      </c>
      <c r="M735" s="6">
        <f t="shared" si="232"/>
        <v>2014</v>
      </c>
      <c r="N735" s="7">
        <f t="shared" si="220"/>
        <v>0.33333333333333331</v>
      </c>
      <c r="O735" s="7">
        <f t="shared" si="221"/>
        <v>0.22222222222222221</v>
      </c>
      <c r="P735" s="7">
        <f t="shared" si="222"/>
        <v>0.1111111111111111</v>
      </c>
      <c r="Q735" s="7">
        <f t="shared" si="233"/>
        <v>0</v>
      </c>
      <c r="R735" s="10" t="str">
        <f t="shared" si="223"/>
        <v>0_Pre</v>
      </c>
      <c r="S735" s="10" t="str">
        <f t="shared" si="224"/>
        <v>0_Pre</v>
      </c>
      <c r="T735" s="10" t="str">
        <f t="shared" si="225"/>
        <v>0_Pre</v>
      </c>
      <c r="U735" s="10" t="str">
        <f t="shared" si="226"/>
        <v>1_Post</v>
      </c>
      <c r="V735" s="10" t="str">
        <f t="shared" si="234"/>
        <v>0_Pre</v>
      </c>
      <c r="W735" s="10" t="str">
        <f t="shared" si="227"/>
        <v>straddle</v>
      </c>
      <c r="X735" s="10" t="str">
        <f t="shared" si="228"/>
        <v>0_Pre</v>
      </c>
      <c r="Y735" s="10" t="str">
        <f t="shared" si="229"/>
        <v>0_Pre</v>
      </c>
      <c r="Z735" s="10" t="str">
        <f t="shared" si="230"/>
        <v>0_Pre</v>
      </c>
      <c r="AA735" s="10" t="str">
        <f t="shared" si="235"/>
        <v>1_Post</v>
      </c>
      <c r="AB735" s="10" t="str">
        <f t="shared" si="236"/>
        <v>1_Post</v>
      </c>
      <c r="AC735" s="10" t="str">
        <f t="shared" si="237"/>
        <v>0_Pre</v>
      </c>
      <c r="AD735" s="10" t="str">
        <f t="shared" si="238"/>
        <v>2_post sample median</v>
      </c>
      <c r="AE735" s="10" t="str">
        <f t="shared" si="239"/>
        <v>3_post sample third tertile</v>
      </c>
      <c r="AF735" t="s">
        <v>81</v>
      </c>
      <c r="AG735" t="s">
        <v>74</v>
      </c>
      <c r="AH735" t="s">
        <v>78</v>
      </c>
      <c r="AI735" t="s">
        <v>122</v>
      </c>
      <c r="AJ735" t="s">
        <v>122</v>
      </c>
      <c r="AK735" t="str">
        <f>VLOOKUP(MID($AR735,1,255),country_lookup!$B:$F,2,FALSE)</f>
        <v>1_US</v>
      </c>
      <c r="AL735" t="str">
        <f>VLOOKUP(MID($AR735,1,255),country_lookup!$B:$F,3,FALSE)</f>
        <v>1_developed</v>
      </c>
      <c r="AM735" t="str">
        <f>VLOOKUP(MID($AR735,1,255),country_lookup!$B:$F,4,FALSE)</f>
        <v>1_western</v>
      </c>
      <c r="AN735" t="str">
        <f>VLOOKUP(MID($AR735,1,255),country_lookup!$B:$F,5,FALSE)</f>
        <v>1_common law</v>
      </c>
      <c r="AO735" s="10" t="str">
        <f>VLOOKUP(MID($AS735,1,255),source_lookup!$B:$K,4,FALSE)</f>
        <v>0_published</v>
      </c>
      <c r="AP735" s="10" t="str">
        <f>VLOOKUP(MID($AS735,1,255),source_lookup!$B:$K,6,FALSE)</f>
        <v>1_VHB high</v>
      </c>
      <c r="AQ735" s="10" t="str">
        <f>VLOOKUP(MID($AS735,1,255),source_lookup!$B:$K,10,FALSE)</f>
        <v>1_fin/acc/econ</v>
      </c>
      <c r="AR735" t="s">
        <v>85</v>
      </c>
      <c r="AS735" t="s">
        <v>159</v>
      </c>
    </row>
    <row r="736" spans="1:45" x14ac:dyDescent="0.3">
      <c r="A736" t="s">
        <v>35</v>
      </c>
      <c r="B736">
        <v>735</v>
      </c>
      <c r="C736" s="1">
        <v>1.2426202847168577E-2</v>
      </c>
      <c r="D736" s="2">
        <v>120</v>
      </c>
      <c r="E736" s="4">
        <v>1084</v>
      </c>
      <c r="F736" s="4" t="s">
        <v>346</v>
      </c>
      <c r="G736" s="4" t="s">
        <v>346</v>
      </c>
      <c r="H736" t="s">
        <v>77</v>
      </c>
      <c r="I736" t="s">
        <v>352</v>
      </c>
      <c r="J736" s="3">
        <v>2010</v>
      </c>
      <c r="K736" s="3">
        <v>2018</v>
      </c>
      <c r="L736" s="6">
        <f t="shared" si="231"/>
        <v>2014</v>
      </c>
      <c r="M736" s="6">
        <f t="shared" si="232"/>
        <v>2014</v>
      </c>
      <c r="N736" s="7">
        <f t="shared" si="220"/>
        <v>0.33333333333333331</v>
      </c>
      <c r="O736" s="7">
        <f t="shared" si="221"/>
        <v>0.22222222222222221</v>
      </c>
      <c r="P736" s="7">
        <f t="shared" si="222"/>
        <v>0.1111111111111111</v>
      </c>
      <c r="Q736" s="7">
        <f t="shared" si="233"/>
        <v>0</v>
      </c>
      <c r="R736" s="10" t="str">
        <f t="shared" si="223"/>
        <v>0_Pre</v>
      </c>
      <c r="S736" s="10" t="str">
        <f t="shared" si="224"/>
        <v>0_Pre</v>
      </c>
      <c r="T736" s="10" t="str">
        <f t="shared" si="225"/>
        <v>0_Pre</v>
      </c>
      <c r="U736" s="10" t="str">
        <f t="shared" si="226"/>
        <v>1_Post</v>
      </c>
      <c r="V736" s="10" t="str">
        <f t="shared" si="234"/>
        <v>0_Pre</v>
      </c>
      <c r="W736" s="10" t="str">
        <f t="shared" si="227"/>
        <v>straddle</v>
      </c>
      <c r="X736" s="10" t="str">
        <f t="shared" si="228"/>
        <v>0_Pre</v>
      </c>
      <c r="Y736" s="10" t="str">
        <f t="shared" si="229"/>
        <v>0_Pre</v>
      </c>
      <c r="Z736" s="10" t="str">
        <f t="shared" si="230"/>
        <v>0_Pre</v>
      </c>
      <c r="AA736" s="10" t="str">
        <f t="shared" si="235"/>
        <v>1_Post</v>
      </c>
      <c r="AB736" s="10" t="str">
        <f t="shared" si="236"/>
        <v>1_Post</v>
      </c>
      <c r="AC736" s="10" t="str">
        <f t="shared" si="237"/>
        <v>0_Pre</v>
      </c>
      <c r="AD736" s="10" t="str">
        <f t="shared" si="238"/>
        <v>2_post sample median</v>
      </c>
      <c r="AE736" s="10" t="str">
        <f t="shared" si="239"/>
        <v>3_post sample third tertile</v>
      </c>
      <c r="AF736" t="s">
        <v>81</v>
      </c>
      <c r="AG736" t="s">
        <v>74</v>
      </c>
      <c r="AH736" t="s">
        <v>78</v>
      </c>
      <c r="AI736" t="s">
        <v>122</v>
      </c>
      <c r="AJ736" t="s">
        <v>122</v>
      </c>
      <c r="AK736" t="str">
        <f>VLOOKUP(MID($AR736,1,255),country_lookup!$B:$F,2,FALSE)</f>
        <v>1_US</v>
      </c>
      <c r="AL736" t="str">
        <f>VLOOKUP(MID($AR736,1,255),country_lookup!$B:$F,3,FALSE)</f>
        <v>1_developed</v>
      </c>
      <c r="AM736" t="str">
        <f>VLOOKUP(MID($AR736,1,255),country_lookup!$B:$F,4,FALSE)</f>
        <v>1_western</v>
      </c>
      <c r="AN736" t="str">
        <f>VLOOKUP(MID($AR736,1,255),country_lookup!$B:$F,5,FALSE)</f>
        <v>1_common law</v>
      </c>
      <c r="AO736" s="10" t="str">
        <f>VLOOKUP(MID($AS736,1,255),source_lookup!$B:$K,4,FALSE)</f>
        <v>0_published</v>
      </c>
      <c r="AP736" s="10" t="str">
        <f>VLOOKUP(MID($AS736,1,255),source_lookup!$B:$K,6,FALSE)</f>
        <v>1_VHB high</v>
      </c>
      <c r="AQ736" s="10" t="str">
        <f>VLOOKUP(MID($AS736,1,255),source_lookup!$B:$K,10,FALSE)</f>
        <v>1_fin/acc/econ</v>
      </c>
      <c r="AR736" t="s">
        <v>85</v>
      </c>
      <c r="AS736" t="s">
        <v>159</v>
      </c>
    </row>
    <row r="737" spans="1:45" x14ac:dyDescent="0.3">
      <c r="A737" t="s">
        <v>35</v>
      </c>
      <c r="B737">
        <v>736</v>
      </c>
      <c r="C737" s="1">
        <v>-4.6720643552748443E-2</v>
      </c>
      <c r="D737" s="2">
        <v>120</v>
      </c>
      <c r="E737" s="4">
        <v>1084</v>
      </c>
      <c r="F737" s="4" t="s">
        <v>346</v>
      </c>
      <c r="G737" s="4" t="s">
        <v>346</v>
      </c>
      <c r="H737" t="s">
        <v>77</v>
      </c>
      <c r="I737" t="s">
        <v>352</v>
      </c>
      <c r="J737" s="3">
        <v>2010</v>
      </c>
      <c r="K737" s="3">
        <v>2018</v>
      </c>
      <c r="L737" s="6">
        <f t="shared" si="231"/>
        <v>2014</v>
      </c>
      <c r="M737" s="6">
        <f t="shared" si="232"/>
        <v>2014</v>
      </c>
      <c r="N737" s="7">
        <f t="shared" si="220"/>
        <v>0.33333333333333331</v>
      </c>
      <c r="O737" s="7">
        <f t="shared" si="221"/>
        <v>0.22222222222222221</v>
      </c>
      <c r="P737" s="7">
        <f t="shared" si="222"/>
        <v>0.1111111111111111</v>
      </c>
      <c r="Q737" s="7">
        <f t="shared" si="233"/>
        <v>0</v>
      </c>
      <c r="R737" s="10" t="str">
        <f t="shared" si="223"/>
        <v>0_Pre</v>
      </c>
      <c r="S737" s="10" t="str">
        <f t="shared" si="224"/>
        <v>0_Pre</v>
      </c>
      <c r="T737" s="10" t="str">
        <f t="shared" si="225"/>
        <v>0_Pre</v>
      </c>
      <c r="U737" s="10" t="str">
        <f t="shared" si="226"/>
        <v>1_Post</v>
      </c>
      <c r="V737" s="10" t="str">
        <f t="shared" si="234"/>
        <v>0_Pre</v>
      </c>
      <c r="W737" s="10" t="str">
        <f t="shared" si="227"/>
        <v>straddle</v>
      </c>
      <c r="X737" s="10" t="str">
        <f t="shared" si="228"/>
        <v>0_Pre</v>
      </c>
      <c r="Y737" s="10" t="str">
        <f t="shared" si="229"/>
        <v>0_Pre</v>
      </c>
      <c r="Z737" s="10" t="str">
        <f t="shared" si="230"/>
        <v>0_Pre</v>
      </c>
      <c r="AA737" s="10" t="str">
        <f t="shared" si="235"/>
        <v>1_Post</v>
      </c>
      <c r="AB737" s="10" t="str">
        <f t="shared" si="236"/>
        <v>1_Post</v>
      </c>
      <c r="AC737" s="10" t="str">
        <f t="shared" si="237"/>
        <v>0_Pre</v>
      </c>
      <c r="AD737" s="10" t="str">
        <f t="shared" si="238"/>
        <v>2_post sample median</v>
      </c>
      <c r="AE737" s="10" t="str">
        <f t="shared" si="239"/>
        <v>3_post sample third tertile</v>
      </c>
      <c r="AF737" t="s">
        <v>81</v>
      </c>
      <c r="AG737" t="s">
        <v>74</v>
      </c>
      <c r="AH737" t="s">
        <v>78</v>
      </c>
      <c r="AI737" t="s">
        <v>122</v>
      </c>
      <c r="AJ737" t="s">
        <v>122</v>
      </c>
      <c r="AK737" t="str">
        <f>VLOOKUP(MID($AR737,1,255),country_lookup!$B:$F,2,FALSE)</f>
        <v>1_US</v>
      </c>
      <c r="AL737" t="str">
        <f>VLOOKUP(MID($AR737,1,255),country_lookup!$B:$F,3,FALSE)</f>
        <v>1_developed</v>
      </c>
      <c r="AM737" t="str">
        <f>VLOOKUP(MID($AR737,1,255),country_lookup!$B:$F,4,FALSE)</f>
        <v>1_western</v>
      </c>
      <c r="AN737" t="str">
        <f>VLOOKUP(MID($AR737,1,255),country_lookup!$B:$F,5,FALSE)</f>
        <v>1_common law</v>
      </c>
      <c r="AO737" s="10" t="str">
        <f>VLOOKUP(MID($AS737,1,255),source_lookup!$B:$K,4,FALSE)</f>
        <v>0_published</v>
      </c>
      <c r="AP737" s="10" t="str">
        <f>VLOOKUP(MID($AS737,1,255),source_lookup!$B:$K,6,FALSE)</f>
        <v>1_VHB high</v>
      </c>
      <c r="AQ737" s="10" t="str">
        <f>VLOOKUP(MID($AS737,1,255),source_lookup!$B:$K,10,FALSE)</f>
        <v>1_fin/acc/econ</v>
      </c>
      <c r="AR737" t="s">
        <v>85</v>
      </c>
      <c r="AS737" t="s">
        <v>159</v>
      </c>
    </row>
    <row r="738" spans="1:45" x14ac:dyDescent="0.3">
      <c r="A738" t="s">
        <v>35</v>
      </c>
      <c r="B738">
        <v>737</v>
      </c>
      <c r="C738" s="1">
        <v>8.7864580316290696E-3</v>
      </c>
      <c r="D738" s="2">
        <v>363</v>
      </c>
      <c r="E738" s="4">
        <v>3269</v>
      </c>
      <c r="F738" s="4" t="s">
        <v>346</v>
      </c>
      <c r="G738" s="4" t="s">
        <v>346</v>
      </c>
      <c r="H738" t="s">
        <v>77</v>
      </c>
      <c r="I738" t="s">
        <v>352</v>
      </c>
      <c r="J738" s="3">
        <v>2010</v>
      </c>
      <c r="K738" s="3">
        <v>2018</v>
      </c>
      <c r="L738" s="6">
        <f t="shared" si="231"/>
        <v>2014</v>
      </c>
      <c r="M738" s="6">
        <f t="shared" si="232"/>
        <v>2014</v>
      </c>
      <c r="N738" s="7">
        <f t="shared" si="220"/>
        <v>0.33333333333333331</v>
      </c>
      <c r="O738" s="7">
        <f t="shared" si="221"/>
        <v>0.22222222222222221</v>
      </c>
      <c r="P738" s="7">
        <f t="shared" si="222"/>
        <v>0.1111111111111111</v>
      </c>
      <c r="Q738" s="7">
        <f t="shared" si="233"/>
        <v>0</v>
      </c>
      <c r="R738" s="10" t="str">
        <f t="shared" si="223"/>
        <v>0_Pre</v>
      </c>
      <c r="S738" s="10" t="str">
        <f t="shared" si="224"/>
        <v>0_Pre</v>
      </c>
      <c r="T738" s="10" t="str">
        <f t="shared" si="225"/>
        <v>0_Pre</v>
      </c>
      <c r="U738" s="10" t="str">
        <f t="shared" si="226"/>
        <v>1_Post</v>
      </c>
      <c r="V738" s="10" t="str">
        <f t="shared" si="234"/>
        <v>0_Pre</v>
      </c>
      <c r="W738" s="10" t="str">
        <f t="shared" si="227"/>
        <v>straddle</v>
      </c>
      <c r="X738" s="10" t="str">
        <f t="shared" si="228"/>
        <v>0_Pre</v>
      </c>
      <c r="Y738" s="10" t="str">
        <f t="shared" si="229"/>
        <v>0_Pre</v>
      </c>
      <c r="Z738" s="10" t="str">
        <f t="shared" si="230"/>
        <v>0_Pre</v>
      </c>
      <c r="AA738" s="10" t="str">
        <f t="shared" si="235"/>
        <v>1_Post</v>
      </c>
      <c r="AB738" s="10" t="str">
        <f t="shared" si="236"/>
        <v>1_Post</v>
      </c>
      <c r="AC738" s="10" t="str">
        <f t="shared" si="237"/>
        <v>0_Pre</v>
      </c>
      <c r="AD738" s="10" t="str">
        <f t="shared" si="238"/>
        <v>2_post sample median</v>
      </c>
      <c r="AE738" s="10" t="str">
        <f t="shared" si="239"/>
        <v>3_post sample third tertile</v>
      </c>
      <c r="AF738" t="s">
        <v>81</v>
      </c>
      <c r="AG738" t="s">
        <v>74</v>
      </c>
      <c r="AH738" t="s">
        <v>78</v>
      </c>
      <c r="AI738" t="s">
        <v>122</v>
      </c>
      <c r="AJ738" t="s">
        <v>122</v>
      </c>
      <c r="AK738" t="str">
        <f>VLOOKUP(MID($AR738,1,255),country_lookup!$B:$F,2,FALSE)</f>
        <v>1_US</v>
      </c>
      <c r="AL738" t="str">
        <f>VLOOKUP(MID($AR738,1,255),country_lookup!$B:$F,3,FALSE)</f>
        <v>1_developed</v>
      </c>
      <c r="AM738" t="str">
        <f>VLOOKUP(MID($AR738,1,255),country_lookup!$B:$F,4,FALSE)</f>
        <v>1_western</v>
      </c>
      <c r="AN738" t="str">
        <f>VLOOKUP(MID($AR738,1,255),country_lookup!$B:$F,5,FALSE)</f>
        <v>1_common law</v>
      </c>
      <c r="AO738" s="10" t="str">
        <f>VLOOKUP(MID($AS738,1,255),source_lookup!$B:$K,4,FALSE)</f>
        <v>0_published</v>
      </c>
      <c r="AP738" s="10" t="str">
        <f>VLOOKUP(MID($AS738,1,255),source_lookup!$B:$K,6,FALSE)</f>
        <v>1_VHB high</v>
      </c>
      <c r="AQ738" s="10" t="str">
        <f>VLOOKUP(MID($AS738,1,255),source_lookup!$B:$K,10,FALSE)</f>
        <v>1_fin/acc/econ</v>
      </c>
      <c r="AR738" t="s">
        <v>85</v>
      </c>
      <c r="AS738" t="s">
        <v>159</v>
      </c>
    </row>
    <row r="739" spans="1:45" x14ac:dyDescent="0.3">
      <c r="A739" t="s">
        <v>35</v>
      </c>
      <c r="B739">
        <v>738</v>
      </c>
      <c r="C739" s="1">
        <v>-2.4821999801870477E-2</v>
      </c>
      <c r="D739" s="2">
        <v>363</v>
      </c>
      <c r="E739" s="4">
        <v>3269</v>
      </c>
      <c r="F739" s="4" t="s">
        <v>346</v>
      </c>
      <c r="G739" s="4" t="s">
        <v>346</v>
      </c>
      <c r="H739" t="s">
        <v>77</v>
      </c>
      <c r="I739" t="s">
        <v>352</v>
      </c>
      <c r="J739" s="3">
        <v>2010</v>
      </c>
      <c r="K739" s="3">
        <v>2018</v>
      </c>
      <c r="L739" s="6">
        <f t="shared" si="231"/>
        <v>2014</v>
      </c>
      <c r="M739" s="6">
        <f t="shared" si="232"/>
        <v>2014</v>
      </c>
      <c r="N739" s="7">
        <f t="shared" si="220"/>
        <v>0.33333333333333331</v>
      </c>
      <c r="O739" s="7">
        <f t="shared" si="221"/>
        <v>0.22222222222222221</v>
      </c>
      <c r="P739" s="7">
        <f t="shared" si="222"/>
        <v>0.1111111111111111</v>
      </c>
      <c r="Q739" s="7">
        <f t="shared" si="233"/>
        <v>0</v>
      </c>
      <c r="R739" s="10" t="str">
        <f t="shared" si="223"/>
        <v>0_Pre</v>
      </c>
      <c r="S739" s="10" t="str">
        <f t="shared" si="224"/>
        <v>0_Pre</v>
      </c>
      <c r="T739" s="10" t="str">
        <f t="shared" si="225"/>
        <v>0_Pre</v>
      </c>
      <c r="U739" s="10" t="str">
        <f t="shared" si="226"/>
        <v>1_Post</v>
      </c>
      <c r="V739" s="10" t="str">
        <f t="shared" si="234"/>
        <v>0_Pre</v>
      </c>
      <c r="W739" s="10" t="str">
        <f t="shared" si="227"/>
        <v>straddle</v>
      </c>
      <c r="X739" s="10" t="str">
        <f t="shared" si="228"/>
        <v>0_Pre</v>
      </c>
      <c r="Y739" s="10" t="str">
        <f t="shared" si="229"/>
        <v>0_Pre</v>
      </c>
      <c r="Z739" s="10" t="str">
        <f t="shared" si="230"/>
        <v>0_Pre</v>
      </c>
      <c r="AA739" s="10" t="str">
        <f t="shared" si="235"/>
        <v>1_Post</v>
      </c>
      <c r="AB739" s="10" t="str">
        <f t="shared" si="236"/>
        <v>1_Post</v>
      </c>
      <c r="AC739" s="10" t="str">
        <f t="shared" si="237"/>
        <v>0_Pre</v>
      </c>
      <c r="AD739" s="10" t="str">
        <f t="shared" si="238"/>
        <v>2_post sample median</v>
      </c>
      <c r="AE739" s="10" t="str">
        <f t="shared" si="239"/>
        <v>3_post sample third tertile</v>
      </c>
      <c r="AF739" t="s">
        <v>81</v>
      </c>
      <c r="AG739" t="s">
        <v>74</v>
      </c>
      <c r="AH739" t="s">
        <v>78</v>
      </c>
      <c r="AI739" t="s">
        <v>122</v>
      </c>
      <c r="AJ739" t="s">
        <v>122</v>
      </c>
      <c r="AK739" t="str">
        <f>VLOOKUP(MID($AR739,1,255),country_lookup!$B:$F,2,FALSE)</f>
        <v>1_US</v>
      </c>
      <c r="AL739" t="str">
        <f>VLOOKUP(MID($AR739,1,255),country_lookup!$B:$F,3,FALSE)</f>
        <v>1_developed</v>
      </c>
      <c r="AM739" t="str">
        <f>VLOOKUP(MID($AR739,1,255),country_lookup!$B:$F,4,FALSE)</f>
        <v>1_western</v>
      </c>
      <c r="AN739" t="str">
        <f>VLOOKUP(MID($AR739,1,255),country_lookup!$B:$F,5,FALSE)</f>
        <v>1_common law</v>
      </c>
      <c r="AO739" s="10" t="str">
        <f>VLOOKUP(MID($AS739,1,255),source_lookup!$B:$K,4,FALSE)</f>
        <v>0_published</v>
      </c>
      <c r="AP739" s="10" t="str">
        <f>VLOOKUP(MID($AS739,1,255),source_lookup!$B:$K,6,FALSE)</f>
        <v>1_VHB high</v>
      </c>
      <c r="AQ739" s="10" t="str">
        <f>VLOOKUP(MID($AS739,1,255),source_lookup!$B:$K,10,FALSE)</f>
        <v>1_fin/acc/econ</v>
      </c>
      <c r="AR739" t="s">
        <v>85</v>
      </c>
      <c r="AS739" t="s">
        <v>159</v>
      </c>
    </row>
    <row r="740" spans="1:45" x14ac:dyDescent="0.3">
      <c r="A740" t="s">
        <v>35</v>
      </c>
      <c r="B740">
        <v>739</v>
      </c>
      <c r="C740" s="1">
        <v>2.9913478446800738E-3</v>
      </c>
      <c r="D740" s="2">
        <v>248</v>
      </c>
      <c r="E740" s="4">
        <v>2234</v>
      </c>
      <c r="F740" s="4" t="s">
        <v>346</v>
      </c>
      <c r="G740" s="4" t="s">
        <v>346</v>
      </c>
      <c r="H740" t="s">
        <v>77</v>
      </c>
      <c r="I740" t="s">
        <v>352</v>
      </c>
      <c r="J740" s="3">
        <v>2010</v>
      </c>
      <c r="K740" s="3">
        <v>2018</v>
      </c>
      <c r="L740" s="6">
        <f t="shared" si="231"/>
        <v>2014</v>
      </c>
      <c r="M740" s="6">
        <f t="shared" si="232"/>
        <v>2014</v>
      </c>
      <c r="N740" s="7">
        <f t="shared" si="220"/>
        <v>0.33333333333333331</v>
      </c>
      <c r="O740" s="7">
        <f t="shared" si="221"/>
        <v>0.22222222222222221</v>
      </c>
      <c r="P740" s="7">
        <f t="shared" si="222"/>
        <v>0.1111111111111111</v>
      </c>
      <c r="Q740" s="7">
        <f t="shared" si="233"/>
        <v>0</v>
      </c>
      <c r="R740" s="10" t="str">
        <f t="shared" si="223"/>
        <v>0_Pre</v>
      </c>
      <c r="S740" s="10" t="str">
        <f t="shared" si="224"/>
        <v>0_Pre</v>
      </c>
      <c r="T740" s="10" t="str">
        <f t="shared" si="225"/>
        <v>0_Pre</v>
      </c>
      <c r="U740" s="10" t="str">
        <f t="shared" si="226"/>
        <v>1_Post</v>
      </c>
      <c r="V740" s="10" t="str">
        <f t="shared" si="234"/>
        <v>0_Pre</v>
      </c>
      <c r="W740" s="10" t="str">
        <f t="shared" si="227"/>
        <v>straddle</v>
      </c>
      <c r="X740" s="10" t="str">
        <f t="shared" si="228"/>
        <v>0_Pre</v>
      </c>
      <c r="Y740" s="10" t="str">
        <f t="shared" si="229"/>
        <v>0_Pre</v>
      </c>
      <c r="Z740" s="10" t="str">
        <f t="shared" si="230"/>
        <v>0_Pre</v>
      </c>
      <c r="AA740" s="10" t="str">
        <f t="shared" si="235"/>
        <v>1_Post</v>
      </c>
      <c r="AB740" s="10" t="str">
        <f t="shared" si="236"/>
        <v>1_Post</v>
      </c>
      <c r="AC740" s="10" t="str">
        <f t="shared" si="237"/>
        <v>0_Pre</v>
      </c>
      <c r="AD740" s="10" t="str">
        <f t="shared" si="238"/>
        <v>2_post sample median</v>
      </c>
      <c r="AE740" s="10" t="str">
        <f t="shared" si="239"/>
        <v>3_post sample third tertile</v>
      </c>
      <c r="AF740" t="s">
        <v>81</v>
      </c>
      <c r="AG740" t="s">
        <v>74</v>
      </c>
      <c r="AH740" t="s">
        <v>78</v>
      </c>
      <c r="AI740" t="s">
        <v>122</v>
      </c>
      <c r="AJ740" t="s">
        <v>122</v>
      </c>
      <c r="AK740" t="str">
        <f>VLOOKUP(MID($AR740,1,255),country_lookup!$B:$F,2,FALSE)</f>
        <v>1_US</v>
      </c>
      <c r="AL740" t="str">
        <f>VLOOKUP(MID($AR740,1,255),country_lookup!$B:$F,3,FALSE)</f>
        <v>1_developed</v>
      </c>
      <c r="AM740" t="str">
        <f>VLOOKUP(MID($AR740,1,255),country_lookup!$B:$F,4,FALSE)</f>
        <v>1_western</v>
      </c>
      <c r="AN740" t="str">
        <f>VLOOKUP(MID($AR740,1,255),country_lookup!$B:$F,5,FALSE)</f>
        <v>1_common law</v>
      </c>
      <c r="AO740" s="10" t="str">
        <f>VLOOKUP(MID($AS740,1,255),source_lookup!$B:$K,4,FALSE)</f>
        <v>0_published</v>
      </c>
      <c r="AP740" s="10" t="str">
        <f>VLOOKUP(MID($AS740,1,255),source_lookup!$B:$K,6,FALSE)</f>
        <v>1_VHB high</v>
      </c>
      <c r="AQ740" s="10" t="str">
        <f>VLOOKUP(MID($AS740,1,255),source_lookup!$B:$K,10,FALSE)</f>
        <v>1_fin/acc/econ</v>
      </c>
      <c r="AR740" t="s">
        <v>85</v>
      </c>
      <c r="AS740" t="s">
        <v>159</v>
      </c>
    </row>
    <row r="741" spans="1:45" x14ac:dyDescent="0.3">
      <c r="A741" t="s">
        <v>35</v>
      </c>
      <c r="B741">
        <v>740</v>
      </c>
      <c r="C741" s="1">
        <v>1.9373143897274559E-2</v>
      </c>
      <c r="D741" s="2">
        <v>248</v>
      </c>
      <c r="E741" s="4">
        <v>2234</v>
      </c>
      <c r="F741" s="4" t="s">
        <v>346</v>
      </c>
      <c r="G741" s="4" t="s">
        <v>346</v>
      </c>
      <c r="H741" t="s">
        <v>77</v>
      </c>
      <c r="I741" t="s">
        <v>352</v>
      </c>
      <c r="J741" s="3">
        <v>2010</v>
      </c>
      <c r="K741" s="3">
        <v>2018</v>
      </c>
      <c r="L741" s="6">
        <f t="shared" si="231"/>
        <v>2014</v>
      </c>
      <c r="M741" s="6">
        <f t="shared" si="232"/>
        <v>2014</v>
      </c>
      <c r="N741" s="7">
        <f t="shared" si="220"/>
        <v>0.33333333333333331</v>
      </c>
      <c r="O741" s="7">
        <f t="shared" si="221"/>
        <v>0.22222222222222221</v>
      </c>
      <c r="P741" s="7">
        <f t="shared" si="222"/>
        <v>0.1111111111111111</v>
      </c>
      <c r="Q741" s="7">
        <f t="shared" si="233"/>
        <v>0</v>
      </c>
      <c r="R741" s="10" t="str">
        <f t="shared" si="223"/>
        <v>0_Pre</v>
      </c>
      <c r="S741" s="10" t="str">
        <f t="shared" si="224"/>
        <v>0_Pre</v>
      </c>
      <c r="T741" s="10" t="str">
        <f t="shared" si="225"/>
        <v>0_Pre</v>
      </c>
      <c r="U741" s="10" t="str">
        <f t="shared" si="226"/>
        <v>1_Post</v>
      </c>
      <c r="V741" s="10" t="str">
        <f t="shared" si="234"/>
        <v>0_Pre</v>
      </c>
      <c r="W741" s="10" t="str">
        <f t="shared" si="227"/>
        <v>straddle</v>
      </c>
      <c r="X741" s="10" t="str">
        <f t="shared" si="228"/>
        <v>0_Pre</v>
      </c>
      <c r="Y741" s="10" t="str">
        <f t="shared" si="229"/>
        <v>0_Pre</v>
      </c>
      <c r="Z741" s="10" t="str">
        <f t="shared" si="230"/>
        <v>0_Pre</v>
      </c>
      <c r="AA741" s="10" t="str">
        <f t="shared" si="235"/>
        <v>1_Post</v>
      </c>
      <c r="AB741" s="10" t="str">
        <f t="shared" si="236"/>
        <v>1_Post</v>
      </c>
      <c r="AC741" s="10" t="str">
        <f t="shared" si="237"/>
        <v>0_Pre</v>
      </c>
      <c r="AD741" s="10" t="str">
        <f t="shared" si="238"/>
        <v>2_post sample median</v>
      </c>
      <c r="AE741" s="10" t="str">
        <f t="shared" si="239"/>
        <v>3_post sample third tertile</v>
      </c>
      <c r="AF741" t="s">
        <v>81</v>
      </c>
      <c r="AG741" t="s">
        <v>74</v>
      </c>
      <c r="AH741" t="s">
        <v>78</v>
      </c>
      <c r="AI741" t="s">
        <v>122</v>
      </c>
      <c r="AJ741" t="s">
        <v>122</v>
      </c>
      <c r="AK741" t="str">
        <f>VLOOKUP(MID($AR741,1,255),country_lookup!$B:$F,2,FALSE)</f>
        <v>1_US</v>
      </c>
      <c r="AL741" t="str">
        <f>VLOOKUP(MID($AR741,1,255),country_lookup!$B:$F,3,FALSE)</f>
        <v>1_developed</v>
      </c>
      <c r="AM741" t="str">
        <f>VLOOKUP(MID($AR741,1,255),country_lookup!$B:$F,4,FALSE)</f>
        <v>1_western</v>
      </c>
      <c r="AN741" t="str">
        <f>VLOOKUP(MID($AR741,1,255),country_lookup!$B:$F,5,FALSE)</f>
        <v>1_common law</v>
      </c>
      <c r="AO741" s="10" t="str">
        <f>VLOOKUP(MID($AS741,1,255),source_lookup!$B:$K,4,FALSE)</f>
        <v>0_published</v>
      </c>
      <c r="AP741" s="10" t="str">
        <f>VLOOKUP(MID($AS741,1,255),source_lookup!$B:$K,6,FALSE)</f>
        <v>1_VHB high</v>
      </c>
      <c r="AQ741" s="10" t="str">
        <f>VLOOKUP(MID($AS741,1,255),source_lookup!$B:$K,10,FALSE)</f>
        <v>1_fin/acc/econ</v>
      </c>
      <c r="AR741" t="s">
        <v>85</v>
      </c>
      <c r="AS741" t="s">
        <v>159</v>
      </c>
    </row>
    <row r="742" spans="1:45" x14ac:dyDescent="0.3">
      <c r="A742" t="s">
        <v>35</v>
      </c>
      <c r="B742">
        <v>741</v>
      </c>
      <c r="C742" s="1">
        <v>-4.5675179568417136E-3</v>
      </c>
      <c r="D742" s="2">
        <v>115</v>
      </c>
      <c r="E742" s="4">
        <v>1035</v>
      </c>
      <c r="F742" s="4" t="s">
        <v>346</v>
      </c>
      <c r="G742" s="4" t="s">
        <v>346</v>
      </c>
      <c r="H742" t="s">
        <v>77</v>
      </c>
      <c r="I742" t="s">
        <v>352</v>
      </c>
      <c r="J742" s="3">
        <v>2010</v>
      </c>
      <c r="K742" s="3">
        <v>2018</v>
      </c>
      <c r="L742" s="6">
        <f t="shared" si="231"/>
        <v>2014</v>
      </c>
      <c r="M742" s="6">
        <f t="shared" si="232"/>
        <v>2014</v>
      </c>
      <c r="N742" s="7">
        <f t="shared" si="220"/>
        <v>0.33333333333333331</v>
      </c>
      <c r="O742" s="7">
        <f t="shared" si="221"/>
        <v>0.22222222222222221</v>
      </c>
      <c r="P742" s="7">
        <f t="shared" si="222"/>
        <v>0.1111111111111111</v>
      </c>
      <c r="Q742" s="7">
        <f t="shared" si="233"/>
        <v>0</v>
      </c>
      <c r="R742" s="10" t="str">
        <f t="shared" si="223"/>
        <v>0_Pre</v>
      </c>
      <c r="S742" s="10" t="str">
        <f t="shared" si="224"/>
        <v>0_Pre</v>
      </c>
      <c r="T742" s="10" t="str">
        <f t="shared" si="225"/>
        <v>0_Pre</v>
      </c>
      <c r="U742" s="10" t="str">
        <f t="shared" si="226"/>
        <v>1_Post</v>
      </c>
      <c r="V742" s="10" t="str">
        <f t="shared" si="234"/>
        <v>0_Pre</v>
      </c>
      <c r="W742" s="10" t="str">
        <f t="shared" si="227"/>
        <v>straddle</v>
      </c>
      <c r="X742" s="10" t="str">
        <f t="shared" si="228"/>
        <v>0_Pre</v>
      </c>
      <c r="Y742" s="10" t="str">
        <f t="shared" si="229"/>
        <v>0_Pre</v>
      </c>
      <c r="Z742" s="10" t="str">
        <f t="shared" si="230"/>
        <v>0_Pre</v>
      </c>
      <c r="AA742" s="10" t="str">
        <f t="shared" si="235"/>
        <v>1_Post</v>
      </c>
      <c r="AB742" s="10" t="str">
        <f t="shared" si="236"/>
        <v>1_Post</v>
      </c>
      <c r="AC742" s="10" t="str">
        <f t="shared" si="237"/>
        <v>0_Pre</v>
      </c>
      <c r="AD742" s="10" t="str">
        <f t="shared" si="238"/>
        <v>2_post sample median</v>
      </c>
      <c r="AE742" s="10" t="str">
        <f t="shared" si="239"/>
        <v>3_post sample third tertile</v>
      </c>
      <c r="AF742" t="s">
        <v>81</v>
      </c>
      <c r="AG742" t="s">
        <v>74</v>
      </c>
      <c r="AH742" t="s">
        <v>78</v>
      </c>
      <c r="AI742" t="s">
        <v>122</v>
      </c>
      <c r="AJ742" t="s">
        <v>122</v>
      </c>
      <c r="AK742" t="str">
        <f>VLOOKUP(MID($AR742,1,255),country_lookup!$B:$F,2,FALSE)</f>
        <v>1_US</v>
      </c>
      <c r="AL742" t="str">
        <f>VLOOKUP(MID($AR742,1,255),country_lookup!$B:$F,3,FALSE)</f>
        <v>1_developed</v>
      </c>
      <c r="AM742" t="str">
        <f>VLOOKUP(MID($AR742,1,255),country_lookup!$B:$F,4,FALSE)</f>
        <v>1_western</v>
      </c>
      <c r="AN742" t="str">
        <f>VLOOKUP(MID($AR742,1,255),country_lookup!$B:$F,5,FALSE)</f>
        <v>1_common law</v>
      </c>
      <c r="AO742" s="10" t="str">
        <f>VLOOKUP(MID($AS742,1,255),source_lookup!$B:$K,4,FALSE)</f>
        <v>0_published</v>
      </c>
      <c r="AP742" s="10" t="str">
        <f>VLOOKUP(MID($AS742,1,255),source_lookup!$B:$K,6,FALSE)</f>
        <v>1_VHB high</v>
      </c>
      <c r="AQ742" s="10" t="str">
        <f>VLOOKUP(MID($AS742,1,255),source_lookup!$B:$K,10,FALSE)</f>
        <v>1_fin/acc/econ</v>
      </c>
      <c r="AR742" t="s">
        <v>85</v>
      </c>
      <c r="AS742" t="s">
        <v>159</v>
      </c>
    </row>
    <row r="743" spans="1:45" x14ac:dyDescent="0.3">
      <c r="A743" t="s">
        <v>35</v>
      </c>
      <c r="B743">
        <v>742</v>
      </c>
      <c r="C743" s="1">
        <v>-7.2697093148069492E-2</v>
      </c>
      <c r="D743" s="2">
        <v>115</v>
      </c>
      <c r="E743" s="4">
        <v>1035</v>
      </c>
      <c r="F743" s="4" t="s">
        <v>346</v>
      </c>
      <c r="G743" s="4" t="s">
        <v>346</v>
      </c>
      <c r="H743" t="s">
        <v>77</v>
      </c>
      <c r="I743" t="s">
        <v>352</v>
      </c>
      <c r="J743" s="3">
        <v>2010</v>
      </c>
      <c r="K743" s="3">
        <v>2018</v>
      </c>
      <c r="L743" s="6">
        <f t="shared" si="231"/>
        <v>2014</v>
      </c>
      <c r="M743" s="6">
        <f t="shared" si="232"/>
        <v>2014</v>
      </c>
      <c r="N743" s="7">
        <f t="shared" si="220"/>
        <v>0.33333333333333331</v>
      </c>
      <c r="O743" s="7">
        <f t="shared" si="221"/>
        <v>0.22222222222222221</v>
      </c>
      <c r="P743" s="7">
        <f t="shared" si="222"/>
        <v>0.1111111111111111</v>
      </c>
      <c r="Q743" s="7">
        <f t="shared" si="233"/>
        <v>0</v>
      </c>
      <c r="R743" s="10" t="str">
        <f t="shared" si="223"/>
        <v>0_Pre</v>
      </c>
      <c r="S743" s="10" t="str">
        <f t="shared" si="224"/>
        <v>0_Pre</v>
      </c>
      <c r="T743" s="10" t="str">
        <f t="shared" si="225"/>
        <v>0_Pre</v>
      </c>
      <c r="U743" s="10" t="str">
        <f t="shared" si="226"/>
        <v>1_Post</v>
      </c>
      <c r="V743" s="10" t="str">
        <f t="shared" si="234"/>
        <v>0_Pre</v>
      </c>
      <c r="W743" s="10" t="str">
        <f t="shared" si="227"/>
        <v>straddle</v>
      </c>
      <c r="X743" s="10" t="str">
        <f t="shared" si="228"/>
        <v>0_Pre</v>
      </c>
      <c r="Y743" s="10" t="str">
        <f t="shared" si="229"/>
        <v>0_Pre</v>
      </c>
      <c r="Z743" s="10" t="str">
        <f t="shared" si="230"/>
        <v>0_Pre</v>
      </c>
      <c r="AA743" s="10" t="str">
        <f t="shared" si="235"/>
        <v>1_Post</v>
      </c>
      <c r="AB743" s="10" t="str">
        <f t="shared" si="236"/>
        <v>1_Post</v>
      </c>
      <c r="AC743" s="10" t="str">
        <f t="shared" si="237"/>
        <v>0_Pre</v>
      </c>
      <c r="AD743" s="10" t="str">
        <f t="shared" si="238"/>
        <v>2_post sample median</v>
      </c>
      <c r="AE743" s="10" t="str">
        <f t="shared" si="239"/>
        <v>3_post sample third tertile</v>
      </c>
      <c r="AF743" t="s">
        <v>81</v>
      </c>
      <c r="AG743" t="s">
        <v>74</v>
      </c>
      <c r="AH743" t="s">
        <v>78</v>
      </c>
      <c r="AI743" t="s">
        <v>122</v>
      </c>
      <c r="AJ743" t="s">
        <v>122</v>
      </c>
      <c r="AK743" t="str">
        <f>VLOOKUP(MID($AR743,1,255),country_lookup!$B:$F,2,FALSE)</f>
        <v>1_US</v>
      </c>
      <c r="AL743" t="str">
        <f>VLOOKUP(MID($AR743,1,255),country_lookup!$B:$F,3,FALSE)</f>
        <v>1_developed</v>
      </c>
      <c r="AM743" t="str">
        <f>VLOOKUP(MID($AR743,1,255),country_lookup!$B:$F,4,FALSE)</f>
        <v>1_western</v>
      </c>
      <c r="AN743" t="str">
        <f>VLOOKUP(MID($AR743,1,255),country_lookup!$B:$F,5,FALSE)</f>
        <v>1_common law</v>
      </c>
      <c r="AO743" s="10" t="str">
        <f>VLOOKUP(MID($AS743,1,255),source_lookup!$B:$K,4,FALSE)</f>
        <v>0_published</v>
      </c>
      <c r="AP743" s="10" t="str">
        <f>VLOOKUP(MID($AS743,1,255),source_lookup!$B:$K,6,FALSE)</f>
        <v>1_VHB high</v>
      </c>
      <c r="AQ743" s="10" t="str">
        <f>VLOOKUP(MID($AS743,1,255),source_lookup!$B:$K,10,FALSE)</f>
        <v>1_fin/acc/econ</v>
      </c>
      <c r="AR743" t="s">
        <v>85</v>
      </c>
      <c r="AS743" t="s">
        <v>159</v>
      </c>
    </row>
    <row r="744" spans="1:45" x14ac:dyDescent="0.3">
      <c r="A744" t="s">
        <v>35</v>
      </c>
      <c r="B744">
        <v>743</v>
      </c>
      <c r="C744" s="1">
        <v>-1.24609233829126E-2</v>
      </c>
      <c r="D744" s="2">
        <v>363</v>
      </c>
      <c r="E744" s="4">
        <v>3269</v>
      </c>
      <c r="F744" s="4" t="s">
        <v>346</v>
      </c>
      <c r="G744" s="4" t="s">
        <v>346</v>
      </c>
      <c r="H744" t="s">
        <v>77</v>
      </c>
      <c r="I744" t="s">
        <v>352</v>
      </c>
      <c r="J744" s="3">
        <v>2010</v>
      </c>
      <c r="K744" s="3">
        <v>2018</v>
      </c>
      <c r="L744" s="6">
        <f t="shared" si="231"/>
        <v>2014</v>
      </c>
      <c r="M744" s="6">
        <f t="shared" si="232"/>
        <v>2014</v>
      </c>
      <c r="N744" s="7">
        <f t="shared" si="220"/>
        <v>0.33333333333333331</v>
      </c>
      <c r="O744" s="7">
        <f t="shared" si="221"/>
        <v>0.22222222222222221</v>
      </c>
      <c r="P744" s="7">
        <f t="shared" si="222"/>
        <v>0.1111111111111111</v>
      </c>
      <c r="Q744" s="7">
        <f t="shared" si="233"/>
        <v>0</v>
      </c>
      <c r="R744" s="10" t="str">
        <f t="shared" si="223"/>
        <v>0_Pre</v>
      </c>
      <c r="S744" s="10" t="str">
        <f t="shared" si="224"/>
        <v>0_Pre</v>
      </c>
      <c r="T744" s="10" t="str">
        <f t="shared" si="225"/>
        <v>0_Pre</v>
      </c>
      <c r="U744" s="10" t="str">
        <f t="shared" si="226"/>
        <v>1_Post</v>
      </c>
      <c r="V744" s="10" t="str">
        <f t="shared" si="234"/>
        <v>0_Pre</v>
      </c>
      <c r="W744" s="10" t="str">
        <f t="shared" si="227"/>
        <v>straddle</v>
      </c>
      <c r="X744" s="10" t="str">
        <f t="shared" si="228"/>
        <v>0_Pre</v>
      </c>
      <c r="Y744" s="10" t="str">
        <f t="shared" si="229"/>
        <v>0_Pre</v>
      </c>
      <c r="Z744" s="10" t="str">
        <f t="shared" si="230"/>
        <v>0_Pre</v>
      </c>
      <c r="AA744" s="10" t="str">
        <f t="shared" si="235"/>
        <v>1_Post</v>
      </c>
      <c r="AB744" s="10" t="str">
        <f t="shared" si="236"/>
        <v>1_Post</v>
      </c>
      <c r="AC744" s="10" t="str">
        <f t="shared" si="237"/>
        <v>0_Pre</v>
      </c>
      <c r="AD744" s="10" t="str">
        <f t="shared" si="238"/>
        <v>2_post sample median</v>
      </c>
      <c r="AE744" s="10" t="str">
        <f t="shared" si="239"/>
        <v>3_post sample third tertile</v>
      </c>
      <c r="AF744" t="s">
        <v>81</v>
      </c>
      <c r="AG744" t="s">
        <v>74</v>
      </c>
      <c r="AH744" t="s">
        <v>78</v>
      </c>
      <c r="AI744" t="s">
        <v>122</v>
      </c>
      <c r="AJ744" t="s">
        <v>122</v>
      </c>
      <c r="AK744" t="str">
        <f>VLOOKUP(MID($AR744,1,255),country_lookup!$B:$F,2,FALSE)</f>
        <v>1_US</v>
      </c>
      <c r="AL744" t="str">
        <f>VLOOKUP(MID($AR744,1,255),country_lookup!$B:$F,3,FALSE)</f>
        <v>1_developed</v>
      </c>
      <c r="AM744" t="str">
        <f>VLOOKUP(MID($AR744,1,255),country_lookup!$B:$F,4,FALSE)</f>
        <v>1_western</v>
      </c>
      <c r="AN744" t="str">
        <f>VLOOKUP(MID($AR744,1,255),country_lookup!$B:$F,5,FALSE)</f>
        <v>1_common law</v>
      </c>
      <c r="AO744" s="10" t="str">
        <f>VLOOKUP(MID($AS744,1,255),source_lookup!$B:$K,4,FALSE)</f>
        <v>0_published</v>
      </c>
      <c r="AP744" s="10" t="str">
        <f>VLOOKUP(MID($AS744,1,255),source_lookup!$B:$K,6,FALSE)</f>
        <v>1_VHB high</v>
      </c>
      <c r="AQ744" s="10" t="str">
        <f>VLOOKUP(MID($AS744,1,255),source_lookup!$B:$K,10,FALSE)</f>
        <v>1_fin/acc/econ</v>
      </c>
      <c r="AR744" t="s">
        <v>85</v>
      </c>
      <c r="AS744" t="s">
        <v>159</v>
      </c>
    </row>
    <row r="745" spans="1:45" x14ac:dyDescent="0.3">
      <c r="A745" t="s">
        <v>35</v>
      </c>
      <c r="B745">
        <v>744</v>
      </c>
      <c r="C745" s="1">
        <v>-1.685075080935048E-3</v>
      </c>
      <c r="D745" s="2">
        <v>363</v>
      </c>
      <c r="E745" s="4">
        <v>3269</v>
      </c>
      <c r="F745" s="4" t="s">
        <v>346</v>
      </c>
      <c r="G745" s="4" t="s">
        <v>346</v>
      </c>
      <c r="H745" t="s">
        <v>77</v>
      </c>
      <c r="I745" t="s">
        <v>352</v>
      </c>
      <c r="J745" s="3">
        <v>2010</v>
      </c>
      <c r="K745" s="3">
        <v>2018</v>
      </c>
      <c r="L745" s="6">
        <f t="shared" si="231"/>
        <v>2014</v>
      </c>
      <c r="M745" s="6">
        <f t="shared" si="232"/>
        <v>2014</v>
      </c>
      <c r="N745" s="7">
        <f t="shared" si="220"/>
        <v>0.33333333333333331</v>
      </c>
      <c r="O745" s="7">
        <f t="shared" si="221"/>
        <v>0.22222222222222221</v>
      </c>
      <c r="P745" s="7">
        <f t="shared" si="222"/>
        <v>0.1111111111111111</v>
      </c>
      <c r="Q745" s="7">
        <f t="shared" si="233"/>
        <v>0</v>
      </c>
      <c r="R745" s="10" t="str">
        <f t="shared" si="223"/>
        <v>0_Pre</v>
      </c>
      <c r="S745" s="10" t="str">
        <f t="shared" si="224"/>
        <v>0_Pre</v>
      </c>
      <c r="T745" s="10" t="str">
        <f t="shared" si="225"/>
        <v>0_Pre</v>
      </c>
      <c r="U745" s="10" t="str">
        <f t="shared" si="226"/>
        <v>1_Post</v>
      </c>
      <c r="V745" s="10" t="str">
        <f t="shared" si="234"/>
        <v>0_Pre</v>
      </c>
      <c r="W745" s="10" t="str">
        <f t="shared" si="227"/>
        <v>straddle</v>
      </c>
      <c r="X745" s="10" t="str">
        <f t="shared" si="228"/>
        <v>0_Pre</v>
      </c>
      <c r="Y745" s="10" t="str">
        <f t="shared" si="229"/>
        <v>0_Pre</v>
      </c>
      <c r="Z745" s="10" t="str">
        <f t="shared" si="230"/>
        <v>0_Pre</v>
      </c>
      <c r="AA745" s="10" t="str">
        <f t="shared" si="235"/>
        <v>1_Post</v>
      </c>
      <c r="AB745" s="10" t="str">
        <f t="shared" si="236"/>
        <v>1_Post</v>
      </c>
      <c r="AC745" s="10" t="str">
        <f t="shared" si="237"/>
        <v>0_Pre</v>
      </c>
      <c r="AD745" s="10" t="str">
        <f t="shared" si="238"/>
        <v>2_post sample median</v>
      </c>
      <c r="AE745" s="10" t="str">
        <f t="shared" si="239"/>
        <v>3_post sample third tertile</v>
      </c>
      <c r="AF745" t="s">
        <v>81</v>
      </c>
      <c r="AG745" t="s">
        <v>74</v>
      </c>
      <c r="AH745" t="s">
        <v>78</v>
      </c>
      <c r="AI745" t="s">
        <v>122</v>
      </c>
      <c r="AJ745" t="s">
        <v>122</v>
      </c>
      <c r="AK745" t="str">
        <f>VLOOKUP(MID($AR745,1,255),country_lookup!$B:$F,2,FALSE)</f>
        <v>1_US</v>
      </c>
      <c r="AL745" t="str">
        <f>VLOOKUP(MID($AR745,1,255),country_lookup!$B:$F,3,FALSE)</f>
        <v>1_developed</v>
      </c>
      <c r="AM745" t="str">
        <f>VLOOKUP(MID($AR745,1,255),country_lookup!$B:$F,4,FALSE)</f>
        <v>1_western</v>
      </c>
      <c r="AN745" t="str">
        <f>VLOOKUP(MID($AR745,1,255),country_lookup!$B:$F,5,FALSE)</f>
        <v>1_common law</v>
      </c>
      <c r="AO745" s="10" t="str">
        <f>VLOOKUP(MID($AS745,1,255),source_lookup!$B:$K,4,FALSE)</f>
        <v>0_published</v>
      </c>
      <c r="AP745" s="10" t="str">
        <f>VLOOKUP(MID($AS745,1,255),source_lookup!$B:$K,6,FALSE)</f>
        <v>1_VHB high</v>
      </c>
      <c r="AQ745" s="10" t="str">
        <f>VLOOKUP(MID($AS745,1,255),source_lookup!$B:$K,10,FALSE)</f>
        <v>1_fin/acc/econ</v>
      </c>
      <c r="AR745" t="s">
        <v>85</v>
      </c>
      <c r="AS745" t="s">
        <v>159</v>
      </c>
    </row>
    <row r="746" spans="1:45" x14ac:dyDescent="0.3">
      <c r="A746" t="s">
        <v>35</v>
      </c>
      <c r="B746">
        <v>745</v>
      </c>
      <c r="C746" s="1">
        <v>1.3881440699744115E-2</v>
      </c>
      <c r="D746" s="2">
        <v>363</v>
      </c>
      <c r="E746" s="4">
        <v>3269</v>
      </c>
      <c r="F746" s="4" t="s">
        <v>346</v>
      </c>
      <c r="G746" s="4" t="s">
        <v>346</v>
      </c>
      <c r="H746" t="s">
        <v>77</v>
      </c>
      <c r="I746" t="s">
        <v>352</v>
      </c>
      <c r="J746" s="3">
        <v>2010</v>
      </c>
      <c r="K746" s="3">
        <v>2018</v>
      </c>
      <c r="L746" s="6">
        <f t="shared" si="231"/>
        <v>2014</v>
      </c>
      <c r="M746" s="6">
        <f t="shared" si="232"/>
        <v>2014</v>
      </c>
      <c r="N746" s="7">
        <f t="shared" si="220"/>
        <v>0.33333333333333331</v>
      </c>
      <c r="O746" s="7">
        <f t="shared" si="221"/>
        <v>0.22222222222222221</v>
      </c>
      <c r="P746" s="7">
        <f t="shared" si="222"/>
        <v>0.1111111111111111</v>
      </c>
      <c r="Q746" s="7">
        <f t="shared" si="233"/>
        <v>0</v>
      </c>
      <c r="R746" s="10" t="str">
        <f t="shared" si="223"/>
        <v>0_Pre</v>
      </c>
      <c r="S746" s="10" t="str">
        <f t="shared" si="224"/>
        <v>0_Pre</v>
      </c>
      <c r="T746" s="10" t="str">
        <f t="shared" si="225"/>
        <v>0_Pre</v>
      </c>
      <c r="U746" s="10" t="str">
        <f t="shared" si="226"/>
        <v>1_Post</v>
      </c>
      <c r="V746" s="10" t="str">
        <f t="shared" si="234"/>
        <v>0_Pre</v>
      </c>
      <c r="W746" s="10" t="str">
        <f t="shared" si="227"/>
        <v>straddle</v>
      </c>
      <c r="X746" s="10" t="str">
        <f t="shared" si="228"/>
        <v>0_Pre</v>
      </c>
      <c r="Y746" s="10" t="str">
        <f t="shared" si="229"/>
        <v>0_Pre</v>
      </c>
      <c r="Z746" s="10" t="str">
        <f t="shared" si="230"/>
        <v>0_Pre</v>
      </c>
      <c r="AA746" s="10" t="str">
        <f t="shared" si="235"/>
        <v>1_Post</v>
      </c>
      <c r="AB746" s="10" t="str">
        <f t="shared" si="236"/>
        <v>1_Post</v>
      </c>
      <c r="AC746" s="10" t="str">
        <f t="shared" si="237"/>
        <v>0_Pre</v>
      </c>
      <c r="AD746" s="10" t="str">
        <f t="shared" si="238"/>
        <v>2_post sample median</v>
      </c>
      <c r="AE746" s="10" t="str">
        <f t="shared" si="239"/>
        <v>3_post sample third tertile</v>
      </c>
      <c r="AF746" t="s">
        <v>81</v>
      </c>
      <c r="AG746" t="s">
        <v>74</v>
      </c>
      <c r="AH746" t="s">
        <v>78</v>
      </c>
      <c r="AI746" t="s">
        <v>122</v>
      </c>
      <c r="AJ746" t="s">
        <v>122</v>
      </c>
      <c r="AK746" t="str">
        <f>VLOOKUP(MID($AR746,1,255),country_lookup!$B:$F,2,FALSE)</f>
        <v>1_US</v>
      </c>
      <c r="AL746" t="str">
        <f>VLOOKUP(MID($AR746,1,255),country_lookup!$B:$F,3,FALSE)</f>
        <v>1_developed</v>
      </c>
      <c r="AM746" t="str">
        <f>VLOOKUP(MID($AR746,1,255),country_lookup!$B:$F,4,FALSE)</f>
        <v>1_western</v>
      </c>
      <c r="AN746" t="str">
        <f>VLOOKUP(MID($AR746,1,255),country_lookup!$B:$F,5,FALSE)</f>
        <v>1_common law</v>
      </c>
      <c r="AO746" s="10" t="str">
        <f>VLOOKUP(MID($AS746,1,255),source_lookup!$B:$K,4,FALSE)</f>
        <v>0_published</v>
      </c>
      <c r="AP746" s="10" t="str">
        <f>VLOOKUP(MID($AS746,1,255),source_lookup!$B:$K,6,FALSE)</f>
        <v>1_VHB high</v>
      </c>
      <c r="AQ746" s="10" t="str">
        <f>VLOOKUP(MID($AS746,1,255),source_lookup!$B:$K,10,FALSE)</f>
        <v>1_fin/acc/econ</v>
      </c>
      <c r="AR746" t="s">
        <v>85</v>
      </c>
      <c r="AS746" t="s">
        <v>159</v>
      </c>
    </row>
    <row r="747" spans="1:45" x14ac:dyDescent="0.3">
      <c r="A747" t="s">
        <v>35</v>
      </c>
      <c r="B747">
        <v>746</v>
      </c>
      <c r="C747" s="1">
        <v>-3.4044947961811727E-2</v>
      </c>
      <c r="D747" s="2">
        <v>363</v>
      </c>
      <c r="E747" s="4">
        <v>3269</v>
      </c>
      <c r="F747" s="4" t="s">
        <v>346</v>
      </c>
      <c r="G747" s="4" t="s">
        <v>346</v>
      </c>
      <c r="H747" t="s">
        <v>77</v>
      </c>
      <c r="I747" t="s">
        <v>352</v>
      </c>
      <c r="J747" s="3">
        <v>2010</v>
      </c>
      <c r="K747" s="3">
        <v>2018</v>
      </c>
      <c r="L747" s="6">
        <f t="shared" si="231"/>
        <v>2014</v>
      </c>
      <c r="M747" s="6">
        <f t="shared" si="232"/>
        <v>2014</v>
      </c>
      <c r="N747" s="7">
        <f t="shared" si="220"/>
        <v>0.33333333333333331</v>
      </c>
      <c r="O747" s="7">
        <f t="shared" si="221"/>
        <v>0.22222222222222221</v>
      </c>
      <c r="P747" s="7">
        <f t="shared" si="222"/>
        <v>0.1111111111111111</v>
      </c>
      <c r="Q747" s="7">
        <f t="shared" si="233"/>
        <v>0</v>
      </c>
      <c r="R747" s="10" t="str">
        <f t="shared" si="223"/>
        <v>0_Pre</v>
      </c>
      <c r="S747" s="10" t="str">
        <f t="shared" si="224"/>
        <v>0_Pre</v>
      </c>
      <c r="T747" s="10" t="str">
        <f t="shared" si="225"/>
        <v>0_Pre</v>
      </c>
      <c r="U747" s="10" t="str">
        <f t="shared" si="226"/>
        <v>1_Post</v>
      </c>
      <c r="V747" s="10" t="str">
        <f t="shared" si="234"/>
        <v>0_Pre</v>
      </c>
      <c r="W747" s="10" t="str">
        <f t="shared" si="227"/>
        <v>straddle</v>
      </c>
      <c r="X747" s="10" t="str">
        <f t="shared" si="228"/>
        <v>0_Pre</v>
      </c>
      <c r="Y747" s="10" t="str">
        <f t="shared" si="229"/>
        <v>0_Pre</v>
      </c>
      <c r="Z747" s="10" t="str">
        <f t="shared" si="230"/>
        <v>0_Pre</v>
      </c>
      <c r="AA747" s="10" t="str">
        <f t="shared" si="235"/>
        <v>1_Post</v>
      </c>
      <c r="AB747" s="10" t="str">
        <f t="shared" si="236"/>
        <v>1_Post</v>
      </c>
      <c r="AC747" s="10" t="str">
        <f t="shared" si="237"/>
        <v>0_Pre</v>
      </c>
      <c r="AD747" s="10" t="str">
        <f t="shared" si="238"/>
        <v>2_post sample median</v>
      </c>
      <c r="AE747" s="10" t="str">
        <f t="shared" si="239"/>
        <v>3_post sample third tertile</v>
      </c>
      <c r="AF747" t="s">
        <v>81</v>
      </c>
      <c r="AG747" t="s">
        <v>74</v>
      </c>
      <c r="AH747" t="s">
        <v>78</v>
      </c>
      <c r="AI747" t="s">
        <v>122</v>
      </c>
      <c r="AJ747" t="s">
        <v>122</v>
      </c>
      <c r="AK747" t="str">
        <f>VLOOKUP(MID($AR747,1,255),country_lookup!$B:$F,2,FALSE)</f>
        <v>1_US</v>
      </c>
      <c r="AL747" t="str">
        <f>VLOOKUP(MID($AR747,1,255),country_lookup!$B:$F,3,FALSE)</f>
        <v>1_developed</v>
      </c>
      <c r="AM747" t="str">
        <f>VLOOKUP(MID($AR747,1,255),country_lookup!$B:$F,4,FALSE)</f>
        <v>1_western</v>
      </c>
      <c r="AN747" t="str">
        <f>VLOOKUP(MID($AR747,1,255),country_lookup!$B:$F,5,FALSE)</f>
        <v>1_common law</v>
      </c>
      <c r="AO747" s="10" t="str">
        <f>VLOOKUP(MID($AS747,1,255),source_lookup!$B:$K,4,FALSE)</f>
        <v>0_published</v>
      </c>
      <c r="AP747" s="10" t="str">
        <f>VLOOKUP(MID($AS747,1,255),source_lookup!$B:$K,6,FALSE)</f>
        <v>1_VHB high</v>
      </c>
      <c r="AQ747" s="10" t="str">
        <f>VLOOKUP(MID($AS747,1,255),source_lookup!$B:$K,10,FALSE)</f>
        <v>1_fin/acc/econ</v>
      </c>
      <c r="AR747" t="s">
        <v>85</v>
      </c>
      <c r="AS747" t="s">
        <v>159</v>
      </c>
    </row>
    <row r="748" spans="1:45" x14ac:dyDescent="0.3">
      <c r="A748" t="s">
        <v>35</v>
      </c>
      <c r="B748">
        <v>747</v>
      </c>
      <c r="C748" s="1">
        <v>1.0143177502893795E-3</v>
      </c>
      <c r="D748" s="2">
        <v>248</v>
      </c>
      <c r="E748" s="4">
        <v>2234</v>
      </c>
      <c r="F748" s="4" t="s">
        <v>346</v>
      </c>
      <c r="G748" s="4" t="s">
        <v>346</v>
      </c>
      <c r="H748" t="s">
        <v>77</v>
      </c>
      <c r="I748" t="s">
        <v>352</v>
      </c>
      <c r="J748" s="3">
        <v>2010</v>
      </c>
      <c r="K748" s="3">
        <v>2018</v>
      </c>
      <c r="L748" s="6">
        <f t="shared" si="231"/>
        <v>2014</v>
      </c>
      <c r="M748" s="6">
        <f t="shared" si="232"/>
        <v>2014</v>
      </c>
      <c r="N748" s="7">
        <f t="shared" si="220"/>
        <v>0.33333333333333331</v>
      </c>
      <c r="O748" s="7">
        <f t="shared" si="221"/>
        <v>0.22222222222222221</v>
      </c>
      <c r="P748" s="7">
        <f t="shared" si="222"/>
        <v>0.1111111111111111</v>
      </c>
      <c r="Q748" s="7">
        <f t="shared" si="233"/>
        <v>0</v>
      </c>
      <c r="R748" s="10" t="str">
        <f t="shared" si="223"/>
        <v>0_Pre</v>
      </c>
      <c r="S748" s="10" t="str">
        <f t="shared" si="224"/>
        <v>0_Pre</v>
      </c>
      <c r="T748" s="10" t="str">
        <f t="shared" si="225"/>
        <v>0_Pre</v>
      </c>
      <c r="U748" s="10" t="str">
        <f t="shared" si="226"/>
        <v>1_Post</v>
      </c>
      <c r="V748" s="10" t="str">
        <f t="shared" si="234"/>
        <v>0_Pre</v>
      </c>
      <c r="W748" s="10" t="str">
        <f t="shared" si="227"/>
        <v>straddle</v>
      </c>
      <c r="X748" s="10" t="str">
        <f t="shared" si="228"/>
        <v>0_Pre</v>
      </c>
      <c r="Y748" s="10" t="str">
        <f t="shared" si="229"/>
        <v>0_Pre</v>
      </c>
      <c r="Z748" s="10" t="str">
        <f t="shared" si="230"/>
        <v>0_Pre</v>
      </c>
      <c r="AA748" s="10" t="str">
        <f t="shared" si="235"/>
        <v>1_Post</v>
      </c>
      <c r="AB748" s="10" t="str">
        <f t="shared" si="236"/>
        <v>1_Post</v>
      </c>
      <c r="AC748" s="10" t="str">
        <f t="shared" si="237"/>
        <v>0_Pre</v>
      </c>
      <c r="AD748" s="10" t="str">
        <f t="shared" si="238"/>
        <v>2_post sample median</v>
      </c>
      <c r="AE748" s="10" t="str">
        <f t="shared" si="239"/>
        <v>3_post sample third tertile</v>
      </c>
      <c r="AF748" t="s">
        <v>81</v>
      </c>
      <c r="AG748" t="s">
        <v>74</v>
      </c>
      <c r="AH748" t="s">
        <v>78</v>
      </c>
      <c r="AI748" t="s">
        <v>122</v>
      </c>
      <c r="AJ748" t="s">
        <v>122</v>
      </c>
      <c r="AK748" t="str">
        <f>VLOOKUP(MID($AR748,1,255),country_lookup!$B:$F,2,FALSE)</f>
        <v>1_US</v>
      </c>
      <c r="AL748" t="str">
        <f>VLOOKUP(MID($AR748,1,255),country_lookup!$B:$F,3,FALSE)</f>
        <v>1_developed</v>
      </c>
      <c r="AM748" t="str">
        <f>VLOOKUP(MID($AR748,1,255),country_lookup!$B:$F,4,FALSE)</f>
        <v>1_western</v>
      </c>
      <c r="AN748" t="str">
        <f>VLOOKUP(MID($AR748,1,255),country_lookup!$B:$F,5,FALSE)</f>
        <v>1_common law</v>
      </c>
      <c r="AO748" s="10" t="str">
        <f>VLOOKUP(MID($AS748,1,255),source_lookup!$B:$K,4,FALSE)</f>
        <v>0_published</v>
      </c>
      <c r="AP748" s="10" t="str">
        <f>VLOOKUP(MID($AS748,1,255),source_lookup!$B:$K,6,FALSE)</f>
        <v>1_VHB high</v>
      </c>
      <c r="AQ748" s="10" t="str">
        <f>VLOOKUP(MID($AS748,1,255),source_lookup!$B:$K,10,FALSE)</f>
        <v>1_fin/acc/econ</v>
      </c>
      <c r="AR748" t="s">
        <v>85</v>
      </c>
      <c r="AS748" t="s">
        <v>159</v>
      </c>
    </row>
    <row r="749" spans="1:45" x14ac:dyDescent="0.3">
      <c r="A749" t="s">
        <v>35</v>
      </c>
      <c r="B749">
        <v>748</v>
      </c>
      <c r="C749" s="1">
        <v>-1.4837252444548728E-2</v>
      </c>
      <c r="D749" s="2">
        <v>248</v>
      </c>
      <c r="E749" s="4">
        <v>2234</v>
      </c>
      <c r="F749" s="4" t="s">
        <v>346</v>
      </c>
      <c r="G749" s="4" t="s">
        <v>346</v>
      </c>
      <c r="H749" t="s">
        <v>77</v>
      </c>
      <c r="I749" t="s">
        <v>352</v>
      </c>
      <c r="J749" s="3">
        <v>2010</v>
      </c>
      <c r="K749" s="3">
        <v>2018</v>
      </c>
      <c r="L749" s="6">
        <f t="shared" si="231"/>
        <v>2014</v>
      </c>
      <c r="M749" s="6">
        <f t="shared" si="232"/>
        <v>2014</v>
      </c>
      <c r="N749" s="7">
        <f t="shared" si="220"/>
        <v>0.33333333333333331</v>
      </c>
      <c r="O749" s="7">
        <f t="shared" si="221"/>
        <v>0.22222222222222221</v>
      </c>
      <c r="P749" s="7">
        <f t="shared" si="222"/>
        <v>0.1111111111111111</v>
      </c>
      <c r="Q749" s="7">
        <f t="shared" si="233"/>
        <v>0</v>
      </c>
      <c r="R749" s="10" t="str">
        <f t="shared" si="223"/>
        <v>0_Pre</v>
      </c>
      <c r="S749" s="10" t="str">
        <f t="shared" si="224"/>
        <v>0_Pre</v>
      </c>
      <c r="T749" s="10" t="str">
        <f t="shared" si="225"/>
        <v>0_Pre</v>
      </c>
      <c r="U749" s="10" t="str">
        <f t="shared" si="226"/>
        <v>1_Post</v>
      </c>
      <c r="V749" s="10" t="str">
        <f t="shared" si="234"/>
        <v>0_Pre</v>
      </c>
      <c r="W749" s="10" t="str">
        <f t="shared" si="227"/>
        <v>straddle</v>
      </c>
      <c r="X749" s="10" t="str">
        <f t="shared" si="228"/>
        <v>0_Pre</v>
      </c>
      <c r="Y749" s="10" t="str">
        <f t="shared" si="229"/>
        <v>0_Pre</v>
      </c>
      <c r="Z749" s="10" t="str">
        <f t="shared" si="230"/>
        <v>0_Pre</v>
      </c>
      <c r="AA749" s="10" t="str">
        <f t="shared" si="235"/>
        <v>1_Post</v>
      </c>
      <c r="AB749" s="10" t="str">
        <f t="shared" si="236"/>
        <v>1_Post</v>
      </c>
      <c r="AC749" s="10" t="str">
        <f t="shared" si="237"/>
        <v>0_Pre</v>
      </c>
      <c r="AD749" s="10" t="str">
        <f t="shared" si="238"/>
        <v>2_post sample median</v>
      </c>
      <c r="AE749" s="10" t="str">
        <f t="shared" si="239"/>
        <v>3_post sample third tertile</v>
      </c>
      <c r="AF749" t="s">
        <v>81</v>
      </c>
      <c r="AG749" t="s">
        <v>74</v>
      </c>
      <c r="AH749" t="s">
        <v>78</v>
      </c>
      <c r="AI749" t="s">
        <v>122</v>
      </c>
      <c r="AJ749" t="s">
        <v>122</v>
      </c>
      <c r="AK749" t="str">
        <f>VLOOKUP(MID($AR749,1,255),country_lookup!$B:$F,2,FALSE)</f>
        <v>1_US</v>
      </c>
      <c r="AL749" t="str">
        <f>VLOOKUP(MID($AR749,1,255),country_lookup!$B:$F,3,FALSE)</f>
        <v>1_developed</v>
      </c>
      <c r="AM749" t="str">
        <f>VLOOKUP(MID($AR749,1,255),country_lookup!$B:$F,4,FALSE)</f>
        <v>1_western</v>
      </c>
      <c r="AN749" t="str">
        <f>VLOOKUP(MID($AR749,1,255),country_lookup!$B:$F,5,FALSE)</f>
        <v>1_common law</v>
      </c>
      <c r="AO749" s="10" t="str">
        <f>VLOOKUP(MID($AS749,1,255),source_lookup!$B:$K,4,FALSE)</f>
        <v>0_published</v>
      </c>
      <c r="AP749" s="10" t="str">
        <f>VLOOKUP(MID($AS749,1,255),source_lookup!$B:$K,6,FALSE)</f>
        <v>1_VHB high</v>
      </c>
      <c r="AQ749" s="10" t="str">
        <f>VLOOKUP(MID($AS749,1,255),source_lookup!$B:$K,10,FALSE)</f>
        <v>1_fin/acc/econ</v>
      </c>
      <c r="AR749" t="s">
        <v>85</v>
      </c>
      <c r="AS749" t="s">
        <v>159</v>
      </c>
    </row>
    <row r="750" spans="1:45" x14ac:dyDescent="0.3">
      <c r="A750" t="s">
        <v>35</v>
      </c>
      <c r="B750">
        <v>749</v>
      </c>
      <c r="C750" s="1">
        <v>2.407981277730107E-2</v>
      </c>
      <c r="D750" s="2">
        <v>248</v>
      </c>
      <c r="E750" s="4">
        <v>2234</v>
      </c>
      <c r="F750" s="4" t="s">
        <v>346</v>
      </c>
      <c r="G750" s="4" t="s">
        <v>346</v>
      </c>
      <c r="H750" t="s">
        <v>77</v>
      </c>
      <c r="I750" t="s">
        <v>352</v>
      </c>
      <c r="J750" s="3">
        <v>2010</v>
      </c>
      <c r="K750" s="3">
        <v>2018</v>
      </c>
      <c r="L750" s="6">
        <f t="shared" si="231"/>
        <v>2014</v>
      </c>
      <c r="M750" s="6">
        <f t="shared" si="232"/>
        <v>2014</v>
      </c>
      <c r="N750" s="7">
        <f t="shared" si="220"/>
        <v>0.33333333333333331</v>
      </c>
      <c r="O750" s="7">
        <f t="shared" si="221"/>
        <v>0.22222222222222221</v>
      </c>
      <c r="P750" s="7">
        <f t="shared" si="222"/>
        <v>0.1111111111111111</v>
      </c>
      <c r="Q750" s="7">
        <f t="shared" si="233"/>
        <v>0</v>
      </c>
      <c r="R750" s="10" t="str">
        <f t="shared" si="223"/>
        <v>0_Pre</v>
      </c>
      <c r="S750" s="10" t="str">
        <f t="shared" si="224"/>
        <v>0_Pre</v>
      </c>
      <c r="T750" s="10" t="str">
        <f t="shared" si="225"/>
        <v>0_Pre</v>
      </c>
      <c r="U750" s="10" t="str">
        <f t="shared" si="226"/>
        <v>1_Post</v>
      </c>
      <c r="V750" s="10" t="str">
        <f t="shared" si="234"/>
        <v>0_Pre</v>
      </c>
      <c r="W750" s="10" t="str">
        <f t="shared" si="227"/>
        <v>straddle</v>
      </c>
      <c r="X750" s="10" t="str">
        <f t="shared" si="228"/>
        <v>0_Pre</v>
      </c>
      <c r="Y750" s="10" t="str">
        <f t="shared" si="229"/>
        <v>0_Pre</v>
      </c>
      <c r="Z750" s="10" t="str">
        <f t="shared" si="230"/>
        <v>0_Pre</v>
      </c>
      <c r="AA750" s="10" t="str">
        <f t="shared" si="235"/>
        <v>1_Post</v>
      </c>
      <c r="AB750" s="10" t="str">
        <f t="shared" si="236"/>
        <v>1_Post</v>
      </c>
      <c r="AC750" s="10" t="str">
        <f t="shared" si="237"/>
        <v>0_Pre</v>
      </c>
      <c r="AD750" s="10" t="str">
        <f t="shared" si="238"/>
        <v>2_post sample median</v>
      </c>
      <c r="AE750" s="10" t="str">
        <f t="shared" si="239"/>
        <v>3_post sample third tertile</v>
      </c>
      <c r="AF750" t="s">
        <v>81</v>
      </c>
      <c r="AG750" t="s">
        <v>74</v>
      </c>
      <c r="AH750" t="s">
        <v>78</v>
      </c>
      <c r="AI750" t="s">
        <v>122</v>
      </c>
      <c r="AJ750" t="s">
        <v>122</v>
      </c>
      <c r="AK750" t="str">
        <f>VLOOKUP(MID($AR750,1,255),country_lookup!$B:$F,2,FALSE)</f>
        <v>1_US</v>
      </c>
      <c r="AL750" t="str">
        <f>VLOOKUP(MID($AR750,1,255),country_lookup!$B:$F,3,FALSE)</f>
        <v>1_developed</v>
      </c>
      <c r="AM750" t="str">
        <f>VLOOKUP(MID($AR750,1,255),country_lookup!$B:$F,4,FALSE)</f>
        <v>1_western</v>
      </c>
      <c r="AN750" t="str">
        <f>VLOOKUP(MID($AR750,1,255),country_lookup!$B:$F,5,FALSE)</f>
        <v>1_common law</v>
      </c>
      <c r="AO750" s="10" t="str">
        <f>VLOOKUP(MID($AS750,1,255),source_lookup!$B:$K,4,FALSE)</f>
        <v>0_published</v>
      </c>
      <c r="AP750" s="10" t="str">
        <f>VLOOKUP(MID($AS750,1,255),source_lookup!$B:$K,6,FALSE)</f>
        <v>1_VHB high</v>
      </c>
      <c r="AQ750" s="10" t="str">
        <f>VLOOKUP(MID($AS750,1,255),source_lookup!$B:$K,10,FALSE)</f>
        <v>1_fin/acc/econ</v>
      </c>
      <c r="AR750" t="s">
        <v>85</v>
      </c>
      <c r="AS750" t="s">
        <v>159</v>
      </c>
    </row>
    <row r="751" spans="1:45" x14ac:dyDescent="0.3">
      <c r="A751" t="s">
        <v>35</v>
      </c>
      <c r="B751">
        <v>750</v>
      </c>
      <c r="C751" s="1">
        <v>3.9894369125989873E-4</v>
      </c>
      <c r="D751" s="2">
        <v>248</v>
      </c>
      <c r="E751" s="4">
        <v>2234</v>
      </c>
      <c r="F751" s="4" t="s">
        <v>346</v>
      </c>
      <c r="G751" s="4" t="s">
        <v>346</v>
      </c>
      <c r="H751" t="s">
        <v>77</v>
      </c>
      <c r="I751" t="s">
        <v>352</v>
      </c>
      <c r="J751" s="3">
        <v>2010</v>
      </c>
      <c r="K751" s="3">
        <v>2018</v>
      </c>
      <c r="L751" s="6">
        <f t="shared" si="231"/>
        <v>2014</v>
      </c>
      <c r="M751" s="6">
        <f t="shared" si="232"/>
        <v>2014</v>
      </c>
      <c r="N751" s="7">
        <f t="shared" si="220"/>
        <v>0.33333333333333331</v>
      </c>
      <c r="O751" s="7">
        <f t="shared" si="221"/>
        <v>0.22222222222222221</v>
      </c>
      <c r="P751" s="7">
        <f t="shared" si="222"/>
        <v>0.1111111111111111</v>
      </c>
      <c r="Q751" s="7">
        <f t="shared" si="233"/>
        <v>0</v>
      </c>
      <c r="R751" s="10" t="str">
        <f t="shared" si="223"/>
        <v>0_Pre</v>
      </c>
      <c r="S751" s="10" t="str">
        <f t="shared" si="224"/>
        <v>0_Pre</v>
      </c>
      <c r="T751" s="10" t="str">
        <f t="shared" si="225"/>
        <v>0_Pre</v>
      </c>
      <c r="U751" s="10" t="str">
        <f t="shared" si="226"/>
        <v>1_Post</v>
      </c>
      <c r="V751" s="10" t="str">
        <f t="shared" si="234"/>
        <v>0_Pre</v>
      </c>
      <c r="W751" s="10" t="str">
        <f t="shared" si="227"/>
        <v>straddle</v>
      </c>
      <c r="X751" s="10" t="str">
        <f t="shared" si="228"/>
        <v>0_Pre</v>
      </c>
      <c r="Y751" s="10" t="str">
        <f t="shared" si="229"/>
        <v>0_Pre</v>
      </c>
      <c r="Z751" s="10" t="str">
        <f t="shared" si="230"/>
        <v>0_Pre</v>
      </c>
      <c r="AA751" s="10" t="str">
        <f t="shared" si="235"/>
        <v>1_Post</v>
      </c>
      <c r="AB751" s="10" t="str">
        <f t="shared" si="236"/>
        <v>1_Post</v>
      </c>
      <c r="AC751" s="10" t="str">
        <f t="shared" si="237"/>
        <v>0_Pre</v>
      </c>
      <c r="AD751" s="10" t="str">
        <f t="shared" si="238"/>
        <v>2_post sample median</v>
      </c>
      <c r="AE751" s="10" t="str">
        <f t="shared" si="239"/>
        <v>3_post sample third tertile</v>
      </c>
      <c r="AF751" t="s">
        <v>81</v>
      </c>
      <c r="AG751" t="s">
        <v>74</v>
      </c>
      <c r="AH751" t="s">
        <v>78</v>
      </c>
      <c r="AI751" t="s">
        <v>122</v>
      </c>
      <c r="AJ751" t="s">
        <v>122</v>
      </c>
      <c r="AK751" t="str">
        <f>VLOOKUP(MID($AR751,1,255),country_lookup!$B:$F,2,FALSE)</f>
        <v>1_US</v>
      </c>
      <c r="AL751" t="str">
        <f>VLOOKUP(MID($AR751,1,255),country_lookup!$B:$F,3,FALSE)</f>
        <v>1_developed</v>
      </c>
      <c r="AM751" t="str">
        <f>VLOOKUP(MID($AR751,1,255),country_lookup!$B:$F,4,FALSE)</f>
        <v>1_western</v>
      </c>
      <c r="AN751" t="str">
        <f>VLOOKUP(MID($AR751,1,255),country_lookup!$B:$F,5,FALSE)</f>
        <v>1_common law</v>
      </c>
      <c r="AO751" s="10" t="str">
        <f>VLOOKUP(MID($AS751,1,255),source_lookup!$B:$K,4,FALSE)</f>
        <v>0_published</v>
      </c>
      <c r="AP751" s="10" t="str">
        <f>VLOOKUP(MID($AS751,1,255),source_lookup!$B:$K,6,FALSE)</f>
        <v>1_VHB high</v>
      </c>
      <c r="AQ751" s="10" t="str">
        <f>VLOOKUP(MID($AS751,1,255),source_lookup!$B:$K,10,FALSE)</f>
        <v>1_fin/acc/econ</v>
      </c>
      <c r="AR751" t="s">
        <v>85</v>
      </c>
      <c r="AS751" t="s">
        <v>159</v>
      </c>
    </row>
    <row r="752" spans="1:45" x14ac:dyDescent="0.3">
      <c r="A752" t="s">
        <v>35</v>
      </c>
      <c r="B752">
        <v>751</v>
      </c>
      <c r="C752" s="1">
        <v>-3.1634623195017635E-2</v>
      </c>
      <c r="D752" s="2">
        <v>115</v>
      </c>
      <c r="E752" s="4">
        <v>1035</v>
      </c>
      <c r="F752" s="4" t="s">
        <v>346</v>
      </c>
      <c r="G752" s="4" t="s">
        <v>346</v>
      </c>
      <c r="H752" t="s">
        <v>77</v>
      </c>
      <c r="I752" t="s">
        <v>352</v>
      </c>
      <c r="J752" s="3">
        <v>2010</v>
      </c>
      <c r="K752" s="3">
        <v>2018</v>
      </c>
      <c r="L752" s="6">
        <f t="shared" si="231"/>
        <v>2014</v>
      </c>
      <c r="M752" s="6">
        <f t="shared" si="232"/>
        <v>2014</v>
      </c>
      <c r="N752" s="7">
        <f t="shared" si="220"/>
        <v>0.33333333333333331</v>
      </c>
      <c r="O752" s="7">
        <f t="shared" si="221"/>
        <v>0.22222222222222221</v>
      </c>
      <c r="P752" s="7">
        <f t="shared" si="222"/>
        <v>0.1111111111111111</v>
      </c>
      <c r="Q752" s="7">
        <f t="shared" si="233"/>
        <v>0</v>
      </c>
      <c r="R752" s="10" t="str">
        <f t="shared" si="223"/>
        <v>0_Pre</v>
      </c>
      <c r="S752" s="10" t="str">
        <f t="shared" si="224"/>
        <v>0_Pre</v>
      </c>
      <c r="T752" s="10" t="str">
        <f t="shared" si="225"/>
        <v>0_Pre</v>
      </c>
      <c r="U752" s="10" t="str">
        <f t="shared" si="226"/>
        <v>1_Post</v>
      </c>
      <c r="V752" s="10" t="str">
        <f t="shared" si="234"/>
        <v>0_Pre</v>
      </c>
      <c r="W752" s="10" t="str">
        <f t="shared" si="227"/>
        <v>straddle</v>
      </c>
      <c r="X752" s="10" t="str">
        <f t="shared" si="228"/>
        <v>0_Pre</v>
      </c>
      <c r="Y752" s="10" t="str">
        <f t="shared" si="229"/>
        <v>0_Pre</v>
      </c>
      <c r="Z752" s="10" t="str">
        <f t="shared" si="230"/>
        <v>0_Pre</v>
      </c>
      <c r="AA752" s="10" t="str">
        <f t="shared" si="235"/>
        <v>1_Post</v>
      </c>
      <c r="AB752" s="10" t="str">
        <f t="shared" si="236"/>
        <v>1_Post</v>
      </c>
      <c r="AC752" s="10" t="str">
        <f t="shared" si="237"/>
        <v>0_Pre</v>
      </c>
      <c r="AD752" s="10" t="str">
        <f t="shared" si="238"/>
        <v>2_post sample median</v>
      </c>
      <c r="AE752" s="10" t="str">
        <f t="shared" si="239"/>
        <v>3_post sample third tertile</v>
      </c>
      <c r="AF752" t="s">
        <v>81</v>
      </c>
      <c r="AG752" t="s">
        <v>74</v>
      </c>
      <c r="AH752" t="s">
        <v>78</v>
      </c>
      <c r="AI752" t="s">
        <v>122</v>
      </c>
      <c r="AJ752" t="s">
        <v>122</v>
      </c>
      <c r="AK752" t="str">
        <f>VLOOKUP(MID($AR752,1,255),country_lookup!$B:$F,2,FALSE)</f>
        <v>1_US</v>
      </c>
      <c r="AL752" t="str">
        <f>VLOOKUP(MID($AR752,1,255),country_lookup!$B:$F,3,FALSE)</f>
        <v>1_developed</v>
      </c>
      <c r="AM752" t="str">
        <f>VLOOKUP(MID($AR752,1,255),country_lookup!$B:$F,4,FALSE)</f>
        <v>1_western</v>
      </c>
      <c r="AN752" t="str">
        <f>VLOOKUP(MID($AR752,1,255),country_lookup!$B:$F,5,FALSE)</f>
        <v>1_common law</v>
      </c>
      <c r="AO752" s="10" t="str">
        <f>VLOOKUP(MID($AS752,1,255),source_lookup!$B:$K,4,FALSE)</f>
        <v>0_published</v>
      </c>
      <c r="AP752" s="10" t="str">
        <f>VLOOKUP(MID($AS752,1,255),source_lookup!$B:$K,6,FALSE)</f>
        <v>1_VHB high</v>
      </c>
      <c r="AQ752" s="10" t="str">
        <f>VLOOKUP(MID($AS752,1,255),source_lookup!$B:$K,10,FALSE)</f>
        <v>1_fin/acc/econ</v>
      </c>
      <c r="AR752" t="s">
        <v>85</v>
      </c>
      <c r="AS752" t="s">
        <v>159</v>
      </c>
    </row>
    <row r="753" spans="1:45" x14ac:dyDescent="0.3">
      <c r="A753" t="s">
        <v>35</v>
      </c>
      <c r="B753">
        <v>752</v>
      </c>
      <c r="C753" s="1">
        <v>3.5969196366537983E-3</v>
      </c>
      <c r="D753" s="2">
        <v>115</v>
      </c>
      <c r="E753" s="4">
        <v>1035</v>
      </c>
      <c r="F753" s="4" t="s">
        <v>346</v>
      </c>
      <c r="G753" s="4" t="s">
        <v>346</v>
      </c>
      <c r="H753" t="s">
        <v>77</v>
      </c>
      <c r="I753" t="s">
        <v>352</v>
      </c>
      <c r="J753" s="3">
        <v>2010</v>
      </c>
      <c r="K753" s="3">
        <v>2018</v>
      </c>
      <c r="L753" s="6">
        <f t="shared" si="231"/>
        <v>2014</v>
      </c>
      <c r="M753" s="6">
        <f t="shared" si="232"/>
        <v>2014</v>
      </c>
      <c r="N753" s="7">
        <f t="shared" si="220"/>
        <v>0.33333333333333331</v>
      </c>
      <c r="O753" s="7">
        <f t="shared" si="221"/>
        <v>0.22222222222222221</v>
      </c>
      <c r="P753" s="7">
        <f t="shared" si="222"/>
        <v>0.1111111111111111</v>
      </c>
      <c r="Q753" s="7">
        <f t="shared" si="233"/>
        <v>0</v>
      </c>
      <c r="R753" s="10" t="str">
        <f t="shared" si="223"/>
        <v>0_Pre</v>
      </c>
      <c r="S753" s="10" t="str">
        <f t="shared" si="224"/>
        <v>0_Pre</v>
      </c>
      <c r="T753" s="10" t="str">
        <f t="shared" si="225"/>
        <v>0_Pre</v>
      </c>
      <c r="U753" s="10" t="str">
        <f t="shared" si="226"/>
        <v>1_Post</v>
      </c>
      <c r="V753" s="10" t="str">
        <f t="shared" si="234"/>
        <v>0_Pre</v>
      </c>
      <c r="W753" s="10" t="str">
        <f t="shared" si="227"/>
        <v>straddle</v>
      </c>
      <c r="X753" s="10" t="str">
        <f t="shared" si="228"/>
        <v>0_Pre</v>
      </c>
      <c r="Y753" s="10" t="str">
        <f t="shared" si="229"/>
        <v>0_Pre</v>
      </c>
      <c r="Z753" s="10" t="str">
        <f t="shared" si="230"/>
        <v>0_Pre</v>
      </c>
      <c r="AA753" s="10" t="str">
        <f t="shared" si="235"/>
        <v>1_Post</v>
      </c>
      <c r="AB753" s="10" t="str">
        <f t="shared" si="236"/>
        <v>1_Post</v>
      </c>
      <c r="AC753" s="10" t="str">
        <f t="shared" si="237"/>
        <v>0_Pre</v>
      </c>
      <c r="AD753" s="10" t="str">
        <f t="shared" si="238"/>
        <v>2_post sample median</v>
      </c>
      <c r="AE753" s="10" t="str">
        <f t="shared" si="239"/>
        <v>3_post sample third tertile</v>
      </c>
      <c r="AF753" t="s">
        <v>81</v>
      </c>
      <c r="AG753" t="s">
        <v>74</v>
      </c>
      <c r="AH753" t="s">
        <v>78</v>
      </c>
      <c r="AI753" t="s">
        <v>122</v>
      </c>
      <c r="AJ753" t="s">
        <v>122</v>
      </c>
      <c r="AK753" t="str">
        <f>VLOOKUP(MID($AR753,1,255),country_lookup!$B:$F,2,FALSE)</f>
        <v>1_US</v>
      </c>
      <c r="AL753" t="str">
        <f>VLOOKUP(MID($AR753,1,255),country_lookup!$B:$F,3,FALSE)</f>
        <v>1_developed</v>
      </c>
      <c r="AM753" t="str">
        <f>VLOOKUP(MID($AR753,1,255),country_lookup!$B:$F,4,FALSE)</f>
        <v>1_western</v>
      </c>
      <c r="AN753" t="str">
        <f>VLOOKUP(MID($AR753,1,255),country_lookup!$B:$F,5,FALSE)</f>
        <v>1_common law</v>
      </c>
      <c r="AO753" s="10" t="str">
        <f>VLOOKUP(MID($AS753,1,255),source_lookup!$B:$K,4,FALSE)</f>
        <v>0_published</v>
      </c>
      <c r="AP753" s="10" t="str">
        <f>VLOOKUP(MID($AS753,1,255),source_lookup!$B:$K,6,FALSE)</f>
        <v>1_VHB high</v>
      </c>
      <c r="AQ753" s="10" t="str">
        <f>VLOOKUP(MID($AS753,1,255),source_lookup!$B:$K,10,FALSE)</f>
        <v>1_fin/acc/econ</v>
      </c>
      <c r="AR753" t="s">
        <v>85</v>
      </c>
      <c r="AS753" t="s">
        <v>159</v>
      </c>
    </row>
    <row r="754" spans="1:45" x14ac:dyDescent="0.3">
      <c r="A754" t="s">
        <v>35</v>
      </c>
      <c r="B754">
        <v>753</v>
      </c>
      <c r="C754" s="1">
        <v>-1.215923429831727E-2</v>
      </c>
      <c r="D754" s="2">
        <v>115</v>
      </c>
      <c r="E754" s="4">
        <v>1035</v>
      </c>
      <c r="F754" s="4" t="s">
        <v>346</v>
      </c>
      <c r="G754" s="4" t="s">
        <v>346</v>
      </c>
      <c r="H754" t="s">
        <v>77</v>
      </c>
      <c r="I754" t="s">
        <v>352</v>
      </c>
      <c r="J754" s="3">
        <v>2010</v>
      </c>
      <c r="K754" s="3">
        <v>2018</v>
      </c>
      <c r="L754" s="6">
        <f t="shared" si="231"/>
        <v>2014</v>
      </c>
      <c r="M754" s="6">
        <f t="shared" si="232"/>
        <v>2014</v>
      </c>
      <c r="N754" s="7">
        <f t="shared" si="220"/>
        <v>0.33333333333333331</v>
      </c>
      <c r="O754" s="7">
        <f t="shared" si="221"/>
        <v>0.22222222222222221</v>
      </c>
      <c r="P754" s="7">
        <f t="shared" si="222"/>
        <v>0.1111111111111111</v>
      </c>
      <c r="Q754" s="7">
        <f t="shared" si="233"/>
        <v>0</v>
      </c>
      <c r="R754" s="10" t="str">
        <f t="shared" si="223"/>
        <v>0_Pre</v>
      </c>
      <c r="S754" s="10" t="str">
        <f t="shared" si="224"/>
        <v>0_Pre</v>
      </c>
      <c r="T754" s="10" t="str">
        <f t="shared" si="225"/>
        <v>0_Pre</v>
      </c>
      <c r="U754" s="10" t="str">
        <f t="shared" si="226"/>
        <v>1_Post</v>
      </c>
      <c r="V754" s="10" t="str">
        <f t="shared" si="234"/>
        <v>0_Pre</v>
      </c>
      <c r="W754" s="10" t="str">
        <f t="shared" si="227"/>
        <v>straddle</v>
      </c>
      <c r="X754" s="10" t="str">
        <f t="shared" si="228"/>
        <v>0_Pre</v>
      </c>
      <c r="Y754" s="10" t="str">
        <f t="shared" si="229"/>
        <v>0_Pre</v>
      </c>
      <c r="Z754" s="10" t="str">
        <f t="shared" si="230"/>
        <v>0_Pre</v>
      </c>
      <c r="AA754" s="10" t="str">
        <f t="shared" si="235"/>
        <v>1_Post</v>
      </c>
      <c r="AB754" s="10" t="str">
        <f t="shared" si="236"/>
        <v>1_Post</v>
      </c>
      <c r="AC754" s="10" t="str">
        <f t="shared" si="237"/>
        <v>0_Pre</v>
      </c>
      <c r="AD754" s="10" t="str">
        <f t="shared" si="238"/>
        <v>2_post sample median</v>
      </c>
      <c r="AE754" s="10" t="str">
        <f t="shared" si="239"/>
        <v>3_post sample third tertile</v>
      </c>
      <c r="AF754" t="s">
        <v>81</v>
      </c>
      <c r="AG754" t="s">
        <v>74</v>
      </c>
      <c r="AH754" t="s">
        <v>78</v>
      </c>
      <c r="AI754" t="s">
        <v>122</v>
      </c>
      <c r="AJ754" t="s">
        <v>122</v>
      </c>
      <c r="AK754" t="str">
        <f>VLOOKUP(MID($AR754,1,255),country_lookup!$B:$F,2,FALSE)</f>
        <v>1_US</v>
      </c>
      <c r="AL754" t="str">
        <f>VLOOKUP(MID($AR754,1,255),country_lookup!$B:$F,3,FALSE)</f>
        <v>1_developed</v>
      </c>
      <c r="AM754" t="str">
        <f>VLOOKUP(MID($AR754,1,255),country_lookup!$B:$F,4,FALSE)</f>
        <v>1_western</v>
      </c>
      <c r="AN754" t="str">
        <f>VLOOKUP(MID($AR754,1,255),country_lookup!$B:$F,5,FALSE)</f>
        <v>1_common law</v>
      </c>
      <c r="AO754" s="10" t="str">
        <f>VLOOKUP(MID($AS754,1,255),source_lookup!$B:$K,4,FALSE)</f>
        <v>0_published</v>
      </c>
      <c r="AP754" s="10" t="str">
        <f>VLOOKUP(MID($AS754,1,255),source_lookup!$B:$K,6,FALSE)</f>
        <v>1_VHB high</v>
      </c>
      <c r="AQ754" s="10" t="str">
        <f>VLOOKUP(MID($AS754,1,255),source_lookup!$B:$K,10,FALSE)</f>
        <v>1_fin/acc/econ</v>
      </c>
      <c r="AR754" t="s">
        <v>85</v>
      </c>
      <c r="AS754" t="s">
        <v>159</v>
      </c>
    </row>
    <row r="755" spans="1:45" x14ac:dyDescent="0.3">
      <c r="A755" t="s">
        <v>35</v>
      </c>
      <c r="B755">
        <v>754</v>
      </c>
      <c r="C755" s="1">
        <v>-8.8018393277703069E-2</v>
      </c>
      <c r="D755" s="2">
        <v>115</v>
      </c>
      <c r="E755" s="4">
        <v>1035</v>
      </c>
      <c r="F755" s="4" t="s">
        <v>346</v>
      </c>
      <c r="G755" s="4" t="s">
        <v>346</v>
      </c>
      <c r="H755" t="s">
        <v>77</v>
      </c>
      <c r="I755" t="s">
        <v>352</v>
      </c>
      <c r="J755" s="3">
        <v>2010</v>
      </c>
      <c r="K755" s="3">
        <v>2018</v>
      </c>
      <c r="L755" s="6">
        <f t="shared" si="231"/>
        <v>2014</v>
      </c>
      <c r="M755" s="6">
        <f t="shared" si="232"/>
        <v>2014</v>
      </c>
      <c r="N755" s="7">
        <f t="shared" si="220"/>
        <v>0.33333333333333331</v>
      </c>
      <c r="O755" s="7">
        <f t="shared" si="221"/>
        <v>0.22222222222222221</v>
      </c>
      <c r="P755" s="7">
        <f t="shared" si="222"/>
        <v>0.1111111111111111</v>
      </c>
      <c r="Q755" s="7">
        <f t="shared" si="233"/>
        <v>0</v>
      </c>
      <c r="R755" s="10" t="str">
        <f t="shared" si="223"/>
        <v>0_Pre</v>
      </c>
      <c r="S755" s="10" t="str">
        <f t="shared" si="224"/>
        <v>0_Pre</v>
      </c>
      <c r="T755" s="10" t="str">
        <f t="shared" si="225"/>
        <v>0_Pre</v>
      </c>
      <c r="U755" s="10" t="str">
        <f t="shared" si="226"/>
        <v>1_Post</v>
      </c>
      <c r="V755" s="10" t="str">
        <f t="shared" si="234"/>
        <v>0_Pre</v>
      </c>
      <c r="W755" s="10" t="str">
        <f t="shared" si="227"/>
        <v>straddle</v>
      </c>
      <c r="X755" s="10" t="str">
        <f t="shared" si="228"/>
        <v>0_Pre</v>
      </c>
      <c r="Y755" s="10" t="str">
        <f t="shared" si="229"/>
        <v>0_Pre</v>
      </c>
      <c r="Z755" s="10" t="str">
        <f t="shared" si="230"/>
        <v>0_Pre</v>
      </c>
      <c r="AA755" s="10" t="str">
        <f t="shared" si="235"/>
        <v>1_Post</v>
      </c>
      <c r="AB755" s="10" t="str">
        <f t="shared" si="236"/>
        <v>1_Post</v>
      </c>
      <c r="AC755" s="10" t="str">
        <f t="shared" si="237"/>
        <v>0_Pre</v>
      </c>
      <c r="AD755" s="10" t="str">
        <f t="shared" si="238"/>
        <v>2_post sample median</v>
      </c>
      <c r="AE755" s="10" t="str">
        <f t="shared" si="239"/>
        <v>3_post sample third tertile</v>
      </c>
      <c r="AF755" t="s">
        <v>81</v>
      </c>
      <c r="AG755" t="s">
        <v>74</v>
      </c>
      <c r="AH755" t="s">
        <v>78</v>
      </c>
      <c r="AI755" t="s">
        <v>122</v>
      </c>
      <c r="AJ755" t="s">
        <v>122</v>
      </c>
      <c r="AK755" t="str">
        <f>VLOOKUP(MID($AR755,1,255),country_lookup!$B:$F,2,FALSE)</f>
        <v>1_US</v>
      </c>
      <c r="AL755" t="str">
        <f>VLOOKUP(MID($AR755,1,255),country_lookup!$B:$F,3,FALSE)</f>
        <v>1_developed</v>
      </c>
      <c r="AM755" t="str">
        <f>VLOOKUP(MID($AR755,1,255),country_lookup!$B:$F,4,FALSE)</f>
        <v>1_western</v>
      </c>
      <c r="AN755" t="str">
        <f>VLOOKUP(MID($AR755,1,255),country_lookup!$B:$F,5,FALSE)</f>
        <v>1_common law</v>
      </c>
      <c r="AO755" s="10" t="str">
        <f>VLOOKUP(MID($AS755,1,255),source_lookup!$B:$K,4,FALSE)</f>
        <v>0_published</v>
      </c>
      <c r="AP755" s="10" t="str">
        <f>VLOOKUP(MID($AS755,1,255),source_lookup!$B:$K,6,FALSE)</f>
        <v>1_VHB high</v>
      </c>
      <c r="AQ755" s="10" t="str">
        <f>VLOOKUP(MID($AS755,1,255),source_lookup!$B:$K,10,FALSE)</f>
        <v>1_fin/acc/econ</v>
      </c>
      <c r="AR755" t="s">
        <v>85</v>
      </c>
      <c r="AS755" t="s">
        <v>159</v>
      </c>
    </row>
    <row r="756" spans="1:45" x14ac:dyDescent="0.3">
      <c r="A756" t="s">
        <v>35</v>
      </c>
      <c r="B756">
        <v>755</v>
      </c>
      <c r="C756" s="1">
        <v>6.4167525988352023E-3</v>
      </c>
      <c r="D756" s="2">
        <v>363</v>
      </c>
      <c r="E756" s="4">
        <v>3269</v>
      </c>
      <c r="F756" s="4" t="s">
        <v>346</v>
      </c>
      <c r="G756" s="4" t="s">
        <v>346</v>
      </c>
      <c r="H756" t="s">
        <v>77</v>
      </c>
      <c r="I756" t="s">
        <v>352</v>
      </c>
      <c r="J756" s="3">
        <v>2010</v>
      </c>
      <c r="K756" s="3">
        <v>2018</v>
      </c>
      <c r="L756" s="6">
        <f t="shared" si="231"/>
        <v>2014</v>
      </c>
      <c r="M756" s="6">
        <f t="shared" si="232"/>
        <v>2014</v>
      </c>
      <c r="N756" s="7">
        <f t="shared" si="220"/>
        <v>0.33333333333333331</v>
      </c>
      <c r="O756" s="7">
        <f t="shared" si="221"/>
        <v>0.22222222222222221</v>
      </c>
      <c r="P756" s="7">
        <f t="shared" si="222"/>
        <v>0.1111111111111111</v>
      </c>
      <c r="Q756" s="7">
        <f t="shared" si="233"/>
        <v>0</v>
      </c>
      <c r="R756" s="10" t="str">
        <f t="shared" si="223"/>
        <v>0_Pre</v>
      </c>
      <c r="S756" s="10" t="str">
        <f t="shared" si="224"/>
        <v>0_Pre</v>
      </c>
      <c r="T756" s="10" t="str">
        <f t="shared" si="225"/>
        <v>0_Pre</v>
      </c>
      <c r="U756" s="10" t="str">
        <f t="shared" si="226"/>
        <v>1_Post</v>
      </c>
      <c r="V756" s="10" t="str">
        <f t="shared" si="234"/>
        <v>0_Pre</v>
      </c>
      <c r="W756" s="10" t="str">
        <f t="shared" si="227"/>
        <v>straddle</v>
      </c>
      <c r="X756" s="10" t="str">
        <f t="shared" si="228"/>
        <v>0_Pre</v>
      </c>
      <c r="Y756" s="10" t="str">
        <f t="shared" si="229"/>
        <v>0_Pre</v>
      </c>
      <c r="Z756" s="10" t="str">
        <f t="shared" si="230"/>
        <v>0_Pre</v>
      </c>
      <c r="AA756" s="10" t="str">
        <f t="shared" si="235"/>
        <v>1_Post</v>
      </c>
      <c r="AB756" s="10" t="str">
        <f t="shared" si="236"/>
        <v>1_Post</v>
      </c>
      <c r="AC756" s="10" t="str">
        <f t="shared" si="237"/>
        <v>0_Pre</v>
      </c>
      <c r="AD756" s="10" t="str">
        <f t="shared" si="238"/>
        <v>2_post sample median</v>
      </c>
      <c r="AE756" s="10" t="str">
        <f t="shared" si="239"/>
        <v>3_post sample third tertile</v>
      </c>
      <c r="AF756" t="s">
        <v>81</v>
      </c>
      <c r="AG756" t="s">
        <v>74</v>
      </c>
      <c r="AH756" t="s">
        <v>78</v>
      </c>
      <c r="AI756" t="s">
        <v>122</v>
      </c>
      <c r="AJ756" t="s">
        <v>122</v>
      </c>
      <c r="AK756" t="str">
        <f>VLOOKUP(MID($AR756,1,255),country_lookup!$B:$F,2,FALSE)</f>
        <v>1_US</v>
      </c>
      <c r="AL756" t="str">
        <f>VLOOKUP(MID($AR756,1,255),country_lookup!$B:$F,3,FALSE)</f>
        <v>1_developed</v>
      </c>
      <c r="AM756" t="str">
        <f>VLOOKUP(MID($AR756,1,255),country_lookup!$B:$F,4,FALSE)</f>
        <v>1_western</v>
      </c>
      <c r="AN756" t="str">
        <f>VLOOKUP(MID($AR756,1,255),country_lookup!$B:$F,5,FALSE)</f>
        <v>1_common law</v>
      </c>
      <c r="AO756" s="10" t="str">
        <f>VLOOKUP(MID($AS756,1,255),source_lookup!$B:$K,4,FALSE)</f>
        <v>0_published</v>
      </c>
      <c r="AP756" s="10" t="str">
        <f>VLOOKUP(MID($AS756,1,255),source_lookup!$B:$K,6,FALSE)</f>
        <v>1_VHB high</v>
      </c>
      <c r="AQ756" s="10" t="str">
        <f>VLOOKUP(MID($AS756,1,255),source_lookup!$B:$K,10,FALSE)</f>
        <v>1_fin/acc/econ</v>
      </c>
      <c r="AR756" t="s">
        <v>85</v>
      </c>
      <c r="AS756" t="s">
        <v>159</v>
      </c>
    </row>
    <row r="757" spans="1:45" x14ac:dyDescent="0.3">
      <c r="A757" t="s">
        <v>35</v>
      </c>
      <c r="B757">
        <v>756</v>
      </c>
      <c r="C757" s="1">
        <v>-2.3687003333724855E-2</v>
      </c>
      <c r="D757" s="2">
        <v>363</v>
      </c>
      <c r="E757" s="4">
        <v>3269</v>
      </c>
      <c r="F757" s="4" t="s">
        <v>346</v>
      </c>
      <c r="G757" s="4" t="s">
        <v>346</v>
      </c>
      <c r="H757" t="s">
        <v>77</v>
      </c>
      <c r="I757" t="s">
        <v>352</v>
      </c>
      <c r="J757" s="3">
        <v>2010</v>
      </c>
      <c r="K757" s="3">
        <v>2018</v>
      </c>
      <c r="L757" s="6">
        <f t="shared" si="231"/>
        <v>2014</v>
      </c>
      <c r="M757" s="6">
        <f t="shared" si="232"/>
        <v>2014</v>
      </c>
      <c r="N757" s="7">
        <f t="shared" si="220"/>
        <v>0.33333333333333331</v>
      </c>
      <c r="O757" s="7">
        <f t="shared" si="221"/>
        <v>0.22222222222222221</v>
      </c>
      <c r="P757" s="7">
        <f t="shared" si="222"/>
        <v>0.1111111111111111</v>
      </c>
      <c r="Q757" s="7">
        <f t="shared" si="233"/>
        <v>0</v>
      </c>
      <c r="R757" s="10" t="str">
        <f t="shared" si="223"/>
        <v>0_Pre</v>
      </c>
      <c r="S757" s="10" t="str">
        <f t="shared" si="224"/>
        <v>0_Pre</v>
      </c>
      <c r="T757" s="10" t="str">
        <f t="shared" si="225"/>
        <v>0_Pre</v>
      </c>
      <c r="U757" s="10" t="str">
        <f t="shared" si="226"/>
        <v>1_Post</v>
      </c>
      <c r="V757" s="10" t="str">
        <f t="shared" si="234"/>
        <v>0_Pre</v>
      </c>
      <c r="W757" s="10" t="str">
        <f t="shared" si="227"/>
        <v>straddle</v>
      </c>
      <c r="X757" s="10" t="str">
        <f t="shared" si="228"/>
        <v>0_Pre</v>
      </c>
      <c r="Y757" s="10" t="str">
        <f t="shared" si="229"/>
        <v>0_Pre</v>
      </c>
      <c r="Z757" s="10" t="str">
        <f t="shared" si="230"/>
        <v>0_Pre</v>
      </c>
      <c r="AA757" s="10" t="str">
        <f t="shared" si="235"/>
        <v>1_Post</v>
      </c>
      <c r="AB757" s="10" t="str">
        <f t="shared" si="236"/>
        <v>1_Post</v>
      </c>
      <c r="AC757" s="10" t="str">
        <f t="shared" si="237"/>
        <v>0_Pre</v>
      </c>
      <c r="AD757" s="10" t="str">
        <f t="shared" si="238"/>
        <v>2_post sample median</v>
      </c>
      <c r="AE757" s="10" t="str">
        <f t="shared" si="239"/>
        <v>3_post sample third tertile</v>
      </c>
      <c r="AF757" t="s">
        <v>81</v>
      </c>
      <c r="AG757" t="s">
        <v>74</v>
      </c>
      <c r="AH757" t="s">
        <v>78</v>
      </c>
      <c r="AI757" t="s">
        <v>122</v>
      </c>
      <c r="AJ757" t="s">
        <v>122</v>
      </c>
      <c r="AK757" t="str">
        <f>VLOOKUP(MID($AR757,1,255),country_lookup!$B:$F,2,FALSE)</f>
        <v>1_US</v>
      </c>
      <c r="AL757" t="str">
        <f>VLOOKUP(MID($AR757,1,255),country_lookup!$B:$F,3,FALSE)</f>
        <v>1_developed</v>
      </c>
      <c r="AM757" t="str">
        <f>VLOOKUP(MID($AR757,1,255),country_lookup!$B:$F,4,FALSE)</f>
        <v>1_western</v>
      </c>
      <c r="AN757" t="str">
        <f>VLOOKUP(MID($AR757,1,255),country_lookup!$B:$F,5,FALSE)</f>
        <v>1_common law</v>
      </c>
      <c r="AO757" s="10" t="str">
        <f>VLOOKUP(MID($AS757,1,255),source_lookup!$B:$K,4,FALSE)</f>
        <v>0_published</v>
      </c>
      <c r="AP757" s="10" t="str">
        <f>VLOOKUP(MID($AS757,1,255),source_lookup!$B:$K,6,FALSE)</f>
        <v>1_VHB high</v>
      </c>
      <c r="AQ757" s="10" t="str">
        <f>VLOOKUP(MID($AS757,1,255),source_lookup!$B:$K,10,FALSE)</f>
        <v>1_fin/acc/econ</v>
      </c>
      <c r="AR757" t="s">
        <v>85</v>
      </c>
      <c r="AS757" t="s">
        <v>159</v>
      </c>
    </row>
    <row r="758" spans="1:45" x14ac:dyDescent="0.3">
      <c r="A758" t="s">
        <v>35</v>
      </c>
      <c r="B758">
        <v>757</v>
      </c>
      <c r="C758" s="1">
        <v>-1.312090404316223E-2</v>
      </c>
      <c r="D758" s="2">
        <v>115</v>
      </c>
      <c r="E758" s="4">
        <v>1035</v>
      </c>
      <c r="F758" s="4" t="s">
        <v>346</v>
      </c>
      <c r="G758" s="4" t="s">
        <v>346</v>
      </c>
      <c r="H758" t="s">
        <v>77</v>
      </c>
      <c r="I758" t="s">
        <v>352</v>
      </c>
      <c r="J758" s="3">
        <v>2010</v>
      </c>
      <c r="K758" s="3">
        <v>2018</v>
      </c>
      <c r="L758" s="6">
        <f t="shared" si="231"/>
        <v>2014</v>
      </c>
      <c r="M758" s="6">
        <f t="shared" si="232"/>
        <v>2014</v>
      </c>
      <c r="N758" s="7">
        <f t="shared" si="220"/>
        <v>0.33333333333333331</v>
      </c>
      <c r="O758" s="7">
        <f t="shared" si="221"/>
        <v>0.22222222222222221</v>
      </c>
      <c r="P758" s="7">
        <f t="shared" si="222"/>
        <v>0.1111111111111111</v>
      </c>
      <c r="Q758" s="7">
        <f t="shared" si="233"/>
        <v>0</v>
      </c>
      <c r="R758" s="10" t="str">
        <f t="shared" si="223"/>
        <v>0_Pre</v>
      </c>
      <c r="S758" s="10" t="str">
        <f t="shared" si="224"/>
        <v>0_Pre</v>
      </c>
      <c r="T758" s="10" t="str">
        <f t="shared" si="225"/>
        <v>0_Pre</v>
      </c>
      <c r="U758" s="10" t="str">
        <f t="shared" si="226"/>
        <v>1_Post</v>
      </c>
      <c r="V758" s="10" t="str">
        <f t="shared" si="234"/>
        <v>0_Pre</v>
      </c>
      <c r="W758" s="10" t="str">
        <f t="shared" si="227"/>
        <v>straddle</v>
      </c>
      <c r="X758" s="10" t="str">
        <f t="shared" si="228"/>
        <v>0_Pre</v>
      </c>
      <c r="Y758" s="10" t="str">
        <f t="shared" si="229"/>
        <v>0_Pre</v>
      </c>
      <c r="Z758" s="10" t="str">
        <f t="shared" si="230"/>
        <v>0_Pre</v>
      </c>
      <c r="AA758" s="10" t="str">
        <f t="shared" si="235"/>
        <v>1_Post</v>
      </c>
      <c r="AB758" s="10" t="str">
        <f t="shared" si="236"/>
        <v>1_Post</v>
      </c>
      <c r="AC758" s="10" t="str">
        <f t="shared" si="237"/>
        <v>0_Pre</v>
      </c>
      <c r="AD758" s="10" t="str">
        <f t="shared" si="238"/>
        <v>2_post sample median</v>
      </c>
      <c r="AE758" s="10" t="str">
        <f t="shared" si="239"/>
        <v>3_post sample third tertile</v>
      </c>
      <c r="AF758" t="s">
        <v>81</v>
      </c>
      <c r="AG758" t="s">
        <v>74</v>
      </c>
      <c r="AH758" t="s">
        <v>78</v>
      </c>
      <c r="AI758" t="s">
        <v>122</v>
      </c>
      <c r="AJ758" t="s">
        <v>122</v>
      </c>
      <c r="AK758" t="str">
        <f>VLOOKUP(MID($AR758,1,255),country_lookup!$B:$F,2,FALSE)</f>
        <v>1_US</v>
      </c>
      <c r="AL758" t="str">
        <f>VLOOKUP(MID($AR758,1,255),country_lookup!$B:$F,3,FALSE)</f>
        <v>1_developed</v>
      </c>
      <c r="AM758" t="str">
        <f>VLOOKUP(MID($AR758,1,255),country_lookup!$B:$F,4,FALSE)</f>
        <v>1_western</v>
      </c>
      <c r="AN758" t="str">
        <f>VLOOKUP(MID($AR758,1,255),country_lookup!$B:$F,5,FALSE)</f>
        <v>1_common law</v>
      </c>
      <c r="AO758" s="10" t="str">
        <f>VLOOKUP(MID($AS758,1,255),source_lookup!$B:$K,4,FALSE)</f>
        <v>0_published</v>
      </c>
      <c r="AP758" s="10" t="str">
        <f>VLOOKUP(MID($AS758,1,255),source_lookup!$B:$K,6,FALSE)</f>
        <v>1_VHB high</v>
      </c>
      <c r="AQ758" s="10" t="str">
        <f>VLOOKUP(MID($AS758,1,255),source_lookup!$B:$K,10,FALSE)</f>
        <v>1_fin/acc/econ</v>
      </c>
      <c r="AR758" t="s">
        <v>85</v>
      </c>
      <c r="AS758" t="s">
        <v>159</v>
      </c>
    </row>
    <row r="759" spans="1:45" x14ac:dyDescent="0.3">
      <c r="A759" t="s">
        <v>35</v>
      </c>
      <c r="B759">
        <v>758</v>
      </c>
      <c r="C759" s="1">
        <v>-7.7467805889079228E-2</v>
      </c>
      <c r="D759" s="2">
        <v>115</v>
      </c>
      <c r="E759" s="4">
        <v>1035</v>
      </c>
      <c r="F759" s="4" t="s">
        <v>346</v>
      </c>
      <c r="G759" s="4" t="s">
        <v>346</v>
      </c>
      <c r="H759" t="s">
        <v>77</v>
      </c>
      <c r="I759" t="s">
        <v>352</v>
      </c>
      <c r="J759" s="3">
        <v>2010</v>
      </c>
      <c r="K759" s="3">
        <v>2018</v>
      </c>
      <c r="L759" s="6">
        <f t="shared" si="231"/>
        <v>2014</v>
      </c>
      <c r="M759" s="6">
        <f t="shared" si="232"/>
        <v>2014</v>
      </c>
      <c r="N759" s="7">
        <f t="shared" si="220"/>
        <v>0.33333333333333331</v>
      </c>
      <c r="O759" s="7">
        <f t="shared" si="221"/>
        <v>0.22222222222222221</v>
      </c>
      <c r="P759" s="7">
        <f t="shared" si="222"/>
        <v>0.1111111111111111</v>
      </c>
      <c r="Q759" s="7">
        <f t="shared" si="233"/>
        <v>0</v>
      </c>
      <c r="R759" s="10" t="str">
        <f t="shared" si="223"/>
        <v>0_Pre</v>
      </c>
      <c r="S759" s="10" t="str">
        <f t="shared" si="224"/>
        <v>0_Pre</v>
      </c>
      <c r="T759" s="10" t="str">
        <f t="shared" si="225"/>
        <v>0_Pre</v>
      </c>
      <c r="U759" s="10" t="str">
        <f t="shared" si="226"/>
        <v>1_Post</v>
      </c>
      <c r="V759" s="10" t="str">
        <f t="shared" si="234"/>
        <v>0_Pre</v>
      </c>
      <c r="W759" s="10" t="str">
        <f t="shared" si="227"/>
        <v>straddle</v>
      </c>
      <c r="X759" s="10" t="str">
        <f t="shared" si="228"/>
        <v>0_Pre</v>
      </c>
      <c r="Y759" s="10" t="str">
        <f t="shared" si="229"/>
        <v>0_Pre</v>
      </c>
      <c r="Z759" s="10" t="str">
        <f t="shared" si="230"/>
        <v>0_Pre</v>
      </c>
      <c r="AA759" s="10" t="str">
        <f t="shared" si="235"/>
        <v>1_Post</v>
      </c>
      <c r="AB759" s="10" t="str">
        <f t="shared" si="236"/>
        <v>1_Post</v>
      </c>
      <c r="AC759" s="10" t="str">
        <f t="shared" si="237"/>
        <v>0_Pre</v>
      </c>
      <c r="AD759" s="10" t="str">
        <f t="shared" si="238"/>
        <v>2_post sample median</v>
      </c>
      <c r="AE759" s="10" t="str">
        <f t="shared" si="239"/>
        <v>3_post sample third tertile</v>
      </c>
      <c r="AF759" t="s">
        <v>81</v>
      </c>
      <c r="AG759" t="s">
        <v>74</v>
      </c>
      <c r="AH759" t="s">
        <v>78</v>
      </c>
      <c r="AI759" t="s">
        <v>122</v>
      </c>
      <c r="AJ759" t="s">
        <v>122</v>
      </c>
      <c r="AK759" t="str">
        <f>VLOOKUP(MID($AR759,1,255),country_lookup!$B:$F,2,FALSE)</f>
        <v>1_US</v>
      </c>
      <c r="AL759" t="str">
        <f>VLOOKUP(MID($AR759,1,255),country_lookup!$B:$F,3,FALSE)</f>
        <v>1_developed</v>
      </c>
      <c r="AM759" t="str">
        <f>VLOOKUP(MID($AR759,1,255),country_lookup!$B:$F,4,FALSE)</f>
        <v>1_western</v>
      </c>
      <c r="AN759" t="str">
        <f>VLOOKUP(MID($AR759,1,255),country_lookup!$B:$F,5,FALSE)</f>
        <v>1_common law</v>
      </c>
      <c r="AO759" s="10" t="str">
        <f>VLOOKUP(MID($AS759,1,255),source_lookup!$B:$K,4,FALSE)</f>
        <v>0_published</v>
      </c>
      <c r="AP759" s="10" t="str">
        <f>VLOOKUP(MID($AS759,1,255),source_lookup!$B:$K,6,FALSE)</f>
        <v>1_VHB high</v>
      </c>
      <c r="AQ759" s="10" t="str">
        <f>VLOOKUP(MID($AS759,1,255),source_lookup!$B:$K,10,FALSE)</f>
        <v>1_fin/acc/econ</v>
      </c>
      <c r="AR759" t="s">
        <v>85</v>
      </c>
      <c r="AS759" t="s">
        <v>159</v>
      </c>
    </row>
    <row r="760" spans="1:45" x14ac:dyDescent="0.3">
      <c r="A760" t="s">
        <v>35</v>
      </c>
      <c r="B760">
        <v>759</v>
      </c>
      <c r="C760" s="1">
        <v>-1.3491011779692639E-2</v>
      </c>
      <c r="D760" s="2">
        <v>363</v>
      </c>
      <c r="E760" s="4">
        <v>3269</v>
      </c>
      <c r="F760" s="4" t="s">
        <v>346</v>
      </c>
      <c r="G760" s="4" t="s">
        <v>346</v>
      </c>
      <c r="H760" t="s">
        <v>77</v>
      </c>
      <c r="I760" t="s">
        <v>352</v>
      </c>
      <c r="J760" s="3">
        <v>2010</v>
      </c>
      <c r="K760" s="3">
        <v>2018</v>
      </c>
      <c r="L760" s="6">
        <f t="shared" si="231"/>
        <v>2014</v>
      </c>
      <c r="M760" s="6">
        <f t="shared" si="232"/>
        <v>2014</v>
      </c>
      <c r="N760" s="7">
        <f t="shared" si="220"/>
        <v>0.33333333333333331</v>
      </c>
      <c r="O760" s="7">
        <f t="shared" si="221"/>
        <v>0.22222222222222221</v>
      </c>
      <c r="P760" s="7">
        <f t="shared" si="222"/>
        <v>0.1111111111111111</v>
      </c>
      <c r="Q760" s="7">
        <f t="shared" si="233"/>
        <v>0</v>
      </c>
      <c r="R760" s="10" t="str">
        <f t="shared" si="223"/>
        <v>0_Pre</v>
      </c>
      <c r="S760" s="10" t="str">
        <f t="shared" si="224"/>
        <v>0_Pre</v>
      </c>
      <c r="T760" s="10" t="str">
        <f t="shared" si="225"/>
        <v>0_Pre</v>
      </c>
      <c r="U760" s="10" t="str">
        <f t="shared" si="226"/>
        <v>1_Post</v>
      </c>
      <c r="V760" s="10" t="str">
        <f t="shared" si="234"/>
        <v>0_Pre</v>
      </c>
      <c r="W760" s="10" t="str">
        <f t="shared" si="227"/>
        <v>straddle</v>
      </c>
      <c r="X760" s="10" t="str">
        <f t="shared" si="228"/>
        <v>0_Pre</v>
      </c>
      <c r="Y760" s="10" t="str">
        <f t="shared" si="229"/>
        <v>0_Pre</v>
      </c>
      <c r="Z760" s="10" t="str">
        <f t="shared" si="230"/>
        <v>0_Pre</v>
      </c>
      <c r="AA760" s="10" t="str">
        <f t="shared" si="235"/>
        <v>1_Post</v>
      </c>
      <c r="AB760" s="10" t="str">
        <f t="shared" si="236"/>
        <v>1_Post</v>
      </c>
      <c r="AC760" s="10" t="str">
        <f t="shared" si="237"/>
        <v>0_Pre</v>
      </c>
      <c r="AD760" s="10" t="str">
        <f t="shared" si="238"/>
        <v>2_post sample median</v>
      </c>
      <c r="AE760" s="10" t="str">
        <f t="shared" si="239"/>
        <v>3_post sample third tertile</v>
      </c>
      <c r="AF760" t="s">
        <v>81</v>
      </c>
      <c r="AG760" t="s">
        <v>74</v>
      </c>
      <c r="AH760" t="s">
        <v>78</v>
      </c>
      <c r="AI760" t="s">
        <v>122</v>
      </c>
      <c r="AJ760" t="s">
        <v>122</v>
      </c>
      <c r="AK760" t="str">
        <f>VLOOKUP(MID($AR760,1,255),country_lookup!$B:$F,2,FALSE)</f>
        <v>1_US</v>
      </c>
      <c r="AL760" t="str">
        <f>VLOOKUP(MID($AR760,1,255),country_lookup!$B:$F,3,FALSE)</f>
        <v>1_developed</v>
      </c>
      <c r="AM760" t="str">
        <f>VLOOKUP(MID($AR760,1,255),country_lookup!$B:$F,4,FALSE)</f>
        <v>1_western</v>
      </c>
      <c r="AN760" t="str">
        <f>VLOOKUP(MID($AR760,1,255),country_lookup!$B:$F,5,FALSE)</f>
        <v>1_common law</v>
      </c>
      <c r="AO760" s="10" t="str">
        <f>VLOOKUP(MID($AS760,1,255),source_lookup!$B:$K,4,FALSE)</f>
        <v>0_published</v>
      </c>
      <c r="AP760" s="10" t="str">
        <f>VLOOKUP(MID($AS760,1,255),source_lookup!$B:$K,6,FALSE)</f>
        <v>1_VHB high</v>
      </c>
      <c r="AQ760" s="10" t="str">
        <f>VLOOKUP(MID($AS760,1,255),source_lookup!$B:$K,10,FALSE)</f>
        <v>1_fin/acc/econ</v>
      </c>
      <c r="AR760" t="s">
        <v>85</v>
      </c>
      <c r="AS760" t="s">
        <v>159</v>
      </c>
    </row>
    <row r="761" spans="1:45" x14ac:dyDescent="0.3">
      <c r="A761" t="s">
        <v>35</v>
      </c>
      <c r="B761">
        <v>760</v>
      </c>
      <c r="C761" s="1">
        <v>-4.5312426911054962E-3</v>
      </c>
      <c r="D761" s="2">
        <v>363</v>
      </c>
      <c r="E761" s="4">
        <v>3269</v>
      </c>
      <c r="F761" s="4" t="s">
        <v>346</v>
      </c>
      <c r="G761" s="4" t="s">
        <v>346</v>
      </c>
      <c r="H761" t="s">
        <v>77</v>
      </c>
      <c r="I761" t="s">
        <v>352</v>
      </c>
      <c r="J761" s="3">
        <v>2010</v>
      </c>
      <c r="K761" s="3">
        <v>2018</v>
      </c>
      <c r="L761" s="6">
        <f t="shared" si="231"/>
        <v>2014</v>
      </c>
      <c r="M761" s="6">
        <f t="shared" si="232"/>
        <v>2014</v>
      </c>
      <c r="N761" s="7">
        <f t="shared" si="220"/>
        <v>0.33333333333333331</v>
      </c>
      <c r="O761" s="7">
        <f t="shared" si="221"/>
        <v>0.22222222222222221</v>
      </c>
      <c r="P761" s="7">
        <f t="shared" si="222"/>
        <v>0.1111111111111111</v>
      </c>
      <c r="Q761" s="7">
        <f t="shared" si="233"/>
        <v>0</v>
      </c>
      <c r="R761" s="10" t="str">
        <f t="shared" si="223"/>
        <v>0_Pre</v>
      </c>
      <c r="S761" s="10" t="str">
        <f t="shared" si="224"/>
        <v>0_Pre</v>
      </c>
      <c r="T761" s="10" t="str">
        <f t="shared" si="225"/>
        <v>0_Pre</v>
      </c>
      <c r="U761" s="10" t="str">
        <f t="shared" si="226"/>
        <v>1_Post</v>
      </c>
      <c r="V761" s="10" t="str">
        <f t="shared" si="234"/>
        <v>0_Pre</v>
      </c>
      <c r="W761" s="10" t="str">
        <f t="shared" si="227"/>
        <v>straddle</v>
      </c>
      <c r="X761" s="10" t="str">
        <f t="shared" si="228"/>
        <v>0_Pre</v>
      </c>
      <c r="Y761" s="10" t="str">
        <f t="shared" si="229"/>
        <v>0_Pre</v>
      </c>
      <c r="Z761" s="10" t="str">
        <f t="shared" si="230"/>
        <v>0_Pre</v>
      </c>
      <c r="AA761" s="10" t="str">
        <f t="shared" si="235"/>
        <v>1_Post</v>
      </c>
      <c r="AB761" s="10" t="str">
        <f t="shared" si="236"/>
        <v>1_Post</v>
      </c>
      <c r="AC761" s="10" t="str">
        <f t="shared" si="237"/>
        <v>0_Pre</v>
      </c>
      <c r="AD761" s="10" t="str">
        <f t="shared" si="238"/>
        <v>2_post sample median</v>
      </c>
      <c r="AE761" s="10" t="str">
        <f t="shared" si="239"/>
        <v>3_post sample third tertile</v>
      </c>
      <c r="AF761" t="s">
        <v>81</v>
      </c>
      <c r="AG761" t="s">
        <v>74</v>
      </c>
      <c r="AH761" t="s">
        <v>78</v>
      </c>
      <c r="AI761" t="s">
        <v>122</v>
      </c>
      <c r="AJ761" t="s">
        <v>122</v>
      </c>
      <c r="AK761" t="str">
        <f>VLOOKUP(MID($AR761,1,255),country_lookup!$B:$F,2,FALSE)</f>
        <v>1_US</v>
      </c>
      <c r="AL761" t="str">
        <f>VLOOKUP(MID($AR761,1,255),country_lookup!$B:$F,3,FALSE)</f>
        <v>1_developed</v>
      </c>
      <c r="AM761" t="str">
        <f>VLOOKUP(MID($AR761,1,255),country_lookup!$B:$F,4,FALSE)</f>
        <v>1_western</v>
      </c>
      <c r="AN761" t="str">
        <f>VLOOKUP(MID($AR761,1,255),country_lookup!$B:$F,5,FALSE)</f>
        <v>1_common law</v>
      </c>
      <c r="AO761" s="10" t="str">
        <f>VLOOKUP(MID($AS761,1,255),source_lookup!$B:$K,4,FALSE)</f>
        <v>0_published</v>
      </c>
      <c r="AP761" s="10" t="str">
        <f>VLOOKUP(MID($AS761,1,255),source_lookup!$B:$K,6,FALSE)</f>
        <v>1_VHB high</v>
      </c>
      <c r="AQ761" s="10" t="str">
        <f>VLOOKUP(MID($AS761,1,255),source_lookup!$B:$K,10,FALSE)</f>
        <v>1_fin/acc/econ</v>
      </c>
      <c r="AR761" t="s">
        <v>85</v>
      </c>
      <c r="AS761" t="s">
        <v>159</v>
      </c>
    </row>
    <row r="762" spans="1:45" x14ac:dyDescent="0.3">
      <c r="A762" t="s">
        <v>35</v>
      </c>
      <c r="B762">
        <v>761</v>
      </c>
      <c r="C762" s="1">
        <v>1.8865450523157846E-2</v>
      </c>
      <c r="D762" s="2">
        <v>363</v>
      </c>
      <c r="E762" s="4">
        <v>3269</v>
      </c>
      <c r="F762" s="4" t="s">
        <v>346</v>
      </c>
      <c r="G762" s="4" t="s">
        <v>346</v>
      </c>
      <c r="H762" t="s">
        <v>77</v>
      </c>
      <c r="I762" t="s">
        <v>352</v>
      </c>
      <c r="J762" s="3">
        <v>2010</v>
      </c>
      <c r="K762" s="3">
        <v>2018</v>
      </c>
      <c r="L762" s="6">
        <f t="shared" si="231"/>
        <v>2014</v>
      </c>
      <c r="M762" s="6">
        <f t="shared" si="232"/>
        <v>2014</v>
      </c>
      <c r="N762" s="7">
        <f t="shared" si="220"/>
        <v>0.33333333333333331</v>
      </c>
      <c r="O762" s="7">
        <f t="shared" si="221"/>
        <v>0.22222222222222221</v>
      </c>
      <c r="P762" s="7">
        <f t="shared" si="222"/>
        <v>0.1111111111111111</v>
      </c>
      <c r="Q762" s="7">
        <f t="shared" si="233"/>
        <v>0</v>
      </c>
      <c r="R762" s="10" t="str">
        <f t="shared" si="223"/>
        <v>0_Pre</v>
      </c>
      <c r="S762" s="10" t="str">
        <f t="shared" si="224"/>
        <v>0_Pre</v>
      </c>
      <c r="T762" s="10" t="str">
        <f t="shared" si="225"/>
        <v>0_Pre</v>
      </c>
      <c r="U762" s="10" t="str">
        <f t="shared" si="226"/>
        <v>1_Post</v>
      </c>
      <c r="V762" s="10" t="str">
        <f t="shared" si="234"/>
        <v>0_Pre</v>
      </c>
      <c r="W762" s="10" t="str">
        <f t="shared" si="227"/>
        <v>straddle</v>
      </c>
      <c r="X762" s="10" t="str">
        <f t="shared" si="228"/>
        <v>0_Pre</v>
      </c>
      <c r="Y762" s="10" t="str">
        <f t="shared" si="229"/>
        <v>0_Pre</v>
      </c>
      <c r="Z762" s="10" t="str">
        <f t="shared" si="230"/>
        <v>0_Pre</v>
      </c>
      <c r="AA762" s="10" t="str">
        <f t="shared" si="235"/>
        <v>1_Post</v>
      </c>
      <c r="AB762" s="10" t="str">
        <f t="shared" si="236"/>
        <v>1_Post</v>
      </c>
      <c r="AC762" s="10" t="str">
        <f t="shared" si="237"/>
        <v>0_Pre</v>
      </c>
      <c r="AD762" s="10" t="str">
        <f t="shared" si="238"/>
        <v>2_post sample median</v>
      </c>
      <c r="AE762" s="10" t="str">
        <f t="shared" si="239"/>
        <v>3_post sample third tertile</v>
      </c>
      <c r="AF762" t="s">
        <v>81</v>
      </c>
      <c r="AG762" t="s">
        <v>74</v>
      </c>
      <c r="AH762" t="s">
        <v>78</v>
      </c>
      <c r="AI762" t="s">
        <v>122</v>
      </c>
      <c r="AJ762" t="s">
        <v>122</v>
      </c>
      <c r="AK762" t="str">
        <f>VLOOKUP(MID($AR762,1,255),country_lookup!$B:$F,2,FALSE)</f>
        <v>1_US</v>
      </c>
      <c r="AL762" t="str">
        <f>VLOOKUP(MID($AR762,1,255),country_lookup!$B:$F,3,FALSE)</f>
        <v>1_developed</v>
      </c>
      <c r="AM762" t="str">
        <f>VLOOKUP(MID($AR762,1,255),country_lookup!$B:$F,4,FALSE)</f>
        <v>1_western</v>
      </c>
      <c r="AN762" t="str">
        <f>VLOOKUP(MID($AR762,1,255),country_lookup!$B:$F,5,FALSE)</f>
        <v>1_common law</v>
      </c>
      <c r="AO762" s="10" t="str">
        <f>VLOOKUP(MID($AS762,1,255),source_lookup!$B:$K,4,FALSE)</f>
        <v>0_published</v>
      </c>
      <c r="AP762" s="10" t="str">
        <f>VLOOKUP(MID($AS762,1,255),source_lookup!$B:$K,6,FALSE)</f>
        <v>1_VHB high</v>
      </c>
      <c r="AQ762" s="10" t="str">
        <f>VLOOKUP(MID($AS762,1,255),source_lookup!$B:$K,10,FALSE)</f>
        <v>1_fin/acc/econ</v>
      </c>
      <c r="AR762" t="s">
        <v>85</v>
      </c>
      <c r="AS762" t="s">
        <v>159</v>
      </c>
    </row>
    <row r="763" spans="1:45" x14ac:dyDescent="0.3">
      <c r="A763" t="s">
        <v>35</v>
      </c>
      <c r="B763">
        <v>762</v>
      </c>
      <c r="C763" s="1">
        <v>-3.3232326560396888E-2</v>
      </c>
      <c r="D763" s="2">
        <v>363</v>
      </c>
      <c r="E763" s="4">
        <v>3269</v>
      </c>
      <c r="F763" s="4" t="s">
        <v>346</v>
      </c>
      <c r="G763" s="4" t="s">
        <v>346</v>
      </c>
      <c r="H763" t="s">
        <v>77</v>
      </c>
      <c r="I763" t="s">
        <v>352</v>
      </c>
      <c r="J763" s="3">
        <v>2010</v>
      </c>
      <c r="K763" s="3">
        <v>2018</v>
      </c>
      <c r="L763" s="6">
        <f t="shared" si="231"/>
        <v>2014</v>
      </c>
      <c r="M763" s="6">
        <f t="shared" si="232"/>
        <v>2014</v>
      </c>
      <c r="N763" s="7">
        <f t="shared" si="220"/>
        <v>0.33333333333333331</v>
      </c>
      <c r="O763" s="7">
        <f t="shared" si="221"/>
        <v>0.22222222222222221</v>
      </c>
      <c r="P763" s="7">
        <f t="shared" si="222"/>
        <v>0.1111111111111111</v>
      </c>
      <c r="Q763" s="7">
        <f t="shared" si="233"/>
        <v>0</v>
      </c>
      <c r="R763" s="10" t="str">
        <f t="shared" si="223"/>
        <v>0_Pre</v>
      </c>
      <c r="S763" s="10" t="str">
        <f t="shared" si="224"/>
        <v>0_Pre</v>
      </c>
      <c r="T763" s="10" t="str">
        <f t="shared" si="225"/>
        <v>0_Pre</v>
      </c>
      <c r="U763" s="10" t="str">
        <f t="shared" si="226"/>
        <v>1_Post</v>
      </c>
      <c r="V763" s="10" t="str">
        <f t="shared" si="234"/>
        <v>0_Pre</v>
      </c>
      <c r="W763" s="10" t="str">
        <f t="shared" si="227"/>
        <v>straddle</v>
      </c>
      <c r="X763" s="10" t="str">
        <f t="shared" si="228"/>
        <v>0_Pre</v>
      </c>
      <c r="Y763" s="10" t="str">
        <f t="shared" si="229"/>
        <v>0_Pre</v>
      </c>
      <c r="Z763" s="10" t="str">
        <f t="shared" si="230"/>
        <v>0_Pre</v>
      </c>
      <c r="AA763" s="10" t="str">
        <f t="shared" si="235"/>
        <v>1_Post</v>
      </c>
      <c r="AB763" s="10" t="str">
        <f t="shared" si="236"/>
        <v>1_Post</v>
      </c>
      <c r="AC763" s="10" t="str">
        <f t="shared" si="237"/>
        <v>0_Pre</v>
      </c>
      <c r="AD763" s="10" t="str">
        <f t="shared" si="238"/>
        <v>2_post sample median</v>
      </c>
      <c r="AE763" s="10" t="str">
        <f t="shared" si="239"/>
        <v>3_post sample third tertile</v>
      </c>
      <c r="AF763" t="s">
        <v>81</v>
      </c>
      <c r="AG763" t="s">
        <v>74</v>
      </c>
      <c r="AH763" t="s">
        <v>78</v>
      </c>
      <c r="AI763" t="s">
        <v>122</v>
      </c>
      <c r="AJ763" t="s">
        <v>122</v>
      </c>
      <c r="AK763" t="str">
        <f>VLOOKUP(MID($AR763,1,255),country_lookup!$B:$F,2,FALSE)</f>
        <v>1_US</v>
      </c>
      <c r="AL763" t="str">
        <f>VLOOKUP(MID($AR763,1,255),country_lookup!$B:$F,3,FALSE)</f>
        <v>1_developed</v>
      </c>
      <c r="AM763" t="str">
        <f>VLOOKUP(MID($AR763,1,255),country_lookup!$B:$F,4,FALSE)</f>
        <v>1_western</v>
      </c>
      <c r="AN763" t="str">
        <f>VLOOKUP(MID($AR763,1,255),country_lookup!$B:$F,5,FALSE)</f>
        <v>1_common law</v>
      </c>
      <c r="AO763" s="10" t="str">
        <f>VLOOKUP(MID($AS763,1,255),source_lookup!$B:$K,4,FALSE)</f>
        <v>0_published</v>
      </c>
      <c r="AP763" s="10" t="str">
        <f>VLOOKUP(MID($AS763,1,255),source_lookup!$B:$K,6,FALSE)</f>
        <v>1_VHB high</v>
      </c>
      <c r="AQ763" s="10" t="str">
        <f>VLOOKUP(MID($AS763,1,255),source_lookup!$B:$K,10,FALSE)</f>
        <v>1_fin/acc/econ</v>
      </c>
      <c r="AR763" t="s">
        <v>85</v>
      </c>
      <c r="AS763" t="s">
        <v>159</v>
      </c>
    </row>
    <row r="764" spans="1:45" x14ac:dyDescent="0.3">
      <c r="A764" t="s">
        <v>35</v>
      </c>
      <c r="B764">
        <v>763</v>
      </c>
      <c r="C764" s="1">
        <v>-3.7749946329717385E-2</v>
      </c>
      <c r="D764" s="2">
        <v>115</v>
      </c>
      <c r="E764" s="4">
        <v>1035</v>
      </c>
      <c r="F764" s="4" t="s">
        <v>346</v>
      </c>
      <c r="G764" s="4" t="s">
        <v>346</v>
      </c>
      <c r="H764" t="s">
        <v>77</v>
      </c>
      <c r="I764" t="s">
        <v>352</v>
      </c>
      <c r="J764" s="3">
        <v>2010</v>
      </c>
      <c r="K764" s="3">
        <v>2018</v>
      </c>
      <c r="L764" s="6">
        <f t="shared" si="231"/>
        <v>2014</v>
      </c>
      <c r="M764" s="6">
        <f t="shared" si="232"/>
        <v>2014</v>
      </c>
      <c r="N764" s="7">
        <f t="shared" si="220"/>
        <v>0.33333333333333331</v>
      </c>
      <c r="O764" s="7">
        <f t="shared" si="221"/>
        <v>0.22222222222222221</v>
      </c>
      <c r="P764" s="7">
        <f t="shared" si="222"/>
        <v>0.1111111111111111</v>
      </c>
      <c r="Q764" s="7">
        <f t="shared" si="233"/>
        <v>0</v>
      </c>
      <c r="R764" s="10" t="str">
        <f t="shared" si="223"/>
        <v>0_Pre</v>
      </c>
      <c r="S764" s="10" t="str">
        <f t="shared" si="224"/>
        <v>0_Pre</v>
      </c>
      <c r="T764" s="10" t="str">
        <f t="shared" si="225"/>
        <v>0_Pre</v>
      </c>
      <c r="U764" s="10" t="str">
        <f t="shared" si="226"/>
        <v>1_Post</v>
      </c>
      <c r="V764" s="10" t="str">
        <f t="shared" si="234"/>
        <v>0_Pre</v>
      </c>
      <c r="W764" s="10" t="str">
        <f t="shared" si="227"/>
        <v>straddle</v>
      </c>
      <c r="X764" s="10" t="str">
        <f t="shared" si="228"/>
        <v>0_Pre</v>
      </c>
      <c r="Y764" s="10" t="str">
        <f t="shared" si="229"/>
        <v>0_Pre</v>
      </c>
      <c r="Z764" s="10" t="str">
        <f t="shared" si="230"/>
        <v>0_Pre</v>
      </c>
      <c r="AA764" s="10" t="str">
        <f t="shared" si="235"/>
        <v>1_Post</v>
      </c>
      <c r="AB764" s="10" t="str">
        <f t="shared" si="236"/>
        <v>1_Post</v>
      </c>
      <c r="AC764" s="10" t="str">
        <f t="shared" si="237"/>
        <v>0_Pre</v>
      </c>
      <c r="AD764" s="10" t="str">
        <f t="shared" si="238"/>
        <v>2_post sample median</v>
      </c>
      <c r="AE764" s="10" t="str">
        <f t="shared" si="239"/>
        <v>3_post sample third tertile</v>
      </c>
      <c r="AF764" t="s">
        <v>81</v>
      </c>
      <c r="AG764" t="s">
        <v>74</v>
      </c>
      <c r="AH764" t="s">
        <v>78</v>
      </c>
      <c r="AI764" t="s">
        <v>122</v>
      </c>
      <c r="AJ764" t="s">
        <v>122</v>
      </c>
      <c r="AK764" t="str">
        <f>VLOOKUP(MID($AR764,1,255),country_lookup!$B:$F,2,FALSE)</f>
        <v>1_US</v>
      </c>
      <c r="AL764" t="str">
        <f>VLOOKUP(MID($AR764,1,255),country_lookup!$B:$F,3,FALSE)</f>
        <v>1_developed</v>
      </c>
      <c r="AM764" t="str">
        <f>VLOOKUP(MID($AR764,1,255),country_lookup!$B:$F,4,FALSE)</f>
        <v>1_western</v>
      </c>
      <c r="AN764" t="str">
        <f>VLOOKUP(MID($AR764,1,255),country_lookup!$B:$F,5,FALSE)</f>
        <v>1_common law</v>
      </c>
      <c r="AO764" s="10" t="str">
        <f>VLOOKUP(MID($AS764,1,255),source_lookup!$B:$K,4,FALSE)</f>
        <v>0_published</v>
      </c>
      <c r="AP764" s="10" t="str">
        <f>VLOOKUP(MID($AS764,1,255),source_lookup!$B:$K,6,FALSE)</f>
        <v>1_VHB high</v>
      </c>
      <c r="AQ764" s="10" t="str">
        <f>VLOOKUP(MID($AS764,1,255),source_lookup!$B:$K,10,FALSE)</f>
        <v>1_fin/acc/econ</v>
      </c>
      <c r="AR764" t="s">
        <v>85</v>
      </c>
      <c r="AS764" t="s">
        <v>159</v>
      </c>
    </row>
    <row r="765" spans="1:45" x14ac:dyDescent="0.3">
      <c r="A765" t="s">
        <v>35</v>
      </c>
      <c r="B765">
        <v>764</v>
      </c>
      <c r="C765" s="1">
        <v>-4.5937510020656984E-3</v>
      </c>
      <c r="D765" s="2">
        <v>115</v>
      </c>
      <c r="E765" s="4">
        <v>1035</v>
      </c>
      <c r="F765" s="4" t="s">
        <v>346</v>
      </c>
      <c r="G765" s="4" t="s">
        <v>346</v>
      </c>
      <c r="H765" t="s">
        <v>77</v>
      </c>
      <c r="I765" t="s">
        <v>352</v>
      </c>
      <c r="J765" s="3">
        <v>2010</v>
      </c>
      <c r="K765" s="3">
        <v>2018</v>
      </c>
      <c r="L765" s="6">
        <f t="shared" si="231"/>
        <v>2014</v>
      </c>
      <c r="M765" s="6">
        <f t="shared" si="232"/>
        <v>2014</v>
      </c>
      <c r="N765" s="7">
        <f t="shared" si="220"/>
        <v>0.33333333333333331</v>
      </c>
      <c r="O765" s="7">
        <f t="shared" si="221"/>
        <v>0.22222222222222221</v>
      </c>
      <c r="P765" s="7">
        <f t="shared" si="222"/>
        <v>0.1111111111111111</v>
      </c>
      <c r="Q765" s="7">
        <f t="shared" si="233"/>
        <v>0</v>
      </c>
      <c r="R765" s="10" t="str">
        <f t="shared" si="223"/>
        <v>0_Pre</v>
      </c>
      <c r="S765" s="10" t="str">
        <f t="shared" si="224"/>
        <v>0_Pre</v>
      </c>
      <c r="T765" s="10" t="str">
        <f t="shared" si="225"/>
        <v>0_Pre</v>
      </c>
      <c r="U765" s="10" t="str">
        <f t="shared" si="226"/>
        <v>1_Post</v>
      </c>
      <c r="V765" s="10" t="str">
        <f t="shared" si="234"/>
        <v>0_Pre</v>
      </c>
      <c r="W765" s="10" t="str">
        <f t="shared" si="227"/>
        <v>straddle</v>
      </c>
      <c r="X765" s="10" t="str">
        <f t="shared" si="228"/>
        <v>0_Pre</v>
      </c>
      <c r="Y765" s="10" t="str">
        <f t="shared" si="229"/>
        <v>0_Pre</v>
      </c>
      <c r="Z765" s="10" t="str">
        <f t="shared" si="230"/>
        <v>0_Pre</v>
      </c>
      <c r="AA765" s="10" t="str">
        <f t="shared" si="235"/>
        <v>1_Post</v>
      </c>
      <c r="AB765" s="10" t="str">
        <f t="shared" si="236"/>
        <v>1_Post</v>
      </c>
      <c r="AC765" s="10" t="str">
        <f t="shared" si="237"/>
        <v>0_Pre</v>
      </c>
      <c r="AD765" s="10" t="str">
        <f t="shared" si="238"/>
        <v>2_post sample median</v>
      </c>
      <c r="AE765" s="10" t="str">
        <f t="shared" si="239"/>
        <v>3_post sample third tertile</v>
      </c>
      <c r="AF765" t="s">
        <v>81</v>
      </c>
      <c r="AG765" t="s">
        <v>74</v>
      </c>
      <c r="AH765" t="s">
        <v>78</v>
      </c>
      <c r="AI765" t="s">
        <v>122</v>
      </c>
      <c r="AJ765" t="s">
        <v>122</v>
      </c>
      <c r="AK765" t="str">
        <f>VLOOKUP(MID($AR765,1,255),country_lookup!$B:$F,2,FALSE)</f>
        <v>1_US</v>
      </c>
      <c r="AL765" t="str">
        <f>VLOOKUP(MID($AR765,1,255),country_lookup!$B:$F,3,FALSE)</f>
        <v>1_developed</v>
      </c>
      <c r="AM765" t="str">
        <f>VLOOKUP(MID($AR765,1,255),country_lookup!$B:$F,4,FALSE)</f>
        <v>1_western</v>
      </c>
      <c r="AN765" t="str">
        <f>VLOOKUP(MID($AR765,1,255),country_lookup!$B:$F,5,FALSE)</f>
        <v>1_common law</v>
      </c>
      <c r="AO765" s="10" t="str">
        <f>VLOOKUP(MID($AS765,1,255),source_lookup!$B:$K,4,FALSE)</f>
        <v>0_published</v>
      </c>
      <c r="AP765" s="10" t="str">
        <f>VLOOKUP(MID($AS765,1,255),source_lookup!$B:$K,6,FALSE)</f>
        <v>1_VHB high</v>
      </c>
      <c r="AQ765" s="10" t="str">
        <f>VLOOKUP(MID($AS765,1,255),source_lookup!$B:$K,10,FALSE)</f>
        <v>1_fin/acc/econ</v>
      </c>
      <c r="AR765" t="s">
        <v>85</v>
      </c>
      <c r="AS765" t="s">
        <v>159</v>
      </c>
    </row>
    <row r="766" spans="1:45" x14ac:dyDescent="0.3">
      <c r="A766" t="s">
        <v>35</v>
      </c>
      <c r="B766">
        <v>765</v>
      </c>
      <c r="C766" s="1">
        <v>-7.8521590890097206E-3</v>
      </c>
      <c r="D766" s="2">
        <v>115</v>
      </c>
      <c r="E766" s="4">
        <v>1035</v>
      </c>
      <c r="F766" s="4" t="s">
        <v>346</v>
      </c>
      <c r="G766" s="4" t="s">
        <v>346</v>
      </c>
      <c r="H766" t="s">
        <v>77</v>
      </c>
      <c r="I766" t="s">
        <v>352</v>
      </c>
      <c r="J766" s="3">
        <v>2010</v>
      </c>
      <c r="K766" s="3">
        <v>2018</v>
      </c>
      <c r="L766" s="6">
        <f t="shared" si="231"/>
        <v>2014</v>
      </c>
      <c r="M766" s="6">
        <f t="shared" si="232"/>
        <v>2014</v>
      </c>
      <c r="N766" s="7">
        <f t="shared" si="220"/>
        <v>0.33333333333333331</v>
      </c>
      <c r="O766" s="7">
        <f t="shared" si="221"/>
        <v>0.22222222222222221</v>
      </c>
      <c r="P766" s="7">
        <f t="shared" si="222"/>
        <v>0.1111111111111111</v>
      </c>
      <c r="Q766" s="7">
        <f t="shared" si="233"/>
        <v>0</v>
      </c>
      <c r="R766" s="10" t="str">
        <f t="shared" si="223"/>
        <v>0_Pre</v>
      </c>
      <c r="S766" s="10" t="str">
        <f t="shared" si="224"/>
        <v>0_Pre</v>
      </c>
      <c r="T766" s="10" t="str">
        <f t="shared" si="225"/>
        <v>0_Pre</v>
      </c>
      <c r="U766" s="10" t="str">
        <f t="shared" si="226"/>
        <v>1_Post</v>
      </c>
      <c r="V766" s="10" t="str">
        <f t="shared" si="234"/>
        <v>0_Pre</v>
      </c>
      <c r="W766" s="10" t="str">
        <f t="shared" si="227"/>
        <v>straddle</v>
      </c>
      <c r="X766" s="10" t="str">
        <f t="shared" si="228"/>
        <v>0_Pre</v>
      </c>
      <c r="Y766" s="10" t="str">
        <f t="shared" si="229"/>
        <v>0_Pre</v>
      </c>
      <c r="Z766" s="10" t="str">
        <f t="shared" si="230"/>
        <v>0_Pre</v>
      </c>
      <c r="AA766" s="10" t="str">
        <f t="shared" si="235"/>
        <v>1_Post</v>
      </c>
      <c r="AB766" s="10" t="str">
        <f t="shared" si="236"/>
        <v>1_Post</v>
      </c>
      <c r="AC766" s="10" t="str">
        <f t="shared" si="237"/>
        <v>0_Pre</v>
      </c>
      <c r="AD766" s="10" t="str">
        <f t="shared" si="238"/>
        <v>2_post sample median</v>
      </c>
      <c r="AE766" s="10" t="str">
        <f t="shared" si="239"/>
        <v>3_post sample third tertile</v>
      </c>
      <c r="AF766" t="s">
        <v>81</v>
      </c>
      <c r="AG766" t="s">
        <v>74</v>
      </c>
      <c r="AH766" t="s">
        <v>78</v>
      </c>
      <c r="AI766" t="s">
        <v>122</v>
      </c>
      <c r="AJ766" t="s">
        <v>122</v>
      </c>
      <c r="AK766" t="str">
        <f>VLOOKUP(MID($AR766,1,255),country_lookup!$B:$F,2,FALSE)</f>
        <v>1_US</v>
      </c>
      <c r="AL766" t="str">
        <f>VLOOKUP(MID($AR766,1,255),country_lookup!$B:$F,3,FALSE)</f>
        <v>1_developed</v>
      </c>
      <c r="AM766" t="str">
        <f>VLOOKUP(MID($AR766,1,255),country_lookup!$B:$F,4,FALSE)</f>
        <v>1_western</v>
      </c>
      <c r="AN766" t="str">
        <f>VLOOKUP(MID($AR766,1,255),country_lookup!$B:$F,5,FALSE)</f>
        <v>1_common law</v>
      </c>
      <c r="AO766" s="10" t="str">
        <f>VLOOKUP(MID($AS766,1,255),source_lookup!$B:$K,4,FALSE)</f>
        <v>0_published</v>
      </c>
      <c r="AP766" s="10" t="str">
        <f>VLOOKUP(MID($AS766,1,255),source_lookup!$B:$K,6,FALSE)</f>
        <v>1_VHB high</v>
      </c>
      <c r="AQ766" s="10" t="str">
        <f>VLOOKUP(MID($AS766,1,255),source_lookup!$B:$K,10,FALSE)</f>
        <v>1_fin/acc/econ</v>
      </c>
      <c r="AR766" t="s">
        <v>85</v>
      </c>
      <c r="AS766" t="s">
        <v>159</v>
      </c>
    </row>
    <row r="767" spans="1:45" x14ac:dyDescent="0.3">
      <c r="A767" t="s">
        <v>35</v>
      </c>
      <c r="B767">
        <v>766</v>
      </c>
      <c r="C767" s="1">
        <v>-9.0725440062194879E-2</v>
      </c>
      <c r="D767" s="2">
        <v>115</v>
      </c>
      <c r="E767" s="4">
        <v>1035</v>
      </c>
      <c r="F767" s="4" t="s">
        <v>346</v>
      </c>
      <c r="G767" s="4" t="s">
        <v>346</v>
      </c>
      <c r="H767" t="s">
        <v>77</v>
      </c>
      <c r="I767" t="s">
        <v>352</v>
      </c>
      <c r="J767" s="3">
        <v>2010</v>
      </c>
      <c r="K767" s="3">
        <v>2018</v>
      </c>
      <c r="L767" s="6">
        <f t="shared" si="231"/>
        <v>2014</v>
      </c>
      <c r="M767" s="6">
        <f t="shared" si="232"/>
        <v>2014</v>
      </c>
      <c r="N767" s="7">
        <f t="shared" si="220"/>
        <v>0.33333333333333331</v>
      </c>
      <c r="O767" s="7">
        <f t="shared" si="221"/>
        <v>0.22222222222222221</v>
      </c>
      <c r="P767" s="7">
        <f t="shared" si="222"/>
        <v>0.1111111111111111</v>
      </c>
      <c r="Q767" s="7">
        <f t="shared" si="233"/>
        <v>0</v>
      </c>
      <c r="R767" s="10" t="str">
        <f t="shared" si="223"/>
        <v>0_Pre</v>
      </c>
      <c r="S767" s="10" t="str">
        <f t="shared" si="224"/>
        <v>0_Pre</v>
      </c>
      <c r="T767" s="10" t="str">
        <f t="shared" si="225"/>
        <v>0_Pre</v>
      </c>
      <c r="U767" s="10" t="str">
        <f t="shared" si="226"/>
        <v>1_Post</v>
      </c>
      <c r="V767" s="10" t="str">
        <f t="shared" si="234"/>
        <v>0_Pre</v>
      </c>
      <c r="W767" s="10" t="str">
        <f t="shared" si="227"/>
        <v>straddle</v>
      </c>
      <c r="X767" s="10" t="str">
        <f t="shared" si="228"/>
        <v>0_Pre</v>
      </c>
      <c r="Y767" s="10" t="str">
        <f t="shared" si="229"/>
        <v>0_Pre</v>
      </c>
      <c r="Z767" s="10" t="str">
        <f t="shared" si="230"/>
        <v>0_Pre</v>
      </c>
      <c r="AA767" s="10" t="str">
        <f t="shared" si="235"/>
        <v>1_Post</v>
      </c>
      <c r="AB767" s="10" t="str">
        <f t="shared" si="236"/>
        <v>1_Post</v>
      </c>
      <c r="AC767" s="10" t="str">
        <f t="shared" si="237"/>
        <v>0_Pre</v>
      </c>
      <c r="AD767" s="10" t="str">
        <f t="shared" si="238"/>
        <v>2_post sample median</v>
      </c>
      <c r="AE767" s="10" t="str">
        <f t="shared" si="239"/>
        <v>3_post sample third tertile</v>
      </c>
      <c r="AF767" t="s">
        <v>81</v>
      </c>
      <c r="AG767" t="s">
        <v>74</v>
      </c>
      <c r="AH767" t="s">
        <v>78</v>
      </c>
      <c r="AI767" t="s">
        <v>122</v>
      </c>
      <c r="AJ767" t="s">
        <v>122</v>
      </c>
      <c r="AK767" t="str">
        <f>VLOOKUP(MID($AR767,1,255),country_lookup!$B:$F,2,FALSE)</f>
        <v>1_US</v>
      </c>
      <c r="AL767" t="str">
        <f>VLOOKUP(MID($AR767,1,255),country_lookup!$B:$F,3,FALSE)</f>
        <v>1_developed</v>
      </c>
      <c r="AM767" t="str">
        <f>VLOOKUP(MID($AR767,1,255),country_lookup!$B:$F,4,FALSE)</f>
        <v>1_western</v>
      </c>
      <c r="AN767" t="str">
        <f>VLOOKUP(MID($AR767,1,255),country_lookup!$B:$F,5,FALSE)</f>
        <v>1_common law</v>
      </c>
      <c r="AO767" s="10" t="str">
        <f>VLOOKUP(MID($AS767,1,255),source_lookup!$B:$K,4,FALSE)</f>
        <v>0_published</v>
      </c>
      <c r="AP767" s="10" t="str">
        <f>VLOOKUP(MID($AS767,1,255),source_lookup!$B:$K,6,FALSE)</f>
        <v>1_VHB high</v>
      </c>
      <c r="AQ767" s="10" t="str">
        <f>VLOOKUP(MID($AS767,1,255),source_lookup!$B:$K,10,FALSE)</f>
        <v>1_fin/acc/econ</v>
      </c>
      <c r="AR767" t="s">
        <v>85</v>
      </c>
      <c r="AS767" t="s">
        <v>159</v>
      </c>
    </row>
    <row r="768" spans="1:45" x14ac:dyDescent="0.3">
      <c r="A768" t="s">
        <v>35</v>
      </c>
      <c r="B768">
        <v>767</v>
      </c>
      <c r="C768" s="1">
        <v>4.3630691296358496E-3</v>
      </c>
      <c r="D768" s="2">
        <v>363</v>
      </c>
      <c r="E768" s="4">
        <v>3269</v>
      </c>
      <c r="F768" s="4" t="s">
        <v>346</v>
      </c>
      <c r="G768" s="4" t="s">
        <v>346</v>
      </c>
      <c r="H768" t="s">
        <v>77</v>
      </c>
      <c r="I768" t="s">
        <v>352</v>
      </c>
      <c r="J768" s="3">
        <v>2010</v>
      </c>
      <c r="K768" s="3">
        <v>2018</v>
      </c>
      <c r="L768" s="6">
        <f t="shared" si="231"/>
        <v>2014</v>
      </c>
      <c r="M768" s="6">
        <f t="shared" si="232"/>
        <v>2014</v>
      </c>
      <c r="N768" s="7">
        <f t="shared" si="220"/>
        <v>0.33333333333333331</v>
      </c>
      <c r="O768" s="7">
        <f t="shared" si="221"/>
        <v>0.22222222222222221</v>
      </c>
      <c r="P768" s="7">
        <f t="shared" si="222"/>
        <v>0.1111111111111111</v>
      </c>
      <c r="Q768" s="7">
        <f t="shared" si="233"/>
        <v>0</v>
      </c>
      <c r="R768" s="10" t="str">
        <f t="shared" si="223"/>
        <v>0_Pre</v>
      </c>
      <c r="S768" s="10" t="str">
        <f t="shared" si="224"/>
        <v>0_Pre</v>
      </c>
      <c r="T768" s="10" t="str">
        <f t="shared" si="225"/>
        <v>0_Pre</v>
      </c>
      <c r="U768" s="10" t="str">
        <f t="shared" si="226"/>
        <v>1_Post</v>
      </c>
      <c r="V768" s="10" t="str">
        <f t="shared" si="234"/>
        <v>0_Pre</v>
      </c>
      <c r="W768" s="10" t="str">
        <f t="shared" si="227"/>
        <v>straddle</v>
      </c>
      <c r="X768" s="10" t="str">
        <f t="shared" si="228"/>
        <v>0_Pre</v>
      </c>
      <c r="Y768" s="10" t="str">
        <f t="shared" si="229"/>
        <v>0_Pre</v>
      </c>
      <c r="Z768" s="10" t="str">
        <f t="shared" si="230"/>
        <v>0_Pre</v>
      </c>
      <c r="AA768" s="10" t="str">
        <f t="shared" si="235"/>
        <v>1_Post</v>
      </c>
      <c r="AB768" s="10" t="str">
        <f t="shared" si="236"/>
        <v>1_Post</v>
      </c>
      <c r="AC768" s="10" t="str">
        <f t="shared" si="237"/>
        <v>0_Pre</v>
      </c>
      <c r="AD768" s="10" t="str">
        <f t="shared" si="238"/>
        <v>2_post sample median</v>
      </c>
      <c r="AE768" s="10" t="str">
        <f t="shared" si="239"/>
        <v>3_post sample third tertile</v>
      </c>
      <c r="AF768" t="s">
        <v>81</v>
      </c>
      <c r="AG768" t="s">
        <v>74</v>
      </c>
      <c r="AH768" t="s">
        <v>78</v>
      </c>
      <c r="AI768" t="s">
        <v>122</v>
      </c>
      <c r="AJ768" t="s">
        <v>122</v>
      </c>
      <c r="AK768" t="str">
        <f>VLOOKUP(MID($AR768,1,255),country_lookup!$B:$F,2,FALSE)</f>
        <v>1_US</v>
      </c>
      <c r="AL768" t="str">
        <f>VLOOKUP(MID($AR768,1,255),country_lookup!$B:$F,3,FALSE)</f>
        <v>1_developed</v>
      </c>
      <c r="AM768" t="str">
        <f>VLOOKUP(MID($AR768,1,255),country_lookup!$B:$F,4,FALSE)</f>
        <v>1_western</v>
      </c>
      <c r="AN768" t="str">
        <f>VLOOKUP(MID($AR768,1,255),country_lookup!$B:$F,5,FALSE)</f>
        <v>1_common law</v>
      </c>
      <c r="AO768" s="10" t="str">
        <f>VLOOKUP(MID($AS768,1,255),source_lookup!$B:$K,4,FALSE)</f>
        <v>0_published</v>
      </c>
      <c r="AP768" s="10" t="str">
        <f>VLOOKUP(MID($AS768,1,255),source_lookup!$B:$K,6,FALSE)</f>
        <v>1_VHB high</v>
      </c>
      <c r="AQ768" s="10" t="str">
        <f>VLOOKUP(MID($AS768,1,255),source_lookup!$B:$K,10,FALSE)</f>
        <v>1_fin/acc/econ</v>
      </c>
      <c r="AR768" t="s">
        <v>85</v>
      </c>
      <c r="AS768" t="s">
        <v>159</v>
      </c>
    </row>
    <row r="769" spans="1:45" x14ac:dyDescent="0.3">
      <c r="A769" t="s">
        <v>35</v>
      </c>
      <c r="B769">
        <v>768</v>
      </c>
      <c r="C769" s="1">
        <v>-2.2752023107522772E-2</v>
      </c>
      <c r="D769" s="2">
        <v>363</v>
      </c>
      <c r="E769" s="4">
        <v>3269</v>
      </c>
      <c r="F769" s="4" t="s">
        <v>346</v>
      </c>
      <c r="G769" s="4" t="s">
        <v>346</v>
      </c>
      <c r="H769" t="s">
        <v>77</v>
      </c>
      <c r="I769" t="s">
        <v>352</v>
      </c>
      <c r="J769" s="3">
        <v>2010</v>
      </c>
      <c r="K769" s="3">
        <v>2018</v>
      </c>
      <c r="L769" s="6">
        <f t="shared" si="231"/>
        <v>2014</v>
      </c>
      <c r="M769" s="6">
        <f t="shared" si="232"/>
        <v>2014</v>
      </c>
      <c r="N769" s="7">
        <f t="shared" si="220"/>
        <v>0.33333333333333331</v>
      </c>
      <c r="O769" s="7">
        <f t="shared" si="221"/>
        <v>0.22222222222222221</v>
      </c>
      <c r="P769" s="7">
        <f t="shared" si="222"/>
        <v>0.1111111111111111</v>
      </c>
      <c r="Q769" s="7">
        <f t="shared" si="233"/>
        <v>0</v>
      </c>
      <c r="R769" s="10" t="str">
        <f t="shared" si="223"/>
        <v>0_Pre</v>
      </c>
      <c r="S769" s="10" t="str">
        <f t="shared" si="224"/>
        <v>0_Pre</v>
      </c>
      <c r="T769" s="10" t="str">
        <f t="shared" si="225"/>
        <v>0_Pre</v>
      </c>
      <c r="U769" s="10" t="str">
        <f t="shared" si="226"/>
        <v>1_Post</v>
      </c>
      <c r="V769" s="10" t="str">
        <f t="shared" si="234"/>
        <v>0_Pre</v>
      </c>
      <c r="W769" s="10" t="str">
        <f t="shared" si="227"/>
        <v>straddle</v>
      </c>
      <c r="X769" s="10" t="str">
        <f t="shared" si="228"/>
        <v>0_Pre</v>
      </c>
      <c r="Y769" s="10" t="str">
        <f t="shared" si="229"/>
        <v>0_Pre</v>
      </c>
      <c r="Z769" s="10" t="str">
        <f t="shared" si="230"/>
        <v>0_Pre</v>
      </c>
      <c r="AA769" s="10" t="str">
        <f t="shared" si="235"/>
        <v>1_Post</v>
      </c>
      <c r="AB769" s="10" t="str">
        <f t="shared" si="236"/>
        <v>1_Post</v>
      </c>
      <c r="AC769" s="10" t="str">
        <f t="shared" si="237"/>
        <v>0_Pre</v>
      </c>
      <c r="AD769" s="10" t="str">
        <f t="shared" si="238"/>
        <v>2_post sample median</v>
      </c>
      <c r="AE769" s="10" t="str">
        <f t="shared" si="239"/>
        <v>3_post sample third tertile</v>
      </c>
      <c r="AF769" t="s">
        <v>81</v>
      </c>
      <c r="AG769" t="s">
        <v>74</v>
      </c>
      <c r="AH769" t="s">
        <v>78</v>
      </c>
      <c r="AI769" t="s">
        <v>122</v>
      </c>
      <c r="AJ769" t="s">
        <v>122</v>
      </c>
      <c r="AK769" t="str">
        <f>VLOOKUP(MID($AR769,1,255),country_lookup!$B:$F,2,FALSE)</f>
        <v>1_US</v>
      </c>
      <c r="AL769" t="str">
        <f>VLOOKUP(MID($AR769,1,255),country_lookup!$B:$F,3,FALSE)</f>
        <v>1_developed</v>
      </c>
      <c r="AM769" t="str">
        <f>VLOOKUP(MID($AR769,1,255),country_lookup!$B:$F,4,FALSE)</f>
        <v>1_western</v>
      </c>
      <c r="AN769" t="str">
        <f>VLOOKUP(MID($AR769,1,255),country_lookup!$B:$F,5,FALSE)</f>
        <v>1_common law</v>
      </c>
      <c r="AO769" s="10" t="str">
        <f>VLOOKUP(MID($AS769,1,255),source_lookup!$B:$K,4,FALSE)</f>
        <v>0_published</v>
      </c>
      <c r="AP769" s="10" t="str">
        <f>VLOOKUP(MID($AS769,1,255),source_lookup!$B:$K,6,FALSE)</f>
        <v>1_VHB high</v>
      </c>
      <c r="AQ769" s="10" t="str">
        <f>VLOOKUP(MID($AS769,1,255),source_lookup!$B:$K,10,FALSE)</f>
        <v>1_fin/acc/econ</v>
      </c>
      <c r="AR769" t="s">
        <v>85</v>
      </c>
      <c r="AS769" t="s">
        <v>159</v>
      </c>
    </row>
    <row r="770" spans="1:45" x14ac:dyDescent="0.3">
      <c r="A770" t="s">
        <v>35</v>
      </c>
      <c r="B770">
        <v>769</v>
      </c>
      <c r="C770" s="1">
        <v>-1.0237416840476153E-2</v>
      </c>
      <c r="D770" s="2">
        <v>115</v>
      </c>
      <c r="E770" s="4">
        <v>1035</v>
      </c>
      <c r="F770" s="4" t="s">
        <v>346</v>
      </c>
      <c r="G770" s="4" t="s">
        <v>346</v>
      </c>
      <c r="H770" t="s">
        <v>77</v>
      </c>
      <c r="I770" t="s">
        <v>352</v>
      </c>
      <c r="J770" s="3">
        <v>2010</v>
      </c>
      <c r="K770" s="3">
        <v>2018</v>
      </c>
      <c r="L770" s="6">
        <f t="shared" si="231"/>
        <v>2014</v>
      </c>
      <c r="M770" s="6">
        <f t="shared" si="232"/>
        <v>2014</v>
      </c>
      <c r="N770" s="7">
        <f t="shared" ref="N770:N833" si="240">MAX(0,$K770-MAX($J770,2016)+1)/($K770-$J770+1)</f>
        <v>0.33333333333333331</v>
      </c>
      <c r="O770" s="7">
        <f t="shared" ref="O770:O833" si="241">MAX(0,$K770-MAX($J770,2017)+1)/($K770-$J770+1)</f>
        <v>0.22222222222222221</v>
      </c>
      <c r="P770" s="7">
        <f t="shared" ref="P770:P833" si="242">MAX(0,$K770-MAX($J770,2018)+1)/($K770-$J770+1)</f>
        <v>0.1111111111111111</v>
      </c>
      <c r="Q770" s="7">
        <f t="shared" si="233"/>
        <v>0</v>
      </c>
      <c r="R770" s="10" t="str">
        <f t="shared" ref="R770:R833" si="243">IF(N770&gt;=0.5,"1_Post","0_Pre")</f>
        <v>0_Pre</v>
      </c>
      <c r="S770" s="10" t="str">
        <f t="shared" ref="S770:S833" si="244">IF($L770&gt;=2016,"1_Post","0_Pre")</f>
        <v>0_Pre</v>
      </c>
      <c r="T770" s="10" t="str">
        <f t="shared" ref="T770:T833" si="245">IF($M770&gt;=2016,"1_Post","0_Pre")</f>
        <v>0_Pre</v>
      </c>
      <c r="U770" s="10" t="str">
        <f t="shared" ref="U770:U833" si="246">IF($K770&gt;=2016,"1_Post","0_Pre")</f>
        <v>1_Post</v>
      </c>
      <c r="V770" s="10" t="str">
        <f t="shared" si="234"/>
        <v>0_Pre</v>
      </c>
      <c r="W770" s="10" t="str">
        <f t="shared" ref="W770:W833" si="247">IF($K770&lt;=2015,"clean_pre",IF($J770&gt;=2016,"clean_post","straddle"))</f>
        <v>straddle</v>
      </c>
      <c r="X770" s="10" t="str">
        <f t="shared" ref="X770:X833" si="248">IF(O770&gt;=0.5,"1_Post","0_Pre")</f>
        <v>0_Pre</v>
      </c>
      <c r="Y770" s="10" t="str">
        <f t="shared" ref="Y770:Y833" si="249">IF(P770&gt;=0.5,"1_Post","0_Pre")</f>
        <v>0_Pre</v>
      </c>
      <c r="Z770" s="10" t="str">
        <f t="shared" ref="Z770:Z833" si="250">IF(Q770&gt;=0.5,"1_Post","0_Pre")</f>
        <v>0_Pre</v>
      </c>
      <c r="AA770" s="10" t="str">
        <f t="shared" si="235"/>
        <v>1_Post</v>
      </c>
      <c r="AB770" s="10" t="str">
        <f t="shared" si="236"/>
        <v>1_Post</v>
      </c>
      <c r="AC770" s="10" t="str">
        <f t="shared" si="237"/>
        <v>0_Pre</v>
      </c>
      <c r="AD770" s="10" t="str">
        <f t="shared" si="238"/>
        <v>2_post sample median</v>
      </c>
      <c r="AE770" s="10" t="str">
        <f t="shared" si="239"/>
        <v>3_post sample third tertile</v>
      </c>
      <c r="AF770" t="s">
        <v>81</v>
      </c>
      <c r="AG770" t="s">
        <v>74</v>
      </c>
      <c r="AH770" t="s">
        <v>78</v>
      </c>
      <c r="AI770" t="s">
        <v>122</v>
      </c>
      <c r="AJ770" t="s">
        <v>122</v>
      </c>
      <c r="AK770" t="str">
        <f>VLOOKUP(MID($AR770,1,255),country_lookup!$B:$F,2,FALSE)</f>
        <v>1_US</v>
      </c>
      <c r="AL770" t="str">
        <f>VLOOKUP(MID($AR770,1,255),country_lookup!$B:$F,3,FALSE)</f>
        <v>1_developed</v>
      </c>
      <c r="AM770" t="str">
        <f>VLOOKUP(MID($AR770,1,255),country_lookup!$B:$F,4,FALSE)</f>
        <v>1_western</v>
      </c>
      <c r="AN770" t="str">
        <f>VLOOKUP(MID($AR770,1,255),country_lookup!$B:$F,5,FALSE)</f>
        <v>1_common law</v>
      </c>
      <c r="AO770" s="10" t="str">
        <f>VLOOKUP(MID($AS770,1,255),source_lookup!$B:$K,4,FALSE)</f>
        <v>0_published</v>
      </c>
      <c r="AP770" s="10" t="str">
        <f>VLOOKUP(MID($AS770,1,255),source_lookup!$B:$K,6,FALSE)</f>
        <v>1_VHB high</v>
      </c>
      <c r="AQ770" s="10" t="str">
        <f>VLOOKUP(MID($AS770,1,255),source_lookup!$B:$K,10,FALSE)</f>
        <v>1_fin/acc/econ</v>
      </c>
      <c r="AR770" t="s">
        <v>85</v>
      </c>
      <c r="AS770" t="s">
        <v>159</v>
      </c>
    </row>
    <row r="771" spans="1:45" x14ac:dyDescent="0.3">
      <c r="A771" t="s">
        <v>35</v>
      </c>
      <c r="B771">
        <v>770</v>
      </c>
      <c r="C771" s="1">
        <v>-7.980634248433717E-2</v>
      </c>
      <c r="D771" s="2">
        <v>115</v>
      </c>
      <c r="E771" s="4">
        <v>1035</v>
      </c>
      <c r="F771" s="4" t="s">
        <v>346</v>
      </c>
      <c r="G771" s="4" t="s">
        <v>346</v>
      </c>
      <c r="H771" t="s">
        <v>77</v>
      </c>
      <c r="I771" t="s">
        <v>352</v>
      </c>
      <c r="J771" s="3">
        <v>2010</v>
      </c>
      <c r="K771" s="3">
        <v>2018</v>
      </c>
      <c r="L771" s="6">
        <f t="shared" ref="L771:L834" si="251">ROUND(AVERAGE(J771:K771),100)</f>
        <v>2014</v>
      </c>
      <c r="M771" s="6">
        <f t="shared" ref="M771:M834" si="252">ROUND(MEDIAN(J771:K771),100)</f>
        <v>2014</v>
      </c>
      <c r="N771" s="7">
        <f t="shared" si="240"/>
        <v>0.33333333333333331</v>
      </c>
      <c r="O771" s="7">
        <f t="shared" si="241"/>
        <v>0.22222222222222221</v>
      </c>
      <c r="P771" s="7">
        <f t="shared" si="242"/>
        <v>0.1111111111111111</v>
      </c>
      <c r="Q771" s="7">
        <f t="shared" ref="Q771:Q834" si="253">MAX(0,$K771-MAX($J771,2019)+1)/($K771-$J771+1)</f>
        <v>0</v>
      </c>
      <c r="R771" s="10" t="str">
        <f t="shared" si="243"/>
        <v>0_Pre</v>
      </c>
      <c r="S771" s="10" t="str">
        <f t="shared" si="244"/>
        <v>0_Pre</v>
      </c>
      <c r="T771" s="10" t="str">
        <f t="shared" si="245"/>
        <v>0_Pre</v>
      </c>
      <c r="U771" s="10" t="str">
        <f t="shared" si="246"/>
        <v>1_Post</v>
      </c>
      <c r="V771" s="10" t="str">
        <f t="shared" ref="V771:V834" si="254">IF($J771&lt;=2017,"0_Pre","1_Post")</f>
        <v>0_Pre</v>
      </c>
      <c r="W771" s="10" t="str">
        <f t="shared" si="247"/>
        <v>straddle</v>
      </c>
      <c r="X771" s="10" t="str">
        <f t="shared" si="248"/>
        <v>0_Pre</v>
      </c>
      <c r="Y771" s="10" t="str">
        <f t="shared" si="249"/>
        <v>0_Pre</v>
      </c>
      <c r="Z771" s="10" t="str">
        <f t="shared" si="250"/>
        <v>0_Pre</v>
      </c>
      <c r="AA771" s="10" t="str">
        <f t="shared" ref="AA771:AA834" si="255">IF($K771&gt;=2017,"1_Post","0_Pre")</f>
        <v>1_Post</v>
      </c>
      <c r="AB771" s="10" t="str">
        <f t="shared" ref="AB771:AB834" si="256">IF($K771&gt;=2018,"1_Post","0_Pre")</f>
        <v>1_Post</v>
      </c>
      <c r="AC771" s="10" t="str">
        <f t="shared" ref="AC771:AC834" si="257">IF($K771&gt;=2019,"1_Post","0_Pre")</f>
        <v>0_Pre</v>
      </c>
      <c r="AD771" s="10" t="str">
        <f t="shared" ref="AD771:AD834" si="258">IF(L771&lt;MEDIAN($L$2:$L$1307),"1_pre sample median","2_post sample median")</f>
        <v>2_post sample median</v>
      </c>
      <c r="AE771" s="10" t="str">
        <f t="shared" ref="AE771:AE834" si="259">IF(L771&lt;=PERCENTILE($L$2:$L$1307,0.33),"1_pre sample first tertile",IF(L771&gt;=PERCENTILE($L$2:$L$1307,0.67),"3_post sample third tertile","2_in sample second tertile"))</f>
        <v>3_post sample third tertile</v>
      </c>
      <c r="AF771" t="s">
        <v>81</v>
      </c>
      <c r="AG771" t="s">
        <v>74</v>
      </c>
      <c r="AH771" t="s">
        <v>78</v>
      </c>
      <c r="AI771" t="s">
        <v>122</v>
      </c>
      <c r="AJ771" t="s">
        <v>122</v>
      </c>
      <c r="AK771" t="str">
        <f>VLOOKUP(MID($AR771,1,255),country_lookup!$B:$F,2,FALSE)</f>
        <v>1_US</v>
      </c>
      <c r="AL771" t="str">
        <f>VLOOKUP(MID($AR771,1,255),country_lookup!$B:$F,3,FALSE)</f>
        <v>1_developed</v>
      </c>
      <c r="AM771" t="str">
        <f>VLOOKUP(MID($AR771,1,255),country_lookup!$B:$F,4,FALSE)</f>
        <v>1_western</v>
      </c>
      <c r="AN771" t="str">
        <f>VLOOKUP(MID($AR771,1,255),country_lookup!$B:$F,5,FALSE)</f>
        <v>1_common law</v>
      </c>
      <c r="AO771" s="10" t="str">
        <f>VLOOKUP(MID($AS771,1,255),source_lookup!$B:$K,4,FALSE)</f>
        <v>0_published</v>
      </c>
      <c r="AP771" s="10" t="str">
        <f>VLOOKUP(MID($AS771,1,255),source_lookup!$B:$K,6,FALSE)</f>
        <v>1_VHB high</v>
      </c>
      <c r="AQ771" s="10" t="str">
        <f>VLOOKUP(MID($AS771,1,255),source_lookup!$B:$K,10,FALSE)</f>
        <v>1_fin/acc/econ</v>
      </c>
      <c r="AR771" t="s">
        <v>85</v>
      </c>
      <c r="AS771" t="s">
        <v>159</v>
      </c>
    </row>
    <row r="772" spans="1:45" x14ac:dyDescent="0.3">
      <c r="A772" t="s">
        <v>35</v>
      </c>
      <c r="B772">
        <v>771</v>
      </c>
      <c r="C772" s="1">
        <v>-1.3651920200140968E-2</v>
      </c>
      <c r="D772" s="2">
        <v>363</v>
      </c>
      <c r="E772" s="4">
        <v>3269</v>
      </c>
      <c r="F772" s="4" t="s">
        <v>346</v>
      </c>
      <c r="G772" s="4" t="s">
        <v>346</v>
      </c>
      <c r="H772" t="s">
        <v>77</v>
      </c>
      <c r="I772" t="s">
        <v>352</v>
      </c>
      <c r="J772" s="3">
        <v>2010</v>
      </c>
      <c r="K772" s="3">
        <v>2018</v>
      </c>
      <c r="L772" s="6">
        <f t="shared" si="251"/>
        <v>2014</v>
      </c>
      <c r="M772" s="6">
        <f t="shared" si="252"/>
        <v>2014</v>
      </c>
      <c r="N772" s="7">
        <f t="shared" si="240"/>
        <v>0.33333333333333331</v>
      </c>
      <c r="O772" s="7">
        <f t="shared" si="241"/>
        <v>0.22222222222222221</v>
      </c>
      <c r="P772" s="7">
        <f t="shared" si="242"/>
        <v>0.1111111111111111</v>
      </c>
      <c r="Q772" s="7">
        <f t="shared" si="253"/>
        <v>0</v>
      </c>
      <c r="R772" s="10" t="str">
        <f t="shared" si="243"/>
        <v>0_Pre</v>
      </c>
      <c r="S772" s="10" t="str">
        <f t="shared" si="244"/>
        <v>0_Pre</v>
      </c>
      <c r="T772" s="10" t="str">
        <f t="shared" si="245"/>
        <v>0_Pre</v>
      </c>
      <c r="U772" s="10" t="str">
        <f t="shared" si="246"/>
        <v>1_Post</v>
      </c>
      <c r="V772" s="10" t="str">
        <f t="shared" si="254"/>
        <v>0_Pre</v>
      </c>
      <c r="W772" s="10" t="str">
        <f t="shared" si="247"/>
        <v>straddle</v>
      </c>
      <c r="X772" s="10" t="str">
        <f t="shared" si="248"/>
        <v>0_Pre</v>
      </c>
      <c r="Y772" s="10" t="str">
        <f t="shared" si="249"/>
        <v>0_Pre</v>
      </c>
      <c r="Z772" s="10" t="str">
        <f t="shared" si="250"/>
        <v>0_Pre</v>
      </c>
      <c r="AA772" s="10" t="str">
        <f t="shared" si="255"/>
        <v>1_Post</v>
      </c>
      <c r="AB772" s="10" t="str">
        <f t="shared" si="256"/>
        <v>1_Post</v>
      </c>
      <c r="AC772" s="10" t="str">
        <f t="shared" si="257"/>
        <v>0_Pre</v>
      </c>
      <c r="AD772" s="10" t="str">
        <f t="shared" si="258"/>
        <v>2_post sample median</v>
      </c>
      <c r="AE772" s="10" t="str">
        <f t="shared" si="259"/>
        <v>3_post sample third tertile</v>
      </c>
      <c r="AF772" t="s">
        <v>81</v>
      </c>
      <c r="AG772" t="s">
        <v>74</v>
      </c>
      <c r="AH772" t="s">
        <v>78</v>
      </c>
      <c r="AI772" t="s">
        <v>122</v>
      </c>
      <c r="AJ772" t="s">
        <v>122</v>
      </c>
      <c r="AK772" t="str">
        <f>VLOOKUP(MID($AR772,1,255),country_lookup!$B:$F,2,FALSE)</f>
        <v>1_US</v>
      </c>
      <c r="AL772" t="str">
        <f>VLOOKUP(MID($AR772,1,255),country_lookup!$B:$F,3,FALSE)</f>
        <v>1_developed</v>
      </c>
      <c r="AM772" t="str">
        <f>VLOOKUP(MID($AR772,1,255),country_lookup!$B:$F,4,FALSE)</f>
        <v>1_western</v>
      </c>
      <c r="AN772" t="str">
        <f>VLOOKUP(MID($AR772,1,255),country_lookup!$B:$F,5,FALSE)</f>
        <v>1_common law</v>
      </c>
      <c r="AO772" s="10" t="str">
        <f>VLOOKUP(MID($AS772,1,255),source_lookup!$B:$K,4,FALSE)</f>
        <v>0_published</v>
      </c>
      <c r="AP772" s="10" t="str">
        <f>VLOOKUP(MID($AS772,1,255),source_lookup!$B:$K,6,FALSE)</f>
        <v>1_VHB high</v>
      </c>
      <c r="AQ772" s="10" t="str">
        <f>VLOOKUP(MID($AS772,1,255),source_lookup!$B:$K,10,FALSE)</f>
        <v>1_fin/acc/econ</v>
      </c>
      <c r="AR772" t="s">
        <v>85</v>
      </c>
      <c r="AS772" t="s">
        <v>159</v>
      </c>
    </row>
    <row r="773" spans="1:45" x14ac:dyDescent="0.3">
      <c r="A773" t="s">
        <v>35</v>
      </c>
      <c r="B773">
        <v>772</v>
      </c>
      <c r="C773" s="1">
        <v>-5.7260431732587252E-3</v>
      </c>
      <c r="D773" s="2">
        <v>363</v>
      </c>
      <c r="E773" s="4">
        <v>3269</v>
      </c>
      <c r="F773" s="4" t="s">
        <v>346</v>
      </c>
      <c r="G773" s="4" t="s">
        <v>346</v>
      </c>
      <c r="H773" t="s">
        <v>77</v>
      </c>
      <c r="I773" t="s">
        <v>352</v>
      </c>
      <c r="J773" s="3">
        <v>2010</v>
      </c>
      <c r="K773" s="3">
        <v>2018</v>
      </c>
      <c r="L773" s="6">
        <f t="shared" si="251"/>
        <v>2014</v>
      </c>
      <c r="M773" s="6">
        <f t="shared" si="252"/>
        <v>2014</v>
      </c>
      <c r="N773" s="7">
        <f t="shared" si="240"/>
        <v>0.33333333333333331</v>
      </c>
      <c r="O773" s="7">
        <f t="shared" si="241"/>
        <v>0.22222222222222221</v>
      </c>
      <c r="P773" s="7">
        <f t="shared" si="242"/>
        <v>0.1111111111111111</v>
      </c>
      <c r="Q773" s="7">
        <f t="shared" si="253"/>
        <v>0</v>
      </c>
      <c r="R773" s="10" t="str">
        <f t="shared" si="243"/>
        <v>0_Pre</v>
      </c>
      <c r="S773" s="10" t="str">
        <f t="shared" si="244"/>
        <v>0_Pre</v>
      </c>
      <c r="T773" s="10" t="str">
        <f t="shared" si="245"/>
        <v>0_Pre</v>
      </c>
      <c r="U773" s="10" t="str">
        <f t="shared" si="246"/>
        <v>1_Post</v>
      </c>
      <c r="V773" s="10" t="str">
        <f t="shared" si="254"/>
        <v>0_Pre</v>
      </c>
      <c r="W773" s="10" t="str">
        <f t="shared" si="247"/>
        <v>straddle</v>
      </c>
      <c r="X773" s="10" t="str">
        <f t="shared" si="248"/>
        <v>0_Pre</v>
      </c>
      <c r="Y773" s="10" t="str">
        <f t="shared" si="249"/>
        <v>0_Pre</v>
      </c>
      <c r="Z773" s="10" t="str">
        <f t="shared" si="250"/>
        <v>0_Pre</v>
      </c>
      <c r="AA773" s="10" t="str">
        <f t="shared" si="255"/>
        <v>1_Post</v>
      </c>
      <c r="AB773" s="10" t="str">
        <f t="shared" si="256"/>
        <v>1_Post</v>
      </c>
      <c r="AC773" s="10" t="str">
        <f t="shared" si="257"/>
        <v>0_Pre</v>
      </c>
      <c r="AD773" s="10" t="str">
        <f t="shared" si="258"/>
        <v>2_post sample median</v>
      </c>
      <c r="AE773" s="10" t="str">
        <f t="shared" si="259"/>
        <v>3_post sample third tertile</v>
      </c>
      <c r="AF773" t="s">
        <v>81</v>
      </c>
      <c r="AG773" t="s">
        <v>74</v>
      </c>
      <c r="AH773" t="s">
        <v>78</v>
      </c>
      <c r="AI773" t="s">
        <v>122</v>
      </c>
      <c r="AJ773" t="s">
        <v>122</v>
      </c>
      <c r="AK773" t="str">
        <f>VLOOKUP(MID($AR773,1,255),country_lookup!$B:$F,2,FALSE)</f>
        <v>1_US</v>
      </c>
      <c r="AL773" t="str">
        <f>VLOOKUP(MID($AR773,1,255),country_lookup!$B:$F,3,FALSE)</f>
        <v>1_developed</v>
      </c>
      <c r="AM773" t="str">
        <f>VLOOKUP(MID($AR773,1,255),country_lookup!$B:$F,4,FALSE)</f>
        <v>1_western</v>
      </c>
      <c r="AN773" t="str">
        <f>VLOOKUP(MID($AR773,1,255),country_lookup!$B:$F,5,FALSE)</f>
        <v>1_common law</v>
      </c>
      <c r="AO773" s="10" t="str">
        <f>VLOOKUP(MID($AS773,1,255),source_lookup!$B:$K,4,FALSE)</f>
        <v>0_published</v>
      </c>
      <c r="AP773" s="10" t="str">
        <f>VLOOKUP(MID($AS773,1,255),source_lookup!$B:$K,6,FALSE)</f>
        <v>1_VHB high</v>
      </c>
      <c r="AQ773" s="10" t="str">
        <f>VLOOKUP(MID($AS773,1,255),source_lookup!$B:$K,10,FALSE)</f>
        <v>1_fin/acc/econ</v>
      </c>
      <c r="AR773" t="s">
        <v>85</v>
      </c>
      <c r="AS773" t="s">
        <v>159</v>
      </c>
    </row>
    <row r="774" spans="1:45" x14ac:dyDescent="0.3">
      <c r="A774" t="s">
        <v>35</v>
      </c>
      <c r="B774">
        <v>773</v>
      </c>
      <c r="C774" s="1">
        <v>2.1001637173506105E-2</v>
      </c>
      <c r="D774" s="2">
        <v>363</v>
      </c>
      <c r="E774" s="4">
        <v>3269</v>
      </c>
      <c r="F774" s="4" t="s">
        <v>346</v>
      </c>
      <c r="G774" s="4" t="s">
        <v>346</v>
      </c>
      <c r="H774" t="s">
        <v>77</v>
      </c>
      <c r="I774" t="s">
        <v>352</v>
      </c>
      <c r="J774" s="3">
        <v>2010</v>
      </c>
      <c r="K774" s="3">
        <v>2018</v>
      </c>
      <c r="L774" s="6">
        <f t="shared" si="251"/>
        <v>2014</v>
      </c>
      <c r="M774" s="6">
        <f t="shared" si="252"/>
        <v>2014</v>
      </c>
      <c r="N774" s="7">
        <f t="shared" si="240"/>
        <v>0.33333333333333331</v>
      </c>
      <c r="O774" s="7">
        <f t="shared" si="241"/>
        <v>0.22222222222222221</v>
      </c>
      <c r="P774" s="7">
        <f t="shared" si="242"/>
        <v>0.1111111111111111</v>
      </c>
      <c r="Q774" s="7">
        <f t="shared" si="253"/>
        <v>0</v>
      </c>
      <c r="R774" s="10" t="str">
        <f t="shared" si="243"/>
        <v>0_Pre</v>
      </c>
      <c r="S774" s="10" t="str">
        <f t="shared" si="244"/>
        <v>0_Pre</v>
      </c>
      <c r="T774" s="10" t="str">
        <f t="shared" si="245"/>
        <v>0_Pre</v>
      </c>
      <c r="U774" s="10" t="str">
        <f t="shared" si="246"/>
        <v>1_Post</v>
      </c>
      <c r="V774" s="10" t="str">
        <f t="shared" si="254"/>
        <v>0_Pre</v>
      </c>
      <c r="W774" s="10" t="str">
        <f t="shared" si="247"/>
        <v>straddle</v>
      </c>
      <c r="X774" s="10" t="str">
        <f t="shared" si="248"/>
        <v>0_Pre</v>
      </c>
      <c r="Y774" s="10" t="str">
        <f t="shared" si="249"/>
        <v>0_Pre</v>
      </c>
      <c r="Z774" s="10" t="str">
        <f t="shared" si="250"/>
        <v>0_Pre</v>
      </c>
      <c r="AA774" s="10" t="str">
        <f t="shared" si="255"/>
        <v>1_Post</v>
      </c>
      <c r="AB774" s="10" t="str">
        <f t="shared" si="256"/>
        <v>1_Post</v>
      </c>
      <c r="AC774" s="10" t="str">
        <f t="shared" si="257"/>
        <v>0_Pre</v>
      </c>
      <c r="AD774" s="10" t="str">
        <f t="shared" si="258"/>
        <v>2_post sample median</v>
      </c>
      <c r="AE774" s="10" t="str">
        <f t="shared" si="259"/>
        <v>3_post sample third tertile</v>
      </c>
      <c r="AF774" t="s">
        <v>81</v>
      </c>
      <c r="AG774" t="s">
        <v>74</v>
      </c>
      <c r="AH774" t="s">
        <v>78</v>
      </c>
      <c r="AI774" t="s">
        <v>122</v>
      </c>
      <c r="AJ774" t="s">
        <v>122</v>
      </c>
      <c r="AK774" t="str">
        <f>VLOOKUP(MID($AR774,1,255),country_lookup!$B:$F,2,FALSE)</f>
        <v>1_US</v>
      </c>
      <c r="AL774" t="str">
        <f>VLOOKUP(MID($AR774,1,255),country_lookup!$B:$F,3,FALSE)</f>
        <v>1_developed</v>
      </c>
      <c r="AM774" t="str">
        <f>VLOOKUP(MID($AR774,1,255),country_lookup!$B:$F,4,FALSE)</f>
        <v>1_western</v>
      </c>
      <c r="AN774" t="str">
        <f>VLOOKUP(MID($AR774,1,255),country_lookup!$B:$F,5,FALSE)</f>
        <v>1_common law</v>
      </c>
      <c r="AO774" s="10" t="str">
        <f>VLOOKUP(MID($AS774,1,255),source_lookup!$B:$K,4,FALSE)</f>
        <v>0_published</v>
      </c>
      <c r="AP774" s="10" t="str">
        <f>VLOOKUP(MID($AS774,1,255),source_lookup!$B:$K,6,FALSE)</f>
        <v>1_VHB high</v>
      </c>
      <c r="AQ774" s="10" t="str">
        <f>VLOOKUP(MID($AS774,1,255),source_lookup!$B:$K,10,FALSE)</f>
        <v>1_fin/acc/econ</v>
      </c>
      <c r="AR774" t="s">
        <v>85</v>
      </c>
      <c r="AS774" t="s">
        <v>159</v>
      </c>
    </row>
    <row r="775" spans="1:45" x14ac:dyDescent="0.3">
      <c r="A775" t="s">
        <v>35</v>
      </c>
      <c r="B775">
        <v>774</v>
      </c>
      <c r="C775" s="1">
        <v>-3.3197256522568039E-2</v>
      </c>
      <c r="D775" s="2">
        <v>363</v>
      </c>
      <c r="E775" s="4">
        <v>3269</v>
      </c>
      <c r="F775" s="4" t="s">
        <v>346</v>
      </c>
      <c r="G775" s="4" t="s">
        <v>346</v>
      </c>
      <c r="H775" t="s">
        <v>77</v>
      </c>
      <c r="I775" t="s">
        <v>352</v>
      </c>
      <c r="J775" s="3">
        <v>2010</v>
      </c>
      <c r="K775" s="3">
        <v>2018</v>
      </c>
      <c r="L775" s="6">
        <f t="shared" si="251"/>
        <v>2014</v>
      </c>
      <c r="M775" s="6">
        <f t="shared" si="252"/>
        <v>2014</v>
      </c>
      <c r="N775" s="7">
        <f t="shared" si="240"/>
        <v>0.33333333333333331</v>
      </c>
      <c r="O775" s="7">
        <f t="shared" si="241"/>
        <v>0.22222222222222221</v>
      </c>
      <c r="P775" s="7">
        <f t="shared" si="242"/>
        <v>0.1111111111111111</v>
      </c>
      <c r="Q775" s="7">
        <f t="shared" si="253"/>
        <v>0</v>
      </c>
      <c r="R775" s="10" t="str">
        <f t="shared" si="243"/>
        <v>0_Pre</v>
      </c>
      <c r="S775" s="10" t="str">
        <f t="shared" si="244"/>
        <v>0_Pre</v>
      </c>
      <c r="T775" s="10" t="str">
        <f t="shared" si="245"/>
        <v>0_Pre</v>
      </c>
      <c r="U775" s="10" t="str">
        <f t="shared" si="246"/>
        <v>1_Post</v>
      </c>
      <c r="V775" s="10" t="str">
        <f t="shared" si="254"/>
        <v>0_Pre</v>
      </c>
      <c r="W775" s="10" t="str">
        <f t="shared" si="247"/>
        <v>straddle</v>
      </c>
      <c r="X775" s="10" t="str">
        <f t="shared" si="248"/>
        <v>0_Pre</v>
      </c>
      <c r="Y775" s="10" t="str">
        <f t="shared" si="249"/>
        <v>0_Pre</v>
      </c>
      <c r="Z775" s="10" t="str">
        <f t="shared" si="250"/>
        <v>0_Pre</v>
      </c>
      <c r="AA775" s="10" t="str">
        <f t="shared" si="255"/>
        <v>1_Post</v>
      </c>
      <c r="AB775" s="10" t="str">
        <f t="shared" si="256"/>
        <v>1_Post</v>
      </c>
      <c r="AC775" s="10" t="str">
        <f t="shared" si="257"/>
        <v>0_Pre</v>
      </c>
      <c r="AD775" s="10" t="str">
        <f t="shared" si="258"/>
        <v>2_post sample median</v>
      </c>
      <c r="AE775" s="10" t="str">
        <f t="shared" si="259"/>
        <v>3_post sample third tertile</v>
      </c>
      <c r="AF775" t="s">
        <v>81</v>
      </c>
      <c r="AG775" t="s">
        <v>74</v>
      </c>
      <c r="AH775" t="s">
        <v>78</v>
      </c>
      <c r="AI775" t="s">
        <v>122</v>
      </c>
      <c r="AJ775" t="s">
        <v>122</v>
      </c>
      <c r="AK775" t="str">
        <f>VLOOKUP(MID($AR775,1,255),country_lookup!$B:$F,2,FALSE)</f>
        <v>1_US</v>
      </c>
      <c r="AL775" t="str">
        <f>VLOOKUP(MID($AR775,1,255),country_lookup!$B:$F,3,FALSE)</f>
        <v>1_developed</v>
      </c>
      <c r="AM775" t="str">
        <f>VLOOKUP(MID($AR775,1,255),country_lookup!$B:$F,4,FALSE)</f>
        <v>1_western</v>
      </c>
      <c r="AN775" t="str">
        <f>VLOOKUP(MID($AR775,1,255),country_lookup!$B:$F,5,FALSE)</f>
        <v>1_common law</v>
      </c>
      <c r="AO775" s="10" t="str">
        <f>VLOOKUP(MID($AS775,1,255),source_lookup!$B:$K,4,FALSE)</f>
        <v>0_published</v>
      </c>
      <c r="AP775" s="10" t="str">
        <f>VLOOKUP(MID($AS775,1,255),source_lookup!$B:$K,6,FALSE)</f>
        <v>1_VHB high</v>
      </c>
      <c r="AQ775" s="10" t="str">
        <f>VLOOKUP(MID($AS775,1,255),source_lookup!$B:$K,10,FALSE)</f>
        <v>1_fin/acc/econ</v>
      </c>
      <c r="AR775" t="s">
        <v>85</v>
      </c>
      <c r="AS775" t="s">
        <v>159</v>
      </c>
    </row>
    <row r="776" spans="1:45" x14ac:dyDescent="0.3">
      <c r="A776" t="s">
        <v>35</v>
      </c>
      <c r="B776">
        <v>775</v>
      </c>
      <c r="C776" s="1">
        <v>-4.0899739584917653E-2</v>
      </c>
      <c r="D776" s="2">
        <v>115</v>
      </c>
      <c r="E776" s="4">
        <v>1035</v>
      </c>
      <c r="F776" s="4" t="s">
        <v>346</v>
      </c>
      <c r="G776" s="4" t="s">
        <v>346</v>
      </c>
      <c r="H776" t="s">
        <v>77</v>
      </c>
      <c r="I776" t="s">
        <v>352</v>
      </c>
      <c r="J776" s="3">
        <v>2010</v>
      </c>
      <c r="K776" s="3">
        <v>2018</v>
      </c>
      <c r="L776" s="6">
        <f t="shared" si="251"/>
        <v>2014</v>
      </c>
      <c r="M776" s="6">
        <f t="shared" si="252"/>
        <v>2014</v>
      </c>
      <c r="N776" s="7">
        <f t="shared" si="240"/>
        <v>0.33333333333333331</v>
      </c>
      <c r="O776" s="7">
        <f t="shared" si="241"/>
        <v>0.22222222222222221</v>
      </c>
      <c r="P776" s="7">
        <f t="shared" si="242"/>
        <v>0.1111111111111111</v>
      </c>
      <c r="Q776" s="7">
        <f t="shared" si="253"/>
        <v>0</v>
      </c>
      <c r="R776" s="10" t="str">
        <f t="shared" si="243"/>
        <v>0_Pre</v>
      </c>
      <c r="S776" s="10" t="str">
        <f t="shared" si="244"/>
        <v>0_Pre</v>
      </c>
      <c r="T776" s="10" t="str">
        <f t="shared" si="245"/>
        <v>0_Pre</v>
      </c>
      <c r="U776" s="10" t="str">
        <f t="shared" si="246"/>
        <v>1_Post</v>
      </c>
      <c r="V776" s="10" t="str">
        <f t="shared" si="254"/>
        <v>0_Pre</v>
      </c>
      <c r="W776" s="10" t="str">
        <f t="shared" si="247"/>
        <v>straddle</v>
      </c>
      <c r="X776" s="10" t="str">
        <f t="shared" si="248"/>
        <v>0_Pre</v>
      </c>
      <c r="Y776" s="10" t="str">
        <f t="shared" si="249"/>
        <v>0_Pre</v>
      </c>
      <c r="Z776" s="10" t="str">
        <f t="shared" si="250"/>
        <v>0_Pre</v>
      </c>
      <c r="AA776" s="10" t="str">
        <f t="shared" si="255"/>
        <v>1_Post</v>
      </c>
      <c r="AB776" s="10" t="str">
        <f t="shared" si="256"/>
        <v>1_Post</v>
      </c>
      <c r="AC776" s="10" t="str">
        <f t="shared" si="257"/>
        <v>0_Pre</v>
      </c>
      <c r="AD776" s="10" t="str">
        <f t="shared" si="258"/>
        <v>2_post sample median</v>
      </c>
      <c r="AE776" s="10" t="str">
        <f t="shared" si="259"/>
        <v>3_post sample third tertile</v>
      </c>
      <c r="AF776" t="s">
        <v>81</v>
      </c>
      <c r="AG776" t="s">
        <v>74</v>
      </c>
      <c r="AH776" t="s">
        <v>78</v>
      </c>
      <c r="AI776" t="s">
        <v>122</v>
      </c>
      <c r="AJ776" t="s">
        <v>122</v>
      </c>
      <c r="AK776" t="str">
        <f>VLOOKUP(MID($AR776,1,255),country_lookup!$B:$F,2,FALSE)</f>
        <v>1_US</v>
      </c>
      <c r="AL776" t="str">
        <f>VLOOKUP(MID($AR776,1,255),country_lookup!$B:$F,3,FALSE)</f>
        <v>1_developed</v>
      </c>
      <c r="AM776" t="str">
        <f>VLOOKUP(MID($AR776,1,255),country_lookup!$B:$F,4,FALSE)</f>
        <v>1_western</v>
      </c>
      <c r="AN776" t="str">
        <f>VLOOKUP(MID($AR776,1,255),country_lookup!$B:$F,5,FALSE)</f>
        <v>1_common law</v>
      </c>
      <c r="AO776" s="10" t="str">
        <f>VLOOKUP(MID($AS776,1,255),source_lookup!$B:$K,4,FALSE)</f>
        <v>0_published</v>
      </c>
      <c r="AP776" s="10" t="str">
        <f>VLOOKUP(MID($AS776,1,255),source_lookup!$B:$K,6,FALSE)</f>
        <v>1_VHB high</v>
      </c>
      <c r="AQ776" s="10" t="str">
        <f>VLOOKUP(MID($AS776,1,255),source_lookup!$B:$K,10,FALSE)</f>
        <v>1_fin/acc/econ</v>
      </c>
      <c r="AR776" t="s">
        <v>85</v>
      </c>
      <c r="AS776" t="s">
        <v>159</v>
      </c>
    </row>
    <row r="777" spans="1:45" x14ac:dyDescent="0.3">
      <c r="A777" t="s">
        <v>35</v>
      </c>
      <c r="B777">
        <v>776</v>
      </c>
      <c r="C777" s="1">
        <v>-1.8034946424416271E-3</v>
      </c>
      <c r="D777" s="2">
        <v>115</v>
      </c>
      <c r="E777" s="4">
        <v>1035</v>
      </c>
      <c r="F777" s="4" t="s">
        <v>346</v>
      </c>
      <c r="G777" s="4" t="s">
        <v>346</v>
      </c>
      <c r="H777" t="s">
        <v>77</v>
      </c>
      <c r="I777" t="s">
        <v>352</v>
      </c>
      <c r="J777" s="3">
        <v>2010</v>
      </c>
      <c r="K777" s="3">
        <v>2018</v>
      </c>
      <c r="L777" s="6">
        <f t="shared" si="251"/>
        <v>2014</v>
      </c>
      <c r="M777" s="6">
        <f t="shared" si="252"/>
        <v>2014</v>
      </c>
      <c r="N777" s="7">
        <f t="shared" si="240"/>
        <v>0.33333333333333331</v>
      </c>
      <c r="O777" s="7">
        <f t="shared" si="241"/>
        <v>0.22222222222222221</v>
      </c>
      <c r="P777" s="7">
        <f t="shared" si="242"/>
        <v>0.1111111111111111</v>
      </c>
      <c r="Q777" s="7">
        <f t="shared" si="253"/>
        <v>0</v>
      </c>
      <c r="R777" s="10" t="str">
        <f t="shared" si="243"/>
        <v>0_Pre</v>
      </c>
      <c r="S777" s="10" t="str">
        <f t="shared" si="244"/>
        <v>0_Pre</v>
      </c>
      <c r="T777" s="10" t="str">
        <f t="shared" si="245"/>
        <v>0_Pre</v>
      </c>
      <c r="U777" s="10" t="str">
        <f t="shared" si="246"/>
        <v>1_Post</v>
      </c>
      <c r="V777" s="10" t="str">
        <f t="shared" si="254"/>
        <v>0_Pre</v>
      </c>
      <c r="W777" s="10" t="str">
        <f t="shared" si="247"/>
        <v>straddle</v>
      </c>
      <c r="X777" s="10" t="str">
        <f t="shared" si="248"/>
        <v>0_Pre</v>
      </c>
      <c r="Y777" s="10" t="str">
        <f t="shared" si="249"/>
        <v>0_Pre</v>
      </c>
      <c r="Z777" s="10" t="str">
        <f t="shared" si="250"/>
        <v>0_Pre</v>
      </c>
      <c r="AA777" s="10" t="str">
        <f t="shared" si="255"/>
        <v>1_Post</v>
      </c>
      <c r="AB777" s="10" t="str">
        <f t="shared" si="256"/>
        <v>1_Post</v>
      </c>
      <c r="AC777" s="10" t="str">
        <f t="shared" si="257"/>
        <v>0_Pre</v>
      </c>
      <c r="AD777" s="10" t="str">
        <f t="shared" si="258"/>
        <v>2_post sample median</v>
      </c>
      <c r="AE777" s="10" t="str">
        <f t="shared" si="259"/>
        <v>3_post sample third tertile</v>
      </c>
      <c r="AF777" t="s">
        <v>81</v>
      </c>
      <c r="AG777" t="s">
        <v>74</v>
      </c>
      <c r="AH777" t="s">
        <v>78</v>
      </c>
      <c r="AI777" t="s">
        <v>122</v>
      </c>
      <c r="AJ777" t="s">
        <v>122</v>
      </c>
      <c r="AK777" t="str">
        <f>VLOOKUP(MID($AR777,1,255),country_lookup!$B:$F,2,FALSE)</f>
        <v>1_US</v>
      </c>
      <c r="AL777" t="str">
        <f>VLOOKUP(MID($AR777,1,255),country_lookup!$B:$F,3,FALSE)</f>
        <v>1_developed</v>
      </c>
      <c r="AM777" t="str">
        <f>VLOOKUP(MID($AR777,1,255),country_lookup!$B:$F,4,FALSE)</f>
        <v>1_western</v>
      </c>
      <c r="AN777" t="str">
        <f>VLOOKUP(MID($AR777,1,255),country_lookup!$B:$F,5,FALSE)</f>
        <v>1_common law</v>
      </c>
      <c r="AO777" s="10" t="str">
        <f>VLOOKUP(MID($AS777,1,255),source_lookup!$B:$K,4,FALSE)</f>
        <v>0_published</v>
      </c>
      <c r="AP777" s="10" t="str">
        <f>VLOOKUP(MID($AS777,1,255),source_lookup!$B:$K,6,FALSE)</f>
        <v>1_VHB high</v>
      </c>
      <c r="AQ777" s="10" t="str">
        <f>VLOOKUP(MID($AS777,1,255),source_lookup!$B:$K,10,FALSE)</f>
        <v>1_fin/acc/econ</v>
      </c>
      <c r="AR777" t="s">
        <v>85</v>
      </c>
      <c r="AS777" t="s">
        <v>159</v>
      </c>
    </row>
    <row r="778" spans="1:45" x14ac:dyDescent="0.3">
      <c r="A778" t="s">
        <v>35</v>
      </c>
      <c r="B778">
        <v>777</v>
      </c>
      <c r="C778" s="1">
        <v>-4.380143755369461E-3</v>
      </c>
      <c r="D778" s="2">
        <v>115</v>
      </c>
      <c r="E778" s="4">
        <v>1035</v>
      </c>
      <c r="F778" s="4" t="s">
        <v>346</v>
      </c>
      <c r="G778" s="4" t="s">
        <v>346</v>
      </c>
      <c r="H778" t="s">
        <v>77</v>
      </c>
      <c r="I778" t="s">
        <v>352</v>
      </c>
      <c r="J778" s="3">
        <v>2010</v>
      </c>
      <c r="K778" s="3">
        <v>2018</v>
      </c>
      <c r="L778" s="6">
        <f t="shared" si="251"/>
        <v>2014</v>
      </c>
      <c r="M778" s="6">
        <f t="shared" si="252"/>
        <v>2014</v>
      </c>
      <c r="N778" s="7">
        <f t="shared" si="240"/>
        <v>0.33333333333333331</v>
      </c>
      <c r="O778" s="7">
        <f t="shared" si="241"/>
        <v>0.22222222222222221</v>
      </c>
      <c r="P778" s="7">
        <f t="shared" si="242"/>
        <v>0.1111111111111111</v>
      </c>
      <c r="Q778" s="7">
        <f t="shared" si="253"/>
        <v>0</v>
      </c>
      <c r="R778" s="10" t="str">
        <f t="shared" si="243"/>
        <v>0_Pre</v>
      </c>
      <c r="S778" s="10" t="str">
        <f t="shared" si="244"/>
        <v>0_Pre</v>
      </c>
      <c r="T778" s="10" t="str">
        <f t="shared" si="245"/>
        <v>0_Pre</v>
      </c>
      <c r="U778" s="10" t="str">
        <f t="shared" si="246"/>
        <v>1_Post</v>
      </c>
      <c r="V778" s="10" t="str">
        <f t="shared" si="254"/>
        <v>0_Pre</v>
      </c>
      <c r="W778" s="10" t="str">
        <f t="shared" si="247"/>
        <v>straddle</v>
      </c>
      <c r="X778" s="10" t="str">
        <f t="shared" si="248"/>
        <v>0_Pre</v>
      </c>
      <c r="Y778" s="10" t="str">
        <f t="shared" si="249"/>
        <v>0_Pre</v>
      </c>
      <c r="Z778" s="10" t="str">
        <f t="shared" si="250"/>
        <v>0_Pre</v>
      </c>
      <c r="AA778" s="10" t="str">
        <f t="shared" si="255"/>
        <v>1_Post</v>
      </c>
      <c r="AB778" s="10" t="str">
        <f t="shared" si="256"/>
        <v>1_Post</v>
      </c>
      <c r="AC778" s="10" t="str">
        <f t="shared" si="257"/>
        <v>0_Pre</v>
      </c>
      <c r="AD778" s="10" t="str">
        <f t="shared" si="258"/>
        <v>2_post sample median</v>
      </c>
      <c r="AE778" s="10" t="str">
        <f t="shared" si="259"/>
        <v>3_post sample third tertile</v>
      </c>
      <c r="AF778" t="s">
        <v>81</v>
      </c>
      <c r="AG778" t="s">
        <v>74</v>
      </c>
      <c r="AH778" t="s">
        <v>78</v>
      </c>
      <c r="AI778" t="s">
        <v>122</v>
      </c>
      <c r="AJ778" t="s">
        <v>122</v>
      </c>
      <c r="AK778" t="str">
        <f>VLOOKUP(MID($AR778,1,255),country_lookup!$B:$F,2,FALSE)</f>
        <v>1_US</v>
      </c>
      <c r="AL778" t="str">
        <f>VLOOKUP(MID($AR778,1,255),country_lookup!$B:$F,3,FALSE)</f>
        <v>1_developed</v>
      </c>
      <c r="AM778" t="str">
        <f>VLOOKUP(MID($AR778,1,255),country_lookup!$B:$F,4,FALSE)</f>
        <v>1_western</v>
      </c>
      <c r="AN778" t="str">
        <f>VLOOKUP(MID($AR778,1,255),country_lookup!$B:$F,5,FALSE)</f>
        <v>1_common law</v>
      </c>
      <c r="AO778" s="10" t="str">
        <f>VLOOKUP(MID($AS778,1,255),source_lookup!$B:$K,4,FALSE)</f>
        <v>0_published</v>
      </c>
      <c r="AP778" s="10" t="str">
        <f>VLOOKUP(MID($AS778,1,255),source_lookup!$B:$K,6,FALSE)</f>
        <v>1_VHB high</v>
      </c>
      <c r="AQ778" s="10" t="str">
        <f>VLOOKUP(MID($AS778,1,255),source_lookup!$B:$K,10,FALSE)</f>
        <v>1_fin/acc/econ</v>
      </c>
      <c r="AR778" t="s">
        <v>85</v>
      </c>
      <c r="AS778" t="s">
        <v>159</v>
      </c>
    </row>
    <row r="779" spans="1:45" x14ac:dyDescent="0.3">
      <c r="A779" t="s">
        <v>35</v>
      </c>
      <c r="B779">
        <v>778</v>
      </c>
      <c r="C779" s="1">
        <v>-9.2860445138712666E-2</v>
      </c>
      <c r="D779" s="2">
        <v>115</v>
      </c>
      <c r="E779" s="4">
        <v>1035</v>
      </c>
      <c r="F779" s="4" t="s">
        <v>346</v>
      </c>
      <c r="G779" s="4" t="s">
        <v>346</v>
      </c>
      <c r="H779" t="s">
        <v>77</v>
      </c>
      <c r="I779" t="s">
        <v>352</v>
      </c>
      <c r="J779" s="3">
        <v>2010</v>
      </c>
      <c r="K779" s="3">
        <v>2018</v>
      </c>
      <c r="L779" s="6">
        <f t="shared" si="251"/>
        <v>2014</v>
      </c>
      <c r="M779" s="6">
        <f t="shared" si="252"/>
        <v>2014</v>
      </c>
      <c r="N779" s="7">
        <f t="shared" si="240"/>
        <v>0.33333333333333331</v>
      </c>
      <c r="O779" s="7">
        <f t="shared" si="241"/>
        <v>0.22222222222222221</v>
      </c>
      <c r="P779" s="7">
        <f t="shared" si="242"/>
        <v>0.1111111111111111</v>
      </c>
      <c r="Q779" s="7">
        <f t="shared" si="253"/>
        <v>0</v>
      </c>
      <c r="R779" s="10" t="str">
        <f t="shared" si="243"/>
        <v>0_Pre</v>
      </c>
      <c r="S779" s="10" t="str">
        <f t="shared" si="244"/>
        <v>0_Pre</v>
      </c>
      <c r="T779" s="10" t="str">
        <f t="shared" si="245"/>
        <v>0_Pre</v>
      </c>
      <c r="U779" s="10" t="str">
        <f t="shared" si="246"/>
        <v>1_Post</v>
      </c>
      <c r="V779" s="10" t="str">
        <f t="shared" si="254"/>
        <v>0_Pre</v>
      </c>
      <c r="W779" s="10" t="str">
        <f t="shared" si="247"/>
        <v>straddle</v>
      </c>
      <c r="X779" s="10" t="str">
        <f t="shared" si="248"/>
        <v>0_Pre</v>
      </c>
      <c r="Y779" s="10" t="str">
        <f t="shared" si="249"/>
        <v>0_Pre</v>
      </c>
      <c r="Z779" s="10" t="str">
        <f t="shared" si="250"/>
        <v>0_Pre</v>
      </c>
      <c r="AA779" s="10" t="str">
        <f t="shared" si="255"/>
        <v>1_Post</v>
      </c>
      <c r="AB779" s="10" t="str">
        <f t="shared" si="256"/>
        <v>1_Post</v>
      </c>
      <c r="AC779" s="10" t="str">
        <f t="shared" si="257"/>
        <v>0_Pre</v>
      </c>
      <c r="AD779" s="10" t="str">
        <f t="shared" si="258"/>
        <v>2_post sample median</v>
      </c>
      <c r="AE779" s="10" t="str">
        <f t="shared" si="259"/>
        <v>3_post sample third tertile</v>
      </c>
      <c r="AF779" t="s">
        <v>81</v>
      </c>
      <c r="AG779" t="s">
        <v>74</v>
      </c>
      <c r="AH779" t="s">
        <v>78</v>
      </c>
      <c r="AI779" t="s">
        <v>122</v>
      </c>
      <c r="AJ779" t="s">
        <v>122</v>
      </c>
      <c r="AK779" t="str">
        <f>VLOOKUP(MID($AR779,1,255),country_lookup!$B:$F,2,FALSE)</f>
        <v>1_US</v>
      </c>
      <c r="AL779" t="str">
        <f>VLOOKUP(MID($AR779,1,255),country_lookup!$B:$F,3,FALSE)</f>
        <v>1_developed</v>
      </c>
      <c r="AM779" t="str">
        <f>VLOOKUP(MID($AR779,1,255),country_lookup!$B:$F,4,FALSE)</f>
        <v>1_western</v>
      </c>
      <c r="AN779" t="str">
        <f>VLOOKUP(MID($AR779,1,255),country_lookup!$B:$F,5,FALSE)</f>
        <v>1_common law</v>
      </c>
      <c r="AO779" s="10" t="str">
        <f>VLOOKUP(MID($AS779,1,255),source_lookup!$B:$K,4,FALSE)</f>
        <v>0_published</v>
      </c>
      <c r="AP779" s="10" t="str">
        <f>VLOOKUP(MID($AS779,1,255),source_lookup!$B:$K,6,FALSE)</f>
        <v>1_VHB high</v>
      </c>
      <c r="AQ779" s="10" t="str">
        <f>VLOOKUP(MID($AS779,1,255),source_lookup!$B:$K,10,FALSE)</f>
        <v>1_fin/acc/econ</v>
      </c>
      <c r="AR779" t="s">
        <v>85</v>
      </c>
      <c r="AS779" t="s">
        <v>159</v>
      </c>
    </row>
    <row r="780" spans="1:45" x14ac:dyDescent="0.3">
      <c r="A780" t="s">
        <v>35</v>
      </c>
      <c r="B780">
        <v>779</v>
      </c>
      <c r="C780" s="1">
        <v>-2.6532769385521276E-2</v>
      </c>
      <c r="D780" s="2">
        <v>363</v>
      </c>
      <c r="E780" s="4">
        <v>3269</v>
      </c>
      <c r="F780" s="4" t="s">
        <v>346</v>
      </c>
      <c r="G780" s="4" t="s">
        <v>346</v>
      </c>
      <c r="H780" t="s">
        <v>77</v>
      </c>
      <c r="I780" t="s">
        <v>352</v>
      </c>
      <c r="J780" s="3">
        <v>2010</v>
      </c>
      <c r="K780" s="3">
        <v>2018</v>
      </c>
      <c r="L780" s="6">
        <f t="shared" si="251"/>
        <v>2014</v>
      </c>
      <c r="M780" s="6">
        <f t="shared" si="252"/>
        <v>2014</v>
      </c>
      <c r="N780" s="7">
        <f t="shared" si="240"/>
        <v>0.33333333333333331</v>
      </c>
      <c r="O780" s="7">
        <f t="shared" si="241"/>
        <v>0.22222222222222221</v>
      </c>
      <c r="P780" s="7">
        <f t="shared" si="242"/>
        <v>0.1111111111111111</v>
      </c>
      <c r="Q780" s="7">
        <f t="shared" si="253"/>
        <v>0</v>
      </c>
      <c r="R780" s="10" t="str">
        <f t="shared" si="243"/>
        <v>0_Pre</v>
      </c>
      <c r="S780" s="10" t="str">
        <f t="shared" si="244"/>
        <v>0_Pre</v>
      </c>
      <c r="T780" s="10" t="str">
        <f t="shared" si="245"/>
        <v>0_Pre</v>
      </c>
      <c r="U780" s="10" t="str">
        <f t="shared" si="246"/>
        <v>1_Post</v>
      </c>
      <c r="V780" s="10" t="str">
        <f t="shared" si="254"/>
        <v>0_Pre</v>
      </c>
      <c r="W780" s="10" t="str">
        <f t="shared" si="247"/>
        <v>straddle</v>
      </c>
      <c r="X780" s="10" t="str">
        <f t="shared" si="248"/>
        <v>0_Pre</v>
      </c>
      <c r="Y780" s="10" t="str">
        <f t="shared" si="249"/>
        <v>0_Pre</v>
      </c>
      <c r="Z780" s="10" t="str">
        <f t="shared" si="250"/>
        <v>0_Pre</v>
      </c>
      <c r="AA780" s="10" t="str">
        <f t="shared" si="255"/>
        <v>1_Post</v>
      </c>
      <c r="AB780" s="10" t="str">
        <f t="shared" si="256"/>
        <v>1_Post</v>
      </c>
      <c r="AC780" s="10" t="str">
        <f t="shared" si="257"/>
        <v>0_Pre</v>
      </c>
      <c r="AD780" s="10" t="str">
        <f t="shared" si="258"/>
        <v>2_post sample median</v>
      </c>
      <c r="AE780" s="10" t="str">
        <f t="shared" si="259"/>
        <v>3_post sample third tertile</v>
      </c>
      <c r="AF780" t="s">
        <v>81</v>
      </c>
      <c r="AG780" t="s">
        <v>74</v>
      </c>
      <c r="AH780" t="s">
        <v>78</v>
      </c>
      <c r="AI780" t="s">
        <v>122</v>
      </c>
      <c r="AJ780" t="s">
        <v>122</v>
      </c>
      <c r="AK780" t="str">
        <f>VLOOKUP(MID($AR780,1,255),country_lookup!$B:$F,2,FALSE)</f>
        <v>1_US</v>
      </c>
      <c r="AL780" t="str">
        <f>VLOOKUP(MID($AR780,1,255),country_lookup!$B:$F,3,FALSE)</f>
        <v>1_developed</v>
      </c>
      <c r="AM780" t="str">
        <f>VLOOKUP(MID($AR780,1,255),country_lookup!$B:$F,4,FALSE)</f>
        <v>1_western</v>
      </c>
      <c r="AN780" t="str">
        <f>VLOOKUP(MID($AR780,1,255),country_lookup!$B:$F,5,FALSE)</f>
        <v>1_common law</v>
      </c>
      <c r="AO780" s="10" t="str">
        <f>VLOOKUP(MID($AS780,1,255),source_lookup!$B:$K,4,FALSE)</f>
        <v>0_published</v>
      </c>
      <c r="AP780" s="10" t="str">
        <f>VLOOKUP(MID($AS780,1,255),source_lookup!$B:$K,6,FALSE)</f>
        <v>1_VHB high</v>
      </c>
      <c r="AQ780" s="10" t="str">
        <f>VLOOKUP(MID($AS780,1,255),source_lookup!$B:$K,10,FALSE)</f>
        <v>1_fin/acc/econ</v>
      </c>
      <c r="AR780" t="s">
        <v>85</v>
      </c>
      <c r="AS780" t="s">
        <v>159</v>
      </c>
    </row>
    <row r="781" spans="1:45" x14ac:dyDescent="0.3">
      <c r="A781" t="s">
        <v>35</v>
      </c>
      <c r="B781">
        <v>780</v>
      </c>
      <c r="C781" s="1">
        <v>1.8370217327879864E-3</v>
      </c>
      <c r="D781" s="2">
        <v>363</v>
      </c>
      <c r="E781" s="4">
        <v>3269</v>
      </c>
      <c r="F781" s="4" t="s">
        <v>346</v>
      </c>
      <c r="G781" s="4" t="s">
        <v>346</v>
      </c>
      <c r="H781" t="s">
        <v>77</v>
      </c>
      <c r="I781" t="s">
        <v>352</v>
      </c>
      <c r="J781" s="3">
        <v>2010</v>
      </c>
      <c r="K781" s="3">
        <v>2018</v>
      </c>
      <c r="L781" s="6">
        <f t="shared" si="251"/>
        <v>2014</v>
      </c>
      <c r="M781" s="6">
        <f t="shared" si="252"/>
        <v>2014</v>
      </c>
      <c r="N781" s="7">
        <f t="shared" si="240"/>
        <v>0.33333333333333331</v>
      </c>
      <c r="O781" s="7">
        <f t="shared" si="241"/>
        <v>0.22222222222222221</v>
      </c>
      <c r="P781" s="7">
        <f t="shared" si="242"/>
        <v>0.1111111111111111</v>
      </c>
      <c r="Q781" s="7">
        <f t="shared" si="253"/>
        <v>0</v>
      </c>
      <c r="R781" s="10" t="str">
        <f t="shared" si="243"/>
        <v>0_Pre</v>
      </c>
      <c r="S781" s="10" t="str">
        <f t="shared" si="244"/>
        <v>0_Pre</v>
      </c>
      <c r="T781" s="10" t="str">
        <f t="shared" si="245"/>
        <v>0_Pre</v>
      </c>
      <c r="U781" s="10" t="str">
        <f t="shared" si="246"/>
        <v>1_Post</v>
      </c>
      <c r="V781" s="10" t="str">
        <f t="shared" si="254"/>
        <v>0_Pre</v>
      </c>
      <c r="W781" s="10" t="str">
        <f t="shared" si="247"/>
        <v>straddle</v>
      </c>
      <c r="X781" s="10" t="str">
        <f t="shared" si="248"/>
        <v>0_Pre</v>
      </c>
      <c r="Y781" s="10" t="str">
        <f t="shared" si="249"/>
        <v>0_Pre</v>
      </c>
      <c r="Z781" s="10" t="str">
        <f t="shared" si="250"/>
        <v>0_Pre</v>
      </c>
      <c r="AA781" s="10" t="str">
        <f t="shared" si="255"/>
        <v>1_Post</v>
      </c>
      <c r="AB781" s="10" t="str">
        <f t="shared" si="256"/>
        <v>1_Post</v>
      </c>
      <c r="AC781" s="10" t="str">
        <f t="shared" si="257"/>
        <v>0_Pre</v>
      </c>
      <c r="AD781" s="10" t="str">
        <f t="shared" si="258"/>
        <v>2_post sample median</v>
      </c>
      <c r="AE781" s="10" t="str">
        <f t="shared" si="259"/>
        <v>3_post sample third tertile</v>
      </c>
      <c r="AF781" t="s">
        <v>81</v>
      </c>
      <c r="AG781" t="s">
        <v>74</v>
      </c>
      <c r="AH781" t="s">
        <v>78</v>
      </c>
      <c r="AI781" t="s">
        <v>122</v>
      </c>
      <c r="AJ781" t="s">
        <v>122</v>
      </c>
      <c r="AK781" t="str">
        <f>VLOOKUP(MID($AR781,1,255),country_lookup!$B:$F,2,FALSE)</f>
        <v>1_US</v>
      </c>
      <c r="AL781" t="str">
        <f>VLOOKUP(MID($AR781,1,255),country_lookup!$B:$F,3,FALSE)</f>
        <v>1_developed</v>
      </c>
      <c r="AM781" t="str">
        <f>VLOOKUP(MID($AR781,1,255),country_lookup!$B:$F,4,FALSE)</f>
        <v>1_western</v>
      </c>
      <c r="AN781" t="str">
        <f>VLOOKUP(MID($AR781,1,255),country_lookup!$B:$F,5,FALSE)</f>
        <v>1_common law</v>
      </c>
      <c r="AO781" s="10" t="str">
        <f>VLOOKUP(MID($AS781,1,255),source_lookup!$B:$K,4,FALSE)</f>
        <v>0_published</v>
      </c>
      <c r="AP781" s="10" t="str">
        <f>VLOOKUP(MID($AS781,1,255),source_lookup!$B:$K,6,FALSE)</f>
        <v>1_VHB high</v>
      </c>
      <c r="AQ781" s="10" t="str">
        <f>VLOOKUP(MID($AS781,1,255),source_lookup!$B:$K,10,FALSE)</f>
        <v>1_fin/acc/econ</v>
      </c>
      <c r="AR781" t="s">
        <v>85</v>
      </c>
      <c r="AS781" t="s">
        <v>159</v>
      </c>
    </row>
    <row r="782" spans="1:45" x14ac:dyDescent="0.3">
      <c r="A782" t="s">
        <v>35</v>
      </c>
      <c r="B782">
        <v>781</v>
      </c>
      <c r="C782" s="1">
        <v>-2.6483784421225148E-2</v>
      </c>
      <c r="D782" s="2">
        <v>363</v>
      </c>
      <c r="E782" s="4">
        <v>3269</v>
      </c>
      <c r="F782" s="4" t="s">
        <v>346</v>
      </c>
      <c r="G782" s="4" t="s">
        <v>346</v>
      </c>
      <c r="H782" t="s">
        <v>77</v>
      </c>
      <c r="I782" t="s">
        <v>352</v>
      </c>
      <c r="J782" s="3">
        <v>2010</v>
      </c>
      <c r="K782" s="3">
        <v>2018</v>
      </c>
      <c r="L782" s="6">
        <f t="shared" si="251"/>
        <v>2014</v>
      </c>
      <c r="M782" s="6">
        <f t="shared" si="252"/>
        <v>2014</v>
      </c>
      <c r="N782" s="7">
        <f t="shared" si="240"/>
        <v>0.33333333333333331</v>
      </c>
      <c r="O782" s="7">
        <f t="shared" si="241"/>
        <v>0.22222222222222221</v>
      </c>
      <c r="P782" s="7">
        <f t="shared" si="242"/>
        <v>0.1111111111111111</v>
      </c>
      <c r="Q782" s="7">
        <f t="shared" si="253"/>
        <v>0</v>
      </c>
      <c r="R782" s="10" t="str">
        <f t="shared" si="243"/>
        <v>0_Pre</v>
      </c>
      <c r="S782" s="10" t="str">
        <f t="shared" si="244"/>
        <v>0_Pre</v>
      </c>
      <c r="T782" s="10" t="str">
        <f t="shared" si="245"/>
        <v>0_Pre</v>
      </c>
      <c r="U782" s="10" t="str">
        <f t="shared" si="246"/>
        <v>1_Post</v>
      </c>
      <c r="V782" s="10" t="str">
        <f t="shared" si="254"/>
        <v>0_Pre</v>
      </c>
      <c r="W782" s="10" t="str">
        <f t="shared" si="247"/>
        <v>straddle</v>
      </c>
      <c r="X782" s="10" t="str">
        <f t="shared" si="248"/>
        <v>0_Pre</v>
      </c>
      <c r="Y782" s="10" t="str">
        <f t="shared" si="249"/>
        <v>0_Pre</v>
      </c>
      <c r="Z782" s="10" t="str">
        <f t="shared" si="250"/>
        <v>0_Pre</v>
      </c>
      <c r="AA782" s="10" t="str">
        <f t="shared" si="255"/>
        <v>1_Post</v>
      </c>
      <c r="AB782" s="10" t="str">
        <f t="shared" si="256"/>
        <v>1_Post</v>
      </c>
      <c r="AC782" s="10" t="str">
        <f t="shared" si="257"/>
        <v>0_Pre</v>
      </c>
      <c r="AD782" s="10" t="str">
        <f t="shared" si="258"/>
        <v>2_post sample median</v>
      </c>
      <c r="AE782" s="10" t="str">
        <f t="shared" si="259"/>
        <v>3_post sample third tertile</v>
      </c>
      <c r="AF782" t="s">
        <v>81</v>
      </c>
      <c r="AG782" t="s">
        <v>74</v>
      </c>
      <c r="AH782" t="s">
        <v>78</v>
      </c>
      <c r="AI782" t="s">
        <v>122</v>
      </c>
      <c r="AJ782" t="s">
        <v>122</v>
      </c>
      <c r="AK782" t="str">
        <f>VLOOKUP(MID($AR782,1,255),country_lookup!$B:$F,2,FALSE)</f>
        <v>1_US</v>
      </c>
      <c r="AL782" t="str">
        <f>VLOOKUP(MID($AR782,1,255),country_lookup!$B:$F,3,FALSE)</f>
        <v>1_developed</v>
      </c>
      <c r="AM782" t="str">
        <f>VLOOKUP(MID($AR782,1,255),country_lookup!$B:$F,4,FALSE)</f>
        <v>1_western</v>
      </c>
      <c r="AN782" t="str">
        <f>VLOOKUP(MID($AR782,1,255),country_lookup!$B:$F,5,FALSE)</f>
        <v>1_common law</v>
      </c>
      <c r="AO782" s="10" t="str">
        <f>VLOOKUP(MID($AS782,1,255),source_lookup!$B:$K,4,FALSE)</f>
        <v>0_published</v>
      </c>
      <c r="AP782" s="10" t="str">
        <f>VLOOKUP(MID($AS782,1,255),source_lookup!$B:$K,6,FALSE)</f>
        <v>1_VHB high</v>
      </c>
      <c r="AQ782" s="10" t="str">
        <f>VLOOKUP(MID($AS782,1,255),source_lookup!$B:$K,10,FALSE)</f>
        <v>1_fin/acc/econ</v>
      </c>
      <c r="AR782" t="s">
        <v>85</v>
      </c>
      <c r="AS782" t="s">
        <v>159</v>
      </c>
    </row>
    <row r="783" spans="1:45" x14ac:dyDescent="0.3">
      <c r="A783" t="s">
        <v>35</v>
      </c>
      <c r="B783">
        <v>782</v>
      </c>
      <c r="C783" s="1">
        <v>-2.3113762089803501E-2</v>
      </c>
      <c r="D783" s="2">
        <v>248</v>
      </c>
      <c r="E783" s="4">
        <v>2234</v>
      </c>
      <c r="F783" s="4" t="s">
        <v>346</v>
      </c>
      <c r="G783" s="4" t="s">
        <v>346</v>
      </c>
      <c r="H783" t="s">
        <v>77</v>
      </c>
      <c r="I783" t="s">
        <v>352</v>
      </c>
      <c r="J783" s="3">
        <v>2010</v>
      </c>
      <c r="K783" s="3">
        <v>2018</v>
      </c>
      <c r="L783" s="6">
        <f t="shared" si="251"/>
        <v>2014</v>
      </c>
      <c r="M783" s="6">
        <f t="shared" si="252"/>
        <v>2014</v>
      </c>
      <c r="N783" s="7">
        <f t="shared" si="240"/>
        <v>0.33333333333333331</v>
      </c>
      <c r="O783" s="7">
        <f t="shared" si="241"/>
        <v>0.22222222222222221</v>
      </c>
      <c r="P783" s="7">
        <f t="shared" si="242"/>
        <v>0.1111111111111111</v>
      </c>
      <c r="Q783" s="7">
        <f t="shared" si="253"/>
        <v>0</v>
      </c>
      <c r="R783" s="10" t="str">
        <f t="shared" si="243"/>
        <v>0_Pre</v>
      </c>
      <c r="S783" s="10" t="str">
        <f t="shared" si="244"/>
        <v>0_Pre</v>
      </c>
      <c r="T783" s="10" t="str">
        <f t="shared" si="245"/>
        <v>0_Pre</v>
      </c>
      <c r="U783" s="10" t="str">
        <f t="shared" si="246"/>
        <v>1_Post</v>
      </c>
      <c r="V783" s="10" t="str">
        <f t="shared" si="254"/>
        <v>0_Pre</v>
      </c>
      <c r="W783" s="10" t="str">
        <f t="shared" si="247"/>
        <v>straddle</v>
      </c>
      <c r="X783" s="10" t="str">
        <f t="shared" si="248"/>
        <v>0_Pre</v>
      </c>
      <c r="Y783" s="10" t="str">
        <f t="shared" si="249"/>
        <v>0_Pre</v>
      </c>
      <c r="Z783" s="10" t="str">
        <f t="shared" si="250"/>
        <v>0_Pre</v>
      </c>
      <c r="AA783" s="10" t="str">
        <f t="shared" si="255"/>
        <v>1_Post</v>
      </c>
      <c r="AB783" s="10" t="str">
        <f t="shared" si="256"/>
        <v>1_Post</v>
      </c>
      <c r="AC783" s="10" t="str">
        <f t="shared" si="257"/>
        <v>0_Pre</v>
      </c>
      <c r="AD783" s="10" t="str">
        <f t="shared" si="258"/>
        <v>2_post sample median</v>
      </c>
      <c r="AE783" s="10" t="str">
        <f t="shared" si="259"/>
        <v>3_post sample third tertile</v>
      </c>
      <c r="AF783" t="s">
        <v>81</v>
      </c>
      <c r="AG783" t="s">
        <v>74</v>
      </c>
      <c r="AH783" t="s">
        <v>78</v>
      </c>
      <c r="AI783" t="s">
        <v>122</v>
      </c>
      <c r="AJ783" t="s">
        <v>122</v>
      </c>
      <c r="AK783" t="str">
        <f>VLOOKUP(MID($AR783,1,255),country_lookup!$B:$F,2,FALSE)</f>
        <v>1_US</v>
      </c>
      <c r="AL783" t="str">
        <f>VLOOKUP(MID($AR783,1,255),country_lookup!$B:$F,3,FALSE)</f>
        <v>1_developed</v>
      </c>
      <c r="AM783" t="str">
        <f>VLOOKUP(MID($AR783,1,255),country_lookup!$B:$F,4,FALSE)</f>
        <v>1_western</v>
      </c>
      <c r="AN783" t="str">
        <f>VLOOKUP(MID($AR783,1,255),country_lookup!$B:$F,5,FALSE)</f>
        <v>1_common law</v>
      </c>
      <c r="AO783" s="10" t="str">
        <f>VLOOKUP(MID($AS783,1,255),source_lookup!$B:$K,4,FALSE)</f>
        <v>0_published</v>
      </c>
      <c r="AP783" s="10" t="str">
        <f>VLOOKUP(MID($AS783,1,255),source_lookup!$B:$K,6,FALSE)</f>
        <v>1_VHB high</v>
      </c>
      <c r="AQ783" s="10" t="str">
        <f>VLOOKUP(MID($AS783,1,255),source_lookup!$B:$K,10,FALSE)</f>
        <v>1_fin/acc/econ</v>
      </c>
      <c r="AR783" t="s">
        <v>85</v>
      </c>
      <c r="AS783" t="s">
        <v>159</v>
      </c>
    </row>
    <row r="784" spans="1:45" x14ac:dyDescent="0.3">
      <c r="A784" t="s">
        <v>35</v>
      </c>
      <c r="B784">
        <v>783</v>
      </c>
      <c r="C784" s="1">
        <v>2.6550117380036056E-2</v>
      </c>
      <c r="D784" s="2">
        <v>248</v>
      </c>
      <c r="E784" s="4">
        <v>2234</v>
      </c>
      <c r="F784" s="4" t="s">
        <v>346</v>
      </c>
      <c r="G784" s="4" t="s">
        <v>346</v>
      </c>
      <c r="H784" t="s">
        <v>77</v>
      </c>
      <c r="I784" t="s">
        <v>352</v>
      </c>
      <c r="J784" s="3">
        <v>2010</v>
      </c>
      <c r="K784" s="3">
        <v>2018</v>
      </c>
      <c r="L784" s="6">
        <f t="shared" si="251"/>
        <v>2014</v>
      </c>
      <c r="M784" s="6">
        <f t="shared" si="252"/>
        <v>2014</v>
      </c>
      <c r="N784" s="7">
        <f t="shared" si="240"/>
        <v>0.33333333333333331</v>
      </c>
      <c r="O784" s="7">
        <f t="shared" si="241"/>
        <v>0.22222222222222221</v>
      </c>
      <c r="P784" s="7">
        <f t="shared" si="242"/>
        <v>0.1111111111111111</v>
      </c>
      <c r="Q784" s="7">
        <f t="shared" si="253"/>
        <v>0</v>
      </c>
      <c r="R784" s="10" t="str">
        <f t="shared" si="243"/>
        <v>0_Pre</v>
      </c>
      <c r="S784" s="10" t="str">
        <f t="shared" si="244"/>
        <v>0_Pre</v>
      </c>
      <c r="T784" s="10" t="str">
        <f t="shared" si="245"/>
        <v>0_Pre</v>
      </c>
      <c r="U784" s="10" t="str">
        <f t="shared" si="246"/>
        <v>1_Post</v>
      </c>
      <c r="V784" s="10" t="str">
        <f t="shared" si="254"/>
        <v>0_Pre</v>
      </c>
      <c r="W784" s="10" t="str">
        <f t="shared" si="247"/>
        <v>straddle</v>
      </c>
      <c r="X784" s="10" t="str">
        <f t="shared" si="248"/>
        <v>0_Pre</v>
      </c>
      <c r="Y784" s="10" t="str">
        <f t="shared" si="249"/>
        <v>0_Pre</v>
      </c>
      <c r="Z784" s="10" t="str">
        <f t="shared" si="250"/>
        <v>0_Pre</v>
      </c>
      <c r="AA784" s="10" t="str">
        <f t="shared" si="255"/>
        <v>1_Post</v>
      </c>
      <c r="AB784" s="10" t="str">
        <f t="shared" si="256"/>
        <v>1_Post</v>
      </c>
      <c r="AC784" s="10" t="str">
        <f t="shared" si="257"/>
        <v>0_Pre</v>
      </c>
      <c r="AD784" s="10" t="str">
        <f t="shared" si="258"/>
        <v>2_post sample median</v>
      </c>
      <c r="AE784" s="10" t="str">
        <f t="shared" si="259"/>
        <v>3_post sample third tertile</v>
      </c>
      <c r="AF784" t="s">
        <v>81</v>
      </c>
      <c r="AG784" t="s">
        <v>74</v>
      </c>
      <c r="AH784" t="s">
        <v>78</v>
      </c>
      <c r="AI784" t="s">
        <v>122</v>
      </c>
      <c r="AJ784" t="s">
        <v>122</v>
      </c>
      <c r="AK784" t="str">
        <f>VLOOKUP(MID($AR784,1,255),country_lookup!$B:$F,2,FALSE)</f>
        <v>1_US</v>
      </c>
      <c r="AL784" t="str">
        <f>VLOOKUP(MID($AR784,1,255),country_lookup!$B:$F,3,FALSE)</f>
        <v>1_developed</v>
      </c>
      <c r="AM784" t="str">
        <f>VLOOKUP(MID($AR784,1,255),country_lookup!$B:$F,4,FALSE)</f>
        <v>1_western</v>
      </c>
      <c r="AN784" t="str">
        <f>VLOOKUP(MID($AR784,1,255),country_lookup!$B:$F,5,FALSE)</f>
        <v>1_common law</v>
      </c>
      <c r="AO784" s="10" t="str">
        <f>VLOOKUP(MID($AS784,1,255),source_lookup!$B:$K,4,FALSE)</f>
        <v>0_published</v>
      </c>
      <c r="AP784" s="10" t="str">
        <f>VLOOKUP(MID($AS784,1,255),source_lookup!$B:$K,6,FALSE)</f>
        <v>1_VHB high</v>
      </c>
      <c r="AQ784" s="10" t="str">
        <f>VLOOKUP(MID($AS784,1,255),source_lookup!$B:$K,10,FALSE)</f>
        <v>1_fin/acc/econ</v>
      </c>
      <c r="AR784" t="s">
        <v>85</v>
      </c>
      <c r="AS784" t="s">
        <v>159</v>
      </c>
    </row>
    <row r="785" spans="1:45" x14ac:dyDescent="0.3">
      <c r="A785" t="s">
        <v>35</v>
      </c>
      <c r="B785">
        <v>784</v>
      </c>
      <c r="C785" s="1">
        <v>4.4537041405714739E-3</v>
      </c>
      <c r="D785" s="2">
        <v>115</v>
      </c>
      <c r="E785" s="4">
        <v>1035</v>
      </c>
      <c r="F785" s="4" t="s">
        <v>346</v>
      </c>
      <c r="G785" s="4" t="s">
        <v>346</v>
      </c>
      <c r="H785" t="s">
        <v>77</v>
      </c>
      <c r="I785" t="s">
        <v>352</v>
      </c>
      <c r="J785" s="3">
        <v>2010</v>
      </c>
      <c r="K785" s="3">
        <v>2018</v>
      </c>
      <c r="L785" s="6">
        <f t="shared" si="251"/>
        <v>2014</v>
      </c>
      <c r="M785" s="6">
        <f t="shared" si="252"/>
        <v>2014</v>
      </c>
      <c r="N785" s="7">
        <f t="shared" si="240"/>
        <v>0.33333333333333331</v>
      </c>
      <c r="O785" s="7">
        <f t="shared" si="241"/>
        <v>0.22222222222222221</v>
      </c>
      <c r="P785" s="7">
        <f t="shared" si="242"/>
        <v>0.1111111111111111</v>
      </c>
      <c r="Q785" s="7">
        <f t="shared" si="253"/>
        <v>0</v>
      </c>
      <c r="R785" s="10" t="str">
        <f t="shared" si="243"/>
        <v>0_Pre</v>
      </c>
      <c r="S785" s="10" t="str">
        <f t="shared" si="244"/>
        <v>0_Pre</v>
      </c>
      <c r="T785" s="10" t="str">
        <f t="shared" si="245"/>
        <v>0_Pre</v>
      </c>
      <c r="U785" s="10" t="str">
        <f t="shared" si="246"/>
        <v>1_Post</v>
      </c>
      <c r="V785" s="10" t="str">
        <f t="shared" si="254"/>
        <v>0_Pre</v>
      </c>
      <c r="W785" s="10" t="str">
        <f t="shared" si="247"/>
        <v>straddle</v>
      </c>
      <c r="X785" s="10" t="str">
        <f t="shared" si="248"/>
        <v>0_Pre</v>
      </c>
      <c r="Y785" s="10" t="str">
        <f t="shared" si="249"/>
        <v>0_Pre</v>
      </c>
      <c r="Z785" s="10" t="str">
        <f t="shared" si="250"/>
        <v>0_Pre</v>
      </c>
      <c r="AA785" s="10" t="str">
        <f t="shared" si="255"/>
        <v>1_Post</v>
      </c>
      <c r="AB785" s="10" t="str">
        <f t="shared" si="256"/>
        <v>1_Post</v>
      </c>
      <c r="AC785" s="10" t="str">
        <f t="shared" si="257"/>
        <v>0_Pre</v>
      </c>
      <c r="AD785" s="10" t="str">
        <f t="shared" si="258"/>
        <v>2_post sample median</v>
      </c>
      <c r="AE785" s="10" t="str">
        <f t="shared" si="259"/>
        <v>3_post sample third tertile</v>
      </c>
      <c r="AF785" t="s">
        <v>81</v>
      </c>
      <c r="AG785" t="s">
        <v>74</v>
      </c>
      <c r="AH785" t="s">
        <v>78</v>
      </c>
      <c r="AI785" t="s">
        <v>122</v>
      </c>
      <c r="AJ785" t="s">
        <v>122</v>
      </c>
      <c r="AK785" t="str">
        <f>VLOOKUP(MID($AR785,1,255),country_lookup!$B:$F,2,FALSE)</f>
        <v>1_US</v>
      </c>
      <c r="AL785" t="str">
        <f>VLOOKUP(MID($AR785,1,255),country_lookup!$B:$F,3,FALSE)</f>
        <v>1_developed</v>
      </c>
      <c r="AM785" t="str">
        <f>VLOOKUP(MID($AR785,1,255),country_lookup!$B:$F,4,FALSE)</f>
        <v>1_western</v>
      </c>
      <c r="AN785" t="str">
        <f>VLOOKUP(MID($AR785,1,255),country_lookup!$B:$F,5,FALSE)</f>
        <v>1_common law</v>
      </c>
      <c r="AO785" s="10" t="str">
        <f>VLOOKUP(MID($AS785,1,255),source_lookup!$B:$K,4,FALSE)</f>
        <v>0_published</v>
      </c>
      <c r="AP785" s="10" t="str">
        <f>VLOOKUP(MID($AS785,1,255),source_lookup!$B:$K,6,FALSE)</f>
        <v>1_VHB high</v>
      </c>
      <c r="AQ785" s="10" t="str">
        <f>VLOOKUP(MID($AS785,1,255),source_lookup!$B:$K,10,FALSE)</f>
        <v>1_fin/acc/econ</v>
      </c>
      <c r="AR785" t="s">
        <v>85</v>
      </c>
      <c r="AS785" t="s">
        <v>159</v>
      </c>
    </row>
    <row r="786" spans="1:45" x14ac:dyDescent="0.3">
      <c r="A786" t="s">
        <v>35</v>
      </c>
      <c r="B786">
        <v>785</v>
      </c>
      <c r="C786" s="1">
        <v>-6.4118983953466366E-2</v>
      </c>
      <c r="D786" s="2">
        <v>115</v>
      </c>
      <c r="E786" s="4">
        <v>1035</v>
      </c>
      <c r="F786" s="4" t="s">
        <v>346</v>
      </c>
      <c r="G786" s="4" t="s">
        <v>346</v>
      </c>
      <c r="H786" t="s">
        <v>77</v>
      </c>
      <c r="I786" t="s">
        <v>352</v>
      </c>
      <c r="J786" s="3">
        <v>2010</v>
      </c>
      <c r="K786" s="3">
        <v>2018</v>
      </c>
      <c r="L786" s="6">
        <f t="shared" si="251"/>
        <v>2014</v>
      </c>
      <c r="M786" s="6">
        <f t="shared" si="252"/>
        <v>2014</v>
      </c>
      <c r="N786" s="7">
        <f t="shared" si="240"/>
        <v>0.33333333333333331</v>
      </c>
      <c r="O786" s="7">
        <f t="shared" si="241"/>
        <v>0.22222222222222221</v>
      </c>
      <c r="P786" s="7">
        <f t="shared" si="242"/>
        <v>0.1111111111111111</v>
      </c>
      <c r="Q786" s="7">
        <f t="shared" si="253"/>
        <v>0</v>
      </c>
      <c r="R786" s="10" t="str">
        <f t="shared" si="243"/>
        <v>0_Pre</v>
      </c>
      <c r="S786" s="10" t="str">
        <f t="shared" si="244"/>
        <v>0_Pre</v>
      </c>
      <c r="T786" s="10" t="str">
        <f t="shared" si="245"/>
        <v>0_Pre</v>
      </c>
      <c r="U786" s="10" t="str">
        <f t="shared" si="246"/>
        <v>1_Post</v>
      </c>
      <c r="V786" s="10" t="str">
        <f t="shared" si="254"/>
        <v>0_Pre</v>
      </c>
      <c r="W786" s="10" t="str">
        <f t="shared" si="247"/>
        <v>straddle</v>
      </c>
      <c r="X786" s="10" t="str">
        <f t="shared" si="248"/>
        <v>0_Pre</v>
      </c>
      <c r="Y786" s="10" t="str">
        <f t="shared" si="249"/>
        <v>0_Pre</v>
      </c>
      <c r="Z786" s="10" t="str">
        <f t="shared" si="250"/>
        <v>0_Pre</v>
      </c>
      <c r="AA786" s="10" t="str">
        <f t="shared" si="255"/>
        <v>1_Post</v>
      </c>
      <c r="AB786" s="10" t="str">
        <f t="shared" si="256"/>
        <v>1_Post</v>
      </c>
      <c r="AC786" s="10" t="str">
        <f t="shared" si="257"/>
        <v>0_Pre</v>
      </c>
      <c r="AD786" s="10" t="str">
        <f t="shared" si="258"/>
        <v>2_post sample median</v>
      </c>
      <c r="AE786" s="10" t="str">
        <f t="shared" si="259"/>
        <v>3_post sample third tertile</v>
      </c>
      <c r="AF786" t="s">
        <v>81</v>
      </c>
      <c r="AG786" t="s">
        <v>74</v>
      </c>
      <c r="AH786" t="s">
        <v>78</v>
      </c>
      <c r="AI786" t="s">
        <v>122</v>
      </c>
      <c r="AJ786" t="s">
        <v>122</v>
      </c>
      <c r="AK786" t="str">
        <f>VLOOKUP(MID($AR786,1,255),country_lookup!$B:$F,2,FALSE)</f>
        <v>1_US</v>
      </c>
      <c r="AL786" t="str">
        <f>VLOOKUP(MID($AR786,1,255),country_lookup!$B:$F,3,FALSE)</f>
        <v>1_developed</v>
      </c>
      <c r="AM786" t="str">
        <f>VLOOKUP(MID($AR786,1,255),country_lookup!$B:$F,4,FALSE)</f>
        <v>1_western</v>
      </c>
      <c r="AN786" t="str">
        <f>VLOOKUP(MID($AR786,1,255),country_lookup!$B:$F,5,FALSE)</f>
        <v>1_common law</v>
      </c>
      <c r="AO786" s="10" t="str">
        <f>VLOOKUP(MID($AS786,1,255),source_lookup!$B:$K,4,FALSE)</f>
        <v>0_published</v>
      </c>
      <c r="AP786" s="10" t="str">
        <f>VLOOKUP(MID($AS786,1,255),source_lookup!$B:$K,6,FALSE)</f>
        <v>1_VHB high</v>
      </c>
      <c r="AQ786" s="10" t="str">
        <f>VLOOKUP(MID($AS786,1,255),source_lookup!$B:$K,10,FALSE)</f>
        <v>1_fin/acc/econ</v>
      </c>
      <c r="AR786" t="s">
        <v>85</v>
      </c>
      <c r="AS786" t="s">
        <v>159</v>
      </c>
    </row>
    <row r="787" spans="1:45" x14ac:dyDescent="0.3">
      <c r="A787" t="s">
        <v>35</v>
      </c>
      <c r="B787">
        <v>786</v>
      </c>
      <c r="C787" s="1">
        <v>-5.5410815883170179E-4</v>
      </c>
      <c r="D787" s="2">
        <v>363</v>
      </c>
      <c r="E787" s="4">
        <v>3269</v>
      </c>
      <c r="F787" s="4" t="s">
        <v>346</v>
      </c>
      <c r="G787" s="4" t="s">
        <v>346</v>
      </c>
      <c r="H787" t="s">
        <v>77</v>
      </c>
      <c r="I787" t="s">
        <v>352</v>
      </c>
      <c r="J787" s="3">
        <v>2010</v>
      </c>
      <c r="K787" s="3">
        <v>2018</v>
      </c>
      <c r="L787" s="6">
        <f t="shared" si="251"/>
        <v>2014</v>
      </c>
      <c r="M787" s="6">
        <f t="shared" si="252"/>
        <v>2014</v>
      </c>
      <c r="N787" s="7">
        <f t="shared" si="240"/>
        <v>0.33333333333333331</v>
      </c>
      <c r="O787" s="7">
        <f t="shared" si="241"/>
        <v>0.22222222222222221</v>
      </c>
      <c r="P787" s="7">
        <f t="shared" si="242"/>
        <v>0.1111111111111111</v>
      </c>
      <c r="Q787" s="7">
        <f t="shared" si="253"/>
        <v>0</v>
      </c>
      <c r="R787" s="10" t="str">
        <f t="shared" si="243"/>
        <v>0_Pre</v>
      </c>
      <c r="S787" s="10" t="str">
        <f t="shared" si="244"/>
        <v>0_Pre</v>
      </c>
      <c r="T787" s="10" t="str">
        <f t="shared" si="245"/>
        <v>0_Pre</v>
      </c>
      <c r="U787" s="10" t="str">
        <f t="shared" si="246"/>
        <v>1_Post</v>
      </c>
      <c r="V787" s="10" t="str">
        <f t="shared" si="254"/>
        <v>0_Pre</v>
      </c>
      <c r="W787" s="10" t="str">
        <f t="shared" si="247"/>
        <v>straddle</v>
      </c>
      <c r="X787" s="10" t="str">
        <f t="shared" si="248"/>
        <v>0_Pre</v>
      </c>
      <c r="Y787" s="10" t="str">
        <f t="shared" si="249"/>
        <v>0_Pre</v>
      </c>
      <c r="Z787" s="10" t="str">
        <f t="shared" si="250"/>
        <v>0_Pre</v>
      </c>
      <c r="AA787" s="10" t="str">
        <f t="shared" si="255"/>
        <v>1_Post</v>
      </c>
      <c r="AB787" s="10" t="str">
        <f t="shared" si="256"/>
        <v>1_Post</v>
      </c>
      <c r="AC787" s="10" t="str">
        <f t="shared" si="257"/>
        <v>0_Pre</v>
      </c>
      <c r="AD787" s="10" t="str">
        <f t="shared" si="258"/>
        <v>2_post sample median</v>
      </c>
      <c r="AE787" s="10" t="str">
        <f t="shared" si="259"/>
        <v>3_post sample third tertile</v>
      </c>
      <c r="AF787" t="s">
        <v>81</v>
      </c>
      <c r="AG787" t="s">
        <v>74</v>
      </c>
      <c r="AH787" t="s">
        <v>78</v>
      </c>
      <c r="AI787" t="s">
        <v>122</v>
      </c>
      <c r="AJ787" t="s">
        <v>122</v>
      </c>
      <c r="AK787" t="str">
        <f>VLOOKUP(MID($AR787,1,255),country_lookup!$B:$F,2,FALSE)</f>
        <v>1_US</v>
      </c>
      <c r="AL787" t="str">
        <f>VLOOKUP(MID($AR787,1,255),country_lookup!$B:$F,3,FALSE)</f>
        <v>1_developed</v>
      </c>
      <c r="AM787" t="str">
        <f>VLOOKUP(MID($AR787,1,255),country_lookup!$B:$F,4,FALSE)</f>
        <v>1_western</v>
      </c>
      <c r="AN787" t="str">
        <f>VLOOKUP(MID($AR787,1,255),country_lookup!$B:$F,5,FALSE)</f>
        <v>1_common law</v>
      </c>
      <c r="AO787" s="10" t="str">
        <f>VLOOKUP(MID($AS787,1,255),source_lookup!$B:$K,4,FALSE)</f>
        <v>0_published</v>
      </c>
      <c r="AP787" s="10" t="str">
        <f>VLOOKUP(MID($AS787,1,255),source_lookup!$B:$K,6,FALSE)</f>
        <v>1_VHB high</v>
      </c>
      <c r="AQ787" s="10" t="str">
        <f>VLOOKUP(MID($AS787,1,255),source_lookup!$B:$K,10,FALSE)</f>
        <v>1_fin/acc/econ</v>
      </c>
      <c r="AR787" t="s">
        <v>85</v>
      </c>
      <c r="AS787" t="s">
        <v>159</v>
      </c>
    </row>
    <row r="788" spans="1:45" x14ac:dyDescent="0.3">
      <c r="A788" t="s">
        <v>35</v>
      </c>
      <c r="B788">
        <v>787</v>
      </c>
      <c r="C788" s="1">
        <v>-2.0332912969324216E-2</v>
      </c>
      <c r="D788" s="2">
        <v>363</v>
      </c>
      <c r="E788" s="4">
        <v>3269</v>
      </c>
      <c r="F788" s="4" t="s">
        <v>346</v>
      </c>
      <c r="G788" s="4" t="s">
        <v>346</v>
      </c>
      <c r="H788" t="s">
        <v>77</v>
      </c>
      <c r="I788" t="s">
        <v>352</v>
      </c>
      <c r="J788" s="3">
        <v>2010</v>
      </c>
      <c r="K788" s="3">
        <v>2018</v>
      </c>
      <c r="L788" s="6">
        <f t="shared" si="251"/>
        <v>2014</v>
      </c>
      <c r="M788" s="6">
        <f t="shared" si="252"/>
        <v>2014</v>
      </c>
      <c r="N788" s="7">
        <f t="shared" si="240"/>
        <v>0.33333333333333331</v>
      </c>
      <c r="O788" s="7">
        <f t="shared" si="241"/>
        <v>0.22222222222222221</v>
      </c>
      <c r="P788" s="7">
        <f t="shared" si="242"/>
        <v>0.1111111111111111</v>
      </c>
      <c r="Q788" s="7">
        <f t="shared" si="253"/>
        <v>0</v>
      </c>
      <c r="R788" s="10" t="str">
        <f t="shared" si="243"/>
        <v>0_Pre</v>
      </c>
      <c r="S788" s="10" t="str">
        <f t="shared" si="244"/>
        <v>0_Pre</v>
      </c>
      <c r="T788" s="10" t="str">
        <f t="shared" si="245"/>
        <v>0_Pre</v>
      </c>
      <c r="U788" s="10" t="str">
        <f t="shared" si="246"/>
        <v>1_Post</v>
      </c>
      <c r="V788" s="10" t="str">
        <f t="shared" si="254"/>
        <v>0_Pre</v>
      </c>
      <c r="W788" s="10" t="str">
        <f t="shared" si="247"/>
        <v>straddle</v>
      </c>
      <c r="X788" s="10" t="str">
        <f t="shared" si="248"/>
        <v>0_Pre</v>
      </c>
      <c r="Y788" s="10" t="str">
        <f t="shared" si="249"/>
        <v>0_Pre</v>
      </c>
      <c r="Z788" s="10" t="str">
        <f t="shared" si="250"/>
        <v>0_Pre</v>
      </c>
      <c r="AA788" s="10" t="str">
        <f t="shared" si="255"/>
        <v>1_Post</v>
      </c>
      <c r="AB788" s="10" t="str">
        <f t="shared" si="256"/>
        <v>1_Post</v>
      </c>
      <c r="AC788" s="10" t="str">
        <f t="shared" si="257"/>
        <v>0_Pre</v>
      </c>
      <c r="AD788" s="10" t="str">
        <f t="shared" si="258"/>
        <v>2_post sample median</v>
      </c>
      <c r="AE788" s="10" t="str">
        <f t="shared" si="259"/>
        <v>3_post sample third tertile</v>
      </c>
      <c r="AF788" t="s">
        <v>81</v>
      </c>
      <c r="AG788" t="s">
        <v>74</v>
      </c>
      <c r="AH788" t="s">
        <v>78</v>
      </c>
      <c r="AI788" t="s">
        <v>122</v>
      </c>
      <c r="AJ788" t="s">
        <v>122</v>
      </c>
      <c r="AK788" t="str">
        <f>VLOOKUP(MID($AR788,1,255),country_lookup!$B:$F,2,FALSE)</f>
        <v>1_US</v>
      </c>
      <c r="AL788" t="str">
        <f>VLOOKUP(MID($AR788,1,255),country_lookup!$B:$F,3,FALSE)</f>
        <v>1_developed</v>
      </c>
      <c r="AM788" t="str">
        <f>VLOOKUP(MID($AR788,1,255),country_lookup!$B:$F,4,FALSE)</f>
        <v>1_western</v>
      </c>
      <c r="AN788" t="str">
        <f>VLOOKUP(MID($AR788,1,255),country_lookup!$B:$F,5,FALSE)</f>
        <v>1_common law</v>
      </c>
      <c r="AO788" s="10" t="str">
        <f>VLOOKUP(MID($AS788,1,255),source_lookup!$B:$K,4,FALSE)</f>
        <v>0_published</v>
      </c>
      <c r="AP788" s="10" t="str">
        <f>VLOOKUP(MID($AS788,1,255),source_lookup!$B:$K,6,FALSE)</f>
        <v>1_VHB high</v>
      </c>
      <c r="AQ788" s="10" t="str">
        <f>VLOOKUP(MID($AS788,1,255),source_lookup!$B:$K,10,FALSE)</f>
        <v>1_fin/acc/econ</v>
      </c>
      <c r="AR788" t="s">
        <v>85</v>
      </c>
      <c r="AS788" t="s">
        <v>159</v>
      </c>
    </row>
    <row r="789" spans="1:45" x14ac:dyDescent="0.3">
      <c r="A789" t="s">
        <v>35</v>
      </c>
      <c r="B789">
        <v>788</v>
      </c>
      <c r="C789" s="1">
        <v>2.6614968874373299E-2</v>
      </c>
      <c r="D789" s="2">
        <v>363</v>
      </c>
      <c r="E789" s="4">
        <v>3269</v>
      </c>
      <c r="F789" s="4" t="s">
        <v>346</v>
      </c>
      <c r="G789" s="4" t="s">
        <v>346</v>
      </c>
      <c r="H789" t="s">
        <v>77</v>
      </c>
      <c r="I789" t="s">
        <v>352</v>
      </c>
      <c r="J789" s="3">
        <v>2010</v>
      </c>
      <c r="K789" s="3">
        <v>2018</v>
      </c>
      <c r="L789" s="6">
        <f t="shared" si="251"/>
        <v>2014</v>
      </c>
      <c r="M789" s="6">
        <f t="shared" si="252"/>
        <v>2014</v>
      </c>
      <c r="N789" s="7">
        <f t="shared" si="240"/>
        <v>0.33333333333333331</v>
      </c>
      <c r="O789" s="7">
        <f t="shared" si="241"/>
        <v>0.22222222222222221</v>
      </c>
      <c r="P789" s="7">
        <f t="shared" si="242"/>
        <v>0.1111111111111111</v>
      </c>
      <c r="Q789" s="7">
        <f t="shared" si="253"/>
        <v>0</v>
      </c>
      <c r="R789" s="10" t="str">
        <f t="shared" si="243"/>
        <v>0_Pre</v>
      </c>
      <c r="S789" s="10" t="str">
        <f t="shared" si="244"/>
        <v>0_Pre</v>
      </c>
      <c r="T789" s="10" t="str">
        <f t="shared" si="245"/>
        <v>0_Pre</v>
      </c>
      <c r="U789" s="10" t="str">
        <f t="shared" si="246"/>
        <v>1_Post</v>
      </c>
      <c r="V789" s="10" t="str">
        <f t="shared" si="254"/>
        <v>0_Pre</v>
      </c>
      <c r="W789" s="10" t="str">
        <f t="shared" si="247"/>
        <v>straddle</v>
      </c>
      <c r="X789" s="10" t="str">
        <f t="shared" si="248"/>
        <v>0_Pre</v>
      </c>
      <c r="Y789" s="10" t="str">
        <f t="shared" si="249"/>
        <v>0_Pre</v>
      </c>
      <c r="Z789" s="10" t="str">
        <f t="shared" si="250"/>
        <v>0_Pre</v>
      </c>
      <c r="AA789" s="10" t="str">
        <f t="shared" si="255"/>
        <v>1_Post</v>
      </c>
      <c r="AB789" s="10" t="str">
        <f t="shared" si="256"/>
        <v>1_Post</v>
      </c>
      <c r="AC789" s="10" t="str">
        <f t="shared" si="257"/>
        <v>0_Pre</v>
      </c>
      <c r="AD789" s="10" t="str">
        <f t="shared" si="258"/>
        <v>2_post sample median</v>
      </c>
      <c r="AE789" s="10" t="str">
        <f t="shared" si="259"/>
        <v>3_post sample third tertile</v>
      </c>
      <c r="AF789" t="s">
        <v>81</v>
      </c>
      <c r="AG789" t="s">
        <v>74</v>
      </c>
      <c r="AH789" t="s">
        <v>78</v>
      </c>
      <c r="AI789" t="s">
        <v>122</v>
      </c>
      <c r="AJ789" t="s">
        <v>122</v>
      </c>
      <c r="AK789" t="str">
        <f>VLOOKUP(MID($AR789,1,255),country_lookup!$B:$F,2,FALSE)</f>
        <v>1_US</v>
      </c>
      <c r="AL789" t="str">
        <f>VLOOKUP(MID($AR789,1,255),country_lookup!$B:$F,3,FALSE)</f>
        <v>1_developed</v>
      </c>
      <c r="AM789" t="str">
        <f>VLOOKUP(MID($AR789,1,255),country_lookup!$B:$F,4,FALSE)</f>
        <v>1_western</v>
      </c>
      <c r="AN789" t="str">
        <f>VLOOKUP(MID($AR789,1,255),country_lookup!$B:$F,5,FALSE)</f>
        <v>1_common law</v>
      </c>
      <c r="AO789" s="10" t="str">
        <f>VLOOKUP(MID($AS789,1,255),source_lookup!$B:$K,4,FALSE)</f>
        <v>0_published</v>
      </c>
      <c r="AP789" s="10" t="str">
        <f>VLOOKUP(MID($AS789,1,255),source_lookup!$B:$K,6,FALSE)</f>
        <v>1_VHB high</v>
      </c>
      <c r="AQ789" s="10" t="str">
        <f>VLOOKUP(MID($AS789,1,255),source_lookup!$B:$K,10,FALSE)</f>
        <v>1_fin/acc/econ</v>
      </c>
      <c r="AR789" t="s">
        <v>85</v>
      </c>
      <c r="AS789" t="s">
        <v>159</v>
      </c>
    </row>
    <row r="790" spans="1:45" x14ac:dyDescent="0.3">
      <c r="A790" t="s">
        <v>35</v>
      </c>
      <c r="B790">
        <v>789</v>
      </c>
      <c r="C790" s="1">
        <v>1.1100372529199837E-2</v>
      </c>
      <c r="D790" s="2">
        <v>248</v>
      </c>
      <c r="E790" s="4">
        <v>2234</v>
      </c>
      <c r="F790" s="4" t="s">
        <v>346</v>
      </c>
      <c r="G790" s="4" t="s">
        <v>346</v>
      </c>
      <c r="H790" t="s">
        <v>77</v>
      </c>
      <c r="I790" t="s">
        <v>352</v>
      </c>
      <c r="J790" s="3">
        <v>2010</v>
      </c>
      <c r="K790" s="3">
        <v>2018</v>
      </c>
      <c r="L790" s="6">
        <f t="shared" si="251"/>
        <v>2014</v>
      </c>
      <c r="M790" s="6">
        <f t="shared" si="252"/>
        <v>2014</v>
      </c>
      <c r="N790" s="7">
        <f t="shared" si="240"/>
        <v>0.33333333333333331</v>
      </c>
      <c r="O790" s="7">
        <f t="shared" si="241"/>
        <v>0.22222222222222221</v>
      </c>
      <c r="P790" s="7">
        <f t="shared" si="242"/>
        <v>0.1111111111111111</v>
      </c>
      <c r="Q790" s="7">
        <f t="shared" si="253"/>
        <v>0</v>
      </c>
      <c r="R790" s="10" t="str">
        <f t="shared" si="243"/>
        <v>0_Pre</v>
      </c>
      <c r="S790" s="10" t="str">
        <f t="shared" si="244"/>
        <v>0_Pre</v>
      </c>
      <c r="T790" s="10" t="str">
        <f t="shared" si="245"/>
        <v>0_Pre</v>
      </c>
      <c r="U790" s="10" t="str">
        <f t="shared" si="246"/>
        <v>1_Post</v>
      </c>
      <c r="V790" s="10" t="str">
        <f t="shared" si="254"/>
        <v>0_Pre</v>
      </c>
      <c r="W790" s="10" t="str">
        <f t="shared" si="247"/>
        <v>straddle</v>
      </c>
      <c r="X790" s="10" t="str">
        <f t="shared" si="248"/>
        <v>0_Pre</v>
      </c>
      <c r="Y790" s="10" t="str">
        <f t="shared" si="249"/>
        <v>0_Pre</v>
      </c>
      <c r="Z790" s="10" t="str">
        <f t="shared" si="250"/>
        <v>0_Pre</v>
      </c>
      <c r="AA790" s="10" t="str">
        <f t="shared" si="255"/>
        <v>1_Post</v>
      </c>
      <c r="AB790" s="10" t="str">
        <f t="shared" si="256"/>
        <v>1_Post</v>
      </c>
      <c r="AC790" s="10" t="str">
        <f t="shared" si="257"/>
        <v>0_Pre</v>
      </c>
      <c r="AD790" s="10" t="str">
        <f t="shared" si="258"/>
        <v>2_post sample median</v>
      </c>
      <c r="AE790" s="10" t="str">
        <f t="shared" si="259"/>
        <v>3_post sample third tertile</v>
      </c>
      <c r="AF790" t="s">
        <v>81</v>
      </c>
      <c r="AG790" t="s">
        <v>74</v>
      </c>
      <c r="AH790" t="s">
        <v>78</v>
      </c>
      <c r="AI790" t="s">
        <v>122</v>
      </c>
      <c r="AJ790" t="s">
        <v>122</v>
      </c>
      <c r="AK790" t="str">
        <f>VLOOKUP(MID($AR790,1,255),country_lookup!$B:$F,2,FALSE)</f>
        <v>1_US</v>
      </c>
      <c r="AL790" t="str">
        <f>VLOOKUP(MID($AR790,1,255),country_lookup!$B:$F,3,FALSE)</f>
        <v>1_developed</v>
      </c>
      <c r="AM790" t="str">
        <f>VLOOKUP(MID($AR790,1,255),country_lookup!$B:$F,4,FALSE)</f>
        <v>1_western</v>
      </c>
      <c r="AN790" t="str">
        <f>VLOOKUP(MID($AR790,1,255),country_lookup!$B:$F,5,FALSE)</f>
        <v>1_common law</v>
      </c>
      <c r="AO790" s="10" t="str">
        <f>VLOOKUP(MID($AS790,1,255),source_lookup!$B:$K,4,FALSE)</f>
        <v>0_published</v>
      </c>
      <c r="AP790" s="10" t="str">
        <f>VLOOKUP(MID($AS790,1,255),source_lookup!$B:$K,6,FALSE)</f>
        <v>1_VHB high</v>
      </c>
      <c r="AQ790" s="10" t="str">
        <f>VLOOKUP(MID($AS790,1,255),source_lookup!$B:$K,10,FALSE)</f>
        <v>1_fin/acc/econ</v>
      </c>
      <c r="AR790" t="s">
        <v>85</v>
      </c>
      <c r="AS790" t="s">
        <v>159</v>
      </c>
    </row>
    <row r="791" spans="1:45" x14ac:dyDescent="0.3">
      <c r="A791" t="s">
        <v>35</v>
      </c>
      <c r="B791">
        <v>790</v>
      </c>
      <c r="C791" s="1">
        <v>2.2324227012940977E-2</v>
      </c>
      <c r="D791" s="2">
        <v>248</v>
      </c>
      <c r="E791" s="4">
        <v>2234</v>
      </c>
      <c r="F791" s="4" t="s">
        <v>346</v>
      </c>
      <c r="G791" s="4" t="s">
        <v>346</v>
      </c>
      <c r="H791" t="s">
        <v>77</v>
      </c>
      <c r="I791" t="s">
        <v>352</v>
      </c>
      <c r="J791" s="3">
        <v>2010</v>
      </c>
      <c r="K791" s="3">
        <v>2018</v>
      </c>
      <c r="L791" s="6">
        <f t="shared" si="251"/>
        <v>2014</v>
      </c>
      <c r="M791" s="6">
        <f t="shared" si="252"/>
        <v>2014</v>
      </c>
      <c r="N791" s="7">
        <f t="shared" si="240"/>
        <v>0.33333333333333331</v>
      </c>
      <c r="O791" s="7">
        <f t="shared" si="241"/>
        <v>0.22222222222222221</v>
      </c>
      <c r="P791" s="7">
        <f t="shared" si="242"/>
        <v>0.1111111111111111</v>
      </c>
      <c r="Q791" s="7">
        <f t="shared" si="253"/>
        <v>0</v>
      </c>
      <c r="R791" s="10" t="str">
        <f t="shared" si="243"/>
        <v>0_Pre</v>
      </c>
      <c r="S791" s="10" t="str">
        <f t="shared" si="244"/>
        <v>0_Pre</v>
      </c>
      <c r="T791" s="10" t="str">
        <f t="shared" si="245"/>
        <v>0_Pre</v>
      </c>
      <c r="U791" s="10" t="str">
        <f t="shared" si="246"/>
        <v>1_Post</v>
      </c>
      <c r="V791" s="10" t="str">
        <f t="shared" si="254"/>
        <v>0_Pre</v>
      </c>
      <c r="W791" s="10" t="str">
        <f t="shared" si="247"/>
        <v>straddle</v>
      </c>
      <c r="X791" s="10" t="str">
        <f t="shared" si="248"/>
        <v>0_Pre</v>
      </c>
      <c r="Y791" s="10" t="str">
        <f t="shared" si="249"/>
        <v>0_Pre</v>
      </c>
      <c r="Z791" s="10" t="str">
        <f t="shared" si="250"/>
        <v>0_Pre</v>
      </c>
      <c r="AA791" s="10" t="str">
        <f t="shared" si="255"/>
        <v>1_Post</v>
      </c>
      <c r="AB791" s="10" t="str">
        <f t="shared" si="256"/>
        <v>1_Post</v>
      </c>
      <c r="AC791" s="10" t="str">
        <f t="shared" si="257"/>
        <v>0_Pre</v>
      </c>
      <c r="AD791" s="10" t="str">
        <f t="shared" si="258"/>
        <v>2_post sample median</v>
      </c>
      <c r="AE791" s="10" t="str">
        <f t="shared" si="259"/>
        <v>3_post sample third tertile</v>
      </c>
      <c r="AF791" t="s">
        <v>81</v>
      </c>
      <c r="AG791" t="s">
        <v>74</v>
      </c>
      <c r="AH791" t="s">
        <v>78</v>
      </c>
      <c r="AI791" t="s">
        <v>122</v>
      </c>
      <c r="AJ791" t="s">
        <v>122</v>
      </c>
      <c r="AK791" t="str">
        <f>VLOOKUP(MID($AR791,1,255),country_lookup!$B:$F,2,FALSE)</f>
        <v>1_US</v>
      </c>
      <c r="AL791" t="str">
        <f>VLOOKUP(MID($AR791,1,255),country_lookup!$B:$F,3,FALSE)</f>
        <v>1_developed</v>
      </c>
      <c r="AM791" t="str">
        <f>VLOOKUP(MID($AR791,1,255),country_lookup!$B:$F,4,FALSE)</f>
        <v>1_western</v>
      </c>
      <c r="AN791" t="str">
        <f>VLOOKUP(MID($AR791,1,255),country_lookup!$B:$F,5,FALSE)</f>
        <v>1_common law</v>
      </c>
      <c r="AO791" s="10" t="str">
        <f>VLOOKUP(MID($AS791,1,255),source_lookup!$B:$K,4,FALSE)</f>
        <v>0_published</v>
      </c>
      <c r="AP791" s="10" t="str">
        <f>VLOOKUP(MID($AS791,1,255),source_lookup!$B:$K,6,FALSE)</f>
        <v>1_VHB high</v>
      </c>
      <c r="AQ791" s="10" t="str">
        <f>VLOOKUP(MID($AS791,1,255),source_lookup!$B:$K,10,FALSE)</f>
        <v>1_fin/acc/econ</v>
      </c>
      <c r="AR791" t="s">
        <v>85</v>
      </c>
      <c r="AS791" t="s">
        <v>159</v>
      </c>
    </row>
    <row r="792" spans="1:45" x14ac:dyDescent="0.3">
      <c r="A792" t="s">
        <v>35</v>
      </c>
      <c r="B792">
        <v>791</v>
      </c>
      <c r="C792" s="1">
        <v>-4.8086062133143821E-2</v>
      </c>
      <c r="D792" s="2">
        <v>115</v>
      </c>
      <c r="E792" s="4">
        <v>1035</v>
      </c>
      <c r="F792" s="4" t="s">
        <v>346</v>
      </c>
      <c r="G792" s="4" t="s">
        <v>346</v>
      </c>
      <c r="H792" t="s">
        <v>77</v>
      </c>
      <c r="I792" t="s">
        <v>352</v>
      </c>
      <c r="J792" s="3">
        <v>2010</v>
      </c>
      <c r="K792" s="3">
        <v>2018</v>
      </c>
      <c r="L792" s="6">
        <f t="shared" si="251"/>
        <v>2014</v>
      </c>
      <c r="M792" s="6">
        <f t="shared" si="252"/>
        <v>2014</v>
      </c>
      <c r="N792" s="7">
        <f t="shared" si="240"/>
        <v>0.33333333333333331</v>
      </c>
      <c r="O792" s="7">
        <f t="shared" si="241"/>
        <v>0.22222222222222221</v>
      </c>
      <c r="P792" s="7">
        <f t="shared" si="242"/>
        <v>0.1111111111111111</v>
      </c>
      <c r="Q792" s="7">
        <f t="shared" si="253"/>
        <v>0</v>
      </c>
      <c r="R792" s="10" t="str">
        <f t="shared" si="243"/>
        <v>0_Pre</v>
      </c>
      <c r="S792" s="10" t="str">
        <f t="shared" si="244"/>
        <v>0_Pre</v>
      </c>
      <c r="T792" s="10" t="str">
        <f t="shared" si="245"/>
        <v>0_Pre</v>
      </c>
      <c r="U792" s="10" t="str">
        <f t="shared" si="246"/>
        <v>1_Post</v>
      </c>
      <c r="V792" s="10" t="str">
        <f t="shared" si="254"/>
        <v>0_Pre</v>
      </c>
      <c r="W792" s="10" t="str">
        <f t="shared" si="247"/>
        <v>straddle</v>
      </c>
      <c r="X792" s="10" t="str">
        <f t="shared" si="248"/>
        <v>0_Pre</v>
      </c>
      <c r="Y792" s="10" t="str">
        <f t="shared" si="249"/>
        <v>0_Pre</v>
      </c>
      <c r="Z792" s="10" t="str">
        <f t="shared" si="250"/>
        <v>0_Pre</v>
      </c>
      <c r="AA792" s="10" t="str">
        <f t="shared" si="255"/>
        <v>1_Post</v>
      </c>
      <c r="AB792" s="10" t="str">
        <f t="shared" si="256"/>
        <v>1_Post</v>
      </c>
      <c r="AC792" s="10" t="str">
        <f t="shared" si="257"/>
        <v>0_Pre</v>
      </c>
      <c r="AD792" s="10" t="str">
        <f t="shared" si="258"/>
        <v>2_post sample median</v>
      </c>
      <c r="AE792" s="10" t="str">
        <f t="shared" si="259"/>
        <v>3_post sample third tertile</v>
      </c>
      <c r="AF792" t="s">
        <v>81</v>
      </c>
      <c r="AG792" t="s">
        <v>74</v>
      </c>
      <c r="AH792" t="s">
        <v>78</v>
      </c>
      <c r="AI792" t="s">
        <v>122</v>
      </c>
      <c r="AJ792" t="s">
        <v>122</v>
      </c>
      <c r="AK792" t="str">
        <f>VLOOKUP(MID($AR792,1,255),country_lookup!$B:$F,2,FALSE)</f>
        <v>1_US</v>
      </c>
      <c r="AL792" t="str">
        <f>VLOOKUP(MID($AR792,1,255),country_lookup!$B:$F,3,FALSE)</f>
        <v>1_developed</v>
      </c>
      <c r="AM792" t="str">
        <f>VLOOKUP(MID($AR792,1,255),country_lookup!$B:$F,4,FALSE)</f>
        <v>1_western</v>
      </c>
      <c r="AN792" t="str">
        <f>VLOOKUP(MID($AR792,1,255),country_lookup!$B:$F,5,FALSE)</f>
        <v>1_common law</v>
      </c>
      <c r="AO792" s="10" t="str">
        <f>VLOOKUP(MID($AS792,1,255),source_lookup!$B:$K,4,FALSE)</f>
        <v>0_published</v>
      </c>
      <c r="AP792" s="10" t="str">
        <f>VLOOKUP(MID($AS792,1,255),source_lookup!$B:$K,6,FALSE)</f>
        <v>1_VHB high</v>
      </c>
      <c r="AQ792" s="10" t="str">
        <f>VLOOKUP(MID($AS792,1,255),source_lookup!$B:$K,10,FALSE)</f>
        <v>1_fin/acc/econ</v>
      </c>
      <c r="AR792" t="s">
        <v>85</v>
      </c>
      <c r="AS792" t="s">
        <v>159</v>
      </c>
    </row>
    <row r="793" spans="1:45" x14ac:dyDescent="0.3">
      <c r="A793" t="s">
        <v>35</v>
      </c>
      <c r="B793">
        <v>792</v>
      </c>
      <c r="C793" s="1">
        <v>2.2652867927726125E-2</v>
      </c>
      <c r="D793" s="2">
        <v>115</v>
      </c>
      <c r="E793" s="4">
        <v>1035</v>
      </c>
      <c r="F793" s="4" t="s">
        <v>346</v>
      </c>
      <c r="G793" s="4" t="s">
        <v>346</v>
      </c>
      <c r="H793" t="s">
        <v>77</v>
      </c>
      <c r="I793" t="s">
        <v>352</v>
      </c>
      <c r="J793" s="3">
        <v>2010</v>
      </c>
      <c r="K793" s="3">
        <v>2018</v>
      </c>
      <c r="L793" s="6">
        <f t="shared" si="251"/>
        <v>2014</v>
      </c>
      <c r="M793" s="6">
        <f t="shared" si="252"/>
        <v>2014</v>
      </c>
      <c r="N793" s="7">
        <f t="shared" si="240"/>
        <v>0.33333333333333331</v>
      </c>
      <c r="O793" s="7">
        <f t="shared" si="241"/>
        <v>0.22222222222222221</v>
      </c>
      <c r="P793" s="7">
        <f t="shared" si="242"/>
        <v>0.1111111111111111</v>
      </c>
      <c r="Q793" s="7">
        <f t="shared" si="253"/>
        <v>0</v>
      </c>
      <c r="R793" s="10" t="str">
        <f t="shared" si="243"/>
        <v>0_Pre</v>
      </c>
      <c r="S793" s="10" t="str">
        <f t="shared" si="244"/>
        <v>0_Pre</v>
      </c>
      <c r="T793" s="10" t="str">
        <f t="shared" si="245"/>
        <v>0_Pre</v>
      </c>
      <c r="U793" s="10" t="str">
        <f t="shared" si="246"/>
        <v>1_Post</v>
      </c>
      <c r="V793" s="10" t="str">
        <f t="shared" si="254"/>
        <v>0_Pre</v>
      </c>
      <c r="W793" s="10" t="str">
        <f t="shared" si="247"/>
        <v>straddle</v>
      </c>
      <c r="X793" s="10" t="str">
        <f t="shared" si="248"/>
        <v>0_Pre</v>
      </c>
      <c r="Y793" s="10" t="str">
        <f t="shared" si="249"/>
        <v>0_Pre</v>
      </c>
      <c r="Z793" s="10" t="str">
        <f t="shared" si="250"/>
        <v>0_Pre</v>
      </c>
      <c r="AA793" s="10" t="str">
        <f t="shared" si="255"/>
        <v>1_Post</v>
      </c>
      <c r="AB793" s="10" t="str">
        <f t="shared" si="256"/>
        <v>1_Post</v>
      </c>
      <c r="AC793" s="10" t="str">
        <f t="shared" si="257"/>
        <v>0_Pre</v>
      </c>
      <c r="AD793" s="10" t="str">
        <f t="shared" si="258"/>
        <v>2_post sample median</v>
      </c>
      <c r="AE793" s="10" t="str">
        <f t="shared" si="259"/>
        <v>3_post sample third tertile</v>
      </c>
      <c r="AF793" t="s">
        <v>81</v>
      </c>
      <c r="AG793" t="s">
        <v>74</v>
      </c>
      <c r="AH793" t="s">
        <v>78</v>
      </c>
      <c r="AI793" t="s">
        <v>122</v>
      </c>
      <c r="AJ793" t="s">
        <v>122</v>
      </c>
      <c r="AK793" t="str">
        <f>VLOOKUP(MID($AR793,1,255),country_lookup!$B:$F,2,FALSE)</f>
        <v>1_US</v>
      </c>
      <c r="AL793" t="str">
        <f>VLOOKUP(MID($AR793,1,255),country_lookup!$B:$F,3,FALSE)</f>
        <v>1_developed</v>
      </c>
      <c r="AM793" t="str">
        <f>VLOOKUP(MID($AR793,1,255),country_lookup!$B:$F,4,FALSE)</f>
        <v>1_western</v>
      </c>
      <c r="AN793" t="str">
        <f>VLOOKUP(MID($AR793,1,255),country_lookup!$B:$F,5,FALSE)</f>
        <v>1_common law</v>
      </c>
      <c r="AO793" s="10" t="str">
        <f>VLOOKUP(MID($AS793,1,255),source_lookup!$B:$K,4,FALSE)</f>
        <v>0_published</v>
      </c>
      <c r="AP793" s="10" t="str">
        <f>VLOOKUP(MID($AS793,1,255),source_lookup!$B:$K,6,FALSE)</f>
        <v>1_VHB high</v>
      </c>
      <c r="AQ793" s="10" t="str">
        <f>VLOOKUP(MID($AS793,1,255),source_lookup!$B:$K,10,FALSE)</f>
        <v>1_fin/acc/econ</v>
      </c>
      <c r="AR793" t="s">
        <v>85</v>
      </c>
      <c r="AS793" t="s">
        <v>159</v>
      </c>
    </row>
    <row r="794" spans="1:45" x14ac:dyDescent="0.3">
      <c r="A794" t="s">
        <v>35</v>
      </c>
      <c r="B794">
        <v>793</v>
      </c>
      <c r="C794" s="1">
        <v>-1.0141949979321906E-3</v>
      </c>
      <c r="D794" s="2">
        <v>363</v>
      </c>
      <c r="E794" s="4">
        <v>3269</v>
      </c>
      <c r="F794" s="4" t="s">
        <v>346</v>
      </c>
      <c r="G794" s="4" t="s">
        <v>346</v>
      </c>
      <c r="H794" t="s">
        <v>77</v>
      </c>
      <c r="I794" t="s">
        <v>352</v>
      </c>
      <c r="J794" s="3">
        <v>2010</v>
      </c>
      <c r="K794" s="3">
        <v>2018</v>
      </c>
      <c r="L794" s="6">
        <f t="shared" si="251"/>
        <v>2014</v>
      </c>
      <c r="M794" s="6">
        <f t="shared" si="252"/>
        <v>2014</v>
      </c>
      <c r="N794" s="7">
        <f t="shared" si="240"/>
        <v>0.33333333333333331</v>
      </c>
      <c r="O794" s="7">
        <f t="shared" si="241"/>
        <v>0.22222222222222221</v>
      </c>
      <c r="P794" s="7">
        <f t="shared" si="242"/>
        <v>0.1111111111111111</v>
      </c>
      <c r="Q794" s="7">
        <f t="shared" si="253"/>
        <v>0</v>
      </c>
      <c r="R794" s="10" t="str">
        <f t="shared" si="243"/>
        <v>0_Pre</v>
      </c>
      <c r="S794" s="10" t="str">
        <f t="shared" si="244"/>
        <v>0_Pre</v>
      </c>
      <c r="T794" s="10" t="str">
        <f t="shared" si="245"/>
        <v>0_Pre</v>
      </c>
      <c r="U794" s="10" t="str">
        <f t="shared" si="246"/>
        <v>1_Post</v>
      </c>
      <c r="V794" s="10" t="str">
        <f t="shared" si="254"/>
        <v>0_Pre</v>
      </c>
      <c r="W794" s="10" t="str">
        <f t="shared" si="247"/>
        <v>straddle</v>
      </c>
      <c r="X794" s="10" t="str">
        <f t="shared" si="248"/>
        <v>0_Pre</v>
      </c>
      <c r="Y794" s="10" t="str">
        <f t="shared" si="249"/>
        <v>0_Pre</v>
      </c>
      <c r="Z794" s="10" t="str">
        <f t="shared" si="250"/>
        <v>0_Pre</v>
      </c>
      <c r="AA794" s="10" t="str">
        <f t="shared" si="255"/>
        <v>1_Post</v>
      </c>
      <c r="AB794" s="10" t="str">
        <f t="shared" si="256"/>
        <v>1_Post</v>
      </c>
      <c r="AC794" s="10" t="str">
        <f t="shared" si="257"/>
        <v>0_Pre</v>
      </c>
      <c r="AD794" s="10" t="str">
        <f t="shared" si="258"/>
        <v>2_post sample median</v>
      </c>
      <c r="AE794" s="10" t="str">
        <f t="shared" si="259"/>
        <v>3_post sample third tertile</v>
      </c>
      <c r="AF794" t="s">
        <v>81</v>
      </c>
      <c r="AG794" t="s">
        <v>74</v>
      </c>
      <c r="AH794" t="s">
        <v>78</v>
      </c>
      <c r="AI794" t="s">
        <v>122</v>
      </c>
      <c r="AJ794" t="s">
        <v>122</v>
      </c>
      <c r="AK794" t="str">
        <f>VLOOKUP(MID($AR794,1,255),country_lookup!$B:$F,2,FALSE)</f>
        <v>1_US</v>
      </c>
      <c r="AL794" t="str">
        <f>VLOOKUP(MID($AR794,1,255),country_lookup!$B:$F,3,FALSE)</f>
        <v>1_developed</v>
      </c>
      <c r="AM794" t="str">
        <f>VLOOKUP(MID($AR794,1,255),country_lookup!$B:$F,4,FALSE)</f>
        <v>1_western</v>
      </c>
      <c r="AN794" t="str">
        <f>VLOOKUP(MID($AR794,1,255),country_lookup!$B:$F,5,FALSE)</f>
        <v>1_common law</v>
      </c>
      <c r="AO794" s="10" t="str">
        <f>VLOOKUP(MID($AS794,1,255),source_lookup!$B:$K,4,FALSE)</f>
        <v>0_published</v>
      </c>
      <c r="AP794" s="10" t="str">
        <f>VLOOKUP(MID($AS794,1,255),source_lookup!$B:$K,6,FALSE)</f>
        <v>1_VHB high</v>
      </c>
      <c r="AQ794" s="10" t="str">
        <f>VLOOKUP(MID($AS794,1,255),source_lookup!$B:$K,10,FALSE)</f>
        <v>1_fin/acc/econ</v>
      </c>
      <c r="AR794" t="s">
        <v>85</v>
      </c>
      <c r="AS794" t="s">
        <v>159</v>
      </c>
    </row>
    <row r="795" spans="1:45" x14ac:dyDescent="0.3">
      <c r="A795" t="s">
        <v>35</v>
      </c>
      <c r="B795">
        <v>794</v>
      </c>
      <c r="C795" s="1">
        <v>-4.268487835507178E-2</v>
      </c>
      <c r="D795" s="2">
        <v>363</v>
      </c>
      <c r="E795" s="4">
        <v>3269</v>
      </c>
      <c r="F795" s="4" t="s">
        <v>346</v>
      </c>
      <c r="G795" s="4" t="s">
        <v>346</v>
      </c>
      <c r="H795" t="s">
        <v>77</v>
      </c>
      <c r="I795" t="s">
        <v>352</v>
      </c>
      <c r="J795" s="3">
        <v>2010</v>
      </c>
      <c r="K795" s="3">
        <v>2018</v>
      </c>
      <c r="L795" s="6">
        <f t="shared" si="251"/>
        <v>2014</v>
      </c>
      <c r="M795" s="6">
        <f t="shared" si="252"/>
        <v>2014</v>
      </c>
      <c r="N795" s="7">
        <f t="shared" si="240"/>
        <v>0.33333333333333331</v>
      </c>
      <c r="O795" s="7">
        <f t="shared" si="241"/>
        <v>0.22222222222222221</v>
      </c>
      <c r="P795" s="7">
        <f t="shared" si="242"/>
        <v>0.1111111111111111</v>
      </c>
      <c r="Q795" s="7">
        <f t="shared" si="253"/>
        <v>0</v>
      </c>
      <c r="R795" s="10" t="str">
        <f t="shared" si="243"/>
        <v>0_Pre</v>
      </c>
      <c r="S795" s="10" t="str">
        <f t="shared" si="244"/>
        <v>0_Pre</v>
      </c>
      <c r="T795" s="10" t="str">
        <f t="shared" si="245"/>
        <v>0_Pre</v>
      </c>
      <c r="U795" s="10" t="str">
        <f t="shared" si="246"/>
        <v>1_Post</v>
      </c>
      <c r="V795" s="10" t="str">
        <f t="shared" si="254"/>
        <v>0_Pre</v>
      </c>
      <c r="W795" s="10" t="str">
        <f t="shared" si="247"/>
        <v>straddle</v>
      </c>
      <c r="X795" s="10" t="str">
        <f t="shared" si="248"/>
        <v>0_Pre</v>
      </c>
      <c r="Y795" s="10" t="str">
        <f t="shared" si="249"/>
        <v>0_Pre</v>
      </c>
      <c r="Z795" s="10" t="str">
        <f t="shared" si="250"/>
        <v>0_Pre</v>
      </c>
      <c r="AA795" s="10" t="str">
        <f t="shared" si="255"/>
        <v>1_Post</v>
      </c>
      <c r="AB795" s="10" t="str">
        <f t="shared" si="256"/>
        <v>1_Post</v>
      </c>
      <c r="AC795" s="10" t="str">
        <f t="shared" si="257"/>
        <v>0_Pre</v>
      </c>
      <c r="AD795" s="10" t="str">
        <f t="shared" si="258"/>
        <v>2_post sample median</v>
      </c>
      <c r="AE795" s="10" t="str">
        <f t="shared" si="259"/>
        <v>3_post sample third tertile</v>
      </c>
      <c r="AF795" t="s">
        <v>81</v>
      </c>
      <c r="AG795" t="s">
        <v>74</v>
      </c>
      <c r="AH795" t="s">
        <v>78</v>
      </c>
      <c r="AI795" t="s">
        <v>122</v>
      </c>
      <c r="AJ795" t="s">
        <v>122</v>
      </c>
      <c r="AK795" t="str">
        <f>VLOOKUP(MID($AR795,1,255),country_lookup!$B:$F,2,FALSE)</f>
        <v>1_US</v>
      </c>
      <c r="AL795" t="str">
        <f>VLOOKUP(MID($AR795,1,255),country_lookup!$B:$F,3,FALSE)</f>
        <v>1_developed</v>
      </c>
      <c r="AM795" t="str">
        <f>VLOOKUP(MID($AR795,1,255),country_lookup!$B:$F,4,FALSE)</f>
        <v>1_western</v>
      </c>
      <c r="AN795" t="str">
        <f>VLOOKUP(MID($AR795,1,255),country_lookup!$B:$F,5,FALSE)</f>
        <v>1_common law</v>
      </c>
      <c r="AO795" s="10" t="str">
        <f>VLOOKUP(MID($AS795,1,255),source_lookup!$B:$K,4,FALSE)</f>
        <v>0_published</v>
      </c>
      <c r="AP795" s="10" t="str">
        <f>VLOOKUP(MID($AS795,1,255),source_lookup!$B:$K,6,FALSE)</f>
        <v>1_VHB high</v>
      </c>
      <c r="AQ795" s="10" t="str">
        <f>VLOOKUP(MID($AS795,1,255),source_lookup!$B:$K,10,FALSE)</f>
        <v>1_fin/acc/econ</v>
      </c>
      <c r="AR795" t="s">
        <v>85</v>
      </c>
      <c r="AS795" t="s">
        <v>159</v>
      </c>
    </row>
    <row r="796" spans="1:45" x14ac:dyDescent="0.3">
      <c r="A796" t="s">
        <v>35</v>
      </c>
      <c r="B796">
        <v>795</v>
      </c>
      <c r="C796" s="1">
        <v>2.9433607105467312E-3</v>
      </c>
      <c r="D796" s="2">
        <v>363</v>
      </c>
      <c r="E796" s="4">
        <v>3269</v>
      </c>
      <c r="F796" s="4" t="s">
        <v>346</v>
      </c>
      <c r="G796" s="4" t="s">
        <v>346</v>
      </c>
      <c r="H796" t="s">
        <v>77</v>
      </c>
      <c r="I796" t="s">
        <v>352</v>
      </c>
      <c r="J796" s="3">
        <v>2010</v>
      </c>
      <c r="K796" s="3">
        <v>2018</v>
      </c>
      <c r="L796" s="6">
        <f t="shared" si="251"/>
        <v>2014</v>
      </c>
      <c r="M796" s="6">
        <f t="shared" si="252"/>
        <v>2014</v>
      </c>
      <c r="N796" s="7">
        <f t="shared" si="240"/>
        <v>0.33333333333333331</v>
      </c>
      <c r="O796" s="7">
        <f t="shared" si="241"/>
        <v>0.22222222222222221</v>
      </c>
      <c r="P796" s="7">
        <f t="shared" si="242"/>
        <v>0.1111111111111111</v>
      </c>
      <c r="Q796" s="7">
        <f t="shared" si="253"/>
        <v>0</v>
      </c>
      <c r="R796" s="10" t="str">
        <f t="shared" si="243"/>
        <v>0_Pre</v>
      </c>
      <c r="S796" s="10" t="str">
        <f t="shared" si="244"/>
        <v>0_Pre</v>
      </c>
      <c r="T796" s="10" t="str">
        <f t="shared" si="245"/>
        <v>0_Pre</v>
      </c>
      <c r="U796" s="10" t="str">
        <f t="shared" si="246"/>
        <v>1_Post</v>
      </c>
      <c r="V796" s="10" t="str">
        <f t="shared" si="254"/>
        <v>0_Pre</v>
      </c>
      <c r="W796" s="10" t="str">
        <f t="shared" si="247"/>
        <v>straddle</v>
      </c>
      <c r="X796" s="10" t="str">
        <f t="shared" si="248"/>
        <v>0_Pre</v>
      </c>
      <c r="Y796" s="10" t="str">
        <f t="shared" si="249"/>
        <v>0_Pre</v>
      </c>
      <c r="Z796" s="10" t="str">
        <f t="shared" si="250"/>
        <v>0_Pre</v>
      </c>
      <c r="AA796" s="10" t="str">
        <f t="shared" si="255"/>
        <v>1_Post</v>
      </c>
      <c r="AB796" s="10" t="str">
        <f t="shared" si="256"/>
        <v>1_Post</v>
      </c>
      <c r="AC796" s="10" t="str">
        <f t="shared" si="257"/>
        <v>0_Pre</v>
      </c>
      <c r="AD796" s="10" t="str">
        <f t="shared" si="258"/>
        <v>2_post sample median</v>
      </c>
      <c r="AE796" s="10" t="str">
        <f t="shared" si="259"/>
        <v>3_post sample third tertile</v>
      </c>
      <c r="AF796" t="s">
        <v>81</v>
      </c>
      <c r="AG796" t="s">
        <v>74</v>
      </c>
      <c r="AH796" t="s">
        <v>78</v>
      </c>
      <c r="AI796" t="s">
        <v>122</v>
      </c>
      <c r="AJ796" t="s">
        <v>122</v>
      </c>
      <c r="AK796" t="str">
        <f>VLOOKUP(MID($AR796,1,255),country_lookup!$B:$F,2,FALSE)</f>
        <v>1_US</v>
      </c>
      <c r="AL796" t="str">
        <f>VLOOKUP(MID($AR796,1,255),country_lookup!$B:$F,3,FALSE)</f>
        <v>1_developed</v>
      </c>
      <c r="AM796" t="str">
        <f>VLOOKUP(MID($AR796,1,255),country_lookup!$B:$F,4,FALSE)</f>
        <v>1_western</v>
      </c>
      <c r="AN796" t="str">
        <f>VLOOKUP(MID($AR796,1,255),country_lookup!$B:$F,5,FALSE)</f>
        <v>1_common law</v>
      </c>
      <c r="AO796" s="10" t="str">
        <f>VLOOKUP(MID($AS796,1,255),source_lookup!$B:$K,4,FALSE)</f>
        <v>0_published</v>
      </c>
      <c r="AP796" s="10" t="str">
        <f>VLOOKUP(MID($AS796,1,255),source_lookup!$B:$K,6,FALSE)</f>
        <v>1_VHB high</v>
      </c>
      <c r="AQ796" s="10" t="str">
        <f>VLOOKUP(MID($AS796,1,255),source_lookup!$B:$K,10,FALSE)</f>
        <v>1_fin/acc/econ</v>
      </c>
      <c r="AR796" t="s">
        <v>85</v>
      </c>
      <c r="AS796" t="s">
        <v>159</v>
      </c>
    </row>
    <row r="797" spans="1:45" x14ac:dyDescent="0.3">
      <c r="A797" t="s">
        <v>35</v>
      </c>
      <c r="B797">
        <v>796</v>
      </c>
      <c r="C797" s="1">
        <v>-1.3383955967907084E-2</v>
      </c>
      <c r="D797" s="2">
        <v>363</v>
      </c>
      <c r="E797" s="4">
        <v>3269</v>
      </c>
      <c r="F797" s="4" t="s">
        <v>346</v>
      </c>
      <c r="G797" s="4" t="s">
        <v>346</v>
      </c>
      <c r="H797" t="s">
        <v>77</v>
      </c>
      <c r="I797" t="s">
        <v>352</v>
      </c>
      <c r="J797" s="3">
        <v>2010</v>
      </c>
      <c r="K797" s="3">
        <v>2018</v>
      </c>
      <c r="L797" s="6">
        <f t="shared" si="251"/>
        <v>2014</v>
      </c>
      <c r="M797" s="6">
        <f t="shared" si="252"/>
        <v>2014</v>
      </c>
      <c r="N797" s="7">
        <f t="shared" si="240"/>
        <v>0.33333333333333331</v>
      </c>
      <c r="O797" s="7">
        <f t="shared" si="241"/>
        <v>0.22222222222222221</v>
      </c>
      <c r="P797" s="7">
        <f t="shared" si="242"/>
        <v>0.1111111111111111</v>
      </c>
      <c r="Q797" s="7">
        <f t="shared" si="253"/>
        <v>0</v>
      </c>
      <c r="R797" s="10" t="str">
        <f t="shared" si="243"/>
        <v>0_Pre</v>
      </c>
      <c r="S797" s="10" t="str">
        <f t="shared" si="244"/>
        <v>0_Pre</v>
      </c>
      <c r="T797" s="10" t="str">
        <f t="shared" si="245"/>
        <v>0_Pre</v>
      </c>
      <c r="U797" s="10" t="str">
        <f t="shared" si="246"/>
        <v>1_Post</v>
      </c>
      <c r="V797" s="10" t="str">
        <f t="shared" si="254"/>
        <v>0_Pre</v>
      </c>
      <c r="W797" s="10" t="str">
        <f t="shared" si="247"/>
        <v>straddle</v>
      </c>
      <c r="X797" s="10" t="str">
        <f t="shared" si="248"/>
        <v>0_Pre</v>
      </c>
      <c r="Y797" s="10" t="str">
        <f t="shared" si="249"/>
        <v>0_Pre</v>
      </c>
      <c r="Z797" s="10" t="str">
        <f t="shared" si="250"/>
        <v>0_Pre</v>
      </c>
      <c r="AA797" s="10" t="str">
        <f t="shared" si="255"/>
        <v>1_Post</v>
      </c>
      <c r="AB797" s="10" t="str">
        <f t="shared" si="256"/>
        <v>1_Post</v>
      </c>
      <c r="AC797" s="10" t="str">
        <f t="shared" si="257"/>
        <v>0_Pre</v>
      </c>
      <c r="AD797" s="10" t="str">
        <f t="shared" si="258"/>
        <v>2_post sample median</v>
      </c>
      <c r="AE797" s="10" t="str">
        <f t="shared" si="259"/>
        <v>3_post sample third tertile</v>
      </c>
      <c r="AF797" t="s">
        <v>81</v>
      </c>
      <c r="AG797" t="s">
        <v>74</v>
      </c>
      <c r="AH797" t="s">
        <v>78</v>
      </c>
      <c r="AI797" t="s">
        <v>122</v>
      </c>
      <c r="AJ797" t="s">
        <v>122</v>
      </c>
      <c r="AK797" t="str">
        <f>VLOOKUP(MID($AR797,1,255),country_lookup!$B:$F,2,FALSE)</f>
        <v>1_US</v>
      </c>
      <c r="AL797" t="str">
        <f>VLOOKUP(MID($AR797,1,255),country_lookup!$B:$F,3,FALSE)</f>
        <v>1_developed</v>
      </c>
      <c r="AM797" t="str">
        <f>VLOOKUP(MID($AR797,1,255),country_lookup!$B:$F,4,FALSE)</f>
        <v>1_western</v>
      </c>
      <c r="AN797" t="str">
        <f>VLOOKUP(MID($AR797,1,255),country_lookup!$B:$F,5,FALSE)</f>
        <v>1_common law</v>
      </c>
      <c r="AO797" s="10" t="str">
        <f>VLOOKUP(MID($AS797,1,255),source_lookup!$B:$K,4,FALSE)</f>
        <v>0_published</v>
      </c>
      <c r="AP797" s="10" t="str">
        <f>VLOOKUP(MID($AS797,1,255),source_lookup!$B:$K,6,FALSE)</f>
        <v>1_VHB high</v>
      </c>
      <c r="AQ797" s="10" t="str">
        <f>VLOOKUP(MID($AS797,1,255),source_lookup!$B:$K,10,FALSE)</f>
        <v>1_fin/acc/econ</v>
      </c>
      <c r="AR797" t="s">
        <v>85</v>
      </c>
      <c r="AS797" t="s">
        <v>159</v>
      </c>
    </row>
    <row r="798" spans="1:45" x14ac:dyDescent="0.3">
      <c r="A798" t="s">
        <v>35</v>
      </c>
      <c r="B798">
        <v>797</v>
      </c>
      <c r="C798" s="1">
        <v>-1.7703791848595249E-3</v>
      </c>
      <c r="D798" s="2">
        <v>363</v>
      </c>
      <c r="E798" s="4">
        <v>3269</v>
      </c>
      <c r="F798" s="4" t="s">
        <v>346</v>
      </c>
      <c r="G798" s="4" t="s">
        <v>346</v>
      </c>
      <c r="H798" t="s">
        <v>77</v>
      </c>
      <c r="I798" t="s">
        <v>352</v>
      </c>
      <c r="J798" s="3">
        <v>2010</v>
      </c>
      <c r="K798" s="3">
        <v>2018</v>
      </c>
      <c r="L798" s="6">
        <f t="shared" si="251"/>
        <v>2014</v>
      </c>
      <c r="M798" s="6">
        <f t="shared" si="252"/>
        <v>2014</v>
      </c>
      <c r="N798" s="7">
        <f t="shared" si="240"/>
        <v>0.33333333333333331</v>
      </c>
      <c r="O798" s="7">
        <f t="shared" si="241"/>
        <v>0.22222222222222221</v>
      </c>
      <c r="P798" s="7">
        <f t="shared" si="242"/>
        <v>0.1111111111111111</v>
      </c>
      <c r="Q798" s="7">
        <f t="shared" si="253"/>
        <v>0</v>
      </c>
      <c r="R798" s="10" t="str">
        <f t="shared" si="243"/>
        <v>0_Pre</v>
      </c>
      <c r="S798" s="10" t="str">
        <f t="shared" si="244"/>
        <v>0_Pre</v>
      </c>
      <c r="T798" s="10" t="str">
        <f t="shared" si="245"/>
        <v>0_Pre</v>
      </c>
      <c r="U798" s="10" t="str">
        <f t="shared" si="246"/>
        <v>1_Post</v>
      </c>
      <c r="V798" s="10" t="str">
        <f t="shared" si="254"/>
        <v>0_Pre</v>
      </c>
      <c r="W798" s="10" t="str">
        <f t="shared" si="247"/>
        <v>straddle</v>
      </c>
      <c r="X798" s="10" t="str">
        <f t="shared" si="248"/>
        <v>0_Pre</v>
      </c>
      <c r="Y798" s="10" t="str">
        <f t="shared" si="249"/>
        <v>0_Pre</v>
      </c>
      <c r="Z798" s="10" t="str">
        <f t="shared" si="250"/>
        <v>0_Pre</v>
      </c>
      <c r="AA798" s="10" t="str">
        <f t="shared" si="255"/>
        <v>1_Post</v>
      </c>
      <c r="AB798" s="10" t="str">
        <f t="shared" si="256"/>
        <v>1_Post</v>
      </c>
      <c r="AC798" s="10" t="str">
        <f t="shared" si="257"/>
        <v>0_Pre</v>
      </c>
      <c r="AD798" s="10" t="str">
        <f t="shared" si="258"/>
        <v>2_post sample median</v>
      </c>
      <c r="AE798" s="10" t="str">
        <f t="shared" si="259"/>
        <v>3_post sample third tertile</v>
      </c>
      <c r="AF798" t="s">
        <v>81</v>
      </c>
      <c r="AG798" t="s">
        <v>74</v>
      </c>
      <c r="AH798" t="s">
        <v>78</v>
      </c>
      <c r="AI798" t="s">
        <v>122</v>
      </c>
      <c r="AJ798" t="s">
        <v>122</v>
      </c>
      <c r="AK798" t="str">
        <f>VLOOKUP(MID($AR798,1,255),country_lookup!$B:$F,2,FALSE)</f>
        <v>1_US</v>
      </c>
      <c r="AL798" t="str">
        <f>VLOOKUP(MID($AR798,1,255),country_lookup!$B:$F,3,FALSE)</f>
        <v>1_developed</v>
      </c>
      <c r="AM798" t="str">
        <f>VLOOKUP(MID($AR798,1,255),country_lookup!$B:$F,4,FALSE)</f>
        <v>1_western</v>
      </c>
      <c r="AN798" t="str">
        <f>VLOOKUP(MID($AR798,1,255),country_lookup!$B:$F,5,FALSE)</f>
        <v>1_common law</v>
      </c>
      <c r="AO798" s="10" t="str">
        <f>VLOOKUP(MID($AS798,1,255),source_lookup!$B:$K,4,FALSE)</f>
        <v>0_published</v>
      </c>
      <c r="AP798" s="10" t="str">
        <f>VLOOKUP(MID($AS798,1,255),source_lookup!$B:$K,6,FALSE)</f>
        <v>1_VHB high</v>
      </c>
      <c r="AQ798" s="10" t="str">
        <f>VLOOKUP(MID($AS798,1,255),source_lookup!$B:$K,10,FALSE)</f>
        <v>1_fin/acc/econ</v>
      </c>
      <c r="AR798" t="s">
        <v>85</v>
      </c>
      <c r="AS798" t="s">
        <v>159</v>
      </c>
    </row>
    <row r="799" spans="1:45" x14ac:dyDescent="0.3">
      <c r="A799" t="s">
        <v>35</v>
      </c>
      <c r="B799">
        <v>798</v>
      </c>
      <c r="C799" s="1">
        <v>-3.6444682565566912E-2</v>
      </c>
      <c r="D799" s="2">
        <v>363</v>
      </c>
      <c r="E799" s="4">
        <v>3269</v>
      </c>
      <c r="F799" s="4" t="s">
        <v>346</v>
      </c>
      <c r="G799" s="4" t="s">
        <v>346</v>
      </c>
      <c r="H799" t="s">
        <v>77</v>
      </c>
      <c r="I799" t="s">
        <v>352</v>
      </c>
      <c r="J799" s="3">
        <v>2010</v>
      </c>
      <c r="K799" s="3">
        <v>2018</v>
      </c>
      <c r="L799" s="6">
        <f t="shared" si="251"/>
        <v>2014</v>
      </c>
      <c r="M799" s="6">
        <f t="shared" si="252"/>
        <v>2014</v>
      </c>
      <c r="N799" s="7">
        <f t="shared" si="240"/>
        <v>0.33333333333333331</v>
      </c>
      <c r="O799" s="7">
        <f t="shared" si="241"/>
        <v>0.22222222222222221</v>
      </c>
      <c r="P799" s="7">
        <f t="shared" si="242"/>
        <v>0.1111111111111111</v>
      </c>
      <c r="Q799" s="7">
        <f t="shared" si="253"/>
        <v>0</v>
      </c>
      <c r="R799" s="10" t="str">
        <f t="shared" si="243"/>
        <v>0_Pre</v>
      </c>
      <c r="S799" s="10" t="str">
        <f t="shared" si="244"/>
        <v>0_Pre</v>
      </c>
      <c r="T799" s="10" t="str">
        <f t="shared" si="245"/>
        <v>0_Pre</v>
      </c>
      <c r="U799" s="10" t="str">
        <f t="shared" si="246"/>
        <v>1_Post</v>
      </c>
      <c r="V799" s="10" t="str">
        <f t="shared" si="254"/>
        <v>0_Pre</v>
      </c>
      <c r="W799" s="10" t="str">
        <f t="shared" si="247"/>
        <v>straddle</v>
      </c>
      <c r="X799" s="10" t="str">
        <f t="shared" si="248"/>
        <v>0_Pre</v>
      </c>
      <c r="Y799" s="10" t="str">
        <f t="shared" si="249"/>
        <v>0_Pre</v>
      </c>
      <c r="Z799" s="10" t="str">
        <f t="shared" si="250"/>
        <v>0_Pre</v>
      </c>
      <c r="AA799" s="10" t="str">
        <f t="shared" si="255"/>
        <v>1_Post</v>
      </c>
      <c r="AB799" s="10" t="str">
        <f t="shared" si="256"/>
        <v>1_Post</v>
      </c>
      <c r="AC799" s="10" t="str">
        <f t="shared" si="257"/>
        <v>0_Pre</v>
      </c>
      <c r="AD799" s="10" t="str">
        <f t="shared" si="258"/>
        <v>2_post sample median</v>
      </c>
      <c r="AE799" s="10" t="str">
        <f t="shared" si="259"/>
        <v>3_post sample third tertile</v>
      </c>
      <c r="AF799" t="s">
        <v>81</v>
      </c>
      <c r="AG799" t="s">
        <v>74</v>
      </c>
      <c r="AH799" t="s">
        <v>78</v>
      </c>
      <c r="AI799" t="s">
        <v>122</v>
      </c>
      <c r="AJ799" t="s">
        <v>122</v>
      </c>
      <c r="AK799" t="str">
        <f>VLOOKUP(MID($AR799,1,255),country_lookup!$B:$F,2,FALSE)</f>
        <v>1_US</v>
      </c>
      <c r="AL799" t="str">
        <f>VLOOKUP(MID($AR799,1,255),country_lookup!$B:$F,3,FALSE)</f>
        <v>1_developed</v>
      </c>
      <c r="AM799" t="str">
        <f>VLOOKUP(MID($AR799,1,255),country_lookup!$B:$F,4,FALSE)</f>
        <v>1_western</v>
      </c>
      <c r="AN799" t="str">
        <f>VLOOKUP(MID($AR799,1,255),country_lookup!$B:$F,5,FALSE)</f>
        <v>1_common law</v>
      </c>
      <c r="AO799" s="10" t="str">
        <f>VLOOKUP(MID($AS799,1,255),source_lookup!$B:$K,4,FALSE)</f>
        <v>0_published</v>
      </c>
      <c r="AP799" s="10" t="str">
        <f>VLOOKUP(MID($AS799,1,255),source_lookup!$B:$K,6,FALSE)</f>
        <v>1_VHB high</v>
      </c>
      <c r="AQ799" s="10" t="str">
        <f>VLOOKUP(MID($AS799,1,255),source_lookup!$B:$K,10,FALSE)</f>
        <v>1_fin/acc/econ</v>
      </c>
      <c r="AR799" t="s">
        <v>85</v>
      </c>
      <c r="AS799" t="s">
        <v>159</v>
      </c>
    </row>
    <row r="800" spans="1:45" x14ac:dyDescent="0.3">
      <c r="A800" t="s">
        <v>35</v>
      </c>
      <c r="B800">
        <v>799</v>
      </c>
      <c r="C800" s="1">
        <v>-2.0157546429444645E-2</v>
      </c>
      <c r="D800" s="2">
        <v>248</v>
      </c>
      <c r="E800" s="4">
        <v>2234</v>
      </c>
      <c r="F800" s="4" t="s">
        <v>346</v>
      </c>
      <c r="G800" s="4" t="s">
        <v>346</v>
      </c>
      <c r="H800" t="s">
        <v>77</v>
      </c>
      <c r="I800" t="s">
        <v>352</v>
      </c>
      <c r="J800" s="3">
        <v>2010</v>
      </c>
      <c r="K800" s="3">
        <v>2018</v>
      </c>
      <c r="L800" s="6">
        <f t="shared" si="251"/>
        <v>2014</v>
      </c>
      <c r="M800" s="6">
        <f t="shared" si="252"/>
        <v>2014</v>
      </c>
      <c r="N800" s="7">
        <f t="shared" si="240"/>
        <v>0.33333333333333331</v>
      </c>
      <c r="O800" s="7">
        <f t="shared" si="241"/>
        <v>0.22222222222222221</v>
      </c>
      <c r="P800" s="7">
        <f t="shared" si="242"/>
        <v>0.1111111111111111</v>
      </c>
      <c r="Q800" s="7">
        <f t="shared" si="253"/>
        <v>0</v>
      </c>
      <c r="R800" s="10" t="str">
        <f t="shared" si="243"/>
        <v>0_Pre</v>
      </c>
      <c r="S800" s="10" t="str">
        <f t="shared" si="244"/>
        <v>0_Pre</v>
      </c>
      <c r="T800" s="10" t="str">
        <f t="shared" si="245"/>
        <v>0_Pre</v>
      </c>
      <c r="U800" s="10" t="str">
        <f t="shared" si="246"/>
        <v>1_Post</v>
      </c>
      <c r="V800" s="10" t="str">
        <f t="shared" si="254"/>
        <v>0_Pre</v>
      </c>
      <c r="W800" s="10" t="str">
        <f t="shared" si="247"/>
        <v>straddle</v>
      </c>
      <c r="X800" s="10" t="str">
        <f t="shared" si="248"/>
        <v>0_Pre</v>
      </c>
      <c r="Y800" s="10" t="str">
        <f t="shared" si="249"/>
        <v>0_Pre</v>
      </c>
      <c r="Z800" s="10" t="str">
        <f t="shared" si="250"/>
        <v>0_Pre</v>
      </c>
      <c r="AA800" s="10" t="str">
        <f t="shared" si="255"/>
        <v>1_Post</v>
      </c>
      <c r="AB800" s="10" t="str">
        <f t="shared" si="256"/>
        <v>1_Post</v>
      </c>
      <c r="AC800" s="10" t="str">
        <f t="shared" si="257"/>
        <v>0_Pre</v>
      </c>
      <c r="AD800" s="10" t="str">
        <f t="shared" si="258"/>
        <v>2_post sample median</v>
      </c>
      <c r="AE800" s="10" t="str">
        <f t="shared" si="259"/>
        <v>3_post sample third tertile</v>
      </c>
      <c r="AF800" t="s">
        <v>81</v>
      </c>
      <c r="AG800" t="s">
        <v>74</v>
      </c>
      <c r="AH800" t="s">
        <v>78</v>
      </c>
      <c r="AI800" t="s">
        <v>122</v>
      </c>
      <c r="AJ800" t="s">
        <v>122</v>
      </c>
      <c r="AK800" t="str">
        <f>VLOOKUP(MID($AR800,1,255),country_lookup!$B:$F,2,FALSE)</f>
        <v>1_US</v>
      </c>
      <c r="AL800" t="str">
        <f>VLOOKUP(MID($AR800,1,255),country_lookup!$B:$F,3,FALSE)</f>
        <v>1_developed</v>
      </c>
      <c r="AM800" t="str">
        <f>VLOOKUP(MID($AR800,1,255),country_lookup!$B:$F,4,FALSE)</f>
        <v>1_western</v>
      </c>
      <c r="AN800" t="str">
        <f>VLOOKUP(MID($AR800,1,255),country_lookup!$B:$F,5,FALSE)</f>
        <v>1_common law</v>
      </c>
      <c r="AO800" s="10" t="str">
        <f>VLOOKUP(MID($AS800,1,255),source_lookup!$B:$K,4,FALSE)</f>
        <v>0_published</v>
      </c>
      <c r="AP800" s="10" t="str">
        <f>VLOOKUP(MID($AS800,1,255),source_lookup!$B:$K,6,FALSE)</f>
        <v>1_VHB high</v>
      </c>
      <c r="AQ800" s="10" t="str">
        <f>VLOOKUP(MID($AS800,1,255),source_lookup!$B:$K,10,FALSE)</f>
        <v>1_fin/acc/econ</v>
      </c>
      <c r="AR800" t="s">
        <v>85</v>
      </c>
      <c r="AS800" t="s">
        <v>159</v>
      </c>
    </row>
    <row r="801" spans="1:45" x14ac:dyDescent="0.3">
      <c r="A801" t="s">
        <v>35</v>
      </c>
      <c r="B801">
        <v>800</v>
      </c>
      <c r="C801" s="1">
        <v>-3.6291890513586125E-2</v>
      </c>
      <c r="D801" s="2">
        <v>248</v>
      </c>
      <c r="E801" s="4">
        <v>2234</v>
      </c>
      <c r="F801" s="4" t="s">
        <v>346</v>
      </c>
      <c r="G801" s="4" t="s">
        <v>346</v>
      </c>
      <c r="H801" t="s">
        <v>77</v>
      </c>
      <c r="I801" t="s">
        <v>352</v>
      </c>
      <c r="J801" s="3">
        <v>2010</v>
      </c>
      <c r="K801" s="3">
        <v>2018</v>
      </c>
      <c r="L801" s="6">
        <f t="shared" si="251"/>
        <v>2014</v>
      </c>
      <c r="M801" s="6">
        <f t="shared" si="252"/>
        <v>2014</v>
      </c>
      <c r="N801" s="7">
        <f t="shared" si="240"/>
        <v>0.33333333333333331</v>
      </c>
      <c r="O801" s="7">
        <f t="shared" si="241"/>
        <v>0.22222222222222221</v>
      </c>
      <c r="P801" s="7">
        <f t="shared" si="242"/>
        <v>0.1111111111111111</v>
      </c>
      <c r="Q801" s="7">
        <f t="shared" si="253"/>
        <v>0</v>
      </c>
      <c r="R801" s="10" t="str">
        <f t="shared" si="243"/>
        <v>0_Pre</v>
      </c>
      <c r="S801" s="10" t="str">
        <f t="shared" si="244"/>
        <v>0_Pre</v>
      </c>
      <c r="T801" s="10" t="str">
        <f t="shared" si="245"/>
        <v>0_Pre</v>
      </c>
      <c r="U801" s="10" t="str">
        <f t="shared" si="246"/>
        <v>1_Post</v>
      </c>
      <c r="V801" s="10" t="str">
        <f t="shared" si="254"/>
        <v>0_Pre</v>
      </c>
      <c r="W801" s="10" t="str">
        <f t="shared" si="247"/>
        <v>straddle</v>
      </c>
      <c r="X801" s="10" t="str">
        <f t="shared" si="248"/>
        <v>0_Pre</v>
      </c>
      <c r="Y801" s="10" t="str">
        <f t="shared" si="249"/>
        <v>0_Pre</v>
      </c>
      <c r="Z801" s="10" t="str">
        <f t="shared" si="250"/>
        <v>0_Pre</v>
      </c>
      <c r="AA801" s="10" t="str">
        <f t="shared" si="255"/>
        <v>1_Post</v>
      </c>
      <c r="AB801" s="10" t="str">
        <f t="shared" si="256"/>
        <v>1_Post</v>
      </c>
      <c r="AC801" s="10" t="str">
        <f t="shared" si="257"/>
        <v>0_Pre</v>
      </c>
      <c r="AD801" s="10" t="str">
        <f t="shared" si="258"/>
        <v>2_post sample median</v>
      </c>
      <c r="AE801" s="10" t="str">
        <f t="shared" si="259"/>
        <v>3_post sample third tertile</v>
      </c>
      <c r="AF801" t="s">
        <v>81</v>
      </c>
      <c r="AG801" t="s">
        <v>74</v>
      </c>
      <c r="AH801" t="s">
        <v>78</v>
      </c>
      <c r="AI801" t="s">
        <v>122</v>
      </c>
      <c r="AJ801" t="s">
        <v>122</v>
      </c>
      <c r="AK801" t="str">
        <f>VLOOKUP(MID($AR801,1,255),country_lookup!$B:$F,2,FALSE)</f>
        <v>1_US</v>
      </c>
      <c r="AL801" t="str">
        <f>VLOOKUP(MID($AR801,1,255),country_lookup!$B:$F,3,FALSE)</f>
        <v>1_developed</v>
      </c>
      <c r="AM801" t="str">
        <f>VLOOKUP(MID($AR801,1,255),country_lookup!$B:$F,4,FALSE)</f>
        <v>1_western</v>
      </c>
      <c r="AN801" t="str">
        <f>VLOOKUP(MID($AR801,1,255),country_lookup!$B:$F,5,FALSE)</f>
        <v>1_common law</v>
      </c>
      <c r="AO801" s="10" t="str">
        <f>VLOOKUP(MID($AS801,1,255),source_lookup!$B:$K,4,FALSE)</f>
        <v>0_published</v>
      </c>
      <c r="AP801" s="10" t="str">
        <f>VLOOKUP(MID($AS801,1,255),source_lookup!$B:$K,6,FALSE)</f>
        <v>1_VHB high</v>
      </c>
      <c r="AQ801" s="10" t="str">
        <f>VLOOKUP(MID($AS801,1,255),source_lookup!$B:$K,10,FALSE)</f>
        <v>1_fin/acc/econ</v>
      </c>
      <c r="AR801" t="s">
        <v>85</v>
      </c>
      <c r="AS801" t="s">
        <v>159</v>
      </c>
    </row>
    <row r="802" spans="1:45" x14ac:dyDescent="0.3">
      <c r="A802" t="s">
        <v>35</v>
      </c>
      <c r="B802">
        <v>801</v>
      </c>
      <c r="C802" s="1">
        <v>3.9698215374297033E-2</v>
      </c>
      <c r="D802" s="2">
        <v>248</v>
      </c>
      <c r="E802" s="4">
        <v>2234</v>
      </c>
      <c r="F802" s="4" t="s">
        <v>346</v>
      </c>
      <c r="G802" s="4" t="s">
        <v>346</v>
      </c>
      <c r="H802" t="s">
        <v>77</v>
      </c>
      <c r="I802" t="s">
        <v>352</v>
      </c>
      <c r="J802" s="3">
        <v>2010</v>
      </c>
      <c r="K802" s="3">
        <v>2018</v>
      </c>
      <c r="L802" s="6">
        <f t="shared" si="251"/>
        <v>2014</v>
      </c>
      <c r="M802" s="6">
        <f t="shared" si="252"/>
        <v>2014</v>
      </c>
      <c r="N802" s="7">
        <f t="shared" si="240"/>
        <v>0.33333333333333331</v>
      </c>
      <c r="O802" s="7">
        <f t="shared" si="241"/>
        <v>0.22222222222222221</v>
      </c>
      <c r="P802" s="7">
        <f t="shared" si="242"/>
        <v>0.1111111111111111</v>
      </c>
      <c r="Q802" s="7">
        <f t="shared" si="253"/>
        <v>0</v>
      </c>
      <c r="R802" s="10" t="str">
        <f t="shared" si="243"/>
        <v>0_Pre</v>
      </c>
      <c r="S802" s="10" t="str">
        <f t="shared" si="244"/>
        <v>0_Pre</v>
      </c>
      <c r="T802" s="10" t="str">
        <f t="shared" si="245"/>
        <v>0_Pre</v>
      </c>
      <c r="U802" s="10" t="str">
        <f t="shared" si="246"/>
        <v>1_Post</v>
      </c>
      <c r="V802" s="10" t="str">
        <f t="shared" si="254"/>
        <v>0_Pre</v>
      </c>
      <c r="W802" s="10" t="str">
        <f t="shared" si="247"/>
        <v>straddle</v>
      </c>
      <c r="X802" s="10" t="str">
        <f t="shared" si="248"/>
        <v>0_Pre</v>
      </c>
      <c r="Y802" s="10" t="str">
        <f t="shared" si="249"/>
        <v>0_Pre</v>
      </c>
      <c r="Z802" s="10" t="str">
        <f t="shared" si="250"/>
        <v>0_Pre</v>
      </c>
      <c r="AA802" s="10" t="str">
        <f t="shared" si="255"/>
        <v>1_Post</v>
      </c>
      <c r="AB802" s="10" t="str">
        <f t="shared" si="256"/>
        <v>1_Post</v>
      </c>
      <c r="AC802" s="10" t="str">
        <f t="shared" si="257"/>
        <v>0_Pre</v>
      </c>
      <c r="AD802" s="10" t="str">
        <f t="shared" si="258"/>
        <v>2_post sample median</v>
      </c>
      <c r="AE802" s="10" t="str">
        <f t="shared" si="259"/>
        <v>3_post sample third tertile</v>
      </c>
      <c r="AF802" t="s">
        <v>81</v>
      </c>
      <c r="AG802" t="s">
        <v>74</v>
      </c>
      <c r="AH802" t="s">
        <v>78</v>
      </c>
      <c r="AI802" t="s">
        <v>122</v>
      </c>
      <c r="AJ802" t="s">
        <v>122</v>
      </c>
      <c r="AK802" t="str">
        <f>VLOOKUP(MID($AR802,1,255),country_lookup!$B:$F,2,FALSE)</f>
        <v>1_US</v>
      </c>
      <c r="AL802" t="str">
        <f>VLOOKUP(MID($AR802,1,255),country_lookup!$B:$F,3,FALSE)</f>
        <v>1_developed</v>
      </c>
      <c r="AM802" t="str">
        <f>VLOOKUP(MID($AR802,1,255),country_lookup!$B:$F,4,FALSE)</f>
        <v>1_western</v>
      </c>
      <c r="AN802" t="str">
        <f>VLOOKUP(MID($AR802,1,255),country_lookup!$B:$F,5,FALSE)</f>
        <v>1_common law</v>
      </c>
      <c r="AO802" s="10" t="str">
        <f>VLOOKUP(MID($AS802,1,255),source_lookup!$B:$K,4,FALSE)</f>
        <v>0_published</v>
      </c>
      <c r="AP802" s="10" t="str">
        <f>VLOOKUP(MID($AS802,1,255),source_lookup!$B:$K,6,FALSE)</f>
        <v>1_VHB high</v>
      </c>
      <c r="AQ802" s="10" t="str">
        <f>VLOOKUP(MID($AS802,1,255),source_lookup!$B:$K,10,FALSE)</f>
        <v>1_fin/acc/econ</v>
      </c>
      <c r="AR802" t="s">
        <v>85</v>
      </c>
      <c r="AS802" t="s">
        <v>159</v>
      </c>
    </row>
    <row r="803" spans="1:45" x14ac:dyDescent="0.3">
      <c r="A803" t="s">
        <v>35</v>
      </c>
      <c r="B803">
        <v>802</v>
      </c>
      <c r="C803" s="1">
        <v>7.7482951189802902E-6</v>
      </c>
      <c r="D803" s="2">
        <v>248</v>
      </c>
      <c r="E803" s="4">
        <v>2234</v>
      </c>
      <c r="F803" s="4" t="s">
        <v>346</v>
      </c>
      <c r="G803" s="4" t="s">
        <v>346</v>
      </c>
      <c r="H803" t="s">
        <v>77</v>
      </c>
      <c r="I803" t="s">
        <v>352</v>
      </c>
      <c r="J803" s="3">
        <v>2010</v>
      </c>
      <c r="K803" s="3">
        <v>2018</v>
      </c>
      <c r="L803" s="6">
        <f t="shared" si="251"/>
        <v>2014</v>
      </c>
      <c r="M803" s="6">
        <f t="shared" si="252"/>
        <v>2014</v>
      </c>
      <c r="N803" s="7">
        <f t="shared" si="240"/>
        <v>0.33333333333333331</v>
      </c>
      <c r="O803" s="7">
        <f t="shared" si="241"/>
        <v>0.22222222222222221</v>
      </c>
      <c r="P803" s="7">
        <f t="shared" si="242"/>
        <v>0.1111111111111111</v>
      </c>
      <c r="Q803" s="7">
        <f t="shared" si="253"/>
        <v>0</v>
      </c>
      <c r="R803" s="10" t="str">
        <f t="shared" si="243"/>
        <v>0_Pre</v>
      </c>
      <c r="S803" s="10" t="str">
        <f t="shared" si="244"/>
        <v>0_Pre</v>
      </c>
      <c r="T803" s="10" t="str">
        <f t="shared" si="245"/>
        <v>0_Pre</v>
      </c>
      <c r="U803" s="10" t="str">
        <f t="shared" si="246"/>
        <v>1_Post</v>
      </c>
      <c r="V803" s="10" t="str">
        <f t="shared" si="254"/>
        <v>0_Pre</v>
      </c>
      <c r="W803" s="10" t="str">
        <f t="shared" si="247"/>
        <v>straddle</v>
      </c>
      <c r="X803" s="10" t="str">
        <f t="shared" si="248"/>
        <v>0_Pre</v>
      </c>
      <c r="Y803" s="10" t="str">
        <f t="shared" si="249"/>
        <v>0_Pre</v>
      </c>
      <c r="Z803" s="10" t="str">
        <f t="shared" si="250"/>
        <v>0_Pre</v>
      </c>
      <c r="AA803" s="10" t="str">
        <f t="shared" si="255"/>
        <v>1_Post</v>
      </c>
      <c r="AB803" s="10" t="str">
        <f t="shared" si="256"/>
        <v>1_Post</v>
      </c>
      <c r="AC803" s="10" t="str">
        <f t="shared" si="257"/>
        <v>0_Pre</v>
      </c>
      <c r="AD803" s="10" t="str">
        <f t="shared" si="258"/>
        <v>2_post sample median</v>
      </c>
      <c r="AE803" s="10" t="str">
        <f t="shared" si="259"/>
        <v>3_post sample third tertile</v>
      </c>
      <c r="AF803" t="s">
        <v>81</v>
      </c>
      <c r="AG803" t="s">
        <v>74</v>
      </c>
      <c r="AH803" t="s">
        <v>78</v>
      </c>
      <c r="AI803" t="s">
        <v>122</v>
      </c>
      <c r="AJ803" t="s">
        <v>122</v>
      </c>
      <c r="AK803" t="str">
        <f>VLOOKUP(MID($AR803,1,255),country_lookup!$B:$F,2,FALSE)</f>
        <v>1_US</v>
      </c>
      <c r="AL803" t="str">
        <f>VLOOKUP(MID($AR803,1,255),country_lookup!$B:$F,3,FALSE)</f>
        <v>1_developed</v>
      </c>
      <c r="AM803" t="str">
        <f>VLOOKUP(MID($AR803,1,255),country_lookup!$B:$F,4,FALSE)</f>
        <v>1_western</v>
      </c>
      <c r="AN803" t="str">
        <f>VLOOKUP(MID($AR803,1,255),country_lookup!$B:$F,5,FALSE)</f>
        <v>1_common law</v>
      </c>
      <c r="AO803" s="10" t="str">
        <f>VLOOKUP(MID($AS803,1,255),source_lookup!$B:$K,4,FALSE)</f>
        <v>0_published</v>
      </c>
      <c r="AP803" s="10" t="str">
        <f>VLOOKUP(MID($AS803,1,255),source_lookup!$B:$K,6,FALSE)</f>
        <v>1_VHB high</v>
      </c>
      <c r="AQ803" s="10" t="str">
        <f>VLOOKUP(MID($AS803,1,255),source_lookup!$B:$K,10,FALSE)</f>
        <v>1_fin/acc/econ</v>
      </c>
      <c r="AR803" t="s">
        <v>85</v>
      </c>
      <c r="AS803" t="s">
        <v>159</v>
      </c>
    </row>
    <row r="804" spans="1:45" x14ac:dyDescent="0.3">
      <c r="A804" t="s">
        <v>35</v>
      </c>
      <c r="B804">
        <v>803</v>
      </c>
      <c r="C804" s="1">
        <v>1.2880500874715461E-2</v>
      </c>
      <c r="D804" s="2">
        <v>115</v>
      </c>
      <c r="E804" s="4">
        <v>1035</v>
      </c>
      <c r="F804" s="4" t="s">
        <v>346</v>
      </c>
      <c r="G804" s="4" t="s">
        <v>346</v>
      </c>
      <c r="H804" t="s">
        <v>77</v>
      </c>
      <c r="I804" t="s">
        <v>352</v>
      </c>
      <c r="J804" s="3">
        <v>2010</v>
      </c>
      <c r="K804" s="3">
        <v>2018</v>
      </c>
      <c r="L804" s="6">
        <f t="shared" si="251"/>
        <v>2014</v>
      </c>
      <c r="M804" s="6">
        <f t="shared" si="252"/>
        <v>2014</v>
      </c>
      <c r="N804" s="7">
        <f t="shared" si="240"/>
        <v>0.33333333333333331</v>
      </c>
      <c r="O804" s="7">
        <f t="shared" si="241"/>
        <v>0.22222222222222221</v>
      </c>
      <c r="P804" s="7">
        <f t="shared" si="242"/>
        <v>0.1111111111111111</v>
      </c>
      <c r="Q804" s="7">
        <f t="shared" si="253"/>
        <v>0</v>
      </c>
      <c r="R804" s="10" t="str">
        <f t="shared" si="243"/>
        <v>0_Pre</v>
      </c>
      <c r="S804" s="10" t="str">
        <f t="shared" si="244"/>
        <v>0_Pre</v>
      </c>
      <c r="T804" s="10" t="str">
        <f t="shared" si="245"/>
        <v>0_Pre</v>
      </c>
      <c r="U804" s="10" t="str">
        <f t="shared" si="246"/>
        <v>1_Post</v>
      </c>
      <c r="V804" s="10" t="str">
        <f t="shared" si="254"/>
        <v>0_Pre</v>
      </c>
      <c r="W804" s="10" t="str">
        <f t="shared" si="247"/>
        <v>straddle</v>
      </c>
      <c r="X804" s="10" t="str">
        <f t="shared" si="248"/>
        <v>0_Pre</v>
      </c>
      <c r="Y804" s="10" t="str">
        <f t="shared" si="249"/>
        <v>0_Pre</v>
      </c>
      <c r="Z804" s="10" t="str">
        <f t="shared" si="250"/>
        <v>0_Pre</v>
      </c>
      <c r="AA804" s="10" t="str">
        <f t="shared" si="255"/>
        <v>1_Post</v>
      </c>
      <c r="AB804" s="10" t="str">
        <f t="shared" si="256"/>
        <v>1_Post</v>
      </c>
      <c r="AC804" s="10" t="str">
        <f t="shared" si="257"/>
        <v>0_Pre</v>
      </c>
      <c r="AD804" s="10" t="str">
        <f t="shared" si="258"/>
        <v>2_post sample median</v>
      </c>
      <c r="AE804" s="10" t="str">
        <f t="shared" si="259"/>
        <v>3_post sample third tertile</v>
      </c>
      <c r="AF804" t="s">
        <v>81</v>
      </c>
      <c r="AG804" t="s">
        <v>74</v>
      </c>
      <c r="AH804" t="s">
        <v>78</v>
      </c>
      <c r="AI804" t="s">
        <v>122</v>
      </c>
      <c r="AJ804" t="s">
        <v>122</v>
      </c>
      <c r="AK804" t="str">
        <f>VLOOKUP(MID($AR804,1,255),country_lookup!$B:$F,2,FALSE)</f>
        <v>1_US</v>
      </c>
      <c r="AL804" t="str">
        <f>VLOOKUP(MID($AR804,1,255),country_lookup!$B:$F,3,FALSE)</f>
        <v>1_developed</v>
      </c>
      <c r="AM804" t="str">
        <f>VLOOKUP(MID($AR804,1,255),country_lookup!$B:$F,4,FALSE)</f>
        <v>1_western</v>
      </c>
      <c r="AN804" t="str">
        <f>VLOOKUP(MID($AR804,1,255),country_lookup!$B:$F,5,FALSE)</f>
        <v>1_common law</v>
      </c>
      <c r="AO804" s="10" t="str">
        <f>VLOOKUP(MID($AS804,1,255),source_lookup!$B:$K,4,FALSE)</f>
        <v>0_published</v>
      </c>
      <c r="AP804" s="10" t="str">
        <f>VLOOKUP(MID($AS804,1,255),source_lookup!$B:$K,6,FALSE)</f>
        <v>1_VHB high</v>
      </c>
      <c r="AQ804" s="10" t="str">
        <f>VLOOKUP(MID($AS804,1,255),source_lookup!$B:$K,10,FALSE)</f>
        <v>1_fin/acc/econ</v>
      </c>
      <c r="AR804" t="s">
        <v>85</v>
      </c>
      <c r="AS804" t="s">
        <v>159</v>
      </c>
    </row>
    <row r="805" spans="1:45" x14ac:dyDescent="0.3">
      <c r="A805" t="s">
        <v>35</v>
      </c>
      <c r="B805">
        <v>804</v>
      </c>
      <c r="C805" s="1">
        <v>-9.8645429369824886E-3</v>
      </c>
      <c r="D805" s="2">
        <v>115</v>
      </c>
      <c r="E805" s="4">
        <v>1035</v>
      </c>
      <c r="F805" s="4" t="s">
        <v>346</v>
      </c>
      <c r="G805" s="4" t="s">
        <v>346</v>
      </c>
      <c r="H805" t="s">
        <v>77</v>
      </c>
      <c r="I805" t="s">
        <v>352</v>
      </c>
      <c r="J805" s="3">
        <v>2010</v>
      </c>
      <c r="K805" s="3">
        <v>2018</v>
      </c>
      <c r="L805" s="6">
        <f t="shared" si="251"/>
        <v>2014</v>
      </c>
      <c r="M805" s="6">
        <f t="shared" si="252"/>
        <v>2014</v>
      </c>
      <c r="N805" s="7">
        <f t="shared" si="240"/>
        <v>0.33333333333333331</v>
      </c>
      <c r="O805" s="7">
        <f t="shared" si="241"/>
        <v>0.22222222222222221</v>
      </c>
      <c r="P805" s="7">
        <f t="shared" si="242"/>
        <v>0.1111111111111111</v>
      </c>
      <c r="Q805" s="7">
        <f t="shared" si="253"/>
        <v>0</v>
      </c>
      <c r="R805" s="10" t="str">
        <f t="shared" si="243"/>
        <v>0_Pre</v>
      </c>
      <c r="S805" s="10" t="str">
        <f t="shared" si="244"/>
        <v>0_Pre</v>
      </c>
      <c r="T805" s="10" t="str">
        <f t="shared" si="245"/>
        <v>0_Pre</v>
      </c>
      <c r="U805" s="10" t="str">
        <f t="shared" si="246"/>
        <v>1_Post</v>
      </c>
      <c r="V805" s="10" t="str">
        <f t="shared" si="254"/>
        <v>0_Pre</v>
      </c>
      <c r="W805" s="10" t="str">
        <f t="shared" si="247"/>
        <v>straddle</v>
      </c>
      <c r="X805" s="10" t="str">
        <f t="shared" si="248"/>
        <v>0_Pre</v>
      </c>
      <c r="Y805" s="10" t="str">
        <f t="shared" si="249"/>
        <v>0_Pre</v>
      </c>
      <c r="Z805" s="10" t="str">
        <f t="shared" si="250"/>
        <v>0_Pre</v>
      </c>
      <c r="AA805" s="10" t="str">
        <f t="shared" si="255"/>
        <v>1_Post</v>
      </c>
      <c r="AB805" s="10" t="str">
        <f t="shared" si="256"/>
        <v>1_Post</v>
      </c>
      <c r="AC805" s="10" t="str">
        <f t="shared" si="257"/>
        <v>0_Pre</v>
      </c>
      <c r="AD805" s="10" t="str">
        <f t="shared" si="258"/>
        <v>2_post sample median</v>
      </c>
      <c r="AE805" s="10" t="str">
        <f t="shared" si="259"/>
        <v>3_post sample third tertile</v>
      </c>
      <c r="AF805" t="s">
        <v>81</v>
      </c>
      <c r="AG805" t="s">
        <v>74</v>
      </c>
      <c r="AH805" t="s">
        <v>78</v>
      </c>
      <c r="AI805" t="s">
        <v>122</v>
      </c>
      <c r="AJ805" t="s">
        <v>122</v>
      </c>
      <c r="AK805" t="str">
        <f>VLOOKUP(MID($AR805,1,255),country_lookup!$B:$F,2,FALSE)</f>
        <v>1_US</v>
      </c>
      <c r="AL805" t="str">
        <f>VLOOKUP(MID($AR805,1,255),country_lookup!$B:$F,3,FALSE)</f>
        <v>1_developed</v>
      </c>
      <c r="AM805" t="str">
        <f>VLOOKUP(MID($AR805,1,255),country_lookup!$B:$F,4,FALSE)</f>
        <v>1_western</v>
      </c>
      <c r="AN805" t="str">
        <f>VLOOKUP(MID($AR805,1,255),country_lookup!$B:$F,5,FALSE)</f>
        <v>1_common law</v>
      </c>
      <c r="AO805" s="10" t="str">
        <f>VLOOKUP(MID($AS805,1,255),source_lookup!$B:$K,4,FALSE)</f>
        <v>0_published</v>
      </c>
      <c r="AP805" s="10" t="str">
        <f>VLOOKUP(MID($AS805,1,255),source_lookup!$B:$K,6,FALSE)</f>
        <v>1_VHB high</v>
      </c>
      <c r="AQ805" s="10" t="str">
        <f>VLOOKUP(MID($AS805,1,255),source_lookup!$B:$K,10,FALSE)</f>
        <v>1_fin/acc/econ</v>
      </c>
      <c r="AR805" t="s">
        <v>85</v>
      </c>
      <c r="AS805" t="s">
        <v>159</v>
      </c>
    </row>
    <row r="806" spans="1:45" x14ac:dyDescent="0.3">
      <c r="A806" t="s">
        <v>35</v>
      </c>
      <c r="B806">
        <v>805</v>
      </c>
      <c r="C806" s="1">
        <v>-3.1187794944157313E-2</v>
      </c>
      <c r="D806" s="2">
        <v>115</v>
      </c>
      <c r="E806" s="4">
        <v>1035</v>
      </c>
      <c r="F806" s="4" t="s">
        <v>346</v>
      </c>
      <c r="G806" s="4" t="s">
        <v>346</v>
      </c>
      <c r="H806" t="s">
        <v>77</v>
      </c>
      <c r="I806" t="s">
        <v>352</v>
      </c>
      <c r="J806" s="3">
        <v>2010</v>
      </c>
      <c r="K806" s="3">
        <v>2018</v>
      </c>
      <c r="L806" s="6">
        <f t="shared" si="251"/>
        <v>2014</v>
      </c>
      <c r="M806" s="6">
        <f t="shared" si="252"/>
        <v>2014</v>
      </c>
      <c r="N806" s="7">
        <f t="shared" si="240"/>
        <v>0.33333333333333331</v>
      </c>
      <c r="O806" s="7">
        <f t="shared" si="241"/>
        <v>0.22222222222222221</v>
      </c>
      <c r="P806" s="7">
        <f t="shared" si="242"/>
        <v>0.1111111111111111</v>
      </c>
      <c r="Q806" s="7">
        <f t="shared" si="253"/>
        <v>0</v>
      </c>
      <c r="R806" s="10" t="str">
        <f t="shared" si="243"/>
        <v>0_Pre</v>
      </c>
      <c r="S806" s="10" t="str">
        <f t="shared" si="244"/>
        <v>0_Pre</v>
      </c>
      <c r="T806" s="10" t="str">
        <f t="shared" si="245"/>
        <v>0_Pre</v>
      </c>
      <c r="U806" s="10" t="str">
        <f t="shared" si="246"/>
        <v>1_Post</v>
      </c>
      <c r="V806" s="10" t="str">
        <f t="shared" si="254"/>
        <v>0_Pre</v>
      </c>
      <c r="W806" s="10" t="str">
        <f t="shared" si="247"/>
        <v>straddle</v>
      </c>
      <c r="X806" s="10" t="str">
        <f t="shared" si="248"/>
        <v>0_Pre</v>
      </c>
      <c r="Y806" s="10" t="str">
        <f t="shared" si="249"/>
        <v>0_Pre</v>
      </c>
      <c r="Z806" s="10" t="str">
        <f t="shared" si="250"/>
        <v>0_Pre</v>
      </c>
      <c r="AA806" s="10" t="str">
        <f t="shared" si="255"/>
        <v>1_Post</v>
      </c>
      <c r="AB806" s="10" t="str">
        <f t="shared" si="256"/>
        <v>1_Post</v>
      </c>
      <c r="AC806" s="10" t="str">
        <f t="shared" si="257"/>
        <v>0_Pre</v>
      </c>
      <c r="AD806" s="10" t="str">
        <f t="shared" si="258"/>
        <v>2_post sample median</v>
      </c>
      <c r="AE806" s="10" t="str">
        <f t="shared" si="259"/>
        <v>3_post sample third tertile</v>
      </c>
      <c r="AF806" t="s">
        <v>81</v>
      </c>
      <c r="AG806" t="s">
        <v>74</v>
      </c>
      <c r="AH806" t="s">
        <v>78</v>
      </c>
      <c r="AI806" t="s">
        <v>122</v>
      </c>
      <c r="AJ806" t="s">
        <v>122</v>
      </c>
      <c r="AK806" t="str">
        <f>VLOOKUP(MID($AR806,1,255),country_lookup!$B:$F,2,FALSE)</f>
        <v>1_US</v>
      </c>
      <c r="AL806" t="str">
        <f>VLOOKUP(MID($AR806,1,255),country_lookup!$B:$F,3,FALSE)</f>
        <v>1_developed</v>
      </c>
      <c r="AM806" t="str">
        <f>VLOOKUP(MID($AR806,1,255),country_lookup!$B:$F,4,FALSE)</f>
        <v>1_western</v>
      </c>
      <c r="AN806" t="str">
        <f>VLOOKUP(MID($AR806,1,255),country_lookup!$B:$F,5,FALSE)</f>
        <v>1_common law</v>
      </c>
      <c r="AO806" s="10" t="str">
        <f>VLOOKUP(MID($AS806,1,255),source_lookup!$B:$K,4,FALSE)</f>
        <v>0_published</v>
      </c>
      <c r="AP806" s="10" t="str">
        <f>VLOOKUP(MID($AS806,1,255),source_lookup!$B:$K,6,FALSE)</f>
        <v>1_VHB high</v>
      </c>
      <c r="AQ806" s="10" t="str">
        <f>VLOOKUP(MID($AS806,1,255),source_lookup!$B:$K,10,FALSE)</f>
        <v>1_fin/acc/econ</v>
      </c>
      <c r="AR806" t="s">
        <v>85</v>
      </c>
      <c r="AS806" t="s">
        <v>159</v>
      </c>
    </row>
    <row r="807" spans="1:45" x14ac:dyDescent="0.3">
      <c r="A807" t="s">
        <v>35</v>
      </c>
      <c r="B807">
        <v>806</v>
      </c>
      <c r="C807" s="1">
        <v>-3.411598519942699E-2</v>
      </c>
      <c r="D807" s="2">
        <v>115</v>
      </c>
      <c r="E807" s="4">
        <v>1035</v>
      </c>
      <c r="F807" s="4" t="s">
        <v>346</v>
      </c>
      <c r="G807" s="4" t="s">
        <v>346</v>
      </c>
      <c r="H807" t="s">
        <v>77</v>
      </c>
      <c r="I807" t="s">
        <v>352</v>
      </c>
      <c r="J807" s="3">
        <v>2010</v>
      </c>
      <c r="K807" s="3">
        <v>2018</v>
      </c>
      <c r="L807" s="6">
        <f t="shared" si="251"/>
        <v>2014</v>
      </c>
      <c r="M807" s="6">
        <f t="shared" si="252"/>
        <v>2014</v>
      </c>
      <c r="N807" s="7">
        <f t="shared" si="240"/>
        <v>0.33333333333333331</v>
      </c>
      <c r="O807" s="7">
        <f t="shared" si="241"/>
        <v>0.22222222222222221</v>
      </c>
      <c r="P807" s="7">
        <f t="shared" si="242"/>
        <v>0.1111111111111111</v>
      </c>
      <c r="Q807" s="7">
        <f t="shared" si="253"/>
        <v>0</v>
      </c>
      <c r="R807" s="10" t="str">
        <f t="shared" si="243"/>
        <v>0_Pre</v>
      </c>
      <c r="S807" s="10" t="str">
        <f t="shared" si="244"/>
        <v>0_Pre</v>
      </c>
      <c r="T807" s="10" t="str">
        <f t="shared" si="245"/>
        <v>0_Pre</v>
      </c>
      <c r="U807" s="10" t="str">
        <f t="shared" si="246"/>
        <v>1_Post</v>
      </c>
      <c r="V807" s="10" t="str">
        <f t="shared" si="254"/>
        <v>0_Pre</v>
      </c>
      <c r="W807" s="10" t="str">
        <f t="shared" si="247"/>
        <v>straddle</v>
      </c>
      <c r="X807" s="10" t="str">
        <f t="shared" si="248"/>
        <v>0_Pre</v>
      </c>
      <c r="Y807" s="10" t="str">
        <f t="shared" si="249"/>
        <v>0_Pre</v>
      </c>
      <c r="Z807" s="10" t="str">
        <f t="shared" si="250"/>
        <v>0_Pre</v>
      </c>
      <c r="AA807" s="10" t="str">
        <f t="shared" si="255"/>
        <v>1_Post</v>
      </c>
      <c r="AB807" s="10" t="str">
        <f t="shared" si="256"/>
        <v>1_Post</v>
      </c>
      <c r="AC807" s="10" t="str">
        <f t="shared" si="257"/>
        <v>0_Pre</v>
      </c>
      <c r="AD807" s="10" t="str">
        <f t="shared" si="258"/>
        <v>2_post sample median</v>
      </c>
      <c r="AE807" s="10" t="str">
        <f t="shared" si="259"/>
        <v>3_post sample third tertile</v>
      </c>
      <c r="AF807" t="s">
        <v>81</v>
      </c>
      <c r="AG807" t="s">
        <v>74</v>
      </c>
      <c r="AH807" t="s">
        <v>78</v>
      </c>
      <c r="AI807" t="s">
        <v>122</v>
      </c>
      <c r="AJ807" t="s">
        <v>122</v>
      </c>
      <c r="AK807" t="str">
        <f>VLOOKUP(MID($AR807,1,255),country_lookup!$B:$F,2,FALSE)</f>
        <v>1_US</v>
      </c>
      <c r="AL807" t="str">
        <f>VLOOKUP(MID($AR807,1,255),country_lookup!$B:$F,3,FALSE)</f>
        <v>1_developed</v>
      </c>
      <c r="AM807" t="str">
        <f>VLOOKUP(MID($AR807,1,255),country_lookup!$B:$F,4,FALSE)</f>
        <v>1_western</v>
      </c>
      <c r="AN807" t="str">
        <f>VLOOKUP(MID($AR807,1,255),country_lookup!$B:$F,5,FALSE)</f>
        <v>1_common law</v>
      </c>
      <c r="AO807" s="10" t="str">
        <f>VLOOKUP(MID($AS807,1,255),source_lookup!$B:$K,4,FALSE)</f>
        <v>0_published</v>
      </c>
      <c r="AP807" s="10" t="str">
        <f>VLOOKUP(MID($AS807,1,255),source_lookup!$B:$K,6,FALSE)</f>
        <v>1_VHB high</v>
      </c>
      <c r="AQ807" s="10" t="str">
        <f>VLOOKUP(MID($AS807,1,255),source_lookup!$B:$K,10,FALSE)</f>
        <v>1_fin/acc/econ</v>
      </c>
      <c r="AR807" t="s">
        <v>85</v>
      </c>
      <c r="AS807" t="s">
        <v>159</v>
      </c>
    </row>
    <row r="808" spans="1:45" x14ac:dyDescent="0.3">
      <c r="A808" t="s">
        <v>35</v>
      </c>
      <c r="B808">
        <v>807</v>
      </c>
      <c r="C808" s="1">
        <v>2.0941085447952906E-2</v>
      </c>
      <c r="D808" s="2">
        <v>363</v>
      </c>
      <c r="E808" s="4">
        <v>3269</v>
      </c>
      <c r="F808" s="4" t="s">
        <v>346</v>
      </c>
      <c r="G808" s="4" t="s">
        <v>346</v>
      </c>
      <c r="H808" t="s">
        <v>77</v>
      </c>
      <c r="I808" t="s">
        <v>352</v>
      </c>
      <c r="J808" s="3">
        <v>2010</v>
      </c>
      <c r="K808" s="3">
        <v>2018</v>
      </c>
      <c r="L808" s="6">
        <f t="shared" si="251"/>
        <v>2014</v>
      </c>
      <c r="M808" s="6">
        <f t="shared" si="252"/>
        <v>2014</v>
      </c>
      <c r="N808" s="7">
        <f t="shared" si="240"/>
        <v>0.33333333333333331</v>
      </c>
      <c r="O808" s="7">
        <f t="shared" si="241"/>
        <v>0.22222222222222221</v>
      </c>
      <c r="P808" s="7">
        <f t="shared" si="242"/>
        <v>0.1111111111111111</v>
      </c>
      <c r="Q808" s="7">
        <f t="shared" si="253"/>
        <v>0</v>
      </c>
      <c r="R808" s="10" t="str">
        <f t="shared" si="243"/>
        <v>0_Pre</v>
      </c>
      <c r="S808" s="10" t="str">
        <f t="shared" si="244"/>
        <v>0_Pre</v>
      </c>
      <c r="T808" s="10" t="str">
        <f t="shared" si="245"/>
        <v>0_Pre</v>
      </c>
      <c r="U808" s="10" t="str">
        <f t="shared" si="246"/>
        <v>1_Post</v>
      </c>
      <c r="V808" s="10" t="str">
        <f t="shared" si="254"/>
        <v>0_Pre</v>
      </c>
      <c r="W808" s="10" t="str">
        <f t="shared" si="247"/>
        <v>straddle</v>
      </c>
      <c r="X808" s="10" t="str">
        <f t="shared" si="248"/>
        <v>0_Pre</v>
      </c>
      <c r="Y808" s="10" t="str">
        <f t="shared" si="249"/>
        <v>0_Pre</v>
      </c>
      <c r="Z808" s="10" t="str">
        <f t="shared" si="250"/>
        <v>0_Pre</v>
      </c>
      <c r="AA808" s="10" t="str">
        <f t="shared" si="255"/>
        <v>1_Post</v>
      </c>
      <c r="AB808" s="10" t="str">
        <f t="shared" si="256"/>
        <v>1_Post</v>
      </c>
      <c r="AC808" s="10" t="str">
        <f t="shared" si="257"/>
        <v>0_Pre</v>
      </c>
      <c r="AD808" s="10" t="str">
        <f t="shared" si="258"/>
        <v>2_post sample median</v>
      </c>
      <c r="AE808" s="10" t="str">
        <f t="shared" si="259"/>
        <v>3_post sample third tertile</v>
      </c>
      <c r="AF808" t="s">
        <v>81</v>
      </c>
      <c r="AG808" t="s">
        <v>74</v>
      </c>
      <c r="AH808" t="s">
        <v>78</v>
      </c>
      <c r="AI808" t="s">
        <v>122</v>
      </c>
      <c r="AJ808" t="s">
        <v>122</v>
      </c>
      <c r="AK808" t="str">
        <f>VLOOKUP(MID($AR808,1,255),country_lookup!$B:$F,2,FALSE)</f>
        <v>1_US</v>
      </c>
      <c r="AL808" t="str">
        <f>VLOOKUP(MID($AR808,1,255),country_lookup!$B:$F,3,FALSE)</f>
        <v>1_developed</v>
      </c>
      <c r="AM808" t="str">
        <f>VLOOKUP(MID($AR808,1,255),country_lookup!$B:$F,4,FALSE)</f>
        <v>1_western</v>
      </c>
      <c r="AN808" t="str">
        <f>VLOOKUP(MID($AR808,1,255),country_lookup!$B:$F,5,FALSE)</f>
        <v>1_common law</v>
      </c>
      <c r="AO808" s="10" t="str">
        <f>VLOOKUP(MID($AS808,1,255),source_lookup!$B:$K,4,FALSE)</f>
        <v>0_published</v>
      </c>
      <c r="AP808" s="10" t="str">
        <f>VLOOKUP(MID($AS808,1,255),source_lookup!$B:$K,6,FALSE)</f>
        <v>1_VHB high</v>
      </c>
      <c r="AQ808" s="10" t="str">
        <f>VLOOKUP(MID($AS808,1,255),source_lookup!$B:$K,10,FALSE)</f>
        <v>1_fin/acc/econ</v>
      </c>
      <c r="AR808" t="s">
        <v>85</v>
      </c>
      <c r="AS808" t="s">
        <v>159</v>
      </c>
    </row>
    <row r="809" spans="1:45" x14ac:dyDescent="0.3">
      <c r="A809" t="s">
        <v>35</v>
      </c>
      <c r="B809">
        <v>808</v>
      </c>
      <c r="C809" s="1">
        <v>-5.4905990432100003E-3</v>
      </c>
      <c r="D809" s="2">
        <v>363</v>
      </c>
      <c r="E809" s="4">
        <v>3269</v>
      </c>
      <c r="F809" s="4" t="s">
        <v>346</v>
      </c>
      <c r="G809" s="4" t="s">
        <v>346</v>
      </c>
      <c r="H809" t="s">
        <v>77</v>
      </c>
      <c r="I809" t="s">
        <v>352</v>
      </c>
      <c r="J809" s="3">
        <v>2010</v>
      </c>
      <c r="K809" s="3">
        <v>2018</v>
      </c>
      <c r="L809" s="6">
        <f t="shared" si="251"/>
        <v>2014</v>
      </c>
      <c r="M809" s="6">
        <f t="shared" si="252"/>
        <v>2014</v>
      </c>
      <c r="N809" s="7">
        <f t="shared" si="240"/>
        <v>0.33333333333333331</v>
      </c>
      <c r="O809" s="7">
        <f t="shared" si="241"/>
        <v>0.22222222222222221</v>
      </c>
      <c r="P809" s="7">
        <f t="shared" si="242"/>
        <v>0.1111111111111111</v>
      </c>
      <c r="Q809" s="7">
        <f t="shared" si="253"/>
        <v>0</v>
      </c>
      <c r="R809" s="10" t="str">
        <f t="shared" si="243"/>
        <v>0_Pre</v>
      </c>
      <c r="S809" s="10" t="str">
        <f t="shared" si="244"/>
        <v>0_Pre</v>
      </c>
      <c r="T809" s="10" t="str">
        <f t="shared" si="245"/>
        <v>0_Pre</v>
      </c>
      <c r="U809" s="10" t="str">
        <f t="shared" si="246"/>
        <v>1_Post</v>
      </c>
      <c r="V809" s="10" t="str">
        <f t="shared" si="254"/>
        <v>0_Pre</v>
      </c>
      <c r="W809" s="10" t="str">
        <f t="shared" si="247"/>
        <v>straddle</v>
      </c>
      <c r="X809" s="10" t="str">
        <f t="shared" si="248"/>
        <v>0_Pre</v>
      </c>
      <c r="Y809" s="10" t="str">
        <f t="shared" si="249"/>
        <v>0_Pre</v>
      </c>
      <c r="Z809" s="10" t="str">
        <f t="shared" si="250"/>
        <v>0_Pre</v>
      </c>
      <c r="AA809" s="10" t="str">
        <f t="shared" si="255"/>
        <v>1_Post</v>
      </c>
      <c r="AB809" s="10" t="str">
        <f t="shared" si="256"/>
        <v>1_Post</v>
      </c>
      <c r="AC809" s="10" t="str">
        <f t="shared" si="257"/>
        <v>0_Pre</v>
      </c>
      <c r="AD809" s="10" t="str">
        <f t="shared" si="258"/>
        <v>2_post sample median</v>
      </c>
      <c r="AE809" s="10" t="str">
        <f t="shared" si="259"/>
        <v>3_post sample third tertile</v>
      </c>
      <c r="AF809" t="s">
        <v>81</v>
      </c>
      <c r="AG809" t="s">
        <v>74</v>
      </c>
      <c r="AH809" t="s">
        <v>78</v>
      </c>
      <c r="AI809" t="s">
        <v>122</v>
      </c>
      <c r="AJ809" t="s">
        <v>122</v>
      </c>
      <c r="AK809" t="str">
        <f>VLOOKUP(MID($AR809,1,255),country_lookup!$B:$F,2,FALSE)</f>
        <v>1_US</v>
      </c>
      <c r="AL809" t="str">
        <f>VLOOKUP(MID($AR809,1,255),country_lookup!$B:$F,3,FALSE)</f>
        <v>1_developed</v>
      </c>
      <c r="AM809" t="str">
        <f>VLOOKUP(MID($AR809,1,255),country_lookup!$B:$F,4,FALSE)</f>
        <v>1_western</v>
      </c>
      <c r="AN809" t="str">
        <f>VLOOKUP(MID($AR809,1,255),country_lookup!$B:$F,5,FALSE)</f>
        <v>1_common law</v>
      </c>
      <c r="AO809" s="10" t="str">
        <f>VLOOKUP(MID($AS809,1,255),source_lookup!$B:$K,4,FALSE)</f>
        <v>0_published</v>
      </c>
      <c r="AP809" s="10" t="str">
        <f>VLOOKUP(MID($AS809,1,255),source_lookup!$B:$K,6,FALSE)</f>
        <v>1_VHB high</v>
      </c>
      <c r="AQ809" s="10" t="str">
        <f>VLOOKUP(MID($AS809,1,255),source_lookup!$B:$K,10,FALSE)</f>
        <v>1_fin/acc/econ</v>
      </c>
      <c r="AR809" t="s">
        <v>85</v>
      </c>
      <c r="AS809" t="s">
        <v>159</v>
      </c>
    </row>
    <row r="810" spans="1:45" x14ac:dyDescent="0.3">
      <c r="A810" t="s">
        <v>35</v>
      </c>
      <c r="B810">
        <v>809</v>
      </c>
      <c r="C810" s="1">
        <v>8.9066921343832698E-4</v>
      </c>
      <c r="D810" s="2">
        <v>363</v>
      </c>
      <c r="E810" s="4">
        <v>3269</v>
      </c>
      <c r="F810" s="4" t="s">
        <v>346</v>
      </c>
      <c r="G810" s="4" t="s">
        <v>346</v>
      </c>
      <c r="H810" t="s">
        <v>77</v>
      </c>
      <c r="I810" t="s">
        <v>352</v>
      </c>
      <c r="J810" s="3">
        <v>2010</v>
      </c>
      <c r="K810" s="3">
        <v>2018</v>
      </c>
      <c r="L810" s="6">
        <f t="shared" si="251"/>
        <v>2014</v>
      </c>
      <c r="M810" s="6">
        <f t="shared" si="252"/>
        <v>2014</v>
      </c>
      <c r="N810" s="7">
        <f t="shared" si="240"/>
        <v>0.33333333333333331</v>
      </c>
      <c r="O810" s="7">
        <f t="shared" si="241"/>
        <v>0.22222222222222221</v>
      </c>
      <c r="P810" s="7">
        <f t="shared" si="242"/>
        <v>0.1111111111111111</v>
      </c>
      <c r="Q810" s="7">
        <f t="shared" si="253"/>
        <v>0</v>
      </c>
      <c r="R810" s="10" t="str">
        <f t="shared" si="243"/>
        <v>0_Pre</v>
      </c>
      <c r="S810" s="10" t="str">
        <f t="shared" si="244"/>
        <v>0_Pre</v>
      </c>
      <c r="T810" s="10" t="str">
        <f t="shared" si="245"/>
        <v>0_Pre</v>
      </c>
      <c r="U810" s="10" t="str">
        <f t="shared" si="246"/>
        <v>1_Post</v>
      </c>
      <c r="V810" s="10" t="str">
        <f t="shared" si="254"/>
        <v>0_Pre</v>
      </c>
      <c r="W810" s="10" t="str">
        <f t="shared" si="247"/>
        <v>straddle</v>
      </c>
      <c r="X810" s="10" t="str">
        <f t="shared" si="248"/>
        <v>0_Pre</v>
      </c>
      <c r="Y810" s="10" t="str">
        <f t="shared" si="249"/>
        <v>0_Pre</v>
      </c>
      <c r="Z810" s="10" t="str">
        <f t="shared" si="250"/>
        <v>0_Pre</v>
      </c>
      <c r="AA810" s="10" t="str">
        <f t="shared" si="255"/>
        <v>1_Post</v>
      </c>
      <c r="AB810" s="10" t="str">
        <f t="shared" si="256"/>
        <v>1_Post</v>
      </c>
      <c r="AC810" s="10" t="str">
        <f t="shared" si="257"/>
        <v>0_Pre</v>
      </c>
      <c r="AD810" s="10" t="str">
        <f t="shared" si="258"/>
        <v>2_post sample median</v>
      </c>
      <c r="AE810" s="10" t="str">
        <f t="shared" si="259"/>
        <v>3_post sample third tertile</v>
      </c>
      <c r="AF810" t="s">
        <v>81</v>
      </c>
      <c r="AG810" t="s">
        <v>74</v>
      </c>
      <c r="AH810" t="s">
        <v>78</v>
      </c>
      <c r="AI810" t="s">
        <v>122</v>
      </c>
      <c r="AJ810" t="s">
        <v>122</v>
      </c>
      <c r="AK810" t="str">
        <f>VLOOKUP(MID($AR810,1,255),country_lookup!$B:$F,2,FALSE)</f>
        <v>1_US</v>
      </c>
      <c r="AL810" t="str">
        <f>VLOOKUP(MID($AR810,1,255),country_lookup!$B:$F,3,FALSE)</f>
        <v>1_developed</v>
      </c>
      <c r="AM810" t="str">
        <f>VLOOKUP(MID($AR810,1,255),country_lookup!$B:$F,4,FALSE)</f>
        <v>1_western</v>
      </c>
      <c r="AN810" t="str">
        <f>VLOOKUP(MID($AR810,1,255),country_lookup!$B:$F,5,FALSE)</f>
        <v>1_common law</v>
      </c>
      <c r="AO810" s="10" t="str">
        <f>VLOOKUP(MID($AS810,1,255),source_lookup!$B:$K,4,FALSE)</f>
        <v>0_published</v>
      </c>
      <c r="AP810" s="10" t="str">
        <f>VLOOKUP(MID($AS810,1,255),source_lookup!$B:$K,6,FALSE)</f>
        <v>1_VHB high</v>
      </c>
      <c r="AQ810" s="10" t="str">
        <f>VLOOKUP(MID($AS810,1,255),source_lookup!$B:$K,10,FALSE)</f>
        <v>1_fin/acc/econ</v>
      </c>
      <c r="AR810" t="s">
        <v>85</v>
      </c>
      <c r="AS810" t="s">
        <v>159</v>
      </c>
    </row>
    <row r="811" spans="1:45" x14ac:dyDescent="0.3">
      <c r="A811" t="s">
        <v>35</v>
      </c>
      <c r="B811">
        <v>810</v>
      </c>
      <c r="C811" s="1">
        <v>-1.9668225969390524E-2</v>
      </c>
      <c r="D811" s="2">
        <v>363</v>
      </c>
      <c r="E811" s="4">
        <v>3269</v>
      </c>
      <c r="F811" s="4" t="s">
        <v>346</v>
      </c>
      <c r="G811" s="4" t="s">
        <v>346</v>
      </c>
      <c r="H811" t="s">
        <v>77</v>
      </c>
      <c r="I811" t="s">
        <v>352</v>
      </c>
      <c r="J811" s="3">
        <v>2010</v>
      </c>
      <c r="K811" s="3">
        <v>2018</v>
      </c>
      <c r="L811" s="6">
        <f t="shared" si="251"/>
        <v>2014</v>
      </c>
      <c r="M811" s="6">
        <f t="shared" si="252"/>
        <v>2014</v>
      </c>
      <c r="N811" s="7">
        <f t="shared" si="240"/>
        <v>0.33333333333333331</v>
      </c>
      <c r="O811" s="7">
        <f t="shared" si="241"/>
        <v>0.22222222222222221</v>
      </c>
      <c r="P811" s="7">
        <f t="shared" si="242"/>
        <v>0.1111111111111111</v>
      </c>
      <c r="Q811" s="7">
        <f t="shared" si="253"/>
        <v>0</v>
      </c>
      <c r="R811" s="10" t="str">
        <f t="shared" si="243"/>
        <v>0_Pre</v>
      </c>
      <c r="S811" s="10" t="str">
        <f t="shared" si="244"/>
        <v>0_Pre</v>
      </c>
      <c r="T811" s="10" t="str">
        <f t="shared" si="245"/>
        <v>0_Pre</v>
      </c>
      <c r="U811" s="10" t="str">
        <f t="shared" si="246"/>
        <v>1_Post</v>
      </c>
      <c r="V811" s="10" t="str">
        <f t="shared" si="254"/>
        <v>0_Pre</v>
      </c>
      <c r="W811" s="10" t="str">
        <f t="shared" si="247"/>
        <v>straddle</v>
      </c>
      <c r="X811" s="10" t="str">
        <f t="shared" si="248"/>
        <v>0_Pre</v>
      </c>
      <c r="Y811" s="10" t="str">
        <f t="shared" si="249"/>
        <v>0_Pre</v>
      </c>
      <c r="Z811" s="10" t="str">
        <f t="shared" si="250"/>
        <v>0_Pre</v>
      </c>
      <c r="AA811" s="10" t="str">
        <f t="shared" si="255"/>
        <v>1_Post</v>
      </c>
      <c r="AB811" s="10" t="str">
        <f t="shared" si="256"/>
        <v>1_Post</v>
      </c>
      <c r="AC811" s="10" t="str">
        <f t="shared" si="257"/>
        <v>0_Pre</v>
      </c>
      <c r="AD811" s="10" t="str">
        <f t="shared" si="258"/>
        <v>2_post sample median</v>
      </c>
      <c r="AE811" s="10" t="str">
        <f t="shared" si="259"/>
        <v>3_post sample third tertile</v>
      </c>
      <c r="AF811" t="s">
        <v>81</v>
      </c>
      <c r="AG811" t="s">
        <v>74</v>
      </c>
      <c r="AH811" t="s">
        <v>78</v>
      </c>
      <c r="AI811" t="s">
        <v>122</v>
      </c>
      <c r="AJ811" t="s">
        <v>122</v>
      </c>
      <c r="AK811" t="str">
        <f>VLOOKUP(MID($AR811,1,255),country_lookup!$B:$F,2,FALSE)</f>
        <v>1_US</v>
      </c>
      <c r="AL811" t="str">
        <f>VLOOKUP(MID($AR811,1,255),country_lookup!$B:$F,3,FALSE)</f>
        <v>1_developed</v>
      </c>
      <c r="AM811" t="str">
        <f>VLOOKUP(MID($AR811,1,255),country_lookup!$B:$F,4,FALSE)</f>
        <v>1_western</v>
      </c>
      <c r="AN811" t="str">
        <f>VLOOKUP(MID($AR811,1,255),country_lookup!$B:$F,5,FALSE)</f>
        <v>1_common law</v>
      </c>
      <c r="AO811" s="10" t="str">
        <f>VLOOKUP(MID($AS811,1,255),source_lookup!$B:$K,4,FALSE)</f>
        <v>0_published</v>
      </c>
      <c r="AP811" s="10" t="str">
        <f>VLOOKUP(MID($AS811,1,255),source_lookup!$B:$K,6,FALSE)</f>
        <v>1_VHB high</v>
      </c>
      <c r="AQ811" s="10" t="str">
        <f>VLOOKUP(MID($AS811,1,255),source_lookup!$B:$K,10,FALSE)</f>
        <v>1_fin/acc/econ</v>
      </c>
      <c r="AR811" t="s">
        <v>85</v>
      </c>
      <c r="AS811" t="s">
        <v>159</v>
      </c>
    </row>
    <row r="812" spans="1:45" x14ac:dyDescent="0.3">
      <c r="A812" t="s">
        <v>35</v>
      </c>
      <c r="B812">
        <v>811</v>
      </c>
      <c r="C812" s="1">
        <v>1.1966024346706612E-2</v>
      </c>
      <c r="D812" s="2">
        <v>363</v>
      </c>
      <c r="E812" s="4">
        <v>3269</v>
      </c>
      <c r="F812" s="4" t="s">
        <v>346</v>
      </c>
      <c r="G812" s="4" t="s">
        <v>346</v>
      </c>
      <c r="H812" t="s">
        <v>77</v>
      </c>
      <c r="I812" t="s">
        <v>352</v>
      </c>
      <c r="J812" s="3">
        <v>2010</v>
      </c>
      <c r="K812" s="3">
        <v>2018</v>
      </c>
      <c r="L812" s="6">
        <f t="shared" si="251"/>
        <v>2014</v>
      </c>
      <c r="M812" s="6">
        <f t="shared" si="252"/>
        <v>2014</v>
      </c>
      <c r="N812" s="7">
        <f t="shared" si="240"/>
        <v>0.33333333333333331</v>
      </c>
      <c r="O812" s="7">
        <f t="shared" si="241"/>
        <v>0.22222222222222221</v>
      </c>
      <c r="P812" s="7">
        <f t="shared" si="242"/>
        <v>0.1111111111111111</v>
      </c>
      <c r="Q812" s="7">
        <f t="shared" si="253"/>
        <v>0</v>
      </c>
      <c r="R812" s="10" t="str">
        <f t="shared" si="243"/>
        <v>0_Pre</v>
      </c>
      <c r="S812" s="10" t="str">
        <f t="shared" si="244"/>
        <v>0_Pre</v>
      </c>
      <c r="T812" s="10" t="str">
        <f t="shared" si="245"/>
        <v>0_Pre</v>
      </c>
      <c r="U812" s="10" t="str">
        <f t="shared" si="246"/>
        <v>1_Post</v>
      </c>
      <c r="V812" s="10" t="str">
        <f t="shared" si="254"/>
        <v>0_Pre</v>
      </c>
      <c r="W812" s="10" t="str">
        <f t="shared" si="247"/>
        <v>straddle</v>
      </c>
      <c r="X812" s="10" t="str">
        <f t="shared" si="248"/>
        <v>0_Pre</v>
      </c>
      <c r="Y812" s="10" t="str">
        <f t="shared" si="249"/>
        <v>0_Pre</v>
      </c>
      <c r="Z812" s="10" t="str">
        <f t="shared" si="250"/>
        <v>0_Pre</v>
      </c>
      <c r="AA812" s="10" t="str">
        <f t="shared" si="255"/>
        <v>1_Post</v>
      </c>
      <c r="AB812" s="10" t="str">
        <f t="shared" si="256"/>
        <v>1_Post</v>
      </c>
      <c r="AC812" s="10" t="str">
        <f t="shared" si="257"/>
        <v>0_Pre</v>
      </c>
      <c r="AD812" s="10" t="str">
        <f t="shared" si="258"/>
        <v>2_post sample median</v>
      </c>
      <c r="AE812" s="10" t="str">
        <f t="shared" si="259"/>
        <v>3_post sample third tertile</v>
      </c>
      <c r="AF812" t="s">
        <v>81</v>
      </c>
      <c r="AG812" t="s">
        <v>74</v>
      </c>
      <c r="AH812" t="s">
        <v>78</v>
      </c>
      <c r="AI812" t="s">
        <v>122</v>
      </c>
      <c r="AJ812" t="s">
        <v>122</v>
      </c>
      <c r="AK812" t="str">
        <f>VLOOKUP(MID($AR812,1,255),country_lookup!$B:$F,2,FALSE)</f>
        <v>1_US</v>
      </c>
      <c r="AL812" t="str">
        <f>VLOOKUP(MID($AR812,1,255),country_lookup!$B:$F,3,FALSE)</f>
        <v>1_developed</v>
      </c>
      <c r="AM812" t="str">
        <f>VLOOKUP(MID($AR812,1,255),country_lookup!$B:$F,4,FALSE)</f>
        <v>1_western</v>
      </c>
      <c r="AN812" t="str">
        <f>VLOOKUP(MID($AR812,1,255),country_lookup!$B:$F,5,FALSE)</f>
        <v>1_common law</v>
      </c>
      <c r="AO812" s="10" t="str">
        <f>VLOOKUP(MID($AS812,1,255),source_lookup!$B:$K,4,FALSE)</f>
        <v>0_published</v>
      </c>
      <c r="AP812" s="10" t="str">
        <f>VLOOKUP(MID($AS812,1,255),source_lookup!$B:$K,6,FALSE)</f>
        <v>1_VHB high</v>
      </c>
      <c r="AQ812" s="10" t="str">
        <f>VLOOKUP(MID($AS812,1,255),source_lookup!$B:$K,10,FALSE)</f>
        <v>1_fin/acc/econ</v>
      </c>
      <c r="AR812" t="s">
        <v>85</v>
      </c>
      <c r="AS812" t="s">
        <v>159</v>
      </c>
    </row>
    <row r="813" spans="1:45" x14ac:dyDescent="0.3">
      <c r="A813" t="s">
        <v>35</v>
      </c>
      <c r="B813">
        <v>812</v>
      </c>
      <c r="C813" s="1">
        <v>2.6564509212159765E-2</v>
      </c>
      <c r="D813" s="2">
        <v>363</v>
      </c>
      <c r="E813" s="4">
        <v>3269</v>
      </c>
      <c r="F813" s="4" t="s">
        <v>346</v>
      </c>
      <c r="G813" s="4" t="s">
        <v>346</v>
      </c>
      <c r="H813" t="s">
        <v>77</v>
      </c>
      <c r="I813" t="s">
        <v>352</v>
      </c>
      <c r="J813" s="3">
        <v>2010</v>
      </c>
      <c r="K813" s="3">
        <v>2018</v>
      </c>
      <c r="L813" s="6">
        <f t="shared" si="251"/>
        <v>2014</v>
      </c>
      <c r="M813" s="6">
        <f t="shared" si="252"/>
        <v>2014</v>
      </c>
      <c r="N813" s="7">
        <f t="shared" si="240"/>
        <v>0.33333333333333331</v>
      </c>
      <c r="O813" s="7">
        <f t="shared" si="241"/>
        <v>0.22222222222222221</v>
      </c>
      <c r="P813" s="7">
        <f t="shared" si="242"/>
        <v>0.1111111111111111</v>
      </c>
      <c r="Q813" s="7">
        <f t="shared" si="253"/>
        <v>0</v>
      </c>
      <c r="R813" s="10" t="str">
        <f t="shared" si="243"/>
        <v>0_Pre</v>
      </c>
      <c r="S813" s="10" t="str">
        <f t="shared" si="244"/>
        <v>0_Pre</v>
      </c>
      <c r="T813" s="10" t="str">
        <f t="shared" si="245"/>
        <v>0_Pre</v>
      </c>
      <c r="U813" s="10" t="str">
        <f t="shared" si="246"/>
        <v>1_Post</v>
      </c>
      <c r="V813" s="10" t="str">
        <f t="shared" si="254"/>
        <v>0_Pre</v>
      </c>
      <c r="W813" s="10" t="str">
        <f t="shared" si="247"/>
        <v>straddle</v>
      </c>
      <c r="X813" s="10" t="str">
        <f t="shared" si="248"/>
        <v>0_Pre</v>
      </c>
      <c r="Y813" s="10" t="str">
        <f t="shared" si="249"/>
        <v>0_Pre</v>
      </c>
      <c r="Z813" s="10" t="str">
        <f t="shared" si="250"/>
        <v>0_Pre</v>
      </c>
      <c r="AA813" s="10" t="str">
        <f t="shared" si="255"/>
        <v>1_Post</v>
      </c>
      <c r="AB813" s="10" t="str">
        <f t="shared" si="256"/>
        <v>1_Post</v>
      </c>
      <c r="AC813" s="10" t="str">
        <f t="shared" si="257"/>
        <v>0_Pre</v>
      </c>
      <c r="AD813" s="10" t="str">
        <f t="shared" si="258"/>
        <v>2_post sample median</v>
      </c>
      <c r="AE813" s="10" t="str">
        <f t="shared" si="259"/>
        <v>3_post sample third tertile</v>
      </c>
      <c r="AF813" t="s">
        <v>81</v>
      </c>
      <c r="AG813" t="s">
        <v>74</v>
      </c>
      <c r="AH813" t="s">
        <v>78</v>
      </c>
      <c r="AI813" t="s">
        <v>122</v>
      </c>
      <c r="AJ813" t="s">
        <v>122</v>
      </c>
      <c r="AK813" t="str">
        <f>VLOOKUP(MID($AR813,1,255),country_lookup!$B:$F,2,FALSE)</f>
        <v>1_US</v>
      </c>
      <c r="AL813" t="str">
        <f>VLOOKUP(MID($AR813,1,255),country_lookup!$B:$F,3,FALSE)</f>
        <v>1_developed</v>
      </c>
      <c r="AM813" t="str">
        <f>VLOOKUP(MID($AR813,1,255),country_lookup!$B:$F,4,FALSE)</f>
        <v>1_western</v>
      </c>
      <c r="AN813" t="str">
        <f>VLOOKUP(MID($AR813,1,255),country_lookup!$B:$F,5,FALSE)</f>
        <v>1_common law</v>
      </c>
      <c r="AO813" s="10" t="str">
        <f>VLOOKUP(MID($AS813,1,255),source_lookup!$B:$K,4,FALSE)</f>
        <v>0_published</v>
      </c>
      <c r="AP813" s="10" t="str">
        <f>VLOOKUP(MID($AS813,1,255),source_lookup!$B:$K,6,FALSE)</f>
        <v>1_VHB high</v>
      </c>
      <c r="AQ813" s="10" t="str">
        <f>VLOOKUP(MID($AS813,1,255),source_lookup!$B:$K,10,FALSE)</f>
        <v>1_fin/acc/econ</v>
      </c>
      <c r="AR813" t="s">
        <v>85</v>
      </c>
      <c r="AS813" t="s">
        <v>159</v>
      </c>
    </row>
    <row r="814" spans="1:45" x14ac:dyDescent="0.3">
      <c r="A814" t="s">
        <v>35</v>
      </c>
      <c r="B814">
        <v>813</v>
      </c>
      <c r="C814" s="1">
        <v>4.7312814686733496E-3</v>
      </c>
      <c r="D814" s="2">
        <v>248</v>
      </c>
      <c r="E814" s="4">
        <v>2234</v>
      </c>
      <c r="F814" s="4" t="s">
        <v>346</v>
      </c>
      <c r="G814" s="4" t="s">
        <v>346</v>
      </c>
      <c r="H814" t="s">
        <v>77</v>
      </c>
      <c r="I814" t="s">
        <v>352</v>
      </c>
      <c r="J814" s="3">
        <v>2010</v>
      </c>
      <c r="K814" s="3">
        <v>2018</v>
      </c>
      <c r="L814" s="6">
        <f t="shared" si="251"/>
        <v>2014</v>
      </c>
      <c r="M814" s="6">
        <f t="shared" si="252"/>
        <v>2014</v>
      </c>
      <c r="N814" s="7">
        <f t="shared" si="240"/>
        <v>0.33333333333333331</v>
      </c>
      <c r="O814" s="7">
        <f t="shared" si="241"/>
        <v>0.22222222222222221</v>
      </c>
      <c r="P814" s="7">
        <f t="shared" si="242"/>
        <v>0.1111111111111111</v>
      </c>
      <c r="Q814" s="7">
        <f t="shared" si="253"/>
        <v>0</v>
      </c>
      <c r="R814" s="10" t="str">
        <f t="shared" si="243"/>
        <v>0_Pre</v>
      </c>
      <c r="S814" s="10" t="str">
        <f t="shared" si="244"/>
        <v>0_Pre</v>
      </c>
      <c r="T814" s="10" t="str">
        <f t="shared" si="245"/>
        <v>0_Pre</v>
      </c>
      <c r="U814" s="10" t="str">
        <f t="shared" si="246"/>
        <v>1_Post</v>
      </c>
      <c r="V814" s="10" t="str">
        <f t="shared" si="254"/>
        <v>0_Pre</v>
      </c>
      <c r="W814" s="10" t="str">
        <f t="shared" si="247"/>
        <v>straddle</v>
      </c>
      <c r="X814" s="10" t="str">
        <f t="shared" si="248"/>
        <v>0_Pre</v>
      </c>
      <c r="Y814" s="10" t="str">
        <f t="shared" si="249"/>
        <v>0_Pre</v>
      </c>
      <c r="Z814" s="10" t="str">
        <f t="shared" si="250"/>
        <v>0_Pre</v>
      </c>
      <c r="AA814" s="10" t="str">
        <f t="shared" si="255"/>
        <v>1_Post</v>
      </c>
      <c r="AB814" s="10" t="str">
        <f t="shared" si="256"/>
        <v>1_Post</v>
      </c>
      <c r="AC814" s="10" t="str">
        <f t="shared" si="257"/>
        <v>0_Pre</v>
      </c>
      <c r="AD814" s="10" t="str">
        <f t="shared" si="258"/>
        <v>2_post sample median</v>
      </c>
      <c r="AE814" s="10" t="str">
        <f t="shared" si="259"/>
        <v>3_post sample third tertile</v>
      </c>
      <c r="AF814" t="s">
        <v>81</v>
      </c>
      <c r="AG814" t="s">
        <v>74</v>
      </c>
      <c r="AH814" t="s">
        <v>78</v>
      </c>
      <c r="AI814" t="s">
        <v>122</v>
      </c>
      <c r="AJ814" t="s">
        <v>122</v>
      </c>
      <c r="AK814" t="str">
        <f>VLOOKUP(MID($AR814,1,255),country_lookup!$B:$F,2,FALSE)</f>
        <v>1_US</v>
      </c>
      <c r="AL814" t="str">
        <f>VLOOKUP(MID($AR814,1,255),country_lookup!$B:$F,3,FALSE)</f>
        <v>1_developed</v>
      </c>
      <c r="AM814" t="str">
        <f>VLOOKUP(MID($AR814,1,255),country_lookup!$B:$F,4,FALSE)</f>
        <v>1_western</v>
      </c>
      <c r="AN814" t="str">
        <f>VLOOKUP(MID($AR814,1,255),country_lookup!$B:$F,5,FALSE)</f>
        <v>1_common law</v>
      </c>
      <c r="AO814" s="10" t="str">
        <f>VLOOKUP(MID($AS814,1,255),source_lookup!$B:$K,4,FALSE)</f>
        <v>0_published</v>
      </c>
      <c r="AP814" s="10" t="str">
        <f>VLOOKUP(MID($AS814,1,255),source_lookup!$B:$K,6,FALSE)</f>
        <v>1_VHB high</v>
      </c>
      <c r="AQ814" s="10" t="str">
        <f>VLOOKUP(MID($AS814,1,255),source_lookup!$B:$K,10,FALSE)</f>
        <v>1_fin/acc/econ</v>
      </c>
      <c r="AR814" t="s">
        <v>85</v>
      </c>
      <c r="AS814" t="s">
        <v>159</v>
      </c>
    </row>
    <row r="815" spans="1:45" x14ac:dyDescent="0.3">
      <c r="A815" t="s">
        <v>35</v>
      </c>
      <c r="B815">
        <v>814</v>
      </c>
      <c r="C815" s="1">
        <v>-2.1840916248007793E-2</v>
      </c>
      <c r="D815" s="2">
        <v>248</v>
      </c>
      <c r="E815" s="4">
        <v>2234</v>
      </c>
      <c r="F815" s="4" t="s">
        <v>346</v>
      </c>
      <c r="G815" s="4" t="s">
        <v>346</v>
      </c>
      <c r="H815" t="s">
        <v>77</v>
      </c>
      <c r="I815" t="s">
        <v>352</v>
      </c>
      <c r="J815" s="3">
        <v>2010</v>
      </c>
      <c r="K815" s="3">
        <v>2018</v>
      </c>
      <c r="L815" s="6">
        <f t="shared" si="251"/>
        <v>2014</v>
      </c>
      <c r="M815" s="6">
        <f t="shared" si="252"/>
        <v>2014</v>
      </c>
      <c r="N815" s="7">
        <f t="shared" si="240"/>
        <v>0.33333333333333331</v>
      </c>
      <c r="O815" s="7">
        <f t="shared" si="241"/>
        <v>0.22222222222222221</v>
      </c>
      <c r="P815" s="7">
        <f t="shared" si="242"/>
        <v>0.1111111111111111</v>
      </c>
      <c r="Q815" s="7">
        <f t="shared" si="253"/>
        <v>0</v>
      </c>
      <c r="R815" s="10" t="str">
        <f t="shared" si="243"/>
        <v>0_Pre</v>
      </c>
      <c r="S815" s="10" t="str">
        <f t="shared" si="244"/>
        <v>0_Pre</v>
      </c>
      <c r="T815" s="10" t="str">
        <f t="shared" si="245"/>
        <v>0_Pre</v>
      </c>
      <c r="U815" s="10" t="str">
        <f t="shared" si="246"/>
        <v>1_Post</v>
      </c>
      <c r="V815" s="10" t="str">
        <f t="shared" si="254"/>
        <v>0_Pre</v>
      </c>
      <c r="W815" s="10" t="str">
        <f t="shared" si="247"/>
        <v>straddle</v>
      </c>
      <c r="X815" s="10" t="str">
        <f t="shared" si="248"/>
        <v>0_Pre</v>
      </c>
      <c r="Y815" s="10" t="str">
        <f t="shared" si="249"/>
        <v>0_Pre</v>
      </c>
      <c r="Z815" s="10" t="str">
        <f t="shared" si="250"/>
        <v>0_Pre</v>
      </c>
      <c r="AA815" s="10" t="str">
        <f t="shared" si="255"/>
        <v>1_Post</v>
      </c>
      <c r="AB815" s="10" t="str">
        <f t="shared" si="256"/>
        <v>1_Post</v>
      </c>
      <c r="AC815" s="10" t="str">
        <f t="shared" si="257"/>
        <v>0_Pre</v>
      </c>
      <c r="AD815" s="10" t="str">
        <f t="shared" si="258"/>
        <v>2_post sample median</v>
      </c>
      <c r="AE815" s="10" t="str">
        <f t="shared" si="259"/>
        <v>3_post sample third tertile</v>
      </c>
      <c r="AF815" t="s">
        <v>81</v>
      </c>
      <c r="AG815" t="s">
        <v>74</v>
      </c>
      <c r="AH815" t="s">
        <v>78</v>
      </c>
      <c r="AI815" t="s">
        <v>122</v>
      </c>
      <c r="AJ815" t="s">
        <v>122</v>
      </c>
      <c r="AK815" t="str">
        <f>VLOOKUP(MID($AR815,1,255),country_lookup!$B:$F,2,FALSE)</f>
        <v>1_US</v>
      </c>
      <c r="AL815" t="str">
        <f>VLOOKUP(MID($AR815,1,255),country_lookup!$B:$F,3,FALSE)</f>
        <v>1_developed</v>
      </c>
      <c r="AM815" t="str">
        <f>VLOOKUP(MID($AR815,1,255),country_lookup!$B:$F,4,FALSE)</f>
        <v>1_western</v>
      </c>
      <c r="AN815" t="str">
        <f>VLOOKUP(MID($AR815,1,255),country_lookup!$B:$F,5,FALSE)</f>
        <v>1_common law</v>
      </c>
      <c r="AO815" s="10" t="str">
        <f>VLOOKUP(MID($AS815,1,255),source_lookup!$B:$K,4,FALSE)</f>
        <v>0_published</v>
      </c>
      <c r="AP815" s="10" t="str">
        <f>VLOOKUP(MID($AS815,1,255),source_lookup!$B:$K,6,FALSE)</f>
        <v>1_VHB high</v>
      </c>
      <c r="AQ815" s="10" t="str">
        <f>VLOOKUP(MID($AS815,1,255),source_lookup!$B:$K,10,FALSE)</f>
        <v>1_fin/acc/econ</v>
      </c>
      <c r="AR815" t="s">
        <v>85</v>
      </c>
      <c r="AS815" t="s">
        <v>159</v>
      </c>
    </row>
    <row r="816" spans="1:45" x14ac:dyDescent="0.3">
      <c r="A816" t="s">
        <v>35</v>
      </c>
      <c r="B816">
        <v>815</v>
      </c>
      <c r="C816" s="1">
        <v>1.4076308177836826E-3</v>
      </c>
      <c r="D816" s="2">
        <v>248</v>
      </c>
      <c r="E816" s="4">
        <v>2234</v>
      </c>
      <c r="F816" s="4" t="s">
        <v>346</v>
      </c>
      <c r="G816" s="4" t="s">
        <v>346</v>
      </c>
      <c r="H816" t="s">
        <v>77</v>
      </c>
      <c r="I816" t="s">
        <v>352</v>
      </c>
      <c r="J816" s="3">
        <v>2010</v>
      </c>
      <c r="K816" s="3">
        <v>2018</v>
      </c>
      <c r="L816" s="6">
        <f t="shared" si="251"/>
        <v>2014</v>
      </c>
      <c r="M816" s="6">
        <f t="shared" si="252"/>
        <v>2014</v>
      </c>
      <c r="N816" s="7">
        <f t="shared" si="240"/>
        <v>0.33333333333333331</v>
      </c>
      <c r="O816" s="7">
        <f t="shared" si="241"/>
        <v>0.22222222222222221</v>
      </c>
      <c r="P816" s="7">
        <f t="shared" si="242"/>
        <v>0.1111111111111111</v>
      </c>
      <c r="Q816" s="7">
        <f t="shared" si="253"/>
        <v>0</v>
      </c>
      <c r="R816" s="10" t="str">
        <f t="shared" si="243"/>
        <v>0_Pre</v>
      </c>
      <c r="S816" s="10" t="str">
        <f t="shared" si="244"/>
        <v>0_Pre</v>
      </c>
      <c r="T816" s="10" t="str">
        <f t="shared" si="245"/>
        <v>0_Pre</v>
      </c>
      <c r="U816" s="10" t="str">
        <f t="shared" si="246"/>
        <v>1_Post</v>
      </c>
      <c r="V816" s="10" t="str">
        <f t="shared" si="254"/>
        <v>0_Pre</v>
      </c>
      <c r="W816" s="10" t="str">
        <f t="shared" si="247"/>
        <v>straddle</v>
      </c>
      <c r="X816" s="10" t="str">
        <f t="shared" si="248"/>
        <v>0_Pre</v>
      </c>
      <c r="Y816" s="10" t="str">
        <f t="shared" si="249"/>
        <v>0_Pre</v>
      </c>
      <c r="Z816" s="10" t="str">
        <f t="shared" si="250"/>
        <v>0_Pre</v>
      </c>
      <c r="AA816" s="10" t="str">
        <f t="shared" si="255"/>
        <v>1_Post</v>
      </c>
      <c r="AB816" s="10" t="str">
        <f t="shared" si="256"/>
        <v>1_Post</v>
      </c>
      <c r="AC816" s="10" t="str">
        <f t="shared" si="257"/>
        <v>0_Pre</v>
      </c>
      <c r="AD816" s="10" t="str">
        <f t="shared" si="258"/>
        <v>2_post sample median</v>
      </c>
      <c r="AE816" s="10" t="str">
        <f t="shared" si="259"/>
        <v>3_post sample third tertile</v>
      </c>
      <c r="AF816" t="s">
        <v>81</v>
      </c>
      <c r="AG816" t="s">
        <v>74</v>
      </c>
      <c r="AH816" t="s">
        <v>78</v>
      </c>
      <c r="AI816" t="s">
        <v>122</v>
      </c>
      <c r="AJ816" t="s">
        <v>122</v>
      </c>
      <c r="AK816" t="str">
        <f>VLOOKUP(MID($AR816,1,255),country_lookup!$B:$F,2,FALSE)</f>
        <v>1_US</v>
      </c>
      <c r="AL816" t="str">
        <f>VLOOKUP(MID($AR816,1,255),country_lookup!$B:$F,3,FALSE)</f>
        <v>1_developed</v>
      </c>
      <c r="AM816" t="str">
        <f>VLOOKUP(MID($AR816,1,255),country_lookup!$B:$F,4,FALSE)</f>
        <v>1_western</v>
      </c>
      <c r="AN816" t="str">
        <f>VLOOKUP(MID($AR816,1,255),country_lookup!$B:$F,5,FALSE)</f>
        <v>1_common law</v>
      </c>
      <c r="AO816" s="10" t="str">
        <f>VLOOKUP(MID($AS816,1,255),source_lookup!$B:$K,4,FALSE)</f>
        <v>0_published</v>
      </c>
      <c r="AP816" s="10" t="str">
        <f>VLOOKUP(MID($AS816,1,255),source_lookup!$B:$K,6,FALSE)</f>
        <v>1_VHB high</v>
      </c>
      <c r="AQ816" s="10" t="str">
        <f>VLOOKUP(MID($AS816,1,255),source_lookup!$B:$K,10,FALSE)</f>
        <v>1_fin/acc/econ</v>
      </c>
      <c r="AR816" t="s">
        <v>85</v>
      </c>
      <c r="AS816" t="s">
        <v>159</v>
      </c>
    </row>
    <row r="817" spans="1:45" x14ac:dyDescent="0.3">
      <c r="A817" t="s">
        <v>35</v>
      </c>
      <c r="B817">
        <v>816</v>
      </c>
      <c r="C817" s="1">
        <v>1.5400144574138908E-2</v>
      </c>
      <c r="D817" s="2">
        <v>248</v>
      </c>
      <c r="E817" s="4">
        <v>2234</v>
      </c>
      <c r="F817" s="4" t="s">
        <v>346</v>
      </c>
      <c r="G817" s="4" t="s">
        <v>346</v>
      </c>
      <c r="H817" t="s">
        <v>77</v>
      </c>
      <c r="I817" t="s">
        <v>352</v>
      </c>
      <c r="J817" s="3">
        <v>2010</v>
      </c>
      <c r="K817" s="3">
        <v>2018</v>
      </c>
      <c r="L817" s="6">
        <f t="shared" si="251"/>
        <v>2014</v>
      </c>
      <c r="M817" s="6">
        <f t="shared" si="252"/>
        <v>2014</v>
      </c>
      <c r="N817" s="7">
        <f t="shared" si="240"/>
        <v>0.33333333333333331</v>
      </c>
      <c r="O817" s="7">
        <f t="shared" si="241"/>
        <v>0.22222222222222221</v>
      </c>
      <c r="P817" s="7">
        <f t="shared" si="242"/>
        <v>0.1111111111111111</v>
      </c>
      <c r="Q817" s="7">
        <f t="shared" si="253"/>
        <v>0</v>
      </c>
      <c r="R817" s="10" t="str">
        <f t="shared" si="243"/>
        <v>0_Pre</v>
      </c>
      <c r="S817" s="10" t="str">
        <f t="shared" si="244"/>
        <v>0_Pre</v>
      </c>
      <c r="T817" s="10" t="str">
        <f t="shared" si="245"/>
        <v>0_Pre</v>
      </c>
      <c r="U817" s="10" t="str">
        <f t="shared" si="246"/>
        <v>1_Post</v>
      </c>
      <c r="V817" s="10" t="str">
        <f t="shared" si="254"/>
        <v>0_Pre</v>
      </c>
      <c r="W817" s="10" t="str">
        <f t="shared" si="247"/>
        <v>straddle</v>
      </c>
      <c r="X817" s="10" t="str">
        <f t="shared" si="248"/>
        <v>0_Pre</v>
      </c>
      <c r="Y817" s="10" t="str">
        <f t="shared" si="249"/>
        <v>0_Pre</v>
      </c>
      <c r="Z817" s="10" t="str">
        <f t="shared" si="250"/>
        <v>0_Pre</v>
      </c>
      <c r="AA817" s="10" t="str">
        <f t="shared" si="255"/>
        <v>1_Post</v>
      </c>
      <c r="AB817" s="10" t="str">
        <f t="shared" si="256"/>
        <v>1_Post</v>
      </c>
      <c r="AC817" s="10" t="str">
        <f t="shared" si="257"/>
        <v>0_Pre</v>
      </c>
      <c r="AD817" s="10" t="str">
        <f t="shared" si="258"/>
        <v>2_post sample median</v>
      </c>
      <c r="AE817" s="10" t="str">
        <f t="shared" si="259"/>
        <v>3_post sample third tertile</v>
      </c>
      <c r="AF817" t="s">
        <v>81</v>
      </c>
      <c r="AG817" t="s">
        <v>74</v>
      </c>
      <c r="AH817" t="s">
        <v>78</v>
      </c>
      <c r="AI817" t="s">
        <v>122</v>
      </c>
      <c r="AJ817" t="s">
        <v>122</v>
      </c>
      <c r="AK817" t="str">
        <f>VLOOKUP(MID($AR817,1,255),country_lookup!$B:$F,2,FALSE)</f>
        <v>1_US</v>
      </c>
      <c r="AL817" t="str">
        <f>VLOOKUP(MID($AR817,1,255),country_lookup!$B:$F,3,FALSE)</f>
        <v>1_developed</v>
      </c>
      <c r="AM817" t="str">
        <f>VLOOKUP(MID($AR817,1,255),country_lookup!$B:$F,4,FALSE)</f>
        <v>1_western</v>
      </c>
      <c r="AN817" t="str">
        <f>VLOOKUP(MID($AR817,1,255),country_lookup!$B:$F,5,FALSE)</f>
        <v>1_common law</v>
      </c>
      <c r="AO817" s="10" t="str">
        <f>VLOOKUP(MID($AS817,1,255),source_lookup!$B:$K,4,FALSE)</f>
        <v>0_published</v>
      </c>
      <c r="AP817" s="10" t="str">
        <f>VLOOKUP(MID($AS817,1,255),source_lookup!$B:$K,6,FALSE)</f>
        <v>1_VHB high</v>
      </c>
      <c r="AQ817" s="10" t="str">
        <f>VLOOKUP(MID($AS817,1,255),source_lookup!$B:$K,10,FALSE)</f>
        <v>1_fin/acc/econ</v>
      </c>
      <c r="AR817" t="s">
        <v>85</v>
      </c>
      <c r="AS817" t="s">
        <v>159</v>
      </c>
    </row>
    <row r="818" spans="1:45" x14ac:dyDescent="0.3">
      <c r="A818" t="s">
        <v>35</v>
      </c>
      <c r="B818">
        <v>817</v>
      </c>
      <c r="C818" s="1">
        <v>-5.6047668250194249E-3</v>
      </c>
      <c r="D818" s="2">
        <v>115</v>
      </c>
      <c r="E818" s="4">
        <v>1035</v>
      </c>
      <c r="F818" s="4" t="s">
        <v>346</v>
      </c>
      <c r="G818" s="4" t="s">
        <v>346</v>
      </c>
      <c r="H818" t="s">
        <v>77</v>
      </c>
      <c r="I818" t="s">
        <v>352</v>
      </c>
      <c r="J818" s="3">
        <v>2010</v>
      </c>
      <c r="K818" s="3">
        <v>2018</v>
      </c>
      <c r="L818" s="6">
        <f t="shared" si="251"/>
        <v>2014</v>
      </c>
      <c r="M818" s="6">
        <f t="shared" si="252"/>
        <v>2014</v>
      </c>
      <c r="N818" s="7">
        <f t="shared" si="240"/>
        <v>0.33333333333333331</v>
      </c>
      <c r="O818" s="7">
        <f t="shared" si="241"/>
        <v>0.22222222222222221</v>
      </c>
      <c r="P818" s="7">
        <f t="shared" si="242"/>
        <v>0.1111111111111111</v>
      </c>
      <c r="Q818" s="7">
        <f t="shared" si="253"/>
        <v>0</v>
      </c>
      <c r="R818" s="10" t="str">
        <f t="shared" si="243"/>
        <v>0_Pre</v>
      </c>
      <c r="S818" s="10" t="str">
        <f t="shared" si="244"/>
        <v>0_Pre</v>
      </c>
      <c r="T818" s="10" t="str">
        <f t="shared" si="245"/>
        <v>0_Pre</v>
      </c>
      <c r="U818" s="10" t="str">
        <f t="shared" si="246"/>
        <v>1_Post</v>
      </c>
      <c r="V818" s="10" t="str">
        <f t="shared" si="254"/>
        <v>0_Pre</v>
      </c>
      <c r="W818" s="10" t="str">
        <f t="shared" si="247"/>
        <v>straddle</v>
      </c>
      <c r="X818" s="10" t="str">
        <f t="shared" si="248"/>
        <v>0_Pre</v>
      </c>
      <c r="Y818" s="10" t="str">
        <f t="shared" si="249"/>
        <v>0_Pre</v>
      </c>
      <c r="Z818" s="10" t="str">
        <f t="shared" si="250"/>
        <v>0_Pre</v>
      </c>
      <c r="AA818" s="10" t="str">
        <f t="shared" si="255"/>
        <v>1_Post</v>
      </c>
      <c r="AB818" s="10" t="str">
        <f t="shared" si="256"/>
        <v>1_Post</v>
      </c>
      <c r="AC818" s="10" t="str">
        <f t="shared" si="257"/>
        <v>0_Pre</v>
      </c>
      <c r="AD818" s="10" t="str">
        <f t="shared" si="258"/>
        <v>2_post sample median</v>
      </c>
      <c r="AE818" s="10" t="str">
        <f t="shared" si="259"/>
        <v>3_post sample third tertile</v>
      </c>
      <c r="AF818" t="s">
        <v>81</v>
      </c>
      <c r="AG818" t="s">
        <v>74</v>
      </c>
      <c r="AH818" t="s">
        <v>78</v>
      </c>
      <c r="AI818" t="s">
        <v>122</v>
      </c>
      <c r="AJ818" t="s">
        <v>122</v>
      </c>
      <c r="AK818" t="str">
        <f>VLOOKUP(MID($AR818,1,255),country_lookup!$B:$F,2,FALSE)</f>
        <v>1_US</v>
      </c>
      <c r="AL818" t="str">
        <f>VLOOKUP(MID($AR818,1,255),country_lookup!$B:$F,3,FALSE)</f>
        <v>1_developed</v>
      </c>
      <c r="AM818" t="str">
        <f>VLOOKUP(MID($AR818,1,255),country_lookup!$B:$F,4,FALSE)</f>
        <v>1_western</v>
      </c>
      <c r="AN818" t="str">
        <f>VLOOKUP(MID($AR818,1,255),country_lookup!$B:$F,5,FALSE)</f>
        <v>1_common law</v>
      </c>
      <c r="AO818" s="10" t="str">
        <f>VLOOKUP(MID($AS818,1,255),source_lookup!$B:$K,4,FALSE)</f>
        <v>0_published</v>
      </c>
      <c r="AP818" s="10" t="str">
        <f>VLOOKUP(MID($AS818,1,255),source_lookup!$B:$K,6,FALSE)</f>
        <v>1_VHB high</v>
      </c>
      <c r="AQ818" s="10" t="str">
        <f>VLOOKUP(MID($AS818,1,255),source_lookup!$B:$K,10,FALSE)</f>
        <v>1_fin/acc/econ</v>
      </c>
      <c r="AR818" t="s">
        <v>85</v>
      </c>
      <c r="AS818" t="s">
        <v>159</v>
      </c>
    </row>
    <row r="819" spans="1:45" x14ac:dyDescent="0.3">
      <c r="A819" t="s">
        <v>35</v>
      </c>
      <c r="B819">
        <v>818</v>
      </c>
      <c r="C819" s="1">
        <v>-3.7318991976055531E-2</v>
      </c>
      <c r="D819" s="2">
        <v>115</v>
      </c>
      <c r="E819" s="4">
        <v>1035</v>
      </c>
      <c r="F819" s="4" t="s">
        <v>346</v>
      </c>
      <c r="G819" s="4" t="s">
        <v>346</v>
      </c>
      <c r="H819" t="s">
        <v>77</v>
      </c>
      <c r="I819" t="s">
        <v>352</v>
      </c>
      <c r="J819" s="3">
        <v>2010</v>
      </c>
      <c r="K819" s="3">
        <v>2018</v>
      </c>
      <c r="L819" s="6">
        <f t="shared" si="251"/>
        <v>2014</v>
      </c>
      <c r="M819" s="6">
        <f t="shared" si="252"/>
        <v>2014</v>
      </c>
      <c r="N819" s="7">
        <f t="shared" si="240"/>
        <v>0.33333333333333331</v>
      </c>
      <c r="O819" s="7">
        <f t="shared" si="241"/>
        <v>0.22222222222222221</v>
      </c>
      <c r="P819" s="7">
        <f t="shared" si="242"/>
        <v>0.1111111111111111</v>
      </c>
      <c r="Q819" s="7">
        <f t="shared" si="253"/>
        <v>0</v>
      </c>
      <c r="R819" s="10" t="str">
        <f t="shared" si="243"/>
        <v>0_Pre</v>
      </c>
      <c r="S819" s="10" t="str">
        <f t="shared" si="244"/>
        <v>0_Pre</v>
      </c>
      <c r="T819" s="10" t="str">
        <f t="shared" si="245"/>
        <v>0_Pre</v>
      </c>
      <c r="U819" s="10" t="str">
        <f t="shared" si="246"/>
        <v>1_Post</v>
      </c>
      <c r="V819" s="10" t="str">
        <f t="shared" si="254"/>
        <v>0_Pre</v>
      </c>
      <c r="W819" s="10" t="str">
        <f t="shared" si="247"/>
        <v>straddle</v>
      </c>
      <c r="X819" s="10" t="str">
        <f t="shared" si="248"/>
        <v>0_Pre</v>
      </c>
      <c r="Y819" s="10" t="str">
        <f t="shared" si="249"/>
        <v>0_Pre</v>
      </c>
      <c r="Z819" s="10" t="str">
        <f t="shared" si="250"/>
        <v>0_Pre</v>
      </c>
      <c r="AA819" s="10" t="str">
        <f t="shared" si="255"/>
        <v>1_Post</v>
      </c>
      <c r="AB819" s="10" t="str">
        <f t="shared" si="256"/>
        <v>1_Post</v>
      </c>
      <c r="AC819" s="10" t="str">
        <f t="shared" si="257"/>
        <v>0_Pre</v>
      </c>
      <c r="AD819" s="10" t="str">
        <f t="shared" si="258"/>
        <v>2_post sample median</v>
      </c>
      <c r="AE819" s="10" t="str">
        <f t="shared" si="259"/>
        <v>3_post sample third tertile</v>
      </c>
      <c r="AF819" t="s">
        <v>81</v>
      </c>
      <c r="AG819" t="s">
        <v>74</v>
      </c>
      <c r="AH819" t="s">
        <v>78</v>
      </c>
      <c r="AI819" t="s">
        <v>122</v>
      </c>
      <c r="AJ819" t="s">
        <v>122</v>
      </c>
      <c r="AK819" t="str">
        <f>VLOOKUP(MID($AR819,1,255),country_lookup!$B:$F,2,FALSE)</f>
        <v>1_US</v>
      </c>
      <c r="AL819" t="str">
        <f>VLOOKUP(MID($AR819,1,255),country_lookup!$B:$F,3,FALSE)</f>
        <v>1_developed</v>
      </c>
      <c r="AM819" t="str">
        <f>VLOOKUP(MID($AR819,1,255),country_lookup!$B:$F,4,FALSE)</f>
        <v>1_western</v>
      </c>
      <c r="AN819" t="str">
        <f>VLOOKUP(MID($AR819,1,255),country_lookup!$B:$F,5,FALSE)</f>
        <v>1_common law</v>
      </c>
      <c r="AO819" s="10" t="str">
        <f>VLOOKUP(MID($AS819,1,255),source_lookup!$B:$K,4,FALSE)</f>
        <v>0_published</v>
      </c>
      <c r="AP819" s="10" t="str">
        <f>VLOOKUP(MID($AS819,1,255),source_lookup!$B:$K,6,FALSE)</f>
        <v>1_VHB high</v>
      </c>
      <c r="AQ819" s="10" t="str">
        <f>VLOOKUP(MID($AS819,1,255),source_lookup!$B:$K,10,FALSE)</f>
        <v>1_fin/acc/econ</v>
      </c>
      <c r="AR819" t="s">
        <v>85</v>
      </c>
      <c r="AS819" t="s">
        <v>159</v>
      </c>
    </row>
    <row r="820" spans="1:45" x14ac:dyDescent="0.3">
      <c r="A820" t="s">
        <v>35</v>
      </c>
      <c r="B820">
        <v>819</v>
      </c>
      <c r="C820" s="1">
        <v>2.6335578997670125E-2</v>
      </c>
      <c r="D820" s="2">
        <v>115</v>
      </c>
      <c r="E820" s="4">
        <v>1035</v>
      </c>
      <c r="F820" s="4" t="s">
        <v>346</v>
      </c>
      <c r="G820" s="4" t="s">
        <v>346</v>
      </c>
      <c r="H820" t="s">
        <v>77</v>
      </c>
      <c r="I820" t="s">
        <v>352</v>
      </c>
      <c r="J820" s="3">
        <v>2010</v>
      </c>
      <c r="K820" s="3">
        <v>2018</v>
      </c>
      <c r="L820" s="6">
        <f t="shared" si="251"/>
        <v>2014</v>
      </c>
      <c r="M820" s="6">
        <f t="shared" si="252"/>
        <v>2014</v>
      </c>
      <c r="N820" s="7">
        <f t="shared" si="240"/>
        <v>0.33333333333333331</v>
      </c>
      <c r="O820" s="7">
        <f t="shared" si="241"/>
        <v>0.22222222222222221</v>
      </c>
      <c r="P820" s="7">
        <f t="shared" si="242"/>
        <v>0.1111111111111111</v>
      </c>
      <c r="Q820" s="7">
        <f t="shared" si="253"/>
        <v>0</v>
      </c>
      <c r="R820" s="10" t="str">
        <f t="shared" si="243"/>
        <v>0_Pre</v>
      </c>
      <c r="S820" s="10" t="str">
        <f t="shared" si="244"/>
        <v>0_Pre</v>
      </c>
      <c r="T820" s="10" t="str">
        <f t="shared" si="245"/>
        <v>0_Pre</v>
      </c>
      <c r="U820" s="10" t="str">
        <f t="shared" si="246"/>
        <v>1_Post</v>
      </c>
      <c r="V820" s="10" t="str">
        <f t="shared" si="254"/>
        <v>0_Pre</v>
      </c>
      <c r="W820" s="10" t="str">
        <f t="shared" si="247"/>
        <v>straddle</v>
      </c>
      <c r="X820" s="10" t="str">
        <f t="shared" si="248"/>
        <v>0_Pre</v>
      </c>
      <c r="Y820" s="10" t="str">
        <f t="shared" si="249"/>
        <v>0_Pre</v>
      </c>
      <c r="Z820" s="10" t="str">
        <f t="shared" si="250"/>
        <v>0_Pre</v>
      </c>
      <c r="AA820" s="10" t="str">
        <f t="shared" si="255"/>
        <v>1_Post</v>
      </c>
      <c r="AB820" s="10" t="str">
        <f t="shared" si="256"/>
        <v>1_Post</v>
      </c>
      <c r="AC820" s="10" t="str">
        <f t="shared" si="257"/>
        <v>0_Pre</v>
      </c>
      <c r="AD820" s="10" t="str">
        <f t="shared" si="258"/>
        <v>2_post sample median</v>
      </c>
      <c r="AE820" s="10" t="str">
        <f t="shared" si="259"/>
        <v>3_post sample third tertile</v>
      </c>
      <c r="AF820" t="s">
        <v>81</v>
      </c>
      <c r="AG820" t="s">
        <v>74</v>
      </c>
      <c r="AH820" t="s">
        <v>78</v>
      </c>
      <c r="AI820" t="s">
        <v>122</v>
      </c>
      <c r="AJ820" t="s">
        <v>122</v>
      </c>
      <c r="AK820" t="str">
        <f>VLOOKUP(MID($AR820,1,255),country_lookup!$B:$F,2,FALSE)</f>
        <v>1_US</v>
      </c>
      <c r="AL820" t="str">
        <f>VLOOKUP(MID($AR820,1,255),country_lookup!$B:$F,3,FALSE)</f>
        <v>1_developed</v>
      </c>
      <c r="AM820" t="str">
        <f>VLOOKUP(MID($AR820,1,255),country_lookup!$B:$F,4,FALSE)</f>
        <v>1_western</v>
      </c>
      <c r="AN820" t="str">
        <f>VLOOKUP(MID($AR820,1,255),country_lookup!$B:$F,5,FALSE)</f>
        <v>1_common law</v>
      </c>
      <c r="AO820" s="10" t="str">
        <f>VLOOKUP(MID($AS820,1,255),source_lookup!$B:$K,4,FALSE)</f>
        <v>0_published</v>
      </c>
      <c r="AP820" s="10" t="str">
        <f>VLOOKUP(MID($AS820,1,255),source_lookup!$B:$K,6,FALSE)</f>
        <v>1_VHB high</v>
      </c>
      <c r="AQ820" s="10" t="str">
        <f>VLOOKUP(MID($AS820,1,255),source_lookup!$B:$K,10,FALSE)</f>
        <v>1_fin/acc/econ</v>
      </c>
      <c r="AR820" t="s">
        <v>85</v>
      </c>
      <c r="AS820" t="s">
        <v>159</v>
      </c>
    </row>
    <row r="821" spans="1:45" x14ac:dyDescent="0.3">
      <c r="A821" t="s">
        <v>35</v>
      </c>
      <c r="B821">
        <v>820</v>
      </c>
      <c r="C821" s="1">
        <v>1.9543776233251955E-2</v>
      </c>
      <c r="D821" s="2">
        <v>115</v>
      </c>
      <c r="E821" s="4">
        <v>1035</v>
      </c>
      <c r="F821" s="4" t="s">
        <v>346</v>
      </c>
      <c r="G821" s="4" t="s">
        <v>346</v>
      </c>
      <c r="H821" t="s">
        <v>77</v>
      </c>
      <c r="I821" t="s">
        <v>352</v>
      </c>
      <c r="J821" s="3">
        <v>2010</v>
      </c>
      <c r="K821" s="3">
        <v>2018</v>
      </c>
      <c r="L821" s="6">
        <f t="shared" si="251"/>
        <v>2014</v>
      </c>
      <c r="M821" s="6">
        <f t="shared" si="252"/>
        <v>2014</v>
      </c>
      <c r="N821" s="7">
        <f t="shared" si="240"/>
        <v>0.33333333333333331</v>
      </c>
      <c r="O821" s="7">
        <f t="shared" si="241"/>
        <v>0.22222222222222221</v>
      </c>
      <c r="P821" s="7">
        <f t="shared" si="242"/>
        <v>0.1111111111111111</v>
      </c>
      <c r="Q821" s="7">
        <f t="shared" si="253"/>
        <v>0</v>
      </c>
      <c r="R821" s="10" t="str">
        <f t="shared" si="243"/>
        <v>0_Pre</v>
      </c>
      <c r="S821" s="10" t="str">
        <f t="shared" si="244"/>
        <v>0_Pre</v>
      </c>
      <c r="T821" s="10" t="str">
        <f t="shared" si="245"/>
        <v>0_Pre</v>
      </c>
      <c r="U821" s="10" t="str">
        <f t="shared" si="246"/>
        <v>1_Post</v>
      </c>
      <c r="V821" s="10" t="str">
        <f t="shared" si="254"/>
        <v>0_Pre</v>
      </c>
      <c r="W821" s="10" t="str">
        <f t="shared" si="247"/>
        <v>straddle</v>
      </c>
      <c r="X821" s="10" t="str">
        <f t="shared" si="248"/>
        <v>0_Pre</v>
      </c>
      <c r="Y821" s="10" t="str">
        <f t="shared" si="249"/>
        <v>0_Pre</v>
      </c>
      <c r="Z821" s="10" t="str">
        <f t="shared" si="250"/>
        <v>0_Pre</v>
      </c>
      <c r="AA821" s="10" t="str">
        <f t="shared" si="255"/>
        <v>1_Post</v>
      </c>
      <c r="AB821" s="10" t="str">
        <f t="shared" si="256"/>
        <v>1_Post</v>
      </c>
      <c r="AC821" s="10" t="str">
        <f t="shared" si="257"/>
        <v>0_Pre</v>
      </c>
      <c r="AD821" s="10" t="str">
        <f t="shared" si="258"/>
        <v>2_post sample median</v>
      </c>
      <c r="AE821" s="10" t="str">
        <f t="shared" si="259"/>
        <v>3_post sample third tertile</v>
      </c>
      <c r="AF821" t="s">
        <v>81</v>
      </c>
      <c r="AG821" t="s">
        <v>74</v>
      </c>
      <c r="AH821" t="s">
        <v>78</v>
      </c>
      <c r="AI821" t="s">
        <v>122</v>
      </c>
      <c r="AJ821" t="s">
        <v>122</v>
      </c>
      <c r="AK821" t="str">
        <f>VLOOKUP(MID($AR821,1,255),country_lookup!$B:$F,2,FALSE)</f>
        <v>1_US</v>
      </c>
      <c r="AL821" t="str">
        <f>VLOOKUP(MID($AR821,1,255),country_lookup!$B:$F,3,FALSE)</f>
        <v>1_developed</v>
      </c>
      <c r="AM821" t="str">
        <f>VLOOKUP(MID($AR821,1,255),country_lookup!$B:$F,4,FALSE)</f>
        <v>1_western</v>
      </c>
      <c r="AN821" t="str">
        <f>VLOOKUP(MID($AR821,1,255),country_lookup!$B:$F,5,FALSE)</f>
        <v>1_common law</v>
      </c>
      <c r="AO821" s="10" t="str">
        <f>VLOOKUP(MID($AS821,1,255),source_lookup!$B:$K,4,FALSE)</f>
        <v>0_published</v>
      </c>
      <c r="AP821" s="10" t="str">
        <f>VLOOKUP(MID($AS821,1,255),source_lookup!$B:$K,6,FALSE)</f>
        <v>1_VHB high</v>
      </c>
      <c r="AQ821" s="10" t="str">
        <f>VLOOKUP(MID($AS821,1,255),source_lookup!$B:$K,10,FALSE)</f>
        <v>1_fin/acc/econ</v>
      </c>
      <c r="AR821" t="s">
        <v>85</v>
      </c>
      <c r="AS821" t="s">
        <v>159</v>
      </c>
    </row>
    <row r="822" spans="1:45" x14ac:dyDescent="0.3">
      <c r="A822" t="s">
        <v>36</v>
      </c>
      <c r="B822">
        <v>821</v>
      </c>
      <c r="C822" s="1">
        <v>-0.40899999999999997</v>
      </c>
      <c r="D822" s="2">
        <v>778</v>
      </c>
      <c r="E822" s="4">
        <v>2117</v>
      </c>
      <c r="F822" s="4" t="s">
        <v>346</v>
      </c>
      <c r="G822" s="4" t="s">
        <v>347</v>
      </c>
      <c r="H822" t="s">
        <v>76</v>
      </c>
      <c r="I822" t="s">
        <v>353</v>
      </c>
      <c r="J822" s="3">
        <v>2014</v>
      </c>
      <c r="K822" s="3">
        <v>2017</v>
      </c>
      <c r="L822" s="6">
        <f t="shared" si="251"/>
        <v>2015.5</v>
      </c>
      <c r="M822" s="6">
        <f t="shared" si="252"/>
        <v>2015.5</v>
      </c>
      <c r="N822" s="7">
        <f t="shared" si="240"/>
        <v>0.5</v>
      </c>
      <c r="O822" s="7">
        <f t="shared" si="241"/>
        <v>0.25</v>
      </c>
      <c r="P822" s="7">
        <f t="shared" si="242"/>
        <v>0</v>
      </c>
      <c r="Q822" s="7">
        <f t="shared" si="253"/>
        <v>0</v>
      </c>
      <c r="R822" s="10" t="str">
        <f t="shared" si="243"/>
        <v>1_Post</v>
      </c>
      <c r="S822" s="10" t="str">
        <f t="shared" si="244"/>
        <v>0_Pre</v>
      </c>
      <c r="T822" s="10" t="str">
        <f t="shared" si="245"/>
        <v>0_Pre</v>
      </c>
      <c r="U822" s="10" t="str">
        <f t="shared" si="246"/>
        <v>1_Post</v>
      </c>
      <c r="V822" s="10" t="str">
        <f t="shared" si="254"/>
        <v>0_Pre</v>
      </c>
      <c r="W822" s="10" t="str">
        <f t="shared" si="247"/>
        <v>straddle</v>
      </c>
      <c r="X822" s="10" t="str">
        <f t="shared" si="248"/>
        <v>0_Pre</v>
      </c>
      <c r="Y822" s="10" t="str">
        <f t="shared" si="249"/>
        <v>0_Pre</v>
      </c>
      <c r="Z822" s="10" t="str">
        <f t="shared" si="250"/>
        <v>0_Pre</v>
      </c>
      <c r="AA822" s="10" t="str">
        <f t="shared" si="255"/>
        <v>1_Post</v>
      </c>
      <c r="AB822" s="10" t="str">
        <f t="shared" si="256"/>
        <v>0_Pre</v>
      </c>
      <c r="AC822" s="10" t="str">
        <f t="shared" si="257"/>
        <v>0_Pre</v>
      </c>
      <c r="AD822" s="10" t="str">
        <f t="shared" si="258"/>
        <v>2_post sample median</v>
      </c>
      <c r="AE822" s="10" t="str">
        <f t="shared" si="259"/>
        <v>3_post sample third tertile</v>
      </c>
      <c r="AF822" t="s">
        <v>67</v>
      </c>
      <c r="AG822" t="s">
        <v>74</v>
      </c>
      <c r="AH822" t="s">
        <v>78</v>
      </c>
      <c r="AI822" t="s">
        <v>70</v>
      </c>
      <c r="AJ822" t="s">
        <v>70</v>
      </c>
      <c r="AK822" t="str">
        <f>VLOOKUP(MID($AR822,1,255),country_lookup!$B:$F,2,FALSE)</f>
        <v>2_Europe</v>
      </c>
      <c r="AL822" t="str">
        <f>VLOOKUP(MID($AR822,1,255),country_lookup!$B:$F,3,FALSE)</f>
        <v>99_NCE</v>
      </c>
      <c r="AM822" t="str">
        <f>VLOOKUP(MID($AR822,1,255),country_lookup!$B:$F,4,FALSE)</f>
        <v>99_NCE</v>
      </c>
      <c r="AN822" t="str">
        <f>VLOOKUP(MID($AR822,1,255),country_lookup!$B:$F,5,FALSE)</f>
        <v>1_common law</v>
      </c>
      <c r="AO822" s="10" t="str">
        <f>VLOOKUP(MID($AS822,1,255),source_lookup!$B:$K,4,FALSE)</f>
        <v>0_published</v>
      </c>
      <c r="AP822" s="10" t="str">
        <f>VLOOKUP(MID($AS822,1,255),source_lookup!$B:$K,6,FALSE)</f>
        <v>1_VHB high</v>
      </c>
      <c r="AQ822" s="10" t="str">
        <f>VLOOKUP(MID($AS822,1,255),source_lookup!$B:$K,10,FALSE)</f>
        <v>3_mgmt</v>
      </c>
      <c r="AR822" t="s">
        <v>105</v>
      </c>
      <c r="AS822" t="s">
        <v>160</v>
      </c>
    </row>
    <row r="823" spans="1:45" x14ac:dyDescent="0.3">
      <c r="A823" t="s">
        <v>37</v>
      </c>
      <c r="B823">
        <v>822</v>
      </c>
      <c r="C823" s="1">
        <v>-3.5400000000000001E-2</v>
      </c>
      <c r="D823" s="2">
        <v>7996</v>
      </c>
      <c r="E823" s="4">
        <v>71964</v>
      </c>
      <c r="F823" s="4" t="s">
        <v>346</v>
      </c>
      <c r="G823" s="4" t="s">
        <v>346</v>
      </c>
      <c r="H823" t="s">
        <v>76</v>
      </c>
      <c r="I823" t="s">
        <v>353</v>
      </c>
      <c r="J823" s="3">
        <v>2011</v>
      </c>
      <c r="K823" s="3">
        <v>2019</v>
      </c>
      <c r="L823" s="6">
        <f t="shared" si="251"/>
        <v>2015</v>
      </c>
      <c r="M823" s="6">
        <f t="shared" si="252"/>
        <v>2015</v>
      </c>
      <c r="N823" s="7">
        <f t="shared" si="240"/>
        <v>0.44444444444444442</v>
      </c>
      <c r="O823" s="7">
        <f t="shared" si="241"/>
        <v>0.33333333333333331</v>
      </c>
      <c r="P823" s="7">
        <f t="shared" si="242"/>
        <v>0.22222222222222221</v>
      </c>
      <c r="Q823" s="7">
        <f t="shared" si="253"/>
        <v>0.1111111111111111</v>
      </c>
      <c r="R823" s="10" t="str">
        <f t="shared" si="243"/>
        <v>0_Pre</v>
      </c>
      <c r="S823" s="10" t="str">
        <f t="shared" si="244"/>
        <v>0_Pre</v>
      </c>
      <c r="T823" s="10" t="str">
        <f t="shared" si="245"/>
        <v>0_Pre</v>
      </c>
      <c r="U823" s="10" t="str">
        <f t="shared" si="246"/>
        <v>1_Post</v>
      </c>
      <c r="V823" s="10" t="str">
        <f t="shared" si="254"/>
        <v>0_Pre</v>
      </c>
      <c r="W823" s="10" t="str">
        <f t="shared" si="247"/>
        <v>straddle</v>
      </c>
      <c r="X823" s="10" t="str">
        <f t="shared" si="248"/>
        <v>0_Pre</v>
      </c>
      <c r="Y823" s="10" t="str">
        <f t="shared" si="249"/>
        <v>0_Pre</v>
      </c>
      <c r="Z823" s="10" t="str">
        <f t="shared" si="250"/>
        <v>0_Pre</v>
      </c>
      <c r="AA823" s="10" t="str">
        <f t="shared" si="255"/>
        <v>1_Post</v>
      </c>
      <c r="AB823" s="10" t="str">
        <f t="shared" si="256"/>
        <v>1_Post</v>
      </c>
      <c r="AC823" s="10" t="str">
        <f t="shared" si="257"/>
        <v>1_Post</v>
      </c>
      <c r="AD823" s="10" t="str">
        <f t="shared" si="258"/>
        <v>2_post sample median</v>
      </c>
      <c r="AE823" s="10" t="str">
        <f t="shared" si="259"/>
        <v>3_post sample third tertile</v>
      </c>
      <c r="AF823" t="s">
        <v>67</v>
      </c>
      <c r="AG823" t="s">
        <v>74</v>
      </c>
      <c r="AH823" t="s">
        <v>78</v>
      </c>
      <c r="AI823" t="s">
        <v>122</v>
      </c>
      <c r="AJ823" t="s">
        <v>123</v>
      </c>
      <c r="AK823" t="str">
        <f>VLOOKUP(MID($AR823,1,255),country_lookup!$B:$F,2,FALSE)</f>
        <v>3_AsiaPac</v>
      </c>
      <c r="AL823" t="str">
        <f>VLOOKUP(MID($AR823,1,255),country_lookup!$B:$F,3,FALSE)</f>
        <v>1_developed</v>
      </c>
      <c r="AM823" t="str">
        <f>VLOOKUP(MID($AR823,1,255),country_lookup!$B:$F,4,FALSE)</f>
        <v>2_non_western</v>
      </c>
      <c r="AN823" t="str">
        <f>VLOOKUP(MID($AR823,1,255),country_lookup!$B:$F,5,FALSE)</f>
        <v>2_civil law</v>
      </c>
      <c r="AO823" s="10" t="str">
        <f>VLOOKUP(MID($AS823,1,255),source_lookup!$B:$K,4,FALSE)</f>
        <v>0_published</v>
      </c>
      <c r="AP823" s="10" t="str">
        <f>VLOOKUP(MID($AS823,1,255),source_lookup!$B:$K,6,FALSE)</f>
        <v>0_VHB low</v>
      </c>
      <c r="AQ823" s="10" t="str">
        <f>VLOOKUP(MID($AS823,1,255),source_lookup!$B:$K,10,FALSE)</f>
        <v>2_sust</v>
      </c>
      <c r="AR823" t="s">
        <v>103</v>
      </c>
      <c r="AS823" t="s">
        <v>161</v>
      </c>
    </row>
    <row r="824" spans="1:45" x14ac:dyDescent="0.3">
      <c r="A824" t="s">
        <v>37</v>
      </c>
      <c r="B824">
        <v>823</v>
      </c>
      <c r="C824" s="1">
        <v>-1.0697921243028157E-2</v>
      </c>
      <c r="D824" s="2">
        <v>7996</v>
      </c>
      <c r="E824" s="4">
        <v>71964</v>
      </c>
      <c r="F824" s="4" t="s">
        <v>346</v>
      </c>
      <c r="G824" s="4" t="s">
        <v>346</v>
      </c>
      <c r="H824" t="s">
        <v>77</v>
      </c>
      <c r="I824" t="s">
        <v>350</v>
      </c>
      <c r="J824" s="3">
        <v>2011</v>
      </c>
      <c r="K824" s="3">
        <v>2019</v>
      </c>
      <c r="L824" s="6">
        <f t="shared" si="251"/>
        <v>2015</v>
      </c>
      <c r="M824" s="6">
        <f t="shared" si="252"/>
        <v>2015</v>
      </c>
      <c r="N824" s="7">
        <f t="shared" si="240"/>
        <v>0.44444444444444442</v>
      </c>
      <c r="O824" s="7">
        <f t="shared" si="241"/>
        <v>0.33333333333333331</v>
      </c>
      <c r="P824" s="7">
        <f t="shared" si="242"/>
        <v>0.22222222222222221</v>
      </c>
      <c r="Q824" s="7">
        <f t="shared" si="253"/>
        <v>0.1111111111111111</v>
      </c>
      <c r="R824" s="10" t="str">
        <f t="shared" si="243"/>
        <v>0_Pre</v>
      </c>
      <c r="S824" s="10" t="str">
        <f t="shared" si="244"/>
        <v>0_Pre</v>
      </c>
      <c r="T824" s="10" t="str">
        <f t="shared" si="245"/>
        <v>0_Pre</v>
      </c>
      <c r="U824" s="10" t="str">
        <f t="shared" si="246"/>
        <v>1_Post</v>
      </c>
      <c r="V824" s="10" t="str">
        <f t="shared" si="254"/>
        <v>0_Pre</v>
      </c>
      <c r="W824" s="10" t="str">
        <f t="shared" si="247"/>
        <v>straddle</v>
      </c>
      <c r="X824" s="10" t="str">
        <f t="shared" si="248"/>
        <v>0_Pre</v>
      </c>
      <c r="Y824" s="10" t="str">
        <f t="shared" si="249"/>
        <v>0_Pre</v>
      </c>
      <c r="Z824" s="10" t="str">
        <f t="shared" si="250"/>
        <v>0_Pre</v>
      </c>
      <c r="AA824" s="10" t="str">
        <f t="shared" si="255"/>
        <v>1_Post</v>
      </c>
      <c r="AB824" s="10" t="str">
        <f t="shared" si="256"/>
        <v>1_Post</v>
      </c>
      <c r="AC824" s="10" t="str">
        <f t="shared" si="257"/>
        <v>1_Post</v>
      </c>
      <c r="AD824" s="10" t="str">
        <f t="shared" si="258"/>
        <v>2_post sample median</v>
      </c>
      <c r="AE824" s="10" t="str">
        <f t="shared" si="259"/>
        <v>3_post sample third tertile</v>
      </c>
      <c r="AF824" t="s">
        <v>67</v>
      </c>
      <c r="AG824" t="s">
        <v>74</v>
      </c>
      <c r="AH824" t="s">
        <v>78</v>
      </c>
      <c r="AI824" t="s">
        <v>122</v>
      </c>
      <c r="AJ824" t="s">
        <v>123</v>
      </c>
      <c r="AK824" t="str">
        <f>VLOOKUP(MID($AR824,1,255),country_lookup!$B:$F,2,FALSE)</f>
        <v>3_AsiaPac</v>
      </c>
      <c r="AL824" t="str">
        <f>VLOOKUP(MID($AR824,1,255),country_lookup!$B:$F,3,FALSE)</f>
        <v>1_developed</v>
      </c>
      <c r="AM824" t="str">
        <f>VLOOKUP(MID($AR824,1,255),country_lookup!$B:$F,4,FALSE)</f>
        <v>2_non_western</v>
      </c>
      <c r="AN824" t="str">
        <f>VLOOKUP(MID($AR824,1,255),country_lookup!$B:$F,5,FALSE)</f>
        <v>2_civil law</v>
      </c>
      <c r="AO824" s="10" t="str">
        <f>VLOOKUP(MID($AS824,1,255),source_lookup!$B:$K,4,FALSE)</f>
        <v>0_published</v>
      </c>
      <c r="AP824" s="10" t="str">
        <f>VLOOKUP(MID($AS824,1,255),source_lookup!$B:$K,6,FALSE)</f>
        <v>0_VHB low</v>
      </c>
      <c r="AQ824" s="10" t="str">
        <f>VLOOKUP(MID($AS824,1,255),source_lookup!$B:$K,10,FALSE)</f>
        <v>2_sust</v>
      </c>
      <c r="AR824" t="s">
        <v>103</v>
      </c>
      <c r="AS824" t="s">
        <v>161</v>
      </c>
    </row>
    <row r="825" spans="1:45" x14ac:dyDescent="0.3">
      <c r="A825" t="s">
        <v>37</v>
      </c>
      <c r="B825">
        <v>824</v>
      </c>
      <c r="C825" s="1">
        <v>-1.5017558156875232E-2</v>
      </c>
      <c r="D825" s="2">
        <v>596</v>
      </c>
      <c r="E825" s="4">
        <v>5364</v>
      </c>
      <c r="F825" s="4" t="s">
        <v>346</v>
      </c>
      <c r="G825" s="4" t="s">
        <v>346</v>
      </c>
      <c r="H825" t="s">
        <v>77</v>
      </c>
      <c r="I825" t="s">
        <v>350</v>
      </c>
      <c r="J825" s="3">
        <v>2011</v>
      </c>
      <c r="K825" s="3">
        <v>2019</v>
      </c>
      <c r="L825" s="6">
        <f t="shared" si="251"/>
        <v>2015</v>
      </c>
      <c r="M825" s="6">
        <f t="shared" si="252"/>
        <v>2015</v>
      </c>
      <c r="N825" s="7">
        <f t="shared" si="240"/>
        <v>0.44444444444444442</v>
      </c>
      <c r="O825" s="7">
        <f t="shared" si="241"/>
        <v>0.33333333333333331</v>
      </c>
      <c r="P825" s="7">
        <f t="shared" si="242"/>
        <v>0.22222222222222221</v>
      </c>
      <c r="Q825" s="7">
        <f t="shared" si="253"/>
        <v>0.1111111111111111</v>
      </c>
      <c r="R825" s="10" t="str">
        <f t="shared" si="243"/>
        <v>0_Pre</v>
      </c>
      <c r="S825" s="10" t="str">
        <f t="shared" si="244"/>
        <v>0_Pre</v>
      </c>
      <c r="T825" s="10" t="str">
        <f t="shared" si="245"/>
        <v>0_Pre</v>
      </c>
      <c r="U825" s="10" t="str">
        <f t="shared" si="246"/>
        <v>1_Post</v>
      </c>
      <c r="V825" s="10" t="str">
        <f t="shared" si="254"/>
        <v>0_Pre</v>
      </c>
      <c r="W825" s="10" t="str">
        <f t="shared" si="247"/>
        <v>straddle</v>
      </c>
      <c r="X825" s="10" t="str">
        <f t="shared" si="248"/>
        <v>0_Pre</v>
      </c>
      <c r="Y825" s="10" t="str">
        <f t="shared" si="249"/>
        <v>0_Pre</v>
      </c>
      <c r="Z825" s="10" t="str">
        <f t="shared" si="250"/>
        <v>0_Pre</v>
      </c>
      <c r="AA825" s="10" t="str">
        <f t="shared" si="255"/>
        <v>1_Post</v>
      </c>
      <c r="AB825" s="10" t="str">
        <f t="shared" si="256"/>
        <v>1_Post</v>
      </c>
      <c r="AC825" s="10" t="str">
        <f t="shared" si="257"/>
        <v>1_Post</v>
      </c>
      <c r="AD825" s="10" t="str">
        <f t="shared" si="258"/>
        <v>2_post sample median</v>
      </c>
      <c r="AE825" s="10" t="str">
        <f t="shared" si="259"/>
        <v>3_post sample third tertile</v>
      </c>
      <c r="AF825" t="s">
        <v>67</v>
      </c>
      <c r="AG825" t="s">
        <v>74</v>
      </c>
      <c r="AH825" t="s">
        <v>78</v>
      </c>
      <c r="AI825" t="s">
        <v>122</v>
      </c>
      <c r="AJ825" t="s">
        <v>123</v>
      </c>
      <c r="AK825" t="str">
        <f>VLOOKUP(MID($AR825,1,255),country_lookup!$B:$F,2,FALSE)</f>
        <v>3_AsiaPac</v>
      </c>
      <c r="AL825" t="str">
        <f>VLOOKUP(MID($AR825,1,255),country_lookup!$B:$F,3,FALSE)</f>
        <v>1_developed</v>
      </c>
      <c r="AM825" t="str">
        <f>VLOOKUP(MID($AR825,1,255),country_lookup!$B:$F,4,FALSE)</f>
        <v>2_non_western</v>
      </c>
      <c r="AN825" t="str">
        <f>VLOOKUP(MID($AR825,1,255),country_lookup!$B:$F,5,FALSE)</f>
        <v>2_civil law</v>
      </c>
      <c r="AO825" s="10" t="str">
        <f>VLOOKUP(MID($AS825,1,255),source_lookup!$B:$K,4,FALSE)</f>
        <v>0_published</v>
      </c>
      <c r="AP825" s="10" t="str">
        <f>VLOOKUP(MID($AS825,1,255),source_lookup!$B:$K,6,FALSE)</f>
        <v>0_VHB low</v>
      </c>
      <c r="AQ825" s="10" t="str">
        <f>VLOOKUP(MID($AS825,1,255),source_lookup!$B:$K,10,FALSE)</f>
        <v>2_sust</v>
      </c>
      <c r="AR825" t="s">
        <v>103</v>
      </c>
      <c r="AS825" t="s">
        <v>161</v>
      </c>
    </row>
    <row r="826" spans="1:45" x14ac:dyDescent="0.3">
      <c r="A826" t="s">
        <v>37</v>
      </c>
      <c r="B826">
        <v>825</v>
      </c>
      <c r="C826" s="1">
        <v>-3.4659980428352874E-2</v>
      </c>
      <c r="D826" s="2">
        <v>596</v>
      </c>
      <c r="E826" s="4">
        <v>5364</v>
      </c>
      <c r="F826" s="4" t="s">
        <v>346</v>
      </c>
      <c r="G826" s="4" t="s">
        <v>346</v>
      </c>
      <c r="H826" t="s">
        <v>77</v>
      </c>
      <c r="I826" t="s">
        <v>350</v>
      </c>
      <c r="J826" s="3">
        <v>2011</v>
      </c>
      <c r="K826" s="3">
        <v>2019</v>
      </c>
      <c r="L826" s="6">
        <f t="shared" si="251"/>
        <v>2015</v>
      </c>
      <c r="M826" s="6">
        <f t="shared" si="252"/>
        <v>2015</v>
      </c>
      <c r="N826" s="7">
        <f t="shared" si="240"/>
        <v>0.44444444444444442</v>
      </c>
      <c r="O826" s="7">
        <f t="shared" si="241"/>
        <v>0.33333333333333331</v>
      </c>
      <c r="P826" s="7">
        <f t="shared" si="242"/>
        <v>0.22222222222222221</v>
      </c>
      <c r="Q826" s="7">
        <f t="shared" si="253"/>
        <v>0.1111111111111111</v>
      </c>
      <c r="R826" s="10" t="str">
        <f t="shared" si="243"/>
        <v>0_Pre</v>
      </c>
      <c r="S826" s="10" t="str">
        <f t="shared" si="244"/>
        <v>0_Pre</v>
      </c>
      <c r="T826" s="10" t="str">
        <f t="shared" si="245"/>
        <v>0_Pre</v>
      </c>
      <c r="U826" s="10" t="str">
        <f t="shared" si="246"/>
        <v>1_Post</v>
      </c>
      <c r="V826" s="10" t="str">
        <f t="shared" si="254"/>
        <v>0_Pre</v>
      </c>
      <c r="W826" s="10" t="str">
        <f t="shared" si="247"/>
        <v>straddle</v>
      </c>
      <c r="X826" s="10" t="str">
        <f t="shared" si="248"/>
        <v>0_Pre</v>
      </c>
      <c r="Y826" s="10" t="str">
        <f t="shared" si="249"/>
        <v>0_Pre</v>
      </c>
      <c r="Z826" s="10" t="str">
        <f t="shared" si="250"/>
        <v>0_Pre</v>
      </c>
      <c r="AA826" s="10" t="str">
        <f t="shared" si="255"/>
        <v>1_Post</v>
      </c>
      <c r="AB826" s="10" t="str">
        <f t="shared" si="256"/>
        <v>1_Post</v>
      </c>
      <c r="AC826" s="10" t="str">
        <f t="shared" si="257"/>
        <v>1_Post</v>
      </c>
      <c r="AD826" s="10" t="str">
        <f t="shared" si="258"/>
        <v>2_post sample median</v>
      </c>
      <c r="AE826" s="10" t="str">
        <f t="shared" si="259"/>
        <v>3_post sample third tertile</v>
      </c>
      <c r="AF826" t="s">
        <v>67</v>
      </c>
      <c r="AG826" t="s">
        <v>74</v>
      </c>
      <c r="AH826" t="s">
        <v>78</v>
      </c>
      <c r="AI826" t="s">
        <v>122</v>
      </c>
      <c r="AJ826" t="s">
        <v>123</v>
      </c>
      <c r="AK826" t="str">
        <f>VLOOKUP(MID($AR826,1,255),country_lookup!$B:$F,2,FALSE)</f>
        <v>3_AsiaPac</v>
      </c>
      <c r="AL826" t="str">
        <f>VLOOKUP(MID($AR826,1,255),country_lookup!$B:$F,3,FALSE)</f>
        <v>1_developed</v>
      </c>
      <c r="AM826" t="str">
        <f>VLOOKUP(MID($AR826,1,255),country_lookup!$B:$F,4,FALSE)</f>
        <v>2_non_western</v>
      </c>
      <c r="AN826" t="str">
        <f>VLOOKUP(MID($AR826,1,255),country_lookup!$B:$F,5,FALSE)</f>
        <v>2_civil law</v>
      </c>
      <c r="AO826" s="10" t="str">
        <f>VLOOKUP(MID($AS826,1,255),source_lookup!$B:$K,4,FALSE)</f>
        <v>0_published</v>
      </c>
      <c r="AP826" s="10" t="str">
        <f>VLOOKUP(MID($AS826,1,255),source_lookup!$B:$K,6,FALSE)</f>
        <v>0_VHB low</v>
      </c>
      <c r="AQ826" s="10" t="str">
        <f>VLOOKUP(MID($AS826,1,255),source_lookup!$B:$K,10,FALSE)</f>
        <v>2_sust</v>
      </c>
      <c r="AR826" t="s">
        <v>103</v>
      </c>
      <c r="AS826" t="s">
        <v>161</v>
      </c>
    </row>
    <row r="827" spans="1:45" x14ac:dyDescent="0.3">
      <c r="A827" t="s">
        <v>37</v>
      </c>
      <c r="B827">
        <v>826</v>
      </c>
      <c r="C827" s="1">
        <v>-2.615958288045565E-2</v>
      </c>
      <c r="D827" s="2">
        <v>7996</v>
      </c>
      <c r="E827" s="4">
        <v>71964</v>
      </c>
      <c r="F827" s="4" t="s">
        <v>346</v>
      </c>
      <c r="G827" s="4" t="s">
        <v>346</v>
      </c>
      <c r="H827" t="s">
        <v>77</v>
      </c>
      <c r="I827" t="s">
        <v>350</v>
      </c>
      <c r="J827" s="3">
        <v>2011</v>
      </c>
      <c r="K827" s="3">
        <v>2019</v>
      </c>
      <c r="L827" s="6">
        <f t="shared" si="251"/>
        <v>2015</v>
      </c>
      <c r="M827" s="6">
        <f t="shared" si="252"/>
        <v>2015</v>
      </c>
      <c r="N827" s="7">
        <f t="shared" si="240"/>
        <v>0.44444444444444442</v>
      </c>
      <c r="O827" s="7">
        <f t="shared" si="241"/>
        <v>0.33333333333333331</v>
      </c>
      <c r="P827" s="7">
        <f t="shared" si="242"/>
        <v>0.22222222222222221</v>
      </c>
      <c r="Q827" s="7">
        <f t="shared" si="253"/>
        <v>0.1111111111111111</v>
      </c>
      <c r="R827" s="10" t="str">
        <f t="shared" si="243"/>
        <v>0_Pre</v>
      </c>
      <c r="S827" s="10" t="str">
        <f t="shared" si="244"/>
        <v>0_Pre</v>
      </c>
      <c r="T827" s="10" t="str">
        <f t="shared" si="245"/>
        <v>0_Pre</v>
      </c>
      <c r="U827" s="10" t="str">
        <f t="shared" si="246"/>
        <v>1_Post</v>
      </c>
      <c r="V827" s="10" t="str">
        <f t="shared" si="254"/>
        <v>0_Pre</v>
      </c>
      <c r="W827" s="10" t="str">
        <f t="shared" si="247"/>
        <v>straddle</v>
      </c>
      <c r="X827" s="10" t="str">
        <f t="shared" si="248"/>
        <v>0_Pre</v>
      </c>
      <c r="Y827" s="10" t="str">
        <f t="shared" si="249"/>
        <v>0_Pre</v>
      </c>
      <c r="Z827" s="10" t="str">
        <f t="shared" si="250"/>
        <v>0_Pre</v>
      </c>
      <c r="AA827" s="10" t="str">
        <f t="shared" si="255"/>
        <v>1_Post</v>
      </c>
      <c r="AB827" s="10" t="str">
        <f t="shared" si="256"/>
        <v>1_Post</v>
      </c>
      <c r="AC827" s="10" t="str">
        <f t="shared" si="257"/>
        <v>1_Post</v>
      </c>
      <c r="AD827" s="10" t="str">
        <f t="shared" si="258"/>
        <v>2_post sample median</v>
      </c>
      <c r="AE827" s="10" t="str">
        <f t="shared" si="259"/>
        <v>3_post sample third tertile</v>
      </c>
      <c r="AF827" t="s">
        <v>67</v>
      </c>
      <c r="AG827" t="s">
        <v>74</v>
      </c>
      <c r="AH827" t="s">
        <v>78</v>
      </c>
      <c r="AI827" t="s">
        <v>122</v>
      </c>
      <c r="AJ827" t="s">
        <v>123</v>
      </c>
      <c r="AK827" t="str">
        <f>VLOOKUP(MID($AR827,1,255),country_lookup!$B:$F,2,FALSE)</f>
        <v>3_AsiaPac</v>
      </c>
      <c r="AL827" t="str">
        <f>VLOOKUP(MID($AR827,1,255),country_lookup!$B:$F,3,FALSE)</f>
        <v>1_developed</v>
      </c>
      <c r="AM827" t="str">
        <f>VLOOKUP(MID($AR827,1,255),country_lookup!$B:$F,4,FALSE)</f>
        <v>2_non_western</v>
      </c>
      <c r="AN827" t="str">
        <f>VLOOKUP(MID($AR827,1,255),country_lookup!$B:$F,5,FALSE)</f>
        <v>2_civil law</v>
      </c>
      <c r="AO827" s="10" t="str">
        <f>VLOOKUP(MID($AS827,1,255),source_lookup!$B:$K,4,FALSE)</f>
        <v>0_published</v>
      </c>
      <c r="AP827" s="10" t="str">
        <f>VLOOKUP(MID($AS827,1,255),source_lookup!$B:$K,6,FALSE)</f>
        <v>0_VHB low</v>
      </c>
      <c r="AQ827" s="10" t="str">
        <f>VLOOKUP(MID($AS827,1,255),source_lookup!$B:$K,10,FALSE)</f>
        <v>2_sust</v>
      </c>
      <c r="AR827" t="s">
        <v>103</v>
      </c>
      <c r="AS827" t="s">
        <v>161</v>
      </c>
    </row>
    <row r="828" spans="1:45" x14ac:dyDescent="0.3">
      <c r="A828" t="s">
        <v>37</v>
      </c>
      <c r="B828">
        <v>827</v>
      </c>
      <c r="C828" s="1">
        <v>-1.7201324954023794E-2</v>
      </c>
      <c r="D828" s="2">
        <v>596</v>
      </c>
      <c r="E828" s="4">
        <v>5364</v>
      </c>
      <c r="F828" s="4" t="s">
        <v>346</v>
      </c>
      <c r="G828" s="4" t="s">
        <v>346</v>
      </c>
      <c r="H828" t="s">
        <v>77</v>
      </c>
      <c r="I828" t="s">
        <v>350</v>
      </c>
      <c r="J828" s="3">
        <v>2011</v>
      </c>
      <c r="K828" s="3">
        <v>2019</v>
      </c>
      <c r="L828" s="6">
        <f t="shared" si="251"/>
        <v>2015</v>
      </c>
      <c r="M828" s="6">
        <f t="shared" si="252"/>
        <v>2015</v>
      </c>
      <c r="N828" s="7">
        <f t="shared" si="240"/>
        <v>0.44444444444444442</v>
      </c>
      <c r="O828" s="7">
        <f t="shared" si="241"/>
        <v>0.33333333333333331</v>
      </c>
      <c r="P828" s="7">
        <f t="shared" si="242"/>
        <v>0.22222222222222221</v>
      </c>
      <c r="Q828" s="7">
        <f t="shared" si="253"/>
        <v>0.1111111111111111</v>
      </c>
      <c r="R828" s="10" t="str">
        <f t="shared" si="243"/>
        <v>0_Pre</v>
      </c>
      <c r="S828" s="10" t="str">
        <f t="shared" si="244"/>
        <v>0_Pre</v>
      </c>
      <c r="T828" s="10" t="str">
        <f t="shared" si="245"/>
        <v>0_Pre</v>
      </c>
      <c r="U828" s="10" t="str">
        <f t="shared" si="246"/>
        <v>1_Post</v>
      </c>
      <c r="V828" s="10" t="str">
        <f t="shared" si="254"/>
        <v>0_Pre</v>
      </c>
      <c r="W828" s="10" t="str">
        <f t="shared" si="247"/>
        <v>straddle</v>
      </c>
      <c r="X828" s="10" t="str">
        <f t="shared" si="248"/>
        <v>0_Pre</v>
      </c>
      <c r="Y828" s="10" t="str">
        <f t="shared" si="249"/>
        <v>0_Pre</v>
      </c>
      <c r="Z828" s="10" t="str">
        <f t="shared" si="250"/>
        <v>0_Pre</v>
      </c>
      <c r="AA828" s="10" t="str">
        <f t="shared" si="255"/>
        <v>1_Post</v>
      </c>
      <c r="AB828" s="10" t="str">
        <f t="shared" si="256"/>
        <v>1_Post</v>
      </c>
      <c r="AC828" s="10" t="str">
        <f t="shared" si="257"/>
        <v>1_Post</v>
      </c>
      <c r="AD828" s="10" t="str">
        <f t="shared" si="258"/>
        <v>2_post sample median</v>
      </c>
      <c r="AE828" s="10" t="str">
        <f t="shared" si="259"/>
        <v>3_post sample third tertile</v>
      </c>
      <c r="AF828" t="s">
        <v>67</v>
      </c>
      <c r="AG828" t="s">
        <v>74</v>
      </c>
      <c r="AH828" t="s">
        <v>78</v>
      </c>
      <c r="AI828" t="s">
        <v>122</v>
      </c>
      <c r="AJ828" t="s">
        <v>123</v>
      </c>
      <c r="AK828" t="str">
        <f>VLOOKUP(MID($AR828,1,255),country_lookup!$B:$F,2,FALSE)</f>
        <v>3_AsiaPac</v>
      </c>
      <c r="AL828" t="str">
        <f>VLOOKUP(MID($AR828,1,255),country_lookup!$B:$F,3,FALSE)</f>
        <v>1_developed</v>
      </c>
      <c r="AM828" t="str">
        <f>VLOOKUP(MID($AR828,1,255),country_lookup!$B:$F,4,FALSE)</f>
        <v>2_non_western</v>
      </c>
      <c r="AN828" t="str">
        <f>VLOOKUP(MID($AR828,1,255),country_lookup!$B:$F,5,FALSE)</f>
        <v>2_civil law</v>
      </c>
      <c r="AO828" s="10" t="str">
        <f>VLOOKUP(MID($AS828,1,255),source_lookup!$B:$K,4,FALSE)</f>
        <v>0_published</v>
      </c>
      <c r="AP828" s="10" t="str">
        <f>VLOOKUP(MID($AS828,1,255),source_lookup!$B:$K,6,FALSE)</f>
        <v>0_VHB low</v>
      </c>
      <c r="AQ828" s="10" t="str">
        <f>VLOOKUP(MID($AS828,1,255),source_lookup!$B:$K,10,FALSE)</f>
        <v>2_sust</v>
      </c>
      <c r="AR828" t="s">
        <v>103</v>
      </c>
      <c r="AS828" t="s">
        <v>161</v>
      </c>
    </row>
    <row r="829" spans="1:45" x14ac:dyDescent="0.3">
      <c r="A829" t="s">
        <v>37</v>
      </c>
      <c r="B829">
        <v>828</v>
      </c>
      <c r="C829" s="1">
        <v>-3.4796272148763532E-2</v>
      </c>
      <c r="D829" s="2">
        <v>596</v>
      </c>
      <c r="E829" s="4">
        <v>5364</v>
      </c>
      <c r="F829" s="4" t="s">
        <v>346</v>
      </c>
      <c r="G829" s="4" t="s">
        <v>346</v>
      </c>
      <c r="H829" t="s">
        <v>77</v>
      </c>
      <c r="I829" t="s">
        <v>350</v>
      </c>
      <c r="J829" s="3">
        <v>2011</v>
      </c>
      <c r="K829" s="3">
        <v>2019</v>
      </c>
      <c r="L829" s="6">
        <f t="shared" si="251"/>
        <v>2015</v>
      </c>
      <c r="M829" s="6">
        <f t="shared" si="252"/>
        <v>2015</v>
      </c>
      <c r="N829" s="7">
        <f t="shared" si="240"/>
        <v>0.44444444444444442</v>
      </c>
      <c r="O829" s="7">
        <f t="shared" si="241"/>
        <v>0.33333333333333331</v>
      </c>
      <c r="P829" s="7">
        <f t="shared" si="242"/>
        <v>0.22222222222222221</v>
      </c>
      <c r="Q829" s="7">
        <f t="shared" si="253"/>
        <v>0.1111111111111111</v>
      </c>
      <c r="R829" s="10" t="str">
        <f t="shared" si="243"/>
        <v>0_Pre</v>
      </c>
      <c r="S829" s="10" t="str">
        <f t="shared" si="244"/>
        <v>0_Pre</v>
      </c>
      <c r="T829" s="10" t="str">
        <f t="shared" si="245"/>
        <v>0_Pre</v>
      </c>
      <c r="U829" s="10" t="str">
        <f t="shared" si="246"/>
        <v>1_Post</v>
      </c>
      <c r="V829" s="10" t="str">
        <f t="shared" si="254"/>
        <v>0_Pre</v>
      </c>
      <c r="W829" s="10" t="str">
        <f t="shared" si="247"/>
        <v>straddle</v>
      </c>
      <c r="X829" s="10" t="str">
        <f t="shared" si="248"/>
        <v>0_Pre</v>
      </c>
      <c r="Y829" s="10" t="str">
        <f t="shared" si="249"/>
        <v>0_Pre</v>
      </c>
      <c r="Z829" s="10" t="str">
        <f t="shared" si="250"/>
        <v>0_Pre</v>
      </c>
      <c r="AA829" s="10" t="str">
        <f t="shared" si="255"/>
        <v>1_Post</v>
      </c>
      <c r="AB829" s="10" t="str">
        <f t="shared" si="256"/>
        <v>1_Post</v>
      </c>
      <c r="AC829" s="10" t="str">
        <f t="shared" si="257"/>
        <v>1_Post</v>
      </c>
      <c r="AD829" s="10" t="str">
        <f t="shared" si="258"/>
        <v>2_post sample median</v>
      </c>
      <c r="AE829" s="10" t="str">
        <f t="shared" si="259"/>
        <v>3_post sample third tertile</v>
      </c>
      <c r="AF829" t="s">
        <v>67</v>
      </c>
      <c r="AG829" t="s">
        <v>74</v>
      </c>
      <c r="AH829" t="s">
        <v>78</v>
      </c>
      <c r="AI829" t="s">
        <v>122</v>
      </c>
      <c r="AJ829" t="s">
        <v>123</v>
      </c>
      <c r="AK829" t="str">
        <f>VLOOKUP(MID($AR829,1,255),country_lookup!$B:$F,2,FALSE)</f>
        <v>3_AsiaPac</v>
      </c>
      <c r="AL829" t="str">
        <f>VLOOKUP(MID($AR829,1,255),country_lookup!$B:$F,3,FALSE)</f>
        <v>1_developed</v>
      </c>
      <c r="AM829" t="str">
        <f>VLOOKUP(MID($AR829,1,255),country_lookup!$B:$F,4,FALSE)</f>
        <v>2_non_western</v>
      </c>
      <c r="AN829" t="str">
        <f>VLOOKUP(MID($AR829,1,255),country_lookup!$B:$F,5,FALSE)</f>
        <v>2_civil law</v>
      </c>
      <c r="AO829" s="10" t="str">
        <f>VLOOKUP(MID($AS829,1,255),source_lookup!$B:$K,4,FALSE)</f>
        <v>0_published</v>
      </c>
      <c r="AP829" s="10" t="str">
        <f>VLOOKUP(MID($AS829,1,255),source_lookup!$B:$K,6,FALSE)</f>
        <v>0_VHB low</v>
      </c>
      <c r="AQ829" s="10" t="str">
        <f>VLOOKUP(MID($AS829,1,255),source_lookup!$B:$K,10,FALSE)</f>
        <v>2_sust</v>
      </c>
      <c r="AR829" t="s">
        <v>103</v>
      </c>
      <c r="AS829" t="s">
        <v>161</v>
      </c>
    </row>
    <row r="830" spans="1:45" x14ac:dyDescent="0.3">
      <c r="A830" t="s">
        <v>37</v>
      </c>
      <c r="B830">
        <v>829</v>
      </c>
      <c r="C830" s="1">
        <v>-1.1651668672688362E-2</v>
      </c>
      <c r="D830" s="2">
        <v>4033</v>
      </c>
      <c r="E830" s="4">
        <v>36297</v>
      </c>
      <c r="F830" s="4" t="s">
        <v>346</v>
      </c>
      <c r="G830" s="4" t="s">
        <v>346</v>
      </c>
      <c r="H830" t="s">
        <v>77</v>
      </c>
      <c r="I830" t="s">
        <v>350</v>
      </c>
      <c r="J830" s="3">
        <v>2011</v>
      </c>
      <c r="K830" s="3">
        <v>2019</v>
      </c>
      <c r="L830" s="6">
        <f t="shared" si="251"/>
        <v>2015</v>
      </c>
      <c r="M830" s="6">
        <f t="shared" si="252"/>
        <v>2015</v>
      </c>
      <c r="N830" s="7">
        <f t="shared" si="240"/>
        <v>0.44444444444444442</v>
      </c>
      <c r="O830" s="7">
        <f t="shared" si="241"/>
        <v>0.33333333333333331</v>
      </c>
      <c r="P830" s="7">
        <f t="shared" si="242"/>
        <v>0.22222222222222221</v>
      </c>
      <c r="Q830" s="7">
        <f t="shared" si="253"/>
        <v>0.1111111111111111</v>
      </c>
      <c r="R830" s="10" t="str">
        <f t="shared" si="243"/>
        <v>0_Pre</v>
      </c>
      <c r="S830" s="10" t="str">
        <f t="shared" si="244"/>
        <v>0_Pre</v>
      </c>
      <c r="T830" s="10" t="str">
        <f t="shared" si="245"/>
        <v>0_Pre</v>
      </c>
      <c r="U830" s="10" t="str">
        <f t="shared" si="246"/>
        <v>1_Post</v>
      </c>
      <c r="V830" s="10" t="str">
        <f t="shared" si="254"/>
        <v>0_Pre</v>
      </c>
      <c r="W830" s="10" t="str">
        <f t="shared" si="247"/>
        <v>straddle</v>
      </c>
      <c r="X830" s="10" t="str">
        <f t="shared" si="248"/>
        <v>0_Pre</v>
      </c>
      <c r="Y830" s="10" t="str">
        <f t="shared" si="249"/>
        <v>0_Pre</v>
      </c>
      <c r="Z830" s="10" t="str">
        <f t="shared" si="250"/>
        <v>0_Pre</v>
      </c>
      <c r="AA830" s="10" t="str">
        <f t="shared" si="255"/>
        <v>1_Post</v>
      </c>
      <c r="AB830" s="10" t="str">
        <f t="shared" si="256"/>
        <v>1_Post</v>
      </c>
      <c r="AC830" s="10" t="str">
        <f t="shared" si="257"/>
        <v>1_Post</v>
      </c>
      <c r="AD830" s="10" t="str">
        <f t="shared" si="258"/>
        <v>2_post sample median</v>
      </c>
      <c r="AE830" s="10" t="str">
        <f t="shared" si="259"/>
        <v>3_post sample third tertile</v>
      </c>
      <c r="AF830" t="s">
        <v>67</v>
      </c>
      <c r="AG830" t="s">
        <v>74</v>
      </c>
      <c r="AH830" t="s">
        <v>78</v>
      </c>
      <c r="AI830" t="s">
        <v>122</v>
      </c>
      <c r="AJ830" t="s">
        <v>123</v>
      </c>
      <c r="AK830" t="str">
        <f>VLOOKUP(MID($AR830,1,255),country_lookup!$B:$F,2,FALSE)</f>
        <v>3_AsiaPac</v>
      </c>
      <c r="AL830" t="str">
        <f>VLOOKUP(MID($AR830,1,255),country_lookup!$B:$F,3,FALSE)</f>
        <v>1_developed</v>
      </c>
      <c r="AM830" t="str">
        <f>VLOOKUP(MID($AR830,1,255),country_lookup!$B:$F,4,FALSE)</f>
        <v>2_non_western</v>
      </c>
      <c r="AN830" t="str">
        <f>VLOOKUP(MID($AR830,1,255),country_lookup!$B:$F,5,FALSE)</f>
        <v>2_civil law</v>
      </c>
      <c r="AO830" s="10" t="str">
        <f>VLOOKUP(MID($AS830,1,255),source_lookup!$B:$K,4,FALSE)</f>
        <v>0_published</v>
      </c>
      <c r="AP830" s="10" t="str">
        <f>VLOOKUP(MID($AS830,1,255),source_lookup!$B:$K,6,FALSE)</f>
        <v>0_VHB low</v>
      </c>
      <c r="AQ830" s="10" t="str">
        <f>VLOOKUP(MID($AS830,1,255),source_lookup!$B:$K,10,FALSE)</f>
        <v>2_sust</v>
      </c>
      <c r="AR830" t="s">
        <v>103</v>
      </c>
      <c r="AS830" t="s">
        <v>161</v>
      </c>
    </row>
    <row r="831" spans="1:45" x14ac:dyDescent="0.3">
      <c r="A831" t="s">
        <v>37</v>
      </c>
      <c r="B831">
        <v>830</v>
      </c>
      <c r="C831" s="1">
        <v>-4.8713505530884665E-3</v>
      </c>
      <c r="D831" s="2">
        <v>3963</v>
      </c>
      <c r="E831" s="4">
        <v>35667</v>
      </c>
      <c r="F831" s="4" t="s">
        <v>346</v>
      </c>
      <c r="G831" s="4" t="s">
        <v>346</v>
      </c>
      <c r="H831" t="s">
        <v>77</v>
      </c>
      <c r="I831" t="s">
        <v>350</v>
      </c>
      <c r="J831" s="3">
        <v>2011</v>
      </c>
      <c r="K831" s="3">
        <v>2019</v>
      </c>
      <c r="L831" s="6">
        <f t="shared" si="251"/>
        <v>2015</v>
      </c>
      <c r="M831" s="6">
        <f t="shared" si="252"/>
        <v>2015</v>
      </c>
      <c r="N831" s="7">
        <f t="shared" si="240"/>
        <v>0.44444444444444442</v>
      </c>
      <c r="O831" s="7">
        <f t="shared" si="241"/>
        <v>0.33333333333333331</v>
      </c>
      <c r="P831" s="7">
        <f t="shared" si="242"/>
        <v>0.22222222222222221</v>
      </c>
      <c r="Q831" s="7">
        <f t="shared" si="253"/>
        <v>0.1111111111111111</v>
      </c>
      <c r="R831" s="10" t="str">
        <f t="shared" si="243"/>
        <v>0_Pre</v>
      </c>
      <c r="S831" s="10" t="str">
        <f t="shared" si="244"/>
        <v>0_Pre</v>
      </c>
      <c r="T831" s="10" t="str">
        <f t="shared" si="245"/>
        <v>0_Pre</v>
      </c>
      <c r="U831" s="10" t="str">
        <f t="shared" si="246"/>
        <v>1_Post</v>
      </c>
      <c r="V831" s="10" t="str">
        <f t="shared" si="254"/>
        <v>0_Pre</v>
      </c>
      <c r="W831" s="10" t="str">
        <f t="shared" si="247"/>
        <v>straddle</v>
      </c>
      <c r="X831" s="10" t="str">
        <f t="shared" si="248"/>
        <v>0_Pre</v>
      </c>
      <c r="Y831" s="10" t="str">
        <f t="shared" si="249"/>
        <v>0_Pre</v>
      </c>
      <c r="Z831" s="10" t="str">
        <f t="shared" si="250"/>
        <v>0_Pre</v>
      </c>
      <c r="AA831" s="10" t="str">
        <f t="shared" si="255"/>
        <v>1_Post</v>
      </c>
      <c r="AB831" s="10" t="str">
        <f t="shared" si="256"/>
        <v>1_Post</v>
      </c>
      <c r="AC831" s="10" t="str">
        <f t="shared" si="257"/>
        <v>1_Post</v>
      </c>
      <c r="AD831" s="10" t="str">
        <f t="shared" si="258"/>
        <v>2_post sample median</v>
      </c>
      <c r="AE831" s="10" t="str">
        <f t="shared" si="259"/>
        <v>3_post sample third tertile</v>
      </c>
      <c r="AF831" t="s">
        <v>67</v>
      </c>
      <c r="AG831" t="s">
        <v>74</v>
      </c>
      <c r="AH831" t="s">
        <v>78</v>
      </c>
      <c r="AI831" t="s">
        <v>122</v>
      </c>
      <c r="AJ831" t="s">
        <v>123</v>
      </c>
      <c r="AK831" t="str">
        <f>VLOOKUP(MID($AR831,1,255),country_lookup!$B:$F,2,FALSE)</f>
        <v>3_AsiaPac</v>
      </c>
      <c r="AL831" t="str">
        <f>VLOOKUP(MID($AR831,1,255),country_lookup!$B:$F,3,FALSE)</f>
        <v>1_developed</v>
      </c>
      <c r="AM831" t="str">
        <f>VLOOKUP(MID($AR831,1,255),country_lookup!$B:$F,4,FALSE)</f>
        <v>2_non_western</v>
      </c>
      <c r="AN831" t="str">
        <f>VLOOKUP(MID($AR831,1,255),country_lookup!$B:$F,5,FALSE)</f>
        <v>2_civil law</v>
      </c>
      <c r="AO831" s="10" t="str">
        <f>VLOOKUP(MID($AS831,1,255),source_lookup!$B:$K,4,FALSE)</f>
        <v>0_published</v>
      </c>
      <c r="AP831" s="10" t="str">
        <f>VLOOKUP(MID($AS831,1,255),source_lookup!$B:$K,6,FALSE)</f>
        <v>0_VHB low</v>
      </c>
      <c r="AQ831" s="10" t="str">
        <f>VLOOKUP(MID($AS831,1,255),source_lookup!$B:$K,10,FALSE)</f>
        <v>2_sust</v>
      </c>
      <c r="AR831" t="s">
        <v>103</v>
      </c>
      <c r="AS831" t="s">
        <v>161</v>
      </c>
    </row>
    <row r="832" spans="1:45" x14ac:dyDescent="0.3">
      <c r="A832" t="s">
        <v>37</v>
      </c>
      <c r="B832">
        <v>831</v>
      </c>
      <c r="C832" s="1">
        <v>-1.1804866562500071E-2</v>
      </c>
      <c r="D832" s="2">
        <v>3754</v>
      </c>
      <c r="E832" s="4">
        <v>33786</v>
      </c>
      <c r="F832" s="4" t="s">
        <v>346</v>
      </c>
      <c r="G832" s="4" t="s">
        <v>346</v>
      </c>
      <c r="H832" t="s">
        <v>77</v>
      </c>
      <c r="I832" t="s">
        <v>350</v>
      </c>
      <c r="J832" s="3">
        <v>2011</v>
      </c>
      <c r="K832" s="3">
        <v>2019</v>
      </c>
      <c r="L832" s="6">
        <f t="shared" si="251"/>
        <v>2015</v>
      </c>
      <c r="M832" s="6">
        <f t="shared" si="252"/>
        <v>2015</v>
      </c>
      <c r="N832" s="7">
        <f t="shared" si="240"/>
        <v>0.44444444444444442</v>
      </c>
      <c r="O832" s="7">
        <f t="shared" si="241"/>
        <v>0.33333333333333331</v>
      </c>
      <c r="P832" s="7">
        <f t="shared" si="242"/>
        <v>0.22222222222222221</v>
      </c>
      <c r="Q832" s="7">
        <f t="shared" si="253"/>
        <v>0.1111111111111111</v>
      </c>
      <c r="R832" s="10" t="str">
        <f t="shared" si="243"/>
        <v>0_Pre</v>
      </c>
      <c r="S832" s="10" t="str">
        <f t="shared" si="244"/>
        <v>0_Pre</v>
      </c>
      <c r="T832" s="10" t="str">
        <f t="shared" si="245"/>
        <v>0_Pre</v>
      </c>
      <c r="U832" s="10" t="str">
        <f t="shared" si="246"/>
        <v>1_Post</v>
      </c>
      <c r="V832" s="10" t="str">
        <f t="shared" si="254"/>
        <v>0_Pre</v>
      </c>
      <c r="W832" s="10" t="str">
        <f t="shared" si="247"/>
        <v>straddle</v>
      </c>
      <c r="X832" s="10" t="str">
        <f t="shared" si="248"/>
        <v>0_Pre</v>
      </c>
      <c r="Y832" s="10" t="str">
        <f t="shared" si="249"/>
        <v>0_Pre</v>
      </c>
      <c r="Z832" s="10" t="str">
        <f t="shared" si="250"/>
        <v>0_Pre</v>
      </c>
      <c r="AA832" s="10" t="str">
        <f t="shared" si="255"/>
        <v>1_Post</v>
      </c>
      <c r="AB832" s="10" t="str">
        <f t="shared" si="256"/>
        <v>1_Post</v>
      </c>
      <c r="AC832" s="10" t="str">
        <f t="shared" si="257"/>
        <v>1_Post</v>
      </c>
      <c r="AD832" s="10" t="str">
        <f t="shared" si="258"/>
        <v>2_post sample median</v>
      </c>
      <c r="AE832" s="10" t="str">
        <f t="shared" si="259"/>
        <v>3_post sample third tertile</v>
      </c>
      <c r="AF832" t="s">
        <v>67</v>
      </c>
      <c r="AG832" t="s">
        <v>74</v>
      </c>
      <c r="AH832" t="s">
        <v>78</v>
      </c>
      <c r="AI832" t="s">
        <v>122</v>
      </c>
      <c r="AJ832" t="s">
        <v>123</v>
      </c>
      <c r="AK832" t="str">
        <f>VLOOKUP(MID($AR832,1,255),country_lookup!$B:$F,2,FALSE)</f>
        <v>3_AsiaPac</v>
      </c>
      <c r="AL832" t="str">
        <f>VLOOKUP(MID($AR832,1,255),country_lookup!$B:$F,3,FALSE)</f>
        <v>1_developed</v>
      </c>
      <c r="AM832" t="str">
        <f>VLOOKUP(MID($AR832,1,255),country_lookup!$B:$F,4,FALSE)</f>
        <v>2_non_western</v>
      </c>
      <c r="AN832" t="str">
        <f>VLOOKUP(MID($AR832,1,255),country_lookup!$B:$F,5,FALSE)</f>
        <v>2_civil law</v>
      </c>
      <c r="AO832" s="10" t="str">
        <f>VLOOKUP(MID($AS832,1,255),source_lookup!$B:$K,4,FALSE)</f>
        <v>0_published</v>
      </c>
      <c r="AP832" s="10" t="str">
        <f>VLOOKUP(MID($AS832,1,255),source_lookup!$B:$K,6,FALSE)</f>
        <v>0_VHB low</v>
      </c>
      <c r="AQ832" s="10" t="str">
        <f>VLOOKUP(MID($AS832,1,255),source_lookup!$B:$K,10,FALSE)</f>
        <v>2_sust</v>
      </c>
      <c r="AR832" t="s">
        <v>103</v>
      </c>
      <c r="AS832" t="s">
        <v>161</v>
      </c>
    </row>
    <row r="833" spans="1:45" x14ac:dyDescent="0.3">
      <c r="A833" t="s">
        <v>37</v>
      </c>
      <c r="B833">
        <v>832</v>
      </c>
      <c r="C833" s="1">
        <v>-6.2437395452267768E-3</v>
      </c>
      <c r="D833" s="2">
        <v>4242</v>
      </c>
      <c r="E833" s="4">
        <v>38178</v>
      </c>
      <c r="F833" s="4" t="s">
        <v>346</v>
      </c>
      <c r="G833" s="4" t="s">
        <v>346</v>
      </c>
      <c r="H833" t="s">
        <v>77</v>
      </c>
      <c r="I833" t="s">
        <v>350</v>
      </c>
      <c r="J833" s="3">
        <v>2011</v>
      </c>
      <c r="K833" s="3">
        <v>2019</v>
      </c>
      <c r="L833" s="6">
        <f t="shared" si="251"/>
        <v>2015</v>
      </c>
      <c r="M833" s="6">
        <f t="shared" si="252"/>
        <v>2015</v>
      </c>
      <c r="N833" s="7">
        <f t="shared" si="240"/>
        <v>0.44444444444444442</v>
      </c>
      <c r="O833" s="7">
        <f t="shared" si="241"/>
        <v>0.33333333333333331</v>
      </c>
      <c r="P833" s="7">
        <f t="shared" si="242"/>
        <v>0.22222222222222221</v>
      </c>
      <c r="Q833" s="7">
        <f t="shared" si="253"/>
        <v>0.1111111111111111</v>
      </c>
      <c r="R833" s="10" t="str">
        <f t="shared" si="243"/>
        <v>0_Pre</v>
      </c>
      <c r="S833" s="10" t="str">
        <f t="shared" si="244"/>
        <v>0_Pre</v>
      </c>
      <c r="T833" s="10" t="str">
        <f t="shared" si="245"/>
        <v>0_Pre</v>
      </c>
      <c r="U833" s="10" t="str">
        <f t="shared" si="246"/>
        <v>1_Post</v>
      </c>
      <c r="V833" s="10" t="str">
        <f t="shared" si="254"/>
        <v>0_Pre</v>
      </c>
      <c r="W833" s="10" t="str">
        <f t="shared" si="247"/>
        <v>straddle</v>
      </c>
      <c r="X833" s="10" t="str">
        <f t="shared" si="248"/>
        <v>0_Pre</v>
      </c>
      <c r="Y833" s="10" t="str">
        <f t="shared" si="249"/>
        <v>0_Pre</v>
      </c>
      <c r="Z833" s="10" t="str">
        <f t="shared" si="250"/>
        <v>0_Pre</v>
      </c>
      <c r="AA833" s="10" t="str">
        <f t="shared" si="255"/>
        <v>1_Post</v>
      </c>
      <c r="AB833" s="10" t="str">
        <f t="shared" si="256"/>
        <v>1_Post</v>
      </c>
      <c r="AC833" s="10" t="str">
        <f t="shared" si="257"/>
        <v>1_Post</v>
      </c>
      <c r="AD833" s="10" t="str">
        <f t="shared" si="258"/>
        <v>2_post sample median</v>
      </c>
      <c r="AE833" s="10" t="str">
        <f t="shared" si="259"/>
        <v>3_post sample third tertile</v>
      </c>
      <c r="AF833" t="s">
        <v>67</v>
      </c>
      <c r="AG833" t="s">
        <v>74</v>
      </c>
      <c r="AH833" t="s">
        <v>78</v>
      </c>
      <c r="AI833" t="s">
        <v>122</v>
      </c>
      <c r="AJ833" t="s">
        <v>123</v>
      </c>
      <c r="AK833" t="str">
        <f>VLOOKUP(MID($AR833,1,255),country_lookup!$B:$F,2,FALSE)</f>
        <v>3_AsiaPac</v>
      </c>
      <c r="AL833" t="str">
        <f>VLOOKUP(MID($AR833,1,255),country_lookup!$B:$F,3,FALSE)</f>
        <v>1_developed</v>
      </c>
      <c r="AM833" t="str">
        <f>VLOOKUP(MID($AR833,1,255),country_lookup!$B:$F,4,FALSE)</f>
        <v>2_non_western</v>
      </c>
      <c r="AN833" t="str">
        <f>VLOOKUP(MID($AR833,1,255),country_lookup!$B:$F,5,FALSE)</f>
        <v>2_civil law</v>
      </c>
      <c r="AO833" s="10" t="str">
        <f>VLOOKUP(MID($AS833,1,255),source_lookup!$B:$K,4,FALSE)</f>
        <v>0_published</v>
      </c>
      <c r="AP833" s="10" t="str">
        <f>VLOOKUP(MID($AS833,1,255),source_lookup!$B:$K,6,FALSE)</f>
        <v>0_VHB low</v>
      </c>
      <c r="AQ833" s="10" t="str">
        <f>VLOOKUP(MID($AS833,1,255),source_lookup!$B:$K,10,FALSE)</f>
        <v>2_sust</v>
      </c>
      <c r="AR833" t="s">
        <v>103</v>
      </c>
      <c r="AS833" t="s">
        <v>161</v>
      </c>
    </row>
    <row r="834" spans="1:45" x14ac:dyDescent="0.3">
      <c r="A834" t="s">
        <v>38</v>
      </c>
      <c r="B834">
        <v>833</v>
      </c>
      <c r="C834" s="1">
        <v>-0.108</v>
      </c>
      <c r="D834" s="2">
        <v>16</v>
      </c>
      <c r="E834" s="4">
        <v>98</v>
      </c>
      <c r="F834" s="4" t="s">
        <v>346</v>
      </c>
      <c r="G834" s="4" t="s">
        <v>347</v>
      </c>
      <c r="H834" t="s">
        <v>76</v>
      </c>
      <c r="I834" t="s">
        <v>353</v>
      </c>
      <c r="J834" s="3">
        <v>2010</v>
      </c>
      <c r="K834" s="3">
        <v>2015</v>
      </c>
      <c r="L834" s="6">
        <f t="shared" si="251"/>
        <v>2012.5</v>
      </c>
      <c r="M834" s="6">
        <f t="shared" si="252"/>
        <v>2012.5</v>
      </c>
      <c r="N834" s="7">
        <f t="shared" ref="N834:N897" si="260">MAX(0,$K834-MAX($J834,2016)+1)/($K834-$J834+1)</f>
        <v>0</v>
      </c>
      <c r="O834" s="7">
        <f t="shared" ref="O834:O897" si="261">MAX(0,$K834-MAX($J834,2017)+1)/($K834-$J834+1)</f>
        <v>0</v>
      </c>
      <c r="P834" s="7">
        <f t="shared" ref="P834:P897" si="262">MAX(0,$K834-MAX($J834,2018)+1)/($K834-$J834+1)</f>
        <v>0</v>
      </c>
      <c r="Q834" s="7">
        <f t="shared" si="253"/>
        <v>0</v>
      </c>
      <c r="R834" s="10" t="str">
        <f t="shared" ref="R834:R897" si="263">IF(N834&gt;=0.5,"1_Post","0_Pre")</f>
        <v>0_Pre</v>
      </c>
      <c r="S834" s="10" t="str">
        <f t="shared" ref="S834:S897" si="264">IF($L834&gt;=2016,"1_Post","0_Pre")</f>
        <v>0_Pre</v>
      </c>
      <c r="T834" s="10" t="str">
        <f t="shared" ref="T834:T897" si="265">IF($M834&gt;=2016,"1_Post","0_Pre")</f>
        <v>0_Pre</v>
      </c>
      <c r="U834" s="10" t="str">
        <f t="shared" ref="U834:U897" si="266">IF($K834&gt;=2016,"1_Post","0_Pre")</f>
        <v>0_Pre</v>
      </c>
      <c r="V834" s="10" t="str">
        <f t="shared" si="254"/>
        <v>0_Pre</v>
      </c>
      <c r="W834" s="10" t="str">
        <f t="shared" ref="W834:W897" si="267">IF($K834&lt;=2015,"clean_pre",IF($J834&gt;=2016,"clean_post","straddle"))</f>
        <v>clean_pre</v>
      </c>
      <c r="X834" s="10" t="str">
        <f t="shared" ref="X834:X897" si="268">IF(O834&gt;=0.5,"1_Post","0_Pre")</f>
        <v>0_Pre</v>
      </c>
      <c r="Y834" s="10" t="str">
        <f t="shared" ref="Y834:Y897" si="269">IF(P834&gt;=0.5,"1_Post","0_Pre")</f>
        <v>0_Pre</v>
      </c>
      <c r="Z834" s="10" t="str">
        <f t="shared" ref="Z834:Z897" si="270">IF(Q834&gt;=0.5,"1_Post","0_Pre")</f>
        <v>0_Pre</v>
      </c>
      <c r="AA834" s="10" t="str">
        <f t="shared" si="255"/>
        <v>0_Pre</v>
      </c>
      <c r="AB834" s="10" t="str">
        <f t="shared" si="256"/>
        <v>0_Pre</v>
      </c>
      <c r="AC834" s="10" t="str">
        <f t="shared" si="257"/>
        <v>0_Pre</v>
      </c>
      <c r="AD834" s="10" t="str">
        <f t="shared" si="258"/>
        <v>2_post sample median</v>
      </c>
      <c r="AE834" s="10" t="str">
        <f t="shared" si="259"/>
        <v>2_in sample second tertile</v>
      </c>
      <c r="AF834" t="s">
        <v>80</v>
      </c>
      <c r="AG834" t="s">
        <v>74</v>
      </c>
      <c r="AH834" t="s">
        <v>78</v>
      </c>
      <c r="AI834" t="s">
        <v>123</v>
      </c>
      <c r="AJ834" t="s">
        <v>123</v>
      </c>
      <c r="AK834" t="str">
        <f>VLOOKUP(MID($AR834,1,255),country_lookup!$B:$F,2,FALSE)</f>
        <v>99_NCE</v>
      </c>
      <c r="AL834" t="str">
        <f>VLOOKUP(MID($AR834,1,255),country_lookup!$B:$F,3,FALSE)</f>
        <v>2_developing</v>
      </c>
      <c r="AM834" t="str">
        <f>VLOOKUP(MID($AR834,1,255),country_lookup!$B:$F,4,FALSE)</f>
        <v>2_non_western</v>
      </c>
      <c r="AN834" t="str">
        <f>VLOOKUP(MID($AR834,1,255),country_lookup!$B:$F,5,FALSE)</f>
        <v>1_common law</v>
      </c>
      <c r="AO834" s="10" t="str">
        <f>VLOOKUP(MID($AS834,1,255),source_lookup!$B:$K,4,FALSE)</f>
        <v>0_published</v>
      </c>
      <c r="AP834" s="10" t="str">
        <f>VLOOKUP(MID($AS834,1,255),source_lookup!$B:$K,6,FALSE)</f>
        <v>1_VHB high</v>
      </c>
      <c r="AQ834" s="10" t="str">
        <f>VLOOKUP(MID($AS834,1,255),source_lookup!$B:$K,10,FALSE)</f>
        <v>2_sust</v>
      </c>
      <c r="AR834" t="s">
        <v>106</v>
      </c>
      <c r="AS834" t="s">
        <v>162</v>
      </c>
    </row>
    <row r="835" spans="1:45" x14ac:dyDescent="0.3">
      <c r="A835" t="s">
        <v>38</v>
      </c>
      <c r="B835">
        <v>834</v>
      </c>
      <c r="C835" s="1">
        <v>-5.2999999999999999E-2</v>
      </c>
      <c r="D835" s="2">
        <v>16</v>
      </c>
      <c r="E835" s="4">
        <v>98</v>
      </c>
      <c r="F835" s="4" t="s">
        <v>346</v>
      </c>
      <c r="G835" s="4" t="s">
        <v>347</v>
      </c>
      <c r="H835" t="s">
        <v>76</v>
      </c>
      <c r="I835" t="s">
        <v>353</v>
      </c>
      <c r="J835" s="3">
        <v>2010</v>
      </c>
      <c r="K835" s="3">
        <v>2015</v>
      </c>
      <c r="L835" s="6">
        <f t="shared" ref="L835:L898" si="271">ROUND(AVERAGE(J835:K835),100)</f>
        <v>2012.5</v>
      </c>
      <c r="M835" s="6">
        <f t="shared" ref="M835:M898" si="272">ROUND(MEDIAN(J835:K835),100)</f>
        <v>2012.5</v>
      </c>
      <c r="N835" s="7">
        <f t="shared" si="260"/>
        <v>0</v>
      </c>
      <c r="O835" s="7">
        <f t="shared" si="261"/>
        <v>0</v>
      </c>
      <c r="P835" s="7">
        <f t="shared" si="262"/>
        <v>0</v>
      </c>
      <c r="Q835" s="7">
        <f t="shared" ref="Q835:Q898" si="273">MAX(0,$K835-MAX($J835,2019)+1)/($K835-$J835+1)</f>
        <v>0</v>
      </c>
      <c r="R835" s="10" t="str">
        <f t="shared" si="263"/>
        <v>0_Pre</v>
      </c>
      <c r="S835" s="10" t="str">
        <f t="shared" si="264"/>
        <v>0_Pre</v>
      </c>
      <c r="T835" s="10" t="str">
        <f t="shared" si="265"/>
        <v>0_Pre</v>
      </c>
      <c r="U835" s="10" t="str">
        <f t="shared" si="266"/>
        <v>0_Pre</v>
      </c>
      <c r="V835" s="10" t="str">
        <f t="shared" ref="V835:V898" si="274">IF($J835&lt;=2017,"0_Pre","1_Post")</f>
        <v>0_Pre</v>
      </c>
      <c r="W835" s="10" t="str">
        <f t="shared" si="267"/>
        <v>clean_pre</v>
      </c>
      <c r="X835" s="10" t="str">
        <f t="shared" si="268"/>
        <v>0_Pre</v>
      </c>
      <c r="Y835" s="10" t="str">
        <f t="shared" si="269"/>
        <v>0_Pre</v>
      </c>
      <c r="Z835" s="10" t="str">
        <f t="shared" si="270"/>
        <v>0_Pre</v>
      </c>
      <c r="AA835" s="10" t="str">
        <f t="shared" ref="AA835:AA898" si="275">IF($K835&gt;=2017,"1_Post","0_Pre")</f>
        <v>0_Pre</v>
      </c>
      <c r="AB835" s="10" t="str">
        <f t="shared" ref="AB835:AB898" si="276">IF($K835&gt;=2018,"1_Post","0_Pre")</f>
        <v>0_Pre</v>
      </c>
      <c r="AC835" s="10" t="str">
        <f t="shared" ref="AC835:AC898" si="277">IF($K835&gt;=2019,"1_Post","0_Pre")</f>
        <v>0_Pre</v>
      </c>
      <c r="AD835" s="10" t="str">
        <f t="shared" ref="AD835:AD898" si="278">IF(L835&lt;MEDIAN($L$2:$L$1307),"1_pre sample median","2_post sample median")</f>
        <v>2_post sample median</v>
      </c>
      <c r="AE835" s="10" t="str">
        <f t="shared" ref="AE835:AE898" si="279">IF(L835&lt;=PERCENTILE($L$2:$L$1307,0.33),"1_pre sample first tertile",IF(L835&gt;=PERCENTILE($L$2:$L$1307,0.67),"3_post sample third tertile","2_in sample second tertile"))</f>
        <v>2_in sample second tertile</v>
      </c>
      <c r="AF835" t="s">
        <v>80</v>
      </c>
      <c r="AG835" t="s">
        <v>74</v>
      </c>
      <c r="AH835" t="s">
        <v>78</v>
      </c>
      <c r="AI835" t="s">
        <v>123</v>
      </c>
      <c r="AJ835" t="s">
        <v>123</v>
      </c>
      <c r="AK835" t="str">
        <f>VLOOKUP(MID($AR835,1,255),country_lookup!$B:$F,2,FALSE)</f>
        <v>99_NCE</v>
      </c>
      <c r="AL835" t="str">
        <f>VLOOKUP(MID($AR835,1,255),country_lookup!$B:$F,3,FALSE)</f>
        <v>2_developing</v>
      </c>
      <c r="AM835" t="str">
        <f>VLOOKUP(MID($AR835,1,255),country_lookup!$B:$F,4,FALSE)</f>
        <v>2_non_western</v>
      </c>
      <c r="AN835" t="str">
        <f>VLOOKUP(MID($AR835,1,255),country_lookup!$B:$F,5,FALSE)</f>
        <v>1_common law</v>
      </c>
      <c r="AO835" s="10" t="str">
        <f>VLOOKUP(MID($AS835,1,255),source_lookup!$B:$K,4,FALSE)</f>
        <v>0_published</v>
      </c>
      <c r="AP835" s="10" t="str">
        <f>VLOOKUP(MID($AS835,1,255),source_lookup!$B:$K,6,FALSE)</f>
        <v>1_VHB high</v>
      </c>
      <c r="AQ835" s="10" t="str">
        <f>VLOOKUP(MID($AS835,1,255),source_lookup!$B:$K,10,FALSE)</f>
        <v>2_sust</v>
      </c>
      <c r="AR835" t="s">
        <v>106</v>
      </c>
      <c r="AS835" t="s">
        <v>162</v>
      </c>
    </row>
    <row r="836" spans="1:45" x14ac:dyDescent="0.3">
      <c r="A836" t="s">
        <v>38</v>
      </c>
      <c r="B836">
        <v>835</v>
      </c>
      <c r="C836" s="1">
        <v>3.6341469673456694E-2</v>
      </c>
      <c r="D836" s="2">
        <v>16</v>
      </c>
      <c r="E836" s="4">
        <v>98</v>
      </c>
      <c r="F836" s="4" t="s">
        <v>346</v>
      </c>
      <c r="G836" s="4" t="s">
        <v>347</v>
      </c>
      <c r="H836" t="s">
        <v>77</v>
      </c>
      <c r="I836" t="s">
        <v>350</v>
      </c>
      <c r="J836" s="3">
        <v>2010</v>
      </c>
      <c r="K836" s="3">
        <v>2015</v>
      </c>
      <c r="L836" s="6">
        <f t="shared" si="271"/>
        <v>2012.5</v>
      </c>
      <c r="M836" s="6">
        <f t="shared" si="272"/>
        <v>2012.5</v>
      </c>
      <c r="N836" s="7">
        <f t="shared" si="260"/>
        <v>0</v>
      </c>
      <c r="O836" s="7">
        <f t="shared" si="261"/>
        <v>0</v>
      </c>
      <c r="P836" s="7">
        <f t="shared" si="262"/>
        <v>0</v>
      </c>
      <c r="Q836" s="7">
        <f t="shared" si="273"/>
        <v>0</v>
      </c>
      <c r="R836" s="10" t="str">
        <f t="shared" si="263"/>
        <v>0_Pre</v>
      </c>
      <c r="S836" s="10" t="str">
        <f t="shared" si="264"/>
        <v>0_Pre</v>
      </c>
      <c r="T836" s="10" t="str">
        <f t="shared" si="265"/>
        <v>0_Pre</v>
      </c>
      <c r="U836" s="10" t="str">
        <f t="shared" si="266"/>
        <v>0_Pre</v>
      </c>
      <c r="V836" s="10" t="str">
        <f t="shared" si="274"/>
        <v>0_Pre</v>
      </c>
      <c r="W836" s="10" t="str">
        <f t="shared" si="267"/>
        <v>clean_pre</v>
      </c>
      <c r="X836" s="10" t="str">
        <f t="shared" si="268"/>
        <v>0_Pre</v>
      </c>
      <c r="Y836" s="10" t="str">
        <f t="shared" si="269"/>
        <v>0_Pre</v>
      </c>
      <c r="Z836" s="10" t="str">
        <f t="shared" si="270"/>
        <v>0_Pre</v>
      </c>
      <c r="AA836" s="10" t="str">
        <f t="shared" si="275"/>
        <v>0_Pre</v>
      </c>
      <c r="AB836" s="10" t="str">
        <f t="shared" si="276"/>
        <v>0_Pre</v>
      </c>
      <c r="AC836" s="10" t="str">
        <f t="shared" si="277"/>
        <v>0_Pre</v>
      </c>
      <c r="AD836" s="10" t="str">
        <f t="shared" si="278"/>
        <v>2_post sample median</v>
      </c>
      <c r="AE836" s="10" t="str">
        <f t="shared" si="279"/>
        <v>2_in sample second tertile</v>
      </c>
      <c r="AF836" t="s">
        <v>80</v>
      </c>
      <c r="AG836" t="s">
        <v>74</v>
      </c>
      <c r="AH836" t="s">
        <v>78</v>
      </c>
      <c r="AI836" t="s">
        <v>123</v>
      </c>
      <c r="AJ836" t="s">
        <v>123</v>
      </c>
      <c r="AK836" t="str">
        <f>VLOOKUP(MID($AR836,1,255),country_lookup!$B:$F,2,FALSE)</f>
        <v>99_NCE</v>
      </c>
      <c r="AL836" t="str">
        <f>VLOOKUP(MID($AR836,1,255),country_lookup!$B:$F,3,FALSE)</f>
        <v>2_developing</v>
      </c>
      <c r="AM836" t="str">
        <f>VLOOKUP(MID($AR836,1,255),country_lookup!$B:$F,4,FALSE)</f>
        <v>2_non_western</v>
      </c>
      <c r="AN836" t="str">
        <f>VLOOKUP(MID($AR836,1,255),country_lookup!$B:$F,5,FALSE)</f>
        <v>1_common law</v>
      </c>
      <c r="AO836" s="10" t="str">
        <f>VLOOKUP(MID($AS836,1,255),source_lookup!$B:$K,4,FALSE)</f>
        <v>0_published</v>
      </c>
      <c r="AP836" s="10" t="str">
        <f>VLOOKUP(MID($AS836,1,255),source_lookup!$B:$K,6,FALSE)</f>
        <v>1_VHB high</v>
      </c>
      <c r="AQ836" s="10" t="str">
        <f>VLOOKUP(MID($AS836,1,255),source_lookup!$B:$K,10,FALSE)</f>
        <v>2_sust</v>
      </c>
      <c r="AR836" t="s">
        <v>106</v>
      </c>
      <c r="AS836" t="s">
        <v>162</v>
      </c>
    </row>
    <row r="837" spans="1:45" x14ac:dyDescent="0.3">
      <c r="A837" t="s">
        <v>38</v>
      </c>
      <c r="B837">
        <v>836</v>
      </c>
      <c r="C837" s="1">
        <v>6.3511130222727252E-2</v>
      </c>
      <c r="D837" s="2">
        <v>16</v>
      </c>
      <c r="E837" s="4">
        <v>98</v>
      </c>
      <c r="F837" s="4" t="s">
        <v>346</v>
      </c>
      <c r="G837" s="4" t="s">
        <v>347</v>
      </c>
      <c r="H837" t="s">
        <v>77</v>
      </c>
      <c r="I837" t="s">
        <v>350</v>
      </c>
      <c r="J837" s="3">
        <v>2010</v>
      </c>
      <c r="K837" s="3">
        <v>2015</v>
      </c>
      <c r="L837" s="6">
        <f t="shared" si="271"/>
        <v>2012.5</v>
      </c>
      <c r="M837" s="6">
        <f t="shared" si="272"/>
        <v>2012.5</v>
      </c>
      <c r="N837" s="7">
        <f t="shared" si="260"/>
        <v>0</v>
      </c>
      <c r="O837" s="7">
        <f t="shared" si="261"/>
        <v>0</v>
      </c>
      <c r="P837" s="7">
        <f t="shared" si="262"/>
        <v>0</v>
      </c>
      <c r="Q837" s="7">
        <f t="shared" si="273"/>
        <v>0</v>
      </c>
      <c r="R837" s="10" t="str">
        <f t="shared" si="263"/>
        <v>0_Pre</v>
      </c>
      <c r="S837" s="10" t="str">
        <f t="shared" si="264"/>
        <v>0_Pre</v>
      </c>
      <c r="T837" s="10" t="str">
        <f t="shared" si="265"/>
        <v>0_Pre</v>
      </c>
      <c r="U837" s="10" t="str">
        <f t="shared" si="266"/>
        <v>0_Pre</v>
      </c>
      <c r="V837" s="10" t="str">
        <f t="shared" si="274"/>
        <v>0_Pre</v>
      </c>
      <c r="W837" s="10" t="str">
        <f t="shared" si="267"/>
        <v>clean_pre</v>
      </c>
      <c r="X837" s="10" t="str">
        <f t="shared" si="268"/>
        <v>0_Pre</v>
      </c>
      <c r="Y837" s="10" t="str">
        <f t="shared" si="269"/>
        <v>0_Pre</v>
      </c>
      <c r="Z837" s="10" t="str">
        <f t="shared" si="270"/>
        <v>0_Pre</v>
      </c>
      <c r="AA837" s="10" t="str">
        <f t="shared" si="275"/>
        <v>0_Pre</v>
      </c>
      <c r="AB837" s="10" t="str">
        <f t="shared" si="276"/>
        <v>0_Pre</v>
      </c>
      <c r="AC837" s="10" t="str">
        <f t="shared" si="277"/>
        <v>0_Pre</v>
      </c>
      <c r="AD837" s="10" t="str">
        <f t="shared" si="278"/>
        <v>2_post sample median</v>
      </c>
      <c r="AE837" s="10" t="str">
        <f t="shared" si="279"/>
        <v>2_in sample second tertile</v>
      </c>
      <c r="AF837" t="s">
        <v>80</v>
      </c>
      <c r="AG837" t="s">
        <v>74</v>
      </c>
      <c r="AH837" t="s">
        <v>78</v>
      </c>
      <c r="AI837" t="s">
        <v>123</v>
      </c>
      <c r="AJ837" t="s">
        <v>123</v>
      </c>
      <c r="AK837" t="str">
        <f>VLOOKUP(MID($AR837,1,255),country_lookup!$B:$F,2,FALSE)</f>
        <v>99_NCE</v>
      </c>
      <c r="AL837" t="str">
        <f>VLOOKUP(MID($AR837,1,255),country_lookup!$B:$F,3,FALSE)</f>
        <v>2_developing</v>
      </c>
      <c r="AM837" t="str">
        <f>VLOOKUP(MID($AR837,1,255),country_lookup!$B:$F,4,FALSE)</f>
        <v>2_non_western</v>
      </c>
      <c r="AN837" t="str">
        <f>VLOOKUP(MID($AR837,1,255),country_lookup!$B:$F,5,FALSE)</f>
        <v>1_common law</v>
      </c>
      <c r="AO837" s="10" t="str">
        <f>VLOOKUP(MID($AS837,1,255),source_lookup!$B:$K,4,FALSE)</f>
        <v>0_published</v>
      </c>
      <c r="AP837" s="10" t="str">
        <f>VLOOKUP(MID($AS837,1,255),source_lookup!$B:$K,6,FALSE)</f>
        <v>1_VHB high</v>
      </c>
      <c r="AQ837" s="10" t="str">
        <f>VLOOKUP(MID($AS837,1,255),source_lookup!$B:$K,10,FALSE)</f>
        <v>2_sust</v>
      </c>
      <c r="AR837" t="s">
        <v>106</v>
      </c>
      <c r="AS837" t="s">
        <v>162</v>
      </c>
    </row>
    <row r="838" spans="1:45" x14ac:dyDescent="0.3">
      <c r="A838" t="s">
        <v>38</v>
      </c>
      <c r="B838">
        <v>837</v>
      </c>
      <c r="C838" s="1">
        <v>-9.8513410548174779E-2</v>
      </c>
      <c r="D838" s="2">
        <v>16</v>
      </c>
      <c r="E838" s="4">
        <v>98</v>
      </c>
      <c r="F838" s="4" t="s">
        <v>346</v>
      </c>
      <c r="G838" s="4" t="s">
        <v>347</v>
      </c>
      <c r="H838" t="s">
        <v>77</v>
      </c>
      <c r="I838" t="s">
        <v>350</v>
      </c>
      <c r="J838" s="3">
        <v>2010</v>
      </c>
      <c r="K838" s="3">
        <v>2015</v>
      </c>
      <c r="L838" s="6">
        <f t="shared" si="271"/>
        <v>2012.5</v>
      </c>
      <c r="M838" s="6">
        <f t="shared" si="272"/>
        <v>2012.5</v>
      </c>
      <c r="N838" s="7">
        <f t="shared" si="260"/>
        <v>0</v>
      </c>
      <c r="O838" s="7">
        <f t="shared" si="261"/>
        <v>0</v>
      </c>
      <c r="P838" s="7">
        <f t="shared" si="262"/>
        <v>0</v>
      </c>
      <c r="Q838" s="7">
        <f t="shared" si="273"/>
        <v>0</v>
      </c>
      <c r="R838" s="10" t="str">
        <f t="shared" si="263"/>
        <v>0_Pre</v>
      </c>
      <c r="S838" s="10" t="str">
        <f t="shared" si="264"/>
        <v>0_Pre</v>
      </c>
      <c r="T838" s="10" t="str">
        <f t="shared" si="265"/>
        <v>0_Pre</v>
      </c>
      <c r="U838" s="10" t="str">
        <f t="shared" si="266"/>
        <v>0_Pre</v>
      </c>
      <c r="V838" s="10" t="str">
        <f t="shared" si="274"/>
        <v>0_Pre</v>
      </c>
      <c r="W838" s="10" t="str">
        <f t="shared" si="267"/>
        <v>clean_pre</v>
      </c>
      <c r="X838" s="10" t="str">
        <f t="shared" si="268"/>
        <v>0_Pre</v>
      </c>
      <c r="Y838" s="10" t="str">
        <f t="shared" si="269"/>
        <v>0_Pre</v>
      </c>
      <c r="Z838" s="10" t="str">
        <f t="shared" si="270"/>
        <v>0_Pre</v>
      </c>
      <c r="AA838" s="10" t="str">
        <f t="shared" si="275"/>
        <v>0_Pre</v>
      </c>
      <c r="AB838" s="10" t="str">
        <f t="shared" si="276"/>
        <v>0_Pre</v>
      </c>
      <c r="AC838" s="10" t="str">
        <f t="shared" si="277"/>
        <v>0_Pre</v>
      </c>
      <c r="AD838" s="10" t="str">
        <f t="shared" si="278"/>
        <v>2_post sample median</v>
      </c>
      <c r="AE838" s="10" t="str">
        <f t="shared" si="279"/>
        <v>2_in sample second tertile</v>
      </c>
      <c r="AF838" t="s">
        <v>80</v>
      </c>
      <c r="AG838" t="s">
        <v>74</v>
      </c>
      <c r="AH838" t="s">
        <v>78</v>
      </c>
      <c r="AI838" t="s">
        <v>123</v>
      </c>
      <c r="AJ838" t="s">
        <v>123</v>
      </c>
      <c r="AK838" t="str">
        <f>VLOOKUP(MID($AR838,1,255),country_lookup!$B:$F,2,FALSE)</f>
        <v>99_NCE</v>
      </c>
      <c r="AL838" t="str">
        <f>VLOOKUP(MID($AR838,1,255),country_lookup!$B:$F,3,FALSE)</f>
        <v>2_developing</v>
      </c>
      <c r="AM838" t="str">
        <f>VLOOKUP(MID($AR838,1,255),country_lookup!$B:$F,4,FALSE)</f>
        <v>2_non_western</v>
      </c>
      <c r="AN838" t="str">
        <f>VLOOKUP(MID($AR838,1,255),country_lookup!$B:$F,5,FALSE)</f>
        <v>1_common law</v>
      </c>
      <c r="AO838" s="10" t="str">
        <f>VLOOKUP(MID($AS838,1,255),source_lookup!$B:$K,4,FALSE)</f>
        <v>0_published</v>
      </c>
      <c r="AP838" s="10" t="str">
        <f>VLOOKUP(MID($AS838,1,255),source_lookup!$B:$K,6,FALSE)</f>
        <v>1_VHB high</v>
      </c>
      <c r="AQ838" s="10" t="str">
        <f>VLOOKUP(MID($AS838,1,255),source_lookup!$B:$K,10,FALSE)</f>
        <v>2_sust</v>
      </c>
      <c r="AR838" t="s">
        <v>106</v>
      </c>
      <c r="AS838" t="s">
        <v>162</v>
      </c>
    </row>
    <row r="839" spans="1:45" x14ac:dyDescent="0.3">
      <c r="A839" t="s">
        <v>39</v>
      </c>
      <c r="B839">
        <v>838</v>
      </c>
      <c r="C839" s="1">
        <v>-7.4889029844873403E-2</v>
      </c>
      <c r="D839" s="2">
        <v>210</v>
      </c>
      <c r="E839" s="4">
        <v>762</v>
      </c>
      <c r="F839" s="4" t="s">
        <v>346</v>
      </c>
      <c r="G839" s="4" t="s">
        <v>347</v>
      </c>
      <c r="H839" t="s">
        <v>77</v>
      </c>
      <c r="I839" t="s">
        <v>351</v>
      </c>
      <c r="J839" s="3">
        <v>2006</v>
      </c>
      <c r="K839" s="3">
        <v>2010</v>
      </c>
      <c r="L839" s="6">
        <f t="shared" si="271"/>
        <v>2008</v>
      </c>
      <c r="M839" s="6">
        <f t="shared" si="272"/>
        <v>2008</v>
      </c>
      <c r="N839" s="7">
        <f t="shared" si="260"/>
        <v>0</v>
      </c>
      <c r="O839" s="7">
        <f t="shared" si="261"/>
        <v>0</v>
      </c>
      <c r="P839" s="7">
        <f t="shared" si="262"/>
        <v>0</v>
      </c>
      <c r="Q839" s="7">
        <f t="shared" si="273"/>
        <v>0</v>
      </c>
      <c r="R839" s="10" t="str">
        <f t="shared" si="263"/>
        <v>0_Pre</v>
      </c>
      <c r="S839" s="10" t="str">
        <f t="shared" si="264"/>
        <v>0_Pre</v>
      </c>
      <c r="T839" s="10" t="str">
        <f t="shared" si="265"/>
        <v>0_Pre</v>
      </c>
      <c r="U839" s="10" t="str">
        <f t="shared" si="266"/>
        <v>0_Pre</v>
      </c>
      <c r="V839" s="10" t="str">
        <f t="shared" si="274"/>
        <v>0_Pre</v>
      </c>
      <c r="W839" s="10" t="str">
        <f t="shared" si="267"/>
        <v>clean_pre</v>
      </c>
      <c r="X839" s="10" t="str">
        <f t="shared" si="268"/>
        <v>0_Pre</v>
      </c>
      <c r="Y839" s="10" t="str">
        <f t="shared" si="269"/>
        <v>0_Pre</v>
      </c>
      <c r="Z839" s="10" t="str">
        <f t="shared" si="270"/>
        <v>0_Pre</v>
      </c>
      <c r="AA839" s="10" t="str">
        <f t="shared" si="275"/>
        <v>0_Pre</v>
      </c>
      <c r="AB839" s="10" t="str">
        <f t="shared" si="276"/>
        <v>0_Pre</v>
      </c>
      <c r="AC839" s="10" t="str">
        <f t="shared" si="277"/>
        <v>0_Pre</v>
      </c>
      <c r="AD839" s="10" t="str">
        <f t="shared" si="278"/>
        <v>1_pre sample median</v>
      </c>
      <c r="AE839" s="10" t="str">
        <f t="shared" si="279"/>
        <v>1_pre sample first tertile</v>
      </c>
      <c r="AF839" t="s">
        <v>80</v>
      </c>
      <c r="AG839" t="s">
        <v>75</v>
      </c>
      <c r="AH839" t="s">
        <v>78</v>
      </c>
      <c r="AI839" t="s">
        <v>123</v>
      </c>
      <c r="AJ839" t="s">
        <v>123</v>
      </c>
      <c r="AK839" t="str">
        <f>VLOOKUP(MID($AR839,1,255),country_lookup!$B:$F,2,FALSE)</f>
        <v>3_AsiaPac</v>
      </c>
      <c r="AL839" t="str">
        <f>VLOOKUP(MID($AR839,1,255),country_lookup!$B:$F,3,FALSE)</f>
        <v>1_developed</v>
      </c>
      <c r="AM839" t="str">
        <f>VLOOKUP(MID($AR839,1,255),country_lookup!$B:$F,4,FALSE)</f>
        <v>1_western</v>
      </c>
      <c r="AN839" t="str">
        <f>VLOOKUP(MID($AR839,1,255),country_lookup!$B:$F,5,FALSE)</f>
        <v>1_common law</v>
      </c>
      <c r="AO839" s="10" t="str">
        <f>VLOOKUP(MID($AS839,1,255),source_lookup!$B:$K,4,FALSE)</f>
        <v>0_published</v>
      </c>
      <c r="AP839" s="10" t="str">
        <f>VLOOKUP(MID($AS839,1,255),source_lookup!$B:$K,6,FALSE)</f>
        <v>1_VHB high</v>
      </c>
      <c r="AQ839" s="10" t="str">
        <f>VLOOKUP(MID($AS839,1,255),source_lookup!$B:$K,10,FALSE)</f>
        <v>1_fin/acc/econ</v>
      </c>
      <c r="AR839" t="s">
        <v>104</v>
      </c>
      <c r="AS839" t="s">
        <v>163</v>
      </c>
    </row>
    <row r="840" spans="1:45" x14ac:dyDescent="0.3">
      <c r="A840" t="s">
        <v>39</v>
      </c>
      <c r="B840">
        <v>839</v>
      </c>
      <c r="C840" s="1">
        <v>-0.11163383468853219</v>
      </c>
      <c r="D840" s="2">
        <v>210</v>
      </c>
      <c r="E840" s="4">
        <v>762</v>
      </c>
      <c r="F840" s="4" t="s">
        <v>346</v>
      </c>
      <c r="G840" s="4" t="s">
        <v>347</v>
      </c>
      <c r="H840" t="s">
        <v>77</v>
      </c>
      <c r="I840" t="s">
        <v>351</v>
      </c>
      <c r="J840" s="3">
        <v>2006</v>
      </c>
      <c r="K840" s="3">
        <v>2010</v>
      </c>
      <c r="L840" s="6">
        <f t="shared" si="271"/>
        <v>2008</v>
      </c>
      <c r="M840" s="6">
        <f t="shared" si="272"/>
        <v>2008</v>
      </c>
      <c r="N840" s="7">
        <f t="shared" si="260"/>
        <v>0</v>
      </c>
      <c r="O840" s="7">
        <f t="shared" si="261"/>
        <v>0</v>
      </c>
      <c r="P840" s="7">
        <f t="shared" si="262"/>
        <v>0</v>
      </c>
      <c r="Q840" s="7">
        <f t="shared" si="273"/>
        <v>0</v>
      </c>
      <c r="R840" s="10" t="str">
        <f t="shared" si="263"/>
        <v>0_Pre</v>
      </c>
      <c r="S840" s="10" t="str">
        <f t="shared" si="264"/>
        <v>0_Pre</v>
      </c>
      <c r="T840" s="10" t="str">
        <f t="shared" si="265"/>
        <v>0_Pre</v>
      </c>
      <c r="U840" s="10" t="str">
        <f t="shared" si="266"/>
        <v>0_Pre</v>
      </c>
      <c r="V840" s="10" t="str">
        <f t="shared" si="274"/>
        <v>0_Pre</v>
      </c>
      <c r="W840" s="10" t="str">
        <f t="shared" si="267"/>
        <v>clean_pre</v>
      </c>
      <c r="X840" s="10" t="str">
        <f t="shared" si="268"/>
        <v>0_Pre</v>
      </c>
      <c r="Y840" s="10" t="str">
        <f t="shared" si="269"/>
        <v>0_Pre</v>
      </c>
      <c r="Z840" s="10" t="str">
        <f t="shared" si="270"/>
        <v>0_Pre</v>
      </c>
      <c r="AA840" s="10" t="str">
        <f t="shared" si="275"/>
        <v>0_Pre</v>
      </c>
      <c r="AB840" s="10" t="str">
        <f t="shared" si="276"/>
        <v>0_Pre</v>
      </c>
      <c r="AC840" s="10" t="str">
        <f t="shared" si="277"/>
        <v>0_Pre</v>
      </c>
      <c r="AD840" s="10" t="str">
        <f t="shared" si="278"/>
        <v>1_pre sample median</v>
      </c>
      <c r="AE840" s="10" t="str">
        <f t="shared" si="279"/>
        <v>1_pre sample first tertile</v>
      </c>
      <c r="AF840" t="s">
        <v>80</v>
      </c>
      <c r="AG840" t="s">
        <v>75</v>
      </c>
      <c r="AH840" t="s">
        <v>78</v>
      </c>
      <c r="AI840" t="s">
        <v>123</v>
      </c>
      <c r="AJ840" t="s">
        <v>123</v>
      </c>
      <c r="AK840" t="str">
        <f>VLOOKUP(MID($AR840,1,255),country_lookup!$B:$F,2,FALSE)</f>
        <v>3_AsiaPac</v>
      </c>
      <c r="AL840" t="str">
        <f>VLOOKUP(MID($AR840,1,255),country_lookup!$B:$F,3,FALSE)</f>
        <v>1_developed</v>
      </c>
      <c r="AM840" t="str">
        <f>VLOOKUP(MID($AR840,1,255),country_lookup!$B:$F,4,FALSE)</f>
        <v>1_western</v>
      </c>
      <c r="AN840" t="str">
        <f>VLOOKUP(MID($AR840,1,255),country_lookup!$B:$F,5,FALSE)</f>
        <v>1_common law</v>
      </c>
      <c r="AO840" s="10" t="str">
        <f>VLOOKUP(MID($AS840,1,255),source_lookup!$B:$K,4,FALSE)</f>
        <v>0_published</v>
      </c>
      <c r="AP840" s="10" t="str">
        <f>VLOOKUP(MID($AS840,1,255),source_lookup!$B:$K,6,FALSE)</f>
        <v>1_VHB high</v>
      </c>
      <c r="AQ840" s="10" t="str">
        <f>VLOOKUP(MID($AS840,1,255),source_lookup!$B:$K,10,FALSE)</f>
        <v>1_fin/acc/econ</v>
      </c>
      <c r="AR840" t="s">
        <v>104</v>
      </c>
      <c r="AS840" t="s">
        <v>163</v>
      </c>
    </row>
    <row r="841" spans="1:45" x14ac:dyDescent="0.3">
      <c r="A841" t="s">
        <v>39</v>
      </c>
      <c r="B841">
        <v>840</v>
      </c>
      <c r="C841" s="1">
        <v>-4.5319327925439377E-2</v>
      </c>
      <c r="D841" s="2">
        <v>97</v>
      </c>
      <c r="E841" s="4">
        <v>352</v>
      </c>
      <c r="F841" s="4" t="s">
        <v>346</v>
      </c>
      <c r="G841" s="4" t="s">
        <v>347</v>
      </c>
      <c r="H841" t="s">
        <v>77</v>
      </c>
      <c r="I841" t="s">
        <v>351</v>
      </c>
      <c r="J841" s="3">
        <v>2006</v>
      </c>
      <c r="K841" s="3">
        <v>2010</v>
      </c>
      <c r="L841" s="6">
        <f t="shared" si="271"/>
        <v>2008</v>
      </c>
      <c r="M841" s="6">
        <f t="shared" si="272"/>
        <v>2008</v>
      </c>
      <c r="N841" s="7">
        <f t="shared" si="260"/>
        <v>0</v>
      </c>
      <c r="O841" s="7">
        <f t="shared" si="261"/>
        <v>0</v>
      </c>
      <c r="P841" s="7">
        <f t="shared" si="262"/>
        <v>0</v>
      </c>
      <c r="Q841" s="7">
        <f t="shared" si="273"/>
        <v>0</v>
      </c>
      <c r="R841" s="10" t="str">
        <f t="shared" si="263"/>
        <v>0_Pre</v>
      </c>
      <c r="S841" s="10" t="str">
        <f t="shared" si="264"/>
        <v>0_Pre</v>
      </c>
      <c r="T841" s="10" t="str">
        <f t="shared" si="265"/>
        <v>0_Pre</v>
      </c>
      <c r="U841" s="10" t="str">
        <f t="shared" si="266"/>
        <v>0_Pre</v>
      </c>
      <c r="V841" s="10" t="str">
        <f t="shared" si="274"/>
        <v>0_Pre</v>
      </c>
      <c r="W841" s="10" t="str">
        <f t="shared" si="267"/>
        <v>clean_pre</v>
      </c>
      <c r="X841" s="10" t="str">
        <f t="shared" si="268"/>
        <v>0_Pre</v>
      </c>
      <c r="Y841" s="10" t="str">
        <f t="shared" si="269"/>
        <v>0_Pre</v>
      </c>
      <c r="Z841" s="10" t="str">
        <f t="shared" si="270"/>
        <v>0_Pre</v>
      </c>
      <c r="AA841" s="10" t="str">
        <f t="shared" si="275"/>
        <v>0_Pre</v>
      </c>
      <c r="AB841" s="10" t="str">
        <f t="shared" si="276"/>
        <v>0_Pre</v>
      </c>
      <c r="AC841" s="10" t="str">
        <f t="shared" si="277"/>
        <v>0_Pre</v>
      </c>
      <c r="AD841" s="10" t="str">
        <f t="shared" si="278"/>
        <v>1_pre sample median</v>
      </c>
      <c r="AE841" s="10" t="str">
        <f t="shared" si="279"/>
        <v>1_pre sample first tertile</v>
      </c>
      <c r="AF841" t="s">
        <v>80</v>
      </c>
      <c r="AG841" t="s">
        <v>75</v>
      </c>
      <c r="AH841" t="s">
        <v>78</v>
      </c>
      <c r="AI841" t="s">
        <v>123</v>
      </c>
      <c r="AJ841" t="s">
        <v>123</v>
      </c>
      <c r="AK841" t="str">
        <f>VLOOKUP(MID($AR841,1,255),country_lookup!$B:$F,2,FALSE)</f>
        <v>3_AsiaPac</v>
      </c>
      <c r="AL841" t="str">
        <f>VLOOKUP(MID($AR841,1,255),country_lookup!$B:$F,3,FALSE)</f>
        <v>1_developed</v>
      </c>
      <c r="AM841" t="str">
        <f>VLOOKUP(MID($AR841,1,255),country_lookup!$B:$F,4,FALSE)</f>
        <v>1_western</v>
      </c>
      <c r="AN841" t="str">
        <f>VLOOKUP(MID($AR841,1,255),country_lookup!$B:$F,5,FALSE)</f>
        <v>1_common law</v>
      </c>
      <c r="AO841" s="10" t="str">
        <f>VLOOKUP(MID($AS841,1,255),source_lookup!$B:$K,4,FALSE)</f>
        <v>0_published</v>
      </c>
      <c r="AP841" s="10" t="str">
        <f>VLOOKUP(MID($AS841,1,255),source_lookup!$B:$K,6,FALSE)</f>
        <v>1_VHB high</v>
      </c>
      <c r="AQ841" s="10" t="str">
        <f>VLOOKUP(MID($AS841,1,255),source_lookup!$B:$K,10,FALSE)</f>
        <v>1_fin/acc/econ</v>
      </c>
      <c r="AR841" t="s">
        <v>104</v>
      </c>
      <c r="AS841" t="s">
        <v>163</v>
      </c>
    </row>
    <row r="842" spans="1:45" x14ac:dyDescent="0.3">
      <c r="A842" t="s">
        <v>39</v>
      </c>
      <c r="B842">
        <v>841</v>
      </c>
      <c r="C842" s="1">
        <v>-8.3045238474473829E-2</v>
      </c>
      <c r="D842" s="2">
        <v>113</v>
      </c>
      <c r="E842" s="4">
        <v>410</v>
      </c>
      <c r="F842" s="4" t="s">
        <v>346</v>
      </c>
      <c r="G842" s="4" t="s">
        <v>347</v>
      </c>
      <c r="H842" t="s">
        <v>77</v>
      </c>
      <c r="I842" t="s">
        <v>351</v>
      </c>
      <c r="J842" s="3">
        <v>2006</v>
      </c>
      <c r="K842" s="3">
        <v>2010</v>
      </c>
      <c r="L842" s="6">
        <f t="shared" si="271"/>
        <v>2008</v>
      </c>
      <c r="M842" s="6">
        <f t="shared" si="272"/>
        <v>2008</v>
      </c>
      <c r="N842" s="7">
        <f t="shared" si="260"/>
        <v>0</v>
      </c>
      <c r="O842" s="7">
        <f t="shared" si="261"/>
        <v>0</v>
      </c>
      <c r="P842" s="7">
        <f t="shared" si="262"/>
        <v>0</v>
      </c>
      <c r="Q842" s="7">
        <f t="shared" si="273"/>
        <v>0</v>
      </c>
      <c r="R842" s="10" t="str">
        <f t="shared" si="263"/>
        <v>0_Pre</v>
      </c>
      <c r="S842" s="10" t="str">
        <f t="shared" si="264"/>
        <v>0_Pre</v>
      </c>
      <c r="T842" s="10" t="str">
        <f t="shared" si="265"/>
        <v>0_Pre</v>
      </c>
      <c r="U842" s="10" t="str">
        <f t="shared" si="266"/>
        <v>0_Pre</v>
      </c>
      <c r="V842" s="10" t="str">
        <f t="shared" si="274"/>
        <v>0_Pre</v>
      </c>
      <c r="W842" s="10" t="str">
        <f t="shared" si="267"/>
        <v>clean_pre</v>
      </c>
      <c r="X842" s="10" t="str">
        <f t="shared" si="268"/>
        <v>0_Pre</v>
      </c>
      <c r="Y842" s="10" t="str">
        <f t="shared" si="269"/>
        <v>0_Pre</v>
      </c>
      <c r="Z842" s="10" t="str">
        <f t="shared" si="270"/>
        <v>0_Pre</v>
      </c>
      <c r="AA842" s="10" t="str">
        <f t="shared" si="275"/>
        <v>0_Pre</v>
      </c>
      <c r="AB842" s="10" t="str">
        <f t="shared" si="276"/>
        <v>0_Pre</v>
      </c>
      <c r="AC842" s="10" t="str">
        <f t="shared" si="277"/>
        <v>0_Pre</v>
      </c>
      <c r="AD842" s="10" t="str">
        <f t="shared" si="278"/>
        <v>1_pre sample median</v>
      </c>
      <c r="AE842" s="10" t="str">
        <f t="shared" si="279"/>
        <v>1_pre sample first tertile</v>
      </c>
      <c r="AF842" t="s">
        <v>80</v>
      </c>
      <c r="AG842" t="s">
        <v>75</v>
      </c>
      <c r="AH842" t="s">
        <v>78</v>
      </c>
      <c r="AI842" t="s">
        <v>123</v>
      </c>
      <c r="AJ842" t="s">
        <v>123</v>
      </c>
      <c r="AK842" t="str">
        <f>VLOOKUP(MID($AR842,1,255),country_lookup!$B:$F,2,FALSE)</f>
        <v>3_AsiaPac</v>
      </c>
      <c r="AL842" t="str">
        <f>VLOOKUP(MID($AR842,1,255),country_lookup!$B:$F,3,FALSE)</f>
        <v>1_developed</v>
      </c>
      <c r="AM842" t="str">
        <f>VLOOKUP(MID($AR842,1,255),country_lookup!$B:$F,4,FALSE)</f>
        <v>1_western</v>
      </c>
      <c r="AN842" t="str">
        <f>VLOOKUP(MID($AR842,1,255),country_lookup!$B:$F,5,FALSE)</f>
        <v>1_common law</v>
      </c>
      <c r="AO842" s="10" t="str">
        <f>VLOOKUP(MID($AS842,1,255),source_lookup!$B:$K,4,FALSE)</f>
        <v>0_published</v>
      </c>
      <c r="AP842" s="10" t="str">
        <f>VLOOKUP(MID($AS842,1,255),source_lookup!$B:$K,6,FALSE)</f>
        <v>1_VHB high</v>
      </c>
      <c r="AQ842" s="10" t="str">
        <f>VLOOKUP(MID($AS842,1,255),source_lookup!$B:$K,10,FALSE)</f>
        <v>1_fin/acc/econ</v>
      </c>
      <c r="AR842" t="s">
        <v>104</v>
      </c>
      <c r="AS842" t="s">
        <v>163</v>
      </c>
    </row>
    <row r="843" spans="1:45" x14ac:dyDescent="0.3">
      <c r="A843" t="s">
        <v>39</v>
      </c>
      <c r="B843">
        <v>842</v>
      </c>
      <c r="C843" s="1">
        <v>-6.1667852515511157E-2</v>
      </c>
      <c r="D843" s="2">
        <v>210</v>
      </c>
      <c r="E843" s="4">
        <v>762</v>
      </c>
      <c r="F843" s="4" t="s">
        <v>346</v>
      </c>
      <c r="G843" s="4" t="s">
        <v>347</v>
      </c>
      <c r="H843" t="s">
        <v>77</v>
      </c>
      <c r="I843" t="s">
        <v>351</v>
      </c>
      <c r="J843" s="3">
        <v>2006</v>
      </c>
      <c r="K843" s="3">
        <v>2010</v>
      </c>
      <c r="L843" s="6">
        <f t="shared" si="271"/>
        <v>2008</v>
      </c>
      <c r="M843" s="6">
        <f t="shared" si="272"/>
        <v>2008</v>
      </c>
      <c r="N843" s="7">
        <f t="shared" si="260"/>
        <v>0</v>
      </c>
      <c r="O843" s="7">
        <f t="shared" si="261"/>
        <v>0</v>
      </c>
      <c r="P843" s="7">
        <f t="shared" si="262"/>
        <v>0</v>
      </c>
      <c r="Q843" s="7">
        <f t="shared" si="273"/>
        <v>0</v>
      </c>
      <c r="R843" s="10" t="str">
        <f t="shared" si="263"/>
        <v>0_Pre</v>
      </c>
      <c r="S843" s="10" t="str">
        <f t="shared" si="264"/>
        <v>0_Pre</v>
      </c>
      <c r="T843" s="10" t="str">
        <f t="shared" si="265"/>
        <v>0_Pre</v>
      </c>
      <c r="U843" s="10" t="str">
        <f t="shared" si="266"/>
        <v>0_Pre</v>
      </c>
      <c r="V843" s="10" t="str">
        <f t="shared" si="274"/>
        <v>0_Pre</v>
      </c>
      <c r="W843" s="10" t="str">
        <f t="shared" si="267"/>
        <v>clean_pre</v>
      </c>
      <c r="X843" s="10" t="str">
        <f t="shared" si="268"/>
        <v>0_Pre</v>
      </c>
      <c r="Y843" s="10" t="str">
        <f t="shared" si="269"/>
        <v>0_Pre</v>
      </c>
      <c r="Z843" s="10" t="str">
        <f t="shared" si="270"/>
        <v>0_Pre</v>
      </c>
      <c r="AA843" s="10" t="str">
        <f t="shared" si="275"/>
        <v>0_Pre</v>
      </c>
      <c r="AB843" s="10" t="str">
        <f t="shared" si="276"/>
        <v>0_Pre</v>
      </c>
      <c r="AC843" s="10" t="str">
        <f t="shared" si="277"/>
        <v>0_Pre</v>
      </c>
      <c r="AD843" s="10" t="str">
        <f t="shared" si="278"/>
        <v>1_pre sample median</v>
      </c>
      <c r="AE843" s="10" t="str">
        <f t="shared" si="279"/>
        <v>1_pre sample first tertile</v>
      </c>
      <c r="AF843" t="s">
        <v>80</v>
      </c>
      <c r="AG843" t="s">
        <v>75</v>
      </c>
      <c r="AH843" t="s">
        <v>78</v>
      </c>
      <c r="AI843" t="s">
        <v>123</v>
      </c>
      <c r="AJ843" t="s">
        <v>123</v>
      </c>
      <c r="AK843" t="str">
        <f>VLOOKUP(MID($AR843,1,255),country_lookup!$B:$F,2,FALSE)</f>
        <v>3_AsiaPac</v>
      </c>
      <c r="AL843" t="str">
        <f>VLOOKUP(MID($AR843,1,255),country_lookup!$B:$F,3,FALSE)</f>
        <v>1_developed</v>
      </c>
      <c r="AM843" t="str">
        <f>VLOOKUP(MID($AR843,1,255),country_lookup!$B:$F,4,FALSE)</f>
        <v>1_western</v>
      </c>
      <c r="AN843" t="str">
        <f>VLOOKUP(MID($AR843,1,255),country_lookup!$B:$F,5,FALSE)</f>
        <v>1_common law</v>
      </c>
      <c r="AO843" s="10" t="str">
        <f>VLOOKUP(MID($AS843,1,255),source_lookup!$B:$K,4,FALSE)</f>
        <v>0_published</v>
      </c>
      <c r="AP843" s="10" t="str">
        <f>VLOOKUP(MID($AS843,1,255),source_lookup!$B:$K,6,FALSE)</f>
        <v>1_VHB high</v>
      </c>
      <c r="AQ843" s="10" t="str">
        <f>VLOOKUP(MID($AS843,1,255),source_lookup!$B:$K,10,FALSE)</f>
        <v>1_fin/acc/econ</v>
      </c>
      <c r="AR843" t="s">
        <v>104</v>
      </c>
      <c r="AS843" t="s">
        <v>163</v>
      </c>
    </row>
    <row r="844" spans="1:45" x14ac:dyDescent="0.3">
      <c r="A844" t="s">
        <v>39</v>
      </c>
      <c r="B844">
        <v>843</v>
      </c>
      <c r="C844" s="1">
        <v>-6.5367991402791439E-2</v>
      </c>
      <c r="D844" s="2">
        <v>97</v>
      </c>
      <c r="E844" s="4">
        <v>352</v>
      </c>
      <c r="F844" s="4" t="s">
        <v>346</v>
      </c>
      <c r="G844" s="4" t="s">
        <v>347</v>
      </c>
      <c r="H844" t="s">
        <v>77</v>
      </c>
      <c r="I844" t="s">
        <v>351</v>
      </c>
      <c r="J844" s="3">
        <v>2006</v>
      </c>
      <c r="K844" s="3">
        <v>2010</v>
      </c>
      <c r="L844" s="6">
        <f t="shared" si="271"/>
        <v>2008</v>
      </c>
      <c r="M844" s="6">
        <f t="shared" si="272"/>
        <v>2008</v>
      </c>
      <c r="N844" s="7">
        <f t="shared" si="260"/>
        <v>0</v>
      </c>
      <c r="O844" s="7">
        <f t="shared" si="261"/>
        <v>0</v>
      </c>
      <c r="P844" s="7">
        <f t="shared" si="262"/>
        <v>0</v>
      </c>
      <c r="Q844" s="7">
        <f t="shared" si="273"/>
        <v>0</v>
      </c>
      <c r="R844" s="10" t="str">
        <f t="shared" si="263"/>
        <v>0_Pre</v>
      </c>
      <c r="S844" s="10" t="str">
        <f t="shared" si="264"/>
        <v>0_Pre</v>
      </c>
      <c r="T844" s="10" t="str">
        <f t="shared" si="265"/>
        <v>0_Pre</v>
      </c>
      <c r="U844" s="10" t="str">
        <f t="shared" si="266"/>
        <v>0_Pre</v>
      </c>
      <c r="V844" s="10" t="str">
        <f t="shared" si="274"/>
        <v>0_Pre</v>
      </c>
      <c r="W844" s="10" t="str">
        <f t="shared" si="267"/>
        <v>clean_pre</v>
      </c>
      <c r="X844" s="10" t="str">
        <f t="shared" si="268"/>
        <v>0_Pre</v>
      </c>
      <c r="Y844" s="10" t="str">
        <f t="shared" si="269"/>
        <v>0_Pre</v>
      </c>
      <c r="Z844" s="10" t="str">
        <f t="shared" si="270"/>
        <v>0_Pre</v>
      </c>
      <c r="AA844" s="10" t="str">
        <f t="shared" si="275"/>
        <v>0_Pre</v>
      </c>
      <c r="AB844" s="10" t="str">
        <f t="shared" si="276"/>
        <v>0_Pre</v>
      </c>
      <c r="AC844" s="10" t="str">
        <f t="shared" si="277"/>
        <v>0_Pre</v>
      </c>
      <c r="AD844" s="10" t="str">
        <f t="shared" si="278"/>
        <v>1_pre sample median</v>
      </c>
      <c r="AE844" s="10" t="str">
        <f t="shared" si="279"/>
        <v>1_pre sample first tertile</v>
      </c>
      <c r="AF844" t="s">
        <v>80</v>
      </c>
      <c r="AG844" t="s">
        <v>75</v>
      </c>
      <c r="AH844" t="s">
        <v>78</v>
      </c>
      <c r="AI844" t="s">
        <v>123</v>
      </c>
      <c r="AJ844" t="s">
        <v>123</v>
      </c>
      <c r="AK844" t="str">
        <f>VLOOKUP(MID($AR844,1,255),country_lookup!$B:$F,2,FALSE)</f>
        <v>3_AsiaPac</v>
      </c>
      <c r="AL844" t="str">
        <f>VLOOKUP(MID($AR844,1,255),country_lookup!$B:$F,3,FALSE)</f>
        <v>1_developed</v>
      </c>
      <c r="AM844" t="str">
        <f>VLOOKUP(MID($AR844,1,255),country_lookup!$B:$F,4,FALSE)</f>
        <v>1_western</v>
      </c>
      <c r="AN844" t="str">
        <f>VLOOKUP(MID($AR844,1,255),country_lookup!$B:$F,5,FALSE)</f>
        <v>1_common law</v>
      </c>
      <c r="AO844" s="10" t="str">
        <f>VLOOKUP(MID($AS844,1,255),source_lookup!$B:$K,4,FALSE)</f>
        <v>0_published</v>
      </c>
      <c r="AP844" s="10" t="str">
        <f>VLOOKUP(MID($AS844,1,255),source_lookup!$B:$K,6,FALSE)</f>
        <v>1_VHB high</v>
      </c>
      <c r="AQ844" s="10" t="str">
        <f>VLOOKUP(MID($AS844,1,255),source_lookup!$B:$K,10,FALSE)</f>
        <v>1_fin/acc/econ</v>
      </c>
      <c r="AR844" t="s">
        <v>104</v>
      </c>
      <c r="AS844" t="s">
        <v>163</v>
      </c>
    </row>
    <row r="845" spans="1:45" x14ac:dyDescent="0.3">
      <c r="A845" t="s">
        <v>39</v>
      </c>
      <c r="B845">
        <v>844</v>
      </c>
      <c r="C845" s="1">
        <v>-9.8443557074122778E-2</v>
      </c>
      <c r="D845" s="2">
        <v>113</v>
      </c>
      <c r="E845" s="4">
        <v>410</v>
      </c>
      <c r="F845" s="4" t="s">
        <v>346</v>
      </c>
      <c r="G845" s="4" t="s">
        <v>347</v>
      </c>
      <c r="H845" t="s">
        <v>77</v>
      </c>
      <c r="I845" t="s">
        <v>351</v>
      </c>
      <c r="J845" s="3">
        <v>2006</v>
      </c>
      <c r="K845" s="3">
        <v>2010</v>
      </c>
      <c r="L845" s="6">
        <f t="shared" si="271"/>
        <v>2008</v>
      </c>
      <c r="M845" s="6">
        <f t="shared" si="272"/>
        <v>2008</v>
      </c>
      <c r="N845" s="7">
        <f t="shared" si="260"/>
        <v>0</v>
      </c>
      <c r="O845" s="7">
        <f t="shared" si="261"/>
        <v>0</v>
      </c>
      <c r="P845" s="7">
        <f t="shared" si="262"/>
        <v>0</v>
      </c>
      <c r="Q845" s="7">
        <f t="shared" si="273"/>
        <v>0</v>
      </c>
      <c r="R845" s="10" t="str">
        <f t="shared" si="263"/>
        <v>0_Pre</v>
      </c>
      <c r="S845" s="10" t="str">
        <f t="shared" si="264"/>
        <v>0_Pre</v>
      </c>
      <c r="T845" s="10" t="str">
        <f t="shared" si="265"/>
        <v>0_Pre</v>
      </c>
      <c r="U845" s="10" t="str">
        <f t="shared" si="266"/>
        <v>0_Pre</v>
      </c>
      <c r="V845" s="10" t="str">
        <f t="shared" si="274"/>
        <v>0_Pre</v>
      </c>
      <c r="W845" s="10" t="str">
        <f t="shared" si="267"/>
        <v>clean_pre</v>
      </c>
      <c r="X845" s="10" t="str">
        <f t="shared" si="268"/>
        <v>0_Pre</v>
      </c>
      <c r="Y845" s="10" t="str">
        <f t="shared" si="269"/>
        <v>0_Pre</v>
      </c>
      <c r="Z845" s="10" t="str">
        <f t="shared" si="270"/>
        <v>0_Pre</v>
      </c>
      <c r="AA845" s="10" t="str">
        <f t="shared" si="275"/>
        <v>0_Pre</v>
      </c>
      <c r="AB845" s="10" t="str">
        <f t="shared" si="276"/>
        <v>0_Pre</v>
      </c>
      <c r="AC845" s="10" t="str">
        <f t="shared" si="277"/>
        <v>0_Pre</v>
      </c>
      <c r="AD845" s="10" t="str">
        <f t="shared" si="278"/>
        <v>1_pre sample median</v>
      </c>
      <c r="AE845" s="10" t="str">
        <f t="shared" si="279"/>
        <v>1_pre sample first tertile</v>
      </c>
      <c r="AF845" t="s">
        <v>80</v>
      </c>
      <c r="AG845" t="s">
        <v>75</v>
      </c>
      <c r="AH845" t="s">
        <v>78</v>
      </c>
      <c r="AI845" t="s">
        <v>123</v>
      </c>
      <c r="AJ845" t="s">
        <v>123</v>
      </c>
      <c r="AK845" t="str">
        <f>VLOOKUP(MID($AR845,1,255),country_lookup!$B:$F,2,FALSE)</f>
        <v>3_AsiaPac</v>
      </c>
      <c r="AL845" t="str">
        <f>VLOOKUP(MID($AR845,1,255),country_lookup!$B:$F,3,FALSE)</f>
        <v>1_developed</v>
      </c>
      <c r="AM845" t="str">
        <f>VLOOKUP(MID($AR845,1,255),country_lookup!$B:$F,4,FALSE)</f>
        <v>1_western</v>
      </c>
      <c r="AN845" t="str">
        <f>VLOOKUP(MID($AR845,1,255),country_lookup!$B:$F,5,FALSE)</f>
        <v>1_common law</v>
      </c>
      <c r="AO845" s="10" t="str">
        <f>VLOOKUP(MID($AS845,1,255),source_lookup!$B:$K,4,FALSE)</f>
        <v>0_published</v>
      </c>
      <c r="AP845" s="10" t="str">
        <f>VLOOKUP(MID($AS845,1,255),source_lookup!$B:$K,6,FALSE)</f>
        <v>1_VHB high</v>
      </c>
      <c r="AQ845" s="10" t="str">
        <f>VLOOKUP(MID($AS845,1,255),source_lookup!$B:$K,10,FALSE)</f>
        <v>1_fin/acc/econ</v>
      </c>
      <c r="AR845" t="s">
        <v>104</v>
      </c>
      <c r="AS845" t="s">
        <v>163</v>
      </c>
    </row>
    <row r="846" spans="1:45" x14ac:dyDescent="0.3">
      <c r="A846" t="s">
        <v>39</v>
      </c>
      <c r="B846">
        <v>845</v>
      </c>
      <c r="C846" s="1">
        <v>-7.3915693156546322E-2</v>
      </c>
      <c r="D846" s="2">
        <v>210</v>
      </c>
      <c r="E846" s="4">
        <v>762</v>
      </c>
      <c r="F846" s="4" t="s">
        <v>346</v>
      </c>
      <c r="G846" s="4" t="s">
        <v>347</v>
      </c>
      <c r="H846" t="s">
        <v>77</v>
      </c>
      <c r="I846" t="s">
        <v>351</v>
      </c>
      <c r="J846" s="3">
        <v>2006</v>
      </c>
      <c r="K846" s="3">
        <v>2010</v>
      </c>
      <c r="L846" s="6">
        <f t="shared" si="271"/>
        <v>2008</v>
      </c>
      <c r="M846" s="6">
        <f t="shared" si="272"/>
        <v>2008</v>
      </c>
      <c r="N846" s="7">
        <f t="shared" si="260"/>
        <v>0</v>
      </c>
      <c r="O846" s="7">
        <f t="shared" si="261"/>
        <v>0</v>
      </c>
      <c r="P846" s="7">
        <f t="shared" si="262"/>
        <v>0</v>
      </c>
      <c r="Q846" s="7">
        <f t="shared" si="273"/>
        <v>0</v>
      </c>
      <c r="R846" s="10" t="str">
        <f t="shared" si="263"/>
        <v>0_Pre</v>
      </c>
      <c r="S846" s="10" t="str">
        <f t="shared" si="264"/>
        <v>0_Pre</v>
      </c>
      <c r="T846" s="10" t="str">
        <f t="shared" si="265"/>
        <v>0_Pre</v>
      </c>
      <c r="U846" s="10" t="str">
        <f t="shared" si="266"/>
        <v>0_Pre</v>
      </c>
      <c r="V846" s="10" t="str">
        <f t="shared" si="274"/>
        <v>0_Pre</v>
      </c>
      <c r="W846" s="10" t="str">
        <f t="shared" si="267"/>
        <v>clean_pre</v>
      </c>
      <c r="X846" s="10" t="str">
        <f t="shared" si="268"/>
        <v>0_Pre</v>
      </c>
      <c r="Y846" s="10" t="str">
        <f t="shared" si="269"/>
        <v>0_Pre</v>
      </c>
      <c r="Z846" s="10" t="str">
        <f t="shared" si="270"/>
        <v>0_Pre</v>
      </c>
      <c r="AA846" s="10" t="str">
        <f t="shared" si="275"/>
        <v>0_Pre</v>
      </c>
      <c r="AB846" s="10" t="str">
        <f t="shared" si="276"/>
        <v>0_Pre</v>
      </c>
      <c r="AC846" s="10" t="str">
        <f t="shared" si="277"/>
        <v>0_Pre</v>
      </c>
      <c r="AD846" s="10" t="str">
        <f t="shared" si="278"/>
        <v>1_pre sample median</v>
      </c>
      <c r="AE846" s="10" t="str">
        <f t="shared" si="279"/>
        <v>1_pre sample first tertile</v>
      </c>
      <c r="AF846" t="s">
        <v>80</v>
      </c>
      <c r="AG846" t="s">
        <v>75</v>
      </c>
      <c r="AH846" t="s">
        <v>78</v>
      </c>
      <c r="AI846" t="s">
        <v>123</v>
      </c>
      <c r="AJ846" t="s">
        <v>123</v>
      </c>
      <c r="AK846" t="str">
        <f>VLOOKUP(MID($AR846,1,255),country_lookup!$B:$F,2,FALSE)</f>
        <v>3_AsiaPac</v>
      </c>
      <c r="AL846" t="str">
        <f>VLOOKUP(MID($AR846,1,255),country_lookup!$B:$F,3,FALSE)</f>
        <v>1_developed</v>
      </c>
      <c r="AM846" t="str">
        <f>VLOOKUP(MID($AR846,1,255),country_lookup!$B:$F,4,FALSE)</f>
        <v>1_western</v>
      </c>
      <c r="AN846" t="str">
        <f>VLOOKUP(MID($AR846,1,255),country_lookup!$B:$F,5,FALSE)</f>
        <v>1_common law</v>
      </c>
      <c r="AO846" s="10" t="str">
        <f>VLOOKUP(MID($AS846,1,255),source_lookup!$B:$K,4,FALSE)</f>
        <v>0_published</v>
      </c>
      <c r="AP846" s="10" t="str">
        <f>VLOOKUP(MID($AS846,1,255),source_lookup!$B:$K,6,FALSE)</f>
        <v>1_VHB high</v>
      </c>
      <c r="AQ846" s="10" t="str">
        <f>VLOOKUP(MID($AS846,1,255),source_lookup!$B:$K,10,FALSE)</f>
        <v>1_fin/acc/econ</v>
      </c>
      <c r="AR846" t="s">
        <v>104</v>
      </c>
      <c r="AS846" t="s">
        <v>163</v>
      </c>
    </row>
    <row r="847" spans="1:45" x14ac:dyDescent="0.3">
      <c r="A847" t="s">
        <v>39</v>
      </c>
      <c r="B847">
        <v>846</v>
      </c>
      <c r="C847" s="1">
        <v>-6.4750295140657541E-2</v>
      </c>
      <c r="D847" s="2">
        <v>97</v>
      </c>
      <c r="E847" s="4">
        <v>352</v>
      </c>
      <c r="F847" s="4" t="s">
        <v>346</v>
      </c>
      <c r="G847" s="4" t="s">
        <v>347</v>
      </c>
      <c r="H847" t="s">
        <v>77</v>
      </c>
      <c r="I847" t="s">
        <v>351</v>
      </c>
      <c r="J847" s="3">
        <v>2006</v>
      </c>
      <c r="K847" s="3">
        <v>2010</v>
      </c>
      <c r="L847" s="6">
        <f t="shared" si="271"/>
        <v>2008</v>
      </c>
      <c r="M847" s="6">
        <f t="shared" si="272"/>
        <v>2008</v>
      </c>
      <c r="N847" s="7">
        <f t="shared" si="260"/>
        <v>0</v>
      </c>
      <c r="O847" s="7">
        <f t="shared" si="261"/>
        <v>0</v>
      </c>
      <c r="P847" s="7">
        <f t="shared" si="262"/>
        <v>0</v>
      </c>
      <c r="Q847" s="7">
        <f t="shared" si="273"/>
        <v>0</v>
      </c>
      <c r="R847" s="10" t="str">
        <f t="shared" si="263"/>
        <v>0_Pre</v>
      </c>
      <c r="S847" s="10" t="str">
        <f t="shared" si="264"/>
        <v>0_Pre</v>
      </c>
      <c r="T847" s="10" t="str">
        <f t="shared" si="265"/>
        <v>0_Pre</v>
      </c>
      <c r="U847" s="10" t="str">
        <f t="shared" si="266"/>
        <v>0_Pre</v>
      </c>
      <c r="V847" s="10" t="str">
        <f t="shared" si="274"/>
        <v>0_Pre</v>
      </c>
      <c r="W847" s="10" t="str">
        <f t="shared" si="267"/>
        <v>clean_pre</v>
      </c>
      <c r="X847" s="10" t="str">
        <f t="shared" si="268"/>
        <v>0_Pre</v>
      </c>
      <c r="Y847" s="10" t="str">
        <f t="shared" si="269"/>
        <v>0_Pre</v>
      </c>
      <c r="Z847" s="10" t="str">
        <f t="shared" si="270"/>
        <v>0_Pre</v>
      </c>
      <c r="AA847" s="10" t="str">
        <f t="shared" si="275"/>
        <v>0_Pre</v>
      </c>
      <c r="AB847" s="10" t="str">
        <f t="shared" si="276"/>
        <v>0_Pre</v>
      </c>
      <c r="AC847" s="10" t="str">
        <f t="shared" si="277"/>
        <v>0_Pre</v>
      </c>
      <c r="AD847" s="10" t="str">
        <f t="shared" si="278"/>
        <v>1_pre sample median</v>
      </c>
      <c r="AE847" s="10" t="str">
        <f t="shared" si="279"/>
        <v>1_pre sample first tertile</v>
      </c>
      <c r="AF847" t="s">
        <v>80</v>
      </c>
      <c r="AG847" t="s">
        <v>75</v>
      </c>
      <c r="AH847" t="s">
        <v>78</v>
      </c>
      <c r="AI847" t="s">
        <v>123</v>
      </c>
      <c r="AJ847" t="s">
        <v>123</v>
      </c>
      <c r="AK847" t="str">
        <f>VLOOKUP(MID($AR847,1,255),country_lookup!$B:$F,2,FALSE)</f>
        <v>3_AsiaPac</v>
      </c>
      <c r="AL847" t="str">
        <f>VLOOKUP(MID($AR847,1,255),country_lookup!$B:$F,3,FALSE)</f>
        <v>1_developed</v>
      </c>
      <c r="AM847" t="str">
        <f>VLOOKUP(MID($AR847,1,255),country_lookup!$B:$F,4,FALSE)</f>
        <v>1_western</v>
      </c>
      <c r="AN847" t="str">
        <f>VLOOKUP(MID($AR847,1,255),country_lookup!$B:$F,5,FALSE)</f>
        <v>1_common law</v>
      </c>
      <c r="AO847" s="10" t="str">
        <f>VLOOKUP(MID($AS847,1,255),source_lookup!$B:$K,4,FALSE)</f>
        <v>0_published</v>
      </c>
      <c r="AP847" s="10" t="str">
        <f>VLOOKUP(MID($AS847,1,255),source_lookup!$B:$K,6,FALSE)</f>
        <v>1_VHB high</v>
      </c>
      <c r="AQ847" s="10" t="str">
        <f>VLOOKUP(MID($AS847,1,255),source_lookup!$B:$K,10,FALSE)</f>
        <v>1_fin/acc/econ</v>
      </c>
      <c r="AR847" t="s">
        <v>104</v>
      </c>
      <c r="AS847" t="s">
        <v>163</v>
      </c>
    </row>
    <row r="848" spans="1:45" x14ac:dyDescent="0.3">
      <c r="A848" t="s">
        <v>39</v>
      </c>
      <c r="B848">
        <v>847</v>
      </c>
      <c r="C848" s="1">
        <v>-9.9271621851792446E-2</v>
      </c>
      <c r="D848" s="2">
        <v>113</v>
      </c>
      <c r="E848" s="4">
        <v>410</v>
      </c>
      <c r="F848" s="4" t="s">
        <v>346</v>
      </c>
      <c r="G848" s="4" t="s">
        <v>347</v>
      </c>
      <c r="H848" t="s">
        <v>77</v>
      </c>
      <c r="I848" t="s">
        <v>351</v>
      </c>
      <c r="J848" s="3">
        <v>2006</v>
      </c>
      <c r="K848" s="3">
        <v>2010</v>
      </c>
      <c r="L848" s="6">
        <f t="shared" si="271"/>
        <v>2008</v>
      </c>
      <c r="M848" s="6">
        <f t="shared" si="272"/>
        <v>2008</v>
      </c>
      <c r="N848" s="7">
        <f t="shared" si="260"/>
        <v>0</v>
      </c>
      <c r="O848" s="7">
        <f t="shared" si="261"/>
        <v>0</v>
      </c>
      <c r="P848" s="7">
        <f t="shared" si="262"/>
        <v>0</v>
      </c>
      <c r="Q848" s="7">
        <f t="shared" si="273"/>
        <v>0</v>
      </c>
      <c r="R848" s="10" t="str">
        <f t="shared" si="263"/>
        <v>0_Pre</v>
      </c>
      <c r="S848" s="10" t="str">
        <f t="shared" si="264"/>
        <v>0_Pre</v>
      </c>
      <c r="T848" s="10" t="str">
        <f t="shared" si="265"/>
        <v>0_Pre</v>
      </c>
      <c r="U848" s="10" t="str">
        <f t="shared" si="266"/>
        <v>0_Pre</v>
      </c>
      <c r="V848" s="10" t="str">
        <f t="shared" si="274"/>
        <v>0_Pre</v>
      </c>
      <c r="W848" s="10" t="str">
        <f t="shared" si="267"/>
        <v>clean_pre</v>
      </c>
      <c r="X848" s="10" t="str">
        <f t="shared" si="268"/>
        <v>0_Pre</v>
      </c>
      <c r="Y848" s="10" t="str">
        <f t="shared" si="269"/>
        <v>0_Pre</v>
      </c>
      <c r="Z848" s="10" t="str">
        <f t="shared" si="270"/>
        <v>0_Pre</v>
      </c>
      <c r="AA848" s="10" t="str">
        <f t="shared" si="275"/>
        <v>0_Pre</v>
      </c>
      <c r="AB848" s="10" t="str">
        <f t="shared" si="276"/>
        <v>0_Pre</v>
      </c>
      <c r="AC848" s="10" t="str">
        <f t="shared" si="277"/>
        <v>0_Pre</v>
      </c>
      <c r="AD848" s="10" t="str">
        <f t="shared" si="278"/>
        <v>1_pre sample median</v>
      </c>
      <c r="AE848" s="10" t="str">
        <f t="shared" si="279"/>
        <v>1_pre sample first tertile</v>
      </c>
      <c r="AF848" t="s">
        <v>80</v>
      </c>
      <c r="AG848" t="s">
        <v>75</v>
      </c>
      <c r="AH848" t="s">
        <v>78</v>
      </c>
      <c r="AI848" t="s">
        <v>123</v>
      </c>
      <c r="AJ848" t="s">
        <v>123</v>
      </c>
      <c r="AK848" t="str">
        <f>VLOOKUP(MID($AR848,1,255),country_lookup!$B:$F,2,FALSE)</f>
        <v>3_AsiaPac</v>
      </c>
      <c r="AL848" t="str">
        <f>VLOOKUP(MID($AR848,1,255),country_lookup!$B:$F,3,FALSE)</f>
        <v>1_developed</v>
      </c>
      <c r="AM848" t="str">
        <f>VLOOKUP(MID($AR848,1,255),country_lookup!$B:$F,4,FALSE)</f>
        <v>1_western</v>
      </c>
      <c r="AN848" t="str">
        <f>VLOOKUP(MID($AR848,1,255),country_lookup!$B:$F,5,FALSE)</f>
        <v>1_common law</v>
      </c>
      <c r="AO848" s="10" t="str">
        <f>VLOOKUP(MID($AS848,1,255),source_lookup!$B:$K,4,FALSE)</f>
        <v>0_published</v>
      </c>
      <c r="AP848" s="10" t="str">
        <f>VLOOKUP(MID($AS848,1,255),source_lookup!$B:$K,6,FALSE)</f>
        <v>1_VHB high</v>
      </c>
      <c r="AQ848" s="10" t="str">
        <f>VLOOKUP(MID($AS848,1,255),source_lookup!$B:$K,10,FALSE)</f>
        <v>1_fin/acc/econ</v>
      </c>
      <c r="AR848" t="s">
        <v>104</v>
      </c>
      <c r="AS848" t="s">
        <v>163</v>
      </c>
    </row>
    <row r="849" spans="1:45" x14ac:dyDescent="0.3">
      <c r="A849" t="s">
        <v>40</v>
      </c>
      <c r="B849">
        <v>848</v>
      </c>
      <c r="C849" s="1">
        <v>-3.8308983604243493E-2</v>
      </c>
      <c r="D849" s="2">
        <v>866</v>
      </c>
      <c r="E849" s="4">
        <v>5195</v>
      </c>
      <c r="F849" s="4" t="s">
        <v>346</v>
      </c>
      <c r="G849" s="4" t="s">
        <v>347</v>
      </c>
      <c r="H849" t="s">
        <v>77</v>
      </c>
      <c r="I849" t="s">
        <v>350</v>
      </c>
      <c r="J849" s="3">
        <v>2014</v>
      </c>
      <c r="K849" s="3">
        <v>2019</v>
      </c>
      <c r="L849" s="6">
        <f t="shared" si="271"/>
        <v>2016.5</v>
      </c>
      <c r="M849" s="6">
        <f t="shared" si="272"/>
        <v>2016.5</v>
      </c>
      <c r="N849" s="7">
        <f t="shared" si="260"/>
        <v>0.66666666666666663</v>
      </c>
      <c r="O849" s="7">
        <f t="shared" si="261"/>
        <v>0.5</v>
      </c>
      <c r="P849" s="7">
        <f t="shared" si="262"/>
        <v>0.33333333333333331</v>
      </c>
      <c r="Q849" s="7">
        <f t="shared" si="273"/>
        <v>0.16666666666666666</v>
      </c>
      <c r="R849" s="10" t="str">
        <f t="shared" si="263"/>
        <v>1_Post</v>
      </c>
      <c r="S849" s="10" t="str">
        <f t="shared" si="264"/>
        <v>1_Post</v>
      </c>
      <c r="T849" s="10" t="str">
        <f t="shared" si="265"/>
        <v>1_Post</v>
      </c>
      <c r="U849" s="10" t="str">
        <f t="shared" si="266"/>
        <v>1_Post</v>
      </c>
      <c r="V849" s="10" t="str">
        <f t="shared" si="274"/>
        <v>0_Pre</v>
      </c>
      <c r="W849" s="10" t="str">
        <f t="shared" si="267"/>
        <v>straddle</v>
      </c>
      <c r="X849" s="10" t="str">
        <f t="shared" si="268"/>
        <v>1_Post</v>
      </c>
      <c r="Y849" s="10" t="str">
        <f t="shared" si="269"/>
        <v>0_Pre</v>
      </c>
      <c r="Z849" s="10" t="str">
        <f t="shared" si="270"/>
        <v>0_Pre</v>
      </c>
      <c r="AA849" s="10" t="str">
        <f t="shared" si="275"/>
        <v>1_Post</v>
      </c>
      <c r="AB849" s="10" t="str">
        <f t="shared" si="276"/>
        <v>1_Post</v>
      </c>
      <c r="AC849" s="10" t="str">
        <f t="shared" si="277"/>
        <v>1_Post</v>
      </c>
      <c r="AD849" s="10" t="str">
        <f t="shared" si="278"/>
        <v>2_post sample median</v>
      </c>
      <c r="AE849" s="10" t="str">
        <f t="shared" si="279"/>
        <v>3_post sample third tertile</v>
      </c>
      <c r="AF849" t="s">
        <v>80</v>
      </c>
      <c r="AG849" t="s">
        <v>75</v>
      </c>
      <c r="AH849" t="s">
        <v>79</v>
      </c>
      <c r="AI849" t="s">
        <v>122</v>
      </c>
      <c r="AJ849" t="s">
        <v>122</v>
      </c>
      <c r="AK849" t="str">
        <f>VLOOKUP(MID($AR849,1,255),country_lookup!$B:$F,2,FALSE)</f>
        <v>3_AsiaPac</v>
      </c>
      <c r="AL849" t="str">
        <f>VLOOKUP(MID($AR849,1,255),country_lookup!$B:$F,3,FALSE)</f>
        <v>2_developing</v>
      </c>
      <c r="AM849" t="str">
        <f>VLOOKUP(MID($AR849,1,255),country_lookup!$B:$F,4,FALSE)</f>
        <v>2_non_western</v>
      </c>
      <c r="AN849" t="str">
        <f>VLOOKUP(MID($AR849,1,255),country_lookup!$B:$F,5,FALSE)</f>
        <v>2_civil law</v>
      </c>
      <c r="AO849" s="10" t="str">
        <f>VLOOKUP(MID($AS849,1,255),source_lookup!$B:$K,4,FALSE)</f>
        <v>0_published</v>
      </c>
      <c r="AP849" s="10" t="str">
        <f>VLOOKUP(MID($AS849,1,255),source_lookup!$B:$K,6,FALSE)</f>
        <v>1_VHB high</v>
      </c>
      <c r="AQ849" s="10" t="str">
        <f>VLOOKUP(MID($AS849,1,255),source_lookup!$B:$K,10,FALSE)</f>
        <v>2_sust</v>
      </c>
      <c r="AR849" t="s">
        <v>94</v>
      </c>
      <c r="AS849" t="s">
        <v>243</v>
      </c>
    </row>
    <row r="850" spans="1:45" x14ac:dyDescent="0.3">
      <c r="A850" t="s">
        <v>40</v>
      </c>
      <c r="B850">
        <v>849</v>
      </c>
      <c r="C850" s="1">
        <v>-3.1786317881778187E-2</v>
      </c>
      <c r="D850" s="2">
        <v>866</v>
      </c>
      <c r="E850" s="4">
        <v>5195</v>
      </c>
      <c r="F850" s="4" t="s">
        <v>346</v>
      </c>
      <c r="G850" s="4" t="s">
        <v>347</v>
      </c>
      <c r="H850" t="s">
        <v>77</v>
      </c>
      <c r="I850" t="s">
        <v>350</v>
      </c>
      <c r="J850" s="3">
        <v>2014</v>
      </c>
      <c r="K850" s="3">
        <v>2019</v>
      </c>
      <c r="L850" s="6">
        <f t="shared" si="271"/>
        <v>2016.5</v>
      </c>
      <c r="M850" s="6">
        <f t="shared" si="272"/>
        <v>2016.5</v>
      </c>
      <c r="N850" s="7">
        <f t="shared" si="260"/>
        <v>0.66666666666666663</v>
      </c>
      <c r="O850" s="7">
        <f t="shared" si="261"/>
        <v>0.5</v>
      </c>
      <c r="P850" s="7">
        <f t="shared" si="262"/>
        <v>0.33333333333333331</v>
      </c>
      <c r="Q850" s="7">
        <f t="shared" si="273"/>
        <v>0.16666666666666666</v>
      </c>
      <c r="R850" s="10" t="str">
        <f t="shared" si="263"/>
        <v>1_Post</v>
      </c>
      <c r="S850" s="10" t="str">
        <f t="shared" si="264"/>
        <v>1_Post</v>
      </c>
      <c r="T850" s="10" t="str">
        <f t="shared" si="265"/>
        <v>1_Post</v>
      </c>
      <c r="U850" s="10" t="str">
        <f t="shared" si="266"/>
        <v>1_Post</v>
      </c>
      <c r="V850" s="10" t="str">
        <f t="shared" si="274"/>
        <v>0_Pre</v>
      </c>
      <c r="W850" s="10" t="str">
        <f t="shared" si="267"/>
        <v>straddle</v>
      </c>
      <c r="X850" s="10" t="str">
        <f t="shared" si="268"/>
        <v>1_Post</v>
      </c>
      <c r="Y850" s="10" t="str">
        <f t="shared" si="269"/>
        <v>0_Pre</v>
      </c>
      <c r="Z850" s="10" t="str">
        <f t="shared" si="270"/>
        <v>0_Pre</v>
      </c>
      <c r="AA850" s="10" t="str">
        <f t="shared" si="275"/>
        <v>1_Post</v>
      </c>
      <c r="AB850" s="10" t="str">
        <f t="shared" si="276"/>
        <v>1_Post</v>
      </c>
      <c r="AC850" s="10" t="str">
        <f t="shared" si="277"/>
        <v>1_Post</v>
      </c>
      <c r="AD850" s="10" t="str">
        <f t="shared" si="278"/>
        <v>2_post sample median</v>
      </c>
      <c r="AE850" s="10" t="str">
        <f t="shared" si="279"/>
        <v>3_post sample third tertile</v>
      </c>
      <c r="AF850" t="s">
        <v>80</v>
      </c>
      <c r="AG850" t="s">
        <v>75</v>
      </c>
      <c r="AH850" t="s">
        <v>79</v>
      </c>
      <c r="AI850" t="s">
        <v>122</v>
      </c>
      <c r="AJ850" t="s">
        <v>122</v>
      </c>
      <c r="AK850" t="str">
        <f>VLOOKUP(MID($AR850,1,255),country_lookup!$B:$F,2,FALSE)</f>
        <v>3_AsiaPac</v>
      </c>
      <c r="AL850" t="str">
        <f>VLOOKUP(MID($AR850,1,255),country_lookup!$B:$F,3,FALSE)</f>
        <v>2_developing</v>
      </c>
      <c r="AM850" t="str">
        <f>VLOOKUP(MID($AR850,1,255),country_lookup!$B:$F,4,FALSE)</f>
        <v>2_non_western</v>
      </c>
      <c r="AN850" t="str">
        <f>VLOOKUP(MID($AR850,1,255),country_lookup!$B:$F,5,FALSE)</f>
        <v>2_civil law</v>
      </c>
      <c r="AO850" s="10" t="str">
        <f>VLOOKUP(MID($AS850,1,255),source_lookup!$B:$K,4,FALSE)</f>
        <v>0_published</v>
      </c>
      <c r="AP850" s="10" t="str">
        <f>VLOOKUP(MID($AS850,1,255),source_lookup!$B:$K,6,FALSE)</f>
        <v>1_VHB high</v>
      </c>
      <c r="AQ850" s="10" t="str">
        <f>VLOOKUP(MID($AS850,1,255),source_lookup!$B:$K,10,FALSE)</f>
        <v>2_sust</v>
      </c>
      <c r="AR850" t="s">
        <v>94</v>
      </c>
      <c r="AS850" t="s">
        <v>243</v>
      </c>
    </row>
    <row r="851" spans="1:45" x14ac:dyDescent="0.3">
      <c r="A851" t="s">
        <v>40</v>
      </c>
      <c r="B851">
        <v>850</v>
      </c>
      <c r="C851" s="1">
        <v>-4.1817617580770683E-2</v>
      </c>
      <c r="D851" s="2">
        <v>866</v>
      </c>
      <c r="E851" s="4">
        <v>5195</v>
      </c>
      <c r="F851" s="4" t="s">
        <v>346</v>
      </c>
      <c r="G851" s="4" t="s">
        <v>347</v>
      </c>
      <c r="H851" t="s">
        <v>77</v>
      </c>
      <c r="I851" t="s">
        <v>350</v>
      </c>
      <c r="J851" s="3">
        <v>2014</v>
      </c>
      <c r="K851" s="3">
        <v>2019</v>
      </c>
      <c r="L851" s="6">
        <f t="shared" si="271"/>
        <v>2016.5</v>
      </c>
      <c r="M851" s="6">
        <f t="shared" si="272"/>
        <v>2016.5</v>
      </c>
      <c r="N851" s="7">
        <f t="shared" si="260"/>
        <v>0.66666666666666663</v>
      </c>
      <c r="O851" s="7">
        <f t="shared" si="261"/>
        <v>0.5</v>
      </c>
      <c r="P851" s="7">
        <f t="shared" si="262"/>
        <v>0.33333333333333331</v>
      </c>
      <c r="Q851" s="7">
        <f t="shared" si="273"/>
        <v>0.16666666666666666</v>
      </c>
      <c r="R851" s="10" t="str">
        <f t="shared" si="263"/>
        <v>1_Post</v>
      </c>
      <c r="S851" s="10" t="str">
        <f t="shared" si="264"/>
        <v>1_Post</v>
      </c>
      <c r="T851" s="10" t="str">
        <f t="shared" si="265"/>
        <v>1_Post</v>
      </c>
      <c r="U851" s="10" t="str">
        <f t="shared" si="266"/>
        <v>1_Post</v>
      </c>
      <c r="V851" s="10" t="str">
        <f t="shared" si="274"/>
        <v>0_Pre</v>
      </c>
      <c r="W851" s="10" t="str">
        <f t="shared" si="267"/>
        <v>straddle</v>
      </c>
      <c r="X851" s="10" t="str">
        <f t="shared" si="268"/>
        <v>1_Post</v>
      </c>
      <c r="Y851" s="10" t="str">
        <f t="shared" si="269"/>
        <v>0_Pre</v>
      </c>
      <c r="Z851" s="10" t="str">
        <f t="shared" si="270"/>
        <v>0_Pre</v>
      </c>
      <c r="AA851" s="10" t="str">
        <f t="shared" si="275"/>
        <v>1_Post</v>
      </c>
      <c r="AB851" s="10" t="str">
        <f t="shared" si="276"/>
        <v>1_Post</v>
      </c>
      <c r="AC851" s="10" t="str">
        <f t="shared" si="277"/>
        <v>1_Post</v>
      </c>
      <c r="AD851" s="10" t="str">
        <f t="shared" si="278"/>
        <v>2_post sample median</v>
      </c>
      <c r="AE851" s="10" t="str">
        <f t="shared" si="279"/>
        <v>3_post sample third tertile</v>
      </c>
      <c r="AF851" t="s">
        <v>80</v>
      </c>
      <c r="AG851" t="s">
        <v>75</v>
      </c>
      <c r="AH851" t="s">
        <v>79</v>
      </c>
      <c r="AI851" t="s">
        <v>122</v>
      </c>
      <c r="AJ851" t="s">
        <v>122</v>
      </c>
      <c r="AK851" t="str">
        <f>VLOOKUP(MID($AR851,1,255),country_lookup!$B:$F,2,FALSE)</f>
        <v>3_AsiaPac</v>
      </c>
      <c r="AL851" t="str">
        <f>VLOOKUP(MID($AR851,1,255),country_lookup!$B:$F,3,FALSE)</f>
        <v>2_developing</v>
      </c>
      <c r="AM851" t="str">
        <f>VLOOKUP(MID($AR851,1,255),country_lookup!$B:$F,4,FALSE)</f>
        <v>2_non_western</v>
      </c>
      <c r="AN851" t="str">
        <f>VLOOKUP(MID($AR851,1,255),country_lookup!$B:$F,5,FALSE)</f>
        <v>2_civil law</v>
      </c>
      <c r="AO851" s="10" t="str">
        <f>VLOOKUP(MID($AS851,1,255),source_lookup!$B:$K,4,FALSE)</f>
        <v>0_published</v>
      </c>
      <c r="AP851" s="10" t="str">
        <f>VLOOKUP(MID($AS851,1,255),source_lookup!$B:$K,6,FALSE)</f>
        <v>1_VHB high</v>
      </c>
      <c r="AQ851" s="10" t="str">
        <f>VLOOKUP(MID($AS851,1,255),source_lookup!$B:$K,10,FALSE)</f>
        <v>2_sust</v>
      </c>
      <c r="AR851" t="s">
        <v>94</v>
      </c>
      <c r="AS851" t="s">
        <v>243</v>
      </c>
    </row>
    <row r="852" spans="1:45" x14ac:dyDescent="0.3">
      <c r="A852" t="s">
        <v>40</v>
      </c>
      <c r="B852">
        <v>851</v>
      </c>
      <c r="C852" s="1">
        <v>3.5999999999999997E-2</v>
      </c>
      <c r="D852" s="2">
        <v>866</v>
      </c>
      <c r="E852" s="4">
        <v>5195</v>
      </c>
      <c r="F852" s="4" t="s">
        <v>346</v>
      </c>
      <c r="G852" s="4" t="s">
        <v>347</v>
      </c>
      <c r="H852" t="s">
        <v>76</v>
      </c>
      <c r="I852" t="s">
        <v>353</v>
      </c>
      <c r="J852" s="3">
        <v>2014</v>
      </c>
      <c r="K852" s="3">
        <v>2019</v>
      </c>
      <c r="L852" s="6">
        <f t="shared" si="271"/>
        <v>2016.5</v>
      </c>
      <c r="M852" s="6">
        <f t="shared" si="272"/>
        <v>2016.5</v>
      </c>
      <c r="N852" s="7">
        <f t="shared" si="260"/>
        <v>0.66666666666666663</v>
      </c>
      <c r="O852" s="7">
        <f t="shared" si="261"/>
        <v>0.5</v>
      </c>
      <c r="P852" s="7">
        <f t="shared" si="262"/>
        <v>0.33333333333333331</v>
      </c>
      <c r="Q852" s="7">
        <f t="shared" si="273"/>
        <v>0.16666666666666666</v>
      </c>
      <c r="R852" s="10" t="str">
        <f t="shared" si="263"/>
        <v>1_Post</v>
      </c>
      <c r="S852" s="10" t="str">
        <f t="shared" si="264"/>
        <v>1_Post</v>
      </c>
      <c r="T852" s="10" t="str">
        <f t="shared" si="265"/>
        <v>1_Post</v>
      </c>
      <c r="U852" s="10" t="str">
        <f t="shared" si="266"/>
        <v>1_Post</v>
      </c>
      <c r="V852" s="10" t="str">
        <f t="shared" si="274"/>
        <v>0_Pre</v>
      </c>
      <c r="W852" s="10" t="str">
        <f t="shared" si="267"/>
        <v>straddle</v>
      </c>
      <c r="X852" s="10" t="str">
        <f t="shared" si="268"/>
        <v>1_Post</v>
      </c>
      <c r="Y852" s="10" t="str">
        <f t="shared" si="269"/>
        <v>0_Pre</v>
      </c>
      <c r="Z852" s="10" t="str">
        <f t="shared" si="270"/>
        <v>0_Pre</v>
      </c>
      <c r="AA852" s="10" t="str">
        <f t="shared" si="275"/>
        <v>1_Post</v>
      </c>
      <c r="AB852" s="10" t="str">
        <f t="shared" si="276"/>
        <v>1_Post</v>
      </c>
      <c r="AC852" s="10" t="str">
        <f t="shared" si="277"/>
        <v>1_Post</v>
      </c>
      <c r="AD852" s="10" t="str">
        <f t="shared" si="278"/>
        <v>2_post sample median</v>
      </c>
      <c r="AE852" s="10" t="str">
        <f t="shared" si="279"/>
        <v>3_post sample third tertile</v>
      </c>
      <c r="AF852" t="s">
        <v>80</v>
      </c>
      <c r="AG852" t="s">
        <v>75</v>
      </c>
      <c r="AH852" t="s">
        <v>79</v>
      </c>
      <c r="AI852" t="s">
        <v>122</v>
      </c>
      <c r="AJ852" t="s">
        <v>122</v>
      </c>
      <c r="AK852" t="str">
        <f>VLOOKUP(MID($AR852,1,255),country_lookup!$B:$F,2,FALSE)</f>
        <v>3_AsiaPac</v>
      </c>
      <c r="AL852" t="str">
        <f>VLOOKUP(MID($AR852,1,255),country_lookup!$B:$F,3,FALSE)</f>
        <v>2_developing</v>
      </c>
      <c r="AM852" t="str">
        <f>VLOOKUP(MID($AR852,1,255),country_lookup!$B:$F,4,FALSE)</f>
        <v>2_non_western</v>
      </c>
      <c r="AN852" t="str">
        <f>VLOOKUP(MID($AR852,1,255),country_lookup!$B:$F,5,FALSE)</f>
        <v>2_civil law</v>
      </c>
      <c r="AO852" s="10" t="str">
        <f>VLOOKUP(MID($AS852,1,255),source_lookup!$B:$K,4,FALSE)</f>
        <v>0_published</v>
      </c>
      <c r="AP852" s="10" t="str">
        <f>VLOOKUP(MID($AS852,1,255),source_lookup!$B:$K,6,FALSE)</f>
        <v>1_VHB high</v>
      </c>
      <c r="AQ852" s="10" t="str">
        <f>VLOOKUP(MID($AS852,1,255),source_lookup!$B:$K,10,FALSE)</f>
        <v>2_sust</v>
      </c>
      <c r="AR852" t="s">
        <v>94</v>
      </c>
      <c r="AS852" t="s">
        <v>243</v>
      </c>
    </row>
    <row r="853" spans="1:45" x14ac:dyDescent="0.3">
      <c r="A853" t="s">
        <v>40</v>
      </c>
      <c r="B853">
        <v>852</v>
      </c>
      <c r="C853" s="1">
        <v>-4.8924158654262924E-2</v>
      </c>
      <c r="D853" s="2">
        <v>1885</v>
      </c>
      <c r="E853" s="4">
        <v>16965</v>
      </c>
      <c r="F853" s="4" t="s">
        <v>346</v>
      </c>
      <c r="G853" s="4" t="s">
        <v>347</v>
      </c>
      <c r="H853" t="s">
        <v>77</v>
      </c>
      <c r="I853" t="s">
        <v>350</v>
      </c>
      <c r="J853" s="3">
        <v>2008</v>
      </c>
      <c r="K853" s="3">
        <v>2016</v>
      </c>
      <c r="L853" s="6">
        <f t="shared" si="271"/>
        <v>2012</v>
      </c>
      <c r="M853" s="6">
        <f t="shared" si="272"/>
        <v>2012</v>
      </c>
      <c r="N853" s="7">
        <f t="shared" si="260"/>
        <v>0.1111111111111111</v>
      </c>
      <c r="O853" s="7">
        <f t="shared" si="261"/>
        <v>0</v>
      </c>
      <c r="P853" s="7">
        <f t="shared" si="262"/>
        <v>0</v>
      </c>
      <c r="Q853" s="7">
        <f t="shared" si="273"/>
        <v>0</v>
      </c>
      <c r="R853" s="10" t="str">
        <f t="shared" si="263"/>
        <v>0_Pre</v>
      </c>
      <c r="S853" s="10" t="str">
        <f t="shared" si="264"/>
        <v>0_Pre</v>
      </c>
      <c r="T853" s="10" t="str">
        <f t="shared" si="265"/>
        <v>0_Pre</v>
      </c>
      <c r="U853" s="10" t="str">
        <f t="shared" si="266"/>
        <v>1_Post</v>
      </c>
      <c r="V853" s="10" t="str">
        <f t="shared" si="274"/>
        <v>0_Pre</v>
      </c>
      <c r="W853" s="10" t="str">
        <f t="shared" si="267"/>
        <v>straddle</v>
      </c>
      <c r="X853" s="10" t="str">
        <f t="shared" si="268"/>
        <v>0_Pre</v>
      </c>
      <c r="Y853" s="10" t="str">
        <f t="shared" si="269"/>
        <v>0_Pre</v>
      </c>
      <c r="Z853" s="10" t="str">
        <f t="shared" si="270"/>
        <v>0_Pre</v>
      </c>
      <c r="AA853" s="10" t="str">
        <f t="shared" si="275"/>
        <v>0_Pre</v>
      </c>
      <c r="AB853" s="10" t="str">
        <f t="shared" si="276"/>
        <v>0_Pre</v>
      </c>
      <c r="AC853" s="10" t="str">
        <f t="shared" si="277"/>
        <v>0_Pre</v>
      </c>
      <c r="AD853" s="10" t="str">
        <f t="shared" si="278"/>
        <v>2_post sample median</v>
      </c>
      <c r="AE853" s="10" t="str">
        <f t="shared" si="279"/>
        <v>2_in sample second tertile</v>
      </c>
      <c r="AF853" t="s">
        <v>80</v>
      </c>
      <c r="AG853" t="s">
        <v>75</v>
      </c>
      <c r="AH853" t="s">
        <v>78</v>
      </c>
      <c r="AI853" t="s">
        <v>122</v>
      </c>
      <c r="AJ853" t="s">
        <v>123</v>
      </c>
      <c r="AK853" t="str">
        <f>VLOOKUP(MID($AR853,1,255),country_lookup!$B:$F,2,FALSE)</f>
        <v>3_AsiaPac</v>
      </c>
      <c r="AL853" t="str">
        <f>VLOOKUP(MID($AR853,1,255),country_lookup!$B:$F,3,FALSE)</f>
        <v>2_developing</v>
      </c>
      <c r="AM853" t="str">
        <f>VLOOKUP(MID($AR853,1,255),country_lookup!$B:$F,4,FALSE)</f>
        <v>2_non_western</v>
      </c>
      <c r="AN853" t="str">
        <f>VLOOKUP(MID($AR853,1,255),country_lookup!$B:$F,5,FALSE)</f>
        <v>2_civil law</v>
      </c>
      <c r="AO853" s="10" t="str">
        <f>VLOOKUP(MID($AS853,1,255),source_lookup!$B:$K,4,FALSE)</f>
        <v>0_published</v>
      </c>
      <c r="AP853" s="10" t="str">
        <f>VLOOKUP(MID($AS853,1,255),source_lookup!$B:$K,6,FALSE)</f>
        <v>1_VHB high</v>
      </c>
      <c r="AQ853" s="10" t="str">
        <f>VLOOKUP(MID($AS853,1,255),source_lookup!$B:$K,10,FALSE)</f>
        <v>2_sust</v>
      </c>
      <c r="AR853" t="s">
        <v>94</v>
      </c>
      <c r="AS853" t="s">
        <v>243</v>
      </c>
    </row>
    <row r="854" spans="1:45" x14ac:dyDescent="0.3">
      <c r="A854" t="s">
        <v>40</v>
      </c>
      <c r="B854">
        <v>853</v>
      </c>
      <c r="C854" s="1">
        <v>-3.7593437944027981E-2</v>
      </c>
      <c r="D854" s="2">
        <v>1885</v>
      </c>
      <c r="E854" s="4">
        <v>16965</v>
      </c>
      <c r="F854" s="4" t="s">
        <v>346</v>
      </c>
      <c r="G854" s="4" t="s">
        <v>347</v>
      </c>
      <c r="H854" t="s">
        <v>77</v>
      </c>
      <c r="I854" t="s">
        <v>350</v>
      </c>
      <c r="J854" s="3">
        <v>2008</v>
      </c>
      <c r="K854" s="3">
        <v>2016</v>
      </c>
      <c r="L854" s="6">
        <f t="shared" si="271"/>
        <v>2012</v>
      </c>
      <c r="M854" s="6">
        <f t="shared" si="272"/>
        <v>2012</v>
      </c>
      <c r="N854" s="7">
        <f t="shared" si="260"/>
        <v>0.1111111111111111</v>
      </c>
      <c r="O854" s="7">
        <f t="shared" si="261"/>
        <v>0</v>
      </c>
      <c r="P854" s="7">
        <f t="shared" si="262"/>
        <v>0</v>
      </c>
      <c r="Q854" s="7">
        <f t="shared" si="273"/>
        <v>0</v>
      </c>
      <c r="R854" s="10" t="str">
        <f t="shared" si="263"/>
        <v>0_Pre</v>
      </c>
      <c r="S854" s="10" t="str">
        <f t="shared" si="264"/>
        <v>0_Pre</v>
      </c>
      <c r="T854" s="10" t="str">
        <f t="shared" si="265"/>
        <v>0_Pre</v>
      </c>
      <c r="U854" s="10" t="str">
        <f t="shared" si="266"/>
        <v>1_Post</v>
      </c>
      <c r="V854" s="10" t="str">
        <f t="shared" si="274"/>
        <v>0_Pre</v>
      </c>
      <c r="W854" s="10" t="str">
        <f t="shared" si="267"/>
        <v>straddle</v>
      </c>
      <c r="X854" s="10" t="str">
        <f t="shared" si="268"/>
        <v>0_Pre</v>
      </c>
      <c r="Y854" s="10" t="str">
        <f t="shared" si="269"/>
        <v>0_Pre</v>
      </c>
      <c r="Z854" s="10" t="str">
        <f t="shared" si="270"/>
        <v>0_Pre</v>
      </c>
      <c r="AA854" s="10" t="str">
        <f t="shared" si="275"/>
        <v>0_Pre</v>
      </c>
      <c r="AB854" s="10" t="str">
        <f t="shared" si="276"/>
        <v>0_Pre</v>
      </c>
      <c r="AC854" s="10" t="str">
        <f t="shared" si="277"/>
        <v>0_Pre</v>
      </c>
      <c r="AD854" s="10" t="str">
        <f t="shared" si="278"/>
        <v>2_post sample median</v>
      </c>
      <c r="AE854" s="10" t="str">
        <f t="shared" si="279"/>
        <v>2_in sample second tertile</v>
      </c>
      <c r="AF854" t="s">
        <v>80</v>
      </c>
      <c r="AG854" t="s">
        <v>75</v>
      </c>
      <c r="AH854" t="s">
        <v>78</v>
      </c>
      <c r="AI854" t="s">
        <v>122</v>
      </c>
      <c r="AJ854" t="s">
        <v>123</v>
      </c>
      <c r="AK854" t="str">
        <f>VLOOKUP(MID($AR854,1,255),country_lookup!$B:$F,2,FALSE)</f>
        <v>3_AsiaPac</v>
      </c>
      <c r="AL854" t="str">
        <f>VLOOKUP(MID($AR854,1,255),country_lookup!$B:$F,3,FALSE)</f>
        <v>2_developing</v>
      </c>
      <c r="AM854" t="str">
        <f>VLOOKUP(MID($AR854,1,255),country_lookup!$B:$F,4,FALSE)</f>
        <v>2_non_western</v>
      </c>
      <c r="AN854" t="str">
        <f>VLOOKUP(MID($AR854,1,255),country_lookup!$B:$F,5,FALSE)</f>
        <v>2_civil law</v>
      </c>
      <c r="AO854" s="10" t="str">
        <f>VLOOKUP(MID($AS854,1,255),source_lookup!$B:$K,4,FALSE)</f>
        <v>0_published</v>
      </c>
      <c r="AP854" s="10" t="str">
        <f>VLOOKUP(MID($AS854,1,255),source_lookup!$B:$K,6,FALSE)</f>
        <v>1_VHB high</v>
      </c>
      <c r="AQ854" s="10" t="str">
        <f>VLOOKUP(MID($AS854,1,255),source_lookup!$B:$K,10,FALSE)</f>
        <v>2_sust</v>
      </c>
      <c r="AR854" t="s">
        <v>94</v>
      </c>
      <c r="AS854" t="s">
        <v>243</v>
      </c>
    </row>
    <row r="855" spans="1:45" x14ac:dyDescent="0.3">
      <c r="A855" t="s">
        <v>40</v>
      </c>
      <c r="B855">
        <v>854</v>
      </c>
      <c r="C855" s="1">
        <v>-6.5349575607496491E-2</v>
      </c>
      <c r="D855" s="2">
        <v>1885</v>
      </c>
      <c r="E855" s="4">
        <v>16965</v>
      </c>
      <c r="F855" s="4" t="s">
        <v>346</v>
      </c>
      <c r="G855" s="4" t="s">
        <v>347</v>
      </c>
      <c r="H855" t="s">
        <v>77</v>
      </c>
      <c r="I855" t="s">
        <v>350</v>
      </c>
      <c r="J855" s="3">
        <v>2008</v>
      </c>
      <c r="K855" s="3">
        <v>2016</v>
      </c>
      <c r="L855" s="6">
        <f t="shared" si="271"/>
        <v>2012</v>
      </c>
      <c r="M855" s="6">
        <f t="shared" si="272"/>
        <v>2012</v>
      </c>
      <c r="N855" s="7">
        <f t="shared" si="260"/>
        <v>0.1111111111111111</v>
      </c>
      <c r="O855" s="7">
        <f t="shared" si="261"/>
        <v>0</v>
      </c>
      <c r="P855" s="7">
        <f t="shared" si="262"/>
        <v>0</v>
      </c>
      <c r="Q855" s="7">
        <f t="shared" si="273"/>
        <v>0</v>
      </c>
      <c r="R855" s="10" t="str">
        <f t="shared" si="263"/>
        <v>0_Pre</v>
      </c>
      <c r="S855" s="10" t="str">
        <f t="shared" si="264"/>
        <v>0_Pre</v>
      </c>
      <c r="T855" s="10" t="str">
        <f t="shared" si="265"/>
        <v>0_Pre</v>
      </c>
      <c r="U855" s="10" t="str">
        <f t="shared" si="266"/>
        <v>1_Post</v>
      </c>
      <c r="V855" s="10" t="str">
        <f t="shared" si="274"/>
        <v>0_Pre</v>
      </c>
      <c r="W855" s="10" t="str">
        <f t="shared" si="267"/>
        <v>straddle</v>
      </c>
      <c r="X855" s="10" t="str">
        <f t="shared" si="268"/>
        <v>0_Pre</v>
      </c>
      <c r="Y855" s="10" t="str">
        <f t="shared" si="269"/>
        <v>0_Pre</v>
      </c>
      <c r="Z855" s="10" t="str">
        <f t="shared" si="270"/>
        <v>0_Pre</v>
      </c>
      <c r="AA855" s="10" t="str">
        <f t="shared" si="275"/>
        <v>0_Pre</v>
      </c>
      <c r="AB855" s="10" t="str">
        <f t="shared" si="276"/>
        <v>0_Pre</v>
      </c>
      <c r="AC855" s="10" t="str">
        <f t="shared" si="277"/>
        <v>0_Pre</v>
      </c>
      <c r="AD855" s="10" t="str">
        <f t="shared" si="278"/>
        <v>2_post sample median</v>
      </c>
      <c r="AE855" s="10" t="str">
        <f t="shared" si="279"/>
        <v>2_in sample second tertile</v>
      </c>
      <c r="AF855" t="s">
        <v>80</v>
      </c>
      <c r="AG855" t="s">
        <v>75</v>
      </c>
      <c r="AH855" t="s">
        <v>78</v>
      </c>
      <c r="AI855" t="s">
        <v>122</v>
      </c>
      <c r="AJ855" t="s">
        <v>123</v>
      </c>
      <c r="AK855" t="str">
        <f>VLOOKUP(MID($AR855,1,255),country_lookup!$B:$F,2,FALSE)</f>
        <v>3_AsiaPac</v>
      </c>
      <c r="AL855" t="str">
        <f>VLOOKUP(MID($AR855,1,255),country_lookup!$B:$F,3,FALSE)</f>
        <v>2_developing</v>
      </c>
      <c r="AM855" t="str">
        <f>VLOOKUP(MID($AR855,1,255),country_lookup!$B:$F,4,FALSE)</f>
        <v>2_non_western</v>
      </c>
      <c r="AN855" t="str">
        <f>VLOOKUP(MID($AR855,1,255),country_lookup!$B:$F,5,FALSE)</f>
        <v>2_civil law</v>
      </c>
      <c r="AO855" s="10" t="str">
        <f>VLOOKUP(MID($AS855,1,255),source_lookup!$B:$K,4,FALSE)</f>
        <v>0_published</v>
      </c>
      <c r="AP855" s="10" t="str">
        <f>VLOOKUP(MID($AS855,1,255),source_lookup!$B:$K,6,FALSE)</f>
        <v>1_VHB high</v>
      </c>
      <c r="AQ855" s="10" t="str">
        <f>VLOOKUP(MID($AS855,1,255),source_lookup!$B:$K,10,FALSE)</f>
        <v>2_sust</v>
      </c>
      <c r="AR855" t="s">
        <v>94</v>
      </c>
      <c r="AS855" t="s">
        <v>243</v>
      </c>
    </row>
    <row r="856" spans="1:45" x14ac:dyDescent="0.3">
      <c r="A856" t="s">
        <v>40</v>
      </c>
      <c r="B856">
        <v>855</v>
      </c>
      <c r="C856" s="1">
        <v>-6.0965253979479266E-2</v>
      </c>
      <c r="D856" s="2">
        <v>1047</v>
      </c>
      <c r="E856" s="4">
        <v>9426</v>
      </c>
      <c r="F856" s="4" t="s">
        <v>346</v>
      </c>
      <c r="G856" s="4" t="s">
        <v>347</v>
      </c>
      <c r="H856" t="s">
        <v>77</v>
      </c>
      <c r="I856" t="s">
        <v>350</v>
      </c>
      <c r="J856" s="3">
        <v>2008</v>
      </c>
      <c r="K856" s="3">
        <v>2016</v>
      </c>
      <c r="L856" s="6">
        <f t="shared" si="271"/>
        <v>2012</v>
      </c>
      <c r="M856" s="6">
        <f t="shared" si="272"/>
        <v>2012</v>
      </c>
      <c r="N856" s="7">
        <f t="shared" si="260"/>
        <v>0.1111111111111111</v>
      </c>
      <c r="O856" s="7">
        <f t="shared" si="261"/>
        <v>0</v>
      </c>
      <c r="P856" s="7">
        <f t="shared" si="262"/>
        <v>0</v>
      </c>
      <c r="Q856" s="7">
        <f t="shared" si="273"/>
        <v>0</v>
      </c>
      <c r="R856" s="10" t="str">
        <f t="shared" si="263"/>
        <v>0_Pre</v>
      </c>
      <c r="S856" s="10" t="str">
        <f t="shared" si="264"/>
        <v>0_Pre</v>
      </c>
      <c r="T856" s="10" t="str">
        <f t="shared" si="265"/>
        <v>0_Pre</v>
      </c>
      <c r="U856" s="10" t="str">
        <f t="shared" si="266"/>
        <v>1_Post</v>
      </c>
      <c r="V856" s="10" t="str">
        <f t="shared" si="274"/>
        <v>0_Pre</v>
      </c>
      <c r="W856" s="10" t="str">
        <f t="shared" si="267"/>
        <v>straddle</v>
      </c>
      <c r="X856" s="10" t="str">
        <f t="shared" si="268"/>
        <v>0_Pre</v>
      </c>
      <c r="Y856" s="10" t="str">
        <f t="shared" si="269"/>
        <v>0_Pre</v>
      </c>
      <c r="Z856" s="10" t="str">
        <f t="shared" si="270"/>
        <v>0_Pre</v>
      </c>
      <c r="AA856" s="10" t="str">
        <f t="shared" si="275"/>
        <v>0_Pre</v>
      </c>
      <c r="AB856" s="10" t="str">
        <f t="shared" si="276"/>
        <v>0_Pre</v>
      </c>
      <c r="AC856" s="10" t="str">
        <f t="shared" si="277"/>
        <v>0_Pre</v>
      </c>
      <c r="AD856" s="10" t="str">
        <f t="shared" si="278"/>
        <v>2_post sample median</v>
      </c>
      <c r="AE856" s="10" t="str">
        <f t="shared" si="279"/>
        <v>2_in sample second tertile</v>
      </c>
      <c r="AF856" t="s">
        <v>80</v>
      </c>
      <c r="AG856" t="s">
        <v>75</v>
      </c>
      <c r="AH856" t="s">
        <v>78</v>
      </c>
      <c r="AI856" t="s">
        <v>122</v>
      </c>
      <c r="AJ856" t="s">
        <v>123</v>
      </c>
      <c r="AK856" t="str">
        <f>VLOOKUP(MID($AR856,1,255),country_lookup!$B:$F,2,FALSE)</f>
        <v>3_AsiaPac</v>
      </c>
      <c r="AL856" t="str">
        <f>VLOOKUP(MID($AR856,1,255),country_lookup!$B:$F,3,FALSE)</f>
        <v>2_developing</v>
      </c>
      <c r="AM856" t="str">
        <f>VLOOKUP(MID($AR856,1,255),country_lookup!$B:$F,4,FALSE)</f>
        <v>2_non_western</v>
      </c>
      <c r="AN856" t="str">
        <f>VLOOKUP(MID($AR856,1,255),country_lookup!$B:$F,5,FALSE)</f>
        <v>2_civil law</v>
      </c>
      <c r="AO856" s="10" t="str">
        <f>VLOOKUP(MID($AS856,1,255),source_lookup!$B:$K,4,FALSE)</f>
        <v>0_published</v>
      </c>
      <c r="AP856" s="10" t="str">
        <f>VLOOKUP(MID($AS856,1,255),source_lookup!$B:$K,6,FALSE)</f>
        <v>1_VHB high</v>
      </c>
      <c r="AQ856" s="10" t="str">
        <f>VLOOKUP(MID($AS856,1,255),source_lookup!$B:$K,10,FALSE)</f>
        <v>2_sust</v>
      </c>
      <c r="AR856" t="s">
        <v>94</v>
      </c>
      <c r="AS856" t="s">
        <v>243</v>
      </c>
    </row>
    <row r="857" spans="1:45" x14ac:dyDescent="0.3">
      <c r="A857" t="s">
        <v>40</v>
      </c>
      <c r="B857">
        <v>856</v>
      </c>
      <c r="C857" s="1">
        <v>-5.2027051387669642E-3</v>
      </c>
      <c r="D857" s="2">
        <v>624</v>
      </c>
      <c r="E857" s="4">
        <v>5619</v>
      </c>
      <c r="F857" s="4" t="s">
        <v>346</v>
      </c>
      <c r="G857" s="4" t="s">
        <v>347</v>
      </c>
      <c r="H857" t="s">
        <v>77</v>
      </c>
      <c r="I857" t="s">
        <v>350</v>
      </c>
      <c r="J857" s="3">
        <v>2008</v>
      </c>
      <c r="K857" s="3">
        <v>2016</v>
      </c>
      <c r="L857" s="6">
        <f t="shared" si="271"/>
        <v>2012</v>
      </c>
      <c r="M857" s="6">
        <f t="shared" si="272"/>
        <v>2012</v>
      </c>
      <c r="N857" s="7">
        <f t="shared" si="260"/>
        <v>0.1111111111111111</v>
      </c>
      <c r="O857" s="7">
        <f t="shared" si="261"/>
        <v>0</v>
      </c>
      <c r="P857" s="7">
        <f t="shared" si="262"/>
        <v>0</v>
      </c>
      <c r="Q857" s="7">
        <f t="shared" si="273"/>
        <v>0</v>
      </c>
      <c r="R857" s="10" t="str">
        <f t="shared" si="263"/>
        <v>0_Pre</v>
      </c>
      <c r="S857" s="10" t="str">
        <f t="shared" si="264"/>
        <v>0_Pre</v>
      </c>
      <c r="T857" s="10" t="str">
        <f t="shared" si="265"/>
        <v>0_Pre</v>
      </c>
      <c r="U857" s="10" t="str">
        <f t="shared" si="266"/>
        <v>1_Post</v>
      </c>
      <c r="V857" s="10" t="str">
        <f t="shared" si="274"/>
        <v>0_Pre</v>
      </c>
      <c r="W857" s="10" t="str">
        <f t="shared" si="267"/>
        <v>straddle</v>
      </c>
      <c r="X857" s="10" t="str">
        <f t="shared" si="268"/>
        <v>0_Pre</v>
      </c>
      <c r="Y857" s="10" t="str">
        <f t="shared" si="269"/>
        <v>0_Pre</v>
      </c>
      <c r="Z857" s="10" t="str">
        <f t="shared" si="270"/>
        <v>0_Pre</v>
      </c>
      <c r="AA857" s="10" t="str">
        <f t="shared" si="275"/>
        <v>0_Pre</v>
      </c>
      <c r="AB857" s="10" t="str">
        <f t="shared" si="276"/>
        <v>0_Pre</v>
      </c>
      <c r="AC857" s="10" t="str">
        <f t="shared" si="277"/>
        <v>0_Pre</v>
      </c>
      <c r="AD857" s="10" t="str">
        <f t="shared" si="278"/>
        <v>2_post sample median</v>
      </c>
      <c r="AE857" s="10" t="str">
        <f t="shared" si="279"/>
        <v>2_in sample second tertile</v>
      </c>
      <c r="AF857" t="s">
        <v>80</v>
      </c>
      <c r="AG857" t="s">
        <v>75</v>
      </c>
      <c r="AH857" t="s">
        <v>78</v>
      </c>
      <c r="AI857" t="s">
        <v>122</v>
      </c>
      <c r="AJ857" t="s">
        <v>123</v>
      </c>
      <c r="AK857" t="str">
        <f>VLOOKUP(MID($AR857,1,255),country_lookup!$B:$F,2,FALSE)</f>
        <v>3_AsiaPac</v>
      </c>
      <c r="AL857" t="str">
        <f>VLOOKUP(MID($AR857,1,255),country_lookup!$B:$F,3,FALSE)</f>
        <v>2_developing</v>
      </c>
      <c r="AM857" t="str">
        <f>VLOOKUP(MID($AR857,1,255),country_lookup!$B:$F,4,FALSE)</f>
        <v>2_non_western</v>
      </c>
      <c r="AN857" t="str">
        <f>VLOOKUP(MID($AR857,1,255),country_lookup!$B:$F,5,FALSE)</f>
        <v>2_civil law</v>
      </c>
      <c r="AO857" s="10" t="str">
        <f>VLOOKUP(MID($AS857,1,255),source_lookup!$B:$K,4,FALSE)</f>
        <v>0_published</v>
      </c>
      <c r="AP857" s="10" t="str">
        <f>VLOOKUP(MID($AS857,1,255),source_lookup!$B:$K,6,FALSE)</f>
        <v>1_VHB high</v>
      </c>
      <c r="AQ857" s="10" t="str">
        <f>VLOOKUP(MID($AS857,1,255),source_lookup!$B:$K,10,FALSE)</f>
        <v>2_sust</v>
      </c>
      <c r="AR857" t="s">
        <v>94</v>
      </c>
      <c r="AS857" t="s">
        <v>243</v>
      </c>
    </row>
    <row r="858" spans="1:45" x14ac:dyDescent="0.3">
      <c r="A858" t="s">
        <v>40</v>
      </c>
      <c r="B858">
        <v>857</v>
      </c>
      <c r="C858" s="1">
        <v>-7.3586600187170448E-2</v>
      </c>
      <c r="D858" s="2">
        <v>790</v>
      </c>
      <c r="E858" s="4">
        <v>7106</v>
      </c>
      <c r="F858" s="4" t="s">
        <v>346</v>
      </c>
      <c r="G858" s="4" t="s">
        <v>347</v>
      </c>
      <c r="H858" t="s">
        <v>77</v>
      </c>
      <c r="I858" t="s">
        <v>350</v>
      </c>
      <c r="J858" s="3">
        <v>2008</v>
      </c>
      <c r="K858" s="3">
        <v>2016</v>
      </c>
      <c r="L858" s="6">
        <f t="shared" si="271"/>
        <v>2012</v>
      </c>
      <c r="M858" s="6">
        <f t="shared" si="272"/>
        <v>2012</v>
      </c>
      <c r="N858" s="7">
        <f t="shared" si="260"/>
        <v>0.1111111111111111</v>
      </c>
      <c r="O858" s="7">
        <f t="shared" si="261"/>
        <v>0</v>
      </c>
      <c r="P858" s="7">
        <f t="shared" si="262"/>
        <v>0</v>
      </c>
      <c r="Q858" s="7">
        <f t="shared" si="273"/>
        <v>0</v>
      </c>
      <c r="R858" s="10" t="str">
        <f t="shared" si="263"/>
        <v>0_Pre</v>
      </c>
      <c r="S858" s="10" t="str">
        <f t="shared" si="264"/>
        <v>0_Pre</v>
      </c>
      <c r="T858" s="10" t="str">
        <f t="shared" si="265"/>
        <v>0_Pre</v>
      </c>
      <c r="U858" s="10" t="str">
        <f t="shared" si="266"/>
        <v>1_Post</v>
      </c>
      <c r="V858" s="10" t="str">
        <f t="shared" si="274"/>
        <v>0_Pre</v>
      </c>
      <c r="W858" s="10" t="str">
        <f t="shared" si="267"/>
        <v>straddle</v>
      </c>
      <c r="X858" s="10" t="str">
        <f t="shared" si="268"/>
        <v>0_Pre</v>
      </c>
      <c r="Y858" s="10" t="str">
        <f t="shared" si="269"/>
        <v>0_Pre</v>
      </c>
      <c r="Z858" s="10" t="str">
        <f t="shared" si="270"/>
        <v>0_Pre</v>
      </c>
      <c r="AA858" s="10" t="str">
        <f t="shared" si="275"/>
        <v>0_Pre</v>
      </c>
      <c r="AB858" s="10" t="str">
        <f t="shared" si="276"/>
        <v>0_Pre</v>
      </c>
      <c r="AC858" s="10" t="str">
        <f t="shared" si="277"/>
        <v>0_Pre</v>
      </c>
      <c r="AD858" s="10" t="str">
        <f t="shared" si="278"/>
        <v>2_post sample median</v>
      </c>
      <c r="AE858" s="10" t="str">
        <f t="shared" si="279"/>
        <v>2_in sample second tertile</v>
      </c>
      <c r="AF858" t="s">
        <v>80</v>
      </c>
      <c r="AG858" t="s">
        <v>75</v>
      </c>
      <c r="AH858" t="s">
        <v>78</v>
      </c>
      <c r="AI858" t="s">
        <v>122</v>
      </c>
      <c r="AJ858" t="s">
        <v>123</v>
      </c>
      <c r="AK858" t="str">
        <f>VLOOKUP(MID($AR858,1,255),country_lookup!$B:$F,2,FALSE)</f>
        <v>3_AsiaPac</v>
      </c>
      <c r="AL858" t="str">
        <f>VLOOKUP(MID($AR858,1,255),country_lookup!$B:$F,3,FALSE)</f>
        <v>2_developing</v>
      </c>
      <c r="AM858" t="str">
        <f>VLOOKUP(MID($AR858,1,255),country_lookup!$B:$F,4,FALSE)</f>
        <v>2_non_western</v>
      </c>
      <c r="AN858" t="str">
        <f>VLOOKUP(MID($AR858,1,255),country_lookup!$B:$F,5,FALSE)</f>
        <v>2_civil law</v>
      </c>
      <c r="AO858" s="10" t="str">
        <f>VLOOKUP(MID($AS858,1,255),source_lookup!$B:$K,4,FALSE)</f>
        <v>0_published</v>
      </c>
      <c r="AP858" s="10" t="str">
        <f>VLOOKUP(MID($AS858,1,255),source_lookup!$B:$K,6,FALSE)</f>
        <v>1_VHB high</v>
      </c>
      <c r="AQ858" s="10" t="str">
        <f>VLOOKUP(MID($AS858,1,255),source_lookup!$B:$K,10,FALSE)</f>
        <v>2_sust</v>
      </c>
      <c r="AR858" t="s">
        <v>94</v>
      </c>
      <c r="AS858" t="s">
        <v>243</v>
      </c>
    </row>
    <row r="859" spans="1:45" x14ac:dyDescent="0.3">
      <c r="A859" t="s">
        <v>40</v>
      </c>
      <c r="B859">
        <v>858</v>
      </c>
      <c r="C859" s="1">
        <v>1.4702442123392249E-2</v>
      </c>
      <c r="D859" s="2">
        <v>1095</v>
      </c>
      <c r="E859" s="4">
        <v>9859</v>
      </c>
      <c r="F859" s="4" t="s">
        <v>346</v>
      </c>
      <c r="G859" s="4" t="s">
        <v>347</v>
      </c>
      <c r="H859" t="s">
        <v>77</v>
      </c>
      <c r="I859" t="s">
        <v>350</v>
      </c>
      <c r="J859" s="3">
        <v>2008</v>
      </c>
      <c r="K859" s="3">
        <v>2016</v>
      </c>
      <c r="L859" s="6">
        <f t="shared" si="271"/>
        <v>2012</v>
      </c>
      <c r="M859" s="6">
        <f t="shared" si="272"/>
        <v>2012</v>
      </c>
      <c r="N859" s="7">
        <f t="shared" si="260"/>
        <v>0.1111111111111111</v>
      </c>
      <c r="O859" s="7">
        <f t="shared" si="261"/>
        <v>0</v>
      </c>
      <c r="P859" s="7">
        <f t="shared" si="262"/>
        <v>0</v>
      </c>
      <c r="Q859" s="7">
        <f t="shared" si="273"/>
        <v>0</v>
      </c>
      <c r="R859" s="10" t="str">
        <f t="shared" si="263"/>
        <v>0_Pre</v>
      </c>
      <c r="S859" s="10" t="str">
        <f t="shared" si="264"/>
        <v>0_Pre</v>
      </c>
      <c r="T859" s="10" t="str">
        <f t="shared" si="265"/>
        <v>0_Pre</v>
      </c>
      <c r="U859" s="10" t="str">
        <f t="shared" si="266"/>
        <v>1_Post</v>
      </c>
      <c r="V859" s="10" t="str">
        <f t="shared" si="274"/>
        <v>0_Pre</v>
      </c>
      <c r="W859" s="10" t="str">
        <f t="shared" si="267"/>
        <v>straddle</v>
      </c>
      <c r="X859" s="10" t="str">
        <f t="shared" si="268"/>
        <v>0_Pre</v>
      </c>
      <c r="Y859" s="10" t="str">
        <f t="shared" si="269"/>
        <v>0_Pre</v>
      </c>
      <c r="Z859" s="10" t="str">
        <f t="shared" si="270"/>
        <v>0_Pre</v>
      </c>
      <c r="AA859" s="10" t="str">
        <f t="shared" si="275"/>
        <v>0_Pre</v>
      </c>
      <c r="AB859" s="10" t="str">
        <f t="shared" si="276"/>
        <v>0_Pre</v>
      </c>
      <c r="AC859" s="10" t="str">
        <f t="shared" si="277"/>
        <v>0_Pre</v>
      </c>
      <c r="AD859" s="10" t="str">
        <f t="shared" si="278"/>
        <v>2_post sample median</v>
      </c>
      <c r="AE859" s="10" t="str">
        <f t="shared" si="279"/>
        <v>2_in sample second tertile</v>
      </c>
      <c r="AF859" t="s">
        <v>80</v>
      </c>
      <c r="AG859" t="s">
        <v>75</v>
      </c>
      <c r="AH859" t="s">
        <v>78</v>
      </c>
      <c r="AI859" t="s">
        <v>122</v>
      </c>
      <c r="AJ859" t="s">
        <v>123</v>
      </c>
      <c r="AK859" t="str">
        <f>VLOOKUP(MID($AR859,1,255),country_lookup!$B:$F,2,FALSE)</f>
        <v>3_AsiaPac</v>
      </c>
      <c r="AL859" t="str">
        <f>VLOOKUP(MID($AR859,1,255),country_lookup!$B:$F,3,FALSE)</f>
        <v>2_developing</v>
      </c>
      <c r="AM859" t="str">
        <f>VLOOKUP(MID($AR859,1,255),country_lookup!$B:$F,4,FALSE)</f>
        <v>2_non_western</v>
      </c>
      <c r="AN859" t="str">
        <f>VLOOKUP(MID($AR859,1,255),country_lookup!$B:$F,5,FALSE)</f>
        <v>2_civil law</v>
      </c>
      <c r="AO859" s="10" t="str">
        <f>VLOOKUP(MID($AS859,1,255),source_lookup!$B:$K,4,FALSE)</f>
        <v>0_published</v>
      </c>
      <c r="AP859" s="10" t="str">
        <f>VLOOKUP(MID($AS859,1,255),source_lookup!$B:$K,6,FALSE)</f>
        <v>1_VHB high</v>
      </c>
      <c r="AQ859" s="10" t="str">
        <f>VLOOKUP(MID($AS859,1,255),source_lookup!$B:$K,10,FALSE)</f>
        <v>2_sust</v>
      </c>
      <c r="AR859" t="s">
        <v>94</v>
      </c>
      <c r="AS859" t="s">
        <v>243</v>
      </c>
    </row>
    <row r="860" spans="1:45" x14ac:dyDescent="0.3">
      <c r="A860" t="s">
        <v>40</v>
      </c>
      <c r="B860">
        <v>859</v>
      </c>
      <c r="C860" s="1">
        <v>3.4003007434537727E-3</v>
      </c>
      <c r="D860" s="2">
        <v>216</v>
      </c>
      <c r="E860" s="4">
        <v>1946</v>
      </c>
      <c r="F860" s="4" t="s">
        <v>346</v>
      </c>
      <c r="G860" s="4" t="s">
        <v>347</v>
      </c>
      <c r="H860" t="s">
        <v>77</v>
      </c>
      <c r="I860" t="s">
        <v>350</v>
      </c>
      <c r="J860" s="3">
        <v>2008</v>
      </c>
      <c r="K860" s="3">
        <v>2016</v>
      </c>
      <c r="L860" s="6">
        <f t="shared" si="271"/>
        <v>2012</v>
      </c>
      <c r="M860" s="6">
        <f t="shared" si="272"/>
        <v>2012</v>
      </c>
      <c r="N860" s="7">
        <f t="shared" si="260"/>
        <v>0.1111111111111111</v>
      </c>
      <c r="O860" s="7">
        <f t="shared" si="261"/>
        <v>0</v>
      </c>
      <c r="P860" s="7">
        <f t="shared" si="262"/>
        <v>0</v>
      </c>
      <c r="Q860" s="7">
        <f t="shared" si="273"/>
        <v>0</v>
      </c>
      <c r="R860" s="10" t="str">
        <f t="shared" si="263"/>
        <v>0_Pre</v>
      </c>
      <c r="S860" s="10" t="str">
        <f t="shared" si="264"/>
        <v>0_Pre</v>
      </c>
      <c r="T860" s="10" t="str">
        <f t="shared" si="265"/>
        <v>0_Pre</v>
      </c>
      <c r="U860" s="10" t="str">
        <f t="shared" si="266"/>
        <v>1_Post</v>
      </c>
      <c r="V860" s="10" t="str">
        <f t="shared" si="274"/>
        <v>0_Pre</v>
      </c>
      <c r="W860" s="10" t="str">
        <f t="shared" si="267"/>
        <v>straddle</v>
      </c>
      <c r="X860" s="10" t="str">
        <f t="shared" si="268"/>
        <v>0_Pre</v>
      </c>
      <c r="Y860" s="10" t="str">
        <f t="shared" si="269"/>
        <v>0_Pre</v>
      </c>
      <c r="Z860" s="10" t="str">
        <f t="shared" si="270"/>
        <v>0_Pre</v>
      </c>
      <c r="AA860" s="10" t="str">
        <f t="shared" si="275"/>
        <v>0_Pre</v>
      </c>
      <c r="AB860" s="10" t="str">
        <f t="shared" si="276"/>
        <v>0_Pre</v>
      </c>
      <c r="AC860" s="10" t="str">
        <f t="shared" si="277"/>
        <v>0_Pre</v>
      </c>
      <c r="AD860" s="10" t="str">
        <f t="shared" si="278"/>
        <v>2_post sample median</v>
      </c>
      <c r="AE860" s="10" t="str">
        <f t="shared" si="279"/>
        <v>2_in sample second tertile</v>
      </c>
      <c r="AF860" t="s">
        <v>80</v>
      </c>
      <c r="AG860" t="s">
        <v>75</v>
      </c>
      <c r="AH860" t="s">
        <v>78</v>
      </c>
      <c r="AI860" t="s">
        <v>122</v>
      </c>
      <c r="AJ860" t="s">
        <v>123</v>
      </c>
      <c r="AK860" t="str">
        <f>VLOOKUP(MID($AR860,1,255),country_lookup!$B:$F,2,FALSE)</f>
        <v>3_AsiaPac</v>
      </c>
      <c r="AL860" t="str">
        <f>VLOOKUP(MID($AR860,1,255),country_lookup!$B:$F,3,FALSE)</f>
        <v>2_developing</v>
      </c>
      <c r="AM860" t="str">
        <f>VLOOKUP(MID($AR860,1,255),country_lookup!$B:$F,4,FALSE)</f>
        <v>2_non_western</v>
      </c>
      <c r="AN860" t="str">
        <f>VLOOKUP(MID($AR860,1,255),country_lookup!$B:$F,5,FALSE)</f>
        <v>2_civil law</v>
      </c>
      <c r="AO860" s="10" t="str">
        <f>VLOOKUP(MID($AS860,1,255),source_lookup!$B:$K,4,FALSE)</f>
        <v>0_published</v>
      </c>
      <c r="AP860" s="10" t="str">
        <f>VLOOKUP(MID($AS860,1,255),source_lookup!$B:$K,6,FALSE)</f>
        <v>1_VHB high</v>
      </c>
      <c r="AQ860" s="10" t="str">
        <f>VLOOKUP(MID($AS860,1,255),source_lookup!$B:$K,10,FALSE)</f>
        <v>2_sust</v>
      </c>
      <c r="AR860" t="s">
        <v>94</v>
      </c>
      <c r="AS860" t="s">
        <v>243</v>
      </c>
    </row>
    <row r="861" spans="1:45" x14ac:dyDescent="0.3">
      <c r="A861" t="s">
        <v>40</v>
      </c>
      <c r="B861">
        <v>860</v>
      </c>
      <c r="C861" s="1">
        <v>-0.1118603490953321</v>
      </c>
      <c r="D861" s="2">
        <v>390</v>
      </c>
      <c r="E861" s="4">
        <v>3511</v>
      </c>
      <c r="F861" s="4" t="s">
        <v>346</v>
      </c>
      <c r="G861" s="4" t="s">
        <v>347</v>
      </c>
      <c r="H861" t="s">
        <v>77</v>
      </c>
      <c r="I861" t="s">
        <v>350</v>
      </c>
      <c r="J861" s="3">
        <v>2008</v>
      </c>
      <c r="K861" s="3">
        <v>2016</v>
      </c>
      <c r="L861" s="6">
        <f t="shared" si="271"/>
        <v>2012</v>
      </c>
      <c r="M861" s="6">
        <f t="shared" si="272"/>
        <v>2012</v>
      </c>
      <c r="N861" s="7">
        <f t="shared" si="260"/>
        <v>0.1111111111111111</v>
      </c>
      <c r="O861" s="7">
        <f t="shared" si="261"/>
        <v>0</v>
      </c>
      <c r="P861" s="7">
        <f t="shared" si="262"/>
        <v>0</v>
      </c>
      <c r="Q861" s="7">
        <f t="shared" si="273"/>
        <v>0</v>
      </c>
      <c r="R861" s="10" t="str">
        <f t="shared" si="263"/>
        <v>0_Pre</v>
      </c>
      <c r="S861" s="10" t="str">
        <f t="shared" si="264"/>
        <v>0_Pre</v>
      </c>
      <c r="T861" s="10" t="str">
        <f t="shared" si="265"/>
        <v>0_Pre</v>
      </c>
      <c r="U861" s="10" t="str">
        <f t="shared" si="266"/>
        <v>1_Post</v>
      </c>
      <c r="V861" s="10" t="str">
        <f t="shared" si="274"/>
        <v>0_Pre</v>
      </c>
      <c r="W861" s="10" t="str">
        <f t="shared" si="267"/>
        <v>straddle</v>
      </c>
      <c r="X861" s="10" t="str">
        <f t="shared" si="268"/>
        <v>0_Pre</v>
      </c>
      <c r="Y861" s="10" t="str">
        <f t="shared" si="269"/>
        <v>0_Pre</v>
      </c>
      <c r="Z861" s="10" t="str">
        <f t="shared" si="270"/>
        <v>0_Pre</v>
      </c>
      <c r="AA861" s="10" t="str">
        <f t="shared" si="275"/>
        <v>0_Pre</v>
      </c>
      <c r="AB861" s="10" t="str">
        <f t="shared" si="276"/>
        <v>0_Pre</v>
      </c>
      <c r="AC861" s="10" t="str">
        <f t="shared" si="277"/>
        <v>0_Pre</v>
      </c>
      <c r="AD861" s="10" t="str">
        <f t="shared" si="278"/>
        <v>2_post sample median</v>
      </c>
      <c r="AE861" s="10" t="str">
        <f t="shared" si="279"/>
        <v>2_in sample second tertile</v>
      </c>
      <c r="AF861" t="s">
        <v>80</v>
      </c>
      <c r="AG861" t="s">
        <v>75</v>
      </c>
      <c r="AH861" t="s">
        <v>78</v>
      </c>
      <c r="AI861" t="s">
        <v>122</v>
      </c>
      <c r="AJ861" t="s">
        <v>123</v>
      </c>
      <c r="AK861" t="str">
        <f>VLOOKUP(MID($AR861,1,255),country_lookup!$B:$F,2,FALSE)</f>
        <v>3_AsiaPac</v>
      </c>
      <c r="AL861" t="str">
        <f>VLOOKUP(MID($AR861,1,255),country_lookup!$B:$F,3,FALSE)</f>
        <v>2_developing</v>
      </c>
      <c r="AM861" t="str">
        <f>VLOOKUP(MID($AR861,1,255),country_lookup!$B:$F,4,FALSE)</f>
        <v>2_non_western</v>
      </c>
      <c r="AN861" t="str">
        <f>VLOOKUP(MID($AR861,1,255),country_lookup!$B:$F,5,FALSE)</f>
        <v>2_civil law</v>
      </c>
      <c r="AO861" s="10" t="str">
        <f>VLOOKUP(MID($AS861,1,255),source_lookup!$B:$K,4,FALSE)</f>
        <v>0_published</v>
      </c>
      <c r="AP861" s="10" t="str">
        <f>VLOOKUP(MID($AS861,1,255),source_lookup!$B:$K,6,FALSE)</f>
        <v>1_VHB high</v>
      </c>
      <c r="AQ861" s="10" t="str">
        <f>VLOOKUP(MID($AS861,1,255),source_lookup!$B:$K,10,FALSE)</f>
        <v>2_sust</v>
      </c>
      <c r="AR861" t="s">
        <v>94</v>
      </c>
      <c r="AS861" t="s">
        <v>243</v>
      </c>
    </row>
    <row r="862" spans="1:45" x14ac:dyDescent="0.3">
      <c r="A862" t="s">
        <v>40</v>
      </c>
      <c r="B862">
        <v>861</v>
      </c>
      <c r="C862" s="1">
        <v>-7.4887752463320523E-2</v>
      </c>
      <c r="D862" s="2">
        <v>1205</v>
      </c>
      <c r="E862" s="4">
        <v>10843</v>
      </c>
      <c r="F862" s="4" t="s">
        <v>346</v>
      </c>
      <c r="G862" s="4" t="s">
        <v>347</v>
      </c>
      <c r="H862" t="s">
        <v>77</v>
      </c>
      <c r="I862" t="s">
        <v>350</v>
      </c>
      <c r="J862" s="3">
        <v>2008</v>
      </c>
      <c r="K862" s="3">
        <v>2016</v>
      </c>
      <c r="L862" s="6">
        <f t="shared" si="271"/>
        <v>2012</v>
      </c>
      <c r="M862" s="6">
        <f t="shared" si="272"/>
        <v>2012</v>
      </c>
      <c r="N862" s="7">
        <f t="shared" si="260"/>
        <v>0.1111111111111111</v>
      </c>
      <c r="O862" s="7">
        <f t="shared" si="261"/>
        <v>0</v>
      </c>
      <c r="P862" s="7">
        <f t="shared" si="262"/>
        <v>0</v>
      </c>
      <c r="Q862" s="7">
        <f t="shared" si="273"/>
        <v>0</v>
      </c>
      <c r="R862" s="10" t="str">
        <f t="shared" si="263"/>
        <v>0_Pre</v>
      </c>
      <c r="S862" s="10" t="str">
        <f t="shared" si="264"/>
        <v>0_Pre</v>
      </c>
      <c r="T862" s="10" t="str">
        <f t="shared" si="265"/>
        <v>0_Pre</v>
      </c>
      <c r="U862" s="10" t="str">
        <f t="shared" si="266"/>
        <v>1_Post</v>
      </c>
      <c r="V862" s="10" t="str">
        <f t="shared" si="274"/>
        <v>0_Pre</v>
      </c>
      <c r="W862" s="10" t="str">
        <f t="shared" si="267"/>
        <v>straddle</v>
      </c>
      <c r="X862" s="10" t="str">
        <f t="shared" si="268"/>
        <v>0_Pre</v>
      </c>
      <c r="Y862" s="10" t="str">
        <f t="shared" si="269"/>
        <v>0_Pre</v>
      </c>
      <c r="Z862" s="10" t="str">
        <f t="shared" si="270"/>
        <v>0_Pre</v>
      </c>
      <c r="AA862" s="10" t="str">
        <f t="shared" si="275"/>
        <v>0_Pre</v>
      </c>
      <c r="AB862" s="10" t="str">
        <f t="shared" si="276"/>
        <v>0_Pre</v>
      </c>
      <c r="AC862" s="10" t="str">
        <f t="shared" si="277"/>
        <v>0_Pre</v>
      </c>
      <c r="AD862" s="10" t="str">
        <f t="shared" si="278"/>
        <v>2_post sample median</v>
      </c>
      <c r="AE862" s="10" t="str">
        <f t="shared" si="279"/>
        <v>2_in sample second tertile</v>
      </c>
      <c r="AF862" t="s">
        <v>80</v>
      </c>
      <c r="AG862" t="s">
        <v>75</v>
      </c>
      <c r="AH862" t="s">
        <v>78</v>
      </c>
      <c r="AI862" t="s">
        <v>122</v>
      </c>
      <c r="AJ862" t="s">
        <v>123</v>
      </c>
      <c r="AK862" t="str">
        <f>VLOOKUP(MID($AR862,1,255),country_lookup!$B:$F,2,FALSE)</f>
        <v>3_AsiaPac</v>
      </c>
      <c r="AL862" t="str">
        <f>VLOOKUP(MID($AR862,1,255),country_lookup!$B:$F,3,FALSE)</f>
        <v>2_developing</v>
      </c>
      <c r="AM862" t="str">
        <f>VLOOKUP(MID($AR862,1,255),country_lookup!$B:$F,4,FALSE)</f>
        <v>2_non_western</v>
      </c>
      <c r="AN862" t="str">
        <f>VLOOKUP(MID($AR862,1,255),country_lookup!$B:$F,5,FALSE)</f>
        <v>2_civil law</v>
      </c>
      <c r="AO862" s="10" t="str">
        <f>VLOOKUP(MID($AS862,1,255),source_lookup!$B:$K,4,FALSE)</f>
        <v>0_published</v>
      </c>
      <c r="AP862" s="10" t="str">
        <f>VLOOKUP(MID($AS862,1,255),source_lookup!$B:$K,6,FALSE)</f>
        <v>1_VHB high</v>
      </c>
      <c r="AQ862" s="10" t="str">
        <f>VLOOKUP(MID($AS862,1,255),source_lookup!$B:$K,10,FALSE)</f>
        <v>2_sust</v>
      </c>
      <c r="AR862" t="s">
        <v>94</v>
      </c>
      <c r="AS862" t="s">
        <v>243</v>
      </c>
    </row>
    <row r="863" spans="1:45" x14ac:dyDescent="0.3">
      <c r="A863" t="s">
        <v>40</v>
      </c>
      <c r="B863">
        <v>862</v>
      </c>
      <c r="C863" s="1">
        <v>-5.181977030754966E-2</v>
      </c>
      <c r="D863" s="2">
        <v>680</v>
      </c>
      <c r="E863" s="4">
        <v>6122</v>
      </c>
      <c r="F863" s="4" t="s">
        <v>346</v>
      </c>
      <c r="G863" s="4" t="s">
        <v>347</v>
      </c>
      <c r="H863" t="s">
        <v>77</v>
      </c>
      <c r="I863" t="s">
        <v>350</v>
      </c>
      <c r="J863" s="3">
        <v>2008</v>
      </c>
      <c r="K863" s="3">
        <v>2016</v>
      </c>
      <c r="L863" s="6">
        <f t="shared" si="271"/>
        <v>2012</v>
      </c>
      <c r="M863" s="6">
        <f t="shared" si="272"/>
        <v>2012</v>
      </c>
      <c r="N863" s="7">
        <f t="shared" si="260"/>
        <v>0.1111111111111111</v>
      </c>
      <c r="O863" s="7">
        <f t="shared" si="261"/>
        <v>0</v>
      </c>
      <c r="P863" s="7">
        <f t="shared" si="262"/>
        <v>0</v>
      </c>
      <c r="Q863" s="7">
        <f t="shared" si="273"/>
        <v>0</v>
      </c>
      <c r="R863" s="10" t="str">
        <f t="shared" si="263"/>
        <v>0_Pre</v>
      </c>
      <c r="S863" s="10" t="str">
        <f t="shared" si="264"/>
        <v>0_Pre</v>
      </c>
      <c r="T863" s="10" t="str">
        <f t="shared" si="265"/>
        <v>0_Pre</v>
      </c>
      <c r="U863" s="10" t="str">
        <f t="shared" si="266"/>
        <v>1_Post</v>
      </c>
      <c r="V863" s="10" t="str">
        <f t="shared" si="274"/>
        <v>0_Pre</v>
      </c>
      <c r="W863" s="10" t="str">
        <f t="shared" si="267"/>
        <v>straddle</v>
      </c>
      <c r="X863" s="10" t="str">
        <f t="shared" si="268"/>
        <v>0_Pre</v>
      </c>
      <c r="Y863" s="10" t="str">
        <f t="shared" si="269"/>
        <v>0_Pre</v>
      </c>
      <c r="Z863" s="10" t="str">
        <f t="shared" si="270"/>
        <v>0_Pre</v>
      </c>
      <c r="AA863" s="10" t="str">
        <f t="shared" si="275"/>
        <v>0_Pre</v>
      </c>
      <c r="AB863" s="10" t="str">
        <f t="shared" si="276"/>
        <v>0_Pre</v>
      </c>
      <c r="AC863" s="10" t="str">
        <f t="shared" si="277"/>
        <v>0_Pre</v>
      </c>
      <c r="AD863" s="10" t="str">
        <f t="shared" si="278"/>
        <v>2_post sample median</v>
      </c>
      <c r="AE863" s="10" t="str">
        <f t="shared" si="279"/>
        <v>2_in sample second tertile</v>
      </c>
      <c r="AF863" t="s">
        <v>80</v>
      </c>
      <c r="AG863" t="s">
        <v>75</v>
      </c>
      <c r="AH863" t="s">
        <v>78</v>
      </c>
      <c r="AI863" t="s">
        <v>122</v>
      </c>
      <c r="AJ863" t="s">
        <v>123</v>
      </c>
      <c r="AK863" t="str">
        <f>VLOOKUP(MID($AR863,1,255),country_lookup!$B:$F,2,FALSE)</f>
        <v>3_AsiaPac</v>
      </c>
      <c r="AL863" t="str">
        <f>VLOOKUP(MID($AR863,1,255),country_lookup!$B:$F,3,FALSE)</f>
        <v>2_developing</v>
      </c>
      <c r="AM863" t="str">
        <f>VLOOKUP(MID($AR863,1,255),country_lookup!$B:$F,4,FALSE)</f>
        <v>2_non_western</v>
      </c>
      <c r="AN863" t="str">
        <f>VLOOKUP(MID($AR863,1,255),country_lookup!$B:$F,5,FALSE)</f>
        <v>2_civil law</v>
      </c>
      <c r="AO863" s="10" t="str">
        <f>VLOOKUP(MID($AS863,1,255),source_lookup!$B:$K,4,FALSE)</f>
        <v>0_published</v>
      </c>
      <c r="AP863" s="10" t="str">
        <f>VLOOKUP(MID($AS863,1,255),source_lookup!$B:$K,6,FALSE)</f>
        <v>1_VHB high</v>
      </c>
      <c r="AQ863" s="10" t="str">
        <f>VLOOKUP(MID($AS863,1,255),source_lookup!$B:$K,10,FALSE)</f>
        <v>2_sust</v>
      </c>
      <c r="AR863" t="s">
        <v>94</v>
      </c>
      <c r="AS863" t="s">
        <v>243</v>
      </c>
    </row>
    <row r="864" spans="1:45" x14ac:dyDescent="0.3">
      <c r="A864" t="s">
        <v>40</v>
      </c>
      <c r="B864">
        <v>863</v>
      </c>
      <c r="C864" s="1">
        <v>-5.1006821326510118E-2</v>
      </c>
      <c r="D864" s="2">
        <v>1585</v>
      </c>
      <c r="E864" s="4">
        <v>14265</v>
      </c>
      <c r="F864" s="4" t="s">
        <v>346</v>
      </c>
      <c r="G864" s="4" t="s">
        <v>347</v>
      </c>
      <c r="H864" t="s">
        <v>77</v>
      </c>
      <c r="I864" t="s">
        <v>350</v>
      </c>
      <c r="J864" s="3">
        <v>2008</v>
      </c>
      <c r="K864" s="3">
        <v>2016</v>
      </c>
      <c r="L864" s="6">
        <f t="shared" si="271"/>
        <v>2012</v>
      </c>
      <c r="M864" s="6">
        <f t="shared" si="272"/>
        <v>2012</v>
      </c>
      <c r="N864" s="7">
        <f t="shared" si="260"/>
        <v>0.1111111111111111</v>
      </c>
      <c r="O864" s="7">
        <f t="shared" si="261"/>
        <v>0</v>
      </c>
      <c r="P864" s="7">
        <f t="shared" si="262"/>
        <v>0</v>
      </c>
      <c r="Q864" s="7">
        <f t="shared" si="273"/>
        <v>0</v>
      </c>
      <c r="R864" s="10" t="str">
        <f t="shared" si="263"/>
        <v>0_Pre</v>
      </c>
      <c r="S864" s="10" t="str">
        <f t="shared" si="264"/>
        <v>0_Pre</v>
      </c>
      <c r="T864" s="10" t="str">
        <f t="shared" si="265"/>
        <v>0_Pre</v>
      </c>
      <c r="U864" s="10" t="str">
        <f t="shared" si="266"/>
        <v>1_Post</v>
      </c>
      <c r="V864" s="10" t="str">
        <f t="shared" si="274"/>
        <v>0_Pre</v>
      </c>
      <c r="W864" s="10" t="str">
        <f t="shared" si="267"/>
        <v>straddle</v>
      </c>
      <c r="X864" s="10" t="str">
        <f t="shared" si="268"/>
        <v>0_Pre</v>
      </c>
      <c r="Y864" s="10" t="str">
        <f t="shared" si="269"/>
        <v>0_Pre</v>
      </c>
      <c r="Z864" s="10" t="str">
        <f t="shared" si="270"/>
        <v>0_Pre</v>
      </c>
      <c r="AA864" s="10" t="str">
        <f t="shared" si="275"/>
        <v>0_Pre</v>
      </c>
      <c r="AB864" s="10" t="str">
        <f t="shared" si="276"/>
        <v>0_Pre</v>
      </c>
      <c r="AC864" s="10" t="str">
        <f t="shared" si="277"/>
        <v>0_Pre</v>
      </c>
      <c r="AD864" s="10" t="str">
        <f t="shared" si="278"/>
        <v>2_post sample median</v>
      </c>
      <c r="AE864" s="10" t="str">
        <f t="shared" si="279"/>
        <v>2_in sample second tertile</v>
      </c>
      <c r="AF864" t="s">
        <v>80</v>
      </c>
      <c r="AG864" t="s">
        <v>75</v>
      </c>
      <c r="AH864" t="s">
        <v>78</v>
      </c>
      <c r="AI864" t="s">
        <v>122</v>
      </c>
      <c r="AJ864" t="s">
        <v>123</v>
      </c>
      <c r="AK864" t="str">
        <f>VLOOKUP(MID($AR864,1,255),country_lookup!$B:$F,2,FALSE)</f>
        <v>3_AsiaPac</v>
      </c>
      <c r="AL864" t="str">
        <f>VLOOKUP(MID($AR864,1,255),country_lookup!$B:$F,3,FALSE)</f>
        <v>2_developing</v>
      </c>
      <c r="AM864" t="str">
        <f>VLOOKUP(MID($AR864,1,255),country_lookup!$B:$F,4,FALSE)</f>
        <v>2_non_western</v>
      </c>
      <c r="AN864" t="str">
        <f>VLOOKUP(MID($AR864,1,255),country_lookup!$B:$F,5,FALSE)</f>
        <v>2_civil law</v>
      </c>
      <c r="AO864" s="10" t="str">
        <f>VLOOKUP(MID($AS864,1,255),source_lookup!$B:$K,4,FALSE)</f>
        <v>0_published</v>
      </c>
      <c r="AP864" s="10" t="str">
        <f>VLOOKUP(MID($AS864,1,255),source_lookup!$B:$K,6,FALSE)</f>
        <v>1_VHB high</v>
      </c>
      <c r="AQ864" s="10" t="str">
        <f>VLOOKUP(MID($AS864,1,255),source_lookup!$B:$K,10,FALSE)</f>
        <v>2_sust</v>
      </c>
      <c r="AR864" t="s">
        <v>94</v>
      </c>
      <c r="AS864" t="s">
        <v>243</v>
      </c>
    </row>
    <row r="865" spans="1:45" x14ac:dyDescent="0.3">
      <c r="A865" t="s">
        <v>40</v>
      </c>
      <c r="B865">
        <v>864</v>
      </c>
      <c r="C865" s="1">
        <v>-6.9116351637613718E-2</v>
      </c>
      <c r="D865" s="2">
        <v>300</v>
      </c>
      <c r="E865" s="4">
        <v>2700</v>
      </c>
      <c r="F865" s="4" t="s">
        <v>346</v>
      </c>
      <c r="G865" s="4" t="s">
        <v>347</v>
      </c>
      <c r="H865" t="s">
        <v>77</v>
      </c>
      <c r="I865" t="s">
        <v>350</v>
      </c>
      <c r="J865" s="3">
        <v>2008</v>
      </c>
      <c r="K865" s="3">
        <v>2016</v>
      </c>
      <c r="L865" s="6">
        <f t="shared" si="271"/>
        <v>2012</v>
      </c>
      <c r="M865" s="6">
        <f t="shared" si="272"/>
        <v>2012</v>
      </c>
      <c r="N865" s="7">
        <f t="shared" si="260"/>
        <v>0.1111111111111111</v>
      </c>
      <c r="O865" s="7">
        <f t="shared" si="261"/>
        <v>0</v>
      </c>
      <c r="P865" s="7">
        <f t="shared" si="262"/>
        <v>0</v>
      </c>
      <c r="Q865" s="7">
        <f t="shared" si="273"/>
        <v>0</v>
      </c>
      <c r="R865" s="10" t="str">
        <f t="shared" si="263"/>
        <v>0_Pre</v>
      </c>
      <c r="S865" s="10" t="str">
        <f t="shared" si="264"/>
        <v>0_Pre</v>
      </c>
      <c r="T865" s="10" t="str">
        <f t="shared" si="265"/>
        <v>0_Pre</v>
      </c>
      <c r="U865" s="10" t="str">
        <f t="shared" si="266"/>
        <v>1_Post</v>
      </c>
      <c r="V865" s="10" t="str">
        <f t="shared" si="274"/>
        <v>0_Pre</v>
      </c>
      <c r="W865" s="10" t="str">
        <f t="shared" si="267"/>
        <v>straddle</v>
      </c>
      <c r="X865" s="10" t="str">
        <f t="shared" si="268"/>
        <v>0_Pre</v>
      </c>
      <c r="Y865" s="10" t="str">
        <f t="shared" si="269"/>
        <v>0_Pre</v>
      </c>
      <c r="Z865" s="10" t="str">
        <f t="shared" si="270"/>
        <v>0_Pre</v>
      </c>
      <c r="AA865" s="10" t="str">
        <f t="shared" si="275"/>
        <v>0_Pre</v>
      </c>
      <c r="AB865" s="10" t="str">
        <f t="shared" si="276"/>
        <v>0_Pre</v>
      </c>
      <c r="AC865" s="10" t="str">
        <f t="shared" si="277"/>
        <v>0_Pre</v>
      </c>
      <c r="AD865" s="10" t="str">
        <f t="shared" si="278"/>
        <v>2_post sample median</v>
      </c>
      <c r="AE865" s="10" t="str">
        <f t="shared" si="279"/>
        <v>2_in sample second tertile</v>
      </c>
      <c r="AF865" t="s">
        <v>80</v>
      </c>
      <c r="AG865" t="s">
        <v>75</v>
      </c>
      <c r="AH865" t="s">
        <v>78</v>
      </c>
      <c r="AI865" t="s">
        <v>122</v>
      </c>
      <c r="AJ865" t="s">
        <v>123</v>
      </c>
      <c r="AK865" t="str">
        <f>VLOOKUP(MID($AR865,1,255),country_lookup!$B:$F,2,FALSE)</f>
        <v>3_AsiaPac</v>
      </c>
      <c r="AL865" t="str">
        <f>VLOOKUP(MID($AR865,1,255),country_lookup!$B:$F,3,FALSE)</f>
        <v>2_developing</v>
      </c>
      <c r="AM865" t="str">
        <f>VLOOKUP(MID($AR865,1,255),country_lookup!$B:$F,4,FALSE)</f>
        <v>2_non_western</v>
      </c>
      <c r="AN865" t="str">
        <f>VLOOKUP(MID($AR865,1,255),country_lookup!$B:$F,5,FALSE)</f>
        <v>2_civil law</v>
      </c>
      <c r="AO865" s="10" t="str">
        <f>VLOOKUP(MID($AS865,1,255),source_lookup!$B:$K,4,FALSE)</f>
        <v>0_published</v>
      </c>
      <c r="AP865" s="10" t="str">
        <f>VLOOKUP(MID($AS865,1,255),source_lookup!$B:$K,6,FALSE)</f>
        <v>1_VHB high</v>
      </c>
      <c r="AQ865" s="10" t="str">
        <f>VLOOKUP(MID($AS865,1,255),source_lookup!$B:$K,10,FALSE)</f>
        <v>2_sust</v>
      </c>
      <c r="AR865" t="s">
        <v>94</v>
      </c>
      <c r="AS865" t="s">
        <v>243</v>
      </c>
    </row>
    <row r="866" spans="1:45" x14ac:dyDescent="0.3">
      <c r="A866" t="s">
        <v>41</v>
      </c>
      <c r="B866">
        <v>865</v>
      </c>
      <c r="C866" s="1">
        <v>-9.6000000000000002E-2</v>
      </c>
      <c r="D866" s="2">
        <v>71</v>
      </c>
      <c r="E866" s="4">
        <v>497</v>
      </c>
      <c r="F866" s="4" t="s">
        <v>346</v>
      </c>
      <c r="G866" s="4" t="s">
        <v>347</v>
      </c>
      <c r="H866" t="s">
        <v>76</v>
      </c>
      <c r="I866" t="s">
        <v>353</v>
      </c>
      <c r="J866" s="3">
        <v>2010</v>
      </c>
      <c r="K866" s="3">
        <v>2016</v>
      </c>
      <c r="L866" s="6">
        <f t="shared" si="271"/>
        <v>2013</v>
      </c>
      <c r="M866" s="6">
        <f t="shared" si="272"/>
        <v>2013</v>
      </c>
      <c r="N866" s="7">
        <f t="shared" si="260"/>
        <v>0.14285714285714285</v>
      </c>
      <c r="O866" s="7">
        <f t="shared" si="261"/>
        <v>0</v>
      </c>
      <c r="P866" s="7">
        <f t="shared" si="262"/>
        <v>0</v>
      </c>
      <c r="Q866" s="7">
        <f t="shared" si="273"/>
        <v>0</v>
      </c>
      <c r="R866" s="10" t="str">
        <f t="shared" si="263"/>
        <v>0_Pre</v>
      </c>
      <c r="S866" s="10" t="str">
        <f t="shared" si="264"/>
        <v>0_Pre</v>
      </c>
      <c r="T866" s="10" t="str">
        <f t="shared" si="265"/>
        <v>0_Pre</v>
      </c>
      <c r="U866" s="10" t="str">
        <f t="shared" si="266"/>
        <v>1_Post</v>
      </c>
      <c r="V866" s="10" t="str">
        <f t="shared" si="274"/>
        <v>0_Pre</v>
      </c>
      <c r="W866" s="10" t="str">
        <f t="shared" si="267"/>
        <v>straddle</v>
      </c>
      <c r="X866" s="10" t="str">
        <f t="shared" si="268"/>
        <v>0_Pre</v>
      </c>
      <c r="Y866" s="10" t="str">
        <f t="shared" si="269"/>
        <v>0_Pre</v>
      </c>
      <c r="Z866" s="10" t="str">
        <f t="shared" si="270"/>
        <v>0_Pre</v>
      </c>
      <c r="AA866" s="10" t="str">
        <f t="shared" si="275"/>
        <v>0_Pre</v>
      </c>
      <c r="AB866" s="10" t="str">
        <f t="shared" si="276"/>
        <v>0_Pre</v>
      </c>
      <c r="AC866" s="10" t="str">
        <f t="shared" si="277"/>
        <v>0_Pre</v>
      </c>
      <c r="AD866" s="10" t="str">
        <f t="shared" si="278"/>
        <v>2_post sample median</v>
      </c>
      <c r="AE866" s="10" t="str">
        <f t="shared" si="279"/>
        <v>2_in sample second tertile</v>
      </c>
      <c r="AF866" t="s">
        <v>67</v>
      </c>
      <c r="AG866" t="s">
        <v>74</v>
      </c>
      <c r="AH866" t="s">
        <v>78</v>
      </c>
      <c r="AI866" t="s">
        <v>122</v>
      </c>
      <c r="AJ866" t="s">
        <v>122</v>
      </c>
      <c r="AK866" t="str">
        <f>VLOOKUP(MID($AR866,1,255),country_lookup!$B:$F,2,FALSE)</f>
        <v>1_US</v>
      </c>
      <c r="AL866" t="str">
        <f>VLOOKUP(MID($AR866,1,255),country_lookup!$B:$F,3,FALSE)</f>
        <v>1_developed</v>
      </c>
      <c r="AM866" t="str">
        <f>VLOOKUP(MID($AR866,1,255),country_lookup!$B:$F,4,FALSE)</f>
        <v>1_western</v>
      </c>
      <c r="AN866" t="str">
        <f>VLOOKUP(MID($AR866,1,255),country_lookup!$B:$F,5,FALSE)</f>
        <v>1_common law</v>
      </c>
      <c r="AO866" s="10" t="str">
        <f>VLOOKUP(MID($AS866,1,255),source_lookup!$B:$K,4,FALSE)</f>
        <v>0_published</v>
      </c>
      <c r="AP866" s="10" t="str">
        <f>VLOOKUP(MID($AS866,1,255),source_lookup!$B:$K,6,FALSE)</f>
        <v>0_VHB low</v>
      </c>
      <c r="AQ866" s="10" t="str">
        <f>VLOOKUP(MID($AS866,1,255),source_lookup!$B:$K,10,FALSE)</f>
        <v>3_mgmt</v>
      </c>
      <c r="AR866" t="s">
        <v>85</v>
      </c>
      <c r="AS866" t="s">
        <v>164</v>
      </c>
    </row>
    <row r="867" spans="1:45" x14ac:dyDescent="0.3">
      <c r="A867" t="s">
        <v>41</v>
      </c>
      <c r="B867">
        <v>866</v>
      </c>
      <c r="C867" s="1">
        <v>-7.9000000000000001E-2</v>
      </c>
      <c r="D867" s="2">
        <v>71</v>
      </c>
      <c r="E867" s="4">
        <v>497</v>
      </c>
      <c r="F867" s="4" t="s">
        <v>346</v>
      </c>
      <c r="G867" s="4" t="s">
        <v>347</v>
      </c>
      <c r="H867" t="s">
        <v>76</v>
      </c>
      <c r="I867" t="s">
        <v>353</v>
      </c>
      <c r="J867" s="3">
        <v>2010</v>
      </c>
      <c r="K867" s="3">
        <v>2016</v>
      </c>
      <c r="L867" s="6">
        <f t="shared" si="271"/>
        <v>2013</v>
      </c>
      <c r="M867" s="6">
        <f t="shared" si="272"/>
        <v>2013</v>
      </c>
      <c r="N867" s="7">
        <f t="shared" si="260"/>
        <v>0.14285714285714285</v>
      </c>
      <c r="O867" s="7">
        <f t="shared" si="261"/>
        <v>0</v>
      </c>
      <c r="P867" s="7">
        <f t="shared" si="262"/>
        <v>0</v>
      </c>
      <c r="Q867" s="7">
        <f t="shared" si="273"/>
        <v>0</v>
      </c>
      <c r="R867" s="10" t="str">
        <f t="shared" si="263"/>
        <v>0_Pre</v>
      </c>
      <c r="S867" s="10" t="str">
        <f t="shared" si="264"/>
        <v>0_Pre</v>
      </c>
      <c r="T867" s="10" t="str">
        <f t="shared" si="265"/>
        <v>0_Pre</v>
      </c>
      <c r="U867" s="10" t="str">
        <f t="shared" si="266"/>
        <v>1_Post</v>
      </c>
      <c r="V867" s="10" t="str">
        <f t="shared" si="274"/>
        <v>0_Pre</v>
      </c>
      <c r="W867" s="10" t="str">
        <f t="shared" si="267"/>
        <v>straddle</v>
      </c>
      <c r="X867" s="10" t="str">
        <f t="shared" si="268"/>
        <v>0_Pre</v>
      </c>
      <c r="Y867" s="10" t="str">
        <f t="shared" si="269"/>
        <v>0_Pre</v>
      </c>
      <c r="Z867" s="10" t="str">
        <f t="shared" si="270"/>
        <v>0_Pre</v>
      </c>
      <c r="AA867" s="10" t="str">
        <f t="shared" si="275"/>
        <v>0_Pre</v>
      </c>
      <c r="AB867" s="10" t="str">
        <f t="shared" si="276"/>
        <v>0_Pre</v>
      </c>
      <c r="AC867" s="10" t="str">
        <f t="shared" si="277"/>
        <v>0_Pre</v>
      </c>
      <c r="AD867" s="10" t="str">
        <f t="shared" si="278"/>
        <v>2_post sample median</v>
      </c>
      <c r="AE867" s="10" t="str">
        <f t="shared" si="279"/>
        <v>2_in sample second tertile</v>
      </c>
      <c r="AF867" t="s">
        <v>67</v>
      </c>
      <c r="AG867" t="s">
        <v>74</v>
      </c>
      <c r="AH867" t="s">
        <v>78</v>
      </c>
      <c r="AI867" t="s">
        <v>122</v>
      </c>
      <c r="AJ867" t="s">
        <v>122</v>
      </c>
      <c r="AK867" t="str">
        <f>VLOOKUP(MID($AR867,1,255),country_lookup!$B:$F,2,FALSE)</f>
        <v>1_US</v>
      </c>
      <c r="AL867" t="str">
        <f>VLOOKUP(MID($AR867,1,255),country_lookup!$B:$F,3,FALSE)</f>
        <v>1_developed</v>
      </c>
      <c r="AM867" t="str">
        <f>VLOOKUP(MID($AR867,1,255),country_lookup!$B:$F,4,FALSE)</f>
        <v>1_western</v>
      </c>
      <c r="AN867" t="str">
        <f>VLOOKUP(MID($AR867,1,255),country_lookup!$B:$F,5,FALSE)</f>
        <v>1_common law</v>
      </c>
      <c r="AO867" s="10" t="str">
        <f>VLOOKUP(MID($AS867,1,255),source_lookup!$B:$K,4,FALSE)</f>
        <v>0_published</v>
      </c>
      <c r="AP867" s="10" t="str">
        <f>VLOOKUP(MID($AS867,1,255),source_lookup!$B:$K,6,FALSE)</f>
        <v>0_VHB low</v>
      </c>
      <c r="AQ867" s="10" t="str">
        <f>VLOOKUP(MID($AS867,1,255),source_lookup!$B:$K,10,FALSE)</f>
        <v>3_mgmt</v>
      </c>
      <c r="AR867" t="s">
        <v>85</v>
      </c>
      <c r="AS867" t="s">
        <v>164</v>
      </c>
    </row>
    <row r="868" spans="1:45" x14ac:dyDescent="0.3">
      <c r="A868" t="s">
        <v>41</v>
      </c>
      <c r="B868">
        <v>867</v>
      </c>
      <c r="C868" s="1">
        <v>-0.12172472183127872</v>
      </c>
      <c r="D868" s="2">
        <v>71</v>
      </c>
      <c r="E868" s="4">
        <v>497</v>
      </c>
      <c r="F868" s="4" t="s">
        <v>346</v>
      </c>
      <c r="G868" s="4" t="s">
        <v>347</v>
      </c>
      <c r="H868" t="s">
        <v>77</v>
      </c>
      <c r="I868" t="s">
        <v>350</v>
      </c>
      <c r="J868" s="3">
        <v>2010</v>
      </c>
      <c r="K868" s="3">
        <v>2016</v>
      </c>
      <c r="L868" s="6">
        <f t="shared" si="271"/>
        <v>2013</v>
      </c>
      <c r="M868" s="6">
        <f t="shared" si="272"/>
        <v>2013</v>
      </c>
      <c r="N868" s="7">
        <f t="shared" si="260"/>
        <v>0.14285714285714285</v>
      </c>
      <c r="O868" s="7">
        <f t="shared" si="261"/>
        <v>0</v>
      </c>
      <c r="P868" s="7">
        <f t="shared" si="262"/>
        <v>0</v>
      </c>
      <c r="Q868" s="7">
        <f t="shared" si="273"/>
        <v>0</v>
      </c>
      <c r="R868" s="10" t="str">
        <f t="shared" si="263"/>
        <v>0_Pre</v>
      </c>
      <c r="S868" s="10" t="str">
        <f t="shared" si="264"/>
        <v>0_Pre</v>
      </c>
      <c r="T868" s="10" t="str">
        <f t="shared" si="265"/>
        <v>0_Pre</v>
      </c>
      <c r="U868" s="10" t="str">
        <f t="shared" si="266"/>
        <v>1_Post</v>
      </c>
      <c r="V868" s="10" t="str">
        <f t="shared" si="274"/>
        <v>0_Pre</v>
      </c>
      <c r="W868" s="10" t="str">
        <f t="shared" si="267"/>
        <v>straddle</v>
      </c>
      <c r="X868" s="10" t="str">
        <f t="shared" si="268"/>
        <v>0_Pre</v>
      </c>
      <c r="Y868" s="10" t="str">
        <f t="shared" si="269"/>
        <v>0_Pre</v>
      </c>
      <c r="Z868" s="10" t="str">
        <f t="shared" si="270"/>
        <v>0_Pre</v>
      </c>
      <c r="AA868" s="10" t="str">
        <f t="shared" si="275"/>
        <v>0_Pre</v>
      </c>
      <c r="AB868" s="10" t="str">
        <f t="shared" si="276"/>
        <v>0_Pre</v>
      </c>
      <c r="AC868" s="10" t="str">
        <f t="shared" si="277"/>
        <v>0_Pre</v>
      </c>
      <c r="AD868" s="10" t="str">
        <f t="shared" si="278"/>
        <v>2_post sample median</v>
      </c>
      <c r="AE868" s="10" t="str">
        <f t="shared" si="279"/>
        <v>2_in sample second tertile</v>
      </c>
      <c r="AF868" t="s">
        <v>67</v>
      </c>
      <c r="AG868" t="s">
        <v>74</v>
      </c>
      <c r="AH868" t="s">
        <v>78</v>
      </c>
      <c r="AI868" t="s">
        <v>122</v>
      </c>
      <c r="AJ868" t="s">
        <v>122</v>
      </c>
      <c r="AK868" t="str">
        <f>VLOOKUP(MID($AR868,1,255),country_lookup!$B:$F,2,FALSE)</f>
        <v>1_US</v>
      </c>
      <c r="AL868" t="str">
        <f>VLOOKUP(MID($AR868,1,255),country_lookup!$B:$F,3,FALSE)</f>
        <v>1_developed</v>
      </c>
      <c r="AM868" t="str">
        <f>VLOOKUP(MID($AR868,1,255),country_lookup!$B:$F,4,FALSE)</f>
        <v>1_western</v>
      </c>
      <c r="AN868" t="str">
        <f>VLOOKUP(MID($AR868,1,255),country_lookup!$B:$F,5,FALSE)</f>
        <v>1_common law</v>
      </c>
      <c r="AO868" s="10" t="str">
        <f>VLOOKUP(MID($AS868,1,255),source_lookup!$B:$K,4,FALSE)</f>
        <v>0_published</v>
      </c>
      <c r="AP868" s="10" t="str">
        <f>VLOOKUP(MID($AS868,1,255),source_lookup!$B:$K,6,FALSE)</f>
        <v>0_VHB low</v>
      </c>
      <c r="AQ868" s="10" t="str">
        <f>VLOOKUP(MID($AS868,1,255),source_lookup!$B:$K,10,FALSE)</f>
        <v>3_mgmt</v>
      </c>
      <c r="AR868" t="s">
        <v>85</v>
      </c>
      <c r="AS868" t="s">
        <v>164</v>
      </c>
    </row>
    <row r="869" spans="1:45" x14ac:dyDescent="0.3">
      <c r="A869" t="s">
        <v>41</v>
      </c>
      <c r="B869">
        <v>868</v>
      </c>
      <c r="C869" s="1">
        <v>-0.14221387450392808</v>
      </c>
      <c r="D869" s="2">
        <v>71</v>
      </c>
      <c r="E869" s="4">
        <v>497</v>
      </c>
      <c r="F869" s="4" t="s">
        <v>346</v>
      </c>
      <c r="G869" s="4" t="s">
        <v>347</v>
      </c>
      <c r="H869" t="s">
        <v>77</v>
      </c>
      <c r="I869" t="s">
        <v>350</v>
      </c>
      <c r="J869" s="3">
        <v>2010</v>
      </c>
      <c r="K869" s="3">
        <v>2016</v>
      </c>
      <c r="L869" s="6">
        <f t="shared" si="271"/>
        <v>2013</v>
      </c>
      <c r="M869" s="6">
        <f t="shared" si="272"/>
        <v>2013</v>
      </c>
      <c r="N869" s="7">
        <f t="shared" si="260"/>
        <v>0.14285714285714285</v>
      </c>
      <c r="O869" s="7">
        <f t="shared" si="261"/>
        <v>0</v>
      </c>
      <c r="P869" s="7">
        <f t="shared" si="262"/>
        <v>0</v>
      </c>
      <c r="Q869" s="7">
        <f t="shared" si="273"/>
        <v>0</v>
      </c>
      <c r="R869" s="10" t="str">
        <f t="shared" si="263"/>
        <v>0_Pre</v>
      </c>
      <c r="S869" s="10" t="str">
        <f t="shared" si="264"/>
        <v>0_Pre</v>
      </c>
      <c r="T869" s="10" t="str">
        <f t="shared" si="265"/>
        <v>0_Pre</v>
      </c>
      <c r="U869" s="10" t="str">
        <f t="shared" si="266"/>
        <v>1_Post</v>
      </c>
      <c r="V869" s="10" t="str">
        <f t="shared" si="274"/>
        <v>0_Pre</v>
      </c>
      <c r="W869" s="10" t="str">
        <f t="shared" si="267"/>
        <v>straddle</v>
      </c>
      <c r="X869" s="10" t="str">
        <f t="shared" si="268"/>
        <v>0_Pre</v>
      </c>
      <c r="Y869" s="10" t="str">
        <f t="shared" si="269"/>
        <v>0_Pre</v>
      </c>
      <c r="Z869" s="10" t="str">
        <f t="shared" si="270"/>
        <v>0_Pre</v>
      </c>
      <c r="AA869" s="10" t="str">
        <f t="shared" si="275"/>
        <v>0_Pre</v>
      </c>
      <c r="AB869" s="10" t="str">
        <f t="shared" si="276"/>
        <v>0_Pre</v>
      </c>
      <c r="AC869" s="10" t="str">
        <f t="shared" si="277"/>
        <v>0_Pre</v>
      </c>
      <c r="AD869" s="10" t="str">
        <f t="shared" si="278"/>
        <v>2_post sample median</v>
      </c>
      <c r="AE869" s="10" t="str">
        <f t="shared" si="279"/>
        <v>2_in sample second tertile</v>
      </c>
      <c r="AF869" t="s">
        <v>67</v>
      </c>
      <c r="AG869" t="s">
        <v>74</v>
      </c>
      <c r="AH869" t="s">
        <v>78</v>
      </c>
      <c r="AI869" t="s">
        <v>122</v>
      </c>
      <c r="AJ869" t="s">
        <v>122</v>
      </c>
      <c r="AK869" t="str">
        <f>VLOOKUP(MID($AR869,1,255),country_lookup!$B:$F,2,FALSE)</f>
        <v>1_US</v>
      </c>
      <c r="AL869" t="str">
        <f>VLOOKUP(MID($AR869,1,255),country_lookup!$B:$F,3,FALSE)</f>
        <v>1_developed</v>
      </c>
      <c r="AM869" t="str">
        <f>VLOOKUP(MID($AR869,1,255),country_lookup!$B:$F,4,FALSE)</f>
        <v>1_western</v>
      </c>
      <c r="AN869" t="str">
        <f>VLOOKUP(MID($AR869,1,255),country_lookup!$B:$F,5,FALSE)</f>
        <v>1_common law</v>
      </c>
      <c r="AO869" s="10" t="str">
        <f>VLOOKUP(MID($AS869,1,255),source_lookup!$B:$K,4,FALSE)</f>
        <v>0_published</v>
      </c>
      <c r="AP869" s="10" t="str">
        <f>VLOOKUP(MID($AS869,1,255),source_lookup!$B:$K,6,FALSE)</f>
        <v>0_VHB low</v>
      </c>
      <c r="AQ869" s="10" t="str">
        <f>VLOOKUP(MID($AS869,1,255),source_lookup!$B:$K,10,FALSE)</f>
        <v>3_mgmt</v>
      </c>
      <c r="AR869" t="s">
        <v>85</v>
      </c>
      <c r="AS869" t="s">
        <v>164</v>
      </c>
    </row>
    <row r="870" spans="1:45" x14ac:dyDescent="0.3">
      <c r="A870" t="s">
        <v>41</v>
      </c>
      <c r="B870">
        <v>869</v>
      </c>
      <c r="C870" s="1">
        <v>-0.16578321917872438</v>
      </c>
      <c r="D870" s="2">
        <v>37</v>
      </c>
      <c r="E870" s="4">
        <v>257</v>
      </c>
      <c r="F870" s="4" t="s">
        <v>346</v>
      </c>
      <c r="G870" s="4" t="s">
        <v>347</v>
      </c>
      <c r="H870" t="s">
        <v>77</v>
      </c>
      <c r="I870" t="s">
        <v>350</v>
      </c>
      <c r="J870" s="3">
        <v>2010</v>
      </c>
      <c r="K870" s="3">
        <v>2016</v>
      </c>
      <c r="L870" s="6">
        <f t="shared" si="271"/>
        <v>2013</v>
      </c>
      <c r="M870" s="6">
        <f t="shared" si="272"/>
        <v>2013</v>
      </c>
      <c r="N870" s="7">
        <f t="shared" si="260"/>
        <v>0.14285714285714285</v>
      </c>
      <c r="O870" s="7">
        <f t="shared" si="261"/>
        <v>0</v>
      </c>
      <c r="P870" s="7">
        <f t="shared" si="262"/>
        <v>0</v>
      </c>
      <c r="Q870" s="7">
        <f t="shared" si="273"/>
        <v>0</v>
      </c>
      <c r="R870" s="10" t="str">
        <f t="shared" si="263"/>
        <v>0_Pre</v>
      </c>
      <c r="S870" s="10" t="str">
        <f t="shared" si="264"/>
        <v>0_Pre</v>
      </c>
      <c r="T870" s="10" t="str">
        <f t="shared" si="265"/>
        <v>0_Pre</v>
      </c>
      <c r="U870" s="10" t="str">
        <f t="shared" si="266"/>
        <v>1_Post</v>
      </c>
      <c r="V870" s="10" t="str">
        <f t="shared" si="274"/>
        <v>0_Pre</v>
      </c>
      <c r="W870" s="10" t="str">
        <f t="shared" si="267"/>
        <v>straddle</v>
      </c>
      <c r="X870" s="10" t="str">
        <f t="shared" si="268"/>
        <v>0_Pre</v>
      </c>
      <c r="Y870" s="10" t="str">
        <f t="shared" si="269"/>
        <v>0_Pre</v>
      </c>
      <c r="Z870" s="10" t="str">
        <f t="shared" si="270"/>
        <v>0_Pre</v>
      </c>
      <c r="AA870" s="10" t="str">
        <f t="shared" si="275"/>
        <v>0_Pre</v>
      </c>
      <c r="AB870" s="10" t="str">
        <f t="shared" si="276"/>
        <v>0_Pre</v>
      </c>
      <c r="AC870" s="10" t="str">
        <f t="shared" si="277"/>
        <v>0_Pre</v>
      </c>
      <c r="AD870" s="10" t="str">
        <f t="shared" si="278"/>
        <v>2_post sample median</v>
      </c>
      <c r="AE870" s="10" t="str">
        <f t="shared" si="279"/>
        <v>2_in sample second tertile</v>
      </c>
      <c r="AF870" t="s">
        <v>67</v>
      </c>
      <c r="AG870" t="s">
        <v>74</v>
      </c>
      <c r="AH870" t="s">
        <v>78</v>
      </c>
      <c r="AI870" t="s">
        <v>122</v>
      </c>
      <c r="AJ870" t="s">
        <v>122</v>
      </c>
      <c r="AK870" t="str">
        <f>VLOOKUP(MID($AR870,1,255),country_lookup!$B:$F,2,FALSE)</f>
        <v>1_US</v>
      </c>
      <c r="AL870" t="str">
        <f>VLOOKUP(MID($AR870,1,255),country_lookup!$B:$F,3,FALSE)</f>
        <v>1_developed</v>
      </c>
      <c r="AM870" t="str">
        <f>VLOOKUP(MID($AR870,1,255),country_lookup!$B:$F,4,FALSE)</f>
        <v>1_western</v>
      </c>
      <c r="AN870" t="str">
        <f>VLOOKUP(MID($AR870,1,255),country_lookup!$B:$F,5,FALSE)</f>
        <v>1_common law</v>
      </c>
      <c r="AO870" s="10" t="str">
        <f>VLOOKUP(MID($AS870,1,255),source_lookup!$B:$K,4,FALSE)</f>
        <v>0_published</v>
      </c>
      <c r="AP870" s="10" t="str">
        <f>VLOOKUP(MID($AS870,1,255),source_lookup!$B:$K,6,FALSE)</f>
        <v>0_VHB low</v>
      </c>
      <c r="AQ870" s="10" t="str">
        <f>VLOOKUP(MID($AS870,1,255),source_lookup!$B:$K,10,FALSE)</f>
        <v>3_mgmt</v>
      </c>
      <c r="AR870" t="s">
        <v>85</v>
      </c>
      <c r="AS870" t="s">
        <v>164</v>
      </c>
    </row>
    <row r="871" spans="1:45" x14ac:dyDescent="0.3">
      <c r="A871" t="s">
        <v>41</v>
      </c>
      <c r="B871">
        <v>870</v>
      </c>
      <c r="C871" s="1">
        <v>-0.18814271447015307</v>
      </c>
      <c r="D871" s="2">
        <v>37</v>
      </c>
      <c r="E871" s="4">
        <v>257</v>
      </c>
      <c r="F871" s="4" t="s">
        <v>346</v>
      </c>
      <c r="G871" s="4" t="s">
        <v>347</v>
      </c>
      <c r="H871" t="s">
        <v>77</v>
      </c>
      <c r="I871" t="s">
        <v>350</v>
      </c>
      <c r="J871" s="3">
        <v>2010</v>
      </c>
      <c r="K871" s="3">
        <v>2016</v>
      </c>
      <c r="L871" s="6">
        <f t="shared" si="271"/>
        <v>2013</v>
      </c>
      <c r="M871" s="6">
        <f t="shared" si="272"/>
        <v>2013</v>
      </c>
      <c r="N871" s="7">
        <f t="shared" si="260"/>
        <v>0.14285714285714285</v>
      </c>
      <c r="O871" s="7">
        <f t="shared" si="261"/>
        <v>0</v>
      </c>
      <c r="P871" s="7">
        <f t="shared" si="262"/>
        <v>0</v>
      </c>
      <c r="Q871" s="7">
        <f t="shared" si="273"/>
        <v>0</v>
      </c>
      <c r="R871" s="10" t="str">
        <f t="shared" si="263"/>
        <v>0_Pre</v>
      </c>
      <c r="S871" s="10" t="str">
        <f t="shared" si="264"/>
        <v>0_Pre</v>
      </c>
      <c r="T871" s="10" t="str">
        <f t="shared" si="265"/>
        <v>0_Pre</v>
      </c>
      <c r="U871" s="10" t="str">
        <f t="shared" si="266"/>
        <v>1_Post</v>
      </c>
      <c r="V871" s="10" t="str">
        <f t="shared" si="274"/>
        <v>0_Pre</v>
      </c>
      <c r="W871" s="10" t="str">
        <f t="shared" si="267"/>
        <v>straddle</v>
      </c>
      <c r="X871" s="10" t="str">
        <f t="shared" si="268"/>
        <v>0_Pre</v>
      </c>
      <c r="Y871" s="10" t="str">
        <f t="shared" si="269"/>
        <v>0_Pre</v>
      </c>
      <c r="Z871" s="10" t="str">
        <f t="shared" si="270"/>
        <v>0_Pre</v>
      </c>
      <c r="AA871" s="10" t="str">
        <f t="shared" si="275"/>
        <v>0_Pre</v>
      </c>
      <c r="AB871" s="10" t="str">
        <f t="shared" si="276"/>
        <v>0_Pre</v>
      </c>
      <c r="AC871" s="10" t="str">
        <f t="shared" si="277"/>
        <v>0_Pre</v>
      </c>
      <c r="AD871" s="10" t="str">
        <f t="shared" si="278"/>
        <v>2_post sample median</v>
      </c>
      <c r="AE871" s="10" t="str">
        <f t="shared" si="279"/>
        <v>2_in sample second tertile</v>
      </c>
      <c r="AF871" t="s">
        <v>67</v>
      </c>
      <c r="AG871" t="s">
        <v>74</v>
      </c>
      <c r="AH871" t="s">
        <v>78</v>
      </c>
      <c r="AI871" t="s">
        <v>122</v>
      </c>
      <c r="AJ871" t="s">
        <v>122</v>
      </c>
      <c r="AK871" t="str">
        <f>VLOOKUP(MID($AR871,1,255),country_lookup!$B:$F,2,FALSE)</f>
        <v>1_US</v>
      </c>
      <c r="AL871" t="str">
        <f>VLOOKUP(MID($AR871,1,255),country_lookup!$B:$F,3,FALSE)</f>
        <v>1_developed</v>
      </c>
      <c r="AM871" t="str">
        <f>VLOOKUP(MID($AR871,1,255),country_lookup!$B:$F,4,FALSE)</f>
        <v>1_western</v>
      </c>
      <c r="AN871" t="str">
        <f>VLOOKUP(MID($AR871,1,255),country_lookup!$B:$F,5,FALSE)</f>
        <v>1_common law</v>
      </c>
      <c r="AO871" s="10" t="str">
        <f>VLOOKUP(MID($AS871,1,255),source_lookup!$B:$K,4,FALSE)</f>
        <v>0_published</v>
      </c>
      <c r="AP871" s="10" t="str">
        <f>VLOOKUP(MID($AS871,1,255),source_lookup!$B:$K,6,FALSE)</f>
        <v>0_VHB low</v>
      </c>
      <c r="AQ871" s="10" t="str">
        <f>VLOOKUP(MID($AS871,1,255),source_lookup!$B:$K,10,FALSE)</f>
        <v>3_mgmt</v>
      </c>
      <c r="AR871" t="s">
        <v>85</v>
      </c>
      <c r="AS871" t="s">
        <v>164</v>
      </c>
    </row>
    <row r="872" spans="1:45" x14ac:dyDescent="0.3">
      <c r="A872" t="s">
        <v>41</v>
      </c>
      <c r="B872">
        <v>871</v>
      </c>
      <c r="C872" s="1">
        <v>6.2041632677135097E-2</v>
      </c>
      <c r="D872" s="2">
        <v>34</v>
      </c>
      <c r="E872" s="4">
        <v>240</v>
      </c>
      <c r="F872" s="4" t="s">
        <v>346</v>
      </c>
      <c r="G872" s="4" t="s">
        <v>347</v>
      </c>
      <c r="H872" t="s">
        <v>77</v>
      </c>
      <c r="I872" t="s">
        <v>350</v>
      </c>
      <c r="J872" s="3">
        <v>2010</v>
      </c>
      <c r="K872" s="3">
        <v>2016</v>
      </c>
      <c r="L872" s="6">
        <f t="shared" si="271"/>
        <v>2013</v>
      </c>
      <c r="M872" s="6">
        <f t="shared" si="272"/>
        <v>2013</v>
      </c>
      <c r="N872" s="7">
        <f t="shared" si="260"/>
        <v>0.14285714285714285</v>
      </c>
      <c r="O872" s="7">
        <f t="shared" si="261"/>
        <v>0</v>
      </c>
      <c r="P872" s="7">
        <f t="shared" si="262"/>
        <v>0</v>
      </c>
      <c r="Q872" s="7">
        <f t="shared" si="273"/>
        <v>0</v>
      </c>
      <c r="R872" s="10" t="str">
        <f t="shared" si="263"/>
        <v>0_Pre</v>
      </c>
      <c r="S872" s="10" t="str">
        <f t="shared" si="264"/>
        <v>0_Pre</v>
      </c>
      <c r="T872" s="10" t="str">
        <f t="shared" si="265"/>
        <v>0_Pre</v>
      </c>
      <c r="U872" s="10" t="str">
        <f t="shared" si="266"/>
        <v>1_Post</v>
      </c>
      <c r="V872" s="10" t="str">
        <f t="shared" si="274"/>
        <v>0_Pre</v>
      </c>
      <c r="W872" s="10" t="str">
        <f t="shared" si="267"/>
        <v>straddle</v>
      </c>
      <c r="X872" s="10" t="str">
        <f t="shared" si="268"/>
        <v>0_Pre</v>
      </c>
      <c r="Y872" s="10" t="str">
        <f t="shared" si="269"/>
        <v>0_Pre</v>
      </c>
      <c r="Z872" s="10" t="str">
        <f t="shared" si="270"/>
        <v>0_Pre</v>
      </c>
      <c r="AA872" s="10" t="str">
        <f t="shared" si="275"/>
        <v>0_Pre</v>
      </c>
      <c r="AB872" s="10" t="str">
        <f t="shared" si="276"/>
        <v>0_Pre</v>
      </c>
      <c r="AC872" s="10" t="str">
        <f t="shared" si="277"/>
        <v>0_Pre</v>
      </c>
      <c r="AD872" s="10" t="str">
        <f t="shared" si="278"/>
        <v>2_post sample median</v>
      </c>
      <c r="AE872" s="10" t="str">
        <f t="shared" si="279"/>
        <v>2_in sample second tertile</v>
      </c>
      <c r="AF872" t="s">
        <v>67</v>
      </c>
      <c r="AG872" t="s">
        <v>74</v>
      </c>
      <c r="AH872" t="s">
        <v>78</v>
      </c>
      <c r="AI872" t="s">
        <v>122</v>
      </c>
      <c r="AJ872" t="s">
        <v>122</v>
      </c>
      <c r="AK872" t="str">
        <f>VLOOKUP(MID($AR872,1,255),country_lookup!$B:$F,2,FALSE)</f>
        <v>1_US</v>
      </c>
      <c r="AL872" t="str">
        <f>VLOOKUP(MID($AR872,1,255),country_lookup!$B:$F,3,FALSE)</f>
        <v>1_developed</v>
      </c>
      <c r="AM872" t="str">
        <f>VLOOKUP(MID($AR872,1,255),country_lookup!$B:$F,4,FALSE)</f>
        <v>1_western</v>
      </c>
      <c r="AN872" t="str">
        <f>VLOOKUP(MID($AR872,1,255),country_lookup!$B:$F,5,FALSE)</f>
        <v>1_common law</v>
      </c>
      <c r="AO872" s="10" t="str">
        <f>VLOOKUP(MID($AS872,1,255),source_lookup!$B:$K,4,FALSE)</f>
        <v>0_published</v>
      </c>
      <c r="AP872" s="10" t="str">
        <f>VLOOKUP(MID($AS872,1,255),source_lookup!$B:$K,6,FALSE)</f>
        <v>0_VHB low</v>
      </c>
      <c r="AQ872" s="10" t="str">
        <f>VLOOKUP(MID($AS872,1,255),source_lookup!$B:$K,10,FALSE)</f>
        <v>3_mgmt</v>
      </c>
      <c r="AR872" t="s">
        <v>85</v>
      </c>
      <c r="AS872" t="s">
        <v>164</v>
      </c>
    </row>
    <row r="873" spans="1:45" x14ac:dyDescent="0.3">
      <c r="A873" t="s">
        <v>41</v>
      </c>
      <c r="B873">
        <v>872</v>
      </c>
      <c r="C873" s="1">
        <v>6.2298336062631604E-2</v>
      </c>
      <c r="D873" s="2">
        <v>34</v>
      </c>
      <c r="E873" s="4">
        <v>240</v>
      </c>
      <c r="F873" s="4" t="s">
        <v>346</v>
      </c>
      <c r="G873" s="4" t="s">
        <v>347</v>
      </c>
      <c r="H873" t="s">
        <v>77</v>
      </c>
      <c r="I873" t="s">
        <v>350</v>
      </c>
      <c r="J873" s="3">
        <v>2010</v>
      </c>
      <c r="K873" s="3">
        <v>2016</v>
      </c>
      <c r="L873" s="6">
        <f t="shared" si="271"/>
        <v>2013</v>
      </c>
      <c r="M873" s="6">
        <f t="shared" si="272"/>
        <v>2013</v>
      </c>
      <c r="N873" s="7">
        <f t="shared" si="260"/>
        <v>0.14285714285714285</v>
      </c>
      <c r="O873" s="7">
        <f t="shared" si="261"/>
        <v>0</v>
      </c>
      <c r="P873" s="7">
        <f t="shared" si="262"/>
        <v>0</v>
      </c>
      <c r="Q873" s="7">
        <f t="shared" si="273"/>
        <v>0</v>
      </c>
      <c r="R873" s="10" t="str">
        <f t="shared" si="263"/>
        <v>0_Pre</v>
      </c>
      <c r="S873" s="10" t="str">
        <f t="shared" si="264"/>
        <v>0_Pre</v>
      </c>
      <c r="T873" s="10" t="str">
        <f t="shared" si="265"/>
        <v>0_Pre</v>
      </c>
      <c r="U873" s="10" t="str">
        <f t="shared" si="266"/>
        <v>1_Post</v>
      </c>
      <c r="V873" s="10" t="str">
        <f t="shared" si="274"/>
        <v>0_Pre</v>
      </c>
      <c r="W873" s="10" t="str">
        <f t="shared" si="267"/>
        <v>straddle</v>
      </c>
      <c r="X873" s="10" t="str">
        <f t="shared" si="268"/>
        <v>0_Pre</v>
      </c>
      <c r="Y873" s="10" t="str">
        <f t="shared" si="269"/>
        <v>0_Pre</v>
      </c>
      <c r="Z873" s="10" t="str">
        <f t="shared" si="270"/>
        <v>0_Pre</v>
      </c>
      <c r="AA873" s="10" t="str">
        <f t="shared" si="275"/>
        <v>0_Pre</v>
      </c>
      <c r="AB873" s="10" t="str">
        <f t="shared" si="276"/>
        <v>0_Pre</v>
      </c>
      <c r="AC873" s="10" t="str">
        <f t="shared" si="277"/>
        <v>0_Pre</v>
      </c>
      <c r="AD873" s="10" t="str">
        <f t="shared" si="278"/>
        <v>2_post sample median</v>
      </c>
      <c r="AE873" s="10" t="str">
        <f t="shared" si="279"/>
        <v>2_in sample second tertile</v>
      </c>
      <c r="AF873" t="s">
        <v>67</v>
      </c>
      <c r="AG873" t="s">
        <v>74</v>
      </c>
      <c r="AH873" t="s">
        <v>78</v>
      </c>
      <c r="AI873" t="s">
        <v>122</v>
      </c>
      <c r="AJ873" t="s">
        <v>122</v>
      </c>
      <c r="AK873" t="str">
        <f>VLOOKUP(MID($AR873,1,255),country_lookup!$B:$F,2,FALSE)</f>
        <v>1_US</v>
      </c>
      <c r="AL873" t="str">
        <f>VLOOKUP(MID($AR873,1,255),country_lookup!$B:$F,3,FALSE)</f>
        <v>1_developed</v>
      </c>
      <c r="AM873" t="str">
        <f>VLOOKUP(MID($AR873,1,255),country_lookup!$B:$F,4,FALSE)</f>
        <v>1_western</v>
      </c>
      <c r="AN873" t="str">
        <f>VLOOKUP(MID($AR873,1,255),country_lookup!$B:$F,5,FALSE)</f>
        <v>1_common law</v>
      </c>
      <c r="AO873" s="10" t="str">
        <f>VLOOKUP(MID($AS873,1,255),source_lookup!$B:$K,4,FALSE)</f>
        <v>0_published</v>
      </c>
      <c r="AP873" s="10" t="str">
        <f>VLOOKUP(MID($AS873,1,255),source_lookup!$B:$K,6,FALSE)</f>
        <v>0_VHB low</v>
      </c>
      <c r="AQ873" s="10" t="str">
        <f>VLOOKUP(MID($AS873,1,255),source_lookup!$B:$K,10,FALSE)</f>
        <v>3_mgmt</v>
      </c>
      <c r="AR873" t="s">
        <v>85</v>
      </c>
      <c r="AS873" t="s">
        <v>164</v>
      </c>
    </row>
    <row r="874" spans="1:45" x14ac:dyDescent="0.3">
      <c r="A874" t="s">
        <v>41</v>
      </c>
      <c r="B874">
        <v>873</v>
      </c>
      <c r="C874" s="1">
        <v>-5.8125633061141754E-2</v>
      </c>
      <c r="D874" s="2">
        <v>53</v>
      </c>
      <c r="E874" s="4">
        <v>374</v>
      </c>
      <c r="F874" s="4" t="s">
        <v>346</v>
      </c>
      <c r="G874" s="4" t="s">
        <v>347</v>
      </c>
      <c r="H874" t="s">
        <v>77</v>
      </c>
      <c r="I874" t="s">
        <v>350</v>
      </c>
      <c r="J874" s="3">
        <v>2010</v>
      </c>
      <c r="K874" s="3">
        <v>2016</v>
      </c>
      <c r="L874" s="6">
        <f t="shared" si="271"/>
        <v>2013</v>
      </c>
      <c r="M874" s="6">
        <f t="shared" si="272"/>
        <v>2013</v>
      </c>
      <c r="N874" s="7">
        <f t="shared" si="260"/>
        <v>0.14285714285714285</v>
      </c>
      <c r="O874" s="7">
        <f t="shared" si="261"/>
        <v>0</v>
      </c>
      <c r="P874" s="7">
        <f t="shared" si="262"/>
        <v>0</v>
      </c>
      <c r="Q874" s="7">
        <f t="shared" si="273"/>
        <v>0</v>
      </c>
      <c r="R874" s="10" t="str">
        <f t="shared" si="263"/>
        <v>0_Pre</v>
      </c>
      <c r="S874" s="10" t="str">
        <f t="shared" si="264"/>
        <v>0_Pre</v>
      </c>
      <c r="T874" s="10" t="str">
        <f t="shared" si="265"/>
        <v>0_Pre</v>
      </c>
      <c r="U874" s="10" t="str">
        <f t="shared" si="266"/>
        <v>1_Post</v>
      </c>
      <c r="V874" s="10" t="str">
        <f t="shared" si="274"/>
        <v>0_Pre</v>
      </c>
      <c r="W874" s="10" t="str">
        <f t="shared" si="267"/>
        <v>straddle</v>
      </c>
      <c r="X874" s="10" t="str">
        <f t="shared" si="268"/>
        <v>0_Pre</v>
      </c>
      <c r="Y874" s="10" t="str">
        <f t="shared" si="269"/>
        <v>0_Pre</v>
      </c>
      <c r="Z874" s="10" t="str">
        <f t="shared" si="270"/>
        <v>0_Pre</v>
      </c>
      <c r="AA874" s="10" t="str">
        <f t="shared" si="275"/>
        <v>0_Pre</v>
      </c>
      <c r="AB874" s="10" t="str">
        <f t="shared" si="276"/>
        <v>0_Pre</v>
      </c>
      <c r="AC874" s="10" t="str">
        <f t="shared" si="277"/>
        <v>0_Pre</v>
      </c>
      <c r="AD874" s="10" t="str">
        <f t="shared" si="278"/>
        <v>2_post sample median</v>
      </c>
      <c r="AE874" s="10" t="str">
        <f t="shared" si="279"/>
        <v>2_in sample second tertile</v>
      </c>
      <c r="AF874" t="s">
        <v>67</v>
      </c>
      <c r="AG874" t="s">
        <v>74</v>
      </c>
      <c r="AH874" t="s">
        <v>78</v>
      </c>
      <c r="AI874" t="s">
        <v>122</v>
      </c>
      <c r="AJ874" t="s">
        <v>122</v>
      </c>
      <c r="AK874" t="str">
        <f>VLOOKUP(MID($AR874,1,255),country_lookup!$B:$F,2,FALSE)</f>
        <v>1_US</v>
      </c>
      <c r="AL874" t="str">
        <f>VLOOKUP(MID($AR874,1,255),country_lookup!$B:$F,3,FALSE)</f>
        <v>1_developed</v>
      </c>
      <c r="AM874" t="str">
        <f>VLOOKUP(MID($AR874,1,255),country_lookup!$B:$F,4,FALSE)</f>
        <v>1_western</v>
      </c>
      <c r="AN874" t="str">
        <f>VLOOKUP(MID($AR874,1,255),country_lookup!$B:$F,5,FALSE)</f>
        <v>1_common law</v>
      </c>
      <c r="AO874" s="10" t="str">
        <f>VLOOKUP(MID($AS874,1,255),source_lookup!$B:$K,4,FALSE)</f>
        <v>0_published</v>
      </c>
      <c r="AP874" s="10" t="str">
        <f>VLOOKUP(MID($AS874,1,255),source_lookup!$B:$K,6,FALSE)</f>
        <v>0_VHB low</v>
      </c>
      <c r="AQ874" s="10" t="str">
        <f>VLOOKUP(MID($AS874,1,255),source_lookup!$B:$K,10,FALSE)</f>
        <v>3_mgmt</v>
      </c>
      <c r="AR874" t="s">
        <v>85</v>
      </c>
      <c r="AS874" t="s">
        <v>164</v>
      </c>
    </row>
    <row r="875" spans="1:45" x14ac:dyDescent="0.3">
      <c r="A875" t="s">
        <v>41</v>
      </c>
      <c r="B875">
        <v>874</v>
      </c>
      <c r="C875" s="1">
        <v>-8.2196401923304963E-2</v>
      </c>
      <c r="D875" s="2">
        <v>53</v>
      </c>
      <c r="E875" s="4">
        <v>374</v>
      </c>
      <c r="F875" s="4" t="s">
        <v>346</v>
      </c>
      <c r="G875" s="4" t="s">
        <v>347</v>
      </c>
      <c r="H875" t="s">
        <v>77</v>
      </c>
      <c r="I875" t="s">
        <v>350</v>
      </c>
      <c r="J875" s="3">
        <v>2010</v>
      </c>
      <c r="K875" s="3">
        <v>2016</v>
      </c>
      <c r="L875" s="6">
        <f t="shared" si="271"/>
        <v>2013</v>
      </c>
      <c r="M875" s="6">
        <f t="shared" si="272"/>
        <v>2013</v>
      </c>
      <c r="N875" s="7">
        <f t="shared" si="260"/>
        <v>0.14285714285714285</v>
      </c>
      <c r="O875" s="7">
        <f t="shared" si="261"/>
        <v>0</v>
      </c>
      <c r="P875" s="7">
        <f t="shared" si="262"/>
        <v>0</v>
      </c>
      <c r="Q875" s="7">
        <f t="shared" si="273"/>
        <v>0</v>
      </c>
      <c r="R875" s="10" t="str">
        <f t="shared" si="263"/>
        <v>0_Pre</v>
      </c>
      <c r="S875" s="10" t="str">
        <f t="shared" si="264"/>
        <v>0_Pre</v>
      </c>
      <c r="T875" s="10" t="str">
        <f t="shared" si="265"/>
        <v>0_Pre</v>
      </c>
      <c r="U875" s="10" t="str">
        <f t="shared" si="266"/>
        <v>1_Post</v>
      </c>
      <c r="V875" s="10" t="str">
        <f t="shared" si="274"/>
        <v>0_Pre</v>
      </c>
      <c r="W875" s="10" t="str">
        <f t="shared" si="267"/>
        <v>straddle</v>
      </c>
      <c r="X875" s="10" t="str">
        <f t="shared" si="268"/>
        <v>0_Pre</v>
      </c>
      <c r="Y875" s="10" t="str">
        <f t="shared" si="269"/>
        <v>0_Pre</v>
      </c>
      <c r="Z875" s="10" t="str">
        <f t="shared" si="270"/>
        <v>0_Pre</v>
      </c>
      <c r="AA875" s="10" t="str">
        <f t="shared" si="275"/>
        <v>0_Pre</v>
      </c>
      <c r="AB875" s="10" t="str">
        <f t="shared" si="276"/>
        <v>0_Pre</v>
      </c>
      <c r="AC875" s="10" t="str">
        <f t="shared" si="277"/>
        <v>0_Pre</v>
      </c>
      <c r="AD875" s="10" t="str">
        <f t="shared" si="278"/>
        <v>2_post sample median</v>
      </c>
      <c r="AE875" s="10" t="str">
        <f t="shared" si="279"/>
        <v>2_in sample second tertile</v>
      </c>
      <c r="AF875" t="s">
        <v>67</v>
      </c>
      <c r="AG875" t="s">
        <v>74</v>
      </c>
      <c r="AH875" t="s">
        <v>78</v>
      </c>
      <c r="AI875" t="s">
        <v>122</v>
      </c>
      <c r="AJ875" t="s">
        <v>122</v>
      </c>
      <c r="AK875" t="str">
        <f>VLOOKUP(MID($AR875,1,255),country_lookup!$B:$F,2,FALSE)</f>
        <v>1_US</v>
      </c>
      <c r="AL875" t="str">
        <f>VLOOKUP(MID($AR875,1,255),country_lookup!$B:$F,3,FALSE)</f>
        <v>1_developed</v>
      </c>
      <c r="AM875" t="str">
        <f>VLOOKUP(MID($AR875,1,255),country_lookup!$B:$F,4,FALSE)</f>
        <v>1_western</v>
      </c>
      <c r="AN875" t="str">
        <f>VLOOKUP(MID($AR875,1,255),country_lookup!$B:$F,5,FALSE)</f>
        <v>1_common law</v>
      </c>
      <c r="AO875" s="10" t="str">
        <f>VLOOKUP(MID($AS875,1,255),source_lookup!$B:$K,4,FALSE)</f>
        <v>0_published</v>
      </c>
      <c r="AP875" s="10" t="str">
        <f>VLOOKUP(MID($AS875,1,255),source_lookup!$B:$K,6,FALSE)</f>
        <v>0_VHB low</v>
      </c>
      <c r="AQ875" s="10" t="str">
        <f>VLOOKUP(MID($AS875,1,255),source_lookup!$B:$K,10,FALSE)</f>
        <v>3_mgmt</v>
      </c>
      <c r="AR875" t="s">
        <v>85</v>
      </c>
      <c r="AS875" t="s">
        <v>164</v>
      </c>
    </row>
    <row r="876" spans="1:45" x14ac:dyDescent="0.3">
      <c r="A876" t="s">
        <v>41</v>
      </c>
      <c r="B876">
        <v>875</v>
      </c>
      <c r="C876" s="1">
        <v>-0.17471912594972991</v>
      </c>
      <c r="D876" s="2">
        <v>18</v>
      </c>
      <c r="E876" s="4">
        <v>123</v>
      </c>
      <c r="F876" s="4" t="s">
        <v>346</v>
      </c>
      <c r="G876" s="4" t="s">
        <v>347</v>
      </c>
      <c r="H876" t="s">
        <v>77</v>
      </c>
      <c r="I876" t="s">
        <v>350</v>
      </c>
      <c r="J876" s="3">
        <v>2010</v>
      </c>
      <c r="K876" s="3">
        <v>2016</v>
      </c>
      <c r="L876" s="6">
        <f t="shared" si="271"/>
        <v>2013</v>
      </c>
      <c r="M876" s="6">
        <f t="shared" si="272"/>
        <v>2013</v>
      </c>
      <c r="N876" s="7">
        <f t="shared" si="260"/>
        <v>0.14285714285714285</v>
      </c>
      <c r="O876" s="7">
        <f t="shared" si="261"/>
        <v>0</v>
      </c>
      <c r="P876" s="7">
        <f t="shared" si="262"/>
        <v>0</v>
      </c>
      <c r="Q876" s="7">
        <f t="shared" si="273"/>
        <v>0</v>
      </c>
      <c r="R876" s="10" t="str">
        <f t="shared" si="263"/>
        <v>0_Pre</v>
      </c>
      <c r="S876" s="10" t="str">
        <f t="shared" si="264"/>
        <v>0_Pre</v>
      </c>
      <c r="T876" s="10" t="str">
        <f t="shared" si="265"/>
        <v>0_Pre</v>
      </c>
      <c r="U876" s="10" t="str">
        <f t="shared" si="266"/>
        <v>1_Post</v>
      </c>
      <c r="V876" s="10" t="str">
        <f t="shared" si="274"/>
        <v>0_Pre</v>
      </c>
      <c r="W876" s="10" t="str">
        <f t="shared" si="267"/>
        <v>straddle</v>
      </c>
      <c r="X876" s="10" t="str">
        <f t="shared" si="268"/>
        <v>0_Pre</v>
      </c>
      <c r="Y876" s="10" t="str">
        <f t="shared" si="269"/>
        <v>0_Pre</v>
      </c>
      <c r="Z876" s="10" t="str">
        <f t="shared" si="270"/>
        <v>0_Pre</v>
      </c>
      <c r="AA876" s="10" t="str">
        <f t="shared" si="275"/>
        <v>0_Pre</v>
      </c>
      <c r="AB876" s="10" t="str">
        <f t="shared" si="276"/>
        <v>0_Pre</v>
      </c>
      <c r="AC876" s="10" t="str">
        <f t="shared" si="277"/>
        <v>0_Pre</v>
      </c>
      <c r="AD876" s="10" t="str">
        <f t="shared" si="278"/>
        <v>2_post sample median</v>
      </c>
      <c r="AE876" s="10" t="str">
        <f t="shared" si="279"/>
        <v>2_in sample second tertile</v>
      </c>
      <c r="AF876" t="s">
        <v>67</v>
      </c>
      <c r="AG876" t="s">
        <v>74</v>
      </c>
      <c r="AH876" t="s">
        <v>78</v>
      </c>
      <c r="AI876" t="s">
        <v>122</v>
      </c>
      <c r="AJ876" t="s">
        <v>122</v>
      </c>
      <c r="AK876" t="str">
        <f>VLOOKUP(MID($AR876,1,255),country_lookup!$B:$F,2,FALSE)</f>
        <v>1_US</v>
      </c>
      <c r="AL876" t="str">
        <f>VLOOKUP(MID($AR876,1,255),country_lookup!$B:$F,3,FALSE)</f>
        <v>1_developed</v>
      </c>
      <c r="AM876" t="str">
        <f>VLOOKUP(MID($AR876,1,255),country_lookup!$B:$F,4,FALSE)</f>
        <v>1_western</v>
      </c>
      <c r="AN876" t="str">
        <f>VLOOKUP(MID($AR876,1,255),country_lookup!$B:$F,5,FALSE)</f>
        <v>1_common law</v>
      </c>
      <c r="AO876" s="10" t="str">
        <f>VLOOKUP(MID($AS876,1,255),source_lookup!$B:$K,4,FALSE)</f>
        <v>0_published</v>
      </c>
      <c r="AP876" s="10" t="str">
        <f>VLOOKUP(MID($AS876,1,255),source_lookup!$B:$K,6,FALSE)</f>
        <v>0_VHB low</v>
      </c>
      <c r="AQ876" s="10" t="str">
        <f>VLOOKUP(MID($AS876,1,255),source_lookup!$B:$K,10,FALSE)</f>
        <v>3_mgmt</v>
      </c>
      <c r="AR876" t="s">
        <v>85</v>
      </c>
      <c r="AS876" t="s">
        <v>164</v>
      </c>
    </row>
    <row r="877" spans="1:45" x14ac:dyDescent="0.3">
      <c r="A877" t="s">
        <v>41</v>
      </c>
      <c r="B877">
        <v>876</v>
      </c>
      <c r="C877" s="1">
        <v>-0.3026724055269629</v>
      </c>
      <c r="D877" s="2">
        <v>18</v>
      </c>
      <c r="E877" s="4">
        <v>123</v>
      </c>
      <c r="F877" s="4" t="s">
        <v>346</v>
      </c>
      <c r="G877" s="4" t="s">
        <v>347</v>
      </c>
      <c r="H877" t="s">
        <v>77</v>
      </c>
      <c r="I877" t="s">
        <v>350</v>
      </c>
      <c r="J877" s="3">
        <v>2010</v>
      </c>
      <c r="K877" s="3">
        <v>2016</v>
      </c>
      <c r="L877" s="6">
        <f t="shared" si="271"/>
        <v>2013</v>
      </c>
      <c r="M877" s="6">
        <f t="shared" si="272"/>
        <v>2013</v>
      </c>
      <c r="N877" s="7">
        <f t="shared" si="260"/>
        <v>0.14285714285714285</v>
      </c>
      <c r="O877" s="7">
        <f t="shared" si="261"/>
        <v>0</v>
      </c>
      <c r="P877" s="7">
        <f t="shared" si="262"/>
        <v>0</v>
      </c>
      <c r="Q877" s="7">
        <f t="shared" si="273"/>
        <v>0</v>
      </c>
      <c r="R877" s="10" t="str">
        <f t="shared" si="263"/>
        <v>0_Pre</v>
      </c>
      <c r="S877" s="10" t="str">
        <f t="shared" si="264"/>
        <v>0_Pre</v>
      </c>
      <c r="T877" s="10" t="str">
        <f t="shared" si="265"/>
        <v>0_Pre</v>
      </c>
      <c r="U877" s="10" t="str">
        <f t="shared" si="266"/>
        <v>1_Post</v>
      </c>
      <c r="V877" s="10" t="str">
        <f t="shared" si="274"/>
        <v>0_Pre</v>
      </c>
      <c r="W877" s="10" t="str">
        <f t="shared" si="267"/>
        <v>straddle</v>
      </c>
      <c r="X877" s="10" t="str">
        <f t="shared" si="268"/>
        <v>0_Pre</v>
      </c>
      <c r="Y877" s="10" t="str">
        <f t="shared" si="269"/>
        <v>0_Pre</v>
      </c>
      <c r="Z877" s="10" t="str">
        <f t="shared" si="270"/>
        <v>0_Pre</v>
      </c>
      <c r="AA877" s="10" t="str">
        <f t="shared" si="275"/>
        <v>0_Pre</v>
      </c>
      <c r="AB877" s="10" t="str">
        <f t="shared" si="276"/>
        <v>0_Pre</v>
      </c>
      <c r="AC877" s="10" t="str">
        <f t="shared" si="277"/>
        <v>0_Pre</v>
      </c>
      <c r="AD877" s="10" t="str">
        <f t="shared" si="278"/>
        <v>2_post sample median</v>
      </c>
      <c r="AE877" s="10" t="str">
        <f t="shared" si="279"/>
        <v>2_in sample second tertile</v>
      </c>
      <c r="AF877" t="s">
        <v>67</v>
      </c>
      <c r="AG877" t="s">
        <v>74</v>
      </c>
      <c r="AH877" t="s">
        <v>78</v>
      </c>
      <c r="AI877" t="s">
        <v>122</v>
      </c>
      <c r="AJ877" t="s">
        <v>122</v>
      </c>
      <c r="AK877" t="str">
        <f>VLOOKUP(MID($AR877,1,255),country_lookup!$B:$F,2,FALSE)</f>
        <v>1_US</v>
      </c>
      <c r="AL877" t="str">
        <f>VLOOKUP(MID($AR877,1,255),country_lookup!$B:$F,3,FALSE)</f>
        <v>1_developed</v>
      </c>
      <c r="AM877" t="str">
        <f>VLOOKUP(MID($AR877,1,255),country_lookup!$B:$F,4,FALSE)</f>
        <v>1_western</v>
      </c>
      <c r="AN877" t="str">
        <f>VLOOKUP(MID($AR877,1,255),country_lookup!$B:$F,5,FALSE)</f>
        <v>1_common law</v>
      </c>
      <c r="AO877" s="10" t="str">
        <f>VLOOKUP(MID($AS877,1,255),source_lookup!$B:$K,4,FALSE)</f>
        <v>0_published</v>
      </c>
      <c r="AP877" s="10" t="str">
        <f>VLOOKUP(MID($AS877,1,255),source_lookup!$B:$K,6,FALSE)</f>
        <v>0_VHB low</v>
      </c>
      <c r="AQ877" s="10" t="str">
        <f>VLOOKUP(MID($AS877,1,255),source_lookup!$B:$K,10,FALSE)</f>
        <v>3_mgmt</v>
      </c>
      <c r="AR877" t="s">
        <v>85</v>
      </c>
      <c r="AS877" t="s">
        <v>164</v>
      </c>
    </row>
    <row r="878" spans="1:45" x14ac:dyDescent="0.3">
      <c r="A878" t="s">
        <v>41</v>
      </c>
      <c r="B878">
        <v>877</v>
      </c>
      <c r="C878" s="1">
        <v>-0.10535001865364817</v>
      </c>
      <c r="D878" s="2">
        <v>89</v>
      </c>
      <c r="E878" s="4">
        <v>621</v>
      </c>
      <c r="F878" s="4" t="s">
        <v>346</v>
      </c>
      <c r="G878" s="4" t="s">
        <v>347</v>
      </c>
      <c r="H878" t="s">
        <v>77</v>
      </c>
      <c r="I878" t="s">
        <v>350</v>
      </c>
      <c r="J878" s="3">
        <v>2010</v>
      </c>
      <c r="K878" s="3">
        <v>2016</v>
      </c>
      <c r="L878" s="6">
        <f t="shared" si="271"/>
        <v>2013</v>
      </c>
      <c r="M878" s="6">
        <f t="shared" si="272"/>
        <v>2013</v>
      </c>
      <c r="N878" s="7">
        <f t="shared" si="260"/>
        <v>0.14285714285714285</v>
      </c>
      <c r="O878" s="7">
        <f t="shared" si="261"/>
        <v>0</v>
      </c>
      <c r="P878" s="7">
        <f t="shared" si="262"/>
        <v>0</v>
      </c>
      <c r="Q878" s="7">
        <f t="shared" si="273"/>
        <v>0</v>
      </c>
      <c r="R878" s="10" t="str">
        <f t="shared" si="263"/>
        <v>0_Pre</v>
      </c>
      <c r="S878" s="10" t="str">
        <f t="shared" si="264"/>
        <v>0_Pre</v>
      </c>
      <c r="T878" s="10" t="str">
        <f t="shared" si="265"/>
        <v>0_Pre</v>
      </c>
      <c r="U878" s="10" t="str">
        <f t="shared" si="266"/>
        <v>1_Post</v>
      </c>
      <c r="V878" s="10" t="str">
        <f t="shared" si="274"/>
        <v>0_Pre</v>
      </c>
      <c r="W878" s="10" t="str">
        <f t="shared" si="267"/>
        <v>straddle</v>
      </c>
      <c r="X878" s="10" t="str">
        <f t="shared" si="268"/>
        <v>0_Pre</v>
      </c>
      <c r="Y878" s="10" t="str">
        <f t="shared" si="269"/>
        <v>0_Pre</v>
      </c>
      <c r="Z878" s="10" t="str">
        <f t="shared" si="270"/>
        <v>0_Pre</v>
      </c>
      <c r="AA878" s="10" t="str">
        <f t="shared" si="275"/>
        <v>0_Pre</v>
      </c>
      <c r="AB878" s="10" t="str">
        <f t="shared" si="276"/>
        <v>0_Pre</v>
      </c>
      <c r="AC878" s="10" t="str">
        <f t="shared" si="277"/>
        <v>0_Pre</v>
      </c>
      <c r="AD878" s="10" t="str">
        <f t="shared" si="278"/>
        <v>2_post sample median</v>
      </c>
      <c r="AE878" s="10" t="str">
        <f t="shared" si="279"/>
        <v>2_in sample second tertile</v>
      </c>
      <c r="AF878" t="s">
        <v>67</v>
      </c>
      <c r="AG878" t="s">
        <v>74</v>
      </c>
      <c r="AH878" t="s">
        <v>78</v>
      </c>
      <c r="AI878" t="s">
        <v>122</v>
      </c>
      <c r="AJ878" t="s">
        <v>122</v>
      </c>
      <c r="AK878" t="str">
        <f>VLOOKUP(MID($AR878,1,255),country_lookup!$B:$F,2,FALSE)</f>
        <v>1_US</v>
      </c>
      <c r="AL878" t="str">
        <f>VLOOKUP(MID($AR878,1,255),country_lookup!$B:$F,3,FALSE)</f>
        <v>1_developed</v>
      </c>
      <c r="AM878" t="str">
        <f>VLOOKUP(MID($AR878,1,255),country_lookup!$B:$F,4,FALSE)</f>
        <v>1_western</v>
      </c>
      <c r="AN878" t="str">
        <f>VLOOKUP(MID($AR878,1,255),country_lookup!$B:$F,5,FALSE)</f>
        <v>1_common law</v>
      </c>
      <c r="AO878" s="10" t="str">
        <f>VLOOKUP(MID($AS878,1,255),source_lookup!$B:$K,4,FALSE)</f>
        <v>0_published</v>
      </c>
      <c r="AP878" s="10" t="str">
        <f>VLOOKUP(MID($AS878,1,255),source_lookup!$B:$K,6,FALSE)</f>
        <v>0_VHB low</v>
      </c>
      <c r="AQ878" s="10" t="str">
        <f>VLOOKUP(MID($AS878,1,255),source_lookup!$B:$K,10,FALSE)</f>
        <v>3_mgmt</v>
      </c>
      <c r="AR878" t="s">
        <v>85</v>
      </c>
      <c r="AS878" t="s">
        <v>164</v>
      </c>
    </row>
    <row r="879" spans="1:45" x14ac:dyDescent="0.3">
      <c r="A879" t="s">
        <v>41</v>
      </c>
      <c r="B879">
        <v>878</v>
      </c>
      <c r="C879" s="1">
        <v>-7.6182845114445619E-2</v>
      </c>
      <c r="D879" s="2">
        <v>89</v>
      </c>
      <c r="E879" s="4">
        <v>621</v>
      </c>
      <c r="F879" s="4" t="s">
        <v>346</v>
      </c>
      <c r="G879" s="4" t="s">
        <v>347</v>
      </c>
      <c r="H879" t="s">
        <v>77</v>
      </c>
      <c r="I879" t="s">
        <v>350</v>
      </c>
      <c r="J879" s="3">
        <v>2010</v>
      </c>
      <c r="K879" s="3">
        <v>2016</v>
      </c>
      <c r="L879" s="6">
        <f t="shared" si="271"/>
        <v>2013</v>
      </c>
      <c r="M879" s="6">
        <f t="shared" si="272"/>
        <v>2013</v>
      </c>
      <c r="N879" s="7">
        <f t="shared" si="260"/>
        <v>0.14285714285714285</v>
      </c>
      <c r="O879" s="7">
        <f t="shared" si="261"/>
        <v>0</v>
      </c>
      <c r="P879" s="7">
        <f t="shared" si="262"/>
        <v>0</v>
      </c>
      <c r="Q879" s="7">
        <f t="shared" si="273"/>
        <v>0</v>
      </c>
      <c r="R879" s="10" t="str">
        <f t="shared" si="263"/>
        <v>0_Pre</v>
      </c>
      <c r="S879" s="10" t="str">
        <f t="shared" si="264"/>
        <v>0_Pre</v>
      </c>
      <c r="T879" s="10" t="str">
        <f t="shared" si="265"/>
        <v>0_Pre</v>
      </c>
      <c r="U879" s="10" t="str">
        <f t="shared" si="266"/>
        <v>1_Post</v>
      </c>
      <c r="V879" s="10" t="str">
        <f t="shared" si="274"/>
        <v>0_Pre</v>
      </c>
      <c r="W879" s="10" t="str">
        <f t="shared" si="267"/>
        <v>straddle</v>
      </c>
      <c r="X879" s="10" t="str">
        <f t="shared" si="268"/>
        <v>0_Pre</v>
      </c>
      <c r="Y879" s="10" t="str">
        <f t="shared" si="269"/>
        <v>0_Pre</v>
      </c>
      <c r="Z879" s="10" t="str">
        <f t="shared" si="270"/>
        <v>0_Pre</v>
      </c>
      <c r="AA879" s="10" t="str">
        <f t="shared" si="275"/>
        <v>0_Pre</v>
      </c>
      <c r="AB879" s="10" t="str">
        <f t="shared" si="276"/>
        <v>0_Pre</v>
      </c>
      <c r="AC879" s="10" t="str">
        <f t="shared" si="277"/>
        <v>0_Pre</v>
      </c>
      <c r="AD879" s="10" t="str">
        <f t="shared" si="278"/>
        <v>2_post sample median</v>
      </c>
      <c r="AE879" s="10" t="str">
        <f t="shared" si="279"/>
        <v>2_in sample second tertile</v>
      </c>
      <c r="AF879" t="s">
        <v>67</v>
      </c>
      <c r="AG879" t="s">
        <v>74</v>
      </c>
      <c r="AH879" t="s">
        <v>78</v>
      </c>
      <c r="AI879" t="s">
        <v>122</v>
      </c>
      <c r="AJ879" t="s">
        <v>122</v>
      </c>
      <c r="AK879" t="str">
        <f>VLOOKUP(MID($AR879,1,255),country_lookup!$B:$F,2,FALSE)</f>
        <v>1_US</v>
      </c>
      <c r="AL879" t="str">
        <f>VLOOKUP(MID($AR879,1,255),country_lookup!$B:$F,3,FALSE)</f>
        <v>1_developed</v>
      </c>
      <c r="AM879" t="str">
        <f>VLOOKUP(MID($AR879,1,255),country_lookup!$B:$F,4,FALSE)</f>
        <v>1_western</v>
      </c>
      <c r="AN879" t="str">
        <f>VLOOKUP(MID($AR879,1,255),country_lookup!$B:$F,5,FALSE)</f>
        <v>1_common law</v>
      </c>
      <c r="AO879" s="10" t="str">
        <f>VLOOKUP(MID($AS879,1,255),source_lookup!$B:$K,4,FALSE)</f>
        <v>0_published</v>
      </c>
      <c r="AP879" s="10" t="str">
        <f>VLOOKUP(MID($AS879,1,255),source_lookup!$B:$K,6,FALSE)</f>
        <v>0_VHB low</v>
      </c>
      <c r="AQ879" s="10" t="str">
        <f>VLOOKUP(MID($AS879,1,255),source_lookup!$B:$K,10,FALSE)</f>
        <v>3_mgmt</v>
      </c>
      <c r="AR879" t="s">
        <v>85</v>
      </c>
      <c r="AS879" t="s">
        <v>164</v>
      </c>
    </row>
    <row r="880" spans="1:45" x14ac:dyDescent="0.3">
      <c r="A880" t="s">
        <v>41</v>
      </c>
      <c r="B880">
        <v>879</v>
      </c>
      <c r="C880" s="1">
        <v>5.4373976412258558E-2</v>
      </c>
      <c r="D880" s="2">
        <v>89</v>
      </c>
      <c r="E880" s="4">
        <v>621</v>
      </c>
      <c r="F880" s="4" t="s">
        <v>346</v>
      </c>
      <c r="G880" s="4" t="s">
        <v>347</v>
      </c>
      <c r="H880" t="s">
        <v>77</v>
      </c>
      <c r="I880" t="s">
        <v>350</v>
      </c>
      <c r="J880" s="3">
        <v>2010</v>
      </c>
      <c r="K880" s="3">
        <v>2016</v>
      </c>
      <c r="L880" s="6">
        <f t="shared" si="271"/>
        <v>2013</v>
      </c>
      <c r="M880" s="6">
        <f t="shared" si="272"/>
        <v>2013</v>
      </c>
      <c r="N880" s="7">
        <f t="shared" si="260"/>
        <v>0.14285714285714285</v>
      </c>
      <c r="O880" s="7">
        <f t="shared" si="261"/>
        <v>0</v>
      </c>
      <c r="P880" s="7">
        <f t="shared" si="262"/>
        <v>0</v>
      </c>
      <c r="Q880" s="7">
        <f t="shared" si="273"/>
        <v>0</v>
      </c>
      <c r="R880" s="10" t="str">
        <f t="shared" si="263"/>
        <v>0_Pre</v>
      </c>
      <c r="S880" s="10" t="str">
        <f t="shared" si="264"/>
        <v>0_Pre</v>
      </c>
      <c r="T880" s="10" t="str">
        <f t="shared" si="265"/>
        <v>0_Pre</v>
      </c>
      <c r="U880" s="10" t="str">
        <f t="shared" si="266"/>
        <v>1_Post</v>
      </c>
      <c r="V880" s="10" t="str">
        <f t="shared" si="274"/>
        <v>0_Pre</v>
      </c>
      <c r="W880" s="10" t="str">
        <f t="shared" si="267"/>
        <v>straddle</v>
      </c>
      <c r="X880" s="10" t="str">
        <f t="shared" si="268"/>
        <v>0_Pre</v>
      </c>
      <c r="Y880" s="10" t="str">
        <f t="shared" si="269"/>
        <v>0_Pre</v>
      </c>
      <c r="Z880" s="10" t="str">
        <f t="shared" si="270"/>
        <v>0_Pre</v>
      </c>
      <c r="AA880" s="10" t="str">
        <f t="shared" si="275"/>
        <v>0_Pre</v>
      </c>
      <c r="AB880" s="10" t="str">
        <f t="shared" si="276"/>
        <v>0_Pre</v>
      </c>
      <c r="AC880" s="10" t="str">
        <f t="shared" si="277"/>
        <v>0_Pre</v>
      </c>
      <c r="AD880" s="10" t="str">
        <f t="shared" si="278"/>
        <v>2_post sample median</v>
      </c>
      <c r="AE880" s="10" t="str">
        <f t="shared" si="279"/>
        <v>2_in sample second tertile</v>
      </c>
      <c r="AF880" t="s">
        <v>67</v>
      </c>
      <c r="AG880" t="s">
        <v>74</v>
      </c>
      <c r="AH880" t="s">
        <v>78</v>
      </c>
      <c r="AI880" t="s">
        <v>122</v>
      </c>
      <c r="AJ880" t="s">
        <v>122</v>
      </c>
      <c r="AK880" t="str">
        <f>VLOOKUP(MID($AR880,1,255),country_lookup!$B:$F,2,FALSE)</f>
        <v>1_US</v>
      </c>
      <c r="AL880" t="str">
        <f>VLOOKUP(MID($AR880,1,255),country_lookup!$B:$F,3,FALSE)</f>
        <v>1_developed</v>
      </c>
      <c r="AM880" t="str">
        <f>VLOOKUP(MID($AR880,1,255),country_lookup!$B:$F,4,FALSE)</f>
        <v>1_western</v>
      </c>
      <c r="AN880" t="str">
        <f>VLOOKUP(MID($AR880,1,255),country_lookup!$B:$F,5,FALSE)</f>
        <v>1_common law</v>
      </c>
      <c r="AO880" s="10" t="str">
        <f>VLOOKUP(MID($AS880,1,255),source_lookup!$B:$K,4,FALSE)</f>
        <v>0_published</v>
      </c>
      <c r="AP880" s="10" t="str">
        <f>VLOOKUP(MID($AS880,1,255),source_lookup!$B:$K,6,FALSE)</f>
        <v>0_VHB low</v>
      </c>
      <c r="AQ880" s="10" t="str">
        <f>VLOOKUP(MID($AS880,1,255),source_lookup!$B:$K,10,FALSE)</f>
        <v>3_mgmt</v>
      </c>
      <c r="AR880" t="s">
        <v>85</v>
      </c>
      <c r="AS880" t="s">
        <v>164</v>
      </c>
    </row>
    <row r="881" spans="1:45" x14ac:dyDescent="0.3">
      <c r="A881" t="s">
        <v>41</v>
      </c>
      <c r="B881">
        <v>880</v>
      </c>
      <c r="C881" s="1">
        <v>-0.13776589869874778</v>
      </c>
      <c r="D881" s="2">
        <v>50</v>
      </c>
      <c r="E881" s="4">
        <v>347</v>
      </c>
      <c r="F881" s="4" t="s">
        <v>346</v>
      </c>
      <c r="G881" s="4" t="s">
        <v>347</v>
      </c>
      <c r="H881" t="s">
        <v>77</v>
      </c>
      <c r="I881" t="s">
        <v>350</v>
      </c>
      <c r="J881" s="3">
        <v>2010</v>
      </c>
      <c r="K881" s="3">
        <v>2016</v>
      </c>
      <c r="L881" s="6">
        <f t="shared" si="271"/>
        <v>2013</v>
      </c>
      <c r="M881" s="6">
        <f t="shared" si="272"/>
        <v>2013</v>
      </c>
      <c r="N881" s="7">
        <f t="shared" si="260"/>
        <v>0.14285714285714285</v>
      </c>
      <c r="O881" s="7">
        <f t="shared" si="261"/>
        <v>0</v>
      </c>
      <c r="P881" s="7">
        <f t="shared" si="262"/>
        <v>0</v>
      </c>
      <c r="Q881" s="7">
        <f t="shared" si="273"/>
        <v>0</v>
      </c>
      <c r="R881" s="10" t="str">
        <f t="shared" si="263"/>
        <v>0_Pre</v>
      </c>
      <c r="S881" s="10" t="str">
        <f t="shared" si="264"/>
        <v>0_Pre</v>
      </c>
      <c r="T881" s="10" t="str">
        <f t="shared" si="265"/>
        <v>0_Pre</v>
      </c>
      <c r="U881" s="10" t="str">
        <f t="shared" si="266"/>
        <v>1_Post</v>
      </c>
      <c r="V881" s="10" t="str">
        <f t="shared" si="274"/>
        <v>0_Pre</v>
      </c>
      <c r="W881" s="10" t="str">
        <f t="shared" si="267"/>
        <v>straddle</v>
      </c>
      <c r="X881" s="10" t="str">
        <f t="shared" si="268"/>
        <v>0_Pre</v>
      </c>
      <c r="Y881" s="10" t="str">
        <f t="shared" si="269"/>
        <v>0_Pre</v>
      </c>
      <c r="Z881" s="10" t="str">
        <f t="shared" si="270"/>
        <v>0_Pre</v>
      </c>
      <c r="AA881" s="10" t="str">
        <f t="shared" si="275"/>
        <v>0_Pre</v>
      </c>
      <c r="AB881" s="10" t="str">
        <f t="shared" si="276"/>
        <v>0_Pre</v>
      </c>
      <c r="AC881" s="10" t="str">
        <f t="shared" si="277"/>
        <v>0_Pre</v>
      </c>
      <c r="AD881" s="10" t="str">
        <f t="shared" si="278"/>
        <v>2_post sample median</v>
      </c>
      <c r="AE881" s="10" t="str">
        <f t="shared" si="279"/>
        <v>2_in sample second tertile</v>
      </c>
      <c r="AF881" t="s">
        <v>67</v>
      </c>
      <c r="AG881" t="s">
        <v>74</v>
      </c>
      <c r="AH881" t="s">
        <v>78</v>
      </c>
      <c r="AI881" t="s">
        <v>122</v>
      </c>
      <c r="AJ881" t="s">
        <v>122</v>
      </c>
      <c r="AK881" t="str">
        <f>VLOOKUP(MID($AR881,1,255),country_lookup!$B:$F,2,FALSE)</f>
        <v>1_US</v>
      </c>
      <c r="AL881" t="str">
        <f>VLOOKUP(MID($AR881,1,255),country_lookup!$B:$F,3,FALSE)</f>
        <v>1_developed</v>
      </c>
      <c r="AM881" t="str">
        <f>VLOOKUP(MID($AR881,1,255),country_lookup!$B:$F,4,FALSE)</f>
        <v>1_western</v>
      </c>
      <c r="AN881" t="str">
        <f>VLOOKUP(MID($AR881,1,255),country_lookup!$B:$F,5,FALSE)</f>
        <v>1_common law</v>
      </c>
      <c r="AO881" s="10" t="str">
        <f>VLOOKUP(MID($AS881,1,255),source_lookup!$B:$K,4,FALSE)</f>
        <v>0_published</v>
      </c>
      <c r="AP881" s="10" t="str">
        <f>VLOOKUP(MID($AS881,1,255),source_lookup!$B:$K,6,FALSE)</f>
        <v>0_VHB low</v>
      </c>
      <c r="AQ881" s="10" t="str">
        <f>VLOOKUP(MID($AS881,1,255),source_lookup!$B:$K,10,FALSE)</f>
        <v>3_mgmt</v>
      </c>
      <c r="AR881" t="s">
        <v>85</v>
      </c>
      <c r="AS881" t="s">
        <v>164</v>
      </c>
    </row>
    <row r="882" spans="1:45" x14ac:dyDescent="0.3">
      <c r="A882" t="s">
        <v>41</v>
      </c>
      <c r="B882">
        <v>881</v>
      </c>
      <c r="C882" s="1">
        <v>-0.10770177598657432</v>
      </c>
      <c r="D882" s="2">
        <v>50</v>
      </c>
      <c r="E882" s="4">
        <v>347</v>
      </c>
      <c r="F882" s="4" t="s">
        <v>346</v>
      </c>
      <c r="G882" s="4" t="s">
        <v>347</v>
      </c>
      <c r="H882" t="s">
        <v>77</v>
      </c>
      <c r="I882" t="s">
        <v>350</v>
      </c>
      <c r="J882" s="3">
        <v>2010</v>
      </c>
      <c r="K882" s="3">
        <v>2016</v>
      </c>
      <c r="L882" s="6">
        <f t="shared" si="271"/>
        <v>2013</v>
      </c>
      <c r="M882" s="6">
        <f t="shared" si="272"/>
        <v>2013</v>
      </c>
      <c r="N882" s="7">
        <f t="shared" si="260"/>
        <v>0.14285714285714285</v>
      </c>
      <c r="O882" s="7">
        <f t="shared" si="261"/>
        <v>0</v>
      </c>
      <c r="P882" s="7">
        <f t="shared" si="262"/>
        <v>0</v>
      </c>
      <c r="Q882" s="7">
        <f t="shared" si="273"/>
        <v>0</v>
      </c>
      <c r="R882" s="10" t="str">
        <f t="shared" si="263"/>
        <v>0_Pre</v>
      </c>
      <c r="S882" s="10" t="str">
        <f t="shared" si="264"/>
        <v>0_Pre</v>
      </c>
      <c r="T882" s="10" t="str">
        <f t="shared" si="265"/>
        <v>0_Pre</v>
      </c>
      <c r="U882" s="10" t="str">
        <f t="shared" si="266"/>
        <v>1_Post</v>
      </c>
      <c r="V882" s="10" t="str">
        <f t="shared" si="274"/>
        <v>0_Pre</v>
      </c>
      <c r="W882" s="10" t="str">
        <f t="shared" si="267"/>
        <v>straddle</v>
      </c>
      <c r="X882" s="10" t="str">
        <f t="shared" si="268"/>
        <v>0_Pre</v>
      </c>
      <c r="Y882" s="10" t="str">
        <f t="shared" si="269"/>
        <v>0_Pre</v>
      </c>
      <c r="Z882" s="10" t="str">
        <f t="shared" si="270"/>
        <v>0_Pre</v>
      </c>
      <c r="AA882" s="10" t="str">
        <f t="shared" si="275"/>
        <v>0_Pre</v>
      </c>
      <c r="AB882" s="10" t="str">
        <f t="shared" si="276"/>
        <v>0_Pre</v>
      </c>
      <c r="AC882" s="10" t="str">
        <f t="shared" si="277"/>
        <v>0_Pre</v>
      </c>
      <c r="AD882" s="10" t="str">
        <f t="shared" si="278"/>
        <v>2_post sample median</v>
      </c>
      <c r="AE882" s="10" t="str">
        <f t="shared" si="279"/>
        <v>2_in sample second tertile</v>
      </c>
      <c r="AF882" t="s">
        <v>67</v>
      </c>
      <c r="AG882" t="s">
        <v>74</v>
      </c>
      <c r="AH882" t="s">
        <v>78</v>
      </c>
      <c r="AI882" t="s">
        <v>122</v>
      </c>
      <c r="AJ882" t="s">
        <v>122</v>
      </c>
      <c r="AK882" t="str">
        <f>VLOOKUP(MID($AR882,1,255),country_lookup!$B:$F,2,FALSE)</f>
        <v>1_US</v>
      </c>
      <c r="AL882" t="str">
        <f>VLOOKUP(MID($AR882,1,255),country_lookup!$B:$F,3,FALSE)</f>
        <v>1_developed</v>
      </c>
      <c r="AM882" t="str">
        <f>VLOOKUP(MID($AR882,1,255),country_lookup!$B:$F,4,FALSE)</f>
        <v>1_western</v>
      </c>
      <c r="AN882" t="str">
        <f>VLOOKUP(MID($AR882,1,255),country_lookup!$B:$F,5,FALSE)</f>
        <v>1_common law</v>
      </c>
      <c r="AO882" s="10" t="str">
        <f>VLOOKUP(MID($AS882,1,255),source_lookup!$B:$K,4,FALSE)</f>
        <v>0_published</v>
      </c>
      <c r="AP882" s="10" t="str">
        <f>VLOOKUP(MID($AS882,1,255),source_lookup!$B:$K,6,FALSE)</f>
        <v>0_VHB low</v>
      </c>
      <c r="AQ882" s="10" t="str">
        <f>VLOOKUP(MID($AS882,1,255),source_lookup!$B:$K,10,FALSE)</f>
        <v>3_mgmt</v>
      </c>
      <c r="AR882" t="s">
        <v>85</v>
      </c>
      <c r="AS882" t="s">
        <v>164</v>
      </c>
    </row>
    <row r="883" spans="1:45" x14ac:dyDescent="0.3">
      <c r="A883" t="s">
        <v>41</v>
      </c>
      <c r="B883">
        <v>882</v>
      </c>
      <c r="C883" s="1">
        <v>7.1589760292842128E-2</v>
      </c>
      <c r="D883" s="2">
        <v>50</v>
      </c>
      <c r="E883" s="4">
        <v>347</v>
      </c>
      <c r="F883" s="4" t="s">
        <v>346</v>
      </c>
      <c r="G883" s="4" t="s">
        <v>347</v>
      </c>
      <c r="H883" t="s">
        <v>77</v>
      </c>
      <c r="I883" t="s">
        <v>350</v>
      </c>
      <c r="J883" s="3">
        <v>2010</v>
      </c>
      <c r="K883" s="3">
        <v>2016</v>
      </c>
      <c r="L883" s="6">
        <f t="shared" si="271"/>
        <v>2013</v>
      </c>
      <c r="M883" s="6">
        <f t="shared" si="272"/>
        <v>2013</v>
      </c>
      <c r="N883" s="7">
        <f t="shared" si="260"/>
        <v>0.14285714285714285</v>
      </c>
      <c r="O883" s="7">
        <f t="shared" si="261"/>
        <v>0</v>
      </c>
      <c r="P883" s="7">
        <f t="shared" si="262"/>
        <v>0</v>
      </c>
      <c r="Q883" s="7">
        <f t="shared" si="273"/>
        <v>0</v>
      </c>
      <c r="R883" s="10" t="str">
        <f t="shared" si="263"/>
        <v>0_Pre</v>
      </c>
      <c r="S883" s="10" t="str">
        <f t="shared" si="264"/>
        <v>0_Pre</v>
      </c>
      <c r="T883" s="10" t="str">
        <f t="shared" si="265"/>
        <v>0_Pre</v>
      </c>
      <c r="U883" s="10" t="str">
        <f t="shared" si="266"/>
        <v>1_Post</v>
      </c>
      <c r="V883" s="10" t="str">
        <f t="shared" si="274"/>
        <v>0_Pre</v>
      </c>
      <c r="W883" s="10" t="str">
        <f t="shared" si="267"/>
        <v>straddle</v>
      </c>
      <c r="X883" s="10" t="str">
        <f t="shared" si="268"/>
        <v>0_Pre</v>
      </c>
      <c r="Y883" s="10" t="str">
        <f t="shared" si="269"/>
        <v>0_Pre</v>
      </c>
      <c r="Z883" s="10" t="str">
        <f t="shared" si="270"/>
        <v>0_Pre</v>
      </c>
      <c r="AA883" s="10" t="str">
        <f t="shared" si="275"/>
        <v>0_Pre</v>
      </c>
      <c r="AB883" s="10" t="str">
        <f t="shared" si="276"/>
        <v>0_Pre</v>
      </c>
      <c r="AC883" s="10" t="str">
        <f t="shared" si="277"/>
        <v>0_Pre</v>
      </c>
      <c r="AD883" s="10" t="str">
        <f t="shared" si="278"/>
        <v>2_post sample median</v>
      </c>
      <c r="AE883" s="10" t="str">
        <f t="shared" si="279"/>
        <v>2_in sample second tertile</v>
      </c>
      <c r="AF883" t="s">
        <v>67</v>
      </c>
      <c r="AG883" t="s">
        <v>74</v>
      </c>
      <c r="AH883" t="s">
        <v>78</v>
      </c>
      <c r="AI883" t="s">
        <v>122</v>
      </c>
      <c r="AJ883" t="s">
        <v>122</v>
      </c>
      <c r="AK883" t="str">
        <f>VLOOKUP(MID($AR883,1,255),country_lookup!$B:$F,2,FALSE)</f>
        <v>1_US</v>
      </c>
      <c r="AL883" t="str">
        <f>VLOOKUP(MID($AR883,1,255),country_lookup!$B:$F,3,FALSE)</f>
        <v>1_developed</v>
      </c>
      <c r="AM883" t="str">
        <f>VLOOKUP(MID($AR883,1,255),country_lookup!$B:$F,4,FALSE)</f>
        <v>1_western</v>
      </c>
      <c r="AN883" t="str">
        <f>VLOOKUP(MID($AR883,1,255),country_lookup!$B:$F,5,FALSE)</f>
        <v>1_common law</v>
      </c>
      <c r="AO883" s="10" t="str">
        <f>VLOOKUP(MID($AS883,1,255),source_lookup!$B:$K,4,FALSE)</f>
        <v>0_published</v>
      </c>
      <c r="AP883" s="10" t="str">
        <f>VLOOKUP(MID($AS883,1,255),source_lookup!$B:$K,6,FALSE)</f>
        <v>0_VHB low</v>
      </c>
      <c r="AQ883" s="10" t="str">
        <f>VLOOKUP(MID($AS883,1,255),source_lookup!$B:$K,10,FALSE)</f>
        <v>3_mgmt</v>
      </c>
      <c r="AR883" t="s">
        <v>85</v>
      </c>
      <c r="AS883" t="s">
        <v>164</v>
      </c>
    </row>
    <row r="884" spans="1:45" x14ac:dyDescent="0.3">
      <c r="A884" t="s">
        <v>41</v>
      </c>
      <c r="B884">
        <v>883</v>
      </c>
      <c r="C884" s="1">
        <v>6.4266287740475131E-2</v>
      </c>
      <c r="D884" s="2">
        <v>39</v>
      </c>
      <c r="E884" s="4">
        <v>274</v>
      </c>
      <c r="F884" s="4" t="s">
        <v>346</v>
      </c>
      <c r="G884" s="4" t="s">
        <v>347</v>
      </c>
      <c r="H884" t="s">
        <v>77</v>
      </c>
      <c r="I884" t="s">
        <v>350</v>
      </c>
      <c r="J884" s="3">
        <v>2010</v>
      </c>
      <c r="K884" s="3">
        <v>2016</v>
      </c>
      <c r="L884" s="6">
        <f t="shared" si="271"/>
        <v>2013</v>
      </c>
      <c r="M884" s="6">
        <f t="shared" si="272"/>
        <v>2013</v>
      </c>
      <c r="N884" s="7">
        <f t="shared" si="260"/>
        <v>0.14285714285714285</v>
      </c>
      <c r="O884" s="7">
        <f t="shared" si="261"/>
        <v>0</v>
      </c>
      <c r="P884" s="7">
        <f t="shared" si="262"/>
        <v>0</v>
      </c>
      <c r="Q884" s="7">
        <f t="shared" si="273"/>
        <v>0</v>
      </c>
      <c r="R884" s="10" t="str">
        <f t="shared" si="263"/>
        <v>0_Pre</v>
      </c>
      <c r="S884" s="10" t="str">
        <f t="shared" si="264"/>
        <v>0_Pre</v>
      </c>
      <c r="T884" s="10" t="str">
        <f t="shared" si="265"/>
        <v>0_Pre</v>
      </c>
      <c r="U884" s="10" t="str">
        <f t="shared" si="266"/>
        <v>1_Post</v>
      </c>
      <c r="V884" s="10" t="str">
        <f t="shared" si="274"/>
        <v>0_Pre</v>
      </c>
      <c r="W884" s="10" t="str">
        <f t="shared" si="267"/>
        <v>straddle</v>
      </c>
      <c r="X884" s="10" t="str">
        <f t="shared" si="268"/>
        <v>0_Pre</v>
      </c>
      <c r="Y884" s="10" t="str">
        <f t="shared" si="269"/>
        <v>0_Pre</v>
      </c>
      <c r="Z884" s="10" t="str">
        <f t="shared" si="270"/>
        <v>0_Pre</v>
      </c>
      <c r="AA884" s="10" t="str">
        <f t="shared" si="275"/>
        <v>0_Pre</v>
      </c>
      <c r="AB884" s="10" t="str">
        <f t="shared" si="276"/>
        <v>0_Pre</v>
      </c>
      <c r="AC884" s="10" t="str">
        <f t="shared" si="277"/>
        <v>0_Pre</v>
      </c>
      <c r="AD884" s="10" t="str">
        <f t="shared" si="278"/>
        <v>2_post sample median</v>
      </c>
      <c r="AE884" s="10" t="str">
        <f t="shared" si="279"/>
        <v>2_in sample second tertile</v>
      </c>
      <c r="AF884" t="s">
        <v>67</v>
      </c>
      <c r="AG884" t="s">
        <v>74</v>
      </c>
      <c r="AH884" t="s">
        <v>78</v>
      </c>
      <c r="AI884" t="s">
        <v>122</v>
      </c>
      <c r="AJ884" t="s">
        <v>122</v>
      </c>
      <c r="AK884" t="str">
        <f>VLOOKUP(MID($AR884,1,255),country_lookup!$B:$F,2,FALSE)</f>
        <v>1_US</v>
      </c>
      <c r="AL884" t="str">
        <f>VLOOKUP(MID($AR884,1,255),country_lookup!$B:$F,3,FALSE)</f>
        <v>1_developed</v>
      </c>
      <c r="AM884" t="str">
        <f>VLOOKUP(MID($AR884,1,255),country_lookup!$B:$F,4,FALSE)</f>
        <v>1_western</v>
      </c>
      <c r="AN884" t="str">
        <f>VLOOKUP(MID($AR884,1,255),country_lookup!$B:$F,5,FALSE)</f>
        <v>1_common law</v>
      </c>
      <c r="AO884" s="10" t="str">
        <f>VLOOKUP(MID($AS884,1,255),source_lookup!$B:$K,4,FALSE)</f>
        <v>0_published</v>
      </c>
      <c r="AP884" s="10" t="str">
        <f>VLOOKUP(MID($AS884,1,255),source_lookup!$B:$K,6,FALSE)</f>
        <v>0_VHB low</v>
      </c>
      <c r="AQ884" s="10" t="str">
        <f>VLOOKUP(MID($AS884,1,255),source_lookup!$B:$K,10,FALSE)</f>
        <v>3_mgmt</v>
      </c>
      <c r="AR884" t="s">
        <v>85</v>
      </c>
      <c r="AS884" t="s">
        <v>164</v>
      </c>
    </row>
    <row r="885" spans="1:45" x14ac:dyDescent="0.3">
      <c r="A885" t="s">
        <v>41</v>
      </c>
      <c r="B885">
        <v>884</v>
      </c>
      <c r="C885" s="1">
        <v>5.8619690671970474E-2</v>
      </c>
      <c r="D885" s="2">
        <v>39</v>
      </c>
      <c r="E885" s="4">
        <v>274</v>
      </c>
      <c r="F885" s="4" t="s">
        <v>346</v>
      </c>
      <c r="G885" s="4" t="s">
        <v>347</v>
      </c>
      <c r="H885" t="s">
        <v>77</v>
      </c>
      <c r="I885" t="s">
        <v>350</v>
      </c>
      <c r="J885" s="3">
        <v>2010</v>
      </c>
      <c r="K885" s="3">
        <v>2016</v>
      </c>
      <c r="L885" s="6">
        <f t="shared" si="271"/>
        <v>2013</v>
      </c>
      <c r="M885" s="6">
        <f t="shared" si="272"/>
        <v>2013</v>
      </c>
      <c r="N885" s="7">
        <f t="shared" si="260"/>
        <v>0.14285714285714285</v>
      </c>
      <c r="O885" s="7">
        <f t="shared" si="261"/>
        <v>0</v>
      </c>
      <c r="P885" s="7">
        <f t="shared" si="262"/>
        <v>0</v>
      </c>
      <c r="Q885" s="7">
        <f t="shared" si="273"/>
        <v>0</v>
      </c>
      <c r="R885" s="10" t="str">
        <f t="shared" si="263"/>
        <v>0_Pre</v>
      </c>
      <c r="S885" s="10" t="str">
        <f t="shared" si="264"/>
        <v>0_Pre</v>
      </c>
      <c r="T885" s="10" t="str">
        <f t="shared" si="265"/>
        <v>0_Pre</v>
      </c>
      <c r="U885" s="10" t="str">
        <f t="shared" si="266"/>
        <v>1_Post</v>
      </c>
      <c r="V885" s="10" t="str">
        <f t="shared" si="274"/>
        <v>0_Pre</v>
      </c>
      <c r="W885" s="10" t="str">
        <f t="shared" si="267"/>
        <v>straddle</v>
      </c>
      <c r="X885" s="10" t="str">
        <f t="shared" si="268"/>
        <v>0_Pre</v>
      </c>
      <c r="Y885" s="10" t="str">
        <f t="shared" si="269"/>
        <v>0_Pre</v>
      </c>
      <c r="Z885" s="10" t="str">
        <f t="shared" si="270"/>
        <v>0_Pre</v>
      </c>
      <c r="AA885" s="10" t="str">
        <f t="shared" si="275"/>
        <v>0_Pre</v>
      </c>
      <c r="AB885" s="10" t="str">
        <f t="shared" si="276"/>
        <v>0_Pre</v>
      </c>
      <c r="AC885" s="10" t="str">
        <f t="shared" si="277"/>
        <v>0_Pre</v>
      </c>
      <c r="AD885" s="10" t="str">
        <f t="shared" si="278"/>
        <v>2_post sample median</v>
      </c>
      <c r="AE885" s="10" t="str">
        <f t="shared" si="279"/>
        <v>2_in sample second tertile</v>
      </c>
      <c r="AF885" t="s">
        <v>67</v>
      </c>
      <c r="AG885" t="s">
        <v>74</v>
      </c>
      <c r="AH885" t="s">
        <v>78</v>
      </c>
      <c r="AI885" t="s">
        <v>122</v>
      </c>
      <c r="AJ885" t="s">
        <v>122</v>
      </c>
      <c r="AK885" t="str">
        <f>VLOOKUP(MID($AR885,1,255),country_lookup!$B:$F,2,FALSE)</f>
        <v>1_US</v>
      </c>
      <c r="AL885" t="str">
        <f>VLOOKUP(MID($AR885,1,255),country_lookup!$B:$F,3,FALSE)</f>
        <v>1_developed</v>
      </c>
      <c r="AM885" t="str">
        <f>VLOOKUP(MID($AR885,1,255),country_lookup!$B:$F,4,FALSE)</f>
        <v>1_western</v>
      </c>
      <c r="AN885" t="str">
        <f>VLOOKUP(MID($AR885,1,255),country_lookup!$B:$F,5,FALSE)</f>
        <v>1_common law</v>
      </c>
      <c r="AO885" s="10" t="str">
        <f>VLOOKUP(MID($AS885,1,255),source_lookup!$B:$K,4,FALSE)</f>
        <v>0_published</v>
      </c>
      <c r="AP885" s="10" t="str">
        <f>VLOOKUP(MID($AS885,1,255),source_lookup!$B:$K,6,FALSE)</f>
        <v>0_VHB low</v>
      </c>
      <c r="AQ885" s="10" t="str">
        <f>VLOOKUP(MID($AS885,1,255),source_lookup!$B:$K,10,FALSE)</f>
        <v>3_mgmt</v>
      </c>
      <c r="AR885" t="s">
        <v>85</v>
      </c>
      <c r="AS885" t="s">
        <v>164</v>
      </c>
    </row>
    <row r="886" spans="1:45" x14ac:dyDescent="0.3">
      <c r="A886" t="s">
        <v>41</v>
      </c>
      <c r="B886">
        <v>885</v>
      </c>
      <c r="C886" s="1">
        <v>0.17902199823272788</v>
      </c>
      <c r="D886" s="2">
        <v>39</v>
      </c>
      <c r="E886" s="4">
        <v>274</v>
      </c>
      <c r="F886" s="4" t="s">
        <v>346</v>
      </c>
      <c r="G886" s="4" t="s">
        <v>347</v>
      </c>
      <c r="H886" t="s">
        <v>77</v>
      </c>
      <c r="I886" t="s">
        <v>350</v>
      </c>
      <c r="J886" s="3">
        <v>2010</v>
      </c>
      <c r="K886" s="3">
        <v>2016</v>
      </c>
      <c r="L886" s="6">
        <f t="shared" si="271"/>
        <v>2013</v>
      </c>
      <c r="M886" s="6">
        <f t="shared" si="272"/>
        <v>2013</v>
      </c>
      <c r="N886" s="7">
        <f t="shared" si="260"/>
        <v>0.14285714285714285</v>
      </c>
      <c r="O886" s="7">
        <f t="shared" si="261"/>
        <v>0</v>
      </c>
      <c r="P886" s="7">
        <f t="shared" si="262"/>
        <v>0</v>
      </c>
      <c r="Q886" s="7">
        <f t="shared" si="273"/>
        <v>0</v>
      </c>
      <c r="R886" s="10" t="str">
        <f t="shared" si="263"/>
        <v>0_Pre</v>
      </c>
      <c r="S886" s="10" t="str">
        <f t="shared" si="264"/>
        <v>0_Pre</v>
      </c>
      <c r="T886" s="10" t="str">
        <f t="shared" si="265"/>
        <v>0_Pre</v>
      </c>
      <c r="U886" s="10" t="str">
        <f t="shared" si="266"/>
        <v>1_Post</v>
      </c>
      <c r="V886" s="10" t="str">
        <f t="shared" si="274"/>
        <v>0_Pre</v>
      </c>
      <c r="W886" s="10" t="str">
        <f t="shared" si="267"/>
        <v>straddle</v>
      </c>
      <c r="X886" s="10" t="str">
        <f t="shared" si="268"/>
        <v>0_Pre</v>
      </c>
      <c r="Y886" s="10" t="str">
        <f t="shared" si="269"/>
        <v>0_Pre</v>
      </c>
      <c r="Z886" s="10" t="str">
        <f t="shared" si="270"/>
        <v>0_Pre</v>
      </c>
      <c r="AA886" s="10" t="str">
        <f t="shared" si="275"/>
        <v>0_Pre</v>
      </c>
      <c r="AB886" s="10" t="str">
        <f t="shared" si="276"/>
        <v>0_Pre</v>
      </c>
      <c r="AC886" s="10" t="str">
        <f t="shared" si="277"/>
        <v>0_Pre</v>
      </c>
      <c r="AD886" s="10" t="str">
        <f t="shared" si="278"/>
        <v>2_post sample median</v>
      </c>
      <c r="AE886" s="10" t="str">
        <f t="shared" si="279"/>
        <v>2_in sample second tertile</v>
      </c>
      <c r="AF886" t="s">
        <v>67</v>
      </c>
      <c r="AG886" t="s">
        <v>74</v>
      </c>
      <c r="AH886" t="s">
        <v>78</v>
      </c>
      <c r="AI886" t="s">
        <v>122</v>
      </c>
      <c r="AJ886" t="s">
        <v>122</v>
      </c>
      <c r="AK886" t="str">
        <f>VLOOKUP(MID($AR886,1,255),country_lookup!$B:$F,2,FALSE)</f>
        <v>1_US</v>
      </c>
      <c r="AL886" t="str">
        <f>VLOOKUP(MID($AR886,1,255),country_lookup!$B:$F,3,FALSE)</f>
        <v>1_developed</v>
      </c>
      <c r="AM886" t="str">
        <f>VLOOKUP(MID($AR886,1,255),country_lookup!$B:$F,4,FALSE)</f>
        <v>1_western</v>
      </c>
      <c r="AN886" t="str">
        <f>VLOOKUP(MID($AR886,1,255),country_lookup!$B:$F,5,FALSE)</f>
        <v>1_common law</v>
      </c>
      <c r="AO886" s="10" t="str">
        <f>VLOOKUP(MID($AS886,1,255),source_lookup!$B:$K,4,FALSE)</f>
        <v>0_published</v>
      </c>
      <c r="AP886" s="10" t="str">
        <f>VLOOKUP(MID($AS886,1,255),source_lookup!$B:$K,6,FALSE)</f>
        <v>0_VHB low</v>
      </c>
      <c r="AQ886" s="10" t="str">
        <f>VLOOKUP(MID($AS886,1,255),source_lookup!$B:$K,10,FALSE)</f>
        <v>3_mgmt</v>
      </c>
      <c r="AR886" t="s">
        <v>85</v>
      </c>
      <c r="AS886" t="s">
        <v>164</v>
      </c>
    </row>
    <row r="887" spans="1:45" x14ac:dyDescent="0.3">
      <c r="A887" t="s">
        <v>41</v>
      </c>
      <c r="B887">
        <v>886</v>
      </c>
      <c r="C887" s="1">
        <v>-6.8685389630191884E-2</v>
      </c>
      <c r="D887" s="2">
        <v>67</v>
      </c>
      <c r="E887" s="4">
        <v>469</v>
      </c>
      <c r="F887" s="4" t="s">
        <v>346</v>
      </c>
      <c r="G887" s="4" t="s">
        <v>347</v>
      </c>
      <c r="H887" t="s">
        <v>77</v>
      </c>
      <c r="I887" t="s">
        <v>350</v>
      </c>
      <c r="J887" s="3">
        <v>2010</v>
      </c>
      <c r="K887" s="3">
        <v>2016</v>
      </c>
      <c r="L887" s="6">
        <f t="shared" si="271"/>
        <v>2013</v>
      </c>
      <c r="M887" s="6">
        <f t="shared" si="272"/>
        <v>2013</v>
      </c>
      <c r="N887" s="7">
        <f t="shared" si="260"/>
        <v>0.14285714285714285</v>
      </c>
      <c r="O887" s="7">
        <f t="shared" si="261"/>
        <v>0</v>
      </c>
      <c r="P887" s="7">
        <f t="shared" si="262"/>
        <v>0</v>
      </c>
      <c r="Q887" s="7">
        <f t="shared" si="273"/>
        <v>0</v>
      </c>
      <c r="R887" s="10" t="str">
        <f t="shared" si="263"/>
        <v>0_Pre</v>
      </c>
      <c r="S887" s="10" t="str">
        <f t="shared" si="264"/>
        <v>0_Pre</v>
      </c>
      <c r="T887" s="10" t="str">
        <f t="shared" si="265"/>
        <v>0_Pre</v>
      </c>
      <c r="U887" s="10" t="str">
        <f t="shared" si="266"/>
        <v>1_Post</v>
      </c>
      <c r="V887" s="10" t="str">
        <f t="shared" si="274"/>
        <v>0_Pre</v>
      </c>
      <c r="W887" s="10" t="str">
        <f t="shared" si="267"/>
        <v>straddle</v>
      </c>
      <c r="X887" s="10" t="str">
        <f t="shared" si="268"/>
        <v>0_Pre</v>
      </c>
      <c r="Y887" s="10" t="str">
        <f t="shared" si="269"/>
        <v>0_Pre</v>
      </c>
      <c r="Z887" s="10" t="str">
        <f t="shared" si="270"/>
        <v>0_Pre</v>
      </c>
      <c r="AA887" s="10" t="str">
        <f t="shared" si="275"/>
        <v>0_Pre</v>
      </c>
      <c r="AB887" s="10" t="str">
        <f t="shared" si="276"/>
        <v>0_Pre</v>
      </c>
      <c r="AC887" s="10" t="str">
        <f t="shared" si="277"/>
        <v>0_Pre</v>
      </c>
      <c r="AD887" s="10" t="str">
        <f t="shared" si="278"/>
        <v>2_post sample median</v>
      </c>
      <c r="AE887" s="10" t="str">
        <f t="shared" si="279"/>
        <v>2_in sample second tertile</v>
      </c>
      <c r="AF887" t="s">
        <v>67</v>
      </c>
      <c r="AG887" t="s">
        <v>74</v>
      </c>
      <c r="AH887" t="s">
        <v>78</v>
      </c>
      <c r="AI887" t="s">
        <v>122</v>
      </c>
      <c r="AJ887" t="s">
        <v>122</v>
      </c>
      <c r="AK887" t="str">
        <f>VLOOKUP(MID($AR887,1,255),country_lookup!$B:$F,2,FALSE)</f>
        <v>1_US</v>
      </c>
      <c r="AL887" t="str">
        <f>VLOOKUP(MID($AR887,1,255),country_lookup!$B:$F,3,FALSE)</f>
        <v>1_developed</v>
      </c>
      <c r="AM887" t="str">
        <f>VLOOKUP(MID($AR887,1,255),country_lookup!$B:$F,4,FALSE)</f>
        <v>1_western</v>
      </c>
      <c r="AN887" t="str">
        <f>VLOOKUP(MID($AR887,1,255),country_lookup!$B:$F,5,FALSE)</f>
        <v>1_common law</v>
      </c>
      <c r="AO887" s="10" t="str">
        <f>VLOOKUP(MID($AS887,1,255),source_lookup!$B:$K,4,FALSE)</f>
        <v>0_published</v>
      </c>
      <c r="AP887" s="10" t="str">
        <f>VLOOKUP(MID($AS887,1,255),source_lookup!$B:$K,6,FALSE)</f>
        <v>0_VHB low</v>
      </c>
      <c r="AQ887" s="10" t="str">
        <f>VLOOKUP(MID($AS887,1,255),source_lookup!$B:$K,10,FALSE)</f>
        <v>3_mgmt</v>
      </c>
      <c r="AR887" t="s">
        <v>85</v>
      </c>
      <c r="AS887" t="s">
        <v>164</v>
      </c>
    </row>
    <row r="888" spans="1:45" x14ac:dyDescent="0.3">
      <c r="A888" t="s">
        <v>41</v>
      </c>
      <c r="B888">
        <v>887</v>
      </c>
      <c r="C888" s="1">
        <v>-6.350170512594501E-2</v>
      </c>
      <c r="D888" s="2">
        <v>67</v>
      </c>
      <c r="E888" s="4">
        <v>469</v>
      </c>
      <c r="F888" s="4" t="s">
        <v>346</v>
      </c>
      <c r="G888" s="4" t="s">
        <v>347</v>
      </c>
      <c r="H888" t="s">
        <v>77</v>
      </c>
      <c r="I888" t="s">
        <v>350</v>
      </c>
      <c r="J888" s="3">
        <v>2010</v>
      </c>
      <c r="K888" s="3">
        <v>2016</v>
      </c>
      <c r="L888" s="6">
        <f t="shared" si="271"/>
        <v>2013</v>
      </c>
      <c r="M888" s="6">
        <f t="shared" si="272"/>
        <v>2013</v>
      </c>
      <c r="N888" s="7">
        <f t="shared" si="260"/>
        <v>0.14285714285714285</v>
      </c>
      <c r="O888" s="7">
        <f t="shared" si="261"/>
        <v>0</v>
      </c>
      <c r="P888" s="7">
        <f t="shared" si="262"/>
        <v>0</v>
      </c>
      <c r="Q888" s="7">
        <f t="shared" si="273"/>
        <v>0</v>
      </c>
      <c r="R888" s="10" t="str">
        <f t="shared" si="263"/>
        <v>0_Pre</v>
      </c>
      <c r="S888" s="10" t="str">
        <f t="shared" si="264"/>
        <v>0_Pre</v>
      </c>
      <c r="T888" s="10" t="str">
        <f t="shared" si="265"/>
        <v>0_Pre</v>
      </c>
      <c r="U888" s="10" t="str">
        <f t="shared" si="266"/>
        <v>1_Post</v>
      </c>
      <c r="V888" s="10" t="str">
        <f t="shared" si="274"/>
        <v>0_Pre</v>
      </c>
      <c r="W888" s="10" t="str">
        <f t="shared" si="267"/>
        <v>straddle</v>
      </c>
      <c r="X888" s="10" t="str">
        <f t="shared" si="268"/>
        <v>0_Pre</v>
      </c>
      <c r="Y888" s="10" t="str">
        <f t="shared" si="269"/>
        <v>0_Pre</v>
      </c>
      <c r="Z888" s="10" t="str">
        <f t="shared" si="270"/>
        <v>0_Pre</v>
      </c>
      <c r="AA888" s="10" t="str">
        <f t="shared" si="275"/>
        <v>0_Pre</v>
      </c>
      <c r="AB888" s="10" t="str">
        <f t="shared" si="276"/>
        <v>0_Pre</v>
      </c>
      <c r="AC888" s="10" t="str">
        <f t="shared" si="277"/>
        <v>0_Pre</v>
      </c>
      <c r="AD888" s="10" t="str">
        <f t="shared" si="278"/>
        <v>2_post sample median</v>
      </c>
      <c r="AE888" s="10" t="str">
        <f t="shared" si="279"/>
        <v>2_in sample second tertile</v>
      </c>
      <c r="AF888" t="s">
        <v>67</v>
      </c>
      <c r="AG888" t="s">
        <v>74</v>
      </c>
      <c r="AH888" t="s">
        <v>78</v>
      </c>
      <c r="AI888" t="s">
        <v>122</v>
      </c>
      <c r="AJ888" t="s">
        <v>122</v>
      </c>
      <c r="AK888" t="str">
        <f>VLOOKUP(MID($AR888,1,255),country_lookup!$B:$F,2,FALSE)</f>
        <v>1_US</v>
      </c>
      <c r="AL888" t="str">
        <f>VLOOKUP(MID($AR888,1,255),country_lookup!$B:$F,3,FALSE)</f>
        <v>1_developed</v>
      </c>
      <c r="AM888" t="str">
        <f>VLOOKUP(MID($AR888,1,255),country_lookup!$B:$F,4,FALSE)</f>
        <v>1_western</v>
      </c>
      <c r="AN888" t="str">
        <f>VLOOKUP(MID($AR888,1,255),country_lookup!$B:$F,5,FALSE)</f>
        <v>1_common law</v>
      </c>
      <c r="AO888" s="10" t="str">
        <f>VLOOKUP(MID($AS888,1,255),source_lookup!$B:$K,4,FALSE)</f>
        <v>0_published</v>
      </c>
      <c r="AP888" s="10" t="str">
        <f>VLOOKUP(MID($AS888,1,255),source_lookup!$B:$K,6,FALSE)</f>
        <v>0_VHB low</v>
      </c>
      <c r="AQ888" s="10" t="str">
        <f>VLOOKUP(MID($AS888,1,255),source_lookup!$B:$K,10,FALSE)</f>
        <v>3_mgmt</v>
      </c>
      <c r="AR888" t="s">
        <v>85</v>
      </c>
      <c r="AS888" t="s">
        <v>164</v>
      </c>
    </row>
    <row r="889" spans="1:45" x14ac:dyDescent="0.3">
      <c r="A889" t="s">
        <v>41</v>
      </c>
      <c r="B889">
        <v>888</v>
      </c>
      <c r="C889" s="1">
        <v>8.452124818688396E-2</v>
      </c>
      <c r="D889" s="2">
        <v>67</v>
      </c>
      <c r="E889" s="4">
        <v>469</v>
      </c>
      <c r="F889" s="4" t="s">
        <v>346</v>
      </c>
      <c r="G889" s="4" t="s">
        <v>347</v>
      </c>
      <c r="H889" t="s">
        <v>77</v>
      </c>
      <c r="I889" t="s">
        <v>350</v>
      </c>
      <c r="J889" s="3">
        <v>2010</v>
      </c>
      <c r="K889" s="3">
        <v>2016</v>
      </c>
      <c r="L889" s="6">
        <f t="shared" si="271"/>
        <v>2013</v>
      </c>
      <c r="M889" s="6">
        <f t="shared" si="272"/>
        <v>2013</v>
      </c>
      <c r="N889" s="7">
        <f t="shared" si="260"/>
        <v>0.14285714285714285</v>
      </c>
      <c r="O889" s="7">
        <f t="shared" si="261"/>
        <v>0</v>
      </c>
      <c r="P889" s="7">
        <f t="shared" si="262"/>
        <v>0</v>
      </c>
      <c r="Q889" s="7">
        <f t="shared" si="273"/>
        <v>0</v>
      </c>
      <c r="R889" s="10" t="str">
        <f t="shared" si="263"/>
        <v>0_Pre</v>
      </c>
      <c r="S889" s="10" t="str">
        <f t="shared" si="264"/>
        <v>0_Pre</v>
      </c>
      <c r="T889" s="10" t="str">
        <f t="shared" si="265"/>
        <v>0_Pre</v>
      </c>
      <c r="U889" s="10" t="str">
        <f t="shared" si="266"/>
        <v>1_Post</v>
      </c>
      <c r="V889" s="10" t="str">
        <f t="shared" si="274"/>
        <v>0_Pre</v>
      </c>
      <c r="W889" s="10" t="str">
        <f t="shared" si="267"/>
        <v>straddle</v>
      </c>
      <c r="X889" s="10" t="str">
        <f t="shared" si="268"/>
        <v>0_Pre</v>
      </c>
      <c r="Y889" s="10" t="str">
        <f t="shared" si="269"/>
        <v>0_Pre</v>
      </c>
      <c r="Z889" s="10" t="str">
        <f t="shared" si="270"/>
        <v>0_Pre</v>
      </c>
      <c r="AA889" s="10" t="str">
        <f t="shared" si="275"/>
        <v>0_Pre</v>
      </c>
      <c r="AB889" s="10" t="str">
        <f t="shared" si="276"/>
        <v>0_Pre</v>
      </c>
      <c r="AC889" s="10" t="str">
        <f t="shared" si="277"/>
        <v>0_Pre</v>
      </c>
      <c r="AD889" s="10" t="str">
        <f t="shared" si="278"/>
        <v>2_post sample median</v>
      </c>
      <c r="AE889" s="10" t="str">
        <f t="shared" si="279"/>
        <v>2_in sample second tertile</v>
      </c>
      <c r="AF889" t="s">
        <v>67</v>
      </c>
      <c r="AG889" t="s">
        <v>74</v>
      </c>
      <c r="AH889" t="s">
        <v>78</v>
      </c>
      <c r="AI889" t="s">
        <v>122</v>
      </c>
      <c r="AJ889" t="s">
        <v>122</v>
      </c>
      <c r="AK889" t="str">
        <f>VLOOKUP(MID($AR889,1,255),country_lookup!$B:$F,2,FALSE)</f>
        <v>1_US</v>
      </c>
      <c r="AL889" t="str">
        <f>VLOOKUP(MID($AR889,1,255),country_lookup!$B:$F,3,FALSE)</f>
        <v>1_developed</v>
      </c>
      <c r="AM889" t="str">
        <f>VLOOKUP(MID($AR889,1,255),country_lookup!$B:$F,4,FALSE)</f>
        <v>1_western</v>
      </c>
      <c r="AN889" t="str">
        <f>VLOOKUP(MID($AR889,1,255),country_lookup!$B:$F,5,FALSE)</f>
        <v>1_common law</v>
      </c>
      <c r="AO889" s="10" t="str">
        <f>VLOOKUP(MID($AS889,1,255),source_lookup!$B:$K,4,FALSE)</f>
        <v>0_published</v>
      </c>
      <c r="AP889" s="10" t="str">
        <f>VLOOKUP(MID($AS889,1,255),source_lookup!$B:$K,6,FALSE)</f>
        <v>0_VHB low</v>
      </c>
      <c r="AQ889" s="10" t="str">
        <f>VLOOKUP(MID($AS889,1,255),source_lookup!$B:$K,10,FALSE)</f>
        <v>3_mgmt</v>
      </c>
      <c r="AR889" t="s">
        <v>85</v>
      </c>
      <c r="AS889" t="s">
        <v>164</v>
      </c>
    </row>
    <row r="890" spans="1:45" x14ac:dyDescent="0.3">
      <c r="A890" t="s">
        <v>41</v>
      </c>
      <c r="B890">
        <v>889</v>
      </c>
      <c r="C890" s="1">
        <v>-0.27136168979978714</v>
      </c>
      <c r="D890" s="2">
        <v>22</v>
      </c>
      <c r="E890" s="4">
        <v>152</v>
      </c>
      <c r="F890" s="4" t="s">
        <v>346</v>
      </c>
      <c r="G890" s="4" t="s">
        <v>347</v>
      </c>
      <c r="H890" t="s">
        <v>77</v>
      </c>
      <c r="I890" t="s">
        <v>350</v>
      </c>
      <c r="J890" s="3">
        <v>2010</v>
      </c>
      <c r="K890" s="3">
        <v>2016</v>
      </c>
      <c r="L890" s="6">
        <f t="shared" si="271"/>
        <v>2013</v>
      </c>
      <c r="M890" s="6">
        <f t="shared" si="272"/>
        <v>2013</v>
      </c>
      <c r="N890" s="7">
        <f t="shared" si="260"/>
        <v>0.14285714285714285</v>
      </c>
      <c r="O890" s="7">
        <f t="shared" si="261"/>
        <v>0</v>
      </c>
      <c r="P890" s="7">
        <f t="shared" si="262"/>
        <v>0</v>
      </c>
      <c r="Q890" s="7">
        <f t="shared" si="273"/>
        <v>0</v>
      </c>
      <c r="R890" s="10" t="str">
        <f t="shared" si="263"/>
        <v>0_Pre</v>
      </c>
      <c r="S890" s="10" t="str">
        <f t="shared" si="264"/>
        <v>0_Pre</v>
      </c>
      <c r="T890" s="10" t="str">
        <f t="shared" si="265"/>
        <v>0_Pre</v>
      </c>
      <c r="U890" s="10" t="str">
        <f t="shared" si="266"/>
        <v>1_Post</v>
      </c>
      <c r="V890" s="10" t="str">
        <f t="shared" si="274"/>
        <v>0_Pre</v>
      </c>
      <c r="W890" s="10" t="str">
        <f t="shared" si="267"/>
        <v>straddle</v>
      </c>
      <c r="X890" s="10" t="str">
        <f t="shared" si="268"/>
        <v>0_Pre</v>
      </c>
      <c r="Y890" s="10" t="str">
        <f t="shared" si="269"/>
        <v>0_Pre</v>
      </c>
      <c r="Z890" s="10" t="str">
        <f t="shared" si="270"/>
        <v>0_Pre</v>
      </c>
      <c r="AA890" s="10" t="str">
        <f t="shared" si="275"/>
        <v>0_Pre</v>
      </c>
      <c r="AB890" s="10" t="str">
        <f t="shared" si="276"/>
        <v>0_Pre</v>
      </c>
      <c r="AC890" s="10" t="str">
        <f t="shared" si="277"/>
        <v>0_Pre</v>
      </c>
      <c r="AD890" s="10" t="str">
        <f t="shared" si="278"/>
        <v>2_post sample median</v>
      </c>
      <c r="AE890" s="10" t="str">
        <f t="shared" si="279"/>
        <v>2_in sample second tertile</v>
      </c>
      <c r="AF890" t="s">
        <v>67</v>
      </c>
      <c r="AG890" t="s">
        <v>74</v>
      </c>
      <c r="AH890" t="s">
        <v>78</v>
      </c>
      <c r="AI890" t="s">
        <v>122</v>
      </c>
      <c r="AJ890" t="s">
        <v>122</v>
      </c>
      <c r="AK890" t="str">
        <f>VLOOKUP(MID($AR890,1,255),country_lookup!$B:$F,2,FALSE)</f>
        <v>1_US</v>
      </c>
      <c r="AL890" t="str">
        <f>VLOOKUP(MID($AR890,1,255),country_lookup!$B:$F,3,FALSE)</f>
        <v>1_developed</v>
      </c>
      <c r="AM890" t="str">
        <f>VLOOKUP(MID($AR890,1,255),country_lookup!$B:$F,4,FALSE)</f>
        <v>1_western</v>
      </c>
      <c r="AN890" t="str">
        <f>VLOOKUP(MID($AR890,1,255),country_lookup!$B:$F,5,FALSE)</f>
        <v>1_common law</v>
      </c>
      <c r="AO890" s="10" t="str">
        <f>VLOOKUP(MID($AS890,1,255),source_lookup!$B:$K,4,FALSE)</f>
        <v>0_published</v>
      </c>
      <c r="AP890" s="10" t="str">
        <f>VLOOKUP(MID($AS890,1,255),source_lookup!$B:$K,6,FALSE)</f>
        <v>0_VHB low</v>
      </c>
      <c r="AQ890" s="10" t="str">
        <f>VLOOKUP(MID($AS890,1,255),source_lookup!$B:$K,10,FALSE)</f>
        <v>3_mgmt</v>
      </c>
      <c r="AR890" t="s">
        <v>85</v>
      </c>
      <c r="AS890" t="s">
        <v>164</v>
      </c>
    </row>
    <row r="891" spans="1:45" x14ac:dyDescent="0.3">
      <c r="A891" t="s">
        <v>41</v>
      </c>
      <c r="B891">
        <v>890</v>
      </c>
      <c r="C891" s="1">
        <v>-0.11744104386521503</v>
      </c>
      <c r="D891" s="2">
        <v>22</v>
      </c>
      <c r="E891" s="4">
        <v>152</v>
      </c>
      <c r="F891" s="4" t="s">
        <v>346</v>
      </c>
      <c r="G891" s="4" t="s">
        <v>347</v>
      </c>
      <c r="H891" t="s">
        <v>77</v>
      </c>
      <c r="I891" t="s">
        <v>350</v>
      </c>
      <c r="J891" s="3">
        <v>2010</v>
      </c>
      <c r="K891" s="3">
        <v>2016</v>
      </c>
      <c r="L891" s="6">
        <f t="shared" si="271"/>
        <v>2013</v>
      </c>
      <c r="M891" s="6">
        <f t="shared" si="272"/>
        <v>2013</v>
      </c>
      <c r="N891" s="7">
        <f t="shared" si="260"/>
        <v>0.14285714285714285</v>
      </c>
      <c r="O891" s="7">
        <f t="shared" si="261"/>
        <v>0</v>
      </c>
      <c r="P891" s="7">
        <f t="shared" si="262"/>
        <v>0</v>
      </c>
      <c r="Q891" s="7">
        <f t="shared" si="273"/>
        <v>0</v>
      </c>
      <c r="R891" s="10" t="str">
        <f t="shared" si="263"/>
        <v>0_Pre</v>
      </c>
      <c r="S891" s="10" t="str">
        <f t="shared" si="264"/>
        <v>0_Pre</v>
      </c>
      <c r="T891" s="10" t="str">
        <f t="shared" si="265"/>
        <v>0_Pre</v>
      </c>
      <c r="U891" s="10" t="str">
        <f t="shared" si="266"/>
        <v>1_Post</v>
      </c>
      <c r="V891" s="10" t="str">
        <f t="shared" si="274"/>
        <v>0_Pre</v>
      </c>
      <c r="W891" s="10" t="str">
        <f t="shared" si="267"/>
        <v>straddle</v>
      </c>
      <c r="X891" s="10" t="str">
        <f t="shared" si="268"/>
        <v>0_Pre</v>
      </c>
      <c r="Y891" s="10" t="str">
        <f t="shared" si="269"/>
        <v>0_Pre</v>
      </c>
      <c r="Z891" s="10" t="str">
        <f t="shared" si="270"/>
        <v>0_Pre</v>
      </c>
      <c r="AA891" s="10" t="str">
        <f t="shared" si="275"/>
        <v>0_Pre</v>
      </c>
      <c r="AB891" s="10" t="str">
        <f t="shared" si="276"/>
        <v>0_Pre</v>
      </c>
      <c r="AC891" s="10" t="str">
        <f t="shared" si="277"/>
        <v>0_Pre</v>
      </c>
      <c r="AD891" s="10" t="str">
        <f t="shared" si="278"/>
        <v>2_post sample median</v>
      </c>
      <c r="AE891" s="10" t="str">
        <f t="shared" si="279"/>
        <v>2_in sample second tertile</v>
      </c>
      <c r="AF891" t="s">
        <v>67</v>
      </c>
      <c r="AG891" t="s">
        <v>74</v>
      </c>
      <c r="AH891" t="s">
        <v>78</v>
      </c>
      <c r="AI891" t="s">
        <v>122</v>
      </c>
      <c r="AJ891" t="s">
        <v>122</v>
      </c>
      <c r="AK891" t="str">
        <f>VLOOKUP(MID($AR891,1,255),country_lookup!$B:$F,2,FALSE)</f>
        <v>1_US</v>
      </c>
      <c r="AL891" t="str">
        <f>VLOOKUP(MID($AR891,1,255),country_lookup!$B:$F,3,FALSE)</f>
        <v>1_developed</v>
      </c>
      <c r="AM891" t="str">
        <f>VLOOKUP(MID($AR891,1,255),country_lookup!$B:$F,4,FALSE)</f>
        <v>1_western</v>
      </c>
      <c r="AN891" t="str">
        <f>VLOOKUP(MID($AR891,1,255),country_lookup!$B:$F,5,FALSE)</f>
        <v>1_common law</v>
      </c>
      <c r="AO891" s="10" t="str">
        <f>VLOOKUP(MID($AS891,1,255),source_lookup!$B:$K,4,FALSE)</f>
        <v>0_published</v>
      </c>
      <c r="AP891" s="10" t="str">
        <f>VLOOKUP(MID($AS891,1,255),source_lookup!$B:$K,6,FALSE)</f>
        <v>0_VHB low</v>
      </c>
      <c r="AQ891" s="10" t="str">
        <f>VLOOKUP(MID($AS891,1,255),source_lookup!$B:$K,10,FALSE)</f>
        <v>3_mgmt</v>
      </c>
      <c r="AR891" t="s">
        <v>85</v>
      </c>
      <c r="AS891" t="s">
        <v>164</v>
      </c>
    </row>
    <row r="892" spans="1:45" x14ac:dyDescent="0.3">
      <c r="A892" t="s">
        <v>41</v>
      </c>
      <c r="B892">
        <v>891</v>
      </c>
      <c r="C892" s="1">
        <v>5.0144367757447433E-2</v>
      </c>
      <c r="D892" s="2">
        <v>22</v>
      </c>
      <c r="E892" s="4">
        <v>152</v>
      </c>
      <c r="F892" s="4" t="s">
        <v>346</v>
      </c>
      <c r="G892" s="4" t="s">
        <v>347</v>
      </c>
      <c r="H892" t="s">
        <v>77</v>
      </c>
      <c r="I892" t="s">
        <v>350</v>
      </c>
      <c r="J892" s="3">
        <v>2010</v>
      </c>
      <c r="K892" s="3">
        <v>2016</v>
      </c>
      <c r="L892" s="6">
        <f t="shared" si="271"/>
        <v>2013</v>
      </c>
      <c r="M892" s="6">
        <f t="shared" si="272"/>
        <v>2013</v>
      </c>
      <c r="N892" s="7">
        <f t="shared" si="260"/>
        <v>0.14285714285714285</v>
      </c>
      <c r="O892" s="7">
        <f t="shared" si="261"/>
        <v>0</v>
      </c>
      <c r="P892" s="7">
        <f t="shared" si="262"/>
        <v>0</v>
      </c>
      <c r="Q892" s="7">
        <f t="shared" si="273"/>
        <v>0</v>
      </c>
      <c r="R892" s="10" t="str">
        <f t="shared" si="263"/>
        <v>0_Pre</v>
      </c>
      <c r="S892" s="10" t="str">
        <f t="shared" si="264"/>
        <v>0_Pre</v>
      </c>
      <c r="T892" s="10" t="str">
        <f t="shared" si="265"/>
        <v>0_Pre</v>
      </c>
      <c r="U892" s="10" t="str">
        <f t="shared" si="266"/>
        <v>1_Post</v>
      </c>
      <c r="V892" s="10" t="str">
        <f t="shared" si="274"/>
        <v>0_Pre</v>
      </c>
      <c r="W892" s="10" t="str">
        <f t="shared" si="267"/>
        <v>straddle</v>
      </c>
      <c r="X892" s="10" t="str">
        <f t="shared" si="268"/>
        <v>0_Pre</v>
      </c>
      <c r="Y892" s="10" t="str">
        <f t="shared" si="269"/>
        <v>0_Pre</v>
      </c>
      <c r="Z892" s="10" t="str">
        <f t="shared" si="270"/>
        <v>0_Pre</v>
      </c>
      <c r="AA892" s="10" t="str">
        <f t="shared" si="275"/>
        <v>0_Pre</v>
      </c>
      <c r="AB892" s="10" t="str">
        <f t="shared" si="276"/>
        <v>0_Pre</v>
      </c>
      <c r="AC892" s="10" t="str">
        <f t="shared" si="277"/>
        <v>0_Pre</v>
      </c>
      <c r="AD892" s="10" t="str">
        <f t="shared" si="278"/>
        <v>2_post sample median</v>
      </c>
      <c r="AE892" s="10" t="str">
        <f t="shared" si="279"/>
        <v>2_in sample second tertile</v>
      </c>
      <c r="AF892" t="s">
        <v>67</v>
      </c>
      <c r="AG892" t="s">
        <v>74</v>
      </c>
      <c r="AH892" t="s">
        <v>78</v>
      </c>
      <c r="AI892" t="s">
        <v>122</v>
      </c>
      <c r="AJ892" t="s">
        <v>122</v>
      </c>
      <c r="AK892" t="str">
        <f>VLOOKUP(MID($AR892,1,255),country_lookup!$B:$F,2,FALSE)</f>
        <v>1_US</v>
      </c>
      <c r="AL892" t="str">
        <f>VLOOKUP(MID($AR892,1,255),country_lookup!$B:$F,3,FALSE)</f>
        <v>1_developed</v>
      </c>
      <c r="AM892" t="str">
        <f>VLOOKUP(MID($AR892,1,255),country_lookup!$B:$F,4,FALSE)</f>
        <v>1_western</v>
      </c>
      <c r="AN892" t="str">
        <f>VLOOKUP(MID($AR892,1,255),country_lookup!$B:$F,5,FALSE)</f>
        <v>1_common law</v>
      </c>
      <c r="AO892" s="10" t="str">
        <f>VLOOKUP(MID($AS892,1,255),source_lookup!$B:$K,4,FALSE)</f>
        <v>0_published</v>
      </c>
      <c r="AP892" s="10" t="str">
        <f>VLOOKUP(MID($AS892,1,255),source_lookup!$B:$K,6,FALSE)</f>
        <v>0_VHB low</v>
      </c>
      <c r="AQ892" s="10" t="str">
        <f>VLOOKUP(MID($AS892,1,255),source_lookup!$B:$K,10,FALSE)</f>
        <v>3_mgmt</v>
      </c>
      <c r="AR892" t="s">
        <v>85</v>
      </c>
      <c r="AS892" t="s">
        <v>164</v>
      </c>
    </row>
    <row r="893" spans="1:45" x14ac:dyDescent="0.3">
      <c r="A893" t="s">
        <v>42</v>
      </c>
      <c r="B893">
        <v>892</v>
      </c>
      <c r="C893" s="1">
        <v>7.0000000000000007E-2</v>
      </c>
      <c r="D893" s="2">
        <v>197</v>
      </c>
      <c r="E893" s="4">
        <v>3153</v>
      </c>
      <c r="F893" s="4" t="s">
        <v>347</v>
      </c>
      <c r="G893" s="4" t="s">
        <v>346</v>
      </c>
      <c r="H893" t="s">
        <v>76</v>
      </c>
      <c r="I893" t="s">
        <v>353</v>
      </c>
      <c r="J893" s="3">
        <v>1991</v>
      </c>
      <c r="K893" s="3">
        <v>2006</v>
      </c>
      <c r="L893" s="6">
        <f t="shared" si="271"/>
        <v>1998.5</v>
      </c>
      <c r="M893" s="6">
        <f t="shared" si="272"/>
        <v>1998.5</v>
      </c>
      <c r="N893" s="7">
        <f t="shared" si="260"/>
        <v>0</v>
      </c>
      <c r="O893" s="7">
        <f t="shared" si="261"/>
        <v>0</v>
      </c>
      <c r="P893" s="7">
        <f t="shared" si="262"/>
        <v>0</v>
      </c>
      <c r="Q893" s="7">
        <f t="shared" si="273"/>
        <v>0</v>
      </c>
      <c r="R893" s="10" t="str">
        <f t="shared" si="263"/>
        <v>0_Pre</v>
      </c>
      <c r="S893" s="10" t="str">
        <f t="shared" si="264"/>
        <v>0_Pre</v>
      </c>
      <c r="T893" s="10" t="str">
        <f t="shared" si="265"/>
        <v>0_Pre</v>
      </c>
      <c r="U893" s="10" t="str">
        <f t="shared" si="266"/>
        <v>0_Pre</v>
      </c>
      <c r="V893" s="10" t="str">
        <f t="shared" si="274"/>
        <v>0_Pre</v>
      </c>
      <c r="W893" s="10" t="str">
        <f t="shared" si="267"/>
        <v>clean_pre</v>
      </c>
      <c r="X893" s="10" t="str">
        <f t="shared" si="268"/>
        <v>0_Pre</v>
      </c>
      <c r="Y893" s="10" t="str">
        <f t="shared" si="269"/>
        <v>0_Pre</v>
      </c>
      <c r="Z893" s="10" t="str">
        <f t="shared" si="270"/>
        <v>0_Pre</v>
      </c>
      <c r="AA893" s="10" t="str">
        <f t="shared" si="275"/>
        <v>0_Pre</v>
      </c>
      <c r="AB893" s="10" t="str">
        <f t="shared" si="276"/>
        <v>0_Pre</v>
      </c>
      <c r="AC893" s="10" t="str">
        <f t="shared" si="277"/>
        <v>0_Pre</v>
      </c>
      <c r="AD893" s="10" t="str">
        <f t="shared" si="278"/>
        <v>1_pre sample median</v>
      </c>
      <c r="AE893" s="10" t="str">
        <f t="shared" si="279"/>
        <v>1_pre sample first tertile</v>
      </c>
      <c r="AF893" t="s">
        <v>80</v>
      </c>
      <c r="AG893" t="s">
        <v>75</v>
      </c>
      <c r="AH893" t="s">
        <v>78</v>
      </c>
      <c r="AI893" t="s">
        <v>123</v>
      </c>
      <c r="AJ893" t="s">
        <v>123</v>
      </c>
      <c r="AK893" t="str">
        <f>VLOOKUP(MID($AR893,1,255),country_lookup!$B:$F,2,FALSE)</f>
        <v>1_US</v>
      </c>
      <c r="AL893" t="str">
        <f>VLOOKUP(MID($AR893,1,255),country_lookup!$B:$F,3,FALSE)</f>
        <v>1_developed</v>
      </c>
      <c r="AM893" t="str">
        <f>VLOOKUP(MID($AR893,1,255),country_lookup!$B:$F,4,FALSE)</f>
        <v>1_western</v>
      </c>
      <c r="AN893" t="str">
        <f>VLOOKUP(MID($AR893,1,255),country_lookup!$B:$F,5,FALSE)</f>
        <v>1_common law</v>
      </c>
      <c r="AO893" s="10" t="str">
        <f>VLOOKUP(MID($AS893,1,255),source_lookup!$B:$K,4,FALSE)</f>
        <v>0_published</v>
      </c>
      <c r="AP893" s="10" t="str">
        <f>VLOOKUP(MID($AS893,1,255),source_lookup!$B:$K,6,FALSE)</f>
        <v>1_VHB high</v>
      </c>
      <c r="AQ893" s="10" t="str">
        <f>VLOOKUP(MID($AS893,1,255),source_lookup!$B:$K,10,FALSE)</f>
        <v>1_fin/acc/econ</v>
      </c>
      <c r="AR893" t="s">
        <v>85</v>
      </c>
      <c r="AS893" t="s">
        <v>165</v>
      </c>
    </row>
    <row r="894" spans="1:45" x14ac:dyDescent="0.3">
      <c r="A894" t="s">
        <v>42</v>
      </c>
      <c r="B894">
        <v>893</v>
      </c>
      <c r="C894" s="1">
        <v>-0.30216112625588992</v>
      </c>
      <c r="D894" s="2">
        <v>16</v>
      </c>
      <c r="E894" s="4">
        <v>260</v>
      </c>
      <c r="F894" s="4" t="s">
        <v>347</v>
      </c>
      <c r="G894" s="4" t="s">
        <v>346</v>
      </c>
      <c r="H894" t="s">
        <v>77</v>
      </c>
      <c r="I894" t="s">
        <v>352</v>
      </c>
      <c r="J894" s="3">
        <v>1991</v>
      </c>
      <c r="K894" s="3">
        <v>2006</v>
      </c>
      <c r="L894" s="6">
        <f t="shared" si="271"/>
        <v>1998.5</v>
      </c>
      <c r="M894" s="6">
        <f t="shared" si="272"/>
        <v>1998.5</v>
      </c>
      <c r="N894" s="7">
        <f t="shared" si="260"/>
        <v>0</v>
      </c>
      <c r="O894" s="7">
        <f t="shared" si="261"/>
        <v>0</v>
      </c>
      <c r="P894" s="7">
        <f t="shared" si="262"/>
        <v>0</v>
      </c>
      <c r="Q894" s="7">
        <f t="shared" si="273"/>
        <v>0</v>
      </c>
      <c r="R894" s="10" t="str">
        <f t="shared" si="263"/>
        <v>0_Pre</v>
      </c>
      <c r="S894" s="10" t="str">
        <f t="shared" si="264"/>
        <v>0_Pre</v>
      </c>
      <c r="T894" s="10" t="str">
        <f t="shared" si="265"/>
        <v>0_Pre</v>
      </c>
      <c r="U894" s="10" t="str">
        <f t="shared" si="266"/>
        <v>0_Pre</v>
      </c>
      <c r="V894" s="10" t="str">
        <f t="shared" si="274"/>
        <v>0_Pre</v>
      </c>
      <c r="W894" s="10" t="str">
        <f t="shared" si="267"/>
        <v>clean_pre</v>
      </c>
      <c r="X894" s="10" t="str">
        <f t="shared" si="268"/>
        <v>0_Pre</v>
      </c>
      <c r="Y894" s="10" t="str">
        <f t="shared" si="269"/>
        <v>0_Pre</v>
      </c>
      <c r="Z894" s="10" t="str">
        <f t="shared" si="270"/>
        <v>0_Pre</v>
      </c>
      <c r="AA894" s="10" t="str">
        <f t="shared" si="275"/>
        <v>0_Pre</v>
      </c>
      <c r="AB894" s="10" t="str">
        <f t="shared" si="276"/>
        <v>0_Pre</v>
      </c>
      <c r="AC894" s="10" t="str">
        <f t="shared" si="277"/>
        <v>0_Pre</v>
      </c>
      <c r="AD894" s="10" t="str">
        <f t="shared" si="278"/>
        <v>1_pre sample median</v>
      </c>
      <c r="AE894" s="10" t="str">
        <f t="shared" si="279"/>
        <v>1_pre sample first tertile</v>
      </c>
      <c r="AF894" t="s">
        <v>80</v>
      </c>
      <c r="AG894" t="s">
        <v>75</v>
      </c>
      <c r="AH894" t="s">
        <v>78</v>
      </c>
      <c r="AI894" t="s">
        <v>123</v>
      </c>
      <c r="AJ894" t="s">
        <v>123</v>
      </c>
      <c r="AK894" t="str">
        <f>VLOOKUP(MID($AR894,1,255),country_lookup!$B:$F,2,FALSE)</f>
        <v>1_US</v>
      </c>
      <c r="AL894" t="str">
        <f>VLOOKUP(MID($AR894,1,255),country_lookup!$B:$F,3,FALSE)</f>
        <v>1_developed</v>
      </c>
      <c r="AM894" t="str">
        <f>VLOOKUP(MID($AR894,1,255),country_lookup!$B:$F,4,FALSE)</f>
        <v>1_western</v>
      </c>
      <c r="AN894" t="str">
        <f>VLOOKUP(MID($AR894,1,255),country_lookup!$B:$F,5,FALSE)</f>
        <v>1_common law</v>
      </c>
      <c r="AO894" s="10" t="str">
        <f>VLOOKUP(MID($AS894,1,255),source_lookup!$B:$K,4,FALSE)</f>
        <v>0_published</v>
      </c>
      <c r="AP894" s="10" t="str">
        <f>VLOOKUP(MID($AS894,1,255),source_lookup!$B:$K,6,FALSE)</f>
        <v>1_VHB high</v>
      </c>
      <c r="AQ894" s="10" t="str">
        <f>VLOOKUP(MID($AS894,1,255),source_lookup!$B:$K,10,FALSE)</f>
        <v>1_fin/acc/econ</v>
      </c>
      <c r="AR894" t="s">
        <v>85</v>
      </c>
      <c r="AS894" t="s">
        <v>165</v>
      </c>
    </row>
    <row r="895" spans="1:45" x14ac:dyDescent="0.3">
      <c r="A895" t="s">
        <v>42</v>
      </c>
      <c r="B895">
        <v>894</v>
      </c>
      <c r="C895" s="1">
        <v>2.6828523509586106E-2</v>
      </c>
      <c r="D895" s="2">
        <v>16</v>
      </c>
      <c r="E895" s="4">
        <v>255</v>
      </c>
      <c r="F895" s="4" t="s">
        <v>347</v>
      </c>
      <c r="G895" s="4" t="s">
        <v>346</v>
      </c>
      <c r="H895" t="s">
        <v>77</v>
      </c>
      <c r="I895" t="s">
        <v>352</v>
      </c>
      <c r="J895" s="3">
        <v>1991</v>
      </c>
      <c r="K895" s="3">
        <v>2006</v>
      </c>
      <c r="L895" s="6">
        <f t="shared" si="271"/>
        <v>1998.5</v>
      </c>
      <c r="M895" s="6">
        <f t="shared" si="272"/>
        <v>1998.5</v>
      </c>
      <c r="N895" s="7">
        <f t="shared" si="260"/>
        <v>0</v>
      </c>
      <c r="O895" s="7">
        <f t="shared" si="261"/>
        <v>0</v>
      </c>
      <c r="P895" s="7">
        <f t="shared" si="262"/>
        <v>0</v>
      </c>
      <c r="Q895" s="7">
        <f t="shared" si="273"/>
        <v>0</v>
      </c>
      <c r="R895" s="10" t="str">
        <f t="shared" si="263"/>
        <v>0_Pre</v>
      </c>
      <c r="S895" s="10" t="str">
        <f t="shared" si="264"/>
        <v>0_Pre</v>
      </c>
      <c r="T895" s="10" t="str">
        <f t="shared" si="265"/>
        <v>0_Pre</v>
      </c>
      <c r="U895" s="10" t="str">
        <f t="shared" si="266"/>
        <v>0_Pre</v>
      </c>
      <c r="V895" s="10" t="str">
        <f t="shared" si="274"/>
        <v>0_Pre</v>
      </c>
      <c r="W895" s="10" t="str">
        <f t="shared" si="267"/>
        <v>clean_pre</v>
      </c>
      <c r="X895" s="10" t="str">
        <f t="shared" si="268"/>
        <v>0_Pre</v>
      </c>
      <c r="Y895" s="10" t="str">
        <f t="shared" si="269"/>
        <v>0_Pre</v>
      </c>
      <c r="Z895" s="10" t="str">
        <f t="shared" si="270"/>
        <v>0_Pre</v>
      </c>
      <c r="AA895" s="10" t="str">
        <f t="shared" si="275"/>
        <v>0_Pre</v>
      </c>
      <c r="AB895" s="10" t="str">
        <f t="shared" si="276"/>
        <v>0_Pre</v>
      </c>
      <c r="AC895" s="10" t="str">
        <f t="shared" si="277"/>
        <v>0_Pre</v>
      </c>
      <c r="AD895" s="10" t="str">
        <f t="shared" si="278"/>
        <v>1_pre sample median</v>
      </c>
      <c r="AE895" s="10" t="str">
        <f t="shared" si="279"/>
        <v>1_pre sample first tertile</v>
      </c>
      <c r="AF895" t="s">
        <v>80</v>
      </c>
      <c r="AG895" t="s">
        <v>75</v>
      </c>
      <c r="AH895" t="s">
        <v>78</v>
      </c>
      <c r="AI895" t="s">
        <v>123</v>
      </c>
      <c r="AJ895" t="s">
        <v>123</v>
      </c>
      <c r="AK895" t="str">
        <f>VLOOKUP(MID($AR895,1,255),country_lookup!$B:$F,2,FALSE)</f>
        <v>1_US</v>
      </c>
      <c r="AL895" t="str">
        <f>VLOOKUP(MID($AR895,1,255),country_lookup!$B:$F,3,FALSE)</f>
        <v>1_developed</v>
      </c>
      <c r="AM895" t="str">
        <f>VLOOKUP(MID($AR895,1,255),country_lookup!$B:$F,4,FALSE)</f>
        <v>1_western</v>
      </c>
      <c r="AN895" t="str">
        <f>VLOOKUP(MID($AR895,1,255),country_lookup!$B:$F,5,FALSE)</f>
        <v>1_common law</v>
      </c>
      <c r="AO895" s="10" t="str">
        <f>VLOOKUP(MID($AS895,1,255),source_lookup!$B:$K,4,FALSE)</f>
        <v>0_published</v>
      </c>
      <c r="AP895" s="10" t="str">
        <f>VLOOKUP(MID($AS895,1,255),source_lookup!$B:$K,6,FALSE)</f>
        <v>1_VHB high</v>
      </c>
      <c r="AQ895" s="10" t="str">
        <f>VLOOKUP(MID($AS895,1,255),source_lookup!$B:$K,10,FALSE)</f>
        <v>1_fin/acc/econ</v>
      </c>
      <c r="AR895" t="s">
        <v>85</v>
      </c>
      <c r="AS895" t="s">
        <v>165</v>
      </c>
    </row>
    <row r="896" spans="1:45" x14ac:dyDescent="0.3">
      <c r="A896" t="s">
        <v>42</v>
      </c>
      <c r="B896">
        <v>895</v>
      </c>
      <c r="C896" s="1">
        <v>-5.4594552197268977E-2</v>
      </c>
      <c r="D896" s="2">
        <v>96</v>
      </c>
      <c r="E896" s="4">
        <v>1541</v>
      </c>
      <c r="F896" s="4" t="s">
        <v>347</v>
      </c>
      <c r="G896" s="4" t="s">
        <v>346</v>
      </c>
      <c r="H896" t="s">
        <v>77</v>
      </c>
      <c r="I896" t="s">
        <v>352</v>
      </c>
      <c r="J896" s="3">
        <v>1991</v>
      </c>
      <c r="K896" s="3">
        <v>2006</v>
      </c>
      <c r="L896" s="6">
        <f t="shared" si="271"/>
        <v>1998.5</v>
      </c>
      <c r="M896" s="6">
        <f t="shared" si="272"/>
        <v>1998.5</v>
      </c>
      <c r="N896" s="7">
        <f t="shared" si="260"/>
        <v>0</v>
      </c>
      <c r="O896" s="7">
        <f t="shared" si="261"/>
        <v>0</v>
      </c>
      <c r="P896" s="7">
        <f t="shared" si="262"/>
        <v>0</v>
      </c>
      <c r="Q896" s="7">
        <f t="shared" si="273"/>
        <v>0</v>
      </c>
      <c r="R896" s="10" t="str">
        <f t="shared" si="263"/>
        <v>0_Pre</v>
      </c>
      <c r="S896" s="10" t="str">
        <f t="shared" si="264"/>
        <v>0_Pre</v>
      </c>
      <c r="T896" s="10" t="str">
        <f t="shared" si="265"/>
        <v>0_Pre</v>
      </c>
      <c r="U896" s="10" t="str">
        <f t="shared" si="266"/>
        <v>0_Pre</v>
      </c>
      <c r="V896" s="10" t="str">
        <f t="shared" si="274"/>
        <v>0_Pre</v>
      </c>
      <c r="W896" s="10" t="str">
        <f t="shared" si="267"/>
        <v>clean_pre</v>
      </c>
      <c r="X896" s="10" t="str">
        <f t="shared" si="268"/>
        <v>0_Pre</v>
      </c>
      <c r="Y896" s="10" t="str">
        <f t="shared" si="269"/>
        <v>0_Pre</v>
      </c>
      <c r="Z896" s="10" t="str">
        <f t="shared" si="270"/>
        <v>0_Pre</v>
      </c>
      <c r="AA896" s="10" t="str">
        <f t="shared" si="275"/>
        <v>0_Pre</v>
      </c>
      <c r="AB896" s="10" t="str">
        <f t="shared" si="276"/>
        <v>0_Pre</v>
      </c>
      <c r="AC896" s="10" t="str">
        <f t="shared" si="277"/>
        <v>0_Pre</v>
      </c>
      <c r="AD896" s="10" t="str">
        <f t="shared" si="278"/>
        <v>1_pre sample median</v>
      </c>
      <c r="AE896" s="10" t="str">
        <f t="shared" si="279"/>
        <v>1_pre sample first tertile</v>
      </c>
      <c r="AF896" t="s">
        <v>80</v>
      </c>
      <c r="AG896" t="s">
        <v>75</v>
      </c>
      <c r="AH896" t="s">
        <v>78</v>
      </c>
      <c r="AI896" t="s">
        <v>123</v>
      </c>
      <c r="AJ896" t="s">
        <v>123</v>
      </c>
      <c r="AK896" t="str">
        <f>VLOOKUP(MID($AR896,1,255),country_lookup!$B:$F,2,FALSE)</f>
        <v>1_US</v>
      </c>
      <c r="AL896" t="str">
        <f>VLOOKUP(MID($AR896,1,255),country_lookup!$B:$F,3,FALSE)</f>
        <v>1_developed</v>
      </c>
      <c r="AM896" t="str">
        <f>VLOOKUP(MID($AR896,1,255),country_lookup!$B:$F,4,FALSE)</f>
        <v>1_western</v>
      </c>
      <c r="AN896" t="str">
        <f>VLOOKUP(MID($AR896,1,255),country_lookup!$B:$F,5,FALSE)</f>
        <v>1_common law</v>
      </c>
      <c r="AO896" s="10" t="str">
        <f>VLOOKUP(MID($AS896,1,255),source_lookup!$B:$K,4,FALSE)</f>
        <v>0_published</v>
      </c>
      <c r="AP896" s="10" t="str">
        <f>VLOOKUP(MID($AS896,1,255),source_lookup!$B:$K,6,FALSE)</f>
        <v>1_VHB high</v>
      </c>
      <c r="AQ896" s="10" t="str">
        <f>VLOOKUP(MID($AS896,1,255),source_lookup!$B:$K,10,FALSE)</f>
        <v>1_fin/acc/econ</v>
      </c>
      <c r="AR896" t="s">
        <v>85</v>
      </c>
      <c r="AS896" t="s">
        <v>165</v>
      </c>
    </row>
    <row r="897" spans="1:45" x14ac:dyDescent="0.3">
      <c r="A897" t="s">
        <v>42</v>
      </c>
      <c r="B897">
        <v>896</v>
      </c>
      <c r="C897" s="1">
        <v>-6.5419499213205667E-2</v>
      </c>
      <c r="D897" s="2">
        <v>95</v>
      </c>
      <c r="E897" s="4">
        <v>1516</v>
      </c>
      <c r="F897" s="4" t="s">
        <v>347</v>
      </c>
      <c r="G897" s="4" t="s">
        <v>346</v>
      </c>
      <c r="H897" t="s">
        <v>77</v>
      </c>
      <c r="I897" t="s">
        <v>352</v>
      </c>
      <c r="J897" s="3">
        <v>1991</v>
      </c>
      <c r="K897" s="3">
        <v>2006</v>
      </c>
      <c r="L897" s="6">
        <f t="shared" si="271"/>
        <v>1998.5</v>
      </c>
      <c r="M897" s="6">
        <f t="shared" si="272"/>
        <v>1998.5</v>
      </c>
      <c r="N897" s="7">
        <f t="shared" si="260"/>
        <v>0</v>
      </c>
      <c r="O897" s="7">
        <f t="shared" si="261"/>
        <v>0</v>
      </c>
      <c r="P897" s="7">
        <f t="shared" si="262"/>
        <v>0</v>
      </c>
      <c r="Q897" s="7">
        <f t="shared" si="273"/>
        <v>0</v>
      </c>
      <c r="R897" s="10" t="str">
        <f t="shared" si="263"/>
        <v>0_Pre</v>
      </c>
      <c r="S897" s="10" t="str">
        <f t="shared" si="264"/>
        <v>0_Pre</v>
      </c>
      <c r="T897" s="10" t="str">
        <f t="shared" si="265"/>
        <v>0_Pre</v>
      </c>
      <c r="U897" s="10" t="str">
        <f t="shared" si="266"/>
        <v>0_Pre</v>
      </c>
      <c r="V897" s="10" t="str">
        <f t="shared" si="274"/>
        <v>0_Pre</v>
      </c>
      <c r="W897" s="10" t="str">
        <f t="shared" si="267"/>
        <v>clean_pre</v>
      </c>
      <c r="X897" s="10" t="str">
        <f t="shared" si="268"/>
        <v>0_Pre</v>
      </c>
      <c r="Y897" s="10" t="str">
        <f t="shared" si="269"/>
        <v>0_Pre</v>
      </c>
      <c r="Z897" s="10" t="str">
        <f t="shared" si="270"/>
        <v>0_Pre</v>
      </c>
      <c r="AA897" s="10" t="str">
        <f t="shared" si="275"/>
        <v>0_Pre</v>
      </c>
      <c r="AB897" s="10" t="str">
        <f t="shared" si="276"/>
        <v>0_Pre</v>
      </c>
      <c r="AC897" s="10" t="str">
        <f t="shared" si="277"/>
        <v>0_Pre</v>
      </c>
      <c r="AD897" s="10" t="str">
        <f t="shared" si="278"/>
        <v>1_pre sample median</v>
      </c>
      <c r="AE897" s="10" t="str">
        <f t="shared" si="279"/>
        <v>1_pre sample first tertile</v>
      </c>
      <c r="AF897" t="s">
        <v>80</v>
      </c>
      <c r="AG897" t="s">
        <v>75</v>
      </c>
      <c r="AH897" t="s">
        <v>78</v>
      </c>
      <c r="AI897" t="s">
        <v>123</v>
      </c>
      <c r="AJ897" t="s">
        <v>123</v>
      </c>
      <c r="AK897" t="str">
        <f>VLOOKUP(MID($AR897,1,255),country_lookup!$B:$F,2,FALSE)</f>
        <v>1_US</v>
      </c>
      <c r="AL897" t="str">
        <f>VLOOKUP(MID($AR897,1,255),country_lookup!$B:$F,3,FALSE)</f>
        <v>1_developed</v>
      </c>
      <c r="AM897" t="str">
        <f>VLOOKUP(MID($AR897,1,255),country_lookup!$B:$F,4,FALSE)</f>
        <v>1_western</v>
      </c>
      <c r="AN897" t="str">
        <f>VLOOKUP(MID($AR897,1,255),country_lookup!$B:$F,5,FALSE)</f>
        <v>1_common law</v>
      </c>
      <c r="AO897" s="10" t="str">
        <f>VLOOKUP(MID($AS897,1,255),source_lookup!$B:$K,4,FALSE)</f>
        <v>0_published</v>
      </c>
      <c r="AP897" s="10" t="str">
        <f>VLOOKUP(MID($AS897,1,255),source_lookup!$B:$K,6,FALSE)</f>
        <v>1_VHB high</v>
      </c>
      <c r="AQ897" s="10" t="str">
        <f>VLOOKUP(MID($AS897,1,255),source_lookup!$B:$K,10,FALSE)</f>
        <v>1_fin/acc/econ</v>
      </c>
      <c r="AR897" t="s">
        <v>85</v>
      </c>
      <c r="AS897" t="s">
        <v>165</v>
      </c>
    </row>
    <row r="898" spans="1:45" x14ac:dyDescent="0.3">
      <c r="A898" t="s">
        <v>42</v>
      </c>
      <c r="B898">
        <v>897</v>
      </c>
      <c r="C898" s="1">
        <v>-2.5719655159054163E-2</v>
      </c>
      <c r="D898" s="2">
        <v>185</v>
      </c>
      <c r="E898" s="4">
        <v>2961</v>
      </c>
      <c r="F898" s="4" t="s">
        <v>347</v>
      </c>
      <c r="G898" s="4" t="s">
        <v>346</v>
      </c>
      <c r="H898" t="s">
        <v>77</v>
      </c>
      <c r="I898" t="s">
        <v>352</v>
      </c>
      <c r="J898" s="3">
        <v>1991</v>
      </c>
      <c r="K898" s="3">
        <v>2006</v>
      </c>
      <c r="L898" s="6">
        <f t="shared" si="271"/>
        <v>1998.5</v>
      </c>
      <c r="M898" s="6">
        <f t="shared" si="272"/>
        <v>1998.5</v>
      </c>
      <c r="N898" s="7">
        <f t="shared" ref="N898:N961" si="280">MAX(0,$K898-MAX($J898,2016)+1)/($K898-$J898+1)</f>
        <v>0</v>
      </c>
      <c r="O898" s="7">
        <f t="shared" ref="O898:O961" si="281">MAX(0,$K898-MAX($J898,2017)+1)/($K898-$J898+1)</f>
        <v>0</v>
      </c>
      <c r="P898" s="7">
        <f t="shared" ref="P898:P961" si="282">MAX(0,$K898-MAX($J898,2018)+1)/($K898-$J898+1)</f>
        <v>0</v>
      </c>
      <c r="Q898" s="7">
        <f t="shared" si="273"/>
        <v>0</v>
      </c>
      <c r="R898" s="10" t="str">
        <f t="shared" ref="R898:R961" si="283">IF(N898&gt;=0.5,"1_Post","0_Pre")</f>
        <v>0_Pre</v>
      </c>
      <c r="S898" s="10" t="str">
        <f t="shared" ref="S898:S961" si="284">IF($L898&gt;=2016,"1_Post","0_Pre")</f>
        <v>0_Pre</v>
      </c>
      <c r="T898" s="10" t="str">
        <f t="shared" ref="T898:T961" si="285">IF($M898&gt;=2016,"1_Post","0_Pre")</f>
        <v>0_Pre</v>
      </c>
      <c r="U898" s="10" t="str">
        <f t="shared" ref="U898:U961" si="286">IF($K898&gt;=2016,"1_Post","0_Pre")</f>
        <v>0_Pre</v>
      </c>
      <c r="V898" s="10" t="str">
        <f t="shared" si="274"/>
        <v>0_Pre</v>
      </c>
      <c r="W898" s="10" t="str">
        <f t="shared" ref="W898:W961" si="287">IF($K898&lt;=2015,"clean_pre",IF($J898&gt;=2016,"clean_post","straddle"))</f>
        <v>clean_pre</v>
      </c>
      <c r="X898" s="10" t="str">
        <f t="shared" ref="X898:X961" si="288">IF(O898&gt;=0.5,"1_Post","0_Pre")</f>
        <v>0_Pre</v>
      </c>
      <c r="Y898" s="10" t="str">
        <f t="shared" ref="Y898:Y961" si="289">IF(P898&gt;=0.5,"1_Post","0_Pre")</f>
        <v>0_Pre</v>
      </c>
      <c r="Z898" s="10" t="str">
        <f t="shared" ref="Z898:Z961" si="290">IF(Q898&gt;=0.5,"1_Post","0_Pre")</f>
        <v>0_Pre</v>
      </c>
      <c r="AA898" s="10" t="str">
        <f t="shared" si="275"/>
        <v>0_Pre</v>
      </c>
      <c r="AB898" s="10" t="str">
        <f t="shared" si="276"/>
        <v>0_Pre</v>
      </c>
      <c r="AC898" s="10" t="str">
        <f t="shared" si="277"/>
        <v>0_Pre</v>
      </c>
      <c r="AD898" s="10" t="str">
        <f t="shared" si="278"/>
        <v>1_pre sample median</v>
      </c>
      <c r="AE898" s="10" t="str">
        <f t="shared" si="279"/>
        <v>1_pre sample first tertile</v>
      </c>
      <c r="AF898" t="s">
        <v>80</v>
      </c>
      <c r="AG898" t="s">
        <v>75</v>
      </c>
      <c r="AH898" t="s">
        <v>78</v>
      </c>
      <c r="AI898" t="s">
        <v>123</v>
      </c>
      <c r="AJ898" t="s">
        <v>123</v>
      </c>
      <c r="AK898" t="str">
        <f>VLOOKUP(MID($AR898,1,255),country_lookup!$B:$F,2,FALSE)</f>
        <v>1_US</v>
      </c>
      <c r="AL898" t="str">
        <f>VLOOKUP(MID($AR898,1,255),country_lookup!$B:$F,3,FALSE)</f>
        <v>1_developed</v>
      </c>
      <c r="AM898" t="str">
        <f>VLOOKUP(MID($AR898,1,255),country_lookup!$B:$F,4,FALSE)</f>
        <v>1_western</v>
      </c>
      <c r="AN898" t="str">
        <f>VLOOKUP(MID($AR898,1,255),country_lookup!$B:$F,5,FALSE)</f>
        <v>1_common law</v>
      </c>
      <c r="AO898" s="10" t="str">
        <f>VLOOKUP(MID($AS898,1,255),source_lookup!$B:$K,4,FALSE)</f>
        <v>0_published</v>
      </c>
      <c r="AP898" s="10" t="str">
        <f>VLOOKUP(MID($AS898,1,255),source_lookup!$B:$K,6,FALSE)</f>
        <v>1_VHB high</v>
      </c>
      <c r="AQ898" s="10" t="str">
        <f>VLOOKUP(MID($AS898,1,255),source_lookup!$B:$K,10,FALSE)</f>
        <v>1_fin/acc/econ</v>
      </c>
      <c r="AR898" t="s">
        <v>85</v>
      </c>
      <c r="AS898" t="s">
        <v>165</v>
      </c>
    </row>
    <row r="899" spans="1:45" x14ac:dyDescent="0.3">
      <c r="A899" t="s">
        <v>43</v>
      </c>
      <c r="B899">
        <v>898</v>
      </c>
      <c r="C899" s="1">
        <v>2.8769719910552688E-2</v>
      </c>
      <c r="D899" s="2">
        <v>37</v>
      </c>
      <c r="E899" s="4">
        <v>406</v>
      </c>
      <c r="F899" s="4" t="s">
        <v>347</v>
      </c>
      <c r="G899" s="4" t="s">
        <v>346</v>
      </c>
      <c r="H899" t="s">
        <v>77</v>
      </c>
      <c r="I899" t="s">
        <v>352</v>
      </c>
      <c r="J899" s="3">
        <v>2008</v>
      </c>
      <c r="K899" s="3">
        <v>2018</v>
      </c>
      <c r="L899" s="6">
        <f t="shared" ref="L899:L962" si="291">ROUND(AVERAGE(J899:K899),100)</f>
        <v>2013</v>
      </c>
      <c r="M899" s="6">
        <f t="shared" ref="M899:M962" si="292">ROUND(MEDIAN(J899:K899),100)</f>
        <v>2013</v>
      </c>
      <c r="N899" s="7">
        <f t="shared" si="280"/>
        <v>0.27272727272727271</v>
      </c>
      <c r="O899" s="7">
        <f t="shared" si="281"/>
        <v>0.18181818181818182</v>
      </c>
      <c r="P899" s="7">
        <f t="shared" si="282"/>
        <v>9.0909090909090912E-2</v>
      </c>
      <c r="Q899" s="7">
        <f t="shared" ref="Q899:Q962" si="293">MAX(0,$K899-MAX($J899,2019)+1)/($K899-$J899+1)</f>
        <v>0</v>
      </c>
      <c r="R899" s="10" t="str">
        <f t="shared" si="283"/>
        <v>0_Pre</v>
      </c>
      <c r="S899" s="10" t="str">
        <f t="shared" si="284"/>
        <v>0_Pre</v>
      </c>
      <c r="T899" s="10" t="str">
        <f t="shared" si="285"/>
        <v>0_Pre</v>
      </c>
      <c r="U899" s="10" t="str">
        <f t="shared" si="286"/>
        <v>1_Post</v>
      </c>
      <c r="V899" s="10" t="str">
        <f t="shared" ref="V899:V962" si="294">IF($J899&lt;=2017,"0_Pre","1_Post")</f>
        <v>0_Pre</v>
      </c>
      <c r="W899" s="10" t="str">
        <f t="shared" si="287"/>
        <v>straddle</v>
      </c>
      <c r="X899" s="10" t="str">
        <f t="shared" si="288"/>
        <v>0_Pre</v>
      </c>
      <c r="Y899" s="10" t="str">
        <f t="shared" si="289"/>
        <v>0_Pre</v>
      </c>
      <c r="Z899" s="10" t="str">
        <f t="shared" si="290"/>
        <v>0_Pre</v>
      </c>
      <c r="AA899" s="10" t="str">
        <f t="shared" ref="AA899:AA962" si="295">IF($K899&gt;=2017,"1_Post","0_Pre")</f>
        <v>1_Post</v>
      </c>
      <c r="AB899" s="10" t="str">
        <f t="shared" ref="AB899:AB962" si="296">IF($K899&gt;=2018,"1_Post","0_Pre")</f>
        <v>1_Post</v>
      </c>
      <c r="AC899" s="10" t="str">
        <f t="shared" ref="AC899:AC962" si="297">IF($K899&gt;=2019,"1_Post","0_Pre")</f>
        <v>0_Pre</v>
      </c>
      <c r="AD899" s="10" t="str">
        <f t="shared" ref="AD899:AD962" si="298">IF(L899&lt;MEDIAN($L$2:$L$1307),"1_pre sample median","2_post sample median")</f>
        <v>2_post sample median</v>
      </c>
      <c r="AE899" s="10" t="str">
        <f t="shared" ref="AE899:AE962" si="299">IF(L899&lt;=PERCENTILE($L$2:$L$1307,0.33),"1_pre sample first tertile",IF(L899&gt;=PERCENTILE($L$2:$L$1307,0.67),"3_post sample third tertile","2_in sample second tertile"))</f>
        <v>2_in sample second tertile</v>
      </c>
      <c r="AF899" t="s">
        <v>82</v>
      </c>
      <c r="AG899" t="s">
        <v>75</v>
      </c>
      <c r="AH899" t="s">
        <v>78</v>
      </c>
      <c r="AI899" t="s">
        <v>70</v>
      </c>
      <c r="AJ899" t="s">
        <v>70</v>
      </c>
      <c r="AK899" t="str">
        <f>VLOOKUP(MID($AR899,1,255),country_lookup!$B:$F,2,FALSE)</f>
        <v>99_NCE</v>
      </c>
      <c r="AL899" t="str">
        <f>VLOOKUP(MID($AR899,1,255),country_lookup!$B:$F,3,FALSE)</f>
        <v>99_NCE</v>
      </c>
      <c r="AM899" t="str">
        <f>VLOOKUP(MID($AR899,1,255),country_lookup!$B:$F,4,FALSE)</f>
        <v>99_NCE</v>
      </c>
      <c r="AN899" t="str">
        <f>VLOOKUP(MID($AR899,1,255),country_lookup!$B:$F,5,FALSE)</f>
        <v>99_NCE</v>
      </c>
      <c r="AO899" s="10" t="str">
        <f>VLOOKUP(MID($AS899,1,255),source_lookup!$B:$K,4,FALSE)</f>
        <v>1_not published</v>
      </c>
      <c r="AP899" s="10" t="str">
        <f>VLOOKUP(MID($AS899,1,255),source_lookup!$B:$K,6,FALSE)</f>
        <v>99_NA</v>
      </c>
      <c r="AQ899" s="10" t="str">
        <f>VLOOKUP(MID($AS899,1,255),source_lookup!$B:$K,10,FALSE)</f>
        <v>1_fin/acc/econ</v>
      </c>
      <c r="AR899" t="s">
        <v>107</v>
      </c>
      <c r="AS899" t="s">
        <v>166</v>
      </c>
    </row>
    <row r="900" spans="1:45" x14ac:dyDescent="0.3">
      <c r="A900" t="s">
        <v>43</v>
      </c>
      <c r="B900">
        <v>899</v>
      </c>
      <c r="C900" s="1">
        <v>-0.11841799679179003</v>
      </c>
      <c r="D900" s="2">
        <v>10</v>
      </c>
      <c r="E900" s="4">
        <v>111</v>
      </c>
      <c r="F900" s="4" t="s">
        <v>347</v>
      </c>
      <c r="G900" s="4" t="s">
        <v>346</v>
      </c>
      <c r="H900" t="s">
        <v>77</v>
      </c>
      <c r="I900" t="s">
        <v>352</v>
      </c>
      <c r="J900" s="3">
        <v>2008</v>
      </c>
      <c r="K900" s="3">
        <v>2018</v>
      </c>
      <c r="L900" s="6">
        <f t="shared" si="291"/>
        <v>2013</v>
      </c>
      <c r="M900" s="6">
        <f t="shared" si="292"/>
        <v>2013</v>
      </c>
      <c r="N900" s="7">
        <f t="shared" si="280"/>
        <v>0.27272727272727271</v>
      </c>
      <c r="O900" s="7">
        <f t="shared" si="281"/>
        <v>0.18181818181818182</v>
      </c>
      <c r="P900" s="7">
        <f t="shared" si="282"/>
        <v>9.0909090909090912E-2</v>
      </c>
      <c r="Q900" s="7">
        <f t="shared" si="293"/>
        <v>0</v>
      </c>
      <c r="R900" s="10" t="str">
        <f t="shared" si="283"/>
        <v>0_Pre</v>
      </c>
      <c r="S900" s="10" t="str">
        <f t="shared" si="284"/>
        <v>0_Pre</v>
      </c>
      <c r="T900" s="10" t="str">
        <f t="shared" si="285"/>
        <v>0_Pre</v>
      </c>
      <c r="U900" s="10" t="str">
        <f t="shared" si="286"/>
        <v>1_Post</v>
      </c>
      <c r="V900" s="10" t="str">
        <f t="shared" si="294"/>
        <v>0_Pre</v>
      </c>
      <c r="W900" s="10" t="str">
        <f t="shared" si="287"/>
        <v>straddle</v>
      </c>
      <c r="X900" s="10" t="str">
        <f t="shared" si="288"/>
        <v>0_Pre</v>
      </c>
      <c r="Y900" s="10" t="str">
        <f t="shared" si="289"/>
        <v>0_Pre</v>
      </c>
      <c r="Z900" s="10" t="str">
        <f t="shared" si="290"/>
        <v>0_Pre</v>
      </c>
      <c r="AA900" s="10" t="str">
        <f t="shared" si="295"/>
        <v>1_Post</v>
      </c>
      <c r="AB900" s="10" t="str">
        <f t="shared" si="296"/>
        <v>1_Post</v>
      </c>
      <c r="AC900" s="10" t="str">
        <f t="shared" si="297"/>
        <v>0_Pre</v>
      </c>
      <c r="AD900" s="10" t="str">
        <f t="shared" si="298"/>
        <v>2_post sample median</v>
      </c>
      <c r="AE900" s="10" t="str">
        <f t="shared" si="299"/>
        <v>2_in sample second tertile</v>
      </c>
      <c r="AF900" t="s">
        <v>82</v>
      </c>
      <c r="AG900" t="s">
        <v>75</v>
      </c>
      <c r="AH900" t="s">
        <v>78</v>
      </c>
      <c r="AI900" t="s">
        <v>70</v>
      </c>
      <c r="AJ900" t="s">
        <v>123</v>
      </c>
      <c r="AK900" t="str">
        <f>VLOOKUP(MID($AR900,1,255),country_lookup!$B:$F,2,FALSE)</f>
        <v>3_AsiaPac</v>
      </c>
      <c r="AL900" t="str">
        <f>VLOOKUP(MID($AR900,1,255),country_lookup!$B:$F,3,FALSE)</f>
        <v>99_NCE</v>
      </c>
      <c r="AM900" t="str">
        <f>VLOOKUP(MID($AR900,1,255),country_lookup!$B:$F,4,FALSE)</f>
        <v>99_NCE</v>
      </c>
      <c r="AN900" t="str">
        <f>VLOOKUP(MID($AR900,1,255),country_lookup!$B:$F,5,FALSE)</f>
        <v>99_NCE</v>
      </c>
      <c r="AO900" s="10" t="str">
        <f>VLOOKUP(MID($AS900,1,255),source_lookup!$B:$K,4,FALSE)</f>
        <v>1_not published</v>
      </c>
      <c r="AP900" s="10" t="str">
        <f>VLOOKUP(MID($AS900,1,255),source_lookup!$B:$K,6,FALSE)</f>
        <v>99_NA</v>
      </c>
      <c r="AQ900" s="10" t="str">
        <f>VLOOKUP(MID($AS900,1,255),source_lookup!$B:$K,10,FALSE)</f>
        <v>1_fin/acc/econ</v>
      </c>
      <c r="AR900" t="s">
        <v>108</v>
      </c>
      <c r="AS900" t="s">
        <v>166</v>
      </c>
    </row>
    <row r="901" spans="1:45" x14ac:dyDescent="0.3">
      <c r="A901" t="s">
        <v>43</v>
      </c>
      <c r="B901">
        <v>900</v>
      </c>
      <c r="C901" s="1">
        <v>8.8022288363574716E-2</v>
      </c>
      <c r="D901" s="2">
        <v>24</v>
      </c>
      <c r="E901" s="4">
        <v>268</v>
      </c>
      <c r="F901" s="4" t="s">
        <v>347</v>
      </c>
      <c r="G901" s="4" t="s">
        <v>346</v>
      </c>
      <c r="H901" t="s">
        <v>77</v>
      </c>
      <c r="I901" t="s">
        <v>352</v>
      </c>
      <c r="J901" s="3">
        <v>2008</v>
      </c>
      <c r="K901" s="3">
        <v>2018</v>
      </c>
      <c r="L901" s="6">
        <f t="shared" si="291"/>
        <v>2013</v>
      </c>
      <c r="M901" s="6">
        <f t="shared" si="292"/>
        <v>2013</v>
      </c>
      <c r="N901" s="7">
        <f t="shared" si="280"/>
        <v>0.27272727272727271</v>
      </c>
      <c r="O901" s="7">
        <f t="shared" si="281"/>
        <v>0.18181818181818182</v>
      </c>
      <c r="P901" s="7">
        <f t="shared" si="282"/>
        <v>9.0909090909090912E-2</v>
      </c>
      <c r="Q901" s="7">
        <f t="shared" si="293"/>
        <v>0</v>
      </c>
      <c r="R901" s="10" t="str">
        <f t="shared" si="283"/>
        <v>0_Pre</v>
      </c>
      <c r="S901" s="10" t="str">
        <f t="shared" si="284"/>
        <v>0_Pre</v>
      </c>
      <c r="T901" s="10" t="str">
        <f t="shared" si="285"/>
        <v>0_Pre</v>
      </c>
      <c r="U901" s="10" t="str">
        <f t="shared" si="286"/>
        <v>1_Post</v>
      </c>
      <c r="V901" s="10" t="str">
        <f t="shared" si="294"/>
        <v>0_Pre</v>
      </c>
      <c r="W901" s="10" t="str">
        <f t="shared" si="287"/>
        <v>straddle</v>
      </c>
      <c r="X901" s="10" t="str">
        <f t="shared" si="288"/>
        <v>0_Pre</v>
      </c>
      <c r="Y901" s="10" t="str">
        <f t="shared" si="289"/>
        <v>0_Pre</v>
      </c>
      <c r="Z901" s="10" t="str">
        <f t="shared" si="290"/>
        <v>0_Pre</v>
      </c>
      <c r="AA901" s="10" t="str">
        <f t="shared" si="295"/>
        <v>1_Post</v>
      </c>
      <c r="AB901" s="10" t="str">
        <f t="shared" si="296"/>
        <v>1_Post</v>
      </c>
      <c r="AC901" s="10" t="str">
        <f t="shared" si="297"/>
        <v>0_Pre</v>
      </c>
      <c r="AD901" s="10" t="str">
        <f t="shared" si="298"/>
        <v>2_post sample median</v>
      </c>
      <c r="AE901" s="10" t="str">
        <f t="shared" si="299"/>
        <v>2_in sample second tertile</v>
      </c>
      <c r="AF901" t="s">
        <v>82</v>
      </c>
      <c r="AG901" t="s">
        <v>75</v>
      </c>
      <c r="AH901" t="s">
        <v>78</v>
      </c>
      <c r="AI901" t="s">
        <v>70</v>
      </c>
      <c r="AJ901" t="s">
        <v>70</v>
      </c>
      <c r="AK901" t="str">
        <f>VLOOKUP(MID($AR901,1,255),country_lookup!$B:$F,2,FALSE)</f>
        <v>99_NCE</v>
      </c>
      <c r="AL901" t="str">
        <f>VLOOKUP(MID($AR901,1,255),country_lookup!$B:$F,3,FALSE)</f>
        <v>99_NCE</v>
      </c>
      <c r="AM901" t="str">
        <f>VLOOKUP(MID($AR901,1,255),country_lookup!$B:$F,4,FALSE)</f>
        <v>99_NCE</v>
      </c>
      <c r="AN901" t="str">
        <f>VLOOKUP(MID($AR901,1,255),country_lookup!$B:$F,5,FALSE)</f>
        <v>99_NCE</v>
      </c>
      <c r="AO901" s="10" t="str">
        <f>VLOOKUP(MID($AS901,1,255),source_lookup!$B:$K,4,FALSE)</f>
        <v>1_not published</v>
      </c>
      <c r="AP901" s="10" t="str">
        <f>VLOOKUP(MID($AS901,1,255),source_lookup!$B:$K,6,FALSE)</f>
        <v>99_NA</v>
      </c>
      <c r="AQ901" s="10" t="str">
        <f>VLOOKUP(MID($AS901,1,255),source_lookup!$B:$K,10,FALSE)</f>
        <v>1_fin/acc/econ</v>
      </c>
      <c r="AR901" t="s">
        <v>109</v>
      </c>
      <c r="AS901" t="s">
        <v>166</v>
      </c>
    </row>
    <row r="902" spans="1:45" x14ac:dyDescent="0.3">
      <c r="A902" t="s">
        <v>43</v>
      </c>
      <c r="B902">
        <v>901</v>
      </c>
      <c r="C902" s="1">
        <v>2.5060824396391027E-2</v>
      </c>
      <c r="D902" s="2">
        <v>39</v>
      </c>
      <c r="E902" s="4">
        <v>429</v>
      </c>
      <c r="F902" s="4" t="s">
        <v>347</v>
      </c>
      <c r="G902" s="4" t="s">
        <v>346</v>
      </c>
      <c r="H902" t="s">
        <v>77</v>
      </c>
      <c r="I902" t="s">
        <v>352</v>
      </c>
      <c r="J902" s="3">
        <v>2008</v>
      </c>
      <c r="K902" s="3">
        <v>2018</v>
      </c>
      <c r="L902" s="6">
        <f t="shared" si="291"/>
        <v>2013</v>
      </c>
      <c r="M902" s="6">
        <f t="shared" si="292"/>
        <v>2013</v>
      </c>
      <c r="N902" s="7">
        <f t="shared" si="280"/>
        <v>0.27272727272727271</v>
      </c>
      <c r="O902" s="7">
        <f t="shared" si="281"/>
        <v>0.18181818181818182</v>
      </c>
      <c r="P902" s="7">
        <f t="shared" si="282"/>
        <v>9.0909090909090912E-2</v>
      </c>
      <c r="Q902" s="7">
        <f t="shared" si="293"/>
        <v>0</v>
      </c>
      <c r="R902" s="10" t="str">
        <f t="shared" si="283"/>
        <v>0_Pre</v>
      </c>
      <c r="S902" s="10" t="str">
        <f t="shared" si="284"/>
        <v>0_Pre</v>
      </c>
      <c r="T902" s="10" t="str">
        <f t="shared" si="285"/>
        <v>0_Pre</v>
      </c>
      <c r="U902" s="10" t="str">
        <f t="shared" si="286"/>
        <v>1_Post</v>
      </c>
      <c r="V902" s="10" t="str">
        <f t="shared" si="294"/>
        <v>0_Pre</v>
      </c>
      <c r="W902" s="10" t="str">
        <f t="shared" si="287"/>
        <v>straddle</v>
      </c>
      <c r="X902" s="10" t="str">
        <f t="shared" si="288"/>
        <v>0_Pre</v>
      </c>
      <c r="Y902" s="10" t="str">
        <f t="shared" si="289"/>
        <v>0_Pre</v>
      </c>
      <c r="Z902" s="10" t="str">
        <f t="shared" si="290"/>
        <v>0_Pre</v>
      </c>
      <c r="AA902" s="10" t="str">
        <f t="shared" si="295"/>
        <v>1_Post</v>
      </c>
      <c r="AB902" s="10" t="str">
        <f t="shared" si="296"/>
        <v>1_Post</v>
      </c>
      <c r="AC902" s="10" t="str">
        <f t="shared" si="297"/>
        <v>0_Pre</v>
      </c>
      <c r="AD902" s="10" t="str">
        <f t="shared" si="298"/>
        <v>2_post sample median</v>
      </c>
      <c r="AE902" s="10" t="str">
        <f t="shared" si="299"/>
        <v>2_in sample second tertile</v>
      </c>
      <c r="AF902" t="s">
        <v>82</v>
      </c>
      <c r="AG902" t="s">
        <v>75</v>
      </c>
      <c r="AH902" t="s">
        <v>78</v>
      </c>
      <c r="AI902" t="s">
        <v>70</v>
      </c>
      <c r="AJ902" t="s">
        <v>70</v>
      </c>
      <c r="AK902" t="str">
        <f>VLOOKUP(MID($AR902,1,255),country_lookup!$B:$F,2,FALSE)</f>
        <v>99_NCE</v>
      </c>
      <c r="AL902" t="str">
        <f>VLOOKUP(MID($AR902,1,255),country_lookup!$B:$F,3,FALSE)</f>
        <v>99_NCE</v>
      </c>
      <c r="AM902" t="str">
        <f>VLOOKUP(MID($AR902,1,255),country_lookup!$B:$F,4,FALSE)</f>
        <v>99_NCE</v>
      </c>
      <c r="AN902" t="str">
        <f>VLOOKUP(MID($AR902,1,255),country_lookup!$B:$F,5,FALSE)</f>
        <v>99_NCE</v>
      </c>
      <c r="AO902" s="10" t="str">
        <f>VLOOKUP(MID($AS902,1,255),source_lookup!$B:$K,4,FALSE)</f>
        <v>1_not published</v>
      </c>
      <c r="AP902" s="10" t="str">
        <f>VLOOKUP(MID($AS902,1,255),source_lookup!$B:$K,6,FALSE)</f>
        <v>99_NA</v>
      </c>
      <c r="AQ902" s="10" t="str">
        <f>VLOOKUP(MID($AS902,1,255),source_lookup!$B:$K,10,FALSE)</f>
        <v>1_fin/acc/econ</v>
      </c>
      <c r="AR902" t="s">
        <v>107</v>
      </c>
      <c r="AS902" t="s">
        <v>166</v>
      </c>
    </row>
    <row r="903" spans="1:45" x14ac:dyDescent="0.3">
      <c r="A903" t="s">
        <v>43</v>
      </c>
      <c r="B903">
        <v>902</v>
      </c>
      <c r="C903" s="1">
        <v>-0.15981961494898339</v>
      </c>
      <c r="D903" s="2">
        <v>10</v>
      </c>
      <c r="E903" s="4">
        <v>111</v>
      </c>
      <c r="F903" s="4" t="s">
        <v>347</v>
      </c>
      <c r="G903" s="4" t="s">
        <v>346</v>
      </c>
      <c r="H903" t="s">
        <v>77</v>
      </c>
      <c r="I903" t="s">
        <v>352</v>
      </c>
      <c r="J903" s="3">
        <v>2008</v>
      </c>
      <c r="K903" s="3">
        <v>2018</v>
      </c>
      <c r="L903" s="6">
        <f t="shared" si="291"/>
        <v>2013</v>
      </c>
      <c r="M903" s="6">
        <f t="shared" si="292"/>
        <v>2013</v>
      </c>
      <c r="N903" s="7">
        <f t="shared" si="280"/>
        <v>0.27272727272727271</v>
      </c>
      <c r="O903" s="7">
        <f t="shared" si="281"/>
        <v>0.18181818181818182</v>
      </c>
      <c r="P903" s="7">
        <f t="shared" si="282"/>
        <v>9.0909090909090912E-2</v>
      </c>
      <c r="Q903" s="7">
        <f t="shared" si="293"/>
        <v>0</v>
      </c>
      <c r="R903" s="10" t="str">
        <f t="shared" si="283"/>
        <v>0_Pre</v>
      </c>
      <c r="S903" s="10" t="str">
        <f t="shared" si="284"/>
        <v>0_Pre</v>
      </c>
      <c r="T903" s="10" t="str">
        <f t="shared" si="285"/>
        <v>0_Pre</v>
      </c>
      <c r="U903" s="10" t="str">
        <f t="shared" si="286"/>
        <v>1_Post</v>
      </c>
      <c r="V903" s="10" t="str">
        <f t="shared" si="294"/>
        <v>0_Pre</v>
      </c>
      <c r="W903" s="10" t="str">
        <f t="shared" si="287"/>
        <v>straddle</v>
      </c>
      <c r="X903" s="10" t="str">
        <f t="shared" si="288"/>
        <v>0_Pre</v>
      </c>
      <c r="Y903" s="10" t="str">
        <f t="shared" si="289"/>
        <v>0_Pre</v>
      </c>
      <c r="Z903" s="10" t="str">
        <f t="shared" si="290"/>
        <v>0_Pre</v>
      </c>
      <c r="AA903" s="10" t="str">
        <f t="shared" si="295"/>
        <v>1_Post</v>
      </c>
      <c r="AB903" s="10" t="str">
        <f t="shared" si="296"/>
        <v>1_Post</v>
      </c>
      <c r="AC903" s="10" t="str">
        <f t="shared" si="297"/>
        <v>0_Pre</v>
      </c>
      <c r="AD903" s="10" t="str">
        <f t="shared" si="298"/>
        <v>2_post sample median</v>
      </c>
      <c r="AE903" s="10" t="str">
        <f t="shared" si="299"/>
        <v>2_in sample second tertile</v>
      </c>
      <c r="AF903" t="s">
        <v>82</v>
      </c>
      <c r="AG903" t="s">
        <v>75</v>
      </c>
      <c r="AH903" t="s">
        <v>78</v>
      </c>
      <c r="AI903" t="s">
        <v>70</v>
      </c>
      <c r="AJ903" t="s">
        <v>123</v>
      </c>
      <c r="AK903" t="str">
        <f>VLOOKUP(MID($AR903,1,255),country_lookup!$B:$F,2,FALSE)</f>
        <v>3_AsiaPac</v>
      </c>
      <c r="AL903" t="str">
        <f>VLOOKUP(MID($AR903,1,255),country_lookup!$B:$F,3,FALSE)</f>
        <v>99_NCE</v>
      </c>
      <c r="AM903" t="str">
        <f>VLOOKUP(MID($AR903,1,255),country_lookup!$B:$F,4,FALSE)</f>
        <v>99_NCE</v>
      </c>
      <c r="AN903" t="str">
        <f>VLOOKUP(MID($AR903,1,255),country_lookup!$B:$F,5,FALSE)</f>
        <v>99_NCE</v>
      </c>
      <c r="AO903" s="10" t="str">
        <f>VLOOKUP(MID($AS903,1,255),source_lookup!$B:$K,4,FALSE)</f>
        <v>1_not published</v>
      </c>
      <c r="AP903" s="10" t="str">
        <f>VLOOKUP(MID($AS903,1,255),source_lookup!$B:$K,6,FALSE)</f>
        <v>99_NA</v>
      </c>
      <c r="AQ903" s="10" t="str">
        <f>VLOOKUP(MID($AS903,1,255),source_lookup!$B:$K,10,FALSE)</f>
        <v>1_fin/acc/econ</v>
      </c>
      <c r="AR903" t="s">
        <v>108</v>
      </c>
      <c r="AS903" t="s">
        <v>166</v>
      </c>
    </row>
    <row r="904" spans="1:45" x14ac:dyDescent="0.3">
      <c r="A904" t="s">
        <v>43</v>
      </c>
      <c r="B904">
        <v>903</v>
      </c>
      <c r="C904" s="1">
        <v>6.7549964394075776E-2</v>
      </c>
      <c r="D904" s="2">
        <v>25</v>
      </c>
      <c r="E904" s="4">
        <v>277</v>
      </c>
      <c r="F904" s="4" t="s">
        <v>347</v>
      </c>
      <c r="G904" s="4" t="s">
        <v>346</v>
      </c>
      <c r="H904" t="s">
        <v>77</v>
      </c>
      <c r="I904" t="s">
        <v>352</v>
      </c>
      <c r="J904" s="3">
        <v>2008</v>
      </c>
      <c r="K904" s="3">
        <v>2018</v>
      </c>
      <c r="L904" s="6">
        <f t="shared" si="291"/>
        <v>2013</v>
      </c>
      <c r="M904" s="6">
        <f t="shared" si="292"/>
        <v>2013</v>
      </c>
      <c r="N904" s="7">
        <f t="shared" si="280"/>
        <v>0.27272727272727271</v>
      </c>
      <c r="O904" s="7">
        <f t="shared" si="281"/>
        <v>0.18181818181818182</v>
      </c>
      <c r="P904" s="7">
        <f t="shared" si="282"/>
        <v>9.0909090909090912E-2</v>
      </c>
      <c r="Q904" s="7">
        <f t="shared" si="293"/>
        <v>0</v>
      </c>
      <c r="R904" s="10" t="str">
        <f t="shared" si="283"/>
        <v>0_Pre</v>
      </c>
      <c r="S904" s="10" t="str">
        <f t="shared" si="284"/>
        <v>0_Pre</v>
      </c>
      <c r="T904" s="10" t="str">
        <f t="shared" si="285"/>
        <v>0_Pre</v>
      </c>
      <c r="U904" s="10" t="str">
        <f t="shared" si="286"/>
        <v>1_Post</v>
      </c>
      <c r="V904" s="10" t="str">
        <f t="shared" si="294"/>
        <v>0_Pre</v>
      </c>
      <c r="W904" s="10" t="str">
        <f t="shared" si="287"/>
        <v>straddle</v>
      </c>
      <c r="X904" s="10" t="str">
        <f t="shared" si="288"/>
        <v>0_Pre</v>
      </c>
      <c r="Y904" s="10" t="str">
        <f t="shared" si="289"/>
        <v>0_Pre</v>
      </c>
      <c r="Z904" s="10" t="str">
        <f t="shared" si="290"/>
        <v>0_Pre</v>
      </c>
      <c r="AA904" s="10" t="str">
        <f t="shared" si="295"/>
        <v>1_Post</v>
      </c>
      <c r="AB904" s="10" t="str">
        <f t="shared" si="296"/>
        <v>1_Post</v>
      </c>
      <c r="AC904" s="10" t="str">
        <f t="shared" si="297"/>
        <v>0_Pre</v>
      </c>
      <c r="AD904" s="10" t="str">
        <f t="shared" si="298"/>
        <v>2_post sample median</v>
      </c>
      <c r="AE904" s="10" t="str">
        <f t="shared" si="299"/>
        <v>2_in sample second tertile</v>
      </c>
      <c r="AF904" t="s">
        <v>82</v>
      </c>
      <c r="AG904" t="s">
        <v>75</v>
      </c>
      <c r="AH904" t="s">
        <v>78</v>
      </c>
      <c r="AI904" t="s">
        <v>70</v>
      </c>
      <c r="AJ904" t="s">
        <v>70</v>
      </c>
      <c r="AK904" t="str">
        <f>VLOOKUP(MID($AR904,1,255),country_lookup!$B:$F,2,FALSE)</f>
        <v>99_NCE</v>
      </c>
      <c r="AL904" t="str">
        <f>VLOOKUP(MID($AR904,1,255),country_lookup!$B:$F,3,FALSE)</f>
        <v>99_NCE</v>
      </c>
      <c r="AM904" t="str">
        <f>VLOOKUP(MID($AR904,1,255),country_lookup!$B:$F,4,FALSE)</f>
        <v>99_NCE</v>
      </c>
      <c r="AN904" t="str">
        <f>VLOOKUP(MID($AR904,1,255),country_lookup!$B:$F,5,FALSE)</f>
        <v>99_NCE</v>
      </c>
      <c r="AO904" s="10" t="str">
        <f>VLOOKUP(MID($AS904,1,255),source_lookup!$B:$K,4,FALSE)</f>
        <v>1_not published</v>
      </c>
      <c r="AP904" s="10" t="str">
        <f>VLOOKUP(MID($AS904,1,255),source_lookup!$B:$K,6,FALSE)</f>
        <v>99_NA</v>
      </c>
      <c r="AQ904" s="10" t="str">
        <f>VLOOKUP(MID($AS904,1,255),source_lookup!$B:$K,10,FALSE)</f>
        <v>1_fin/acc/econ</v>
      </c>
      <c r="AR904" t="s">
        <v>109</v>
      </c>
      <c r="AS904" t="s">
        <v>166</v>
      </c>
    </row>
    <row r="905" spans="1:45" x14ac:dyDescent="0.3">
      <c r="A905" t="s">
        <v>43</v>
      </c>
      <c r="B905">
        <v>904</v>
      </c>
      <c r="C905" s="1">
        <v>7.6532355439755994E-3</v>
      </c>
      <c r="D905" s="2">
        <v>97</v>
      </c>
      <c r="E905" s="4">
        <v>1067</v>
      </c>
      <c r="F905" s="4" t="s">
        <v>347</v>
      </c>
      <c r="G905" s="4" t="s">
        <v>346</v>
      </c>
      <c r="H905" t="s">
        <v>77</v>
      </c>
      <c r="I905" t="s">
        <v>352</v>
      </c>
      <c r="J905" s="3">
        <v>2008</v>
      </c>
      <c r="K905" s="3">
        <v>2018</v>
      </c>
      <c r="L905" s="6">
        <f t="shared" si="291"/>
        <v>2013</v>
      </c>
      <c r="M905" s="6">
        <f t="shared" si="292"/>
        <v>2013</v>
      </c>
      <c r="N905" s="7">
        <f t="shared" si="280"/>
        <v>0.27272727272727271</v>
      </c>
      <c r="O905" s="7">
        <f t="shared" si="281"/>
        <v>0.18181818181818182</v>
      </c>
      <c r="P905" s="7">
        <f t="shared" si="282"/>
        <v>9.0909090909090912E-2</v>
      </c>
      <c r="Q905" s="7">
        <f t="shared" si="293"/>
        <v>0</v>
      </c>
      <c r="R905" s="10" t="str">
        <f t="shared" si="283"/>
        <v>0_Pre</v>
      </c>
      <c r="S905" s="10" t="str">
        <f t="shared" si="284"/>
        <v>0_Pre</v>
      </c>
      <c r="T905" s="10" t="str">
        <f t="shared" si="285"/>
        <v>0_Pre</v>
      </c>
      <c r="U905" s="10" t="str">
        <f t="shared" si="286"/>
        <v>1_Post</v>
      </c>
      <c r="V905" s="10" t="str">
        <f t="shared" si="294"/>
        <v>0_Pre</v>
      </c>
      <c r="W905" s="10" t="str">
        <f t="shared" si="287"/>
        <v>straddle</v>
      </c>
      <c r="X905" s="10" t="str">
        <f t="shared" si="288"/>
        <v>0_Pre</v>
      </c>
      <c r="Y905" s="10" t="str">
        <f t="shared" si="289"/>
        <v>0_Pre</v>
      </c>
      <c r="Z905" s="10" t="str">
        <f t="shared" si="290"/>
        <v>0_Pre</v>
      </c>
      <c r="AA905" s="10" t="str">
        <f t="shared" si="295"/>
        <v>1_Post</v>
      </c>
      <c r="AB905" s="10" t="str">
        <f t="shared" si="296"/>
        <v>1_Post</v>
      </c>
      <c r="AC905" s="10" t="str">
        <f t="shared" si="297"/>
        <v>0_Pre</v>
      </c>
      <c r="AD905" s="10" t="str">
        <f t="shared" si="298"/>
        <v>2_post sample median</v>
      </c>
      <c r="AE905" s="10" t="str">
        <f t="shared" si="299"/>
        <v>2_in sample second tertile</v>
      </c>
      <c r="AF905" t="s">
        <v>67</v>
      </c>
      <c r="AG905" t="s">
        <v>75</v>
      </c>
      <c r="AH905" t="s">
        <v>78</v>
      </c>
      <c r="AI905" t="s">
        <v>70</v>
      </c>
      <c r="AJ905" t="s">
        <v>70</v>
      </c>
      <c r="AK905" t="str">
        <f>VLOOKUP(MID($AR905,1,255),country_lookup!$B:$F,2,FALSE)</f>
        <v>99_NCE</v>
      </c>
      <c r="AL905" t="str">
        <f>VLOOKUP(MID($AR905,1,255),country_lookup!$B:$F,3,FALSE)</f>
        <v>99_NCE</v>
      </c>
      <c r="AM905" t="str">
        <f>VLOOKUP(MID($AR905,1,255),country_lookup!$B:$F,4,FALSE)</f>
        <v>99_NCE</v>
      </c>
      <c r="AN905" t="str">
        <f>VLOOKUP(MID($AR905,1,255),country_lookup!$B:$F,5,FALSE)</f>
        <v>99_NCE</v>
      </c>
      <c r="AO905" s="10" t="str">
        <f>VLOOKUP(MID($AS905,1,255),source_lookup!$B:$K,4,FALSE)</f>
        <v>1_not published</v>
      </c>
      <c r="AP905" s="10" t="str">
        <f>VLOOKUP(MID($AS905,1,255),source_lookup!$B:$K,6,FALSE)</f>
        <v>99_NA</v>
      </c>
      <c r="AQ905" s="10" t="str">
        <f>VLOOKUP(MID($AS905,1,255),source_lookup!$B:$K,10,FALSE)</f>
        <v>1_fin/acc/econ</v>
      </c>
      <c r="AR905" t="s">
        <v>107</v>
      </c>
      <c r="AS905" t="s">
        <v>166</v>
      </c>
    </row>
    <row r="906" spans="1:45" x14ac:dyDescent="0.3">
      <c r="A906" t="s">
        <v>43</v>
      </c>
      <c r="B906">
        <v>905</v>
      </c>
      <c r="C906" s="1">
        <v>-1.460428140991938E-2</v>
      </c>
      <c r="D906" s="2">
        <v>97</v>
      </c>
      <c r="E906" s="4">
        <v>1067</v>
      </c>
      <c r="F906" s="4" t="s">
        <v>347</v>
      </c>
      <c r="G906" s="4" t="s">
        <v>346</v>
      </c>
      <c r="H906" t="s">
        <v>77</v>
      </c>
      <c r="I906" t="s">
        <v>352</v>
      </c>
      <c r="J906" s="3">
        <v>2008</v>
      </c>
      <c r="K906" s="3">
        <v>2018</v>
      </c>
      <c r="L906" s="6">
        <f t="shared" si="291"/>
        <v>2013</v>
      </c>
      <c r="M906" s="6">
        <f t="shared" si="292"/>
        <v>2013</v>
      </c>
      <c r="N906" s="7">
        <f t="shared" si="280"/>
        <v>0.27272727272727271</v>
      </c>
      <c r="O906" s="7">
        <f t="shared" si="281"/>
        <v>0.18181818181818182</v>
      </c>
      <c r="P906" s="7">
        <f t="shared" si="282"/>
        <v>9.0909090909090912E-2</v>
      </c>
      <c r="Q906" s="7">
        <f t="shared" si="293"/>
        <v>0</v>
      </c>
      <c r="R906" s="10" t="str">
        <f t="shared" si="283"/>
        <v>0_Pre</v>
      </c>
      <c r="S906" s="10" t="str">
        <f t="shared" si="284"/>
        <v>0_Pre</v>
      </c>
      <c r="T906" s="10" t="str">
        <f t="shared" si="285"/>
        <v>0_Pre</v>
      </c>
      <c r="U906" s="10" t="str">
        <f t="shared" si="286"/>
        <v>1_Post</v>
      </c>
      <c r="V906" s="10" t="str">
        <f t="shared" si="294"/>
        <v>0_Pre</v>
      </c>
      <c r="W906" s="10" t="str">
        <f t="shared" si="287"/>
        <v>straddle</v>
      </c>
      <c r="X906" s="10" t="str">
        <f t="shared" si="288"/>
        <v>0_Pre</v>
      </c>
      <c r="Y906" s="10" t="str">
        <f t="shared" si="289"/>
        <v>0_Pre</v>
      </c>
      <c r="Z906" s="10" t="str">
        <f t="shared" si="290"/>
        <v>0_Pre</v>
      </c>
      <c r="AA906" s="10" t="str">
        <f t="shared" si="295"/>
        <v>1_Post</v>
      </c>
      <c r="AB906" s="10" t="str">
        <f t="shared" si="296"/>
        <v>1_Post</v>
      </c>
      <c r="AC906" s="10" t="str">
        <f t="shared" si="297"/>
        <v>0_Pre</v>
      </c>
      <c r="AD906" s="10" t="str">
        <f t="shared" si="298"/>
        <v>2_post sample median</v>
      </c>
      <c r="AE906" s="10" t="str">
        <f t="shared" si="299"/>
        <v>2_in sample second tertile</v>
      </c>
      <c r="AF906" t="s">
        <v>67</v>
      </c>
      <c r="AG906" t="s">
        <v>75</v>
      </c>
      <c r="AH906" t="s">
        <v>78</v>
      </c>
      <c r="AI906" t="s">
        <v>70</v>
      </c>
      <c r="AJ906" t="s">
        <v>70</v>
      </c>
      <c r="AK906" t="str">
        <f>VLOOKUP(MID($AR906,1,255),country_lookup!$B:$F,2,FALSE)</f>
        <v>99_NCE</v>
      </c>
      <c r="AL906" t="str">
        <f>VLOOKUP(MID($AR906,1,255),country_lookup!$B:$F,3,FALSE)</f>
        <v>99_NCE</v>
      </c>
      <c r="AM906" t="str">
        <f>VLOOKUP(MID($AR906,1,255),country_lookup!$B:$F,4,FALSE)</f>
        <v>99_NCE</v>
      </c>
      <c r="AN906" t="str">
        <f>VLOOKUP(MID($AR906,1,255),country_lookup!$B:$F,5,FALSE)</f>
        <v>99_NCE</v>
      </c>
      <c r="AO906" s="10" t="str">
        <f>VLOOKUP(MID($AS906,1,255),source_lookup!$B:$K,4,FALSE)</f>
        <v>1_not published</v>
      </c>
      <c r="AP906" s="10" t="str">
        <f>VLOOKUP(MID($AS906,1,255),source_lookup!$B:$K,6,FALSE)</f>
        <v>99_NA</v>
      </c>
      <c r="AQ906" s="10" t="str">
        <f>VLOOKUP(MID($AS906,1,255),source_lookup!$B:$K,10,FALSE)</f>
        <v>1_fin/acc/econ</v>
      </c>
      <c r="AR906" t="s">
        <v>107</v>
      </c>
      <c r="AS906" t="s">
        <v>166</v>
      </c>
    </row>
    <row r="907" spans="1:45" x14ac:dyDescent="0.3">
      <c r="A907" t="s">
        <v>43</v>
      </c>
      <c r="B907">
        <v>906</v>
      </c>
      <c r="C907" s="1">
        <v>0.15950382528634235</v>
      </c>
      <c r="D907" s="2">
        <v>17</v>
      </c>
      <c r="E907" s="4">
        <v>187</v>
      </c>
      <c r="F907" s="4" t="s">
        <v>347</v>
      </c>
      <c r="G907" s="4" t="s">
        <v>346</v>
      </c>
      <c r="H907" t="s">
        <v>77</v>
      </c>
      <c r="I907" t="s">
        <v>352</v>
      </c>
      <c r="J907" s="3">
        <v>2008</v>
      </c>
      <c r="K907" s="3">
        <v>2018</v>
      </c>
      <c r="L907" s="6">
        <f t="shared" si="291"/>
        <v>2013</v>
      </c>
      <c r="M907" s="6">
        <f t="shared" si="292"/>
        <v>2013</v>
      </c>
      <c r="N907" s="7">
        <f t="shared" si="280"/>
        <v>0.27272727272727271</v>
      </c>
      <c r="O907" s="7">
        <f t="shared" si="281"/>
        <v>0.18181818181818182</v>
      </c>
      <c r="P907" s="7">
        <f t="shared" si="282"/>
        <v>9.0909090909090912E-2</v>
      </c>
      <c r="Q907" s="7">
        <f t="shared" si="293"/>
        <v>0</v>
      </c>
      <c r="R907" s="10" t="str">
        <f t="shared" si="283"/>
        <v>0_Pre</v>
      </c>
      <c r="S907" s="10" t="str">
        <f t="shared" si="284"/>
        <v>0_Pre</v>
      </c>
      <c r="T907" s="10" t="str">
        <f t="shared" si="285"/>
        <v>0_Pre</v>
      </c>
      <c r="U907" s="10" t="str">
        <f t="shared" si="286"/>
        <v>1_Post</v>
      </c>
      <c r="V907" s="10" t="str">
        <f t="shared" si="294"/>
        <v>0_Pre</v>
      </c>
      <c r="W907" s="10" t="str">
        <f t="shared" si="287"/>
        <v>straddle</v>
      </c>
      <c r="X907" s="10" t="str">
        <f t="shared" si="288"/>
        <v>0_Pre</v>
      </c>
      <c r="Y907" s="10" t="str">
        <f t="shared" si="289"/>
        <v>0_Pre</v>
      </c>
      <c r="Z907" s="10" t="str">
        <f t="shared" si="290"/>
        <v>0_Pre</v>
      </c>
      <c r="AA907" s="10" t="str">
        <f t="shared" si="295"/>
        <v>1_Post</v>
      </c>
      <c r="AB907" s="10" t="str">
        <f t="shared" si="296"/>
        <v>1_Post</v>
      </c>
      <c r="AC907" s="10" t="str">
        <f t="shared" si="297"/>
        <v>0_Pre</v>
      </c>
      <c r="AD907" s="10" t="str">
        <f t="shared" si="298"/>
        <v>2_post sample median</v>
      </c>
      <c r="AE907" s="10" t="str">
        <f t="shared" si="299"/>
        <v>2_in sample second tertile</v>
      </c>
      <c r="AF907" t="s">
        <v>67</v>
      </c>
      <c r="AG907" t="s">
        <v>75</v>
      </c>
      <c r="AH907" t="s">
        <v>78</v>
      </c>
      <c r="AI907" t="s">
        <v>70</v>
      </c>
      <c r="AJ907" t="s">
        <v>70</v>
      </c>
      <c r="AK907" t="str">
        <f>VLOOKUP(MID($AR907,1,255),country_lookup!$B:$F,2,FALSE)</f>
        <v>3_AsiaPac</v>
      </c>
      <c r="AL907" t="str">
        <f>VLOOKUP(MID($AR907,1,255),country_lookup!$B:$F,3,FALSE)</f>
        <v>99_NCE</v>
      </c>
      <c r="AM907" t="str">
        <f>VLOOKUP(MID($AR907,1,255),country_lookup!$B:$F,4,FALSE)</f>
        <v>99_NCE</v>
      </c>
      <c r="AN907" t="str">
        <f>VLOOKUP(MID($AR907,1,255),country_lookup!$B:$F,5,FALSE)</f>
        <v>99_NCE</v>
      </c>
      <c r="AO907" s="10" t="str">
        <f>VLOOKUP(MID($AS907,1,255),source_lookup!$B:$K,4,FALSE)</f>
        <v>1_not published</v>
      </c>
      <c r="AP907" s="10" t="str">
        <f>VLOOKUP(MID($AS907,1,255),source_lookup!$B:$K,6,FALSE)</f>
        <v>99_NA</v>
      </c>
      <c r="AQ907" s="10" t="str">
        <f>VLOOKUP(MID($AS907,1,255),source_lookup!$B:$K,10,FALSE)</f>
        <v>1_fin/acc/econ</v>
      </c>
      <c r="AR907" t="s">
        <v>108</v>
      </c>
      <c r="AS907" t="s">
        <v>166</v>
      </c>
    </row>
    <row r="908" spans="1:45" x14ac:dyDescent="0.3">
      <c r="A908" t="s">
        <v>43</v>
      </c>
      <c r="B908">
        <v>907</v>
      </c>
      <c r="C908" s="1">
        <v>5.7287903648997246E-2</v>
      </c>
      <c r="D908" s="2">
        <v>17</v>
      </c>
      <c r="E908" s="4">
        <v>187</v>
      </c>
      <c r="F908" s="4" t="s">
        <v>347</v>
      </c>
      <c r="G908" s="4" t="s">
        <v>346</v>
      </c>
      <c r="H908" t="s">
        <v>77</v>
      </c>
      <c r="I908" t="s">
        <v>352</v>
      </c>
      <c r="J908" s="3">
        <v>2008</v>
      </c>
      <c r="K908" s="3">
        <v>2018</v>
      </c>
      <c r="L908" s="6">
        <f t="shared" si="291"/>
        <v>2013</v>
      </c>
      <c r="M908" s="6">
        <f t="shared" si="292"/>
        <v>2013</v>
      </c>
      <c r="N908" s="7">
        <f t="shared" si="280"/>
        <v>0.27272727272727271</v>
      </c>
      <c r="O908" s="7">
        <f t="shared" si="281"/>
        <v>0.18181818181818182</v>
      </c>
      <c r="P908" s="7">
        <f t="shared" si="282"/>
        <v>9.0909090909090912E-2</v>
      </c>
      <c r="Q908" s="7">
        <f t="shared" si="293"/>
        <v>0</v>
      </c>
      <c r="R908" s="10" t="str">
        <f t="shared" si="283"/>
        <v>0_Pre</v>
      </c>
      <c r="S908" s="10" t="str">
        <f t="shared" si="284"/>
        <v>0_Pre</v>
      </c>
      <c r="T908" s="10" t="str">
        <f t="shared" si="285"/>
        <v>0_Pre</v>
      </c>
      <c r="U908" s="10" t="str">
        <f t="shared" si="286"/>
        <v>1_Post</v>
      </c>
      <c r="V908" s="10" t="str">
        <f t="shared" si="294"/>
        <v>0_Pre</v>
      </c>
      <c r="W908" s="10" t="str">
        <f t="shared" si="287"/>
        <v>straddle</v>
      </c>
      <c r="X908" s="10" t="str">
        <f t="shared" si="288"/>
        <v>0_Pre</v>
      </c>
      <c r="Y908" s="10" t="str">
        <f t="shared" si="289"/>
        <v>0_Pre</v>
      </c>
      <c r="Z908" s="10" t="str">
        <f t="shared" si="290"/>
        <v>0_Pre</v>
      </c>
      <c r="AA908" s="10" t="str">
        <f t="shared" si="295"/>
        <v>1_Post</v>
      </c>
      <c r="AB908" s="10" t="str">
        <f t="shared" si="296"/>
        <v>1_Post</v>
      </c>
      <c r="AC908" s="10" t="str">
        <f t="shared" si="297"/>
        <v>0_Pre</v>
      </c>
      <c r="AD908" s="10" t="str">
        <f t="shared" si="298"/>
        <v>2_post sample median</v>
      </c>
      <c r="AE908" s="10" t="str">
        <f t="shared" si="299"/>
        <v>2_in sample second tertile</v>
      </c>
      <c r="AF908" t="s">
        <v>67</v>
      </c>
      <c r="AG908" t="s">
        <v>75</v>
      </c>
      <c r="AH908" t="s">
        <v>78</v>
      </c>
      <c r="AI908" t="s">
        <v>70</v>
      </c>
      <c r="AJ908" t="s">
        <v>123</v>
      </c>
      <c r="AK908" t="str">
        <f>VLOOKUP(MID($AR908,1,255),country_lookup!$B:$F,2,FALSE)</f>
        <v>3_AsiaPac</v>
      </c>
      <c r="AL908" t="str">
        <f>VLOOKUP(MID($AR908,1,255),country_lookup!$B:$F,3,FALSE)</f>
        <v>99_NCE</v>
      </c>
      <c r="AM908" t="str">
        <f>VLOOKUP(MID($AR908,1,255),country_lookup!$B:$F,4,FALSE)</f>
        <v>99_NCE</v>
      </c>
      <c r="AN908" t="str">
        <f>VLOOKUP(MID($AR908,1,255),country_lookup!$B:$F,5,FALSE)</f>
        <v>99_NCE</v>
      </c>
      <c r="AO908" s="10" t="str">
        <f>VLOOKUP(MID($AS908,1,255),source_lookup!$B:$K,4,FALSE)</f>
        <v>1_not published</v>
      </c>
      <c r="AP908" s="10" t="str">
        <f>VLOOKUP(MID($AS908,1,255),source_lookup!$B:$K,6,FALSE)</f>
        <v>99_NA</v>
      </c>
      <c r="AQ908" s="10" t="str">
        <f>VLOOKUP(MID($AS908,1,255),source_lookup!$B:$K,10,FALSE)</f>
        <v>1_fin/acc/econ</v>
      </c>
      <c r="AR908" t="s">
        <v>108</v>
      </c>
      <c r="AS908" t="s">
        <v>166</v>
      </c>
    </row>
    <row r="909" spans="1:45" x14ac:dyDescent="0.3">
      <c r="A909" t="s">
        <v>43</v>
      </c>
      <c r="B909">
        <v>908</v>
      </c>
      <c r="C909" s="1">
        <v>6.2730040986573379E-2</v>
      </c>
      <c r="D909" s="2">
        <v>33</v>
      </c>
      <c r="E909" s="4">
        <v>360</v>
      </c>
      <c r="F909" s="4" t="s">
        <v>347</v>
      </c>
      <c r="G909" s="4" t="s">
        <v>346</v>
      </c>
      <c r="H909" t="s">
        <v>77</v>
      </c>
      <c r="I909" t="s">
        <v>352</v>
      </c>
      <c r="J909" s="3">
        <v>2008</v>
      </c>
      <c r="K909" s="3">
        <v>2018</v>
      </c>
      <c r="L909" s="6">
        <f t="shared" si="291"/>
        <v>2013</v>
      </c>
      <c r="M909" s="6">
        <f t="shared" si="292"/>
        <v>2013</v>
      </c>
      <c r="N909" s="7">
        <f t="shared" si="280"/>
        <v>0.27272727272727271</v>
      </c>
      <c r="O909" s="7">
        <f t="shared" si="281"/>
        <v>0.18181818181818182</v>
      </c>
      <c r="P909" s="7">
        <f t="shared" si="282"/>
        <v>9.0909090909090912E-2</v>
      </c>
      <c r="Q909" s="7">
        <f t="shared" si="293"/>
        <v>0</v>
      </c>
      <c r="R909" s="10" t="str">
        <f t="shared" si="283"/>
        <v>0_Pre</v>
      </c>
      <c r="S909" s="10" t="str">
        <f t="shared" si="284"/>
        <v>0_Pre</v>
      </c>
      <c r="T909" s="10" t="str">
        <f t="shared" si="285"/>
        <v>0_Pre</v>
      </c>
      <c r="U909" s="10" t="str">
        <f t="shared" si="286"/>
        <v>1_Post</v>
      </c>
      <c r="V909" s="10" t="str">
        <f t="shared" si="294"/>
        <v>0_Pre</v>
      </c>
      <c r="W909" s="10" t="str">
        <f t="shared" si="287"/>
        <v>straddle</v>
      </c>
      <c r="X909" s="10" t="str">
        <f t="shared" si="288"/>
        <v>0_Pre</v>
      </c>
      <c r="Y909" s="10" t="str">
        <f t="shared" si="289"/>
        <v>0_Pre</v>
      </c>
      <c r="Z909" s="10" t="str">
        <f t="shared" si="290"/>
        <v>0_Pre</v>
      </c>
      <c r="AA909" s="10" t="str">
        <f t="shared" si="295"/>
        <v>1_Post</v>
      </c>
      <c r="AB909" s="10" t="str">
        <f t="shared" si="296"/>
        <v>1_Post</v>
      </c>
      <c r="AC909" s="10" t="str">
        <f t="shared" si="297"/>
        <v>0_Pre</v>
      </c>
      <c r="AD909" s="10" t="str">
        <f t="shared" si="298"/>
        <v>2_post sample median</v>
      </c>
      <c r="AE909" s="10" t="str">
        <f t="shared" si="299"/>
        <v>2_in sample second tertile</v>
      </c>
      <c r="AF909" t="s">
        <v>67</v>
      </c>
      <c r="AG909" t="s">
        <v>75</v>
      </c>
      <c r="AH909" t="s">
        <v>78</v>
      </c>
      <c r="AI909" t="s">
        <v>70</v>
      </c>
      <c r="AJ909" t="s">
        <v>70</v>
      </c>
      <c r="AK909" t="str">
        <f>VLOOKUP(MID($AR909,1,255),country_lookup!$B:$F,2,FALSE)</f>
        <v>99_NCE</v>
      </c>
      <c r="AL909" t="str">
        <f>VLOOKUP(MID($AR909,1,255),country_lookup!$B:$F,3,FALSE)</f>
        <v>99_NCE</v>
      </c>
      <c r="AM909" t="str">
        <f>VLOOKUP(MID($AR909,1,255),country_lookup!$B:$F,4,FALSE)</f>
        <v>99_NCE</v>
      </c>
      <c r="AN909" t="str">
        <f>VLOOKUP(MID($AR909,1,255),country_lookup!$B:$F,5,FALSE)</f>
        <v>99_NCE</v>
      </c>
      <c r="AO909" s="10" t="str">
        <f>VLOOKUP(MID($AS909,1,255),source_lookup!$B:$K,4,FALSE)</f>
        <v>1_not published</v>
      </c>
      <c r="AP909" s="10" t="str">
        <f>VLOOKUP(MID($AS909,1,255),source_lookup!$B:$K,6,FALSE)</f>
        <v>99_NA</v>
      </c>
      <c r="AQ909" s="10" t="str">
        <f>VLOOKUP(MID($AS909,1,255),source_lookup!$B:$K,10,FALSE)</f>
        <v>1_fin/acc/econ</v>
      </c>
      <c r="AR909" t="s">
        <v>109</v>
      </c>
      <c r="AS909" t="s">
        <v>166</v>
      </c>
    </row>
    <row r="910" spans="1:45" x14ac:dyDescent="0.3">
      <c r="A910" t="s">
        <v>43</v>
      </c>
      <c r="B910">
        <v>909</v>
      </c>
      <c r="C910" s="1">
        <v>-0.23104610988006724</v>
      </c>
      <c r="D910" s="2">
        <v>33</v>
      </c>
      <c r="E910" s="4">
        <v>360</v>
      </c>
      <c r="F910" s="4" t="s">
        <v>347</v>
      </c>
      <c r="G910" s="4" t="s">
        <v>346</v>
      </c>
      <c r="H910" t="s">
        <v>77</v>
      </c>
      <c r="I910" t="s">
        <v>352</v>
      </c>
      <c r="J910" s="3">
        <v>2008</v>
      </c>
      <c r="K910" s="3">
        <v>2018</v>
      </c>
      <c r="L910" s="6">
        <f t="shared" si="291"/>
        <v>2013</v>
      </c>
      <c r="M910" s="6">
        <f t="shared" si="292"/>
        <v>2013</v>
      </c>
      <c r="N910" s="7">
        <f t="shared" si="280"/>
        <v>0.27272727272727271</v>
      </c>
      <c r="O910" s="7">
        <f t="shared" si="281"/>
        <v>0.18181818181818182</v>
      </c>
      <c r="P910" s="7">
        <f t="shared" si="282"/>
        <v>9.0909090909090912E-2</v>
      </c>
      <c r="Q910" s="7">
        <f t="shared" si="293"/>
        <v>0</v>
      </c>
      <c r="R910" s="10" t="str">
        <f t="shared" si="283"/>
        <v>0_Pre</v>
      </c>
      <c r="S910" s="10" t="str">
        <f t="shared" si="284"/>
        <v>0_Pre</v>
      </c>
      <c r="T910" s="10" t="str">
        <f t="shared" si="285"/>
        <v>0_Pre</v>
      </c>
      <c r="U910" s="10" t="str">
        <f t="shared" si="286"/>
        <v>1_Post</v>
      </c>
      <c r="V910" s="10" t="str">
        <f t="shared" si="294"/>
        <v>0_Pre</v>
      </c>
      <c r="W910" s="10" t="str">
        <f t="shared" si="287"/>
        <v>straddle</v>
      </c>
      <c r="X910" s="10" t="str">
        <f t="shared" si="288"/>
        <v>0_Pre</v>
      </c>
      <c r="Y910" s="10" t="str">
        <f t="shared" si="289"/>
        <v>0_Pre</v>
      </c>
      <c r="Z910" s="10" t="str">
        <f t="shared" si="290"/>
        <v>0_Pre</v>
      </c>
      <c r="AA910" s="10" t="str">
        <f t="shared" si="295"/>
        <v>1_Post</v>
      </c>
      <c r="AB910" s="10" t="str">
        <f t="shared" si="296"/>
        <v>1_Post</v>
      </c>
      <c r="AC910" s="10" t="str">
        <f t="shared" si="297"/>
        <v>0_Pre</v>
      </c>
      <c r="AD910" s="10" t="str">
        <f t="shared" si="298"/>
        <v>2_post sample median</v>
      </c>
      <c r="AE910" s="10" t="str">
        <f t="shared" si="299"/>
        <v>2_in sample second tertile</v>
      </c>
      <c r="AF910" t="s">
        <v>67</v>
      </c>
      <c r="AG910" t="s">
        <v>75</v>
      </c>
      <c r="AH910" t="s">
        <v>78</v>
      </c>
      <c r="AI910" t="s">
        <v>70</v>
      </c>
      <c r="AJ910" t="s">
        <v>70</v>
      </c>
      <c r="AK910" t="str">
        <f>VLOOKUP(MID($AR910,1,255),country_lookup!$B:$F,2,FALSE)</f>
        <v>99_NCE</v>
      </c>
      <c r="AL910" t="str">
        <f>VLOOKUP(MID($AR910,1,255),country_lookup!$B:$F,3,FALSE)</f>
        <v>99_NCE</v>
      </c>
      <c r="AM910" t="str">
        <f>VLOOKUP(MID($AR910,1,255),country_lookup!$B:$F,4,FALSE)</f>
        <v>99_NCE</v>
      </c>
      <c r="AN910" t="str">
        <f>VLOOKUP(MID($AR910,1,255),country_lookup!$B:$F,5,FALSE)</f>
        <v>99_NCE</v>
      </c>
      <c r="AO910" s="10" t="str">
        <f>VLOOKUP(MID($AS910,1,255),source_lookup!$B:$K,4,FALSE)</f>
        <v>1_not published</v>
      </c>
      <c r="AP910" s="10" t="str">
        <f>VLOOKUP(MID($AS910,1,255),source_lookup!$B:$K,6,FALSE)</f>
        <v>99_NA</v>
      </c>
      <c r="AQ910" s="10" t="str">
        <f>VLOOKUP(MID($AS910,1,255),source_lookup!$B:$K,10,FALSE)</f>
        <v>1_fin/acc/econ</v>
      </c>
      <c r="AR910" t="s">
        <v>109</v>
      </c>
      <c r="AS910" t="s">
        <v>166</v>
      </c>
    </row>
    <row r="911" spans="1:45" x14ac:dyDescent="0.3">
      <c r="A911" t="s">
        <v>43</v>
      </c>
      <c r="B911">
        <v>910</v>
      </c>
      <c r="C911" s="1">
        <v>-0.11521292209411041</v>
      </c>
      <c r="D911" s="2">
        <v>68</v>
      </c>
      <c r="E911" s="4">
        <v>747</v>
      </c>
      <c r="F911" s="4" t="s">
        <v>347</v>
      </c>
      <c r="G911" s="4" t="s">
        <v>346</v>
      </c>
      <c r="H911" t="s">
        <v>77</v>
      </c>
      <c r="I911" t="s">
        <v>352</v>
      </c>
      <c r="J911" s="3">
        <v>2008</v>
      </c>
      <c r="K911" s="3">
        <v>2018</v>
      </c>
      <c r="L911" s="6">
        <f t="shared" si="291"/>
        <v>2013</v>
      </c>
      <c r="M911" s="6">
        <f t="shared" si="292"/>
        <v>2013</v>
      </c>
      <c r="N911" s="7">
        <f t="shared" si="280"/>
        <v>0.27272727272727271</v>
      </c>
      <c r="O911" s="7">
        <f t="shared" si="281"/>
        <v>0.18181818181818182</v>
      </c>
      <c r="P911" s="7">
        <f t="shared" si="282"/>
        <v>9.0909090909090912E-2</v>
      </c>
      <c r="Q911" s="7">
        <f t="shared" si="293"/>
        <v>0</v>
      </c>
      <c r="R911" s="10" t="str">
        <f t="shared" si="283"/>
        <v>0_Pre</v>
      </c>
      <c r="S911" s="10" t="str">
        <f t="shared" si="284"/>
        <v>0_Pre</v>
      </c>
      <c r="T911" s="10" t="str">
        <f t="shared" si="285"/>
        <v>0_Pre</v>
      </c>
      <c r="U911" s="10" t="str">
        <f t="shared" si="286"/>
        <v>1_Post</v>
      </c>
      <c r="V911" s="10" t="str">
        <f t="shared" si="294"/>
        <v>0_Pre</v>
      </c>
      <c r="W911" s="10" t="str">
        <f t="shared" si="287"/>
        <v>straddle</v>
      </c>
      <c r="X911" s="10" t="str">
        <f t="shared" si="288"/>
        <v>0_Pre</v>
      </c>
      <c r="Y911" s="10" t="str">
        <f t="shared" si="289"/>
        <v>0_Pre</v>
      </c>
      <c r="Z911" s="10" t="str">
        <f t="shared" si="290"/>
        <v>0_Pre</v>
      </c>
      <c r="AA911" s="10" t="str">
        <f t="shared" si="295"/>
        <v>1_Post</v>
      </c>
      <c r="AB911" s="10" t="str">
        <f t="shared" si="296"/>
        <v>1_Post</v>
      </c>
      <c r="AC911" s="10" t="str">
        <f t="shared" si="297"/>
        <v>0_Pre</v>
      </c>
      <c r="AD911" s="10" t="str">
        <f t="shared" si="298"/>
        <v>2_post sample median</v>
      </c>
      <c r="AE911" s="10" t="str">
        <f t="shared" si="299"/>
        <v>2_in sample second tertile</v>
      </c>
      <c r="AF911" t="s">
        <v>67</v>
      </c>
      <c r="AG911" t="s">
        <v>75</v>
      </c>
      <c r="AH911" t="s">
        <v>78</v>
      </c>
      <c r="AI911" t="s">
        <v>70</v>
      </c>
      <c r="AJ911" t="s">
        <v>70</v>
      </c>
      <c r="AK911" t="str">
        <f>VLOOKUP(MID($AR911,1,255),country_lookup!$B:$F,2,FALSE)</f>
        <v>99_NCE</v>
      </c>
      <c r="AL911" t="str">
        <f>VLOOKUP(MID($AR911,1,255),country_lookup!$B:$F,3,FALSE)</f>
        <v>99_NCE</v>
      </c>
      <c r="AM911" t="str">
        <f>VLOOKUP(MID($AR911,1,255),country_lookup!$B:$F,4,FALSE)</f>
        <v>99_NCE</v>
      </c>
      <c r="AN911" t="str">
        <f>VLOOKUP(MID($AR911,1,255),country_lookup!$B:$F,5,FALSE)</f>
        <v>99_NCE</v>
      </c>
      <c r="AO911" s="10" t="str">
        <f>VLOOKUP(MID($AS911,1,255),source_lookup!$B:$K,4,FALSE)</f>
        <v>1_not published</v>
      </c>
      <c r="AP911" s="10" t="str">
        <f>VLOOKUP(MID($AS911,1,255),source_lookup!$B:$K,6,FALSE)</f>
        <v>99_NA</v>
      </c>
      <c r="AQ911" s="10" t="str">
        <f>VLOOKUP(MID($AS911,1,255),source_lookup!$B:$K,10,FALSE)</f>
        <v>1_fin/acc/econ</v>
      </c>
      <c r="AR911" t="s">
        <v>107</v>
      </c>
      <c r="AS911" t="s">
        <v>166</v>
      </c>
    </row>
    <row r="912" spans="1:45" x14ac:dyDescent="0.3">
      <c r="A912" t="s">
        <v>43</v>
      </c>
      <c r="B912">
        <v>911</v>
      </c>
      <c r="C912" s="1">
        <v>-0.4968009428825324</v>
      </c>
      <c r="D912" s="2">
        <v>73</v>
      </c>
      <c r="E912" s="4">
        <v>802</v>
      </c>
      <c r="F912" s="4" t="s">
        <v>347</v>
      </c>
      <c r="G912" s="4" t="s">
        <v>346</v>
      </c>
      <c r="H912" t="s">
        <v>77</v>
      </c>
      <c r="I912" t="s">
        <v>352</v>
      </c>
      <c r="J912" s="3">
        <v>2008</v>
      </c>
      <c r="K912" s="3">
        <v>2018</v>
      </c>
      <c r="L912" s="6">
        <f t="shared" si="291"/>
        <v>2013</v>
      </c>
      <c r="M912" s="6">
        <f t="shared" si="292"/>
        <v>2013</v>
      </c>
      <c r="N912" s="7">
        <f t="shared" si="280"/>
        <v>0.27272727272727271</v>
      </c>
      <c r="O912" s="7">
        <f t="shared" si="281"/>
        <v>0.18181818181818182</v>
      </c>
      <c r="P912" s="7">
        <f t="shared" si="282"/>
        <v>9.0909090909090912E-2</v>
      </c>
      <c r="Q912" s="7">
        <f t="shared" si="293"/>
        <v>0</v>
      </c>
      <c r="R912" s="10" t="str">
        <f t="shared" si="283"/>
        <v>0_Pre</v>
      </c>
      <c r="S912" s="10" t="str">
        <f t="shared" si="284"/>
        <v>0_Pre</v>
      </c>
      <c r="T912" s="10" t="str">
        <f t="shared" si="285"/>
        <v>0_Pre</v>
      </c>
      <c r="U912" s="10" t="str">
        <f t="shared" si="286"/>
        <v>1_Post</v>
      </c>
      <c r="V912" s="10" t="str">
        <f t="shared" si="294"/>
        <v>0_Pre</v>
      </c>
      <c r="W912" s="10" t="str">
        <f t="shared" si="287"/>
        <v>straddle</v>
      </c>
      <c r="X912" s="10" t="str">
        <f t="shared" si="288"/>
        <v>0_Pre</v>
      </c>
      <c r="Y912" s="10" t="str">
        <f t="shared" si="289"/>
        <v>0_Pre</v>
      </c>
      <c r="Z912" s="10" t="str">
        <f t="shared" si="290"/>
        <v>0_Pre</v>
      </c>
      <c r="AA912" s="10" t="str">
        <f t="shared" si="295"/>
        <v>1_Post</v>
      </c>
      <c r="AB912" s="10" t="str">
        <f t="shared" si="296"/>
        <v>1_Post</v>
      </c>
      <c r="AC912" s="10" t="str">
        <f t="shared" si="297"/>
        <v>0_Pre</v>
      </c>
      <c r="AD912" s="10" t="str">
        <f t="shared" si="298"/>
        <v>2_post sample median</v>
      </c>
      <c r="AE912" s="10" t="str">
        <f t="shared" si="299"/>
        <v>2_in sample second tertile</v>
      </c>
      <c r="AF912" t="s">
        <v>67</v>
      </c>
      <c r="AG912" t="s">
        <v>75</v>
      </c>
      <c r="AH912" t="s">
        <v>78</v>
      </c>
      <c r="AI912" t="s">
        <v>70</v>
      </c>
      <c r="AJ912" t="s">
        <v>70</v>
      </c>
      <c r="AK912" t="str">
        <f>VLOOKUP(MID($AR912,1,255),country_lookup!$B:$F,2,FALSE)</f>
        <v>99_NCE</v>
      </c>
      <c r="AL912" t="str">
        <f>VLOOKUP(MID($AR912,1,255),country_lookup!$B:$F,3,FALSE)</f>
        <v>99_NCE</v>
      </c>
      <c r="AM912" t="str">
        <f>VLOOKUP(MID($AR912,1,255),country_lookup!$B:$F,4,FALSE)</f>
        <v>99_NCE</v>
      </c>
      <c r="AN912" t="str">
        <f>VLOOKUP(MID($AR912,1,255),country_lookup!$B:$F,5,FALSE)</f>
        <v>99_NCE</v>
      </c>
      <c r="AO912" s="10" t="str">
        <f>VLOOKUP(MID($AS912,1,255),source_lookup!$B:$K,4,FALSE)</f>
        <v>1_not published</v>
      </c>
      <c r="AP912" s="10" t="str">
        <f>VLOOKUP(MID($AS912,1,255),source_lookup!$B:$K,6,FALSE)</f>
        <v>99_NA</v>
      </c>
      <c r="AQ912" s="10" t="str">
        <f>VLOOKUP(MID($AS912,1,255),source_lookup!$B:$K,10,FALSE)</f>
        <v>1_fin/acc/econ</v>
      </c>
      <c r="AR912" t="s">
        <v>107</v>
      </c>
      <c r="AS912" t="s">
        <v>166</v>
      </c>
    </row>
    <row r="913" spans="1:45" x14ac:dyDescent="0.3">
      <c r="A913" t="s">
        <v>43</v>
      </c>
      <c r="B913">
        <v>912</v>
      </c>
      <c r="C913" s="1">
        <v>-0.27453318208570149</v>
      </c>
      <c r="D913" s="2">
        <v>13</v>
      </c>
      <c r="E913" s="4">
        <v>147</v>
      </c>
      <c r="F913" s="4" t="s">
        <v>347</v>
      </c>
      <c r="G913" s="4" t="s">
        <v>346</v>
      </c>
      <c r="H913" t="s">
        <v>77</v>
      </c>
      <c r="I913" t="s">
        <v>352</v>
      </c>
      <c r="J913" s="3">
        <v>2008</v>
      </c>
      <c r="K913" s="3">
        <v>2018</v>
      </c>
      <c r="L913" s="6">
        <f t="shared" si="291"/>
        <v>2013</v>
      </c>
      <c r="M913" s="6">
        <f t="shared" si="292"/>
        <v>2013</v>
      </c>
      <c r="N913" s="7">
        <f t="shared" si="280"/>
        <v>0.27272727272727271</v>
      </c>
      <c r="O913" s="7">
        <f t="shared" si="281"/>
        <v>0.18181818181818182</v>
      </c>
      <c r="P913" s="7">
        <f t="shared" si="282"/>
        <v>9.0909090909090912E-2</v>
      </c>
      <c r="Q913" s="7">
        <f t="shared" si="293"/>
        <v>0</v>
      </c>
      <c r="R913" s="10" t="str">
        <f t="shared" si="283"/>
        <v>0_Pre</v>
      </c>
      <c r="S913" s="10" t="str">
        <f t="shared" si="284"/>
        <v>0_Pre</v>
      </c>
      <c r="T913" s="10" t="str">
        <f t="shared" si="285"/>
        <v>0_Pre</v>
      </c>
      <c r="U913" s="10" t="str">
        <f t="shared" si="286"/>
        <v>1_Post</v>
      </c>
      <c r="V913" s="10" t="str">
        <f t="shared" si="294"/>
        <v>0_Pre</v>
      </c>
      <c r="W913" s="10" t="str">
        <f t="shared" si="287"/>
        <v>straddle</v>
      </c>
      <c r="X913" s="10" t="str">
        <f t="shared" si="288"/>
        <v>0_Pre</v>
      </c>
      <c r="Y913" s="10" t="str">
        <f t="shared" si="289"/>
        <v>0_Pre</v>
      </c>
      <c r="Z913" s="10" t="str">
        <f t="shared" si="290"/>
        <v>0_Pre</v>
      </c>
      <c r="AA913" s="10" t="str">
        <f t="shared" si="295"/>
        <v>1_Post</v>
      </c>
      <c r="AB913" s="10" t="str">
        <f t="shared" si="296"/>
        <v>1_Post</v>
      </c>
      <c r="AC913" s="10" t="str">
        <f t="shared" si="297"/>
        <v>0_Pre</v>
      </c>
      <c r="AD913" s="10" t="str">
        <f t="shared" si="298"/>
        <v>2_post sample median</v>
      </c>
      <c r="AE913" s="10" t="str">
        <f t="shared" si="299"/>
        <v>2_in sample second tertile</v>
      </c>
      <c r="AF913" t="s">
        <v>67</v>
      </c>
      <c r="AG913" t="s">
        <v>75</v>
      </c>
      <c r="AH913" t="s">
        <v>78</v>
      </c>
      <c r="AI913" t="s">
        <v>70</v>
      </c>
      <c r="AJ913" t="s">
        <v>70</v>
      </c>
      <c r="AK913" t="str">
        <f>VLOOKUP(MID($AR913,1,255),country_lookup!$B:$F,2,FALSE)</f>
        <v>3_AsiaPac</v>
      </c>
      <c r="AL913" t="str">
        <f>VLOOKUP(MID($AR913,1,255),country_lookup!$B:$F,3,FALSE)</f>
        <v>99_NCE</v>
      </c>
      <c r="AM913" t="str">
        <f>VLOOKUP(MID($AR913,1,255),country_lookup!$B:$F,4,FALSE)</f>
        <v>99_NCE</v>
      </c>
      <c r="AN913" t="str">
        <f>VLOOKUP(MID($AR913,1,255),country_lookup!$B:$F,5,FALSE)</f>
        <v>99_NCE</v>
      </c>
      <c r="AO913" s="10" t="str">
        <f>VLOOKUP(MID($AS913,1,255),source_lookup!$B:$K,4,FALSE)</f>
        <v>1_not published</v>
      </c>
      <c r="AP913" s="10" t="str">
        <f>VLOOKUP(MID($AS913,1,255),source_lookup!$B:$K,6,FALSE)</f>
        <v>99_NA</v>
      </c>
      <c r="AQ913" s="10" t="str">
        <f>VLOOKUP(MID($AS913,1,255),source_lookup!$B:$K,10,FALSE)</f>
        <v>1_fin/acc/econ</v>
      </c>
      <c r="AR913" t="s">
        <v>108</v>
      </c>
      <c r="AS913" t="s">
        <v>166</v>
      </c>
    </row>
    <row r="914" spans="1:45" x14ac:dyDescent="0.3">
      <c r="A914" t="s">
        <v>43</v>
      </c>
      <c r="B914">
        <v>913</v>
      </c>
      <c r="C914" s="1">
        <v>-0.41298232081009589</v>
      </c>
      <c r="D914" s="2">
        <v>14</v>
      </c>
      <c r="E914" s="4">
        <v>157</v>
      </c>
      <c r="F914" s="4" t="s">
        <v>347</v>
      </c>
      <c r="G914" s="4" t="s">
        <v>346</v>
      </c>
      <c r="H914" t="s">
        <v>77</v>
      </c>
      <c r="I914" t="s">
        <v>352</v>
      </c>
      <c r="J914" s="3">
        <v>2008</v>
      </c>
      <c r="K914" s="3">
        <v>2018</v>
      </c>
      <c r="L914" s="6">
        <f t="shared" si="291"/>
        <v>2013</v>
      </c>
      <c r="M914" s="6">
        <f t="shared" si="292"/>
        <v>2013</v>
      </c>
      <c r="N914" s="7">
        <f t="shared" si="280"/>
        <v>0.27272727272727271</v>
      </c>
      <c r="O914" s="7">
        <f t="shared" si="281"/>
        <v>0.18181818181818182</v>
      </c>
      <c r="P914" s="7">
        <f t="shared" si="282"/>
        <v>9.0909090909090912E-2</v>
      </c>
      <c r="Q914" s="7">
        <f t="shared" si="293"/>
        <v>0</v>
      </c>
      <c r="R914" s="10" t="str">
        <f t="shared" si="283"/>
        <v>0_Pre</v>
      </c>
      <c r="S914" s="10" t="str">
        <f t="shared" si="284"/>
        <v>0_Pre</v>
      </c>
      <c r="T914" s="10" t="str">
        <f t="shared" si="285"/>
        <v>0_Pre</v>
      </c>
      <c r="U914" s="10" t="str">
        <f t="shared" si="286"/>
        <v>1_Post</v>
      </c>
      <c r="V914" s="10" t="str">
        <f t="shared" si="294"/>
        <v>0_Pre</v>
      </c>
      <c r="W914" s="10" t="str">
        <f t="shared" si="287"/>
        <v>straddle</v>
      </c>
      <c r="X914" s="10" t="str">
        <f t="shared" si="288"/>
        <v>0_Pre</v>
      </c>
      <c r="Y914" s="10" t="str">
        <f t="shared" si="289"/>
        <v>0_Pre</v>
      </c>
      <c r="Z914" s="10" t="str">
        <f t="shared" si="290"/>
        <v>0_Pre</v>
      </c>
      <c r="AA914" s="10" t="str">
        <f t="shared" si="295"/>
        <v>1_Post</v>
      </c>
      <c r="AB914" s="10" t="str">
        <f t="shared" si="296"/>
        <v>1_Post</v>
      </c>
      <c r="AC914" s="10" t="str">
        <f t="shared" si="297"/>
        <v>0_Pre</v>
      </c>
      <c r="AD914" s="10" t="str">
        <f t="shared" si="298"/>
        <v>2_post sample median</v>
      </c>
      <c r="AE914" s="10" t="str">
        <f t="shared" si="299"/>
        <v>2_in sample second tertile</v>
      </c>
      <c r="AF914" t="s">
        <v>67</v>
      </c>
      <c r="AG914" t="s">
        <v>75</v>
      </c>
      <c r="AH914" t="s">
        <v>78</v>
      </c>
      <c r="AI914" t="s">
        <v>70</v>
      </c>
      <c r="AJ914" t="s">
        <v>123</v>
      </c>
      <c r="AK914" t="str">
        <f>VLOOKUP(MID($AR914,1,255),country_lookup!$B:$F,2,FALSE)</f>
        <v>3_AsiaPac</v>
      </c>
      <c r="AL914" t="str">
        <f>VLOOKUP(MID($AR914,1,255),country_lookup!$B:$F,3,FALSE)</f>
        <v>99_NCE</v>
      </c>
      <c r="AM914" t="str">
        <f>VLOOKUP(MID($AR914,1,255),country_lookup!$B:$F,4,FALSE)</f>
        <v>99_NCE</v>
      </c>
      <c r="AN914" t="str">
        <f>VLOOKUP(MID($AR914,1,255),country_lookup!$B:$F,5,FALSE)</f>
        <v>99_NCE</v>
      </c>
      <c r="AO914" s="10" t="str">
        <f>VLOOKUP(MID($AS914,1,255),source_lookup!$B:$K,4,FALSE)</f>
        <v>1_not published</v>
      </c>
      <c r="AP914" s="10" t="str">
        <f>VLOOKUP(MID($AS914,1,255),source_lookup!$B:$K,6,FALSE)</f>
        <v>99_NA</v>
      </c>
      <c r="AQ914" s="10" t="str">
        <f>VLOOKUP(MID($AS914,1,255),source_lookup!$B:$K,10,FALSE)</f>
        <v>1_fin/acc/econ</v>
      </c>
      <c r="AR914" t="s">
        <v>108</v>
      </c>
      <c r="AS914" t="s">
        <v>166</v>
      </c>
    </row>
    <row r="915" spans="1:45" x14ac:dyDescent="0.3">
      <c r="A915" t="s">
        <v>43</v>
      </c>
      <c r="B915">
        <v>914</v>
      </c>
      <c r="C915" s="1">
        <v>-0.1330752556110136</v>
      </c>
      <c r="D915" s="2">
        <v>31</v>
      </c>
      <c r="E915" s="4">
        <v>340</v>
      </c>
      <c r="F915" s="4" t="s">
        <v>347</v>
      </c>
      <c r="G915" s="4" t="s">
        <v>346</v>
      </c>
      <c r="H915" t="s">
        <v>77</v>
      </c>
      <c r="I915" t="s">
        <v>352</v>
      </c>
      <c r="J915" s="3">
        <v>2008</v>
      </c>
      <c r="K915" s="3">
        <v>2018</v>
      </c>
      <c r="L915" s="6">
        <f t="shared" si="291"/>
        <v>2013</v>
      </c>
      <c r="M915" s="6">
        <f t="shared" si="292"/>
        <v>2013</v>
      </c>
      <c r="N915" s="7">
        <f t="shared" si="280"/>
        <v>0.27272727272727271</v>
      </c>
      <c r="O915" s="7">
        <f t="shared" si="281"/>
        <v>0.18181818181818182</v>
      </c>
      <c r="P915" s="7">
        <f t="shared" si="282"/>
        <v>9.0909090909090912E-2</v>
      </c>
      <c r="Q915" s="7">
        <f t="shared" si="293"/>
        <v>0</v>
      </c>
      <c r="R915" s="10" t="str">
        <f t="shared" si="283"/>
        <v>0_Pre</v>
      </c>
      <c r="S915" s="10" t="str">
        <f t="shared" si="284"/>
        <v>0_Pre</v>
      </c>
      <c r="T915" s="10" t="str">
        <f t="shared" si="285"/>
        <v>0_Pre</v>
      </c>
      <c r="U915" s="10" t="str">
        <f t="shared" si="286"/>
        <v>1_Post</v>
      </c>
      <c r="V915" s="10" t="str">
        <f t="shared" si="294"/>
        <v>0_Pre</v>
      </c>
      <c r="W915" s="10" t="str">
        <f t="shared" si="287"/>
        <v>straddle</v>
      </c>
      <c r="X915" s="10" t="str">
        <f t="shared" si="288"/>
        <v>0_Pre</v>
      </c>
      <c r="Y915" s="10" t="str">
        <f t="shared" si="289"/>
        <v>0_Pre</v>
      </c>
      <c r="Z915" s="10" t="str">
        <f t="shared" si="290"/>
        <v>0_Pre</v>
      </c>
      <c r="AA915" s="10" t="str">
        <f t="shared" si="295"/>
        <v>1_Post</v>
      </c>
      <c r="AB915" s="10" t="str">
        <f t="shared" si="296"/>
        <v>1_Post</v>
      </c>
      <c r="AC915" s="10" t="str">
        <f t="shared" si="297"/>
        <v>0_Pre</v>
      </c>
      <c r="AD915" s="10" t="str">
        <f t="shared" si="298"/>
        <v>2_post sample median</v>
      </c>
      <c r="AE915" s="10" t="str">
        <f t="shared" si="299"/>
        <v>2_in sample second tertile</v>
      </c>
      <c r="AF915" t="s">
        <v>67</v>
      </c>
      <c r="AG915" t="s">
        <v>75</v>
      </c>
      <c r="AH915" t="s">
        <v>78</v>
      </c>
      <c r="AI915" t="s">
        <v>70</v>
      </c>
      <c r="AJ915" t="s">
        <v>70</v>
      </c>
      <c r="AK915" t="str">
        <f>VLOOKUP(MID($AR915,1,255),country_lookup!$B:$F,2,FALSE)</f>
        <v>99_NCE</v>
      </c>
      <c r="AL915" t="str">
        <f>VLOOKUP(MID($AR915,1,255),country_lookup!$B:$F,3,FALSE)</f>
        <v>99_NCE</v>
      </c>
      <c r="AM915" t="str">
        <f>VLOOKUP(MID($AR915,1,255),country_lookup!$B:$F,4,FALSE)</f>
        <v>99_NCE</v>
      </c>
      <c r="AN915" t="str">
        <f>VLOOKUP(MID($AR915,1,255),country_lookup!$B:$F,5,FALSE)</f>
        <v>99_NCE</v>
      </c>
      <c r="AO915" s="10" t="str">
        <f>VLOOKUP(MID($AS915,1,255),source_lookup!$B:$K,4,FALSE)</f>
        <v>1_not published</v>
      </c>
      <c r="AP915" s="10" t="str">
        <f>VLOOKUP(MID($AS915,1,255),source_lookup!$B:$K,6,FALSE)</f>
        <v>99_NA</v>
      </c>
      <c r="AQ915" s="10" t="str">
        <f>VLOOKUP(MID($AS915,1,255),source_lookup!$B:$K,10,FALSE)</f>
        <v>1_fin/acc/econ</v>
      </c>
      <c r="AR915" t="s">
        <v>109</v>
      </c>
      <c r="AS915" t="s">
        <v>166</v>
      </c>
    </row>
    <row r="916" spans="1:45" x14ac:dyDescent="0.3">
      <c r="A916" t="s">
        <v>43</v>
      </c>
      <c r="B916">
        <v>915</v>
      </c>
      <c r="C916" s="1">
        <v>-0.38211935421883708</v>
      </c>
      <c r="D916" s="2">
        <v>32</v>
      </c>
      <c r="E916" s="4">
        <v>350</v>
      </c>
      <c r="F916" s="4" t="s">
        <v>347</v>
      </c>
      <c r="G916" s="4" t="s">
        <v>346</v>
      </c>
      <c r="H916" t="s">
        <v>77</v>
      </c>
      <c r="I916" t="s">
        <v>352</v>
      </c>
      <c r="J916" s="3">
        <v>2008</v>
      </c>
      <c r="K916" s="3">
        <v>2018</v>
      </c>
      <c r="L916" s="6">
        <f t="shared" si="291"/>
        <v>2013</v>
      </c>
      <c r="M916" s="6">
        <f t="shared" si="292"/>
        <v>2013</v>
      </c>
      <c r="N916" s="7">
        <f t="shared" si="280"/>
        <v>0.27272727272727271</v>
      </c>
      <c r="O916" s="7">
        <f t="shared" si="281"/>
        <v>0.18181818181818182</v>
      </c>
      <c r="P916" s="7">
        <f t="shared" si="282"/>
        <v>9.0909090909090912E-2</v>
      </c>
      <c r="Q916" s="7">
        <f t="shared" si="293"/>
        <v>0</v>
      </c>
      <c r="R916" s="10" t="str">
        <f t="shared" si="283"/>
        <v>0_Pre</v>
      </c>
      <c r="S916" s="10" t="str">
        <f t="shared" si="284"/>
        <v>0_Pre</v>
      </c>
      <c r="T916" s="10" t="str">
        <f t="shared" si="285"/>
        <v>0_Pre</v>
      </c>
      <c r="U916" s="10" t="str">
        <f t="shared" si="286"/>
        <v>1_Post</v>
      </c>
      <c r="V916" s="10" t="str">
        <f t="shared" si="294"/>
        <v>0_Pre</v>
      </c>
      <c r="W916" s="10" t="str">
        <f t="shared" si="287"/>
        <v>straddle</v>
      </c>
      <c r="X916" s="10" t="str">
        <f t="shared" si="288"/>
        <v>0_Pre</v>
      </c>
      <c r="Y916" s="10" t="str">
        <f t="shared" si="289"/>
        <v>0_Pre</v>
      </c>
      <c r="Z916" s="10" t="str">
        <f t="shared" si="290"/>
        <v>0_Pre</v>
      </c>
      <c r="AA916" s="10" t="str">
        <f t="shared" si="295"/>
        <v>1_Post</v>
      </c>
      <c r="AB916" s="10" t="str">
        <f t="shared" si="296"/>
        <v>1_Post</v>
      </c>
      <c r="AC916" s="10" t="str">
        <f t="shared" si="297"/>
        <v>0_Pre</v>
      </c>
      <c r="AD916" s="10" t="str">
        <f t="shared" si="298"/>
        <v>2_post sample median</v>
      </c>
      <c r="AE916" s="10" t="str">
        <f t="shared" si="299"/>
        <v>2_in sample second tertile</v>
      </c>
      <c r="AF916" t="s">
        <v>67</v>
      </c>
      <c r="AG916" t="s">
        <v>75</v>
      </c>
      <c r="AH916" t="s">
        <v>78</v>
      </c>
      <c r="AI916" t="s">
        <v>70</v>
      </c>
      <c r="AJ916" t="s">
        <v>70</v>
      </c>
      <c r="AK916" t="str">
        <f>VLOOKUP(MID($AR916,1,255),country_lookup!$B:$F,2,FALSE)</f>
        <v>99_NCE</v>
      </c>
      <c r="AL916" t="str">
        <f>VLOOKUP(MID($AR916,1,255),country_lookup!$B:$F,3,FALSE)</f>
        <v>99_NCE</v>
      </c>
      <c r="AM916" t="str">
        <f>VLOOKUP(MID($AR916,1,255),country_lookup!$B:$F,4,FALSE)</f>
        <v>99_NCE</v>
      </c>
      <c r="AN916" t="str">
        <f>VLOOKUP(MID($AR916,1,255),country_lookup!$B:$F,5,FALSE)</f>
        <v>99_NCE</v>
      </c>
      <c r="AO916" s="10" t="str">
        <f>VLOOKUP(MID($AS916,1,255),source_lookup!$B:$K,4,FALSE)</f>
        <v>1_not published</v>
      </c>
      <c r="AP916" s="10" t="str">
        <f>VLOOKUP(MID($AS916,1,255),source_lookup!$B:$K,6,FALSE)</f>
        <v>99_NA</v>
      </c>
      <c r="AQ916" s="10" t="str">
        <f>VLOOKUP(MID($AS916,1,255),source_lookup!$B:$K,10,FALSE)</f>
        <v>1_fin/acc/econ</v>
      </c>
      <c r="AR916" t="s">
        <v>109</v>
      </c>
      <c r="AS916" t="s">
        <v>166</v>
      </c>
    </row>
    <row r="917" spans="1:45" x14ac:dyDescent="0.3">
      <c r="A917" t="s">
        <v>44</v>
      </c>
      <c r="B917">
        <v>916</v>
      </c>
      <c r="C917" s="1">
        <v>1E-3</v>
      </c>
      <c r="D917" s="2">
        <v>32</v>
      </c>
      <c r="E917" s="4">
        <v>479</v>
      </c>
      <c r="F917" s="4" t="s">
        <v>347</v>
      </c>
      <c r="G917" s="4" t="s">
        <v>346</v>
      </c>
      <c r="H917" t="s">
        <v>76</v>
      </c>
      <c r="I917" t="s">
        <v>353</v>
      </c>
      <c r="J917" s="3">
        <v>2005</v>
      </c>
      <c r="K917" s="3">
        <v>2019</v>
      </c>
      <c r="L917" s="6">
        <f t="shared" si="291"/>
        <v>2012</v>
      </c>
      <c r="M917" s="6">
        <f t="shared" si="292"/>
        <v>2012</v>
      </c>
      <c r="N917" s="7">
        <f t="shared" si="280"/>
        <v>0.26666666666666666</v>
      </c>
      <c r="O917" s="7">
        <f t="shared" si="281"/>
        <v>0.2</v>
      </c>
      <c r="P917" s="7">
        <f t="shared" si="282"/>
        <v>0.13333333333333333</v>
      </c>
      <c r="Q917" s="7">
        <f t="shared" si="293"/>
        <v>6.6666666666666666E-2</v>
      </c>
      <c r="R917" s="10" t="str">
        <f t="shared" si="283"/>
        <v>0_Pre</v>
      </c>
      <c r="S917" s="10" t="str">
        <f t="shared" si="284"/>
        <v>0_Pre</v>
      </c>
      <c r="T917" s="10" t="str">
        <f t="shared" si="285"/>
        <v>0_Pre</v>
      </c>
      <c r="U917" s="10" t="str">
        <f t="shared" si="286"/>
        <v>1_Post</v>
      </c>
      <c r="V917" s="10" t="str">
        <f t="shared" si="294"/>
        <v>0_Pre</v>
      </c>
      <c r="W917" s="10" t="str">
        <f t="shared" si="287"/>
        <v>straddle</v>
      </c>
      <c r="X917" s="10" t="str">
        <f t="shared" si="288"/>
        <v>0_Pre</v>
      </c>
      <c r="Y917" s="10" t="str">
        <f t="shared" si="289"/>
        <v>0_Pre</v>
      </c>
      <c r="Z917" s="10" t="str">
        <f t="shared" si="290"/>
        <v>0_Pre</v>
      </c>
      <c r="AA917" s="10" t="str">
        <f t="shared" si="295"/>
        <v>1_Post</v>
      </c>
      <c r="AB917" s="10" t="str">
        <f t="shared" si="296"/>
        <v>1_Post</v>
      </c>
      <c r="AC917" s="10" t="str">
        <f t="shared" si="297"/>
        <v>1_Post</v>
      </c>
      <c r="AD917" s="10" t="str">
        <f t="shared" si="298"/>
        <v>2_post sample median</v>
      </c>
      <c r="AE917" s="10" t="str">
        <f t="shared" si="299"/>
        <v>2_in sample second tertile</v>
      </c>
      <c r="AF917" t="s">
        <v>80</v>
      </c>
      <c r="AG917" t="s">
        <v>75</v>
      </c>
      <c r="AH917" t="s">
        <v>78</v>
      </c>
      <c r="AI917" t="s">
        <v>123</v>
      </c>
      <c r="AJ917" t="s">
        <v>123</v>
      </c>
      <c r="AK917" t="str">
        <f>VLOOKUP(MID($AR917,1,255),country_lookup!$B:$F,2,FALSE)</f>
        <v>99_NCE</v>
      </c>
      <c r="AL917" t="str">
        <f>VLOOKUP(MID($AR917,1,255),country_lookup!$B:$F,3,FALSE)</f>
        <v>2_developing</v>
      </c>
      <c r="AM917" t="str">
        <f>VLOOKUP(MID($AR917,1,255),country_lookup!$B:$F,4,FALSE)</f>
        <v>2_non_western</v>
      </c>
      <c r="AN917" t="str">
        <f>VLOOKUP(MID($AR917,1,255),country_lookup!$B:$F,5,FALSE)</f>
        <v>1_common law</v>
      </c>
      <c r="AO917" s="10" t="str">
        <f>VLOOKUP(MID($AS917,1,255),source_lookup!$B:$K,4,FALSE)</f>
        <v>0_published</v>
      </c>
      <c r="AP917" s="10" t="str">
        <f>VLOOKUP(MID($AS917,1,255),source_lookup!$B:$K,6,FALSE)</f>
        <v>0_VHB low</v>
      </c>
      <c r="AQ917" s="10" t="str">
        <f>VLOOKUP(MID($AS917,1,255),source_lookup!$B:$K,10,FALSE)</f>
        <v>3_mgmt</v>
      </c>
      <c r="AR917" t="s">
        <v>110</v>
      </c>
      <c r="AS917" t="s">
        <v>167</v>
      </c>
    </row>
    <row r="918" spans="1:45" x14ac:dyDescent="0.3">
      <c r="A918" t="s">
        <v>44</v>
      </c>
      <c r="B918">
        <v>917</v>
      </c>
      <c r="C918" s="1">
        <v>1.0365900524650076E-2</v>
      </c>
      <c r="D918" s="2">
        <v>32</v>
      </c>
      <c r="E918" s="4">
        <v>479</v>
      </c>
      <c r="F918" s="4" t="s">
        <v>347</v>
      </c>
      <c r="G918" s="4" t="s">
        <v>346</v>
      </c>
      <c r="H918" t="s">
        <v>77</v>
      </c>
      <c r="I918" t="s">
        <v>350</v>
      </c>
      <c r="J918" s="3">
        <v>2005</v>
      </c>
      <c r="K918" s="3">
        <v>2019</v>
      </c>
      <c r="L918" s="6">
        <f t="shared" si="291"/>
        <v>2012</v>
      </c>
      <c r="M918" s="6">
        <f t="shared" si="292"/>
        <v>2012</v>
      </c>
      <c r="N918" s="7">
        <f t="shared" si="280"/>
        <v>0.26666666666666666</v>
      </c>
      <c r="O918" s="7">
        <f t="shared" si="281"/>
        <v>0.2</v>
      </c>
      <c r="P918" s="7">
        <f t="shared" si="282"/>
        <v>0.13333333333333333</v>
      </c>
      <c r="Q918" s="7">
        <f t="shared" si="293"/>
        <v>6.6666666666666666E-2</v>
      </c>
      <c r="R918" s="10" t="str">
        <f t="shared" si="283"/>
        <v>0_Pre</v>
      </c>
      <c r="S918" s="10" t="str">
        <f t="shared" si="284"/>
        <v>0_Pre</v>
      </c>
      <c r="T918" s="10" t="str">
        <f t="shared" si="285"/>
        <v>0_Pre</v>
      </c>
      <c r="U918" s="10" t="str">
        <f t="shared" si="286"/>
        <v>1_Post</v>
      </c>
      <c r="V918" s="10" t="str">
        <f t="shared" si="294"/>
        <v>0_Pre</v>
      </c>
      <c r="W918" s="10" t="str">
        <f t="shared" si="287"/>
        <v>straddle</v>
      </c>
      <c r="X918" s="10" t="str">
        <f t="shared" si="288"/>
        <v>0_Pre</v>
      </c>
      <c r="Y918" s="10" t="str">
        <f t="shared" si="289"/>
        <v>0_Pre</v>
      </c>
      <c r="Z918" s="10" t="str">
        <f t="shared" si="290"/>
        <v>0_Pre</v>
      </c>
      <c r="AA918" s="10" t="str">
        <f t="shared" si="295"/>
        <v>1_Post</v>
      </c>
      <c r="AB918" s="10" t="str">
        <f t="shared" si="296"/>
        <v>1_Post</v>
      </c>
      <c r="AC918" s="10" t="str">
        <f t="shared" si="297"/>
        <v>1_Post</v>
      </c>
      <c r="AD918" s="10" t="str">
        <f t="shared" si="298"/>
        <v>2_post sample median</v>
      </c>
      <c r="AE918" s="10" t="str">
        <f t="shared" si="299"/>
        <v>2_in sample second tertile</v>
      </c>
      <c r="AF918" t="s">
        <v>80</v>
      </c>
      <c r="AG918" t="s">
        <v>75</v>
      </c>
      <c r="AH918" t="s">
        <v>78</v>
      </c>
      <c r="AI918" t="s">
        <v>123</v>
      </c>
      <c r="AJ918" t="s">
        <v>123</v>
      </c>
      <c r="AK918" t="str">
        <f>VLOOKUP(MID($AR918,1,255),country_lookup!$B:$F,2,FALSE)</f>
        <v>99_NCE</v>
      </c>
      <c r="AL918" t="str">
        <f>VLOOKUP(MID($AR918,1,255),country_lookup!$B:$F,3,FALSE)</f>
        <v>2_developing</v>
      </c>
      <c r="AM918" t="str">
        <f>VLOOKUP(MID($AR918,1,255),country_lookup!$B:$F,4,FALSE)</f>
        <v>2_non_western</v>
      </c>
      <c r="AN918" t="str">
        <f>VLOOKUP(MID($AR918,1,255),country_lookup!$B:$F,5,FALSE)</f>
        <v>1_common law</v>
      </c>
      <c r="AO918" s="10" t="str">
        <f>VLOOKUP(MID($AS918,1,255),source_lookup!$B:$K,4,FALSE)</f>
        <v>0_published</v>
      </c>
      <c r="AP918" s="10" t="str">
        <f>VLOOKUP(MID($AS918,1,255),source_lookup!$B:$K,6,FALSE)</f>
        <v>0_VHB low</v>
      </c>
      <c r="AQ918" s="10" t="str">
        <f>VLOOKUP(MID($AS918,1,255),source_lookup!$B:$K,10,FALSE)</f>
        <v>3_mgmt</v>
      </c>
      <c r="AR918" t="s">
        <v>110</v>
      </c>
      <c r="AS918" t="s">
        <v>167</v>
      </c>
    </row>
    <row r="919" spans="1:45" x14ac:dyDescent="0.3">
      <c r="A919" t="s">
        <v>45</v>
      </c>
      <c r="B919">
        <v>918</v>
      </c>
      <c r="C919" s="1">
        <v>1.5763985783877849E-2</v>
      </c>
      <c r="D919" s="2">
        <v>458</v>
      </c>
      <c r="E919" s="4">
        <v>7794</v>
      </c>
      <c r="F919" s="4" t="s">
        <v>347</v>
      </c>
      <c r="G919" s="4" t="s">
        <v>346</v>
      </c>
      <c r="H919" t="s">
        <v>77</v>
      </c>
      <c r="I919" t="s">
        <v>351</v>
      </c>
      <c r="J919" s="3">
        <v>1992</v>
      </c>
      <c r="K919" s="3">
        <v>2008</v>
      </c>
      <c r="L919" s="6">
        <f t="shared" si="291"/>
        <v>2000</v>
      </c>
      <c r="M919" s="6">
        <f t="shared" si="292"/>
        <v>2000</v>
      </c>
      <c r="N919" s="7">
        <f t="shared" si="280"/>
        <v>0</v>
      </c>
      <c r="O919" s="7">
        <f t="shared" si="281"/>
        <v>0</v>
      </c>
      <c r="P919" s="7">
        <f t="shared" si="282"/>
        <v>0</v>
      </c>
      <c r="Q919" s="7">
        <f t="shared" si="293"/>
        <v>0</v>
      </c>
      <c r="R919" s="10" t="str">
        <f t="shared" si="283"/>
        <v>0_Pre</v>
      </c>
      <c r="S919" s="10" t="str">
        <f t="shared" si="284"/>
        <v>0_Pre</v>
      </c>
      <c r="T919" s="10" t="str">
        <f t="shared" si="285"/>
        <v>0_Pre</v>
      </c>
      <c r="U919" s="10" t="str">
        <f t="shared" si="286"/>
        <v>0_Pre</v>
      </c>
      <c r="V919" s="10" t="str">
        <f t="shared" si="294"/>
        <v>0_Pre</v>
      </c>
      <c r="W919" s="10" t="str">
        <f t="shared" si="287"/>
        <v>clean_pre</v>
      </c>
      <c r="X919" s="10" t="str">
        <f t="shared" si="288"/>
        <v>0_Pre</v>
      </c>
      <c r="Y919" s="10" t="str">
        <f t="shared" si="289"/>
        <v>0_Pre</v>
      </c>
      <c r="Z919" s="10" t="str">
        <f t="shared" si="290"/>
        <v>0_Pre</v>
      </c>
      <c r="AA919" s="10" t="str">
        <f t="shared" si="295"/>
        <v>0_Pre</v>
      </c>
      <c r="AB919" s="10" t="str">
        <f t="shared" si="296"/>
        <v>0_Pre</v>
      </c>
      <c r="AC919" s="10" t="str">
        <f t="shared" si="297"/>
        <v>0_Pre</v>
      </c>
      <c r="AD919" s="10" t="str">
        <f t="shared" si="298"/>
        <v>1_pre sample median</v>
      </c>
      <c r="AE919" s="10" t="str">
        <f t="shared" si="299"/>
        <v>1_pre sample first tertile</v>
      </c>
      <c r="AF919" t="s">
        <v>82</v>
      </c>
      <c r="AG919" t="s">
        <v>75</v>
      </c>
      <c r="AH919" t="s">
        <v>78</v>
      </c>
      <c r="AI919" t="s">
        <v>123</v>
      </c>
      <c r="AJ919" t="s">
        <v>123</v>
      </c>
      <c r="AK919" t="str">
        <f>VLOOKUP(MID($AR919,1,255),country_lookup!$B:$F,2,FALSE)</f>
        <v>1_US</v>
      </c>
      <c r="AL919" t="str">
        <f>VLOOKUP(MID($AR919,1,255),country_lookup!$B:$F,3,FALSE)</f>
        <v>1_developed</v>
      </c>
      <c r="AM919" t="str">
        <f>VLOOKUP(MID($AR919,1,255),country_lookup!$B:$F,4,FALSE)</f>
        <v>1_western</v>
      </c>
      <c r="AN919" t="str">
        <f>VLOOKUP(MID($AR919,1,255),country_lookup!$B:$F,5,FALSE)</f>
        <v>1_common law</v>
      </c>
      <c r="AO919" s="10" t="str">
        <f>VLOOKUP(MID($AS919,1,255),source_lookup!$B:$K,4,FALSE)</f>
        <v>0_published</v>
      </c>
      <c r="AP919" s="10" t="str">
        <f>VLOOKUP(MID($AS919,1,255),source_lookup!$B:$K,6,FALSE)</f>
        <v>1_VHB high</v>
      </c>
      <c r="AQ919" s="10" t="str">
        <f>VLOOKUP(MID($AS919,1,255),source_lookup!$B:$K,10,FALSE)</f>
        <v>1_fin/acc/econ</v>
      </c>
      <c r="AR919" t="s">
        <v>85</v>
      </c>
      <c r="AS919" t="s">
        <v>168</v>
      </c>
    </row>
    <row r="920" spans="1:45" x14ac:dyDescent="0.3">
      <c r="A920" t="s">
        <v>45</v>
      </c>
      <c r="B920">
        <v>919</v>
      </c>
      <c r="C920" s="1">
        <v>-1.6800656702364102E-2</v>
      </c>
      <c r="D920" s="2">
        <v>458</v>
      </c>
      <c r="E920" s="4">
        <v>7794</v>
      </c>
      <c r="F920" s="4" t="s">
        <v>347</v>
      </c>
      <c r="G920" s="4" t="s">
        <v>346</v>
      </c>
      <c r="H920" t="s">
        <v>77</v>
      </c>
      <c r="I920" t="s">
        <v>351</v>
      </c>
      <c r="J920" s="3">
        <v>1992</v>
      </c>
      <c r="K920" s="3">
        <v>2008</v>
      </c>
      <c r="L920" s="6">
        <f t="shared" si="291"/>
        <v>2000</v>
      </c>
      <c r="M920" s="6">
        <f t="shared" si="292"/>
        <v>2000</v>
      </c>
      <c r="N920" s="7">
        <f t="shared" si="280"/>
        <v>0</v>
      </c>
      <c r="O920" s="7">
        <f t="shared" si="281"/>
        <v>0</v>
      </c>
      <c r="P920" s="7">
        <f t="shared" si="282"/>
        <v>0</v>
      </c>
      <c r="Q920" s="7">
        <f t="shared" si="293"/>
        <v>0</v>
      </c>
      <c r="R920" s="10" t="str">
        <f t="shared" si="283"/>
        <v>0_Pre</v>
      </c>
      <c r="S920" s="10" t="str">
        <f t="shared" si="284"/>
        <v>0_Pre</v>
      </c>
      <c r="T920" s="10" t="str">
        <f t="shared" si="285"/>
        <v>0_Pre</v>
      </c>
      <c r="U920" s="10" t="str">
        <f t="shared" si="286"/>
        <v>0_Pre</v>
      </c>
      <c r="V920" s="10" t="str">
        <f t="shared" si="294"/>
        <v>0_Pre</v>
      </c>
      <c r="W920" s="10" t="str">
        <f t="shared" si="287"/>
        <v>clean_pre</v>
      </c>
      <c r="X920" s="10" t="str">
        <f t="shared" si="288"/>
        <v>0_Pre</v>
      </c>
      <c r="Y920" s="10" t="str">
        <f t="shared" si="289"/>
        <v>0_Pre</v>
      </c>
      <c r="Z920" s="10" t="str">
        <f t="shared" si="290"/>
        <v>0_Pre</v>
      </c>
      <c r="AA920" s="10" t="str">
        <f t="shared" si="295"/>
        <v>0_Pre</v>
      </c>
      <c r="AB920" s="10" t="str">
        <f t="shared" si="296"/>
        <v>0_Pre</v>
      </c>
      <c r="AC920" s="10" t="str">
        <f t="shared" si="297"/>
        <v>0_Pre</v>
      </c>
      <c r="AD920" s="10" t="str">
        <f t="shared" si="298"/>
        <v>1_pre sample median</v>
      </c>
      <c r="AE920" s="10" t="str">
        <f t="shared" si="299"/>
        <v>1_pre sample first tertile</v>
      </c>
      <c r="AF920" t="s">
        <v>82</v>
      </c>
      <c r="AG920" t="s">
        <v>75</v>
      </c>
      <c r="AH920" t="s">
        <v>78</v>
      </c>
      <c r="AI920" t="s">
        <v>123</v>
      </c>
      <c r="AJ920" t="s">
        <v>123</v>
      </c>
      <c r="AK920" t="str">
        <f>VLOOKUP(MID($AR920,1,255),country_lookup!$B:$F,2,FALSE)</f>
        <v>1_US</v>
      </c>
      <c r="AL920" t="str">
        <f>VLOOKUP(MID($AR920,1,255),country_lookup!$B:$F,3,FALSE)</f>
        <v>1_developed</v>
      </c>
      <c r="AM920" t="str">
        <f>VLOOKUP(MID($AR920,1,255),country_lookup!$B:$F,4,FALSE)</f>
        <v>1_western</v>
      </c>
      <c r="AN920" t="str">
        <f>VLOOKUP(MID($AR920,1,255),country_lookup!$B:$F,5,FALSE)</f>
        <v>1_common law</v>
      </c>
      <c r="AO920" s="10" t="str">
        <f>VLOOKUP(MID($AS920,1,255),source_lookup!$B:$K,4,FALSE)</f>
        <v>0_published</v>
      </c>
      <c r="AP920" s="10" t="str">
        <f>VLOOKUP(MID($AS920,1,255),source_lookup!$B:$K,6,FALSE)</f>
        <v>1_VHB high</v>
      </c>
      <c r="AQ920" s="10" t="str">
        <f>VLOOKUP(MID($AS920,1,255),source_lookup!$B:$K,10,FALSE)</f>
        <v>1_fin/acc/econ</v>
      </c>
      <c r="AR920" t="s">
        <v>85</v>
      </c>
      <c r="AS920" t="s">
        <v>168</v>
      </c>
    </row>
    <row r="921" spans="1:45" x14ac:dyDescent="0.3">
      <c r="A921" t="s">
        <v>45</v>
      </c>
      <c r="B921">
        <v>920</v>
      </c>
      <c r="C921" s="1">
        <v>-5.0004191932420797E-2</v>
      </c>
      <c r="D921" s="2">
        <v>458</v>
      </c>
      <c r="E921" s="4">
        <v>7794</v>
      </c>
      <c r="F921" s="4" t="s">
        <v>347</v>
      </c>
      <c r="G921" s="4" t="s">
        <v>346</v>
      </c>
      <c r="H921" t="s">
        <v>77</v>
      </c>
      <c r="I921" t="s">
        <v>351</v>
      </c>
      <c r="J921" s="3">
        <v>1992</v>
      </c>
      <c r="K921" s="3">
        <v>2008</v>
      </c>
      <c r="L921" s="6">
        <f t="shared" si="291"/>
        <v>2000</v>
      </c>
      <c r="M921" s="6">
        <f t="shared" si="292"/>
        <v>2000</v>
      </c>
      <c r="N921" s="7">
        <f t="shared" si="280"/>
        <v>0</v>
      </c>
      <c r="O921" s="7">
        <f t="shared" si="281"/>
        <v>0</v>
      </c>
      <c r="P921" s="7">
        <f t="shared" si="282"/>
        <v>0</v>
      </c>
      <c r="Q921" s="7">
        <f t="shared" si="293"/>
        <v>0</v>
      </c>
      <c r="R921" s="10" t="str">
        <f t="shared" si="283"/>
        <v>0_Pre</v>
      </c>
      <c r="S921" s="10" t="str">
        <f t="shared" si="284"/>
        <v>0_Pre</v>
      </c>
      <c r="T921" s="10" t="str">
        <f t="shared" si="285"/>
        <v>0_Pre</v>
      </c>
      <c r="U921" s="10" t="str">
        <f t="shared" si="286"/>
        <v>0_Pre</v>
      </c>
      <c r="V921" s="10" t="str">
        <f t="shared" si="294"/>
        <v>0_Pre</v>
      </c>
      <c r="W921" s="10" t="str">
        <f t="shared" si="287"/>
        <v>clean_pre</v>
      </c>
      <c r="X921" s="10" t="str">
        <f t="shared" si="288"/>
        <v>0_Pre</v>
      </c>
      <c r="Y921" s="10" t="str">
        <f t="shared" si="289"/>
        <v>0_Pre</v>
      </c>
      <c r="Z921" s="10" t="str">
        <f t="shared" si="290"/>
        <v>0_Pre</v>
      </c>
      <c r="AA921" s="10" t="str">
        <f t="shared" si="295"/>
        <v>0_Pre</v>
      </c>
      <c r="AB921" s="10" t="str">
        <f t="shared" si="296"/>
        <v>0_Pre</v>
      </c>
      <c r="AC921" s="10" t="str">
        <f t="shared" si="297"/>
        <v>0_Pre</v>
      </c>
      <c r="AD921" s="10" t="str">
        <f t="shared" si="298"/>
        <v>1_pre sample median</v>
      </c>
      <c r="AE921" s="10" t="str">
        <f t="shared" si="299"/>
        <v>1_pre sample first tertile</v>
      </c>
      <c r="AF921" t="s">
        <v>67</v>
      </c>
      <c r="AG921" t="s">
        <v>75</v>
      </c>
      <c r="AH921" t="s">
        <v>78</v>
      </c>
      <c r="AI921" t="s">
        <v>123</v>
      </c>
      <c r="AJ921" t="s">
        <v>123</v>
      </c>
      <c r="AK921" t="str">
        <f>VLOOKUP(MID($AR921,1,255),country_lookup!$B:$F,2,FALSE)</f>
        <v>1_US</v>
      </c>
      <c r="AL921" t="str">
        <f>VLOOKUP(MID($AR921,1,255),country_lookup!$B:$F,3,FALSE)</f>
        <v>1_developed</v>
      </c>
      <c r="AM921" t="str">
        <f>VLOOKUP(MID($AR921,1,255),country_lookup!$B:$F,4,FALSE)</f>
        <v>1_western</v>
      </c>
      <c r="AN921" t="str">
        <f>VLOOKUP(MID($AR921,1,255),country_lookup!$B:$F,5,FALSE)</f>
        <v>1_common law</v>
      </c>
      <c r="AO921" s="10" t="str">
        <f>VLOOKUP(MID($AS921,1,255),source_lookup!$B:$K,4,FALSE)</f>
        <v>0_published</v>
      </c>
      <c r="AP921" s="10" t="str">
        <f>VLOOKUP(MID($AS921,1,255),source_lookup!$B:$K,6,FALSE)</f>
        <v>1_VHB high</v>
      </c>
      <c r="AQ921" s="10" t="str">
        <f>VLOOKUP(MID($AS921,1,255),source_lookup!$B:$K,10,FALSE)</f>
        <v>1_fin/acc/econ</v>
      </c>
      <c r="AR921" t="s">
        <v>85</v>
      </c>
      <c r="AS921" t="s">
        <v>168</v>
      </c>
    </row>
    <row r="922" spans="1:45" x14ac:dyDescent="0.3">
      <c r="A922" t="s">
        <v>45</v>
      </c>
      <c r="B922">
        <v>921</v>
      </c>
      <c r="C922" s="1">
        <v>2.1471026158060895E-2</v>
      </c>
      <c r="D922" s="2">
        <v>458</v>
      </c>
      <c r="E922" s="4">
        <v>7794</v>
      </c>
      <c r="F922" s="4" t="s">
        <v>347</v>
      </c>
      <c r="G922" s="4" t="s">
        <v>346</v>
      </c>
      <c r="H922" t="s">
        <v>77</v>
      </c>
      <c r="I922" t="s">
        <v>351</v>
      </c>
      <c r="J922" s="3">
        <v>1992</v>
      </c>
      <c r="K922" s="3">
        <v>2008</v>
      </c>
      <c r="L922" s="6">
        <f t="shared" si="291"/>
        <v>2000</v>
      </c>
      <c r="M922" s="6">
        <f t="shared" si="292"/>
        <v>2000</v>
      </c>
      <c r="N922" s="7">
        <f t="shared" si="280"/>
        <v>0</v>
      </c>
      <c r="O922" s="7">
        <f t="shared" si="281"/>
        <v>0</v>
      </c>
      <c r="P922" s="7">
        <f t="shared" si="282"/>
        <v>0</v>
      </c>
      <c r="Q922" s="7">
        <f t="shared" si="293"/>
        <v>0</v>
      </c>
      <c r="R922" s="10" t="str">
        <f t="shared" si="283"/>
        <v>0_Pre</v>
      </c>
      <c r="S922" s="10" t="str">
        <f t="shared" si="284"/>
        <v>0_Pre</v>
      </c>
      <c r="T922" s="10" t="str">
        <f t="shared" si="285"/>
        <v>0_Pre</v>
      </c>
      <c r="U922" s="10" t="str">
        <f t="shared" si="286"/>
        <v>0_Pre</v>
      </c>
      <c r="V922" s="10" t="str">
        <f t="shared" si="294"/>
        <v>0_Pre</v>
      </c>
      <c r="W922" s="10" t="str">
        <f t="shared" si="287"/>
        <v>clean_pre</v>
      </c>
      <c r="X922" s="10" t="str">
        <f t="shared" si="288"/>
        <v>0_Pre</v>
      </c>
      <c r="Y922" s="10" t="str">
        <f t="shared" si="289"/>
        <v>0_Pre</v>
      </c>
      <c r="Z922" s="10" t="str">
        <f t="shared" si="290"/>
        <v>0_Pre</v>
      </c>
      <c r="AA922" s="10" t="str">
        <f t="shared" si="295"/>
        <v>0_Pre</v>
      </c>
      <c r="AB922" s="10" t="str">
        <f t="shared" si="296"/>
        <v>0_Pre</v>
      </c>
      <c r="AC922" s="10" t="str">
        <f t="shared" si="297"/>
        <v>0_Pre</v>
      </c>
      <c r="AD922" s="10" t="str">
        <f t="shared" si="298"/>
        <v>1_pre sample median</v>
      </c>
      <c r="AE922" s="10" t="str">
        <f t="shared" si="299"/>
        <v>1_pre sample first tertile</v>
      </c>
      <c r="AF922" t="s">
        <v>67</v>
      </c>
      <c r="AG922" t="s">
        <v>75</v>
      </c>
      <c r="AH922" t="s">
        <v>78</v>
      </c>
      <c r="AI922" t="s">
        <v>123</v>
      </c>
      <c r="AJ922" t="s">
        <v>123</v>
      </c>
      <c r="AK922" t="str">
        <f>VLOOKUP(MID($AR922,1,255),country_lookup!$B:$F,2,FALSE)</f>
        <v>1_US</v>
      </c>
      <c r="AL922" t="str">
        <f>VLOOKUP(MID($AR922,1,255),country_lookup!$B:$F,3,FALSE)</f>
        <v>1_developed</v>
      </c>
      <c r="AM922" t="str">
        <f>VLOOKUP(MID($AR922,1,255),country_lookup!$B:$F,4,FALSE)</f>
        <v>1_western</v>
      </c>
      <c r="AN922" t="str">
        <f>VLOOKUP(MID($AR922,1,255),country_lookup!$B:$F,5,FALSE)</f>
        <v>1_common law</v>
      </c>
      <c r="AO922" s="10" t="str">
        <f>VLOOKUP(MID($AS922,1,255),source_lookup!$B:$K,4,FALSE)</f>
        <v>0_published</v>
      </c>
      <c r="AP922" s="10" t="str">
        <f>VLOOKUP(MID($AS922,1,255),source_lookup!$B:$K,6,FALSE)</f>
        <v>1_VHB high</v>
      </c>
      <c r="AQ922" s="10" t="str">
        <f>VLOOKUP(MID($AS922,1,255),source_lookup!$B:$K,10,FALSE)</f>
        <v>1_fin/acc/econ</v>
      </c>
      <c r="AR922" t="s">
        <v>85</v>
      </c>
      <c r="AS922" t="s">
        <v>168</v>
      </c>
    </row>
    <row r="923" spans="1:45" x14ac:dyDescent="0.3">
      <c r="A923" t="s">
        <v>46</v>
      </c>
      <c r="B923">
        <v>922</v>
      </c>
      <c r="C923" s="1">
        <v>-1.8284682583302937E-2</v>
      </c>
      <c r="D923" s="2">
        <v>196</v>
      </c>
      <c r="E923" s="4">
        <v>2353</v>
      </c>
      <c r="F923" s="4" t="s">
        <v>347</v>
      </c>
      <c r="G923" s="4" t="s">
        <v>346</v>
      </c>
      <c r="H923" t="s">
        <v>77</v>
      </c>
      <c r="I923" t="s">
        <v>352</v>
      </c>
      <c r="J923" s="3">
        <v>2007</v>
      </c>
      <c r="K923" s="3">
        <v>2018</v>
      </c>
      <c r="L923" s="6">
        <f t="shared" si="291"/>
        <v>2012.5</v>
      </c>
      <c r="M923" s="6">
        <f t="shared" si="292"/>
        <v>2012.5</v>
      </c>
      <c r="N923" s="7">
        <f t="shared" si="280"/>
        <v>0.25</v>
      </c>
      <c r="O923" s="7">
        <f t="shared" si="281"/>
        <v>0.16666666666666666</v>
      </c>
      <c r="P923" s="7">
        <f t="shared" si="282"/>
        <v>8.3333333333333329E-2</v>
      </c>
      <c r="Q923" s="7">
        <f t="shared" si="293"/>
        <v>0</v>
      </c>
      <c r="R923" s="10" t="str">
        <f t="shared" si="283"/>
        <v>0_Pre</v>
      </c>
      <c r="S923" s="10" t="str">
        <f t="shared" si="284"/>
        <v>0_Pre</v>
      </c>
      <c r="T923" s="10" t="str">
        <f t="shared" si="285"/>
        <v>0_Pre</v>
      </c>
      <c r="U923" s="10" t="str">
        <f t="shared" si="286"/>
        <v>1_Post</v>
      </c>
      <c r="V923" s="10" t="str">
        <f t="shared" si="294"/>
        <v>0_Pre</v>
      </c>
      <c r="W923" s="10" t="str">
        <f t="shared" si="287"/>
        <v>straddle</v>
      </c>
      <c r="X923" s="10" t="str">
        <f t="shared" si="288"/>
        <v>0_Pre</v>
      </c>
      <c r="Y923" s="10" t="str">
        <f t="shared" si="289"/>
        <v>0_Pre</v>
      </c>
      <c r="Z923" s="10" t="str">
        <f t="shared" si="290"/>
        <v>0_Pre</v>
      </c>
      <c r="AA923" s="10" t="str">
        <f t="shared" si="295"/>
        <v>1_Post</v>
      </c>
      <c r="AB923" s="10" t="str">
        <f t="shared" si="296"/>
        <v>1_Post</v>
      </c>
      <c r="AC923" s="10" t="str">
        <f t="shared" si="297"/>
        <v>0_Pre</v>
      </c>
      <c r="AD923" s="10" t="str">
        <f t="shared" si="298"/>
        <v>2_post sample median</v>
      </c>
      <c r="AE923" s="10" t="str">
        <f t="shared" si="299"/>
        <v>2_in sample second tertile</v>
      </c>
      <c r="AF923" t="s">
        <v>82</v>
      </c>
      <c r="AG923" t="s">
        <v>75</v>
      </c>
      <c r="AH923" t="s">
        <v>78</v>
      </c>
      <c r="AI923" t="s">
        <v>122</v>
      </c>
      <c r="AJ923" t="s">
        <v>123</v>
      </c>
      <c r="AK923" t="str">
        <f>VLOOKUP(MID($AR923,1,255),country_lookup!$B:$F,2,FALSE)</f>
        <v>3_AsiaPac</v>
      </c>
      <c r="AL923" t="str">
        <f>VLOOKUP(MID($AR923,1,255),country_lookup!$B:$F,3,FALSE)</f>
        <v>1_developed</v>
      </c>
      <c r="AM923" t="str">
        <f>VLOOKUP(MID($AR923,1,255),country_lookup!$B:$F,4,FALSE)</f>
        <v>2_non_western</v>
      </c>
      <c r="AN923" t="str">
        <f>VLOOKUP(MID($AR923,1,255),country_lookup!$B:$F,5,FALSE)</f>
        <v>2_civil law</v>
      </c>
      <c r="AO923" s="10" t="str">
        <f>VLOOKUP(MID($AS923,1,255),source_lookup!$B:$K,4,FALSE)</f>
        <v>0_published</v>
      </c>
      <c r="AP923" s="10" t="str">
        <f>VLOOKUP(MID($AS923,1,255),source_lookup!$B:$K,6,FALSE)</f>
        <v>1_VHB high</v>
      </c>
      <c r="AQ923" s="10" t="str">
        <f>VLOOKUP(MID($AS923,1,255),source_lookup!$B:$K,10,FALSE)</f>
        <v>1_fin/acc/econ</v>
      </c>
      <c r="AR923" t="s">
        <v>111</v>
      </c>
      <c r="AS923" t="s">
        <v>169</v>
      </c>
    </row>
    <row r="924" spans="1:45" x14ac:dyDescent="0.3">
      <c r="A924" t="s">
        <v>46</v>
      </c>
      <c r="B924">
        <v>923</v>
      </c>
      <c r="C924" s="1">
        <v>-2.4415583228814597E-2</v>
      </c>
      <c r="D924" s="2">
        <v>196</v>
      </c>
      <c r="E924" s="4">
        <v>2347</v>
      </c>
      <c r="F924" s="4" t="s">
        <v>347</v>
      </c>
      <c r="G924" s="4" t="s">
        <v>346</v>
      </c>
      <c r="H924" t="s">
        <v>77</v>
      </c>
      <c r="I924" t="s">
        <v>352</v>
      </c>
      <c r="J924" s="3">
        <v>2007</v>
      </c>
      <c r="K924" s="3">
        <v>2018</v>
      </c>
      <c r="L924" s="6">
        <f t="shared" si="291"/>
        <v>2012.5</v>
      </c>
      <c r="M924" s="6">
        <f t="shared" si="292"/>
        <v>2012.5</v>
      </c>
      <c r="N924" s="7">
        <f t="shared" si="280"/>
        <v>0.25</v>
      </c>
      <c r="O924" s="7">
        <f t="shared" si="281"/>
        <v>0.16666666666666666</v>
      </c>
      <c r="P924" s="7">
        <f t="shared" si="282"/>
        <v>8.3333333333333329E-2</v>
      </c>
      <c r="Q924" s="7">
        <f t="shared" si="293"/>
        <v>0</v>
      </c>
      <c r="R924" s="10" t="str">
        <f t="shared" si="283"/>
        <v>0_Pre</v>
      </c>
      <c r="S924" s="10" t="str">
        <f t="shared" si="284"/>
        <v>0_Pre</v>
      </c>
      <c r="T924" s="10" t="str">
        <f t="shared" si="285"/>
        <v>0_Pre</v>
      </c>
      <c r="U924" s="10" t="str">
        <f t="shared" si="286"/>
        <v>1_Post</v>
      </c>
      <c r="V924" s="10" t="str">
        <f t="shared" si="294"/>
        <v>0_Pre</v>
      </c>
      <c r="W924" s="10" t="str">
        <f t="shared" si="287"/>
        <v>straddle</v>
      </c>
      <c r="X924" s="10" t="str">
        <f t="shared" si="288"/>
        <v>0_Pre</v>
      </c>
      <c r="Y924" s="10" t="str">
        <f t="shared" si="289"/>
        <v>0_Pre</v>
      </c>
      <c r="Z924" s="10" t="str">
        <f t="shared" si="290"/>
        <v>0_Pre</v>
      </c>
      <c r="AA924" s="10" t="str">
        <f t="shared" si="295"/>
        <v>1_Post</v>
      </c>
      <c r="AB924" s="10" t="str">
        <f t="shared" si="296"/>
        <v>1_Post</v>
      </c>
      <c r="AC924" s="10" t="str">
        <f t="shared" si="297"/>
        <v>0_Pre</v>
      </c>
      <c r="AD924" s="10" t="str">
        <f t="shared" si="298"/>
        <v>2_post sample median</v>
      </c>
      <c r="AE924" s="10" t="str">
        <f t="shared" si="299"/>
        <v>2_in sample second tertile</v>
      </c>
      <c r="AF924" t="s">
        <v>82</v>
      </c>
      <c r="AG924" t="s">
        <v>75</v>
      </c>
      <c r="AH924" t="s">
        <v>78</v>
      </c>
      <c r="AI924" t="s">
        <v>122</v>
      </c>
      <c r="AJ924" t="s">
        <v>123</v>
      </c>
      <c r="AK924" t="str">
        <f>VLOOKUP(MID($AR924,1,255),country_lookup!$B:$F,2,FALSE)</f>
        <v>3_AsiaPac</v>
      </c>
      <c r="AL924" t="str">
        <f>VLOOKUP(MID($AR924,1,255),country_lookup!$B:$F,3,FALSE)</f>
        <v>1_developed</v>
      </c>
      <c r="AM924" t="str">
        <f>VLOOKUP(MID($AR924,1,255),country_lookup!$B:$F,4,FALSE)</f>
        <v>2_non_western</v>
      </c>
      <c r="AN924" t="str">
        <f>VLOOKUP(MID($AR924,1,255),country_lookup!$B:$F,5,FALSE)</f>
        <v>2_civil law</v>
      </c>
      <c r="AO924" s="10" t="str">
        <f>VLOOKUP(MID($AS924,1,255),source_lookup!$B:$K,4,FALSE)</f>
        <v>0_published</v>
      </c>
      <c r="AP924" s="10" t="str">
        <f>VLOOKUP(MID($AS924,1,255),source_lookup!$B:$K,6,FALSE)</f>
        <v>1_VHB high</v>
      </c>
      <c r="AQ924" s="10" t="str">
        <f>VLOOKUP(MID($AS924,1,255),source_lookup!$B:$K,10,FALSE)</f>
        <v>1_fin/acc/econ</v>
      </c>
      <c r="AR924" t="s">
        <v>111</v>
      </c>
      <c r="AS924" t="s">
        <v>169</v>
      </c>
    </row>
    <row r="925" spans="1:45" x14ac:dyDescent="0.3">
      <c r="A925" t="s">
        <v>46</v>
      </c>
      <c r="B925">
        <v>924</v>
      </c>
      <c r="C925" s="1">
        <v>-2.5531998112578547E-2</v>
      </c>
      <c r="D925" s="2">
        <v>170</v>
      </c>
      <c r="E925" s="4">
        <v>2041</v>
      </c>
      <c r="F925" s="4" t="s">
        <v>347</v>
      </c>
      <c r="G925" s="4" t="s">
        <v>346</v>
      </c>
      <c r="H925" t="s">
        <v>77</v>
      </c>
      <c r="I925" t="s">
        <v>352</v>
      </c>
      <c r="J925" s="3">
        <v>2007</v>
      </c>
      <c r="K925" s="3">
        <v>2018</v>
      </c>
      <c r="L925" s="6">
        <f t="shared" si="291"/>
        <v>2012.5</v>
      </c>
      <c r="M925" s="6">
        <f t="shared" si="292"/>
        <v>2012.5</v>
      </c>
      <c r="N925" s="7">
        <f t="shared" si="280"/>
        <v>0.25</v>
      </c>
      <c r="O925" s="7">
        <f t="shared" si="281"/>
        <v>0.16666666666666666</v>
      </c>
      <c r="P925" s="7">
        <f t="shared" si="282"/>
        <v>8.3333333333333329E-2</v>
      </c>
      <c r="Q925" s="7">
        <f t="shared" si="293"/>
        <v>0</v>
      </c>
      <c r="R925" s="10" t="str">
        <f t="shared" si="283"/>
        <v>0_Pre</v>
      </c>
      <c r="S925" s="10" t="str">
        <f t="shared" si="284"/>
        <v>0_Pre</v>
      </c>
      <c r="T925" s="10" t="str">
        <f t="shared" si="285"/>
        <v>0_Pre</v>
      </c>
      <c r="U925" s="10" t="str">
        <f t="shared" si="286"/>
        <v>1_Post</v>
      </c>
      <c r="V925" s="10" t="str">
        <f t="shared" si="294"/>
        <v>0_Pre</v>
      </c>
      <c r="W925" s="10" t="str">
        <f t="shared" si="287"/>
        <v>straddle</v>
      </c>
      <c r="X925" s="10" t="str">
        <f t="shared" si="288"/>
        <v>0_Pre</v>
      </c>
      <c r="Y925" s="10" t="str">
        <f t="shared" si="289"/>
        <v>0_Pre</v>
      </c>
      <c r="Z925" s="10" t="str">
        <f t="shared" si="290"/>
        <v>0_Pre</v>
      </c>
      <c r="AA925" s="10" t="str">
        <f t="shared" si="295"/>
        <v>1_Post</v>
      </c>
      <c r="AB925" s="10" t="str">
        <f t="shared" si="296"/>
        <v>1_Post</v>
      </c>
      <c r="AC925" s="10" t="str">
        <f t="shared" si="297"/>
        <v>0_Pre</v>
      </c>
      <c r="AD925" s="10" t="str">
        <f t="shared" si="298"/>
        <v>2_post sample median</v>
      </c>
      <c r="AE925" s="10" t="str">
        <f t="shared" si="299"/>
        <v>2_in sample second tertile</v>
      </c>
      <c r="AF925" t="s">
        <v>82</v>
      </c>
      <c r="AG925" t="s">
        <v>75</v>
      </c>
      <c r="AH925" t="s">
        <v>78</v>
      </c>
      <c r="AI925" t="s">
        <v>122</v>
      </c>
      <c r="AJ925" t="s">
        <v>123</v>
      </c>
      <c r="AK925" t="str">
        <f>VLOOKUP(MID($AR925,1,255),country_lookup!$B:$F,2,FALSE)</f>
        <v>3_AsiaPac</v>
      </c>
      <c r="AL925" t="str">
        <f>VLOOKUP(MID($AR925,1,255),country_lookup!$B:$F,3,FALSE)</f>
        <v>1_developed</v>
      </c>
      <c r="AM925" t="str">
        <f>VLOOKUP(MID($AR925,1,255),country_lookup!$B:$F,4,FALSE)</f>
        <v>2_non_western</v>
      </c>
      <c r="AN925" t="str">
        <f>VLOOKUP(MID($AR925,1,255),country_lookup!$B:$F,5,FALSE)</f>
        <v>2_civil law</v>
      </c>
      <c r="AO925" s="10" t="str">
        <f>VLOOKUP(MID($AS925,1,255),source_lookup!$B:$K,4,FALSE)</f>
        <v>0_published</v>
      </c>
      <c r="AP925" s="10" t="str">
        <f>VLOOKUP(MID($AS925,1,255),source_lookup!$B:$K,6,FALSE)</f>
        <v>1_VHB high</v>
      </c>
      <c r="AQ925" s="10" t="str">
        <f>VLOOKUP(MID($AS925,1,255),source_lookup!$B:$K,10,FALSE)</f>
        <v>1_fin/acc/econ</v>
      </c>
      <c r="AR925" t="s">
        <v>111</v>
      </c>
      <c r="AS925" t="s">
        <v>169</v>
      </c>
    </row>
    <row r="926" spans="1:45" x14ac:dyDescent="0.3">
      <c r="A926" t="s">
        <v>46</v>
      </c>
      <c r="B926">
        <v>925</v>
      </c>
      <c r="C926" s="1">
        <v>-5.0833084793820753E-2</v>
      </c>
      <c r="D926" s="2">
        <v>26</v>
      </c>
      <c r="E926" s="4">
        <v>312</v>
      </c>
      <c r="F926" s="4" t="s">
        <v>347</v>
      </c>
      <c r="G926" s="4" t="s">
        <v>346</v>
      </c>
      <c r="H926" t="s">
        <v>77</v>
      </c>
      <c r="I926" t="s">
        <v>352</v>
      </c>
      <c r="J926" s="3">
        <v>2007</v>
      </c>
      <c r="K926" s="3">
        <v>2018</v>
      </c>
      <c r="L926" s="6">
        <f t="shared" si="291"/>
        <v>2012.5</v>
      </c>
      <c r="M926" s="6">
        <f t="shared" si="292"/>
        <v>2012.5</v>
      </c>
      <c r="N926" s="7">
        <f t="shared" si="280"/>
        <v>0.25</v>
      </c>
      <c r="O926" s="7">
        <f t="shared" si="281"/>
        <v>0.16666666666666666</v>
      </c>
      <c r="P926" s="7">
        <f t="shared" si="282"/>
        <v>8.3333333333333329E-2</v>
      </c>
      <c r="Q926" s="7">
        <f t="shared" si="293"/>
        <v>0</v>
      </c>
      <c r="R926" s="10" t="str">
        <f t="shared" si="283"/>
        <v>0_Pre</v>
      </c>
      <c r="S926" s="10" t="str">
        <f t="shared" si="284"/>
        <v>0_Pre</v>
      </c>
      <c r="T926" s="10" t="str">
        <f t="shared" si="285"/>
        <v>0_Pre</v>
      </c>
      <c r="U926" s="10" t="str">
        <f t="shared" si="286"/>
        <v>1_Post</v>
      </c>
      <c r="V926" s="10" t="str">
        <f t="shared" si="294"/>
        <v>0_Pre</v>
      </c>
      <c r="W926" s="10" t="str">
        <f t="shared" si="287"/>
        <v>straddle</v>
      </c>
      <c r="X926" s="10" t="str">
        <f t="shared" si="288"/>
        <v>0_Pre</v>
      </c>
      <c r="Y926" s="10" t="str">
        <f t="shared" si="289"/>
        <v>0_Pre</v>
      </c>
      <c r="Z926" s="10" t="str">
        <f t="shared" si="290"/>
        <v>0_Pre</v>
      </c>
      <c r="AA926" s="10" t="str">
        <f t="shared" si="295"/>
        <v>1_Post</v>
      </c>
      <c r="AB926" s="10" t="str">
        <f t="shared" si="296"/>
        <v>1_Post</v>
      </c>
      <c r="AC926" s="10" t="str">
        <f t="shared" si="297"/>
        <v>0_Pre</v>
      </c>
      <c r="AD926" s="10" t="str">
        <f t="shared" si="298"/>
        <v>2_post sample median</v>
      </c>
      <c r="AE926" s="10" t="str">
        <f t="shared" si="299"/>
        <v>2_in sample second tertile</v>
      </c>
      <c r="AF926" t="s">
        <v>82</v>
      </c>
      <c r="AG926" t="s">
        <v>75</v>
      </c>
      <c r="AH926" t="s">
        <v>78</v>
      </c>
      <c r="AI926" t="s">
        <v>122</v>
      </c>
      <c r="AJ926" t="s">
        <v>123</v>
      </c>
      <c r="AK926" t="str">
        <f>VLOOKUP(MID($AR926,1,255),country_lookup!$B:$F,2,FALSE)</f>
        <v>3_AsiaPac</v>
      </c>
      <c r="AL926" t="str">
        <f>VLOOKUP(MID($AR926,1,255),country_lookup!$B:$F,3,FALSE)</f>
        <v>1_developed</v>
      </c>
      <c r="AM926" t="str">
        <f>VLOOKUP(MID($AR926,1,255),country_lookup!$B:$F,4,FALSE)</f>
        <v>2_non_western</v>
      </c>
      <c r="AN926" t="str">
        <f>VLOOKUP(MID($AR926,1,255),country_lookup!$B:$F,5,FALSE)</f>
        <v>2_civil law</v>
      </c>
      <c r="AO926" s="10" t="str">
        <f>VLOOKUP(MID($AS926,1,255),source_lookup!$B:$K,4,FALSE)</f>
        <v>0_published</v>
      </c>
      <c r="AP926" s="10" t="str">
        <f>VLOOKUP(MID($AS926,1,255),source_lookup!$B:$K,6,FALSE)</f>
        <v>1_VHB high</v>
      </c>
      <c r="AQ926" s="10" t="str">
        <f>VLOOKUP(MID($AS926,1,255),source_lookup!$B:$K,10,FALSE)</f>
        <v>1_fin/acc/econ</v>
      </c>
      <c r="AR926" t="s">
        <v>111</v>
      </c>
      <c r="AS926" t="s">
        <v>169</v>
      </c>
    </row>
    <row r="927" spans="1:45" x14ac:dyDescent="0.3">
      <c r="A927" t="s">
        <v>46</v>
      </c>
      <c r="B927">
        <v>926</v>
      </c>
      <c r="C927" s="1">
        <v>2.1838785489542895E-2</v>
      </c>
      <c r="D927" s="2">
        <v>196</v>
      </c>
      <c r="E927" s="4">
        <v>2353</v>
      </c>
      <c r="F927" s="4" t="s">
        <v>347</v>
      </c>
      <c r="G927" s="4" t="s">
        <v>346</v>
      </c>
      <c r="H927" t="s">
        <v>77</v>
      </c>
      <c r="I927" t="s">
        <v>352</v>
      </c>
      <c r="J927" s="3">
        <v>2007</v>
      </c>
      <c r="K927" s="3">
        <v>2018</v>
      </c>
      <c r="L927" s="6">
        <f t="shared" si="291"/>
        <v>2012.5</v>
      </c>
      <c r="M927" s="6">
        <f t="shared" si="292"/>
        <v>2012.5</v>
      </c>
      <c r="N927" s="7">
        <f t="shared" si="280"/>
        <v>0.25</v>
      </c>
      <c r="O927" s="7">
        <f t="shared" si="281"/>
        <v>0.16666666666666666</v>
      </c>
      <c r="P927" s="7">
        <f t="shared" si="282"/>
        <v>8.3333333333333329E-2</v>
      </c>
      <c r="Q927" s="7">
        <f t="shared" si="293"/>
        <v>0</v>
      </c>
      <c r="R927" s="10" t="str">
        <f t="shared" si="283"/>
        <v>0_Pre</v>
      </c>
      <c r="S927" s="10" t="str">
        <f t="shared" si="284"/>
        <v>0_Pre</v>
      </c>
      <c r="T927" s="10" t="str">
        <f t="shared" si="285"/>
        <v>0_Pre</v>
      </c>
      <c r="U927" s="10" t="str">
        <f t="shared" si="286"/>
        <v>1_Post</v>
      </c>
      <c r="V927" s="10" t="str">
        <f t="shared" si="294"/>
        <v>0_Pre</v>
      </c>
      <c r="W927" s="10" t="str">
        <f t="shared" si="287"/>
        <v>straddle</v>
      </c>
      <c r="X927" s="10" t="str">
        <f t="shared" si="288"/>
        <v>0_Pre</v>
      </c>
      <c r="Y927" s="10" t="str">
        <f t="shared" si="289"/>
        <v>0_Pre</v>
      </c>
      <c r="Z927" s="10" t="str">
        <f t="shared" si="290"/>
        <v>0_Pre</v>
      </c>
      <c r="AA927" s="10" t="str">
        <f t="shared" si="295"/>
        <v>1_Post</v>
      </c>
      <c r="AB927" s="10" t="str">
        <f t="shared" si="296"/>
        <v>1_Post</v>
      </c>
      <c r="AC927" s="10" t="str">
        <f t="shared" si="297"/>
        <v>0_Pre</v>
      </c>
      <c r="AD927" s="10" t="str">
        <f t="shared" si="298"/>
        <v>2_post sample median</v>
      </c>
      <c r="AE927" s="10" t="str">
        <f t="shared" si="299"/>
        <v>2_in sample second tertile</v>
      </c>
      <c r="AF927" t="s">
        <v>82</v>
      </c>
      <c r="AG927" t="s">
        <v>75</v>
      </c>
      <c r="AH927" t="s">
        <v>78</v>
      </c>
      <c r="AI927" t="s">
        <v>122</v>
      </c>
      <c r="AJ927" t="s">
        <v>123</v>
      </c>
      <c r="AK927" t="str">
        <f>VLOOKUP(MID($AR927,1,255),country_lookup!$B:$F,2,FALSE)</f>
        <v>3_AsiaPac</v>
      </c>
      <c r="AL927" t="str">
        <f>VLOOKUP(MID($AR927,1,255),country_lookup!$B:$F,3,FALSE)</f>
        <v>1_developed</v>
      </c>
      <c r="AM927" t="str">
        <f>VLOOKUP(MID($AR927,1,255),country_lookup!$B:$F,4,FALSE)</f>
        <v>2_non_western</v>
      </c>
      <c r="AN927" t="str">
        <f>VLOOKUP(MID($AR927,1,255),country_lookup!$B:$F,5,FALSE)</f>
        <v>2_civil law</v>
      </c>
      <c r="AO927" s="10" t="str">
        <f>VLOOKUP(MID($AS927,1,255),source_lookup!$B:$K,4,FALSE)</f>
        <v>0_published</v>
      </c>
      <c r="AP927" s="10" t="str">
        <f>VLOOKUP(MID($AS927,1,255),source_lookup!$B:$K,6,FALSE)</f>
        <v>1_VHB high</v>
      </c>
      <c r="AQ927" s="10" t="str">
        <f>VLOOKUP(MID($AS927,1,255),source_lookup!$B:$K,10,FALSE)</f>
        <v>1_fin/acc/econ</v>
      </c>
      <c r="AR927" t="s">
        <v>111</v>
      </c>
      <c r="AS927" t="s">
        <v>169</v>
      </c>
    </row>
    <row r="928" spans="1:45" x14ac:dyDescent="0.3">
      <c r="A928" t="s">
        <v>46</v>
      </c>
      <c r="B928">
        <v>927</v>
      </c>
      <c r="C928" s="1">
        <v>-7.7077284401484744E-2</v>
      </c>
      <c r="D928" s="2">
        <v>196</v>
      </c>
      <c r="E928" s="4">
        <v>2353</v>
      </c>
      <c r="F928" s="4" t="s">
        <v>347</v>
      </c>
      <c r="G928" s="4" t="s">
        <v>346</v>
      </c>
      <c r="H928" t="s">
        <v>77</v>
      </c>
      <c r="I928" t="s">
        <v>352</v>
      </c>
      <c r="J928" s="3">
        <v>2007</v>
      </c>
      <c r="K928" s="3">
        <v>2018</v>
      </c>
      <c r="L928" s="6">
        <f t="shared" si="291"/>
        <v>2012.5</v>
      </c>
      <c r="M928" s="6">
        <f t="shared" si="292"/>
        <v>2012.5</v>
      </c>
      <c r="N928" s="7">
        <f t="shared" si="280"/>
        <v>0.25</v>
      </c>
      <c r="O928" s="7">
        <f t="shared" si="281"/>
        <v>0.16666666666666666</v>
      </c>
      <c r="P928" s="7">
        <f t="shared" si="282"/>
        <v>8.3333333333333329E-2</v>
      </c>
      <c r="Q928" s="7">
        <f t="shared" si="293"/>
        <v>0</v>
      </c>
      <c r="R928" s="10" t="str">
        <f t="shared" si="283"/>
        <v>0_Pre</v>
      </c>
      <c r="S928" s="10" t="str">
        <f t="shared" si="284"/>
        <v>0_Pre</v>
      </c>
      <c r="T928" s="10" t="str">
        <f t="shared" si="285"/>
        <v>0_Pre</v>
      </c>
      <c r="U928" s="10" t="str">
        <f t="shared" si="286"/>
        <v>1_Post</v>
      </c>
      <c r="V928" s="10" t="str">
        <f t="shared" si="294"/>
        <v>0_Pre</v>
      </c>
      <c r="W928" s="10" t="str">
        <f t="shared" si="287"/>
        <v>straddle</v>
      </c>
      <c r="X928" s="10" t="str">
        <f t="shared" si="288"/>
        <v>0_Pre</v>
      </c>
      <c r="Y928" s="10" t="str">
        <f t="shared" si="289"/>
        <v>0_Pre</v>
      </c>
      <c r="Z928" s="10" t="str">
        <f t="shared" si="290"/>
        <v>0_Pre</v>
      </c>
      <c r="AA928" s="10" t="str">
        <f t="shared" si="295"/>
        <v>1_Post</v>
      </c>
      <c r="AB928" s="10" t="str">
        <f t="shared" si="296"/>
        <v>1_Post</v>
      </c>
      <c r="AC928" s="10" t="str">
        <f t="shared" si="297"/>
        <v>0_Pre</v>
      </c>
      <c r="AD928" s="10" t="str">
        <f t="shared" si="298"/>
        <v>2_post sample median</v>
      </c>
      <c r="AE928" s="10" t="str">
        <f t="shared" si="299"/>
        <v>2_in sample second tertile</v>
      </c>
      <c r="AF928" t="s">
        <v>82</v>
      </c>
      <c r="AG928" t="s">
        <v>75</v>
      </c>
      <c r="AH928" t="s">
        <v>78</v>
      </c>
      <c r="AI928" t="s">
        <v>122</v>
      </c>
      <c r="AJ928" t="s">
        <v>123</v>
      </c>
      <c r="AK928" t="str">
        <f>VLOOKUP(MID($AR928,1,255),country_lookup!$B:$F,2,FALSE)</f>
        <v>3_AsiaPac</v>
      </c>
      <c r="AL928" t="str">
        <f>VLOOKUP(MID($AR928,1,255),country_lookup!$B:$F,3,FALSE)</f>
        <v>1_developed</v>
      </c>
      <c r="AM928" t="str">
        <f>VLOOKUP(MID($AR928,1,255),country_lookup!$B:$F,4,FALSE)</f>
        <v>2_non_western</v>
      </c>
      <c r="AN928" t="str">
        <f>VLOOKUP(MID($AR928,1,255),country_lookup!$B:$F,5,FALSE)</f>
        <v>2_civil law</v>
      </c>
      <c r="AO928" s="10" t="str">
        <f>VLOOKUP(MID($AS928,1,255),source_lookup!$B:$K,4,FALSE)</f>
        <v>0_published</v>
      </c>
      <c r="AP928" s="10" t="str">
        <f>VLOOKUP(MID($AS928,1,255),source_lookup!$B:$K,6,FALSE)</f>
        <v>1_VHB high</v>
      </c>
      <c r="AQ928" s="10" t="str">
        <f>VLOOKUP(MID($AS928,1,255),source_lookup!$B:$K,10,FALSE)</f>
        <v>1_fin/acc/econ</v>
      </c>
      <c r="AR928" t="s">
        <v>111</v>
      </c>
      <c r="AS928" t="s">
        <v>169</v>
      </c>
    </row>
    <row r="929" spans="1:45" x14ac:dyDescent="0.3">
      <c r="A929" t="s">
        <v>46</v>
      </c>
      <c r="B929">
        <v>928</v>
      </c>
      <c r="C929" s="1">
        <v>2.1416004140025053E-2</v>
      </c>
      <c r="D929" s="2">
        <v>170</v>
      </c>
      <c r="E929" s="4">
        <v>2041</v>
      </c>
      <c r="F929" s="4" t="s">
        <v>347</v>
      </c>
      <c r="G929" s="4" t="s">
        <v>346</v>
      </c>
      <c r="H929" t="s">
        <v>77</v>
      </c>
      <c r="I929" t="s">
        <v>352</v>
      </c>
      <c r="J929" s="3">
        <v>2007</v>
      </c>
      <c r="K929" s="3">
        <v>2018</v>
      </c>
      <c r="L929" s="6">
        <f t="shared" si="291"/>
        <v>2012.5</v>
      </c>
      <c r="M929" s="6">
        <f t="shared" si="292"/>
        <v>2012.5</v>
      </c>
      <c r="N929" s="7">
        <f t="shared" si="280"/>
        <v>0.25</v>
      </c>
      <c r="O929" s="7">
        <f t="shared" si="281"/>
        <v>0.16666666666666666</v>
      </c>
      <c r="P929" s="7">
        <f t="shared" si="282"/>
        <v>8.3333333333333329E-2</v>
      </c>
      <c r="Q929" s="7">
        <f t="shared" si="293"/>
        <v>0</v>
      </c>
      <c r="R929" s="10" t="str">
        <f t="shared" si="283"/>
        <v>0_Pre</v>
      </c>
      <c r="S929" s="10" t="str">
        <f t="shared" si="284"/>
        <v>0_Pre</v>
      </c>
      <c r="T929" s="10" t="str">
        <f t="shared" si="285"/>
        <v>0_Pre</v>
      </c>
      <c r="U929" s="10" t="str">
        <f t="shared" si="286"/>
        <v>1_Post</v>
      </c>
      <c r="V929" s="10" t="str">
        <f t="shared" si="294"/>
        <v>0_Pre</v>
      </c>
      <c r="W929" s="10" t="str">
        <f t="shared" si="287"/>
        <v>straddle</v>
      </c>
      <c r="X929" s="10" t="str">
        <f t="shared" si="288"/>
        <v>0_Pre</v>
      </c>
      <c r="Y929" s="10" t="str">
        <f t="shared" si="289"/>
        <v>0_Pre</v>
      </c>
      <c r="Z929" s="10" t="str">
        <f t="shared" si="290"/>
        <v>0_Pre</v>
      </c>
      <c r="AA929" s="10" t="str">
        <f t="shared" si="295"/>
        <v>1_Post</v>
      </c>
      <c r="AB929" s="10" t="str">
        <f t="shared" si="296"/>
        <v>1_Post</v>
      </c>
      <c r="AC929" s="10" t="str">
        <f t="shared" si="297"/>
        <v>0_Pre</v>
      </c>
      <c r="AD929" s="10" t="str">
        <f t="shared" si="298"/>
        <v>2_post sample median</v>
      </c>
      <c r="AE929" s="10" t="str">
        <f t="shared" si="299"/>
        <v>2_in sample second tertile</v>
      </c>
      <c r="AF929" t="s">
        <v>82</v>
      </c>
      <c r="AG929" t="s">
        <v>75</v>
      </c>
      <c r="AH929" t="s">
        <v>78</v>
      </c>
      <c r="AI929" t="s">
        <v>122</v>
      </c>
      <c r="AJ929" t="s">
        <v>123</v>
      </c>
      <c r="AK929" t="str">
        <f>VLOOKUP(MID($AR929,1,255),country_lookup!$B:$F,2,FALSE)</f>
        <v>3_AsiaPac</v>
      </c>
      <c r="AL929" t="str">
        <f>VLOOKUP(MID($AR929,1,255),country_lookup!$B:$F,3,FALSE)</f>
        <v>1_developed</v>
      </c>
      <c r="AM929" t="str">
        <f>VLOOKUP(MID($AR929,1,255),country_lookup!$B:$F,4,FALSE)</f>
        <v>2_non_western</v>
      </c>
      <c r="AN929" t="str">
        <f>VLOOKUP(MID($AR929,1,255),country_lookup!$B:$F,5,FALSE)</f>
        <v>2_civil law</v>
      </c>
      <c r="AO929" s="10" t="str">
        <f>VLOOKUP(MID($AS929,1,255),source_lookup!$B:$K,4,FALSE)</f>
        <v>0_published</v>
      </c>
      <c r="AP929" s="10" t="str">
        <f>VLOOKUP(MID($AS929,1,255),source_lookup!$B:$K,6,FALSE)</f>
        <v>1_VHB high</v>
      </c>
      <c r="AQ929" s="10" t="str">
        <f>VLOOKUP(MID($AS929,1,255),source_lookup!$B:$K,10,FALSE)</f>
        <v>1_fin/acc/econ</v>
      </c>
      <c r="AR929" t="s">
        <v>111</v>
      </c>
      <c r="AS929" t="s">
        <v>169</v>
      </c>
    </row>
    <row r="930" spans="1:45" x14ac:dyDescent="0.3">
      <c r="A930" t="s">
        <v>46</v>
      </c>
      <c r="B930">
        <v>929</v>
      </c>
      <c r="C930" s="1">
        <v>-2.2129526988628804E-2</v>
      </c>
      <c r="D930" s="2">
        <v>170</v>
      </c>
      <c r="E930" s="4">
        <v>2041</v>
      </c>
      <c r="F930" s="4" t="s">
        <v>347</v>
      </c>
      <c r="G930" s="4" t="s">
        <v>346</v>
      </c>
      <c r="H930" t="s">
        <v>77</v>
      </c>
      <c r="I930" t="s">
        <v>352</v>
      </c>
      <c r="J930" s="3">
        <v>2007</v>
      </c>
      <c r="K930" s="3">
        <v>2018</v>
      </c>
      <c r="L930" s="6">
        <f t="shared" si="291"/>
        <v>2012.5</v>
      </c>
      <c r="M930" s="6">
        <f t="shared" si="292"/>
        <v>2012.5</v>
      </c>
      <c r="N930" s="7">
        <f t="shared" si="280"/>
        <v>0.25</v>
      </c>
      <c r="O930" s="7">
        <f t="shared" si="281"/>
        <v>0.16666666666666666</v>
      </c>
      <c r="P930" s="7">
        <f t="shared" si="282"/>
        <v>8.3333333333333329E-2</v>
      </c>
      <c r="Q930" s="7">
        <f t="shared" si="293"/>
        <v>0</v>
      </c>
      <c r="R930" s="10" t="str">
        <f t="shared" si="283"/>
        <v>0_Pre</v>
      </c>
      <c r="S930" s="10" t="str">
        <f t="shared" si="284"/>
        <v>0_Pre</v>
      </c>
      <c r="T930" s="10" t="str">
        <f t="shared" si="285"/>
        <v>0_Pre</v>
      </c>
      <c r="U930" s="10" t="str">
        <f t="shared" si="286"/>
        <v>1_Post</v>
      </c>
      <c r="V930" s="10" t="str">
        <f t="shared" si="294"/>
        <v>0_Pre</v>
      </c>
      <c r="W930" s="10" t="str">
        <f t="shared" si="287"/>
        <v>straddle</v>
      </c>
      <c r="X930" s="10" t="str">
        <f t="shared" si="288"/>
        <v>0_Pre</v>
      </c>
      <c r="Y930" s="10" t="str">
        <f t="shared" si="289"/>
        <v>0_Pre</v>
      </c>
      <c r="Z930" s="10" t="str">
        <f t="shared" si="290"/>
        <v>0_Pre</v>
      </c>
      <c r="AA930" s="10" t="str">
        <f t="shared" si="295"/>
        <v>1_Post</v>
      </c>
      <c r="AB930" s="10" t="str">
        <f t="shared" si="296"/>
        <v>1_Post</v>
      </c>
      <c r="AC930" s="10" t="str">
        <f t="shared" si="297"/>
        <v>0_Pre</v>
      </c>
      <c r="AD930" s="10" t="str">
        <f t="shared" si="298"/>
        <v>2_post sample median</v>
      </c>
      <c r="AE930" s="10" t="str">
        <f t="shared" si="299"/>
        <v>2_in sample second tertile</v>
      </c>
      <c r="AF930" t="s">
        <v>82</v>
      </c>
      <c r="AG930" t="s">
        <v>75</v>
      </c>
      <c r="AH930" t="s">
        <v>78</v>
      </c>
      <c r="AI930" t="s">
        <v>122</v>
      </c>
      <c r="AJ930" t="s">
        <v>123</v>
      </c>
      <c r="AK930" t="str">
        <f>VLOOKUP(MID($AR930,1,255),country_lookup!$B:$F,2,FALSE)</f>
        <v>3_AsiaPac</v>
      </c>
      <c r="AL930" t="str">
        <f>VLOOKUP(MID($AR930,1,255),country_lookup!$B:$F,3,FALSE)</f>
        <v>1_developed</v>
      </c>
      <c r="AM930" t="str">
        <f>VLOOKUP(MID($AR930,1,255),country_lookup!$B:$F,4,FALSE)</f>
        <v>2_non_western</v>
      </c>
      <c r="AN930" t="str">
        <f>VLOOKUP(MID($AR930,1,255),country_lookup!$B:$F,5,FALSE)</f>
        <v>2_civil law</v>
      </c>
      <c r="AO930" s="10" t="str">
        <f>VLOOKUP(MID($AS930,1,255),source_lookup!$B:$K,4,FALSE)</f>
        <v>0_published</v>
      </c>
      <c r="AP930" s="10" t="str">
        <f>VLOOKUP(MID($AS930,1,255),source_lookup!$B:$K,6,FALSE)</f>
        <v>1_VHB high</v>
      </c>
      <c r="AQ930" s="10" t="str">
        <f>VLOOKUP(MID($AS930,1,255),source_lookup!$B:$K,10,FALSE)</f>
        <v>1_fin/acc/econ</v>
      </c>
      <c r="AR930" t="s">
        <v>111</v>
      </c>
      <c r="AS930" t="s">
        <v>169</v>
      </c>
    </row>
    <row r="931" spans="1:45" x14ac:dyDescent="0.3">
      <c r="A931" t="s">
        <v>46</v>
      </c>
      <c r="B931">
        <v>930</v>
      </c>
      <c r="C931" s="1">
        <v>8.2021846982331503E-2</v>
      </c>
      <c r="D931" s="2">
        <v>26</v>
      </c>
      <c r="E931" s="4">
        <v>312</v>
      </c>
      <c r="F931" s="4" t="s">
        <v>347</v>
      </c>
      <c r="G931" s="4" t="s">
        <v>346</v>
      </c>
      <c r="H931" t="s">
        <v>77</v>
      </c>
      <c r="I931" t="s">
        <v>352</v>
      </c>
      <c r="J931" s="3">
        <v>2007</v>
      </c>
      <c r="K931" s="3">
        <v>2018</v>
      </c>
      <c r="L931" s="6">
        <f t="shared" si="291"/>
        <v>2012.5</v>
      </c>
      <c r="M931" s="6">
        <f t="shared" si="292"/>
        <v>2012.5</v>
      </c>
      <c r="N931" s="7">
        <f t="shared" si="280"/>
        <v>0.25</v>
      </c>
      <c r="O931" s="7">
        <f t="shared" si="281"/>
        <v>0.16666666666666666</v>
      </c>
      <c r="P931" s="7">
        <f t="shared" si="282"/>
        <v>8.3333333333333329E-2</v>
      </c>
      <c r="Q931" s="7">
        <f t="shared" si="293"/>
        <v>0</v>
      </c>
      <c r="R931" s="10" t="str">
        <f t="shared" si="283"/>
        <v>0_Pre</v>
      </c>
      <c r="S931" s="10" t="str">
        <f t="shared" si="284"/>
        <v>0_Pre</v>
      </c>
      <c r="T931" s="10" t="str">
        <f t="shared" si="285"/>
        <v>0_Pre</v>
      </c>
      <c r="U931" s="10" t="str">
        <f t="shared" si="286"/>
        <v>1_Post</v>
      </c>
      <c r="V931" s="10" t="str">
        <f t="shared" si="294"/>
        <v>0_Pre</v>
      </c>
      <c r="W931" s="10" t="str">
        <f t="shared" si="287"/>
        <v>straddle</v>
      </c>
      <c r="X931" s="10" t="str">
        <f t="shared" si="288"/>
        <v>0_Pre</v>
      </c>
      <c r="Y931" s="10" t="str">
        <f t="shared" si="289"/>
        <v>0_Pre</v>
      </c>
      <c r="Z931" s="10" t="str">
        <f t="shared" si="290"/>
        <v>0_Pre</v>
      </c>
      <c r="AA931" s="10" t="str">
        <f t="shared" si="295"/>
        <v>1_Post</v>
      </c>
      <c r="AB931" s="10" t="str">
        <f t="shared" si="296"/>
        <v>1_Post</v>
      </c>
      <c r="AC931" s="10" t="str">
        <f t="shared" si="297"/>
        <v>0_Pre</v>
      </c>
      <c r="AD931" s="10" t="str">
        <f t="shared" si="298"/>
        <v>2_post sample median</v>
      </c>
      <c r="AE931" s="10" t="str">
        <f t="shared" si="299"/>
        <v>2_in sample second tertile</v>
      </c>
      <c r="AF931" t="s">
        <v>82</v>
      </c>
      <c r="AG931" t="s">
        <v>75</v>
      </c>
      <c r="AH931" t="s">
        <v>78</v>
      </c>
      <c r="AI931" t="s">
        <v>122</v>
      </c>
      <c r="AJ931" t="s">
        <v>123</v>
      </c>
      <c r="AK931" t="str">
        <f>VLOOKUP(MID($AR931,1,255),country_lookup!$B:$F,2,FALSE)</f>
        <v>3_AsiaPac</v>
      </c>
      <c r="AL931" t="str">
        <f>VLOOKUP(MID($AR931,1,255),country_lookup!$B:$F,3,FALSE)</f>
        <v>1_developed</v>
      </c>
      <c r="AM931" t="str">
        <f>VLOOKUP(MID($AR931,1,255),country_lookup!$B:$F,4,FALSE)</f>
        <v>2_non_western</v>
      </c>
      <c r="AN931" t="str">
        <f>VLOOKUP(MID($AR931,1,255),country_lookup!$B:$F,5,FALSE)</f>
        <v>2_civil law</v>
      </c>
      <c r="AO931" s="10" t="str">
        <f>VLOOKUP(MID($AS931,1,255),source_lookup!$B:$K,4,FALSE)</f>
        <v>0_published</v>
      </c>
      <c r="AP931" s="10" t="str">
        <f>VLOOKUP(MID($AS931,1,255),source_lookup!$B:$K,6,FALSE)</f>
        <v>1_VHB high</v>
      </c>
      <c r="AQ931" s="10" t="str">
        <f>VLOOKUP(MID($AS931,1,255),source_lookup!$B:$K,10,FALSE)</f>
        <v>1_fin/acc/econ</v>
      </c>
      <c r="AR931" t="s">
        <v>111</v>
      </c>
      <c r="AS931" t="s">
        <v>169</v>
      </c>
    </row>
    <row r="932" spans="1:45" x14ac:dyDescent="0.3">
      <c r="A932" t="s">
        <v>46</v>
      </c>
      <c r="B932">
        <v>931</v>
      </c>
      <c r="C932" s="1">
        <v>-0.17517789226562072</v>
      </c>
      <c r="D932" s="2">
        <v>26</v>
      </c>
      <c r="E932" s="4">
        <v>312</v>
      </c>
      <c r="F932" s="4" t="s">
        <v>347</v>
      </c>
      <c r="G932" s="4" t="s">
        <v>346</v>
      </c>
      <c r="H932" t="s">
        <v>77</v>
      </c>
      <c r="I932" t="s">
        <v>352</v>
      </c>
      <c r="J932" s="3">
        <v>2007</v>
      </c>
      <c r="K932" s="3">
        <v>2018</v>
      </c>
      <c r="L932" s="6">
        <f t="shared" si="291"/>
        <v>2012.5</v>
      </c>
      <c r="M932" s="6">
        <f t="shared" si="292"/>
        <v>2012.5</v>
      </c>
      <c r="N932" s="7">
        <f t="shared" si="280"/>
        <v>0.25</v>
      </c>
      <c r="O932" s="7">
        <f t="shared" si="281"/>
        <v>0.16666666666666666</v>
      </c>
      <c r="P932" s="7">
        <f t="shared" si="282"/>
        <v>8.3333333333333329E-2</v>
      </c>
      <c r="Q932" s="7">
        <f t="shared" si="293"/>
        <v>0</v>
      </c>
      <c r="R932" s="10" t="str">
        <f t="shared" si="283"/>
        <v>0_Pre</v>
      </c>
      <c r="S932" s="10" t="str">
        <f t="shared" si="284"/>
        <v>0_Pre</v>
      </c>
      <c r="T932" s="10" t="str">
        <f t="shared" si="285"/>
        <v>0_Pre</v>
      </c>
      <c r="U932" s="10" t="str">
        <f t="shared" si="286"/>
        <v>1_Post</v>
      </c>
      <c r="V932" s="10" t="str">
        <f t="shared" si="294"/>
        <v>0_Pre</v>
      </c>
      <c r="W932" s="10" t="str">
        <f t="shared" si="287"/>
        <v>straddle</v>
      </c>
      <c r="X932" s="10" t="str">
        <f t="shared" si="288"/>
        <v>0_Pre</v>
      </c>
      <c r="Y932" s="10" t="str">
        <f t="shared" si="289"/>
        <v>0_Pre</v>
      </c>
      <c r="Z932" s="10" t="str">
        <f t="shared" si="290"/>
        <v>0_Pre</v>
      </c>
      <c r="AA932" s="10" t="str">
        <f t="shared" si="295"/>
        <v>1_Post</v>
      </c>
      <c r="AB932" s="10" t="str">
        <f t="shared" si="296"/>
        <v>1_Post</v>
      </c>
      <c r="AC932" s="10" t="str">
        <f t="shared" si="297"/>
        <v>0_Pre</v>
      </c>
      <c r="AD932" s="10" t="str">
        <f t="shared" si="298"/>
        <v>2_post sample median</v>
      </c>
      <c r="AE932" s="10" t="str">
        <f t="shared" si="299"/>
        <v>2_in sample second tertile</v>
      </c>
      <c r="AF932" t="s">
        <v>82</v>
      </c>
      <c r="AG932" t="s">
        <v>75</v>
      </c>
      <c r="AH932" t="s">
        <v>78</v>
      </c>
      <c r="AI932" t="s">
        <v>122</v>
      </c>
      <c r="AJ932" t="s">
        <v>123</v>
      </c>
      <c r="AK932" t="str">
        <f>VLOOKUP(MID($AR932,1,255),country_lookup!$B:$F,2,FALSE)</f>
        <v>3_AsiaPac</v>
      </c>
      <c r="AL932" t="str">
        <f>VLOOKUP(MID($AR932,1,255),country_lookup!$B:$F,3,FALSE)</f>
        <v>1_developed</v>
      </c>
      <c r="AM932" t="str">
        <f>VLOOKUP(MID($AR932,1,255),country_lookup!$B:$F,4,FALSE)</f>
        <v>2_non_western</v>
      </c>
      <c r="AN932" t="str">
        <f>VLOOKUP(MID($AR932,1,255),country_lookup!$B:$F,5,FALSE)</f>
        <v>2_civil law</v>
      </c>
      <c r="AO932" s="10" t="str">
        <f>VLOOKUP(MID($AS932,1,255),source_lookup!$B:$K,4,FALSE)</f>
        <v>0_published</v>
      </c>
      <c r="AP932" s="10" t="str">
        <f>VLOOKUP(MID($AS932,1,255),source_lookup!$B:$K,6,FALSE)</f>
        <v>1_VHB high</v>
      </c>
      <c r="AQ932" s="10" t="str">
        <f>VLOOKUP(MID($AS932,1,255),source_lookup!$B:$K,10,FALSE)</f>
        <v>1_fin/acc/econ</v>
      </c>
      <c r="AR932" t="s">
        <v>111</v>
      </c>
      <c r="AS932" t="s">
        <v>169</v>
      </c>
    </row>
    <row r="933" spans="1:45" x14ac:dyDescent="0.3">
      <c r="A933" t="s">
        <v>47</v>
      </c>
      <c r="B933">
        <v>932</v>
      </c>
      <c r="C933" s="1">
        <v>-0.122</v>
      </c>
      <c r="D933" s="2">
        <v>163</v>
      </c>
      <c r="E933" s="4">
        <v>1469</v>
      </c>
      <c r="F933" s="4" t="s">
        <v>346</v>
      </c>
      <c r="G933" s="4" t="s">
        <v>347</v>
      </c>
      <c r="H933" t="s">
        <v>76</v>
      </c>
      <c r="I933" t="s">
        <v>353</v>
      </c>
      <c r="J933" s="3">
        <v>2010</v>
      </c>
      <c r="K933" s="3">
        <v>2018</v>
      </c>
      <c r="L933" s="6">
        <f t="shared" si="291"/>
        <v>2014</v>
      </c>
      <c r="M933" s="6">
        <f t="shared" si="292"/>
        <v>2014</v>
      </c>
      <c r="N933" s="7">
        <f t="shared" si="280"/>
        <v>0.33333333333333331</v>
      </c>
      <c r="O933" s="7">
        <f t="shared" si="281"/>
        <v>0.22222222222222221</v>
      </c>
      <c r="P933" s="7">
        <f t="shared" si="282"/>
        <v>0.1111111111111111</v>
      </c>
      <c r="Q933" s="7">
        <f t="shared" si="293"/>
        <v>0</v>
      </c>
      <c r="R933" s="10" t="str">
        <f t="shared" si="283"/>
        <v>0_Pre</v>
      </c>
      <c r="S933" s="10" t="str">
        <f t="shared" si="284"/>
        <v>0_Pre</v>
      </c>
      <c r="T933" s="10" t="str">
        <f t="shared" si="285"/>
        <v>0_Pre</v>
      </c>
      <c r="U933" s="10" t="str">
        <f t="shared" si="286"/>
        <v>1_Post</v>
      </c>
      <c r="V933" s="10" t="str">
        <f t="shared" si="294"/>
        <v>0_Pre</v>
      </c>
      <c r="W933" s="10" t="str">
        <f t="shared" si="287"/>
        <v>straddle</v>
      </c>
      <c r="X933" s="10" t="str">
        <f t="shared" si="288"/>
        <v>0_Pre</v>
      </c>
      <c r="Y933" s="10" t="str">
        <f t="shared" si="289"/>
        <v>0_Pre</v>
      </c>
      <c r="Z933" s="10" t="str">
        <f t="shared" si="290"/>
        <v>0_Pre</v>
      </c>
      <c r="AA933" s="10" t="str">
        <f t="shared" si="295"/>
        <v>1_Post</v>
      </c>
      <c r="AB933" s="10" t="str">
        <f t="shared" si="296"/>
        <v>1_Post</v>
      </c>
      <c r="AC933" s="10" t="str">
        <f t="shared" si="297"/>
        <v>0_Pre</v>
      </c>
      <c r="AD933" s="10" t="str">
        <f t="shared" si="298"/>
        <v>2_post sample median</v>
      </c>
      <c r="AE933" s="10" t="str">
        <f t="shared" si="299"/>
        <v>3_post sample third tertile</v>
      </c>
      <c r="AF933" t="s">
        <v>80</v>
      </c>
      <c r="AG933" t="s">
        <v>75</v>
      </c>
      <c r="AH933" t="s">
        <v>78</v>
      </c>
      <c r="AI933" t="s">
        <v>122</v>
      </c>
      <c r="AJ933" t="s">
        <v>122</v>
      </c>
      <c r="AK933" t="str">
        <f>VLOOKUP(MID($AR933,1,255),country_lookup!$B:$F,2,FALSE)</f>
        <v>2_Europe</v>
      </c>
      <c r="AL933" t="str">
        <f>VLOOKUP(MID($AR933,1,255),country_lookup!$B:$F,3,FALSE)</f>
        <v>1_developed</v>
      </c>
      <c r="AM933" t="str">
        <f>VLOOKUP(MID($AR933,1,255),country_lookup!$B:$F,4,FALSE)</f>
        <v>1_western</v>
      </c>
      <c r="AN933" t="str">
        <f>VLOOKUP(MID($AR933,1,255),country_lookup!$B:$F,5,FALSE)</f>
        <v>1_common law</v>
      </c>
      <c r="AO933" s="10" t="str">
        <f>VLOOKUP(MID($AS933,1,255),source_lookup!$B:$K,4,FALSE)</f>
        <v>0_published</v>
      </c>
      <c r="AP933" s="10" t="str">
        <f>VLOOKUP(MID($AS933,1,255),source_lookup!$B:$K,6,FALSE)</f>
        <v>1_VHB high</v>
      </c>
      <c r="AQ933" s="10" t="str">
        <f>VLOOKUP(MID($AS933,1,255),source_lookup!$B:$K,10,FALSE)</f>
        <v>2_sust</v>
      </c>
      <c r="AR933" t="s">
        <v>112</v>
      </c>
      <c r="AS933" t="s">
        <v>170</v>
      </c>
    </row>
    <row r="934" spans="1:45" x14ac:dyDescent="0.3">
      <c r="A934" t="s">
        <v>47</v>
      </c>
      <c r="B934">
        <v>933</v>
      </c>
      <c r="C934" s="1">
        <v>-8.5709378367168396E-2</v>
      </c>
      <c r="D934" s="2">
        <v>163</v>
      </c>
      <c r="E934" s="4">
        <v>1469</v>
      </c>
      <c r="F934" s="4" t="s">
        <v>346</v>
      </c>
      <c r="G934" s="4" t="s">
        <v>347</v>
      </c>
      <c r="H934" t="s">
        <v>77</v>
      </c>
      <c r="I934" t="s">
        <v>351</v>
      </c>
      <c r="J934" s="3">
        <v>2010</v>
      </c>
      <c r="K934" s="3">
        <v>2018</v>
      </c>
      <c r="L934" s="6">
        <f t="shared" si="291"/>
        <v>2014</v>
      </c>
      <c r="M934" s="6">
        <f t="shared" si="292"/>
        <v>2014</v>
      </c>
      <c r="N934" s="7">
        <f t="shared" si="280"/>
        <v>0.33333333333333331</v>
      </c>
      <c r="O934" s="7">
        <f t="shared" si="281"/>
        <v>0.22222222222222221</v>
      </c>
      <c r="P934" s="7">
        <f t="shared" si="282"/>
        <v>0.1111111111111111</v>
      </c>
      <c r="Q934" s="7">
        <f t="shared" si="293"/>
        <v>0</v>
      </c>
      <c r="R934" s="10" t="str">
        <f t="shared" si="283"/>
        <v>0_Pre</v>
      </c>
      <c r="S934" s="10" t="str">
        <f t="shared" si="284"/>
        <v>0_Pre</v>
      </c>
      <c r="T934" s="10" t="str">
        <f t="shared" si="285"/>
        <v>0_Pre</v>
      </c>
      <c r="U934" s="10" t="str">
        <f t="shared" si="286"/>
        <v>1_Post</v>
      </c>
      <c r="V934" s="10" t="str">
        <f t="shared" si="294"/>
        <v>0_Pre</v>
      </c>
      <c r="W934" s="10" t="str">
        <f t="shared" si="287"/>
        <v>straddle</v>
      </c>
      <c r="X934" s="10" t="str">
        <f t="shared" si="288"/>
        <v>0_Pre</v>
      </c>
      <c r="Y934" s="10" t="str">
        <f t="shared" si="289"/>
        <v>0_Pre</v>
      </c>
      <c r="Z934" s="10" t="str">
        <f t="shared" si="290"/>
        <v>0_Pre</v>
      </c>
      <c r="AA934" s="10" t="str">
        <f t="shared" si="295"/>
        <v>1_Post</v>
      </c>
      <c r="AB934" s="10" t="str">
        <f t="shared" si="296"/>
        <v>1_Post</v>
      </c>
      <c r="AC934" s="10" t="str">
        <f t="shared" si="297"/>
        <v>0_Pre</v>
      </c>
      <c r="AD934" s="10" t="str">
        <f t="shared" si="298"/>
        <v>2_post sample median</v>
      </c>
      <c r="AE934" s="10" t="str">
        <f t="shared" si="299"/>
        <v>3_post sample third tertile</v>
      </c>
      <c r="AF934" t="s">
        <v>80</v>
      </c>
      <c r="AG934" t="s">
        <v>75</v>
      </c>
      <c r="AH934" t="s">
        <v>78</v>
      </c>
      <c r="AI934" t="s">
        <v>122</v>
      </c>
      <c r="AJ934" t="s">
        <v>122</v>
      </c>
      <c r="AK934" t="str">
        <f>VLOOKUP(MID($AR934,1,255),country_lookup!$B:$F,2,FALSE)</f>
        <v>2_Europe</v>
      </c>
      <c r="AL934" t="str">
        <f>VLOOKUP(MID($AR934,1,255),country_lookup!$B:$F,3,FALSE)</f>
        <v>1_developed</v>
      </c>
      <c r="AM934" t="str">
        <f>VLOOKUP(MID($AR934,1,255),country_lookup!$B:$F,4,FALSE)</f>
        <v>1_western</v>
      </c>
      <c r="AN934" t="str">
        <f>VLOOKUP(MID($AR934,1,255),country_lookup!$B:$F,5,FALSE)</f>
        <v>1_common law</v>
      </c>
      <c r="AO934" s="10" t="str">
        <f>VLOOKUP(MID($AS934,1,255),source_lookup!$B:$K,4,FALSE)</f>
        <v>0_published</v>
      </c>
      <c r="AP934" s="10" t="str">
        <f>VLOOKUP(MID($AS934,1,255),source_lookup!$B:$K,6,FALSE)</f>
        <v>1_VHB high</v>
      </c>
      <c r="AQ934" s="10" t="str">
        <f>VLOOKUP(MID($AS934,1,255),source_lookup!$B:$K,10,FALSE)</f>
        <v>2_sust</v>
      </c>
      <c r="AR934" t="s">
        <v>112</v>
      </c>
      <c r="AS934" t="s">
        <v>170</v>
      </c>
    </row>
    <row r="935" spans="1:45" x14ac:dyDescent="0.3">
      <c r="A935" t="s">
        <v>47</v>
      </c>
      <c r="B935">
        <v>934</v>
      </c>
      <c r="C935" s="1">
        <v>-7.0957699011364589E-2</v>
      </c>
      <c r="D935" s="2">
        <v>98</v>
      </c>
      <c r="E935" s="4">
        <v>886</v>
      </c>
      <c r="F935" s="4" t="s">
        <v>346</v>
      </c>
      <c r="G935" s="4" t="s">
        <v>347</v>
      </c>
      <c r="H935" t="s">
        <v>77</v>
      </c>
      <c r="I935" t="s">
        <v>351</v>
      </c>
      <c r="J935" s="3">
        <v>2010</v>
      </c>
      <c r="K935" s="3">
        <v>2018</v>
      </c>
      <c r="L935" s="6">
        <f t="shared" si="291"/>
        <v>2014</v>
      </c>
      <c r="M935" s="6">
        <f t="shared" si="292"/>
        <v>2014</v>
      </c>
      <c r="N935" s="7">
        <f t="shared" si="280"/>
        <v>0.33333333333333331</v>
      </c>
      <c r="O935" s="7">
        <f t="shared" si="281"/>
        <v>0.22222222222222221</v>
      </c>
      <c r="P935" s="7">
        <f t="shared" si="282"/>
        <v>0.1111111111111111</v>
      </c>
      <c r="Q935" s="7">
        <f t="shared" si="293"/>
        <v>0</v>
      </c>
      <c r="R935" s="10" t="str">
        <f t="shared" si="283"/>
        <v>0_Pre</v>
      </c>
      <c r="S935" s="10" t="str">
        <f t="shared" si="284"/>
        <v>0_Pre</v>
      </c>
      <c r="T935" s="10" t="str">
        <f t="shared" si="285"/>
        <v>0_Pre</v>
      </c>
      <c r="U935" s="10" t="str">
        <f t="shared" si="286"/>
        <v>1_Post</v>
      </c>
      <c r="V935" s="10" t="str">
        <f t="shared" si="294"/>
        <v>0_Pre</v>
      </c>
      <c r="W935" s="10" t="str">
        <f t="shared" si="287"/>
        <v>straddle</v>
      </c>
      <c r="X935" s="10" t="str">
        <f t="shared" si="288"/>
        <v>0_Pre</v>
      </c>
      <c r="Y935" s="10" t="str">
        <f t="shared" si="289"/>
        <v>0_Pre</v>
      </c>
      <c r="Z935" s="10" t="str">
        <f t="shared" si="290"/>
        <v>0_Pre</v>
      </c>
      <c r="AA935" s="10" t="str">
        <f t="shared" si="295"/>
        <v>1_Post</v>
      </c>
      <c r="AB935" s="10" t="str">
        <f t="shared" si="296"/>
        <v>1_Post</v>
      </c>
      <c r="AC935" s="10" t="str">
        <f t="shared" si="297"/>
        <v>0_Pre</v>
      </c>
      <c r="AD935" s="10" t="str">
        <f t="shared" si="298"/>
        <v>2_post sample median</v>
      </c>
      <c r="AE935" s="10" t="str">
        <f t="shared" si="299"/>
        <v>3_post sample third tertile</v>
      </c>
      <c r="AF935" t="s">
        <v>80</v>
      </c>
      <c r="AG935" t="s">
        <v>75</v>
      </c>
      <c r="AH935" t="s">
        <v>78</v>
      </c>
      <c r="AI935" t="s">
        <v>122</v>
      </c>
      <c r="AJ935" t="s">
        <v>122</v>
      </c>
      <c r="AK935" t="str">
        <f>VLOOKUP(MID($AR935,1,255),country_lookup!$B:$F,2,FALSE)</f>
        <v>2_Europe</v>
      </c>
      <c r="AL935" t="str">
        <f>VLOOKUP(MID($AR935,1,255),country_lookup!$B:$F,3,FALSE)</f>
        <v>1_developed</v>
      </c>
      <c r="AM935" t="str">
        <f>VLOOKUP(MID($AR935,1,255),country_lookup!$B:$F,4,FALSE)</f>
        <v>1_western</v>
      </c>
      <c r="AN935" t="str">
        <f>VLOOKUP(MID($AR935,1,255),country_lookup!$B:$F,5,FALSE)</f>
        <v>1_common law</v>
      </c>
      <c r="AO935" s="10" t="str">
        <f>VLOOKUP(MID($AS935,1,255),source_lookup!$B:$K,4,FALSE)</f>
        <v>0_published</v>
      </c>
      <c r="AP935" s="10" t="str">
        <f>VLOOKUP(MID($AS935,1,255),source_lookup!$B:$K,6,FALSE)</f>
        <v>1_VHB high</v>
      </c>
      <c r="AQ935" s="10" t="str">
        <f>VLOOKUP(MID($AS935,1,255),source_lookup!$B:$K,10,FALSE)</f>
        <v>2_sust</v>
      </c>
      <c r="AR935" t="s">
        <v>112</v>
      </c>
      <c r="AS935" t="s">
        <v>170</v>
      </c>
    </row>
    <row r="936" spans="1:45" x14ac:dyDescent="0.3">
      <c r="A936" t="s">
        <v>47</v>
      </c>
      <c r="B936">
        <v>935</v>
      </c>
      <c r="C936" s="1">
        <v>-0.18149692173258172</v>
      </c>
      <c r="D936" s="2">
        <v>65</v>
      </c>
      <c r="E936" s="4">
        <v>583</v>
      </c>
      <c r="F936" s="4" t="s">
        <v>346</v>
      </c>
      <c r="G936" s="4" t="s">
        <v>347</v>
      </c>
      <c r="H936" t="s">
        <v>77</v>
      </c>
      <c r="I936" t="s">
        <v>351</v>
      </c>
      <c r="J936" s="3">
        <v>2010</v>
      </c>
      <c r="K936" s="3">
        <v>2018</v>
      </c>
      <c r="L936" s="6">
        <f t="shared" si="291"/>
        <v>2014</v>
      </c>
      <c r="M936" s="6">
        <f t="shared" si="292"/>
        <v>2014</v>
      </c>
      <c r="N936" s="7">
        <f t="shared" si="280"/>
        <v>0.33333333333333331</v>
      </c>
      <c r="O936" s="7">
        <f t="shared" si="281"/>
        <v>0.22222222222222221</v>
      </c>
      <c r="P936" s="7">
        <f t="shared" si="282"/>
        <v>0.1111111111111111</v>
      </c>
      <c r="Q936" s="7">
        <f t="shared" si="293"/>
        <v>0</v>
      </c>
      <c r="R936" s="10" t="str">
        <f t="shared" si="283"/>
        <v>0_Pre</v>
      </c>
      <c r="S936" s="10" t="str">
        <f t="shared" si="284"/>
        <v>0_Pre</v>
      </c>
      <c r="T936" s="10" t="str">
        <f t="shared" si="285"/>
        <v>0_Pre</v>
      </c>
      <c r="U936" s="10" t="str">
        <f t="shared" si="286"/>
        <v>1_Post</v>
      </c>
      <c r="V936" s="10" t="str">
        <f t="shared" si="294"/>
        <v>0_Pre</v>
      </c>
      <c r="W936" s="10" t="str">
        <f t="shared" si="287"/>
        <v>straddle</v>
      </c>
      <c r="X936" s="10" t="str">
        <f t="shared" si="288"/>
        <v>0_Pre</v>
      </c>
      <c r="Y936" s="10" t="str">
        <f t="shared" si="289"/>
        <v>0_Pre</v>
      </c>
      <c r="Z936" s="10" t="str">
        <f t="shared" si="290"/>
        <v>0_Pre</v>
      </c>
      <c r="AA936" s="10" t="str">
        <f t="shared" si="295"/>
        <v>1_Post</v>
      </c>
      <c r="AB936" s="10" t="str">
        <f t="shared" si="296"/>
        <v>1_Post</v>
      </c>
      <c r="AC936" s="10" t="str">
        <f t="shared" si="297"/>
        <v>0_Pre</v>
      </c>
      <c r="AD936" s="10" t="str">
        <f t="shared" si="298"/>
        <v>2_post sample median</v>
      </c>
      <c r="AE936" s="10" t="str">
        <f t="shared" si="299"/>
        <v>3_post sample third tertile</v>
      </c>
      <c r="AF936" t="s">
        <v>80</v>
      </c>
      <c r="AG936" t="s">
        <v>75</v>
      </c>
      <c r="AH936" t="s">
        <v>78</v>
      </c>
      <c r="AI936" t="s">
        <v>122</v>
      </c>
      <c r="AJ936" t="s">
        <v>122</v>
      </c>
      <c r="AK936" t="str">
        <f>VLOOKUP(MID($AR936,1,255),country_lookup!$B:$F,2,FALSE)</f>
        <v>2_Europe</v>
      </c>
      <c r="AL936" t="str">
        <f>VLOOKUP(MID($AR936,1,255),country_lookup!$B:$F,3,FALSE)</f>
        <v>1_developed</v>
      </c>
      <c r="AM936" t="str">
        <f>VLOOKUP(MID($AR936,1,255),country_lookup!$B:$F,4,FALSE)</f>
        <v>1_western</v>
      </c>
      <c r="AN936" t="str">
        <f>VLOOKUP(MID($AR936,1,255),country_lookup!$B:$F,5,FALSE)</f>
        <v>1_common law</v>
      </c>
      <c r="AO936" s="10" t="str">
        <f>VLOOKUP(MID($AS936,1,255),source_lookup!$B:$K,4,FALSE)</f>
        <v>0_published</v>
      </c>
      <c r="AP936" s="10" t="str">
        <f>VLOOKUP(MID($AS936,1,255),source_lookup!$B:$K,6,FALSE)</f>
        <v>1_VHB high</v>
      </c>
      <c r="AQ936" s="10" t="str">
        <f>VLOOKUP(MID($AS936,1,255),source_lookup!$B:$K,10,FALSE)</f>
        <v>2_sust</v>
      </c>
      <c r="AR936" t="s">
        <v>112</v>
      </c>
      <c r="AS936" t="s">
        <v>170</v>
      </c>
    </row>
    <row r="937" spans="1:45" x14ac:dyDescent="0.3">
      <c r="A937" t="s">
        <v>47</v>
      </c>
      <c r="B937">
        <v>936</v>
      </c>
      <c r="C937" s="1">
        <v>-3.7007574103671941E-2</v>
      </c>
      <c r="D937" s="2">
        <v>163</v>
      </c>
      <c r="E937" s="4">
        <v>1469</v>
      </c>
      <c r="F937" s="4" t="s">
        <v>346</v>
      </c>
      <c r="G937" s="4" t="s">
        <v>347</v>
      </c>
      <c r="H937" t="s">
        <v>77</v>
      </c>
      <c r="I937" t="s">
        <v>351</v>
      </c>
      <c r="J937" s="3">
        <v>2010</v>
      </c>
      <c r="K937" s="3">
        <v>2018</v>
      </c>
      <c r="L937" s="6">
        <f t="shared" si="291"/>
        <v>2014</v>
      </c>
      <c r="M937" s="6">
        <f t="shared" si="292"/>
        <v>2014</v>
      </c>
      <c r="N937" s="7">
        <f t="shared" si="280"/>
        <v>0.33333333333333331</v>
      </c>
      <c r="O937" s="7">
        <f t="shared" si="281"/>
        <v>0.22222222222222221</v>
      </c>
      <c r="P937" s="7">
        <f t="shared" si="282"/>
        <v>0.1111111111111111</v>
      </c>
      <c r="Q937" s="7">
        <f t="shared" si="293"/>
        <v>0</v>
      </c>
      <c r="R937" s="10" t="str">
        <f t="shared" si="283"/>
        <v>0_Pre</v>
      </c>
      <c r="S937" s="10" t="str">
        <f t="shared" si="284"/>
        <v>0_Pre</v>
      </c>
      <c r="T937" s="10" t="str">
        <f t="shared" si="285"/>
        <v>0_Pre</v>
      </c>
      <c r="U937" s="10" t="str">
        <f t="shared" si="286"/>
        <v>1_Post</v>
      </c>
      <c r="V937" s="10" t="str">
        <f t="shared" si="294"/>
        <v>0_Pre</v>
      </c>
      <c r="W937" s="10" t="str">
        <f t="shared" si="287"/>
        <v>straddle</v>
      </c>
      <c r="X937" s="10" t="str">
        <f t="shared" si="288"/>
        <v>0_Pre</v>
      </c>
      <c r="Y937" s="10" t="str">
        <f t="shared" si="289"/>
        <v>0_Pre</v>
      </c>
      <c r="Z937" s="10" t="str">
        <f t="shared" si="290"/>
        <v>0_Pre</v>
      </c>
      <c r="AA937" s="10" t="str">
        <f t="shared" si="295"/>
        <v>1_Post</v>
      </c>
      <c r="AB937" s="10" t="str">
        <f t="shared" si="296"/>
        <v>1_Post</v>
      </c>
      <c r="AC937" s="10" t="str">
        <f t="shared" si="297"/>
        <v>0_Pre</v>
      </c>
      <c r="AD937" s="10" t="str">
        <f t="shared" si="298"/>
        <v>2_post sample median</v>
      </c>
      <c r="AE937" s="10" t="str">
        <f t="shared" si="299"/>
        <v>3_post sample third tertile</v>
      </c>
      <c r="AF937" t="s">
        <v>80</v>
      </c>
      <c r="AG937" t="s">
        <v>75</v>
      </c>
      <c r="AH937" t="s">
        <v>78</v>
      </c>
      <c r="AI937" t="s">
        <v>122</v>
      </c>
      <c r="AJ937" t="s">
        <v>122</v>
      </c>
      <c r="AK937" t="str">
        <f>VLOOKUP(MID($AR937,1,255),country_lookup!$B:$F,2,FALSE)</f>
        <v>2_Europe</v>
      </c>
      <c r="AL937" t="str">
        <f>VLOOKUP(MID($AR937,1,255),country_lookup!$B:$F,3,FALSE)</f>
        <v>1_developed</v>
      </c>
      <c r="AM937" t="str">
        <f>VLOOKUP(MID($AR937,1,255),country_lookup!$B:$F,4,FALSE)</f>
        <v>1_western</v>
      </c>
      <c r="AN937" t="str">
        <f>VLOOKUP(MID($AR937,1,255),country_lookup!$B:$F,5,FALSE)</f>
        <v>1_common law</v>
      </c>
      <c r="AO937" s="10" t="str">
        <f>VLOOKUP(MID($AS937,1,255),source_lookup!$B:$K,4,FALSE)</f>
        <v>0_published</v>
      </c>
      <c r="AP937" s="10" t="str">
        <f>VLOOKUP(MID($AS937,1,255),source_lookup!$B:$K,6,FALSE)</f>
        <v>1_VHB high</v>
      </c>
      <c r="AQ937" s="10" t="str">
        <f>VLOOKUP(MID($AS937,1,255),source_lookup!$B:$K,10,FALSE)</f>
        <v>2_sust</v>
      </c>
      <c r="AR937" t="s">
        <v>112</v>
      </c>
      <c r="AS937" t="s">
        <v>170</v>
      </c>
    </row>
    <row r="938" spans="1:45" x14ac:dyDescent="0.3">
      <c r="A938" t="s">
        <v>47</v>
      </c>
      <c r="B938">
        <v>937</v>
      </c>
      <c r="C938" s="1">
        <v>-4.9243159776523694E-2</v>
      </c>
      <c r="D938" s="2">
        <v>163</v>
      </c>
      <c r="E938" s="4">
        <v>1469</v>
      </c>
      <c r="F938" s="4" t="s">
        <v>346</v>
      </c>
      <c r="G938" s="4" t="s">
        <v>347</v>
      </c>
      <c r="H938" t="s">
        <v>77</v>
      </c>
      <c r="I938" t="s">
        <v>351</v>
      </c>
      <c r="J938" s="3">
        <v>2010</v>
      </c>
      <c r="K938" s="3">
        <v>2018</v>
      </c>
      <c r="L938" s="6">
        <f t="shared" si="291"/>
        <v>2014</v>
      </c>
      <c r="M938" s="6">
        <f t="shared" si="292"/>
        <v>2014</v>
      </c>
      <c r="N938" s="7">
        <f t="shared" si="280"/>
        <v>0.33333333333333331</v>
      </c>
      <c r="O938" s="7">
        <f t="shared" si="281"/>
        <v>0.22222222222222221</v>
      </c>
      <c r="P938" s="7">
        <f t="shared" si="282"/>
        <v>0.1111111111111111</v>
      </c>
      <c r="Q938" s="7">
        <f t="shared" si="293"/>
        <v>0</v>
      </c>
      <c r="R938" s="10" t="str">
        <f t="shared" si="283"/>
        <v>0_Pre</v>
      </c>
      <c r="S938" s="10" t="str">
        <f t="shared" si="284"/>
        <v>0_Pre</v>
      </c>
      <c r="T938" s="10" t="str">
        <f t="shared" si="285"/>
        <v>0_Pre</v>
      </c>
      <c r="U938" s="10" t="str">
        <f t="shared" si="286"/>
        <v>1_Post</v>
      </c>
      <c r="V938" s="10" t="str">
        <f t="shared" si="294"/>
        <v>0_Pre</v>
      </c>
      <c r="W938" s="10" t="str">
        <f t="shared" si="287"/>
        <v>straddle</v>
      </c>
      <c r="X938" s="10" t="str">
        <f t="shared" si="288"/>
        <v>0_Pre</v>
      </c>
      <c r="Y938" s="10" t="str">
        <f t="shared" si="289"/>
        <v>0_Pre</v>
      </c>
      <c r="Z938" s="10" t="str">
        <f t="shared" si="290"/>
        <v>0_Pre</v>
      </c>
      <c r="AA938" s="10" t="str">
        <f t="shared" si="295"/>
        <v>1_Post</v>
      </c>
      <c r="AB938" s="10" t="str">
        <f t="shared" si="296"/>
        <v>1_Post</v>
      </c>
      <c r="AC938" s="10" t="str">
        <f t="shared" si="297"/>
        <v>0_Pre</v>
      </c>
      <c r="AD938" s="10" t="str">
        <f t="shared" si="298"/>
        <v>2_post sample median</v>
      </c>
      <c r="AE938" s="10" t="str">
        <f t="shared" si="299"/>
        <v>3_post sample third tertile</v>
      </c>
      <c r="AF938" t="s">
        <v>80</v>
      </c>
      <c r="AG938" t="s">
        <v>75</v>
      </c>
      <c r="AH938" t="s">
        <v>78</v>
      </c>
      <c r="AI938" t="s">
        <v>122</v>
      </c>
      <c r="AJ938" t="s">
        <v>122</v>
      </c>
      <c r="AK938" t="str">
        <f>VLOOKUP(MID($AR938,1,255),country_lookup!$B:$F,2,FALSE)</f>
        <v>2_Europe</v>
      </c>
      <c r="AL938" t="str">
        <f>VLOOKUP(MID($AR938,1,255),country_lookup!$B:$F,3,FALSE)</f>
        <v>1_developed</v>
      </c>
      <c r="AM938" t="str">
        <f>VLOOKUP(MID($AR938,1,255),country_lookup!$B:$F,4,FALSE)</f>
        <v>1_western</v>
      </c>
      <c r="AN938" t="str">
        <f>VLOOKUP(MID($AR938,1,255),country_lookup!$B:$F,5,FALSE)</f>
        <v>1_common law</v>
      </c>
      <c r="AO938" s="10" t="str">
        <f>VLOOKUP(MID($AS938,1,255),source_lookup!$B:$K,4,FALSE)</f>
        <v>0_published</v>
      </c>
      <c r="AP938" s="10" t="str">
        <f>VLOOKUP(MID($AS938,1,255),source_lookup!$B:$K,6,FALSE)</f>
        <v>1_VHB high</v>
      </c>
      <c r="AQ938" s="10" t="str">
        <f>VLOOKUP(MID($AS938,1,255),source_lookup!$B:$K,10,FALSE)</f>
        <v>2_sust</v>
      </c>
      <c r="AR938" t="s">
        <v>112</v>
      </c>
      <c r="AS938" t="s">
        <v>170</v>
      </c>
    </row>
    <row r="939" spans="1:45" x14ac:dyDescent="0.3">
      <c r="A939" t="s">
        <v>47</v>
      </c>
      <c r="B939">
        <v>938</v>
      </c>
      <c r="C939" s="1">
        <v>-8.0337950020939949E-2</v>
      </c>
      <c r="D939" s="2">
        <v>67</v>
      </c>
      <c r="E939" s="4">
        <v>599</v>
      </c>
      <c r="F939" s="4" t="s">
        <v>346</v>
      </c>
      <c r="G939" s="4" t="s">
        <v>347</v>
      </c>
      <c r="H939" t="s">
        <v>77</v>
      </c>
      <c r="I939" t="s">
        <v>351</v>
      </c>
      <c r="J939" s="3">
        <v>2010</v>
      </c>
      <c r="K939" s="3">
        <v>2018</v>
      </c>
      <c r="L939" s="6">
        <f t="shared" si="291"/>
        <v>2014</v>
      </c>
      <c r="M939" s="6">
        <f t="shared" si="292"/>
        <v>2014</v>
      </c>
      <c r="N939" s="7">
        <f t="shared" si="280"/>
        <v>0.33333333333333331</v>
      </c>
      <c r="O939" s="7">
        <f t="shared" si="281"/>
        <v>0.22222222222222221</v>
      </c>
      <c r="P939" s="7">
        <f t="shared" si="282"/>
        <v>0.1111111111111111</v>
      </c>
      <c r="Q939" s="7">
        <f t="shared" si="293"/>
        <v>0</v>
      </c>
      <c r="R939" s="10" t="str">
        <f t="shared" si="283"/>
        <v>0_Pre</v>
      </c>
      <c r="S939" s="10" t="str">
        <f t="shared" si="284"/>
        <v>0_Pre</v>
      </c>
      <c r="T939" s="10" t="str">
        <f t="shared" si="285"/>
        <v>0_Pre</v>
      </c>
      <c r="U939" s="10" t="str">
        <f t="shared" si="286"/>
        <v>1_Post</v>
      </c>
      <c r="V939" s="10" t="str">
        <f t="shared" si="294"/>
        <v>0_Pre</v>
      </c>
      <c r="W939" s="10" t="str">
        <f t="shared" si="287"/>
        <v>straddle</v>
      </c>
      <c r="X939" s="10" t="str">
        <f t="shared" si="288"/>
        <v>0_Pre</v>
      </c>
      <c r="Y939" s="10" t="str">
        <f t="shared" si="289"/>
        <v>0_Pre</v>
      </c>
      <c r="Z939" s="10" t="str">
        <f t="shared" si="290"/>
        <v>0_Pre</v>
      </c>
      <c r="AA939" s="10" t="str">
        <f t="shared" si="295"/>
        <v>1_Post</v>
      </c>
      <c r="AB939" s="10" t="str">
        <f t="shared" si="296"/>
        <v>1_Post</v>
      </c>
      <c r="AC939" s="10" t="str">
        <f t="shared" si="297"/>
        <v>0_Pre</v>
      </c>
      <c r="AD939" s="10" t="str">
        <f t="shared" si="298"/>
        <v>2_post sample median</v>
      </c>
      <c r="AE939" s="10" t="str">
        <f t="shared" si="299"/>
        <v>3_post sample third tertile</v>
      </c>
      <c r="AF939" t="s">
        <v>80</v>
      </c>
      <c r="AG939" t="s">
        <v>75</v>
      </c>
      <c r="AH939" t="s">
        <v>78</v>
      </c>
      <c r="AI939" t="s">
        <v>122</v>
      </c>
      <c r="AJ939" t="s">
        <v>122</v>
      </c>
      <c r="AK939" t="str">
        <f>VLOOKUP(MID($AR939,1,255),country_lookup!$B:$F,2,FALSE)</f>
        <v>2_Europe</v>
      </c>
      <c r="AL939" t="str">
        <f>VLOOKUP(MID($AR939,1,255),country_lookup!$B:$F,3,FALSE)</f>
        <v>1_developed</v>
      </c>
      <c r="AM939" t="str">
        <f>VLOOKUP(MID($AR939,1,255),country_lookup!$B:$F,4,FALSE)</f>
        <v>1_western</v>
      </c>
      <c r="AN939" t="str">
        <f>VLOOKUP(MID($AR939,1,255),country_lookup!$B:$F,5,FALSE)</f>
        <v>1_common law</v>
      </c>
      <c r="AO939" s="10" t="str">
        <f>VLOOKUP(MID($AS939,1,255),source_lookup!$B:$K,4,FALSE)</f>
        <v>0_published</v>
      </c>
      <c r="AP939" s="10" t="str">
        <f>VLOOKUP(MID($AS939,1,255),source_lookup!$B:$K,6,FALSE)</f>
        <v>1_VHB high</v>
      </c>
      <c r="AQ939" s="10" t="str">
        <f>VLOOKUP(MID($AS939,1,255),source_lookup!$B:$K,10,FALSE)</f>
        <v>2_sust</v>
      </c>
      <c r="AR939" t="s">
        <v>112</v>
      </c>
      <c r="AS939" t="s">
        <v>170</v>
      </c>
    </row>
    <row r="940" spans="1:45" x14ac:dyDescent="0.3">
      <c r="A940" t="s">
        <v>47</v>
      </c>
      <c r="B940">
        <v>939</v>
      </c>
      <c r="C940" s="1">
        <v>-3.2041308653606285E-2</v>
      </c>
      <c r="D940" s="2">
        <v>67</v>
      </c>
      <c r="E940" s="4">
        <v>599</v>
      </c>
      <c r="F940" s="4" t="s">
        <v>346</v>
      </c>
      <c r="G940" s="4" t="s">
        <v>347</v>
      </c>
      <c r="H940" t="s">
        <v>77</v>
      </c>
      <c r="I940" t="s">
        <v>351</v>
      </c>
      <c r="J940" s="3">
        <v>2010</v>
      </c>
      <c r="K940" s="3">
        <v>2018</v>
      </c>
      <c r="L940" s="6">
        <f t="shared" si="291"/>
        <v>2014</v>
      </c>
      <c r="M940" s="6">
        <f t="shared" si="292"/>
        <v>2014</v>
      </c>
      <c r="N940" s="7">
        <f t="shared" si="280"/>
        <v>0.33333333333333331</v>
      </c>
      <c r="O940" s="7">
        <f t="shared" si="281"/>
        <v>0.22222222222222221</v>
      </c>
      <c r="P940" s="7">
        <f t="shared" si="282"/>
        <v>0.1111111111111111</v>
      </c>
      <c r="Q940" s="7">
        <f t="shared" si="293"/>
        <v>0</v>
      </c>
      <c r="R940" s="10" t="str">
        <f t="shared" si="283"/>
        <v>0_Pre</v>
      </c>
      <c r="S940" s="10" t="str">
        <f t="shared" si="284"/>
        <v>0_Pre</v>
      </c>
      <c r="T940" s="10" t="str">
        <f t="shared" si="285"/>
        <v>0_Pre</v>
      </c>
      <c r="U940" s="10" t="str">
        <f t="shared" si="286"/>
        <v>1_Post</v>
      </c>
      <c r="V940" s="10" t="str">
        <f t="shared" si="294"/>
        <v>0_Pre</v>
      </c>
      <c r="W940" s="10" t="str">
        <f t="shared" si="287"/>
        <v>straddle</v>
      </c>
      <c r="X940" s="10" t="str">
        <f t="shared" si="288"/>
        <v>0_Pre</v>
      </c>
      <c r="Y940" s="10" t="str">
        <f t="shared" si="289"/>
        <v>0_Pre</v>
      </c>
      <c r="Z940" s="10" t="str">
        <f t="shared" si="290"/>
        <v>0_Pre</v>
      </c>
      <c r="AA940" s="10" t="str">
        <f t="shared" si="295"/>
        <v>1_Post</v>
      </c>
      <c r="AB940" s="10" t="str">
        <f t="shared" si="296"/>
        <v>1_Post</v>
      </c>
      <c r="AC940" s="10" t="str">
        <f t="shared" si="297"/>
        <v>0_Pre</v>
      </c>
      <c r="AD940" s="10" t="str">
        <f t="shared" si="298"/>
        <v>2_post sample median</v>
      </c>
      <c r="AE940" s="10" t="str">
        <f t="shared" si="299"/>
        <v>3_post sample third tertile</v>
      </c>
      <c r="AF940" t="s">
        <v>80</v>
      </c>
      <c r="AG940" t="s">
        <v>75</v>
      </c>
      <c r="AH940" t="s">
        <v>78</v>
      </c>
      <c r="AI940" t="s">
        <v>122</v>
      </c>
      <c r="AJ940" t="s">
        <v>122</v>
      </c>
      <c r="AK940" t="str">
        <f>VLOOKUP(MID($AR940,1,255),country_lookup!$B:$F,2,FALSE)</f>
        <v>2_Europe</v>
      </c>
      <c r="AL940" t="str">
        <f>VLOOKUP(MID($AR940,1,255),country_lookup!$B:$F,3,FALSE)</f>
        <v>1_developed</v>
      </c>
      <c r="AM940" t="str">
        <f>VLOOKUP(MID($AR940,1,255),country_lookup!$B:$F,4,FALSE)</f>
        <v>1_western</v>
      </c>
      <c r="AN940" t="str">
        <f>VLOOKUP(MID($AR940,1,255),country_lookup!$B:$F,5,FALSE)</f>
        <v>1_common law</v>
      </c>
      <c r="AO940" s="10" t="str">
        <f>VLOOKUP(MID($AS940,1,255),source_lookup!$B:$K,4,FALSE)</f>
        <v>0_published</v>
      </c>
      <c r="AP940" s="10" t="str">
        <f>VLOOKUP(MID($AS940,1,255),source_lookup!$B:$K,6,FALSE)</f>
        <v>1_VHB high</v>
      </c>
      <c r="AQ940" s="10" t="str">
        <f>VLOOKUP(MID($AS940,1,255),source_lookup!$B:$K,10,FALSE)</f>
        <v>2_sust</v>
      </c>
      <c r="AR940" t="s">
        <v>112</v>
      </c>
      <c r="AS940" t="s">
        <v>170</v>
      </c>
    </row>
    <row r="941" spans="1:45" x14ac:dyDescent="0.3">
      <c r="A941" t="s">
        <v>47</v>
      </c>
      <c r="B941">
        <v>940</v>
      </c>
      <c r="C941" s="1">
        <v>2.1867407236886405E-2</v>
      </c>
      <c r="D941" s="2">
        <v>97</v>
      </c>
      <c r="E941" s="4">
        <v>870</v>
      </c>
      <c r="F941" s="4" t="s">
        <v>346</v>
      </c>
      <c r="G941" s="4" t="s">
        <v>347</v>
      </c>
      <c r="H941" t="s">
        <v>77</v>
      </c>
      <c r="I941" t="s">
        <v>351</v>
      </c>
      <c r="J941" s="3">
        <v>2010</v>
      </c>
      <c r="K941" s="3">
        <v>2018</v>
      </c>
      <c r="L941" s="6">
        <f t="shared" si="291"/>
        <v>2014</v>
      </c>
      <c r="M941" s="6">
        <f t="shared" si="292"/>
        <v>2014</v>
      </c>
      <c r="N941" s="7">
        <f t="shared" si="280"/>
        <v>0.33333333333333331</v>
      </c>
      <c r="O941" s="7">
        <f t="shared" si="281"/>
        <v>0.22222222222222221</v>
      </c>
      <c r="P941" s="7">
        <f t="shared" si="282"/>
        <v>0.1111111111111111</v>
      </c>
      <c r="Q941" s="7">
        <f t="shared" si="293"/>
        <v>0</v>
      </c>
      <c r="R941" s="10" t="str">
        <f t="shared" si="283"/>
        <v>0_Pre</v>
      </c>
      <c r="S941" s="10" t="str">
        <f t="shared" si="284"/>
        <v>0_Pre</v>
      </c>
      <c r="T941" s="10" t="str">
        <f t="shared" si="285"/>
        <v>0_Pre</v>
      </c>
      <c r="U941" s="10" t="str">
        <f t="shared" si="286"/>
        <v>1_Post</v>
      </c>
      <c r="V941" s="10" t="str">
        <f t="shared" si="294"/>
        <v>0_Pre</v>
      </c>
      <c r="W941" s="10" t="str">
        <f t="shared" si="287"/>
        <v>straddle</v>
      </c>
      <c r="X941" s="10" t="str">
        <f t="shared" si="288"/>
        <v>0_Pre</v>
      </c>
      <c r="Y941" s="10" t="str">
        <f t="shared" si="289"/>
        <v>0_Pre</v>
      </c>
      <c r="Z941" s="10" t="str">
        <f t="shared" si="290"/>
        <v>0_Pre</v>
      </c>
      <c r="AA941" s="10" t="str">
        <f t="shared" si="295"/>
        <v>1_Post</v>
      </c>
      <c r="AB941" s="10" t="str">
        <f t="shared" si="296"/>
        <v>1_Post</v>
      </c>
      <c r="AC941" s="10" t="str">
        <f t="shared" si="297"/>
        <v>0_Pre</v>
      </c>
      <c r="AD941" s="10" t="str">
        <f t="shared" si="298"/>
        <v>2_post sample median</v>
      </c>
      <c r="AE941" s="10" t="str">
        <f t="shared" si="299"/>
        <v>3_post sample third tertile</v>
      </c>
      <c r="AF941" t="s">
        <v>80</v>
      </c>
      <c r="AG941" t="s">
        <v>75</v>
      </c>
      <c r="AH941" t="s">
        <v>78</v>
      </c>
      <c r="AI941" t="s">
        <v>122</v>
      </c>
      <c r="AJ941" t="s">
        <v>122</v>
      </c>
      <c r="AK941" t="str">
        <f>VLOOKUP(MID($AR941,1,255),country_lookup!$B:$F,2,FALSE)</f>
        <v>2_Europe</v>
      </c>
      <c r="AL941" t="str">
        <f>VLOOKUP(MID($AR941,1,255),country_lookup!$B:$F,3,FALSE)</f>
        <v>1_developed</v>
      </c>
      <c r="AM941" t="str">
        <f>VLOOKUP(MID($AR941,1,255),country_lookup!$B:$F,4,FALSE)</f>
        <v>1_western</v>
      </c>
      <c r="AN941" t="str">
        <f>VLOOKUP(MID($AR941,1,255),country_lookup!$B:$F,5,FALSE)</f>
        <v>1_common law</v>
      </c>
      <c r="AO941" s="10" t="str">
        <f>VLOOKUP(MID($AS941,1,255),source_lookup!$B:$K,4,FALSE)</f>
        <v>0_published</v>
      </c>
      <c r="AP941" s="10" t="str">
        <f>VLOOKUP(MID($AS941,1,255),source_lookup!$B:$K,6,FALSE)</f>
        <v>1_VHB high</v>
      </c>
      <c r="AQ941" s="10" t="str">
        <f>VLOOKUP(MID($AS941,1,255),source_lookup!$B:$K,10,FALSE)</f>
        <v>2_sust</v>
      </c>
      <c r="AR941" t="s">
        <v>112</v>
      </c>
      <c r="AS941" t="s">
        <v>170</v>
      </c>
    </row>
    <row r="942" spans="1:45" x14ac:dyDescent="0.3">
      <c r="A942" t="s">
        <v>47</v>
      </c>
      <c r="B942">
        <v>941</v>
      </c>
      <c r="C942" s="1">
        <v>-8.0096093100830421E-2</v>
      </c>
      <c r="D942" s="2">
        <v>97</v>
      </c>
      <c r="E942" s="4">
        <v>870</v>
      </c>
      <c r="F942" s="4" t="s">
        <v>346</v>
      </c>
      <c r="G942" s="4" t="s">
        <v>347</v>
      </c>
      <c r="H942" t="s">
        <v>77</v>
      </c>
      <c r="I942" t="s">
        <v>351</v>
      </c>
      <c r="J942" s="3">
        <v>2010</v>
      </c>
      <c r="K942" s="3">
        <v>2018</v>
      </c>
      <c r="L942" s="6">
        <f t="shared" si="291"/>
        <v>2014</v>
      </c>
      <c r="M942" s="6">
        <f t="shared" si="292"/>
        <v>2014</v>
      </c>
      <c r="N942" s="7">
        <f t="shared" si="280"/>
        <v>0.33333333333333331</v>
      </c>
      <c r="O942" s="7">
        <f t="shared" si="281"/>
        <v>0.22222222222222221</v>
      </c>
      <c r="P942" s="7">
        <f t="shared" si="282"/>
        <v>0.1111111111111111</v>
      </c>
      <c r="Q942" s="7">
        <f t="shared" si="293"/>
        <v>0</v>
      </c>
      <c r="R942" s="10" t="str">
        <f t="shared" si="283"/>
        <v>0_Pre</v>
      </c>
      <c r="S942" s="10" t="str">
        <f t="shared" si="284"/>
        <v>0_Pre</v>
      </c>
      <c r="T942" s="10" t="str">
        <f t="shared" si="285"/>
        <v>0_Pre</v>
      </c>
      <c r="U942" s="10" t="str">
        <f t="shared" si="286"/>
        <v>1_Post</v>
      </c>
      <c r="V942" s="10" t="str">
        <f t="shared" si="294"/>
        <v>0_Pre</v>
      </c>
      <c r="W942" s="10" t="str">
        <f t="shared" si="287"/>
        <v>straddle</v>
      </c>
      <c r="X942" s="10" t="str">
        <f t="shared" si="288"/>
        <v>0_Pre</v>
      </c>
      <c r="Y942" s="10" t="str">
        <f t="shared" si="289"/>
        <v>0_Pre</v>
      </c>
      <c r="Z942" s="10" t="str">
        <f t="shared" si="290"/>
        <v>0_Pre</v>
      </c>
      <c r="AA942" s="10" t="str">
        <f t="shared" si="295"/>
        <v>1_Post</v>
      </c>
      <c r="AB942" s="10" t="str">
        <f t="shared" si="296"/>
        <v>1_Post</v>
      </c>
      <c r="AC942" s="10" t="str">
        <f t="shared" si="297"/>
        <v>0_Pre</v>
      </c>
      <c r="AD942" s="10" t="str">
        <f t="shared" si="298"/>
        <v>2_post sample median</v>
      </c>
      <c r="AE942" s="10" t="str">
        <f t="shared" si="299"/>
        <v>3_post sample third tertile</v>
      </c>
      <c r="AF942" t="s">
        <v>80</v>
      </c>
      <c r="AG942" t="s">
        <v>75</v>
      </c>
      <c r="AH942" t="s">
        <v>78</v>
      </c>
      <c r="AI942" t="s">
        <v>122</v>
      </c>
      <c r="AJ942" t="s">
        <v>122</v>
      </c>
      <c r="AK942" t="str">
        <f>VLOOKUP(MID($AR942,1,255),country_lookup!$B:$F,2,FALSE)</f>
        <v>2_Europe</v>
      </c>
      <c r="AL942" t="str">
        <f>VLOOKUP(MID($AR942,1,255),country_lookup!$B:$F,3,FALSE)</f>
        <v>1_developed</v>
      </c>
      <c r="AM942" t="str">
        <f>VLOOKUP(MID($AR942,1,255),country_lookup!$B:$F,4,FALSE)</f>
        <v>1_western</v>
      </c>
      <c r="AN942" t="str">
        <f>VLOOKUP(MID($AR942,1,255),country_lookup!$B:$F,5,FALSE)</f>
        <v>1_common law</v>
      </c>
      <c r="AO942" s="10" t="str">
        <f>VLOOKUP(MID($AS942,1,255),source_lookup!$B:$K,4,FALSE)</f>
        <v>0_published</v>
      </c>
      <c r="AP942" s="10" t="str">
        <f>VLOOKUP(MID($AS942,1,255),source_lookup!$B:$K,6,FALSE)</f>
        <v>1_VHB high</v>
      </c>
      <c r="AQ942" s="10" t="str">
        <f>VLOOKUP(MID($AS942,1,255),source_lookup!$B:$K,10,FALSE)</f>
        <v>2_sust</v>
      </c>
      <c r="AR942" t="s">
        <v>112</v>
      </c>
      <c r="AS942" t="s">
        <v>170</v>
      </c>
    </row>
    <row r="943" spans="1:45" x14ac:dyDescent="0.3">
      <c r="A943" t="s">
        <v>47</v>
      </c>
      <c r="B943">
        <v>942</v>
      </c>
      <c r="C943" s="1">
        <v>-0.13075173949600272</v>
      </c>
      <c r="D943" s="2">
        <v>126</v>
      </c>
      <c r="E943" s="4">
        <v>1132</v>
      </c>
      <c r="F943" s="4" t="s">
        <v>346</v>
      </c>
      <c r="G943" s="4" t="s">
        <v>347</v>
      </c>
      <c r="H943" t="s">
        <v>77</v>
      </c>
      <c r="I943" t="s">
        <v>351</v>
      </c>
      <c r="J943" s="3">
        <v>2010</v>
      </c>
      <c r="K943" s="3">
        <v>2018</v>
      </c>
      <c r="L943" s="6">
        <f t="shared" si="291"/>
        <v>2014</v>
      </c>
      <c r="M943" s="6">
        <f t="shared" si="292"/>
        <v>2014</v>
      </c>
      <c r="N943" s="7">
        <f t="shared" si="280"/>
        <v>0.33333333333333331</v>
      </c>
      <c r="O943" s="7">
        <f t="shared" si="281"/>
        <v>0.22222222222222221</v>
      </c>
      <c r="P943" s="7">
        <f t="shared" si="282"/>
        <v>0.1111111111111111</v>
      </c>
      <c r="Q943" s="7">
        <f t="shared" si="293"/>
        <v>0</v>
      </c>
      <c r="R943" s="10" t="str">
        <f t="shared" si="283"/>
        <v>0_Pre</v>
      </c>
      <c r="S943" s="10" t="str">
        <f t="shared" si="284"/>
        <v>0_Pre</v>
      </c>
      <c r="T943" s="10" t="str">
        <f t="shared" si="285"/>
        <v>0_Pre</v>
      </c>
      <c r="U943" s="10" t="str">
        <f t="shared" si="286"/>
        <v>1_Post</v>
      </c>
      <c r="V943" s="10" t="str">
        <f t="shared" si="294"/>
        <v>0_Pre</v>
      </c>
      <c r="W943" s="10" t="str">
        <f t="shared" si="287"/>
        <v>straddle</v>
      </c>
      <c r="X943" s="10" t="str">
        <f t="shared" si="288"/>
        <v>0_Pre</v>
      </c>
      <c r="Y943" s="10" t="str">
        <f t="shared" si="289"/>
        <v>0_Pre</v>
      </c>
      <c r="Z943" s="10" t="str">
        <f t="shared" si="290"/>
        <v>0_Pre</v>
      </c>
      <c r="AA943" s="10" t="str">
        <f t="shared" si="295"/>
        <v>1_Post</v>
      </c>
      <c r="AB943" s="10" t="str">
        <f t="shared" si="296"/>
        <v>1_Post</v>
      </c>
      <c r="AC943" s="10" t="str">
        <f t="shared" si="297"/>
        <v>0_Pre</v>
      </c>
      <c r="AD943" s="10" t="str">
        <f t="shared" si="298"/>
        <v>2_post sample median</v>
      </c>
      <c r="AE943" s="10" t="str">
        <f t="shared" si="299"/>
        <v>3_post sample third tertile</v>
      </c>
      <c r="AF943" t="s">
        <v>80</v>
      </c>
      <c r="AG943" t="s">
        <v>75</v>
      </c>
      <c r="AH943" t="s">
        <v>78</v>
      </c>
      <c r="AI943" t="s">
        <v>122</v>
      </c>
      <c r="AJ943" t="s">
        <v>122</v>
      </c>
      <c r="AK943" t="str">
        <f>VLOOKUP(MID($AR943,1,255),country_lookup!$B:$F,2,FALSE)</f>
        <v>2_Europe</v>
      </c>
      <c r="AL943" t="str">
        <f>VLOOKUP(MID($AR943,1,255),country_lookup!$B:$F,3,FALSE)</f>
        <v>1_developed</v>
      </c>
      <c r="AM943" t="str">
        <f>VLOOKUP(MID($AR943,1,255),country_lookup!$B:$F,4,FALSE)</f>
        <v>1_western</v>
      </c>
      <c r="AN943" t="str">
        <f>VLOOKUP(MID($AR943,1,255),country_lookup!$B:$F,5,FALSE)</f>
        <v>1_common law</v>
      </c>
      <c r="AO943" s="10" t="str">
        <f>VLOOKUP(MID($AS943,1,255),source_lookup!$B:$K,4,FALSE)</f>
        <v>0_published</v>
      </c>
      <c r="AP943" s="10" t="str">
        <f>VLOOKUP(MID($AS943,1,255),source_lookup!$B:$K,6,FALSE)</f>
        <v>1_VHB high</v>
      </c>
      <c r="AQ943" s="10" t="str">
        <f>VLOOKUP(MID($AS943,1,255),source_lookup!$B:$K,10,FALSE)</f>
        <v>2_sust</v>
      </c>
      <c r="AR943" t="s">
        <v>112</v>
      </c>
      <c r="AS943" t="s">
        <v>170</v>
      </c>
    </row>
    <row r="944" spans="1:45" x14ac:dyDescent="0.3">
      <c r="A944" t="s">
        <v>47</v>
      </c>
      <c r="B944">
        <v>943</v>
      </c>
      <c r="C944" s="1">
        <v>5.1007185032651579E-2</v>
      </c>
      <c r="D944" s="2">
        <v>126</v>
      </c>
      <c r="E944" s="4">
        <v>1132</v>
      </c>
      <c r="F944" s="4" t="s">
        <v>346</v>
      </c>
      <c r="G944" s="4" t="s">
        <v>347</v>
      </c>
      <c r="H944" t="s">
        <v>77</v>
      </c>
      <c r="I944" t="s">
        <v>351</v>
      </c>
      <c r="J944" s="3">
        <v>2010</v>
      </c>
      <c r="K944" s="3">
        <v>2018</v>
      </c>
      <c r="L944" s="6">
        <f t="shared" si="291"/>
        <v>2014</v>
      </c>
      <c r="M944" s="6">
        <f t="shared" si="292"/>
        <v>2014</v>
      </c>
      <c r="N944" s="7">
        <f t="shared" si="280"/>
        <v>0.33333333333333331</v>
      </c>
      <c r="O944" s="7">
        <f t="shared" si="281"/>
        <v>0.22222222222222221</v>
      </c>
      <c r="P944" s="7">
        <f t="shared" si="282"/>
        <v>0.1111111111111111</v>
      </c>
      <c r="Q944" s="7">
        <f t="shared" si="293"/>
        <v>0</v>
      </c>
      <c r="R944" s="10" t="str">
        <f t="shared" si="283"/>
        <v>0_Pre</v>
      </c>
      <c r="S944" s="10" t="str">
        <f t="shared" si="284"/>
        <v>0_Pre</v>
      </c>
      <c r="T944" s="10" t="str">
        <f t="shared" si="285"/>
        <v>0_Pre</v>
      </c>
      <c r="U944" s="10" t="str">
        <f t="shared" si="286"/>
        <v>1_Post</v>
      </c>
      <c r="V944" s="10" t="str">
        <f t="shared" si="294"/>
        <v>0_Pre</v>
      </c>
      <c r="W944" s="10" t="str">
        <f t="shared" si="287"/>
        <v>straddle</v>
      </c>
      <c r="X944" s="10" t="str">
        <f t="shared" si="288"/>
        <v>0_Pre</v>
      </c>
      <c r="Y944" s="10" t="str">
        <f t="shared" si="289"/>
        <v>0_Pre</v>
      </c>
      <c r="Z944" s="10" t="str">
        <f t="shared" si="290"/>
        <v>0_Pre</v>
      </c>
      <c r="AA944" s="10" t="str">
        <f t="shared" si="295"/>
        <v>1_Post</v>
      </c>
      <c r="AB944" s="10" t="str">
        <f t="shared" si="296"/>
        <v>1_Post</v>
      </c>
      <c r="AC944" s="10" t="str">
        <f t="shared" si="297"/>
        <v>0_Pre</v>
      </c>
      <c r="AD944" s="10" t="str">
        <f t="shared" si="298"/>
        <v>2_post sample median</v>
      </c>
      <c r="AE944" s="10" t="str">
        <f t="shared" si="299"/>
        <v>3_post sample third tertile</v>
      </c>
      <c r="AF944" t="s">
        <v>80</v>
      </c>
      <c r="AG944" t="s">
        <v>75</v>
      </c>
      <c r="AH944" t="s">
        <v>78</v>
      </c>
      <c r="AI944" t="s">
        <v>122</v>
      </c>
      <c r="AJ944" t="s">
        <v>122</v>
      </c>
      <c r="AK944" t="str">
        <f>VLOOKUP(MID($AR944,1,255),country_lookup!$B:$F,2,FALSE)</f>
        <v>2_Europe</v>
      </c>
      <c r="AL944" t="str">
        <f>VLOOKUP(MID($AR944,1,255),country_lookup!$B:$F,3,FALSE)</f>
        <v>1_developed</v>
      </c>
      <c r="AM944" t="str">
        <f>VLOOKUP(MID($AR944,1,255),country_lookup!$B:$F,4,FALSE)</f>
        <v>1_western</v>
      </c>
      <c r="AN944" t="str">
        <f>VLOOKUP(MID($AR944,1,255),country_lookup!$B:$F,5,FALSE)</f>
        <v>1_common law</v>
      </c>
      <c r="AO944" s="10" t="str">
        <f>VLOOKUP(MID($AS944,1,255),source_lookup!$B:$K,4,FALSE)</f>
        <v>0_published</v>
      </c>
      <c r="AP944" s="10" t="str">
        <f>VLOOKUP(MID($AS944,1,255),source_lookup!$B:$K,6,FALSE)</f>
        <v>1_VHB high</v>
      </c>
      <c r="AQ944" s="10" t="str">
        <f>VLOOKUP(MID($AS944,1,255),source_lookup!$B:$K,10,FALSE)</f>
        <v>2_sust</v>
      </c>
      <c r="AR944" t="s">
        <v>112</v>
      </c>
      <c r="AS944" t="s">
        <v>170</v>
      </c>
    </row>
    <row r="945" spans="1:45" x14ac:dyDescent="0.3">
      <c r="A945" t="s">
        <v>47</v>
      </c>
      <c r="B945">
        <v>944</v>
      </c>
      <c r="C945" s="1">
        <v>-0.20092082800027219</v>
      </c>
      <c r="D945" s="2">
        <v>53</v>
      </c>
      <c r="E945" s="4">
        <v>474</v>
      </c>
      <c r="F945" s="4" t="s">
        <v>346</v>
      </c>
      <c r="G945" s="4" t="s">
        <v>347</v>
      </c>
      <c r="H945" t="s">
        <v>77</v>
      </c>
      <c r="I945" t="s">
        <v>351</v>
      </c>
      <c r="J945" s="3">
        <v>2010</v>
      </c>
      <c r="K945" s="3">
        <v>2018</v>
      </c>
      <c r="L945" s="6">
        <f t="shared" si="291"/>
        <v>2014</v>
      </c>
      <c r="M945" s="6">
        <f t="shared" si="292"/>
        <v>2014</v>
      </c>
      <c r="N945" s="7">
        <f t="shared" si="280"/>
        <v>0.33333333333333331</v>
      </c>
      <c r="O945" s="7">
        <f t="shared" si="281"/>
        <v>0.22222222222222221</v>
      </c>
      <c r="P945" s="7">
        <f t="shared" si="282"/>
        <v>0.1111111111111111</v>
      </c>
      <c r="Q945" s="7">
        <f t="shared" si="293"/>
        <v>0</v>
      </c>
      <c r="R945" s="10" t="str">
        <f t="shared" si="283"/>
        <v>0_Pre</v>
      </c>
      <c r="S945" s="10" t="str">
        <f t="shared" si="284"/>
        <v>0_Pre</v>
      </c>
      <c r="T945" s="10" t="str">
        <f t="shared" si="285"/>
        <v>0_Pre</v>
      </c>
      <c r="U945" s="10" t="str">
        <f t="shared" si="286"/>
        <v>1_Post</v>
      </c>
      <c r="V945" s="10" t="str">
        <f t="shared" si="294"/>
        <v>0_Pre</v>
      </c>
      <c r="W945" s="10" t="str">
        <f t="shared" si="287"/>
        <v>straddle</v>
      </c>
      <c r="X945" s="10" t="str">
        <f t="shared" si="288"/>
        <v>0_Pre</v>
      </c>
      <c r="Y945" s="10" t="str">
        <f t="shared" si="289"/>
        <v>0_Pre</v>
      </c>
      <c r="Z945" s="10" t="str">
        <f t="shared" si="290"/>
        <v>0_Pre</v>
      </c>
      <c r="AA945" s="10" t="str">
        <f t="shared" si="295"/>
        <v>1_Post</v>
      </c>
      <c r="AB945" s="10" t="str">
        <f t="shared" si="296"/>
        <v>1_Post</v>
      </c>
      <c r="AC945" s="10" t="str">
        <f t="shared" si="297"/>
        <v>0_Pre</v>
      </c>
      <c r="AD945" s="10" t="str">
        <f t="shared" si="298"/>
        <v>2_post sample median</v>
      </c>
      <c r="AE945" s="10" t="str">
        <f t="shared" si="299"/>
        <v>3_post sample third tertile</v>
      </c>
      <c r="AF945" t="s">
        <v>80</v>
      </c>
      <c r="AG945" t="s">
        <v>75</v>
      </c>
      <c r="AH945" t="s">
        <v>78</v>
      </c>
      <c r="AI945" t="s">
        <v>122</v>
      </c>
      <c r="AJ945" t="s">
        <v>122</v>
      </c>
      <c r="AK945" t="str">
        <f>VLOOKUP(MID($AR945,1,255),country_lookup!$B:$F,2,FALSE)</f>
        <v>2_Europe</v>
      </c>
      <c r="AL945" t="str">
        <f>VLOOKUP(MID($AR945,1,255),country_lookup!$B:$F,3,FALSE)</f>
        <v>1_developed</v>
      </c>
      <c r="AM945" t="str">
        <f>VLOOKUP(MID($AR945,1,255),country_lookup!$B:$F,4,FALSE)</f>
        <v>1_western</v>
      </c>
      <c r="AN945" t="str">
        <f>VLOOKUP(MID($AR945,1,255),country_lookup!$B:$F,5,FALSE)</f>
        <v>1_common law</v>
      </c>
      <c r="AO945" s="10" t="str">
        <f>VLOOKUP(MID($AS945,1,255),source_lookup!$B:$K,4,FALSE)</f>
        <v>0_published</v>
      </c>
      <c r="AP945" s="10" t="str">
        <f>VLOOKUP(MID($AS945,1,255),source_lookup!$B:$K,6,FALSE)</f>
        <v>1_VHB high</v>
      </c>
      <c r="AQ945" s="10" t="str">
        <f>VLOOKUP(MID($AS945,1,255),source_lookup!$B:$K,10,FALSE)</f>
        <v>2_sust</v>
      </c>
      <c r="AR945" t="s">
        <v>112</v>
      </c>
      <c r="AS945" t="s">
        <v>170</v>
      </c>
    </row>
    <row r="946" spans="1:45" x14ac:dyDescent="0.3">
      <c r="A946" t="s">
        <v>47</v>
      </c>
      <c r="B946">
        <v>945</v>
      </c>
      <c r="C946" s="1">
        <v>6.9860840948806679E-2</v>
      </c>
      <c r="D946" s="2">
        <v>53</v>
      </c>
      <c r="E946" s="4">
        <v>474</v>
      </c>
      <c r="F946" s="4" t="s">
        <v>346</v>
      </c>
      <c r="G946" s="4" t="s">
        <v>347</v>
      </c>
      <c r="H946" t="s">
        <v>77</v>
      </c>
      <c r="I946" t="s">
        <v>351</v>
      </c>
      <c r="J946" s="3">
        <v>2010</v>
      </c>
      <c r="K946" s="3">
        <v>2018</v>
      </c>
      <c r="L946" s="6">
        <f t="shared" si="291"/>
        <v>2014</v>
      </c>
      <c r="M946" s="6">
        <f t="shared" si="292"/>
        <v>2014</v>
      </c>
      <c r="N946" s="7">
        <f t="shared" si="280"/>
        <v>0.33333333333333331</v>
      </c>
      <c r="O946" s="7">
        <f t="shared" si="281"/>
        <v>0.22222222222222221</v>
      </c>
      <c r="P946" s="7">
        <f t="shared" si="282"/>
        <v>0.1111111111111111</v>
      </c>
      <c r="Q946" s="7">
        <f t="shared" si="293"/>
        <v>0</v>
      </c>
      <c r="R946" s="10" t="str">
        <f t="shared" si="283"/>
        <v>0_Pre</v>
      </c>
      <c r="S946" s="10" t="str">
        <f t="shared" si="284"/>
        <v>0_Pre</v>
      </c>
      <c r="T946" s="10" t="str">
        <f t="shared" si="285"/>
        <v>0_Pre</v>
      </c>
      <c r="U946" s="10" t="str">
        <f t="shared" si="286"/>
        <v>1_Post</v>
      </c>
      <c r="V946" s="10" t="str">
        <f t="shared" si="294"/>
        <v>0_Pre</v>
      </c>
      <c r="W946" s="10" t="str">
        <f t="shared" si="287"/>
        <v>straddle</v>
      </c>
      <c r="X946" s="10" t="str">
        <f t="shared" si="288"/>
        <v>0_Pre</v>
      </c>
      <c r="Y946" s="10" t="str">
        <f t="shared" si="289"/>
        <v>0_Pre</v>
      </c>
      <c r="Z946" s="10" t="str">
        <f t="shared" si="290"/>
        <v>0_Pre</v>
      </c>
      <c r="AA946" s="10" t="str">
        <f t="shared" si="295"/>
        <v>1_Post</v>
      </c>
      <c r="AB946" s="10" t="str">
        <f t="shared" si="296"/>
        <v>1_Post</v>
      </c>
      <c r="AC946" s="10" t="str">
        <f t="shared" si="297"/>
        <v>0_Pre</v>
      </c>
      <c r="AD946" s="10" t="str">
        <f t="shared" si="298"/>
        <v>2_post sample median</v>
      </c>
      <c r="AE946" s="10" t="str">
        <f t="shared" si="299"/>
        <v>3_post sample third tertile</v>
      </c>
      <c r="AF946" t="s">
        <v>80</v>
      </c>
      <c r="AG946" t="s">
        <v>75</v>
      </c>
      <c r="AH946" t="s">
        <v>78</v>
      </c>
      <c r="AI946" t="s">
        <v>122</v>
      </c>
      <c r="AJ946" t="s">
        <v>122</v>
      </c>
      <c r="AK946" t="str">
        <f>VLOOKUP(MID($AR946,1,255),country_lookup!$B:$F,2,FALSE)</f>
        <v>2_Europe</v>
      </c>
      <c r="AL946" t="str">
        <f>VLOOKUP(MID($AR946,1,255),country_lookup!$B:$F,3,FALSE)</f>
        <v>1_developed</v>
      </c>
      <c r="AM946" t="str">
        <f>VLOOKUP(MID($AR946,1,255),country_lookup!$B:$F,4,FALSE)</f>
        <v>1_western</v>
      </c>
      <c r="AN946" t="str">
        <f>VLOOKUP(MID($AR946,1,255),country_lookup!$B:$F,5,FALSE)</f>
        <v>1_common law</v>
      </c>
      <c r="AO946" s="10" t="str">
        <f>VLOOKUP(MID($AS946,1,255),source_lookup!$B:$K,4,FALSE)</f>
        <v>0_published</v>
      </c>
      <c r="AP946" s="10" t="str">
        <f>VLOOKUP(MID($AS946,1,255),source_lookup!$B:$K,6,FALSE)</f>
        <v>1_VHB high</v>
      </c>
      <c r="AQ946" s="10" t="str">
        <f>VLOOKUP(MID($AS946,1,255),source_lookup!$B:$K,10,FALSE)</f>
        <v>2_sust</v>
      </c>
      <c r="AR946" t="s">
        <v>112</v>
      </c>
      <c r="AS946" t="s">
        <v>170</v>
      </c>
    </row>
    <row r="947" spans="1:45" x14ac:dyDescent="0.3">
      <c r="A947" t="s">
        <v>47</v>
      </c>
      <c r="B947">
        <v>946</v>
      </c>
      <c r="C947" s="1">
        <v>-4.5799113910232427E-2</v>
      </c>
      <c r="D947" s="2">
        <v>73</v>
      </c>
      <c r="E947" s="4">
        <v>658</v>
      </c>
      <c r="F947" s="4" t="s">
        <v>346</v>
      </c>
      <c r="G947" s="4" t="s">
        <v>347</v>
      </c>
      <c r="H947" t="s">
        <v>77</v>
      </c>
      <c r="I947" t="s">
        <v>351</v>
      </c>
      <c r="J947" s="3">
        <v>2010</v>
      </c>
      <c r="K947" s="3">
        <v>2018</v>
      </c>
      <c r="L947" s="6">
        <f t="shared" si="291"/>
        <v>2014</v>
      </c>
      <c r="M947" s="6">
        <f t="shared" si="292"/>
        <v>2014</v>
      </c>
      <c r="N947" s="7">
        <f t="shared" si="280"/>
        <v>0.33333333333333331</v>
      </c>
      <c r="O947" s="7">
        <f t="shared" si="281"/>
        <v>0.22222222222222221</v>
      </c>
      <c r="P947" s="7">
        <f t="shared" si="282"/>
        <v>0.1111111111111111</v>
      </c>
      <c r="Q947" s="7">
        <f t="shared" si="293"/>
        <v>0</v>
      </c>
      <c r="R947" s="10" t="str">
        <f t="shared" si="283"/>
        <v>0_Pre</v>
      </c>
      <c r="S947" s="10" t="str">
        <f t="shared" si="284"/>
        <v>0_Pre</v>
      </c>
      <c r="T947" s="10" t="str">
        <f t="shared" si="285"/>
        <v>0_Pre</v>
      </c>
      <c r="U947" s="10" t="str">
        <f t="shared" si="286"/>
        <v>1_Post</v>
      </c>
      <c r="V947" s="10" t="str">
        <f t="shared" si="294"/>
        <v>0_Pre</v>
      </c>
      <c r="W947" s="10" t="str">
        <f t="shared" si="287"/>
        <v>straddle</v>
      </c>
      <c r="X947" s="10" t="str">
        <f t="shared" si="288"/>
        <v>0_Pre</v>
      </c>
      <c r="Y947" s="10" t="str">
        <f t="shared" si="289"/>
        <v>0_Pre</v>
      </c>
      <c r="Z947" s="10" t="str">
        <f t="shared" si="290"/>
        <v>0_Pre</v>
      </c>
      <c r="AA947" s="10" t="str">
        <f t="shared" si="295"/>
        <v>1_Post</v>
      </c>
      <c r="AB947" s="10" t="str">
        <f t="shared" si="296"/>
        <v>1_Post</v>
      </c>
      <c r="AC947" s="10" t="str">
        <f t="shared" si="297"/>
        <v>0_Pre</v>
      </c>
      <c r="AD947" s="10" t="str">
        <f t="shared" si="298"/>
        <v>2_post sample median</v>
      </c>
      <c r="AE947" s="10" t="str">
        <f t="shared" si="299"/>
        <v>3_post sample third tertile</v>
      </c>
      <c r="AF947" t="s">
        <v>80</v>
      </c>
      <c r="AG947" t="s">
        <v>75</v>
      </c>
      <c r="AH947" t="s">
        <v>78</v>
      </c>
      <c r="AI947" t="s">
        <v>122</v>
      </c>
      <c r="AJ947" t="s">
        <v>122</v>
      </c>
      <c r="AK947" t="str">
        <f>VLOOKUP(MID($AR947,1,255),country_lookup!$B:$F,2,FALSE)</f>
        <v>2_Europe</v>
      </c>
      <c r="AL947" t="str">
        <f>VLOOKUP(MID($AR947,1,255),country_lookup!$B:$F,3,FALSE)</f>
        <v>1_developed</v>
      </c>
      <c r="AM947" t="str">
        <f>VLOOKUP(MID($AR947,1,255),country_lookup!$B:$F,4,FALSE)</f>
        <v>1_western</v>
      </c>
      <c r="AN947" t="str">
        <f>VLOOKUP(MID($AR947,1,255),country_lookup!$B:$F,5,FALSE)</f>
        <v>1_common law</v>
      </c>
      <c r="AO947" s="10" t="str">
        <f>VLOOKUP(MID($AS947,1,255),source_lookup!$B:$K,4,FALSE)</f>
        <v>0_published</v>
      </c>
      <c r="AP947" s="10" t="str">
        <f>VLOOKUP(MID($AS947,1,255),source_lookup!$B:$K,6,FALSE)</f>
        <v>1_VHB high</v>
      </c>
      <c r="AQ947" s="10" t="str">
        <f>VLOOKUP(MID($AS947,1,255),source_lookup!$B:$K,10,FALSE)</f>
        <v>2_sust</v>
      </c>
      <c r="AR947" t="s">
        <v>112</v>
      </c>
      <c r="AS947" t="s">
        <v>170</v>
      </c>
    </row>
    <row r="948" spans="1:45" x14ac:dyDescent="0.3">
      <c r="A948" t="s">
        <v>47</v>
      </c>
      <c r="B948">
        <v>947</v>
      </c>
      <c r="C948" s="1">
        <v>-4.8965669099706073E-2</v>
      </c>
      <c r="D948" s="2">
        <v>73</v>
      </c>
      <c r="E948" s="4">
        <v>658</v>
      </c>
      <c r="F948" s="4" t="s">
        <v>346</v>
      </c>
      <c r="G948" s="4" t="s">
        <v>347</v>
      </c>
      <c r="H948" t="s">
        <v>77</v>
      </c>
      <c r="I948" t="s">
        <v>351</v>
      </c>
      <c r="J948" s="3">
        <v>2010</v>
      </c>
      <c r="K948" s="3">
        <v>2018</v>
      </c>
      <c r="L948" s="6">
        <f t="shared" si="291"/>
        <v>2014</v>
      </c>
      <c r="M948" s="6">
        <f t="shared" si="292"/>
        <v>2014</v>
      </c>
      <c r="N948" s="7">
        <f t="shared" si="280"/>
        <v>0.33333333333333331</v>
      </c>
      <c r="O948" s="7">
        <f t="shared" si="281"/>
        <v>0.22222222222222221</v>
      </c>
      <c r="P948" s="7">
        <f t="shared" si="282"/>
        <v>0.1111111111111111</v>
      </c>
      <c r="Q948" s="7">
        <f t="shared" si="293"/>
        <v>0</v>
      </c>
      <c r="R948" s="10" t="str">
        <f t="shared" si="283"/>
        <v>0_Pre</v>
      </c>
      <c r="S948" s="10" t="str">
        <f t="shared" si="284"/>
        <v>0_Pre</v>
      </c>
      <c r="T948" s="10" t="str">
        <f t="shared" si="285"/>
        <v>0_Pre</v>
      </c>
      <c r="U948" s="10" t="str">
        <f t="shared" si="286"/>
        <v>1_Post</v>
      </c>
      <c r="V948" s="10" t="str">
        <f t="shared" si="294"/>
        <v>0_Pre</v>
      </c>
      <c r="W948" s="10" t="str">
        <f t="shared" si="287"/>
        <v>straddle</v>
      </c>
      <c r="X948" s="10" t="str">
        <f t="shared" si="288"/>
        <v>0_Pre</v>
      </c>
      <c r="Y948" s="10" t="str">
        <f t="shared" si="289"/>
        <v>0_Pre</v>
      </c>
      <c r="Z948" s="10" t="str">
        <f t="shared" si="290"/>
        <v>0_Pre</v>
      </c>
      <c r="AA948" s="10" t="str">
        <f t="shared" si="295"/>
        <v>1_Post</v>
      </c>
      <c r="AB948" s="10" t="str">
        <f t="shared" si="296"/>
        <v>1_Post</v>
      </c>
      <c r="AC948" s="10" t="str">
        <f t="shared" si="297"/>
        <v>0_Pre</v>
      </c>
      <c r="AD948" s="10" t="str">
        <f t="shared" si="298"/>
        <v>2_post sample median</v>
      </c>
      <c r="AE948" s="10" t="str">
        <f t="shared" si="299"/>
        <v>3_post sample third tertile</v>
      </c>
      <c r="AF948" t="s">
        <v>80</v>
      </c>
      <c r="AG948" t="s">
        <v>75</v>
      </c>
      <c r="AH948" t="s">
        <v>78</v>
      </c>
      <c r="AI948" t="s">
        <v>122</v>
      </c>
      <c r="AJ948" t="s">
        <v>122</v>
      </c>
      <c r="AK948" t="str">
        <f>VLOOKUP(MID($AR948,1,255),country_lookup!$B:$F,2,FALSE)</f>
        <v>2_Europe</v>
      </c>
      <c r="AL948" t="str">
        <f>VLOOKUP(MID($AR948,1,255),country_lookup!$B:$F,3,FALSE)</f>
        <v>1_developed</v>
      </c>
      <c r="AM948" t="str">
        <f>VLOOKUP(MID($AR948,1,255),country_lookup!$B:$F,4,FALSE)</f>
        <v>1_western</v>
      </c>
      <c r="AN948" t="str">
        <f>VLOOKUP(MID($AR948,1,255),country_lookup!$B:$F,5,FALSE)</f>
        <v>1_common law</v>
      </c>
      <c r="AO948" s="10" t="str">
        <f>VLOOKUP(MID($AS948,1,255),source_lookup!$B:$K,4,FALSE)</f>
        <v>0_published</v>
      </c>
      <c r="AP948" s="10" t="str">
        <f>VLOOKUP(MID($AS948,1,255),source_lookup!$B:$K,6,FALSE)</f>
        <v>1_VHB high</v>
      </c>
      <c r="AQ948" s="10" t="str">
        <f>VLOOKUP(MID($AS948,1,255),source_lookup!$B:$K,10,FALSE)</f>
        <v>2_sust</v>
      </c>
      <c r="AR948" t="s">
        <v>112</v>
      </c>
      <c r="AS948" t="s">
        <v>170</v>
      </c>
    </row>
    <row r="949" spans="1:45" x14ac:dyDescent="0.3">
      <c r="A949" t="s">
        <v>47</v>
      </c>
      <c r="B949">
        <v>948</v>
      </c>
      <c r="C949" s="1">
        <v>6.8172472431189179E-2</v>
      </c>
      <c r="D949" s="2">
        <v>31</v>
      </c>
      <c r="E949" s="4">
        <v>281</v>
      </c>
      <c r="F949" s="4" t="s">
        <v>346</v>
      </c>
      <c r="G949" s="4" t="s">
        <v>347</v>
      </c>
      <c r="H949" t="s">
        <v>77</v>
      </c>
      <c r="I949" t="s">
        <v>351</v>
      </c>
      <c r="J949" s="3">
        <v>2010</v>
      </c>
      <c r="K949" s="3">
        <v>2018</v>
      </c>
      <c r="L949" s="6">
        <f t="shared" si="291"/>
        <v>2014</v>
      </c>
      <c r="M949" s="6">
        <f t="shared" si="292"/>
        <v>2014</v>
      </c>
      <c r="N949" s="7">
        <f t="shared" si="280"/>
        <v>0.33333333333333331</v>
      </c>
      <c r="O949" s="7">
        <f t="shared" si="281"/>
        <v>0.22222222222222221</v>
      </c>
      <c r="P949" s="7">
        <f t="shared" si="282"/>
        <v>0.1111111111111111</v>
      </c>
      <c r="Q949" s="7">
        <f t="shared" si="293"/>
        <v>0</v>
      </c>
      <c r="R949" s="10" t="str">
        <f t="shared" si="283"/>
        <v>0_Pre</v>
      </c>
      <c r="S949" s="10" t="str">
        <f t="shared" si="284"/>
        <v>0_Pre</v>
      </c>
      <c r="T949" s="10" t="str">
        <f t="shared" si="285"/>
        <v>0_Pre</v>
      </c>
      <c r="U949" s="10" t="str">
        <f t="shared" si="286"/>
        <v>1_Post</v>
      </c>
      <c r="V949" s="10" t="str">
        <f t="shared" si="294"/>
        <v>0_Pre</v>
      </c>
      <c r="W949" s="10" t="str">
        <f t="shared" si="287"/>
        <v>straddle</v>
      </c>
      <c r="X949" s="10" t="str">
        <f t="shared" si="288"/>
        <v>0_Pre</v>
      </c>
      <c r="Y949" s="10" t="str">
        <f t="shared" si="289"/>
        <v>0_Pre</v>
      </c>
      <c r="Z949" s="10" t="str">
        <f t="shared" si="290"/>
        <v>0_Pre</v>
      </c>
      <c r="AA949" s="10" t="str">
        <f t="shared" si="295"/>
        <v>1_Post</v>
      </c>
      <c r="AB949" s="10" t="str">
        <f t="shared" si="296"/>
        <v>1_Post</v>
      </c>
      <c r="AC949" s="10" t="str">
        <f t="shared" si="297"/>
        <v>0_Pre</v>
      </c>
      <c r="AD949" s="10" t="str">
        <f t="shared" si="298"/>
        <v>2_post sample median</v>
      </c>
      <c r="AE949" s="10" t="str">
        <f t="shared" si="299"/>
        <v>3_post sample third tertile</v>
      </c>
      <c r="AF949" t="s">
        <v>80</v>
      </c>
      <c r="AG949" t="s">
        <v>75</v>
      </c>
      <c r="AH949" t="s">
        <v>78</v>
      </c>
      <c r="AI949" t="s">
        <v>122</v>
      </c>
      <c r="AJ949" t="s">
        <v>122</v>
      </c>
      <c r="AK949" t="str">
        <f>VLOOKUP(MID($AR949,1,255),country_lookup!$B:$F,2,FALSE)</f>
        <v>2_Europe</v>
      </c>
      <c r="AL949" t="str">
        <f>VLOOKUP(MID($AR949,1,255),country_lookup!$B:$F,3,FALSE)</f>
        <v>1_developed</v>
      </c>
      <c r="AM949" t="str">
        <f>VLOOKUP(MID($AR949,1,255),country_lookup!$B:$F,4,FALSE)</f>
        <v>1_western</v>
      </c>
      <c r="AN949" t="str">
        <f>VLOOKUP(MID($AR949,1,255),country_lookup!$B:$F,5,FALSE)</f>
        <v>1_common law</v>
      </c>
      <c r="AO949" s="10" t="str">
        <f>VLOOKUP(MID($AS949,1,255),source_lookup!$B:$K,4,FALSE)</f>
        <v>0_published</v>
      </c>
      <c r="AP949" s="10" t="str">
        <f>VLOOKUP(MID($AS949,1,255),source_lookup!$B:$K,6,FALSE)</f>
        <v>1_VHB high</v>
      </c>
      <c r="AQ949" s="10" t="str">
        <f>VLOOKUP(MID($AS949,1,255),source_lookup!$B:$K,10,FALSE)</f>
        <v>2_sust</v>
      </c>
      <c r="AR949" t="s">
        <v>112</v>
      </c>
      <c r="AS949" t="s">
        <v>170</v>
      </c>
    </row>
    <row r="950" spans="1:45" x14ac:dyDescent="0.3">
      <c r="A950" t="s">
        <v>47</v>
      </c>
      <c r="B950">
        <v>949</v>
      </c>
      <c r="C950" s="1">
        <v>-7.1579173849495067E-2</v>
      </c>
      <c r="D950" s="2">
        <v>31</v>
      </c>
      <c r="E950" s="4">
        <v>281</v>
      </c>
      <c r="F950" s="4" t="s">
        <v>346</v>
      </c>
      <c r="G950" s="4" t="s">
        <v>347</v>
      </c>
      <c r="H950" t="s">
        <v>77</v>
      </c>
      <c r="I950" t="s">
        <v>351</v>
      </c>
      <c r="J950" s="3">
        <v>2010</v>
      </c>
      <c r="K950" s="3">
        <v>2018</v>
      </c>
      <c r="L950" s="6">
        <f t="shared" si="291"/>
        <v>2014</v>
      </c>
      <c r="M950" s="6">
        <f t="shared" si="292"/>
        <v>2014</v>
      </c>
      <c r="N950" s="7">
        <f t="shared" si="280"/>
        <v>0.33333333333333331</v>
      </c>
      <c r="O950" s="7">
        <f t="shared" si="281"/>
        <v>0.22222222222222221</v>
      </c>
      <c r="P950" s="7">
        <f t="shared" si="282"/>
        <v>0.1111111111111111</v>
      </c>
      <c r="Q950" s="7">
        <f t="shared" si="293"/>
        <v>0</v>
      </c>
      <c r="R950" s="10" t="str">
        <f t="shared" si="283"/>
        <v>0_Pre</v>
      </c>
      <c r="S950" s="10" t="str">
        <f t="shared" si="284"/>
        <v>0_Pre</v>
      </c>
      <c r="T950" s="10" t="str">
        <f t="shared" si="285"/>
        <v>0_Pre</v>
      </c>
      <c r="U950" s="10" t="str">
        <f t="shared" si="286"/>
        <v>1_Post</v>
      </c>
      <c r="V950" s="10" t="str">
        <f t="shared" si="294"/>
        <v>0_Pre</v>
      </c>
      <c r="W950" s="10" t="str">
        <f t="shared" si="287"/>
        <v>straddle</v>
      </c>
      <c r="X950" s="10" t="str">
        <f t="shared" si="288"/>
        <v>0_Pre</v>
      </c>
      <c r="Y950" s="10" t="str">
        <f t="shared" si="289"/>
        <v>0_Pre</v>
      </c>
      <c r="Z950" s="10" t="str">
        <f t="shared" si="290"/>
        <v>0_Pre</v>
      </c>
      <c r="AA950" s="10" t="str">
        <f t="shared" si="295"/>
        <v>1_Post</v>
      </c>
      <c r="AB950" s="10" t="str">
        <f t="shared" si="296"/>
        <v>1_Post</v>
      </c>
      <c r="AC950" s="10" t="str">
        <f t="shared" si="297"/>
        <v>0_Pre</v>
      </c>
      <c r="AD950" s="10" t="str">
        <f t="shared" si="298"/>
        <v>2_post sample median</v>
      </c>
      <c r="AE950" s="10" t="str">
        <f t="shared" si="299"/>
        <v>3_post sample third tertile</v>
      </c>
      <c r="AF950" t="s">
        <v>80</v>
      </c>
      <c r="AG950" t="s">
        <v>75</v>
      </c>
      <c r="AH950" t="s">
        <v>78</v>
      </c>
      <c r="AI950" t="s">
        <v>122</v>
      </c>
      <c r="AJ950" t="s">
        <v>122</v>
      </c>
      <c r="AK950" t="str">
        <f>VLOOKUP(MID($AR950,1,255),country_lookup!$B:$F,2,FALSE)</f>
        <v>2_Europe</v>
      </c>
      <c r="AL950" t="str">
        <f>VLOOKUP(MID($AR950,1,255),country_lookup!$B:$F,3,FALSE)</f>
        <v>1_developed</v>
      </c>
      <c r="AM950" t="str">
        <f>VLOOKUP(MID($AR950,1,255),country_lookup!$B:$F,4,FALSE)</f>
        <v>1_western</v>
      </c>
      <c r="AN950" t="str">
        <f>VLOOKUP(MID($AR950,1,255),country_lookup!$B:$F,5,FALSE)</f>
        <v>1_common law</v>
      </c>
      <c r="AO950" s="10" t="str">
        <f>VLOOKUP(MID($AS950,1,255),source_lookup!$B:$K,4,FALSE)</f>
        <v>0_published</v>
      </c>
      <c r="AP950" s="10" t="str">
        <f>VLOOKUP(MID($AS950,1,255),source_lookup!$B:$K,6,FALSE)</f>
        <v>1_VHB high</v>
      </c>
      <c r="AQ950" s="10" t="str">
        <f>VLOOKUP(MID($AS950,1,255),source_lookup!$B:$K,10,FALSE)</f>
        <v>2_sust</v>
      </c>
      <c r="AR950" t="s">
        <v>112</v>
      </c>
      <c r="AS950" t="s">
        <v>170</v>
      </c>
    </row>
    <row r="951" spans="1:45" x14ac:dyDescent="0.3">
      <c r="A951" t="s">
        <v>47</v>
      </c>
      <c r="B951">
        <v>950</v>
      </c>
      <c r="C951" s="1">
        <v>-0.31046453467480511</v>
      </c>
      <c r="D951" s="2">
        <v>21</v>
      </c>
      <c r="E951" s="4">
        <v>193</v>
      </c>
      <c r="F951" s="4" t="s">
        <v>346</v>
      </c>
      <c r="G951" s="4" t="s">
        <v>347</v>
      </c>
      <c r="H951" t="s">
        <v>77</v>
      </c>
      <c r="I951" t="s">
        <v>351</v>
      </c>
      <c r="J951" s="3">
        <v>2010</v>
      </c>
      <c r="K951" s="3">
        <v>2018</v>
      </c>
      <c r="L951" s="6">
        <f t="shared" si="291"/>
        <v>2014</v>
      </c>
      <c r="M951" s="6">
        <f t="shared" si="292"/>
        <v>2014</v>
      </c>
      <c r="N951" s="7">
        <f t="shared" si="280"/>
        <v>0.33333333333333331</v>
      </c>
      <c r="O951" s="7">
        <f t="shared" si="281"/>
        <v>0.22222222222222221</v>
      </c>
      <c r="P951" s="7">
        <f t="shared" si="282"/>
        <v>0.1111111111111111</v>
      </c>
      <c r="Q951" s="7">
        <f t="shared" si="293"/>
        <v>0</v>
      </c>
      <c r="R951" s="10" t="str">
        <f t="shared" si="283"/>
        <v>0_Pre</v>
      </c>
      <c r="S951" s="10" t="str">
        <f t="shared" si="284"/>
        <v>0_Pre</v>
      </c>
      <c r="T951" s="10" t="str">
        <f t="shared" si="285"/>
        <v>0_Pre</v>
      </c>
      <c r="U951" s="10" t="str">
        <f t="shared" si="286"/>
        <v>1_Post</v>
      </c>
      <c r="V951" s="10" t="str">
        <f t="shared" si="294"/>
        <v>0_Pre</v>
      </c>
      <c r="W951" s="10" t="str">
        <f t="shared" si="287"/>
        <v>straddle</v>
      </c>
      <c r="X951" s="10" t="str">
        <f t="shared" si="288"/>
        <v>0_Pre</v>
      </c>
      <c r="Y951" s="10" t="str">
        <f t="shared" si="289"/>
        <v>0_Pre</v>
      </c>
      <c r="Z951" s="10" t="str">
        <f t="shared" si="290"/>
        <v>0_Pre</v>
      </c>
      <c r="AA951" s="10" t="str">
        <f t="shared" si="295"/>
        <v>1_Post</v>
      </c>
      <c r="AB951" s="10" t="str">
        <f t="shared" si="296"/>
        <v>1_Post</v>
      </c>
      <c r="AC951" s="10" t="str">
        <f t="shared" si="297"/>
        <v>0_Pre</v>
      </c>
      <c r="AD951" s="10" t="str">
        <f t="shared" si="298"/>
        <v>2_post sample median</v>
      </c>
      <c r="AE951" s="10" t="str">
        <f t="shared" si="299"/>
        <v>3_post sample third tertile</v>
      </c>
      <c r="AF951" t="s">
        <v>80</v>
      </c>
      <c r="AG951" t="s">
        <v>75</v>
      </c>
      <c r="AH951" t="s">
        <v>78</v>
      </c>
      <c r="AI951" t="s">
        <v>122</v>
      </c>
      <c r="AJ951" t="s">
        <v>122</v>
      </c>
      <c r="AK951" t="str">
        <f>VLOOKUP(MID($AR951,1,255),country_lookup!$B:$F,2,FALSE)</f>
        <v>2_Europe</v>
      </c>
      <c r="AL951" t="str">
        <f>VLOOKUP(MID($AR951,1,255),country_lookup!$B:$F,3,FALSE)</f>
        <v>1_developed</v>
      </c>
      <c r="AM951" t="str">
        <f>VLOOKUP(MID($AR951,1,255),country_lookup!$B:$F,4,FALSE)</f>
        <v>1_western</v>
      </c>
      <c r="AN951" t="str">
        <f>VLOOKUP(MID($AR951,1,255),country_lookup!$B:$F,5,FALSE)</f>
        <v>1_common law</v>
      </c>
      <c r="AO951" s="10" t="str">
        <f>VLOOKUP(MID($AS951,1,255),source_lookup!$B:$K,4,FALSE)</f>
        <v>0_published</v>
      </c>
      <c r="AP951" s="10" t="str">
        <f>VLOOKUP(MID($AS951,1,255),source_lookup!$B:$K,6,FALSE)</f>
        <v>1_VHB high</v>
      </c>
      <c r="AQ951" s="10" t="str">
        <f>VLOOKUP(MID($AS951,1,255),source_lookup!$B:$K,10,FALSE)</f>
        <v>2_sust</v>
      </c>
      <c r="AR951" t="s">
        <v>112</v>
      </c>
      <c r="AS951" t="s">
        <v>170</v>
      </c>
    </row>
    <row r="952" spans="1:45" x14ac:dyDescent="0.3">
      <c r="A952" t="s">
        <v>47</v>
      </c>
      <c r="B952">
        <v>951</v>
      </c>
      <c r="C952" s="1">
        <v>7.3983700529741028E-2</v>
      </c>
      <c r="D952" s="2">
        <v>21</v>
      </c>
      <c r="E952" s="4">
        <v>193</v>
      </c>
      <c r="F952" s="4" t="s">
        <v>346</v>
      </c>
      <c r="G952" s="4" t="s">
        <v>347</v>
      </c>
      <c r="H952" t="s">
        <v>77</v>
      </c>
      <c r="I952" t="s">
        <v>351</v>
      </c>
      <c r="J952" s="3">
        <v>2010</v>
      </c>
      <c r="K952" s="3">
        <v>2018</v>
      </c>
      <c r="L952" s="6">
        <f t="shared" si="291"/>
        <v>2014</v>
      </c>
      <c r="M952" s="6">
        <f t="shared" si="292"/>
        <v>2014</v>
      </c>
      <c r="N952" s="7">
        <f t="shared" si="280"/>
        <v>0.33333333333333331</v>
      </c>
      <c r="O952" s="7">
        <f t="shared" si="281"/>
        <v>0.22222222222222221</v>
      </c>
      <c r="P952" s="7">
        <f t="shared" si="282"/>
        <v>0.1111111111111111</v>
      </c>
      <c r="Q952" s="7">
        <f t="shared" si="293"/>
        <v>0</v>
      </c>
      <c r="R952" s="10" t="str">
        <f t="shared" si="283"/>
        <v>0_Pre</v>
      </c>
      <c r="S952" s="10" t="str">
        <f t="shared" si="284"/>
        <v>0_Pre</v>
      </c>
      <c r="T952" s="10" t="str">
        <f t="shared" si="285"/>
        <v>0_Pre</v>
      </c>
      <c r="U952" s="10" t="str">
        <f t="shared" si="286"/>
        <v>1_Post</v>
      </c>
      <c r="V952" s="10" t="str">
        <f t="shared" si="294"/>
        <v>0_Pre</v>
      </c>
      <c r="W952" s="10" t="str">
        <f t="shared" si="287"/>
        <v>straddle</v>
      </c>
      <c r="X952" s="10" t="str">
        <f t="shared" si="288"/>
        <v>0_Pre</v>
      </c>
      <c r="Y952" s="10" t="str">
        <f t="shared" si="289"/>
        <v>0_Pre</v>
      </c>
      <c r="Z952" s="10" t="str">
        <f t="shared" si="290"/>
        <v>0_Pre</v>
      </c>
      <c r="AA952" s="10" t="str">
        <f t="shared" si="295"/>
        <v>1_Post</v>
      </c>
      <c r="AB952" s="10" t="str">
        <f t="shared" si="296"/>
        <v>1_Post</v>
      </c>
      <c r="AC952" s="10" t="str">
        <f t="shared" si="297"/>
        <v>0_Pre</v>
      </c>
      <c r="AD952" s="10" t="str">
        <f t="shared" si="298"/>
        <v>2_post sample median</v>
      </c>
      <c r="AE952" s="10" t="str">
        <f t="shared" si="299"/>
        <v>3_post sample third tertile</v>
      </c>
      <c r="AF952" t="s">
        <v>80</v>
      </c>
      <c r="AG952" t="s">
        <v>75</v>
      </c>
      <c r="AH952" t="s">
        <v>78</v>
      </c>
      <c r="AI952" t="s">
        <v>122</v>
      </c>
      <c r="AJ952" t="s">
        <v>122</v>
      </c>
      <c r="AK952" t="str">
        <f>VLOOKUP(MID($AR952,1,255),country_lookup!$B:$F,2,FALSE)</f>
        <v>2_Europe</v>
      </c>
      <c r="AL952" t="str">
        <f>VLOOKUP(MID($AR952,1,255),country_lookup!$B:$F,3,FALSE)</f>
        <v>1_developed</v>
      </c>
      <c r="AM952" t="str">
        <f>VLOOKUP(MID($AR952,1,255),country_lookup!$B:$F,4,FALSE)</f>
        <v>1_western</v>
      </c>
      <c r="AN952" t="str">
        <f>VLOOKUP(MID($AR952,1,255),country_lookup!$B:$F,5,FALSE)</f>
        <v>1_common law</v>
      </c>
      <c r="AO952" s="10" t="str">
        <f>VLOOKUP(MID($AS952,1,255),source_lookup!$B:$K,4,FALSE)</f>
        <v>0_published</v>
      </c>
      <c r="AP952" s="10" t="str">
        <f>VLOOKUP(MID($AS952,1,255),source_lookup!$B:$K,6,FALSE)</f>
        <v>1_VHB high</v>
      </c>
      <c r="AQ952" s="10" t="str">
        <f>VLOOKUP(MID($AS952,1,255),source_lookup!$B:$K,10,FALSE)</f>
        <v>2_sust</v>
      </c>
      <c r="AR952" t="s">
        <v>112</v>
      </c>
      <c r="AS952" t="s">
        <v>170</v>
      </c>
    </row>
    <row r="953" spans="1:45" x14ac:dyDescent="0.3">
      <c r="A953" t="s">
        <v>47</v>
      </c>
      <c r="B953">
        <v>952</v>
      </c>
      <c r="C953" s="1">
        <v>4.032674315330536E-2</v>
      </c>
      <c r="D953" s="2">
        <v>115</v>
      </c>
      <c r="E953" s="4">
        <v>1037</v>
      </c>
      <c r="F953" s="4" t="s">
        <v>346</v>
      </c>
      <c r="G953" s="4" t="s">
        <v>347</v>
      </c>
      <c r="H953" t="s">
        <v>77</v>
      </c>
      <c r="I953" t="s">
        <v>351</v>
      </c>
      <c r="J953" s="3">
        <v>2010</v>
      </c>
      <c r="K953" s="3">
        <v>2018</v>
      </c>
      <c r="L953" s="6">
        <f t="shared" si="291"/>
        <v>2014</v>
      </c>
      <c r="M953" s="6">
        <f t="shared" si="292"/>
        <v>2014</v>
      </c>
      <c r="N953" s="7">
        <f t="shared" si="280"/>
        <v>0.33333333333333331</v>
      </c>
      <c r="O953" s="7">
        <f t="shared" si="281"/>
        <v>0.22222222222222221</v>
      </c>
      <c r="P953" s="7">
        <f t="shared" si="282"/>
        <v>0.1111111111111111</v>
      </c>
      <c r="Q953" s="7">
        <f t="shared" si="293"/>
        <v>0</v>
      </c>
      <c r="R953" s="10" t="str">
        <f t="shared" si="283"/>
        <v>0_Pre</v>
      </c>
      <c r="S953" s="10" t="str">
        <f t="shared" si="284"/>
        <v>0_Pre</v>
      </c>
      <c r="T953" s="10" t="str">
        <f t="shared" si="285"/>
        <v>0_Pre</v>
      </c>
      <c r="U953" s="10" t="str">
        <f t="shared" si="286"/>
        <v>1_Post</v>
      </c>
      <c r="V953" s="10" t="str">
        <f t="shared" si="294"/>
        <v>0_Pre</v>
      </c>
      <c r="W953" s="10" t="str">
        <f t="shared" si="287"/>
        <v>straddle</v>
      </c>
      <c r="X953" s="10" t="str">
        <f t="shared" si="288"/>
        <v>0_Pre</v>
      </c>
      <c r="Y953" s="10" t="str">
        <f t="shared" si="289"/>
        <v>0_Pre</v>
      </c>
      <c r="Z953" s="10" t="str">
        <f t="shared" si="290"/>
        <v>0_Pre</v>
      </c>
      <c r="AA953" s="10" t="str">
        <f t="shared" si="295"/>
        <v>1_Post</v>
      </c>
      <c r="AB953" s="10" t="str">
        <f t="shared" si="296"/>
        <v>1_Post</v>
      </c>
      <c r="AC953" s="10" t="str">
        <f t="shared" si="297"/>
        <v>0_Pre</v>
      </c>
      <c r="AD953" s="10" t="str">
        <f t="shared" si="298"/>
        <v>2_post sample median</v>
      </c>
      <c r="AE953" s="10" t="str">
        <f t="shared" si="299"/>
        <v>3_post sample third tertile</v>
      </c>
      <c r="AF953" t="s">
        <v>80</v>
      </c>
      <c r="AG953" t="s">
        <v>75</v>
      </c>
      <c r="AH953" t="s">
        <v>78</v>
      </c>
      <c r="AI953" t="s">
        <v>122</v>
      </c>
      <c r="AJ953" t="s">
        <v>122</v>
      </c>
      <c r="AK953" t="str">
        <f>VLOOKUP(MID($AR953,1,255),country_lookup!$B:$F,2,FALSE)</f>
        <v>2_Europe</v>
      </c>
      <c r="AL953" t="str">
        <f>VLOOKUP(MID($AR953,1,255),country_lookup!$B:$F,3,FALSE)</f>
        <v>1_developed</v>
      </c>
      <c r="AM953" t="str">
        <f>VLOOKUP(MID($AR953,1,255),country_lookup!$B:$F,4,FALSE)</f>
        <v>1_western</v>
      </c>
      <c r="AN953" t="str">
        <f>VLOOKUP(MID($AR953,1,255),country_lookup!$B:$F,5,FALSE)</f>
        <v>1_common law</v>
      </c>
      <c r="AO953" s="10" t="str">
        <f>VLOOKUP(MID($AS953,1,255),source_lookup!$B:$K,4,FALSE)</f>
        <v>0_published</v>
      </c>
      <c r="AP953" s="10" t="str">
        <f>VLOOKUP(MID($AS953,1,255),source_lookup!$B:$K,6,FALSE)</f>
        <v>1_VHB high</v>
      </c>
      <c r="AQ953" s="10" t="str">
        <f>VLOOKUP(MID($AS953,1,255),source_lookup!$B:$K,10,FALSE)</f>
        <v>2_sust</v>
      </c>
      <c r="AR953" t="s">
        <v>112</v>
      </c>
      <c r="AS953" t="s">
        <v>170</v>
      </c>
    </row>
    <row r="954" spans="1:45" x14ac:dyDescent="0.3">
      <c r="A954" t="s">
        <v>47</v>
      </c>
      <c r="B954">
        <v>953</v>
      </c>
      <c r="C954" s="1">
        <v>2.2509398374926229E-2</v>
      </c>
      <c r="D954" s="2">
        <v>55</v>
      </c>
      <c r="E954" s="4">
        <v>494</v>
      </c>
      <c r="F954" s="4" t="s">
        <v>346</v>
      </c>
      <c r="G954" s="4" t="s">
        <v>347</v>
      </c>
      <c r="H954" t="s">
        <v>77</v>
      </c>
      <c r="I954" t="s">
        <v>351</v>
      </c>
      <c r="J954" s="3">
        <v>2010</v>
      </c>
      <c r="K954" s="3">
        <v>2018</v>
      </c>
      <c r="L954" s="6">
        <f t="shared" si="291"/>
        <v>2014</v>
      </c>
      <c r="M954" s="6">
        <f t="shared" si="292"/>
        <v>2014</v>
      </c>
      <c r="N954" s="7">
        <f t="shared" si="280"/>
        <v>0.33333333333333331</v>
      </c>
      <c r="O954" s="7">
        <f t="shared" si="281"/>
        <v>0.22222222222222221</v>
      </c>
      <c r="P954" s="7">
        <f t="shared" si="282"/>
        <v>0.1111111111111111</v>
      </c>
      <c r="Q954" s="7">
        <f t="shared" si="293"/>
        <v>0</v>
      </c>
      <c r="R954" s="10" t="str">
        <f t="shared" si="283"/>
        <v>0_Pre</v>
      </c>
      <c r="S954" s="10" t="str">
        <f t="shared" si="284"/>
        <v>0_Pre</v>
      </c>
      <c r="T954" s="10" t="str">
        <f t="shared" si="285"/>
        <v>0_Pre</v>
      </c>
      <c r="U954" s="10" t="str">
        <f t="shared" si="286"/>
        <v>1_Post</v>
      </c>
      <c r="V954" s="10" t="str">
        <f t="shared" si="294"/>
        <v>0_Pre</v>
      </c>
      <c r="W954" s="10" t="str">
        <f t="shared" si="287"/>
        <v>straddle</v>
      </c>
      <c r="X954" s="10" t="str">
        <f t="shared" si="288"/>
        <v>0_Pre</v>
      </c>
      <c r="Y954" s="10" t="str">
        <f t="shared" si="289"/>
        <v>0_Pre</v>
      </c>
      <c r="Z954" s="10" t="str">
        <f t="shared" si="290"/>
        <v>0_Pre</v>
      </c>
      <c r="AA954" s="10" t="str">
        <f t="shared" si="295"/>
        <v>1_Post</v>
      </c>
      <c r="AB954" s="10" t="str">
        <f t="shared" si="296"/>
        <v>1_Post</v>
      </c>
      <c r="AC954" s="10" t="str">
        <f t="shared" si="297"/>
        <v>0_Pre</v>
      </c>
      <c r="AD954" s="10" t="str">
        <f t="shared" si="298"/>
        <v>2_post sample median</v>
      </c>
      <c r="AE954" s="10" t="str">
        <f t="shared" si="299"/>
        <v>3_post sample third tertile</v>
      </c>
      <c r="AF954" t="s">
        <v>80</v>
      </c>
      <c r="AG954" t="s">
        <v>75</v>
      </c>
      <c r="AH954" t="s">
        <v>78</v>
      </c>
      <c r="AI954" t="s">
        <v>122</v>
      </c>
      <c r="AJ954" t="s">
        <v>122</v>
      </c>
      <c r="AK954" t="str">
        <f>VLOOKUP(MID($AR954,1,255),country_lookup!$B:$F,2,FALSE)</f>
        <v>2_Europe</v>
      </c>
      <c r="AL954" t="str">
        <f>VLOOKUP(MID($AR954,1,255),country_lookup!$B:$F,3,FALSE)</f>
        <v>1_developed</v>
      </c>
      <c r="AM954" t="str">
        <f>VLOOKUP(MID($AR954,1,255),country_lookup!$B:$F,4,FALSE)</f>
        <v>1_western</v>
      </c>
      <c r="AN954" t="str">
        <f>VLOOKUP(MID($AR954,1,255),country_lookup!$B:$F,5,FALSE)</f>
        <v>1_common law</v>
      </c>
      <c r="AO954" s="10" t="str">
        <f>VLOOKUP(MID($AS954,1,255),source_lookup!$B:$K,4,FALSE)</f>
        <v>0_published</v>
      </c>
      <c r="AP954" s="10" t="str">
        <f>VLOOKUP(MID($AS954,1,255),source_lookup!$B:$K,6,FALSE)</f>
        <v>1_VHB high</v>
      </c>
      <c r="AQ954" s="10" t="str">
        <f>VLOOKUP(MID($AS954,1,255),source_lookup!$B:$K,10,FALSE)</f>
        <v>2_sust</v>
      </c>
      <c r="AR954" t="s">
        <v>112</v>
      </c>
      <c r="AS954" t="s">
        <v>170</v>
      </c>
    </row>
    <row r="955" spans="1:45" x14ac:dyDescent="0.3">
      <c r="A955" t="s">
        <v>47</v>
      </c>
      <c r="B955">
        <v>954</v>
      </c>
      <c r="C955" s="1">
        <v>-7.4810863799757141E-2</v>
      </c>
      <c r="D955" s="2">
        <v>60</v>
      </c>
      <c r="E955" s="4">
        <v>543</v>
      </c>
      <c r="F955" s="4" t="s">
        <v>346</v>
      </c>
      <c r="G955" s="4" t="s">
        <v>347</v>
      </c>
      <c r="H955" t="s">
        <v>77</v>
      </c>
      <c r="I955" t="s">
        <v>351</v>
      </c>
      <c r="J955" s="3">
        <v>2010</v>
      </c>
      <c r="K955" s="3">
        <v>2018</v>
      </c>
      <c r="L955" s="6">
        <f t="shared" si="291"/>
        <v>2014</v>
      </c>
      <c r="M955" s="6">
        <f t="shared" si="292"/>
        <v>2014</v>
      </c>
      <c r="N955" s="7">
        <f t="shared" si="280"/>
        <v>0.33333333333333331</v>
      </c>
      <c r="O955" s="7">
        <f t="shared" si="281"/>
        <v>0.22222222222222221</v>
      </c>
      <c r="P955" s="7">
        <f t="shared" si="282"/>
        <v>0.1111111111111111</v>
      </c>
      <c r="Q955" s="7">
        <f t="shared" si="293"/>
        <v>0</v>
      </c>
      <c r="R955" s="10" t="str">
        <f t="shared" si="283"/>
        <v>0_Pre</v>
      </c>
      <c r="S955" s="10" t="str">
        <f t="shared" si="284"/>
        <v>0_Pre</v>
      </c>
      <c r="T955" s="10" t="str">
        <f t="shared" si="285"/>
        <v>0_Pre</v>
      </c>
      <c r="U955" s="10" t="str">
        <f t="shared" si="286"/>
        <v>1_Post</v>
      </c>
      <c r="V955" s="10" t="str">
        <f t="shared" si="294"/>
        <v>0_Pre</v>
      </c>
      <c r="W955" s="10" t="str">
        <f t="shared" si="287"/>
        <v>straddle</v>
      </c>
      <c r="X955" s="10" t="str">
        <f t="shared" si="288"/>
        <v>0_Pre</v>
      </c>
      <c r="Y955" s="10" t="str">
        <f t="shared" si="289"/>
        <v>0_Pre</v>
      </c>
      <c r="Z955" s="10" t="str">
        <f t="shared" si="290"/>
        <v>0_Pre</v>
      </c>
      <c r="AA955" s="10" t="str">
        <f t="shared" si="295"/>
        <v>1_Post</v>
      </c>
      <c r="AB955" s="10" t="str">
        <f t="shared" si="296"/>
        <v>1_Post</v>
      </c>
      <c r="AC955" s="10" t="str">
        <f t="shared" si="297"/>
        <v>0_Pre</v>
      </c>
      <c r="AD955" s="10" t="str">
        <f t="shared" si="298"/>
        <v>2_post sample median</v>
      </c>
      <c r="AE955" s="10" t="str">
        <f t="shared" si="299"/>
        <v>3_post sample third tertile</v>
      </c>
      <c r="AF955" t="s">
        <v>80</v>
      </c>
      <c r="AG955" t="s">
        <v>75</v>
      </c>
      <c r="AH955" t="s">
        <v>78</v>
      </c>
      <c r="AI955" t="s">
        <v>122</v>
      </c>
      <c r="AJ955" t="s">
        <v>122</v>
      </c>
      <c r="AK955" t="str">
        <f>VLOOKUP(MID($AR955,1,255),country_lookup!$B:$F,2,FALSE)</f>
        <v>2_Europe</v>
      </c>
      <c r="AL955" t="str">
        <f>VLOOKUP(MID($AR955,1,255),country_lookup!$B:$F,3,FALSE)</f>
        <v>1_developed</v>
      </c>
      <c r="AM955" t="str">
        <f>VLOOKUP(MID($AR955,1,255),country_lookup!$B:$F,4,FALSE)</f>
        <v>1_western</v>
      </c>
      <c r="AN955" t="str">
        <f>VLOOKUP(MID($AR955,1,255),country_lookup!$B:$F,5,FALSE)</f>
        <v>1_common law</v>
      </c>
      <c r="AO955" s="10" t="str">
        <f>VLOOKUP(MID($AS955,1,255),source_lookup!$B:$K,4,FALSE)</f>
        <v>0_published</v>
      </c>
      <c r="AP955" s="10" t="str">
        <f>VLOOKUP(MID($AS955,1,255),source_lookup!$B:$K,6,FALSE)</f>
        <v>1_VHB high</v>
      </c>
      <c r="AQ955" s="10" t="str">
        <f>VLOOKUP(MID($AS955,1,255),source_lookup!$B:$K,10,FALSE)</f>
        <v>2_sust</v>
      </c>
      <c r="AR955" t="s">
        <v>112</v>
      </c>
      <c r="AS955" t="s">
        <v>170</v>
      </c>
    </row>
    <row r="956" spans="1:45" x14ac:dyDescent="0.3">
      <c r="A956" t="s">
        <v>47</v>
      </c>
      <c r="B956">
        <v>955</v>
      </c>
      <c r="C956" s="1">
        <v>3.7782576826138684E-2</v>
      </c>
      <c r="D956" s="2">
        <v>74</v>
      </c>
      <c r="E956" s="4">
        <v>662</v>
      </c>
      <c r="F956" s="4" t="s">
        <v>346</v>
      </c>
      <c r="G956" s="4" t="s">
        <v>347</v>
      </c>
      <c r="H956" t="s">
        <v>77</v>
      </c>
      <c r="I956" t="s">
        <v>351</v>
      </c>
      <c r="J956" s="3">
        <v>2010</v>
      </c>
      <c r="K956" s="3">
        <v>2018</v>
      </c>
      <c r="L956" s="6">
        <f t="shared" si="291"/>
        <v>2014</v>
      </c>
      <c r="M956" s="6">
        <f t="shared" si="292"/>
        <v>2014</v>
      </c>
      <c r="N956" s="7">
        <f t="shared" si="280"/>
        <v>0.33333333333333331</v>
      </c>
      <c r="O956" s="7">
        <f t="shared" si="281"/>
        <v>0.22222222222222221</v>
      </c>
      <c r="P956" s="7">
        <f t="shared" si="282"/>
        <v>0.1111111111111111</v>
      </c>
      <c r="Q956" s="7">
        <f t="shared" si="293"/>
        <v>0</v>
      </c>
      <c r="R956" s="10" t="str">
        <f t="shared" si="283"/>
        <v>0_Pre</v>
      </c>
      <c r="S956" s="10" t="str">
        <f t="shared" si="284"/>
        <v>0_Pre</v>
      </c>
      <c r="T956" s="10" t="str">
        <f t="shared" si="285"/>
        <v>0_Pre</v>
      </c>
      <c r="U956" s="10" t="str">
        <f t="shared" si="286"/>
        <v>1_Post</v>
      </c>
      <c r="V956" s="10" t="str">
        <f t="shared" si="294"/>
        <v>0_Pre</v>
      </c>
      <c r="W956" s="10" t="str">
        <f t="shared" si="287"/>
        <v>straddle</v>
      </c>
      <c r="X956" s="10" t="str">
        <f t="shared" si="288"/>
        <v>0_Pre</v>
      </c>
      <c r="Y956" s="10" t="str">
        <f t="shared" si="289"/>
        <v>0_Pre</v>
      </c>
      <c r="Z956" s="10" t="str">
        <f t="shared" si="290"/>
        <v>0_Pre</v>
      </c>
      <c r="AA956" s="10" t="str">
        <f t="shared" si="295"/>
        <v>1_Post</v>
      </c>
      <c r="AB956" s="10" t="str">
        <f t="shared" si="296"/>
        <v>1_Post</v>
      </c>
      <c r="AC956" s="10" t="str">
        <f t="shared" si="297"/>
        <v>0_Pre</v>
      </c>
      <c r="AD956" s="10" t="str">
        <f t="shared" si="298"/>
        <v>2_post sample median</v>
      </c>
      <c r="AE956" s="10" t="str">
        <f t="shared" si="299"/>
        <v>3_post sample third tertile</v>
      </c>
      <c r="AF956" t="s">
        <v>80</v>
      </c>
      <c r="AG956" t="s">
        <v>75</v>
      </c>
      <c r="AH956" t="s">
        <v>78</v>
      </c>
      <c r="AI956" t="s">
        <v>122</v>
      </c>
      <c r="AJ956" t="s">
        <v>122</v>
      </c>
      <c r="AK956" t="str">
        <f>VLOOKUP(MID($AR956,1,255),country_lookup!$B:$F,2,FALSE)</f>
        <v>2_Europe</v>
      </c>
      <c r="AL956" t="str">
        <f>VLOOKUP(MID($AR956,1,255),country_lookup!$B:$F,3,FALSE)</f>
        <v>1_developed</v>
      </c>
      <c r="AM956" t="str">
        <f>VLOOKUP(MID($AR956,1,255),country_lookup!$B:$F,4,FALSE)</f>
        <v>1_western</v>
      </c>
      <c r="AN956" t="str">
        <f>VLOOKUP(MID($AR956,1,255),country_lookup!$B:$F,5,FALSE)</f>
        <v>1_common law</v>
      </c>
      <c r="AO956" s="10" t="str">
        <f>VLOOKUP(MID($AS956,1,255),source_lookup!$B:$K,4,FALSE)</f>
        <v>0_published</v>
      </c>
      <c r="AP956" s="10" t="str">
        <f>VLOOKUP(MID($AS956,1,255),source_lookup!$B:$K,6,FALSE)</f>
        <v>1_VHB high</v>
      </c>
      <c r="AQ956" s="10" t="str">
        <f>VLOOKUP(MID($AS956,1,255),source_lookup!$B:$K,10,FALSE)</f>
        <v>2_sust</v>
      </c>
      <c r="AR956" t="s">
        <v>112</v>
      </c>
      <c r="AS956" t="s">
        <v>170</v>
      </c>
    </row>
    <row r="957" spans="1:45" x14ac:dyDescent="0.3">
      <c r="A957" t="s">
        <v>47</v>
      </c>
      <c r="B957">
        <v>956</v>
      </c>
      <c r="C957" s="1">
        <v>4.3839296306389622E-2</v>
      </c>
      <c r="D957" s="2">
        <v>42</v>
      </c>
      <c r="E957" s="4">
        <v>375</v>
      </c>
      <c r="F957" s="4" t="s">
        <v>346</v>
      </c>
      <c r="G957" s="4" t="s">
        <v>347</v>
      </c>
      <c r="H957" t="s">
        <v>77</v>
      </c>
      <c r="I957" t="s">
        <v>351</v>
      </c>
      <c r="J957" s="3">
        <v>2010</v>
      </c>
      <c r="K957" s="3">
        <v>2018</v>
      </c>
      <c r="L957" s="6">
        <f t="shared" si="291"/>
        <v>2014</v>
      </c>
      <c r="M957" s="6">
        <f t="shared" si="292"/>
        <v>2014</v>
      </c>
      <c r="N957" s="7">
        <f t="shared" si="280"/>
        <v>0.33333333333333331</v>
      </c>
      <c r="O957" s="7">
        <f t="shared" si="281"/>
        <v>0.22222222222222221</v>
      </c>
      <c r="P957" s="7">
        <f t="shared" si="282"/>
        <v>0.1111111111111111</v>
      </c>
      <c r="Q957" s="7">
        <f t="shared" si="293"/>
        <v>0</v>
      </c>
      <c r="R957" s="10" t="str">
        <f t="shared" si="283"/>
        <v>0_Pre</v>
      </c>
      <c r="S957" s="10" t="str">
        <f t="shared" si="284"/>
        <v>0_Pre</v>
      </c>
      <c r="T957" s="10" t="str">
        <f t="shared" si="285"/>
        <v>0_Pre</v>
      </c>
      <c r="U957" s="10" t="str">
        <f t="shared" si="286"/>
        <v>1_Post</v>
      </c>
      <c r="V957" s="10" t="str">
        <f t="shared" si="294"/>
        <v>0_Pre</v>
      </c>
      <c r="W957" s="10" t="str">
        <f t="shared" si="287"/>
        <v>straddle</v>
      </c>
      <c r="X957" s="10" t="str">
        <f t="shared" si="288"/>
        <v>0_Pre</v>
      </c>
      <c r="Y957" s="10" t="str">
        <f t="shared" si="289"/>
        <v>0_Pre</v>
      </c>
      <c r="Z957" s="10" t="str">
        <f t="shared" si="290"/>
        <v>0_Pre</v>
      </c>
      <c r="AA957" s="10" t="str">
        <f t="shared" si="295"/>
        <v>1_Post</v>
      </c>
      <c r="AB957" s="10" t="str">
        <f t="shared" si="296"/>
        <v>1_Post</v>
      </c>
      <c r="AC957" s="10" t="str">
        <f t="shared" si="297"/>
        <v>0_Pre</v>
      </c>
      <c r="AD957" s="10" t="str">
        <f t="shared" si="298"/>
        <v>2_post sample median</v>
      </c>
      <c r="AE957" s="10" t="str">
        <f t="shared" si="299"/>
        <v>3_post sample third tertile</v>
      </c>
      <c r="AF957" t="s">
        <v>80</v>
      </c>
      <c r="AG957" t="s">
        <v>75</v>
      </c>
      <c r="AH957" t="s">
        <v>78</v>
      </c>
      <c r="AI957" t="s">
        <v>122</v>
      </c>
      <c r="AJ957" t="s">
        <v>122</v>
      </c>
      <c r="AK957" t="str">
        <f>VLOOKUP(MID($AR957,1,255),country_lookup!$B:$F,2,FALSE)</f>
        <v>2_Europe</v>
      </c>
      <c r="AL957" t="str">
        <f>VLOOKUP(MID($AR957,1,255),country_lookup!$B:$F,3,FALSE)</f>
        <v>1_developed</v>
      </c>
      <c r="AM957" t="str">
        <f>VLOOKUP(MID($AR957,1,255),country_lookup!$B:$F,4,FALSE)</f>
        <v>1_western</v>
      </c>
      <c r="AN957" t="str">
        <f>VLOOKUP(MID($AR957,1,255),country_lookup!$B:$F,5,FALSE)</f>
        <v>1_common law</v>
      </c>
      <c r="AO957" s="10" t="str">
        <f>VLOOKUP(MID($AS957,1,255),source_lookup!$B:$K,4,FALSE)</f>
        <v>0_published</v>
      </c>
      <c r="AP957" s="10" t="str">
        <f>VLOOKUP(MID($AS957,1,255),source_lookup!$B:$K,6,FALSE)</f>
        <v>1_VHB high</v>
      </c>
      <c r="AQ957" s="10" t="str">
        <f>VLOOKUP(MID($AS957,1,255),source_lookup!$B:$K,10,FALSE)</f>
        <v>2_sust</v>
      </c>
      <c r="AR957" t="s">
        <v>112</v>
      </c>
      <c r="AS957" t="s">
        <v>170</v>
      </c>
    </row>
    <row r="958" spans="1:45" x14ac:dyDescent="0.3">
      <c r="A958" t="s">
        <v>47</v>
      </c>
      <c r="B958">
        <v>957</v>
      </c>
      <c r="C958" s="1">
        <v>-4.6426028215457542E-2</v>
      </c>
      <c r="D958" s="2">
        <v>117</v>
      </c>
      <c r="E958" s="4">
        <v>1052</v>
      </c>
      <c r="F958" s="4" t="s">
        <v>346</v>
      </c>
      <c r="G958" s="4" t="s">
        <v>347</v>
      </c>
      <c r="H958" t="s">
        <v>77</v>
      </c>
      <c r="I958" t="s">
        <v>351</v>
      </c>
      <c r="J958" s="3">
        <v>2010</v>
      </c>
      <c r="K958" s="3">
        <v>2018</v>
      </c>
      <c r="L958" s="6">
        <f t="shared" si="291"/>
        <v>2014</v>
      </c>
      <c r="M958" s="6">
        <f t="shared" si="292"/>
        <v>2014</v>
      </c>
      <c r="N958" s="7">
        <f t="shared" si="280"/>
        <v>0.33333333333333331</v>
      </c>
      <c r="O958" s="7">
        <f t="shared" si="281"/>
        <v>0.22222222222222221</v>
      </c>
      <c r="P958" s="7">
        <f t="shared" si="282"/>
        <v>0.1111111111111111</v>
      </c>
      <c r="Q958" s="7">
        <f t="shared" si="293"/>
        <v>0</v>
      </c>
      <c r="R958" s="10" t="str">
        <f t="shared" si="283"/>
        <v>0_Pre</v>
      </c>
      <c r="S958" s="10" t="str">
        <f t="shared" si="284"/>
        <v>0_Pre</v>
      </c>
      <c r="T958" s="10" t="str">
        <f t="shared" si="285"/>
        <v>0_Pre</v>
      </c>
      <c r="U958" s="10" t="str">
        <f t="shared" si="286"/>
        <v>1_Post</v>
      </c>
      <c r="V958" s="10" t="str">
        <f t="shared" si="294"/>
        <v>0_Pre</v>
      </c>
      <c r="W958" s="10" t="str">
        <f t="shared" si="287"/>
        <v>straddle</v>
      </c>
      <c r="X958" s="10" t="str">
        <f t="shared" si="288"/>
        <v>0_Pre</v>
      </c>
      <c r="Y958" s="10" t="str">
        <f t="shared" si="289"/>
        <v>0_Pre</v>
      </c>
      <c r="Z958" s="10" t="str">
        <f t="shared" si="290"/>
        <v>0_Pre</v>
      </c>
      <c r="AA958" s="10" t="str">
        <f t="shared" si="295"/>
        <v>1_Post</v>
      </c>
      <c r="AB958" s="10" t="str">
        <f t="shared" si="296"/>
        <v>1_Post</v>
      </c>
      <c r="AC958" s="10" t="str">
        <f t="shared" si="297"/>
        <v>0_Pre</v>
      </c>
      <c r="AD958" s="10" t="str">
        <f t="shared" si="298"/>
        <v>2_post sample median</v>
      </c>
      <c r="AE958" s="10" t="str">
        <f t="shared" si="299"/>
        <v>3_post sample third tertile</v>
      </c>
      <c r="AF958" t="s">
        <v>80</v>
      </c>
      <c r="AG958" t="s">
        <v>75</v>
      </c>
      <c r="AH958" t="s">
        <v>78</v>
      </c>
      <c r="AI958" t="s">
        <v>122</v>
      </c>
      <c r="AJ958" t="s">
        <v>122</v>
      </c>
      <c r="AK958" t="str">
        <f>VLOOKUP(MID($AR958,1,255),country_lookup!$B:$F,2,FALSE)</f>
        <v>2_Europe</v>
      </c>
      <c r="AL958" t="str">
        <f>VLOOKUP(MID($AR958,1,255),country_lookup!$B:$F,3,FALSE)</f>
        <v>1_developed</v>
      </c>
      <c r="AM958" t="str">
        <f>VLOOKUP(MID($AR958,1,255),country_lookup!$B:$F,4,FALSE)</f>
        <v>1_western</v>
      </c>
      <c r="AN958" t="str">
        <f>VLOOKUP(MID($AR958,1,255),country_lookup!$B:$F,5,FALSE)</f>
        <v>1_common law</v>
      </c>
      <c r="AO958" s="10" t="str">
        <f>VLOOKUP(MID($AS958,1,255),source_lookup!$B:$K,4,FALSE)</f>
        <v>0_published</v>
      </c>
      <c r="AP958" s="10" t="str">
        <f>VLOOKUP(MID($AS958,1,255),source_lookup!$B:$K,6,FALSE)</f>
        <v>1_VHB high</v>
      </c>
      <c r="AQ958" s="10" t="str">
        <f>VLOOKUP(MID($AS958,1,255),source_lookup!$B:$K,10,FALSE)</f>
        <v>2_sust</v>
      </c>
      <c r="AR958" t="s">
        <v>112</v>
      </c>
      <c r="AS958" t="s">
        <v>170</v>
      </c>
    </row>
    <row r="959" spans="1:45" x14ac:dyDescent="0.3">
      <c r="A959" t="s">
        <v>47</v>
      </c>
      <c r="B959">
        <v>958</v>
      </c>
      <c r="C959" s="1">
        <v>2.4203103633192145E-2</v>
      </c>
      <c r="D959" s="2">
        <v>55</v>
      </c>
      <c r="E959" s="4">
        <v>496</v>
      </c>
      <c r="F959" s="4" t="s">
        <v>346</v>
      </c>
      <c r="G959" s="4" t="s">
        <v>347</v>
      </c>
      <c r="H959" t="s">
        <v>77</v>
      </c>
      <c r="I959" t="s">
        <v>351</v>
      </c>
      <c r="J959" s="3">
        <v>2010</v>
      </c>
      <c r="K959" s="3">
        <v>2018</v>
      </c>
      <c r="L959" s="6">
        <f t="shared" si="291"/>
        <v>2014</v>
      </c>
      <c r="M959" s="6">
        <f t="shared" si="292"/>
        <v>2014</v>
      </c>
      <c r="N959" s="7">
        <f t="shared" si="280"/>
        <v>0.33333333333333331</v>
      </c>
      <c r="O959" s="7">
        <f t="shared" si="281"/>
        <v>0.22222222222222221</v>
      </c>
      <c r="P959" s="7">
        <f t="shared" si="282"/>
        <v>0.1111111111111111</v>
      </c>
      <c r="Q959" s="7">
        <f t="shared" si="293"/>
        <v>0</v>
      </c>
      <c r="R959" s="10" t="str">
        <f t="shared" si="283"/>
        <v>0_Pre</v>
      </c>
      <c r="S959" s="10" t="str">
        <f t="shared" si="284"/>
        <v>0_Pre</v>
      </c>
      <c r="T959" s="10" t="str">
        <f t="shared" si="285"/>
        <v>0_Pre</v>
      </c>
      <c r="U959" s="10" t="str">
        <f t="shared" si="286"/>
        <v>1_Post</v>
      </c>
      <c r="V959" s="10" t="str">
        <f t="shared" si="294"/>
        <v>0_Pre</v>
      </c>
      <c r="W959" s="10" t="str">
        <f t="shared" si="287"/>
        <v>straddle</v>
      </c>
      <c r="X959" s="10" t="str">
        <f t="shared" si="288"/>
        <v>0_Pre</v>
      </c>
      <c r="Y959" s="10" t="str">
        <f t="shared" si="289"/>
        <v>0_Pre</v>
      </c>
      <c r="Z959" s="10" t="str">
        <f t="shared" si="290"/>
        <v>0_Pre</v>
      </c>
      <c r="AA959" s="10" t="str">
        <f t="shared" si="295"/>
        <v>1_Post</v>
      </c>
      <c r="AB959" s="10" t="str">
        <f t="shared" si="296"/>
        <v>1_Post</v>
      </c>
      <c r="AC959" s="10" t="str">
        <f t="shared" si="297"/>
        <v>0_Pre</v>
      </c>
      <c r="AD959" s="10" t="str">
        <f t="shared" si="298"/>
        <v>2_post sample median</v>
      </c>
      <c r="AE959" s="10" t="str">
        <f t="shared" si="299"/>
        <v>3_post sample third tertile</v>
      </c>
      <c r="AF959" t="s">
        <v>80</v>
      </c>
      <c r="AG959" t="s">
        <v>75</v>
      </c>
      <c r="AH959" t="s">
        <v>78</v>
      </c>
      <c r="AI959" t="s">
        <v>122</v>
      </c>
      <c r="AJ959" t="s">
        <v>122</v>
      </c>
      <c r="AK959" t="str">
        <f>VLOOKUP(MID($AR959,1,255),country_lookup!$B:$F,2,FALSE)</f>
        <v>2_Europe</v>
      </c>
      <c r="AL959" t="str">
        <f>VLOOKUP(MID($AR959,1,255),country_lookup!$B:$F,3,FALSE)</f>
        <v>1_developed</v>
      </c>
      <c r="AM959" t="str">
        <f>VLOOKUP(MID($AR959,1,255),country_lookup!$B:$F,4,FALSE)</f>
        <v>1_western</v>
      </c>
      <c r="AN959" t="str">
        <f>VLOOKUP(MID($AR959,1,255),country_lookup!$B:$F,5,FALSE)</f>
        <v>1_common law</v>
      </c>
      <c r="AO959" s="10" t="str">
        <f>VLOOKUP(MID($AS959,1,255),source_lookup!$B:$K,4,FALSE)</f>
        <v>0_published</v>
      </c>
      <c r="AP959" s="10" t="str">
        <f>VLOOKUP(MID($AS959,1,255),source_lookup!$B:$K,6,FALSE)</f>
        <v>1_VHB high</v>
      </c>
      <c r="AQ959" s="10" t="str">
        <f>VLOOKUP(MID($AS959,1,255),source_lookup!$B:$K,10,FALSE)</f>
        <v>2_sust</v>
      </c>
      <c r="AR959" t="s">
        <v>112</v>
      </c>
      <c r="AS959" t="s">
        <v>170</v>
      </c>
    </row>
    <row r="960" spans="1:45" x14ac:dyDescent="0.3">
      <c r="A960" t="s">
        <v>47</v>
      </c>
      <c r="B960">
        <v>959</v>
      </c>
      <c r="C960" s="1">
        <v>-1.7498860031444637E-2</v>
      </c>
      <c r="D960" s="2">
        <v>62</v>
      </c>
      <c r="E960" s="4">
        <v>556</v>
      </c>
      <c r="F960" s="4" t="s">
        <v>346</v>
      </c>
      <c r="G960" s="4" t="s">
        <v>347</v>
      </c>
      <c r="H960" t="s">
        <v>77</v>
      </c>
      <c r="I960" t="s">
        <v>351</v>
      </c>
      <c r="J960" s="3">
        <v>2010</v>
      </c>
      <c r="K960" s="3">
        <v>2018</v>
      </c>
      <c r="L960" s="6">
        <f t="shared" si="291"/>
        <v>2014</v>
      </c>
      <c r="M960" s="6">
        <f t="shared" si="292"/>
        <v>2014</v>
      </c>
      <c r="N960" s="7">
        <f t="shared" si="280"/>
        <v>0.33333333333333331</v>
      </c>
      <c r="O960" s="7">
        <f t="shared" si="281"/>
        <v>0.22222222222222221</v>
      </c>
      <c r="P960" s="7">
        <f t="shared" si="282"/>
        <v>0.1111111111111111</v>
      </c>
      <c r="Q960" s="7">
        <f t="shared" si="293"/>
        <v>0</v>
      </c>
      <c r="R960" s="10" t="str">
        <f t="shared" si="283"/>
        <v>0_Pre</v>
      </c>
      <c r="S960" s="10" t="str">
        <f t="shared" si="284"/>
        <v>0_Pre</v>
      </c>
      <c r="T960" s="10" t="str">
        <f t="shared" si="285"/>
        <v>0_Pre</v>
      </c>
      <c r="U960" s="10" t="str">
        <f t="shared" si="286"/>
        <v>1_Post</v>
      </c>
      <c r="V960" s="10" t="str">
        <f t="shared" si="294"/>
        <v>0_Pre</v>
      </c>
      <c r="W960" s="10" t="str">
        <f t="shared" si="287"/>
        <v>straddle</v>
      </c>
      <c r="X960" s="10" t="str">
        <f t="shared" si="288"/>
        <v>0_Pre</v>
      </c>
      <c r="Y960" s="10" t="str">
        <f t="shared" si="289"/>
        <v>0_Pre</v>
      </c>
      <c r="Z960" s="10" t="str">
        <f t="shared" si="290"/>
        <v>0_Pre</v>
      </c>
      <c r="AA960" s="10" t="str">
        <f t="shared" si="295"/>
        <v>1_Post</v>
      </c>
      <c r="AB960" s="10" t="str">
        <f t="shared" si="296"/>
        <v>1_Post</v>
      </c>
      <c r="AC960" s="10" t="str">
        <f t="shared" si="297"/>
        <v>0_Pre</v>
      </c>
      <c r="AD960" s="10" t="str">
        <f t="shared" si="298"/>
        <v>2_post sample median</v>
      </c>
      <c r="AE960" s="10" t="str">
        <f t="shared" si="299"/>
        <v>3_post sample third tertile</v>
      </c>
      <c r="AF960" t="s">
        <v>80</v>
      </c>
      <c r="AG960" t="s">
        <v>75</v>
      </c>
      <c r="AH960" t="s">
        <v>78</v>
      </c>
      <c r="AI960" t="s">
        <v>122</v>
      </c>
      <c r="AJ960" t="s">
        <v>122</v>
      </c>
      <c r="AK960" t="str">
        <f>VLOOKUP(MID($AR960,1,255),country_lookup!$B:$F,2,FALSE)</f>
        <v>2_Europe</v>
      </c>
      <c r="AL960" t="str">
        <f>VLOOKUP(MID($AR960,1,255),country_lookup!$B:$F,3,FALSE)</f>
        <v>1_developed</v>
      </c>
      <c r="AM960" t="str">
        <f>VLOOKUP(MID($AR960,1,255),country_lookup!$B:$F,4,FALSE)</f>
        <v>1_western</v>
      </c>
      <c r="AN960" t="str">
        <f>VLOOKUP(MID($AR960,1,255),country_lookup!$B:$F,5,FALSE)</f>
        <v>1_common law</v>
      </c>
      <c r="AO960" s="10" t="str">
        <f>VLOOKUP(MID($AS960,1,255),source_lookup!$B:$K,4,FALSE)</f>
        <v>0_published</v>
      </c>
      <c r="AP960" s="10" t="str">
        <f>VLOOKUP(MID($AS960,1,255),source_lookup!$B:$K,6,FALSE)</f>
        <v>1_VHB high</v>
      </c>
      <c r="AQ960" s="10" t="str">
        <f>VLOOKUP(MID($AS960,1,255),source_lookup!$B:$K,10,FALSE)</f>
        <v>2_sust</v>
      </c>
      <c r="AR960" t="s">
        <v>112</v>
      </c>
      <c r="AS960" t="s">
        <v>170</v>
      </c>
    </row>
    <row r="961" spans="1:45" x14ac:dyDescent="0.3">
      <c r="A961" t="s">
        <v>47</v>
      </c>
      <c r="B961">
        <v>960</v>
      </c>
      <c r="C961" s="1">
        <v>-4.4113106515077528E-2</v>
      </c>
      <c r="D961" s="2">
        <v>75</v>
      </c>
      <c r="E961" s="4">
        <v>677</v>
      </c>
      <c r="F961" s="4" t="s">
        <v>346</v>
      </c>
      <c r="G961" s="4" t="s">
        <v>347</v>
      </c>
      <c r="H961" t="s">
        <v>77</v>
      </c>
      <c r="I961" t="s">
        <v>351</v>
      </c>
      <c r="J961" s="3">
        <v>2010</v>
      </c>
      <c r="K961" s="3">
        <v>2018</v>
      </c>
      <c r="L961" s="6">
        <f t="shared" si="291"/>
        <v>2014</v>
      </c>
      <c r="M961" s="6">
        <f t="shared" si="292"/>
        <v>2014</v>
      </c>
      <c r="N961" s="7">
        <f t="shared" si="280"/>
        <v>0.33333333333333331</v>
      </c>
      <c r="O961" s="7">
        <f t="shared" si="281"/>
        <v>0.22222222222222221</v>
      </c>
      <c r="P961" s="7">
        <f t="shared" si="282"/>
        <v>0.1111111111111111</v>
      </c>
      <c r="Q961" s="7">
        <f t="shared" si="293"/>
        <v>0</v>
      </c>
      <c r="R961" s="10" t="str">
        <f t="shared" si="283"/>
        <v>0_Pre</v>
      </c>
      <c r="S961" s="10" t="str">
        <f t="shared" si="284"/>
        <v>0_Pre</v>
      </c>
      <c r="T961" s="10" t="str">
        <f t="shared" si="285"/>
        <v>0_Pre</v>
      </c>
      <c r="U961" s="10" t="str">
        <f t="shared" si="286"/>
        <v>1_Post</v>
      </c>
      <c r="V961" s="10" t="str">
        <f t="shared" si="294"/>
        <v>0_Pre</v>
      </c>
      <c r="W961" s="10" t="str">
        <f t="shared" si="287"/>
        <v>straddle</v>
      </c>
      <c r="X961" s="10" t="str">
        <f t="shared" si="288"/>
        <v>0_Pre</v>
      </c>
      <c r="Y961" s="10" t="str">
        <f t="shared" si="289"/>
        <v>0_Pre</v>
      </c>
      <c r="Z961" s="10" t="str">
        <f t="shared" si="290"/>
        <v>0_Pre</v>
      </c>
      <c r="AA961" s="10" t="str">
        <f t="shared" si="295"/>
        <v>1_Post</v>
      </c>
      <c r="AB961" s="10" t="str">
        <f t="shared" si="296"/>
        <v>1_Post</v>
      </c>
      <c r="AC961" s="10" t="str">
        <f t="shared" si="297"/>
        <v>0_Pre</v>
      </c>
      <c r="AD961" s="10" t="str">
        <f t="shared" si="298"/>
        <v>2_post sample median</v>
      </c>
      <c r="AE961" s="10" t="str">
        <f t="shared" si="299"/>
        <v>3_post sample third tertile</v>
      </c>
      <c r="AF961" t="s">
        <v>80</v>
      </c>
      <c r="AG961" t="s">
        <v>75</v>
      </c>
      <c r="AH961" t="s">
        <v>78</v>
      </c>
      <c r="AI961" t="s">
        <v>122</v>
      </c>
      <c r="AJ961" t="s">
        <v>122</v>
      </c>
      <c r="AK961" t="str">
        <f>VLOOKUP(MID($AR961,1,255),country_lookup!$B:$F,2,FALSE)</f>
        <v>2_Europe</v>
      </c>
      <c r="AL961" t="str">
        <f>VLOOKUP(MID($AR961,1,255),country_lookup!$B:$F,3,FALSE)</f>
        <v>1_developed</v>
      </c>
      <c r="AM961" t="str">
        <f>VLOOKUP(MID($AR961,1,255),country_lookup!$B:$F,4,FALSE)</f>
        <v>1_western</v>
      </c>
      <c r="AN961" t="str">
        <f>VLOOKUP(MID($AR961,1,255),country_lookup!$B:$F,5,FALSE)</f>
        <v>1_common law</v>
      </c>
      <c r="AO961" s="10" t="str">
        <f>VLOOKUP(MID($AS961,1,255),source_lookup!$B:$K,4,FALSE)</f>
        <v>0_published</v>
      </c>
      <c r="AP961" s="10" t="str">
        <f>VLOOKUP(MID($AS961,1,255),source_lookup!$B:$K,6,FALSE)</f>
        <v>1_VHB high</v>
      </c>
      <c r="AQ961" s="10" t="str">
        <f>VLOOKUP(MID($AS961,1,255),source_lookup!$B:$K,10,FALSE)</f>
        <v>2_sust</v>
      </c>
      <c r="AR961" t="s">
        <v>112</v>
      </c>
      <c r="AS961" t="s">
        <v>170</v>
      </c>
    </row>
    <row r="962" spans="1:45" x14ac:dyDescent="0.3">
      <c r="A962" t="s">
        <v>47</v>
      </c>
      <c r="B962">
        <v>961</v>
      </c>
      <c r="C962" s="1">
        <v>-0.10015730092184887</v>
      </c>
      <c r="D962" s="2">
        <v>42</v>
      </c>
      <c r="E962" s="4">
        <v>375</v>
      </c>
      <c r="F962" s="4" t="s">
        <v>346</v>
      </c>
      <c r="G962" s="4" t="s">
        <v>347</v>
      </c>
      <c r="H962" t="s">
        <v>77</v>
      </c>
      <c r="I962" t="s">
        <v>351</v>
      </c>
      <c r="J962" s="3">
        <v>2010</v>
      </c>
      <c r="K962" s="3">
        <v>2018</v>
      </c>
      <c r="L962" s="6">
        <f t="shared" si="291"/>
        <v>2014</v>
      </c>
      <c r="M962" s="6">
        <f t="shared" si="292"/>
        <v>2014</v>
      </c>
      <c r="N962" s="7">
        <f t="shared" ref="N962:N1025" si="300">MAX(0,$K962-MAX($J962,2016)+1)/($K962-$J962+1)</f>
        <v>0.33333333333333331</v>
      </c>
      <c r="O962" s="7">
        <f t="shared" ref="O962:O1025" si="301">MAX(0,$K962-MAX($J962,2017)+1)/($K962-$J962+1)</f>
        <v>0.22222222222222221</v>
      </c>
      <c r="P962" s="7">
        <f t="shared" ref="P962:P1025" si="302">MAX(0,$K962-MAX($J962,2018)+1)/($K962-$J962+1)</f>
        <v>0.1111111111111111</v>
      </c>
      <c r="Q962" s="7">
        <f t="shared" si="293"/>
        <v>0</v>
      </c>
      <c r="R962" s="10" t="str">
        <f t="shared" ref="R962:R1025" si="303">IF(N962&gt;=0.5,"1_Post","0_Pre")</f>
        <v>0_Pre</v>
      </c>
      <c r="S962" s="10" t="str">
        <f t="shared" ref="S962:S1025" si="304">IF($L962&gt;=2016,"1_Post","0_Pre")</f>
        <v>0_Pre</v>
      </c>
      <c r="T962" s="10" t="str">
        <f t="shared" ref="T962:T1025" si="305">IF($M962&gt;=2016,"1_Post","0_Pre")</f>
        <v>0_Pre</v>
      </c>
      <c r="U962" s="10" t="str">
        <f t="shared" ref="U962:U1025" si="306">IF($K962&gt;=2016,"1_Post","0_Pre")</f>
        <v>1_Post</v>
      </c>
      <c r="V962" s="10" t="str">
        <f t="shared" si="294"/>
        <v>0_Pre</v>
      </c>
      <c r="W962" s="10" t="str">
        <f t="shared" ref="W962:W1025" si="307">IF($K962&lt;=2015,"clean_pre",IF($J962&gt;=2016,"clean_post","straddle"))</f>
        <v>straddle</v>
      </c>
      <c r="X962" s="10" t="str">
        <f t="shared" ref="X962:X1025" si="308">IF(O962&gt;=0.5,"1_Post","0_Pre")</f>
        <v>0_Pre</v>
      </c>
      <c r="Y962" s="10" t="str">
        <f t="shared" ref="Y962:Y1025" si="309">IF(P962&gt;=0.5,"1_Post","0_Pre")</f>
        <v>0_Pre</v>
      </c>
      <c r="Z962" s="10" t="str">
        <f t="shared" ref="Z962:Z1025" si="310">IF(Q962&gt;=0.5,"1_Post","0_Pre")</f>
        <v>0_Pre</v>
      </c>
      <c r="AA962" s="10" t="str">
        <f t="shared" si="295"/>
        <v>1_Post</v>
      </c>
      <c r="AB962" s="10" t="str">
        <f t="shared" si="296"/>
        <v>1_Post</v>
      </c>
      <c r="AC962" s="10" t="str">
        <f t="shared" si="297"/>
        <v>0_Pre</v>
      </c>
      <c r="AD962" s="10" t="str">
        <f t="shared" si="298"/>
        <v>2_post sample median</v>
      </c>
      <c r="AE962" s="10" t="str">
        <f t="shared" si="299"/>
        <v>3_post sample third tertile</v>
      </c>
      <c r="AF962" t="s">
        <v>80</v>
      </c>
      <c r="AG962" t="s">
        <v>75</v>
      </c>
      <c r="AH962" t="s">
        <v>78</v>
      </c>
      <c r="AI962" t="s">
        <v>122</v>
      </c>
      <c r="AJ962" t="s">
        <v>122</v>
      </c>
      <c r="AK962" t="str">
        <f>VLOOKUP(MID($AR962,1,255),country_lookup!$B:$F,2,FALSE)</f>
        <v>2_Europe</v>
      </c>
      <c r="AL962" t="str">
        <f>VLOOKUP(MID($AR962,1,255),country_lookup!$B:$F,3,FALSE)</f>
        <v>1_developed</v>
      </c>
      <c r="AM962" t="str">
        <f>VLOOKUP(MID($AR962,1,255),country_lookup!$B:$F,4,FALSE)</f>
        <v>1_western</v>
      </c>
      <c r="AN962" t="str">
        <f>VLOOKUP(MID($AR962,1,255),country_lookup!$B:$F,5,FALSE)</f>
        <v>1_common law</v>
      </c>
      <c r="AO962" s="10" t="str">
        <f>VLOOKUP(MID($AS962,1,255),source_lookup!$B:$K,4,FALSE)</f>
        <v>0_published</v>
      </c>
      <c r="AP962" s="10" t="str">
        <f>VLOOKUP(MID($AS962,1,255),source_lookup!$B:$K,6,FALSE)</f>
        <v>1_VHB high</v>
      </c>
      <c r="AQ962" s="10" t="str">
        <f>VLOOKUP(MID($AS962,1,255),source_lookup!$B:$K,10,FALSE)</f>
        <v>2_sust</v>
      </c>
      <c r="AR962" t="s">
        <v>112</v>
      </c>
      <c r="AS962" t="s">
        <v>170</v>
      </c>
    </row>
    <row r="963" spans="1:45" x14ac:dyDescent="0.3">
      <c r="A963" t="s">
        <v>47</v>
      </c>
      <c r="B963">
        <v>962</v>
      </c>
      <c r="C963" s="1">
        <v>-2.3256592733387059E-2</v>
      </c>
      <c r="D963" s="2">
        <v>116</v>
      </c>
      <c r="E963" s="4">
        <v>1046</v>
      </c>
      <c r="F963" s="4" t="s">
        <v>346</v>
      </c>
      <c r="G963" s="4" t="s">
        <v>347</v>
      </c>
      <c r="H963" t="s">
        <v>77</v>
      </c>
      <c r="I963" t="s">
        <v>351</v>
      </c>
      <c r="J963" s="3">
        <v>2010</v>
      </c>
      <c r="K963" s="3">
        <v>2018</v>
      </c>
      <c r="L963" s="6">
        <f t="shared" ref="L963:L1026" si="311">ROUND(AVERAGE(J963:K963),100)</f>
        <v>2014</v>
      </c>
      <c r="M963" s="6">
        <f t="shared" ref="M963:M1026" si="312">ROUND(MEDIAN(J963:K963),100)</f>
        <v>2014</v>
      </c>
      <c r="N963" s="7">
        <f t="shared" si="300"/>
        <v>0.33333333333333331</v>
      </c>
      <c r="O963" s="7">
        <f t="shared" si="301"/>
        <v>0.22222222222222221</v>
      </c>
      <c r="P963" s="7">
        <f t="shared" si="302"/>
        <v>0.1111111111111111</v>
      </c>
      <c r="Q963" s="7">
        <f t="shared" ref="Q963:Q1026" si="313">MAX(0,$K963-MAX($J963,2019)+1)/($K963-$J963+1)</f>
        <v>0</v>
      </c>
      <c r="R963" s="10" t="str">
        <f t="shared" si="303"/>
        <v>0_Pre</v>
      </c>
      <c r="S963" s="10" t="str">
        <f t="shared" si="304"/>
        <v>0_Pre</v>
      </c>
      <c r="T963" s="10" t="str">
        <f t="shared" si="305"/>
        <v>0_Pre</v>
      </c>
      <c r="U963" s="10" t="str">
        <f t="shared" si="306"/>
        <v>1_Post</v>
      </c>
      <c r="V963" s="10" t="str">
        <f t="shared" ref="V963:V1026" si="314">IF($J963&lt;=2017,"0_Pre","1_Post")</f>
        <v>0_Pre</v>
      </c>
      <c r="W963" s="10" t="str">
        <f t="shared" si="307"/>
        <v>straddle</v>
      </c>
      <c r="X963" s="10" t="str">
        <f t="shared" si="308"/>
        <v>0_Pre</v>
      </c>
      <c r="Y963" s="10" t="str">
        <f t="shared" si="309"/>
        <v>0_Pre</v>
      </c>
      <c r="Z963" s="10" t="str">
        <f t="shared" si="310"/>
        <v>0_Pre</v>
      </c>
      <c r="AA963" s="10" t="str">
        <f t="shared" ref="AA963:AA1026" si="315">IF($K963&gt;=2017,"1_Post","0_Pre")</f>
        <v>1_Post</v>
      </c>
      <c r="AB963" s="10" t="str">
        <f t="shared" ref="AB963:AB1026" si="316">IF($K963&gt;=2018,"1_Post","0_Pre")</f>
        <v>1_Post</v>
      </c>
      <c r="AC963" s="10" t="str">
        <f t="shared" ref="AC963:AC1026" si="317">IF($K963&gt;=2019,"1_Post","0_Pre")</f>
        <v>0_Pre</v>
      </c>
      <c r="AD963" s="10" t="str">
        <f t="shared" ref="AD963:AD1026" si="318">IF(L963&lt;MEDIAN($L$2:$L$1307),"1_pre sample median","2_post sample median")</f>
        <v>2_post sample median</v>
      </c>
      <c r="AE963" s="10" t="str">
        <f t="shared" ref="AE963:AE1026" si="319">IF(L963&lt;=PERCENTILE($L$2:$L$1307,0.33),"1_pre sample first tertile",IF(L963&gt;=PERCENTILE($L$2:$L$1307,0.67),"3_post sample third tertile","2_in sample second tertile"))</f>
        <v>3_post sample third tertile</v>
      </c>
      <c r="AF963" t="s">
        <v>80</v>
      </c>
      <c r="AG963" t="s">
        <v>75</v>
      </c>
      <c r="AH963" t="s">
        <v>78</v>
      </c>
      <c r="AI963" t="s">
        <v>122</v>
      </c>
      <c r="AJ963" t="s">
        <v>122</v>
      </c>
      <c r="AK963" t="str">
        <f>VLOOKUP(MID($AR963,1,255),country_lookup!$B:$F,2,FALSE)</f>
        <v>2_Europe</v>
      </c>
      <c r="AL963" t="str">
        <f>VLOOKUP(MID($AR963,1,255),country_lookup!$B:$F,3,FALSE)</f>
        <v>1_developed</v>
      </c>
      <c r="AM963" t="str">
        <f>VLOOKUP(MID($AR963,1,255),country_lookup!$B:$F,4,FALSE)</f>
        <v>1_western</v>
      </c>
      <c r="AN963" t="str">
        <f>VLOOKUP(MID($AR963,1,255),country_lookup!$B:$F,5,FALSE)</f>
        <v>1_common law</v>
      </c>
      <c r="AO963" s="10" t="str">
        <f>VLOOKUP(MID($AS963,1,255),source_lookup!$B:$K,4,FALSE)</f>
        <v>0_published</v>
      </c>
      <c r="AP963" s="10" t="str">
        <f>VLOOKUP(MID($AS963,1,255),source_lookup!$B:$K,6,FALSE)</f>
        <v>1_VHB high</v>
      </c>
      <c r="AQ963" s="10" t="str">
        <f>VLOOKUP(MID($AS963,1,255),source_lookup!$B:$K,10,FALSE)</f>
        <v>2_sust</v>
      </c>
      <c r="AR963" t="s">
        <v>112</v>
      </c>
      <c r="AS963" t="s">
        <v>170</v>
      </c>
    </row>
    <row r="964" spans="1:45" x14ac:dyDescent="0.3">
      <c r="A964" t="s">
        <v>47</v>
      </c>
      <c r="B964">
        <v>963</v>
      </c>
      <c r="C964" s="1">
        <v>-1.2951671242071542E-3</v>
      </c>
      <c r="D964" s="2">
        <v>55</v>
      </c>
      <c r="E964" s="4">
        <v>496</v>
      </c>
      <c r="F964" s="4" t="s">
        <v>346</v>
      </c>
      <c r="G964" s="4" t="s">
        <v>347</v>
      </c>
      <c r="H964" t="s">
        <v>77</v>
      </c>
      <c r="I964" t="s">
        <v>351</v>
      </c>
      <c r="J964" s="3">
        <v>2010</v>
      </c>
      <c r="K964" s="3">
        <v>2018</v>
      </c>
      <c r="L964" s="6">
        <f t="shared" si="311"/>
        <v>2014</v>
      </c>
      <c r="M964" s="6">
        <f t="shared" si="312"/>
        <v>2014</v>
      </c>
      <c r="N964" s="7">
        <f t="shared" si="300"/>
        <v>0.33333333333333331</v>
      </c>
      <c r="O964" s="7">
        <f t="shared" si="301"/>
        <v>0.22222222222222221</v>
      </c>
      <c r="P964" s="7">
        <f t="shared" si="302"/>
        <v>0.1111111111111111</v>
      </c>
      <c r="Q964" s="7">
        <f t="shared" si="313"/>
        <v>0</v>
      </c>
      <c r="R964" s="10" t="str">
        <f t="shared" si="303"/>
        <v>0_Pre</v>
      </c>
      <c r="S964" s="10" t="str">
        <f t="shared" si="304"/>
        <v>0_Pre</v>
      </c>
      <c r="T964" s="10" t="str">
        <f t="shared" si="305"/>
        <v>0_Pre</v>
      </c>
      <c r="U964" s="10" t="str">
        <f t="shared" si="306"/>
        <v>1_Post</v>
      </c>
      <c r="V964" s="10" t="str">
        <f t="shared" si="314"/>
        <v>0_Pre</v>
      </c>
      <c r="W964" s="10" t="str">
        <f t="shared" si="307"/>
        <v>straddle</v>
      </c>
      <c r="X964" s="10" t="str">
        <f t="shared" si="308"/>
        <v>0_Pre</v>
      </c>
      <c r="Y964" s="10" t="str">
        <f t="shared" si="309"/>
        <v>0_Pre</v>
      </c>
      <c r="Z964" s="10" t="str">
        <f t="shared" si="310"/>
        <v>0_Pre</v>
      </c>
      <c r="AA964" s="10" t="str">
        <f t="shared" si="315"/>
        <v>1_Post</v>
      </c>
      <c r="AB964" s="10" t="str">
        <f t="shared" si="316"/>
        <v>1_Post</v>
      </c>
      <c r="AC964" s="10" t="str">
        <f t="shared" si="317"/>
        <v>0_Pre</v>
      </c>
      <c r="AD964" s="10" t="str">
        <f t="shared" si="318"/>
        <v>2_post sample median</v>
      </c>
      <c r="AE964" s="10" t="str">
        <f t="shared" si="319"/>
        <v>3_post sample third tertile</v>
      </c>
      <c r="AF964" t="s">
        <v>80</v>
      </c>
      <c r="AG964" t="s">
        <v>75</v>
      </c>
      <c r="AH964" t="s">
        <v>78</v>
      </c>
      <c r="AI964" t="s">
        <v>122</v>
      </c>
      <c r="AJ964" t="s">
        <v>122</v>
      </c>
      <c r="AK964" t="str">
        <f>VLOOKUP(MID($AR964,1,255),country_lookup!$B:$F,2,FALSE)</f>
        <v>2_Europe</v>
      </c>
      <c r="AL964" t="str">
        <f>VLOOKUP(MID($AR964,1,255),country_lookup!$B:$F,3,FALSE)</f>
        <v>1_developed</v>
      </c>
      <c r="AM964" t="str">
        <f>VLOOKUP(MID($AR964,1,255),country_lookup!$B:$F,4,FALSE)</f>
        <v>1_western</v>
      </c>
      <c r="AN964" t="str">
        <f>VLOOKUP(MID($AR964,1,255),country_lookup!$B:$F,5,FALSE)</f>
        <v>1_common law</v>
      </c>
      <c r="AO964" s="10" t="str">
        <f>VLOOKUP(MID($AS964,1,255),source_lookup!$B:$K,4,FALSE)</f>
        <v>0_published</v>
      </c>
      <c r="AP964" s="10" t="str">
        <f>VLOOKUP(MID($AS964,1,255),source_lookup!$B:$K,6,FALSE)</f>
        <v>1_VHB high</v>
      </c>
      <c r="AQ964" s="10" t="str">
        <f>VLOOKUP(MID($AS964,1,255),source_lookup!$B:$K,10,FALSE)</f>
        <v>2_sust</v>
      </c>
      <c r="AR964" t="s">
        <v>112</v>
      </c>
      <c r="AS964" t="s">
        <v>170</v>
      </c>
    </row>
    <row r="965" spans="1:45" x14ac:dyDescent="0.3">
      <c r="A965" t="s">
        <v>47</v>
      </c>
      <c r="B965">
        <v>964</v>
      </c>
      <c r="C965" s="1">
        <v>-0.1867738874392797</v>
      </c>
      <c r="D965" s="2">
        <v>61</v>
      </c>
      <c r="E965" s="4">
        <v>550</v>
      </c>
      <c r="F965" s="4" t="s">
        <v>346</v>
      </c>
      <c r="G965" s="4" t="s">
        <v>347</v>
      </c>
      <c r="H965" t="s">
        <v>77</v>
      </c>
      <c r="I965" t="s">
        <v>351</v>
      </c>
      <c r="J965" s="3">
        <v>2010</v>
      </c>
      <c r="K965" s="3">
        <v>2018</v>
      </c>
      <c r="L965" s="6">
        <f t="shared" si="311"/>
        <v>2014</v>
      </c>
      <c r="M965" s="6">
        <f t="shared" si="312"/>
        <v>2014</v>
      </c>
      <c r="N965" s="7">
        <f t="shared" si="300"/>
        <v>0.33333333333333331</v>
      </c>
      <c r="O965" s="7">
        <f t="shared" si="301"/>
        <v>0.22222222222222221</v>
      </c>
      <c r="P965" s="7">
        <f t="shared" si="302"/>
        <v>0.1111111111111111</v>
      </c>
      <c r="Q965" s="7">
        <f t="shared" si="313"/>
        <v>0</v>
      </c>
      <c r="R965" s="10" t="str">
        <f t="shared" si="303"/>
        <v>0_Pre</v>
      </c>
      <c r="S965" s="10" t="str">
        <f t="shared" si="304"/>
        <v>0_Pre</v>
      </c>
      <c r="T965" s="10" t="str">
        <f t="shared" si="305"/>
        <v>0_Pre</v>
      </c>
      <c r="U965" s="10" t="str">
        <f t="shared" si="306"/>
        <v>1_Post</v>
      </c>
      <c r="V965" s="10" t="str">
        <f t="shared" si="314"/>
        <v>0_Pre</v>
      </c>
      <c r="W965" s="10" t="str">
        <f t="shared" si="307"/>
        <v>straddle</v>
      </c>
      <c r="X965" s="10" t="str">
        <f t="shared" si="308"/>
        <v>0_Pre</v>
      </c>
      <c r="Y965" s="10" t="str">
        <f t="shared" si="309"/>
        <v>0_Pre</v>
      </c>
      <c r="Z965" s="10" t="str">
        <f t="shared" si="310"/>
        <v>0_Pre</v>
      </c>
      <c r="AA965" s="10" t="str">
        <f t="shared" si="315"/>
        <v>1_Post</v>
      </c>
      <c r="AB965" s="10" t="str">
        <f t="shared" si="316"/>
        <v>1_Post</v>
      </c>
      <c r="AC965" s="10" t="str">
        <f t="shared" si="317"/>
        <v>0_Pre</v>
      </c>
      <c r="AD965" s="10" t="str">
        <f t="shared" si="318"/>
        <v>2_post sample median</v>
      </c>
      <c r="AE965" s="10" t="str">
        <f t="shared" si="319"/>
        <v>3_post sample third tertile</v>
      </c>
      <c r="AF965" t="s">
        <v>80</v>
      </c>
      <c r="AG965" t="s">
        <v>75</v>
      </c>
      <c r="AH965" t="s">
        <v>78</v>
      </c>
      <c r="AI965" t="s">
        <v>122</v>
      </c>
      <c r="AJ965" t="s">
        <v>122</v>
      </c>
      <c r="AK965" t="str">
        <f>VLOOKUP(MID($AR965,1,255),country_lookup!$B:$F,2,FALSE)</f>
        <v>2_Europe</v>
      </c>
      <c r="AL965" t="str">
        <f>VLOOKUP(MID($AR965,1,255),country_lookup!$B:$F,3,FALSE)</f>
        <v>1_developed</v>
      </c>
      <c r="AM965" t="str">
        <f>VLOOKUP(MID($AR965,1,255),country_lookup!$B:$F,4,FALSE)</f>
        <v>1_western</v>
      </c>
      <c r="AN965" t="str">
        <f>VLOOKUP(MID($AR965,1,255),country_lookup!$B:$F,5,FALSE)</f>
        <v>1_common law</v>
      </c>
      <c r="AO965" s="10" t="str">
        <f>VLOOKUP(MID($AS965,1,255),source_lookup!$B:$K,4,FALSE)</f>
        <v>0_published</v>
      </c>
      <c r="AP965" s="10" t="str">
        <f>VLOOKUP(MID($AS965,1,255),source_lookup!$B:$K,6,FALSE)</f>
        <v>1_VHB high</v>
      </c>
      <c r="AQ965" s="10" t="str">
        <f>VLOOKUP(MID($AS965,1,255),source_lookup!$B:$K,10,FALSE)</f>
        <v>2_sust</v>
      </c>
      <c r="AR965" t="s">
        <v>112</v>
      </c>
      <c r="AS965" t="s">
        <v>170</v>
      </c>
    </row>
    <row r="966" spans="1:45" x14ac:dyDescent="0.3">
      <c r="A966" t="s">
        <v>47</v>
      </c>
      <c r="B966">
        <v>965</v>
      </c>
      <c r="C966" s="1">
        <v>1.0496247879855685E-2</v>
      </c>
      <c r="D966" s="2">
        <v>75</v>
      </c>
      <c r="E966" s="4">
        <v>676</v>
      </c>
      <c r="F966" s="4" t="s">
        <v>346</v>
      </c>
      <c r="G966" s="4" t="s">
        <v>347</v>
      </c>
      <c r="H966" t="s">
        <v>77</v>
      </c>
      <c r="I966" t="s">
        <v>351</v>
      </c>
      <c r="J966" s="3">
        <v>2010</v>
      </c>
      <c r="K966" s="3">
        <v>2018</v>
      </c>
      <c r="L966" s="6">
        <f t="shared" si="311"/>
        <v>2014</v>
      </c>
      <c r="M966" s="6">
        <f t="shared" si="312"/>
        <v>2014</v>
      </c>
      <c r="N966" s="7">
        <f t="shared" si="300"/>
        <v>0.33333333333333331</v>
      </c>
      <c r="O966" s="7">
        <f t="shared" si="301"/>
        <v>0.22222222222222221</v>
      </c>
      <c r="P966" s="7">
        <f t="shared" si="302"/>
        <v>0.1111111111111111</v>
      </c>
      <c r="Q966" s="7">
        <f t="shared" si="313"/>
        <v>0</v>
      </c>
      <c r="R966" s="10" t="str">
        <f t="shared" si="303"/>
        <v>0_Pre</v>
      </c>
      <c r="S966" s="10" t="str">
        <f t="shared" si="304"/>
        <v>0_Pre</v>
      </c>
      <c r="T966" s="10" t="str">
        <f t="shared" si="305"/>
        <v>0_Pre</v>
      </c>
      <c r="U966" s="10" t="str">
        <f t="shared" si="306"/>
        <v>1_Post</v>
      </c>
      <c r="V966" s="10" t="str">
        <f t="shared" si="314"/>
        <v>0_Pre</v>
      </c>
      <c r="W966" s="10" t="str">
        <f t="shared" si="307"/>
        <v>straddle</v>
      </c>
      <c r="X966" s="10" t="str">
        <f t="shared" si="308"/>
        <v>0_Pre</v>
      </c>
      <c r="Y966" s="10" t="str">
        <f t="shared" si="309"/>
        <v>0_Pre</v>
      </c>
      <c r="Z966" s="10" t="str">
        <f t="shared" si="310"/>
        <v>0_Pre</v>
      </c>
      <c r="AA966" s="10" t="str">
        <f t="shared" si="315"/>
        <v>1_Post</v>
      </c>
      <c r="AB966" s="10" t="str">
        <f t="shared" si="316"/>
        <v>1_Post</v>
      </c>
      <c r="AC966" s="10" t="str">
        <f t="shared" si="317"/>
        <v>0_Pre</v>
      </c>
      <c r="AD966" s="10" t="str">
        <f t="shared" si="318"/>
        <v>2_post sample median</v>
      </c>
      <c r="AE966" s="10" t="str">
        <f t="shared" si="319"/>
        <v>3_post sample third tertile</v>
      </c>
      <c r="AF966" t="s">
        <v>80</v>
      </c>
      <c r="AG966" t="s">
        <v>75</v>
      </c>
      <c r="AH966" t="s">
        <v>78</v>
      </c>
      <c r="AI966" t="s">
        <v>122</v>
      </c>
      <c r="AJ966" t="s">
        <v>122</v>
      </c>
      <c r="AK966" t="str">
        <f>VLOOKUP(MID($AR966,1,255),country_lookup!$B:$F,2,FALSE)</f>
        <v>2_Europe</v>
      </c>
      <c r="AL966" t="str">
        <f>VLOOKUP(MID($AR966,1,255),country_lookup!$B:$F,3,FALSE)</f>
        <v>1_developed</v>
      </c>
      <c r="AM966" t="str">
        <f>VLOOKUP(MID($AR966,1,255),country_lookup!$B:$F,4,FALSE)</f>
        <v>1_western</v>
      </c>
      <c r="AN966" t="str">
        <f>VLOOKUP(MID($AR966,1,255),country_lookup!$B:$F,5,FALSE)</f>
        <v>1_common law</v>
      </c>
      <c r="AO966" s="10" t="str">
        <f>VLOOKUP(MID($AS966,1,255),source_lookup!$B:$K,4,FALSE)</f>
        <v>0_published</v>
      </c>
      <c r="AP966" s="10" t="str">
        <f>VLOOKUP(MID($AS966,1,255),source_lookup!$B:$K,6,FALSE)</f>
        <v>1_VHB high</v>
      </c>
      <c r="AQ966" s="10" t="str">
        <f>VLOOKUP(MID($AS966,1,255),source_lookup!$B:$K,10,FALSE)</f>
        <v>2_sust</v>
      </c>
      <c r="AR966" t="s">
        <v>112</v>
      </c>
      <c r="AS966" t="s">
        <v>170</v>
      </c>
    </row>
    <row r="967" spans="1:45" x14ac:dyDescent="0.3">
      <c r="A967" t="s">
        <v>47</v>
      </c>
      <c r="B967">
        <v>966</v>
      </c>
      <c r="C967" s="1">
        <v>4.3855244757704685E-2</v>
      </c>
      <c r="D967" s="2">
        <v>41</v>
      </c>
      <c r="E967" s="4">
        <v>370</v>
      </c>
      <c r="F967" s="4" t="s">
        <v>346</v>
      </c>
      <c r="G967" s="4" t="s">
        <v>347</v>
      </c>
      <c r="H967" t="s">
        <v>77</v>
      </c>
      <c r="I967" t="s">
        <v>351</v>
      </c>
      <c r="J967" s="3">
        <v>2010</v>
      </c>
      <c r="K967" s="3">
        <v>2018</v>
      </c>
      <c r="L967" s="6">
        <f t="shared" si="311"/>
        <v>2014</v>
      </c>
      <c r="M967" s="6">
        <f t="shared" si="312"/>
        <v>2014</v>
      </c>
      <c r="N967" s="7">
        <f t="shared" si="300"/>
        <v>0.33333333333333331</v>
      </c>
      <c r="O967" s="7">
        <f t="shared" si="301"/>
        <v>0.22222222222222221</v>
      </c>
      <c r="P967" s="7">
        <f t="shared" si="302"/>
        <v>0.1111111111111111</v>
      </c>
      <c r="Q967" s="7">
        <f t="shared" si="313"/>
        <v>0</v>
      </c>
      <c r="R967" s="10" t="str">
        <f t="shared" si="303"/>
        <v>0_Pre</v>
      </c>
      <c r="S967" s="10" t="str">
        <f t="shared" si="304"/>
        <v>0_Pre</v>
      </c>
      <c r="T967" s="10" t="str">
        <f t="shared" si="305"/>
        <v>0_Pre</v>
      </c>
      <c r="U967" s="10" t="str">
        <f t="shared" si="306"/>
        <v>1_Post</v>
      </c>
      <c r="V967" s="10" t="str">
        <f t="shared" si="314"/>
        <v>0_Pre</v>
      </c>
      <c r="W967" s="10" t="str">
        <f t="shared" si="307"/>
        <v>straddle</v>
      </c>
      <c r="X967" s="10" t="str">
        <f t="shared" si="308"/>
        <v>0_Pre</v>
      </c>
      <c r="Y967" s="10" t="str">
        <f t="shared" si="309"/>
        <v>0_Pre</v>
      </c>
      <c r="Z967" s="10" t="str">
        <f t="shared" si="310"/>
        <v>0_Pre</v>
      </c>
      <c r="AA967" s="10" t="str">
        <f t="shared" si="315"/>
        <v>1_Post</v>
      </c>
      <c r="AB967" s="10" t="str">
        <f t="shared" si="316"/>
        <v>1_Post</v>
      </c>
      <c r="AC967" s="10" t="str">
        <f t="shared" si="317"/>
        <v>0_Pre</v>
      </c>
      <c r="AD967" s="10" t="str">
        <f t="shared" si="318"/>
        <v>2_post sample median</v>
      </c>
      <c r="AE967" s="10" t="str">
        <f t="shared" si="319"/>
        <v>3_post sample third tertile</v>
      </c>
      <c r="AF967" t="s">
        <v>80</v>
      </c>
      <c r="AG967" t="s">
        <v>75</v>
      </c>
      <c r="AH967" t="s">
        <v>78</v>
      </c>
      <c r="AI967" t="s">
        <v>122</v>
      </c>
      <c r="AJ967" t="s">
        <v>122</v>
      </c>
      <c r="AK967" t="str">
        <f>VLOOKUP(MID($AR967,1,255),country_lookup!$B:$F,2,FALSE)</f>
        <v>2_Europe</v>
      </c>
      <c r="AL967" t="str">
        <f>VLOOKUP(MID($AR967,1,255),country_lookup!$B:$F,3,FALSE)</f>
        <v>1_developed</v>
      </c>
      <c r="AM967" t="str">
        <f>VLOOKUP(MID($AR967,1,255),country_lookup!$B:$F,4,FALSE)</f>
        <v>1_western</v>
      </c>
      <c r="AN967" t="str">
        <f>VLOOKUP(MID($AR967,1,255),country_lookup!$B:$F,5,FALSE)</f>
        <v>1_common law</v>
      </c>
      <c r="AO967" s="10" t="str">
        <f>VLOOKUP(MID($AS967,1,255),source_lookup!$B:$K,4,FALSE)</f>
        <v>0_published</v>
      </c>
      <c r="AP967" s="10" t="str">
        <f>VLOOKUP(MID($AS967,1,255),source_lookup!$B:$K,6,FALSE)</f>
        <v>1_VHB high</v>
      </c>
      <c r="AQ967" s="10" t="str">
        <f>VLOOKUP(MID($AS967,1,255),source_lookup!$B:$K,10,FALSE)</f>
        <v>2_sust</v>
      </c>
      <c r="AR967" t="s">
        <v>112</v>
      </c>
      <c r="AS967" t="s">
        <v>170</v>
      </c>
    </row>
    <row r="968" spans="1:45" x14ac:dyDescent="0.3">
      <c r="A968" t="s">
        <v>48</v>
      </c>
      <c r="B968">
        <v>967</v>
      </c>
      <c r="C968" s="1">
        <v>-0.15240000000000001</v>
      </c>
      <c r="D968" s="2">
        <v>208</v>
      </c>
      <c r="E968" s="4">
        <v>3116</v>
      </c>
      <c r="F968" s="4" t="s">
        <v>346</v>
      </c>
      <c r="G968" s="4" t="s">
        <v>347</v>
      </c>
      <c r="H968" t="s">
        <v>76</v>
      </c>
      <c r="I968" t="s">
        <v>353</v>
      </c>
      <c r="J968" s="3">
        <v>2004</v>
      </c>
      <c r="K968" s="3">
        <v>2018</v>
      </c>
      <c r="L968" s="6">
        <f t="shared" si="311"/>
        <v>2011</v>
      </c>
      <c r="M968" s="6">
        <f t="shared" si="312"/>
        <v>2011</v>
      </c>
      <c r="N968" s="7">
        <f t="shared" si="300"/>
        <v>0.2</v>
      </c>
      <c r="O968" s="7">
        <f t="shared" si="301"/>
        <v>0.13333333333333333</v>
      </c>
      <c r="P968" s="7">
        <f t="shared" si="302"/>
        <v>6.6666666666666666E-2</v>
      </c>
      <c r="Q968" s="7">
        <f t="shared" si="313"/>
        <v>0</v>
      </c>
      <c r="R968" s="10" t="str">
        <f t="shared" si="303"/>
        <v>0_Pre</v>
      </c>
      <c r="S968" s="10" t="str">
        <f t="shared" si="304"/>
        <v>0_Pre</v>
      </c>
      <c r="T968" s="10" t="str">
        <f t="shared" si="305"/>
        <v>0_Pre</v>
      </c>
      <c r="U968" s="10" t="str">
        <f t="shared" si="306"/>
        <v>1_Post</v>
      </c>
      <c r="V968" s="10" t="str">
        <f t="shared" si="314"/>
        <v>0_Pre</v>
      </c>
      <c r="W968" s="10" t="str">
        <f t="shared" si="307"/>
        <v>straddle</v>
      </c>
      <c r="X968" s="10" t="str">
        <f t="shared" si="308"/>
        <v>0_Pre</v>
      </c>
      <c r="Y968" s="10" t="str">
        <f t="shared" si="309"/>
        <v>0_Pre</v>
      </c>
      <c r="Z968" s="10" t="str">
        <f t="shared" si="310"/>
        <v>0_Pre</v>
      </c>
      <c r="AA968" s="10" t="str">
        <f t="shared" si="315"/>
        <v>1_Post</v>
      </c>
      <c r="AB968" s="10" t="str">
        <f t="shared" si="316"/>
        <v>1_Post</v>
      </c>
      <c r="AC968" s="10" t="str">
        <f t="shared" si="317"/>
        <v>0_Pre</v>
      </c>
      <c r="AD968" s="10" t="str">
        <f t="shared" si="318"/>
        <v>1_pre sample median</v>
      </c>
      <c r="AE968" s="10" t="str">
        <f t="shared" si="319"/>
        <v>2_in sample second tertile</v>
      </c>
      <c r="AF968" t="s">
        <v>67</v>
      </c>
      <c r="AG968" t="s">
        <v>75</v>
      </c>
      <c r="AH968" t="s">
        <v>79</v>
      </c>
      <c r="AI968" t="s">
        <v>122</v>
      </c>
      <c r="AJ968" t="s">
        <v>123</v>
      </c>
      <c r="AK968" t="str">
        <f>VLOOKUP(MID($AR968,1,255),country_lookup!$B:$F,2,FALSE)</f>
        <v>1_US</v>
      </c>
      <c r="AL968" t="str">
        <f>VLOOKUP(MID($AR968,1,255),country_lookup!$B:$F,3,FALSE)</f>
        <v>1_developed</v>
      </c>
      <c r="AM968" t="str">
        <f>VLOOKUP(MID($AR968,1,255),country_lookup!$B:$F,4,FALSE)</f>
        <v>1_western</v>
      </c>
      <c r="AN968" t="str">
        <f>VLOOKUP(MID($AR968,1,255),country_lookup!$B:$F,5,FALSE)</f>
        <v>1_common law</v>
      </c>
      <c r="AO968" s="10" t="str">
        <f>VLOOKUP(MID($AS968,1,255),source_lookup!$B:$K,4,FALSE)</f>
        <v>0_published</v>
      </c>
      <c r="AP968" s="10" t="str">
        <f>VLOOKUP(MID($AS968,1,255),source_lookup!$B:$K,6,FALSE)</f>
        <v>1_VHB high</v>
      </c>
      <c r="AQ968" s="10" t="str">
        <f>VLOOKUP(MID($AS968,1,255),source_lookup!$B:$K,10,FALSE)</f>
        <v>1_fin/acc/econ</v>
      </c>
      <c r="AR968" t="s">
        <v>85</v>
      </c>
      <c r="AS968" t="s">
        <v>171</v>
      </c>
    </row>
    <row r="969" spans="1:45" x14ac:dyDescent="0.3">
      <c r="A969" t="s">
        <v>48</v>
      </c>
      <c r="B969">
        <v>968</v>
      </c>
      <c r="C969" s="1">
        <v>-0.1721</v>
      </c>
      <c r="D969" s="2">
        <v>177</v>
      </c>
      <c r="E969" s="4">
        <v>2659</v>
      </c>
      <c r="F969" s="4" t="s">
        <v>346</v>
      </c>
      <c r="G969" s="4" t="s">
        <v>347</v>
      </c>
      <c r="H969" t="s">
        <v>76</v>
      </c>
      <c r="I969" t="s">
        <v>353</v>
      </c>
      <c r="J969" s="3">
        <v>2004</v>
      </c>
      <c r="K969" s="3">
        <v>2018</v>
      </c>
      <c r="L969" s="6">
        <f t="shared" si="311"/>
        <v>2011</v>
      </c>
      <c r="M969" s="6">
        <f t="shared" si="312"/>
        <v>2011</v>
      </c>
      <c r="N969" s="7">
        <f t="shared" si="300"/>
        <v>0.2</v>
      </c>
      <c r="O969" s="7">
        <f t="shared" si="301"/>
        <v>0.13333333333333333</v>
      </c>
      <c r="P969" s="7">
        <f t="shared" si="302"/>
        <v>6.6666666666666666E-2</v>
      </c>
      <c r="Q969" s="7">
        <f t="shared" si="313"/>
        <v>0</v>
      </c>
      <c r="R969" s="10" t="str">
        <f t="shared" si="303"/>
        <v>0_Pre</v>
      </c>
      <c r="S969" s="10" t="str">
        <f t="shared" si="304"/>
        <v>0_Pre</v>
      </c>
      <c r="T969" s="10" t="str">
        <f t="shared" si="305"/>
        <v>0_Pre</v>
      </c>
      <c r="U969" s="10" t="str">
        <f t="shared" si="306"/>
        <v>1_Post</v>
      </c>
      <c r="V969" s="10" t="str">
        <f t="shared" si="314"/>
        <v>0_Pre</v>
      </c>
      <c r="W969" s="10" t="str">
        <f t="shared" si="307"/>
        <v>straddle</v>
      </c>
      <c r="X969" s="10" t="str">
        <f t="shared" si="308"/>
        <v>0_Pre</v>
      </c>
      <c r="Y969" s="10" t="str">
        <f t="shared" si="309"/>
        <v>0_Pre</v>
      </c>
      <c r="Z969" s="10" t="str">
        <f t="shared" si="310"/>
        <v>0_Pre</v>
      </c>
      <c r="AA969" s="10" t="str">
        <f t="shared" si="315"/>
        <v>1_Post</v>
      </c>
      <c r="AB969" s="10" t="str">
        <f t="shared" si="316"/>
        <v>1_Post</v>
      </c>
      <c r="AC969" s="10" t="str">
        <f t="shared" si="317"/>
        <v>0_Pre</v>
      </c>
      <c r="AD969" s="10" t="str">
        <f t="shared" si="318"/>
        <v>1_pre sample median</v>
      </c>
      <c r="AE969" s="10" t="str">
        <f t="shared" si="319"/>
        <v>2_in sample second tertile</v>
      </c>
      <c r="AF969" t="s">
        <v>67</v>
      </c>
      <c r="AG969" t="s">
        <v>75</v>
      </c>
      <c r="AH969" t="s">
        <v>79</v>
      </c>
      <c r="AI969" t="s">
        <v>122</v>
      </c>
      <c r="AJ969" t="s">
        <v>123</v>
      </c>
      <c r="AK969" t="str">
        <f>VLOOKUP(MID($AR969,1,255),country_lookup!$B:$F,2,FALSE)</f>
        <v>1_US</v>
      </c>
      <c r="AL969" t="str">
        <f>VLOOKUP(MID($AR969,1,255),country_lookup!$B:$F,3,FALSE)</f>
        <v>1_developed</v>
      </c>
      <c r="AM969" t="str">
        <f>VLOOKUP(MID($AR969,1,255),country_lookup!$B:$F,4,FALSE)</f>
        <v>1_western</v>
      </c>
      <c r="AN969" t="str">
        <f>VLOOKUP(MID($AR969,1,255),country_lookup!$B:$F,5,FALSE)</f>
        <v>1_common law</v>
      </c>
      <c r="AO969" s="10" t="str">
        <f>VLOOKUP(MID($AS969,1,255),source_lookup!$B:$K,4,FALSE)</f>
        <v>0_published</v>
      </c>
      <c r="AP969" s="10" t="str">
        <f>VLOOKUP(MID($AS969,1,255),source_lookup!$B:$K,6,FALSE)</f>
        <v>1_VHB high</v>
      </c>
      <c r="AQ969" s="10" t="str">
        <f>VLOOKUP(MID($AS969,1,255),source_lookup!$B:$K,10,FALSE)</f>
        <v>1_fin/acc/econ</v>
      </c>
      <c r="AR969" t="s">
        <v>85</v>
      </c>
      <c r="AS969" t="s">
        <v>171</v>
      </c>
    </row>
    <row r="970" spans="1:45" x14ac:dyDescent="0.3">
      <c r="A970" t="s">
        <v>48</v>
      </c>
      <c r="B970">
        <v>969</v>
      </c>
      <c r="C970" s="1">
        <v>-0.1895</v>
      </c>
      <c r="D970" s="2">
        <v>169</v>
      </c>
      <c r="E970" s="4">
        <v>2528</v>
      </c>
      <c r="F970" s="4" t="s">
        <v>346</v>
      </c>
      <c r="G970" s="4" t="s">
        <v>347</v>
      </c>
      <c r="H970" t="s">
        <v>76</v>
      </c>
      <c r="I970" t="s">
        <v>353</v>
      </c>
      <c r="J970" s="3">
        <v>2004</v>
      </c>
      <c r="K970" s="3">
        <v>2018</v>
      </c>
      <c r="L970" s="6">
        <f t="shared" si="311"/>
        <v>2011</v>
      </c>
      <c r="M970" s="6">
        <f t="shared" si="312"/>
        <v>2011</v>
      </c>
      <c r="N970" s="7">
        <f t="shared" si="300"/>
        <v>0.2</v>
      </c>
      <c r="O970" s="7">
        <f t="shared" si="301"/>
        <v>0.13333333333333333</v>
      </c>
      <c r="P970" s="7">
        <f t="shared" si="302"/>
        <v>6.6666666666666666E-2</v>
      </c>
      <c r="Q970" s="7">
        <f t="shared" si="313"/>
        <v>0</v>
      </c>
      <c r="R970" s="10" t="str">
        <f t="shared" si="303"/>
        <v>0_Pre</v>
      </c>
      <c r="S970" s="10" t="str">
        <f t="shared" si="304"/>
        <v>0_Pre</v>
      </c>
      <c r="T970" s="10" t="str">
        <f t="shared" si="305"/>
        <v>0_Pre</v>
      </c>
      <c r="U970" s="10" t="str">
        <f t="shared" si="306"/>
        <v>1_Post</v>
      </c>
      <c r="V970" s="10" t="str">
        <f t="shared" si="314"/>
        <v>0_Pre</v>
      </c>
      <c r="W970" s="10" t="str">
        <f t="shared" si="307"/>
        <v>straddle</v>
      </c>
      <c r="X970" s="10" t="str">
        <f t="shared" si="308"/>
        <v>0_Pre</v>
      </c>
      <c r="Y970" s="10" t="str">
        <f t="shared" si="309"/>
        <v>0_Pre</v>
      </c>
      <c r="Z970" s="10" t="str">
        <f t="shared" si="310"/>
        <v>0_Pre</v>
      </c>
      <c r="AA970" s="10" t="str">
        <f t="shared" si="315"/>
        <v>1_Post</v>
      </c>
      <c r="AB970" s="10" t="str">
        <f t="shared" si="316"/>
        <v>1_Post</v>
      </c>
      <c r="AC970" s="10" t="str">
        <f t="shared" si="317"/>
        <v>0_Pre</v>
      </c>
      <c r="AD970" s="10" t="str">
        <f t="shared" si="318"/>
        <v>1_pre sample median</v>
      </c>
      <c r="AE970" s="10" t="str">
        <f t="shared" si="319"/>
        <v>2_in sample second tertile</v>
      </c>
      <c r="AF970" t="s">
        <v>67</v>
      </c>
      <c r="AG970" t="s">
        <v>75</v>
      </c>
      <c r="AH970" t="s">
        <v>79</v>
      </c>
      <c r="AI970" t="s">
        <v>122</v>
      </c>
      <c r="AJ970" t="s">
        <v>123</v>
      </c>
      <c r="AK970" t="str">
        <f>VLOOKUP(MID($AR970,1,255),country_lookup!$B:$F,2,FALSE)</f>
        <v>1_US</v>
      </c>
      <c r="AL970" t="str">
        <f>VLOOKUP(MID($AR970,1,255),country_lookup!$B:$F,3,FALSE)</f>
        <v>1_developed</v>
      </c>
      <c r="AM970" t="str">
        <f>VLOOKUP(MID($AR970,1,255),country_lookup!$B:$F,4,FALSE)</f>
        <v>1_western</v>
      </c>
      <c r="AN970" t="str">
        <f>VLOOKUP(MID($AR970,1,255),country_lookup!$B:$F,5,FALSE)</f>
        <v>1_common law</v>
      </c>
      <c r="AO970" s="10" t="str">
        <f>VLOOKUP(MID($AS970,1,255),source_lookup!$B:$K,4,FALSE)</f>
        <v>0_published</v>
      </c>
      <c r="AP970" s="10" t="str">
        <f>VLOOKUP(MID($AS970,1,255),source_lookup!$B:$K,6,FALSE)</f>
        <v>1_VHB high</v>
      </c>
      <c r="AQ970" s="10" t="str">
        <f>VLOOKUP(MID($AS970,1,255),source_lookup!$B:$K,10,FALSE)</f>
        <v>1_fin/acc/econ</v>
      </c>
      <c r="AR970" t="s">
        <v>85</v>
      </c>
      <c r="AS970" t="s">
        <v>171</v>
      </c>
    </row>
    <row r="971" spans="1:45" x14ac:dyDescent="0.3">
      <c r="A971" t="s">
        <v>48</v>
      </c>
      <c r="B971">
        <v>970</v>
      </c>
      <c r="C971" s="1">
        <v>-6.8984692714519263E-2</v>
      </c>
      <c r="D971" s="2">
        <v>208</v>
      </c>
      <c r="E971" s="4">
        <v>3116</v>
      </c>
      <c r="F971" s="4" t="s">
        <v>346</v>
      </c>
      <c r="G971" s="4" t="s">
        <v>347</v>
      </c>
      <c r="H971" t="s">
        <v>77</v>
      </c>
      <c r="I971" t="s">
        <v>352</v>
      </c>
      <c r="J971" s="3">
        <v>2004</v>
      </c>
      <c r="K971" s="3">
        <v>2018</v>
      </c>
      <c r="L971" s="6">
        <f t="shared" si="311"/>
        <v>2011</v>
      </c>
      <c r="M971" s="6">
        <f t="shared" si="312"/>
        <v>2011</v>
      </c>
      <c r="N971" s="7">
        <f t="shared" si="300"/>
        <v>0.2</v>
      </c>
      <c r="O971" s="7">
        <f t="shared" si="301"/>
        <v>0.13333333333333333</v>
      </c>
      <c r="P971" s="7">
        <f t="shared" si="302"/>
        <v>6.6666666666666666E-2</v>
      </c>
      <c r="Q971" s="7">
        <f t="shared" si="313"/>
        <v>0</v>
      </c>
      <c r="R971" s="10" t="str">
        <f t="shared" si="303"/>
        <v>0_Pre</v>
      </c>
      <c r="S971" s="10" t="str">
        <f t="shared" si="304"/>
        <v>0_Pre</v>
      </c>
      <c r="T971" s="10" t="str">
        <f t="shared" si="305"/>
        <v>0_Pre</v>
      </c>
      <c r="U971" s="10" t="str">
        <f t="shared" si="306"/>
        <v>1_Post</v>
      </c>
      <c r="V971" s="10" t="str">
        <f t="shared" si="314"/>
        <v>0_Pre</v>
      </c>
      <c r="W971" s="10" t="str">
        <f t="shared" si="307"/>
        <v>straddle</v>
      </c>
      <c r="X971" s="10" t="str">
        <f t="shared" si="308"/>
        <v>0_Pre</v>
      </c>
      <c r="Y971" s="10" t="str">
        <f t="shared" si="309"/>
        <v>0_Pre</v>
      </c>
      <c r="Z971" s="10" t="str">
        <f t="shared" si="310"/>
        <v>0_Pre</v>
      </c>
      <c r="AA971" s="10" t="str">
        <f t="shared" si="315"/>
        <v>1_Post</v>
      </c>
      <c r="AB971" s="10" t="str">
        <f t="shared" si="316"/>
        <v>1_Post</v>
      </c>
      <c r="AC971" s="10" t="str">
        <f t="shared" si="317"/>
        <v>0_Pre</v>
      </c>
      <c r="AD971" s="10" t="str">
        <f t="shared" si="318"/>
        <v>1_pre sample median</v>
      </c>
      <c r="AE971" s="10" t="str">
        <f t="shared" si="319"/>
        <v>2_in sample second tertile</v>
      </c>
      <c r="AF971" t="s">
        <v>67</v>
      </c>
      <c r="AG971" t="s">
        <v>75</v>
      </c>
      <c r="AH971" t="s">
        <v>79</v>
      </c>
      <c r="AI971" t="s">
        <v>122</v>
      </c>
      <c r="AJ971" t="s">
        <v>123</v>
      </c>
      <c r="AK971" t="str">
        <f>VLOOKUP(MID($AR971,1,255),country_lookup!$B:$F,2,FALSE)</f>
        <v>1_US</v>
      </c>
      <c r="AL971" t="str">
        <f>VLOOKUP(MID($AR971,1,255),country_lookup!$B:$F,3,FALSE)</f>
        <v>1_developed</v>
      </c>
      <c r="AM971" t="str">
        <f>VLOOKUP(MID($AR971,1,255),country_lookup!$B:$F,4,FALSE)</f>
        <v>1_western</v>
      </c>
      <c r="AN971" t="str">
        <f>VLOOKUP(MID($AR971,1,255),country_lookup!$B:$F,5,FALSE)</f>
        <v>1_common law</v>
      </c>
      <c r="AO971" s="10" t="str">
        <f>VLOOKUP(MID($AS971,1,255),source_lookup!$B:$K,4,FALSE)</f>
        <v>0_published</v>
      </c>
      <c r="AP971" s="10" t="str">
        <f>VLOOKUP(MID($AS971,1,255),source_lookup!$B:$K,6,FALSE)</f>
        <v>1_VHB high</v>
      </c>
      <c r="AQ971" s="10" t="str">
        <f>VLOOKUP(MID($AS971,1,255),source_lookup!$B:$K,10,FALSE)</f>
        <v>1_fin/acc/econ</v>
      </c>
      <c r="AR971" t="s">
        <v>85</v>
      </c>
      <c r="AS971" t="s">
        <v>171</v>
      </c>
    </row>
    <row r="972" spans="1:45" x14ac:dyDescent="0.3">
      <c r="A972" t="s">
        <v>48</v>
      </c>
      <c r="B972">
        <v>971</v>
      </c>
      <c r="C972" s="1">
        <v>-9.1727519150420364E-2</v>
      </c>
      <c r="D972" s="2">
        <v>177</v>
      </c>
      <c r="E972" s="4">
        <v>2659</v>
      </c>
      <c r="F972" s="4" t="s">
        <v>346</v>
      </c>
      <c r="G972" s="4" t="s">
        <v>347</v>
      </c>
      <c r="H972" t="s">
        <v>77</v>
      </c>
      <c r="I972" t="s">
        <v>352</v>
      </c>
      <c r="J972" s="3">
        <v>2004</v>
      </c>
      <c r="K972" s="3">
        <v>2018</v>
      </c>
      <c r="L972" s="6">
        <f t="shared" si="311"/>
        <v>2011</v>
      </c>
      <c r="M972" s="6">
        <f t="shared" si="312"/>
        <v>2011</v>
      </c>
      <c r="N972" s="7">
        <f t="shared" si="300"/>
        <v>0.2</v>
      </c>
      <c r="O972" s="7">
        <f t="shared" si="301"/>
        <v>0.13333333333333333</v>
      </c>
      <c r="P972" s="7">
        <f t="shared" si="302"/>
        <v>6.6666666666666666E-2</v>
      </c>
      <c r="Q972" s="7">
        <f t="shared" si="313"/>
        <v>0</v>
      </c>
      <c r="R972" s="10" t="str">
        <f t="shared" si="303"/>
        <v>0_Pre</v>
      </c>
      <c r="S972" s="10" t="str">
        <f t="shared" si="304"/>
        <v>0_Pre</v>
      </c>
      <c r="T972" s="10" t="str">
        <f t="shared" si="305"/>
        <v>0_Pre</v>
      </c>
      <c r="U972" s="10" t="str">
        <f t="shared" si="306"/>
        <v>1_Post</v>
      </c>
      <c r="V972" s="10" t="str">
        <f t="shared" si="314"/>
        <v>0_Pre</v>
      </c>
      <c r="W972" s="10" t="str">
        <f t="shared" si="307"/>
        <v>straddle</v>
      </c>
      <c r="X972" s="10" t="str">
        <f t="shared" si="308"/>
        <v>0_Pre</v>
      </c>
      <c r="Y972" s="10" t="str">
        <f t="shared" si="309"/>
        <v>0_Pre</v>
      </c>
      <c r="Z972" s="10" t="str">
        <f t="shared" si="310"/>
        <v>0_Pre</v>
      </c>
      <c r="AA972" s="10" t="str">
        <f t="shared" si="315"/>
        <v>1_Post</v>
      </c>
      <c r="AB972" s="10" t="str">
        <f t="shared" si="316"/>
        <v>1_Post</v>
      </c>
      <c r="AC972" s="10" t="str">
        <f t="shared" si="317"/>
        <v>0_Pre</v>
      </c>
      <c r="AD972" s="10" t="str">
        <f t="shared" si="318"/>
        <v>1_pre sample median</v>
      </c>
      <c r="AE972" s="10" t="str">
        <f t="shared" si="319"/>
        <v>2_in sample second tertile</v>
      </c>
      <c r="AF972" t="s">
        <v>67</v>
      </c>
      <c r="AG972" t="s">
        <v>75</v>
      </c>
      <c r="AH972" t="s">
        <v>79</v>
      </c>
      <c r="AI972" t="s">
        <v>122</v>
      </c>
      <c r="AJ972" t="s">
        <v>123</v>
      </c>
      <c r="AK972" t="str">
        <f>VLOOKUP(MID($AR972,1,255),country_lookup!$B:$F,2,FALSE)</f>
        <v>1_US</v>
      </c>
      <c r="AL972" t="str">
        <f>VLOOKUP(MID($AR972,1,255),country_lookup!$B:$F,3,FALSE)</f>
        <v>1_developed</v>
      </c>
      <c r="AM972" t="str">
        <f>VLOOKUP(MID($AR972,1,255),country_lookup!$B:$F,4,FALSE)</f>
        <v>1_western</v>
      </c>
      <c r="AN972" t="str">
        <f>VLOOKUP(MID($AR972,1,255),country_lookup!$B:$F,5,FALSE)</f>
        <v>1_common law</v>
      </c>
      <c r="AO972" s="10" t="str">
        <f>VLOOKUP(MID($AS972,1,255),source_lookup!$B:$K,4,FALSE)</f>
        <v>0_published</v>
      </c>
      <c r="AP972" s="10" t="str">
        <f>VLOOKUP(MID($AS972,1,255),source_lookup!$B:$K,6,FALSE)</f>
        <v>1_VHB high</v>
      </c>
      <c r="AQ972" s="10" t="str">
        <f>VLOOKUP(MID($AS972,1,255),source_lookup!$B:$K,10,FALSE)</f>
        <v>1_fin/acc/econ</v>
      </c>
      <c r="AR972" t="s">
        <v>85</v>
      </c>
      <c r="AS972" t="s">
        <v>171</v>
      </c>
    </row>
    <row r="973" spans="1:45" x14ac:dyDescent="0.3">
      <c r="A973" t="s">
        <v>48</v>
      </c>
      <c r="B973">
        <v>972</v>
      </c>
      <c r="C973" s="1">
        <v>-1.2330200493943285E-2</v>
      </c>
      <c r="D973" s="2">
        <v>169</v>
      </c>
      <c r="E973" s="4">
        <v>2528</v>
      </c>
      <c r="F973" s="4" t="s">
        <v>346</v>
      </c>
      <c r="G973" s="4" t="s">
        <v>347</v>
      </c>
      <c r="H973" t="s">
        <v>77</v>
      </c>
      <c r="I973" t="s">
        <v>352</v>
      </c>
      <c r="J973" s="3">
        <v>2004</v>
      </c>
      <c r="K973" s="3">
        <v>2018</v>
      </c>
      <c r="L973" s="6">
        <f t="shared" si="311"/>
        <v>2011</v>
      </c>
      <c r="M973" s="6">
        <f t="shared" si="312"/>
        <v>2011</v>
      </c>
      <c r="N973" s="7">
        <f t="shared" si="300"/>
        <v>0.2</v>
      </c>
      <c r="O973" s="7">
        <f t="shared" si="301"/>
        <v>0.13333333333333333</v>
      </c>
      <c r="P973" s="7">
        <f t="shared" si="302"/>
        <v>6.6666666666666666E-2</v>
      </c>
      <c r="Q973" s="7">
        <f t="shared" si="313"/>
        <v>0</v>
      </c>
      <c r="R973" s="10" t="str">
        <f t="shared" si="303"/>
        <v>0_Pre</v>
      </c>
      <c r="S973" s="10" t="str">
        <f t="shared" si="304"/>
        <v>0_Pre</v>
      </c>
      <c r="T973" s="10" t="str">
        <f t="shared" si="305"/>
        <v>0_Pre</v>
      </c>
      <c r="U973" s="10" t="str">
        <f t="shared" si="306"/>
        <v>1_Post</v>
      </c>
      <c r="V973" s="10" t="str">
        <f t="shared" si="314"/>
        <v>0_Pre</v>
      </c>
      <c r="W973" s="10" t="str">
        <f t="shared" si="307"/>
        <v>straddle</v>
      </c>
      <c r="X973" s="10" t="str">
        <f t="shared" si="308"/>
        <v>0_Pre</v>
      </c>
      <c r="Y973" s="10" t="str">
        <f t="shared" si="309"/>
        <v>0_Pre</v>
      </c>
      <c r="Z973" s="10" t="str">
        <f t="shared" si="310"/>
        <v>0_Pre</v>
      </c>
      <c r="AA973" s="10" t="str">
        <f t="shared" si="315"/>
        <v>1_Post</v>
      </c>
      <c r="AB973" s="10" t="str">
        <f t="shared" si="316"/>
        <v>1_Post</v>
      </c>
      <c r="AC973" s="10" t="str">
        <f t="shared" si="317"/>
        <v>0_Pre</v>
      </c>
      <c r="AD973" s="10" t="str">
        <f t="shared" si="318"/>
        <v>1_pre sample median</v>
      </c>
      <c r="AE973" s="10" t="str">
        <f t="shared" si="319"/>
        <v>2_in sample second tertile</v>
      </c>
      <c r="AF973" t="s">
        <v>67</v>
      </c>
      <c r="AG973" t="s">
        <v>75</v>
      </c>
      <c r="AH973" t="s">
        <v>79</v>
      </c>
      <c r="AI973" t="s">
        <v>122</v>
      </c>
      <c r="AJ973" t="s">
        <v>123</v>
      </c>
      <c r="AK973" t="str">
        <f>VLOOKUP(MID($AR973,1,255),country_lookup!$B:$F,2,FALSE)</f>
        <v>1_US</v>
      </c>
      <c r="AL973" t="str">
        <f>VLOOKUP(MID($AR973,1,255),country_lookup!$B:$F,3,FALSE)</f>
        <v>1_developed</v>
      </c>
      <c r="AM973" t="str">
        <f>VLOOKUP(MID($AR973,1,255),country_lookup!$B:$F,4,FALSE)</f>
        <v>1_western</v>
      </c>
      <c r="AN973" t="str">
        <f>VLOOKUP(MID($AR973,1,255),country_lookup!$B:$F,5,FALSE)</f>
        <v>1_common law</v>
      </c>
      <c r="AO973" s="10" t="str">
        <f>VLOOKUP(MID($AS973,1,255),source_lookup!$B:$K,4,FALSE)</f>
        <v>0_published</v>
      </c>
      <c r="AP973" s="10" t="str">
        <f>VLOOKUP(MID($AS973,1,255),source_lookup!$B:$K,6,FALSE)</f>
        <v>1_VHB high</v>
      </c>
      <c r="AQ973" s="10" t="str">
        <f>VLOOKUP(MID($AS973,1,255),source_lookup!$B:$K,10,FALSE)</f>
        <v>1_fin/acc/econ</v>
      </c>
      <c r="AR973" t="s">
        <v>85</v>
      </c>
      <c r="AS973" t="s">
        <v>171</v>
      </c>
    </row>
    <row r="974" spans="1:45" x14ac:dyDescent="0.3">
      <c r="A974" t="s">
        <v>48</v>
      </c>
      <c r="B974">
        <v>973</v>
      </c>
      <c r="C974" s="1">
        <v>-7.468661337963016E-2</v>
      </c>
      <c r="D974" s="2">
        <v>86</v>
      </c>
      <c r="E974" s="4">
        <v>1290</v>
      </c>
      <c r="F974" s="4" t="s">
        <v>346</v>
      </c>
      <c r="G974" s="4" t="s">
        <v>347</v>
      </c>
      <c r="H974" t="s">
        <v>77</v>
      </c>
      <c r="I974" t="s">
        <v>352</v>
      </c>
      <c r="J974" s="3">
        <v>2004</v>
      </c>
      <c r="K974" s="3">
        <v>2018</v>
      </c>
      <c r="L974" s="6">
        <f t="shared" si="311"/>
        <v>2011</v>
      </c>
      <c r="M974" s="6">
        <f t="shared" si="312"/>
        <v>2011</v>
      </c>
      <c r="N974" s="7">
        <f t="shared" si="300"/>
        <v>0.2</v>
      </c>
      <c r="O974" s="7">
        <f t="shared" si="301"/>
        <v>0.13333333333333333</v>
      </c>
      <c r="P974" s="7">
        <f t="shared" si="302"/>
        <v>6.6666666666666666E-2</v>
      </c>
      <c r="Q974" s="7">
        <f t="shared" si="313"/>
        <v>0</v>
      </c>
      <c r="R974" s="10" t="str">
        <f t="shared" si="303"/>
        <v>0_Pre</v>
      </c>
      <c r="S974" s="10" t="str">
        <f t="shared" si="304"/>
        <v>0_Pre</v>
      </c>
      <c r="T974" s="10" t="str">
        <f t="shared" si="305"/>
        <v>0_Pre</v>
      </c>
      <c r="U974" s="10" t="str">
        <f t="shared" si="306"/>
        <v>1_Post</v>
      </c>
      <c r="V974" s="10" t="str">
        <f t="shared" si="314"/>
        <v>0_Pre</v>
      </c>
      <c r="W974" s="10" t="str">
        <f t="shared" si="307"/>
        <v>straddle</v>
      </c>
      <c r="X974" s="10" t="str">
        <f t="shared" si="308"/>
        <v>0_Pre</v>
      </c>
      <c r="Y974" s="10" t="str">
        <f t="shared" si="309"/>
        <v>0_Pre</v>
      </c>
      <c r="Z974" s="10" t="str">
        <f t="shared" si="310"/>
        <v>0_Pre</v>
      </c>
      <c r="AA974" s="10" t="str">
        <f t="shared" si="315"/>
        <v>1_Post</v>
      </c>
      <c r="AB974" s="10" t="str">
        <f t="shared" si="316"/>
        <v>1_Post</v>
      </c>
      <c r="AC974" s="10" t="str">
        <f t="shared" si="317"/>
        <v>0_Pre</v>
      </c>
      <c r="AD974" s="10" t="str">
        <f t="shared" si="318"/>
        <v>1_pre sample median</v>
      </c>
      <c r="AE974" s="10" t="str">
        <f t="shared" si="319"/>
        <v>2_in sample second tertile</v>
      </c>
      <c r="AF974" t="s">
        <v>67</v>
      </c>
      <c r="AG974" t="s">
        <v>75</v>
      </c>
      <c r="AH974" t="s">
        <v>79</v>
      </c>
      <c r="AI974" t="s">
        <v>122</v>
      </c>
      <c r="AJ974" t="s">
        <v>123</v>
      </c>
      <c r="AK974" t="str">
        <f>VLOOKUP(MID($AR974,1,255),country_lookup!$B:$F,2,FALSE)</f>
        <v>1_US</v>
      </c>
      <c r="AL974" t="str">
        <f>VLOOKUP(MID($AR974,1,255),country_lookup!$B:$F,3,FALSE)</f>
        <v>1_developed</v>
      </c>
      <c r="AM974" t="str">
        <f>VLOOKUP(MID($AR974,1,255),country_lookup!$B:$F,4,FALSE)</f>
        <v>1_western</v>
      </c>
      <c r="AN974" t="str">
        <f>VLOOKUP(MID($AR974,1,255),country_lookup!$B:$F,5,FALSE)</f>
        <v>1_common law</v>
      </c>
      <c r="AO974" s="10" t="str">
        <f>VLOOKUP(MID($AS974,1,255),source_lookup!$B:$K,4,FALSE)</f>
        <v>0_published</v>
      </c>
      <c r="AP974" s="10" t="str">
        <f>VLOOKUP(MID($AS974,1,255),source_lookup!$B:$K,6,FALSE)</f>
        <v>1_VHB high</v>
      </c>
      <c r="AQ974" s="10" t="str">
        <f>VLOOKUP(MID($AS974,1,255),source_lookup!$B:$K,10,FALSE)</f>
        <v>1_fin/acc/econ</v>
      </c>
      <c r="AR974" t="s">
        <v>85</v>
      </c>
      <c r="AS974" t="s">
        <v>171</v>
      </c>
    </row>
    <row r="975" spans="1:45" x14ac:dyDescent="0.3">
      <c r="A975" t="s">
        <v>48</v>
      </c>
      <c r="B975">
        <v>974</v>
      </c>
      <c r="C975" s="1">
        <v>-9.9661921575582305E-2</v>
      </c>
      <c r="D975" s="2">
        <v>91</v>
      </c>
      <c r="E975" s="4">
        <v>1372</v>
      </c>
      <c r="F975" s="4" t="s">
        <v>346</v>
      </c>
      <c r="G975" s="4" t="s">
        <v>347</v>
      </c>
      <c r="H975" t="s">
        <v>77</v>
      </c>
      <c r="I975" t="s">
        <v>352</v>
      </c>
      <c r="J975" s="3">
        <v>2004</v>
      </c>
      <c r="K975" s="3">
        <v>2018</v>
      </c>
      <c r="L975" s="6">
        <f t="shared" si="311"/>
        <v>2011</v>
      </c>
      <c r="M975" s="6">
        <f t="shared" si="312"/>
        <v>2011</v>
      </c>
      <c r="N975" s="7">
        <f t="shared" si="300"/>
        <v>0.2</v>
      </c>
      <c r="O975" s="7">
        <f t="shared" si="301"/>
        <v>0.13333333333333333</v>
      </c>
      <c r="P975" s="7">
        <f t="shared" si="302"/>
        <v>6.6666666666666666E-2</v>
      </c>
      <c r="Q975" s="7">
        <f t="shared" si="313"/>
        <v>0</v>
      </c>
      <c r="R975" s="10" t="str">
        <f t="shared" si="303"/>
        <v>0_Pre</v>
      </c>
      <c r="S975" s="10" t="str">
        <f t="shared" si="304"/>
        <v>0_Pre</v>
      </c>
      <c r="T975" s="10" t="str">
        <f t="shared" si="305"/>
        <v>0_Pre</v>
      </c>
      <c r="U975" s="10" t="str">
        <f t="shared" si="306"/>
        <v>1_Post</v>
      </c>
      <c r="V975" s="10" t="str">
        <f t="shared" si="314"/>
        <v>0_Pre</v>
      </c>
      <c r="W975" s="10" t="str">
        <f t="shared" si="307"/>
        <v>straddle</v>
      </c>
      <c r="X975" s="10" t="str">
        <f t="shared" si="308"/>
        <v>0_Pre</v>
      </c>
      <c r="Y975" s="10" t="str">
        <f t="shared" si="309"/>
        <v>0_Pre</v>
      </c>
      <c r="Z975" s="10" t="str">
        <f t="shared" si="310"/>
        <v>0_Pre</v>
      </c>
      <c r="AA975" s="10" t="str">
        <f t="shared" si="315"/>
        <v>1_Post</v>
      </c>
      <c r="AB975" s="10" t="str">
        <f t="shared" si="316"/>
        <v>1_Post</v>
      </c>
      <c r="AC975" s="10" t="str">
        <f t="shared" si="317"/>
        <v>0_Pre</v>
      </c>
      <c r="AD975" s="10" t="str">
        <f t="shared" si="318"/>
        <v>1_pre sample median</v>
      </c>
      <c r="AE975" s="10" t="str">
        <f t="shared" si="319"/>
        <v>2_in sample second tertile</v>
      </c>
      <c r="AF975" t="s">
        <v>67</v>
      </c>
      <c r="AG975" t="s">
        <v>75</v>
      </c>
      <c r="AH975" t="s">
        <v>79</v>
      </c>
      <c r="AI975" t="s">
        <v>122</v>
      </c>
      <c r="AJ975" t="s">
        <v>123</v>
      </c>
      <c r="AK975" t="str">
        <f>VLOOKUP(MID($AR975,1,255),country_lookup!$B:$F,2,FALSE)</f>
        <v>1_US</v>
      </c>
      <c r="AL975" t="str">
        <f>VLOOKUP(MID($AR975,1,255),country_lookup!$B:$F,3,FALSE)</f>
        <v>1_developed</v>
      </c>
      <c r="AM975" t="str">
        <f>VLOOKUP(MID($AR975,1,255),country_lookup!$B:$F,4,FALSE)</f>
        <v>1_western</v>
      </c>
      <c r="AN975" t="str">
        <f>VLOOKUP(MID($AR975,1,255),country_lookup!$B:$F,5,FALSE)</f>
        <v>1_common law</v>
      </c>
      <c r="AO975" s="10" t="str">
        <f>VLOOKUP(MID($AS975,1,255),source_lookup!$B:$K,4,FALSE)</f>
        <v>0_published</v>
      </c>
      <c r="AP975" s="10" t="str">
        <f>VLOOKUP(MID($AS975,1,255),source_lookup!$B:$K,6,FALSE)</f>
        <v>1_VHB high</v>
      </c>
      <c r="AQ975" s="10" t="str">
        <f>VLOOKUP(MID($AS975,1,255),source_lookup!$B:$K,10,FALSE)</f>
        <v>1_fin/acc/econ</v>
      </c>
      <c r="AR975" t="s">
        <v>85</v>
      </c>
      <c r="AS975" t="s">
        <v>171</v>
      </c>
    </row>
    <row r="976" spans="1:45" x14ac:dyDescent="0.3">
      <c r="A976" t="s">
        <v>48</v>
      </c>
      <c r="B976">
        <v>975</v>
      </c>
      <c r="C976" s="1">
        <v>-7.8135490567808035E-3</v>
      </c>
      <c r="D976" s="2">
        <v>80</v>
      </c>
      <c r="E976" s="4">
        <v>1194</v>
      </c>
      <c r="F976" s="4" t="s">
        <v>346</v>
      </c>
      <c r="G976" s="4" t="s">
        <v>347</v>
      </c>
      <c r="H976" t="s">
        <v>77</v>
      </c>
      <c r="I976" t="s">
        <v>352</v>
      </c>
      <c r="J976" s="3">
        <v>2004</v>
      </c>
      <c r="K976" s="3">
        <v>2018</v>
      </c>
      <c r="L976" s="6">
        <f t="shared" si="311"/>
        <v>2011</v>
      </c>
      <c r="M976" s="6">
        <f t="shared" si="312"/>
        <v>2011</v>
      </c>
      <c r="N976" s="7">
        <f t="shared" si="300"/>
        <v>0.2</v>
      </c>
      <c r="O976" s="7">
        <f t="shared" si="301"/>
        <v>0.13333333333333333</v>
      </c>
      <c r="P976" s="7">
        <f t="shared" si="302"/>
        <v>6.6666666666666666E-2</v>
      </c>
      <c r="Q976" s="7">
        <f t="shared" si="313"/>
        <v>0</v>
      </c>
      <c r="R976" s="10" t="str">
        <f t="shared" si="303"/>
        <v>0_Pre</v>
      </c>
      <c r="S976" s="10" t="str">
        <f t="shared" si="304"/>
        <v>0_Pre</v>
      </c>
      <c r="T976" s="10" t="str">
        <f t="shared" si="305"/>
        <v>0_Pre</v>
      </c>
      <c r="U976" s="10" t="str">
        <f t="shared" si="306"/>
        <v>1_Post</v>
      </c>
      <c r="V976" s="10" t="str">
        <f t="shared" si="314"/>
        <v>0_Pre</v>
      </c>
      <c r="W976" s="10" t="str">
        <f t="shared" si="307"/>
        <v>straddle</v>
      </c>
      <c r="X976" s="10" t="str">
        <f t="shared" si="308"/>
        <v>0_Pre</v>
      </c>
      <c r="Y976" s="10" t="str">
        <f t="shared" si="309"/>
        <v>0_Pre</v>
      </c>
      <c r="Z976" s="10" t="str">
        <f t="shared" si="310"/>
        <v>0_Pre</v>
      </c>
      <c r="AA976" s="10" t="str">
        <f t="shared" si="315"/>
        <v>1_Post</v>
      </c>
      <c r="AB976" s="10" t="str">
        <f t="shared" si="316"/>
        <v>1_Post</v>
      </c>
      <c r="AC976" s="10" t="str">
        <f t="shared" si="317"/>
        <v>0_Pre</v>
      </c>
      <c r="AD976" s="10" t="str">
        <f t="shared" si="318"/>
        <v>1_pre sample median</v>
      </c>
      <c r="AE976" s="10" t="str">
        <f t="shared" si="319"/>
        <v>2_in sample second tertile</v>
      </c>
      <c r="AF976" t="s">
        <v>67</v>
      </c>
      <c r="AG976" t="s">
        <v>75</v>
      </c>
      <c r="AH976" t="s">
        <v>79</v>
      </c>
      <c r="AI976" t="s">
        <v>122</v>
      </c>
      <c r="AJ976" t="s">
        <v>123</v>
      </c>
      <c r="AK976" t="str">
        <f>VLOOKUP(MID($AR976,1,255),country_lookup!$B:$F,2,FALSE)</f>
        <v>1_US</v>
      </c>
      <c r="AL976" t="str">
        <f>VLOOKUP(MID($AR976,1,255),country_lookup!$B:$F,3,FALSE)</f>
        <v>1_developed</v>
      </c>
      <c r="AM976" t="str">
        <f>VLOOKUP(MID($AR976,1,255),country_lookup!$B:$F,4,FALSE)</f>
        <v>1_western</v>
      </c>
      <c r="AN976" t="str">
        <f>VLOOKUP(MID($AR976,1,255),country_lookup!$B:$F,5,FALSE)</f>
        <v>1_common law</v>
      </c>
      <c r="AO976" s="10" t="str">
        <f>VLOOKUP(MID($AS976,1,255),source_lookup!$B:$K,4,FALSE)</f>
        <v>0_published</v>
      </c>
      <c r="AP976" s="10" t="str">
        <f>VLOOKUP(MID($AS976,1,255),source_lookup!$B:$K,6,FALSE)</f>
        <v>1_VHB high</v>
      </c>
      <c r="AQ976" s="10" t="str">
        <f>VLOOKUP(MID($AS976,1,255),source_lookup!$B:$K,10,FALSE)</f>
        <v>1_fin/acc/econ</v>
      </c>
      <c r="AR976" t="s">
        <v>85</v>
      </c>
      <c r="AS976" t="s">
        <v>171</v>
      </c>
    </row>
    <row r="977" spans="1:45" x14ac:dyDescent="0.3">
      <c r="A977" t="s">
        <v>48</v>
      </c>
      <c r="B977">
        <v>976</v>
      </c>
      <c r="C977" s="1">
        <v>-1.9653730927564055E-2</v>
      </c>
      <c r="D977" s="2">
        <v>122</v>
      </c>
      <c r="E977" s="4">
        <v>1826</v>
      </c>
      <c r="F977" s="4" t="s">
        <v>346</v>
      </c>
      <c r="G977" s="4" t="s">
        <v>347</v>
      </c>
      <c r="H977" t="s">
        <v>77</v>
      </c>
      <c r="I977" t="s">
        <v>352</v>
      </c>
      <c r="J977" s="3">
        <v>2004</v>
      </c>
      <c r="K977" s="3">
        <v>2018</v>
      </c>
      <c r="L977" s="6">
        <f t="shared" si="311"/>
        <v>2011</v>
      </c>
      <c r="M977" s="6">
        <f t="shared" si="312"/>
        <v>2011</v>
      </c>
      <c r="N977" s="7">
        <f t="shared" si="300"/>
        <v>0.2</v>
      </c>
      <c r="O977" s="7">
        <f t="shared" si="301"/>
        <v>0.13333333333333333</v>
      </c>
      <c r="P977" s="7">
        <f t="shared" si="302"/>
        <v>6.6666666666666666E-2</v>
      </c>
      <c r="Q977" s="7">
        <f t="shared" si="313"/>
        <v>0</v>
      </c>
      <c r="R977" s="10" t="str">
        <f t="shared" si="303"/>
        <v>0_Pre</v>
      </c>
      <c r="S977" s="10" t="str">
        <f t="shared" si="304"/>
        <v>0_Pre</v>
      </c>
      <c r="T977" s="10" t="str">
        <f t="shared" si="305"/>
        <v>0_Pre</v>
      </c>
      <c r="U977" s="10" t="str">
        <f t="shared" si="306"/>
        <v>1_Post</v>
      </c>
      <c r="V977" s="10" t="str">
        <f t="shared" si="314"/>
        <v>0_Pre</v>
      </c>
      <c r="W977" s="10" t="str">
        <f t="shared" si="307"/>
        <v>straddle</v>
      </c>
      <c r="X977" s="10" t="str">
        <f t="shared" si="308"/>
        <v>0_Pre</v>
      </c>
      <c r="Y977" s="10" t="str">
        <f t="shared" si="309"/>
        <v>0_Pre</v>
      </c>
      <c r="Z977" s="10" t="str">
        <f t="shared" si="310"/>
        <v>0_Pre</v>
      </c>
      <c r="AA977" s="10" t="str">
        <f t="shared" si="315"/>
        <v>1_Post</v>
      </c>
      <c r="AB977" s="10" t="str">
        <f t="shared" si="316"/>
        <v>1_Post</v>
      </c>
      <c r="AC977" s="10" t="str">
        <f t="shared" si="317"/>
        <v>0_Pre</v>
      </c>
      <c r="AD977" s="10" t="str">
        <f t="shared" si="318"/>
        <v>1_pre sample median</v>
      </c>
      <c r="AE977" s="10" t="str">
        <f t="shared" si="319"/>
        <v>2_in sample second tertile</v>
      </c>
      <c r="AF977" t="s">
        <v>67</v>
      </c>
      <c r="AG977" t="s">
        <v>75</v>
      </c>
      <c r="AH977" t="s">
        <v>79</v>
      </c>
      <c r="AI977" t="s">
        <v>122</v>
      </c>
      <c r="AJ977" t="s">
        <v>123</v>
      </c>
      <c r="AK977" t="str">
        <f>VLOOKUP(MID($AR977,1,255),country_lookup!$B:$F,2,FALSE)</f>
        <v>1_US</v>
      </c>
      <c r="AL977" t="str">
        <f>VLOOKUP(MID($AR977,1,255),country_lookup!$B:$F,3,FALSE)</f>
        <v>1_developed</v>
      </c>
      <c r="AM977" t="str">
        <f>VLOOKUP(MID($AR977,1,255),country_lookup!$B:$F,4,FALSE)</f>
        <v>1_western</v>
      </c>
      <c r="AN977" t="str">
        <f>VLOOKUP(MID($AR977,1,255),country_lookup!$B:$F,5,FALSE)</f>
        <v>1_common law</v>
      </c>
      <c r="AO977" s="10" t="str">
        <f>VLOOKUP(MID($AS977,1,255),source_lookup!$B:$K,4,FALSE)</f>
        <v>0_published</v>
      </c>
      <c r="AP977" s="10" t="str">
        <f>VLOOKUP(MID($AS977,1,255),source_lookup!$B:$K,6,FALSE)</f>
        <v>1_VHB high</v>
      </c>
      <c r="AQ977" s="10" t="str">
        <f>VLOOKUP(MID($AS977,1,255),source_lookup!$B:$K,10,FALSE)</f>
        <v>1_fin/acc/econ</v>
      </c>
      <c r="AR977" t="s">
        <v>85</v>
      </c>
      <c r="AS977" t="s">
        <v>171</v>
      </c>
    </row>
    <row r="978" spans="1:45" x14ac:dyDescent="0.3">
      <c r="A978" t="s">
        <v>48</v>
      </c>
      <c r="B978">
        <v>977</v>
      </c>
      <c r="C978" s="1">
        <v>-8.3057475000092792E-2</v>
      </c>
      <c r="D978" s="2">
        <v>86</v>
      </c>
      <c r="E978" s="4">
        <v>1287</v>
      </c>
      <c r="F978" s="4" t="s">
        <v>346</v>
      </c>
      <c r="G978" s="4" t="s">
        <v>347</v>
      </c>
      <c r="H978" t="s">
        <v>77</v>
      </c>
      <c r="I978" t="s">
        <v>352</v>
      </c>
      <c r="J978" s="3">
        <v>2004</v>
      </c>
      <c r="K978" s="3">
        <v>2018</v>
      </c>
      <c r="L978" s="6">
        <f t="shared" si="311"/>
        <v>2011</v>
      </c>
      <c r="M978" s="6">
        <f t="shared" si="312"/>
        <v>2011</v>
      </c>
      <c r="N978" s="7">
        <f t="shared" si="300"/>
        <v>0.2</v>
      </c>
      <c r="O978" s="7">
        <f t="shared" si="301"/>
        <v>0.13333333333333333</v>
      </c>
      <c r="P978" s="7">
        <f t="shared" si="302"/>
        <v>6.6666666666666666E-2</v>
      </c>
      <c r="Q978" s="7">
        <f t="shared" si="313"/>
        <v>0</v>
      </c>
      <c r="R978" s="10" t="str">
        <f t="shared" si="303"/>
        <v>0_Pre</v>
      </c>
      <c r="S978" s="10" t="str">
        <f t="shared" si="304"/>
        <v>0_Pre</v>
      </c>
      <c r="T978" s="10" t="str">
        <f t="shared" si="305"/>
        <v>0_Pre</v>
      </c>
      <c r="U978" s="10" t="str">
        <f t="shared" si="306"/>
        <v>1_Post</v>
      </c>
      <c r="V978" s="10" t="str">
        <f t="shared" si="314"/>
        <v>0_Pre</v>
      </c>
      <c r="W978" s="10" t="str">
        <f t="shared" si="307"/>
        <v>straddle</v>
      </c>
      <c r="X978" s="10" t="str">
        <f t="shared" si="308"/>
        <v>0_Pre</v>
      </c>
      <c r="Y978" s="10" t="str">
        <f t="shared" si="309"/>
        <v>0_Pre</v>
      </c>
      <c r="Z978" s="10" t="str">
        <f t="shared" si="310"/>
        <v>0_Pre</v>
      </c>
      <c r="AA978" s="10" t="str">
        <f t="shared" si="315"/>
        <v>1_Post</v>
      </c>
      <c r="AB978" s="10" t="str">
        <f t="shared" si="316"/>
        <v>1_Post</v>
      </c>
      <c r="AC978" s="10" t="str">
        <f t="shared" si="317"/>
        <v>0_Pre</v>
      </c>
      <c r="AD978" s="10" t="str">
        <f t="shared" si="318"/>
        <v>1_pre sample median</v>
      </c>
      <c r="AE978" s="10" t="str">
        <f t="shared" si="319"/>
        <v>2_in sample second tertile</v>
      </c>
      <c r="AF978" t="s">
        <v>67</v>
      </c>
      <c r="AG978" t="s">
        <v>75</v>
      </c>
      <c r="AH978" t="s">
        <v>79</v>
      </c>
      <c r="AI978" t="s">
        <v>122</v>
      </c>
      <c r="AJ978" t="s">
        <v>123</v>
      </c>
      <c r="AK978" t="str">
        <f>VLOOKUP(MID($AR978,1,255),country_lookup!$B:$F,2,FALSE)</f>
        <v>1_US</v>
      </c>
      <c r="AL978" t="str">
        <f>VLOOKUP(MID($AR978,1,255),country_lookup!$B:$F,3,FALSE)</f>
        <v>1_developed</v>
      </c>
      <c r="AM978" t="str">
        <f>VLOOKUP(MID($AR978,1,255),country_lookup!$B:$F,4,FALSE)</f>
        <v>1_western</v>
      </c>
      <c r="AN978" t="str">
        <f>VLOOKUP(MID($AR978,1,255),country_lookup!$B:$F,5,FALSE)</f>
        <v>1_common law</v>
      </c>
      <c r="AO978" s="10" t="str">
        <f>VLOOKUP(MID($AS978,1,255),source_lookup!$B:$K,4,FALSE)</f>
        <v>0_published</v>
      </c>
      <c r="AP978" s="10" t="str">
        <f>VLOOKUP(MID($AS978,1,255),source_lookup!$B:$K,6,FALSE)</f>
        <v>1_VHB high</v>
      </c>
      <c r="AQ978" s="10" t="str">
        <f>VLOOKUP(MID($AS978,1,255),source_lookup!$B:$K,10,FALSE)</f>
        <v>1_fin/acc/econ</v>
      </c>
      <c r="AR978" t="s">
        <v>85</v>
      </c>
      <c r="AS978" t="s">
        <v>171</v>
      </c>
    </row>
    <row r="979" spans="1:45" x14ac:dyDescent="0.3">
      <c r="A979" t="s">
        <v>48</v>
      </c>
      <c r="B979">
        <v>978</v>
      </c>
      <c r="C979" s="1">
        <v>-4.6544278477636805E-3</v>
      </c>
      <c r="D979" s="2">
        <v>89</v>
      </c>
      <c r="E979" s="4">
        <v>1334</v>
      </c>
      <c r="F979" s="4" t="s">
        <v>346</v>
      </c>
      <c r="G979" s="4" t="s">
        <v>347</v>
      </c>
      <c r="H979" t="s">
        <v>77</v>
      </c>
      <c r="I979" t="s">
        <v>352</v>
      </c>
      <c r="J979" s="3">
        <v>2004</v>
      </c>
      <c r="K979" s="3">
        <v>2018</v>
      </c>
      <c r="L979" s="6">
        <f t="shared" si="311"/>
        <v>2011</v>
      </c>
      <c r="M979" s="6">
        <f t="shared" si="312"/>
        <v>2011</v>
      </c>
      <c r="N979" s="7">
        <f t="shared" si="300"/>
        <v>0.2</v>
      </c>
      <c r="O979" s="7">
        <f t="shared" si="301"/>
        <v>0.13333333333333333</v>
      </c>
      <c r="P979" s="7">
        <f t="shared" si="302"/>
        <v>6.6666666666666666E-2</v>
      </c>
      <c r="Q979" s="7">
        <f t="shared" si="313"/>
        <v>0</v>
      </c>
      <c r="R979" s="10" t="str">
        <f t="shared" si="303"/>
        <v>0_Pre</v>
      </c>
      <c r="S979" s="10" t="str">
        <f t="shared" si="304"/>
        <v>0_Pre</v>
      </c>
      <c r="T979" s="10" t="str">
        <f t="shared" si="305"/>
        <v>0_Pre</v>
      </c>
      <c r="U979" s="10" t="str">
        <f t="shared" si="306"/>
        <v>1_Post</v>
      </c>
      <c r="V979" s="10" t="str">
        <f t="shared" si="314"/>
        <v>0_Pre</v>
      </c>
      <c r="W979" s="10" t="str">
        <f t="shared" si="307"/>
        <v>straddle</v>
      </c>
      <c r="X979" s="10" t="str">
        <f t="shared" si="308"/>
        <v>0_Pre</v>
      </c>
      <c r="Y979" s="10" t="str">
        <f t="shared" si="309"/>
        <v>0_Pre</v>
      </c>
      <c r="Z979" s="10" t="str">
        <f t="shared" si="310"/>
        <v>0_Pre</v>
      </c>
      <c r="AA979" s="10" t="str">
        <f t="shared" si="315"/>
        <v>1_Post</v>
      </c>
      <c r="AB979" s="10" t="str">
        <f t="shared" si="316"/>
        <v>1_Post</v>
      </c>
      <c r="AC979" s="10" t="str">
        <f t="shared" si="317"/>
        <v>0_Pre</v>
      </c>
      <c r="AD979" s="10" t="str">
        <f t="shared" si="318"/>
        <v>1_pre sample median</v>
      </c>
      <c r="AE979" s="10" t="str">
        <f t="shared" si="319"/>
        <v>2_in sample second tertile</v>
      </c>
      <c r="AF979" t="s">
        <v>67</v>
      </c>
      <c r="AG979" t="s">
        <v>75</v>
      </c>
      <c r="AH979" t="s">
        <v>79</v>
      </c>
      <c r="AI979" t="s">
        <v>122</v>
      </c>
      <c r="AJ979" t="s">
        <v>123</v>
      </c>
      <c r="AK979" t="str">
        <f>VLOOKUP(MID($AR979,1,255),country_lookup!$B:$F,2,FALSE)</f>
        <v>1_US</v>
      </c>
      <c r="AL979" t="str">
        <f>VLOOKUP(MID($AR979,1,255),country_lookup!$B:$F,3,FALSE)</f>
        <v>1_developed</v>
      </c>
      <c r="AM979" t="str">
        <f>VLOOKUP(MID($AR979,1,255),country_lookup!$B:$F,4,FALSE)</f>
        <v>1_western</v>
      </c>
      <c r="AN979" t="str">
        <f>VLOOKUP(MID($AR979,1,255),country_lookup!$B:$F,5,FALSE)</f>
        <v>1_common law</v>
      </c>
      <c r="AO979" s="10" t="str">
        <f>VLOOKUP(MID($AS979,1,255),source_lookup!$B:$K,4,FALSE)</f>
        <v>0_published</v>
      </c>
      <c r="AP979" s="10" t="str">
        <f>VLOOKUP(MID($AS979,1,255),source_lookup!$B:$K,6,FALSE)</f>
        <v>1_VHB high</v>
      </c>
      <c r="AQ979" s="10" t="str">
        <f>VLOOKUP(MID($AS979,1,255),source_lookup!$B:$K,10,FALSE)</f>
        <v>1_fin/acc/econ</v>
      </c>
      <c r="AR979" t="s">
        <v>85</v>
      </c>
      <c r="AS979" t="s">
        <v>171</v>
      </c>
    </row>
    <row r="980" spans="1:45" x14ac:dyDescent="0.3">
      <c r="A980" t="s">
        <v>48</v>
      </c>
      <c r="B980">
        <v>979</v>
      </c>
      <c r="C980" s="1">
        <v>-0.1126070643261103</v>
      </c>
      <c r="D980" s="2">
        <v>160</v>
      </c>
      <c r="E980" s="4">
        <v>2407</v>
      </c>
      <c r="F980" s="4" t="s">
        <v>346</v>
      </c>
      <c r="G980" s="4" t="s">
        <v>347</v>
      </c>
      <c r="H980" t="s">
        <v>77</v>
      </c>
      <c r="I980" t="s">
        <v>352</v>
      </c>
      <c r="J980" s="3">
        <v>2004</v>
      </c>
      <c r="K980" s="3">
        <v>2018</v>
      </c>
      <c r="L980" s="6">
        <f t="shared" si="311"/>
        <v>2011</v>
      </c>
      <c r="M980" s="6">
        <f t="shared" si="312"/>
        <v>2011</v>
      </c>
      <c r="N980" s="7">
        <f t="shared" si="300"/>
        <v>0.2</v>
      </c>
      <c r="O980" s="7">
        <f t="shared" si="301"/>
        <v>0.13333333333333333</v>
      </c>
      <c r="P980" s="7">
        <f t="shared" si="302"/>
        <v>6.6666666666666666E-2</v>
      </c>
      <c r="Q980" s="7">
        <f t="shared" si="313"/>
        <v>0</v>
      </c>
      <c r="R980" s="10" t="str">
        <f t="shared" si="303"/>
        <v>0_Pre</v>
      </c>
      <c r="S980" s="10" t="str">
        <f t="shared" si="304"/>
        <v>0_Pre</v>
      </c>
      <c r="T980" s="10" t="str">
        <f t="shared" si="305"/>
        <v>0_Pre</v>
      </c>
      <c r="U980" s="10" t="str">
        <f t="shared" si="306"/>
        <v>1_Post</v>
      </c>
      <c r="V980" s="10" t="str">
        <f t="shared" si="314"/>
        <v>0_Pre</v>
      </c>
      <c r="W980" s="10" t="str">
        <f t="shared" si="307"/>
        <v>straddle</v>
      </c>
      <c r="X980" s="10" t="str">
        <f t="shared" si="308"/>
        <v>0_Pre</v>
      </c>
      <c r="Y980" s="10" t="str">
        <f t="shared" si="309"/>
        <v>0_Pre</v>
      </c>
      <c r="Z980" s="10" t="str">
        <f t="shared" si="310"/>
        <v>0_Pre</v>
      </c>
      <c r="AA980" s="10" t="str">
        <f t="shared" si="315"/>
        <v>1_Post</v>
      </c>
      <c r="AB980" s="10" t="str">
        <f t="shared" si="316"/>
        <v>1_Post</v>
      </c>
      <c r="AC980" s="10" t="str">
        <f t="shared" si="317"/>
        <v>0_Pre</v>
      </c>
      <c r="AD980" s="10" t="str">
        <f t="shared" si="318"/>
        <v>1_pre sample median</v>
      </c>
      <c r="AE980" s="10" t="str">
        <f t="shared" si="319"/>
        <v>2_in sample second tertile</v>
      </c>
      <c r="AF980" t="s">
        <v>67</v>
      </c>
      <c r="AG980" t="s">
        <v>75</v>
      </c>
      <c r="AH980" t="s">
        <v>79</v>
      </c>
      <c r="AI980" t="s">
        <v>122</v>
      </c>
      <c r="AJ980" t="s">
        <v>123</v>
      </c>
      <c r="AK980" t="str">
        <f>VLOOKUP(MID($AR980,1,255),country_lookup!$B:$F,2,FALSE)</f>
        <v>1_US</v>
      </c>
      <c r="AL980" t="str">
        <f>VLOOKUP(MID($AR980,1,255),country_lookup!$B:$F,3,FALSE)</f>
        <v>1_developed</v>
      </c>
      <c r="AM980" t="str">
        <f>VLOOKUP(MID($AR980,1,255),country_lookup!$B:$F,4,FALSE)</f>
        <v>1_western</v>
      </c>
      <c r="AN980" t="str">
        <f>VLOOKUP(MID($AR980,1,255),country_lookup!$B:$F,5,FALSE)</f>
        <v>1_common law</v>
      </c>
      <c r="AO980" s="10" t="str">
        <f>VLOOKUP(MID($AS980,1,255),source_lookup!$B:$K,4,FALSE)</f>
        <v>0_published</v>
      </c>
      <c r="AP980" s="10" t="str">
        <f>VLOOKUP(MID($AS980,1,255),source_lookup!$B:$K,6,FALSE)</f>
        <v>1_VHB high</v>
      </c>
      <c r="AQ980" s="10" t="str">
        <f>VLOOKUP(MID($AS980,1,255),source_lookup!$B:$K,10,FALSE)</f>
        <v>1_fin/acc/econ</v>
      </c>
      <c r="AR980" t="s">
        <v>85</v>
      </c>
      <c r="AS980" t="s">
        <v>171</v>
      </c>
    </row>
    <row r="981" spans="1:45" x14ac:dyDescent="0.3">
      <c r="A981" t="s">
        <v>48</v>
      </c>
      <c r="B981">
        <v>980</v>
      </c>
      <c r="C981" s="1">
        <v>-0.10436252768640568</v>
      </c>
      <c r="D981" s="2">
        <v>137</v>
      </c>
      <c r="E981" s="4">
        <v>2049</v>
      </c>
      <c r="F981" s="4" t="s">
        <v>346</v>
      </c>
      <c r="G981" s="4" t="s">
        <v>347</v>
      </c>
      <c r="H981" t="s">
        <v>77</v>
      </c>
      <c r="I981" t="s">
        <v>352</v>
      </c>
      <c r="J981" s="3">
        <v>2004</v>
      </c>
      <c r="K981" s="3">
        <v>2018</v>
      </c>
      <c r="L981" s="6">
        <f t="shared" si="311"/>
        <v>2011</v>
      </c>
      <c r="M981" s="6">
        <f t="shared" si="312"/>
        <v>2011</v>
      </c>
      <c r="N981" s="7">
        <f t="shared" si="300"/>
        <v>0.2</v>
      </c>
      <c r="O981" s="7">
        <f t="shared" si="301"/>
        <v>0.13333333333333333</v>
      </c>
      <c r="P981" s="7">
        <f t="shared" si="302"/>
        <v>6.6666666666666666E-2</v>
      </c>
      <c r="Q981" s="7">
        <f t="shared" si="313"/>
        <v>0</v>
      </c>
      <c r="R981" s="10" t="str">
        <f t="shared" si="303"/>
        <v>0_Pre</v>
      </c>
      <c r="S981" s="10" t="str">
        <f t="shared" si="304"/>
        <v>0_Pre</v>
      </c>
      <c r="T981" s="10" t="str">
        <f t="shared" si="305"/>
        <v>0_Pre</v>
      </c>
      <c r="U981" s="10" t="str">
        <f t="shared" si="306"/>
        <v>1_Post</v>
      </c>
      <c r="V981" s="10" t="str">
        <f t="shared" si="314"/>
        <v>0_Pre</v>
      </c>
      <c r="W981" s="10" t="str">
        <f t="shared" si="307"/>
        <v>straddle</v>
      </c>
      <c r="X981" s="10" t="str">
        <f t="shared" si="308"/>
        <v>0_Pre</v>
      </c>
      <c r="Y981" s="10" t="str">
        <f t="shared" si="309"/>
        <v>0_Pre</v>
      </c>
      <c r="Z981" s="10" t="str">
        <f t="shared" si="310"/>
        <v>0_Pre</v>
      </c>
      <c r="AA981" s="10" t="str">
        <f t="shared" si="315"/>
        <v>1_Post</v>
      </c>
      <c r="AB981" s="10" t="str">
        <f t="shared" si="316"/>
        <v>1_Post</v>
      </c>
      <c r="AC981" s="10" t="str">
        <f t="shared" si="317"/>
        <v>0_Pre</v>
      </c>
      <c r="AD981" s="10" t="str">
        <f t="shared" si="318"/>
        <v>1_pre sample median</v>
      </c>
      <c r="AE981" s="10" t="str">
        <f t="shared" si="319"/>
        <v>2_in sample second tertile</v>
      </c>
      <c r="AF981" t="s">
        <v>67</v>
      </c>
      <c r="AG981" t="s">
        <v>75</v>
      </c>
      <c r="AH981" t="s">
        <v>79</v>
      </c>
      <c r="AI981" t="s">
        <v>122</v>
      </c>
      <c r="AJ981" t="s">
        <v>123</v>
      </c>
      <c r="AK981" t="str">
        <f>VLOOKUP(MID($AR981,1,255),country_lookup!$B:$F,2,FALSE)</f>
        <v>1_US</v>
      </c>
      <c r="AL981" t="str">
        <f>VLOOKUP(MID($AR981,1,255),country_lookup!$B:$F,3,FALSE)</f>
        <v>1_developed</v>
      </c>
      <c r="AM981" t="str">
        <f>VLOOKUP(MID($AR981,1,255),country_lookup!$B:$F,4,FALSE)</f>
        <v>1_western</v>
      </c>
      <c r="AN981" t="str">
        <f>VLOOKUP(MID($AR981,1,255),country_lookup!$B:$F,5,FALSE)</f>
        <v>1_common law</v>
      </c>
      <c r="AO981" s="10" t="str">
        <f>VLOOKUP(MID($AS981,1,255),source_lookup!$B:$K,4,FALSE)</f>
        <v>0_published</v>
      </c>
      <c r="AP981" s="10" t="str">
        <f>VLOOKUP(MID($AS981,1,255),source_lookup!$B:$K,6,FALSE)</f>
        <v>1_VHB high</v>
      </c>
      <c r="AQ981" s="10" t="str">
        <f>VLOOKUP(MID($AS981,1,255),source_lookup!$B:$K,10,FALSE)</f>
        <v>1_fin/acc/econ</v>
      </c>
      <c r="AR981" t="s">
        <v>85</v>
      </c>
      <c r="AS981" t="s">
        <v>171</v>
      </c>
    </row>
    <row r="982" spans="1:45" x14ac:dyDescent="0.3">
      <c r="A982" t="s">
        <v>48</v>
      </c>
      <c r="B982">
        <v>981</v>
      </c>
      <c r="C982" s="1">
        <v>-0.12704476359450495</v>
      </c>
      <c r="D982" s="2">
        <v>129</v>
      </c>
      <c r="E982" s="4">
        <v>1939</v>
      </c>
      <c r="F982" s="4" t="s">
        <v>346</v>
      </c>
      <c r="G982" s="4" t="s">
        <v>347</v>
      </c>
      <c r="H982" t="s">
        <v>77</v>
      </c>
      <c r="I982" t="s">
        <v>352</v>
      </c>
      <c r="J982" s="3">
        <v>2004</v>
      </c>
      <c r="K982" s="3">
        <v>2018</v>
      </c>
      <c r="L982" s="6">
        <f t="shared" si="311"/>
        <v>2011</v>
      </c>
      <c r="M982" s="6">
        <f t="shared" si="312"/>
        <v>2011</v>
      </c>
      <c r="N982" s="7">
        <f t="shared" si="300"/>
        <v>0.2</v>
      </c>
      <c r="O982" s="7">
        <f t="shared" si="301"/>
        <v>0.13333333333333333</v>
      </c>
      <c r="P982" s="7">
        <f t="shared" si="302"/>
        <v>6.6666666666666666E-2</v>
      </c>
      <c r="Q982" s="7">
        <f t="shared" si="313"/>
        <v>0</v>
      </c>
      <c r="R982" s="10" t="str">
        <f t="shared" si="303"/>
        <v>0_Pre</v>
      </c>
      <c r="S982" s="10" t="str">
        <f t="shared" si="304"/>
        <v>0_Pre</v>
      </c>
      <c r="T982" s="10" t="str">
        <f t="shared" si="305"/>
        <v>0_Pre</v>
      </c>
      <c r="U982" s="10" t="str">
        <f t="shared" si="306"/>
        <v>1_Post</v>
      </c>
      <c r="V982" s="10" t="str">
        <f t="shared" si="314"/>
        <v>0_Pre</v>
      </c>
      <c r="W982" s="10" t="str">
        <f t="shared" si="307"/>
        <v>straddle</v>
      </c>
      <c r="X982" s="10" t="str">
        <f t="shared" si="308"/>
        <v>0_Pre</v>
      </c>
      <c r="Y982" s="10" t="str">
        <f t="shared" si="309"/>
        <v>0_Pre</v>
      </c>
      <c r="Z982" s="10" t="str">
        <f t="shared" si="310"/>
        <v>0_Pre</v>
      </c>
      <c r="AA982" s="10" t="str">
        <f t="shared" si="315"/>
        <v>1_Post</v>
      </c>
      <c r="AB982" s="10" t="str">
        <f t="shared" si="316"/>
        <v>1_Post</v>
      </c>
      <c r="AC982" s="10" t="str">
        <f t="shared" si="317"/>
        <v>0_Pre</v>
      </c>
      <c r="AD982" s="10" t="str">
        <f t="shared" si="318"/>
        <v>1_pre sample median</v>
      </c>
      <c r="AE982" s="10" t="str">
        <f t="shared" si="319"/>
        <v>2_in sample second tertile</v>
      </c>
      <c r="AF982" t="s">
        <v>67</v>
      </c>
      <c r="AG982" t="s">
        <v>75</v>
      </c>
      <c r="AH982" t="s">
        <v>79</v>
      </c>
      <c r="AI982" t="s">
        <v>122</v>
      </c>
      <c r="AJ982" t="s">
        <v>123</v>
      </c>
      <c r="AK982" t="str">
        <f>VLOOKUP(MID($AR982,1,255),country_lookup!$B:$F,2,FALSE)</f>
        <v>1_US</v>
      </c>
      <c r="AL982" t="str">
        <f>VLOOKUP(MID($AR982,1,255),country_lookup!$B:$F,3,FALSE)</f>
        <v>1_developed</v>
      </c>
      <c r="AM982" t="str">
        <f>VLOOKUP(MID($AR982,1,255),country_lookup!$B:$F,4,FALSE)</f>
        <v>1_western</v>
      </c>
      <c r="AN982" t="str">
        <f>VLOOKUP(MID($AR982,1,255),country_lookup!$B:$F,5,FALSE)</f>
        <v>1_common law</v>
      </c>
      <c r="AO982" s="10" t="str">
        <f>VLOOKUP(MID($AS982,1,255),source_lookup!$B:$K,4,FALSE)</f>
        <v>0_published</v>
      </c>
      <c r="AP982" s="10" t="str">
        <f>VLOOKUP(MID($AS982,1,255),source_lookup!$B:$K,6,FALSE)</f>
        <v>1_VHB high</v>
      </c>
      <c r="AQ982" s="10" t="str">
        <f>VLOOKUP(MID($AS982,1,255),source_lookup!$B:$K,10,FALSE)</f>
        <v>1_fin/acc/econ</v>
      </c>
      <c r="AR982" t="s">
        <v>85</v>
      </c>
      <c r="AS982" t="s">
        <v>171</v>
      </c>
    </row>
    <row r="983" spans="1:45" x14ac:dyDescent="0.3">
      <c r="A983" t="s">
        <v>48</v>
      </c>
      <c r="B983">
        <v>982</v>
      </c>
      <c r="C983" s="1">
        <v>-0.13763399037053903</v>
      </c>
      <c r="D983" s="2">
        <v>47</v>
      </c>
      <c r="E983" s="4">
        <v>709</v>
      </c>
      <c r="F983" s="4" t="s">
        <v>346</v>
      </c>
      <c r="G983" s="4" t="s">
        <v>347</v>
      </c>
      <c r="H983" t="s">
        <v>77</v>
      </c>
      <c r="I983" t="s">
        <v>352</v>
      </c>
      <c r="J983" s="3">
        <v>2004</v>
      </c>
      <c r="K983" s="3">
        <v>2018</v>
      </c>
      <c r="L983" s="6">
        <f t="shared" si="311"/>
        <v>2011</v>
      </c>
      <c r="M983" s="6">
        <f t="shared" si="312"/>
        <v>2011</v>
      </c>
      <c r="N983" s="7">
        <f t="shared" si="300"/>
        <v>0.2</v>
      </c>
      <c r="O983" s="7">
        <f t="shared" si="301"/>
        <v>0.13333333333333333</v>
      </c>
      <c r="P983" s="7">
        <f t="shared" si="302"/>
        <v>6.6666666666666666E-2</v>
      </c>
      <c r="Q983" s="7">
        <f t="shared" si="313"/>
        <v>0</v>
      </c>
      <c r="R983" s="10" t="str">
        <f t="shared" si="303"/>
        <v>0_Pre</v>
      </c>
      <c r="S983" s="10" t="str">
        <f t="shared" si="304"/>
        <v>0_Pre</v>
      </c>
      <c r="T983" s="10" t="str">
        <f t="shared" si="305"/>
        <v>0_Pre</v>
      </c>
      <c r="U983" s="10" t="str">
        <f t="shared" si="306"/>
        <v>1_Post</v>
      </c>
      <c r="V983" s="10" t="str">
        <f t="shared" si="314"/>
        <v>0_Pre</v>
      </c>
      <c r="W983" s="10" t="str">
        <f t="shared" si="307"/>
        <v>straddle</v>
      </c>
      <c r="X983" s="10" t="str">
        <f t="shared" si="308"/>
        <v>0_Pre</v>
      </c>
      <c r="Y983" s="10" t="str">
        <f t="shared" si="309"/>
        <v>0_Pre</v>
      </c>
      <c r="Z983" s="10" t="str">
        <f t="shared" si="310"/>
        <v>0_Pre</v>
      </c>
      <c r="AA983" s="10" t="str">
        <f t="shared" si="315"/>
        <v>1_Post</v>
      </c>
      <c r="AB983" s="10" t="str">
        <f t="shared" si="316"/>
        <v>1_Post</v>
      </c>
      <c r="AC983" s="10" t="str">
        <f t="shared" si="317"/>
        <v>0_Pre</v>
      </c>
      <c r="AD983" s="10" t="str">
        <f t="shared" si="318"/>
        <v>1_pre sample median</v>
      </c>
      <c r="AE983" s="10" t="str">
        <f t="shared" si="319"/>
        <v>2_in sample second tertile</v>
      </c>
      <c r="AF983" t="s">
        <v>67</v>
      </c>
      <c r="AG983" t="s">
        <v>75</v>
      </c>
      <c r="AH983" t="s">
        <v>79</v>
      </c>
      <c r="AI983" t="s">
        <v>122</v>
      </c>
      <c r="AJ983" t="s">
        <v>123</v>
      </c>
      <c r="AK983" t="str">
        <f>VLOOKUP(MID($AR983,1,255),country_lookup!$B:$F,2,FALSE)</f>
        <v>1_US</v>
      </c>
      <c r="AL983" t="str">
        <f>VLOOKUP(MID($AR983,1,255),country_lookup!$B:$F,3,FALSE)</f>
        <v>1_developed</v>
      </c>
      <c r="AM983" t="str">
        <f>VLOOKUP(MID($AR983,1,255),country_lookup!$B:$F,4,FALSE)</f>
        <v>1_western</v>
      </c>
      <c r="AN983" t="str">
        <f>VLOOKUP(MID($AR983,1,255),country_lookup!$B:$F,5,FALSE)</f>
        <v>1_common law</v>
      </c>
      <c r="AO983" s="10" t="str">
        <f>VLOOKUP(MID($AS983,1,255),source_lookup!$B:$K,4,FALSE)</f>
        <v>0_published</v>
      </c>
      <c r="AP983" s="10" t="str">
        <f>VLOOKUP(MID($AS983,1,255),source_lookup!$B:$K,6,FALSE)</f>
        <v>1_VHB high</v>
      </c>
      <c r="AQ983" s="10" t="str">
        <f>VLOOKUP(MID($AS983,1,255),source_lookup!$B:$K,10,FALSE)</f>
        <v>1_fin/acc/econ</v>
      </c>
      <c r="AR983" t="s">
        <v>85</v>
      </c>
      <c r="AS983" t="s">
        <v>171</v>
      </c>
    </row>
    <row r="984" spans="1:45" x14ac:dyDescent="0.3">
      <c r="A984" t="s">
        <v>48</v>
      </c>
      <c r="B984">
        <v>983</v>
      </c>
      <c r="C984" s="1">
        <v>-0.1780917624562571</v>
      </c>
      <c r="D984" s="2">
        <v>41</v>
      </c>
      <c r="E984" s="4">
        <v>610</v>
      </c>
      <c r="F984" s="4" t="s">
        <v>346</v>
      </c>
      <c r="G984" s="4" t="s">
        <v>347</v>
      </c>
      <c r="H984" t="s">
        <v>77</v>
      </c>
      <c r="I984" t="s">
        <v>352</v>
      </c>
      <c r="J984" s="3">
        <v>2004</v>
      </c>
      <c r="K984" s="3">
        <v>2018</v>
      </c>
      <c r="L984" s="6">
        <f t="shared" si="311"/>
        <v>2011</v>
      </c>
      <c r="M984" s="6">
        <f t="shared" si="312"/>
        <v>2011</v>
      </c>
      <c r="N984" s="7">
        <f t="shared" si="300"/>
        <v>0.2</v>
      </c>
      <c r="O984" s="7">
        <f t="shared" si="301"/>
        <v>0.13333333333333333</v>
      </c>
      <c r="P984" s="7">
        <f t="shared" si="302"/>
        <v>6.6666666666666666E-2</v>
      </c>
      <c r="Q984" s="7">
        <f t="shared" si="313"/>
        <v>0</v>
      </c>
      <c r="R984" s="10" t="str">
        <f t="shared" si="303"/>
        <v>0_Pre</v>
      </c>
      <c r="S984" s="10" t="str">
        <f t="shared" si="304"/>
        <v>0_Pre</v>
      </c>
      <c r="T984" s="10" t="str">
        <f t="shared" si="305"/>
        <v>0_Pre</v>
      </c>
      <c r="U984" s="10" t="str">
        <f t="shared" si="306"/>
        <v>1_Post</v>
      </c>
      <c r="V984" s="10" t="str">
        <f t="shared" si="314"/>
        <v>0_Pre</v>
      </c>
      <c r="W984" s="10" t="str">
        <f t="shared" si="307"/>
        <v>straddle</v>
      </c>
      <c r="X984" s="10" t="str">
        <f t="shared" si="308"/>
        <v>0_Pre</v>
      </c>
      <c r="Y984" s="10" t="str">
        <f t="shared" si="309"/>
        <v>0_Pre</v>
      </c>
      <c r="Z984" s="10" t="str">
        <f t="shared" si="310"/>
        <v>0_Pre</v>
      </c>
      <c r="AA984" s="10" t="str">
        <f t="shared" si="315"/>
        <v>1_Post</v>
      </c>
      <c r="AB984" s="10" t="str">
        <f t="shared" si="316"/>
        <v>1_Post</v>
      </c>
      <c r="AC984" s="10" t="str">
        <f t="shared" si="317"/>
        <v>0_Pre</v>
      </c>
      <c r="AD984" s="10" t="str">
        <f t="shared" si="318"/>
        <v>1_pre sample median</v>
      </c>
      <c r="AE984" s="10" t="str">
        <f t="shared" si="319"/>
        <v>2_in sample second tertile</v>
      </c>
      <c r="AF984" t="s">
        <v>67</v>
      </c>
      <c r="AG984" t="s">
        <v>75</v>
      </c>
      <c r="AH984" t="s">
        <v>79</v>
      </c>
      <c r="AI984" t="s">
        <v>122</v>
      </c>
      <c r="AJ984" t="s">
        <v>123</v>
      </c>
      <c r="AK984" t="str">
        <f>VLOOKUP(MID($AR984,1,255),country_lookup!$B:$F,2,FALSE)</f>
        <v>1_US</v>
      </c>
      <c r="AL984" t="str">
        <f>VLOOKUP(MID($AR984,1,255),country_lookup!$B:$F,3,FALSE)</f>
        <v>1_developed</v>
      </c>
      <c r="AM984" t="str">
        <f>VLOOKUP(MID($AR984,1,255),country_lookup!$B:$F,4,FALSE)</f>
        <v>1_western</v>
      </c>
      <c r="AN984" t="str">
        <f>VLOOKUP(MID($AR984,1,255),country_lookup!$B:$F,5,FALSE)</f>
        <v>1_common law</v>
      </c>
      <c r="AO984" s="10" t="str">
        <f>VLOOKUP(MID($AS984,1,255),source_lookup!$B:$K,4,FALSE)</f>
        <v>0_published</v>
      </c>
      <c r="AP984" s="10" t="str">
        <f>VLOOKUP(MID($AS984,1,255),source_lookup!$B:$K,6,FALSE)</f>
        <v>1_VHB high</v>
      </c>
      <c r="AQ984" s="10" t="str">
        <f>VLOOKUP(MID($AS984,1,255),source_lookup!$B:$K,10,FALSE)</f>
        <v>1_fin/acc/econ</v>
      </c>
      <c r="AR984" t="s">
        <v>85</v>
      </c>
      <c r="AS984" t="s">
        <v>171</v>
      </c>
    </row>
    <row r="985" spans="1:45" x14ac:dyDescent="0.3">
      <c r="A985" t="s">
        <v>48</v>
      </c>
      <c r="B985">
        <v>984</v>
      </c>
      <c r="C985" s="1">
        <v>8.2405766232092337E-3</v>
      </c>
      <c r="D985" s="2">
        <v>39</v>
      </c>
      <c r="E985" s="4">
        <v>589</v>
      </c>
      <c r="F985" s="4" t="s">
        <v>346</v>
      </c>
      <c r="G985" s="4" t="s">
        <v>347</v>
      </c>
      <c r="H985" t="s">
        <v>77</v>
      </c>
      <c r="I985" t="s">
        <v>352</v>
      </c>
      <c r="J985" s="3">
        <v>2004</v>
      </c>
      <c r="K985" s="3">
        <v>2018</v>
      </c>
      <c r="L985" s="6">
        <f t="shared" si="311"/>
        <v>2011</v>
      </c>
      <c r="M985" s="6">
        <f t="shared" si="312"/>
        <v>2011</v>
      </c>
      <c r="N985" s="7">
        <f t="shared" si="300"/>
        <v>0.2</v>
      </c>
      <c r="O985" s="7">
        <f t="shared" si="301"/>
        <v>0.13333333333333333</v>
      </c>
      <c r="P985" s="7">
        <f t="shared" si="302"/>
        <v>6.6666666666666666E-2</v>
      </c>
      <c r="Q985" s="7">
        <f t="shared" si="313"/>
        <v>0</v>
      </c>
      <c r="R985" s="10" t="str">
        <f t="shared" si="303"/>
        <v>0_Pre</v>
      </c>
      <c r="S985" s="10" t="str">
        <f t="shared" si="304"/>
        <v>0_Pre</v>
      </c>
      <c r="T985" s="10" t="str">
        <f t="shared" si="305"/>
        <v>0_Pre</v>
      </c>
      <c r="U985" s="10" t="str">
        <f t="shared" si="306"/>
        <v>1_Post</v>
      </c>
      <c r="V985" s="10" t="str">
        <f t="shared" si="314"/>
        <v>0_Pre</v>
      </c>
      <c r="W985" s="10" t="str">
        <f t="shared" si="307"/>
        <v>straddle</v>
      </c>
      <c r="X985" s="10" t="str">
        <f t="shared" si="308"/>
        <v>0_Pre</v>
      </c>
      <c r="Y985" s="10" t="str">
        <f t="shared" si="309"/>
        <v>0_Pre</v>
      </c>
      <c r="Z985" s="10" t="str">
        <f t="shared" si="310"/>
        <v>0_Pre</v>
      </c>
      <c r="AA985" s="10" t="str">
        <f t="shared" si="315"/>
        <v>1_Post</v>
      </c>
      <c r="AB985" s="10" t="str">
        <f t="shared" si="316"/>
        <v>1_Post</v>
      </c>
      <c r="AC985" s="10" t="str">
        <f t="shared" si="317"/>
        <v>0_Pre</v>
      </c>
      <c r="AD985" s="10" t="str">
        <f t="shared" si="318"/>
        <v>1_pre sample median</v>
      </c>
      <c r="AE985" s="10" t="str">
        <f t="shared" si="319"/>
        <v>2_in sample second tertile</v>
      </c>
      <c r="AF985" t="s">
        <v>67</v>
      </c>
      <c r="AG985" t="s">
        <v>75</v>
      </c>
      <c r="AH985" t="s">
        <v>79</v>
      </c>
      <c r="AI985" t="s">
        <v>122</v>
      </c>
      <c r="AJ985" t="s">
        <v>123</v>
      </c>
      <c r="AK985" t="str">
        <f>VLOOKUP(MID($AR985,1,255),country_lookup!$B:$F,2,FALSE)</f>
        <v>1_US</v>
      </c>
      <c r="AL985" t="str">
        <f>VLOOKUP(MID($AR985,1,255),country_lookup!$B:$F,3,FALSE)</f>
        <v>1_developed</v>
      </c>
      <c r="AM985" t="str">
        <f>VLOOKUP(MID($AR985,1,255),country_lookup!$B:$F,4,FALSE)</f>
        <v>1_western</v>
      </c>
      <c r="AN985" t="str">
        <f>VLOOKUP(MID($AR985,1,255),country_lookup!$B:$F,5,FALSE)</f>
        <v>1_common law</v>
      </c>
      <c r="AO985" s="10" t="str">
        <f>VLOOKUP(MID($AS985,1,255),source_lookup!$B:$K,4,FALSE)</f>
        <v>0_published</v>
      </c>
      <c r="AP985" s="10" t="str">
        <f>VLOOKUP(MID($AS985,1,255),source_lookup!$B:$K,6,FALSE)</f>
        <v>1_VHB high</v>
      </c>
      <c r="AQ985" s="10" t="str">
        <f>VLOOKUP(MID($AS985,1,255),source_lookup!$B:$K,10,FALSE)</f>
        <v>1_fin/acc/econ</v>
      </c>
      <c r="AR985" t="s">
        <v>85</v>
      </c>
      <c r="AS985" t="s">
        <v>171</v>
      </c>
    </row>
    <row r="986" spans="1:45" x14ac:dyDescent="0.3">
      <c r="A986" t="s">
        <v>48</v>
      </c>
      <c r="B986">
        <v>985</v>
      </c>
      <c r="C986" s="1">
        <v>-4.4562441846358991E-2</v>
      </c>
      <c r="D986" s="2">
        <v>208</v>
      </c>
      <c r="E986" s="4">
        <v>3116</v>
      </c>
      <c r="F986" s="4" t="s">
        <v>346</v>
      </c>
      <c r="G986" s="4" t="s">
        <v>347</v>
      </c>
      <c r="H986" t="s">
        <v>77</v>
      </c>
      <c r="I986" t="s">
        <v>352</v>
      </c>
      <c r="J986" s="3">
        <v>2004</v>
      </c>
      <c r="K986" s="3">
        <v>2018</v>
      </c>
      <c r="L986" s="6">
        <f t="shared" si="311"/>
        <v>2011</v>
      </c>
      <c r="M986" s="6">
        <f t="shared" si="312"/>
        <v>2011</v>
      </c>
      <c r="N986" s="7">
        <f t="shared" si="300"/>
        <v>0.2</v>
      </c>
      <c r="O986" s="7">
        <f t="shared" si="301"/>
        <v>0.13333333333333333</v>
      </c>
      <c r="P986" s="7">
        <f t="shared" si="302"/>
        <v>6.6666666666666666E-2</v>
      </c>
      <c r="Q986" s="7">
        <f t="shared" si="313"/>
        <v>0</v>
      </c>
      <c r="R986" s="10" t="str">
        <f t="shared" si="303"/>
        <v>0_Pre</v>
      </c>
      <c r="S986" s="10" t="str">
        <f t="shared" si="304"/>
        <v>0_Pre</v>
      </c>
      <c r="T986" s="10" t="str">
        <f t="shared" si="305"/>
        <v>0_Pre</v>
      </c>
      <c r="U986" s="10" t="str">
        <f t="shared" si="306"/>
        <v>1_Post</v>
      </c>
      <c r="V986" s="10" t="str">
        <f t="shared" si="314"/>
        <v>0_Pre</v>
      </c>
      <c r="W986" s="10" t="str">
        <f t="shared" si="307"/>
        <v>straddle</v>
      </c>
      <c r="X986" s="10" t="str">
        <f t="shared" si="308"/>
        <v>0_Pre</v>
      </c>
      <c r="Y986" s="10" t="str">
        <f t="shared" si="309"/>
        <v>0_Pre</v>
      </c>
      <c r="Z986" s="10" t="str">
        <f t="shared" si="310"/>
        <v>0_Pre</v>
      </c>
      <c r="AA986" s="10" t="str">
        <f t="shared" si="315"/>
        <v>1_Post</v>
      </c>
      <c r="AB986" s="10" t="str">
        <f t="shared" si="316"/>
        <v>1_Post</v>
      </c>
      <c r="AC986" s="10" t="str">
        <f t="shared" si="317"/>
        <v>0_Pre</v>
      </c>
      <c r="AD986" s="10" t="str">
        <f t="shared" si="318"/>
        <v>1_pre sample median</v>
      </c>
      <c r="AE986" s="10" t="str">
        <f t="shared" si="319"/>
        <v>2_in sample second tertile</v>
      </c>
      <c r="AF986" t="s">
        <v>67</v>
      </c>
      <c r="AG986" t="s">
        <v>75</v>
      </c>
      <c r="AH986" t="s">
        <v>79</v>
      </c>
      <c r="AI986" t="s">
        <v>122</v>
      </c>
      <c r="AJ986" t="s">
        <v>123</v>
      </c>
      <c r="AK986" t="str">
        <f>VLOOKUP(MID($AR986,1,255),country_lookup!$B:$F,2,FALSE)</f>
        <v>1_US</v>
      </c>
      <c r="AL986" t="str">
        <f>VLOOKUP(MID($AR986,1,255),country_lookup!$B:$F,3,FALSE)</f>
        <v>1_developed</v>
      </c>
      <c r="AM986" t="str">
        <f>VLOOKUP(MID($AR986,1,255),country_lookup!$B:$F,4,FALSE)</f>
        <v>1_western</v>
      </c>
      <c r="AN986" t="str">
        <f>VLOOKUP(MID($AR986,1,255),country_lookup!$B:$F,5,FALSE)</f>
        <v>1_common law</v>
      </c>
      <c r="AO986" s="10" t="str">
        <f>VLOOKUP(MID($AS986,1,255),source_lookup!$B:$K,4,FALSE)</f>
        <v>0_published</v>
      </c>
      <c r="AP986" s="10" t="str">
        <f>VLOOKUP(MID($AS986,1,255),source_lookup!$B:$K,6,FALSE)</f>
        <v>1_VHB high</v>
      </c>
      <c r="AQ986" s="10" t="str">
        <f>VLOOKUP(MID($AS986,1,255),source_lookup!$B:$K,10,FALSE)</f>
        <v>1_fin/acc/econ</v>
      </c>
      <c r="AR986" t="s">
        <v>85</v>
      </c>
      <c r="AS986" t="s">
        <v>171</v>
      </c>
    </row>
    <row r="987" spans="1:45" x14ac:dyDescent="0.3">
      <c r="A987" t="s">
        <v>48</v>
      </c>
      <c r="B987">
        <v>986</v>
      </c>
      <c r="C987" s="1">
        <v>-4.0691179777580834E-2</v>
      </c>
      <c r="D987" s="2">
        <v>177</v>
      </c>
      <c r="E987" s="4">
        <v>2659</v>
      </c>
      <c r="F987" s="4" t="s">
        <v>346</v>
      </c>
      <c r="G987" s="4" t="s">
        <v>347</v>
      </c>
      <c r="H987" t="s">
        <v>77</v>
      </c>
      <c r="I987" t="s">
        <v>352</v>
      </c>
      <c r="J987" s="3">
        <v>2004</v>
      </c>
      <c r="K987" s="3">
        <v>2018</v>
      </c>
      <c r="L987" s="6">
        <f t="shared" si="311"/>
        <v>2011</v>
      </c>
      <c r="M987" s="6">
        <f t="shared" si="312"/>
        <v>2011</v>
      </c>
      <c r="N987" s="7">
        <f t="shared" si="300"/>
        <v>0.2</v>
      </c>
      <c r="O987" s="7">
        <f t="shared" si="301"/>
        <v>0.13333333333333333</v>
      </c>
      <c r="P987" s="7">
        <f t="shared" si="302"/>
        <v>6.6666666666666666E-2</v>
      </c>
      <c r="Q987" s="7">
        <f t="shared" si="313"/>
        <v>0</v>
      </c>
      <c r="R987" s="10" t="str">
        <f t="shared" si="303"/>
        <v>0_Pre</v>
      </c>
      <c r="S987" s="10" t="str">
        <f t="shared" si="304"/>
        <v>0_Pre</v>
      </c>
      <c r="T987" s="10" t="str">
        <f t="shared" si="305"/>
        <v>0_Pre</v>
      </c>
      <c r="U987" s="10" t="str">
        <f t="shared" si="306"/>
        <v>1_Post</v>
      </c>
      <c r="V987" s="10" t="str">
        <f t="shared" si="314"/>
        <v>0_Pre</v>
      </c>
      <c r="W987" s="10" t="str">
        <f t="shared" si="307"/>
        <v>straddle</v>
      </c>
      <c r="X987" s="10" t="str">
        <f t="shared" si="308"/>
        <v>0_Pre</v>
      </c>
      <c r="Y987" s="10" t="str">
        <f t="shared" si="309"/>
        <v>0_Pre</v>
      </c>
      <c r="Z987" s="10" t="str">
        <f t="shared" si="310"/>
        <v>0_Pre</v>
      </c>
      <c r="AA987" s="10" t="str">
        <f t="shared" si="315"/>
        <v>1_Post</v>
      </c>
      <c r="AB987" s="10" t="str">
        <f t="shared" si="316"/>
        <v>1_Post</v>
      </c>
      <c r="AC987" s="10" t="str">
        <f t="shared" si="317"/>
        <v>0_Pre</v>
      </c>
      <c r="AD987" s="10" t="str">
        <f t="shared" si="318"/>
        <v>1_pre sample median</v>
      </c>
      <c r="AE987" s="10" t="str">
        <f t="shared" si="319"/>
        <v>2_in sample second tertile</v>
      </c>
      <c r="AF987" t="s">
        <v>67</v>
      </c>
      <c r="AG987" t="s">
        <v>75</v>
      </c>
      <c r="AH987" t="s">
        <v>79</v>
      </c>
      <c r="AI987" t="s">
        <v>122</v>
      </c>
      <c r="AJ987" t="s">
        <v>123</v>
      </c>
      <c r="AK987" t="str">
        <f>VLOOKUP(MID($AR987,1,255),country_lookup!$B:$F,2,FALSE)</f>
        <v>1_US</v>
      </c>
      <c r="AL987" t="str">
        <f>VLOOKUP(MID($AR987,1,255),country_lookup!$B:$F,3,FALSE)</f>
        <v>1_developed</v>
      </c>
      <c r="AM987" t="str">
        <f>VLOOKUP(MID($AR987,1,255),country_lookup!$B:$F,4,FALSE)</f>
        <v>1_western</v>
      </c>
      <c r="AN987" t="str">
        <f>VLOOKUP(MID($AR987,1,255),country_lookup!$B:$F,5,FALSE)</f>
        <v>1_common law</v>
      </c>
      <c r="AO987" s="10" t="str">
        <f>VLOOKUP(MID($AS987,1,255),source_lookup!$B:$K,4,FALSE)</f>
        <v>0_published</v>
      </c>
      <c r="AP987" s="10" t="str">
        <f>VLOOKUP(MID($AS987,1,255),source_lookup!$B:$K,6,FALSE)</f>
        <v>1_VHB high</v>
      </c>
      <c r="AQ987" s="10" t="str">
        <f>VLOOKUP(MID($AS987,1,255),source_lookup!$B:$K,10,FALSE)</f>
        <v>1_fin/acc/econ</v>
      </c>
      <c r="AR987" t="s">
        <v>85</v>
      </c>
      <c r="AS987" t="s">
        <v>171</v>
      </c>
    </row>
    <row r="988" spans="1:45" x14ac:dyDescent="0.3">
      <c r="A988" t="s">
        <v>48</v>
      </c>
      <c r="B988">
        <v>987</v>
      </c>
      <c r="C988" s="1">
        <v>-1.2926725703014981E-2</v>
      </c>
      <c r="D988" s="2">
        <v>169</v>
      </c>
      <c r="E988" s="4">
        <v>2528</v>
      </c>
      <c r="F988" s="4" t="s">
        <v>346</v>
      </c>
      <c r="G988" s="4" t="s">
        <v>347</v>
      </c>
      <c r="H988" t="s">
        <v>77</v>
      </c>
      <c r="I988" t="s">
        <v>352</v>
      </c>
      <c r="J988" s="3">
        <v>2004</v>
      </c>
      <c r="K988" s="3">
        <v>2018</v>
      </c>
      <c r="L988" s="6">
        <f t="shared" si="311"/>
        <v>2011</v>
      </c>
      <c r="M988" s="6">
        <f t="shared" si="312"/>
        <v>2011</v>
      </c>
      <c r="N988" s="7">
        <f t="shared" si="300"/>
        <v>0.2</v>
      </c>
      <c r="O988" s="7">
        <f t="shared" si="301"/>
        <v>0.13333333333333333</v>
      </c>
      <c r="P988" s="7">
        <f t="shared" si="302"/>
        <v>6.6666666666666666E-2</v>
      </c>
      <c r="Q988" s="7">
        <f t="shared" si="313"/>
        <v>0</v>
      </c>
      <c r="R988" s="10" t="str">
        <f t="shared" si="303"/>
        <v>0_Pre</v>
      </c>
      <c r="S988" s="10" t="str">
        <f t="shared" si="304"/>
        <v>0_Pre</v>
      </c>
      <c r="T988" s="10" t="str">
        <f t="shared" si="305"/>
        <v>0_Pre</v>
      </c>
      <c r="U988" s="10" t="str">
        <f t="shared" si="306"/>
        <v>1_Post</v>
      </c>
      <c r="V988" s="10" t="str">
        <f t="shared" si="314"/>
        <v>0_Pre</v>
      </c>
      <c r="W988" s="10" t="str">
        <f t="shared" si="307"/>
        <v>straddle</v>
      </c>
      <c r="X988" s="10" t="str">
        <f t="shared" si="308"/>
        <v>0_Pre</v>
      </c>
      <c r="Y988" s="10" t="str">
        <f t="shared" si="309"/>
        <v>0_Pre</v>
      </c>
      <c r="Z988" s="10" t="str">
        <f t="shared" si="310"/>
        <v>0_Pre</v>
      </c>
      <c r="AA988" s="10" t="str">
        <f t="shared" si="315"/>
        <v>1_Post</v>
      </c>
      <c r="AB988" s="10" t="str">
        <f t="shared" si="316"/>
        <v>1_Post</v>
      </c>
      <c r="AC988" s="10" t="str">
        <f t="shared" si="317"/>
        <v>0_Pre</v>
      </c>
      <c r="AD988" s="10" t="str">
        <f t="shared" si="318"/>
        <v>1_pre sample median</v>
      </c>
      <c r="AE988" s="10" t="str">
        <f t="shared" si="319"/>
        <v>2_in sample second tertile</v>
      </c>
      <c r="AF988" t="s">
        <v>67</v>
      </c>
      <c r="AG988" t="s">
        <v>75</v>
      </c>
      <c r="AH988" t="s">
        <v>79</v>
      </c>
      <c r="AI988" t="s">
        <v>122</v>
      </c>
      <c r="AJ988" t="s">
        <v>123</v>
      </c>
      <c r="AK988" t="str">
        <f>VLOOKUP(MID($AR988,1,255),country_lookup!$B:$F,2,FALSE)</f>
        <v>1_US</v>
      </c>
      <c r="AL988" t="str">
        <f>VLOOKUP(MID($AR988,1,255),country_lookup!$B:$F,3,FALSE)</f>
        <v>1_developed</v>
      </c>
      <c r="AM988" t="str">
        <f>VLOOKUP(MID($AR988,1,255),country_lookup!$B:$F,4,FALSE)</f>
        <v>1_western</v>
      </c>
      <c r="AN988" t="str">
        <f>VLOOKUP(MID($AR988,1,255),country_lookup!$B:$F,5,FALSE)</f>
        <v>1_common law</v>
      </c>
      <c r="AO988" s="10" t="str">
        <f>VLOOKUP(MID($AS988,1,255),source_lookup!$B:$K,4,FALSE)</f>
        <v>0_published</v>
      </c>
      <c r="AP988" s="10" t="str">
        <f>VLOOKUP(MID($AS988,1,255),source_lookup!$B:$K,6,FALSE)</f>
        <v>1_VHB high</v>
      </c>
      <c r="AQ988" s="10" t="str">
        <f>VLOOKUP(MID($AS988,1,255),source_lookup!$B:$K,10,FALSE)</f>
        <v>1_fin/acc/econ</v>
      </c>
      <c r="AR988" t="s">
        <v>85</v>
      </c>
      <c r="AS988" t="s">
        <v>171</v>
      </c>
    </row>
    <row r="989" spans="1:45" x14ac:dyDescent="0.3">
      <c r="A989" t="s">
        <v>48</v>
      </c>
      <c r="B989">
        <v>988</v>
      </c>
      <c r="C989" s="1">
        <v>-4.1525464225622352E-2</v>
      </c>
      <c r="D989" s="2">
        <v>208</v>
      </c>
      <c r="E989" s="4">
        <v>3116</v>
      </c>
      <c r="F989" s="4" t="s">
        <v>346</v>
      </c>
      <c r="G989" s="4" t="s">
        <v>347</v>
      </c>
      <c r="H989" t="s">
        <v>77</v>
      </c>
      <c r="I989" t="s">
        <v>352</v>
      </c>
      <c r="J989" s="3">
        <v>2004</v>
      </c>
      <c r="K989" s="3">
        <v>2018</v>
      </c>
      <c r="L989" s="6">
        <f t="shared" si="311"/>
        <v>2011</v>
      </c>
      <c r="M989" s="6">
        <f t="shared" si="312"/>
        <v>2011</v>
      </c>
      <c r="N989" s="7">
        <f t="shared" si="300"/>
        <v>0.2</v>
      </c>
      <c r="O989" s="7">
        <f t="shared" si="301"/>
        <v>0.13333333333333333</v>
      </c>
      <c r="P989" s="7">
        <f t="shared" si="302"/>
        <v>6.6666666666666666E-2</v>
      </c>
      <c r="Q989" s="7">
        <f t="shared" si="313"/>
        <v>0</v>
      </c>
      <c r="R989" s="10" t="str">
        <f t="shared" si="303"/>
        <v>0_Pre</v>
      </c>
      <c r="S989" s="10" t="str">
        <f t="shared" si="304"/>
        <v>0_Pre</v>
      </c>
      <c r="T989" s="10" t="str">
        <f t="shared" si="305"/>
        <v>0_Pre</v>
      </c>
      <c r="U989" s="10" t="str">
        <f t="shared" si="306"/>
        <v>1_Post</v>
      </c>
      <c r="V989" s="10" t="str">
        <f t="shared" si="314"/>
        <v>0_Pre</v>
      </c>
      <c r="W989" s="10" t="str">
        <f t="shared" si="307"/>
        <v>straddle</v>
      </c>
      <c r="X989" s="10" t="str">
        <f t="shared" si="308"/>
        <v>0_Pre</v>
      </c>
      <c r="Y989" s="10" t="str">
        <f t="shared" si="309"/>
        <v>0_Pre</v>
      </c>
      <c r="Z989" s="10" t="str">
        <f t="shared" si="310"/>
        <v>0_Pre</v>
      </c>
      <c r="AA989" s="10" t="str">
        <f t="shared" si="315"/>
        <v>1_Post</v>
      </c>
      <c r="AB989" s="10" t="str">
        <f t="shared" si="316"/>
        <v>1_Post</v>
      </c>
      <c r="AC989" s="10" t="str">
        <f t="shared" si="317"/>
        <v>0_Pre</v>
      </c>
      <c r="AD989" s="10" t="str">
        <f t="shared" si="318"/>
        <v>1_pre sample median</v>
      </c>
      <c r="AE989" s="10" t="str">
        <f t="shared" si="319"/>
        <v>2_in sample second tertile</v>
      </c>
      <c r="AF989" t="s">
        <v>67</v>
      </c>
      <c r="AG989" t="s">
        <v>75</v>
      </c>
      <c r="AH989" t="s">
        <v>79</v>
      </c>
      <c r="AI989" t="s">
        <v>122</v>
      </c>
      <c r="AJ989" t="s">
        <v>123</v>
      </c>
      <c r="AK989" t="str">
        <f>VLOOKUP(MID($AR989,1,255),country_lookup!$B:$F,2,FALSE)</f>
        <v>1_US</v>
      </c>
      <c r="AL989" t="str">
        <f>VLOOKUP(MID($AR989,1,255),country_lookup!$B:$F,3,FALSE)</f>
        <v>1_developed</v>
      </c>
      <c r="AM989" t="str">
        <f>VLOOKUP(MID($AR989,1,255),country_lookup!$B:$F,4,FALSE)</f>
        <v>1_western</v>
      </c>
      <c r="AN989" t="str">
        <f>VLOOKUP(MID($AR989,1,255),country_lookup!$B:$F,5,FALSE)</f>
        <v>1_common law</v>
      </c>
      <c r="AO989" s="10" t="str">
        <f>VLOOKUP(MID($AS989,1,255),source_lookup!$B:$K,4,FALSE)</f>
        <v>0_published</v>
      </c>
      <c r="AP989" s="10" t="str">
        <f>VLOOKUP(MID($AS989,1,255),source_lookup!$B:$K,6,FALSE)</f>
        <v>1_VHB high</v>
      </c>
      <c r="AQ989" s="10" t="str">
        <f>VLOOKUP(MID($AS989,1,255),source_lookup!$B:$K,10,FALSE)</f>
        <v>1_fin/acc/econ</v>
      </c>
      <c r="AR989" t="s">
        <v>85</v>
      </c>
      <c r="AS989" t="s">
        <v>171</v>
      </c>
    </row>
    <row r="990" spans="1:45" x14ac:dyDescent="0.3">
      <c r="A990" t="s">
        <v>48</v>
      </c>
      <c r="B990">
        <v>989</v>
      </c>
      <c r="C990" s="1">
        <v>-6.9259558853992986E-2</v>
      </c>
      <c r="D990" s="2">
        <v>177</v>
      </c>
      <c r="E990" s="4">
        <v>2659</v>
      </c>
      <c r="F990" s="4" t="s">
        <v>346</v>
      </c>
      <c r="G990" s="4" t="s">
        <v>347</v>
      </c>
      <c r="H990" t="s">
        <v>77</v>
      </c>
      <c r="I990" t="s">
        <v>352</v>
      </c>
      <c r="J990" s="3">
        <v>2004</v>
      </c>
      <c r="K990" s="3">
        <v>2018</v>
      </c>
      <c r="L990" s="6">
        <f t="shared" si="311"/>
        <v>2011</v>
      </c>
      <c r="M990" s="6">
        <f t="shared" si="312"/>
        <v>2011</v>
      </c>
      <c r="N990" s="7">
        <f t="shared" si="300"/>
        <v>0.2</v>
      </c>
      <c r="O990" s="7">
        <f t="shared" si="301"/>
        <v>0.13333333333333333</v>
      </c>
      <c r="P990" s="7">
        <f t="shared" si="302"/>
        <v>6.6666666666666666E-2</v>
      </c>
      <c r="Q990" s="7">
        <f t="shared" si="313"/>
        <v>0</v>
      </c>
      <c r="R990" s="10" t="str">
        <f t="shared" si="303"/>
        <v>0_Pre</v>
      </c>
      <c r="S990" s="10" t="str">
        <f t="shared" si="304"/>
        <v>0_Pre</v>
      </c>
      <c r="T990" s="10" t="str">
        <f t="shared" si="305"/>
        <v>0_Pre</v>
      </c>
      <c r="U990" s="10" t="str">
        <f t="shared" si="306"/>
        <v>1_Post</v>
      </c>
      <c r="V990" s="10" t="str">
        <f t="shared" si="314"/>
        <v>0_Pre</v>
      </c>
      <c r="W990" s="10" t="str">
        <f t="shared" si="307"/>
        <v>straddle</v>
      </c>
      <c r="X990" s="10" t="str">
        <f t="shared" si="308"/>
        <v>0_Pre</v>
      </c>
      <c r="Y990" s="10" t="str">
        <f t="shared" si="309"/>
        <v>0_Pre</v>
      </c>
      <c r="Z990" s="10" t="str">
        <f t="shared" si="310"/>
        <v>0_Pre</v>
      </c>
      <c r="AA990" s="10" t="str">
        <f t="shared" si="315"/>
        <v>1_Post</v>
      </c>
      <c r="AB990" s="10" t="str">
        <f t="shared" si="316"/>
        <v>1_Post</v>
      </c>
      <c r="AC990" s="10" t="str">
        <f t="shared" si="317"/>
        <v>0_Pre</v>
      </c>
      <c r="AD990" s="10" t="str">
        <f t="shared" si="318"/>
        <v>1_pre sample median</v>
      </c>
      <c r="AE990" s="10" t="str">
        <f t="shared" si="319"/>
        <v>2_in sample second tertile</v>
      </c>
      <c r="AF990" t="s">
        <v>67</v>
      </c>
      <c r="AG990" t="s">
        <v>75</v>
      </c>
      <c r="AH990" t="s">
        <v>79</v>
      </c>
      <c r="AI990" t="s">
        <v>122</v>
      </c>
      <c r="AJ990" t="s">
        <v>123</v>
      </c>
      <c r="AK990" t="str">
        <f>VLOOKUP(MID($AR990,1,255),country_lookup!$B:$F,2,FALSE)</f>
        <v>1_US</v>
      </c>
      <c r="AL990" t="str">
        <f>VLOOKUP(MID($AR990,1,255),country_lookup!$B:$F,3,FALSE)</f>
        <v>1_developed</v>
      </c>
      <c r="AM990" t="str">
        <f>VLOOKUP(MID($AR990,1,255),country_lookup!$B:$F,4,FALSE)</f>
        <v>1_western</v>
      </c>
      <c r="AN990" t="str">
        <f>VLOOKUP(MID($AR990,1,255),country_lookup!$B:$F,5,FALSE)</f>
        <v>1_common law</v>
      </c>
      <c r="AO990" s="10" t="str">
        <f>VLOOKUP(MID($AS990,1,255),source_lookup!$B:$K,4,FALSE)</f>
        <v>0_published</v>
      </c>
      <c r="AP990" s="10" t="str">
        <f>VLOOKUP(MID($AS990,1,255),source_lookup!$B:$K,6,FALSE)</f>
        <v>1_VHB high</v>
      </c>
      <c r="AQ990" s="10" t="str">
        <f>VLOOKUP(MID($AS990,1,255),source_lookup!$B:$K,10,FALSE)</f>
        <v>1_fin/acc/econ</v>
      </c>
      <c r="AR990" t="s">
        <v>85</v>
      </c>
      <c r="AS990" t="s">
        <v>171</v>
      </c>
    </row>
    <row r="991" spans="1:45" x14ac:dyDescent="0.3">
      <c r="A991" t="s">
        <v>48</v>
      </c>
      <c r="B991">
        <v>990</v>
      </c>
      <c r="C991" s="1">
        <v>1.4716215974910444E-2</v>
      </c>
      <c r="D991" s="2">
        <v>169</v>
      </c>
      <c r="E991" s="4">
        <v>2528</v>
      </c>
      <c r="F991" s="4" t="s">
        <v>346</v>
      </c>
      <c r="G991" s="4" t="s">
        <v>347</v>
      </c>
      <c r="H991" t="s">
        <v>77</v>
      </c>
      <c r="I991" t="s">
        <v>352</v>
      </c>
      <c r="J991" s="3">
        <v>2004</v>
      </c>
      <c r="K991" s="3">
        <v>2018</v>
      </c>
      <c r="L991" s="6">
        <f t="shared" si="311"/>
        <v>2011</v>
      </c>
      <c r="M991" s="6">
        <f t="shared" si="312"/>
        <v>2011</v>
      </c>
      <c r="N991" s="7">
        <f t="shared" si="300"/>
        <v>0.2</v>
      </c>
      <c r="O991" s="7">
        <f t="shared" si="301"/>
        <v>0.13333333333333333</v>
      </c>
      <c r="P991" s="7">
        <f t="shared" si="302"/>
        <v>6.6666666666666666E-2</v>
      </c>
      <c r="Q991" s="7">
        <f t="shared" si="313"/>
        <v>0</v>
      </c>
      <c r="R991" s="10" t="str">
        <f t="shared" si="303"/>
        <v>0_Pre</v>
      </c>
      <c r="S991" s="10" t="str">
        <f t="shared" si="304"/>
        <v>0_Pre</v>
      </c>
      <c r="T991" s="10" t="str">
        <f t="shared" si="305"/>
        <v>0_Pre</v>
      </c>
      <c r="U991" s="10" t="str">
        <f t="shared" si="306"/>
        <v>1_Post</v>
      </c>
      <c r="V991" s="10" t="str">
        <f t="shared" si="314"/>
        <v>0_Pre</v>
      </c>
      <c r="W991" s="10" t="str">
        <f t="shared" si="307"/>
        <v>straddle</v>
      </c>
      <c r="X991" s="10" t="str">
        <f t="shared" si="308"/>
        <v>0_Pre</v>
      </c>
      <c r="Y991" s="10" t="str">
        <f t="shared" si="309"/>
        <v>0_Pre</v>
      </c>
      <c r="Z991" s="10" t="str">
        <f t="shared" si="310"/>
        <v>0_Pre</v>
      </c>
      <c r="AA991" s="10" t="str">
        <f t="shared" si="315"/>
        <v>1_Post</v>
      </c>
      <c r="AB991" s="10" t="str">
        <f t="shared" si="316"/>
        <v>1_Post</v>
      </c>
      <c r="AC991" s="10" t="str">
        <f t="shared" si="317"/>
        <v>0_Pre</v>
      </c>
      <c r="AD991" s="10" t="str">
        <f t="shared" si="318"/>
        <v>1_pre sample median</v>
      </c>
      <c r="AE991" s="10" t="str">
        <f t="shared" si="319"/>
        <v>2_in sample second tertile</v>
      </c>
      <c r="AF991" t="s">
        <v>67</v>
      </c>
      <c r="AG991" t="s">
        <v>75</v>
      </c>
      <c r="AH991" t="s">
        <v>79</v>
      </c>
      <c r="AI991" t="s">
        <v>122</v>
      </c>
      <c r="AJ991" t="s">
        <v>123</v>
      </c>
      <c r="AK991" t="str">
        <f>VLOOKUP(MID($AR991,1,255),country_lookup!$B:$F,2,FALSE)</f>
        <v>1_US</v>
      </c>
      <c r="AL991" t="str">
        <f>VLOOKUP(MID($AR991,1,255),country_lookup!$B:$F,3,FALSE)</f>
        <v>1_developed</v>
      </c>
      <c r="AM991" t="str">
        <f>VLOOKUP(MID($AR991,1,255),country_lookup!$B:$F,4,FALSE)</f>
        <v>1_western</v>
      </c>
      <c r="AN991" t="str">
        <f>VLOOKUP(MID($AR991,1,255),country_lookup!$B:$F,5,FALSE)</f>
        <v>1_common law</v>
      </c>
      <c r="AO991" s="10" t="str">
        <f>VLOOKUP(MID($AS991,1,255),source_lookup!$B:$K,4,FALSE)</f>
        <v>0_published</v>
      </c>
      <c r="AP991" s="10" t="str">
        <f>VLOOKUP(MID($AS991,1,255),source_lookup!$B:$K,6,FALSE)</f>
        <v>1_VHB high</v>
      </c>
      <c r="AQ991" s="10" t="str">
        <f>VLOOKUP(MID($AS991,1,255),source_lookup!$B:$K,10,FALSE)</f>
        <v>1_fin/acc/econ</v>
      </c>
      <c r="AR991" t="s">
        <v>85</v>
      </c>
      <c r="AS991" t="s">
        <v>171</v>
      </c>
    </row>
    <row r="992" spans="1:45" x14ac:dyDescent="0.3">
      <c r="A992" t="s">
        <v>48</v>
      </c>
      <c r="B992">
        <v>991</v>
      </c>
      <c r="C992" s="1">
        <v>9.3813952693456742E-2</v>
      </c>
      <c r="D992" s="2">
        <v>208</v>
      </c>
      <c r="E992" s="4">
        <v>3116</v>
      </c>
      <c r="F992" s="4" t="s">
        <v>346</v>
      </c>
      <c r="G992" s="4" t="s">
        <v>347</v>
      </c>
      <c r="H992" t="s">
        <v>77</v>
      </c>
      <c r="I992" t="s">
        <v>352</v>
      </c>
      <c r="J992" s="3">
        <v>2004</v>
      </c>
      <c r="K992" s="3">
        <v>2018</v>
      </c>
      <c r="L992" s="6">
        <f t="shared" si="311"/>
        <v>2011</v>
      </c>
      <c r="M992" s="6">
        <f t="shared" si="312"/>
        <v>2011</v>
      </c>
      <c r="N992" s="7">
        <f t="shared" si="300"/>
        <v>0.2</v>
      </c>
      <c r="O992" s="7">
        <f t="shared" si="301"/>
        <v>0.13333333333333333</v>
      </c>
      <c r="P992" s="7">
        <f t="shared" si="302"/>
        <v>6.6666666666666666E-2</v>
      </c>
      <c r="Q992" s="7">
        <f t="shared" si="313"/>
        <v>0</v>
      </c>
      <c r="R992" s="10" t="str">
        <f t="shared" si="303"/>
        <v>0_Pre</v>
      </c>
      <c r="S992" s="10" t="str">
        <f t="shared" si="304"/>
        <v>0_Pre</v>
      </c>
      <c r="T992" s="10" t="str">
        <f t="shared" si="305"/>
        <v>0_Pre</v>
      </c>
      <c r="U992" s="10" t="str">
        <f t="shared" si="306"/>
        <v>1_Post</v>
      </c>
      <c r="V992" s="10" t="str">
        <f t="shared" si="314"/>
        <v>0_Pre</v>
      </c>
      <c r="W992" s="10" t="str">
        <f t="shared" si="307"/>
        <v>straddle</v>
      </c>
      <c r="X992" s="10" t="str">
        <f t="shared" si="308"/>
        <v>0_Pre</v>
      </c>
      <c r="Y992" s="10" t="str">
        <f t="shared" si="309"/>
        <v>0_Pre</v>
      </c>
      <c r="Z992" s="10" t="str">
        <f t="shared" si="310"/>
        <v>0_Pre</v>
      </c>
      <c r="AA992" s="10" t="str">
        <f t="shared" si="315"/>
        <v>1_Post</v>
      </c>
      <c r="AB992" s="10" t="str">
        <f t="shared" si="316"/>
        <v>1_Post</v>
      </c>
      <c r="AC992" s="10" t="str">
        <f t="shared" si="317"/>
        <v>0_Pre</v>
      </c>
      <c r="AD992" s="10" t="str">
        <f t="shared" si="318"/>
        <v>1_pre sample median</v>
      </c>
      <c r="AE992" s="10" t="str">
        <f t="shared" si="319"/>
        <v>2_in sample second tertile</v>
      </c>
      <c r="AF992" t="s">
        <v>67</v>
      </c>
      <c r="AG992" t="s">
        <v>75</v>
      </c>
      <c r="AH992" t="s">
        <v>79</v>
      </c>
      <c r="AI992" t="s">
        <v>122</v>
      </c>
      <c r="AJ992" t="s">
        <v>123</v>
      </c>
      <c r="AK992" t="str">
        <f>VLOOKUP(MID($AR992,1,255),country_lookup!$B:$F,2,FALSE)</f>
        <v>1_US</v>
      </c>
      <c r="AL992" t="str">
        <f>VLOOKUP(MID($AR992,1,255),country_lookup!$B:$F,3,FALSE)</f>
        <v>1_developed</v>
      </c>
      <c r="AM992" t="str">
        <f>VLOOKUP(MID($AR992,1,255),country_lookup!$B:$F,4,FALSE)</f>
        <v>1_western</v>
      </c>
      <c r="AN992" t="str">
        <f>VLOOKUP(MID($AR992,1,255),country_lookup!$B:$F,5,FALSE)</f>
        <v>1_common law</v>
      </c>
      <c r="AO992" s="10" t="str">
        <f>VLOOKUP(MID($AS992,1,255),source_lookup!$B:$K,4,FALSE)</f>
        <v>0_published</v>
      </c>
      <c r="AP992" s="10" t="str">
        <f>VLOOKUP(MID($AS992,1,255),source_lookup!$B:$K,6,FALSE)</f>
        <v>1_VHB high</v>
      </c>
      <c r="AQ992" s="10" t="str">
        <f>VLOOKUP(MID($AS992,1,255),source_lookup!$B:$K,10,FALSE)</f>
        <v>1_fin/acc/econ</v>
      </c>
      <c r="AR992" t="s">
        <v>85</v>
      </c>
      <c r="AS992" t="s">
        <v>171</v>
      </c>
    </row>
    <row r="993" spans="1:45" x14ac:dyDescent="0.3">
      <c r="A993" t="s">
        <v>48</v>
      </c>
      <c r="B993">
        <v>992</v>
      </c>
      <c r="C993" s="1">
        <v>-0.30627949890101402</v>
      </c>
      <c r="D993" s="2">
        <v>208</v>
      </c>
      <c r="E993" s="4">
        <v>3116</v>
      </c>
      <c r="F993" s="4" t="s">
        <v>346</v>
      </c>
      <c r="G993" s="4" t="s">
        <v>347</v>
      </c>
      <c r="H993" t="s">
        <v>77</v>
      </c>
      <c r="I993" t="s">
        <v>352</v>
      </c>
      <c r="J993" s="3">
        <v>2004</v>
      </c>
      <c r="K993" s="3">
        <v>2018</v>
      </c>
      <c r="L993" s="6">
        <f t="shared" si="311"/>
        <v>2011</v>
      </c>
      <c r="M993" s="6">
        <f t="shared" si="312"/>
        <v>2011</v>
      </c>
      <c r="N993" s="7">
        <f t="shared" si="300"/>
        <v>0.2</v>
      </c>
      <c r="O993" s="7">
        <f t="shared" si="301"/>
        <v>0.13333333333333333</v>
      </c>
      <c r="P993" s="7">
        <f t="shared" si="302"/>
        <v>6.6666666666666666E-2</v>
      </c>
      <c r="Q993" s="7">
        <f t="shared" si="313"/>
        <v>0</v>
      </c>
      <c r="R993" s="10" t="str">
        <f t="shared" si="303"/>
        <v>0_Pre</v>
      </c>
      <c r="S993" s="10" t="str">
        <f t="shared" si="304"/>
        <v>0_Pre</v>
      </c>
      <c r="T993" s="10" t="str">
        <f t="shared" si="305"/>
        <v>0_Pre</v>
      </c>
      <c r="U993" s="10" t="str">
        <f t="shared" si="306"/>
        <v>1_Post</v>
      </c>
      <c r="V993" s="10" t="str">
        <f t="shared" si="314"/>
        <v>0_Pre</v>
      </c>
      <c r="W993" s="10" t="str">
        <f t="shared" si="307"/>
        <v>straddle</v>
      </c>
      <c r="X993" s="10" t="str">
        <f t="shared" si="308"/>
        <v>0_Pre</v>
      </c>
      <c r="Y993" s="10" t="str">
        <f t="shared" si="309"/>
        <v>0_Pre</v>
      </c>
      <c r="Z993" s="10" t="str">
        <f t="shared" si="310"/>
        <v>0_Pre</v>
      </c>
      <c r="AA993" s="10" t="str">
        <f t="shared" si="315"/>
        <v>1_Post</v>
      </c>
      <c r="AB993" s="10" t="str">
        <f t="shared" si="316"/>
        <v>1_Post</v>
      </c>
      <c r="AC993" s="10" t="str">
        <f t="shared" si="317"/>
        <v>0_Pre</v>
      </c>
      <c r="AD993" s="10" t="str">
        <f t="shared" si="318"/>
        <v>1_pre sample median</v>
      </c>
      <c r="AE993" s="10" t="str">
        <f t="shared" si="319"/>
        <v>2_in sample second tertile</v>
      </c>
      <c r="AF993" t="s">
        <v>67</v>
      </c>
      <c r="AG993" t="s">
        <v>75</v>
      </c>
      <c r="AH993" t="s">
        <v>79</v>
      </c>
      <c r="AI993" t="s">
        <v>122</v>
      </c>
      <c r="AJ993" t="s">
        <v>123</v>
      </c>
      <c r="AK993" t="str">
        <f>VLOOKUP(MID($AR993,1,255),country_lookup!$B:$F,2,FALSE)</f>
        <v>1_US</v>
      </c>
      <c r="AL993" t="str">
        <f>VLOOKUP(MID($AR993,1,255),country_lookup!$B:$F,3,FALSE)</f>
        <v>1_developed</v>
      </c>
      <c r="AM993" t="str">
        <f>VLOOKUP(MID($AR993,1,255),country_lookup!$B:$F,4,FALSE)</f>
        <v>1_western</v>
      </c>
      <c r="AN993" t="str">
        <f>VLOOKUP(MID($AR993,1,255),country_lookup!$B:$F,5,FALSE)</f>
        <v>1_common law</v>
      </c>
      <c r="AO993" s="10" t="str">
        <f>VLOOKUP(MID($AS993,1,255),source_lookup!$B:$K,4,FALSE)</f>
        <v>0_published</v>
      </c>
      <c r="AP993" s="10" t="str">
        <f>VLOOKUP(MID($AS993,1,255),source_lookup!$B:$K,6,FALSE)</f>
        <v>1_VHB high</v>
      </c>
      <c r="AQ993" s="10" t="str">
        <f>VLOOKUP(MID($AS993,1,255),source_lookup!$B:$K,10,FALSE)</f>
        <v>1_fin/acc/econ</v>
      </c>
      <c r="AR993" t="s">
        <v>85</v>
      </c>
      <c r="AS993" t="s">
        <v>171</v>
      </c>
    </row>
    <row r="994" spans="1:45" x14ac:dyDescent="0.3">
      <c r="A994" t="s">
        <v>48</v>
      </c>
      <c r="B994">
        <v>993</v>
      </c>
      <c r="C994" s="1">
        <v>-4.9561791251425562E-2</v>
      </c>
      <c r="D994" s="2">
        <v>208</v>
      </c>
      <c r="E994" s="4">
        <v>3116</v>
      </c>
      <c r="F994" s="4" t="s">
        <v>346</v>
      </c>
      <c r="G994" s="4" t="s">
        <v>347</v>
      </c>
      <c r="H994" t="s">
        <v>77</v>
      </c>
      <c r="I994" t="s">
        <v>352</v>
      </c>
      <c r="J994" s="3">
        <v>2004</v>
      </c>
      <c r="K994" s="3">
        <v>2018</v>
      </c>
      <c r="L994" s="6">
        <f t="shared" si="311"/>
        <v>2011</v>
      </c>
      <c r="M994" s="6">
        <f t="shared" si="312"/>
        <v>2011</v>
      </c>
      <c r="N994" s="7">
        <f t="shared" si="300"/>
        <v>0.2</v>
      </c>
      <c r="O994" s="7">
        <f t="shared" si="301"/>
        <v>0.13333333333333333</v>
      </c>
      <c r="P994" s="7">
        <f t="shared" si="302"/>
        <v>6.6666666666666666E-2</v>
      </c>
      <c r="Q994" s="7">
        <f t="shared" si="313"/>
        <v>0</v>
      </c>
      <c r="R994" s="10" t="str">
        <f t="shared" si="303"/>
        <v>0_Pre</v>
      </c>
      <c r="S994" s="10" t="str">
        <f t="shared" si="304"/>
        <v>0_Pre</v>
      </c>
      <c r="T994" s="10" t="str">
        <f t="shared" si="305"/>
        <v>0_Pre</v>
      </c>
      <c r="U994" s="10" t="str">
        <f t="shared" si="306"/>
        <v>1_Post</v>
      </c>
      <c r="V994" s="10" t="str">
        <f t="shared" si="314"/>
        <v>0_Pre</v>
      </c>
      <c r="W994" s="10" t="str">
        <f t="shared" si="307"/>
        <v>straddle</v>
      </c>
      <c r="X994" s="10" t="str">
        <f t="shared" si="308"/>
        <v>0_Pre</v>
      </c>
      <c r="Y994" s="10" t="str">
        <f t="shared" si="309"/>
        <v>0_Pre</v>
      </c>
      <c r="Z994" s="10" t="str">
        <f t="shared" si="310"/>
        <v>0_Pre</v>
      </c>
      <c r="AA994" s="10" t="str">
        <f t="shared" si="315"/>
        <v>1_Post</v>
      </c>
      <c r="AB994" s="10" t="str">
        <f t="shared" si="316"/>
        <v>1_Post</v>
      </c>
      <c r="AC994" s="10" t="str">
        <f t="shared" si="317"/>
        <v>0_Pre</v>
      </c>
      <c r="AD994" s="10" t="str">
        <f t="shared" si="318"/>
        <v>1_pre sample median</v>
      </c>
      <c r="AE994" s="10" t="str">
        <f t="shared" si="319"/>
        <v>2_in sample second tertile</v>
      </c>
      <c r="AF994" t="s">
        <v>67</v>
      </c>
      <c r="AG994" t="s">
        <v>75</v>
      </c>
      <c r="AH994" t="s">
        <v>79</v>
      </c>
      <c r="AI994" t="s">
        <v>122</v>
      </c>
      <c r="AJ994" t="s">
        <v>123</v>
      </c>
      <c r="AK994" t="str">
        <f>VLOOKUP(MID($AR994,1,255),country_lookup!$B:$F,2,FALSE)</f>
        <v>1_US</v>
      </c>
      <c r="AL994" t="str">
        <f>VLOOKUP(MID($AR994,1,255),country_lookup!$B:$F,3,FALSE)</f>
        <v>1_developed</v>
      </c>
      <c r="AM994" t="str">
        <f>VLOOKUP(MID($AR994,1,255),country_lookup!$B:$F,4,FALSE)</f>
        <v>1_western</v>
      </c>
      <c r="AN994" t="str">
        <f>VLOOKUP(MID($AR994,1,255),country_lookup!$B:$F,5,FALSE)</f>
        <v>1_common law</v>
      </c>
      <c r="AO994" s="10" t="str">
        <f>VLOOKUP(MID($AS994,1,255),source_lookup!$B:$K,4,FALSE)</f>
        <v>0_published</v>
      </c>
      <c r="AP994" s="10" t="str">
        <f>VLOOKUP(MID($AS994,1,255),source_lookup!$B:$K,6,FALSE)</f>
        <v>1_VHB high</v>
      </c>
      <c r="AQ994" s="10" t="str">
        <f>VLOOKUP(MID($AS994,1,255),source_lookup!$B:$K,10,FALSE)</f>
        <v>1_fin/acc/econ</v>
      </c>
      <c r="AR994" t="s">
        <v>85</v>
      </c>
      <c r="AS994" t="s">
        <v>171</v>
      </c>
    </row>
    <row r="995" spans="1:45" x14ac:dyDescent="0.3">
      <c r="A995" t="s">
        <v>48</v>
      </c>
      <c r="B995">
        <v>994</v>
      </c>
      <c r="C995" s="1">
        <v>-0.12012237349192355</v>
      </c>
      <c r="D995" s="2">
        <v>68</v>
      </c>
      <c r="E995" s="4">
        <v>1014</v>
      </c>
      <c r="F995" s="4" t="s">
        <v>346</v>
      </c>
      <c r="G995" s="4" t="s">
        <v>347</v>
      </c>
      <c r="H995" t="s">
        <v>77</v>
      </c>
      <c r="I995" t="s">
        <v>350</v>
      </c>
      <c r="J995" s="3">
        <v>2004</v>
      </c>
      <c r="K995" s="3">
        <v>2018</v>
      </c>
      <c r="L995" s="6">
        <f t="shared" si="311"/>
        <v>2011</v>
      </c>
      <c r="M995" s="6">
        <f t="shared" si="312"/>
        <v>2011</v>
      </c>
      <c r="N995" s="7">
        <f t="shared" si="300"/>
        <v>0.2</v>
      </c>
      <c r="O995" s="7">
        <f t="shared" si="301"/>
        <v>0.13333333333333333</v>
      </c>
      <c r="P995" s="7">
        <f t="shared" si="302"/>
        <v>6.6666666666666666E-2</v>
      </c>
      <c r="Q995" s="7">
        <f t="shared" si="313"/>
        <v>0</v>
      </c>
      <c r="R995" s="10" t="str">
        <f t="shared" si="303"/>
        <v>0_Pre</v>
      </c>
      <c r="S995" s="10" t="str">
        <f t="shared" si="304"/>
        <v>0_Pre</v>
      </c>
      <c r="T995" s="10" t="str">
        <f t="shared" si="305"/>
        <v>0_Pre</v>
      </c>
      <c r="U995" s="10" t="str">
        <f t="shared" si="306"/>
        <v>1_Post</v>
      </c>
      <c r="V995" s="10" t="str">
        <f t="shared" si="314"/>
        <v>0_Pre</v>
      </c>
      <c r="W995" s="10" t="str">
        <f t="shared" si="307"/>
        <v>straddle</v>
      </c>
      <c r="X995" s="10" t="str">
        <f t="shared" si="308"/>
        <v>0_Pre</v>
      </c>
      <c r="Y995" s="10" t="str">
        <f t="shared" si="309"/>
        <v>0_Pre</v>
      </c>
      <c r="Z995" s="10" t="str">
        <f t="shared" si="310"/>
        <v>0_Pre</v>
      </c>
      <c r="AA995" s="10" t="str">
        <f t="shared" si="315"/>
        <v>1_Post</v>
      </c>
      <c r="AB995" s="10" t="str">
        <f t="shared" si="316"/>
        <v>1_Post</v>
      </c>
      <c r="AC995" s="10" t="str">
        <f t="shared" si="317"/>
        <v>0_Pre</v>
      </c>
      <c r="AD995" s="10" t="str">
        <f t="shared" si="318"/>
        <v>1_pre sample median</v>
      </c>
      <c r="AE995" s="10" t="str">
        <f t="shared" si="319"/>
        <v>2_in sample second tertile</v>
      </c>
      <c r="AF995" t="s">
        <v>67</v>
      </c>
      <c r="AG995" t="s">
        <v>75</v>
      </c>
      <c r="AH995" t="s">
        <v>79</v>
      </c>
      <c r="AI995" t="s">
        <v>122</v>
      </c>
      <c r="AJ995" t="s">
        <v>123</v>
      </c>
      <c r="AK995" t="str">
        <f>VLOOKUP(MID($AR995,1,255),country_lookup!$B:$F,2,FALSE)</f>
        <v>1_US</v>
      </c>
      <c r="AL995" t="str">
        <f>VLOOKUP(MID($AR995,1,255),country_lookup!$B:$F,3,FALSE)</f>
        <v>1_developed</v>
      </c>
      <c r="AM995" t="str">
        <f>VLOOKUP(MID($AR995,1,255),country_lookup!$B:$F,4,FALSE)</f>
        <v>1_western</v>
      </c>
      <c r="AN995" t="str">
        <f>VLOOKUP(MID($AR995,1,255),country_lookup!$B:$F,5,FALSE)</f>
        <v>1_common law</v>
      </c>
      <c r="AO995" s="10" t="str">
        <f>VLOOKUP(MID($AS995,1,255),source_lookup!$B:$K,4,FALSE)</f>
        <v>0_published</v>
      </c>
      <c r="AP995" s="10" t="str">
        <f>VLOOKUP(MID($AS995,1,255),source_lookup!$B:$K,6,FALSE)</f>
        <v>1_VHB high</v>
      </c>
      <c r="AQ995" s="10" t="str">
        <f>VLOOKUP(MID($AS995,1,255),source_lookup!$B:$K,10,FALSE)</f>
        <v>1_fin/acc/econ</v>
      </c>
      <c r="AR995" t="s">
        <v>85</v>
      </c>
      <c r="AS995" t="s">
        <v>171</v>
      </c>
    </row>
    <row r="996" spans="1:45" x14ac:dyDescent="0.3">
      <c r="A996" t="s">
        <v>48</v>
      </c>
      <c r="B996">
        <v>995</v>
      </c>
      <c r="C996" s="1">
        <v>-8.5696817658561936E-2</v>
      </c>
      <c r="D996" s="2">
        <v>54</v>
      </c>
      <c r="E996" s="4">
        <v>812</v>
      </c>
      <c r="F996" s="4" t="s">
        <v>346</v>
      </c>
      <c r="G996" s="4" t="s">
        <v>347</v>
      </c>
      <c r="H996" t="s">
        <v>77</v>
      </c>
      <c r="I996" t="s">
        <v>350</v>
      </c>
      <c r="J996" s="3">
        <v>2004</v>
      </c>
      <c r="K996" s="3">
        <v>2018</v>
      </c>
      <c r="L996" s="6">
        <f t="shared" si="311"/>
        <v>2011</v>
      </c>
      <c r="M996" s="6">
        <f t="shared" si="312"/>
        <v>2011</v>
      </c>
      <c r="N996" s="7">
        <f t="shared" si="300"/>
        <v>0.2</v>
      </c>
      <c r="O996" s="7">
        <f t="shared" si="301"/>
        <v>0.13333333333333333</v>
      </c>
      <c r="P996" s="7">
        <f t="shared" si="302"/>
        <v>6.6666666666666666E-2</v>
      </c>
      <c r="Q996" s="7">
        <f t="shared" si="313"/>
        <v>0</v>
      </c>
      <c r="R996" s="10" t="str">
        <f t="shared" si="303"/>
        <v>0_Pre</v>
      </c>
      <c r="S996" s="10" t="str">
        <f t="shared" si="304"/>
        <v>0_Pre</v>
      </c>
      <c r="T996" s="10" t="str">
        <f t="shared" si="305"/>
        <v>0_Pre</v>
      </c>
      <c r="U996" s="10" t="str">
        <f t="shared" si="306"/>
        <v>1_Post</v>
      </c>
      <c r="V996" s="10" t="str">
        <f t="shared" si="314"/>
        <v>0_Pre</v>
      </c>
      <c r="W996" s="10" t="str">
        <f t="shared" si="307"/>
        <v>straddle</v>
      </c>
      <c r="X996" s="10" t="str">
        <f t="shared" si="308"/>
        <v>0_Pre</v>
      </c>
      <c r="Y996" s="10" t="str">
        <f t="shared" si="309"/>
        <v>0_Pre</v>
      </c>
      <c r="Z996" s="10" t="str">
        <f t="shared" si="310"/>
        <v>0_Pre</v>
      </c>
      <c r="AA996" s="10" t="str">
        <f t="shared" si="315"/>
        <v>1_Post</v>
      </c>
      <c r="AB996" s="10" t="str">
        <f t="shared" si="316"/>
        <v>1_Post</v>
      </c>
      <c r="AC996" s="10" t="str">
        <f t="shared" si="317"/>
        <v>0_Pre</v>
      </c>
      <c r="AD996" s="10" t="str">
        <f t="shared" si="318"/>
        <v>1_pre sample median</v>
      </c>
      <c r="AE996" s="10" t="str">
        <f t="shared" si="319"/>
        <v>2_in sample second tertile</v>
      </c>
      <c r="AF996" t="s">
        <v>67</v>
      </c>
      <c r="AG996" t="s">
        <v>75</v>
      </c>
      <c r="AH996" t="s">
        <v>79</v>
      </c>
      <c r="AI996" t="s">
        <v>122</v>
      </c>
      <c r="AJ996" t="s">
        <v>123</v>
      </c>
      <c r="AK996" t="str">
        <f>VLOOKUP(MID($AR996,1,255),country_lookup!$B:$F,2,FALSE)</f>
        <v>1_US</v>
      </c>
      <c r="AL996" t="str">
        <f>VLOOKUP(MID($AR996,1,255),country_lookup!$B:$F,3,FALSE)</f>
        <v>1_developed</v>
      </c>
      <c r="AM996" t="str">
        <f>VLOOKUP(MID($AR996,1,255),country_lookup!$B:$F,4,FALSE)</f>
        <v>1_western</v>
      </c>
      <c r="AN996" t="str">
        <f>VLOOKUP(MID($AR996,1,255),country_lookup!$B:$F,5,FALSE)</f>
        <v>1_common law</v>
      </c>
      <c r="AO996" s="10" t="str">
        <f>VLOOKUP(MID($AS996,1,255),source_lookup!$B:$K,4,FALSE)</f>
        <v>0_published</v>
      </c>
      <c r="AP996" s="10" t="str">
        <f>VLOOKUP(MID($AS996,1,255),source_lookup!$B:$K,6,FALSE)</f>
        <v>1_VHB high</v>
      </c>
      <c r="AQ996" s="10" t="str">
        <f>VLOOKUP(MID($AS996,1,255),source_lookup!$B:$K,10,FALSE)</f>
        <v>1_fin/acc/econ</v>
      </c>
      <c r="AR996" t="s">
        <v>85</v>
      </c>
      <c r="AS996" t="s">
        <v>171</v>
      </c>
    </row>
    <row r="997" spans="1:45" x14ac:dyDescent="0.3">
      <c r="A997" t="s">
        <v>48</v>
      </c>
      <c r="B997">
        <v>996</v>
      </c>
      <c r="C997" s="1">
        <v>-2.8990098890410137E-2</v>
      </c>
      <c r="D997" s="2">
        <v>60</v>
      </c>
      <c r="E997" s="4">
        <v>904</v>
      </c>
      <c r="F997" s="4" t="s">
        <v>346</v>
      </c>
      <c r="G997" s="4" t="s">
        <v>347</v>
      </c>
      <c r="H997" t="s">
        <v>77</v>
      </c>
      <c r="I997" t="s">
        <v>350</v>
      </c>
      <c r="J997" s="3">
        <v>2004</v>
      </c>
      <c r="K997" s="3">
        <v>2018</v>
      </c>
      <c r="L997" s="6">
        <f t="shared" si="311"/>
        <v>2011</v>
      </c>
      <c r="M997" s="6">
        <f t="shared" si="312"/>
        <v>2011</v>
      </c>
      <c r="N997" s="7">
        <f t="shared" si="300"/>
        <v>0.2</v>
      </c>
      <c r="O997" s="7">
        <f t="shared" si="301"/>
        <v>0.13333333333333333</v>
      </c>
      <c r="P997" s="7">
        <f t="shared" si="302"/>
        <v>6.6666666666666666E-2</v>
      </c>
      <c r="Q997" s="7">
        <f t="shared" si="313"/>
        <v>0</v>
      </c>
      <c r="R997" s="10" t="str">
        <f t="shared" si="303"/>
        <v>0_Pre</v>
      </c>
      <c r="S997" s="10" t="str">
        <f t="shared" si="304"/>
        <v>0_Pre</v>
      </c>
      <c r="T997" s="10" t="str">
        <f t="shared" si="305"/>
        <v>0_Pre</v>
      </c>
      <c r="U997" s="10" t="str">
        <f t="shared" si="306"/>
        <v>1_Post</v>
      </c>
      <c r="V997" s="10" t="str">
        <f t="shared" si="314"/>
        <v>0_Pre</v>
      </c>
      <c r="W997" s="10" t="str">
        <f t="shared" si="307"/>
        <v>straddle</v>
      </c>
      <c r="X997" s="10" t="str">
        <f t="shared" si="308"/>
        <v>0_Pre</v>
      </c>
      <c r="Y997" s="10" t="str">
        <f t="shared" si="309"/>
        <v>0_Pre</v>
      </c>
      <c r="Z997" s="10" t="str">
        <f t="shared" si="310"/>
        <v>0_Pre</v>
      </c>
      <c r="AA997" s="10" t="str">
        <f t="shared" si="315"/>
        <v>1_Post</v>
      </c>
      <c r="AB997" s="10" t="str">
        <f t="shared" si="316"/>
        <v>1_Post</v>
      </c>
      <c r="AC997" s="10" t="str">
        <f t="shared" si="317"/>
        <v>0_Pre</v>
      </c>
      <c r="AD997" s="10" t="str">
        <f t="shared" si="318"/>
        <v>1_pre sample median</v>
      </c>
      <c r="AE997" s="10" t="str">
        <f t="shared" si="319"/>
        <v>2_in sample second tertile</v>
      </c>
      <c r="AF997" t="s">
        <v>67</v>
      </c>
      <c r="AG997" t="s">
        <v>75</v>
      </c>
      <c r="AH997" t="s">
        <v>79</v>
      </c>
      <c r="AI997" t="s">
        <v>122</v>
      </c>
      <c r="AJ997" t="s">
        <v>123</v>
      </c>
      <c r="AK997" t="str">
        <f>VLOOKUP(MID($AR997,1,255),country_lookup!$B:$F,2,FALSE)</f>
        <v>1_US</v>
      </c>
      <c r="AL997" t="str">
        <f>VLOOKUP(MID($AR997,1,255),country_lookup!$B:$F,3,FALSE)</f>
        <v>1_developed</v>
      </c>
      <c r="AM997" t="str">
        <f>VLOOKUP(MID($AR997,1,255),country_lookup!$B:$F,4,FALSE)</f>
        <v>1_western</v>
      </c>
      <c r="AN997" t="str">
        <f>VLOOKUP(MID($AR997,1,255),country_lookup!$B:$F,5,FALSE)</f>
        <v>1_common law</v>
      </c>
      <c r="AO997" s="10" t="str">
        <f>VLOOKUP(MID($AS997,1,255),source_lookup!$B:$K,4,FALSE)</f>
        <v>0_published</v>
      </c>
      <c r="AP997" s="10" t="str">
        <f>VLOOKUP(MID($AS997,1,255),source_lookup!$B:$K,6,FALSE)</f>
        <v>1_VHB high</v>
      </c>
      <c r="AQ997" s="10" t="str">
        <f>VLOOKUP(MID($AS997,1,255),source_lookup!$B:$K,10,FALSE)</f>
        <v>1_fin/acc/econ</v>
      </c>
      <c r="AR997" t="s">
        <v>85</v>
      </c>
      <c r="AS997" t="s">
        <v>171</v>
      </c>
    </row>
    <row r="998" spans="1:45" x14ac:dyDescent="0.3">
      <c r="A998" t="s">
        <v>48</v>
      </c>
      <c r="B998">
        <v>997</v>
      </c>
      <c r="C998" s="1">
        <v>-5.731539566647962E-2</v>
      </c>
      <c r="D998" s="2">
        <v>189</v>
      </c>
      <c r="E998" s="4">
        <v>2841</v>
      </c>
      <c r="F998" s="4" t="s">
        <v>346</v>
      </c>
      <c r="G998" s="4" t="s">
        <v>347</v>
      </c>
      <c r="H998" t="s">
        <v>77</v>
      </c>
      <c r="I998" t="s">
        <v>350</v>
      </c>
      <c r="J998" s="3">
        <v>2004</v>
      </c>
      <c r="K998" s="3">
        <v>2018</v>
      </c>
      <c r="L998" s="6">
        <f t="shared" si="311"/>
        <v>2011</v>
      </c>
      <c r="M998" s="6">
        <f t="shared" si="312"/>
        <v>2011</v>
      </c>
      <c r="N998" s="7">
        <f t="shared" si="300"/>
        <v>0.2</v>
      </c>
      <c r="O998" s="7">
        <f t="shared" si="301"/>
        <v>0.13333333333333333</v>
      </c>
      <c r="P998" s="7">
        <f t="shared" si="302"/>
        <v>6.6666666666666666E-2</v>
      </c>
      <c r="Q998" s="7">
        <f t="shared" si="313"/>
        <v>0</v>
      </c>
      <c r="R998" s="10" t="str">
        <f t="shared" si="303"/>
        <v>0_Pre</v>
      </c>
      <c r="S998" s="10" t="str">
        <f t="shared" si="304"/>
        <v>0_Pre</v>
      </c>
      <c r="T998" s="10" t="str">
        <f t="shared" si="305"/>
        <v>0_Pre</v>
      </c>
      <c r="U998" s="10" t="str">
        <f t="shared" si="306"/>
        <v>1_Post</v>
      </c>
      <c r="V998" s="10" t="str">
        <f t="shared" si="314"/>
        <v>0_Pre</v>
      </c>
      <c r="W998" s="10" t="str">
        <f t="shared" si="307"/>
        <v>straddle</v>
      </c>
      <c r="X998" s="10" t="str">
        <f t="shared" si="308"/>
        <v>0_Pre</v>
      </c>
      <c r="Y998" s="10" t="str">
        <f t="shared" si="309"/>
        <v>0_Pre</v>
      </c>
      <c r="Z998" s="10" t="str">
        <f t="shared" si="310"/>
        <v>0_Pre</v>
      </c>
      <c r="AA998" s="10" t="str">
        <f t="shared" si="315"/>
        <v>1_Post</v>
      </c>
      <c r="AB998" s="10" t="str">
        <f t="shared" si="316"/>
        <v>1_Post</v>
      </c>
      <c r="AC998" s="10" t="str">
        <f t="shared" si="317"/>
        <v>0_Pre</v>
      </c>
      <c r="AD998" s="10" t="str">
        <f t="shared" si="318"/>
        <v>1_pre sample median</v>
      </c>
      <c r="AE998" s="10" t="str">
        <f t="shared" si="319"/>
        <v>2_in sample second tertile</v>
      </c>
      <c r="AF998" t="s">
        <v>67</v>
      </c>
      <c r="AG998" t="s">
        <v>75</v>
      </c>
      <c r="AH998" t="s">
        <v>79</v>
      </c>
      <c r="AI998" t="s">
        <v>122</v>
      </c>
      <c r="AJ998" t="s">
        <v>123</v>
      </c>
      <c r="AK998" t="str">
        <f>VLOOKUP(MID($AR998,1,255),country_lookup!$B:$F,2,FALSE)</f>
        <v>1_US</v>
      </c>
      <c r="AL998" t="str">
        <f>VLOOKUP(MID($AR998,1,255),country_lookup!$B:$F,3,FALSE)</f>
        <v>1_developed</v>
      </c>
      <c r="AM998" t="str">
        <f>VLOOKUP(MID($AR998,1,255),country_lookup!$B:$F,4,FALSE)</f>
        <v>1_western</v>
      </c>
      <c r="AN998" t="str">
        <f>VLOOKUP(MID($AR998,1,255),country_lookup!$B:$F,5,FALSE)</f>
        <v>1_common law</v>
      </c>
      <c r="AO998" s="10" t="str">
        <f>VLOOKUP(MID($AS998,1,255),source_lookup!$B:$K,4,FALSE)</f>
        <v>0_published</v>
      </c>
      <c r="AP998" s="10" t="str">
        <f>VLOOKUP(MID($AS998,1,255),source_lookup!$B:$K,6,FALSE)</f>
        <v>1_VHB high</v>
      </c>
      <c r="AQ998" s="10" t="str">
        <f>VLOOKUP(MID($AS998,1,255),source_lookup!$B:$K,10,FALSE)</f>
        <v>1_fin/acc/econ</v>
      </c>
      <c r="AR998" t="s">
        <v>85</v>
      </c>
      <c r="AS998" t="s">
        <v>171</v>
      </c>
    </row>
    <row r="999" spans="1:45" x14ac:dyDescent="0.3">
      <c r="A999" t="s">
        <v>48</v>
      </c>
      <c r="B999">
        <v>998</v>
      </c>
      <c r="C999" s="1">
        <v>-7.9679299869556963E-2</v>
      </c>
      <c r="D999" s="2">
        <v>160</v>
      </c>
      <c r="E999" s="4">
        <v>2405</v>
      </c>
      <c r="F999" s="4" t="s">
        <v>346</v>
      </c>
      <c r="G999" s="4" t="s">
        <v>347</v>
      </c>
      <c r="H999" t="s">
        <v>77</v>
      </c>
      <c r="I999" t="s">
        <v>350</v>
      </c>
      <c r="J999" s="3">
        <v>2004</v>
      </c>
      <c r="K999" s="3">
        <v>2018</v>
      </c>
      <c r="L999" s="6">
        <f t="shared" si="311"/>
        <v>2011</v>
      </c>
      <c r="M999" s="6">
        <f t="shared" si="312"/>
        <v>2011</v>
      </c>
      <c r="N999" s="7">
        <f t="shared" si="300"/>
        <v>0.2</v>
      </c>
      <c r="O999" s="7">
        <f t="shared" si="301"/>
        <v>0.13333333333333333</v>
      </c>
      <c r="P999" s="7">
        <f t="shared" si="302"/>
        <v>6.6666666666666666E-2</v>
      </c>
      <c r="Q999" s="7">
        <f t="shared" si="313"/>
        <v>0</v>
      </c>
      <c r="R999" s="10" t="str">
        <f t="shared" si="303"/>
        <v>0_Pre</v>
      </c>
      <c r="S999" s="10" t="str">
        <f t="shared" si="304"/>
        <v>0_Pre</v>
      </c>
      <c r="T999" s="10" t="str">
        <f t="shared" si="305"/>
        <v>0_Pre</v>
      </c>
      <c r="U999" s="10" t="str">
        <f t="shared" si="306"/>
        <v>1_Post</v>
      </c>
      <c r="V999" s="10" t="str">
        <f t="shared" si="314"/>
        <v>0_Pre</v>
      </c>
      <c r="W999" s="10" t="str">
        <f t="shared" si="307"/>
        <v>straddle</v>
      </c>
      <c r="X999" s="10" t="str">
        <f t="shared" si="308"/>
        <v>0_Pre</v>
      </c>
      <c r="Y999" s="10" t="str">
        <f t="shared" si="309"/>
        <v>0_Pre</v>
      </c>
      <c r="Z999" s="10" t="str">
        <f t="shared" si="310"/>
        <v>0_Pre</v>
      </c>
      <c r="AA999" s="10" t="str">
        <f t="shared" si="315"/>
        <v>1_Post</v>
      </c>
      <c r="AB999" s="10" t="str">
        <f t="shared" si="316"/>
        <v>1_Post</v>
      </c>
      <c r="AC999" s="10" t="str">
        <f t="shared" si="317"/>
        <v>0_Pre</v>
      </c>
      <c r="AD999" s="10" t="str">
        <f t="shared" si="318"/>
        <v>1_pre sample median</v>
      </c>
      <c r="AE999" s="10" t="str">
        <f t="shared" si="319"/>
        <v>2_in sample second tertile</v>
      </c>
      <c r="AF999" t="s">
        <v>67</v>
      </c>
      <c r="AG999" t="s">
        <v>75</v>
      </c>
      <c r="AH999" t="s">
        <v>79</v>
      </c>
      <c r="AI999" t="s">
        <v>122</v>
      </c>
      <c r="AJ999" t="s">
        <v>123</v>
      </c>
      <c r="AK999" t="str">
        <f>VLOOKUP(MID($AR999,1,255),country_lookup!$B:$F,2,FALSE)</f>
        <v>1_US</v>
      </c>
      <c r="AL999" t="str">
        <f>VLOOKUP(MID($AR999,1,255),country_lookup!$B:$F,3,FALSE)</f>
        <v>1_developed</v>
      </c>
      <c r="AM999" t="str">
        <f>VLOOKUP(MID($AR999,1,255),country_lookup!$B:$F,4,FALSE)</f>
        <v>1_western</v>
      </c>
      <c r="AN999" t="str">
        <f>VLOOKUP(MID($AR999,1,255),country_lookup!$B:$F,5,FALSE)</f>
        <v>1_common law</v>
      </c>
      <c r="AO999" s="10" t="str">
        <f>VLOOKUP(MID($AS999,1,255),source_lookup!$B:$K,4,FALSE)</f>
        <v>0_published</v>
      </c>
      <c r="AP999" s="10" t="str">
        <f>VLOOKUP(MID($AS999,1,255),source_lookup!$B:$K,6,FALSE)</f>
        <v>1_VHB high</v>
      </c>
      <c r="AQ999" s="10" t="str">
        <f>VLOOKUP(MID($AS999,1,255),source_lookup!$B:$K,10,FALSE)</f>
        <v>1_fin/acc/econ</v>
      </c>
      <c r="AR999" t="s">
        <v>85</v>
      </c>
      <c r="AS999" t="s">
        <v>171</v>
      </c>
    </row>
    <row r="1000" spans="1:45" x14ac:dyDescent="0.3">
      <c r="A1000" t="s">
        <v>48</v>
      </c>
      <c r="B1000">
        <v>999</v>
      </c>
      <c r="C1000" s="1">
        <v>2.3077425901468452E-3</v>
      </c>
      <c r="D1000" s="2">
        <v>151</v>
      </c>
      <c r="E1000" s="4">
        <v>2272</v>
      </c>
      <c r="F1000" s="4" t="s">
        <v>346</v>
      </c>
      <c r="G1000" s="4" t="s">
        <v>347</v>
      </c>
      <c r="H1000" t="s">
        <v>77</v>
      </c>
      <c r="I1000" t="s">
        <v>350</v>
      </c>
      <c r="J1000" s="3">
        <v>2004</v>
      </c>
      <c r="K1000" s="3">
        <v>2018</v>
      </c>
      <c r="L1000" s="6">
        <f t="shared" si="311"/>
        <v>2011</v>
      </c>
      <c r="M1000" s="6">
        <f t="shared" si="312"/>
        <v>2011</v>
      </c>
      <c r="N1000" s="7">
        <f t="shared" si="300"/>
        <v>0.2</v>
      </c>
      <c r="O1000" s="7">
        <f t="shared" si="301"/>
        <v>0.13333333333333333</v>
      </c>
      <c r="P1000" s="7">
        <f t="shared" si="302"/>
        <v>6.6666666666666666E-2</v>
      </c>
      <c r="Q1000" s="7">
        <f t="shared" si="313"/>
        <v>0</v>
      </c>
      <c r="R1000" s="10" t="str">
        <f t="shared" si="303"/>
        <v>0_Pre</v>
      </c>
      <c r="S1000" s="10" t="str">
        <f t="shared" si="304"/>
        <v>0_Pre</v>
      </c>
      <c r="T1000" s="10" t="str">
        <f t="shared" si="305"/>
        <v>0_Pre</v>
      </c>
      <c r="U1000" s="10" t="str">
        <f t="shared" si="306"/>
        <v>1_Post</v>
      </c>
      <c r="V1000" s="10" t="str">
        <f t="shared" si="314"/>
        <v>0_Pre</v>
      </c>
      <c r="W1000" s="10" t="str">
        <f t="shared" si="307"/>
        <v>straddle</v>
      </c>
      <c r="X1000" s="10" t="str">
        <f t="shared" si="308"/>
        <v>0_Pre</v>
      </c>
      <c r="Y1000" s="10" t="str">
        <f t="shared" si="309"/>
        <v>0_Pre</v>
      </c>
      <c r="Z1000" s="10" t="str">
        <f t="shared" si="310"/>
        <v>0_Pre</v>
      </c>
      <c r="AA1000" s="10" t="str">
        <f t="shared" si="315"/>
        <v>1_Post</v>
      </c>
      <c r="AB1000" s="10" t="str">
        <f t="shared" si="316"/>
        <v>1_Post</v>
      </c>
      <c r="AC1000" s="10" t="str">
        <f t="shared" si="317"/>
        <v>0_Pre</v>
      </c>
      <c r="AD1000" s="10" t="str">
        <f t="shared" si="318"/>
        <v>1_pre sample median</v>
      </c>
      <c r="AE1000" s="10" t="str">
        <f t="shared" si="319"/>
        <v>2_in sample second tertile</v>
      </c>
      <c r="AF1000" t="s">
        <v>67</v>
      </c>
      <c r="AG1000" t="s">
        <v>75</v>
      </c>
      <c r="AH1000" t="s">
        <v>79</v>
      </c>
      <c r="AI1000" t="s">
        <v>122</v>
      </c>
      <c r="AJ1000" t="s">
        <v>123</v>
      </c>
      <c r="AK1000" t="str">
        <f>VLOOKUP(MID($AR1000,1,255),country_lookup!$B:$F,2,FALSE)</f>
        <v>1_US</v>
      </c>
      <c r="AL1000" t="str">
        <f>VLOOKUP(MID($AR1000,1,255),country_lookup!$B:$F,3,FALSE)</f>
        <v>1_developed</v>
      </c>
      <c r="AM1000" t="str">
        <f>VLOOKUP(MID($AR1000,1,255),country_lookup!$B:$F,4,FALSE)</f>
        <v>1_western</v>
      </c>
      <c r="AN1000" t="str">
        <f>VLOOKUP(MID($AR1000,1,255),country_lookup!$B:$F,5,FALSE)</f>
        <v>1_common law</v>
      </c>
      <c r="AO1000" s="10" t="str">
        <f>VLOOKUP(MID($AS1000,1,255),source_lookup!$B:$K,4,FALSE)</f>
        <v>0_published</v>
      </c>
      <c r="AP1000" s="10" t="str">
        <f>VLOOKUP(MID($AS1000,1,255),source_lookup!$B:$K,6,FALSE)</f>
        <v>1_VHB high</v>
      </c>
      <c r="AQ1000" s="10" t="str">
        <f>VLOOKUP(MID($AS1000,1,255),source_lookup!$B:$K,10,FALSE)</f>
        <v>1_fin/acc/econ</v>
      </c>
      <c r="AR1000" t="s">
        <v>85</v>
      </c>
      <c r="AS1000" t="s">
        <v>171</v>
      </c>
    </row>
    <row r="1001" spans="1:45" x14ac:dyDescent="0.3">
      <c r="A1001" t="s">
        <v>48</v>
      </c>
      <c r="B1001">
        <v>1000</v>
      </c>
      <c r="C1001" s="1">
        <v>-8.0247491844472149E-2</v>
      </c>
      <c r="D1001" s="2">
        <v>208</v>
      </c>
      <c r="E1001" s="4">
        <v>3116</v>
      </c>
      <c r="F1001" s="4" t="s">
        <v>346</v>
      </c>
      <c r="G1001" s="4" t="s">
        <v>347</v>
      </c>
      <c r="H1001" t="s">
        <v>77</v>
      </c>
      <c r="I1001" t="s">
        <v>350</v>
      </c>
      <c r="J1001" s="3">
        <v>2004</v>
      </c>
      <c r="K1001" s="3">
        <v>2018</v>
      </c>
      <c r="L1001" s="6">
        <f t="shared" si="311"/>
        <v>2011</v>
      </c>
      <c r="M1001" s="6">
        <f t="shared" si="312"/>
        <v>2011</v>
      </c>
      <c r="N1001" s="7">
        <f t="shared" si="300"/>
        <v>0.2</v>
      </c>
      <c r="O1001" s="7">
        <f t="shared" si="301"/>
        <v>0.13333333333333333</v>
      </c>
      <c r="P1001" s="7">
        <f t="shared" si="302"/>
        <v>6.6666666666666666E-2</v>
      </c>
      <c r="Q1001" s="7">
        <f t="shared" si="313"/>
        <v>0</v>
      </c>
      <c r="R1001" s="10" t="str">
        <f t="shared" si="303"/>
        <v>0_Pre</v>
      </c>
      <c r="S1001" s="10" t="str">
        <f t="shared" si="304"/>
        <v>0_Pre</v>
      </c>
      <c r="T1001" s="10" t="str">
        <f t="shared" si="305"/>
        <v>0_Pre</v>
      </c>
      <c r="U1001" s="10" t="str">
        <f t="shared" si="306"/>
        <v>1_Post</v>
      </c>
      <c r="V1001" s="10" t="str">
        <f t="shared" si="314"/>
        <v>0_Pre</v>
      </c>
      <c r="W1001" s="10" t="str">
        <f t="shared" si="307"/>
        <v>straddle</v>
      </c>
      <c r="X1001" s="10" t="str">
        <f t="shared" si="308"/>
        <v>0_Pre</v>
      </c>
      <c r="Y1001" s="10" t="str">
        <f t="shared" si="309"/>
        <v>0_Pre</v>
      </c>
      <c r="Z1001" s="10" t="str">
        <f t="shared" si="310"/>
        <v>0_Pre</v>
      </c>
      <c r="AA1001" s="10" t="str">
        <f t="shared" si="315"/>
        <v>1_Post</v>
      </c>
      <c r="AB1001" s="10" t="str">
        <f t="shared" si="316"/>
        <v>1_Post</v>
      </c>
      <c r="AC1001" s="10" t="str">
        <f t="shared" si="317"/>
        <v>0_Pre</v>
      </c>
      <c r="AD1001" s="10" t="str">
        <f t="shared" si="318"/>
        <v>1_pre sample median</v>
      </c>
      <c r="AE1001" s="10" t="str">
        <f t="shared" si="319"/>
        <v>2_in sample second tertile</v>
      </c>
      <c r="AF1001" t="s">
        <v>67</v>
      </c>
      <c r="AG1001" t="s">
        <v>75</v>
      </c>
      <c r="AH1001" t="s">
        <v>79</v>
      </c>
      <c r="AI1001" t="s">
        <v>122</v>
      </c>
      <c r="AJ1001" t="s">
        <v>123</v>
      </c>
      <c r="AK1001" t="str">
        <f>VLOOKUP(MID($AR1001,1,255),country_lookup!$B:$F,2,FALSE)</f>
        <v>1_US</v>
      </c>
      <c r="AL1001" t="str">
        <f>VLOOKUP(MID($AR1001,1,255),country_lookup!$B:$F,3,FALSE)</f>
        <v>1_developed</v>
      </c>
      <c r="AM1001" t="str">
        <f>VLOOKUP(MID($AR1001,1,255),country_lookup!$B:$F,4,FALSE)</f>
        <v>1_western</v>
      </c>
      <c r="AN1001" t="str">
        <f>VLOOKUP(MID($AR1001,1,255),country_lookup!$B:$F,5,FALSE)</f>
        <v>1_common law</v>
      </c>
      <c r="AO1001" s="10" t="str">
        <f>VLOOKUP(MID($AS1001,1,255),source_lookup!$B:$K,4,FALSE)</f>
        <v>0_published</v>
      </c>
      <c r="AP1001" s="10" t="str">
        <f>VLOOKUP(MID($AS1001,1,255),source_lookup!$B:$K,6,FALSE)</f>
        <v>1_VHB high</v>
      </c>
      <c r="AQ1001" s="10" t="str">
        <f>VLOOKUP(MID($AS1001,1,255),source_lookup!$B:$K,10,FALSE)</f>
        <v>1_fin/acc/econ</v>
      </c>
      <c r="AR1001" t="s">
        <v>85</v>
      </c>
      <c r="AS1001" t="s">
        <v>171</v>
      </c>
    </row>
    <row r="1002" spans="1:45" x14ac:dyDescent="0.3">
      <c r="A1002" t="s">
        <v>48</v>
      </c>
      <c r="B1002">
        <v>1001</v>
      </c>
      <c r="C1002" s="1">
        <v>-7.0183634607355203E-2</v>
      </c>
      <c r="D1002" s="2">
        <v>177</v>
      </c>
      <c r="E1002" s="4">
        <v>2659</v>
      </c>
      <c r="F1002" s="4" t="s">
        <v>346</v>
      </c>
      <c r="G1002" s="4" t="s">
        <v>347</v>
      </c>
      <c r="H1002" t="s">
        <v>77</v>
      </c>
      <c r="I1002" t="s">
        <v>350</v>
      </c>
      <c r="J1002" s="3">
        <v>2004</v>
      </c>
      <c r="K1002" s="3">
        <v>2018</v>
      </c>
      <c r="L1002" s="6">
        <f t="shared" si="311"/>
        <v>2011</v>
      </c>
      <c r="M1002" s="6">
        <f t="shared" si="312"/>
        <v>2011</v>
      </c>
      <c r="N1002" s="7">
        <f t="shared" si="300"/>
        <v>0.2</v>
      </c>
      <c r="O1002" s="7">
        <f t="shared" si="301"/>
        <v>0.13333333333333333</v>
      </c>
      <c r="P1002" s="7">
        <f t="shared" si="302"/>
        <v>6.6666666666666666E-2</v>
      </c>
      <c r="Q1002" s="7">
        <f t="shared" si="313"/>
        <v>0</v>
      </c>
      <c r="R1002" s="10" t="str">
        <f t="shared" si="303"/>
        <v>0_Pre</v>
      </c>
      <c r="S1002" s="10" t="str">
        <f t="shared" si="304"/>
        <v>0_Pre</v>
      </c>
      <c r="T1002" s="10" t="str">
        <f t="shared" si="305"/>
        <v>0_Pre</v>
      </c>
      <c r="U1002" s="10" t="str">
        <f t="shared" si="306"/>
        <v>1_Post</v>
      </c>
      <c r="V1002" s="10" t="str">
        <f t="shared" si="314"/>
        <v>0_Pre</v>
      </c>
      <c r="W1002" s="10" t="str">
        <f t="shared" si="307"/>
        <v>straddle</v>
      </c>
      <c r="X1002" s="10" t="str">
        <f t="shared" si="308"/>
        <v>0_Pre</v>
      </c>
      <c r="Y1002" s="10" t="str">
        <f t="shared" si="309"/>
        <v>0_Pre</v>
      </c>
      <c r="Z1002" s="10" t="str">
        <f t="shared" si="310"/>
        <v>0_Pre</v>
      </c>
      <c r="AA1002" s="10" t="str">
        <f t="shared" si="315"/>
        <v>1_Post</v>
      </c>
      <c r="AB1002" s="10" t="str">
        <f t="shared" si="316"/>
        <v>1_Post</v>
      </c>
      <c r="AC1002" s="10" t="str">
        <f t="shared" si="317"/>
        <v>0_Pre</v>
      </c>
      <c r="AD1002" s="10" t="str">
        <f t="shared" si="318"/>
        <v>1_pre sample median</v>
      </c>
      <c r="AE1002" s="10" t="str">
        <f t="shared" si="319"/>
        <v>2_in sample second tertile</v>
      </c>
      <c r="AF1002" t="s">
        <v>67</v>
      </c>
      <c r="AG1002" t="s">
        <v>75</v>
      </c>
      <c r="AH1002" t="s">
        <v>79</v>
      </c>
      <c r="AI1002" t="s">
        <v>122</v>
      </c>
      <c r="AJ1002" t="s">
        <v>123</v>
      </c>
      <c r="AK1002" t="str">
        <f>VLOOKUP(MID($AR1002,1,255),country_lookup!$B:$F,2,FALSE)</f>
        <v>1_US</v>
      </c>
      <c r="AL1002" t="str">
        <f>VLOOKUP(MID($AR1002,1,255),country_lookup!$B:$F,3,FALSE)</f>
        <v>1_developed</v>
      </c>
      <c r="AM1002" t="str">
        <f>VLOOKUP(MID($AR1002,1,255),country_lookup!$B:$F,4,FALSE)</f>
        <v>1_western</v>
      </c>
      <c r="AN1002" t="str">
        <f>VLOOKUP(MID($AR1002,1,255),country_lookup!$B:$F,5,FALSE)</f>
        <v>1_common law</v>
      </c>
      <c r="AO1002" s="10" t="str">
        <f>VLOOKUP(MID($AS1002,1,255),source_lookup!$B:$K,4,FALSE)</f>
        <v>0_published</v>
      </c>
      <c r="AP1002" s="10" t="str">
        <f>VLOOKUP(MID($AS1002,1,255),source_lookup!$B:$K,6,FALSE)</f>
        <v>1_VHB high</v>
      </c>
      <c r="AQ1002" s="10" t="str">
        <f>VLOOKUP(MID($AS1002,1,255),source_lookup!$B:$K,10,FALSE)</f>
        <v>1_fin/acc/econ</v>
      </c>
      <c r="AR1002" t="s">
        <v>85</v>
      </c>
      <c r="AS1002" t="s">
        <v>171</v>
      </c>
    </row>
    <row r="1003" spans="1:45" x14ac:dyDescent="0.3">
      <c r="A1003" t="s">
        <v>48</v>
      </c>
      <c r="B1003">
        <v>1002</v>
      </c>
      <c r="C1003" s="1">
        <v>-2.5091929582562192E-2</v>
      </c>
      <c r="D1003" s="2">
        <v>169</v>
      </c>
      <c r="E1003" s="4">
        <v>2528</v>
      </c>
      <c r="F1003" s="4" t="s">
        <v>346</v>
      </c>
      <c r="G1003" s="4" t="s">
        <v>347</v>
      </c>
      <c r="H1003" t="s">
        <v>77</v>
      </c>
      <c r="I1003" t="s">
        <v>350</v>
      </c>
      <c r="J1003" s="3">
        <v>2004</v>
      </c>
      <c r="K1003" s="3">
        <v>2018</v>
      </c>
      <c r="L1003" s="6">
        <f t="shared" si="311"/>
        <v>2011</v>
      </c>
      <c r="M1003" s="6">
        <f t="shared" si="312"/>
        <v>2011</v>
      </c>
      <c r="N1003" s="7">
        <f t="shared" si="300"/>
        <v>0.2</v>
      </c>
      <c r="O1003" s="7">
        <f t="shared" si="301"/>
        <v>0.13333333333333333</v>
      </c>
      <c r="P1003" s="7">
        <f t="shared" si="302"/>
        <v>6.6666666666666666E-2</v>
      </c>
      <c r="Q1003" s="7">
        <f t="shared" si="313"/>
        <v>0</v>
      </c>
      <c r="R1003" s="10" t="str">
        <f t="shared" si="303"/>
        <v>0_Pre</v>
      </c>
      <c r="S1003" s="10" t="str">
        <f t="shared" si="304"/>
        <v>0_Pre</v>
      </c>
      <c r="T1003" s="10" t="str">
        <f t="shared" si="305"/>
        <v>0_Pre</v>
      </c>
      <c r="U1003" s="10" t="str">
        <f t="shared" si="306"/>
        <v>1_Post</v>
      </c>
      <c r="V1003" s="10" t="str">
        <f t="shared" si="314"/>
        <v>0_Pre</v>
      </c>
      <c r="W1003" s="10" t="str">
        <f t="shared" si="307"/>
        <v>straddle</v>
      </c>
      <c r="X1003" s="10" t="str">
        <f t="shared" si="308"/>
        <v>0_Pre</v>
      </c>
      <c r="Y1003" s="10" t="str">
        <f t="shared" si="309"/>
        <v>0_Pre</v>
      </c>
      <c r="Z1003" s="10" t="str">
        <f t="shared" si="310"/>
        <v>0_Pre</v>
      </c>
      <c r="AA1003" s="10" t="str">
        <f t="shared" si="315"/>
        <v>1_Post</v>
      </c>
      <c r="AB1003" s="10" t="str">
        <f t="shared" si="316"/>
        <v>1_Post</v>
      </c>
      <c r="AC1003" s="10" t="str">
        <f t="shared" si="317"/>
        <v>0_Pre</v>
      </c>
      <c r="AD1003" s="10" t="str">
        <f t="shared" si="318"/>
        <v>1_pre sample median</v>
      </c>
      <c r="AE1003" s="10" t="str">
        <f t="shared" si="319"/>
        <v>2_in sample second tertile</v>
      </c>
      <c r="AF1003" t="s">
        <v>67</v>
      </c>
      <c r="AG1003" t="s">
        <v>75</v>
      </c>
      <c r="AH1003" t="s">
        <v>79</v>
      </c>
      <c r="AI1003" t="s">
        <v>122</v>
      </c>
      <c r="AJ1003" t="s">
        <v>123</v>
      </c>
      <c r="AK1003" t="str">
        <f>VLOOKUP(MID($AR1003,1,255),country_lookup!$B:$F,2,FALSE)</f>
        <v>1_US</v>
      </c>
      <c r="AL1003" t="str">
        <f>VLOOKUP(MID($AR1003,1,255),country_lookup!$B:$F,3,FALSE)</f>
        <v>1_developed</v>
      </c>
      <c r="AM1003" t="str">
        <f>VLOOKUP(MID($AR1003,1,255),country_lookup!$B:$F,4,FALSE)</f>
        <v>1_western</v>
      </c>
      <c r="AN1003" t="str">
        <f>VLOOKUP(MID($AR1003,1,255),country_lookup!$B:$F,5,FALSE)</f>
        <v>1_common law</v>
      </c>
      <c r="AO1003" s="10" t="str">
        <f>VLOOKUP(MID($AS1003,1,255),source_lookup!$B:$K,4,FALSE)</f>
        <v>0_published</v>
      </c>
      <c r="AP1003" s="10" t="str">
        <f>VLOOKUP(MID($AS1003,1,255),source_lookup!$B:$K,6,FALSE)</f>
        <v>1_VHB high</v>
      </c>
      <c r="AQ1003" s="10" t="str">
        <f>VLOOKUP(MID($AS1003,1,255),source_lookup!$B:$K,10,FALSE)</f>
        <v>1_fin/acc/econ</v>
      </c>
      <c r="AR1003" t="s">
        <v>85</v>
      </c>
      <c r="AS1003" t="s">
        <v>171</v>
      </c>
    </row>
    <row r="1004" spans="1:45" x14ac:dyDescent="0.3">
      <c r="A1004" t="s">
        <v>48</v>
      </c>
      <c r="B1004">
        <v>1003</v>
      </c>
      <c r="C1004" s="1">
        <v>-6.3289693000149666E-2</v>
      </c>
      <c r="D1004" s="2">
        <v>208</v>
      </c>
      <c r="E1004" s="4">
        <v>3116</v>
      </c>
      <c r="F1004" s="4" t="s">
        <v>346</v>
      </c>
      <c r="G1004" s="4" t="s">
        <v>347</v>
      </c>
      <c r="H1004" t="s">
        <v>77</v>
      </c>
      <c r="I1004" t="s">
        <v>350</v>
      </c>
      <c r="J1004" s="3">
        <v>2004</v>
      </c>
      <c r="K1004" s="3">
        <v>2018</v>
      </c>
      <c r="L1004" s="6">
        <f t="shared" si="311"/>
        <v>2011</v>
      </c>
      <c r="M1004" s="6">
        <f t="shared" si="312"/>
        <v>2011</v>
      </c>
      <c r="N1004" s="7">
        <f t="shared" si="300"/>
        <v>0.2</v>
      </c>
      <c r="O1004" s="7">
        <f t="shared" si="301"/>
        <v>0.13333333333333333</v>
      </c>
      <c r="P1004" s="7">
        <f t="shared" si="302"/>
        <v>6.6666666666666666E-2</v>
      </c>
      <c r="Q1004" s="7">
        <f t="shared" si="313"/>
        <v>0</v>
      </c>
      <c r="R1004" s="10" t="str">
        <f t="shared" si="303"/>
        <v>0_Pre</v>
      </c>
      <c r="S1004" s="10" t="str">
        <f t="shared" si="304"/>
        <v>0_Pre</v>
      </c>
      <c r="T1004" s="10" t="str">
        <f t="shared" si="305"/>
        <v>0_Pre</v>
      </c>
      <c r="U1004" s="10" t="str">
        <f t="shared" si="306"/>
        <v>1_Post</v>
      </c>
      <c r="V1004" s="10" t="str">
        <f t="shared" si="314"/>
        <v>0_Pre</v>
      </c>
      <c r="W1004" s="10" t="str">
        <f t="shared" si="307"/>
        <v>straddle</v>
      </c>
      <c r="X1004" s="10" t="str">
        <f t="shared" si="308"/>
        <v>0_Pre</v>
      </c>
      <c r="Y1004" s="10" t="str">
        <f t="shared" si="309"/>
        <v>0_Pre</v>
      </c>
      <c r="Z1004" s="10" t="str">
        <f t="shared" si="310"/>
        <v>0_Pre</v>
      </c>
      <c r="AA1004" s="10" t="str">
        <f t="shared" si="315"/>
        <v>1_Post</v>
      </c>
      <c r="AB1004" s="10" t="str">
        <f t="shared" si="316"/>
        <v>1_Post</v>
      </c>
      <c r="AC1004" s="10" t="str">
        <f t="shared" si="317"/>
        <v>0_Pre</v>
      </c>
      <c r="AD1004" s="10" t="str">
        <f t="shared" si="318"/>
        <v>1_pre sample median</v>
      </c>
      <c r="AE1004" s="10" t="str">
        <f t="shared" si="319"/>
        <v>2_in sample second tertile</v>
      </c>
      <c r="AF1004" t="s">
        <v>81</v>
      </c>
      <c r="AG1004" t="s">
        <v>75</v>
      </c>
      <c r="AH1004" t="s">
        <v>79</v>
      </c>
      <c r="AI1004" t="s">
        <v>122</v>
      </c>
      <c r="AJ1004" t="s">
        <v>123</v>
      </c>
      <c r="AK1004" t="str">
        <f>VLOOKUP(MID($AR1004,1,255),country_lookup!$B:$F,2,FALSE)</f>
        <v>1_US</v>
      </c>
      <c r="AL1004" t="str">
        <f>VLOOKUP(MID($AR1004,1,255),country_lookup!$B:$F,3,FALSE)</f>
        <v>1_developed</v>
      </c>
      <c r="AM1004" t="str">
        <f>VLOOKUP(MID($AR1004,1,255),country_lookup!$B:$F,4,FALSE)</f>
        <v>1_western</v>
      </c>
      <c r="AN1004" t="str">
        <f>VLOOKUP(MID($AR1004,1,255),country_lookup!$B:$F,5,FALSE)</f>
        <v>1_common law</v>
      </c>
      <c r="AO1004" s="10" t="str">
        <f>VLOOKUP(MID($AS1004,1,255),source_lookup!$B:$K,4,FALSE)</f>
        <v>0_published</v>
      </c>
      <c r="AP1004" s="10" t="str">
        <f>VLOOKUP(MID($AS1004,1,255),source_lookup!$B:$K,6,FALSE)</f>
        <v>1_VHB high</v>
      </c>
      <c r="AQ1004" s="10" t="str">
        <f>VLOOKUP(MID($AS1004,1,255),source_lookup!$B:$K,10,FALSE)</f>
        <v>1_fin/acc/econ</v>
      </c>
      <c r="AR1004" t="s">
        <v>85</v>
      </c>
      <c r="AS1004" t="s">
        <v>171</v>
      </c>
    </row>
    <row r="1005" spans="1:45" x14ac:dyDescent="0.3">
      <c r="A1005" t="s">
        <v>48</v>
      </c>
      <c r="B1005">
        <v>1004</v>
      </c>
      <c r="C1005" s="1">
        <v>-5.9044888631741579E-2</v>
      </c>
      <c r="D1005" s="2">
        <v>177</v>
      </c>
      <c r="E1005" s="4">
        <v>2659</v>
      </c>
      <c r="F1005" s="4" t="s">
        <v>346</v>
      </c>
      <c r="G1005" s="4" t="s">
        <v>347</v>
      </c>
      <c r="H1005" t="s">
        <v>77</v>
      </c>
      <c r="I1005" t="s">
        <v>350</v>
      </c>
      <c r="J1005" s="3">
        <v>2004</v>
      </c>
      <c r="K1005" s="3">
        <v>2018</v>
      </c>
      <c r="L1005" s="6">
        <f t="shared" si="311"/>
        <v>2011</v>
      </c>
      <c r="M1005" s="6">
        <f t="shared" si="312"/>
        <v>2011</v>
      </c>
      <c r="N1005" s="7">
        <f t="shared" si="300"/>
        <v>0.2</v>
      </c>
      <c r="O1005" s="7">
        <f t="shared" si="301"/>
        <v>0.13333333333333333</v>
      </c>
      <c r="P1005" s="7">
        <f t="shared" si="302"/>
        <v>6.6666666666666666E-2</v>
      </c>
      <c r="Q1005" s="7">
        <f t="shared" si="313"/>
        <v>0</v>
      </c>
      <c r="R1005" s="10" t="str">
        <f t="shared" si="303"/>
        <v>0_Pre</v>
      </c>
      <c r="S1005" s="10" t="str">
        <f t="shared" si="304"/>
        <v>0_Pre</v>
      </c>
      <c r="T1005" s="10" t="str">
        <f t="shared" si="305"/>
        <v>0_Pre</v>
      </c>
      <c r="U1005" s="10" t="str">
        <f t="shared" si="306"/>
        <v>1_Post</v>
      </c>
      <c r="V1005" s="10" t="str">
        <f t="shared" si="314"/>
        <v>0_Pre</v>
      </c>
      <c r="W1005" s="10" t="str">
        <f t="shared" si="307"/>
        <v>straddle</v>
      </c>
      <c r="X1005" s="10" t="str">
        <f t="shared" si="308"/>
        <v>0_Pre</v>
      </c>
      <c r="Y1005" s="10" t="str">
        <f t="shared" si="309"/>
        <v>0_Pre</v>
      </c>
      <c r="Z1005" s="10" t="str">
        <f t="shared" si="310"/>
        <v>0_Pre</v>
      </c>
      <c r="AA1005" s="10" t="str">
        <f t="shared" si="315"/>
        <v>1_Post</v>
      </c>
      <c r="AB1005" s="10" t="str">
        <f t="shared" si="316"/>
        <v>1_Post</v>
      </c>
      <c r="AC1005" s="10" t="str">
        <f t="shared" si="317"/>
        <v>0_Pre</v>
      </c>
      <c r="AD1005" s="10" t="str">
        <f t="shared" si="318"/>
        <v>1_pre sample median</v>
      </c>
      <c r="AE1005" s="10" t="str">
        <f t="shared" si="319"/>
        <v>2_in sample second tertile</v>
      </c>
      <c r="AF1005" t="s">
        <v>81</v>
      </c>
      <c r="AG1005" t="s">
        <v>75</v>
      </c>
      <c r="AH1005" t="s">
        <v>79</v>
      </c>
      <c r="AI1005" t="s">
        <v>122</v>
      </c>
      <c r="AJ1005" t="s">
        <v>123</v>
      </c>
      <c r="AK1005" t="str">
        <f>VLOOKUP(MID($AR1005,1,255),country_lookup!$B:$F,2,FALSE)</f>
        <v>1_US</v>
      </c>
      <c r="AL1005" t="str">
        <f>VLOOKUP(MID($AR1005,1,255),country_lookup!$B:$F,3,FALSE)</f>
        <v>1_developed</v>
      </c>
      <c r="AM1005" t="str">
        <f>VLOOKUP(MID($AR1005,1,255),country_lookup!$B:$F,4,FALSE)</f>
        <v>1_western</v>
      </c>
      <c r="AN1005" t="str">
        <f>VLOOKUP(MID($AR1005,1,255),country_lookup!$B:$F,5,FALSE)</f>
        <v>1_common law</v>
      </c>
      <c r="AO1005" s="10" t="str">
        <f>VLOOKUP(MID($AS1005,1,255),source_lookup!$B:$K,4,FALSE)</f>
        <v>0_published</v>
      </c>
      <c r="AP1005" s="10" t="str">
        <f>VLOOKUP(MID($AS1005,1,255),source_lookup!$B:$K,6,FALSE)</f>
        <v>1_VHB high</v>
      </c>
      <c r="AQ1005" s="10" t="str">
        <f>VLOOKUP(MID($AS1005,1,255),source_lookup!$B:$K,10,FALSE)</f>
        <v>1_fin/acc/econ</v>
      </c>
      <c r="AR1005" t="s">
        <v>85</v>
      </c>
      <c r="AS1005" t="s">
        <v>171</v>
      </c>
    </row>
    <row r="1006" spans="1:45" x14ac:dyDescent="0.3">
      <c r="A1006" t="s">
        <v>48</v>
      </c>
      <c r="B1006">
        <v>1005</v>
      </c>
      <c r="C1006" s="1">
        <v>-9.4249894182531477E-2</v>
      </c>
      <c r="D1006" s="2">
        <v>169</v>
      </c>
      <c r="E1006" s="4">
        <v>2528</v>
      </c>
      <c r="F1006" s="4" t="s">
        <v>346</v>
      </c>
      <c r="G1006" s="4" t="s">
        <v>347</v>
      </c>
      <c r="H1006" t="s">
        <v>77</v>
      </c>
      <c r="I1006" t="s">
        <v>350</v>
      </c>
      <c r="J1006" s="3">
        <v>2004</v>
      </c>
      <c r="K1006" s="3">
        <v>2018</v>
      </c>
      <c r="L1006" s="6">
        <f t="shared" si="311"/>
        <v>2011</v>
      </c>
      <c r="M1006" s="6">
        <f t="shared" si="312"/>
        <v>2011</v>
      </c>
      <c r="N1006" s="7">
        <f t="shared" si="300"/>
        <v>0.2</v>
      </c>
      <c r="O1006" s="7">
        <f t="shared" si="301"/>
        <v>0.13333333333333333</v>
      </c>
      <c r="P1006" s="7">
        <f t="shared" si="302"/>
        <v>6.6666666666666666E-2</v>
      </c>
      <c r="Q1006" s="7">
        <f t="shared" si="313"/>
        <v>0</v>
      </c>
      <c r="R1006" s="10" t="str">
        <f t="shared" si="303"/>
        <v>0_Pre</v>
      </c>
      <c r="S1006" s="10" t="str">
        <f t="shared" si="304"/>
        <v>0_Pre</v>
      </c>
      <c r="T1006" s="10" t="str">
        <f t="shared" si="305"/>
        <v>0_Pre</v>
      </c>
      <c r="U1006" s="10" t="str">
        <f t="shared" si="306"/>
        <v>1_Post</v>
      </c>
      <c r="V1006" s="10" t="str">
        <f t="shared" si="314"/>
        <v>0_Pre</v>
      </c>
      <c r="W1006" s="10" t="str">
        <f t="shared" si="307"/>
        <v>straddle</v>
      </c>
      <c r="X1006" s="10" t="str">
        <f t="shared" si="308"/>
        <v>0_Pre</v>
      </c>
      <c r="Y1006" s="10" t="str">
        <f t="shared" si="309"/>
        <v>0_Pre</v>
      </c>
      <c r="Z1006" s="10" t="str">
        <f t="shared" si="310"/>
        <v>0_Pre</v>
      </c>
      <c r="AA1006" s="10" t="str">
        <f t="shared" si="315"/>
        <v>1_Post</v>
      </c>
      <c r="AB1006" s="10" t="str">
        <f t="shared" si="316"/>
        <v>1_Post</v>
      </c>
      <c r="AC1006" s="10" t="str">
        <f t="shared" si="317"/>
        <v>0_Pre</v>
      </c>
      <c r="AD1006" s="10" t="str">
        <f t="shared" si="318"/>
        <v>1_pre sample median</v>
      </c>
      <c r="AE1006" s="10" t="str">
        <f t="shared" si="319"/>
        <v>2_in sample second tertile</v>
      </c>
      <c r="AF1006" t="s">
        <v>81</v>
      </c>
      <c r="AG1006" t="s">
        <v>75</v>
      </c>
      <c r="AH1006" t="s">
        <v>79</v>
      </c>
      <c r="AI1006" t="s">
        <v>122</v>
      </c>
      <c r="AJ1006" t="s">
        <v>123</v>
      </c>
      <c r="AK1006" t="str">
        <f>VLOOKUP(MID($AR1006,1,255),country_lookup!$B:$F,2,FALSE)</f>
        <v>1_US</v>
      </c>
      <c r="AL1006" t="str">
        <f>VLOOKUP(MID($AR1006,1,255),country_lookup!$B:$F,3,FALSE)</f>
        <v>1_developed</v>
      </c>
      <c r="AM1006" t="str">
        <f>VLOOKUP(MID($AR1006,1,255),country_lookup!$B:$F,4,FALSE)</f>
        <v>1_western</v>
      </c>
      <c r="AN1006" t="str">
        <f>VLOOKUP(MID($AR1006,1,255),country_lookup!$B:$F,5,FALSE)</f>
        <v>1_common law</v>
      </c>
      <c r="AO1006" s="10" t="str">
        <f>VLOOKUP(MID($AS1006,1,255),source_lookup!$B:$K,4,FALSE)</f>
        <v>0_published</v>
      </c>
      <c r="AP1006" s="10" t="str">
        <f>VLOOKUP(MID($AS1006,1,255),source_lookup!$B:$K,6,FALSE)</f>
        <v>1_VHB high</v>
      </c>
      <c r="AQ1006" s="10" t="str">
        <f>VLOOKUP(MID($AS1006,1,255),source_lookup!$B:$K,10,FALSE)</f>
        <v>1_fin/acc/econ</v>
      </c>
      <c r="AR1006" t="s">
        <v>85</v>
      </c>
      <c r="AS1006" t="s">
        <v>171</v>
      </c>
    </row>
    <row r="1007" spans="1:45" x14ac:dyDescent="0.3">
      <c r="A1007" t="s">
        <v>49</v>
      </c>
      <c r="B1007">
        <v>1006</v>
      </c>
      <c r="C1007" s="1">
        <v>-3.8419553745692708E-3</v>
      </c>
      <c r="D1007" s="2">
        <v>286</v>
      </c>
      <c r="E1007" s="4">
        <v>4574</v>
      </c>
      <c r="F1007" s="4" t="s">
        <v>347</v>
      </c>
      <c r="G1007" s="4" t="s">
        <v>346</v>
      </c>
      <c r="H1007" t="s">
        <v>77</v>
      </c>
      <c r="I1007" t="s">
        <v>351</v>
      </c>
      <c r="J1007" s="3">
        <v>2003</v>
      </c>
      <c r="K1007" s="3">
        <v>2018</v>
      </c>
      <c r="L1007" s="6">
        <f t="shared" si="311"/>
        <v>2010.5</v>
      </c>
      <c r="M1007" s="6">
        <f t="shared" si="312"/>
        <v>2010.5</v>
      </c>
      <c r="N1007" s="7">
        <f t="shared" si="300"/>
        <v>0.1875</v>
      </c>
      <c r="O1007" s="7">
        <f t="shared" si="301"/>
        <v>0.125</v>
      </c>
      <c r="P1007" s="7">
        <f t="shared" si="302"/>
        <v>6.25E-2</v>
      </c>
      <c r="Q1007" s="7">
        <f t="shared" si="313"/>
        <v>0</v>
      </c>
      <c r="R1007" s="10" t="str">
        <f t="shared" si="303"/>
        <v>0_Pre</v>
      </c>
      <c r="S1007" s="10" t="str">
        <f t="shared" si="304"/>
        <v>0_Pre</v>
      </c>
      <c r="T1007" s="10" t="str">
        <f t="shared" si="305"/>
        <v>0_Pre</v>
      </c>
      <c r="U1007" s="10" t="str">
        <f t="shared" si="306"/>
        <v>1_Post</v>
      </c>
      <c r="V1007" s="10" t="str">
        <f t="shared" si="314"/>
        <v>0_Pre</v>
      </c>
      <c r="W1007" s="10" t="str">
        <f t="shared" si="307"/>
        <v>straddle</v>
      </c>
      <c r="X1007" s="10" t="str">
        <f t="shared" si="308"/>
        <v>0_Pre</v>
      </c>
      <c r="Y1007" s="10" t="str">
        <f t="shared" si="309"/>
        <v>0_Pre</v>
      </c>
      <c r="Z1007" s="10" t="str">
        <f t="shared" si="310"/>
        <v>0_Pre</v>
      </c>
      <c r="AA1007" s="10" t="str">
        <f t="shared" si="315"/>
        <v>1_Post</v>
      </c>
      <c r="AB1007" s="10" t="str">
        <f t="shared" si="316"/>
        <v>1_Post</v>
      </c>
      <c r="AC1007" s="10" t="str">
        <f t="shared" si="317"/>
        <v>0_Pre</v>
      </c>
      <c r="AD1007" s="10" t="str">
        <f t="shared" si="318"/>
        <v>1_pre sample median</v>
      </c>
      <c r="AE1007" s="10" t="str">
        <f t="shared" si="319"/>
        <v>1_pre sample first tertile</v>
      </c>
      <c r="AF1007" t="s">
        <v>82</v>
      </c>
      <c r="AG1007" t="s">
        <v>75</v>
      </c>
      <c r="AH1007" t="s">
        <v>78</v>
      </c>
      <c r="AI1007" t="s">
        <v>70</v>
      </c>
      <c r="AJ1007" t="s">
        <v>70</v>
      </c>
      <c r="AK1007" t="str">
        <f>VLOOKUP(MID($AR1007,1,255),country_lookup!$B:$F,2,FALSE)</f>
        <v>99_NCE</v>
      </c>
      <c r="AL1007" t="str">
        <f>VLOOKUP(MID($AR1007,1,255),country_lookup!$B:$F,3,FALSE)</f>
        <v>99_NCE</v>
      </c>
      <c r="AM1007" t="str">
        <f>VLOOKUP(MID($AR1007,1,255),country_lookup!$B:$F,4,FALSE)</f>
        <v>99_NCE</v>
      </c>
      <c r="AN1007" t="str">
        <f>VLOOKUP(MID($AR1007,1,255),country_lookup!$B:$F,5,FALSE)</f>
        <v>99_NCE</v>
      </c>
      <c r="AO1007" s="10" t="str">
        <f>VLOOKUP(MID($AS1007,1,255),source_lookup!$B:$K,4,FALSE)</f>
        <v>0_published</v>
      </c>
      <c r="AP1007" s="10" t="str">
        <f>VLOOKUP(MID($AS1007,1,255),source_lookup!$B:$K,6,FALSE)</f>
        <v>1_VHB high</v>
      </c>
      <c r="AQ1007" s="10" t="str">
        <f>VLOOKUP(MID($AS1007,1,255),source_lookup!$B:$K,10,FALSE)</f>
        <v>1_fin/acc/econ</v>
      </c>
      <c r="AR1007" t="s">
        <v>90</v>
      </c>
      <c r="AS1007" t="s">
        <v>172</v>
      </c>
    </row>
    <row r="1008" spans="1:45" x14ac:dyDescent="0.3">
      <c r="A1008" t="s">
        <v>49</v>
      </c>
      <c r="B1008">
        <v>1007</v>
      </c>
      <c r="C1008" s="1">
        <v>1.1829558502018061E-2</v>
      </c>
      <c r="D1008" s="2">
        <v>238</v>
      </c>
      <c r="E1008" s="4">
        <v>3815</v>
      </c>
      <c r="F1008" s="4" t="s">
        <v>347</v>
      </c>
      <c r="G1008" s="4" t="s">
        <v>346</v>
      </c>
      <c r="H1008" t="s">
        <v>77</v>
      </c>
      <c r="I1008" t="s">
        <v>351</v>
      </c>
      <c r="J1008" s="3">
        <v>2003</v>
      </c>
      <c r="K1008" s="3">
        <v>2018</v>
      </c>
      <c r="L1008" s="6">
        <f t="shared" si="311"/>
        <v>2010.5</v>
      </c>
      <c r="M1008" s="6">
        <f t="shared" si="312"/>
        <v>2010.5</v>
      </c>
      <c r="N1008" s="7">
        <f t="shared" si="300"/>
        <v>0.1875</v>
      </c>
      <c r="O1008" s="7">
        <f t="shared" si="301"/>
        <v>0.125</v>
      </c>
      <c r="P1008" s="7">
        <f t="shared" si="302"/>
        <v>6.25E-2</v>
      </c>
      <c r="Q1008" s="7">
        <f t="shared" si="313"/>
        <v>0</v>
      </c>
      <c r="R1008" s="10" t="str">
        <f t="shared" si="303"/>
        <v>0_Pre</v>
      </c>
      <c r="S1008" s="10" t="str">
        <f t="shared" si="304"/>
        <v>0_Pre</v>
      </c>
      <c r="T1008" s="10" t="str">
        <f t="shared" si="305"/>
        <v>0_Pre</v>
      </c>
      <c r="U1008" s="10" t="str">
        <f t="shared" si="306"/>
        <v>1_Post</v>
      </c>
      <c r="V1008" s="10" t="str">
        <f t="shared" si="314"/>
        <v>0_Pre</v>
      </c>
      <c r="W1008" s="10" t="str">
        <f t="shared" si="307"/>
        <v>straddle</v>
      </c>
      <c r="X1008" s="10" t="str">
        <f t="shared" si="308"/>
        <v>0_Pre</v>
      </c>
      <c r="Y1008" s="10" t="str">
        <f t="shared" si="309"/>
        <v>0_Pre</v>
      </c>
      <c r="Z1008" s="10" t="str">
        <f t="shared" si="310"/>
        <v>0_Pre</v>
      </c>
      <c r="AA1008" s="10" t="str">
        <f t="shared" si="315"/>
        <v>1_Post</v>
      </c>
      <c r="AB1008" s="10" t="str">
        <f t="shared" si="316"/>
        <v>1_Post</v>
      </c>
      <c r="AC1008" s="10" t="str">
        <f t="shared" si="317"/>
        <v>0_Pre</v>
      </c>
      <c r="AD1008" s="10" t="str">
        <f t="shared" si="318"/>
        <v>1_pre sample median</v>
      </c>
      <c r="AE1008" s="10" t="str">
        <f t="shared" si="319"/>
        <v>1_pre sample first tertile</v>
      </c>
      <c r="AF1008" t="s">
        <v>67</v>
      </c>
      <c r="AG1008" t="s">
        <v>75</v>
      </c>
      <c r="AH1008" t="s">
        <v>78</v>
      </c>
      <c r="AI1008" t="s">
        <v>70</v>
      </c>
      <c r="AJ1008" t="s">
        <v>70</v>
      </c>
      <c r="AK1008" t="str">
        <f>VLOOKUP(MID($AR1008,1,255),country_lookup!$B:$F,2,FALSE)</f>
        <v>99_NCE</v>
      </c>
      <c r="AL1008" t="str">
        <f>VLOOKUP(MID($AR1008,1,255),country_lookup!$B:$F,3,FALSE)</f>
        <v>99_NCE</v>
      </c>
      <c r="AM1008" t="str">
        <f>VLOOKUP(MID($AR1008,1,255),country_lookup!$B:$F,4,FALSE)</f>
        <v>99_NCE</v>
      </c>
      <c r="AN1008" t="str">
        <f>VLOOKUP(MID($AR1008,1,255),country_lookup!$B:$F,5,FALSE)</f>
        <v>99_NCE</v>
      </c>
      <c r="AO1008" s="10" t="str">
        <f>VLOOKUP(MID($AS1008,1,255),source_lookup!$B:$K,4,FALSE)</f>
        <v>0_published</v>
      </c>
      <c r="AP1008" s="10" t="str">
        <f>VLOOKUP(MID($AS1008,1,255),source_lookup!$B:$K,6,FALSE)</f>
        <v>1_VHB high</v>
      </c>
      <c r="AQ1008" s="10" t="str">
        <f>VLOOKUP(MID($AS1008,1,255),source_lookup!$B:$K,10,FALSE)</f>
        <v>1_fin/acc/econ</v>
      </c>
      <c r="AR1008" t="s">
        <v>90</v>
      </c>
      <c r="AS1008" t="s">
        <v>172</v>
      </c>
    </row>
    <row r="1009" spans="1:45" x14ac:dyDescent="0.3">
      <c r="A1009" t="s">
        <v>49</v>
      </c>
      <c r="B1009">
        <v>1008</v>
      </c>
      <c r="C1009" s="1">
        <v>0.14616374291534429</v>
      </c>
      <c r="D1009" s="2">
        <v>57</v>
      </c>
      <c r="E1009" s="4">
        <v>904</v>
      </c>
      <c r="F1009" s="4" t="s">
        <v>347</v>
      </c>
      <c r="G1009" s="4" t="s">
        <v>346</v>
      </c>
      <c r="H1009" t="s">
        <v>77</v>
      </c>
      <c r="I1009" t="s">
        <v>351</v>
      </c>
      <c r="J1009" s="3">
        <v>2003</v>
      </c>
      <c r="K1009" s="3">
        <v>2018</v>
      </c>
      <c r="L1009" s="6">
        <f t="shared" si="311"/>
        <v>2010.5</v>
      </c>
      <c r="M1009" s="6">
        <f t="shared" si="312"/>
        <v>2010.5</v>
      </c>
      <c r="N1009" s="7">
        <f t="shared" si="300"/>
        <v>0.1875</v>
      </c>
      <c r="O1009" s="7">
        <f t="shared" si="301"/>
        <v>0.125</v>
      </c>
      <c r="P1009" s="7">
        <f t="shared" si="302"/>
        <v>6.25E-2</v>
      </c>
      <c r="Q1009" s="7">
        <f t="shared" si="313"/>
        <v>0</v>
      </c>
      <c r="R1009" s="10" t="str">
        <f t="shared" si="303"/>
        <v>0_Pre</v>
      </c>
      <c r="S1009" s="10" t="str">
        <f t="shared" si="304"/>
        <v>0_Pre</v>
      </c>
      <c r="T1009" s="10" t="str">
        <f t="shared" si="305"/>
        <v>0_Pre</v>
      </c>
      <c r="U1009" s="10" t="str">
        <f t="shared" si="306"/>
        <v>1_Post</v>
      </c>
      <c r="V1009" s="10" t="str">
        <f t="shared" si="314"/>
        <v>0_Pre</v>
      </c>
      <c r="W1009" s="10" t="str">
        <f t="shared" si="307"/>
        <v>straddle</v>
      </c>
      <c r="X1009" s="10" t="str">
        <f t="shared" si="308"/>
        <v>0_Pre</v>
      </c>
      <c r="Y1009" s="10" t="str">
        <f t="shared" si="309"/>
        <v>0_Pre</v>
      </c>
      <c r="Z1009" s="10" t="str">
        <f t="shared" si="310"/>
        <v>0_Pre</v>
      </c>
      <c r="AA1009" s="10" t="str">
        <f t="shared" si="315"/>
        <v>1_Post</v>
      </c>
      <c r="AB1009" s="10" t="str">
        <f t="shared" si="316"/>
        <v>1_Post</v>
      </c>
      <c r="AC1009" s="10" t="str">
        <f t="shared" si="317"/>
        <v>0_Pre</v>
      </c>
      <c r="AD1009" s="10" t="str">
        <f t="shared" si="318"/>
        <v>1_pre sample median</v>
      </c>
      <c r="AE1009" s="10" t="str">
        <f t="shared" si="319"/>
        <v>1_pre sample first tertile</v>
      </c>
      <c r="AF1009" t="s">
        <v>82</v>
      </c>
      <c r="AG1009" t="s">
        <v>75</v>
      </c>
      <c r="AH1009" t="s">
        <v>78</v>
      </c>
      <c r="AI1009" t="s">
        <v>70</v>
      </c>
      <c r="AJ1009" t="s">
        <v>70</v>
      </c>
      <c r="AK1009" t="str">
        <f>VLOOKUP(MID($AR1009,1,255),country_lookup!$B:$F,2,FALSE)</f>
        <v>99_NCE</v>
      </c>
      <c r="AL1009" t="str">
        <f>VLOOKUP(MID($AR1009,1,255),country_lookup!$B:$F,3,FALSE)</f>
        <v>99_NCE</v>
      </c>
      <c r="AM1009" t="str">
        <f>VLOOKUP(MID($AR1009,1,255),country_lookup!$B:$F,4,FALSE)</f>
        <v>99_NCE</v>
      </c>
      <c r="AN1009" t="str">
        <f>VLOOKUP(MID($AR1009,1,255),country_lookup!$B:$F,5,FALSE)</f>
        <v>99_NCE</v>
      </c>
      <c r="AO1009" s="10" t="str">
        <f>VLOOKUP(MID($AS1009,1,255),source_lookup!$B:$K,4,FALSE)</f>
        <v>0_published</v>
      </c>
      <c r="AP1009" s="10" t="str">
        <f>VLOOKUP(MID($AS1009,1,255),source_lookup!$B:$K,6,FALSE)</f>
        <v>1_VHB high</v>
      </c>
      <c r="AQ1009" s="10" t="str">
        <f>VLOOKUP(MID($AS1009,1,255),source_lookup!$B:$K,10,FALSE)</f>
        <v>1_fin/acc/econ</v>
      </c>
      <c r="AR1009" t="s">
        <v>90</v>
      </c>
      <c r="AS1009" t="s">
        <v>172</v>
      </c>
    </row>
    <row r="1010" spans="1:45" x14ac:dyDescent="0.3">
      <c r="A1010" t="s">
        <v>49</v>
      </c>
      <c r="B1010">
        <v>1009</v>
      </c>
      <c r="C1010" s="1">
        <v>-7.8699292640634119E-2</v>
      </c>
      <c r="D1010" s="2">
        <v>196</v>
      </c>
      <c r="E1010" s="4">
        <v>3141</v>
      </c>
      <c r="F1010" s="4" t="s">
        <v>347</v>
      </c>
      <c r="G1010" s="4" t="s">
        <v>346</v>
      </c>
      <c r="H1010" t="s">
        <v>77</v>
      </c>
      <c r="I1010" t="s">
        <v>351</v>
      </c>
      <c r="J1010" s="3">
        <v>2003</v>
      </c>
      <c r="K1010" s="3">
        <v>2018</v>
      </c>
      <c r="L1010" s="6">
        <f t="shared" si="311"/>
        <v>2010.5</v>
      </c>
      <c r="M1010" s="6">
        <f t="shared" si="312"/>
        <v>2010.5</v>
      </c>
      <c r="N1010" s="7">
        <f t="shared" si="300"/>
        <v>0.1875</v>
      </c>
      <c r="O1010" s="7">
        <f t="shared" si="301"/>
        <v>0.125</v>
      </c>
      <c r="P1010" s="7">
        <f t="shared" si="302"/>
        <v>6.25E-2</v>
      </c>
      <c r="Q1010" s="7">
        <f t="shared" si="313"/>
        <v>0</v>
      </c>
      <c r="R1010" s="10" t="str">
        <f t="shared" si="303"/>
        <v>0_Pre</v>
      </c>
      <c r="S1010" s="10" t="str">
        <f t="shared" si="304"/>
        <v>0_Pre</v>
      </c>
      <c r="T1010" s="10" t="str">
        <f t="shared" si="305"/>
        <v>0_Pre</v>
      </c>
      <c r="U1010" s="10" t="str">
        <f t="shared" si="306"/>
        <v>1_Post</v>
      </c>
      <c r="V1010" s="10" t="str">
        <f t="shared" si="314"/>
        <v>0_Pre</v>
      </c>
      <c r="W1010" s="10" t="str">
        <f t="shared" si="307"/>
        <v>straddle</v>
      </c>
      <c r="X1010" s="10" t="str">
        <f t="shared" si="308"/>
        <v>0_Pre</v>
      </c>
      <c r="Y1010" s="10" t="str">
        <f t="shared" si="309"/>
        <v>0_Pre</v>
      </c>
      <c r="Z1010" s="10" t="str">
        <f t="shared" si="310"/>
        <v>0_Pre</v>
      </c>
      <c r="AA1010" s="10" t="str">
        <f t="shared" si="315"/>
        <v>1_Post</v>
      </c>
      <c r="AB1010" s="10" t="str">
        <f t="shared" si="316"/>
        <v>1_Post</v>
      </c>
      <c r="AC1010" s="10" t="str">
        <f t="shared" si="317"/>
        <v>0_Pre</v>
      </c>
      <c r="AD1010" s="10" t="str">
        <f t="shared" si="318"/>
        <v>1_pre sample median</v>
      </c>
      <c r="AE1010" s="10" t="str">
        <f t="shared" si="319"/>
        <v>1_pre sample first tertile</v>
      </c>
      <c r="AF1010" t="s">
        <v>82</v>
      </c>
      <c r="AG1010" t="s">
        <v>75</v>
      </c>
      <c r="AH1010" t="s">
        <v>78</v>
      </c>
      <c r="AI1010" t="s">
        <v>70</v>
      </c>
      <c r="AJ1010" t="s">
        <v>70</v>
      </c>
      <c r="AK1010" t="str">
        <f>VLOOKUP(MID($AR1010,1,255),country_lookup!$B:$F,2,FALSE)</f>
        <v>99_NCE</v>
      </c>
      <c r="AL1010" t="str">
        <f>VLOOKUP(MID($AR1010,1,255),country_lookup!$B:$F,3,FALSE)</f>
        <v>99_NCE</v>
      </c>
      <c r="AM1010" t="str">
        <f>VLOOKUP(MID($AR1010,1,255),country_lookup!$B:$F,4,FALSE)</f>
        <v>99_NCE</v>
      </c>
      <c r="AN1010" t="str">
        <f>VLOOKUP(MID($AR1010,1,255),country_lookup!$B:$F,5,FALSE)</f>
        <v>99_NCE</v>
      </c>
      <c r="AO1010" s="10" t="str">
        <f>VLOOKUP(MID($AS1010,1,255),source_lookup!$B:$K,4,FALSE)</f>
        <v>0_published</v>
      </c>
      <c r="AP1010" s="10" t="str">
        <f>VLOOKUP(MID($AS1010,1,255),source_lookup!$B:$K,6,FALSE)</f>
        <v>1_VHB high</v>
      </c>
      <c r="AQ1010" s="10" t="str">
        <f>VLOOKUP(MID($AS1010,1,255),source_lookup!$B:$K,10,FALSE)</f>
        <v>1_fin/acc/econ</v>
      </c>
      <c r="AR1010" t="s">
        <v>90</v>
      </c>
      <c r="AS1010" t="s">
        <v>172</v>
      </c>
    </row>
    <row r="1011" spans="1:45" x14ac:dyDescent="0.3">
      <c r="A1011" t="s">
        <v>50</v>
      </c>
      <c r="B1011">
        <v>1010</v>
      </c>
      <c r="C1011" s="1">
        <v>1E-3</v>
      </c>
      <c r="D1011" s="2">
        <v>96</v>
      </c>
      <c r="E1011" s="4">
        <v>1440</v>
      </c>
      <c r="F1011" s="4" t="s">
        <v>347</v>
      </c>
      <c r="G1011" s="4" t="s">
        <v>346</v>
      </c>
      <c r="H1011" t="s">
        <v>76</v>
      </c>
      <c r="I1011" t="s">
        <v>353</v>
      </c>
      <c r="J1011" s="3">
        <v>2005</v>
      </c>
      <c r="K1011" s="3">
        <v>2020</v>
      </c>
      <c r="L1011" s="6">
        <f t="shared" si="311"/>
        <v>2012.5</v>
      </c>
      <c r="M1011" s="6">
        <f t="shared" si="312"/>
        <v>2012.5</v>
      </c>
      <c r="N1011" s="7">
        <f t="shared" si="300"/>
        <v>0.3125</v>
      </c>
      <c r="O1011" s="7">
        <f t="shared" si="301"/>
        <v>0.25</v>
      </c>
      <c r="P1011" s="7">
        <f t="shared" si="302"/>
        <v>0.1875</v>
      </c>
      <c r="Q1011" s="7">
        <f t="shared" si="313"/>
        <v>0.125</v>
      </c>
      <c r="R1011" s="10" t="str">
        <f t="shared" si="303"/>
        <v>0_Pre</v>
      </c>
      <c r="S1011" s="10" t="str">
        <f t="shared" si="304"/>
        <v>0_Pre</v>
      </c>
      <c r="T1011" s="10" t="str">
        <f t="shared" si="305"/>
        <v>0_Pre</v>
      </c>
      <c r="U1011" s="10" t="str">
        <f t="shared" si="306"/>
        <v>1_Post</v>
      </c>
      <c r="V1011" s="10" t="str">
        <f t="shared" si="314"/>
        <v>0_Pre</v>
      </c>
      <c r="W1011" s="10" t="str">
        <f t="shared" si="307"/>
        <v>straddle</v>
      </c>
      <c r="X1011" s="10" t="str">
        <f t="shared" si="308"/>
        <v>0_Pre</v>
      </c>
      <c r="Y1011" s="10" t="str">
        <f t="shared" si="309"/>
        <v>0_Pre</v>
      </c>
      <c r="Z1011" s="10" t="str">
        <f t="shared" si="310"/>
        <v>0_Pre</v>
      </c>
      <c r="AA1011" s="10" t="str">
        <f t="shared" si="315"/>
        <v>1_Post</v>
      </c>
      <c r="AB1011" s="10" t="str">
        <f t="shared" si="316"/>
        <v>1_Post</v>
      </c>
      <c r="AC1011" s="10" t="str">
        <f t="shared" si="317"/>
        <v>1_Post</v>
      </c>
      <c r="AD1011" s="10" t="str">
        <f t="shared" si="318"/>
        <v>2_post sample median</v>
      </c>
      <c r="AE1011" s="10" t="str">
        <f t="shared" si="319"/>
        <v>2_in sample second tertile</v>
      </c>
      <c r="AF1011" t="s">
        <v>80</v>
      </c>
      <c r="AG1011" t="s">
        <v>75</v>
      </c>
      <c r="AH1011" t="s">
        <v>78</v>
      </c>
      <c r="AI1011" t="s">
        <v>123</v>
      </c>
      <c r="AJ1011" t="s">
        <v>123</v>
      </c>
      <c r="AK1011" t="str">
        <f>VLOOKUP(MID($AR1011,1,255),country_lookup!$B:$F,2,FALSE)</f>
        <v>99_NCE</v>
      </c>
      <c r="AL1011" t="str">
        <f>VLOOKUP(MID($AR1011,1,255),country_lookup!$B:$F,3,FALSE)</f>
        <v>2_developing</v>
      </c>
      <c r="AM1011" t="str">
        <f>VLOOKUP(MID($AR1011,1,255),country_lookup!$B:$F,4,FALSE)</f>
        <v>2_non_western</v>
      </c>
      <c r="AN1011" t="str">
        <f>VLOOKUP(MID($AR1011,1,255),country_lookup!$B:$F,5,FALSE)</f>
        <v>1_common law</v>
      </c>
      <c r="AO1011" s="10" t="str">
        <f>VLOOKUP(MID($AS1011,1,255),source_lookup!$B:$K,4,FALSE)</f>
        <v>0_published</v>
      </c>
      <c r="AP1011" s="10" t="str">
        <f>VLOOKUP(MID($AS1011,1,255),source_lookup!$B:$K,6,FALSE)</f>
        <v>0_VHB low</v>
      </c>
      <c r="AQ1011" s="10" t="str">
        <f>VLOOKUP(MID($AS1011,1,255),source_lookup!$B:$K,10,FALSE)</f>
        <v>1_fin/acc/econ</v>
      </c>
      <c r="AR1011" t="s">
        <v>110</v>
      </c>
      <c r="AS1011" t="s">
        <v>173</v>
      </c>
    </row>
    <row r="1012" spans="1:45" x14ac:dyDescent="0.3">
      <c r="A1012" t="s">
        <v>50</v>
      </c>
      <c r="B1012">
        <v>1011</v>
      </c>
      <c r="C1012" s="1">
        <v>-8.8837888680028704E-2</v>
      </c>
      <c r="D1012" s="2">
        <v>96</v>
      </c>
      <c r="E1012" s="4">
        <v>1440</v>
      </c>
      <c r="F1012" s="4" t="s">
        <v>347</v>
      </c>
      <c r="G1012" s="4" t="s">
        <v>346</v>
      </c>
      <c r="H1012" t="s">
        <v>77</v>
      </c>
      <c r="I1012" t="s">
        <v>350</v>
      </c>
      <c r="J1012" s="3">
        <v>2005</v>
      </c>
      <c r="K1012" s="3">
        <v>2020</v>
      </c>
      <c r="L1012" s="6">
        <f t="shared" si="311"/>
        <v>2012.5</v>
      </c>
      <c r="M1012" s="6">
        <f t="shared" si="312"/>
        <v>2012.5</v>
      </c>
      <c r="N1012" s="7">
        <f t="shared" si="300"/>
        <v>0.3125</v>
      </c>
      <c r="O1012" s="7">
        <f t="shared" si="301"/>
        <v>0.25</v>
      </c>
      <c r="P1012" s="7">
        <f t="shared" si="302"/>
        <v>0.1875</v>
      </c>
      <c r="Q1012" s="7">
        <f t="shared" si="313"/>
        <v>0.125</v>
      </c>
      <c r="R1012" s="10" t="str">
        <f t="shared" si="303"/>
        <v>0_Pre</v>
      </c>
      <c r="S1012" s="10" t="str">
        <f t="shared" si="304"/>
        <v>0_Pre</v>
      </c>
      <c r="T1012" s="10" t="str">
        <f t="shared" si="305"/>
        <v>0_Pre</v>
      </c>
      <c r="U1012" s="10" t="str">
        <f t="shared" si="306"/>
        <v>1_Post</v>
      </c>
      <c r="V1012" s="10" t="str">
        <f t="shared" si="314"/>
        <v>0_Pre</v>
      </c>
      <c r="W1012" s="10" t="str">
        <f t="shared" si="307"/>
        <v>straddle</v>
      </c>
      <c r="X1012" s="10" t="str">
        <f t="shared" si="308"/>
        <v>0_Pre</v>
      </c>
      <c r="Y1012" s="10" t="str">
        <f t="shared" si="309"/>
        <v>0_Pre</v>
      </c>
      <c r="Z1012" s="10" t="str">
        <f t="shared" si="310"/>
        <v>0_Pre</v>
      </c>
      <c r="AA1012" s="10" t="str">
        <f t="shared" si="315"/>
        <v>1_Post</v>
      </c>
      <c r="AB1012" s="10" t="str">
        <f t="shared" si="316"/>
        <v>1_Post</v>
      </c>
      <c r="AC1012" s="10" t="str">
        <f t="shared" si="317"/>
        <v>1_Post</v>
      </c>
      <c r="AD1012" s="10" t="str">
        <f t="shared" si="318"/>
        <v>2_post sample median</v>
      </c>
      <c r="AE1012" s="10" t="str">
        <f t="shared" si="319"/>
        <v>2_in sample second tertile</v>
      </c>
      <c r="AF1012" t="s">
        <v>80</v>
      </c>
      <c r="AG1012" t="s">
        <v>75</v>
      </c>
      <c r="AH1012" t="s">
        <v>78</v>
      </c>
      <c r="AI1012" t="s">
        <v>123</v>
      </c>
      <c r="AJ1012" t="s">
        <v>123</v>
      </c>
      <c r="AK1012" t="str">
        <f>VLOOKUP(MID($AR1012,1,255),country_lookup!$B:$F,2,FALSE)</f>
        <v>99_NCE</v>
      </c>
      <c r="AL1012" t="str">
        <f>VLOOKUP(MID($AR1012,1,255),country_lookup!$B:$F,3,FALSE)</f>
        <v>2_developing</v>
      </c>
      <c r="AM1012" t="str">
        <f>VLOOKUP(MID($AR1012,1,255),country_lookup!$B:$F,4,FALSE)</f>
        <v>2_non_western</v>
      </c>
      <c r="AN1012" t="str">
        <f>VLOOKUP(MID($AR1012,1,255),country_lookup!$B:$F,5,FALSE)</f>
        <v>1_common law</v>
      </c>
      <c r="AO1012" s="10" t="str">
        <f>VLOOKUP(MID($AS1012,1,255),source_lookup!$B:$K,4,FALSE)</f>
        <v>0_published</v>
      </c>
      <c r="AP1012" s="10" t="str">
        <f>VLOOKUP(MID($AS1012,1,255),source_lookup!$B:$K,6,FALSE)</f>
        <v>0_VHB low</v>
      </c>
      <c r="AQ1012" s="10" t="str">
        <f>VLOOKUP(MID($AS1012,1,255),source_lookup!$B:$K,10,FALSE)</f>
        <v>1_fin/acc/econ</v>
      </c>
      <c r="AR1012" t="s">
        <v>110</v>
      </c>
      <c r="AS1012" t="s">
        <v>173</v>
      </c>
    </row>
    <row r="1013" spans="1:45" x14ac:dyDescent="0.3">
      <c r="A1013" t="s">
        <v>50</v>
      </c>
      <c r="B1013">
        <v>1012</v>
      </c>
      <c r="C1013" s="1">
        <v>4.1550672199845082E-2</v>
      </c>
      <c r="D1013" s="2">
        <v>96</v>
      </c>
      <c r="E1013" s="4">
        <v>1440</v>
      </c>
      <c r="F1013" s="4" t="s">
        <v>347</v>
      </c>
      <c r="G1013" s="4" t="s">
        <v>346</v>
      </c>
      <c r="H1013" t="s">
        <v>77</v>
      </c>
      <c r="I1013" t="s">
        <v>350</v>
      </c>
      <c r="J1013" s="3">
        <v>2005</v>
      </c>
      <c r="K1013" s="3">
        <v>2020</v>
      </c>
      <c r="L1013" s="6">
        <f t="shared" si="311"/>
        <v>2012.5</v>
      </c>
      <c r="M1013" s="6">
        <f t="shared" si="312"/>
        <v>2012.5</v>
      </c>
      <c r="N1013" s="7">
        <f t="shared" si="300"/>
        <v>0.3125</v>
      </c>
      <c r="O1013" s="7">
        <f t="shared" si="301"/>
        <v>0.25</v>
      </c>
      <c r="P1013" s="7">
        <f t="shared" si="302"/>
        <v>0.1875</v>
      </c>
      <c r="Q1013" s="7">
        <f t="shared" si="313"/>
        <v>0.125</v>
      </c>
      <c r="R1013" s="10" t="str">
        <f t="shared" si="303"/>
        <v>0_Pre</v>
      </c>
      <c r="S1013" s="10" t="str">
        <f t="shared" si="304"/>
        <v>0_Pre</v>
      </c>
      <c r="T1013" s="10" t="str">
        <f t="shared" si="305"/>
        <v>0_Pre</v>
      </c>
      <c r="U1013" s="10" t="str">
        <f t="shared" si="306"/>
        <v>1_Post</v>
      </c>
      <c r="V1013" s="10" t="str">
        <f t="shared" si="314"/>
        <v>0_Pre</v>
      </c>
      <c r="W1013" s="10" t="str">
        <f t="shared" si="307"/>
        <v>straddle</v>
      </c>
      <c r="X1013" s="10" t="str">
        <f t="shared" si="308"/>
        <v>0_Pre</v>
      </c>
      <c r="Y1013" s="10" t="str">
        <f t="shared" si="309"/>
        <v>0_Pre</v>
      </c>
      <c r="Z1013" s="10" t="str">
        <f t="shared" si="310"/>
        <v>0_Pre</v>
      </c>
      <c r="AA1013" s="10" t="str">
        <f t="shared" si="315"/>
        <v>1_Post</v>
      </c>
      <c r="AB1013" s="10" t="str">
        <f t="shared" si="316"/>
        <v>1_Post</v>
      </c>
      <c r="AC1013" s="10" t="str">
        <f t="shared" si="317"/>
        <v>1_Post</v>
      </c>
      <c r="AD1013" s="10" t="str">
        <f t="shared" si="318"/>
        <v>2_post sample median</v>
      </c>
      <c r="AE1013" s="10" t="str">
        <f t="shared" si="319"/>
        <v>2_in sample second tertile</v>
      </c>
      <c r="AF1013" t="s">
        <v>80</v>
      </c>
      <c r="AG1013" t="s">
        <v>75</v>
      </c>
      <c r="AH1013" t="s">
        <v>78</v>
      </c>
      <c r="AI1013" t="s">
        <v>123</v>
      </c>
      <c r="AJ1013" t="s">
        <v>123</v>
      </c>
      <c r="AK1013" t="str">
        <f>VLOOKUP(MID($AR1013,1,255),country_lookup!$B:$F,2,FALSE)</f>
        <v>99_NCE</v>
      </c>
      <c r="AL1013" t="str">
        <f>VLOOKUP(MID($AR1013,1,255),country_lookup!$B:$F,3,FALSE)</f>
        <v>2_developing</v>
      </c>
      <c r="AM1013" t="str">
        <f>VLOOKUP(MID($AR1013,1,255),country_lookup!$B:$F,4,FALSE)</f>
        <v>2_non_western</v>
      </c>
      <c r="AN1013" t="str">
        <f>VLOOKUP(MID($AR1013,1,255),country_lookup!$B:$F,5,FALSE)</f>
        <v>1_common law</v>
      </c>
      <c r="AO1013" s="10" t="str">
        <f>VLOOKUP(MID($AS1013,1,255),source_lookup!$B:$K,4,FALSE)</f>
        <v>0_published</v>
      </c>
      <c r="AP1013" s="10" t="str">
        <f>VLOOKUP(MID($AS1013,1,255),source_lookup!$B:$K,6,FALSE)</f>
        <v>0_VHB low</v>
      </c>
      <c r="AQ1013" s="10" t="str">
        <f>VLOOKUP(MID($AS1013,1,255),source_lookup!$B:$K,10,FALSE)</f>
        <v>1_fin/acc/econ</v>
      </c>
      <c r="AR1013" t="s">
        <v>110</v>
      </c>
      <c r="AS1013" t="s">
        <v>173</v>
      </c>
    </row>
    <row r="1014" spans="1:45" x14ac:dyDescent="0.3">
      <c r="A1014" t="s">
        <v>51</v>
      </c>
      <c r="B1014">
        <v>1013</v>
      </c>
      <c r="C1014" s="1">
        <v>-0.45</v>
      </c>
      <c r="D1014" s="2">
        <v>48</v>
      </c>
      <c r="E1014" s="4">
        <v>244</v>
      </c>
      <c r="F1014" s="4" t="s">
        <v>346</v>
      </c>
      <c r="G1014" s="4" t="s">
        <v>347</v>
      </c>
      <c r="H1014" t="s">
        <v>76</v>
      </c>
      <c r="I1014" t="s">
        <v>353</v>
      </c>
      <c r="J1014" s="3">
        <v>1994</v>
      </c>
      <c r="K1014" s="3">
        <v>2004</v>
      </c>
      <c r="L1014" s="6">
        <f t="shared" si="311"/>
        <v>1999</v>
      </c>
      <c r="M1014" s="6">
        <f t="shared" si="312"/>
        <v>1999</v>
      </c>
      <c r="N1014" s="7">
        <f t="shared" si="300"/>
        <v>0</v>
      </c>
      <c r="O1014" s="7">
        <f t="shared" si="301"/>
        <v>0</v>
      </c>
      <c r="P1014" s="7">
        <f t="shared" si="302"/>
        <v>0</v>
      </c>
      <c r="Q1014" s="7">
        <f t="shared" si="313"/>
        <v>0</v>
      </c>
      <c r="R1014" s="10" t="str">
        <f t="shared" si="303"/>
        <v>0_Pre</v>
      </c>
      <c r="S1014" s="10" t="str">
        <f t="shared" si="304"/>
        <v>0_Pre</v>
      </c>
      <c r="T1014" s="10" t="str">
        <f t="shared" si="305"/>
        <v>0_Pre</v>
      </c>
      <c r="U1014" s="10" t="str">
        <f t="shared" si="306"/>
        <v>0_Pre</v>
      </c>
      <c r="V1014" s="10" t="str">
        <f t="shared" si="314"/>
        <v>0_Pre</v>
      </c>
      <c r="W1014" s="10" t="str">
        <f t="shared" si="307"/>
        <v>clean_pre</v>
      </c>
      <c r="X1014" s="10" t="str">
        <f t="shared" si="308"/>
        <v>0_Pre</v>
      </c>
      <c r="Y1014" s="10" t="str">
        <f t="shared" si="309"/>
        <v>0_Pre</v>
      </c>
      <c r="Z1014" s="10" t="str">
        <f t="shared" si="310"/>
        <v>0_Pre</v>
      </c>
      <c r="AA1014" s="10" t="str">
        <f t="shared" si="315"/>
        <v>0_Pre</v>
      </c>
      <c r="AB1014" s="10" t="str">
        <f t="shared" si="316"/>
        <v>0_Pre</v>
      </c>
      <c r="AC1014" s="10" t="str">
        <f t="shared" si="317"/>
        <v>0_Pre</v>
      </c>
      <c r="AD1014" s="10" t="str">
        <f t="shared" si="318"/>
        <v>1_pre sample median</v>
      </c>
      <c r="AE1014" s="10" t="str">
        <f t="shared" si="319"/>
        <v>1_pre sample first tertile</v>
      </c>
      <c r="AF1014" t="s">
        <v>82</v>
      </c>
      <c r="AG1014" t="s">
        <v>75</v>
      </c>
      <c r="AH1014" t="s">
        <v>79</v>
      </c>
      <c r="AI1014" t="s">
        <v>123</v>
      </c>
      <c r="AJ1014" t="s">
        <v>123</v>
      </c>
      <c r="AK1014" t="str">
        <f>VLOOKUP(MID($AR1014,1,255),country_lookup!$B:$F,2,FALSE)</f>
        <v>1_US</v>
      </c>
      <c r="AL1014" t="str">
        <f>VLOOKUP(MID($AR1014,1,255),country_lookup!$B:$F,3,FALSE)</f>
        <v>1_developed</v>
      </c>
      <c r="AM1014" t="str">
        <f>VLOOKUP(MID($AR1014,1,255),country_lookup!$B:$F,4,FALSE)</f>
        <v>1_western</v>
      </c>
      <c r="AN1014" t="str">
        <f>VLOOKUP(MID($AR1014,1,255),country_lookup!$B:$F,5,FALSE)</f>
        <v>1_common law</v>
      </c>
      <c r="AO1014" s="10" t="str">
        <f>VLOOKUP(MID($AS1014,1,255),source_lookup!$B:$K,4,FALSE)</f>
        <v>0_published</v>
      </c>
      <c r="AP1014" s="10" t="str">
        <f>VLOOKUP(MID($AS1014,1,255),source_lookup!$B:$K,6,FALSE)</f>
        <v>1_VHB high</v>
      </c>
      <c r="AQ1014" s="10" t="str">
        <f>VLOOKUP(MID($AS1014,1,255),source_lookup!$B:$K,10,FALSE)</f>
        <v>1_fin/acc/econ</v>
      </c>
      <c r="AR1014" t="s">
        <v>85</v>
      </c>
      <c r="AS1014" t="s">
        <v>174</v>
      </c>
    </row>
    <row r="1015" spans="1:45" x14ac:dyDescent="0.3">
      <c r="A1015" t="s">
        <v>51</v>
      </c>
      <c r="B1015">
        <v>1014</v>
      </c>
      <c r="C1015" s="1">
        <v>-0.42</v>
      </c>
      <c r="D1015" s="2">
        <v>48</v>
      </c>
      <c r="E1015" s="4">
        <v>244</v>
      </c>
      <c r="F1015" s="4" t="s">
        <v>346</v>
      </c>
      <c r="G1015" s="4" t="s">
        <v>347</v>
      </c>
      <c r="H1015" t="s">
        <v>76</v>
      </c>
      <c r="I1015" t="s">
        <v>353</v>
      </c>
      <c r="J1015" s="3">
        <v>1994</v>
      </c>
      <c r="K1015" s="3">
        <v>2004</v>
      </c>
      <c r="L1015" s="6">
        <f t="shared" si="311"/>
        <v>1999</v>
      </c>
      <c r="M1015" s="6">
        <f t="shared" si="312"/>
        <v>1999</v>
      </c>
      <c r="N1015" s="7">
        <f t="shared" si="300"/>
        <v>0</v>
      </c>
      <c r="O1015" s="7">
        <f t="shared" si="301"/>
        <v>0</v>
      </c>
      <c r="P1015" s="7">
        <f t="shared" si="302"/>
        <v>0</v>
      </c>
      <c r="Q1015" s="7">
        <f t="shared" si="313"/>
        <v>0</v>
      </c>
      <c r="R1015" s="10" t="str">
        <f t="shared" si="303"/>
        <v>0_Pre</v>
      </c>
      <c r="S1015" s="10" t="str">
        <f t="shared" si="304"/>
        <v>0_Pre</v>
      </c>
      <c r="T1015" s="10" t="str">
        <f t="shared" si="305"/>
        <v>0_Pre</v>
      </c>
      <c r="U1015" s="10" t="str">
        <f t="shared" si="306"/>
        <v>0_Pre</v>
      </c>
      <c r="V1015" s="10" t="str">
        <f t="shared" si="314"/>
        <v>0_Pre</v>
      </c>
      <c r="W1015" s="10" t="str">
        <f t="shared" si="307"/>
        <v>clean_pre</v>
      </c>
      <c r="X1015" s="10" t="str">
        <f t="shared" si="308"/>
        <v>0_Pre</v>
      </c>
      <c r="Y1015" s="10" t="str">
        <f t="shared" si="309"/>
        <v>0_Pre</v>
      </c>
      <c r="Z1015" s="10" t="str">
        <f t="shared" si="310"/>
        <v>0_Pre</v>
      </c>
      <c r="AA1015" s="10" t="str">
        <f t="shared" si="315"/>
        <v>0_Pre</v>
      </c>
      <c r="AB1015" s="10" t="str">
        <f t="shared" si="316"/>
        <v>0_Pre</v>
      </c>
      <c r="AC1015" s="10" t="str">
        <f t="shared" si="317"/>
        <v>0_Pre</v>
      </c>
      <c r="AD1015" s="10" t="str">
        <f t="shared" si="318"/>
        <v>1_pre sample median</v>
      </c>
      <c r="AE1015" s="10" t="str">
        <f t="shared" si="319"/>
        <v>1_pre sample first tertile</v>
      </c>
      <c r="AF1015" t="s">
        <v>82</v>
      </c>
      <c r="AG1015" t="s">
        <v>75</v>
      </c>
      <c r="AH1015" t="s">
        <v>79</v>
      </c>
      <c r="AI1015" t="s">
        <v>123</v>
      </c>
      <c r="AJ1015" t="s">
        <v>123</v>
      </c>
      <c r="AK1015" t="str">
        <f>VLOOKUP(MID($AR1015,1,255),country_lookup!$B:$F,2,FALSE)</f>
        <v>1_US</v>
      </c>
      <c r="AL1015" t="str">
        <f>VLOOKUP(MID($AR1015,1,255),country_lookup!$B:$F,3,FALSE)</f>
        <v>1_developed</v>
      </c>
      <c r="AM1015" t="str">
        <f>VLOOKUP(MID($AR1015,1,255),country_lookup!$B:$F,4,FALSE)</f>
        <v>1_western</v>
      </c>
      <c r="AN1015" t="str">
        <f>VLOOKUP(MID($AR1015,1,255),country_lookup!$B:$F,5,FALSE)</f>
        <v>1_common law</v>
      </c>
      <c r="AO1015" s="10" t="str">
        <f>VLOOKUP(MID($AS1015,1,255),source_lookup!$B:$K,4,FALSE)</f>
        <v>0_published</v>
      </c>
      <c r="AP1015" s="10" t="str">
        <f>VLOOKUP(MID($AS1015,1,255),source_lookup!$B:$K,6,FALSE)</f>
        <v>1_VHB high</v>
      </c>
      <c r="AQ1015" s="10" t="str">
        <f>VLOOKUP(MID($AS1015,1,255),source_lookup!$B:$K,10,FALSE)</f>
        <v>1_fin/acc/econ</v>
      </c>
      <c r="AR1015" t="s">
        <v>85</v>
      </c>
      <c r="AS1015" t="s">
        <v>174</v>
      </c>
    </row>
    <row r="1016" spans="1:45" x14ac:dyDescent="0.3">
      <c r="A1016" t="s">
        <v>51</v>
      </c>
      <c r="B1016">
        <v>1015</v>
      </c>
      <c r="C1016" s="1">
        <v>-0.21506990908252438</v>
      </c>
      <c r="D1016" s="2">
        <v>48</v>
      </c>
      <c r="E1016" s="4">
        <v>244</v>
      </c>
      <c r="F1016" s="4" t="s">
        <v>346</v>
      </c>
      <c r="G1016" s="4" t="s">
        <v>347</v>
      </c>
      <c r="H1016" t="s">
        <v>77</v>
      </c>
      <c r="I1016" t="s">
        <v>350</v>
      </c>
      <c r="J1016" s="3">
        <v>1994</v>
      </c>
      <c r="K1016" s="3">
        <v>2004</v>
      </c>
      <c r="L1016" s="6">
        <f t="shared" si="311"/>
        <v>1999</v>
      </c>
      <c r="M1016" s="6">
        <f t="shared" si="312"/>
        <v>1999</v>
      </c>
      <c r="N1016" s="7">
        <f t="shared" si="300"/>
        <v>0</v>
      </c>
      <c r="O1016" s="7">
        <f t="shared" si="301"/>
        <v>0</v>
      </c>
      <c r="P1016" s="7">
        <f t="shared" si="302"/>
        <v>0</v>
      </c>
      <c r="Q1016" s="7">
        <f t="shared" si="313"/>
        <v>0</v>
      </c>
      <c r="R1016" s="10" t="str">
        <f t="shared" si="303"/>
        <v>0_Pre</v>
      </c>
      <c r="S1016" s="10" t="str">
        <f t="shared" si="304"/>
        <v>0_Pre</v>
      </c>
      <c r="T1016" s="10" t="str">
        <f t="shared" si="305"/>
        <v>0_Pre</v>
      </c>
      <c r="U1016" s="10" t="str">
        <f t="shared" si="306"/>
        <v>0_Pre</v>
      </c>
      <c r="V1016" s="10" t="str">
        <f t="shared" si="314"/>
        <v>0_Pre</v>
      </c>
      <c r="W1016" s="10" t="str">
        <f t="shared" si="307"/>
        <v>clean_pre</v>
      </c>
      <c r="X1016" s="10" t="str">
        <f t="shared" si="308"/>
        <v>0_Pre</v>
      </c>
      <c r="Y1016" s="10" t="str">
        <f t="shared" si="309"/>
        <v>0_Pre</v>
      </c>
      <c r="Z1016" s="10" t="str">
        <f t="shared" si="310"/>
        <v>0_Pre</v>
      </c>
      <c r="AA1016" s="10" t="str">
        <f t="shared" si="315"/>
        <v>0_Pre</v>
      </c>
      <c r="AB1016" s="10" t="str">
        <f t="shared" si="316"/>
        <v>0_Pre</v>
      </c>
      <c r="AC1016" s="10" t="str">
        <f t="shared" si="317"/>
        <v>0_Pre</v>
      </c>
      <c r="AD1016" s="10" t="str">
        <f t="shared" si="318"/>
        <v>1_pre sample median</v>
      </c>
      <c r="AE1016" s="10" t="str">
        <f t="shared" si="319"/>
        <v>1_pre sample first tertile</v>
      </c>
      <c r="AF1016" t="s">
        <v>82</v>
      </c>
      <c r="AG1016" t="s">
        <v>75</v>
      </c>
      <c r="AH1016" t="s">
        <v>79</v>
      </c>
      <c r="AI1016" t="s">
        <v>123</v>
      </c>
      <c r="AJ1016" t="s">
        <v>123</v>
      </c>
      <c r="AK1016" t="str">
        <f>VLOOKUP(MID($AR1016,1,255),country_lookup!$B:$F,2,FALSE)</f>
        <v>1_US</v>
      </c>
      <c r="AL1016" t="str">
        <f>VLOOKUP(MID($AR1016,1,255),country_lookup!$B:$F,3,FALSE)</f>
        <v>1_developed</v>
      </c>
      <c r="AM1016" t="str">
        <f>VLOOKUP(MID($AR1016,1,255),country_lookup!$B:$F,4,FALSE)</f>
        <v>1_western</v>
      </c>
      <c r="AN1016" t="str">
        <f>VLOOKUP(MID($AR1016,1,255),country_lookup!$B:$F,5,FALSE)</f>
        <v>1_common law</v>
      </c>
      <c r="AO1016" s="10" t="str">
        <f>VLOOKUP(MID($AS1016,1,255),source_lookup!$B:$K,4,FALSE)</f>
        <v>0_published</v>
      </c>
      <c r="AP1016" s="10" t="str">
        <f>VLOOKUP(MID($AS1016,1,255),source_lookup!$B:$K,6,FALSE)</f>
        <v>1_VHB high</v>
      </c>
      <c r="AQ1016" s="10" t="str">
        <f>VLOOKUP(MID($AS1016,1,255),source_lookup!$B:$K,10,FALSE)</f>
        <v>1_fin/acc/econ</v>
      </c>
      <c r="AR1016" t="s">
        <v>85</v>
      </c>
      <c r="AS1016" t="s">
        <v>174</v>
      </c>
    </row>
    <row r="1017" spans="1:45" x14ac:dyDescent="0.3">
      <c r="A1017" t="s">
        <v>51</v>
      </c>
      <c r="B1017">
        <v>1016</v>
      </c>
      <c r="C1017" s="1">
        <v>-0.21864326664404848</v>
      </c>
      <c r="D1017" s="2">
        <v>48</v>
      </c>
      <c r="E1017" s="4">
        <v>244</v>
      </c>
      <c r="F1017" s="4" t="s">
        <v>346</v>
      </c>
      <c r="G1017" s="4" t="s">
        <v>347</v>
      </c>
      <c r="H1017" t="s">
        <v>77</v>
      </c>
      <c r="I1017" t="s">
        <v>350</v>
      </c>
      <c r="J1017" s="3">
        <v>1994</v>
      </c>
      <c r="K1017" s="3">
        <v>2004</v>
      </c>
      <c r="L1017" s="6">
        <f t="shared" si="311"/>
        <v>1999</v>
      </c>
      <c r="M1017" s="6">
        <f t="shared" si="312"/>
        <v>1999</v>
      </c>
      <c r="N1017" s="7">
        <f t="shared" si="300"/>
        <v>0</v>
      </c>
      <c r="O1017" s="7">
        <f t="shared" si="301"/>
        <v>0</v>
      </c>
      <c r="P1017" s="7">
        <f t="shared" si="302"/>
        <v>0</v>
      </c>
      <c r="Q1017" s="7">
        <f t="shared" si="313"/>
        <v>0</v>
      </c>
      <c r="R1017" s="10" t="str">
        <f t="shared" si="303"/>
        <v>0_Pre</v>
      </c>
      <c r="S1017" s="10" t="str">
        <f t="shared" si="304"/>
        <v>0_Pre</v>
      </c>
      <c r="T1017" s="10" t="str">
        <f t="shared" si="305"/>
        <v>0_Pre</v>
      </c>
      <c r="U1017" s="10" t="str">
        <f t="shared" si="306"/>
        <v>0_Pre</v>
      </c>
      <c r="V1017" s="10" t="str">
        <f t="shared" si="314"/>
        <v>0_Pre</v>
      </c>
      <c r="W1017" s="10" t="str">
        <f t="shared" si="307"/>
        <v>clean_pre</v>
      </c>
      <c r="X1017" s="10" t="str">
        <f t="shared" si="308"/>
        <v>0_Pre</v>
      </c>
      <c r="Y1017" s="10" t="str">
        <f t="shared" si="309"/>
        <v>0_Pre</v>
      </c>
      <c r="Z1017" s="10" t="str">
        <f t="shared" si="310"/>
        <v>0_Pre</v>
      </c>
      <c r="AA1017" s="10" t="str">
        <f t="shared" si="315"/>
        <v>0_Pre</v>
      </c>
      <c r="AB1017" s="10" t="str">
        <f t="shared" si="316"/>
        <v>0_Pre</v>
      </c>
      <c r="AC1017" s="10" t="str">
        <f t="shared" si="317"/>
        <v>0_Pre</v>
      </c>
      <c r="AD1017" s="10" t="str">
        <f t="shared" si="318"/>
        <v>1_pre sample median</v>
      </c>
      <c r="AE1017" s="10" t="str">
        <f t="shared" si="319"/>
        <v>1_pre sample first tertile</v>
      </c>
      <c r="AF1017" t="s">
        <v>82</v>
      </c>
      <c r="AG1017" t="s">
        <v>75</v>
      </c>
      <c r="AH1017" t="s">
        <v>79</v>
      </c>
      <c r="AI1017" t="s">
        <v>123</v>
      </c>
      <c r="AJ1017" t="s">
        <v>123</v>
      </c>
      <c r="AK1017" t="str">
        <f>VLOOKUP(MID($AR1017,1,255),country_lookup!$B:$F,2,FALSE)</f>
        <v>1_US</v>
      </c>
      <c r="AL1017" t="str">
        <f>VLOOKUP(MID($AR1017,1,255),country_lookup!$B:$F,3,FALSE)</f>
        <v>1_developed</v>
      </c>
      <c r="AM1017" t="str">
        <f>VLOOKUP(MID($AR1017,1,255),country_lookup!$B:$F,4,FALSE)</f>
        <v>1_western</v>
      </c>
      <c r="AN1017" t="str">
        <f>VLOOKUP(MID($AR1017,1,255),country_lookup!$B:$F,5,FALSE)</f>
        <v>1_common law</v>
      </c>
      <c r="AO1017" s="10" t="str">
        <f>VLOOKUP(MID($AS1017,1,255),source_lookup!$B:$K,4,FALSE)</f>
        <v>0_published</v>
      </c>
      <c r="AP1017" s="10" t="str">
        <f>VLOOKUP(MID($AS1017,1,255),source_lookup!$B:$K,6,FALSE)</f>
        <v>1_VHB high</v>
      </c>
      <c r="AQ1017" s="10" t="str">
        <f>VLOOKUP(MID($AS1017,1,255),source_lookup!$B:$K,10,FALSE)</f>
        <v>1_fin/acc/econ</v>
      </c>
      <c r="AR1017" t="s">
        <v>85</v>
      </c>
      <c r="AS1017" t="s">
        <v>174</v>
      </c>
    </row>
    <row r="1018" spans="1:45" x14ac:dyDescent="0.3">
      <c r="A1018" t="s">
        <v>51</v>
      </c>
      <c r="B1018">
        <v>1017</v>
      </c>
      <c r="C1018" s="1">
        <v>-0.18529642184483178</v>
      </c>
      <c r="D1018" s="2">
        <v>26</v>
      </c>
      <c r="E1018" s="4">
        <v>162</v>
      </c>
      <c r="F1018" s="4" t="s">
        <v>346</v>
      </c>
      <c r="G1018" s="4" t="s">
        <v>347</v>
      </c>
      <c r="H1018" t="s">
        <v>77</v>
      </c>
      <c r="I1018" t="s">
        <v>350</v>
      </c>
      <c r="J1018" s="3">
        <v>1994</v>
      </c>
      <c r="K1018" s="3">
        <v>2004</v>
      </c>
      <c r="L1018" s="6">
        <f t="shared" si="311"/>
        <v>1999</v>
      </c>
      <c r="M1018" s="6">
        <f t="shared" si="312"/>
        <v>1999</v>
      </c>
      <c r="N1018" s="7">
        <f t="shared" si="300"/>
        <v>0</v>
      </c>
      <c r="O1018" s="7">
        <f t="shared" si="301"/>
        <v>0</v>
      </c>
      <c r="P1018" s="7">
        <f t="shared" si="302"/>
        <v>0</v>
      </c>
      <c r="Q1018" s="7">
        <f t="shared" si="313"/>
        <v>0</v>
      </c>
      <c r="R1018" s="10" t="str">
        <f t="shared" si="303"/>
        <v>0_Pre</v>
      </c>
      <c r="S1018" s="10" t="str">
        <f t="shared" si="304"/>
        <v>0_Pre</v>
      </c>
      <c r="T1018" s="10" t="str">
        <f t="shared" si="305"/>
        <v>0_Pre</v>
      </c>
      <c r="U1018" s="10" t="str">
        <f t="shared" si="306"/>
        <v>0_Pre</v>
      </c>
      <c r="V1018" s="10" t="str">
        <f t="shared" si="314"/>
        <v>0_Pre</v>
      </c>
      <c r="W1018" s="10" t="str">
        <f t="shared" si="307"/>
        <v>clean_pre</v>
      </c>
      <c r="X1018" s="10" t="str">
        <f t="shared" si="308"/>
        <v>0_Pre</v>
      </c>
      <c r="Y1018" s="10" t="str">
        <f t="shared" si="309"/>
        <v>0_Pre</v>
      </c>
      <c r="Z1018" s="10" t="str">
        <f t="shared" si="310"/>
        <v>0_Pre</v>
      </c>
      <c r="AA1018" s="10" t="str">
        <f t="shared" si="315"/>
        <v>0_Pre</v>
      </c>
      <c r="AB1018" s="10" t="str">
        <f t="shared" si="316"/>
        <v>0_Pre</v>
      </c>
      <c r="AC1018" s="10" t="str">
        <f t="shared" si="317"/>
        <v>0_Pre</v>
      </c>
      <c r="AD1018" s="10" t="str">
        <f t="shared" si="318"/>
        <v>1_pre sample median</v>
      </c>
      <c r="AE1018" s="10" t="str">
        <f t="shared" si="319"/>
        <v>1_pre sample first tertile</v>
      </c>
      <c r="AF1018" t="s">
        <v>82</v>
      </c>
      <c r="AG1018" t="s">
        <v>75</v>
      </c>
      <c r="AH1018" t="s">
        <v>79</v>
      </c>
      <c r="AI1018" t="s">
        <v>123</v>
      </c>
      <c r="AJ1018" t="s">
        <v>123</v>
      </c>
      <c r="AK1018" t="str">
        <f>VLOOKUP(MID($AR1018,1,255),country_lookup!$B:$F,2,FALSE)</f>
        <v>1_US</v>
      </c>
      <c r="AL1018" t="str">
        <f>VLOOKUP(MID($AR1018,1,255),country_lookup!$B:$F,3,FALSE)</f>
        <v>1_developed</v>
      </c>
      <c r="AM1018" t="str">
        <f>VLOOKUP(MID($AR1018,1,255),country_lookup!$B:$F,4,FALSE)</f>
        <v>1_western</v>
      </c>
      <c r="AN1018" t="str">
        <f>VLOOKUP(MID($AR1018,1,255),country_lookup!$B:$F,5,FALSE)</f>
        <v>1_common law</v>
      </c>
      <c r="AO1018" s="10" t="str">
        <f>VLOOKUP(MID($AS1018,1,255),source_lookup!$B:$K,4,FALSE)</f>
        <v>0_published</v>
      </c>
      <c r="AP1018" s="10" t="str">
        <f>VLOOKUP(MID($AS1018,1,255),source_lookup!$B:$K,6,FALSE)</f>
        <v>1_VHB high</v>
      </c>
      <c r="AQ1018" s="10" t="str">
        <f>VLOOKUP(MID($AS1018,1,255),source_lookup!$B:$K,10,FALSE)</f>
        <v>1_fin/acc/econ</v>
      </c>
      <c r="AR1018" t="s">
        <v>85</v>
      </c>
      <c r="AS1018" t="s">
        <v>174</v>
      </c>
    </row>
    <row r="1019" spans="1:45" x14ac:dyDescent="0.3">
      <c r="A1019" t="s">
        <v>51</v>
      </c>
      <c r="B1019">
        <v>1018</v>
      </c>
      <c r="C1019" s="1">
        <v>-0.25917895321974377</v>
      </c>
      <c r="D1019" s="2">
        <v>22</v>
      </c>
      <c r="E1019" s="4">
        <v>82</v>
      </c>
      <c r="F1019" s="4" t="s">
        <v>346</v>
      </c>
      <c r="G1019" s="4" t="s">
        <v>347</v>
      </c>
      <c r="H1019" t="s">
        <v>77</v>
      </c>
      <c r="I1019" t="s">
        <v>350</v>
      </c>
      <c r="J1019" s="3">
        <v>1994</v>
      </c>
      <c r="K1019" s="3">
        <v>2004</v>
      </c>
      <c r="L1019" s="6">
        <f t="shared" si="311"/>
        <v>1999</v>
      </c>
      <c r="M1019" s="6">
        <f t="shared" si="312"/>
        <v>1999</v>
      </c>
      <c r="N1019" s="7">
        <f t="shared" si="300"/>
        <v>0</v>
      </c>
      <c r="O1019" s="7">
        <f t="shared" si="301"/>
        <v>0</v>
      </c>
      <c r="P1019" s="7">
        <f t="shared" si="302"/>
        <v>0</v>
      </c>
      <c r="Q1019" s="7">
        <f t="shared" si="313"/>
        <v>0</v>
      </c>
      <c r="R1019" s="10" t="str">
        <f t="shared" si="303"/>
        <v>0_Pre</v>
      </c>
      <c r="S1019" s="10" t="str">
        <f t="shared" si="304"/>
        <v>0_Pre</v>
      </c>
      <c r="T1019" s="10" t="str">
        <f t="shared" si="305"/>
        <v>0_Pre</v>
      </c>
      <c r="U1019" s="10" t="str">
        <f t="shared" si="306"/>
        <v>0_Pre</v>
      </c>
      <c r="V1019" s="10" t="str">
        <f t="shared" si="314"/>
        <v>0_Pre</v>
      </c>
      <c r="W1019" s="10" t="str">
        <f t="shared" si="307"/>
        <v>clean_pre</v>
      </c>
      <c r="X1019" s="10" t="str">
        <f t="shared" si="308"/>
        <v>0_Pre</v>
      </c>
      <c r="Y1019" s="10" t="str">
        <f t="shared" si="309"/>
        <v>0_Pre</v>
      </c>
      <c r="Z1019" s="10" t="str">
        <f t="shared" si="310"/>
        <v>0_Pre</v>
      </c>
      <c r="AA1019" s="10" t="str">
        <f t="shared" si="315"/>
        <v>0_Pre</v>
      </c>
      <c r="AB1019" s="10" t="str">
        <f t="shared" si="316"/>
        <v>0_Pre</v>
      </c>
      <c r="AC1019" s="10" t="str">
        <f t="shared" si="317"/>
        <v>0_Pre</v>
      </c>
      <c r="AD1019" s="10" t="str">
        <f t="shared" si="318"/>
        <v>1_pre sample median</v>
      </c>
      <c r="AE1019" s="10" t="str">
        <f t="shared" si="319"/>
        <v>1_pre sample first tertile</v>
      </c>
      <c r="AF1019" t="s">
        <v>82</v>
      </c>
      <c r="AG1019" t="s">
        <v>75</v>
      </c>
      <c r="AH1019" t="s">
        <v>79</v>
      </c>
      <c r="AI1019" t="s">
        <v>123</v>
      </c>
      <c r="AJ1019" t="s">
        <v>123</v>
      </c>
      <c r="AK1019" t="str">
        <f>VLOOKUP(MID($AR1019,1,255),country_lookup!$B:$F,2,FALSE)</f>
        <v>1_US</v>
      </c>
      <c r="AL1019" t="str">
        <f>VLOOKUP(MID($AR1019,1,255),country_lookup!$B:$F,3,FALSE)</f>
        <v>1_developed</v>
      </c>
      <c r="AM1019" t="str">
        <f>VLOOKUP(MID($AR1019,1,255),country_lookup!$B:$F,4,FALSE)</f>
        <v>1_western</v>
      </c>
      <c r="AN1019" t="str">
        <f>VLOOKUP(MID($AR1019,1,255),country_lookup!$B:$F,5,FALSE)</f>
        <v>1_common law</v>
      </c>
      <c r="AO1019" s="10" t="str">
        <f>VLOOKUP(MID($AS1019,1,255),source_lookup!$B:$K,4,FALSE)</f>
        <v>0_published</v>
      </c>
      <c r="AP1019" s="10" t="str">
        <f>VLOOKUP(MID($AS1019,1,255),source_lookup!$B:$K,6,FALSE)</f>
        <v>1_VHB high</v>
      </c>
      <c r="AQ1019" s="10" t="str">
        <f>VLOOKUP(MID($AS1019,1,255),source_lookup!$B:$K,10,FALSE)</f>
        <v>1_fin/acc/econ</v>
      </c>
      <c r="AR1019" t="s">
        <v>85</v>
      </c>
      <c r="AS1019" t="s">
        <v>174</v>
      </c>
    </row>
    <row r="1020" spans="1:45" x14ac:dyDescent="0.3">
      <c r="A1020" t="s">
        <v>51</v>
      </c>
      <c r="B1020">
        <v>1019</v>
      </c>
      <c r="C1020" s="1">
        <v>-0.25213692552778255</v>
      </c>
      <c r="D1020" s="2">
        <v>48</v>
      </c>
      <c r="E1020" s="4">
        <v>244</v>
      </c>
      <c r="F1020" s="4" t="s">
        <v>346</v>
      </c>
      <c r="G1020" s="4" t="s">
        <v>347</v>
      </c>
      <c r="H1020" t="s">
        <v>77</v>
      </c>
      <c r="I1020" t="s">
        <v>350</v>
      </c>
      <c r="J1020" s="3">
        <v>1994</v>
      </c>
      <c r="K1020" s="3">
        <v>2004</v>
      </c>
      <c r="L1020" s="6">
        <f t="shared" si="311"/>
        <v>1999</v>
      </c>
      <c r="M1020" s="6">
        <f t="shared" si="312"/>
        <v>1999</v>
      </c>
      <c r="N1020" s="7">
        <f t="shared" si="300"/>
        <v>0</v>
      </c>
      <c r="O1020" s="7">
        <f t="shared" si="301"/>
        <v>0</v>
      </c>
      <c r="P1020" s="7">
        <f t="shared" si="302"/>
        <v>0</v>
      </c>
      <c r="Q1020" s="7">
        <f t="shared" si="313"/>
        <v>0</v>
      </c>
      <c r="R1020" s="10" t="str">
        <f t="shared" si="303"/>
        <v>0_Pre</v>
      </c>
      <c r="S1020" s="10" t="str">
        <f t="shared" si="304"/>
        <v>0_Pre</v>
      </c>
      <c r="T1020" s="10" t="str">
        <f t="shared" si="305"/>
        <v>0_Pre</v>
      </c>
      <c r="U1020" s="10" t="str">
        <f t="shared" si="306"/>
        <v>0_Pre</v>
      </c>
      <c r="V1020" s="10" t="str">
        <f t="shared" si="314"/>
        <v>0_Pre</v>
      </c>
      <c r="W1020" s="10" t="str">
        <f t="shared" si="307"/>
        <v>clean_pre</v>
      </c>
      <c r="X1020" s="10" t="str">
        <f t="shared" si="308"/>
        <v>0_Pre</v>
      </c>
      <c r="Y1020" s="10" t="str">
        <f t="shared" si="309"/>
        <v>0_Pre</v>
      </c>
      <c r="Z1020" s="10" t="str">
        <f t="shared" si="310"/>
        <v>0_Pre</v>
      </c>
      <c r="AA1020" s="10" t="str">
        <f t="shared" si="315"/>
        <v>0_Pre</v>
      </c>
      <c r="AB1020" s="10" t="str">
        <f t="shared" si="316"/>
        <v>0_Pre</v>
      </c>
      <c r="AC1020" s="10" t="str">
        <f t="shared" si="317"/>
        <v>0_Pre</v>
      </c>
      <c r="AD1020" s="10" t="str">
        <f t="shared" si="318"/>
        <v>1_pre sample median</v>
      </c>
      <c r="AE1020" s="10" t="str">
        <f t="shared" si="319"/>
        <v>1_pre sample first tertile</v>
      </c>
      <c r="AF1020" t="s">
        <v>82</v>
      </c>
      <c r="AG1020" t="s">
        <v>75</v>
      </c>
      <c r="AH1020" t="s">
        <v>79</v>
      </c>
      <c r="AI1020" t="s">
        <v>123</v>
      </c>
      <c r="AJ1020" t="s">
        <v>123</v>
      </c>
      <c r="AK1020" t="str">
        <f>VLOOKUP(MID($AR1020,1,255),country_lookup!$B:$F,2,FALSE)</f>
        <v>1_US</v>
      </c>
      <c r="AL1020" t="str">
        <f>VLOOKUP(MID($AR1020,1,255),country_lookup!$B:$F,3,FALSE)</f>
        <v>1_developed</v>
      </c>
      <c r="AM1020" t="str">
        <f>VLOOKUP(MID($AR1020,1,255),country_lookup!$B:$F,4,FALSE)</f>
        <v>1_western</v>
      </c>
      <c r="AN1020" t="str">
        <f>VLOOKUP(MID($AR1020,1,255),country_lookup!$B:$F,5,FALSE)</f>
        <v>1_common law</v>
      </c>
      <c r="AO1020" s="10" t="str">
        <f>VLOOKUP(MID($AS1020,1,255),source_lookup!$B:$K,4,FALSE)</f>
        <v>0_published</v>
      </c>
      <c r="AP1020" s="10" t="str">
        <f>VLOOKUP(MID($AS1020,1,255),source_lookup!$B:$K,6,FALSE)</f>
        <v>1_VHB high</v>
      </c>
      <c r="AQ1020" s="10" t="str">
        <f>VLOOKUP(MID($AS1020,1,255),source_lookup!$B:$K,10,FALSE)</f>
        <v>1_fin/acc/econ</v>
      </c>
      <c r="AR1020" t="s">
        <v>85</v>
      </c>
      <c r="AS1020" t="s">
        <v>174</v>
      </c>
    </row>
    <row r="1021" spans="1:45" x14ac:dyDescent="0.3">
      <c r="A1021" t="s">
        <v>51</v>
      </c>
      <c r="B1021">
        <v>1020</v>
      </c>
      <c r="C1021" s="1">
        <v>-0.52185589113394293</v>
      </c>
      <c r="D1021" s="2">
        <v>6</v>
      </c>
      <c r="E1021" s="4">
        <v>66</v>
      </c>
      <c r="F1021" s="4" t="s">
        <v>346</v>
      </c>
      <c r="G1021" s="4" t="s">
        <v>347</v>
      </c>
      <c r="H1021" t="s">
        <v>77</v>
      </c>
      <c r="I1021" t="s">
        <v>350</v>
      </c>
      <c r="J1021" s="3">
        <v>1994</v>
      </c>
      <c r="K1021" s="3">
        <v>2004</v>
      </c>
      <c r="L1021" s="6">
        <f t="shared" si="311"/>
        <v>1999</v>
      </c>
      <c r="M1021" s="6">
        <f t="shared" si="312"/>
        <v>1999</v>
      </c>
      <c r="N1021" s="7">
        <f t="shared" si="300"/>
        <v>0</v>
      </c>
      <c r="O1021" s="7">
        <f t="shared" si="301"/>
        <v>0</v>
      </c>
      <c r="P1021" s="7">
        <f t="shared" si="302"/>
        <v>0</v>
      </c>
      <c r="Q1021" s="7">
        <f t="shared" si="313"/>
        <v>0</v>
      </c>
      <c r="R1021" s="10" t="str">
        <f t="shared" si="303"/>
        <v>0_Pre</v>
      </c>
      <c r="S1021" s="10" t="str">
        <f t="shared" si="304"/>
        <v>0_Pre</v>
      </c>
      <c r="T1021" s="10" t="str">
        <f t="shared" si="305"/>
        <v>0_Pre</v>
      </c>
      <c r="U1021" s="10" t="str">
        <f t="shared" si="306"/>
        <v>0_Pre</v>
      </c>
      <c r="V1021" s="10" t="str">
        <f t="shared" si="314"/>
        <v>0_Pre</v>
      </c>
      <c r="W1021" s="10" t="str">
        <f t="shared" si="307"/>
        <v>clean_pre</v>
      </c>
      <c r="X1021" s="10" t="str">
        <f t="shared" si="308"/>
        <v>0_Pre</v>
      </c>
      <c r="Y1021" s="10" t="str">
        <f t="shared" si="309"/>
        <v>0_Pre</v>
      </c>
      <c r="Z1021" s="10" t="str">
        <f t="shared" si="310"/>
        <v>0_Pre</v>
      </c>
      <c r="AA1021" s="10" t="str">
        <f t="shared" si="315"/>
        <v>0_Pre</v>
      </c>
      <c r="AB1021" s="10" t="str">
        <f t="shared" si="316"/>
        <v>0_Pre</v>
      </c>
      <c r="AC1021" s="10" t="str">
        <f t="shared" si="317"/>
        <v>0_Pre</v>
      </c>
      <c r="AD1021" s="10" t="str">
        <f t="shared" si="318"/>
        <v>1_pre sample median</v>
      </c>
      <c r="AE1021" s="10" t="str">
        <f t="shared" si="319"/>
        <v>1_pre sample first tertile</v>
      </c>
      <c r="AF1021" t="s">
        <v>82</v>
      </c>
      <c r="AG1021" t="s">
        <v>75</v>
      </c>
      <c r="AH1021" t="s">
        <v>79</v>
      </c>
      <c r="AI1021" t="s">
        <v>123</v>
      </c>
      <c r="AJ1021" t="s">
        <v>123</v>
      </c>
      <c r="AK1021" t="str">
        <f>VLOOKUP(MID($AR1021,1,255),country_lookup!$B:$F,2,FALSE)</f>
        <v>1_US</v>
      </c>
      <c r="AL1021" t="str">
        <f>VLOOKUP(MID($AR1021,1,255),country_lookup!$B:$F,3,FALSE)</f>
        <v>1_developed</v>
      </c>
      <c r="AM1021" t="str">
        <f>VLOOKUP(MID($AR1021,1,255),country_lookup!$B:$F,4,FALSE)</f>
        <v>1_western</v>
      </c>
      <c r="AN1021" t="str">
        <f>VLOOKUP(MID($AR1021,1,255),country_lookup!$B:$F,5,FALSE)</f>
        <v>1_common law</v>
      </c>
      <c r="AO1021" s="10" t="str">
        <f>VLOOKUP(MID($AS1021,1,255),source_lookup!$B:$K,4,FALSE)</f>
        <v>0_published</v>
      </c>
      <c r="AP1021" s="10" t="str">
        <f>VLOOKUP(MID($AS1021,1,255),source_lookup!$B:$K,6,FALSE)</f>
        <v>1_VHB high</v>
      </c>
      <c r="AQ1021" s="10" t="str">
        <f>VLOOKUP(MID($AS1021,1,255),source_lookup!$B:$K,10,FALSE)</f>
        <v>1_fin/acc/econ</v>
      </c>
      <c r="AR1021" t="s">
        <v>85</v>
      </c>
      <c r="AS1021" t="s">
        <v>174</v>
      </c>
    </row>
    <row r="1022" spans="1:45" x14ac:dyDescent="0.3">
      <c r="A1022" t="s">
        <v>51</v>
      </c>
      <c r="B1022">
        <v>1021</v>
      </c>
      <c r="C1022" s="1">
        <v>-0.45742335105888804</v>
      </c>
      <c r="D1022" s="2">
        <v>9</v>
      </c>
      <c r="E1022" s="4">
        <v>96</v>
      </c>
      <c r="F1022" s="4" t="s">
        <v>346</v>
      </c>
      <c r="G1022" s="4" t="s">
        <v>347</v>
      </c>
      <c r="H1022" t="s">
        <v>77</v>
      </c>
      <c r="I1022" t="s">
        <v>350</v>
      </c>
      <c r="J1022" s="3">
        <v>1994</v>
      </c>
      <c r="K1022" s="3">
        <v>2004</v>
      </c>
      <c r="L1022" s="6">
        <f t="shared" si="311"/>
        <v>1999</v>
      </c>
      <c r="M1022" s="6">
        <f t="shared" si="312"/>
        <v>1999</v>
      </c>
      <c r="N1022" s="7">
        <f t="shared" si="300"/>
        <v>0</v>
      </c>
      <c r="O1022" s="7">
        <f t="shared" si="301"/>
        <v>0</v>
      </c>
      <c r="P1022" s="7">
        <f t="shared" si="302"/>
        <v>0</v>
      </c>
      <c r="Q1022" s="7">
        <f t="shared" si="313"/>
        <v>0</v>
      </c>
      <c r="R1022" s="10" t="str">
        <f t="shared" si="303"/>
        <v>0_Pre</v>
      </c>
      <c r="S1022" s="10" t="str">
        <f t="shared" si="304"/>
        <v>0_Pre</v>
      </c>
      <c r="T1022" s="10" t="str">
        <f t="shared" si="305"/>
        <v>0_Pre</v>
      </c>
      <c r="U1022" s="10" t="str">
        <f t="shared" si="306"/>
        <v>0_Pre</v>
      </c>
      <c r="V1022" s="10" t="str">
        <f t="shared" si="314"/>
        <v>0_Pre</v>
      </c>
      <c r="W1022" s="10" t="str">
        <f t="shared" si="307"/>
        <v>clean_pre</v>
      </c>
      <c r="X1022" s="10" t="str">
        <f t="shared" si="308"/>
        <v>0_Pre</v>
      </c>
      <c r="Y1022" s="10" t="str">
        <f t="shared" si="309"/>
        <v>0_Pre</v>
      </c>
      <c r="Z1022" s="10" t="str">
        <f t="shared" si="310"/>
        <v>0_Pre</v>
      </c>
      <c r="AA1022" s="10" t="str">
        <f t="shared" si="315"/>
        <v>0_Pre</v>
      </c>
      <c r="AB1022" s="10" t="str">
        <f t="shared" si="316"/>
        <v>0_Pre</v>
      </c>
      <c r="AC1022" s="10" t="str">
        <f t="shared" si="317"/>
        <v>0_Pre</v>
      </c>
      <c r="AD1022" s="10" t="str">
        <f t="shared" si="318"/>
        <v>1_pre sample median</v>
      </c>
      <c r="AE1022" s="10" t="str">
        <f t="shared" si="319"/>
        <v>1_pre sample first tertile</v>
      </c>
      <c r="AF1022" t="s">
        <v>82</v>
      </c>
      <c r="AG1022" t="s">
        <v>75</v>
      </c>
      <c r="AH1022" t="s">
        <v>79</v>
      </c>
      <c r="AI1022" t="s">
        <v>123</v>
      </c>
      <c r="AJ1022" t="s">
        <v>123</v>
      </c>
      <c r="AK1022" t="str">
        <f>VLOOKUP(MID($AR1022,1,255),country_lookup!$B:$F,2,FALSE)</f>
        <v>1_US</v>
      </c>
      <c r="AL1022" t="str">
        <f>VLOOKUP(MID($AR1022,1,255),country_lookup!$B:$F,3,FALSE)</f>
        <v>1_developed</v>
      </c>
      <c r="AM1022" t="str">
        <f>VLOOKUP(MID($AR1022,1,255),country_lookup!$B:$F,4,FALSE)</f>
        <v>1_western</v>
      </c>
      <c r="AN1022" t="str">
        <f>VLOOKUP(MID($AR1022,1,255),country_lookup!$B:$F,5,FALSE)</f>
        <v>1_common law</v>
      </c>
      <c r="AO1022" s="10" t="str">
        <f>VLOOKUP(MID($AS1022,1,255),source_lookup!$B:$K,4,FALSE)</f>
        <v>0_published</v>
      </c>
      <c r="AP1022" s="10" t="str">
        <f>VLOOKUP(MID($AS1022,1,255),source_lookup!$B:$K,6,FALSE)</f>
        <v>1_VHB high</v>
      </c>
      <c r="AQ1022" s="10" t="str">
        <f>VLOOKUP(MID($AS1022,1,255),source_lookup!$B:$K,10,FALSE)</f>
        <v>1_fin/acc/econ</v>
      </c>
      <c r="AR1022" t="s">
        <v>85</v>
      </c>
      <c r="AS1022" t="s">
        <v>174</v>
      </c>
    </row>
    <row r="1023" spans="1:45" x14ac:dyDescent="0.3">
      <c r="A1023" t="s">
        <v>51</v>
      </c>
      <c r="B1023">
        <v>1022</v>
      </c>
      <c r="C1023" s="1">
        <v>0.19600398887522238</v>
      </c>
      <c r="D1023" s="2">
        <v>7</v>
      </c>
      <c r="E1023" s="4">
        <v>82</v>
      </c>
      <c r="F1023" s="4" t="s">
        <v>346</v>
      </c>
      <c r="G1023" s="4" t="s">
        <v>347</v>
      </c>
      <c r="H1023" t="s">
        <v>77</v>
      </c>
      <c r="I1023" t="s">
        <v>350</v>
      </c>
      <c r="J1023" s="3">
        <v>1994</v>
      </c>
      <c r="K1023" s="3">
        <v>2004</v>
      </c>
      <c r="L1023" s="6">
        <f t="shared" si="311"/>
        <v>1999</v>
      </c>
      <c r="M1023" s="6">
        <f t="shared" si="312"/>
        <v>1999</v>
      </c>
      <c r="N1023" s="7">
        <f t="shared" si="300"/>
        <v>0</v>
      </c>
      <c r="O1023" s="7">
        <f t="shared" si="301"/>
        <v>0</v>
      </c>
      <c r="P1023" s="7">
        <f t="shared" si="302"/>
        <v>0</v>
      </c>
      <c r="Q1023" s="7">
        <f t="shared" si="313"/>
        <v>0</v>
      </c>
      <c r="R1023" s="10" t="str">
        <f t="shared" si="303"/>
        <v>0_Pre</v>
      </c>
      <c r="S1023" s="10" t="str">
        <f t="shared" si="304"/>
        <v>0_Pre</v>
      </c>
      <c r="T1023" s="10" t="str">
        <f t="shared" si="305"/>
        <v>0_Pre</v>
      </c>
      <c r="U1023" s="10" t="str">
        <f t="shared" si="306"/>
        <v>0_Pre</v>
      </c>
      <c r="V1023" s="10" t="str">
        <f t="shared" si="314"/>
        <v>0_Pre</v>
      </c>
      <c r="W1023" s="10" t="str">
        <f t="shared" si="307"/>
        <v>clean_pre</v>
      </c>
      <c r="X1023" s="10" t="str">
        <f t="shared" si="308"/>
        <v>0_Pre</v>
      </c>
      <c r="Y1023" s="10" t="str">
        <f t="shared" si="309"/>
        <v>0_Pre</v>
      </c>
      <c r="Z1023" s="10" t="str">
        <f t="shared" si="310"/>
        <v>0_Pre</v>
      </c>
      <c r="AA1023" s="10" t="str">
        <f t="shared" si="315"/>
        <v>0_Pre</v>
      </c>
      <c r="AB1023" s="10" t="str">
        <f t="shared" si="316"/>
        <v>0_Pre</v>
      </c>
      <c r="AC1023" s="10" t="str">
        <f t="shared" si="317"/>
        <v>0_Pre</v>
      </c>
      <c r="AD1023" s="10" t="str">
        <f t="shared" si="318"/>
        <v>1_pre sample median</v>
      </c>
      <c r="AE1023" s="10" t="str">
        <f t="shared" si="319"/>
        <v>1_pre sample first tertile</v>
      </c>
      <c r="AF1023" t="s">
        <v>82</v>
      </c>
      <c r="AG1023" t="s">
        <v>75</v>
      </c>
      <c r="AH1023" t="s">
        <v>79</v>
      </c>
      <c r="AI1023" t="s">
        <v>123</v>
      </c>
      <c r="AJ1023" t="s">
        <v>123</v>
      </c>
      <c r="AK1023" t="str">
        <f>VLOOKUP(MID($AR1023,1,255),country_lookup!$B:$F,2,FALSE)</f>
        <v>1_US</v>
      </c>
      <c r="AL1023" t="str">
        <f>VLOOKUP(MID($AR1023,1,255),country_lookup!$B:$F,3,FALSE)</f>
        <v>1_developed</v>
      </c>
      <c r="AM1023" t="str">
        <f>VLOOKUP(MID($AR1023,1,255),country_lookup!$B:$F,4,FALSE)</f>
        <v>1_western</v>
      </c>
      <c r="AN1023" t="str">
        <f>VLOOKUP(MID($AR1023,1,255),country_lookup!$B:$F,5,FALSE)</f>
        <v>1_common law</v>
      </c>
      <c r="AO1023" s="10" t="str">
        <f>VLOOKUP(MID($AS1023,1,255),source_lookup!$B:$K,4,FALSE)</f>
        <v>0_published</v>
      </c>
      <c r="AP1023" s="10" t="str">
        <f>VLOOKUP(MID($AS1023,1,255),source_lookup!$B:$K,6,FALSE)</f>
        <v>1_VHB high</v>
      </c>
      <c r="AQ1023" s="10" t="str">
        <f>VLOOKUP(MID($AS1023,1,255),source_lookup!$B:$K,10,FALSE)</f>
        <v>1_fin/acc/econ</v>
      </c>
      <c r="AR1023" t="s">
        <v>85</v>
      </c>
      <c r="AS1023" t="s">
        <v>174</v>
      </c>
    </row>
    <row r="1024" spans="1:45" x14ac:dyDescent="0.3">
      <c r="A1024" t="s">
        <v>52</v>
      </c>
      <c r="B1024">
        <v>1023</v>
      </c>
      <c r="C1024" s="1">
        <v>-5.6668366743170495E-2</v>
      </c>
      <c r="D1024" s="2">
        <v>216</v>
      </c>
      <c r="E1024" s="4">
        <v>1940</v>
      </c>
      <c r="F1024" s="4" t="s">
        <v>347</v>
      </c>
      <c r="G1024" s="4" t="s">
        <v>346</v>
      </c>
      <c r="H1024" t="s">
        <v>77</v>
      </c>
      <c r="I1024" t="s">
        <v>352</v>
      </c>
      <c r="J1024" s="3">
        <v>2009</v>
      </c>
      <c r="K1024" s="3">
        <v>2017</v>
      </c>
      <c r="L1024" s="6">
        <f t="shared" si="311"/>
        <v>2013</v>
      </c>
      <c r="M1024" s="6">
        <f t="shared" si="312"/>
        <v>2013</v>
      </c>
      <c r="N1024" s="7">
        <f t="shared" si="300"/>
        <v>0.22222222222222221</v>
      </c>
      <c r="O1024" s="7">
        <f t="shared" si="301"/>
        <v>0.1111111111111111</v>
      </c>
      <c r="P1024" s="7">
        <f t="shared" si="302"/>
        <v>0</v>
      </c>
      <c r="Q1024" s="7">
        <f t="shared" si="313"/>
        <v>0</v>
      </c>
      <c r="R1024" s="10" t="str">
        <f t="shared" si="303"/>
        <v>0_Pre</v>
      </c>
      <c r="S1024" s="10" t="str">
        <f t="shared" si="304"/>
        <v>0_Pre</v>
      </c>
      <c r="T1024" s="10" t="str">
        <f t="shared" si="305"/>
        <v>0_Pre</v>
      </c>
      <c r="U1024" s="10" t="str">
        <f t="shared" si="306"/>
        <v>1_Post</v>
      </c>
      <c r="V1024" s="10" t="str">
        <f t="shared" si="314"/>
        <v>0_Pre</v>
      </c>
      <c r="W1024" s="10" t="str">
        <f t="shared" si="307"/>
        <v>straddle</v>
      </c>
      <c r="X1024" s="10" t="str">
        <f t="shared" si="308"/>
        <v>0_Pre</v>
      </c>
      <c r="Y1024" s="10" t="str">
        <f t="shared" si="309"/>
        <v>0_Pre</v>
      </c>
      <c r="Z1024" s="10" t="str">
        <f t="shared" si="310"/>
        <v>0_Pre</v>
      </c>
      <c r="AA1024" s="10" t="str">
        <f t="shared" si="315"/>
        <v>1_Post</v>
      </c>
      <c r="AB1024" s="10" t="str">
        <f t="shared" si="316"/>
        <v>0_Pre</v>
      </c>
      <c r="AC1024" s="10" t="str">
        <f t="shared" si="317"/>
        <v>0_Pre</v>
      </c>
      <c r="AD1024" s="10" t="str">
        <f t="shared" si="318"/>
        <v>2_post sample median</v>
      </c>
      <c r="AE1024" s="10" t="str">
        <f t="shared" si="319"/>
        <v>2_in sample second tertile</v>
      </c>
      <c r="AF1024" t="s">
        <v>67</v>
      </c>
      <c r="AG1024" t="s">
        <v>75</v>
      </c>
      <c r="AH1024" t="s">
        <v>78</v>
      </c>
      <c r="AI1024" t="s">
        <v>122</v>
      </c>
      <c r="AJ1024" t="s">
        <v>122</v>
      </c>
      <c r="AK1024" t="str">
        <f>VLOOKUP(MID($AR1024,1,255),country_lookup!$B:$F,2,FALSE)</f>
        <v>1_US</v>
      </c>
      <c r="AL1024" t="str">
        <f>VLOOKUP(MID($AR1024,1,255),country_lookup!$B:$F,3,FALSE)</f>
        <v>1_developed</v>
      </c>
      <c r="AM1024" t="str">
        <f>VLOOKUP(MID($AR1024,1,255),country_lookup!$B:$F,4,FALSE)</f>
        <v>1_western</v>
      </c>
      <c r="AN1024" t="str">
        <f>VLOOKUP(MID($AR1024,1,255),country_lookup!$B:$F,5,FALSE)</f>
        <v>1_common law</v>
      </c>
      <c r="AO1024" s="10" t="str">
        <f>VLOOKUP(MID($AS1024,1,255),source_lookup!$B:$K,4,FALSE)</f>
        <v>1_not published</v>
      </c>
      <c r="AP1024" s="10" t="str">
        <f>VLOOKUP(MID($AS1024,1,255),source_lookup!$B:$K,6,FALSE)</f>
        <v>99_NA</v>
      </c>
      <c r="AQ1024" s="10" t="str">
        <f>VLOOKUP(MID($AS1024,1,255),source_lookup!$B:$K,10,FALSE)</f>
        <v>1_fin/acc/econ</v>
      </c>
      <c r="AR1024" t="s">
        <v>85</v>
      </c>
      <c r="AS1024" t="s">
        <v>175</v>
      </c>
    </row>
    <row r="1025" spans="1:45" x14ac:dyDescent="0.3">
      <c r="A1025" t="s">
        <v>52</v>
      </c>
      <c r="B1025">
        <v>1024</v>
      </c>
      <c r="C1025" s="1">
        <v>-7.6401462151427194E-2</v>
      </c>
      <c r="D1025" s="2">
        <v>216</v>
      </c>
      <c r="E1025" s="4">
        <v>1940</v>
      </c>
      <c r="F1025" s="4" t="s">
        <v>347</v>
      </c>
      <c r="G1025" s="4" t="s">
        <v>346</v>
      </c>
      <c r="H1025" t="s">
        <v>77</v>
      </c>
      <c r="I1025" t="s">
        <v>352</v>
      </c>
      <c r="J1025" s="3">
        <v>2009</v>
      </c>
      <c r="K1025" s="3">
        <v>2017</v>
      </c>
      <c r="L1025" s="6">
        <f t="shared" si="311"/>
        <v>2013</v>
      </c>
      <c r="M1025" s="6">
        <f t="shared" si="312"/>
        <v>2013</v>
      </c>
      <c r="N1025" s="7">
        <f t="shared" si="300"/>
        <v>0.22222222222222221</v>
      </c>
      <c r="O1025" s="7">
        <f t="shared" si="301"/>
        <v>0.1111111111111111</v>
      </c>
      <c r="P1025" s="7">
        <f t="shared" si="302"/>
        <v>0</v>
      </c>
      <c r="Q1025" s="7">
        <f t="shared" si="313"/>
        <v>0</v>
      </c>
      <c r="R1025" s="10" t="str">
        <f t="shared" si="303"/>
        <v>0_Pre</v>
      </c>
      <c r="S1025" s="10" t="str">
        <f t="shared" si="304"/>
        <v>0_Pre</v>
      </c>
      <c r="T1025" s="10" t="str">
        <f t="shared" si="305"/>
        <v>0_Pre</v>
      </c>
      <c r="U1025" s="10" t="str">
        <f t="shared" si="306"/>
        <v>1_Post</v>
      </c>
      <c r="V1025" s="10" t="str">
        <f t="shared" si="314"/>
        <v>0_Pre</v>
      </c>
      <c r="W1025" s="10" t="str">
        <f t="shared" si="307"/>
        <v>straddle</v>
      </c>
      <c r="X1025" s="10" t="str">
        <f t="shared" si="308"/>
        <v>0_Pre</v>
      </c>
      <c r="Y1025" s="10" t="str">
        <f t="shared" si="309"/>
        <v>0_Pre</v>
      </c>
      <c r="Z1025" s="10" t="str">
        <f t="shared" si="310"/>
        <v>0_Pre</v>
      </c>
      <c r="AA1025" s="10" t="str">
        <f t="shared" si="315"/>
        <v>1_Post</v>
      </c>
      <c r="AB1025" s="10" t="str">
        <f t="shared" si="316"/>
        <v>0_Pre</v>
      </c>
      <c r="AC1025" s="10" t="str">
        <f t="shared" si="317"/>
        <v>0_Pre</v>
      </c>
      <c r="AD1025" s="10" t="str">
        <f t="shared" si="318"/>
        <v>2_post sample median</v>
      </c>
      <c r="AE1025" s="10" t="str">
        <f t="shared" si="319"/>
        <v>2_in sample second tertile</v>
      </c>
      <c r="AF1025" t="s">
        <v>67</v>
      </c>
      <c r="AG1025" t="s">
        <v>75</v>
      </c>
      <c r="AH1025" t="s">
        <v>78</v>
      </c>
      <c r="AI1025" t="s">
        <v>122</v>
      </c>
      <c r="AJ1025" t="s">
        <v>122</v>
      </c>
      <c r="AK1025" t="str">
        <f>VLOOKUP(MID($AR1025,1,255),country_lookup!$B:$F,2,FALSE)</f>
        <v>1_US</v>
      </c>
      <c r="AL1025" t="str">
        <f>VLOOKUP(MID($AR1025,1,255),country_lookup!$B:$F,3,FALSE)</f>
        <v>1_developed</v>
      </c>
      <c r="AM1025" t="str">
        <f>VLOOKUP(MID($AR1025,1,255),country_lookup!$B:$F,4,FALSE)</f>
        <v>1_western</v>
      </c>
      <c r="AN1025" t="str">
        <f>VLOOKUP(MID($AR1025,1,255),country_lookup!$B:$F,5,FALSE)</f>
        <v>1_common law</v>
      </c>
      <c r="AO1025" s="10" t="str">
        <f>VLOOKUP(MID($AS1025,1,255),source_lookup!$B:$K,4,FALSE)</f>
        <v>1_not published</v>
      </c>
      <c r="AP1025" s="10" t="str">
        <f>VLOOKUP(MID($AS1025,1,255),source_lookup!$B:$K,6,FALSE)</f>
        <v>99_NA</v>
      </c>
      <c r="AQ1025" s="10" t="str">
        <f>VLOOKUP(MID($AS1025,1,255),source_lookup!$B:$K,10,FALSE)</f>
        <v>1_fin/acc/econ</v>
      </c>
      <c r="AR1025" t="s">
        <v>85</v>
      </c>
      <c r="AS1025" t="s">
        <v>175</v>
      </c>
    </row>
    <row r="1026" spans="1:45" x14ac:dyDescent="0.3">
      <c r="A1026" t="s">
        <v>52</v>
      </c>
      <c r="B1026">
        <v>1025</v>
      </c>
      <c r="C1026" s="1">
        <v>-4.4553062763503543E-2</v>
      </c>
      <c r="D1026" s="2">
        <v>146</v>
      </c>
      <c r="E1026" s="4">
        <v>1312</v>
      </c>
      <c r="F1026" s="4" t="s">
        <v>347</v>
      </c>
      <c r="G1026" s="4" t="s">
        <v>346</v>
      </c>
      <c r="H1026" t="s">
        <v>77</v>
      </c>
      <c r="I1026" t="s">
        <v>352</v>
      </c>
      <c r="J1026" s="3">
        <v>2009</v>
      </c>
      <c r="K1026" s="3">
        <v>2017</v>
      </c>
      <c r="L1026" s="6">
        <f t="shared" si="311"/>
        <v>2013</v>
      </c>
      <c r="M1026" s="6">
        <f t="shared" si="312"/>
        <v>2013</v>
      </c>
      <c r="N1026" s="7">
        <f t="shared" ref="N1026:N1089" si="320">MAX(0,$K1026-MAX($J1026,2016)+1)/($K1026-$J1026+1)</f>
        <v>0.22222222222222221</v>
      </c>
      <c r="O1026" s="7">
        <f t="shared" ref="O1026:O1089" si="321">MAX(0,$K1026-MAX($J1026,2017)+1)/($K1026-$J1026+1)</f>
        <v>0.1111111111111111</v>
      </c>
      <c r="P1026" s="7">
        <f t="shared" ref="P1026:P1089" si="322">MAX(0,$K1026-MAX($J1026,2018)+1)/($K1026-$J1026+1)</f>
        <v>0</v>
      </c>
      <c r="Q1026" s="7">
        <f t="shared" si="313"/>
        <v>0</v>
      </c>
      <c r="R1026" s="10" t="str">
        <f t="shared" ref="R1026:R1089" si="323">IF(N1026&gt;=0.5,"1_Post","0_Pre")</f>
        <v>0_Pre</v>
      </c>
      <c r="S1026" s="10" t="str">
        <f t="shared" ref="S1026:S1089" si="324">IF($L1026&gt;=2016,"1_Post","0_Pre")</f>
        <v>0_Pre</v>
      </c>
      <c r="T1026" s="10" t="str">
        <f t="shared" ref="T1026:T1089" si="325">IF($M1026&gt;=2016,"1_Post","0_Pre")</f>
        <v>0_Pre</v>
      </c>
      <c r="U1026" s="10" t="str">
        <f t="shared" ref="U1026:U1089" si="326">IF($K1026&gt;=2016,"1_Post","0_Pre")</f>
        <v>1_Post</v>
      </c>
      <c r="V1026" s="10" t="str">
        <f t="shared" si="314"/>
        <v>0_Pre</v>
      </c>
      <c r="W1026" s="10" t="str">
        <f t="shared" ref="W1026:W1089" si="327">IF($K1026&lt;=2015,"clean_pre",IF($J1026&gt;=2016,"clean_post","straddle"))</f>
        <v>straddle</v>
      </c>
      <c r="X1026" s="10" t="str">
        <f t="shared" ref="X1026:X1089" si="328">IF(O1026&gt;=0.5,"1_Post","0_Pre")</f>
        <v>0_Pre</v>
      </c>
      <c r="Y1026" s="10" t="str">
        <f t="shared" ref="Y1026:Y1089" si="329">IF(P1026&gt;=0.5,"1_Post","0_Pre")</f>
        <v>0_Pre</v>
      </c>
      <c r="Z1026" s="10" t="str">
        <f t="shared" ref="Z1026:Z1089" si="330">IF(Q1026&gt;=0.5,"1_Post","0_Pre")</f>
        <v>0_Pre</v>
      </c>
      <c r="AA1026" s="10" t="str">
        <f t="shared" si="315"/>
        <v>1_Post</v>
      </c>
      <c r="AB1026" s="10" t="str">
        <f t="shared" si="316"/>
        <v>0_Pre</v>
      </c>
      <c r="AC1026" s="10" t="str">
        <f t="shared" si="317"/>
        <v>0_Pre</v>
      </c>
      <c r="AD1026" s="10" t="str">
        <f t="shared" si="318"/>
        <v>2_post sample median</v>
      </c>
      <c r="AE1026" s="10" t="str">
        <f t="shared" si="319"/>
        <v>2_in sample second tertile</v>
      </c>
      <c r="AF1026" t="s">
        <v>67</v>
      </c>
      <c r="AG1026" t="s">
        <v>75</v>
      </c>
      <c r="AH1026" t="s">
        <v>78</v>
      </c>
      <c r="AI1026" t="s">
        <v>122</v>
      </c>
      <c r="AJ1026" t="s">
        <v>122</v>
      </c>
      <c r="AK1026" t="str">
        <f>VLOOKUP(MID($AR1026,1,255),country_lookup!$B:$F,2,FALSE)</f>
        <v>1_US</v>
      </c>
      <c r="AL1026" t="str">
        <f>VLOOKUP(MID($AR1026,1,255),country_lookup!$B:$F,3,FALSE)</f>
        <v>1_developed</v>
      </c>
      <c r="AM1026" t="str">
        <f>VLOOKUP(MID($AR1026,1,255),country_lookup!$B:$F,4,FALSE)</f>
        <v>1_western</v>
      </c>
      <c r="AN1026" t="str">
        <f>VLOOKUP(MID($AR1026,1,255),country_lookup!$B:$F,5,FALSE)</f>
        <v>1_common law</v>
      </c>
      <c r="AO1026" s="10" t="str">
        <f>VLOOKUP(MID($AS1026,1,255),source_lookup!$B:$K,4,FALSE)</f>
        <v>1_not published</v>
      </c>
      <c r="AP1026" s="10" t="str">
        <f>VLOOKUP(MID($AS1026,1,255),source_lookup!$B:$K,6,FALSE)</f>
        <v>99_NA</v>
      </c>
      <c r="AQ1026" s="10" t="str">
        <f>VLOOKUP(MID($AS1026,1,255),source_lookup!$B:$K,10,FALSE)</f>
        <v>1_fin/acc/econ</v>
      </c>
      <c r="AR1026" t="s">
        <v>85</v>
      </c>
      <c r="AS1026" t="s">
        <v>175</v>
      </c>
    </row>
    <row r="1027" spans="1:45" x14ac:dyDescent="0.3">
      <c r="A1027" t="s">
        <v>52</v>
      </c>
      <c r="B1027">
        <v>1026</v>
      </c>
      <c r="C1027" s="1">
        <v>-3.5867152993658023E-2</v>
      </c>
      <c r="D1027" s="2">
        <v>146</v>
      </c>
      <c r="E1027" s="4">
        <v>1312</v>
      </c>
      <c r="F1027" s="4" t="s">
        <v>347</v>
      </c>
      <c r="G1027" s="4" t="s">
        <v>346</v>
      </c>
      <c r="H1027" t="s">
        <v>77</v>
      </c>
      <c r="I1027" t="s">
        <v>352</v>
      </c>
      <c r="J1027" s="3">
        <v>2009</v>
      </c>
      <c r="K1027" s="3">
        <v>2017</v>
      </c>
      <c r="L1027" s="6">
        <f t="shared" ref="L1027:L1090" si="331">ROUND(AVERAGE(J1027:K1027),100)</f>
        <v>2013</v>
      </c>
      <c r="M1027" s="6">
        <f t="shared" ref="M1027:M1090" si="332">ROUND(MEDIAN(J1027:K1027),100)</f>
        <v>2013</v>
      </c>
      <c r="N1027" s="7">
        <f t="shared" si="320"/>
        <v>0.22222222222222221</v>
      </c>
      <c r="O1027" s="7">
        <f t="shared" si="321"/>
        <v>0.1111111111111111</v>
      </c>
      <c r="P1027" s="7">
        <f t="shared" si="322"/>
        <v>0</v>
      </c>
      <c r="Q1027" s="7">
        <f t="shared" ref="Q1027:Q1090" si="333">MAX(0,$K1027-MAX($J1027,2019)+1)/($K1027-$J1027+1)</f>
        <v>0</v>
      </c>
      <c r="R1027" s="10" t="str">
        <f t="shared" si="323"/>
        <v>0_Pre</v>
      </c>
      <c r="S1027" s="10" t="str">
        <f t="shared" si="324"/>
        <v>0_Pre</v>
      </c>
      <c r="T1027" s="10" t="str">
        <f t="shared" si="325"/>
        <v>0_Pre</v>
      </c>
      <c r="U1027" s="10" t="str">
        <f t="shared" si="326"/>
        <v>1_Post</v>
      </c>
      <c r="V1027" s="10" t="str">
        <f t="shared" ref="V1027:V1090" si="334">IF($J1027&lt;=2017,"0_Pre","1_Post")</f>
        <v>0_Pre</v>
      </c>
      <c r="W1027" s="10" t="str">
        <f t="shared" si="327"/>
        <v>straddle</v>
      </c>
      <c r="X1027" s="10" t="str">
        <f t="shared" si="328"/>
        <v>0_Pre</v>
      </c>
      <c r="Y1027" s="10" t="str">
        <f t="shared" si="329"/>
        <v>0_Pre</v>
      </c>
      <c r="Z1027" s="10" t="str">
        <f t="shared" si="330"/>
        <v>0_Pre</v>
      </c>
      <c r="AA1027" s="10" t="str">
        <f t="shared" ref="AA1027:AA1090" si="335">IF($K1027&gt;=2017,"1_Post","0_Pre")</f>
        <v>1_Post</v>
      </c>
      <c r="AB1027" s="10" t="str">
        <f t="shared" ref="AB1027:AB1090" si="336">IF($K1027&gt;=2018,"1_Post","0_Pre")</f>
        <v>0_Pre</v>
      </c>
      <c r="AC1027" s="10" t="str">
        <f t="shared" ref="AC1027:AC1090" si="337">IF($K1027&gt;=2019,"1_Post","0_Pre")</f>
        <v>0_Pre</v>
      </c>
      <c r="AD1027" s="10" t="str">
        <f t="shared" ref="AD1027:AD1090" si="338">IF(L1027&lt;MEDIAN($L$2:$L$1307),"1_pre sample median","2_post sample median")</f>
        <v>2_post sample median</v>
      </c>
      <c r="AE1027" s="10" t="str">
        <f t="shared" ref="AE1027:AE1090" si="339">IF(L1027&lt;=PERCENTILE($L$2:$L$1307,0.33),"1_pre sample first tertile",IF(L1027&gt;=PERCENTILE($L$2:$L$1307,0.67),"3_post sample third tertile","2_in sample second tertile"))</f>
        <v>2_in sample second tertile</v>
      </c>
      <c r="AF1027" t="s">
        <v>67</v>
      </c>
      <c r="AG1027" t="s">
        <v>75</v>
      </c>
      <c r="AH1027" t="s">
        <v>78</v>
      </c>
      <c r="AI1027" t="s">
        <v>122</v>
      </c>
      <c r="AJ1027" t="s">
        <v>122</v>
      </c>
      <c r="AK1027" t="str">
        <f>VLOOKUP(MID($AR1027,1,255),country_lookup!$B:$F,2,FALSE)</f>
        <v>1_US</v>
      </c>
      <c r="AL1027" t="str">
        <f>VLOOKUP(MID($AR1027,1,255),country_lookup!$B:$F,3,FALSE)</f>
        <v>1_developed</v>
      </c>
      <c r="AM1027" t="str">
        <f>VLOOKUP(MID($AR1027,1,255),country_lookup!$B:$F,4,FALSE)</f>
        <v>1_western</v>
      </c>
      <c r="AN1027" t="str">
        <f>VLOOKUP(MID($AR1027,1,255),country_lookup!$B:$F,5,FALSE)</f>
        <v>1_common law</v>
      </c>
      <c r="AO1027" s="10" t="str">
        <f>VLOOKUP(MID($AS1027,1,255),source_lookup!$B:$K,4,FALSE)</f>
        <v>1_not published</v>
      </c>
      <c r="AP1027" s="10" t="str">
        <f>VLOOKUP(MID($AS1027,1,255),source_lookup!$B:$K,6,FALSE)</f>
        <v>99_NA</v>
      </c>
      <c r="AQ1027" s="10" t="str">
        <f>VLOOKUP(MID($AS1027,1,255),source_lookup!$B:$K,10,FALSE)</f>
        <v>1_fin/acc/econ</v>
      </c>
      <c r="AR1027" t="s">
        <v>85</v>
      </c>
      <c r="AS1027" t="s">
        <v>175</v>
      </c>
    </row>
    <row r="1028" spans="1:45" x14ac:dyDescent="0.3">
      <c r="A1028" t="s">
        <v>52</v>
      </c>
      <c r="B1028">
        <v>1027</v>
      </c>
      <c r="C1028" s="1">
        <v>-6.497102263765854E-2</v>
      </c>
      <c r="D1028" s="2">
        <v>146</v>
      </c>
      <c r="E1028" s="4">
        <v>1312</v>
      </c>
      <c r="F1028" s="4" t="s">
        <v>347</v>
      </c>
      <c r="G1028" s="4" t="s">
        <v>346</v>
      </c>
      <c r="H1028" t="s">
        <v>77</v>
      </c>
      <c r="I1028" t="s">
        <v>352</v>
      </c>
      <c r="J1028" s="3">
        <v>2009</v>
      </c>
      <c r="K1028" s="3">
        <v>2017</v>
      </c>
      <c r="L1028" s="6">
        <f t="shared" si="331"/>
        <v>2013</v>
      </c>
      <c r="M1028" s="6">
        <f t="shared" si="332"/>
        <v>2013</v>
      </c>
      <c r="N1028" s="7">
        <f t="shared" si="320"/>
        <v>0.22222222222222221</v>
      </c>
      <c r="O1028" s="7">
        <f t="shared" si="321"/>
        <v>0.1111111111111111</v>
      </c>
      <c r="P1028" s="7">
        <f t="shared" si="322"/>
        <v>0</v>
      </c>
      <c r="Q1028" s="7">
        <f t="shared" si="333"/>
        <v>0</v>
      </c>
      <c r="R1028" s="10" t="str">
        <f t="shared" si="323"/>
        <v>0_Pre</v>
      </c>
      <c r="S1028" s="10" t="str">
        <f t="shared" si="324"/>
        <v>0_Pre</v>
      </c>
      <c r="T1028" s="10" t="str">
        <f t="shared" si="325"/>
        <v>0_Pre</v>
      </c>
      <c r="U1028" s="10" t="str">
        <f t="shared" si="326"/>
        <v>1_Post</v>
      </c>
      <c r="V1028" s="10" t="str">
        <f t="shared" si="334"/>
        <v>0_Pre</v>
      </c>
      <c r="W1028" s="10" t="str">
        <f t="shared" si="327"/>
        <v>straddle</v>
      </c>
      <c r="X1028" s="10" t="str">
        <f t="shared" si="328"/>
        <v>0_Pre</v>
      </c>
      <c r="Y1028" s="10" t="str">
        <f t="shared" si="329"/>
        <v>0_Pre</v>
      </c>
      <c r="Z1028" s="10" t="str">
        <f t="shared" si="330"/>
        <v>0_Pre</v>
      </c>
      <c r="AA1028" s="10" t="str">
        <f t="shared" si="335"/>
        <v>1_Post</v>
      </c>
      <c r="AB1028" s="10" t="str">
        <f t="shared" si="336"/>
        <v>0_Pre</v>
      </c>
      <c r="AC1028" s="10" t="str">
        <f t="shared" si="337"/>
        <v>0_Pre</v>
      </c>
      <c r="AD1028" s="10" t="str">
        <f t="shared" si="338"/>
        <v>2_post sample median</v>
      </c>
      <c r="AE1028" s="10" t="str">
        <f t="shared" si="339"/>
        <v>2_in sample second tertile</v>
      </c>
      <c r="AF1028" t="s">
        <v>67</v>
      </c>
      <c r="AG1028" t="s">
        <v>75</v>
      </c>
      <c r="AH1028" t="s">
        <v>78</v>
      </c>
      <c r="AI1028" t="s">
        <v>122</v>
      </c>
      <c r="AJ1028" t="s">
        <v>122</v>
      </c>
      <c r="AK1028" t="str">
        <f>VLOOKUP(MID($AR1028,1,255),country_lookup!$B:$F,2,FALSE)</f>
        <v>1_US</v>
      </c>
      <c r="AL1028" t="str">
        <f>VLOOKUP(MID($AR1028,1,255),country_lookup!$B:$F,3,FALSE)</f>
        <v>1_developed</v>
      </c>
      <c r="AM1028" t="str">
        <f>VLOOKUP(MID($AR1028,1,255),country_lookup!$B:$F,4,FALSE)</f>
        <v>1_western</v>
      </c>
      <c r="AN1028" t="str">
        <f>VLOOKUP(MID($AR1028,1,255),country_lookup!$B:$F,5,FALSE)</f>
        <v>1_common law</v>
      </c>
      <c r="AO1028" s="10" t="str">
        <f>VLOOKUP(MID($AS1028,1,255),source_lookup!$B:$K,4,FALSE)</f>
        <v>1_not published</v>
      </c>
      <c r="AP1028" s="10" t="str">
        <f>VLOOKUP(MID($AS1028,1,255),source_lookup!$B:$K,6,FALSE)</f>
        <v>99_NA</v>
      </c>
      <c r="AQ1028" s="10" t="str">
        <f>VLOOKUP(MID($AS1028,1,255),source_lookup!$B:$K,10,FALSE)</f>
        <v>1_fin/acc/econ</v>
      </c>
      <c r="AR1028" t="s">
        <v>85</v>
      </c>
      <c r="AS1028" t="s">
        <v>175</v>
      </c>
    </row>
    <row r="1029" spans="1:45" x14ac:dyDescent="0.3">
      <c r="A1029" t="s">
        <v>52</v>
      </c>
      <c r="B1029">
        <v>1028</v>
      </c>
      <c r="C1029" s="1">
        <v>-0.10013565229049615</v>
      </c>
      <c r="D1029" s="2">
        <v>146</v>
      </c>
      <c r="E1029" s="4">
        <v>1312</v>
      </c>
      <c r="F1029" s="4" t="s">
        <v>347</v>
      </c>
      <c r="G1029" s="4" t="s">
        <v>346</v>
      </c>
      <c r="H1029" t="s">
        <v>77</v>
      </c>
      <c r="I1029" t="s">
        <v>352</v>
      </c>
      <c r="J1029" s="3">
        <v>2009</v>
      </c>
      <c r="K1029" s="3">
        <v>2017</v>
      </c>
      <c r="L1029" s="6">
        <f t="shared" si="331"/>
        <v>2013</v>
      </c>
      <c r="M1029" s="6">
        <f t="shared" si="332"/>
        <v>2013</v>
      </c>
      <c r="N1029" s="7">
        <f t="shared" si="320"/>
        <v>0.22222222222222221</v>
      </c>
      <c r="O1029" s="7">
        <f t="shared" si="321"/>
        <v>0.1111111111111111</v>
      </c>
      <c r="P1029" s="7">
        <f t="shared" si="322"/>
        <v>0</v>
      </c>
      <c r="Q1029" s="7">
        <f t="shared" si="333"/>
        <v>0</v>
      </c>
      <c r="R1029" s="10" t="str">
        <f t="shared" si="323"/>
        <v>0_Pre</v>
      </c>
      <c r="S1029" s="10" t="str">
        <f t="shared" si="324"/>
        <v>0_Pre</v>
      </c>
      <c r="T1029" s="10" t="str">
        <f t="shared" si="325"/>
        <v>0_Pre</v>
      </c>
      <c r="U1029" s="10" t="str">
        <f t="shared" si="326"/>
        <v>1_Post</v>
      </c>
      <c r="V1029" s="10" t="str">
        <f t="shared" si="334"/>
        <v>0_Pre</v>
      </c>
      <c r="W1029" s="10" t="str">
        <f t="shared" si="327"/>
        <v>straddle</v>
      </c>
      <c r="X1029" s="10" t="str">
        <f t="shared" si="328"/>
        <v>0_Pre</v>
      </c>
      <c r="Y1029" s="10" t="str">
        <f t="shared" si="329"/>
        <v>0_Pre</v>
      </c>
      <c r="Z1029" s="10" t="str">
        <f t="shared" si="330"/>
        <v>0_Pre</v>
      </c>
      <c r="AA1029" s="10" t="str">
        <f t="shared" si="335"/>
        <v>1_Post</v>
      </c>
      <c r="AB1029" s="10" t="str">
        <f t="shared" si="336"/>
        <v>0_Pre</v>
      </c>
      <c r="AC1029" s="10" t="str">
        <f t="shared" si="337"/>
        <v>0_Pre</v>
      </c>
      <c r="AD1029" s="10" t="str">
        <f t="shared" si="338"/>
        <v>2_post sample median</v>
      </c>
      <c r="AE1029" s="10" t="str">
        <f t="shared" si="339"/>
        <v>2_in sample second tertile</v>
      </c>
      <c r="AF1029" t="s">
        <v>67</v>
      </c>
      <c r="AG1029" t="s">
        <v>75</v>
      </c>
      <c r="AH1029" t="s">
        <v>78</v>
      </c>
      <c r="AI1029" t="s">
        <v>122</v>
      </c>
      <c r="AJ1029" t="s">
        <v>122</v>
      </c>
      <c r="AK1029" t="str">
        <f>VLOOKUP(MID($AR1029,1,255),country_lookup!$B:$F,2,FALSE)</f>
        <v>1_US</v>
      </c>
      <c r="AL1029" t="str">
        <f>VLOOKUP(MID($AR1029,1,255),country_lookup!$B:$F,3,FALSE)</f>
        <v>1_developed</v>
      </c>
      <c r="AM1029" t="str">
        <f>VLOOKUP(MID($AR1029,1,255),country_lookup!$B:$F,4,FALSE)</f>
        <v>1_western</v>
      </c>
      <c r="AN1029" t="str">
        <f>VLOOKUP(MID($AR1029,1,255),country_lookup!$B:$F,5,FALSE)</f>
        <v>1_common law</v>
      </c>
      <c r="AO1029" s="10" t="str">
        <f>VLOOKUP(MID($AS1029,1,255),source_lookup!$B:$K,4,FALSE)</f>
        <v>1_not published</v>
      </c>
      <c r="AP1029" s="10" t="str">
        <f>VLOOKUP(MID($AS1029,1,255),source_lookup!$B:$K,6,FALSE)</f>
        <v>99_NA</v>
      </c>
      <c r="AQ1029" s="10" t="str">
        <f>VLOOKUP(MID($AS1029,1,255),source_lookup!$B:$K,10,FALSE)</f>
        <v>1_fin/acc/econ</v>
      </c>
      <c r="AR1029" t="s">
        <v>85</v>
      </c>
      <c r="AS1029" t="s">
        <v>175</v>
      </c>
    </row>
    <row r="1030" spans="1:45" x14ac:dyDescent="0.3">
      <c r="A1030" t="s">
        <v>52</v>
      </c>
      <c r="B1030">
        <v>1029</v>
      </c>
      <c r="C1030" s="1">
        <v>-6.153961146408779E-2</v>
      </c>
      <c r="D1030" s="2">
        <v>215</v>
      </c>
      <c r="E1030" s="4">
        <v>1938</v>
      </c>
      <c r="F1030" s="4" t="s">
        <v>347</v>
      </c>
      <c r="G1030" s="4" t="s">
        <v>346</v>
      </c>
      <c r="H1030" t="s">
        <v>77</v>
      </c>
      <c r="I1030" t="s">
        <v>352</v>
      </c>
      <c r="J1030" s="3">
        <v>2009</v>
      </c>
      <c r="K1030" s="3">
        <v>2017</v>
      </c>
      <c r="L1030" s="6">
        <f t="shared" si="331"/>
        <v>2013</v>
      </c>
      <c r="M1030" s="6">
        <f t="shared" si="332"/>
        <v>2013</v>
      </c>
      <c r="N1030" s="7">
        <f t="shared" si="320"/>
        <v>0.22222222222222221</v>
      </c>
      <c r="O1030" s="7">
        <f t="shared" si="321"/>
        <v>0.1111111111111111</v>
      </c>
      <c r="P1030" s="7">
        <f t="shared" si="322"/>
        <v>0</v>
      </c>
      <c r="Q1030" s="7">
        <f t="shared" si="333"/>
        <v>0</v>
      </c>
      <c r="R1030" s="10" t="str">
        <f t="shared" si="323"/>
        <v>0_Pre</v>
      </c>
      <c r="S1030" s="10" t="str">
        <f t="shared" si="324"/>
        <v>0_Pre</v>
      </c>
      <c r="T1030" s="10" t="str">
        <f t="shared" si="325"/>
        <v>0_Pre</v>
      </c>
      <c r="U1030" s="10" t="str">
        <f t="shared" si="326"/>
        <v>1_Post</v>
      </c>
      <c r="V1030" s="10" t="str">
        <f t="shared" si="334"/>
        <v>0_Pre</v>
      </c>
      <c r="W1030" s="10" t="str">
        <f t="shared" si="327"/>
        <v>straddle</v>
      </c>
      <c r="X1030" s="10" t="str">
        <f t="shared" si="328"/>
        <v>0_Pre</v>
      </c>
      <c r="Y1030" s="10" t="str">
        <f t="shared" si="329"/>
        <v>0_Pre</v>
      </c>
      <c r="Z1030" s="10" t="str">
        <f t="shared" si="330"/>
        <v>0_Pre</v>
      </c>
      <c r="AA1030" s="10" t="str">
        <f t="shared" si="335"/>
        <v>1_Post</v>
      </c>
      <c r="AB1030" s="10" t="str">
        <f t="shared" si="336"/>
        <v>0_Pre</v>
      </c>
      <c r="AC1030" s="10" t="str">
        <f t="shared" si="337"/>
        <v>0_Pre</v>
      </c>
      <c r="AD1030" s="10" t="str">
        <f t="shared" si="338"/>
        <v>2_post sample median</v>
      </c>
      <c r="AE1030" s="10" t="str">
        <f t="shared" si="339"/>
        <v>2_in sample second tertile</v>
      </c>
      <c r="AF1030" t="s">
        <v>67</v>
      </c>
      <c r="AG1030" t="s">
        <v>75</v>
      </c>
      <c r="AH1030" t="s">
        <v>78</v>
      </c>
      <c r="AI1030" t="s">
        <v>122</v>
      </c>
      <c r="AJ1030" t="s">
        <v>122</v>
      </c>
      <c r="AK1030" t="str">
        <f>VLOOKUP(MID($AR1030,1,255),country_lookup!$B:$F,2,FALSE)</f>
        <v>1_US</v>
      </c>
      <c r="AL1030" t="str">
        <f>VLOOKUP(MID($AR1030,1,255),country_lookup!$B:$F,3,FALSE)</f>
        <v>1_developed</v>
      </c>
      <c r="AM1030" t="str">
        <f>VLOOKUP(MID($AR1030,1,255),country_lookup!$B:$F,4,FALSE)</f>
        <v>1_western</v>
      </c>
      <c r="AN1030" t="str">
        <f>VLOOKUP(MID($AR1030,1,255),country_lookup!$B:$F,5,FALSE)</f>
        <v>1_common law</v>
      </c>
      <c r="AO1030" s="10" t="str">
        <f>VLOOKUP(MID($AS1030,1,255),source_lookup!$B:$K,4,FALSE)</f>
        <v>1_not published</v>
      </c>
      <c r="AP1030" s="10" t="str">
        <f>VLOOKUP(MID($AS1030,1,255),source_lookup!$B:$K,6,FALSE)</f>
        <v>99_NA</v>
      </c>
      <c r="AQ1030" s="10" t="str">
        <f>VLOOKUP(MID($AS1030,1,255),source_lookup!$B:$K,10,FALSE)</f>
        <v>1_fin/acc/econ</v>
      </c>
      <c r="AR1030" t="s">
        <v>85</v>
      </c>
      <c r="AS1030" t="s">
        <v>175</v>
      </c>
    </row>
    <row r="1031" spans="1:45" x14ac:dyDescent="0.3">
      <c r="A1031" t="s">
        <v>52</v>
      </c>
      <c r="B1031">
        <v>1030</v>
      </c>
      <c r="C1031" s="1">
        <v>-4.5384272989764579E-2</v>
      </c>
      <c r="D1031" s="2">
        <v>215</v>
      </c>
      <c r="E1031" s="4">
        <v>1938</v>
      </c>
      <c r="F1031" s="4" t="s">
        <v>347</v>
      </c>
      <c r="G1031" s="4" t="s">
        <v>346</v>
      </c>
      <c r="H1031" t="s">
        <v>77</v>
      </c>
      <c r="I1031" t="s">
        <v>352</v>
      </c>
      <c r="J1031" s="3">
        <v>2009</v>
      </c>
      <c r="K1031" s="3">
        <v>2017</v>
      </c>
      <c r="L1031" s="6">
        <f t="shared" si="331"/>
        <v>2013</v>
      </c>
      <c r="M1031" s="6">
        <f t="shared" si="332"/>
        <v>2013</v>
      </c>
      <c r="N1031" s="7">
        <f t="shared" si="320"/>
        <v>0.22222222222222221</v>
      </c>
      <c r="O1031" s="7">
        <f t="shared" si="321"/>
        <v>0.1111111111111111</v>
      </c>
      <c r="P1031" s="7">
        <f t="shared" si="322"/>
        <v>0</v>
      </c>
      <c r="Q1031" s="7">
        <f t="shared" si="333"/>
        <v>0</v>
      </c>
      <c r="R1031" s="10" t="str">
        <f t="shared" si="323"/>
        <v>0_Pre</v>
      </c>
      <c r="S1031" s="10" t="str">
        <f t="shared" si="324"/>
        <v>0_Pre</v>
      </c>
      <c r="T1031" s="10" t="str">
        <f t="shared" si="325"/>
        <v>0_Pre</v>
      </c>
      <c r="U1031" s="10" t="str">
        <f t="shared" si="326"/>
        <v>1_Post</v>
      </c>
      <c r="V1031" s="10" t="str">
        <f t="shared" si="334"/>
        <v>0_Pre</v>
      </c>
      <c r="W1031" s="10" t="str">
        <f t="shared" si="327"/>
        <v>straddle</v>
      </c>
      <c r="X1031" s="10" t="str">
        <f t="shared" si="328"/>
        <v>0_Pre</v>
      </c>
      <c r="Y1031" s="10" t="str">
        <f t="shared" si="329"/>
        <v>0_Pre</v>
      </c>
      <c r="Z1031" s="10" t="str">
        <f t="shared" si="330"/>
        <v>0_Pre</v>
      </c>
      <c r="AA1031" s="10" t="str">
        <f t="shared" si="335"/>
        <v>1_Post</v>
      </c>
      <c r="AB1031" s="10" t="str">
        <f t="shared" si="336"/>
        <v>0_Pre</v>
      </c>
      <c r="AC1031" s="10" t="str">
        <f t="shared" si="337"/>
        <v>0_Pre</v>
      </c>
      <c r="AD1031" s="10" t="str">
        <f t="shared" si="338"/>
        <v>2_post sample median</v>
      </c>
      <c r="AE1031" s="10" t="str">
        <f t="shared" si="339"/>
        <v>2_in sample second tertile</v>
      </c>
      <c r="AF1031" t="s">
        <v>67</v>
      </c>
      <c r="AG1031" t="s">
        <v>75</v>
      </c>
      <c r="AH1031" t="s">
        <v>78</v>
      </c>
      <c r="AI1031" t="s">
        <v>122</v>
      </c>
      <c r="AJ1031" t="s">
        <v>122</v>
      </c>
      <c r="AK1031" t="str">
        <f>VLOOKUP(MID($AR1031,1,255),country_lookup!$B:$F,2,FALSE)</f>
        <v>1_US</v>
      </c>
      <c r="AL1031" t="str">
        <f>VLOOKUP(MID($AR1031,1,255),country_lookup!$B:$F,3,FALSE)</f>
        <v>1_developed</v>
      </c>
      <c r="AM1031" t="str">
        <f>VLOOKUP(MID($AR1031,1,255),country_lookup!$B:$F,4,FALSE)</f>
        <v>1_western</v>
      </c>
      <c r="AN1031" t="str">
        <f>VLOOKUP(MID($AR1031,1,255),country_lookup!$B:$F,5,FALSE)</f>
        <v>1_common law</v>
      </c>
      <c r="AO1031" s="10" t="str">
        <f>VLOOKUP(MID($AS1031,1,255),source_lookup!$B:$K,4,FALSE)</f>
        <v>1_not published</v>
      </c>
      <c r="AP1031" s="10" t="str">
        <f>VLOOKUP(MID($AS1031,1,255),source_lookup!$B:$K,6,FALSE)</f>
        <v>99_NA</v>
      </c>
      <c r="AQ1031" s="10" t="str">
        <f>VLOOKUP(MID($AS1031,1,255),source_lookup!$B:$K,10,FALSE)</f>
        <v>1_fin/acc/econ</v>
      </c>
      <c r="AR1031" t="s">
        <v>85</v>
      </c>
      <c r="AS1031" t="s">
        <v>175</v>
      </c>
    </row>
    <row r="1032" spans="1:45" x14ac:dyDescent="0.3">
      <c r="A1032" t="s">
        <v>52</v>
      </c>
      <c r="B1032">
        <v>1031</v>
      </c>
      <c r="C1032" s="1">
        <v>-7.2363474530875729E-2</v>
      </c>
      <c r="D1032" s="2">
        <v>145</v>
      </c>
      <c r="E1032" s="4">
        <v>1309</v>
      </c>
      <c r="F1032" s="4" t="s">
        <v>347</v>
      </c>
      <c r="G1032" s="4" t="s">
        <v>346</v>
      </c>
      <c r="H1032" t="s">
        <v>77</v>
      </c>
      <c r="I1032" t="s">
        <v>352</v>
      </c>
      <c r="J1032" s="3">
        <v>2009</v>
      </c>
      <c r="K1032" s="3">
        <v>2017</v>
      </c>
      <c r="L1032" s="6">
        <f t="shared" si="331"/>
        <v>2013</v>
      </c>
      <c r="M1032" s="6">
        <f t="shared" si="332"/>
        <v>2013</v>
      </c>
      <c r="N1032" s="7">
        <f t="shared" si="320"/>
        <v>0.22222222222222221</v>
      </c>
      <c r="O1032" s="7">
        <f t="shared" si="321"/>
        <v>0.1111111111111111</v>
      </c>
      <c r="P1032" s="7">
        <f t="shared" si="322"/>
        <v>0</v>
      </c>
      <c r="Q1032" s="7">
        <f t="shared" si="333"/>
        <v>0</v>
      </c>
      <c r="R1032" s="10" t="str">
        <f t="shared" si="323"/>
        <v>0_Pre</v>
      </c>
      <c r="S1032" s="10" t="str">
        <f t="shared" si="324"/>
        <v>0_Pre</v>
      </c>
      <c r="T1032" s="10" t="str">
        <f t="shared" si="325"/>
        <v>0_Pre</v>
      </c>
      <c r="U1032" s="10" t="str">
        <f t="shared" si="326"/>
        <v>1_Post</v>
      </c>
      <c r="V1032" s="10" t="str">
        <f t="shared" si="334"/>
        <v>0_Pre</v>
      </c>
      <c r="W1032" s="10" t="str">
        <f t="shared" si="327"/>
        <v>straddle</v>
      </c>
      <c r="X1032" s="10" t="str">
        <f t="shared" si="328"/>
        <v>0_Pre</v>
      </c>
      <c r="Y1032" s="10" t="str">
        <f t="shared" si="329"/>
        <v>0_Pre</v>
      </c>
      <c r="Z1032" s="10" t="str">
        <f t="shared" si="330"/>
        <v>0_Pre</v>
      </c>
      <c r="AA1032" s="10" t="str">
        <f t="shared" si="335"/>
        <v>1_Post</v>
      </c>
      <c r="AB1032" s="10" t="str">
        <f t="shared" si="336"/>
        <v>0_Pre</v>
      </c>
      <c r="AC1032" s="10" t="str">
        <f t="shared" si="337"/>
        <v>0_Pre</v>
      </c>
      <c r="AD1032" s="10" t="str">
        <f t="shared" si="338"/>
        <v>2_post sample median</v>
      </c>
      <c r="AE1032" s="10" t="str">
        <f t="shared" si="339"/>
        <v>2_in sample second tertile</v>
      </c>
      <c r="AF1032" t="s">
        <v>67</v>
      </c>
      <c r="AG1032" t="s">
        <v>75</v>
      </c>
      <c r="AH1032" t="s">
        <v>78</v>
      </c>
      <c r="AI1032" t="s">
        <v>122</v>
      </c>
      <c r="AJ1032" t="s">
        <v>122</v>
      </c>
      <c r="AK1032" t="str">
        <f>VLOOKUP(MID($AR1032,1,255),country_lookup!$B:$F,2,FALSE)</f>
        <v>1_US</v>
      </c>
      <c r="AL1032" t="str">
        <f>VLOOKUP(MID($AR1032,1,255),country_lookup!$B:$F,3,FALSE)</f>
        <v>1_developed</v>
      </c>
      <c r="AM1032" t="str">
        <f>VLOOKUP(MID($AR1032,1,255),country_lookup!$B:$F,4,FALSE)</f>
        <v>1_western</v>
      </c>
      <c r="AN1032" t="str">
        <f>VLOOKUP(MID($AR1032,1,255),country_lookup!$B:$F,5,FALSE)</f>
        <v>1_common law</v>
      </c>
      <c r="AO1032" s="10" t="str">
        <f>VLOOKUP(MID($AS1032,1,255),source_lookup!$B:$K,4,FALSE)</f>
        <v>1_not published</v>
      </c>
      <c r="AP1032" s="10" t="str">
        <f>VLOOKUP(MID($AS1032,1,255),source_lookup!$B:$K,6,FALSE)</f>
        <v>99_NA</v>
      </c>
      <c r="AQ1032" s="10" t="str">
        <f>VLOOKUP(MID($AS1032,1,255),source_lookup!$B:$K,10,FALSE)</f>
        <v>1_fin/acc/econ</v>
      </c>
      <c r="AR1032" t="s">
        <v>85</v>
      </c>
      <c r="AS1032" t="s">
        <v>175</v>
      </c>
    </row>
    <row r="1033" spans="1:45" x14ac:dyDescent="0.3">
      <c r="A1033" t="s">
        <v>52</v>
      </c>
      <c r="B1033">
        <v>1032</v>
      </c>
      <c r="C1033" s="1">
        <v>-6.4358463579544278E-2</v>
      </c>
      <c r="D1033" s="2">
        <v>145</v>
      </c>
      <c r="E1033" s="4">
        <v>1309</v>
      </c>
      <c r="F1033" s="4" t="s">
        <v>347</v>
      </c>
      <c r="G1033" s="4" t="s">
        <v>346</v>
      </c>
      <c r="H1033" t="s">
        <v>77</v>
      </c>
      <c r="I1033" t="s">
        <v>352</v>
      </c>
      <c r="J1033" s="3">
        <v>2009</v>
      </c>
      <c r="K1033" s="3">
        <v>2017</v>
      </c>
      <c r="L1033" s="6">
        <f t="shared" si="331"/>
        <v>2013</v>
      </c>
      <c r="M1033" s="6">
        <f t="shared" si="332"/>
        <v>2013</v>
      </c>
      <c r="N1033" s="7">
        <f t="shared" si="320"/>
        <v>0.22222222222222221</v>
      </c>
      <c r="O1033" s="7">
        <f t="shared" si="321"/>
        <v>0.1111111111111111</v>
      </c>
      <c r="P1033" s="7">
        <f t="shared" si="322"/>
        <v>0</v>
      </c>
      <c r="Q1033" s="7">
        <f t="shared" si="333"/>
        <v>0</v>
      </c>
      <c r="R1033" s="10" t="str">
        <f t="shared" si="323"/>
        <v>0_Pre</v>
      </c>
      <c r="S1033" s="10" t="str">
        <f t="shared" si="324"/>
        <v>0_Pre</v>
      </c>
      <c r="T1033" s="10" t="str">
        <f t="shared" si="325"/>
        <v>0_Pre</v>
      </c>
      <c r="U1033" s="10" t="str">
        <f t="shared" si="326"/>
        <v>1_Post</v>
      </c>
      <c r="V1033" s="10" t="str">
        <f t="shared" si="334"/>
        <v>0_Pre</v>
      </c>
      <c r="W1033" s="10" t="str">
        <f t="shared" si="327"/>
        <v>straddle</v>
      </c>
      <c r="X1033" s="10" t="str">
        <f t="shared" si="328"/>
        <v>0_Pre</v>
      </c>
      <c r="Y1033" s="10" t="str">
        <f t="shared" si="329"/>
        <v>0_Pre</v>
      </c>
      <c r="Z1033" s="10" t="str">
        <f t="shared" si="330"/>
        <v>0_Pre</v>
      </c>
      <c r="AA1033" s="10" t="str">
        <f t="shared" si="335"/>
        <v>1_Post</v>
      </c>
      <c r="AB1033" s="10" t="str">
        <f t="shared" si="336"/>
        <v>0_Pre</v>
      </c>
      <c r="AC1033" s="10" t="str">
        <f t="shared" si="337"/>
        <v>0_Pre</v>
      </c>
      <c r="AD1033" s="10" t="str">
        <f t="shared" si="338"/>
        <v>2_post sample median</v>
      </c>
      <c r="AE1033" s="10" t="str">
        <f t="shared" si="339"/>
        <v>2_in sample second tertile</v>
      </c>
      <c r="AF1033" t="s">
        <v>67</v>
      </c>
      <c r="AG1033" t="s">
        <v>75</v>
      </c>
      <c r="AH1033" t="s">
        <v>78</v>
      </c>
      <c r="AI1033" t="s">
        <v>122</v>
      </c>
      <c r="AJ1033" t="s">
        <v>122</v>
      </c>
      <c r="AK1033" t="str">
        <f>VLOOKUP(MID($AR1033,1,255),country_lookup!$B:$F,2,FALSE)</f>
        <v>1_US</v>
      </c>
      <c r="AL1033" t="str">
        <f>VLOOKUP(MID($AR1033,1,255),country_lookup!$B:$F,3,FALSE)</f>
        <v>1_developed</v>
      </c>
      <c r="AM1033" t="str">
        <f>VLOOKUP(MID($AR1033,1,255),country_lookup!$B:$F,4,FALSE)</f>
        <v>1_western</v>
      </c>
      <c r="AN1033" t="str">
        <f>VLOOKUP(MID($AR1033,1,255),country_lookup!$B:$F,5,FALSE)</f>
        <v>1_common law</v>
      </c>
      <c r="AO1033" s="10" t="str">
        <f>VLOOKUP(MID($AS1033,1,255),source_lookup!$B:$K,4,FALSE)</f>
        <v>1_not published</v>
      </c>
      <c r="AP1033" s="10" t="str">
        <f>VLOOKUP(MID($AS1033,1,255),source_lookup!$B:$K,6,FALSE)</f>
        <v>99_NA</v>
      </c>
      <c r="AQ1033" s="10" t="str">
        <f>VLOOKUP(MID($AS1033,1,255),source_lookup!$B:$K,10,FALSE)</f>
        <v>1_fin/acc/econ</v>
      </c>
      <c r="AR1033" t="s">
        <v>85</v>
      </c>
      <c r="AS1033" t="s">
        <v>175</v>
      </c>
    </row>
    <row r="1034" spans="1:45" x14ac:dyDescent="0.3">
      <c r="A1034" t="s">
        <v>52</v>
      </c>
      <c r="B1034">
        <v>1033</v>
      </c>
      <c r="C1034" s="1">
        <v>-8.7678081549873457E-2</v>
      </c>
      <c r="D1034" s="2">
        <v>145</v>
      </c>
      <c r="E1034" s="4">
        <v>1309</v>
      </c>
      <c r="F1034" s="4" t="s">
        <v>347</v>
      </c>
      <c r="G1034" s="4" t="s">
        <v>346</v>
      </c>
      <c r="H1034" t="s">
        <v>77</v>
      </c>
      <c r="I1034" t="s">
        <v>352</v>
      </c>
      <c r="J1034" s="3">
        <v>2009</v>
      </c>
      <c r="K1034" s="3">
        <v>2017</v>
      </c>
      <c r="L1034" s="6">
        <f t="shared" si="331"/>
        <v>2013</v>
      </c>
      <c r="M1034" s="6">
        <f t="shared" si="332"/>
        <v>2013</v>
      </c>
      <c r="N1034" s="7">
        <f t="shared" si="320"/>
        <v>0.22222222222222221</v>
      </c>
      <c r="O1034" s="7">
        <f t="shared" si="321"/>
        <v>0.1111111111111111</v>
      </c>
      <c r="P1034" s="7">
        <f t="shared" si="322"/>
        <v>0</v>
      </c>
      <c r="Q1034" s="7">
        <f t="shared" si="333"/>
        <v>0</v>
      </c>
      <c r="R1034" s="10" t="str">
        <f t="shared" si="323"/>
        <v>0_Pre</v>
      </c>
      <c r="S1034" s="10" t="str">
        <f t="shared" si="324"/>
        <v>0_Pre</v>
      </c>
      <c r="T1034" s="10" t="str">
        <f t="shared" si="325"/>
        <v>0_Pre</v>
      </c>
      <c r="U1034" s="10" t="str">
        <f t="shared" si="326"/>
        <v>1_Post</v>
      </c>
      <c r="V1034" s="10" t="str">
        <f t="shared" si="334"/>
        <v>0_Pre</v>
      </c>
      <c r="W1034" s="10" t="str">
        <f t="shared" si="327"/>
        <v>straddle</v>
      </c>
      <c r="X1034" s="10" t="str">
        <f t="shared" si="328"/>
        <v>0_Pre</v>
      </c>
      <c r="Y1034" s="10" t="str">
        <f t="shared" si="329"/>
        <v>0_Pre</v>
      </c>
      <c r="Z1034" s="10" t="str">
        <f t="shared" si="330"/>
        <v>0_Pre</v>
      </c>
      <c r="AA1034" s="10" t="str">
        <f t="shared" si="335"/>
        <v>1_Post</v>
      </c>
      <c r="AB1034" s="10" t="str">
        <f t="shared" si="336"/>
        <v>0_Pre</v>
      </c>
      <c r="AC1034" s="10" t="str">
        <f t="shared" si="337"/>
        <v>0_Pre</v>
      </c>
      <c r="AD1034" s="10" t="str">
        <f t="shared" si="338"/>
        <v>2_post sample median</v>
      </c>
      <c r="AE1034" s="10" t="str">
        <f t="shared" si="339"/>
        <v>2_in sample second tertile</v>
      </c>
      <c r="AF1034" t="s">
        <v>67</v>
      </c>
      <c r="AG1034" t="s">
        <v>75</v>
      </c>
      <c r="AH1034" t="s">
        <v>78</v>
      </c>
      <c r="AI1034" t="s">
        <v>122</v>
      </c>
      <c r="AJ1034" t="s">
        <v>122</v>
      </c>
      <c r="AK1034" t="str">
        <f>VLOOKUP(MID($AR1034,1,255),country_lookup!$B:$F,2,FALSE)</f>
        <v>1_US</v>
      </c>
      <c r="AL1034" t="str">
        <f>VLOOKUP(MID($AR1034,1,255),country_lookup!$B:$F,3,FALSE)</f>
        <v>1_developed</v>
      </c>
      <c r="AM1034" t="str">
        <f>VLOOKUP(MID($AR1034,1,255),country_lookup!$B:$F,4,FALSE)</f>
        <v>1_western</v>
      </c>
      <c r="AN1034" t="str">
        <f>VLOOKUP(MID($AR1034,1,255),country_lookup!$B:$F,5,FALSE)</f>
        <v>1_common law</v>
      </c>
      <c r="AO1034" s="10" t="str">
        <f>VLOOKUP(MID($AS1034,1,255),source_lookup!$B:$K,4,FALSE)</f>
        <v>1_not published</v>
      </c>
      <c r="AP1034" s="10" t="str">
        <f>VLOOKUP(MID($AS1034,1,255),source_lookup!$B:$K,6,FALSE)</f>
        <v>99_NA</v>
      </c>
      <c r="AQ1034" s="10" t="str">
        <f>VLOOKUP(MID($AS1034,1,255),source_lookup!$B:$K,10,FALSE)</f>
        <v>1_fin/acc/econ</v>
      </c>
      <c r="AR1034" t="s">
        <v>85</v>
      </c>
      <c r="AS1034" t="s">
        <v>175</v>
      </c>
    </row>
    <row r="1035" spans="1:45" x14ac:dyDescent="0.3">
      <c r="A1035" t="s">
        <v>52</v>
      </c>
      <c r="B1035">
        <v>1034</v>
      </c>
      <c r="C1035" s="1">
        <v>-5.3576088104531468E-2</v>
      </c>
      <c r="D1035" s="2">
        <v>145</v>
      </c>
      <c r="E1035" s="4">
        <v>1309</v>
      </c>
      <c r="F1035" s="4" t="s">
        <v>347</v>
      </c>
      <c r="G1035" s="4" t="s">
        <v>346</v>
      </c>
      <c r="H1035" t="s">
        <v>77</v>
      </c>
      <c r="I1035" t="s">
        <v>352</v>
      </c>
      <c r="J1035" s="3">
        <v>2009</v>
      </c>
      <c r="K1035" s="3">
        <v>2017</v>
      </c>
      <c r="L1035" s="6">
        <f t="shared" si="331"/>
        <v>2013</v>
      </c>
      <c r="M1035" s="6">
        <f t="shared" si="332"/>
        <v>2013</v>
      </c>
      <c r="N1035" s="7">
        <f t="shared" si="320"/>
        <v>0.22222222222222221</v>
      </c>
      <c r="O1035" s="7">
        <f t="shared" si="321"/>
        <v>0.1111111111111111</v>
      </c>
      <c r="P1035" s="7">
        <f t="shared" si="322"/>
        <v>0</v>
      </c>
      <c r="Q1035" s="7">
        <f t="shared" si="333"/>
        <v>0</v>
      </c>
      <c r="R1035" s="10" t="str">
        <f t="shared" si="323"/>
        <v>0_Pre</v>
      </c>
      <c r="S1035" s="10" t="str">
        <f t="shared" si="324"/>
        <v>0_Pre</v>
      </c>
      <c r="T1035" s="10" t="str">
        <f t="shared" si="325"/>
        <v>0_Pre</v>
      </c>
      <c r="U1035" s="10" t="str">
        <f t="shared" si="326"/>
        <v>1_Post</v>
      </c>
      <c r="V1035" s="10" t="str">
        <f t="shared" si="334"/>
        <v>0_Pre</v>
      </c>
      <c r="W1035" s="10" t="str">
        <f t="shared" si="327"/>
        <v>straddle</v>
      </c>
      <c r="X1035" s="10" t="str">
        <f t="shared" si="328"/>
        <v>0_Pre</v>
      </c>
      <c r="Y1035" s="10" t="str">
        <f t="shared" si="329"/>
        <v>0_Pre</v>
      </c>
      <c r="Z1035" s="10" t="str">
        <f t="shared" si="330"/>
        <v>0_Pre</v>
      </c>
      <c r="AA1035" s="10" t="str">
        <f t="shared" si="335"/>
        <v>1_Post</v>
      </c>
      <c r="AB1035" s="10" t="str">
        <f t="shared" si="336"/>
        <v>0_Pre</v>
      </c>
      <c r="AC1035" s="10" t="str">
        <f t="shared" si="337"/>
        <v>0_Pre</v>
      </c>
      <c r="AD1035" s="10" t="str">
        <f t="shared" si="338"/>
        <v>2_post sample median</v>
      </c>
      <c r="AE1035" s="10" t="str">
        <f t="shared" si="339"/>
        <v>2_in sample second tertile</v>
      </c>
      <c r="AF1035" t="s">
        <v>67</v>
      </c>
      <c r="AG1035" t="s">
        <v>75</v>
      </c>
      <c r="AH1035" t="s">
        <v>78</v>
      </c>
      <c r="AI1035" t="s">
        <v>122</v>
      </c>
      <c r="AJ1035" t="s">
        <v>122</v>
      </c>
      <c r="AK1035" t="str">
        <f>VLOOKUP(MID($AR1035,1,255),country_lookup!$B:$F,2,FALSE)</f>
        <v>1_US</v>
      </c>
      <c r="AL1035" t="str">
        <f>VLOOKUP(MID($AR1035,1,255),country_lookup!$B:$F,3,FALSE)</f>
        <v>1_developed</v>
      </c>
      <c r="AM1035" t="str">
        <f>VLOOKUP(MID($AR1035,1,255),country_lookup!$B:$F,4,FALSE)</f>
        <v>1_western</v>
      </c>
      <c r="AN1035" t="str">
        <f>VLOOKUP(MID($AR1035,1,255),country_lookup!$B:$F,5,FALSE)</f>
        <v>1_common law</v>
      </c>
      <c r="AO1035" s="10" t="str">
        <f>VLOOKUP(MID($AS1035,1,255),source_lookup!$B:$K,4,FALSE)</f>
        <v>1_not published</v>
      </c>
      <c r="AP1035" s="10" t="str">
        <f>VLOOKUP(MID($AS1035,1,255),source_lookup!$B:$K,6,FALSE)</f>
        <v>99_NA</v>
      </c>
      <c r="AQ1035" s="10" t="str">
        <f>VLOOKUP(MID($AS1035,1,255),source_lookup!$B:$K,10,FALSE)</f>
        <v>1_fin/acc/econ</v>
      </c>
      <c r="AR1035" t="s">
        <v>85</v>
      </c>
      <c r="AS1035" t="s">
        <v>175</v>
      </c>
    </row>
    <row r="1036" spans="1:45" x14ac:dyDescent="0.3">
      <c r="A1036" t="s">
        <v>52</v>
      </c>
      <c r="B1036">
        <v>1035</v>
      </c>
      <c r="C1036" s="1">
        <v>-3.7812656199087975E-2</v>
      </c>
      <c r="D1036" s="2">
        <v>216</v>
      </c>
      <c r="E1036" s="4">
        <v>1940</v>
      </c>
      <c r="F1036" s="4" t="s">
        <v>347</v>
      </c>
      <c r="G1036" s="4" t="s">
        <v>346</v>
      </c>
      <c r="H1036" t="s">
        <v>77</v>
      </c>
      <c r="I1036" t="s">
        <v>352</v>
      </c>
      <c r="J1036" s="3">
        <v>2009</v>
      </c>
      <c r="K1036" s="3">
        <v>2017</v>
      </c>
      <c r="L1036" s="6">
        <f t="shared" si="331"/>
        <v>2013</v>
      </c>
      <c r="M1036" s="6">
        <f t="shared" si="332"/>
        <v>2013</v>
      </c>
      <c r="N1036" s="7">
        <f t="shared" si="320"/>
        <v>0.22222222222222221</v>
      </c>
      <c r="O1036" s="7">
        <f t="shared" si="321"/>
        <v>0.1111111111111111</v>
      </c>
      <c r="P1036" s="7">
        <f t="shared" si="322"/>
        <v>0</v>
      </c>
      <c r="Q1036" s="7">
        <f t="shared" si="333"/>
        <v>0</v>
      </c>
      <c r="R1036" s="10" t="str">
        <f t="shared" si="323"/>
        <v>0_Pre</v>
      </c>
      <c r="S1036" s="10" t="str">
        <f t="shared" si="324"/>
        <v>0_Pre</v>
      </c>
      <c r="T1036" s="10" t="str">
        <f t="shared" si="325"/>
        <v>0_Pre</v>
      </c>
      <c r="U1036" s="10" t="str">
        <f t="shared" si="326"/>
        <v>1_Post</v>
      </c>
      <c r="V1036" s="10" t="str">
        <f t="shared" si="334"/>
        <v>0_Pre</v>
      </c>
      <c r="W1036" s="10" t="str">
        <f t="shared" si="327"/>
        <v>straddle</v>
      </c>
      <c r="X1036" s="10" t="str">
        <f t="shared" si="328"/>
        <v>0_Pre</v>
      </c>
      <c r="Y1036" s="10" t="str">
        <f t="shared" si="329"/>
        <v>0_Pre</v>
      </c>
      <c r="Z1036" s="10" t="str">
        <f t="shared" si="330"/>
        <v>0_Pre</v>
      </c>
      <c r="AA1036" s="10" t="str">
        <f t="shared" si="335"/>
        <v>1_Post</v>
      </c>
      <c r="AB1036" s="10" t="str">
        <f t="shared" si="336"/>
        <v>0_Pre</v>
      </c>
      <c r="AC1036" s="10" t="str">
        <f t="shared" si="337"/>
        <v>0_Pre</v>
      </c>
      <c r="AD1036" s="10" t="str">
        <f t="shared" si="338"/>
        <v>2_post sample median</v>
      </c>
      <c r="AE1036" s="10" t="str">
        <f t="shared" si="339"/>
        <v>2_in sample second tertile</v>
      </c>
      <c r="AF1036" t="s">
        <v>82</v>
      </c>
      <c r="AG1036" t="s">
        <v>75</v>
      </c>
      <c r="AH1036" t="s">
        <v>78</v>
      </c>
      <c r="AI1036" t="s">
        <v>122</v>
      </c>
      <c r="AJ1036" t="s">
        <v>122</v>
      </c>
      <c r="AK1036" t="str">
        <f>VLOOKUP(MID($AR1036,1,255),country_lookup!$B:$F,2,FALSE)</f>
        <v>1_US</v>
      </c>
      <c r="AL1036" t="str">
        <f>VLOOKUP(MID($AR1036,1,255),country_lookup!$B:$F,3,FALSE)</f>
        <v>1_developed</v>
      </c>
      <c r="AM1036" t="str">
        <f>VLOOKUP(MID($AR1036,1,255),country_lookup!$B:$F,4,FALSE)</f>
        <v>1_western</v>
      </c>
      <c r="AN1036" t="str">
        <f>VLOOKUP(MID($AR1036,1,255),country_lookup!$B:$F,5,FALSE)</f>
        <v>1_common law</v>
      </c>
      <c r="AO1036" s="10" t="str">
        <f>VLOOKUP(MID($AS1036,1,255),source_lookup!$B:$K,4,FALSE)</f>
        <v>1_not published</v>
      </c>
      <c r="AP1036" s="10" t="str">
        <f>VLOOKUP(MID($AS1036,1,255),source_lookup!$B:$K,6,FALSE)</f>
        <v>99_NA</v>
      </c>
      <c r="AQ1036" s="10" t="str">
        <f>VLOOKUP(MID($AS1036,1,255),source_lookup!$B:$K,10,FALSE)</f>
        <v>1_fin/acc/econ</v>
      </c>
      <c r="AR1036" t="s">
        <v>85</v>
      </c>
      <c r="AS1036" t="s">
        <v>175</v>
      </c>
    </row>
    <row r="1037" spans="1:45" x14ac:dyDescent="0.3">
      <c r="A1037" t="s">
        <v>52</v>
      </c>
      <c r="B1037">
        <v>1036</v>
      </c>
      <c r="C1037" s="1">
        <v>-6.7954048398083458E-2</v>
      </c>
      <c r="D1037" s="2">
        <v>216</v>
      </c>
      <c r="E1037" s="4">
        <v>1940</v>
      </c>
      <c r="F1037" s="4" t="s">
        <v>347</v>
      </c>
      <c r="G1037" s="4" t="s">
        <v>346</v>
      </c>
      <c r="H1037" t="s">
        <v>77</v>
      </c>
      <c r="I1037" t="s">
        <v>352</v>
      </c>
      <c r="J1037" s="3">
        <v>2009</v>
      </c>
      <c r="K1037" s="3">
        <v>2017</v>
      </c>
      <c r="L1037" s="6">
        <f t="shared" si="331"/>
        <v>2013</v>
      </c>
      <c r="M1037" s="6">
        <f t="shared" si="332"/>
        <v>2013</v>
      </c>
      <c r="N1037" s="7">
        <f t="shared" si="320"/>
        <v>0.22222222222222221</v>
      </c>
      <c r="O1037" s="7">
        <f t="shared" si="321"/>
        <v>0.1111111111111111</v>
      </c>
      <c r="P1037" s="7">
        <f t="shared" si="322"/>
        <v>0</v>
      </c>
      <c r="Q1037" s="7">
        <f t="shared" si="333"/>
        <v>0</v>
      </c>
      <c r="R1037" s="10" t="str">
        <f t="shared" si="323"/>
        <v>0_Pre</v>
      </c>
      <c r="S1037" s="10" t="str">
        <f t="shared" si="324"/>
        <v>0_Pre</v>
      </c>
      <c r="T1037" s="10" t="str">
        <f t="shared" si="325"/>
        <v>0_Pre</v>
      </c>
      <c r="U1037" s="10" t="str">
        <f t="shared" si="326"/>
        <v>1_Post</v>
      </c>
      <c r="V1037" s="10" t="str">
        <f t="shared" si="334"/>
        <v>0_Pre</v>
      </c>
      <c r="W1037" s="10" t="str">
        <f t="shared" si="327"/>
        <v>straddle</v>
      </c>
      <c r="X1037" s="10" t="str">
        <f t="shared" si="328"/>
        <v>0_Pre</v>
      </c>
      <c r="Y1037" s="10" t="str">
        <f t="shared" si="329"/>
        <v>0_Pre</v>
      </c>
      <c r="Z1037" s="10" t="str">
        <f t="shared" si="330"/>
        <v>0_Pre</v>
      </c>
      <c r="AA1037" s="10" t="str">
        <f t="shared" si="335"/>
        <v>1_Post</v>
      </c>
      <c r="AB1037" s="10" t="str">
        <f t="shared" si="336"/>
        <v>0_Pre</v>
      </c>
      <c r="AC1037" s="10" t="str">
        <f t="shared" si="337"/>
        <v>0_Pre</v>
      </c>
      <c r="AD1037" s="10" t="str">
        <f t="shared" si="338"/>
        <v>2_post sample median</v>
      </c>
      <c r="AE1037" s="10" t="str">
        <f t="shared" si="339"/>
        <v>2_in sample second tertile</v>
      </c>
      <c r="AF1037" t="s">
        <v>82</v>
      </c>
      <c r="AG1037" t="s">
        <v>75</v>
      </c>
      <c r="AH1037" t="s">
        <v>78</v>
      </c>
      <c r="AI1037" t="s">
        <v>122</v>
      </c>
      <c r="AJ1037" t="s">
        <v>122</v>
      </c>
      <c r="AK1037" t="str">
        <f>VLOOKUP(MID($AR1037,1,255),country_lookup!$B:$F,2,FALSE)</f>
        <v>1_US</v>
      </c>
      <c r="AL1037" t="str">
        <f>VLOOKUP(MID($AR1037,1,255),country_lookup!$B:$F,3,FALSE)</f>
        <v>1_developed</v>
      </c>
      <c r="AM1037" t="str">
        <f>VLOOKUP(MID($AR1037,1,255),country_lookup!$B:$F,4,FALSE)</f>
        <v>1_western</v>
      </c>
      <c r="AN1037" t="str">
        <f>VLOOKUP(MID($AR1037,1,255),country_lookup!$B:$F,5,FALSE)</f>
        <v>1_common law</v>
      </c>
      <c r="AO1037" s="10" t="str">
        <f>VLOOKUP(MID($AS1037,1,255),source_lookup!$B:$K,4,FALSE)</f>
        <v>1_not published</v>
      </c>
      <c r="AP1037" s="10" t="str">
        <f>VLOOKUP(MID($AS1037,1,255),source_lookup!$B:$K,6,FALSE)</f>
        <v>99_NA</v>
      </c>
      <c r="AQ1037" s="10" t="str">
        <f>VLOOKUP(MID($AS1037,1,255),source_lookup!$B:$K,10,FALSE)</f>
        <v>1_fin/acc/econ</v>
      </c>
      <c r="AR1037" t="s">
        <v>85</v>
      </c>
      <c r="AS1037" t="s">
        <v>175</v>
      </c>
    </row>
    <row r="1038" spans="1:45" x14ac:dyDescent="0.3">
      <c r="A1038" t="s">
        <v>52</v>
      </c>
      <c r="B1038">
        <v>1037</v>
      </c>
      <c r="C1038" s="1">
        <v>-4.825750360955984E-2</v>
      </c>
      <c r="D1038" s="2">
        <v>146</v>
      </c>
      <c r="E1038" s="4">
        <v>1312</v>
      </c>
      <c r="F1038" s="4" t="s">
        <v>347</v>
      </c>
      <c r="G1038" s="4" t="s">
        <v>346</v>
      </c>
      <c r="H1038" t="s">
        <v>77</v>
      </c>
      <c r="I1038" t="s">
        <v>352</v>
      </c>
      <c r="J1038" s="3">
        <v>2009</v>
      </c>
      <c r="K1038" s="3">
        <v>2017</v>
      </c>
      <c r="L1038" s="6">
        <f t="shared" si="331"/>
        <v>2013</v>
      </c>
      <c r="M1038" s="6">
        <f t="shared" si="332"/>
        <v>2013</v>
      </c>
      <c r="N1038" s="7">
        <f t="shared" si="320"/>
        <v>0.22222222222222221</v>
      </c>
      <c r="O1038" s="7">
        <f t="shared" si="321"/>
        <v>0.1111111111111111</v>
      </c>
      <c r="P1038" s="7">
        <f t="shared" si="322"/>
        <v>0</v>
      </c>
      <c r="Q1038" s="7">
        <f t="shared" si="333"/>
        <v>0</v>
      </c>
      <c r="R1038" s="10" t="str">
        <f t="shared" si="323"/>
        <v>0_Pre</v>
      </c>
      <c r="S1038" s="10" t="str">
        <f t="shared" si="324"/>
        <v>0_Pre</v>
      </c>
      <c r="T1038" s="10" t="str">
        <f t="shared" si="325"/>
        <v>0_Pre</v>
      </c>
      <c r="U1038" s="10" t="str">
        <f t="shared" si="326"/>
        <v>1_Post</v>
      </c>
      <c r="V1038" s="10" t="str">
        <f t="shared" si="334"/>
        <v>0_Pre</v>
      </c>
      <c r="W1038" s="10" t="str">
        <f t="shared" si="327"/>
        <v>straddle</v>
      </c>
      <c r="X1038" s="10" t="str">
        <f t="shared" si="328"/>
        <v>0_Pre</v>
      </c>
      <c r="Y1038" s="10" t="str">
        <f t="shared" si="329"/>
        <v>0_Pre</v>
      </c>
      <c r="Z1038" s="10" t="str">
        <f t="shared" si="330"/>
        <v>0_Pre</v>
      </c>
      <c r="AA1038" s="10" t="str">
        <f t="shared" si="335"/>
        <v>1_Post</v>
      </c>
      <c r="AB1038" s="10" t="str">
        <f t="shared" si="336"/>
        <v>0_Pre</v>
      </c>
      <c r="AC1038" s="10" t="str">
        <f t="shared" si="337"/>
        <v>0_Pre</v>
      </c>
      <c r="AD1038" s="10" t="str">
        <f t="shared" si="338"/>
        <v>2_post sample median</v>
      </c>
      <c r="AE1038" s="10" t="str">
        <f t="shared" si="339"/>
        <v>2_in sample second tertile</v>
      </c>
      <c r="AF1038" t="s">
        <v>82</v>
      </c>
      <c r="AG1038" t="s">
        <v>75</v>
      </c>
      <c r="AH1038" t="s">
        <v>78</v>
      </c>
      <c r="AI1038" t="s">
        <v>122</v>
      </c>
      <c r="AJ1038" t="s">
        <v>122</v>
      </c>
      <c r="AK1038" t="str">
        <f>VLOOKUP(MID($AR1038,1,255),country_lookup!$B:$F,2,FALSE)</f>
        <v>1_US</v>
      </c>
      <c r="AL1038" t="str">
        <f>VLOOKUP(MID($AR1038,1,255),country_lookup!$B:$F,3,FALSE)</f>
        <v>1_developed</v>
      </c>
      <c r="AM1038" t="str">
        <f>VLOOKUP(MID($AR1038,1,255),country_lookup!$B:$F,4,FALSE)</f>
        <v>1_western</v>
      </c>
      <c r="AN1038" t="str">
        <f>VLOOKUP(MID($AR1038,1,255),country_lookup!$B:$F,5,FALSE)</f>
        <v>1_common law</v>
      </c>
      <c r="AO1038" s="10" t="str">
        <f>VLOOKUP(MID($AS1038,1,255),source_lookup!$B:$K,4,FALSE)</f>
        <v>1_not published</v>
      </c>
      <c r="AP1038" s="10" t="str">
        <f>VLOOKUP(MID($AS1038,1,255),source_lookup!$B:$K,6,FALSE)</f>
        <v>99_NA</v>
      </c>
      <c r="AQ1038" s="10" t="str">
        <f>VLOOKUP(MID($AS1038,1,255),source_lookup!$B:$K,10,FALSE)</f>
        <v>1_fin/acc/econ</v>
      </c>
      <c r="AR1038" t="s">
        <v>85</v>
      </c>
      <c r="AS1038" t="s">
        <v>175</v>
      </c>
    </row>
    <row r="1039" spans="1:45" x14ac:dyDescent="0.3">
      <c r="A1039" t="s">
        <v>52</v>
      </c>
      <c r="B1039">
        <v>1038</v>
      </c>
      <c r="C1039" s="1">
        <v>-6.4285145333905364E-2</v>
      </c>
      <c r="D1039" s="2">
        <v>146</v>
      </c>
      <c r="E1039" s="4">
        <v>1312</v>
      </c>
      <c r="F1039" s="4" t="s">
        <v>347</v>
      </c>
      <c r="G1039" s="4" t="s">
        <v>346</v>
      </c>
      <c r="H1039" t="s">
        <v>77</v>
      </c>
      <c r="I1039" t="s">
        <v>352</v>
      </c>
      <c r="J1039" s="3">
        <v>2009</v>
      </c>
      <c r="K1039" s="3">
        <v>2017</v>
      </c>
      <c r="L1039" s="6">
        <f t="shared" si="331"/>
        <v>2013</v>
      </c>
      <c r="M1039" s="6">
        <f t="shared" si="332"/>
        <v>2013</v>
      </c>
      <c r="N1039" s="7">
        <f t="shared" si="320"/>
        <v>0.22222222222222221</v>
      </c>
      <c r="O1039" s="7">
        <f t="shared" si="321"/>
        <v>0.1111111111111111</v>
      </c>
      <c r="P1039" s="7">
        <f t="shared" si="322"/>
        <v>0</v>
      </c>
      <c r="Q1039" s="7">
        <f t="shared" si="333"/>
        <v>0</v>
      </c>
      <c r="R1039" s="10" t="str">
        <f t="shared" si="323"/>
        <v>0_Pre</v>
      </c>
      <c r="S1039" s="10" t="str">
        <f t="shared" si="324"/>
        <v>0_Pre</v>
      </c>
      <c r="T1039" s="10" t="str">
        <f t="shared" si="325"/>
        <v>0_Pre</v>
      </c>
      <c r="U1039" s="10" t="str">
        <f t="shared" si="326"/>
        <v>1_Post</v>
      </c>
      <c r="V1039" s="10" t="str">
        <f t="shared" si="334"/>
        <v>0_Pre</v>
      </c>
      <c r="W1039" s="10" t="str">
        <f t="shared" si="327"/>
        <v>straddle</v>
      </c>
      <c r="X1039" s="10" t="str">
        <f t="shared" si="328"/>
        <v>0_Pre</v>
      </c>
      <c r="Y1039" s="10" t="str">
        <f t="shared" si="329"/>
        <v>0_Pre</v>
      </c>
      <c r="Z1039" s="10" t="str">
        <f t="shared" si="330"/>
        <v>0_Pre</v>
      </c>
      <c r="AA1039" s="10" t="str">
        <f t="shared" si="335"/>
        <v>1_Post</v>
      </c>
      <c r="AB1039" s="10" t="str">
        <f t="shared" si="336"/>
        <v>0_Pre</v>
      </c>
      <c r="AC1039" s="10" t="str">
        <f t="shared" si="337"/>
        <v>0_Pre</v>
      </c>
      <c r="AD1039" s="10" t="str">
        <f t="shared" si="338"/>
        <v>2_post sample median</v>
      </c>
      <c r="AE1039" s="10" t="str">
        <f t="shared" si="339"/>
        <v>2_in sample second tertile</v>
      </c>
      <c r="AF1039" t="s">
        <v>82</v>
      </c>
      <c r="AG1039" t="s">
        <v>75</v>
      </c>
      <c r="AH1039" t="s">
        <v>78</v>
      </c>
      <c r="AI1039" t="s">
        <v>122</v>
      </c>
      <c r="AJ1039" t="s">
        <v>122</v>
      </c>
      <c r="AK1039" t="str">
        <f>VLOOKUP(MID($AR1039,1,255),country_lookup!$B:$F,2,FALSE)</f>
        <v>1_US</v>
      </c>
      <c r="AL1039" t="str">
        <f>VLOOKUP(MID($AR1039,1,255),country_lookup!$B:$F,3,FALSE)</f>
        <v>1_developed</v>
      </c>
      <c r="AM1039" t="str">
        <f>VLOOKUP(MID($AR1039,1,255),country_lookup!$B:$F,4,FALSE)</f>
        <v>1_western</v>
      </c>
      <c r="AN1039" t="str">
        <f>VLOOKUP(MID($AR1039,1,255),country_lookup!$B:$F,5,FALSE)</f>
        <v>1_common law</v>
      </c>
      <c r="AO1039" s="10" t="str">
        <f>VLOOKUP(MID($AS1039,1,255),source_lookup!$B:$K,4,FALSE)</f>
        <v>1_not published</v>
      </c>
      <c r="AP1039" s="10" t="str">
        <f>VLOOKUP(MID($AS1039,1,255),source_lookup!$B:$K,6,FALSE)</f>
        <v>99_NA</v>
      </c>
      <c r="AQ1039" s="10" t="str">
        <f>VLOOKUP(MID($AS1039,1,255),source_lookup!$B:$K,10,FALSE)</f>
        <v>1_fin/acc/econ</v>
      </c>
      <c r="AR1039" t="s">
        <v>85</v>
      </c>
      <c r="AS1039" t="s">
        <v>175</v>
      </c>
    </row>
    <row r="1040" spans="1:45" x14ac:dyDescent="0.3">
      <c r="A1040" t="s">
        <v>52</v>
      </c>
      <c r="B1040">
        <v>1039</v>
      </c>
      <c r="C1040" s="1">
        <v>-2.8779151017296816E-2</v>
      </c>
      <c r="D1040" s="2">
        <v>146</v>
      </c>
      <c r="E1040" s="4">
        <v>1312</v>
      </c>
      <c r="F1040" s="4" t="s">
        <v>347</v>
      </c>
      <c r="G1040" s="4" t="s">
        <v>346</v>
      </c>
      <c r="H1040" t="s">
        <v>77</v>
      </c>
      <c r="I1040" t="s">
        <v>352</v>
      </c>
      <c r="J1040" s="3">
        <v>2009</v>
      </c>
      <c r="K1040" s="3">
        <v>2017</v>
      </c>
      <c r="L1040" s="6">
        <f t="shared" si="331"/>
        <v>2013</v>
      </c>
      <c r="M1040" s="6">
        <f t="shared" si="332"/>
        <v>2013</v>
      </c>
      <c r="N1040" s="7">
        <f t="shared" si="320"/>
        <v>0.22222222222222221</v>
      </c>
      <c r="O1040" s="7">
        <f t="shared" si="321"/>
        <v>0.1111111111111111</v>
      </c>
      <c r="P1040" s="7">
        <f t="shared" si="322"/>
        <v>0</v>
      </c>
      <c r="Q1040" s="7">
        <f t="shared" si="333"/>
        <v>0</v>
      </c>
      <c r="R1040" s="10" t="str">
        <f t="shared" si="323"/>
        <v>0_Pre</v>
      </c>
      <c r="S1040" s="10" t="str">
        <f t="shared" si="324"/>
        <v>0_Pre</v>
      </c>
      <c r="T1040" s="10" t="str">
        <f t="shared" si="325"/>
        <v>0_Pre</v>
      </c>
      <c r="U1040" s="10" t="str">
        <f t="shared" si="326"/>
        <v>1_Post</v>
      </c>
      <c r="V1040" s="10" t="str">
        <f t="shared" si="334"/>
        <v>0_Pre</v>
      </c>
      <c r="W1040" s="10" t="str">
        <f t="shared" si="327"/>
        <v>straddle</v>
      </c>
      <c r="X1040" s="10" t="str">
        <f t="shared" si="328"/>
        <v>0_Pre</v>
      </c>
      <c r="Y1040" s="10" t="str">
        <f t="shared" si="329"/>
        <v>0_Pre</v>
      </c>
      <c r="Z1040" s="10" t="str">
        <f t="shared" si="330"/>
        <v>0_Pre</v>
      </c>
      <c r="AA1040" s="10" t="str">
        <f t="shared" si="335"/>
        <v>1_Post</v>
      </c>
      <c r="AB1040" s="10" t="str">
        <f t="shared" si="336"/>
        <v>0_Pre</v>
      </c>
      <c r="AC1040" s="10" t="str">
        <f t="shared" si="337"/>
        <v>0_Pre</v>
      </c>
      <c r="AD1040" s="10" t="str">
        <f t="shared" si="338"/>
        <v>2_post sample median</v>
      </c>
      <c r="AE1040" s="10" t="str">
        <f t="shared" si="339"/>
        <v>2_in sample second tertile</v>
      </c>
      <c r="AF1040" t="s">
        <v>82</v>
      </c>
      <c r="AG1040" t="s">
        <v>75</v>
      </c>
      <c r="AH1040" t="s">
        <v>78</v>
      </c>
      <c r="AI1040" t="s">
        <v>122</v>
      </c>
      <c r="AJ1040" t="s">
        <v>122</v>
      </c>
      <c r="AK1040" t="str">
        <f>VLOOKUP(MID($AR1040,1,255),country_lookup!$B:$F,2,FALSE)</f>
        <v>1_US</v>
      </c>
      <c r="AL1040" t="str">
        <f>VLOOKUP(MID($AR1040,1,255),country_lookup!$B:$F,3,FALSE)</f>
        <v>1_developed</v>
      </c>
      <c r="AM1040" t="str">
        <f>VLOOKUP(MID($AR1040,1,255),country_lookup!$B:$F,4,FALSE)</f>
        <v>1_western</v>
      </c>
      <c r="AN1040" t="str">
        <f>VLOOKUP(MID($AR1040,1,255),country_lookup!$B:$F,5,FALSE)</f>
        <v>1_common law</v>
      </c>
      <c r="AO1040" s="10" t="str">
        <f>VLOOKUP(MID($AS1040,1,255),source_lookup!$B:$K,4,FALSE)</f>
        <v>1_not published</v>
      </c>
      <c r="AP1040" s="10" t="str">
        <f>VLOOKUP(MID($AS1040,1,255),source_lookup!$B:$K,6,FALSE)</f>
        <v>99_NA</v>
      </c>
      <c r="AQ1040" s="10" t="str">
        <f>VLOOKUP(MID($AS1040,1,255),source_lookup!$B:$K,10,FALSE)</f>
        <v>1_fin/acc/econ</v>
      </c>
      <c r="AR1040" t="s">
        <v>85</v>
      </c>
      <c r="AS1040" t="s">
        <v>175</v>
      </c>
    </row>
    <row r="1041" spans="1:45" x14ac:dyDescent="0.3">
      <c r="A1041" t="s">
        <v>52</v>
      </c>
      <c r="B1041">
        <v>1040</v>
      </c>
      <c r="C1041" s="1">
        <v>-8.5692793842240905E-2</v>
      </c>
      <c r="D1041" s="2">
        <v>146</v>
      </c>
      <c r="E1041" s="4">
        <v>1312</v>
      </c>
      <c r="F1041" s="4" t="s">
        <v>347</v>
      </c>
      <c r="G1041" s="4" t="s">
        <v>346</v>
      </c>
      <c r="H1041" t="s">
        <v>77</v>
      </c>
      <c r="I1041" t="s">
        <v>352</v>
      </c>
      <c r="J1041" s="3">
        <v>2009</v>
      </c>
      <c r="K1041" s="3">
        <v>2017</v>
      </c>
      <c r="L1041" s="6">
        <f t="shared" si="331"/>
        <v>2013</v>
      </c>
      <c r="M1041" s="6">
        <f t="shared" si="332"/>
        <v>2013</v>
      </c>
      <c r="N1041" s="7">
        <f t="shared" si="320"/>
        <v>0.22222222222222221</v>
      </c>
      <c r="O1041" s="7">
        <f t="shared" si="321"/>
        <v>0.1111111111111111</v>
      </c>
      <c r="P1041" s="7">
        <f t="shared" si="322"/>
        <v>0</v>
      </c>
      <c r="Q1041" s="7">
        <f t="shared" si="333"/>
        <v>0</v>
      </c>
      <c r="R1041" s="10" t="str">
        <f t="shared" si="323"/>
        <v>0_Pre</v>
      </c>
      <c r="S1041" s="10" t="str">
        <f t="shared" si="324"/>
        <v>0_Pre</v>
      </c>
      <c r="T1041" s="10" t="str">
        <f t="shared" si="325"/>
        <v>0_Pre</v>
      </c>
      <c r="U1041" s="10" t="str">
        <f t="shared" si="326"/>
        <v>1_Post</v>
      </c>
      <c r="V1041" s="10" t="str">
        <f t="shared" si="334"/>
        <v>0_Pre</v>
      </c>
      <c r="W1041" s="10" t="str">
        <f t="shared" si="327"/>
        <v>straddle</v>
      </c>
      <c r="X1041" s="10" t="str">
        <f t="shared" si="328"/>
        <v>0_Pre</v>
      </c>
      <c r="Y1041" s="10" t="str">
        <f t="shared" si="329"/>
        <v>0_Pre</v>
      </c>
      <c r="Z1041" s="10" t="str">
        <f t="shared" si="330"/>
        <v>0_Pre</v>
      </c>
      <c r="AA1041" s="10" t="str">
        <f t="shared" si="335"/>
        <v>1_Post</v>
      </c>
      <c r="AB1041" s="10" t="str">
        <f t="shared" si="336"/>
        <v>0_Pre</v>
      </c>
      <c r="AC1041" s="10" t="str">
        <f t="shared" si="337"/>
        <v>0_Pre</v>
      </c>
      <c r="AD1041" s="10" t="str">
        <f t="shared" si="338"/>
        <v>2_post sample median</v>
      </c>
      <c r="AE1041" s="10" t="str">
        <f t="shared" si="339"/>
        <v>2_in sample second tertile</v>
      </c>
      <c r="AF1041" t="s">
        <v>82</v>
      </c>
      <c r="AG1041" t="s">
        <v>75</v>
      </c>
      <c r="AH1041" t="s">
        <v>78</v>
      </c>
      <c r="AI1041" t="s">
        <v>122</v>
      </c>
      <c r="AJ1041" t="s">
        <v>122</v>
      </c>
      <c r="AK1041" t="str">
        <f>VLOOKUP(MID($AR1041,1,255),country_lookup!$B:$F,2,FALSE)</f>
        <v>1_US</v>
      </c>
      <c r="AL1041" t="str">
        <f>VLOOKUP(MID($AR1041,1,255),country_lookup!$B:$F,3,FALSE)</f>
        <v>1_developed</v>
      </c>
      <c r="AM1041" t="str">
        <f>VLOOKUP(MID($AR1041,1,255),country_lookup!$B:$F,4,FALSE)</f>
        <v>1_western</v>
      </c>
      <c r="AN1041" t="str">
        <f>VLOOKUP(MID($AR1041,1,255),country_lookup!$B:$F,5,FALSE)</f>
        <v>1_common law</v>
      </c>
      <c r="AO1041" s="10" t="str">
        <f>VLOOKUP(MID($AS1041,1,255),source_lookup!$B:$K,4,FALSE)</f>
        <v>1_not published</v>
      </c>
      <c r="AP1041" s="10" t="str">
        <f>VLOOKUP(MID($AS1041,1,255),source_lookup!$B:$K,6,FALSE)</f>
        <v>99_NA</v>
      </c>
      <c r="AQ1041" s="10" t="str">
        <f>VLOOKUP(MID($AS1041,1,255),source_lookup!$B:$K,10,FALSE)</f>
        <v>1_fin/acc/econ</v>
      </c>
      <c r="AR1041" t="s">
        <v>85</v>
      </c>
      <c r="AS1041" t="s">
        <v>175</v>
      </c>
    </row>
    <row r="1042" spans="1:45" x14ac:dyDescent="0.3">
      <c r="A1042" t="s">
        <v>52</v>
      </c>
      <c r="B1042">
        <v>1041</v>
      </c>
      <c r="C1042" s="1">
        <v>-4.5384272989764579E-2</v>
      </c>
      <c r="D1042" s="2">
        <v>215</v>
      </c>
      <c r="E1042" s="4">
        <v>1938</v>
      </c>
      <c r="F1042" s="4" t="s">
        <v>347</v>
      </c>
      <c r="G1042" s="4" t="s">
        <v>346</v>
      </c>
      <c r="H1042" t="s">
        <v>77</v>
      </c>
      <c r="I1042" t="s">
        <v>352</v>
      </c>
      <c r="J1042" s="3">
        <v>2009</v>
      </c>
      <c r="K1042" s="3">
        <v>2017</v>
      </c>
      <c r="L1042" s="6">
        <f t="shared" si="331"/>
        <v>2013</v>
      </c>
      <c r="M1042" s="6">
        <f t="shared" si="332"/>
        <v>2013</v>
      </c>
      <c r="N1042" s="7">
        <f t="shared" si="320"/>
        <v>0.22222222222222221</v>
      </c>
      <c r="O1042" s="7">
        <f t="shared" si="321"/>
        <v>0.1111111111111111</v>
      </c>
      <c r="P1042" s="7">
        <f t="shared" si="322"/>
        <v>0</v>
      </c>
      <c r="Q1042" s="7">
        <f t="shared" si="333"/>
        <v>0</v>
      </c>
      <c r="R1042" s="10" t="str">
        <f t="shared" si="323"/>
        <v>0_Pre</v>
      </c>
      <c r="S1042" s="10" t="str">
        <f t="shared" si="324"/>
        <v>0_Pre</v>
      </c>
      <c r="T1042" s="10" t="str">
        <f t="shared" si="325"/>
        <v>0_Pre</v>
      </c>
      <c r="U1042" s="10" t="str">
        <f t="shared" si="326"/>
        <v>1_Post</v>
      </c>
      <c r="V1042" s="10" t="str">
        <f t="shared" si="334"/>
        <v>0_Pre</v>
      </c>
      <c r="W1042" s="10" t="str">
        <f t="shared" si="327"/>
        <v>straddle</v>
      </c>
      <c r="X1042" s="10" t="str">
        <f t="shared" si="328"/>
        <v>0_Pre</v>
      </c>
      <c r="Y1042" s="10" t="str">
        <f t="shared" si="329"/>
        <v>0_Pre</v>
      </c>
      <c r="Z1042" s="10" t="str">
        <f t="shared" si="330"/>
        <v>0_Pre</v>
      </c>
      <c r="AA1042" s="10" t="str">
        <f t="shared" si="335"/>
        <v>1_Post</v>
      </c>
      <c r="AB1042" s="10" t="str">
        <f t="shared" si="336"/>
        <v>0_Pre</v>
      </c>
      <c r="AC1042" s="10" t="str">
        <f t="shared" si="337"/>
        <v>0_Pre</v>
      </c>
      <c r="AD1042" s="10" t="str">
        <f t="shared" si="338"/>
        <v>2_post sample median</v>
      </c>
      <c r="AE1042" s="10" t="str">
        <f t="shared" si="339"/>
        <v>2_in sample second tertile</v>
      </c>
      <c r="AF1042" t="s">
        <v>82</v>
      </c>
      <c r="AG1042" t="s">
        <v>75</v>
      </c>
      <c r="AH1042" t="s">
        <v>78</v>
      </c>
      <c r="AI1042" t="s">
        <v>122</v>
      </c>
      <c r="AJ1042" t="s">
        <v>122</v>
      </c>
      <c r="AK1042" t="str">
        <f>VLOOKUP(MID($AR1042,1,255),country_lookup!$B:$F,2,FALSE)</f>
        <v>1_US</v>
      </c>
      <c r="AL1042" t="str">
        <f>VLOOKUP(MID($AR1042,1,255),country_lookup!$B:$F,3,FALSE)</f>
        <v>1_developed</v>
      </c>
      <c r="AM1042" t="str">
        <f>VLOOKUP(MID($AR1042,1,255),country_lookup!$B:$F,4,FALSE)</f>
        <v>1_western</v>
      </c>
      <c r="AN1042" t="str">
        <f>VLOOKUP(MID($AR1042,1,255),country_lookup!$B:$F,5,FALSE)</f>
        <v>1_common law</v>
      </c>
      <c r="AO1042" s="10" t="str">
        <f>VLOOKUP(MID($AS1042,1,255),source_lookup!$B:$K,4,FALSE)</f>
        <v>1_not published</v>
      </c>
      <c r="AP1042" s="10" t="str">
        <f>VLOOKUP(MID($AS1042,1,255),source_lookup!$B:$K,6,FALSE)</f>
        <v>99_NA</v>
      </c>
      <c r="AQ1042" s="10" t="str">
        <f>VLOOKUP(MID($AS1042,1,255),source_lookup!$B:$K,10,FALSE)</f>
        <v>1_fin/acc/econ</v>
      </c>
      <c r="AR1042" t="s">
        <v>85</v>
      </c>
      <c r="AS1042" t="s">
        <v>175</v>
      </c>
    </row>
    <row r="1043" spans="1:45" x14ac:dyDescent="0.3">
      <c r="A1043" t="s">
        <v>52</v>
      </c>
      <c r="B1043">
        <v>1042</v>
      </c>
      <c r="C1043" s="1">
        <v>3.0273507873307424E-2</v>
      </c>
      <c r="D1043" s="2">
        <v>215</v>
      </c>
      <c r="E1043" s="4">
        <v>1938</v>
      </c>
      <c r="F1043" s="4" t="s">
        <v>347</v>
      </c>
      <c r="G1043" s="4" t="s">
        <v>346</v>
      </c>
      <c r="H1043" t="s">
        <v>77</v>
      </c>
      <c r="I1043" t="s">
        <v>352</v>
      </c>
      <c r="J1043" s="3">
        <v>2009</v>
      </c>
      <c r="K1043" s="3">
        <v>2017</v>
      </c>
      <c r="L1043" s="6">
        <f t="shared" si="331"/>
        <v>2013</v>
      </c>
      <c r="M1043" s="6">
        <f t="shared" si="332"/>
        <v>2013</v>
      </c>
      <c r="N1043" s="7">
        <f t="shared" si="320"/>
        <v>0.22222222222222221</v>
      </c>
      <c r="O1043" s="7">
        <f t="shared" si="321"/>
        <v>0.1111111111111111</v>
      </c>
      <c r="P1043" s="7">
        <f t="shared" si="322"/>
        <v>0</v>
      </c>
      <c r="Q1043" s="7">
        <f t="shared" si="333"/>
        <v>0</v>
      </c>
      <c r="R1043" s="10" t="str">
        <f t="shared" si="323"/>
        <v>0_Pre</v>
      </c>
      <c r="S1043" s="10" t="str">
        <f t="shared" si="324"/>
        <v>0_Pre</v>
      </c>
      <c r="T1043" s="10" t="str">
        <f t="shared" si="325"/>
        <v>0_Pre</v>
      </c>
      <c r="U1043" s="10" t="str">
        <f t="shared" si="326"/>
        <v>1_Post</v>
      </c>
      <c r="V1043" s="10" t="str">
        <f t="shared" si="334"/>
        <v>0_Pre</v>
      </c>
      <c r="W1043" s="10" t="str">
        <f t="shared" si="327"/>
        <v>straddle</v>
      </c>
      <c r="X1043" s="10" t="str">
        <f t="shared" si="328"/>
        <v>0_Pre</v>
      </c>
      <c r="Y1043" s="10" t="str">
        <f t="shared" si="329"/>
        <v>0_Pre</v>
      </c>
      <c r="Z1043" s="10" t="str">
        <f t="shared" si="330"/>
        <v>0_Pre</v>
      </c>
      <c r="AA1043" s="10" t="str">
        <f t="shared" si="335"/>
        <v>1_Post</v>
      </c>
      <c r="AB1043" s="10" t="str">
        <f t="shared" si="336"/>
        <v>0_Pre</v>
      </c>
      <c r="AC1043" s="10" t="str">
        <f t="shared" si="337"/>
        <v>0_Pre</v>
      </c>
      <c r="AD1043" s="10" t="str">
        <f t="shared" si="338"/>
        <v>2_post sample median</v>
      </c>
      <c r="AE1043" s="10" t="str">
        <f t="shared" si="339"/>
        <v>2_in sample second tertile</v>
      </c>
      <c r="AF1043" t="s">
        <v>82</v>
      </c>
      <c r="AG1043" t="s">
        <v>75</v>
      </c>
      <c r="AH1043" t="s">
        <v>78</v>
      </c>
      <c r="AI1043" t="s">
        <v>122</v>
      </c>
      <c r="AJ1043" t="s">
        <v>122</v>
      </c>
      <c r="AK1043" t="str">
        <f>VLOOKUP(MID($AR1043,1,255),country_lookup!$B:$F,2,FALSE)</f>
        <v>1_US</v>
      </c>
      <c r="AL1043" t="str">
        <f>VLOOKUP(MID($AR1043,1,255),country_lookup!$B:$F,3,FALSE)</f>
        <v>1_developed</v>
      </c>
      <c r="AM1043" t="str">
        <f>VLOOKUP(MID($AR1043,1,255),country_lookup!$B:$F,4,FALSE)</f>
        <v>1_western</v>
      </c>
      <c r="AN1043" t="str">
        <f>VLOOKUP(MID($AR1043,1,255),country_lookup!$B:$F,5,FALSE)</f>
        <v>1_common law</v>
      </c>
      <c r="AO1043" s="10" t="str">
        <f>VLOOKUP(MID($AS1043,1,255),source_lookup!$B:$K,4,FALSE)</f>
        <v>1_not published</v>
      </c>
      <c r="AP1043" s="10" t="str">
        <f>VLOOKUP(MID($AS1043,1,255),source_lookup!$B:$K,6,FALSE)</f>
        <v>99_NA</v>
      </c>
      <c r="AQ1043" s="10" t="str">
        <f>VLOOKUP(MID($AS1043,1,255),source_lookup!$B:$K,10,FALSE)</f>
        <v>1_fin/acc/econ</v>
      </c>
      <c r="AR1043" t="s">
        <v>85</v>
      </c>
      <c r="AS1043" t="s">
        <v>175</v>
      </c>
    </row>
    <row r="1044" spans="1:45" x14ac:dyDescent="0.3">
      <c r="A1044" t="s">
        <v>52</v>
      </c>
      <c r="B1044">
        <v>1043</v>
      </c>
      <c r="C1044" s="1">
        <v>-6.2068965517241378E-2</v>
      </c>
      <c r="D1044" s="2">
        <v>145</v>
      </c>
      <c r="E1044" s="4">
        <v>1309</v>
      </c>
      <c r="F1044" s="4" t="s">
        <v>347</v>
      </c>
      <c r="G1044" s="4" t="s">
        <v>346</v>
      </c>
      <c r="H1044" t="s">
        <v>77</v>
      </c>
      <c r="I1044" t="s">
        <v>352</v>
      </c>
      <c r="J1044" s="3">
        <v>2009</v>
      </c>
      <c r="K1044" s="3">
        <v>2017</v>
      </c>
      <c r="L1044" s="6">
        <f t="shared" si="331"/>
        <v>2013</v>
      </c>
      <c r="M1044" s="6">
        <f t="shared" si="332"/>
        <v>2013</v>
      </c>
      <c r="N1044" s="7">
        <f t="shared" si="320"/>
        <v>0.22222222222222221</v>
      </c>
      <c r="O1044" s="7">
        <f t="shared" si="321"/>
        <v>0.1111111111111111</v>
      </c>
      <c r="P1044" s="7">
        <f t="shared" si="322"/>
        <v>0</v>
      </c>
      <c r="Q1044" s="7">
        <f t="shared" si="333"/>
        <v>0</v>
      </c>
      <c r="R1044" s="10" t="str">
        <f t="shared" si="323"/>
        <v>0_Pre</v>
      </c>
      <c r="S1044" s="10" t="str">
        <f t="shared" si="324"/>
        <v>0_Pre</v>
      </c>
      <c r="T1044" s="10" t="str">
        <f t="shared" si="325"/>
        <v>0_Pre</v>
      </c>
      <c r="U1044" s="10" t="str">
        <f t="shared" si="326"/>
        <v>1_Post</v>
      </c>
      <c r="V1044" s="10" t="str">
        <f t="shared" si="334"/>
        <v>0_Pre</v>
      </c>
      <c r="W1044" s="10" t="str">
        <f t="shared" si="327"/>
        <v>straddle</v>
      </c>
      <c r="X1044" s="10" t="str">
        <f t="shared" si="328"/>
        <v>0_Pre</v>
      </c>
      <c r="Y1044" s="10" t="str">
        <f t="shared" si="329"/>
        <v>0_Pre</v>
      </c>
      <c r="Z1044" s="10" t="str">
        <f t="shared" si="330"/>
        <v>0_Pre</v>
      </c>
      <c r="AA1044" s="10" t="str">
        <f t="shared" si="335"/>
        <v>1_Post</v>
      </c>
      <c r="AB1044" s="10" t="str">
        <f t="shared" si="336"/>
        <v>0_Pre</v>
      </c>
      <c r="AC1044" s="10" t="str">
        <f t="shared" si="337"/>
        <v>0_Pre</v>
      </c>
      <c r="AD1044" s="10" t="str">
        <f t="shared" si="338"/>
        <v>2_post sample median</v>
      </c>
      <c r="AE1044" s="10" t="str">
        <f t="shared" si="339"/>
        <v>2_in sample second tertile</v>
      </c>
      <c r="AF1044" t="s">
        <v>82</v>
      </c>
      <c r="AG1044" t="s">
        <v>75</v>
      </c>
      <c r="AH1044" t="s">
        <v>78</v>
      </c>
      <c r="AI1044" t="s">
        <v>122</v>
      </c>
      <c r="AJ1044" t="s">
        <v>122</v>
      </c>
      <c r="AK1044" t="str">
        <f>VLOOKUP(MID($AR1044,1,255),country_lookup!$B:$F,2,FALSE)</f>
        <v>1_US</v>
      </c>
      <c r="AL1044" t="str">
        <f>VLOOKUP(MID($AR1044,1,255),country_lookup!$B:$F,3,FALSE)</f>
        <v>1_developed</v>
      </c>
      <c r="AM1044" t="str">
        <f>VLOOKUP(MID($AR1044,1,255),country_lookup!$B:$F,4,FALSE)</f>
        <v>1_western</v>
      </c>
      <c r="AN1044" t="str">
        <f>VLOOKUP(MID($AR1044,1,255),country_lookup!$B:$F,5,FALSE)</f>
        <v>1_common law</v>
      </c>
      <c r="AO1044" s="10" t="str">
        <f>VLOOKUP(MID($AS1044,1,255),source_lookup!$B:$K,4,FALSE)</f>
        <v>1_not published</v>
      </c>
      <c r="AP1044" s="10" t="str">
        <f>VLOOKUP(MID($AS1044,1,255),source_lookup!$B:$K,6,FALSE)</f>
        <v>99_NA</v>
      </c>
      <c r="AQ1044" s="10" t="str">
        <f>VLOOKUP(MID($AS1044,1,255),source_lookup!$B:$K,10,FALSE)</f>
        <v>1_fin/acc/econ</v>
      </c>
      <c r="AR1044" t="s">
        <v>85</v>
      </c>
      <c r="AS1044" t="s">
        <v>175</v>
      </c>
    </row>
    <row r="1045" spans="1:45" x14ac:dyDescent="0.3">
      <c r="A1045" t="s">
        <v>52</v>
      </c>
      <c r="B1045">
        <v>1044</v>
      </c>
      <c r="C1045" s="1">
        <v>-2.7628948199776879E-2</v>
      </c>
      <c r="D1045" s="2">
        <v>145</v>
      </c>
      <c r="E1045" s="4">
        <v>1309</v>
      </c>
      <c r="F1045" s="4" t="s">
        <v>347</v>
      </c>
      <c r="G1045" s="4" t="s">
        <v>346</v>
      </c>
      <c r="H1045" t="s">
        <v>77</v>
      </c>
      <c r="I1045" t="s">
        <v>352</v>
      </c>
      <c r="J1045" s="3">
        <v>2009</v>
      </c>
      <c r="K1045" s="3">
        <v>2017</v>
      </c>
      <c r="L1045" s="6">
        <f t="shared" si="331"/>
        <v>2013</v>
      </c>
      <c r="M1045" s="6">
        <f t="shared" si="332"/>
        <v>2013</v>
      </c>
      <c r="N1045" s="7">
        <f t="shared" si="320"/>
        <v>0.22222222222222221</v>
      </c>
      <c r="O1045" s="7">
        <f t="shared" si="321"/>
        <v>0.1111111111111111</v>
      </c>
      <c r="P1045" s="7">
        <f t="shared" si="322"/>
        <v>0</v>
      </c>
      <c r="Q1045" s="7">
        <f t="shared" si="333"/>
        <v>0</v>
      </c>
      <c r="R1045" s="10" t="str">
        <f t="shared" si="323"/>
        <v>0_Pre</v>
      </c>
      <c r="S1045" s="10" t="str">
        <f t="shared" si="324"/>
        <v>0_Pre</v>
      </c>
      <c r="T1045" s="10" t="str">
        <f t="shared" si="325"/>
        <v>0_Pre</v>
      </c>
      <c r="U1045" s="10" t="str">
        <f t="shared" si="326"/>
        <v>1_Post</v>
      </c>
      <c r="V1045" s="10" t="str">
        <f t="shared" si="334"/>
        <v>0_Pre</v>
      </c>
      <c r="W1045" s="10" t="str">
        <f t="shared" si="327"/>
        <v>straddle</v>
      </c>
      <c r="X1045" s="10" t="str">
        <f t="shared" si="328"/>
        <v>0_Pre</v>
      </c>
      <c r="Y1045" s="10" t="str">
        <f t="shared" si="329"/>
        <v>0_Pre</v>
      </c>
      <c r="Z1045" s="10" t="str">
        <f t="shared" si="330"/>
        <v>0_Pre</v>
      </c>
      <c r="AA1045" s="10" t="str">
        <f t="shared" si="335"/>
        <v>1_Post</v>
      </c>
      <c r="AB1045" s="10" t="str">
        <f t="shared" si="336"/>
        <v>0_Pre</v>
      </c>
      <c r="AC1045" s="10" t="str">
        <f t="shared" si="337"/>
        <v>0_Pre</v>
      </c>
      <c r="AD1045" s="10" t="str">
        <f t="shared" si="338"/>
        <v>2_post sample median</v>
      </c>
      <c r="AE1045" s="10" t="str">
        <f t="shared" si="339"/>
        <v>2_in sample second tertile</v>
      </c>
      <c r="AF1045" t="s">
        <v>82</v>
      </c>
      <c r="AG1045" t="s">
        <v>75</v>
      </c>
      <c r="AH1045" t="s">
        <v>78</v>
      </c>
      <c r="AI1045" t="s">
        <v>122</v>
      </c>
      <c r="AJ1045" t="s">
        <v>122</v>
      </c>
      <c r="AK1045" t="str">
        <f>VLOOKUP(MID($AR1045,1,255),country_lookup!$B:$F,2,FALSE)</f>
        <v>1_US</v>
      </c>
      <c r="AL1045" t="str">
        <f>VLOOKUP(MID($AR1045,1,255),country_lookup!$B:$F,3,FALSE)</f>
        <v>1_developed</v>
      </c>
      <c r="AM1045" t="str">
        <f>VLOOKUP(MID($AR1045,1,255),country_lookup!$B:$F,4,FALSE)</f>
        <v>1_western</v>
      </c>
      <c r="AN1045" t="str">
        <f>VLOOKUP(MID($AR1045,1,255),country_lookup!$B:$F,5,FALSE)</f>
        <v>1_common law</v>
      </c>
      <c r="AO1045" s="10" t="str">
        <f>VLOOKUP(MID($AS1045,1,255),source_lookup!$B:$K,4,FALSE)</f>
        <v>1_not published</v>
      </c>
      <c r="AP1045" s="10" t="str">
        <f>VLOOKUP(MID($AS1045,1,255),source_lookup!$B:$K,6,FALSE)</f>
        <v>99_NA</v>
      </c>
      <c r="AQ1045" s="10" t="str">
        <f>VLOOKUP(MID($AS1045,1,255),source_lookup!$B:$K,10,FALSE)</f>
        <v>1_fin/acc/econ</v>
      </c>
      <c r="AR1045" t="s">
        <v>85</v>
      </c>
      <c r="AS1045" t="s">
        <v>175</v>
      </c>
    </row>
    <row r="1046" spans="1:45" x14ac:dyDescent="0.3">
      <c r="A1046" t="s">
        <v>52</v>
      </c>
      <c r="B1046">
        <v>1045</v>
      </c>
      <c r="C1046" s="1">
        <v>-4.0424747520542544E-2</v>
      </c>
      <c r="D1046" s="2">
        <v>145</v>
      </c>
      <c r="E1046" s="4">
        <v>1309</v>
      </c>
      <c r="F1046" s="4" t="s">
        <v>347</v>
      </c>
      <c r="G1046" s="4" t="s">
        <v>346</v>
      </c>
      <c r="H1046" t="s">
        <v>77</v>
      </c>
      <c r="I1046" t="s">
        <v>352</v>
      </c>
      <c r="J1046" s="3">
        <v>2009</v>
      </c>
      <c r="K1046" s="3">
        <v>2017</v>
      </c>
      <c r="L1046" s="6">
        <f t="shared" si="331"/>
        <v>2013</v>
      </c>
      <c r="M1046" s="6">
        <f t="shared" si="332"/>
        <v>2013</v>
      </c>
      <c r="N1046" s="7">
        <f t="shared" si="320"/>
        <v>0.22222222222222221</v>
      </c>
      <c r="O1046" s="7">
        <f t="shared" si="321"/>
        <v>0.1111111111111111</v>
      </c>
      <c r="P1046" s="7">
        <f t="shared" si="322"/>
        <v>0</v>
      </c>
      <c r="Q1046" s="7">
        <f t="shared" si="333"/>
        <v>0</v>
      </c>
      <c r="R1046" s="10" t="str">
        <f t="shared" si="323"/>
        <v>0_Pre</v>
      </c>
      <c r="S1046" s="10" t="str">
        <f t="shared" si="324"/>
        <v>0_Pre</v>
      </c>
      <c r="T1046" s="10" t="str">
        <f t="shared" si="325"/>
        <v>0_Pre</v>
      </c>
      <c r="U1046" s="10" t="str">
        <f t="shared" si="326"/>
        <v>1_Post</v>
      </c>
      <c r="V1046" s="10" t="str">
        <f t="shared" si="334"/>
        <v>0_Pre</v>
      </c>
      <c r="W1046" s="10" t="str">
        <f t="shared" si="327"/>
        <v>straddle</v>
      </c>
      <c r="X1046" s="10" t="str">
        <f t="shared" si="328"/>
        <v>0_Pre</v>
      </c>
      <c r="Y1046" s="10" t="str">
        <f t="shared" si="329"/>
        <v>0_Pre</v>
      </c>
      <c r="Z1046" s="10" t="str">
        <f t="shared" si="330"/>
        <v>0_Pre</v>
      </c>
      <c r="AA1046" s="10" t="str">
        <f t="shared" si="335"/>
        <v>1_Post</v>
      </c>
      <c r="AB1046" s="10" t="str">
        <f t="shared" si="336"/>
        <v>0_Pre</v>
      </c>
      <c r="AC1046" s="10" t="str">
        <f t="shared" si="337"/>
        <v>0_Pre</v>
      </c>
      <c r="AD1046" s="10" t="str">
        <f t="shared" si="338"/>
        <v>2_post sample median</v>
      </c>
      <c r="AE1046" s="10" t="str">
        <f t="shared" si="339"/>
        <v>2_in sample second tertile</v>
      </c>
      <c r="AF1046" t="s">
        <v>82</v>
      </c>
      <c r="AG1046" t="s">
        <v>75</v>
      </c>
      <c r="AH1046" t="s">
        <v>78</v>
      </c>
      <c r="AI1046" t="s">
        <v>122</v>
      </c>
      <c r="AJ1046" t="s">
        <v>122</v>
      </c>
      <c r="AK1046" t="str">
        <f>VLOOKUP(MID($AR1046,1,255),country_lookup!$B:$F,2,FALSE)</f>
        <v>1_US</v>
      </c>
      <c r="AL1046" t="str">
        <f>VLOOKUP(MID($AR1046,1,255),country_lookup!$B:$F,3,FALSE)</f>
        <v>1_developed</v>
      </c>
      <c r="AM1046" t="str">
        <f>VLOOKUP(MID($AR1046,1,255),country_lookup!$B:$F,4,FALSE)</f>
        <v>1_western</v>
      </c>
      <c r="AN1046" t="str">
        <f>VLOOKUP(MID($AR1046,1,255),country_lookup!$B:$F,5,FALSE)</f>
        <v>1_common law</v>
      </c>
      <c r="AO1046" s="10" t="str">
        <f>VLOOKUP(MID($AS1046,1,255),source_lookup!$B:$K,4,FALSE)</f>
        <v>1_not published</v>
      </c>
      <c r="AP1046" s="10" t="str">
        <f>VLOOKUP(MID($AS1046,1,255),source_lookup!$B:$K,6,FALSE)</f>
        <v>99_NA</v>
      </c>
      <c r="AQ1046" s="10" t="str">
        <f>VLOOKUP(MID($AS1046,1,255),source_lookup!$B:$K,10,FALSE)</f>
        <v>1_fin/acc/econ</v>
      </c>
      <c r="AR1046" t="s">
        <v>85</v>
      </c>
      <c r="AS1046" t="s">
        <v>175</v>
      </c>
    </row>
    <row r="1047" spans="1:45" x14ac:dyDescent="0.3">
      <c r="A1047" t="s">
        <v>52</v>
      </c>
      <c r="B1047">
        <v>1046</v>
      </c>
      <c r="C1047" s="1">
        <v>-4.9577244489623237E-2</v>
      </c>
      <c r="D1047" s="2">
        <v>145</v>
      </c>
      <c r="E1047" s="4">
        <v>1309</v>
      </c>
      <c r="F1047" s="4" t="s">
        <v>347</v>
      </c>
      <c r="G1047" s="4" t="s">
        <v>346</v>
      </c>
      <c r="H1047" t="s">
        <v>77</v>
      </c>
      <c r="I1047" t="s">
        <v>352</v>
      </c>
      <c r="J1047" s="3">
        <v>2009</v>
      </c>
      <c r="K1047" s="3">
        <v>2017</v>
      </c>
      <c r="L1047" s="6">
        <f t="shared" si="331"/>
        <v>2013</v>
      </c>
      <c r="M1047" s="6">
        <f t="shared" si="332"/>
        <v>2013</v>
      </c>
      <c r="N1047" s="7">
        <f t="shared" si="320"/>
        <v>0.22222222222222221</v>
      </c>
      <c r="O1047" s="7">
        <f t="shared" si="321"/>
        <v>0.1111111111111111</v>
      </c>
      <c r="P1047" s="7">
        <f t="shared" si="322"/>
        <v>0</v>
      </c>
      <c r="Q1047" s="7">
        <f t="shared" si="333"/>
        <v>0</v>
      </c>
      <c r="R1047" s="10" t="str">
        <f t="shared" si="323"/>
        <v>0_Pre</v>
      </c>
      <c r="S1047" s="10" t="str">
        <f t="shared" si="324"/>
        <v>0_Pre</v>
      </c>
      <c r="T1047" s="10" t="str">
        <f t="shared" si="325"/>
        <v>0_Pre</v>
      </c>
      <c r="U1047" s="10" t="str">
        <f t="shared" si="326"/>
        <v>1_Post</v>
      </c>
      <c r="V1047" s="10" t="str">
        <f t="shared" si="334"/>
        <v>0_Pre</v>
      </c>
      <c r="W1047" s="10" t="str">
        <f t="shared" si="327"/>
        <v>straddle</v>
      </c>
      <c r="X1047" s="10" t="str">
        <f t="shared" si="328"/>
        <v>0_Pre</v>
      </c>
      <c r="Y1047" s="10" t="str">
        <f t="shared" si="329"/>
        <v>0_Pre</v>
      </c>
      <c r="Z1047" s="10" t="str">
        <f t="shared" si="330"/>
        <v>0_Pre</v>
      </c>
      <c r="AA1047" s="10" t="str">
        <f t="shared" si="335"/>
        <v>1_Post</v>
      </c>
      <c r="AB1047" s="10" t="str">
        <f t="shared" si="336"/>
        <v>0_Pre</v>
      </c>
      <c r="AC1047" s="10" t="str">
        <f t="shared" si="337"/>
        <v>0_Pre</v>
      </c>
      <c r="AD1047" s="10" t="str">
        <f t="shared" si="338"/>
        <v>2_post sample median</v>
      </c>
      <c r="AE1047" s="10" t="str">
        <f t="shared" si="339"/>
        <v>2_in sample second tertile</v>
      </c>
      <c r="AF1047" t="s">
        <v>82</v>
      </c>
      <c r="AG1047" t="s">
        <v>75</v>
      </c>
      <c r="AH1047" t="s">
        <v>78</v>
      </c>
      <c r="AI1047" t="s">
        <v>122</v>
      </c>
      <c r="AJ1047" t="s">
        <v>122</v>
      </c>
      <c r="AK1047" t="str">
        <f>VLOOKUP(MID($AR1047,1,255),country_lookup!$B:$F,2,FALSE)</f>
        <v>1_US</v>
      </c>
      <c r="AL1047" t="str">
        <f>VLOOKUP(MID($AR1047,1,255),country_lookup!$B:$F,3,FALSE)</f>
        <v>1_developed</v>
      </c>
      <c r="AM1047" t="str">
        <f>VLOOKUP(MID($AR1047,1,255),country_lookup!$B:$F,4,FALSE)</f>
        <v>1_western</v>
      </c>
      <c r="AN1047" t="str">
        <f>VLOOKUP(MID($AR1047,1,255),country_lookup!$B:$F,5,FALSE)</f>
        <v>1_common law</v>
      </c>
      <c r="AO1047" s="10" t="str">
        <f>VLOOKUP(MID($AS1047,1,255),source_lookup!$B:$K,4,FALSE)</f>
        <v>1_not published</v>
      </c>
      <c r="AP1047" s="10" t="str">
        <f>VLOOKUP(MID($AS1047,1,255),source_lookup!$B:$K,6,FALSE)</f>
        <v>99_NA</v>
      </c>
      <c r="AQ1047" s="10" t="str">
        <f>VLOOKUP(MID($AS1047,1,255),source_lookup!$B:$K,10,FALSE)</f>
        <v>1_fin/acc/econ</v>
      </c>
      <c r="AR1047" t="s">
        <v>85</v>
      </c>
      <c r="AS1047" t="s">
        <v>175</v>
      </c>
    </row>
    <row r="1048" spans="1:45" x14ac:dyDescent="0.3">
      <c r="A1048" t="s">
        <v>52</v>
      </c>
      <c r="B1048">
        <v>1047</v>
      </c>
      <c r="C1048" s="1">
        <v>-1.924894062752644E-2</v>
      </c>
      <c r="D1048" s="2">
        <v>11112</v>
      </c>
      <c r="E1048" s="4">
        <v>33336</v>
      </c>
      <c r="F1048" s="4" t="s">
        <v>347</v>
      </c>
      <c r="G1048" s="4" t="s">
        <v>346</v>
      </c>
      <c r="H1048" t="s">
        <v>77</v>
      </c>
      <c r="I1048" t="s">
        <v>352</v>
      </c>
      <c r="J1048" s="3">
        <v>2014</v>
      </c>
      <c r="K1048" s="3">
        <v>2016</v>
      </c>
      <c r="L1048" s="6">
        <f t="shared" si="331"/>
        <v>2015</v>
      </c>
      <c r="M1048" s="6">
        <f t="shared" si="332"/>
        <v>2015</v>
      </c>
      <c r="N1048" s="7">
        <f t="shared" si="320"/>
        <v>0.33333333333333331</v>
      </c>
      <c r="O1048" s="7">
        <f t="shared" si="321"/>
        <v>0</v>
      </c>
      <c r="P1048" s="7">
        <f t="shared" si="322"/>
        <v>0</v>
      </c>
      <c r="Q1048" s="7">
        <f t="shared" si="333"/>
        <v>0</v>
      </c>
      <c r="R1048" s="10" t="str">
        <f t="shared" si="323"/>
        <v>0_Pre</v>
      </c>
      <c r="S1048" s="10" t="str">
        <f t="shared" si="324"/>
        <v>0_Pre</v>
      </c>
      <c r="T1048" s="10" t="str">
        <f t="shared" si="325"/>
        <v>0_Pre</v>
      </c>
      <c r="U1048" s="10" t="str">
        <f t="shared" si="326"/>
        <v>1_Post</v>
      </c>
      <c r="V1048" s="10" t="str">
        <f t="shared" si="334"/>
        <v>0_Pre</v>
      </c>
      <c r="W1048" s="10" t="str">
        <f t="shared" si="327"/>
        <v>straddle</v>
      </c>
      <c r="X1048" s="10" t="str">
        <f t="shared" si="328"/>
        <v>0_Pre</v>
      </c>
      <c r="Y1048" s="10" t="str">
        <f t="shared" si="329"/>
        <v>0_Pre</v>
      </c>
      <c r="Z1048" s="10" t="str">
        <f t="shared" si="330"/>
        <v>0_Pre</v>
      </c>
      <c r="AA1048" s="10" t="str">
        <f t="shared" si="335"/>
        <v>0_Pre</v>
      </c>
      <c r="AB1048" s="10" t="str">
        <f t="shared" si="336"/>
        <v>0_Pre</v>
      </c>
      <c r="AC1048" s="10" t="str">
        <f t="shared" si="337"/>
        <v>0_Pre</v>
      </c>
      <c r="AD1048" s="10" t="str">
        <f t="shared" si="338"/>
        <v>2_post sample median</v>
      </c>
      <c r="AE1048" s="10" t="str">
        <f t="shared" si="339"/>
        <v>3_post sample third tertile</v>
      </c>
      <c r="AF1048" t="s">
        <v>67</v>
      </c>
      <c r="AG1048" t="s">
        <v>75</v>
      </c>
      <c r="AH1048" t="s">
        <v>78</v>
      </c>
      <c r="AI1048" t="s">
        <v>122</v>
      </c>
      <c r="AJ1048" t="s">
        <v>122</v>
      </c>
      <c r="AK1048" t="str">
        <f>VLOOKUP(MID($AR1048,1,255),country_lookup!$B:$F,2,FALSE)</f>
        <v>1_US</v>
      </c>
      <c r="AL1048" t="str">
        <f>VLOOKUP(MID($AR1048,1,255),country_lookup!$B:$F,3,FALSE)</f>
        <v>1_developed</v>
      </c>
      <c r="AM1048" t="str">
        <f>VLOOKUP(MID($AR1048,1,255),country_lookup!$B:$F,4,FALSE)</f>
        <v>1_western</v>
      </c>
      <c r="AN1048" t="str">
        <f>VLOOKUP(MID($AR1048,1,255),country_lookup!$B:$F,5,FALSE)</f>
        <v>1_common law</v>
      </c>
      <c r="AO1048" s="10" t="str">
        <f>VLOOKUP(MID($AS1048,1,255),source_lookup!$B:$K,4,FALSE)</f>
        <v>1_not published</v>
      </c>
      <c r="AP1048" s="10" t="str">
        <f>VLOOKUP(MID($AS1048,1,255),source_lookup!$B:$K,6,FALSE)</f>
        <v>99_NA</v>
      </c>
      <c r="AQ1048" s="10" t="str">
        <f>VLOOKUP(MID($AS1048,1,255),source_lookup!$B:$K,10,FALSE)</f>
        <v>1_fin/acc/econ</v>
      </c>
      <c r="AR1048" t="s">
        <v>85</v>
      </c>
      <c r="AS1048" t="s">
        <v>175</v>
      </c>
    </row>
    <row r="1049" spans="1:45" x14ac:dyDescent="0.3">
      <c r="A1049" t="s">
        <v>52</v>
      </c>
      <c r="B1049">
        <v>1048</v>
      </c>
      <c r="C1049" s="1">
        <v>-2.078225966825974E-2</v>
      </c>
      <c r="D1049" s="2">
        <v>11112</v>
      </c>
      <c r="E1049" s="4">
        <v>33336</v>
      </c>
      <c r="F1049" s="4" t="s">
        <v>347</v>
      </c>
      <c r="G1049" s="4" t="s">
        <v>346</v>
      </c>
      <c r="H1049" t="s">
        <v>77</v>
      </c>
      <c r="I1049" t="s">
        <v>352</v>
      </c>
      <c r="J1049" s="3">
        <v>2014</v>
      </c>
      <c r="K1049" s="3">
        <v>2016</v>
      </c>
      <c r="L1049" s="6">
        <f t="shared" si="331"/>
        <v>2015</v>
      </c>
      <c r="M1049" s="6">
        <f t="shared" si="332"/>
        <v>2015</v>
      </c>
      <c r="N1049" s="7">
        <f t="shared" si="320"/>
        <v>0.33333333333333331</v>
      </c>
      <c r="O1049" s="7">
        <f t="shared" si="321"/>
        <v>0</v>
      </c>
      <c r="P1049" s="7">
        <f t="shared" si="322"/>
        <v>0</v>
      </c>
      <c r="Q1049" s="7">
        <f t="shared" si="333"/>
        <v>0</v>
      </c>
      <c r="R1049" s="10" t="str">
        <f t="shared" si="323"/>
        <v>0_Pre</v>
      </c>
      <c r="S1049" s="10" t="str">
        <f t="shared" si="324"/>
        <v>0_Pre</v>
      </c>
      <c r="T1049" s="10" t="str">
        <f t="shared" si="325"/>
        <v>0_Pre</v>
      </c>
      <c r="U1049" s="10" t="str">
        <f t="shared" si="326"/>
        <v>1_Post</v>
      </c>
      <c r="V1049" s="10" t="str">
        <f t="shared" si="334"/>
        <v>0_Pre</v>
      </c>
      <c r="W1049" s="10" t="str">
        <f t="shared" si="327"/>
        <v>straddle</v>
      </c>
      <c r="X1049" s="10" t="str">
        <f t="shared" si="328"/>
        <v>0_Pre</v>
      </c>
      <c r="Y1049" s="10" t="str">
        <f t="shared" si="329"/>
        <v>0_Pre</v>
      </c>
      <c r="Z1049" s="10" t="str">
        <f t="shared" si="330"/>
        <v>0_Pre</v>
      </c>
      <c r="AA1049" s="10" t="str">
        <f t="shared" si="335"/>
        <v>0_Pre</v>
      </c>
      <c r="AB1049" s="10" t="str">
        <f t="shared" si="336"/>
        <v>0_Pre</v>
      </c>
      <c r="AC1049" s="10" t="str">
        <f t="shared" si="337"/>
        <v>0_Pre</v>
      </c>
      <c r="AD1049" s="10" t="str">
        <f t="shared" si="338"/>
        <v>2_post sample median</v>
      </c>
      <c r="AE1049" s="10" t="str">
        <f t="shared" si="339"/>
        <v>3_post sample third tertile</v>
      </c>
      <c r="AF1049" t="s">
        <v>67</v>
      </c>
      <c r="AG1049" t="s">
        <v>75</v>
      </c>
      <c r="AH1049" t="s">
        <v>78</v>
      </c>
      <c r="AI1049" t="s">
        <v>122</v>
      </c>
      <c r="AJ1049" t="s">
        <v>122</v>
      </c>
      <c r="AK1049" t="str">
        <f>VLOOKUP(MID($AR1049,1,255),country_lookup!$B:$F,2,FALSE)</f>
        <v>1_US</v>
      </c>
      <c r="AL1049" t="str">
        <f>VLOOKUP(MID($AR1049,1,255),country_lookup!$B:$F,3,FALSE)</f>
        <v>1_developed</v>
      </c>
      <c r="AM1049" t="str">
        <f>VLOOKUP(MID($AR1049,1,255),country_lookup!$B:$F,4,FALSE)</f>
        <v>1_western</v>
      </c>
      <c r="AN1049" t="str">
        <f>VLOOKUP(MID($AR1049,1,255),country_lookup!$B:$F,5,FALSE)</f>
        <v>1_common law</v>
      </c>
      <c r="AO1049" s="10" t="str">
        <f>VLOOKUP(MID($AS1049,1,255),source_lookup!$B:$K,4,FALSE)</f>
        <v>1_not published</v>
      </c>
      <c r="AP1049" s="10" t="str">
        <f>VLOOKUP(MID($AS1049,1,255),source_lookup!$B:$K,6,FALSE)</f>
        <v>99_NA</v>
      </c>
      <c r="AQ1049" s="10" t="str">
        <f>VLOOKUP(MID($AS1049,1,255),source_lookup!$B:$K,10,FALSE)</f>
        <v>1_fin/acc/econ</v>
      </c>
      <c r="AR1049" t="s">
        <v>85</v>
      </c>
      <c r="AS1049" t="s">
        <v>175</v>
      </c>
    </row>
    <row r="1050" spans="1:45" x14ac:dyDescent="0.3">
      <c r="A1050" t="s">
        <v>52</v>
      </c>
      <c r="B1050">
        <v>1049</v>
      </c>
      <c r="C1050" s="1">
        <v>-1.9347929917833091E-2</v>
      </c>
      <c r="D1050" s="2">
        <v>7728</v>
      </c>
      <c r="E1050" s="4">
        <v>23184</v>
      </c>
      <c r="F1050" s="4" t="s">
        <v>347</v>
      </c>
      <c r="G1050" s="4" t="s">
        <v>346</v>
      </c>
      <c r="H1050" t="s">
        <v>77</v>
      </c>
      <c r="I1050" t="s">
        <v>352</v>
      </c>
      <c r="J1050" s="3">
        <v>2014</v>
      </c>
      <c r="K1050" s="3">
        <v>2016</v>
      </c>
      <c r="L1050" s="6">
        <f t="shared" si="331"/>
        <v>2015</v>
      </c>
      <c r="M1050" s="6">
        <f t="shared" si="332"/>
        <v>2015</v>
      </c>
      <c r="N1050" s="7">
        <f t="shared" si="320"/>
        <v>0.33333333333333331</v>
      </c>
      <c r="O1050" s="7">
        <f t="shared" si="321"/>
        <v>0</v>
      </c>
      <c r="P1050" s="7">
        <f t="shared" si="322"/>
        <v>0</v>
      </c>
      <c r="Q1050" s="7">
        <f t="shared" si="333"/>
        <v>0</v>
      </c>
      <c r="R1050" s="10" t="str">
        <f t="shared" si="323"/>
        <v>0_Pre</v>
      </c>
      <c r="S1050" s="10" t="str">
        <f t="shared" si="324"/>
        <v>0_Pre</v>
      </c>
      <c r="T1050" s="10" t="str">
        <f t="shared" si="325"/>
        <v>0_Pre</v>
      </c>
      <c r="U1050" s="10" t="str">
        <f t="shared" si="326"/>
        <v>1_Post</v>
      </c>
      <c r="V1050" s="10" t="str">
        <f t="shared" si="334"/>
        <v>0_Pre</v>
      </c>
      <c r="W1050" s="10" t="str">
        <f t="shared" si="327"/>
        <v>straddle</v>
      </c>
      <c r="X1050" s="10" t="str">
        <f t="shared" si="328"/>
        <v>0_Pre</v>
      </c>
      <c r="Y1050" s="10" t="str">
        <f t="shared" si="329"/>
        <v>0_Pre</v>
      </c>
      <c r="Z1050" s="10" t="str">
        <f t="shared" si="330"/>
        <v>0_Pre</v>
      </c>
      <c r="AA1050" s="10" t="str">
        <f t="shared" si="335"/>
        <v>0_Pre</v>
      </c>
      <c r="AB1050" s="10" t="str">
        <f t="shared" si="336"/>
        <v>0_Pre</v>
      </c>
      <c r="AC1050" s="10" t="str">
        <f t="shared" si="337"/>
        <v>0_Pre</v>
      </c>
      <c r="AD1050" s="10" t="str">
        <f t="shared" si="338"/>
        <v>2_post sample median</v>
      </c>
      <c r="AE1050" s="10" t="str">
        <f t="shared" si="339"/>
        <v>3_post sample third tertile</v>
      </c>
      <c r="AF1050" t="s">
        <v>67</v>
      </c>
      <c r="AG1050" t="s">
        <v>75</v>
      </c>
      <c r="AH1050" t="s">
        <v>78</v>
      </c>
      <c r="AI1050" t="s">
        <v>122</v>
      </c>
      <c r="AJ1050" t="s">
        <v>122</v>
      </c>
      <c r="AK1050" t="str">
        <f>VLOOKUP(MID($AR1050,1,255),country_lookup!$B:$F,2,FALSE)</f>
        <v>1_US</v>
      </c>
      <c r="AL1050" t="str">
        <f>VLOOKUP(MID($AR1050,1,255),country_lookup!$B:$F,3,FALSE)</f>
        <v>1_developed</v>
      </c>
      <c r="AM1050" t="str">
        <f>VLOOKUP(MID($AR1050,1,255),country_lookup!$B:$F,4,FALSE)</f>
        <v>1_western</v>
      </c>
      <c r="AN1050" t="str">
        <f>VLOOKUP(MID($AR1050,1,255),country_lookup!$B:$F,5,FALSE)</f>
        <v>1_common law</v>
      </c>
      <c r="AO1050" s="10" t="str">
        <f>VLOOKUP(MID($AS1050,1,255),source_lookup!$B:$K,4,FALSE)</f>
        <v>1_not published</v>
      </c>
      <c r="AP1050" s="10" t="str">
        <f>VLOOKUP(MID($AS1050,1,255),source_lookup!$B:$K,6,FALSE)</f>
        <v>99_NA</v>
      </c>
      <c r="AQ1050" s="10" t="str">
        <f>VLOOKUP(MID($AS1050,1,255),source_lookup!$B:$K,10,FALSE)</f>
        <v>1_fin/acc/econ</v>
      </c>
      <c r="AR1050" t="s">
        <v>85</v>
      </c>
      <c r="AS1050" t="s">
        <v>175</v>
      </c>
    </row>
    <row r="1051" spans="1:45" x14ac:dyDescent="0.3">
      <c r="A1051" t="s">
        <v>52</v>
      </c>
      <c r="B1051">
        <v>1050</v>
      </c>
      <c r="C1051" s="1">
        <v>-2.1331294815091346E-2</v>
      </c>
      <c r="D1051" s="2">
        <v>7728</v>
      </c>
      <c r="E1051" s="4">
        <v>23184</v>
      </c>
      <c r="F1051" s="4" t="s">
        <v>347</v>
      </c>
      <c r="G1051" s="4" t="s">
        <v>346</v>
      </c>
      <c r="H1051" t="s">
        <v>77</v>
      </c>
      <c r="I1051" t="s">
        <v>352</v>
      </c>
      <c r="J1051" s="3">
        <v>2014</v>
      </c>
      <c r="K1051" s="3">
        <v>2016</v>
      </c>
      <c r="L1051" s="6">
        <f t="shared" si="331"/>
        <v>2015</v>
      </c>
      <c r="M1051" s="6">
        <f t="shared" si="332"/>
        <v>2015</v>
      </c>
      <c r="N1051" s="7">
        <f t="shared" si="320"/>
        <v>0.33333333333333331</v>
      </c>
      <c r="O1051" s="7">
        <f t="shared" si="321"/>
        <v>0</v>
      </c>
      <c r="P1051" s="7">
        <f t="shared" si="322"/>
        <v>0</v>
      </c>
      <c r="Q1051" s="7">
        <f t="shared" si="333"/>
        <v>0</v>
      </c>
      <c r="R1051" s="10" t="str">
        <f t="shared" si="323"/>
        <v>0_Pre</v>
      </c>
      <c r="S1051" s="10" t="str">
        <f t="shared" si="324"/>
        <v>0_Pre</v>
      </c>
      <c r="T1051" s="10" t="str">
        <f t="shared" si="325"/>
        <v>0_Pre</v>
      </c>
      <c r="U1051" s="10" t="str">
        <f t="shared" si="326"/>
        <v>1_Post</v>
      </c>
      <c r="V1051" s="10" t="str">
        <f t="shared" si="334"/>
        <v>0_Pre</v>
      </c>
      <c r="W1051" s="10" t="str">
        <f t="shared" si="327"/>
        <v>straddle</v>
      </c>
      <c r="X1051" s="10" t="str">
        <f t="shared" si="328"/>
        <v>0_Pre</v>
      </c>
      <c r="Y1051" s="10" t="str">
        <f t="shared" si="329"/>
        <v>0_Pre</v>
      </c>
      <c r="Z1051" s="10" t="str">
        <f t="shared" si="330"/>
        <v>0_Pre</v>
      </c>
      <c r="AA1051" s="10" t="str">
        <f t="shared" si="335"/>
        <v>0_Pre</v>
      </c>
      <c r="AB1051" s="10" t="str">
        <f t="shared" si="336"/>
        <v>0_Pre</v>
      </c>
      <c r="AC1051" s="10" t="str">
        <f t="shared" si="337"/>
        <v>0_Pre</v>
      </c>
      <c r="AD1051" s="10" t="str">
        <f t="shared" si="338"/>
        <v>2_post sample median</v>
      </c>
      <c r="AE1051" s="10" t="str">
        <f t="shared" si="339"/>
        <v>3_post sample third tertile</v>
      </c>
      <c r="AF1051" t="s">
        <v>67</v>
      </c>
      <c r="AG1051" t="s">
        <v>75</v>
      </c>
      <c r="AH1051" t="s">
        <v>78</v>
      </c>
      <c r="AI1051" t="s">
        <v>122</v>
      </c>
      <c r="AJ1051" t="s">
        <v>122</v>
      </c>
      <c r="AK1051" t="str">
        <f>VLOOKUP(MID($AR1051,1,255),country_lookup!$B:$F,2,FALSE)</f>
        <v>1_US</v>
      </c>
      <c r="AL1051" t="str">
        <f>VLOOKUP(MID($AR1051,1,255),country_lookup!$B:$F,3,FALSE)</f>
        <v>1_developed</v>
      </c>
      <c r="AM1051" t="str">
        <f>VLOOKUP(MID($AR1051,1,255),country_lookup!$B:$F,4,FALSE)</f>
        <v>1_western</v>
      </c>
      <c r="AN1051" t="str">
        <f>VLOOKUP(MID($AR1051,1,255),country_lookup!$B:$F,5,FALSE)</f>
        <v>1_common law</v>
      </c>
      <c r="AO1051" s="10" t="str">
        <f>VLOOKUP(MID($AS1051,1,255),source_lookup!$B:$K,4,FALSE)</f>
        <v>1_not published</v>
      </c>
      <c r="AP1051" s="10" t="str">
        <f>VLOOKUP(MID($AS1051,1,255),source_lookup!$B:$K,6,FALSE)</f>
        <v>99_NA</v>
      </c>
      <c r="AQ1051" s="10" t="str">
        <f>VLOOKUP(MID($AS1051,1,255),source_lookup!$B:$K,10,FALSE)</f>
        <v>1_fin/acc/econ</v>
      </c>
      <c r="AR1051" t="s">
        <v>85</v>
      </c>
      <c r="AS1051" t="s">
        <v>175</v>
      </c>
    </row>
    <row r="1052" spans="1:45" x14ac:dyDescent="0.3">
      <c r="A1052" t="s">
        <v>52</v>
      </c>
      <c r="B1052">
        <v>1051</v>
      </c>
      <c r="C1052" s="1">
        <v>-1.9465932458727554E-2</v>
      </c>
      <c r="D1052" s="2">
        <v>7168</v>
      </c>
      <c r="E1052" s="4">
        <v>21504</v>
      </c>
      <c r="F1052" s="4" t="s">
        <v>347</v>
      </c>
      <c r="G1052" s="4" t="s">
        <v>346</v>
      </c>
      <c r="H1052" t="s">
        <v>77</v>
      </c>
      <c r="I1052" t="s">
        <v>352</v>
      </c>
      <c r="J1052" s="3">
        <v>2014</v>
      </c>
      <c r="K1052" s="3">
        <v>2016</v>
      </c>
      <c r="L1052" s="6">
        <f t="shared" si="331"/>
        <v>2015</v>
      </c>
      <c r="M1052" s="6">
        <f t="shared" si="332"/>
        <v>2015</v>
      </c>
      <c r="N1052" s="7">
        <f t="shared" si="320"/>
        <v>0.33333333333333331</v>
      </c>
      <c r="O1052" s="7">
        <f t="shared" si="321"/>
        <v>0</v>
      </c>
      <c r="P1052" s="7">
        <f t="shared" si="322"/>
        <v>0</v>
      </c>
      <c r="Q1052" s="7">
        <f t="shared" si="333"/>
        <v>0</v>
      </c>
      <c r="R1052" s="10" t="str">
        <f t="shared" si="323"/>
        <v>0_Pre</v>
      </c>
      <c r="S1052" s="10" t="str">
        <f t="shared" si="324"/>
        <v>0_Pre</v>
      </c>
      <c r="T1052" s="10" t="str">
        <f t="shared" si="325"/>
        <v>0_Pre</v>
      </c>
      <c r="U1052" s="10" t="str">
        <f t="shared" si="326"/>
        <v>1_Post</v>
      </c>
      <c r="V1052" s="10" t="str">
        <f t="shared" si="334"/>
        <v>0_Pre</v>
      </c>
      <c r="W1052" s="10" t="str">
        <f t="shared" si="327"/>
        <v>straddle</v>
      </c>
      <c r="X1052" s="10" t="str">
        <f t="shared" si="328"/>
        <v>0_Pre</v>
      </c>
      <c r="Y1052" s="10" t="str">
        <f t="shared" si="329"/>
        <v>0_Pre</v>
      </c>
      <c r="Z1052" s="10" t="str">
        <f t="shared" si="330"/>
        <v>0_Pre</v>
      </c>
      <c r="AA1052" s="10" t="str">
        <f t="shared" si="335"/>
        <v>0_Pre</v>
      </c>
      <c r="AB1052" s="10" t="str">
        <f t="shared" si="336"/>
        <v>0_Pre</v>
      </c>
      <c r="AC1052" s="10" t="str">
        <f t="shared" si="337"/>
        <v>0_Pre</v>
      </c>
      <c r="AD1052" s="10" t="str">
        <f t="shared" si="338"/>
        <v>2_post sample median</v>
      </c>
      <c r="AE1052" s="10" t="str">
        <f t="shared" si="339"/>
        <v>3_post sample third tertile</v>
      </c>
      <c r="AF1052" t="s">
        <v>82</v>
      </c>
      <c r="AG1052" t="s">
        <v>75</v>
      </c>
      <c r="AH1052" t="s">
        <v>78</v>
      </c>
      <c r="AI1052" t="s">
        <v>122</v>
      </c>
      <c r="AJ1052" t="s">
        <v>122</v>
      </c>
      <c r="AK1052" t="str">
        <f>VLOOKUP(MID($AR1052,1,255),country_lookup!$B:$F,2,FALSE)</f>
        <v>1_US</v>
      </c>
      <c r="AL1052" t="str">
        <f>VLOOKUP(MID($AR1052,1,255),country_lookup!$B:$F,3,FALSE)</f>
        <v>1_developed</v>
      </c>
      <c r="AM1052" t="str">
        <f>VLOOKUP(MID($AR1052,1,255),country_lookup!$B:$F,4,FALSE)</f>
        <v>1_western</v>
      </c>
      <c r="AN1052" t="str">
        <f>VLOOKUP(MID($AR1052,1,255),country_lookup!$B:$F,5,FALSE)</f>
        <v>1_common law</v>
      </c>
      <c r="AO1052" s="10" t="str">
        <f>VLOOKUP(MID($AS1052,1,255),source_lookup!$B:$K,4,FALSE)</f>
        <v>1_not published</v>
      </c>
      <c r="AP1052" s="10" t="str">
        <f>VLOOKUP(MID($AS1052,1,255),source_lookup!$B:$K,6,FALSE)</f>
        <v>99_NA</v>
      </c>
      <c r="AQ1052" s="10" t="str">
        <f>VLOOKUP(MID($AS1052,1,255),source_lookup!$B:$K,10,FALSE)</f>
        <v>1_fin/acc/econ</v>
      </c>
      <c r="AR1052" t="s">
        <v>85</v>
      </c>
      <c r="AS1052" t="s">
        <v>175</v>
      </c>
    </row>
    <row r="1053" spans="1:45" x14ac:dyDescent="0.3">
      <c r="A1053" t="s">
        <v>52</v>
      </c>
      <c r="B1053">
        <v>1052</v>
      </c>
      <c r="C1053" s="1">
        <v>-2.1277219462581098E-2</v>
      </c>
      <c r="D1053" s="2">
        <v>10336</v>
      </c>
      <c r="E1053" s="4">
        <v>31008</v>
      </c>
      <c r="F1053" s="4" t="s">
        <v>347</v>
      </c>
      <c r="G1053" s="4" t="s">
        <v>346</v>
      </c>
      <c r="H1053" t="s">
        <v>77</v>
      </c>
      <c r="I1053" t="s">
        <v>352</v>
      </c>
      <c r="J1053" s="3">
        <v>2014</v>
      </c>
      <c r="K1053" s="3">
        <v>2016</v>
      </c>
      <c r="L1053" s="6">
        <f t="shared" si="331"/>
        <v>2015</v>
      </c>
      <c r="M1053" s="6">
        <f t="shared" si="332"/>
        <v>2015</v>
      </c>
      <c r="N1053" s="7">
        <f t="shared" si="320"/>
        <v>0.33333333333333331</v>
      </c>
      <c r="O1053" s="7">
        <f t="shared" si="321"/>
        <v>0</v>
      </c>
      <c r="P1053" s="7">
        <f t="shared" si="322"/>
        <v>0</v>
      </c>
      <c r="Q1053" s="7">
        <f t="shared" si="333"/>
        <v>0</v>
      </c>
      <c r="R1053" s="10" t="str">
        <f t="shared" si="323"/>
        <v>0_Pre</v>
      </c>
      <c r="S1053" s="10" t="str">
        <f t="shared" si="324"/>
        <v>0_Pre</v>
      </c>
      <c r="T1053" s="10" t="str">
        <f t="shared" si="325"/>
        <v>0_Pre</v>
      </c>
      <c r="U1053" s="10" t="str">
        <f t="shared" si="326"/>
        <v>1_Post</v>
      </c>
      <c r="V1053" s="10" t="str">
        <f t="shared" si="334"/>
        <v>0_Pre</v>
      </c>
      <c r="W1053" s="10" t="str">
        <f t="shared" si="327"/>
        <v>straddle</v>
      </c>
      <c r="X1053" s="10" t="str">
        <f t="shared" si="328"/>
        <v>0_Pre</v>
      </c>
      <c r="Y1053" s="10" t="str">
        <f t="shared" si="329"/>
        <v>0_Pre</v>
      </c>
      <c r="Z1053" s="10" t="str">
        <f t="shared" si="330"/>
        <v>0_Pre</v>
      </c>
      <c r="AA1053" s="10" t="str">
        <f t="shared" si="335"/>
        <v>0_Pre</v>
      </c>
      <c r="AB1053" s="10" t="str">
        <f t="shared" si="336"/>
        <v>0_Pre</v>
      </c>
      <c r="AC1053" s="10" t="str">
        <f t="shared" si="337"/>
        <v>0_Pre</v>
      </c>
      <c r="AD1053" s="10" t="str">
        <f t="shared" si="338"/>
        <v>2_post sample median</v>
      </c>
      <c r="AE1053" s="10" t="str">
        <f t="shared" si="339"/>
        <v>3_post sample third tertile</v>
      </c>
      <c r="AF1053" t="s">
        <v>82</v>
      </c>
      <c r="AG1053" t="s">
        <v>75</v>
      </c>
      <c r="AH1053" t="s">
        <v>78</v>
      </c>
      <c r="AI1053" t="s">
        <v>122</v>
      </c>
      <c r="AJ1053" t="s">
        <v>122</v>
      </c>
      <c r="AK1053" t="str">
        <f>VLOOKUP(MID($AR1053,1,255),country_lookup!$B:$F,2,FALSE)</f>
        <v>1_US</v>
      </c>
      <c r="AL1053" t="str">
        <f>VLOOKUP(MID($AR1053,1,255),country_lookup!$B:$F,3,FALSE)</f>
        <v>1_developed</v>
      </c>
      <c r="AM1053" t="str">
        <f>VLOOKUP(MID($AR1053,1,255),country_lookup!$B:$F,4,FALSE)</f>
        <v>1_western</v>
      </c>
      <c r="AN1053" t="str">
        <f>VLOOKUP(MID($AR1053,1,255),country_lookup!$B:$F,5,FALSE)</f>
        <v>1_common law</v>
      </c>
      <c r="AO1053" s="10" t="str">
        <f>VLOOKUP(MID($AS1053,1,255),source_lookup!$B:$K,4,FALSE)</f>
        <v>1_not published</v>
      </c>
      <c r="AP1053" s="10" t="str">
        <f>VLOOKUP(MID($AS1053,1,255),source_lookup!$B:$K,6,FALSE)</f>
        <v>99_NA</v>
      </c>
      <c r="AQ1053" s="10" t="str">
        <f>VLOOKUP(MID($AS1053,1,255),source_lookup!$B:$K,10,FALSE)</f>
        <v>1_fin/acc/econ</v>
      </c>
      <c r="AR1053" t="s">
        <v>85</v>
      </c>
      <c r="AS1053" t="s">
        <v>175</v>
      </c>
    </row>
    <row r="1054" spans="1:45" x14ac:dyDescent="0.3">
      <c r="A1054" t="s">
        <v>52</v>
      </c>
      <c r="B1054">
        <v>1053</v>
      </c>
      <c r="C1054" s="1">
        <v>-2.8496922551651399E-2</v>
      </c>
      <c r="D1054" s="2">
        <v>4032</v>
      </c>
      <c r="E1054" s="4">
        <v>12096</v>
      </c>
      <c r="F1054" s="4" t="s">
        <v>347</v>
      </c>
      <c r="G1054" s="4" t="s">
        <v>346</v>
      </c>
      <c r="H1054" t="s">
        <v>77</v>
      </c>
      <c r="I1054" t="s">
        <v>352</v>
      </c>
      <c r="J1054" s="3">
        <v>2014</v>
      </c>
      <c r="K1054" s="3">
        <v>2016</v>
      </c>
      <c r="L1054" s="6">
        <f t="shared" si="331"/>
        <v>2015</v>
      </c>
      <c r="M1054" s="6">
        <f t="shared" si="332"/>
        <v>2015</v>
      </c>
      <c r="N1054" s="7">
        <f t="shared" si="320"/>
        <v>0.33333333333333331</v>
      </c>
      <c r="O1054" s="7">
        <f t="shared" si="321"/>
        <v>0</v>
      </c>
      <c r="P1054" s="7">
        <f t="shared" si="322"/>
        <v>0</v>
      </c>
      <c r="Q1054" s="7">
        <f t="shared" si="333"/>
        <v>0</v>
      </c>
      <c r="R1054" s="10" t="str">
        <f t="shared" si="323"/>
        <v>0_Pre</v>
      </c>
      <c r="S1054" s="10" t="str">
        <f t="shared" si="324"/>
        <v>0_Pre</v>
      </c>
      <c r="T1054" s="10" t="str">
        <f t="shared" si="325"/>
        <v>0_Pre</v>
      </c>
      <c r="U1054" s="10" t="str">
        <f t="shared" si="326"/>
        <v>1_Post</v>
      </c>
      <c r="V1054" s="10" t="str">
        <f t="shared" si="334"/>
        <v>0_Pre</v>
      </c>
      <c r="W1054" s="10" t="str">
        <f t="shared" si="327"/>
        <v>straddle</v>
      </c>
      <c r="X1054" s="10" t="str">
        <f t="shared" si="328"/>
        <v>0_Pre</v>
      </c>
      <c r="Y1054" s="10" t="str">
        <f t="shared" si="329"/>
        <v>0_Pre</v>
      </c>
      <c r="Z1054" s="10" t="str">
        <f t="shared" si="330"/>
        <v>0_Pre</v>
      </c>
      <c r="AA1054" s="10" t="str">
        <f t="shared" si="335"/>
        <v>0_Pre</v>
      </c>
      <c r="AB1054" s="10" t="str">
        <f t="shared" si="336"/>
        <v>0_Pre</v>
      </c>
      <c r="AC1054" s="10" t="str">
        <f t="shared" si="337"/>
        <v>0_Pre</v>
      </c>
      <c r="AD1054" s="10" t="str">
        <f t="shared" si="338"/>
        <v>2_post sample median</v>
      </c>
      <c r="AE1054" s="10" t="str">
        <f t="shared" si="339"/>
        <v>3_post sample third tertile</v>
      </c>
      <c r="AF1054" t="s">
        <v>82</v>
      </c>
      <c r="AG1054" t="s">
        <v>75</v>
      </c>
      <c r="AH1054" t="s">
        <v>78</v>
      </c>
      <c r="AI1054" t="s">
        <v>122</v>
      </c>
      <c r="AJ1054" t="s">
        <v>122</v>
      </c>
      <c r="AK1054" t="str">
        <f>VLOOKUP(MID($AR1054,1,255),country_lookup!$B:$F,2,FALSE)</f>
        <v>1_US</v>
      </c>
      <c r="AL1054" t="str">
        <f>VLOOKUP(MID($AR1054,1,255),country_lookup!$B:$F,3,FALSE)</f>
        <v>1_developed</v>
      </c>
      <c r="AM1054" t="str">
        <f>VLOOKUP(MID($AR1054,1,255),country_lookup!$B:$F,4,FALSE)</f>
        <v>1_western</v>
      </c>
      <c r="AN1054" t="str">
        <f>VLOOKUP(MID($AR1054,1,255),country_lookup!$B:$F,5,FALSE)</f>
        <v>1_common law</v>
      </c>
      <c r="AO1054" s="10" t="str">
        <f>VLOOKUP(MID($AS1054,1,255),source_lookup!$B:$K,4,FALSE)</f>
        <v>1_not published</v>
      </c>
      <c r="AP1054" s="10" t="str">
        <f>VLOOKUP(MID($AS1054,1,255),source_lookup!$B:$K,6,FALSE)</f>
        <v>99_NA</v>
      </c>
      <c r="AQ1054" s="10" t="str">
        <f>VLOOKUP(MID($AS1054,1,255),source_lookup!$B:$K,10,FALSE)</f>
        <v>1_fin/acc/econ</v>
      </c>
      <c r="AR1054" t="s">
        <v>85</v>
      </c>
      <c r="AS1054" t="s">
        <v>175</v>
      </c>
    </row>
    <row r="1055" spans="1:45" x14ac:dyDescent="0.3">
      <c r="A1055" t="s">
        <v>52</v>
      </c>
      <c r="B1055">
        <v>1054</v>
      </c>
      <c r="C1055" s="1">
        <v>-3.8607564710171093E-2</v>
      </c>
      <c r="D1055" s="2">
        <v>3472</v>
      </c>
      <c r="E1055" s="4">
        <v>10416</v>
      </c>
      <c r="F1055" s="4" t="s">
        <v>347</v>
      </c>
      <c r="G1055" s="4" t="s">
        <v>346</v>
      </c>
      <c r="H1055" t="s">
        <v>77</v>
      </c>
      <c r="I1055" t="s">
        <v>352</v>
      </c>
      <c r="J1055" s="3">
        <v>2014</v>
      </c>
      <c r="K1055" s="3">
        <v>2016</v>
      </c>
      <c r="L1055" s="6">
        <f t="shared" si="331"/>
        <v>2015</v>
      </c>
      <c r="M1055" s="6">
        <f t="shared" si="332"/>
        <v>2015</v>
      </c>
      <c r="N1055" s="7">
        <f t="shared" si="320"/>
        <v>0.33333333333333331</v>
      </c>
      <c r="O1055" s="7">
        <f t="shared" si="321"/>
        <v>0</v>
      </c>
      <c r="P1055" s="7">
        <f t="shared" si="322"/>
        <v>0</v>
      </c>
      <c r="Q1055" s="7">
        <f t="shared" si="333"/>
        <v>0</v>
      </c>
      <c r="R1055" s="10" t="str">
        <f t="shared" si="323"/>
        <v>0_Pre</v>
      </c>
      <c r="S1055" s="10" t="str">
        <f t="shared" si="324"/>
        <v>0_Pre</v>
      </c>
      <c r="T1055" s="10" t="str">
        <f t="shared" si="325"/>
        <v>0_Pre</v>
      </c>
      <c r="U1055" s="10" t="str">
        <f t="shared" si="326"/>
        <v>1_Post</v>
      </c>
      <c r="V1055" s="10" t="str">
        <f t="shared" si="334"/>
        <v>0_Pre</v>
      </c>
      <c r="W1055" s="10" t="str">
        <f t="shared" si="327"/>
        <v>straddle</v>
      </c>
      <c r="X1055" s="10" t="str">
        <f t="shared" si="328"/>
        <v>0_Pre</v>
      </c>
      <c r="Y1055" s="10" t="str">
        <f t="shared" si="329"/>
        <v>0_Pre</v>
      </c>
      <c r="Z1055" s="10" t="str">
        <f t="shared" si="330"/>
        <v>0_Pre</v>
      </c>
      <c r="AA1055" s="10" t="str">
        <f t="shared" si="335"/>
        <v>0_Pre</v>
      </c>
      <c r="AB1055" s="10" t="str">
        <f t="shared" si="336"/>
        <v>0_Pre</v>
      </c>
      <c r="AC1055" s="10" t="str">
        <f t="shared" si="337"/>
        <v>0_Pre</v>
      </c>
      <c r="AD1055" s="10" t="str">
        <f t="shared" si="338"/>
        <v>2_post sample median</v>
      </c>
      <c r="AE1055" s="10" t="str">
        <f t="shared" si="339"/>
        <v>3_post sample third tertile</v>
      </c>
      <c r="AF1055" t="s">
        <v>82</v>
      </c>
      <c r="AG1055" t="s">
        <v>75</v>
      </c>
      <c r="AH1055" t="s">
        <v>78</v>
      </c>
      <c r="AI1055" t="s">
        <v>122</v>
      </c>
      <c r="AJ1055" t="s">
        <v>122</v>
      </c>
      <c r="AK1055" t="str">
        <f>VLOOKUP(MID($AR1055,1,255),country_lookup!$B:$F,2,FALSE)</f>
        <v>1_US</v>
      </c>
      <c r="AL1055" t="str">
        <f>VLOOKUP(MID($AR1055,1,255),country_lookup!$B:$F,3,FALSE)</f>
        <v>1_developed</v>
      </c>
      <c r="AM1055" t="str">
        <f>VLOOKUP(MID($AR1055,1,255),country_lookup!$B:$F,4,FALSE)</f>
        <v>1_western</v>
      </c>
      <c r="AN1055" t="str">
        <f>VLOOKUP(MID($AR1055,1,255),country_lookup!$B:$F,5,FALSE)</f>
        <v>1_common law</v>
      </c>
      <c r="AO1055" s="10" t="str">
        <f>VLOOKUP(MID($AS1055,1,255),source_lookup!$B:$K,4,FALSE)</f>
        <v>1_not published</v>
      </c>
      <c r="AP1055" s="10" t="str">
        <f>VLOOKUP(MID($AS1055,1,255),source_lookup!$B:$K,6,FALSE)</f>
        <v>99_NA</v>
      </c>
      <c r="AQ1055" s="10" t="str">
        <f>VLOOKUP(MID($AS1055,1,255),source_lookup!$B:$K,10,FALSE)</f>
        <v>1_fin/acc/econ</v>
      </c>
      <c r="AR1055" t="s">
        <v>85</v>
      </c>
      <c r="AS1055" t="s">
        <v>175</v>
      </c>
    </row>
    <row r="1056" spans="1:45" x14ac:dyDescent="0.3">
      <c r="A1056" t="s">
        <v>52</v>
      </c>
      <c r="B1056">
        <v>1055</v>
      </c>
      <c r="C1056" s="1">
        <v>-1.5272124118661983E-2</v>
      </c>
      <c r="D1056" s="2">
        <v>11112</v>
      </c>
      <c r="E1056" s="4">
        <v>33336</v>
      </c>
      <c r="F1056" s="4" t="s">
        <v>347</v>
      </c>
      <c r="G1056" s="4" t="s">
        <v>346</v>
      </c>
      <c r="H1056" t="s">
        <v>77</v>
      </c>
      <c r="I1056" t="s">
        <v>352</v>
      </c>
      <c r="J1056" s="3">
        <v>2014</v>
      </c>
      <c r="K1056" s="3">
        <v>2016</v>
      </c>
      <c r="L1056" s="6">
        <f t="shared" si="331"/>
        <v>2015</v>
      </c>
      <c r="M1056" s="6">
        <f t="shared" si="332"/>
        <v>2015</v>
      </c>
      <c r="N1056" s="7">
        <f t="shared" si="320"/>
        <v>0.33333333333333331</v>
      </c>
      <c r="O1056" s="7">
        <f t="shared" si="321"/>
        <v>0</v>
      </c>
      <c r="P1056" s="7">
        <f t="shared" si="322"/>
        <v>0</v>
      </c>
      <c r="Q1056" s="7">
        <f t="shared" si="333"/>
        <v>0</v>
      </c>
      <c r="R1056" s="10" t="str">
        <f t="shared" si="323"/>
        <v>0_Pre</v>
      </c>
      <c r="S1056" s="10" t="str">
        <f t="shared" si="324"/>
        <v>0_Pre</v>
      </c>
      <c r="T1056" s="10" t="str">
        <f t="shared" si="325"/>
        <v>0_Pre</v>
      </c>
      <c r="U1056" s="10" t="str">
        <f t="shared" si="326"/>
        <v>1_Post</v>
      </c>
      <c r="V1056" s="10" t="str">
        <f t="shared" si="334"/>
        <v>0_Pre</v>
      </c>
      <c r="W1056" s="10" t="str">
        <f t="shared" si="327"/>
        <v>straddle</v>
      </c>
      <c r="X1056" s="10" t="str">
        <f t="shared" si="328"/>
        <v>0_Pre</v>
      </c>
      <c r="Y1056" s="10" t="str">
        <f t="shared" si="329"/>
        <v>0_Pre</v>
      </c>
      <c r="Z1056" s="10" t="str">
        <f t="shared" si="330"/>
        <v>0_Pre</v>
      </c>
      <c r="AA1056" s="10" t="str">
        <f t="shared" si="335"/>
        <v>0_Pre</v>
      </c>
      <c r="AB1056" s="10" t="str">
        <f t="shared" si="336"/>
        <v>0_Pre</v>
      </c>
      <c r="AC1056" s="10" t="str">
        <f t="shared" si="337"/>
        <v>0_Pre</v>
      </c>
      <c r="AD1056" s="10" t="str">
        <f t="shared" si="338"/>
        <v>2_post sample median</v>
      </c>
      <c r="AE1056" s="10" t="str">
        <f t="shared" si="339"/>
        <v>3_post sample third tertile</v>
      </c>
      <c r="AF1056" t="s">
        <v>67</v>
      </c>
      <c r="AG1056" t="s">
        <v>75</v>
      </c>
      <c r="AH1056" t="s">
        <v>78</v>
      </c>
      <c r="AI1056" t="s">
        <v>122</v>
      </c>
      <c r="AJ1056" t="s">
        <v>122</v>
      </c>
      <c r="AK1056" t="str">
        <f>VLOOKUP(MID($AR1056,1,255),country_lookup!$B:$F,2,FALSE)</f>
        <v>1_US</v>
      </c>
      <c r="AL1056" t="str">
        <f>VLOOKUP(MID($AR1056,1,255),country_lookup!$B:$F,3,FALSE)</f>
        <v>1_developed</v>
      </c>
      <c r="AM1056" t="str">
        <f>VLOOKUP(MID($AR1056,1,255),country_lookup!$B:$F,4,FALSE)</f>
        <v>1_western</v>
      </c>
      <c r="AN1056" t="str">
        <f>VLOOKUP(MID($AR1056,1,255),country_lookup!$B:$F,5,FALSE)</f>
        <v>1_common law</v>
      </c>
      <c r="AO1056" s="10" t="str">
        <f>VLOOKUP(MID($AS1056,1,255),source_lookup!$B:$K,4,FALSE)</f>
        <v>1_not published</v>
      </c>
      <c r="AP1056" s="10" t="str">
        <f>VLOOKUP(MID($AS1056,1,255),source_lookup!$B:$K,6,FALSE)</f>
        <v>99_NA</v>
      </c>
      <c r="AQ1056" s="10" t="str">
        <f>VLOOKUP(MID($AS1056,1,255),source_lookup!$B:$K,10,FALSE)</f>
        <v>1_fin/acc/econ</v>
      </c>
      <c r="AR1056" t="s">
        <v>85</v>
      </c>
      <c r="AS1056" t="s">
        <v>175</v>
      </c>
    </row>
    <row r="1057" spans="1:45" x14ac:dyDescent="0.3">
      <c r="A1057" t="s">
        <v>52</v>
      </c>
      <c r="B1057">
        <v>1056</v>
      </c>
      <c r="C1057" s="1">
        <v>-4.7625603340368701E-3</v>
      </c>
      <c r="D1057" s="2">
        <v>11112</v>
      </c>
      <c r="E1057" s="4">
        <v>33336</v>
      </c>
      <c r="F1057" s="4" t="s">
        <v>347</v>
      </c>
      <c r="G1057" s="4" t="s">
        <v>346</v>
      </c>
      <c r="H1057" t="s">
        <v>77</v>
      </c>
      <c r="I1057" t="s">
        <v>352</v>
      </c>
      <c r="J1057" s="3">
        <v>2014</v>
      </c>
      <c r="K1057" s="3">
        <v>2016</v>
      </c>
      <c r="L1057" s="6">
        <f t="shared" si="331"/>
        <v>2015</v>
      </c>
      <c r="M1057" s="6">
        <f t="shared" si="332"/>
        <v>2015</v>
      </c>
      <c r="N1057" s="7">
        <f t="shared" si="320"/>
        <v>0.33333333333333331</v>
      </c>
      <c r="O1057" s="7">
        <f t="shared" si="321"/>
        <v>0</v>
      </c>
      <c r="P1057" s="7">
        <f t="shared" si="322"/>
        <v>0</v>
      </c>
      <c r="Q1057" s="7">
        <f t="shared" si="333"/>
        <v>0</v>
      </c>
      <c r="R1057" s="10" t="str">
        <f t="shared" si="323"/>
        <v>0_Pre</v>
      </c>
      <c r="S1057" s="10" t="str">
        <f t="shared" si="324"/>
        <v>0_Pre</v>
      </c>
      <c r="T1057" s="10" t="str">
        <f t="shared" si="325"/>
        <v>0_Pre</v>
      </c>
      <c r="U1057" s="10" t="str">
        <f t="shared" si="326"/>
        <v>1_Post</v>
      </c>
      <c r="V1057" s="10" t="str">
        <f t="shared" si="334"/>
        <v>0_Pre</v>
      </c>
      <c r="W1057" s="10" t="str">
        <f t="shared" si="327"/>
        <v>straddle</v>
      </c>
      <c r="X1057" s="10" t="str">
        <f t="shared" si="328"/>
        <v>0_Pre</v>
      </c>
      <c r="Y1057" s="10" t="str">
        <f t="shared" si="329"/>
        <v>0_Pre</v>
      </c>
      <c r="Z1057" s="10" t="str">
        <f t="shared" si="330"/>
        <v>0_Pre</v>
      </c>
      <c r="AA1057" s="10" t="str">
        <f t="shared" si="335"/>
        <v>0_Pre</v>
      </c>
      <c r="AB1057" s="10" t="str">
        <f t="shared" si="336"/>
        <v>0_Pre</v>
      </c>
      <c r="AC1057" s="10" t="str">
        <f t="shared" si="337"/>
        <v>0_Pre</v>
      </c>
      <c r="AD1057" s="10" t="str">
        <f t="shared" si="338"/>
        <v>2_post sample median</v>
      </c>
      <c r="AE1057" s="10" t="str">
        <f t="shared" si="339"/>
        <v>3_post sample third tertile</v>
      </c>
      <c r="AF1057" t="s">
        <v>67</v>
      </c>
      <c r="AG1057" t="s">
        <v>75</v>
      </c>
      <c r="AH1057" t="s">
        <v>78</v>
      </c>
      <c r="AI1057" t="s">
        <v>122</v>
      </c>
      <c r="AJ1057" t="s">
        <v>122</v>
      </c>
      <c r="AK1057" t="str">
        <f>VLOOKUP(MID($AR1057,1,255),country_lookup!$B:$F,2,FALSE)</f>
        <v>1_US</v>
      </c>
      <c r="AL1057" t="str">
        <f>VLOOKUP(MID($AR1057,1,255),country_lookup!$B:$F,3,FALSE)</f>
        <v>1_developed</v>
      </c>
      <c r="AM1057" t="str">
        <f>VLOOKUP(MID($AR1057,1,255),country_lookup!$B:$F,4,FALSE)</f>
        <v>1_western</v>
      </c>
      <c r="AN1057" t="str">
        <f>VLOOKUP(MID($AR1057,1,255),country_lookup!$B:$F,5,FALSE)</f>
        <v>1_common law</v>
      </c>
      <c r="AO1057" s="10" t="str">
        <f>VLOOKUP(MID($AS1057,1,255),source_lookup!$B:$K,4,FALSE)</f>
        <v>1_not published</v>
      </c>
      <c r="AP1057" s="10" t="str">
        <f>VLOOKUP(MID($AS1057,1,255),source_lookup!$B:$K,6,FALSE)</f>
        <v>99_NA</v>
      </c>
      <c r="AQ1057" s="10" t="str">
        <f>VLOOKUP(MID($AS1057,1,255),source_lookup!$B:$K,10,FALSE)</f>
        <v>1_fin/acc/econ</v>
      </c>
      <c r="AR1057" t="s">
        <v>85</v>
      </c>
      <c r="AS1057" t="s">
        <v>175</v>
      </c>
    </row>
    <row r="1058" spans="1:45" x14ac:dyDescent="0.3">
      <c r="A1058" t="s">
        <v>52</v>
      </c>
      <c r="B1058">
        <v>1057</v>
      </c>
      <c r="C1058" s="1">
        <v>-4.9455946393601249E-3</v>
      </c>
      <c r="D1058" s="2">
        <v>11112</v>
      </c>
      <c r="E1058" s="4">
        <v>33336</v>
      </c>
      <c r="F1058" s="4" t="s">
        <v>347</v>
      </c>
      <c r="G1058" s="4" t="s">
        <v>346</v>
      </c>
      <c r="H1058" t="s">
        <v>77</v>
      </c>
      <c r="I1058" t="s">
        <v>352</v>
      </c>
      <c r="J1058" s="3">
        <v>2014</v>
      </c>
      <c r="K1058" s="3">
        <v>2016</v>
      </c>
      <c r="L1058" s="6">
        <f t="shared" si="331"/>
        <v>2015</v>
      </c>
      <c r="M1058" s="6">
        <f t="shared" si="332"/>
        <v>2015</v>
      </c>
      <c r="N1058" s="7">
        <f t="shared" si="320"/>
        <v>0.33333333333333331</v>
      </c>
      <c r="O1058" s="7">
        <f t="shared" si="321"/>
        <v>0</v>
      </c>
      <c r="P1058" s="7">
        <f t="shared" si="322"/>
        <v>0</v>
      </c>
      <c r="Q1058" s="7">
        <f t="shared" si="333"/>
        <v>0</v>
      </c>
      <c r="R1058" s="10" t="str">
        <f t="shared" si="323"/>
        <v>0_Pre</v>
      </c>
      <c r="S1058" s="10" t="str">
        <f t="shared" si="324"/>
        <v>0_Pre</v>
      </c>
      <c r="T1058" s="10" t="str">
        <f t="shared" si="325"/>
        <v>0_Pre</v>
      </c>
      <c r="U1058" s="10" t="str">
        <f t="shared" si="326"/>
        <v>1_Post</v>
      </c>
      <c r="V1058" s="10" t="str">
        <f t="shared" si="334"/>
        <v>0_Pre</v>
      </c>
      <c r="W1058" s="10" t="str">
        <f t="shared" si="327"/>
        <v>straddle</v>
      </c>
      <c r="X1058" s="10" t="str">
        <f t="shared" si="328"/>
        <v>0_Pre</v>
      </c>
      <c r="Y1058" s="10" t="str">
        <f t="shared" si="329"/>
        <v>0_Pre</v>
      </c>
      <c r="Z1058" s="10" t="str">
        <f t="shared" si="330"/>
        <v>0_Pre</v>
      </c>
      <c r="AA1058" s="10" t="str">
        <f t="shared" si="335"/>
        <v>0_Pre</v>
      </c>
      <c r="AB1058" s="10" t="str">
        <f t="shared" si="336"/>
        <v>0_Pre</v>
      </c>
      <c r="AC1058" s="10" t="str">
        <f t="shared" si="337"/>
        <v>0_Pre</v>
      </c>
      <c r="AD1058" s="10" t="str">
        <f t="shared" si="338"/>
        <v>2_post sample median</v>
      </c>
      <c r="AE1058" s="10" t="str">
        <f t="shared" si="339"/>
        <v>3_post sample third tertile</v>
      </c>
      <c r="AF1058" t="s">
        <v>67</v>
      </c>
      <c r="AG1058" t="s">
        <v>75</v>
      </c>
      <c r="AH1058" t="s">
        <v>78</v>
      </c>
      <c r="AI1058" t="s">
        <v>122</v>
      </c>
      <c r="AJ1058" t="s">
        <v>122</v>
      </c>
      <c r="AK1058" t="str">
        <f>VLOOKUP(MID($AR1058,1,255),country_lookup!$B:$F,2,FALSE)</f>
        <v>1_US</v>
      </c>
      <c r="AL1058" t="str">
        <f>VLOOKUP(MID($AR1058,1,255),country_lookup!$B:$F,3,FALSE)</f>
        <v>1_developed</v>
      </c>
      <c r="AM1058" t="str">
        <f>VLOOKUP(MID($AR1058,1,255),country_lookup!$B:$F,4,FALSE)</f>
        <v>1_western</v>
      </c>
      <c r="AN1058" t="str">
        <f>VLOOKUP(MID($AR1058,1,255),country_lookup!$B:$F,5,FALSE)</f>
        <v>1_common law</v>
      </c>
      <c r="AO1058" s="10" t="str">
        <f>VLOOKUP(MID($AS1058,1,255),source_lookup!$B:$K,4,FALSE)</f>
        <v>1_not published</v>
      </c>
      <c r="AP1058" s="10" t="str">
        <f>VLOOKUP(MID($AS1058,1,255),source_lookup!$B:$K,6,FALSE)</f>
        <v>99_NA</v>
      </c>
      <c r="AQ1058" s="10" t="str">
        <f>VLOOKUP(MID($AS1058,1,255),source_lookup!$B:$K,10,FALSE)</f>
        <v>1_fin/acc/econ</v>
      </c>
      <c r="AR1058" t="s">
        <v>85</v>
      </c>
      <c r="AS1058" t="s">
        <v>175</v>
      </c>
    </row>
    <row r="1059" spans="1:45" x14ac:dyDescent="0.3">
      <c r="A1059" t="s">
        <v>52</v>
      </c>
      <c r="B1059">
        <v>1058</v>
      </c>
      <c r="C1059" s="1">
        <v>-1.8779900943354039E-2</v>
      </c>
      <c r="D1059" s="2">
        <v>11112</v>
      </c>
      <c r="E1059" s="4">
        <v>33336</v>
      </c>
      <c r="F1059" s="4" t="s">
        <v>347</v>
      </c>
      <c r="G1059" s="4" t="s">
        <v>346</v>
      </c>
      <c r="H1059" t="s">
        <v>77</v>
      </c>
      <c r="I1059" t="s">
        <v>352</v>
      </c>
      <c r="J1059" s="3">
        <v>2014</v>
      </c>
      <c r="K1059" s="3">
        <v>2016</v>
      </c>
      <c r="L1059" s="6">
        <f t="shared" si="331"/>
        <v>2015</v>
      </c>
      <c r="M1059" s="6">
        <f t="shared" si="332"/>
        <v>2015</v>
      </c>
      <c r="N1059" s="7">
        <f t="shared" si="320"/>
        <v>0.33333333333333331</v>
      </c>
      <c r="O1059" s="7">
        <f t="shared" si="321"/>
        <v>0</v>
      </c>
      <c r="P1059" s="7">
        <f t="shared" si="322"/>
        <v>0</v>
      </c>
      <c r="Q1059" s="7">
        <f t="shared" si="333"/>
        <v>0</v>
      </c>
      <c r="R1059" s="10" t="str">
        <f t="shared" si="323"/>
        <v>0_Pre</v>
      </c>
      <c r="S1059" s="10" t="str">
        <f t="shared" si="324"/>
        <v>0_Pre</v>
      </c>
      <c r="T1059" s="10" t="str">
        <f t="shared" si="325"/>
        <v>0_Pre</v>
      </c>
      <c r="U1059" s="10" t="str">
        <f t="shared" si="326"/>
        <v>1_Post</v>
      </c>
      <c r="V1059" s="10" t="str">
        <f t="shared" si="334"/>
        <v>0_Pre</v>
      </c>
      <c r="W1059" s="10" t="str">
        <f t="shared" si="327"/>
        <v>straddle</v>
      </c>
      <c r="X1059" s="10" t="str">
        <f t="shared" si="328"/>
        <v>0_Pre</v>
      </c>
      <c r="Y1059" s="10" t="str">
        <f t="shared" si="329"/>
        <v>0_Pre</v>
      </c>
      <c r="Z1059" s="10" t="str">
        <f t="shared" si="330"/>
        <v>0_Pre</v>
      </c>
      <c r="AA1059" s="10" t="str">
        <f t="shared" si="335"/>
        <v>0_Pre</v>
      </c>
      <c r="AB1059" s="10" t="str">
        <f t="shared" si="336"/>
        <v>0_Pre</v>
      </c>
      <c r="AC1059" s="10" t="str">
        <f t="shared" si="337"/>
        <v>0_Pre</v>
      </c>
      <c r="AD1059" s="10" t="str">
        <f t="shared" si="338"/>
        <v>2_post sample median</v>
      </c>
      <c r="AE1059" s="10" t="str">
        <f t="shared" si="339"/>
        <v>3_post sample third tertile</v>
      </c>
      <c r="AF1059" t="s">
        <v>67</v>
      </c>
      <c r="AG1059" t="s">
        <v>75</v>
      </c>
      <c r="AH1059" t="s">
        <v>78</v>
      </c>
      <c r="AI1059" t="s">
        <v>122</v>
      </c>
      <c r="AJ1059" t="s">
        <v>122</v>
      </c>
      <c r="AK1059" t="str">
        <f>VLOOKUP(MID($AR1059,1,255),country_lookup!$B:$F,2,FALSE)</f>
        <v>1_US</v>
      </c>
      <c r="AL1059" t="str">
        <f>VLOOKUP(MID($AR1059,1,255),country_lookup!$B:$F,3,FALSE)</f>
        <v>1_developed</v>
      </c>
      <c r="AM1059" t="str">
        <f>VLOOKUP(MID($AR1059,1,255),country_lookup!$B:$F,4,FALSE)</f>
        <v>1_western</v>
      </c>
      <c r="AN1059" t="str">
        <f>VLOOKUP(MID($AR1059,1,255),country_lookup!$B:$F,5,FALSE)</f>
        <v>1_common law</v>
      </c>
      <c r="AO1059" s="10" t="str">
        <f>VLOOKUP(MID($AS1059,1,255),source_lookup!$B:$K,4,FALSE)</f>
        <v>1_not published</v>
      </c>
      <c r="AP1059" s="10" t="str">
        <f>VLOOKUP(MID($AS1059,1,255),source_lookup!$B:$K,6,FALSE)</f>
        <v>99_NA</v>
      </c>
      <c r="AQ1059" s="10" t="str">
        <f>VLOOKUP(MID($AS1059,1,255),source_lookup!$B:$K,10,FALSE)</f>
        <v>1_fin/acc/econ</v>
      </c>
      <c r="AR1059" t="s">
        <v>85</v>
      </c>
      <c r="AS1059" t="s">
        <v>175</v>
      </c>
    </row>
    <row r="1060" spans="1:45" x14ac:dyDescent="0.3">
      <c r="A1060" t="s">
        <v>52</v>
      </c>
      <c r="B1060">
        <v>1059</v>
      </c>
      <c r="C1060" s="1">
        <v>-7.4137928470822644E-3</v>
      </c>
      <c r="D1060" s="2">
        <v>11112</v>
      </c>
      <c r="E1060" s="4">
        <v>33336</v>
      </c>
      <c r="F1060" s="4" t="s">
        <v>347</v>
      </c>
      <c r="G1060" s="4" t="s">
        <v>346</v>
      </c>
      <c r="H1060" t="s">
        <v>77</v>
      </c>
      <c r="I1060" t="s">
        <v>352</v>
      </c>
      <c r="J1060" s="3">
        <v>2014</v>
      </c>
      <c r="K1060" s="3">
        <v>2016</v>
      </c>
      <c r="L1060" s="6">
        <f t="shared" si="331"/>
        <v>2015</v>
      </c>
      <c r="M1060" s="6">
        <f t="shared" si="332"/>
        <v>2015</v>
      </c>
      <c r="N1060" s="7">
        <f t="shared" si="320"/>
        <v>0.33333333333333331</v>
      </c>
      <c r="O1060" s="7">
        <f t="shared" si="321"/>
        <v>0</v>
      </c>
      <c r="P1060" s="7">
        <f t="shared" si="322"/>
        <v>0</v>
      </c>
      <c r="Q1060" s="7">
        <f t="shared" si="333"/>
        <v>0</v>
      </c>
      <c r="R1060" s="10" t="str">
        <f t="shared" si="323"/>
        <v>0_Pre</v>
      </c>
      <c r="S1060" s="10" t="str">
        <f t="shared" si="324"/>
        <v>0_Pre</v>
      </c>
      <c r="T1060" s="10" t="str">
        <f t="shared" si="325"/>
        <v>0_Pre</v>
      </c>
      <c r="U1060" s="10" t="str">
        <f t="shared" si="326"/>
        <v>1_Post</v>
      </c>
      <c r="V1060" s="10" t="str">
        <f t="shared" si="334"/>
        <v>0_Pre</v>
      </c>
      <c r="W1060" s="10" t="str">
        <f t="shared" si="327"/>
        <v>straddle</v>
      </c>
      <c r="X1060" s="10" t="str">
        <f t="shared" si="328"/>
        <v>0_Pre</v>
      </c>
      <c r="Y1060" s="10" t="str">
        <f t="shared" si="329"/>
        <v>0_Pre</v>
      </c>
      <c r="Z1060" s="10" t="str">
        <f t="shared" si="330"/>
        <v>0_Pre</v>
      </c>
      <c r="AA1060" s="10" t="str">
        <f t="shared" si="335"/>
        <v>0_Pre</v>
      </c>
      <c r="AB1060" s="10" t="str">
        <f t="shared" si="336"/>
        <v>0_Pre</v>
      </c>
      <c r="AC1060" s="10" t="str">
        <f t="shared" si="337"/>
        <v>0_Pre</v>
      </c>
      <c r="AD1060" s="10" t="str">
        <f t="shared" si="338"/>
        <v>2_post sample median</v>
      </c>
      <c r="AE1060" s="10" t="str">
        <f t="shared" si="339"/>
        <v>3_post sample third tertile</v>
      </c>
      <c r="AF1060" t="s">
        <v>67</v>
      </c>
      <c r="AG1060" t="s">
        <v>75</v>
      </c>
      <c r="AH1060" t="s">
        <v>78</v>
      </c>
      <c r="AI1060" t="s">
        <v>122</v>
      </c>
      <c r="AJ1060" t="s">
        <v>122</v>
      </c>
      <c r="AK1060" t="str">
        <f>VLOOKUP(MID($AR1060,1,255),country_lookup!$B:$F,2,FALSE)</f>
        <v>1_US</v>
      </c>
      <c r="AL1060" t="str">
        <f>VLOOKUP(MID($AR1060,1,255),country_lookup!$B:$F,3,FALSE)</f>
        <v>1_developed</v>
      </c>
      <c r="AM1060" t="str">
        <f>VLOOKUP(MID($AR1060,1,255),country_lookup!$B:$F,4,FALSE)</f>
        <v>1_western</v>
      </c>
      <c r="AN1060" t="str">
        <f>VLOOKUP(MID($AR1060,1,255),country_lookup!$B:$F,5,FALSE)</f>
        <v>1_common law</v>
      </c>
      <c r="AO1060" s="10" t="str">
        <f>VLOOKUP(MID($AS1060,1,255),source_lookup!$B:$K,4,FALSE)</f>
        <v>1_not published</v>
      </c>
      <c r="AP1060" s="10" t="str">
        <f>VLOOKUP(MID($AS1060,1,255),source_lookup!$B:$K,6,FALSE)</f>
        <v>99_NA</v>
      </c>
      <c r="AQ1060" s="10" t="str">
        <f>VLOOKUP(MID($AS1060,1,255),source_lookup!$B:$K,10,FALSE)</f>
        <v>1_fin/acc/econ</v>
      </c>
      <c r="AR1060" t="s">
        <v>85</v>
      </c>
      <c r="AS1060" t="s">
        <v>175</v>
      </c>
    </row>
    <row r="1061" spans="1:45" x14ac:dyDescent="0.3">
      <c r="A1061" t="s">
        <v>52</v>
      </c>
      <c r="B1061">
        <v>1060</v>
      </c>
      <c r="C1061" s="1">
        <v>-3.9121472000343158E-4</v>
      </c>
      <c r="D1061" s="2">
        <v>11112</v>
      </c>
      <c r="E1061" s="4">
        <v>33336</v>
      </c>
      <c r="F1061" s="4" t="s">
        <v>347</v>
      </c>
      <c r="G1061" s="4" t="s">
        <v>346</v>
      </c>
      <c r="H1061" t="s">
        <v>77</v>
      </c>
      <c r="I1061" t="s">
        <v>352</v>
      </c>
      <c r="J1061" s="3">
        <v>2014</v>
      </c>
      <c r="K1061" s="3">
        <v>2016</v>
      </c>
      <c r="L1061" s="6">
        <f t="shared" si="331"/>
        <v>2015</v>
      </c>
      <c r="M1061" s="6">
        <f t="shared" si="332"/>
        <v>2015</v>
      </c>
      <c r="N1061" s="7">
        <f t="shared" si="320"/>
        <v>0.33333333333333331</v>
      </c>
      <c r="O1061" s="7">
        <f t="shared" si="321"/>
        <v>0</v>
      </c>
      <c r="P1061" s="7">
        <f t="shared" si="322"/>
        <v>0</v>
      </c>
      <c r="Q1061" s="7">
        <f t="shared" si="333"/>
        <v>0</v>
      </c>
      <c r="R1061" s="10" t="str">
        <f t="shared" si="323"/>
        <v>0_Pre</v>
      </c>
      <c r="S1061" s="10" t="str">
        <f t="shared" si="324"/>
        <v>0_Pre</v>
      </c>
      <c r="T1061" s="10" t="str">
        <f t="shared" si="325"/>
        <v>0_Pre</v>
      </c>
      <c r="U1061" s="10" t="str">
        <f t="shared" si="326"/>
        <v>1_Post</v>
      </c>
      <c r="V1061" s="10" t="str">
        <f t="shared" si="334"/>
        <v>0_Pre</v>
      </c>
      <c r="W1061" s="10" t="str">
        <f t="shared" si="327"/>
        <v>straddle</v>
      </c>
      <c r="X1061" s="10" t="str">
        <f t="shared" si="328"/>
        <v>0_Pre</v>
      </c>
      <c r="Y1061" s="10" t="str">
        <f t="shared" si="329"/>
        <v>0_Pre</v>
      </c>
      <c r="Z1061" s="10" t="str">
        <f t="shared" si="330"/>
        <v>0_Pre</v>
      </c>
      <c r="AA1061" s="10" t="str">
        <f t="shared" si="335"/>
        <v>0_Pre</v>
      </c>
      <c r="AB1061" s="10" t="str">
        <f t="shared" si="336"/>
        <v>0_Pre</v>
      </c>
      <c r="AC1061" s="10" t="str">
        <f t="shared" si="337"/>
        <v>0_Pre</v>
      </c>
      <c r="AD1061" s="10" t="str">
        <f t="shared" si="338"/>
        <v>2_post sample median</v>
      </c>
      <c r="AE1061" s="10" t="str">
        <f t="shared" si="339"/>
        <v>3_post sample third tertile</v>
      </c>
      <c r="AF1061" t="s">
        <v>67</v>
      </c>
      <c r="AG1061" t="s">
        <v>75</v>
      </c>
      <c r="AH1061" t="s">
        <v>78</v>
      </c>
      <c r="AI1061" t="s">
        <v>122</v>
      </c>
      <c r="AJ1061" t="s">
        <v>122</v>
      </c>
      <c r="AK1061" t="str">
        <f>VLOOKUP(MID($AR1061,1,255),country_lookup!$B:$F,2,FALSE)</f>
        <v>1_US</v>
      </c>
      <c r="AL1061" t="str">
        <f>VLOOKUP(MID($AR1061,1,255),country_lookup!$B:$F,3,FALSE)</f>
        <v>1_developed</v>
      </c>
      <c r="AM1061" t="str">
        <f>VLOOKUP(MID($AR1061,1,255),country_lookup!$B:$F,4,FALSE)</f>
        <v>1_western</v>
      </c>
      <c r="AN1061" t="str">
        <f>VLOOKUP(MID($AR1061,1,255),country_lookup!$B:$F,5,FALSE)</f>
        <v>1_common law</v>
      </c>
      <c r="AO1061" s="10" t="str">
        <f>VLOOKUP(MID($AS1061,1,255),source_lookup!$B:$K,4,FALSE)</f>
        <v>1_not published</v>
      </c>
      <c r="AP1061" s="10" t="str">
        <f>VLOOKUP(MID($AS1061,1,255),source_lookup!$B:$K,6,FALSE)</f>
        <v>99_NA</v>
      </c>
      <c r="AQ1061" s="10" t="str">
        <f>VLOOKUP(MID($AS1061,1,255),source_lookup!$B:$K,10,FALSE)</f>
        <v>1_fin/acc/econ</v>
      </c>
      <c r="AR1061" t="s">
        <v>85</v>
      </c>
      <c r="AS1061" t="s">
        <v>175</v>
      </c>
    </row>
    <row r="1062" spans="1:45" x14ac:dyDescent="0.3">
      <c r="A1062" t="s">
        <v>52</v>
      </c>
      <c r="B1062">
        <v>1061</v>
      </c>
      <c r="C1062" s="1">
        <v>-2.0184589635074131E-2</v>
      </c>
      <c r="D1062" s="2">
        <v>7728</v>
      </c>
      <c r="E1062" s="4">
        <v>23184</v>
      </c>
      <c r="F1062" s="4" t="s">
        <v>347</v>
      </c>
      <c r="G1062" s="4" t="s">
        <v>346</v>
      </c>
      <c r="H1062" t="s">
        <v>77</v>
      </c>
      <c r="I1062" t="s">
        <v>352</v>
      </c>
      <c r="J1062" s="3">
        <v>2014</v>
      </c>
      <c r="K1062" s="3">
        <v>2016</v>
      </c>
      <c r="L1062" s="6">
        <f t="shared" si="331"/>
        <v>2015</v>
      </c>
      <c r="M1062" s="6">
        <f t="shared" si="332"/>
        <v>2015</v>
      </c>
      <c r="N1062" s="7">
        <f t="shared" si="320"/>
        <v>0.33333333333333331</v>
      </c>
      <c r="O1062" s="7">
        <f t="shared" si="321"/>
        <v>0</v>
      </c>
      <c r="P1062" s="7">
        <f t="shared" si="322"/>
        <v>0</v>
      </c>
      <c r="Q1062" s="7">
        <f t="shared" si="333"/>
        <v>0</v>
      </c>
      <c r="R1062" s="10" t="str">
        <f t="shared" si="323"/>
        <v>0_Pre</v>
      </c>
      <c r="S1062" s="10" t="str">
        <f t="shared" si="324"/>
        <v>0_Pre</v>
      </c>
      <c r="T1062" s="10" t="str">
        <f t="shared" si="325"/>
        <v>0_Pre</v>
      </c>
      <c r="U1062" s="10" t="str">
        <f t="shared" si="326"/>
        <v>1_Post</v>
      </c>
      <c r="V1062" s="10" t="str">
        <f t="shared" si="334"/>
        <v>0_Pre</v>
      </c>
      <c r="W1062" s="10" t="str">
        <f t="shared" si="327"/>
        <v>straddle</v>
      </c>
      <c r="X1062" s="10" t="str">
        <f t="shared" si="328"/>
        <v>0_Pre</v>
      </c>
      <c r="Y1062" s="10" t="str">
        <f t="shared" si="329"/>
        <v>0_Pre</v>
      </c>
      <c r="Z1062" s="10" t="str">
        <f t="shared" si="330"/>
        <v>0_Pre</v>
      </c>
      <c r="AA1062" s="10" t="str">
        <f t="shared" si="335"/>
        <v>0_Pre</v>
      </c>
      <c r="AB1062" s="10" t="str">
        <f t="shared" si="336"/>
        <v>0_Pre</v>
      </c>
      <c r="AC1062" s="10" t="str">
        <f t="shared" si="337"/>
        <v>0_Pre</v>
      </c>
      <c r="AD1062" s="10" t="str">
        <f t="shared" si="338"/>
        <v>2_post sample median</v>
      </c>
      <c r="AE1062" s="10" t="str">
        <f t="shared" si="339"/>
        <v>3_post sample third tertile</v>
      </c>
      <c r="AF1062" t="s">
        <v>67</v>
      </c>
      <c r="AG1062" t="s">
        <v>75</v>
      </c>
      <c r="AH1062" t="s">
        <v>78</v>
      </c>
      <c r="AI1062" t="s">
        <v>122</v>
      </c>
      <c r="AJ1062" t="s">
        <v>122</v>
      </c>
      <c r="AK1062" t="str">
        <f>VLOOKUP(MID($AR1062,1,255),country_lookup!$B:$F,2,FALSE)</f>
        <v>1_US</v>
      </c>
      <c r="AL1062" t="str">
        <f>VLOOKUP(MID($AR1062,1,255),country_lookup!$B:$F,3,FALSE)</f>
        <v>1_developed</v>
      </c>
      <c r="AM1062" t="str">
        <f>VLOOKUP(MID($AR1062,1,255),country_lookup!$B:$F,4,FALSE)</f>
        <v>1_western</v>
      </c>
      <c r="AN1062" t="str">
        <f>VLOOKUP(MID($AR1062,1,255),country_lookup!$B:$F,5,FALSE)</f>
        <v>1_common law</v>
      </c>
      <c r="AO1062" s="10" t="str">
        <f>VLOOKUP(MID($AS1062,1,255),source_lookup!$B:$K,4,FALSE)</f>
        <v>1_not published</v>
      </c>
      <c r="AP1062" s="10" t="str">
        <f>VLOOKUP(MID($AS1062,1,255),source_lookup!$B:$K,6,FALSE)</f>
        <v>99_NA</v>
      </c>
      <c r="AQ1062" s="10" t="str">
        <f>VLOOKUP(MID($AS1062,1,255),source_lookup!$B:$K,10,FALSE)</f>
        <v>1_fin/acc/econ</v>
      </c>
      <c r="AR1062" t="s">
        <v>85</v>
      </c>
      <c r="AS1062" t="s">
        <v>175</v>
      </c>
    </row>
    <row r="1063" spans="1:45" x14ac:dyDescent="0.3">
      <c r="A1063" t="s">
        <v>52</v>
      </c>
      <c r="B1063">
        <v>1062</v>
      </c>
      <c r="C1063" s="1">
        <v>-1.0149383962634647E-2</v>
      </c>
      <c r="D1063" s="2">
        <v>7728</v>
      </c>
      <c r="E1063" s="4">
        <v>23184</v>
      </c>
      <c r="F1063" s="4" t="s">
        <v>347</v>
      </c>
      <c r="G1063" s="4" t="s">
        <v>346</v>
      </c>
      <c r="H1063" t="s">
        <v>77</v>
      </c>
      <c r="I1063" t="s">
        <v>352</v>
      </c>
      <c r="J1063" s="3">
        <v>2014</v>
      </c>
      <c r="K1063" s="3">
        <v>2016</v>
      </c>
      <c r="L1063" s="6">
        <f t="shared" si="331"/>
        <v>2015</v>
      </c>
      <c r="M1063" s="6">
        <f t="shared" si="332"/>
        <v>2015</v>
      </c>
      <c r="N1063" s="7">
        <f t="shared" si="320"/>
        <v>0.33333333333333331</v>
      </c>
      <c r="O1063" s="7">
        <f t="shared" si="321"/>
        <v>0</v>
      </c>
      <c r="P1063" s="7">
        <f t="shared" si="322"/>
        <v>0</v>
      </c>
      <c r="Q1063" s="7">
        <f t="shared" si="333"/>
        <v>0</v>
      </c>
      <c r="R1063" s="10" t="str">
        <f t="shared" si="323"/>
        <v>0_Pre</v>
      </c>
      <c r="S1063" s="10" t="str">
        <f t="shared" si="324"/>
        <v>0_Pre</v>
      </c>
      <c r="T1063" s="10" t="str">
        <f t="shared" si="325"/>
        <v>0_Pre</v>
      </c>
      <c r="U1063" s="10" t="str">
        <f t="shared" si="326"/>
        <v>1_Post</v>
      </c>
      <c r="V1063" s="10" t="str">
        <f t="shared" si="334"/>
        <v>0_Pre</v>
      </c>
      <c r="W1063" s="10" t="str">
        <f t="shared" si="327"/>
        <v>straddle</v>
      </c>
      <c r="X1063" s="10" t="str">
        <f t="shared" si="328"/>
        <v>0_Pre</v>
      </c>
      <c r="Y1063" s="10" t="str">
        <f t="shared" si="329"/>
        <v>0_Pre</v>
      </c>
      <c r="Z1063" s="10" t="str">
        <f t="shared" si="330"/>
        <v>0_Pre</v>
      </c>
      <c r="AA1063" s="10" t="str">
        <f t="shared" si="335"/>
        <v>0_Pre</v>
      </c>
      <c r="AB1063" s="10" t="str">
        <f t="shared" si="336"/>
        <v>0_Pre</v>
      </c>
      <c r="AC1063" s="10" t="str">
        <f t="shared" si="337"/>
        <v>0_Pre</v>
      </c>
      <c r="AD1063" s="10" t="str">
        <f t="shared" si="338"/>
        <v>2_post sample median</v>
      </c>
      <c r="AE1063" s="10" t="str">
        <f t="shared" si="339"/>
        <v>3_post sample third tertile</v>
      </c>
      <c r="AF1063" t="s">
        <v>67</v>
      </c>
      <c r="AG1063" t="s">
        <v>75</v>
      </c>
      <c r="AH1063" t="s">
        <v>78</v>
      </c>
      <c r="AI1063" t="s">
        <v>122</v>
      </c>
      <c r="AJ1063" t="s">
        <v>122</v>
      </c>
      <c r="AK1063" t="str">
        <f>VLOOKUP(MID($AR1063,1,255),country_lookup!$B:$F,2,FALSE)</f>
        <v>1_US</v>
      </c>
      <c r="AL1063" t="str">
        <f>VLOOKUP(MID($AR1063,1,255),country_lookup!$B:$F,3,FALSE)</f>
        <v>1_developed</v>
      </c>
      <c r="AM1063" t="str">
        <f>VLOOKUP(MID($AR1063,1,255),country_lookup!$B:$F,4,FALSE)</f>
        <v>1_western</v>
      </c>
      <c r="AN1063" t="str">
        <f>VLOOKUP(MID($AR1063,1,255),country_lookup!$B:$F,5,FALSE)</f>
        <v>1_common law</v>
      </c>
      <c r="AO1063" s="10" t="str">
        <f>VLOOKUP(MID($AS1063,1,255),source_lookup!$B:$K,4,FALSE)</f>
        <v>1_not published</v>
      </c>
      <c r="AP1063" s="10" t="str">
        <f>VLOOKUP(MID($AS1063,1,255),source_lookup!$B:$K,6,FALSE)</f>
        <v>99_NA</v>
      </c>
      <c r="AQ1063" s="10" t="str">
        <f>VLOOKUP(MID($AS1063,1,255),source_lookup!$B:$K,10,FALSE)</f>
        <v>1_fin/acc/econ</v>
      </c>
      <c r="AR1063" t="s">
        <v>85</v>
      </c>
      <c r="AS1063" t="s">
        <v>175</v>
      </c>
    </row>
    <row r="1064" spans="1:45" x14ac:dyDescent="0.3">
      <c r="A1064" t="s">
        <v>52</v>
      </c>
      <c r="B1064">
        <v>1063</v>
      </c>
      <c r="C1064" s="1">
        <v>2.0082662691136969E-3</v>
      </c>
      <c r="D1064" s="2">
        <v>7728</v>
      </c>
      <c r="E1064" s="4">
        <v>23184</v>
      </c>
      <c r="F1064" s="4" t="s">
        <v>347</v>
      </c>
      <c r="G1064" s="4" t="s">
        <v>346</v>
      </c>
      <c r="H1064" t="s">
        <v>77</v>
      </c>
      <c r="I1064" t="s">
        <v>352</v>
      </c>
      <c r="J1064" s="3">
        <v>2014</v>
      </c>
      <c r="K1064" s="3">
        <v>2016</v>
      </c>
      <c r="L1064" s="6">
        <f t="shared" si="331"/>
        <v>2015</v>
      </c>
      <c r="M1064" s="6">
        <f t="shared" si="332"/>
        <v>2015</v>
      </c>
      <c r="N1064" s="7">
        <f t="shared" si="320"/>
        <v>0.33333333333333331</v>
      </c>
      <c r="O1064" s="7">
        <f t="shared" si="321"/>
        <v>0</v>
      </c>
      <c r="P1064" s="7">
        <f t="shared" si="322"/>
        <v>0</v>
      </c>
      <c r="Q1064" s="7">
        <f t="shared" si="333"/>
        <v>0</v>
      </c>
      <c r="R1064" s="10" t="str">
        <f t="shared" si="323"/>
        <v>0_Pre</v>
      </c>
      <c r="S1064" s="10" t="str">
        <f t="shared" si="324"/>
        <v>0_Pre</v>
      </c>
      <c r="T1064" s="10" t="str">
        <f t="shared" si="325"/>
        <v>0_Pre</v>
      </c>
      <c r="U1064" s="10" t="str">
        <f t="shared" si="326"/>
        <v>1_Post</v>
      </c>
      <c r="V1064" s="10" t="str">
        <f t="shared" si="334"/>
        <v>0_Pre</v>
      </c>
      <c r="W1064" s="10" t="str">
        <f t="shared" si="327"/>
        <v>straddle</v>
      </c>
      <c r="X1064" s="10" t="str">
        <f t="shared" si="328"/>
        <v>0_Pre</v>
      </c>
      <c r="Y1064" s="10" t="str">
        <f t="shared" si="329"/>
        <v>0_Pre</v>
      </c>
      <c r="Z1064" s="10" t="str">
        <f t="shared" si="330"/>
        <v>0_Pre</v>
      </c>
      <c r="AA1064" s="10" t="str">
        <f t="shared" si="335"/>
        <v>0_Pre</v>
      </c>
      <c r="AB1064" s="10" t="str">
        <f t="shared" si="336"/>
        <v>0_Pre</v>
      </c>
      <c r="AC1064" s="10" t="str">
        <f t="shared" si="337"/>
        <v>0_Pre</v>
      </c>
      <c r="AD1064" s="10" t="str">
        <f t="shared" si="338"/>
        <v>2_post sample median</v>
      </c>
      <c r="AE1064" s="10" t="str">
        <f t="shared" si="339"/>
        <v>3_post sample third tertile</v>
      </c>
      <c r="AF1064" t="s">
        <v>67</v>
      </c>
      <c r="AG1064" t="s">
        <v>75</v>
      </c>
      <c r="AH1064" t="s">
        <v>78</v>
      </c>
      <c r="AI1064" t="s">
        <v>122</v>
      </c>
      <c r="AJ1064" t="s">
        <v>122</v>
      </c>
      <c r="AK1064" t="str">
        <f>VLOOKUP(MID($AR1064,1,255),country_lookup!$B:$F,2,FALSE)</f>
        <v>1_US</v>
      </c>
      <c r="AL1064" t="str">
        <f>VLOOKUP(MID($AR1064,1,255),country_lookup!$B:$F,3,FALSE)</f>
        <v>1_developed</v>
      </c>
      <c r="AM1064" t="str">
        <f>VLOOKUP(MID($AR1064,1,255),country_lookup!$B:$F,4,FALSE)</f>
        <v>1_western</v>
      </c>
      <c r="AN1064" t="str">
        <f>VLOOKUP(MID($AR1064,1,255),country_lookup!$B:$F,5,FALSE)</f>
        <v>1_common law</v>
      </c>
      <c r="AO1064" s="10" t="str">
        <f>VLOOKUP(MID($AS1064,1,255),source_lookup!$B:$K,4,FALSE)</f>
        <v>1_not published</v>
      </c>
      <c r="AP1064" s="10" t="str">
        <f>VLOOKUP(MID($AS1064,1,255),source_lookup!$B:$K,6,FALSE)</f>
        <v>99_NA</v>
      </c>
      <c r="AQ1064" s="10" t="str">
        <f>VLOOKUP(MID($AS1064,1,255),source_lookup!$B:$K,10,FALSE)</f>
        <v>1_fin/acc/econ</v>
      </c>
      <c r="AR1064" t="s">
        <v>85</v>
      </c>
      <c r="AS1064" t="s">
        <v>175</v>
      </c>
    </row>
    <row r="1065" spans="1:45" x14ac:dyDescent="0.3">
      <c r="A1065" t="s">
        <v>52</v>
      </c>
      <c r="B1065">
        <v>1064</v>
      </c>
      <c r="C1065" s="1">
        <v>-2.2126230515106177E-2</v>
      </c>
      <c r="D1065" s="2">
        <v>7728</v>
      </c>
      <c r="E1065" s="4">
        <v>23184</v>
      </c>
      <c r="F1065" s="4" t="s">
        <v>347</v>
      </c>
      <c r="G1065" s="4" t="s">
        <v>346</v>
      </c>
      <c r="H1065" t="s">
        <v>77</v>
      </c>
      <c r="I1065" t="s">
        <v>352</v>
      </c>
      <c r="J1065" s="3">
        <v>2014</v>
      </c>
      <c r="K1065" s="3">
        <v>2016</v>
      </c>
      <c r="L1065" s="6">
        <f t="shared" si="331"/>
        <v>2015</v>
      </c>
      <c r="M1065" s="6">
        <f t="shared" si="332"/>
        <v>2015</v>
      </c>
      <c r="N1065" s="7">
        <f t="shared" si="320"/>
        <v>0.33333333333333331</v>
      </c>
      <c r="O1065" s="7">
        <f t="shared" si="321"/>
        <v>0</v>
      </c>
      <c r="P1065" s="7">
        <f t="shared" si="322"/>
        <v>0</v>
      </c>
      <c r="Q1065" s="7">
        <f t="shared" si="333"/>
        <v>0</v>
      </c>
      <c r="R1065" s="10" t="str">
        <f t="shared" si="323"/>
        <v>0_Pre</v>
      </c>
      <c r="S1065" s="10" t="str">
        <f t="shared" si="324"/>
        <v>0_Pre</v>
      </c>
      <c r="T1065" s="10" t="str">
        <f t="shared" si="325"/>
        <v>0_Pre</v>
      </c>
      <c r="U1065" s="10" t="str">
        <f t="shared" si="326"/>
        <v>1_Post</v>
      </c>
      <c r="V1065" s="10" t="str">
        <f t="shared" si="334"/>
        <v>0_Pre</v>
      </c>
      <c r="W1065" s="10" t="str">
        <f t="shared" si="327"/>
        <v>straddle</v>
      </c>
      <c r="X1065" s="10" t="str">
        <f t="shared" si="328"/>
        <v>0_Pre</v>
      </c>
      <c r="Y1065" s="10" t="str">
        <f t="shared" si="329"/>
        <v>0_Pre</v>
      </c>
      <c r="Z1065" s="10" t="str">
        <f t="shared" si="330"/>
        <v>0_Pre</v>
      </c>
      <c r="AA1065" s="10" t="str">
        <f t="shared" si="335"/>
        <v>0_Pre</v>
      </c>
      <c r="AB1065" s="10" t="str">
        <f t="shared" si="336"/>
        <v>0_Pre</v>
      </c>
      <c r="AC1065" s="10" t="str">
        <f t="shared" si="337"/>
        <v>0_Pre</v>
      </c>
      <c r="AD1065" s="10" t="str">
        <f t="shared" si="338"/>
        <v>2_post sample median</v>
      </c>
      <c r="AE1065" s="10" t="str">
        <f t="shared" si="339"/>
        <v>3_post sample third tertile</v>
      </c>
      <c r="AF1065" t="s">
        <v>67</v>
      </c>
      <c r="AG1065" t="s">
        <v>75</v>
      </c>
      <c r="AH1065" t="s">
        <v>78</v>
      </c>
      <c r="AI1065" t="s">
        <v>122</v>
      </c>
      <c r="AJ1065" t="s">
        <v>122</v>
      </c>
      <c r="AK1065" t="str">
        <f>VLOOKUP(MID($AR1065,1,255),country_lookup!$B:$F,2,FALSE)</f>
        <v>1_US</v>
      </c>
      <c r="AL1065" t="str">
        <f>VLOOKUP(MID($AR1065,1,255),country_lookup!$B:$F,3,FALSE)</f>
        <v>1_developed</v>
      </c>
      <c r="AM1065" t="str">
        <f>VLOOKUP(MID($AR1065,1,255),country_lookup!$B:$F,4,FALSE)</f>
        <v>1_western</v>
      </c>
      <c r="AN1065" t="str">
        <f>VLOOKUP(MID($AR1065,1,255),country_lookup!$B:$F,5,FALSE)</f>
        <v>1_common law</v>
      </c>
      <c r="AO1065" s="10" t="str">
        <f>VLOOKUP(MID($AS1065,1,255),source_lookup!$B:$K,4,FALSE)</f>
        <v>1_not published</v>
      </c>
      <c r="AP1065" s="10" t="str">
        <f>VLOOKUP(MID($AS1065,1,255),source_lookup!$B:$K,6,FALSE)</f>
        <v>99_NA</v>
      </c>
      <c r="AQ1065" s="10" t="str">
        <f>VLOOKUP(MID($AS1065,1,255),source_lookup!$B:$K,10,FALSE)</f>
        <v>1_fin/acc/econ</v>
      </c>
      <c r="AR1065" t="s">
        <v>85</v>
      </c>
      <c r="AS1065" t="s">
        <v>175</v>
      </c>
    </row>
    <row r="1066" spans="1:45" x14ac:dyDescent="0.3">
      <c r="A1066" t="s">
        <v>52</v>
      </c>
      <c r="B1066">
        <v>1065</v>
      </c>
      <c r="C1066" s="1">
        <v>-1.0108416019397035E-2</v>
      </c>
      <c r="D1066" s="2">
        <v>7728</v>
      </c>
      <c r="E1066" s="4">
        <v>23184</v>
      </c>
      <c r="F1066" s="4" t="s">
        <v>347</v>
      </c>
      <c r="G1066" s="4" t="s">
        <v>346</v>
      </c>
      <c r="H1066" t="s">
        <v>77</v>
      </c>
      <c r="I1066" t="s">
        <v>352</v>
      </c>
      <c r="J1066" s="3">
        <v>2014</v>
      </c>
      <c r="K1066" s="3">
        <v>2016</v>
      </c>
      <c r="L1066" s="6">
        <f t="shared" si="331"/>
        <v>2015</v>
      </c>
      <c r="M1066" s="6">
        <f t="shared" si="332"/>
        <v>2015</v>
      </c>
      <c r="N1066" s="7">
        <f t="shared" si="320"/>
        <v>0.33333333333333331</v>
      </c>
      <c r="O1066" s="7">
        <f t="shared" si="321"/>
        <v>0</v>
      </c>
      <c r="P1066" s="7">
        <f t="shared" si="322"/>
        <v>0</v>
      </c>
      <c r="Q1066" s="7">
        <f t="shared" si="333"/>
        <v>0</v>
      </c>
      <c r="R1066" s="10" t="str">
        <f t="shared" si="323"/>
        <v>0_Pre</v>
      </c>
      <c r="S1066" s="10" t="str">
        <f t="shared" si="324"/>
        <v>0_Pre</v>
      </c>
      <c r="T1066" s="10" t="str">
        <f t="shared" si="325"/>
        <v>0_Pre</v>
      </c>
      <c r="U1066" s="10" t="str">
        <f t="shared" si="326"/>
        <v>1_Post</v>
      </c>
      <c r="V1066" s="10" t="str">
        <f t="shared" si="334"/>
        <v>0_Pre</v>
      </c>
      <c r="W1066" s="10" t="str">
        <f t="shared" si="327"/>
        <v>straddle</v>
      </c>
      <c r="X1066" s="10" t="str">
        <f t="shared" si="328"/>
        <v>0_Pre</v>
      </c>
      <c r="Y1066" s="10" t="str">
        <f t="shared" si="329"/>
        <v>0_Pre</v>
      </c>
      <c r="Z1066" s="10" t="str">
        <f t="shared" si="330"/>
        <v>0_Pre</v>
      </c>
      <c r="AA1066" s="10" t="str">
        <f t="shared" si="335"/>
        <v>0_Pre</v>
      </c>
      <c r="AB1066" s="10" t="str">
        <f t="shared" si="336"/>
        <v>0_Pre</v>
      </c>
      <c r="AC1066" s="10" t="str">
        <f t="shared" si="337"/>
        <v>0_Pre</v>
      </c>
      <c r="AD1066" s="10" t="str">
        <f t="shared" si="338"/>
        <v>2_post sample median</v>
      </c>
      <c r="AE1066" s="10" t="str">
        <f t="shared" si="339"/>
        <v>3_post sample third tertile</v>
      </c>
      <c r="AF1066" t="s">
        <v>67</v>
      </c>
      <c r="AG1066" t="s">
        <v>75</v>
      </c>
      <c r="AH1066" t="s">
        <v>78</v>
      </c>
      <c r="AI1066" t="s">
        <v>122</v>
      </c>
      <c r="AJ1066" t="s">
        <v>122</v>
      </c>
      <c r="AK1066" t="str">
        <f>VLOOKUP(MID($AR1066,1,255),country_lookup!$B:$F,2,FALSE)</f>
        <v>1_US</v>
      </c>
      <c r="AL1066" t="str">
        <f>VLOOKUP(MID($AR1066,1,255),country_lookup!$B:$F,3,FALSE)</f>
        <v>1_developed</v>
      </c>
      <c r="AM1066" t="str">
        <f>VLOOKUP(MID($AR1066,1,255),country_lookup!$B:$F,4,FALSE)</f>
        <v>1_western</v>
      </c>
      <c r="AN1066" t="str">
        <f>VLOOKUP(MID($AR1066,1,255),country_lookup!$B:$F,5,FALSE)</f>
        <v>1_common law</v>
      </c>
      <c r="AO1066" s="10" t="str">
        <f>VLOOKUP(MID($AS1066,1,255),source_lookup!$B:$K,4,FALSE)</f>
        <v>1_not published</v>
      </c>
      <c r="AP1066" s="10" t="str">
        <f>VLOOKUP(MID($AS1066,1,255),source_lookup!$B:$K,6,FALSE)</f>
        <v>99_NA</v>
      </c>
      <c r="AQ1066" s="10" t="str">
        <f>VLOOKUP(MID($AS1066,1,255),source_lookup!$B:$K,10,FALSE)</f>
        <v>1_fin/acc/econ</v>
      </c>
      <c r="AR1066" t="s">
        <v>85</v>
      </c>
      <c r="AS1066" t="s">
        <v>175</v>
      </c>
    </row>
    <row r="1067" spans="1:45" x14ac:dyDescent="0.3">
      <c r="A1067" t="s">
        <v>52</v>
      </c>
      <c r="B1067">
        <v>1066</v>
      </c>
      <c r="C1067" s="1">
        <v>6.5674450827407464E-3</v>
      </c>
      <c r="D1067" s="2">
        <v>7728</v>
      </c>
      <c r="E1067" s="4">
        <v>23184</v>
      </c>
      <c r="F1067" s="4" t="s">
        <v>347</v>
      </c>
      <c r="G1067" s="4" t="s">
        <v>346</v>
      </c>
      <c r="H1067" t="s">
        <v>77</v>
      </c>
      <c r="I1067" t="s">
        <v>352</v>
      </c>
      <c r="J1067" s="3">
        <v>2014</v>
      </c>
      <c r="K1067" s="3">
        <v>2016</v>
      </c>
      <c r="L1067" s="6">
        <f t="shared" si="331"/>
        <v>2015</v>
      </c>
      <c r="M1067" s="6">
        <f t="shared" si="332"/>
        <v>2015</v>
      </c>
      <c r="N1067" s="7">
        <f t="shared" si="320"/>
        <v>0.33333333333333331</v>
      </c>
      <c r="O1067" s="7">
        <f t="shared" si="321"/>
        <v>0</v>
      </c>
      <c r="P1067" s="7">
        <f t="shared" si="322"/>
        <v>0</v>
      </c>
      <c r="Q1067" s="7">
        <f t="shared" si="333"/>
        <v>0</v>
      </c>
      <c r="R1067" s="10" t="str">
        <f t="shared" si="323"/>
        <v>0_Pre</v>
      </c>
      <c r="S1067" s="10" t="str">
        <f t="shared" si="324"/>
        <v>0_Pre</v>
      </c>
      <c r="T1067" s="10" t="str">
        <f t="shared" si="325"/>
        <v>0_Pre</v>
      </c>
      <c r="U1067" s="10" t="str">
        <f t="shared" si="326"/>
        <v>1_Post</v>
      </c>
      <c r="V1067" s="10" t="str">
        <f t="shared" si="334"/>
        <v>0_Pre</v>
      </c>
      <c r="W1067" s="10" t="str">
        <f t="shared" si="327"/>
        <v>straddle</v>
      </c>
      <c r="X1067" s="10" t="str">
        <f t="shared" si="328"/>
        <v>0_Pre</v>
      </c>
      <c r="Y1067" s="10" t="str">
        <f t="shared" si="329"/>
        <v>0_Pre</v>
      </c>
      <c r="Z1067" s="10" t="str">
        <f t="shared" si="330"/>
        <v>0_Pre</v>
      </c>
      <c r="AA1067" s="10" t="str">
        <f t="shared" si="335"/>
        <v>0_Pre</v>
      </c>
      <c r="AB1067" s="10" t="str">
        <f t="shared" si="336"/>
        <v>0_Pre</v>
      </c>
      <c r="AC1067" s="10" t="str">
        <f t="shared" si="337"/>
        <v>0_Pre</v>
      </c>
      <c r="AD1067" s="10" t="str">
        <f t="shared" si="338"/>
        <v>2_post sample median</v>
      </c>
      <c r="AE1067" s="10" t="str">
        <f t="shared" si="339"/>
        <v>3_post sample third tertile</v>
      </c>
      <c r="AF1067" t="s">
        <v>67</v>
      </c>
      <c r="AG1067" t="s">
        <v>75</v>
      </c>
      <c r="AH1067" t="s">
        <v>78</v>
      </c>
      <c r="AI1067" t="s">
        <v>122</v>
      </c>
      <c r="AJ1067" t="s">
        <v>122</v>
      </c>
      <c r="AK1067" t="str">
        <f>VLOOKUP(MID($AR1067,1,255),country_lookup!$B:$F,2,FALSE)</f>
        <v>1_US</v>
      </c>
      <c r="AL1067" t="str">
        <f>VLOOKUP(MID($AR1067,1,255),country_lookup!$B:$F,3,FALSE)</f>
        <v>1_developed</v>
      </c>
      <c r="AM1067" t="str">
        <f>VLOOKUP(MID($AR1067,1,255),country_lookup!$B:$F,4,FALSE)</f>
        <v>1_western</v>
      </c>
      <c r="AN1067" t="str">
        <f>VLOOKUP(MID($AR1067,1,255),country_lookup!$B:$F,5,FALSE)</f>
        <v>1_common law</v>
      </c>
      <c r="AO1067" s="10" t="str">
        <f>VLOOKUP(MID($AS1067,1,255),source_lookup!$B:$K,4,FALSE)</f>
        <v>1_not published</v>
      </c>
      <c r="AP1067" s="10" t="str">
        <f>VLOOKUP(MID($AS1067,1,255),source_lookup!$B:$K,6,FALSE)</f>
        <v>99_NA</v>
      </c>
      <c r="AQ1067" s="10" t="str">
        <f>VLOOKUP(MID($AS1067,1,255),source_lookup!$B:$K,10,FALSE)</f>
        <v>1_fin/acc/econ</v>
      </c>
      <c r="AR1067" t="s">
        <v>85</v>
      </c>
      <c r="AS1067" t="s">
        <v>175</v>
      </c>
    </row>
    <row r="1068" spans="1:45" x14ac:dyDescent="0.3">
      <c r="A1068" t="s">
        <v>52</v>
      </c>
      <c r="B1068">
        <v>1067</v>
      </c>
      <c r="C1068" s="1">
        <v>-1.4615828174636671E-2</v>
      </c>
      <c r="D1068" s="2">
        <v>7168</v>
      </c>
      <c r="E1068" s="4">
        <v>21504</v>
      </c>
      <c r="F1068" s="4" t="s">
        <v>347</v>
      </c>
      <c r="G1068" s="4" t="s">
        <v>346</v>
      </c>
      <c r="H1068" t="s">
        <v>77</v>
      </c>
      <c r="I1068" t="s">
        <v>352</v>
      </c>
      <c r="J1068" s="3">
        <v>2014</v>
      </c>
      <c r="K1068" s="3">
        <v>2016</v>
      </c>
      <c r="L1068" s="6">
        <f t="shared" si="331"/>
        <v>2015</v>
      </c>
      <c r="M1068" s="6">
        <f t="shared" si="332"/>
        <v>2015</v>
      </c>
      <c r="N1068" s="7">
        <f t="shared" si="320"/>
        <v>0.33333333333333331</v>
      </c>
      <c r="O1068" s="7">
        <f t="shared" si="321"/>
        <v>0</v>
      </c>
      <c r="P1068" s="7">
        <f t="shared" si="322"/>
        <v>0</v>
      </c>
      <c r="Q1068" s="7">
        <f t="shared" si="333"/>
        <v>0</v>
      </c>
      <c r="R1068" s="10" t="str">
        <f t="shared" si="323"/>
        <v>0_Pre</v>
      </c>
      <c r="S1068" s="10" t="str">
        <f t="shared" si="324"/>
        <v>0_Pre</v>
      </c>
      <c r="T1068" s="10" t="str">
        <f t="shared" si="325"/>
        <v>0_Pre</v>
      </c>
      <c r="U1068" s="10" t="str">
        <f t="shared" si="326"/>
        <v>1_Post</v>
      </c>
      <c r="V1068" s="10" t="str">
        <f t="shared" si="334"/>
        <v>0_Pre</v>
      </c>
      <c r="W1068" s="10" t="str">
        <f t="shared" si="327"/>
        <v>straddle</v>
      </c>
      <c r="X1068" s="10" t="str">
        <f t="shared" si="328"/>
        <v>0_Pre</v>
      </c>
      <c r="Y1068" s="10" t="str">
        <f t="shared" si="329"/>
        <v>0_Pre</v>
      </c>
      <c r="Z1068" s="10" t="str">
        <f t="shared" si="330"/>
        <v>0_Pre</v>
      </c>
      <c r="AA1068" s="10" t="str">
        <f t="shared" si="335"/>
        <v>0_Pre</v>
      </c>
      <c r="AB1068" s="10" t="str">
        <f t="shared" si="336"/>
        <v>0_Pre</v>
      </c>
      <c r="AC1068" s="10" t="str">
        <f t="shared" si="337"/>
        <v>0_Pre</v>
      </c>
      <c r="AD1068" s="10" t="str">
        <f t="shared" si="338"/>
        <v>2_post sample median</v>
      </c>
      <c r="AE1068" s="10" t="str">
        <f t="shared" si="339"/>
        <v>3_post sample third tertile</v>
      </c>
      <c r="AF1068" t="s">
        <v>82</v>
      </c>
      <c r="AG1068" t="s">
        <v>75</v>
      </c>
      <c r="AH1068" t="s">
        <v>78</v>
      </c>
      <c r="AI1068" t="s">
        <v>122</v>
      </c>
      <c r="AJ1068" t="s">
        <v>122</v>
      </c>
      <c r="AK1068" t="str">
        <f>VLOOKUP(MID($AR1068,1,255),country_lookup!$B:$F,2,FALSE)</f>
        <v>1_US</v>
      </c>
      <c r="AL1068" t="str">
        <f>VLOOKUP(MID($AR1068,1,255),country_lookup!$B:$F,3,FALSE)</f>
        <v>1_developed</v>
      </c>
      <c r="AM1068" t="str">
        <f>VLOOKUP(MID($AR1068,1,255),country_lookup!$B:$F,4,FALSE)</f>
        <v>1_western</v>
      </c>
      <c r="AN1068" t="str">
        <f>VLOOKUP(MID($AR1068,1,255),country_lookup!$B:$F,5,FALSE)</f>
        <v>1_common law</v>
      </c>
      <c r="AO1068" s="10" t="str">
        <f>VLOOKUP(MID($AS1068,1,255),source_lookup!$B:$K,4,FALSE)</f>
        <v>1_not published</v>
      </c>
      <c r="AP1068" s="10" t="str">
        <f>VLOOKUP(MID($AS1068,1,255),source_lookup!$B:$K,6,FALSE)</f>
        <v>99_NA</v>
      </c>
      <c r="AQ1068" s="10" t="str">
        <f>VLOOKUP(MID($AS1068,1,255),source_lookup!$B:$K,10,FALSE)</f>
        <v>1_fin/acc/econ</v>
      </c>
      <c r="AR1068" t="s">
        <v>85</v>
      </c>
      <c r="AS1068" t="s">
        <v>175</v>
      </c>
    </row>
    <row r="1069" spans="1:45" x14ac:dyDescent="0.3">
      <c r="A1069" t="s">
        <v>52</v>
      </c>
      <c r="B1069">
        <v>1068</v>
      </c>
      <c r="C1069" s="1">
        <v>-2.1848219631422625E-3</v>
      </c>
      <c r="D1069" s="2">
        <v>7168</v>
      </c>
      <c r="E1069" s="4">
        <v>21504</v>
      </c>
      <c r="F1069" s="4" t="s">
        <v>347</v>
      </c>
      <c r="G1069" s="4" t="s">
        <v>346</v>
      </c>
      <c r="H1069" t="s">
        <v>77</v>
      </c>
      <c r="I1069" t="s">
        <v>352</v>
      </c>
      <c r="J1069" s="3">
        <v>2014</v>
      </c>
      <c r="K1069" s="3">
        <v>2016</v>
      </c>
      <c r="L1069" s="6">
        <f t="shared" si="331"/>
        <v>2015</v>
      </c>
      <c r="M1069" s="6">
        <f t="shared" si="332"/>
        <v>2015</v>
      </c>
      <c r="N1069" s="7">
        <f t="shared" si="320"/>
        <v>0.33333333333333331</v>
      </c>
      <c r="O1069" s="7">
        <f t="shared" si="321"/>
        <v>0</v>
      </c>
      <c r="P1069" s="7">
        <f t="shared" si="322"/>
        <v>0</v>
      </c>
      <c r="Q1069" s="7">
        <f t="shared" si="333"/>
        <v>0</v>
      </c>
      <c r="R1069" s="10" t="str">
        <f t="shared" si="323"/>
        <v>0_Pre</v>
      </c>
      <c r="S1069" s="10" t="str">
        <f t="shared" si="324"/>
        <v>0_Pre</v>
      </c>
      <c r="T1069" s="10" t="str">
        <f t="shared" si="325"/>
        <v>0_Pre</v>
      </c>
      <c r="U1069" s="10" t="str">
        <f t="shared" si="326"/>
        <v>1_Post</v>
      </c>
      <c r="V1069" s="10" t="str">
        <f t="shared" si="334"/>
        <v>0_Pre</v>
      </c>
      <c r="W1069" s="10" t="str">
        <f t="shared" si="327"/>
        <v>straddle</v>
      </c>
      <c r="X1069" s="10" t="str">
        <f t="shared" si="328"/>
        <v>0_Pre</v>
      </c>
      <c r="Y1069" s="10" t="str">
        <f t="shared" si="329"/>
        <v>0_Pre</v>
      </c>
      <c r="Z1069" s="10" t="str">
        <f t="shared" si="330"/>
        <v>0_Pre</v>
      </c>
      <c r="AA1069" s="10" t="str">
        <f t="shared" si="335"/>
        <v>0_Pre</v>
      </c>
      <c r="AB1069" s="10" t="str">
        <f t="shared" si="336"/>
        <v>0_Pre</v>
      </c>
      <c r="AC1069" s="10" t="str">
        <f t="shared" si="337"/>
        <v>0_Pre</v>
      </c>
      <c r="AD1069" s="10" t="str">
        <f t="shared" si="338"/>
        <v>2_post sample median</v>
      </c>
      <c r="AE1069" s="10" t="str">
        <f t="shared" si="339"/>
        <v>3_post sample third tertile</v>
      </c>
      <c r="AF1069" t="s">
        <v>82</v>
      </c>
      <c r="AG1069" t="s">
        <v>75</v>
      </c>
      <c r="AH1069" t="s">
        <v>78</v>
      </c>
      <c r="AI1069" t="s">
        <v>122</v>
      </c>
      <c r="AJ1069" t="s">
        <v>122</v>
      </c>
      <c r="AK1069" t="str">
        <f>VLOOKUP(MID($AR1069,1,255),country_lookup!$B:$F,2,FALSE)</f>
        <v>1_US</v>
      </c>
      <c r="AL1069" t="str">
        <f>VLOOKUP(MID($AR1069,1,255),country_lookup!$B:$F,3,FALSE)</f>
        <v>1_developed</v>
      </c>
      <c r="AM1069" t="str">
        <f>VLOOKUP(MID($AR1069,1,255),country_lookup!$B:$F,4,FALSE)</f>
        <v>1_western</v>
      </c>
      <c r="AN1069" t="str">
        <f>VLOOKUP(MID($AR1069,1,255),country_lookup!$B:$F,5,FALSE)</f>
        <v>1_common law</v>
      </c>
      <c r="AO1069" s="10" t="str">
        <f>VLOOKUP(MID($AS1069,1,255),source_lookup!$B:$K,4,FALSE)</f>
        <v>1_not published</v>
      </c>
      <c r="AP1069" s="10" t="str">
        <f>VLOOKUP(MID($AS1069,1,255),source_lookup!$B:$K,6,FALSE)</f>
        <v>99_NA</v>
      </c>
      <c r="AQ1069" s="10" t="str">
        <f>VLOOKUP(MID($AS1069,1,255),source_lookup!$B:$K,10,FALSE)</f>
        <v>1_fin/acc/econ</v>
      </c>
      <c r="AR1069" t="s">
        <v>85</v>
      </c>
      <c r="AS1069" t="s">
        <v>175</v>
      </c>
    </row>
    <row r="1070" spans="1:45" x14ac:dyDescent="0.3">
      <c r="A1070" t="s">
        <v>52</v>
      </c>
      <c r="B1070">
        <v>1069</v>
      </c>
      <c r="C1070" s="1">
        <v>3.6014242466021005E-3</v>
      </c>
      <c r="D1070" s="2">
        <v>7168</v>
      </c>
      <c r="E1070" s="4">
        <v>21504</v>
      </c>
      <c r="F1070" s="4" t="s">
        <v>347</v>
      </c>
      <c r="G1070" s="4" t="s">
        <v>346</v>
      </c>
      <c r="H1070" t="s">
        <v>77</v>
      </c>
      <c r="I1070" t="s">
        <v>352</v>
      </c>
      <c r="J1070" s="3">
        <v>2014</v>
      </c>
      <c r="K1070" s="3">
        <v>2016</v>
      </c>
      <c r="L1070" s="6">
        <f t="shared" si="331"/>
        <v>2015</v>
      </c>
      <c r="M1070" s="6">
        <f t="shared" si="332"/>
        <v>2015</v>
      </c>
      <c r="N1070" s="7">
        <f t="shared" si="320"/>
        <v>0.33333333333333331</v>
      </c>
      <c r="O1070" s="7">
        <f t="shared" si="321"/>
        <v>0</v>
      </c>
      <c r="P1070" s="7">
        <f t="shared" si="322"/>
        <v>0</v>
      </c>
      <c r="Q1070" s="7">
        <f t="shared" si="333"/>
        <v>0</v>
      </c>
      <c r="R1070" s="10" t="str">
        <f t="shared" si="323"/>
        <v>0_Pre</v>
      </c>
      <c r="S1070" s="10" t="str">
        <f t="shared" si="324"/>
        <v>0_Pre</v>
      </c>
      <c r="T1070" s="10" t="str">
        <f t="shared" si="325"/>
        <v>0_Pre</v>
      </c>
      <c r="U1070" s="10" t="str">
        <f t="shared" si="326"/>
        <v>1_Post</v>
      </c>
      <c r="V1070" s="10" t="str">
        <f t="shared" si="334"/>
        <v>0_Pre</v>
      </c>
      <c r="W1070" s="10" t="str">
        <f t="shared" si="327"/>
        <v>straddle</v>
      </c>
      <c r="X1070" s="10" t="str">
        <f t="shared" si="328"/>
        <v>0_Pre</v>
      </c>
      <c r="Y1070" s="10" t="str">
        <f t="shared" si="329"/>
        <v>0_Pre</v>
      </c>
      <c r="Z1070" s="10" t="str">
        <f t="shared" si="330"/>
        <v>0_Pre</v>
      </c>
      <c r="AA1070" s="10" t="str">
        <f t="shared" si="335"/>
        <v>0_Pre</v>
      </c>
      <c r="AB1070" s="10" t="str">
        <f t="shared" si="336"/>
        <v>0_Pre</v>
      </c>
      <c r="AC1070" s="10" t="str">
        <f t="shared" si="337"/>
        <v>0_Pre</v>
      </c>
      <c r="AD1070" s="10" t="str">
        <f t="shared" si="338"/>
        <v>2_post sample median</v>
      </c>
      <c r="AE1070" s="10" t="str">
        <f t="shared" si="339"/>
        <v>3_post sample third tertile</v>
      </c>
      <c r="AF1070" t="s">
        <v>82</v>
      </c>
      <c r="AG1070" t="s">
        <v>75</v>
      </c>
      <c r="AH1070" t="s">
        <v>78</v>
      </c>
      <c r="AI1070" t="s">
        <v>122</v>
      </c>
      <c r="AJ1070" t="s">
        <v>122</v>
      </c>
      <c r="AK1070" t="str">
        <f>VLOOKUP(MID($AR1070,1,255),country_lookup!$B:$F,2,FALSE)</f>
        <v>1_US</v>
      </c>
      <c r="AL1070" t="str">
        <f>VLOOKUP(MID($AR1070,1,255),country_lookup!$B:$F,3,FALSE)</f>
        <v>1_developed</v>
      </c>
      <c r="AM1070" t="str">
        <f>VLOOKUP(MID($AR1070,1,255),country_lookup!$B:$F,4,FALSE)</f>
        <v>1_western</v>
      </c>
      <c r="AN1070" t="str">
        <f>VLOOKUP(MID($AR1070,1,255),country_lookup!$B:$F,5,FALSE)</f>
        <v>1_common law</v>
      </c>
      <c r="AO1070" s="10" t="str">
        <f>VLOOKUP(MID($AS1070,1,255),source_lookup!$B:$K,4,FALSE)</f>
        <v>1_not published</v>
      </c>
      <c r="AP1070" s="10" t="str">
        <f>VLOOKUP(MID($AS1070,1,255),source_lookup!$B:$K,6,FALSE)</f>
        <v>99_NA</v>
      </c>
      <c r="AQ1070" s="10" t="str">
        <f>VLOOKUP(MID($AS1070,1,255),source_lookup!$B:$K,10,FALSE)</f>
        <v>1_fin/acc/econ</v>
      </c>
      <c r="AR1070" t="s">
        <v>85</v>
      </c>
      <c r="AS1070" t="s">
        <v>175</v>
      </c>
    </row>
    <row r="1071" spans="1:45" x14ac:dyDescent="0.3">
      <c r="A1071" t="s">
        <v>52</v>
      </c>
      <c r="B1071">
        <v>1070</v>
      </c>
      <c r="C1071" s="1">
        <v>-1.1830183806564984E-2</v>
      </c>
      <c r="D1071" s="2">
        <v>10336</v>
      </c>
      <c r="E1071" s="4">
        <v>31008</v>
      </c>
      <c r="F1071" s="4" t="s">
        <v>347</v>
      </c>
      <c r="G1071" s="4" t="s">
        <v>346</v>
      </c>
      <c r="H1071" t="s">
        <v>77</v>
      </c>
      <c r="I1071" t="s">
        <v>352</v>
      </c>
      <c r="J1071" s="3">
        <v>2014</v>
      </c>
      <c r="K1071" s="3">
        <v>2016</v>
      </c>
      <c r="L1071" s="6">
        <f t="shared" si="331"/>
        <v>2015</v>
      </c>
      <c r="M1071" s="6">
        <f t="shared" si="332"/>
        <v>2015</v>
      </c>
      <c r="N1071" s="7">
        <f t="shared" si="320"/>
        <v>0.33333333333333331</v>
      </c>
      <c r="O1071" s="7">
        <f t="shared" si="321"/>
        <v>0</v>
      </c>
      <c r="P1071" s="7">
        <f t="shared" si="322"/>
        <v>0</v>
      </c>
      <c r="Q1071" s="7">
        <f t="shared" si="333"/>
        <v>0</v>
      </c>
      <c r="R1071" s="10" t="str">
        <f t="shared" si="323"/>
        <v>0_Pre</v>
      </c>
      <c r="S1071" s="10" t="str">
        <f t="shared" si="324"/>
        <v>0_Pre</v>
      </c>
      <c r="T1071" s="10" t="str">
        <f t="shared" si="325"/>
        <v>0_Pre</v>
      </c>
      <c r="U1071" s="10" t="str">
        <f t="shared" si="326"/>
        <v>1_Post</v>
      </c>
      <c r="V1071" s="10" t="str">
        <f t="shared" si="334"/>
        <v>0_Pre</v>
      </c>
      <c r="W1071" s="10" t="str">
        <f t="shared" si="327"/>
        <v>straddle</v>
      </c>
      <c r="X1071" s="10" t="str">
        <f t="shared" si="328"/>
        <v>0_Pre</v>
      </c>
      <c r="Y1071" s="10" t="str">
        <f t="shared" si="329"/>
        <v>0_Pre</v>
      </c>
      <c r="Z1071" s="10" t="str">
        <f t="shared" si="330"/>
        <v>0_Pre</v>
      </c>
      <c r="AA1071" s="10" t="str">
        <f t="shared" si="335"/>
        <v>0_Pre</v>
      </c>
      <c r="AB1071" s="10" t="str">
        <f t="shared" si="336"/>
        <v>0_Pre</v>
      </c>
      <c r="AC1071" s="10" t="str">
        <f t="shared" si="337"/>
        <v>0_Pre</v>
      </c>
      <c r="AD1071" s="10" t="str">
        <f t="shared" si="338"/>
        <v>2_post sample median</v>
      </c>
      <c r="AE1071" s="10" t="str">
        <f t="shared" si="339"/>
        <v>3_post sample third tertile</v>
      </c>
      <c r="AF1071" t="s">
        <v>82</v>
      </c>
      <c r="AG1071" t="s">
        <v>75</v>
      </c>
      <c r="AH1071" t="s">
        <v>78</v>
      </c>
      <c r="AI1071" t="s">
        <v>122</v>
      </c>
      <c r="AJ1071" t="s">
        <v>122</v>
      </c>
      <c r="AK1071" t="str">
        <f>VLOOKUP(MID($AR1071,1,255),country_lookup!$B:$F,2,FALSE)</f>
        <v>1_US</v>
      </c>
      <c r="AL1071" t="str">
        <f>VLOOKUP(MID($AR1071,1,255),country_lookup!$B:$F,3,FALSE)</f>
        <v>1_developed</v>
      </c>
      <c r="AM1071" t="str">
        <f>VLOOKUP(MID($AR1071,1,255),country_lookup!$B:$F,4,FALSE)</f>
        <v>1_western</v>
      </c>
      <c r="AN1071" t="str">
        <f>VLOOKUP(MID($AR1071,1,255),country_lookup!$B:$F,5,FALSE)</f>
        <v>1_common law</v>
      </c>
      <c r="AO1071" s="10" t="str">
        <f>VLOOKUP(MID($AS1071,1,255),source_lookup!$B:$K,4,FALSE)</f>
        <v>1_not published</v>
      </c>
      <c r="AP1071" s="10" t="str">
        <f>VLOOKUP(MID($AS1071,1,255),source_lookup!$B:$K,6,FALSE)</f>
        <v>99_NA</v>
      </c>
      <c r="AQ1071" s="10" t="str">
        <f>VLOOKUP(MID($AS1071,1,255),source_lookup!$B:$K,10,FALSE)</f>
        <v>1_fin/acc/econ</v>
      </c>
      <c r="AR1071" t="s">
        <v>85</v>
      </c>
      <c r="AS1071" t="s">
        <v>175</v>
      </c>
    </row>
    <row r="1072" spans="1:45" x14ac:dyDescent="0.3">
      <c r="A1072" t="s">
        <v>52</v>
      </c>
      <c r="B1072">
        <v>1071</v>
      </c>
      <c r="C1072" s="1">
        <v>-1.1843702121187757E-2</v>
      </c>
      <c r="D1072" s="2">
        <v>10336</v>
      </c>
      <c r="E1072" s="4">
        <v>31008</v>
      </c>
      <c r="F1072" s="4" t="s">
        <v>347</v>
      </c>
      <c r="G1072" s="4" t="s">
        <v>346</v>
      </c>
      <c r="H1072" t="s">
        <v>77</v>
      </c>
      <c r="I1072" t="s">
        <v>352</v>
      </c>
      <c r="J1072" s="3">
        <v>2014</v>
      </c>
      <c r="K1072" s="3">
        <v>2016</v>
      </c>
      <c r="L1072" s="6">
        <f t="shared" si="331"/>
        <v>2015</v>
      </c>
      <c r="M1072" s="6">
        <f t="shared" si="332"/>
        <v>2015</v>
      </c>
      <c r="N1072" s="7">
        <f t="shared" si="320"/>
        <v>0.33333333333333331</v>
      </c>
      <c r="O1072" s="7">
        <f t="shared" si="321"/>
        <v>0</v>
      </c>
      <c r="P1072" s="7">
        <f t="shared" si="322"/>
        <v>0</v>
      </c>
      <c r="Q1072" s="7">
        <f t="shared" si="333"/>
        <v>0</v>
      </c>
      <c r="R1072" s="10" t="str">
        <f t="shared" si="323"/>
        <v>0_Pre</v>
      </c>
      <c r="S1072" s="10" t="str">
        <f t="shared" si="324"/>
        <v>0_Pre</v>
      </c>
      <c r="T1072" s="10" t="str">
        <f t="shared" si="325"/>
        <v>0_Pre</v>
      </c>
      <c r="U1072" s="10" t="str">
        <f t="shared" si="326"/>
        <v>1_Post</v>
      </c>
      <c r="V1072" s="10" t="str">
        <f t="shared" si="334"/>
        <v>0_Pre</v>
      </c>
      <c r="W1072" s="10" t="str">
        <f t="shared" si="327"/>
        <v>straddle</v>
      </c>
      <c r="X1072" s="10" t="str">
        <f t="shared" si="328"/>
        <v>0_Pre</v>
      </c>
      <c r="Y1072" s="10" t="str">
        <f t="shared" si="329"/>
        <v>0_Pre</v>
      </c>
      <c r="Z1072" s="10" t="str">
        <f t="shared" si="330"/>
        <v>0_Pre</v>
      </c>
      <c r="AA1072" s="10" t="str">
        <f t="shared" si="335"/>
        <v>0_Pre</v>
      </c>
      <c r="AB1072" s="10" t="str">
        <f t="shared" si="336"/>
        <v>0_Pre</v>
      </c>
      <c r="AC1072" s="10" t="str">
        <f t="shared" si="337"/>
        <v>0_Pre</v>
      </c>
      <c r="AD1072" s="10" t="str">
        <f t="shared" si="338"/>
        <v>2_post sample median</v>
      </c>
      <c r="AE1072" s="10" t="str">
        <f t="shared" si="339"/>
        <v>3_post sample third tertile</v>
      </c>
      <c r="AF1072" t="s">
        <v>82</v>
      </c>
      <c r="AG1072" t="s">
        <v>75</v>
      </c>
      <c r="AH1072" t="s">
        <v>78</v>
      </c>
      <c r="AI1072" t="s">
        <v>122</v>
      </c>
      <c r="AJ1072" t="s">
        <v>122</v>
      </c>
      <c r="AK1072" t="str">
        <f>VLOOKUP(MID($AR1072,1,255),country_lookup!$B:$F,2,FALSE)</f>
        <v>1_US</v>
      </c>
      <c r="AL1072" t="str">
        <f>VLOOKUP(MID($AR1072,1,255),country_lookup!$B:$F,3,FALSE)</f>
        <v>1_developed</v>
      </c>
      <c r="AM1072" t="str">
        <f>VLOOKUP(MID($AR1072,1,255),country_lookup!$B:$F,4,FALSE)</f>
        <v>1_western</v>
      </c>
      <c r="AN1072" t="str">
        <f>VLOOKUP(MID($AR1072,1,255),country_lookup!$B:$F,5,FALSE)</f>
        <v>1_common law</v>
      </c>
      <c r="AO1072" s="10" t="str">
        <f>VLOOKUP(MID($AS1072,1,255),source_lookup!$B:$K,4,FALSE)</f>
        <v>1_not published</v>
      </c>
      <c r="AP1072" s="10" t="str">
        <f>VLOOKUP(MID($AS1072,1,255),source_lookup!$B:$K,6,FALSE)</f>
        <v>99_NA</v>
      </c>
      <c r="AQ1072" s="10" t="str">
        <f>VLOOKUP(MID($AS1072,1,255),source_lookup!$B:$K,10,FALSE)</f>
        <v>1_fin/acc/econ</v>
      </c>
      <c r="AR1072" t="s">
        <v>85</v>
      </c>
      <c r="AS1072" t="s">
        <v>175</v>
      </c>
    </row>
    <row r="1073" spans="1:45" x14ac:dyDescent="0.3">
      <c r="A1073" t="s">
        <v>52</v>
      </c>
      <c r="B1073">
        <v>1072</v>
      </c>
      <c r="C1073" s="1">
        <v>-2.945909137776149E-3</v>
      </c>
      <c r="D1073" s="2">
        <v>10336</v>
      </c>
      <c r="E1073" s="4">
        <v>31008</v>
      </c>
      <c r="F1073" s="4" t="s">
        <v>347</v>
      </c>
      <c r="G1073" s="4" t="s">
        <v>346</v>
      </c>
      <c r="H1073" t="s">
        <v>77</v>
      </c>
      <c r="I1073" t="s">
        <v>352</v>
      </c>
      <c r="J1073" s="3">
        <v>2014</v>
      </c>
      <c r="K1073" s="3">
        <v>2016</v>
      </c>
      <c r="L1073" s="6">
        <f t="shared" si="331"/>
        <v>2015</v>
      </c>
      <c r="M1073" s="6">
        <f t="shared" si="332"/>
        <v>2015</v>
      </c>
      <c r="N1073" s="7">
        <f t="shared" si="320"/>
        <v>0.33333333333333331</v>
      </c>
      <c r="O1073" s="7">
        <f t="shared" si="321"/>
        <v>0</v>
      </c>
      <c r="P1073" s="7">
        <f t="shared" si="322"/>
        <v>0</v>
      </c>
      <c r="Q1073" s="7">
        <f t="shared" si="333"/>
        <v>0</v>
      </c>
      <c r="R1073" s="10" t="str">
        <f t="shared" si="323"/>
        <v>0_Pre</v>
      </c>
      <c r="S1073" s="10" t="str">
        <f t="shared" si="324"/>
        <v>0_Pre</v>
      </c>
      <c r="T1073" s="10" t="str">
        <f t="shared" si="325"/>
        <v>0_Pre</v>
      </c>
      <c r="U1073" s="10" t="str">
        <f t="shared" si="326"/>
        <v>1_Post</v>
      </c>
      <c r="V1073" s="10" t="str">
        <f t="shared" si="334"/>
        <v>0_Pre</v>
      </c>
      <c r="W1073" s="10" t="str">
        <f t="shared" si="327"/>
        <v>straddle</v>
      </c>
      <c r="X1073" s="10" t="str">
        <f t="shared" si="328"/>
        <v>0_Pre</v>
      </c>
      <c r="Y1073" s="10" t="str">
        <f t="shared" si="329"/>
        <v>0_Pre</v>
      </c>
      <c r="Z1073" s="10" t="str">
        <f t="shared" si="330"/>
        <v>0_Pre</v>
      </c>
      <c r="AA1073" s="10" t="str">
        <f t="shared" si="335"/>
        <v>0_Pre</v>
      </c>
      <c r="AB1073" s="10" t="str">
        <f t="shared" si="336"/>
        <v>0_Pre</v>
      </c>
      <c r="AC1073" s="10" t="str">
        <f t="shared" si="337"/>
        <v>0_Pre</v>
      </c>
      <c r="AD1073" s="10" t="str">
        <f t="shared" si="338"/>
        <v>2_post sample median</v>
      </c>
      <c r="AE1073" s="10" t="str">
        <f t="shared" si="339"/>
        <v>3_post sample third tertile</v>
      </c>
      <c r="AF1073" t="s">
        <v>82</v>
      </c>
      <c r="AG1073" t="s">
        <v>75</v>
      </c>
      <c r="AH1073" t="s">
        <v>78</v>
      </c>
      <c r="AI1073" t="s">
        <v>122</v>
      </c>
      <c r="AJ1073" t="s">
        <v>122</v>
      </c>
      <c r="AK1073" t="str">
        <f>VLOOKUP(MID($AR1073,1,255),country_lookup!$B:$F,2,FALSE)</f>
        <v>1_US</v>
      </c>
      <c r="AL1073" t="str">
        <f>VLOOKUP(MID($AR1073,1,255),country_lookup!$B:$F,3,FALSE)</f>
        <v>1_developed</v>
      </c>
      <c r="AM1073" t="str">
        <f>VLOOKUP(MID($AR1073,1,255),country_lookup!$B:$F,4,FALSE)</f>
        <v>1_western</v>
      </c>
      <c r="AN1073" t="str">
        <f>VLOOKUP(MID($AR1073,1,255),country_lookup!$B:$F,5,FALSE)</f>
        <v>1_common law</v>
      </c>
      <c r="AO1073" s="10" t="str">
        <f>VLOOKUP(MID($AS1073,1,255),source_lookup!$B:$K,4,FALSE)</f>
        <v>1_not published</v>
      </c>
      <c r="AP1073" s="10" t="str">
        <f>VLOOKUP(MID($AS1073,1,255),source_lookup!$B:$K,6,FALSE)</f>
        <v>99_NA</v>
      </c>
      <c r="AQ1073" s="10" t="str">
        <f>VLOOKUP(MID($AS1073,1,255),source_lookup!$B:$K,10,FALSE)</f>
        <v>1_fin/acc/econ</v>
      </c>
      <c r="AR1073" t="s">
        <v>85</v>
      </c>
      <c r="AS1073" t="s">
        <v>175</v>
      </c>
    </row>
    <row r="1074" spans="1:45" x14ac:dyDescent="0.3">
      <c r="A1074" t="s">
        <v>52</v>
      </c>
      <c r="B1074">
        <v>1073</v>
      </c>
      <c r="C1074" s="1">
        <v>-5.0400195696799592E-3</v>
      </c>
      <c r="D1074" s="2">
        <v>4032</v>
      </c>
      <c r="E1074" s="4">
        <v>12096</v>
      </c>
      <c r="F1074" s="4" t="s">
        <v>347</v>
      </c>
      <c r="G1074" s="4" t="s">
        <v>346</v>
      </c>
      <c r="H1074" t="s">
        <v>77</v>
      </c>
      <c r="I1074" t="s">
        <v>352</v>
      </c>
      <c r="J1074" s="3">
        <v>2014</v>
      </c>
      <c r="K1074" s="3">
        <v>2016</v>
      </c>
      <c r="L1074" s="6">
        <f t="shared" si="331"/>
        <v>2015</v>
      </c>
      <c r="M1074" s="6">
        <f t="shared" si="332"/>
        <v>2015</v>
      </c>
      <c r="N1074" s="7">
        <f t="shared" si="320"/>
        <v>0.33333333333333331</v>
      </c>
      <c r="O1074" s="7">
        <f t="shared" si="321"/>
        <v>0</v>
      </c>
      <c r="P1074" s="7">
        <f t="shared" si="322"/>
        <v>0</v>
      </c>
      <c r="Q1074" s="7">
        <f t="shared" si="333"/>
        <v>0</v>
      </c>
      <c r="R1074" s="10" t="str">
        <f t="shared" si="323"/>
        <v>0_Pre</v>
      </c>
      <c r="S1074" s="10" t="str">
        <f t="shared" si="324"/>
        <v>0_Pre</v>
      </c>
      <c r="T1074" s="10" t="str">
        <f t="shared" si="325"/>
        <v>0_Pre</v>
      </c>
      <c r="U1074" s="10" t="str">
        <f t="shared" si="326"/>
        <v>1_Post</v>
      </c>
      <c r="V1074" s="10" t="str">
        <f t="shared" si="334"/>
        <v>0_Pre</v>
      </c>
      <c r="W1074" s="10" t="str">
        <f t="shared" si="327"/>
        <v>straddle</v>
      </c>
      <c r="X1074" s="10" t="str">
        <f t="shared" si="328"/>
        <v>0_Pre</v>
      </c>
      <c r="Y1074" s="10" t="str">
        <f t="shared" si="329"/>
        <v>0_Pre</v>
      </c>
      <c r="Z1074" s="10" t="str">
        <f t="shared" si="330"/>
        <v>0_Pre</v>
      </c>
      <c r="AA1074" s="10" t="str">
        <f t="shared" si="335"/>
        <v>0_Pre</v>
      </c>
      <c r="AB1074" s="10" t="str">
        <f t="shared" si="336"/>
        <v>0_Pre</v>
      </c>
      <c r="AC1074" s="10" t="str">
        <f t="shared" si="337"/>
        <v>0_Pre</v>
      </c>
      <c r="AD1074" s="10" t="str">
        <f t="shared" si="338"/>
        <v>2_post sample median</v>
      </c>
      <c r="AE1074" s="10" t="str">
        <f t="shared" si="339"/>
        <v>3_post sample third tertile</v>
      </c>
      <c r="AF1074" t="s">
        <v>82</v>
      </c>
      <c r="AG1074" t="s">
        <v>75</v>
      </c>
      <c r="AH1074" t="s">
        <v>78</v>
      </c>
      <c r="AI1074" t="s">
        <v>122</v>
      </c>
      <c r="AJ1074" t="s">
        <v>122</v>
      </c>
      <c r="AK1074" t="str">
        <f>VLOOKUP(MID($AR1074,1,255),country_lookup!$B:$F,2,FALSE)</f>
        <v>1_US</v>
      </c>
      <c r="AL1074" t="str">
        <f>VLOOKUP(MID($AR1074,1,255),country_lookup!$B:$F,3,FALSE)</f>
        <v>1_developed</v>
      </c>
      <c r="AM1074" t="str">
        <f>VLOOKUP(MID($AR1074,1,255),country_lookup!$B:$F,4,FALSE)</f>
        <v>1_western</v>
      </c>
      <c r="AN1074" t="str">
        <f>VLOOKUP(MID($AR1074,1,255),country_lookup!$B:$F,5,FALSE)</f>
        <v>1_common law</v>
      </c>
      <c r="AO1074" s="10" t="str">
        <f>VLOOKUP(MID($AS1074,1,255),source_lookup!$B:$K,4,FALSE)</f>
        <v>1_not published</v>
      </c>
      <c r="AP1074" s="10" t="str">
        <f>VLOOKUP(MID($AS1074,1,255),source_lookup!$B:$K,6,FALSE)</f>
        <v>99_NA</v>
      </c>
      <c r="AQ1074" s="10" t="str">
        <f>VLOOKUP(MID($AS1074,1,255),source_lookup!$B:$K,10,FALSE)</f>
        <v>1_fin/acc/econ</v>
      </c>
      <c r="AR1074" t="s">
        <v>85</v>
      </c>
      <c r="AS1074" t="s">
        <v>175</v>
      </c>
    </row>
    <row r="1075" spans="1:45" x14ac:dyDescent="0.3">
      <c r="A1075" t="s">
        <v>52</v>
      </c>
      <c r="B1075">
        <v>1074</v>
      </c>
      <c r="C1075" s="1">
        <v>-1.7140466848807649E-2</v>
      </c>
      <c r="D1075" s="2">
        <v>4032</v>
      </c>
      <c r="E1075" s="4">
        <v>12096</v>
      </c>
      <c r="F1075" s="4" t="s">
        <v>347</v>
      </c>
      <c r="G1075" s="4" t="s">
        <v>346</v>
      </c>
      <c r="H1075" t="s">
        <v>77</v>
      </c>
      <c r="I1075" t="s">
        <v>352</v>
      </c>
      <c r="J1075" s="3">
        <v>2014</v>
      </c>
      <c r="K1075" s="3">
        <v>2016</v>
      </c>
      <c r="L1075" s="6">
        <f t="shared" si="331"/>
        <v>2015</v>
      </c>
      <c r="M1075" s="6">
        <f t="shared" si="332"/>
        <v>2015</v>
      </c>
      <c r="N1075" s="7">
        <f t="shared" si="320"/>
        <v>0.33333333333333331</v>
      </c>
      <c r="O1075" s="7">
        <f t="shared" si="321"/>
        <v>0</v>
      </c>
      <c r="P1075" s="7">
        <f t="shared" si="322"/>
        <v>0</v>
      </c>
      <c r="Q1075" s="7">
        <f t="shared" si="333"/>
        <v>0</v>
      </c>
      <c r="R1075" s="10" t="str">
        <f t="shared" si="323"/>
        <v>0_Pre</v>
      </c>
      <c r="S1075" s="10" t="str">
        <f t="shared" si="324"/>
        <v>0_Pre</v>
      </c>
      <c r="T1075" s="10" t="str">
        <f t="shared" si="325"/>
        <v>0_Pre</v>
      </c>
      <c r="U1075" s="10" t="str">
        <f t="shared" si="326"/>
        <v>1_Post</v>
      </c>
      <c r="V1075" s="10" t="str">
        <f t="shared" si="334"/>
        <v>0_Pre</v>
      </c>
      <c r="W1075" s="10" t="str">
        <f t="shared" si="327"/>
        <v>straddle</v>
      </c>
      <c r="X1075" s="10" t="str">
        <f t="shared" si="328"/>
        <v>0_Pre</v>
      </c>
      <c r="Y1075" s="10" t="str">
        <f t="shared" si="329"/>
        <v>0_Pre</v>
      </c>
      <c r="Z1075" s="10" t="str">
        <f t="shared" si="330"/>
        <v>0_Pre</v>
      </c>
      <c r="AA1075" s="10" t="str">
        <f t="shared" si="335"/>
        <v>0_Pre</v>
      </c>
      <c r="AB1075" s="10" t="str">
        <f t="shared" si="336"/>
        <v>0_Pre</v>
      </c>
      <c r="AC1075" s="10" t="str">
        <f t="shared" si="337"/>
        <v>0_Pre</v>
      </c>
      <c r="AD1075" s="10" t="str">
        <f t="shared" si="338"/>
        <v>2_post sample median</v>
      </c>
      <c r="AE1075" s="10" t="str">
        <f t="shared" si="339"/>
        <v>3_post sample third tertile</v>
      </c>
      <c r="AF1075" t="s">
        <v>82</v>
      </c>
      <c r="AG1075" t="s">
        <v>75</v>
      </c>
      <c r="AH1075" t="s">
        <v>78</v>
      </c>
      <c r="AI1075" t="s">
        <v>122</v>
      </c>
      <c r="AJ1075" t="s">
        <v>122</v>
      </c>
      <c r="AK1075" t="str">
        <f>VLOOKUP(MID($AR1075,1,255),country_lookup!$B:$F,2,FALSE)</f>
        <v>1_US</v>
      </c>
      <c r="AL1075" t="str">
        <f>VLOOKUP(MID($AR1075,1,255),country_lookup!$B:$F,3,FALSE)</f>
        <v>1_developed</v>
      </c>
      <c r="AM1075" t="str">
        <f>VLOOKUP(MID($AR1075,1,255),country_lookup!$B:$F,4,FALSE)</f>
        <v>1_western</v>
      </c>
      <c r="AN1075" t="str">
        <f>VLOOKUP(MID($AR1075,1,255),country_lookup!$B:$F,5,FALSE)</f>
        <v>1_common law</v>
      </c>
      <c r="AO1075" s="10" t="str">
        <f>VLOOKUP(MID($AS1075,1,255),source_lookup!$B:$K,4,FALSE)</f>
        <v>1_not published</v>
      </c>
      <c r="AP1075" s="10" t="str">
        <f>VLOOKUP(MID($AS1075,1,255),source_lookup!$B:$K,6,FALSE)</f>
        <v>99_NA</v>
      </c>
      <c r="AQ1075" s="10" t="str">
        <f>VLOOKUP(MID($AS1075,1,255),source_lookup!$B:$K,10,FALSE)</f>
        <v>1_fin/acc/econ</v>
      </c>
      <c r="AR1075" t="s">
        <v>85</v>
      </c>
      <c r="AS1075" t="s">
        <v>175</v>
      </c>
    </row>
    <row r="1076" spans="1:45" x14ac:dyDescent="0.3">
      <c r="A1076" t="s">
        <v>52</v>
      </c>
      <c r="B1076">
        <v>1075</v>
      </c>
      <c r="C1076" s="1">
        <v>-1.2464435312558645E-2</v>
      </c>
      <c r="D1076" s="2">
        <v>4032</v>
      </c>
      <c r="E1076" s="4">
        <v>12096</v>
      </c>
      <c r="F1076" s="4" t="s">
        <v>347</v>
      </c>
      <c r="G1076" s="4" t="s">
        <v>346</v>
      </c>
      <c r="H1076" t="s">
        <v>77</v>
      </c>
      <c r="I1076" t="s">
        <v>352</v>
      </c>
      <c r="J1076" s="3">
        <v>2014</v>
      </c>
      <c r="K1076" s="3">
        <v>2016</v>
      </c>
      <c r="L1076" s="6">
        <f t="shared" si="331"/>
        <v>2015</v>
      </c>
      <c r="M1076" s="6">
        <f t="shared" si="332"/>
        <v>2015</v>
      </c>
      <c r="N1076" s="7">
        <f t="shared" si="320"/>
        <v>0.33333333333333331</v>
      </c>
      <c r="O1076" s="7">
        <f t="shared" si="321"/>
        <v>0</v>
      </c>
      <c r="P1076" s="7">
        <f t="shared" si="322"/>
        <v>0</v>
      </c>
      <c r="Q1076" s="7">
        <f t="shared" si="333"/>
        <v>0</v>
      </c>
      <c r="R1076" s="10" t="str">
        <f t="shared" si="323"/>
        <v>0_Pre</v>
      </c>
      <c r="S1076" s="10" t="str">
        <f t="shared" si="324"/>
        <v>0_Pre</v>
      </c>
      <c r="T1076" s="10" t="str">
        <f t="shared" si="325"/>
        <v>0_Pre</v>
      </c>
      <c r="U1076" s="10" t="str">
        <f t="shared" si="326"/>
        <v>1_Post</v>
      </c>
      <c r="V1076" s="10" t="str">
        <f t="shared" si="334"/>
        <v>0_Pre</v>
      </c>
      <c r="W1076" s="10" t="str">
        <f t="shared" si="327"/>
        <v>straddle</v>
      </c>
      <c r="X1076" s="10" t="str">
        <f t="shared" si="328"/>
        <v>0_Pre</v>
      </c>
      <c r="Y1076" s="10" t="str">
        <f t="shared" si="329"/>
        <v>0_Pre</v>
      </c>
      <c r="Z1076" s="10" t="str">
        <f t="shared" si="330"/>
        <v>0_Pre</v>
      </c>
      <c r="AA1076" s="10" t="str">
        <f t="shared" si="335"/>
        <v>0_Pre</v>
      </c>
      <c r="AB1076" s="10" t="str">
        <f t="shared" si="336"/>
        <v>0_Pre</v>
      </c>
      <c r="AC1076" s="10" t="str">
        <f t="shared" si="337"/>
        <v>0_Pre</v>
      </c>
      <c r="AD1076" s="10" t="str">
        <f t="shared" si="338"/>
        <v>2_post sample median</v>
      </c>
      <c r="AE1076" s="10" t="str">
        <f t="shared" si="339"/>
        <v>3_post sample third tertile</v>
      </c>
      <c r="AF1076" t="s">
        <v>82</v>
      </c>
      <c r="AG1076" t="s">
        <v>75</v>
      </c>
      <c r="AH1076" t="s">
        <v>78</v>
      </c>
      <c r="AI1076" t="s">
        <v>122</v>
      </c>
      <c r="AJ1076" t="s">
        <v>122</v>
      </c>
      <c r="AK1076" t="str">
        <f>VLOOKUP(MID($AR1076,1,255),country_lookup!$B:$F,2,FALSE)</f>
        <v>1_US</v>
      </c>
      <c r="AL1076" t="str">
        <f>VLOOKUP(MID($AR1076,1,255),country_lookup!$B:$F,3,FALSE)</f>
        <v>1_developed</v>
      </c>
      <c r="AM1076" t="str">
        <f>VLOOKUP(MID($AR1076,1,255),country_lookup!$B:$F,4,FALSE)</f>
        <v>1_western</v>
      </c>
      <c r="AN1076" t="str">
        <f>VLOOKUP(MID($AR1076,1,255),country_lookup!$B:$F,5,FALSE)</f>
        <v>1_common law</v>
      </c>
      <c r="AO1076" s="10" t="str">
        <f>VLOOKUP(MID($AS1076,1,255),source_lookup!$B:$K,4,FALSE)</f>
        <v>1_not published</v>
      </c>
      <c r="AP1076" s="10" t="str">
        <f>VLOOKUP(MID($AS1076,1,255),source_lookup!$B:$K,6,FALSE)</f>
        <v>99_NA</v>
      </c>
      <c r="AQ1076" s="10" t="str">
        <f>VLOOKUP(MID($AS1076,1,255),source_lookup!$B:$K,10,FALSE)</f>
        <v>1_fin/acc/econ</v>
      </c>
      <c r="AR1076" t="s">
        <v>85</v>
      </c>
      <c r="AS1076" t="s">
        <v>175</v>
      </c>
    </row>
    <row r="1077" spans="1:45" x14ac:dyDescent="0.3">
      <c r="A1077" t="s">
        <v>52</v>
      </c>
      <c r="B1077">
        <v>1076</v>
      </c>
      <c r="C1077" s="1">
        <v>-1.0777473795394543E-2</v>
      </c>
      <c r="D1077" s="2">
        <v>3472</v>
      </c>
      <c r="E1077" s="4">
        <v>10416</v>
      </c>
      <c r="F1077" s="4" t="s">
        <v>347</v>
      </c>
      <c r="G1077" s="4" t="s">
        <v>346</v>
      </c>
      <c r="H1077" t="s">
        <v>77</v>
      </c>
      <c r="I1077" t="s">
        <v>352</v>
      </c>
      <c r="J1077" s="3">
        <v>2014</v>
      </c>
      <c r="K1077" s="3">
        <v>2016</v>
      </c>
      <c r="L1077" s="6">
        <f t="shared" si="331"/>
        <v>2015</v>
      </c>
      <c r="M1077" s="6">
        <f t="shared" si="332"/>
        <v>2015</v>
      </c>
      <c r="N1077" s="7">
        <f t="shared" si="320"/>
        <v>0.33333333333333331</v>
      </c>
      <c r="O1077" s="7">
        <f t="shared" si="321"/>
        <v>0</v>
      </c>
      <c r="P1077" s="7">
        <f t="shared" si="322"/>
        <v>0</v>
      </c>
      <c r="Q1077" s="7">
        <f t="shared" si="333"/>
        <v>0</v>
      </c>
      <c r="R1077" s="10" t="str">
        <f t="shared" si="323"/>
        <v>0_Pre</v>
      </c>
      <c r="S1077" s="10" t="str">
        <f t="shared" si="324"/>
        <v>0_Pre</v>
      </c>
      <c r="T1077" s="10" t="str">
        <f t="shared" si="325"/>
        <v>0_Pre</v>
      </c>
      <c r="U1077" s="10" t="str">
        <f t="shared" si="326"/>
        <v>1_Post</v>
      </c>
      <c r="V1077" s="10" t="str">
        <f t="shared" si="334"/>
        <v>0_Pre</v>
      </c>
      <c r="W1077" s="10" t="str">
        <f t="shared" si="327"/>
        <v>straddle</v>
      </c>
      <c r="X1077" s="10" t="str">
        <f t="shared" si="328"/>
        <v>0_Pre</v>
      </c>
      <c r="Y1077" s="10" t="str">
        <f t="shared" si="329"/>
        <v>0_Pre</v>
      </c>
      <c r="Z1077" s="10" t="str">
        <f t="shared" si="330"/>
        <v>0_Pre</v>
      </c>
      <c r="AA1077" s="10" t="str">
        <f t="shared" si="335"/>
        <v>0_Pre</v>
      </c>
      <c r="AB1077" s="10" t="str">
        <f t="shared" si="336"/>
        <v>0_Pre</v>
      </c>
      <c r="AC1077" s="10" t="str">
        <f t="shared" si="337"/>
        <v>0_Pre</v>
      </c>
      <c r="AD1077" s="10" t="str">
        <f t="shared" si="338"/>
        <v>2_post sample median</v>
      </c>
      <c r="AE1077" s="10" t="str">
        <f t="shared" si="339"/>
        <v>3_post sample third tertile</v>
      </c>
      <c r="AF1077" t="s">
        <v>82</v>
      </c>
      <c r="AG1077" t="s">
        <v>75</v>
      </c>
      <c r="AH1077" t="s">
        <v>78</v>
      </c>
      <c r="AI1077" t="s">
        <v>122</v>
      </c>
      <c r="AJ1077" t="s">
        <v>122</v>
      </c>
      <c r="AK1077" t="str">
        <f>VLOOKUP(MID($AR1077,1,255),country_lookup!$B:$F,2,FALSE)</f>
        <v>1_US</v>
      </c>
      <c r="AL1077" t="str">
        <f>VLOOKUP(MID($AR1077,1,255),country_lookup!$B:$F,3,FALSE)</f>
        <v>1_developed</v>
      </c>
      <c r="AM1077" t="str">
        <f>VLOOKUP(MID($AR1077,1,255),country_lookup!$B:$F,4,FALSE)</f>
        <v>1_western</v>
      </c>
      <c r="AN1077" t="str">
        <f>VLOOKUP(MID($AR1077,1,255),country_lookup!$B:$F,5,FALSE)</f>
        <v>1_common law</v>
      </c>
      <c r="AO1077" s="10" t="str">
        <f>VLOOKUP(MID($AS1077,1,255),source_lookup!$B:$K,4,FALSE)</f>
        <v>1_not published</v>
      </c>
      <c r="AP1077" s="10" t="str">
        <f>VLOOKUP(MID($AS1077,1,255),source_lookup!$B:$K,6,FALSE)</f>
        <v>99_NA</v>
      </c>
      <c r="AQ1077" s="10" t="str">
        <f>VLOOKUP(MID($AS1077,1,255),source_lookup!$B:$K,10,FALSE)</f>
        <v>1_fin/acc/econ</v>
      </c>
      <c r="AR1077" t="s">
        <v>85</v>
      </c>
      <c r="AS1077" t="s">
        <v>175</v>
      </c>
    </row>
    <row r="1078" spans="1:45" x14ac:dyDescent="0.3">
      <c r="A1078" t="s">
        <v>52</v>
      </c>
      <c r="B1078">
        <v>1077</v>
      </c>
      <c r="C1078" s="1">
        <v>-2.0033887091476799E-2</v>
      </c>
      <c r="D1078" s="2">
        <v>3472</v>
      </c>
      <c r="E1078" s="4">
        <v>10416</v>
      </c>
      <c r="F1078" s="4" t="s">
        <v>347</v>
      </c>
      <c r="G1078" s="4" t="s">
        <v>346</v>
      </c>
      <c r="H1078" t="s">
        <v>77</v>
      </c>
      <c r="I1078" t="s">
        <v>352</v>
      </c>
      <c r="J1078" s="3">
        <v>2014</v>
      </c>
      <c r="K1078" s="3">
        <v>2016</v>
      </c>
      <c r="L1078" s="6">
        <f t="shared" si="331"/>
        <v>2015</v>
      </c>
      <c r="M1078" s="6">
        <f t="shared" si="332"/>
        <v>2015</v>
      </c>
      <c r="N1078" s="7">
        <f t="shared" si="320"/>
        <v>0.33333333333333331</v>
      </c>
      <c r="O1078" s="7">
        <f t="shared" si="321"/>
        <v>0</v>
      </c>
      <c r="P1078" s="7">
        <f t="shared" si="322"/>
        <v>0</v>
      </c>
      <c r="Q1078" s="7">
        <f t="shared" si="333"/>
        <v>0</v>
      </c>
      <c r="R1078" s="10" t="str">
        <f t="shared" si="323"/>
        <v>0_Pre</v>
      </c>
      <c r="S1078" s="10" t="str">
        <f t="shared" si="324"/>
        <v>0_Pre</v>
      </c>
      <c r="T1078" s="10" t="str">
        <f t="shared" si="325"/>
        <v>0_Pre</v>
      </c>
      <c r="U1078" s="10" t="str">
        <f t="shared" si="326"/>
        <v>1_Post</v>
      </c>
      <c r="V1078" s="10" t="str">
        <f t="shared" si="334"/>
        <v>0_Pre</v>
      </c>
      <c r="W1078" s="10" t="str">
        <f t="shared" si="327"/>
        <v>straddle</v>
      </c>
      <c r="X1078" s="10" t="str">
        <f t="shared" si="328"/>
        <v>0_Pre</v>
      </c>
      <c r="Y1078" s="10" t="str">
        <f t="shared" si="329"/>
        <v>0_Pre</v>
      </c>
      <c r="Z1078" s="10" t="str">
        <f t="shared" si="330"/>
        <v>0_Pre</v>
      </c>
      <c r="AA1078" s="10" t="str">
        <f t="shared" si="335"/>
        <v>0_Pre</v>
      </c>
      <c r="AB1078" s="10" t="str">
        <f t="shared" si="336"/>
        <v>0_Pre</v>
      </c>
      <c r="AC1078" s="10" t="str">
        <f t="shared" si="337"/>
        <v>0_Pre</v>
      </c>
      <c r="AD1078" s="10" t="str">
        <f t="shared" si="338"/>
        <v>2_post sample median</v>
      </c>
      <c r="AE1078" s="10" t="str">
        <f t="shared" si="339"/>
        <v>3_post sample third tertile</v>
      </c>
      <c r="AF1078" t="s">
        <v>82</v>
      </c>
      <c r="AG1078" t="s">
        <v>75</v>
      </c>
      <c r="AH1078" t="s">
        <v>78</v>
      </c>
      <c r="AI1078" t="s">
        <v>122</v>
      </c>
      <c r="AJ1078" t="s">
        <v>122</v>
      </c>
      <c r="AK1078" t="str">
        <f>VLOOKUP(MID($AR1078,1,255),country_lookup!$B:$F,2,FALSE)</f>
        <v>1_US</v>
      </c>
      <c r="AL1078" t="str">
        <f>VLOOKUP(MID($AR1078,1,255),country_lookup!$B:$F,3,FALSE)</f>
        <v>1_developed</v>
      </c>
      <c r="AM1078" t="str">
        <f>VLOOKUP(MID($AR1078,1,255),country_lookup!$B:$F,4,FALSE)</f>
        <v>1_western</v>
      </c>
      <c r="AN1078" t="str">
        <f>VLOOKUP(MID($AR1078,1,255),country_lookup!$B:$F,5,FALSE)</f>
        <v>1_common law</v>
      </c>
      <c r="AO1078" s="10" t="str">
        <f>VLOOKUP(MID($AS1078,1,255),source_lookup!$B:$K,4,FALSE)</f>
        <v>1_not published</v>
      </c>
      <c r="AP1078" s="10" t="str">
        <f>VLOOKUP(MID($AS1078,1,255),source_lookup!$B:$K,6,FALSE)</f>
        <v>99_NA</v>
      </c>
      <c r="AQ1078" s="10" t="str">
        <f>VLOOKUP(MID($AS1078,1,255),source_lookup!$B:$K,10,FALSE)</f>
        <v>1_fin/acc/econ</v>
      </c>
      <c r="AR1078" t="s">
        <v>85</v>
      </c>
      <c r="AS1078" t="s">
        <v>175</v>
      </c>
    </row>
    <row r="1079" spans="1:45" x14ac:dyDescent="0.3">
      <c r="A1079" t="s">
        <v>52</v>
      </c>
      <c r="B1079">
        <v>1078</v>
      </c>
      <c r="C1079" s="1">
        <v>-9.6435205737267875E-3</v>
      </c>
      <c r="D1079" s="2">
        <v>3472</v>
      </c>
      <c r="E1079" s="4">
        <v>10416</v>
      </c>
      <c r="F1079" s="4" t="s">
        <v>347</v>
      </c>
      <c r="G1079" s="4" t="s">
        <v>346</v>
      </c>
      <c r="H1079" t="s">
        <v>77</v>
      </c>
      <c r="I1079" t="s">
        <v>352</v>
      </c>
      <c r="J1079" s="3">
        <v>2014</v>
      </c>
      <c r="K1079" s="3">
        <v>2016</v>
      </c>
      <c r="L1079" s="6">
        <f t="shared" si="331"/>
        <v>2015</v>
      </c>
      <c r="M1079" s="6">
        <f t="shared" si="332"/>
        <v>2015</v>
      </c>
      <c r="N1079" s="7">
        <f t="shared" si="320"/>
        <v>0.33333333333333331</v>
      </c>
      <c r="O1079" s="7">
        <f t="shared" si="321"/>
        <v>0</v>
      </c>
      <c r="P1079" s="7">
        <f t="shared" si="322"/>
        <v>0</v>
      </c>
      <c r="Q1079" s="7">
        <f t="shared" si="333"/>
        <v>0</v>
      </c>
      <c r="R1079" s="10" t="str">
        <f t="shared" si="323"/>
        <v>0_Pre</v>
      </c>
      <c r="S1079" s="10" t="str">
        <f t="shared" si="324"/>
        <v>0_Pre</v>
      </c>
      <c r="T1079" s="10" t="str">
        <f t="shared" si="325"/>
        <v>0_Pre</v>
      </c>
      <c r="U1079" s="10" t="str">
        <f t="shared" si="326"/>
        <v>1_Post</v>
      </c>
      <c r="V1079" s="10" t="str">
        <f t="shared" si="334"/>
        <v>0_Pre</v>
      </c>
      <c r="W1079" s="10" t="str">
        <f t="shared" si="327"/>
        <v>straddle</v>
      </c>
      <c r="X1079" s="10" t="str">
        <f t="shared" si="328"/>
        <v>0_Pre</v>
      </c>
      <c r="Y1079" s="10" t="str">
        <f t="shared" si="329"/>
        <v>0_Pre</v>
      </c>
      <c r="Z1079" s="10" t="str">
        <f t="shared" si="330"/>
        <v>0_Pre</v>
      </c>
      <c r="AA1079" s="10" t="str">
        <f t="shared" si="335"/>
        <v>0_Pre</v>
      </c>
      <c r="AB1079" s="10" t="str">
        <f t="shared" si="336"/>
        <v>0_Pre</v>
      </c>
      <c r="AC1079" s="10" t="str">
        <f t="shared" si="337"/>
        <v>0_Pre</v>
      </c>
      <c r="AD1079" s="10" t="str">
        <f t="shared" si="338"/>
        <v>2_post sample median</v>
      </c>
      <c r="AE1079" s="10" t="str">
        <f t="shared" si="339"/>
        <v>3_post sample third tertile</v>
      </c>
      <c r="AF1079" t="s">
        <v>82</v>
      </c>
      <c r="AG1079" t="s">
        <v>75</v>
      </c>
      <c r="AH1079" t="s">
        <v>78</v>
      </c>
      <c r="AI1079" t="s">
        <v>122</v>
      </c>
      <c r="AJ1079" t="s">
        <v>122</v>
      </c>
      <c r="AK1079" t="str">
        <f>VLOOKUP(MID($AR1079,1,255),country_lookup!$B:$F,2,FALSE)</f>
        <v>1_US</v>
      </c>
      <c r="AL1079" t="str">
        <f>VLOOKUP(MID($AR1079,1,255),country_lookup!$B:$F,3,FALSE)</f>
        <v>1_developed</v>
      </c>
      <c r="AM1079" t="str">
        <f>VLOOKUP(MID($AR1079,1,255),country_lookup!$B:$F,4,FALSE)</f>
        <v>1_western</v>
      </c>
      <c r="AN1079" t="str">
        <f>VLOOKUP(MID($AR1079,1,255),country_lookup!$B:$F,5,FALSE)</f>
        <v>1_common law</v>
      </c>
      <c r="AO1079" s="10" t="str">
        <f>VLOOKUP(MID($AS1079,1,255),source_lookup!$B:$K,4,FALSE)</f>
        <v>1_not published</v>
      </c>
      <c r="AP1079" s="10" t="str">
        <f>VLOOKUP(MID($AS1079,1,255),source_lookup!$B:$K,6,FALSE)</f>
        <v>99_NA</v>
      </c>
      <c r="AQ1079" s="10" t="str">
        <f>VLOOKUP(MID($AS1079,1,255),source_lookup!$B:$K,10,FALSE)</f>
        <v>1_fin/acc/econ</v>
      </c>
      <c r="AR1079" t="s">
        <v>85</v>
      </c>
      <c r="AS1079" t="s">
        <v>175</v>
      </c>
    </row>
    <row r="1080" spans="1:45" x14ac:dyDescent="0.3">
      <c r="A1080" t="s">
        <v>52</v>
      </c>
      <c r="B1080">
        <v>1079</v>
      </c>
      <c r="C1080" s="1">
        <v>-9.6184917262083589E-3</v>
      </c>
      <c r="D1080" s="2">
        <v>7518</v>
      </c>
      <c r="E1080" s="4">
        <v>15036</v>
      </c>
      <c r="F1080" s="4" t="s">
        <v>347</v>
      </c>
      <c r="G1080" s="4" t="s">
        <v>346</v>
      </c>
      <c r="H1080" t="s">
        <v>77</v>
      </c>
      <c r="I1080" t="s">
        <v>352</v>
      </c>
      <c r="J1080" s="3">
        <v>2016</v>
      </c>
      <c r="K1080" s="3">
        <v>2017</v>
      </c>
      <c r="L1080" s="6">
        <f t="shared" si="331"/>
        <v>2016.5</v>
      </c>
      <c r="M1080" s="6">
        <f t="shared" si="332"/>
        <v>2016.5</v>
      </c>
      <c r="N1080" s="7">
        <f t="shared" si="320"/>
        <v>1</v>
      </c>
      <c r="O1080" s="7">
        <f t="shared" si="321"/>
        <v>0.5</v>
      </c>
      <c r="P1080" s="7">
        <f t="shared" si="322"/>
        <v>0</v>
      </c>
      <c r="Q1080" s="7">
        <f t="shared" si="333"/>
        <v>0</v>
      </c>
      <c r="R1080" s="10" t="str">
        <f t="shared" si="323"/>
        <v>1_Post</v>
      </c>
      <c r="S1080" s="10" t="str">
        <f t="shared" si="324"/>
        <v>1_Post</v>
      </c>
      <c r="T1080" s="10" t="str">
        <f t="shared" si="325"/>
        <v>1_Post</v>
      </c>
      <c r="U1080" s="10" t="str">
        <f t="shared" si="326"/>
        <v>1_Post</v>
      </c>
      <c r="V1080" s="10" t="str">
        <f t="shared" si="334"/>
        <v>0_Pre</v>
      </c>
      <c r="W1080" s="10" t="str">
        <f t="shared" si="327"/>
        <v>clean_post</v>
      </c>
      <c r="X1080" s="10" t="str">
        <f t="shared" si="328"/>
        <v>1_Post</v>
      </c>
      <c r="Y1080" s="10" t="str">
        <f t="shared" si="329"/>
        <v>0_Pre</v>
      </c>
      <c r="Z1080" s="10" t="str">
        <f t="shared" si="330"/>
        <v>0_Pre</v>
      </c>
      <c r="AA1080" s="10" t="str">
        <f t="shared" si="335"/>
        <v>1_Post</v>
      </c>
      <c r="AB1080" s="10" t="str">
        <f t="shared" si="336"/>
        <v>0_Pre</v>
      </c>
      <c r="AC1080" s="10" t="str">
        <f t="shared" si="337"/>
        <v>0_Pre</v>
      </c>
      <c r="AD1080" s="10" t="str">
        <f t="shared" si="338"/>
        <v>2_post sample median</v>
      </c>
      <c r="AE1080" s="10" t="str">
        <f t="shared" si="339"/>
        <v>3_post sample third tertile</v>
      </c>
      <c r="AF1080" t="s">
        <v>67</v>
      </c>
      <c r="AG1080" t="s">
        <v>75</v>
      </c>
      <c r="AH1080" t="s">
        <v>78</v>
      </c>
      <c r="AI1080" t="s">
        <v>122</v>
      </c>
      <c r="AJ1080" t="s">
        <v>122</v>
      </c>
      <c r="AK1080" t="str">
        <f>VLOOKUP(MID($AR1080,1,255),country_lookup!$B:$F,2,FALSE)</f>
        <v>1_US</v>
      </c>
      <c r="AL1080" t="str">
        <f>VLOOKUP(MID($AR1080,1,255),country_lookup!$B:$F,3,FALSE)</f>
        <v>1_developed</v>
      </c>
      <c r="AM1080" t="str">
        <f>VLOOKUP(MID($AR1080,1,255),country_lookup!$B:$F,4,FALSE)</f>
        <v>1_western</v>
      </c>
      <c r="AN1080" t="str">
        <f>VLOOKUP(MID($AR1080,1,255),country_lookup!$B:$F,5,FALSE)</f>
        <v>1_common law</v>
      </c>
      <c r="AO1080" s="10" t="str">
        <f>VLOOKUP(MID($AS1080,1,255),source_lookup!$B:$K,4,FALSE)</f>
        <v>1_not published</v>
      </c>
      <c r="AP1080" s="10" t="str">
        <f>VLOOKUP(MID($AS1080,1,255),source_lookup!$B:$K,6,FALSE)</f>
        <v>99_NA</v>
      </c>
      <c r="AQ1080" s="10" t="str">
        <f>VLOOKUP(MID($AS1080,1,255),source_lookup!$B:$K,10,FALSE)</f>
        <v>1_fin/acc/econ</v>
      </c>
      <c r="AR1080" t="s">
        <v>85</v>
      </c>
      <c r="AS1080" t="s">
        <v>175</v>
      </c>
    </row>
    <row r="1081" spans="1:45" x14ac:dyDescent="0.3">
      <c r="A1081" t="s">
        <v>52</v>
      </c>
      <c r="B1081">
        <v>1080</v>
      </c>
      <c r="C1081" s="1">
        <v>-3.2620568246375446E-3</v>
      </c>
      <c r="D1081" s="2">
        <v>7518</v>
      </c>
      <c r="E1081" s="4">
        <v>15036</v>
      </c>
      <c r="F1081" s="4" t="s">
        <v>347</v>
      </c>
      <c r="G1081" s="4" t="s">
        <v>346</v>
      </c>
      <c r="H1081" t="s">
        <v>77</v>
      </c>
      <c r="I1081" t="s">
        <v>352</v>
      </c>
      <c r="J1081" s="3">
        <v>2016</v>
      </c>
      <c r="K1081" s="3">
        <v>2017</v>
      </c>
      <c r="L1081" s="6">
        <f t="shared" si="331"/>
        <v>2016.5</v>
      </c>
      <c r="M1081" s="6">
        <f t="shared" si="332"/>
        <v>2016.5</v>
      </c>
      <c r="N1081" s="7">
        <f t="shared" si="320"/>
        <v>1</v>
      </c>
      <c r="O1081" s="7">
        <f t="shared" si="321"/>
        <v>0.5</v>
      </c>
      <c r="P1081" s="7">
        <f t="shared" si="322"/>
        <v>0</v>
      </c>
      <c r="Q1081" s="7">
        <f t="shared" si="333"/>
        <v>0</v>
      </c>
      <c r="R1081" s="10" t="str">
        <f t="shared" si="323"/>
        <v>1_Post</v>
      </c>
      <c r="S1081" s="10" t="str">
        <f t="shared" si="324"/>
        <v>1_Post</v>
      </c>
      <c r="T1081" s="10" t="str">
        <f t="shared" si="325"/>
        <v>1_Post</v>
      </c>
      <c r="U1081" s="10" t="str">
        <f t="shared" si="326"/>
        <v>1_Post</v>
      </c>
      <c r="V1081" s="10" t="str">
        <f t="shared" si="334"/>
        <v>0_Pre</v>
      </c>
      <c r="W1081" s="10" t="str">
        <f t="shared" si="327"/>
        <v>clean_post</v>
      </c>
      <c r="X1081" s="10" t="str">
        <f t="shared" si="328"/>
        <v>1_Post</v>
      </c>
      <c r="Y1081" s="10" t="str">
        <f t="shared" si="329"/>
        <v>0_Pre</v>
      </c>
      <c r="Z1081" s="10" t="str">
        <f t="shared" si="330"/>
        <v>0_Pre</v>
      </c>
      <c r="AA1081" s="10" t="str">
        <f t="shared" si="335"/>
        <v>1_Post</v>
      </c>
      <c r="AB1081" s="10" t="str">
        <f t="shared" si="336"/>
        <v>0_Pre</v>
      </c>
      <c r="AC1081" s="10" t="str">
        <f t="shared" si="337"/>
        <v>0_Pre</v>
      </c>
      <c r="AD1081" s="10" t="str">
        <f t="shared" si="338"/>
        <v>2_post sample median</v>
      </c>
      <c r="AE1081" s="10" t="str">
        <f t="shared" si="339"/>
        <v>3_post sample third tertile</v>
      </c>
      <c r="AF1081" t="s">
        <v>67</v>
      </c>
      <c r="AG1081" t="s">
        <v>75</v>
      </c>
      <c r="AH1081" t="s">
        <v>78</v>
      </c>
      <c r="AI1081" t="s">
        <v>122</v>
      </c>
      <c r="AJ1081" t="s">
        <v>122</v>
      </c>
      <c r="AK1081" t="str">
        <f>VLOOKUP(MID($AR1081,1,255),country_lookup!$B:$F,2,FALSE)</f>
        <v>1_US</v>
      </c>
      <c r="AL1081" t="str">
        <f>VLOOKUP(MID($AR1081,1,255),country_lookup!$B:$F,3,FALSE)</f>
        <v>1_developed</v>
      </c>
      <c r="AM1081" t="str">
        <f>VLOOKUP(MID($AR1081,1,255),country_lookup!$B:$F,4,FALSE)</f>
        <v>1_western</v>
      </c>
      <c r="AN1081" t="str">
        <f>VLOOKUP(MID($AR1081,1,255),country_lookup!$B:$F,5,FALSE)</f>
        <v>1_common law</v>
      </c>
      <c r="AO1081" s="10" t="str">
        <f>VLOOKUP(MID($AS1081,1,255),source_lookup!$B:$K,4,FALSE)</f>
        <v>1_not published</v>
      </c>
      <c r="AP1081" s="10" t="str">
        <f>VLOOKUP(MID($AS1081,1,255),source_lookup!$B:$K,6,FALSE)</f>
        <v>99_NA</v>
      </c>
      <c r="AQ1081" s="10" t="str">
        <f>VLOOKUP(MID($AS1081,1,255),source_lookup!$B:$K,10,FALSE)</f>
        <v>1_fin/acc/econ</v>
      </c>
      <c r="AR1081" t="s">
        <v>85</v>
      </c>
      <c r="AS1081" t="s">
        <v>175</v>
      </c>
    </row>
    <row r="1082" spans="1:45" x14ac:dyDescent="0.3">
      <c r="A1082" t="s">
        <v>52</v>
      </c>
      <c r="B1082">
        <v>1081</v>
      </c>
      <c r="C1082" s="1">
        <v>8.3934787332010912E-3</v>
      </c>
      <c r="D1082" s="2">
        <v>5352</v>
      </c>
      <c r="E1082" s="4">
        <v>10704</v>
      </c>
      <c r="F1082" s="4" t="s">
        <v>347</v>
      </c>
      <c r="G1082" s="4" t="s">
        <v>346</v>
      </c>
      <c r="H1082" t="s">
        <v>77</v>
      </c>
      <c r="I1082" t="s">
        <v>352</v>
      </c>
      <c r="J1082" s="3">
        <v>2016</v>
      </c>
      <c r="K1082" s="3">
        <v>2017</v>
      </c>
      <c r="L1082" s="6">
        <f t="shared" si="331"/>
        <v>2016.5</v>
      </c>
      <c r="M1082" s="6">
        <f t="shared" si="332"/>
        <v>2016.5</v>
      </c>
      <c r="N1082" s="7">
        <f t="shared" si="320"/>
        <v>1</v>
      </c>
      <c r="O1082" s="7">
        <f t="shared" si="321"/>
        <v>0.5</v>
      </c>
      <c r="P1082" s="7">
        <f t="shared" si="322"/>
        <v>0</v>
      </c>
      <c r="Q1082" s="7">
        <f t="shared" si="333"/>
        <v>0</v>
      </c>
      <c r="R1082" s="10" t="str">
        <f t="shared" si="323"/>
        <v>1_Post</v>
      </c>
      <c r="S1082" s="10" t="str">
        <f t="shared" si="324"/>
        <v>1_Post</v>
      </c>
      <c r="T1082" s="10" t="str">
        <f t="shared" si="325"/>
        <v>1_Post</v>
      </c>
      <c r="U1082" s="10" t="str">
        <f t="shared" si="326"/>
        <v>1_Post</v>
      </c>
      <c r="V1082" s="10" t="str">
        <f t="shared" si="334"/>
        <v>0_Pre</v>
      </c>
      <c r="W1082" s="10" t="str">
        <f t="shared" si="327"/>
        <v>clean_post</v>
      </c>
      <c r="X1082" s="10" t="str">
        <f t="shared" si="328"/>
        <v>1_Post</v>
      </c>
      <c r="Y1082" s="10" t="str">
        <f t="shared" si="329"/>
        <v>0_Pre</v>
      </c>
      <c r="Z1082" s="10" t="str">
        <f t="shared" si="330"/>
        <v>0_Pre</v>
      </c>
      <c r="AA1082" s="10" t="str">
        <f t="shared" si="335"/>
        <v>1_Post</v>
      </c>
      <c r="AB1082" s="10" t="str">
        <f t="shared" si="336"/>
        <v>0_Pre</v>
      </c>
      <c r="AC1082" s="10" t="str">
        <f t="shared" si="337"/>
        <v>0_Pre</v>
      </c>
      <c r="AD1082" s="10" t="str">
        <f t="shared" si="338"/>
        <v>2_post sample median</v>
      </c>
      <c r="AE1082" s="10" t="str">
        <f t="shared" si="339"/>
        <v>3_post sample third tertile</v>
      </c>
      <c r="AF1082" t="s">
        <v>67</v>
      </c>
      <c r="AG1082" t="s">
        <v>75</v>
      </c>
      <c r="AH1082" t="s">
        <v>78</v>
      </c>
      <c r="AI1082" t="s">
        <v>122</v>
      </c>
      <c r="AJ1082" t="s">
        <v>122</v>
      </c>
      <c r="AK1082" t="str">
        <f>VLOOKUP(MID($AR1082,1,255),country_lookup!$B:$F,2,FALSE)</f>
        <v>1_US</v>
      </c>
      <c r="AL1082" t="str">
        <f>VLOOKUP(MID($AR1082,1,255),country_lookup!$B:$F,3,FALSE)</f>
        <v>1_developed</v>
      </c>
      <c r="AM1082" t="str">
        <f>VLOOKUP(MID($AR1082,1,255),country_lookup!$B:$F,4,FALSE)</f>
        <v>1_western</v>
      </c>
      <c r="AN1082" t="str">
        <f>VLOOKUP(MID($AR1082,1,255),country_lookup!$B:$F,5,FALSE)</f>
        <v>1_common law</v>
      </c>
      <c r="AO1082" s="10" t="str">
        <f>VLOOKUP(MID($AS1082,1,255),source_lookup!$B:$K,4,FALSE)</f>
        <v>1_not published</v>
      </c>
      <c r="AP1082" s="10" t="str">
        <f>VLOOKUP(MID($AS1082,1,255),source_lookup!$B:$K,6,FALSE)</f>
        <v>99_NA</v>
      </c>
      <c r="AQ1082" s="10" t="str">
        <f>VLOOKUP(MID($AS1082,1,255),source_lookup!$B:$K,10,FALSE)</f>
        <v>1_fin/acc/econ</v>
      </c>
      <c r="AR1082" t="s">
        <v>85</v>
      </c>
      <c r="AS1082" t="s">
        <v>175</v>
      </c>
    </row>
    <row r="1083" spans="1:45" x14ac:dyDescent="0.3">
      <c r="A1083" t="s">
        <v>52</v>
      </c>
      <c r="B1083">
        <v>1082</v>
      </c>
      <c r="C1083" s="1">
        <v>1.202738044723574E-2</v>
      </c>
      <c r="D1083" s="2">
        <v>5352</v>
      </c>
      <c r="E1083" s="4">
        <v>10704</v>
      </c>
      <c r="F1083" s="4" t="s">
        <v>347</v>
      </c>
      <c r="G1083" s="4" t="s">
        <v>346</v>
      </c>
      <c r="H1083" t="s">
        <v>77</v>
      </c>
      <c r="I1083" t="s">
        <v>352</v>
      </c>
      <c r="J1083" s="3">
        <v>2016</v>
      </c>
      <c r="K1083" s="3">
        <v>2017</v>
      </c>
      <c r="L1083" s="6">
        <f t="shared" si="331"/>
        <v>2016.5</v>
      </c>
      <c r="M1083" s="6">
        <f t="shared" si="332"/>
        <v>2016.5</v>
      </c>
      <c r="N1083" s="7">
        <f t="shared" si="320"/>
        <v>1</v>
      </c>
      <c r="O1083" s="7">
        <f t="shared" si="321"/>
        <v>0.5</v>
      </c>
      <c r="P1083" s="7">
        <f t="shared" si="322"/>
        <v>0</v>
      </c>
      <c r="Q1083" s="7">
        <f t="shared" si="333"/>
        <v>0</v>
      </c>
      <c r="R1083" s="10" t="str">
        <f t="shared" si="323"/>
        <v>1_Post</v>
      </c>
      <c r="S1083" s="10" t="str">
        <f t="shared" si="324"/>
        <v>1_Post</v>
      </c>
      <c r="T1083" s="10" t="str">
        <f t="shared" si="325"/>
        <v>1_Post</v>
      </c>
      <c r="U1083" s="10" t="str">
        <f t="shared" si="326"/>
        <v>1_Post</v>
      </c>
      <c r="V1083" s="10" t="str">
        <f t="shared" si="334"/>
        <v>0_Pre</v>
      </c>
      <c r="W1083" s="10" t="str">
        <f t="shared" si="327"/>
        <v>clean_post</v>
      </c>
      <c r="X1083" s="10" t="str">
        <f t="shared" si="328"/>
        <v>1_Post</v>
      </c>
      <c r="Y1083" s="10" t="str">
        <f t="shared" si="329"/>
        <v>0_Pre</v>
      </c>
      <c r="Z1083" s="10" t="str">
        <f t="shared" si="330"/>
        <v>0_Pre</v>
      </c>
      <c r="AA1083" s="10" t="str">
        <f t="shared" si="335"/>
        <v>1_Post</v>
      </c>
      <c r="AB1083" s="10" t="str">
        <f t="shared" si="336"/>
        <v>0_Pre</v>
      </c>
      <c r="AC1083" s="10" t="str">
        <f t="shared" si="337"/>
        <v>0_Pre</v>
      </c>
      <c r="AD1083" s="10" t="str">
        <f t="shared" si="338"/>
        <v>2_post sample median</v>
      </c>
      <c r="AE1083" s="10" t="str">
        <f t="shared" si="339"/>
        <v>3_post sample third tertile</v>
      </c>
      <c r="AF1083" t="s">
        <v>67</v>
      </c>
      <c r="AG1083" t="s">
        <v>75</v>
      </c>
      <c r="AH1083" t="s">
        <v>78</v>
      </c>
      <c r="AI1083" t="s">
        <v>122</v>
      </c>
      <c r="AJ1083" t="s">
        <v>122</v>
      </c>
      <c r="AK1083" t="str">
        <f>VLOOKUP(MID($AR1083,1,255),country_lookup!$B:$F,2,FALSE)</f>
        <v>1_US</v>
      </c>
      <c r="AL1083" t="str">
        <f>VLOOKUP(MID($AR1083,1,255),country_lookup!$B:$F,3,FALSE)</f>
        <v>1_developed</v>
      </c>
      <c r="AM1083" t="str">
        <f>VLOOKUP(MID($AR1083,1,255),country_lookup!$B:$F,4,FALSE)</f>
        <v>1_western</v>
      </c>
      <c r="AN1083" t="str">
        <f>VLOOKUP(MID($AR1083,1,255),country_lookup!$B:$F,5,FALSE)</f>
        <v>1_common law</v>
      </c>
      <c r="AO1083" s="10" t="str">
        <f>VLOOKUP(MID($AS1083,1,255),source_lookup!$B:$K,4,FALSE)</f>
        <v>1_not published</v>
      </c>
      <c r="AP1083" s="10" t="str">
        <f>VLOOKUP(MID($AS1083,1,255),source_lookup!$B:$K,6,FALSE)</f>
        <v>99_NA</v>
      </c>
      <c r="AQ1083" s="10" t="str">
        <f>VLOOKUP(MID($AS1083,1,255),source_lookup!$B:$K,10,FALSE)</f>
        <v>1_fin/acc/econ</v>
      </c>
      <c r="AR1083" t="s">
        <v>85</v>
      </c>
      <c r="AS1083" t="s">
        <v>175</v>
      </c>
    </row>
    <row r="1084" spans="1:45" x14ac:dyDescent="0.3">
      <c r="A1084" t="s">
        <v>52</v>
      </c>
      <c r="B1084">
        <v>1083</v>
      </c>
      <c r="C1084" s="1">
        <v>-1.9607607560916791E-2</v>
      </c>
      <c r="D1084" s="2">
        <v>6792</v>
      </c>
      <c r="E1084" s="4">
        <v>13584</v>
      </c>
      <c r="F1084" s="4" t="s">
        <v>347</v>
      </c>
      <c r="G1084" s="4" t="s">
        <v>346</v>
      </c>
      <c r="H1084" t="s">
        <v>77</v>
      </c>
      <c r="I1084" t="s">
        <v>352</v>
      </c>
      <c r="J1084" s="3">
        <v>2016</v>
      </c>
      <c r="K1084" s="3">
        <v>2017</v>
      </c>
      <c r="L1084" s="6">
        <f t="shared" si="331"/>
        <v>2016.5</v>
      </c>
      <c r="M1084" s="6">
        <f t="shared" si="332"/>
        <v>2016.5</v>
      </c>
      <c r="N1084" s="7">
        <f t="shared" si="320"/>
        <v>1</v>
      </c>
      <c r="O1084" s="7">
        <f t="shared" si="321"/>
        <v>0.5</v>
      </c>
      <c r="P1084" s="7">
        <f t="shared" si="322"/>
        <v>0</v>
      </c>
      <c r="Q1084" s="7">
        <f t="shared" si="333"/>
        <v>0</v>
      </c>
      <c r="R1084" s="10" t="str">
        <f t="shared" si="323"/>
        <v>1_Post</v>
      </c>
      <c r="S1084" s="10" t="str">
        <f t="shared" si="324"/>
        <v>1_Post</v>
      </c>
      <c r="T1084" s="10" t="str">
        <f t="shared" si="325"/>
        <v>1_Post</v>
      </c>
      <c r="U1084" s="10" t="str">
        <f t="shared" si="326"/>
        <v>1_Post</v>
      </c>
      <c r="V1084" s="10" t="str">
        <f t="shared" si="334"/>
        <v>0_Pre</v>
      </c>
      <c r="W1084" s="10" t="str">
        <f t="shared" si="327"/>
        <v>clean_post</v>
      </c>
      <c r="X1084" s="10" t="str">
        <f t="shared" si="328"/>
        <v>1_Post</v>
      </c>
      <c r="Y1084" s="10" t="str">
        <f t="shared" si="329"/>
        <v>0_Pre</v>
      </c>
      <c r="Z1084" s="10" t="str">
        <f t="shared" si="330"/>
        <v>0_Pre</v>
      </c>
      <c r="AA1084" s="10" t="str">
        <f t="shared" si="335"/>
        <v>1_Post</v>
      </c>
      <c r="AB1084" s="10" t="str">
        <f t="shared" si="336"/>
        <v>0_Pre</v>
      </c>
      <c r="AC1084" s="10" t="str">
        <f t="shared" si="337"/>
        <v>0_Pre</v>
      </c>
      <c r="AD1084" s="10" t="str">
        <f t="shared" si="338"/>
        <v>2_post sample median</v>
      </c>
      <c r="AE1084" s="10" t="str">
        <f t="shared" si="339"/>
        <v>3_post sample third tertile</v>
      </c>
      <c r="AF1084" t="s">
        <v>67</v>
      </c>
      <c r="AG1084" t="s">
        <v>75</v>
      </c>
      <c r="AH1084" t="s">
        <v>78</v>
      </c>
      <c r="AI1084" t="s">
        <v>122</v>
      </c>
      <c r="AJ1084" t="s">
        <v>122</v>
      </c>
      <c r="AK1084" t="str">
        <f>VLOOKUP(MID($AR1084,1,255),country_lookup!$B:$F,2,FALSE)</f>
        <v>1_US</v>
      </c>
      <c r="AL1084" t="str">
        <f>VLOOKUP(MID($AR1084,1,255),country_lookup!$B:$F,3,FALSE)</f>
        <v>1_developed</v>
      </c>
      <c r="AM1084" t="str">
        <f>VLOOKUP(MID($AR1084,1,255),country_lookup!$B:$F,4,FALSE)</f>
        <v>1_western</v>
      </c>
      <c r="AN1084" t="str">
        <f>VLOOKUP(MID($AR1084,1,255),country_lookup!$B:$F,5,FALSE)</f>
        <v>1_common law</v>
      </c>
      <c r="AO1084" s="10" t="str">
        <f>VLOOKUP(MID($AS1084,1,255),source_lookup!$B:$K,4,FALSE)</f>
        <v>1_not published</v>
      </c>
      <c r="AP1084" s="10" t="str">
        <f>VLOOKUP(MID($AS1084,1,255),source_lookup!$B:$K,6,FALSE)</f>
        <v>99_NA</v>
      </c>
      <c r="AQ1084" s="10" t="str">
        <f>VLOOKUP(MID($AS1084,1,255),source_lookup!$B:$K,10,FALSE)</f>
        <v>1_fin/acc/econ</v>
      </c>
      <c r="AR1084" t="s">
        <v>85</v>
      </c>
      <c r="AS1084" t="s">
        <v>175</v>
      </c>
    </row>
    <row r="1085" spans="1:45" x14ac:dyDescent="0.3">
      <c r="A1085" t="s">
        <v>52</v>
      </c>
      <c r="B1085">
        <v>1084</v>
      </c>
      <c r="C1085" s="1">
        <v>-1.9539551628779524E-2</v>
      </c>
      <c r="D1085" s="2">
        <v>6792</v>
      </c>
      <c r="E1085" s="4">
        <v>13584</v>
      </c>
      <c r="F1085" s="4" t="s">
        <v>347</v>
      </c>
      <c r="G1085" s="4" t="s">
        <v>346</v>
      </c>
      <c r="H1085" t="s">
        <v>77</v>
      </c>
      <c r="I1085" t="s">
        <v>352</v>
      </c>
      <c r="J1085" s="3">
        <v>2016</v>
      </c>
      <c r="K1085" s="3">
        <v>2017</v>
      </c>
      <c r="L1085" s="6">
        <f t="shared" si="331"/>
        <v>2016.5</v>
      </c>
      <c r="M1085" s="6">
        <f t="shared" si="332"/>
        <v>2016.5</v>
      </c>
      <c r="N1085" s="7">
        <f t="shared" si="320"/>
        <v>1</v>
      </c>
      <c r="O1085" s="7">
        <f t="shared" si="321"/>
        <v>0.5</v>
      </c>
      <c r="P1085" s="7">
        <f t="shared" si="322"/>
        <v>0</v>
      </c>
      <c r="Q1085" s="7">
        <f t="shared" si="333"/>
        <v>0</v>
      </c>
      <c r="R1085" s="10" t="str">
        <f t="shared" si="323"/>
        <v>1_Post</v>
      </c>
      <c r="S1085" s="10" t="str">
        <f t="shared" si="324"/>
        <v>1_Post</v>
      </c>
      <c r="T1085" s="10" t="str">
        <f t="shared" si="325"/>
        <v>1_Post</v>
      </c>
      <c r="U1085" s="10" t="str">
        <f t="shared" si="326"/>
        <v>1_Post</v>
      </c>
      <c r="V1085" s="10" t="str">
        <f t="shared" si="334"/>
        <v>0_Pre</v>
      </c>
      <c r="W1085" s="10" t="str">
        <f t="shared" si="327"/>
        <v>clean_post</v>
      </c>
      <c r="X1085" s="10" t="str">
        <f t="shared" si="328"/>
        <v>1_Post</v>
      </c>
      <c r="Y1085" s="10" t="str">
        <f t="shared" si="329"/>
        <v>0_Pre</v>
      </c>
      <c r="Z1085" s="10" t="str">
        <f t="shared" si="330"/>
        <v>0_Pre</v>
      </c>
      <c r="AA1085" s="10" t="str">
        <f t="shared" si="335"/>
        <v>1_Post</v>
      </c>
      <c r="AB1085" s="10" t="str">
        <f t="shared" si="336"/>
        <v>0_Pre</v>
      </c>
      <c r="AC1085" s="10" t="str">
        <f t="shared" si="337"/>
        <v>0_Pre</v>
      </c>
      <c r="AD1085" s="10" t="str">
        <f t="shared" si="338"/>
        <v>2_post sample median</v>
      </c>
      <c r="AE1085" s="10" t="str">
        <f t="shared" si="339"/>
        <v>3_post sample third tertile</v>
      </c>
      <c r="AF1085" t="s">
        <v>67</v>
      </c>
      <c r="AG1085" t="s">
        <v>75</v>
      </c>
      <c r="AH1085" t="s">
        <v>78</v>
      </c>
      <c r="AI1085" t="s">
        <v>122</v>
      </c>
      <c r="AJ1085" t="s">
        <v>122</v>
      </c>
      <c r="AK1085" t="str">
        <f>VLOOKUP(MID($AR1085,1,255),country_lookup!$B:$F,2,FALSE)</f>
        <v>1_US</v>
      </c>
      <c r="AL1085" t="str">
        <f>VLOOKUP(MID($AR1085,1,255),country_lookup!$B:$F,3,FALSE)</f>
        <v>1_developed</v>
      </c>
      <c r="AM1085" t="str">
        <f>VLOOKUP(MID($AR1085,1,255),country_lookup!$B:$F,4,FALSE)</f>
        <v>1_western</v>
      </c>
      <c r="AN1085" t="str">
        <f>VLOOKUP(MID($AR1085,1,255),country_lookup!$B:$F,5,FALSE)</f>
        <v>1_common law</v>
      </c>
      <c r="AO1085" s="10" t="str">
        <f>VLOOKUP(MID($AS1085,1,255),source_lookup!$B:$K,4,FALSE)</f>
        <v>1_not published</v>
      </c>
      <c r="AP1085" s="10" t="str">
        <f>VLOOKUP(MID($AS1085,1,255),source_lookup!$B:$K,6,FALSE)</f>
        <v>99_NA</v>
      </c>
      <c r="AQ1085" s="10" t="str">
        <f>VLOOKUP(MID($AS1085,1,255),source_lookup!$B:$K,10,FALSE)</f>
        <v>1_fin/acc/econ</v>
      </c>
      <c r="AR1085" t="s">
        <v>85</v>
      </c>
      <c r="AS1085" t="s">
        <v>175</v>
      </c>
    </row>
    <row r="1086" spans="1:45" x14ac:dyDescent="0.3">
      <c r="A1086" t="s">
        <v>52</v>
      </c>
      <c r="B1086">
        <v>1085</v>
      </c>
      <c r="C1086" s="1">
        <v>-2.2527222955197258E-2</v>
      </c>
      <c r="D1086" s="2">
        <v>4812</v>
      </c>
      <c r="E1086" s="4">
        <v>9624</v>
      </c>
      <c r="F1086" s="4" t="s">
        <v>347</v>
      </c>
      <c r="G1086" s="4" t="s">
        <v>346</v>
      </c>
      <c r="H1086" t="s">
        <v>77</v>
      </c>
      <c r="I1086" t="s">
        <v>352</v>
      </c>
      <c r="J1086" s="3">
        <v>2016</v>
      </c>
      <c r="K1086" s="3">
        <v>2017</v>
      </c>
      <c r="L1086" s="6">
        <f t="shared" si="331"/>
        <v>2016.5</v>
      </c>
      <c r="M1086" s="6">
        <f t="shared" si="332"/>
        <v>2016.5</v>
      </c>
      <c r="N1086" s="7">
        <f t="shared" si="320"/>
        <v>1</v>
      </c>
      <c r="O1086" s="7">
        <f t="shared" si="321"/>
        <v>0.5</v>
      </c>
      <c r="P1086" s="7">
        <f t="shared" si="322"/>
        <v>0</v>
      </c>
      <c r="Q1086" s="7">
        <f t="shared" si="333"/>
        <v>0</v>
      </c>
      <c r="R1086" s="10" t="str">
        <f t="shared" si="323"/>
        <v>1_Post</v>
      </c>
      <c r="S1086" s="10" t="str">
        <f t="shared" si="324"/>
        <v>1_Post</v>
      </c>
      <c r="T1086" s="10" t="str">
        <f t="shared" si="325"/>
        <v>1_Post</v>
      </c>
      <c r="U1086" s="10" t="str">
        <f t="shared" si="326"/>
        <v>1_Post</v>
      </c>
      <c r="V1086" s="10" t="str">
        <f t="shared" si="334"/>
        <v>0_Pre</v>
      </c>
      <c r="W1086" s="10" t="str">
        <f t="shared" si="327"/>
        <v>clean_post</v>
      </c>
      <c r="X1086" s="10" t="str">
        <f t="shared" si="328"/>
        <v>1_Post</v>
      </c>
      <c r="Y1086" s="10" t="str">
        <f t="shared" si="329"/>
        <v>0_Pre</v>
      </c>
      <c r="Z1086" s="10" t="str">
        <f t="shared" si="330"/>
        <v>0_Pre</v>
      </c>
      <c r="AA1086" s="10" t="str">
        <f t="shared" si="335"/>
        <v>1_Post</v>
      </c>
      <c r="AB1086" s="10" t="str">
        <f t="shared" si="336"/>
        <v>0_Pre</v>
      </c>
      <c r="AC1086" s="10" t="str">
        <f t="shared" si="337"/>
        <v>0_Pre</v>
      </c>
      <c r="AD1086" s="10" t="str">
        <f t="shared" si="338"/>
        <v>2_post sample median</v>
      </c>
      <c r="AE1086" s="10" t="str">
        <f t="shared" si="339"/>
        <v>3_post sample third tertile</v>
      </c>
      <c r="AF1086" t="s">
        <v>67</v>
      </c>
      <c r="AG1086" t="s">
        <v>75</v>
      </c>
      <c r="AH1086" t="s">
        <v>78</v>
      </c>
      <c r="AI1086" t="s">
        <v>122</v>
      </c>
      <c r="AJ1086" t="s">
        <v>122</v>
      </c>
      <c r="AK1086" t="str">
        <f>VLOOKUP(MID($AR1086,1,255),country_lookup!$B:$F,2,FALSE)</f>
        <v>1_US</v>
      </c>
      <c r="AL1086" t="str">
        <f>VLOOKUP(MID($AR1086,1,255),country_lookup!$B:$F,3,FALSE)</f>
        <v>1_developed</v>
      </c>
      <c r="AM1086" t="str">
        <f>VLOOKUP(MID($AR1086,1,255),country_lookup!$B:$F,4,FALSE)</f>
        <v>1_western</v>
      </c>
      <c r="AN1086" t="str">
        <f>VLOOKUP(MID($AR1086,1,255),country_lookup!$B:$F,5,FALSE)</f>
        <v>1_common law</v>
      </c>
      <c r="AO1086" s="10" t="str">
        <f>VLOOKUP(MID($AS1086,1,255),source_lookup!$B:$K,4,FALSE)</f>
        <v>1_not published</v>
      </c>
      <c r="AP1086" s="10" t="str">
        <f>VLOOKUP(MID($AS1086,1,255),source_lookup!$B:$K,6,FALSE)</f>
        <v>99_NA</v>
      </c>
      <c r="AQ1086" s="10" t="str">
        <f>VLOOKUP(MID($AS1086,1,255),source_lookup!$B:$K,10,FALSE)</f>
        <v>1_fin/acc/econ</v>
      </c>
      <c r="AR1086" t="s">
        <v>85</v>
      </c>
      <c r="AS1086" t="s">
        <v>175</v>
      </c>
    </row>
    <row r="1087" spans="1:45" x14ac:dyDescent="0.3">
      <c r="A1087" t="s">
        <v>52</v>
      </c>
      <c r="B1087">
        <v>1086</v>
      </c>
      <c r="C1087" s="1">
        <v>-1.844219574116206E-2</v>
      </c>
      <c r="D1087" s="2">
        <v>4812</v>
      </c>
      <c r="E1087" s="4">
        <v>9624</v>
      </c>
      <c r="F1087" s="4" t="s">
        <v>347</v>
      </c>
      <c r="G1087" s="4" t="s">
        <v>346</v>
      </c>
      <c r="H1087" t="s">
        <v>77</v>
      </c>
      <c r="I1087" t="s">
        <v>352</v>
      </c>
      <c r="J1087" s="3">
        <v>2016</v>
      </c>
      <c r="K1087" s="3">
        <v>2017</v>
      </c>
      <c r="L1087" s="6">
        <f t="shared" si="331"/>
        <v>2016.5</v>
      </c>
      <c r="M1087" s="6">
        <f t="shared" si="332"/>
        <v>2016.5</v>
      </c>
      <c r="N1087" s="7">
        <f t="shared" si="320"/>
        <v>1</v>
      </c>
      <c r="O1087" s="7">
        <f t="shared" si="321"/>
        <v>0.5</v>
      </c>
      <c r="P1087" s="7">
        <f t="shared" si="322"/>
        <v>0</v>
      </c>
      <c r="Q1087" s="7">
        <f t="shared" si="333"/>
        <v>0</v>
      </c>
      <c r="R1087" s="10" t="str">
        <f t="shared" si="323"/>
        <v>1_Post</v>
      </c>
      <c r="S1087" s="10" t="str">
        <f t="shared" si="324"/>
        <v>1_Post</v>
      </c>
      <c r="T1087" s="10" t="str">
        <f t="shared" si="325"/>
        <v>1_Post</v>
      </c>
      <c r="U1087" s="10" t="str">
        <f t="shared" si="326"/>
        <v>1_Post</v>
      </c>
      <c r="V1087" s="10" t="str">
        <f t="shared" si="334"/>
        <v>0_Pre</v>
      </c>
      <c r="W1087" s="10" t="str">
        <f t="shared" si="327"/>
        <v>clean_post</v>
      </c>
      <c r="X1087" s="10" t="str">
        <f t="shared" si="328"/>
        <v>1_Post</v>
      </c>
      <c r="Y1087" s="10" t="str">
        <f t="shared" si="329"/>
        <v>0_Pre</v>
      </c>
      <c r="Z1087" s="10" t="str">
        <f t="shared" si="330"/>
        <v>0_Pre</v>
      </c>
      <c r="AA1087" s="10" t="str">
        <f t="shared" si="335"/>
        <v>1_Post</v>
      </c>
      <c r="AB1087" s="10" t="str">
        <f t="shared" si="336"/>
        <v>0_Pre</v>
      </c>
      <c r="AC1087" s="10" t="str">
        <f t="shared" si="337"/>
        <v>0_Pre</v>
      </c>
      <c r="AD1087" s="10" t="str">
        <f t="shared" si="338"/>
        <v>2_post sample median</v>
      </c>
      <c r="AE1087" s="10" t="str">
        <f t="shared" si="339"/>
        <v>3_post sample third tertile</v>
      </c>
      <c r="AF1087" t="s">
        <v>67</v>
      </c>
      <c r="AG1087" t="s">
        <v>75</v>
      </c>
      <c r="AH1087" t="s">
        <v>78</v>
      </c>
      <c r="AI1087" t="s">
        <v>122</v>
      </c>
      <c r="AJ1087" t="s">
        <v>122</v>
      </c>
      <c r="AK1087" t="str">
        <f>VLOOKUP(MID($AR1087,1,255),country_lookup!$B:$F,2,FALSE)</f>
        <v>1_US</v>
      </c>
      <c r="AL1087" t="str">
        <f>VLOOKUP(MID($AR1087,1,255),country_lookup!$B:$F,3,FALSE)</f>
        <v>1_developed</v>
      </c>
      <c r="AM1087" t="str">
        <f>VLOOKUP(MID($AR1087,1,255),country_lookup!$B:$F,4,FALSE)</f>
        <v>1_western</v>
      </c>
      <c r="AN1087" t="str">
        <f>VLOOKUP(MID($AR1087,1,255),country_lookup!$B:$F,5,FALSE)</f>
        <v>1_common law</v>
      </c>
      <c r="AO1087" s="10" t="str">
        <f>VLOOKUP(MID($AS1087,1,255),source_lookup!$B:$K,4,FALSE)</f>
        <v>1_not published</v>
      </c>
      <c r="AP1087" s="10" t="str">
        <f>VLOOKUP(MID($AS1087,1,255),source_lookup!$B:$K,6,FALSE)</f>
        <v>99_NA</v>
      </c>
      <c r="AQ1087" s="10" t="str">
        <f>VLOOKUP(MID($AS1087,1,255),source_lookup!$B:$K,10,FALSE)</f>
        <v>1_fin/acc/econ</v>
      </c>
      <c r="AR1087" t="s">
        <v>85</v>
      </c>
      <c r="AS1087" t="s">
        <v>175</v>
      </c>
    </row>
    <row r="1088" spans="1:45" x14ac:dyDescent="0.3">
      <c r="A1088" t="s">
        <v>52</v>
      </c>
      <c r="B1088">
        <v>1087</v>
      </c>
      <c r="C1088" s="1">
        <v>-2.0867011120583111E-2</v>
      </c>
      <c r="D1088" s="2">
        <v>4224</v>
      </c>
      <c r="E1088" s="4">
        <v>8448</v>
      </c>
      <c r="F1088" s="4" t="s">
        <v>347</v>
      </c>
      <c r="G1088" s="4" t="s">
        <v>346</v>
      </c>
      <c r="H1088" t="s">
        <v>77</v>
      </c>
      <c r="I1088" t="s">
        <v>352</v>
      </c>
      <c r="J1088" s="3">
        <v>2016</v>
      </c>
      <c r="K1088" s="3">
        <v>2017</v>
      </c>
      <c r="L1088" s="6">
        <f t="shared" si="331"/>
        <v>2016.5</v>
      </c>
      <c r="M1088" s="6">
        <f t="shared" si="332"/>
        <v>2016.5</v>
      </c>
      <c r="N1088" s="7">
        <f t="shared" si="320"/>
        <v>1</v>
      </c>
      <c r="O1088" s="7">
        <f t="shared" si="321"/>
        <v>0.5</v>
      </c>
      <c r="P1088" s="7">
        <f t="shared" si="322"/>
        <v>0</v>
      </c>
      <c r="Q1088" s="7">
        <f t="shared" si="333"/>
        <v>0</v>
      </c>
      <c r="R1088" s="10" t="str">
        <f t="shared" si="323"/>
        <v>1_Post</v>
      </c>
      <c r="S1088" s="10" t="str">
        <f t="shared" si="324"/>
        <v>1_Post</v>
      </c>
      <c r="T1088" s="10" t="str">
        <f t="shared" si="325"/>
        <v>1_Post</v>
      </c>
      <c r="U1088" s="10" t="str">
        <f t="shared" si="326"/>
        <v>1_Post</v>
      </c>
      <c r="V1088" s="10" t="str">
        <f t="shared" si="334"/>
        <v>0_Pre</v>
      </c>
      <c r="W1088" s="10" t="str">
        <f t="shared" si="327"/>
        <v>clean_post</v>
      </c>
      <c r="X1088" s="10" t="str">
        <f t="shared" si="328"/>
        <v>1_Post</v>
      </c>
      <c r="Y1088" s="10" t="str">
        <f t="shared" si="329"/>
        <v>0_Pre</v>
      </c>
      <c r="Z1088" s="10" t="str">
        <f t="shared" si="330"/>
        <v>0_Pre</v>
      </c>
      <c r="AA1088" s="10" t="str">
        <f t="shared" si="335"/>
        <v>1_Post</v>
      </c>
      <c r="AB1088" s="10" t="str">
        <f t="shared" si="336"/>
        <v>0_Pre</v>
      </c>
      <c r="AC1088" s="10" t="str">
        <f t="shared" si="337"/>
        <v>0_Pre</v>
      </c>
      <c r="AD1088" s="10" t="str">
        <f t="shared" si="338"/>
        <v>2_post sample median</v>
      </c>
      <c r="AE1088" s="10" t="str">
        <f t="shared" si="339"/>
        <v>3_post sample third tertile</v>
      </c>
      <c r="AF1088" t="s">
        <v>82</v>
      </c>
      <c r="AG1088" t="s">
        <v>75</v>
      </c>
      <c r="AH1088" t="s">
        <v>78</v>
      </c>
      <c r="AI1088" t="s">
        <v>122</v>
      </c>
      <c r="AJ1088" t="s">
        <v>122</v>
      </c>
      <c r="AK1088" t="str">
        <f>VLOOKUP(MID($AR1088,1,255),country_lookup!$B:$F,2,FALSE)</f>
        <v>1_US</v>
      </c>
      <c r="AL1088" t="str">
        <f>VLOOKUP(MID($AR1088,1,255),country_lookup!$B:$F,3,FALSE)</f>
        <v>1_developed</v>
      </c>
      <c r="AM1088" t="str">
        <f>VLOOKUP(MID($AR1088,1,255),country_lookup!$B:$F,4,FALSE)</f>
        <v>1_western</v>
      </c>
      <c r="AN1088" t="str">
        <f>VLOOKUP(MID($AR1088,1,255),country_lookup!$B:$F,5,FALSE)</f>
        <v>1_common law</v>
      </c>
      <c r="AO1088" s="10" t="str">
        <f>VLOOKUP(MID($AS1088,1,255),source_lookup!$B:$K,4,FALSE)</f>
        <v>1_not published</v>
      </c>
      <c r="AP1088" s="10" t="str">
        <f>VLOOKUP(MID($AS1088,1,255),source_lookup!$B:$K,6,FALSE)</f>
        <v>99_NA</v>
      </c>
      <c r="AQ1088" s="10" t="str">
        <f>VLOOKUP(MID($AS1088,1,255),source_lookup!$B:$K,10,FALSE)</f>
        <v>1_fin/acc/econ</v>
      </c>
      <c r="AR1088" t="s">
        <v>85</v>
      </c>
      <c r="AS1088" t="s">
        <v>175</v>
      </c>
    </row>
    <row r="1089" spans="1:45" x14ac:dyDescent="0.3">
      <c r="A1089" t="s">
        <v>52</v>
      </c>
      <c r="B1089">
        <v>1088</v>
      </c>
      <c r="C1089" s="1">
        <v>-2.0772208545746226E-2</v>
      </c>
      <c r="D1089" s="2">
        <v>6576</v>
      </c>
      <c r="E1089" s="4">
        <v>13152</v>
      </c>
      <c r="F1089" s="4" t="s">
        <v>347</v>
      </c>
      <c r="G1089" s="4" t="s">
        <v>346</v>
      </c>
      <c r="H1089" t="s">
        <v>77</v>
      </c>
      <c r="I1089" t="s">
        <v>352</v>
      </c>
      <c r="J1089" s="3">
        <v>2016</v>
      </c>
      <c r="K1089" s="3">
        <v>2017</v>
      </c>
      <c r="L1089" s="6">
        <f t="shared" si="331"/>
        <v>2016.5</v>
      </c>
      <c r="M1089" s="6">
        <f t="shared" si="332"/>
        <v>2016.5</v>
      </c>
      <c r="N1089" s="7">
        <f t="shared" si="320"/>
        <v>1</v>
      </c>
      <c r="O1089" s="7">
        <f t="shared" si="321"/>
        <v>0.5</v>
      </c>
      <c r="P1089" s="7">
        <f t="shared" si="322"/>
        <v>0</v>
      </c>
      <c r="Q1089" s="7">
        <f t="shared" si="333"/>
        <v>0</v>
      </c>
      <c r="R1089" s="10" t="str">
        <f t="shared" si="323"/>
        <v>1_Post</v>
      </c>
      <c r="S1089" s="10" t="str">
        <f t="shared" si="324"/>
        <v>1_Post</v>
      </c>
      <c r="T1089" s="10" t="str">
        <f t="shared" si="325"/>
        <v>1_Post</v>
      </c>
      <c r="U1089" s="10" t="str">
        <f t="shared" si="326"/>
        <v>1_Post</v>
      </c>
      <c r="V1089" s="10" t="str">
        <f t="shared" si="334"/>
        <v>0_Pre</v>
      </c>
      <c r="W1089" s="10" t="str">
        <f t="shared" si="327"/>
        <v>clean_post</v>
      </c>
      <c r="X1089" s="10" t="str">
        <f t="shared" si="328"/>
        <v>1_Post</v>
      </c>
      <c r="Y1089" s="10" t="str">
        <f t="shared" si="329"/>
        <v>0_Pre</v>
      </c>
      <c r="Z1089" s="10" t="str">
        <f t="shared" si="330"/>
        <v>0_Pre</v>
      </c>
      <c r="AA1089" s="10" t="str">
        <f t="shared" si="335"/>
        <v>1_Post</v>
      </c>
      <c r="AB1089" s="10" t="str">
        <f t="shared" si="336"/>
        <v>0_Pre</v>
      </c>
      <c r="AC1089" s="10" t="str">
        <f t="shared" si="337"/>
        <v>0_Pre</v>
      </c>
      <c r="AD1089" s="10" t="str">
        <f t="shared" si="338"/>
        <v>2_post sample median</v>
      </c>
      <c r="AE1089" s="10" t="str">
        <f t="shared" si="339"/>
        <v>3_post sample third tertile</v>
      </c>
      <c r="AF1089" t="s">
        <v>82</v>
      </c>
      <c r="AG1089" t="s">
        <v>75</v>
      </c>
      <c r="AH1089" t="s">
        <v>78</v>
      </c>
      <c r="AI1089" t="s">
        <v>122</v>
      </c>
      <c r="AJ1089" t="s">
        <v>122</v>
      </c>
      <c r="AK1089" t="str">
        <f>VLOOKUP(MID($AR1089,1,255),country_lookup!$B:$F,2,FALSE)</f>
        <v>1_US</v>
      </c>
      <c r="AL1089" t="str">
        <f>VLOOKUP(MID($AR1089,1,255),country_lookup!$B:$F,3,FALSE)</f>
        <v>1_developed</v>
      </c>
      <c r="AM1089" t="str">
        <f>VLOOKUP(MID($AR1089,1,255),country_lookup!$B:$F,4,FALSE)</f>
        <v>1_western</v>
      </c>
      <c r="AN1089" t="str">
        <f>VLOOKUP(MID($AR1089,1,255),country_lookup!$B:$F,5,FALSE)</f>
        <v>1_common law</v>
      </c>
      <c r="AO1089" s="10" t="str">
        <f>VLOOKUP(MID($AS1089,1,255),source_lookup!$B:$K,4,FALSE)</f>
        <v>1_not published</v>
      </c>
      <c r="AP1089" s="10" t="str">
        <f>VLOOKUP(MID($AS1089,1,255),source_lookup!$B:$K,6,FALSE)</f>
        <v>99_NA</v>
      </c>
      <c r="AQ1089" s="10" t="str">
        <f>VLOOKUP(MID($AS1089,1,255),source_lookup!$B:$K,10,FALSE)</f>
        <v>1_fin/acc/econ</v>
      </c>
      <c r="AR1089" t="s">
        <v>85</v>
      </c>
      <c r="AS1089" t="s">
        <v>175</v>
      </c>
    </row>
    <row r="1090" spans="1:45" x14ac:dyDescent="0.3">
      <c r="A1090" t="s">
        <v>52</v>
      </c>
      <c r="B1090">
        <v>1089</v>
      </c>
      <c r="C1090" s="1">
        <v>-2.8554133715975157E-2</v>
      </c>
      <c r="D1090" s="2">
        <v>2664</v>
      </c>
      <c r="E1090" s="4">
        <v>5328</v>
      </c>
      <c r="F1090" s="4" t="s">
        <v>347</v>
      </c>
      <c r="G1090" s="4" t="s">
        <v>346</v>
      </c>
      <c r="H1090" t="s">
        <v>77</v>
      </c>
      <c r="I1090" t="s">
        <v>352</v>
      </c>
      <c r="J1090" s="3">
        <v>2016</v>
      </c>
      <c r="K1090" s="3">
        <v>2017</v>
      </c>
      <c r="L1090" s="6">
        <f t="shared" si="331"/>
        <v>2016.5</v>
      </c>
      <c r="M1090" s="6">
        <f t="shared" si="332"/>
        <v>2016.5</v>
      </c>
      <c r="N1090" s="7">
        <f t="shared" ref="N1090:N1153" si="340">MAX(0,$K1090-MAX($J1090,2016)+1)/($K1090-$J1090+1)</f>
        <v>1</v>
      </c>
      <c r="O1090" s="7">
        <f t="shared" ref="O1090:O1153" si="341">MAX(0,$K1090-MAX($J1090,2017)+1)/($K1090-$J1090+1)</f>
        <v>0.5</v>
      </c>
      <c r="P1090" s="7">
        <f t="shared" ref="P1090:P1153" si="342">MAX(0,$K1090-MAX($J1090,2018)+1)/($K1090-$J1090+1)</f>
        <v>0</v>
      </c>
      <c r="Q1090" s="7">
        <f t="shared" si="333"/>
        <v>0</v>
      </c>
      <c r="R1090" s="10" t="str">
        <f t="shared" ref="R1090:R1153" si="343">IF(N1090&gt;=0.5,"1_Post","0_Pre")</f>
        <v>1_Post</v>
      </c>
      <c r="S1090" s="10" t="str">
        <f t="shared" ref="S1090:S1153" si="344">IF($L1090&gt;=2016,"1_Post","0_Pre")</f>
        <v>1_Post</v>
      </c>
      <c r="T1090" s="10" t="str">
        <f t="shared" ref="T1090:T1153" si="345">IF($M1090&gt;=2016,"1_Post","0_Pre")</f>
        <v>1_Post</v>
      </c>
      <c r="U1090" s="10" t="str">
        <f t="shared" ref="U1090:U1153" si="346">IF($K1090&gt;=2016,"1_Post","0_Pre")</f>
        <v>1_Post</v>
      </c>
      <c r="V1090" s="10" t="str">
        <f t="shared" si="334"/>
        <v>0_Pre</v>
      </c>
      <c r="W1090" s="10" t="str">
        <f t="shared" ref="W1090:W1153" si="347">IF($K1090&lt;=2015,"clean_pre",IF($J1090&gt;=2016,"clean_post","straddle"))</f>
        <v>clean_post</v>
      </c>
      <c r="X1090" s="10" t="str">
        <f t="shared" ref="X1090:X1153" si="348">IF(O1090&gt;=0.5,"1_Post","0_Pre")</f>
        <v>1_Post</v>
      </c>
      <c r="Y1090" s="10" t="str">
        <f t="shared" ref="Y1090:Y1153" si="349">IF(P1090&gt;=0.5,"1_Post","0_Pre")</f>
        <v>0_Pre</v>
      </c>
      <c r="Z1090" s="10" t="str">
        <f t="shared" ref="Z1090:Z1153" si="350">IF(Q1090&gt;=0.5,"1_Post","0_Pre")</f>
        <v>0_Pre</v>
      </c>
      <c r="AA1090" s="10" t="str">
        <f t="shared" si="335"/>
        <v>1_Post</v>
      </c>
      <c r="AB1090" s="10" t="str">
        <f t="shared" si="336"/>
        <v>0_Pre</v>
      </c>
      <c r="AC1090" s="10" t="str">
        <f t="shared" si="337"/>
        <v>0_Pre</v>
      </c>
      <c r="AD1090" s="10" t="str">
        <f t="shared" si="338"/>
        <v>2_post sample median</v>
      </c>
      <c r="AE1090" s="10" t="str">
        <f t="shared" si="339"/>
        <v>3_post sample third tertile</v>
      </c>
      <c r="AF1090" t="s">
        <v>82</v>
      </c>
      <c r="AG1090" t="s">
        <v>75</v>
      </c>
      <c r="AH1090" t="s">
        <v>78</v>
      </c>
      <c r="AI1090" t="s">
        <v>122</v>
      </c>
      <c r="AJ1090" t="s">
        <v>122</v>
      </c>
      <c r="AK1090" t="str">
        <f>VLOOKUP(MID($AR1090,1,255),country_lookup!$B:$F,2,FALSE)</f>
        <v>1_US</v>
      </c>
      <c r="AL1090" t="str">
        <f>VLOOKUP(MID($AR1090,1,255),country_lookup!$B:$F,3,FALSE)</f>
        <v>1_developed</v>
      </c>
      <c r="AM1090" t="str">
        <f>VLOOKUP(MID($AR1090,1,255),country_lookup!$B:$F,4,FALSE)</f>
        <v>1_western</v>
      </c>
      <c r="AN1090" t="str">
        <f>VLOOKUP(MID($AR1090,1,255),country_lookup!$B:$F,5,FALSE)</f>
        <v>1_common law</v>
      </c>
      <c r="AO1090" s="10" t="str">
        <f>VLOOKUP(MID($AS1090,1,255),source_lookup!$B:$K,4,FALSE)</f>
        <v>1_not published</v>
      </c>
      <c r="AP1090" s="10" t="str">
        <f>VLOOKUP(MID($AS1090,1,255),source_lookup!$B:$K,6,FALSE)</f>
        <v>99_NA</v>
      </c>
      <c r="AQ1090" s="10" t="str">
        <f>VLOOKUP(MID($AS1090,1,255),source_lookup!$B:$K,10,FALSE)</f>
        <v>1_fin/acc/econ</v>
      </c>
      <c r="AR1090" t="s">
        <v>85</v>
      </c>
      <c r="AS1090" t="s">
        <v>175</v>
      </c>
    </row>
    <row r="1091" spans="1:45" x14ac:dyDescent="0.3">
      <c r="A1091" t="s">
        <v>52</v>
      </c>
      <c r="B1091">
        <v>1090</v>
      </c>
      <c r="C1091" s="1">
        <v>-4.6640839484378367E-2</v>
      </c>
      <c r="D1091" s="2">
        <v>2316</v>
      </c>
      <c r="E1091" s="4">
        <v>4632</v>
      </c>
      <c r="F1091" s="4" t="s">
        <v>347</v>
      </c>
      <c r="G1091" s="4" t="s">
        <v>346</v>
      </c>
      <c r="H1091" t="s">
        <v>77</v>
      </c>
      <c r="I1091" t="s">
        <v>352</v>
      </c>
      <c r="J1091" s="3">
        <v>2016</v>
      </c>
      <c r="K1091" s="3">
        <v>2017</v>
      </c>
      <c r="L1091" s="6">
        <f t="shared" ref="L1091:L1154" si="351">ROUND(AVERAGE(J1091:K1091),100)</f>
        <v>2016.5</v>
      </c>
      <c r="M1091" s="6">
        <f t="shared" ref="M1091:M1154" si="352">ROUND(MEDIAN(J1091:K1091),100)</f>
        <v>2016.5</v>
      </c>
      <c r="N1091" s="7">
        <f t="shared" si="340"/>
        <v>1</v>
      </c>
      <c r="O1091" s="7">
        <f t="shared" si="341"/>
        <v>0.5</v>
      </c>
      <c r="P1091" s="7">
        <f t="shared" si="342"/>
        <v>0</v>
      </c>
      <c r="Q1091" s="7">
        <f t="shared" ref="Q1091:Q1154" si="353">MAX(0,$K1091-MAX($J1091,2019)+1)/($K1091-$J1091+1)</f>
        <v>0</v>
      </c>
      <c r="R1091" s="10" t="str">
        <f t="shared" si="343"/>
        <v>1_Post</v>
      </c>
      <c r="S1091" s="10" t="str">
        <f t="shared" si="344"/>
        <v>1_Post</v>
      </c>
      <c r="T1091" s="10" t="str">
        <f t="shared" si="345"/>
        <v>1_Post</v>
      </c>
      <c r="U1091" s="10" t="str">
        <f t="shared" si="346"/>
        <v>1_Post</v>
      </c>
      <c r="V1091" s="10" t="str">
        <f t="shared" ref="V1091:V1154" si="354">IF($J1091&lt;=2017,"0_Pre","1_Post")</f>
        <v>0_Pre</v>
      </c>
      <c r="W1091" s="10" t="str">
        <f t="shared" si="347"/>
        <v>clean_post</v>
      </c>
      <c r="X1091" s="10" t="str">
        <f t="shared" si="348"/>
        <v>1_Post</v>
      </c>
      <c r="Y1091" s="10" t="str">
        <f t="shared" si="349"/>
        <v>0_Pre</v>
      </c>
      <c r="Z1091" s="10" t="str">
        <f t="shared" si="350"/>
        <v>0_Pre</v>
      </c>
      <c r="AA1091" s="10" t="str">
        <f t="shared" ref="AA1091:AA1154" si="355">IF($K1091&gt;=2017,"1_Post","0_Pre")</f>
        <v>1_Post</v>
      </c>
      <c r="AB1091" s="10" t="str">
        <f t="shared" ref="AB1091:AB1154" si="356">IF($K1091&gt;=2018,"1_Post","0_Pre")</f>
        <v>0_Pre</v>
      </c>
      <c r="AC1091" s="10" t="str">
        <f t="shared" ref="AC1091:AC1154" si="357">IF($K1091&gt;=2019,"1_Post","0_Pre")</f>
        <v>0_Pre</v>
      </c>
      <c r="AD1091" s="10" t="str">
        <f t="shared" ref="AD1091:AD1154" si="358">IF(L1091&lt;MEDIAN($L$2:$L$1307),"1_pre sample median","2_post sample median")</f>
        <v>2_post sample median</v>
      </c>
      <c r="AE1091" s="10" t="str">
        <f t="shared" ref="AE1091:AE1154" si="359">IF(L1091&lt;=PERCENTILE($L$2:$L$1307,0.33),"1_pre sample first tertile",IF(L1091&gt;=PERCENTILE($L$2:$L$1307,0.67),"3_post sample third tertile","2_in sample second tertile"))</f>
        <v>3_post sample third tertile</v>
      </c>
      <c r="AF1091" t="s">
        <v>82</v>
      </c>
      <c r="AG1091" t="s">
        <v>75</v>
      </c>
      <c r="AH1091" t="s">
        <v>78</v>
      </c>
      <c r="AI1091" t="s">
        <v>122</v>
      </c>
      <c r="AJ1091" t="s">
        <v>122</v>
      </c>
      <c r="AK1091" t="str">
        <f>VLOOKUP(MID($AR1091,1,255),country_lookup!$B:$F,2,FALSE)</f>
        <v>1_US</v>
      </c>
      <c r="AL1091" t="str">
        <f>VLOOKUP(MID($AR1091,1,255),country_lookup!$B:$F,3,FALSE)</f>
        <v>1_developed</v>
      </c>
      <c r="AM1091" t="str">
        <f>VLOOKUP(MID($AR1091,1,255),country_lookup!$B:$F,4,FALSE)</f>
        <v>1_western</v>
      </c>
      <c r="AN1091" t="str">
        <f>VLOOKUP(MID($AR1091,1,255),country_lookup!$B:$F,5,FALSE)</f>
        <v>1_common law</v>
      </c>
      <c r="AO1091" s="10" t="str">
        <f>VLOOKUP(MID($AS1091,1,255),source_lookup!$B:$K,4,FALSE)</f>
        <v>1_not published</v>
      </c>
      <c r="AP1091" s="10" t="str">
        <f>VLOOKUP(MID($AS1091,1,255),source_lookup!$B:$K,6,FALSE)</f>
        <v>99_NA</v>
      </c>
      <c r="AQ1091" s="10" t="str">
        <f>VLOOKUP(MID($AS1091,1,255),source_lookup!$B:$K,10,FALSE)</f>
        <v>1_fin/acc/econ</v>
      </c>
      <c r="AR1091" t="s">
        <v>85</v>
      </c>
      <c r="AS1091" t="s">
        <v>175</v>
      </c>
    </row>
    <row r="1092" spans="1:45" x14ac:dyDescent="0.3">
      <c r="A1092" t="s">
        <v>52</v>
      </c>
      <c r="B1092">
        <v>1091</v>
      </c>
      <c r="C1092" s="1">
        <v>3.1908884363339943E-3</v>
      </c>
      <c r="D1092" s="2">
        <v>4248</v>
      </c>
      <c r="E1092" s="4">
        <v>8496</v>
      </c>
      <c r="F1092" s="4" t="s">
        <v>347</v>
      </c>
      <c r="G1092" s="4" t="s">
        <v>346</v>
      </c>
      <c r="H1092" t="s">
        <v>77</v>
      </c>
      <c r="I1092" t="s">
        <v>352</v>
      </c>
      <c r="J1092" s="3">
        <v>2016</v>
      </c>
      <c r="K1092" s="3">
        <v>2017</v>
      </c>
      <c r="L1092" s="6">
        <f t="shared" si="351"/>
        <v>2016.5</v>
      </c>
      <c r="M1092" s="6">
        <f t="shared" si="352"/>
        <v>2016.5</v>
      </c>
      <c r="N1092" s="7">
        <f t="shared" si="340"/>
        <v>1</v>
      </c>
      <c r="O1092" s="7">
        <f t="shared" si="341"/>
        <v>0.5</v>
      </c>
      <c r="P1092" s="7">
        <f t="shared" si="342"/>
        <v>0</v>
      </c>
      <c r="Q1092" s="7">
        <f t="shared" si="353"/>
        <v>0</v>
      </c>
      <c r="R1092" s="10" t="str">
        <f t="shared" si="343"/>
        <v>1_Post</v>
      </c>
      <c r="S1092" s="10" t="str">
        <f t="shared" si="344"/>
        <v>1_Post</v>
      </c>
      <c r="T1092" s="10" t="str">
        <f t="shared" si="345"/>
        <v>1_Post</v>
      </c>
      <c r="U1092" s="10" t="str">
        <f t="shared" si="346"/>
        <v>1_Post</v>
      </c>
      <c r="V1092" s="10" t="str">
        <f t="shared" si="354"/>
        <v>0_Pre</v>
      </c>
      <c r="W1092" s="10" t="str">
        <f t="shared" si="347"/>
        <v>clean_post</v>
      </c>
      <c r="X1092" s="10" t="str">
        <f t="shared" si="348"/>
        <v>1_Post</v>
      </c>
      <c r="Y1092" s="10" t="str">
        <f t="shared" si="349"/>
        <v>0_Pre</v>
      </c>
      <c r="Z1092" s="10" t="str">
        <f t="shared" si="350"/>
        <v>0_Pre</v>
      </c>
      <c r="AA1092" s="10" t="str">
        <f t="shared" si="355"/>
        <v>1_Post</v>
      </c>
      <c r="AB1092" s="10" t="str">
        <f t="shared" si="356"/>
        <v>0_Pre</v>
      </c>
      <c r="AC1092" s="10" t="str">
        <f t="shared" si="357"/>
        <v>0_Pre</v>
      </c>
      <c r="AD1092" s="10" t="str">
        <f t="shared" si="358"/>
        <v>2_post sample median</v>
      </c>
      <c r="AE1092" s="10" t="str">
        <f t="shared" si="359"/>
        <v>3_post sample third tertile</v>
      </c>
      <c r="AF1092" t="s">
        <v>82</v>
      </c>
      <c r="AG1092" t="s">
        <v>75</v>
      </c>
      <c r="AH1092" t="s">
        <v>78</v>
      </c>
      <c r="AI1092" t="s">
        <v>122</v>
      </c>
      <c r="AJ1092" t="s">
        <v>122</v>
      </c>
      <c r="AK1092" t="str">
        <f>VLOOKUP(MID($AR1092,1,255),country_lookup!$B:$F,2,FALSE)</f>
        <v>1_US</v>
      </c>
      <c r="AL1092" t="str">
        <f>VLOOKUP(MID($AR1092,1,255),country_lookup!$B:$F,3,FALSE)</f>
        <v>1_developed</v>
      </c>
      <c r="AM1092" t="str">
        <f>VLOOKUP(MID($AR1092,1,255),country_lookup!$B:$F,4,FALSE)</f>
        <v>1_western</v>
      </c>
      <c r="AN1092" t="str">
        <f>VLOOKUP(MID($AR1092,1,255),country_lookup!$B:$F,5,FALSE)</f>
        <v>1_common law</v>
      </c>
      <c r="AO1092" s="10" t="str">
        <f>VLOOKUP(MID($AS1092,1,255),source_lookup!$B:$K,4,FALSE)</f>
        <v>1_not published</v>
      </c>
      <c r="AP1092" s="10" t="str">
        <f>VLOOKUP(MID($AS1092,1,255),source_lookup!$B:$K,6,FALSE)</f>
        <v>99_NA</v>
      </c>
      <c r="AQ1092" s="10" t="str">
        <f>VLOOKUP(MID($AS1092,1,255),source_lookup!$B:$K,10,FALSE)</f>
        <v>1_fin/acc/econ</v>
      </c>
      <c r="AR1092" t="s">
        <v>85</v>
      </c>
      <c r="AS1092" t="s">
        <v>175</v>
      </c>
    </row>
    <row r="1093" spans="1:45" x14ac:dyDescent="0.3">
      <c r="A1093" t="s">
        <v>52</v>
      </c>
      <c r="B1093">
        <v>1092</v>
      </c>
      <c r="C1093" s="1">
        <v>4.5371583804171634E-3</v>
      </c>
      <c r="D1093" s="2">
        <v>6498</v>
      </c>
      <c r="E1093" s="4">
        <v>12996</v>
      </c>
      <c r="F1093" s="4" t="s">
        <v>347</v>
      </c>
      <c r="G1093" s="4" t="s">
        <v>346</v>
      </c>
      <c r="H1093" t="s">
        <v>77</v>
      </c>
      <c r="I1093" t="s">
        <v>352</v>
      </c>
      <c r="J1093" s="3">
        <v>2016</v>
      </c>
      <c r="K1093" s="3">
        <v>2017</v>
      </c>
      <c r="L1093" s="6">
        <f t="shared" si="351"/>
        <v>2016.5</v>
      </c>
      <c r="M1093" s="6">
        <f t="shared" si="352"/>
        <v>2016.5</v>
      </c>
      <c r="N1093" s="7">
        <f t="shared" si="340"/>
        <v>1</v>
      </c>
      <c r="O1093" s="7">
        <f t="shared" si="341"/>
        <v>0.5</v>
      </c>
      <c r="P1093" s="7">
        <f t="shared" si="342"/>
        <v>0</v>
      </c>
      <c r="Q1093" s="7">
        <f t="shared" si="353"/>
        <v>0</v>
      </c>
      <c r="R1093" s="10" t="str">
        <f t="shared" si="343"/>
        <v>1_Post</v>
      </c>
      <c r="S1093" s="10" t="str">
        <f t="shared" si="344"/>
        <v>1_Post</v>
      </c>
      <c r="T1093" s="10" t="str">
        <f t="shared" si="345"/>
        <v>1_Post</v>
      </c>
      <c r="U1093" s="10" t="str">
        <f t="shared" si="346"/>
        <v>1_Post</v>
      </c>
      <c r="V1093" s="10" t="str">
        <f t="shared" si="354"/>
        <v>0_Pre</v>
      </c>
      <c r="W1093" s="10" t="str">
        <f t="shared" si="347"/>
        <v>clean_post</v>
      </c>
      <c r="X1093" s="10" t="str">
        <f t="shared" si="348"/>
        <v>1_Post</v>
      </c>
      <c r="Y1093" s="10" t="str">
        <f t="shared" si="349"/>
        <v>0_Pre</v>
      </c>
      <c r="Z1093" s="10" t="str">
        <f t="shared" si="350"/>
        <v>0_Pre</v>
      </c>
      <c r="AA1093" s="10" t="str">
        <f t="shared" si="355"/>
        <v>1_Post</v>
      </c>
      <c r="AB1093" s="10" t="str">
        <f t="shared" si="356"/>
        <v>0_Pre</v>
      </c>
      <c r="AC1093" s="10" t="str">
        <f t="shared" si="357"/>
        <v>0_Pre</v>
      </c>
      <c r="AD1093" s="10" t="str">
        <f t="shared" si="358"/>
        <v>2_post sample median</v>
      </c>
      <c r="AE1093" s="10" t="str">
        <f t="shared" si="359"/>
        <v>3_post sample third tertile</v>
      </c>
      <c r="AF1093" t="s">
        <v>82</v>
      </c>
      <c r="AG1093" t="s">
        <v>75</v>
      </c>
      <c r="AH1093" t="s">
        <v>78</v>
      </c>
      <c r="AI1093" t="s">
        <v>122</v>
      </c>
      <c r="AJ1093" t="s">
        <v>122</v>
      </c>
      <c r="AK1093" t="str">
        <f>VLOOKUP(MID($AR1093,1,255),country_lookup!$B:$F,2,FALSE)</f>
        <v>1_US</v>
      </c>
      <c r="AL1093" t="str">
        <f>VLOOKUP(MID($AR1093,1,255),country_lookup!$B:$F,3,FALSE)</f>
        <v>1_developed</v>
      </c>
      <c r="AM1093" t="str">
        <f>VLOOKUP(MID($AR1093,1,255),country_lookup!$B:$F,4,FALSE)</f>
        <v>1_western</v>
      </c>
      <c r="AN1093" t="str">
        <f>VLOOKUP(MID($AR1093,1,255),country_lookup!$B:$F,5,FALSE)</f>
        <v>1_common law</v>
      </c>
      <c r="AO1093" s="10" t="str">
        <f>VLOOKUP(MID($AS1093,1,255),source_lookup!$B:$K,4,FALSE)</f>
        <v>1_not published</v>
      </c>
      <c r="AP1093" s="10" t="str">
        <f>VLOOKUP(MID($AS1093,1,255),source_lookup!$B:$K,6,FALSE)</f>
        <v>99_NA</v>
      </c>
      <c r="AQ1093" s="10" t="str">
        <f>VLOOKUP(MID($AS1093,1,255),source_lookup!$B:$K,10,FALSE)</f>
        <v>1_fin/acc/econ</v>
      </c>
      <c r="AR1093" t="s">
        <v>85</v>
      </c>
      <c r="AS1093" t="s">
        <v>175</v>
      </c>
    </row>
    <row r="1094" spans="1:45" x14ac:dyDescent="0.3">
      <c r="A1094" t="s">
        <v>52</v>
      </c>
      <c r="B1094">
        <v>1093</v>
      </c>
      <c r="C1094" s="1">
        <v>-9.4239029448542171E-3</v>
      </c>
      <c r="D1094" s="2">
        <v>2502</v>
      </c>
      <c r="E1094" s="4">
        <v>5004</v>
      </c>
      <c r="F1094" s="4" t="s">
        <v>347</v>
      </c>
      <c r="G1094" s="4" t="s">
        <v>346</v>
      </c>
      <c r="H1094" t="s">
        <v>77</v>
      </c>
      <c r="I1094" t="s">
        <v>352</v>
      </c>
      <c r="J1094" s="3">
        <v>2016</v>
      </c>
      <c r="K1094" s="3">
        <v>2017</v>
      </c>
      <c r="L1094" s="6">
        <f t="shared" si="351"/>
        <v>2016.5</v>
      </c>
      <c r="M1094" s="6">
        <f t="shared" si="352"/>
        <v>2016.5</v>
      </c>
      <c r="N1094" s="7">
        <f t="shared" si="340"/>
        <v>1</v>
      </c>
      <c r="O1094" s="7">
        <f t="shared" si="341"/>
        <v>0.5</v>
      </c>
      <c r="P1094" s="7">
        <f t="shared" si="342"/>
        <v>0</v>
      </c>
      <c r="Q1094" s="7">
        <f t="shared" si="353"/>
        <v>0</v>
      </c>
      <c r="R1094" s="10" t="str">
        <f t="shared" si="343"/>
        <v>1_Post</v>
      </c>
      <c r="S1094" s="10" t="str">
        <f t="shared" si="344"/>
        <v>1_Post</v>
      </c>
      <c r="T1094" s="10" t="str">
        <f t="shared" si="345"/>
        <v>1_Post</v>
      </c>
      <c r="U1094" s="10" t="str">
        <f t="shared" si="346"/>
        <v>1_Post</v>
      </c>
      <c r="V1094" s="10" t="str">
        <f t="shared" si="354"/>
        <v>0_Pre</v>
      </c>
      <c r="W1094" s="10" t="str">
        <f t="shared" si="347"/>
        <v>clean_post</v>
      </c>
      <c r="X1094" s="10" t="str">
        <f t="shared" si="348"/>
        <v>1_Post</v>
      </c>
      <c r="Y1094" s="10" t="str">
        <f t="shared" si="349"/>
        <v>0_Pre</v>
      </c>
      <c r="Z1094" s="10" t="str">
        <f t="shared" si="350"/>
        <v>0_Pre</v>
      </c>
      <c r="AA1094" s="10" t="str">
        <f t="shared" si="355"/>
        <v>1_Post</v>
      </c>
      <c r="AB1094" s="10" t="str">
        <f t="shared" si="356"/>
        <v>0_Pre</v>
      </c>
      <c r="AC1094" s="10" t="str">
        <f t="shared" si="357"/>
        <v>0_Pre</v>
      </c>
      <c r="AD1094" s="10" t="str">
        <f t="shared" si="358"/>
        <v>2_post sample median</v>
      </c>
      <c r="AE1094" s="10" t="str">
        <f t="shared" si="359"/>
        <v>3_post sample third tertile</v>
      </c>
      <c r="AF1094" t="s">
        <v>82</v>
      </c>
      <c r="AG1094" t="s">
        <v>75</v>
      </c>
      <c r="AH1094" t="s">
        <v>78</v>
      </c>
      <c r="AI1094" t="s">
        <v>122</v>
      </c>
      <c r="AJ1094" t="s">
        <v>122</v>
      </c>
      <c r="AK1094" t="str">
        <f>VLOOKUP(MID($AR1094,1,255),country_lookup!$B:$F,2,FALSE)</f>
        <v>1_US</v>
      </c>
      <c r="AL1094" t="str">
        <f>VLOOKUP(MID($AR1094,1,255),country_lookup!$B:$F,3,FALSE)</f>
        <v>1_developed</v>
      </c>
      <c r="AM1094" t="str">
        <f>VLOOKUP(MID($AR1094,1,255),country_lookup!$B:$F,4,FALSE)</f>
        <v>1_western</v>
      </c>
      <c r="AN1094" t="str">
        <f>VLOOKUP(MID($AR1094,1,255),country_lookup!$B:$F,5,FALSE)</f>
        <v>1_common law</v>
      </c>
      <c r="AO1094" s="10" t="str">
        <f>VLOOKUP(MID($AS1094,1,255),source_lookup!$B:$K,4,FALSE)</f>
        <v>1_not published</v>
      </c>
      <c r="AP1094" s="10" t="str">
        <f>VLOOKUP(MID($AS1094,1,255),source_lookup!$B:$K,6,FALSE)</f>
        <v>99_NA</v>
      </c>
      <c r="AQ1094" s="10" t="str">
        <f>VLOOKUP(MID($AS1094,1,255),source_lookup!$B:$K,10,FALSE)</f>
        <v>1_fin/acc/econ</v>
      </c>
      <c r="AR1094" t="s">
        <v>85</v>
      </c>
      <c r="AS1094" t="s">
        <v>175</v>
      </c>
    </row>
    <row r="1095" spans="1:45" x14ac:dyDescent="0.3">
      <c r="A1095" t="s">
        <v>52</v>
      </c>
      <c r="B1095">
        <v>1094</v>
      </c>
      <c r="C1095" s="1">
        <v>-1.2590325156585338E-2</v>
      </c>
      <c r="D1095" s="2">
        <v>2160</v>
      </c>
      <c r="E1095" s="4">
        <v>4320</v>
      </c>
      <c r="F1095" s="4" t="s">
        <v>347</v>
      </c>
      <c r="G1095" s="4" t="s">
        <v>346</v>
      </c>
      <c r="H1095" t="s">
        <v>77</v>
      </c>
      <c r="I1095" t="s">
        <v>352</v>
      </c>
      <c r="J1095" s="3">
        <v>2016</v>
      </c>
      <c r="K1095" s="3">
        <v>2017</v>
      </c>
      <c r="L1095" s="6">
        <f t="shared" si="351"/>
        <v>2016.5</v>
      </c>
      <c r="M1095" s="6">
        <f t="shared" si="352"/>
        <v>2016.5</v>
      </c>
      <c r="N1095" s="7">
        <f t="shared" si="340"/>
        <v>1</v>
      </c>
      <c r="O1095" s="7">
        <f t="shared" si="341"/>
        <v>0.5</v>
      </c>
      <c r="P1095" s="7">
        <f t="shared" si="342"/>
        <v>0</v>
      </c>
      <c r="Q1095" s="7">
        <f t="shared" si="353"/>
        <v>0</v>
      </c>
      <c r="R1095" s="10" t="str">
        <f t="shared" si="343"/>
        <v>1_Post</v>
      </c>
      <c r="S1095" s="10" t="str">
        <f t="shared" si="344"/>
        <v>1_Post</v>
      </c>
      <c r="T1095" s="10" t="str">
        <f t="shared" si="345"/>
        <v>1_Post</v>
      </c>
      <c r="U1095" s="10" t="str">
        <f t="shared" si="346"/>
        <v>1_Post</v>
      </c>
      <c r="V1095" s="10" t="str">
        <f t="shared" si="354"/>
        <v>0_Pre</v>
      </c>
      <c r="W1095" s="10" t="str">
        <f t="shared" si="347"/>
        <v>clean_post</v>
      </c>
      <c r="X1095" s="10" t="str">
        <f t="shared" si="348"/>
        <v>1_Post</v>
      </c>
      <c r="Y1095" s="10" t="str">
        <f t="shared" si="349"/>
        <v>0_Pre</v>
      </c>
      <c r="Z1095" s="10" t="str">
        <f t="shared" si="350"/>
        <v>0_Pre</v>
      </c>
      <c r="AA1095" s="10" t="str">
        <f t="shared" si="355"/>
        <v>1_Post</v>
      </c>
      <c r="AB1095" s="10" t="str">
        <f t="shared" si="356"/>
        <v>0_Pre</v>
      </c>
      <c r="AC1095" s="10" t="str">
        <f t="shared" si="357"/>
        <v>0_Pre</v>
      </c>
      <c r="AD1095" s="10" t="str">
        <f t="shared" si="358"/>
        <v>2_post sample median</v>
      </c>
      <c r="AE1095" s="10" t="str">
        <f t="shared" si="359"/>
        <v>3_post sample third tertile</v>
      </c>
      <c r="AF1095" t="s">
        <v>82</v>
      </c>
      <c r="AG1095" t="s">
        <v>75</v>
      </c>
      <c r="AH1095" t="s">
        <v>78</v>
      </c>
      <c r="AI1095" t="s">
        <v>122</v>
      </c>
      <c r="AJ1095" t="s">
        <v>122</v>
      </c>
      <c r="AK1095" t="str">
        <f>VLOOKUP(MID($AR1095,1,255),country_lookup!$B:$F,2,FALSE)</f>
        <v>1_US</v>
      </c>
      <c r="AL1095" t="str">
        <f>VLOOKUP(MID($AR1095,1,255),country_lookup!$B:$F,3,FALSE)</f>
        <v>1_developed</v>
      </c>
      <c r="AM1095" t="str">
        <f>VLOOKUP(MID($AR1095,1,255),country_lookup!$B:$F,4,FALSE)</f>
        <v>1_western</v>
      </c>
      <c r="AN1095" t="str">
        <f>VLOOKUP(MID($AR1095,1,255),country_lookup!$B:$F,5,FALSE)</f>
        <v>1_common law</v>
      </c>
      <c r="AO1095" s="10" t="str">
        <f>VLOOKUP(MID($AS1095,1,255),source_lookup!$B:$K,4,FALSE)</f>
        <v>1_not published</v>
      </c>
      <c r="AP1095" s="10" t="str">
        <f>VLOOKUP(MID($AS1095,1,255),source_lookup!$B:$K,6,FALSE)</f>
        <v>99_NA</v>
      </c>
      <c r="AQ1095" s="10" t="str">
        <f>VLOOKUP(MID($AS1095,1,255),source_lookup!$B:$K,10,FALSE)</f>
        <v>1_fin/acc/econ</v>
      </c>
      <c r="AR1095" t="s">
        <v>85</v>
      </c>
      <c r="AS1095" t="s">
        <v>175</v>
      </c>
    </row>
    <row r="1096" spans="1:45" x14ac:dyDescent="0.3">
      <c r="A1096" t="s">
        <v>53</v>
      </c>
      <c r="B1096">
        <v>1095</v>
      </c>
      <c r="C1096" s="1">
        <v>-0.35</v>
      </c>
      <c r="D1096" s="2">
        <v>41</v>
      </c>
      <c r="E1096" s="4">
        <v>410</v>
      </c>
      <c r="F1096" s="4" t="s">
        <v>346</v>
      </c>
      <c r="G1096" s="4" t="s">
        <v>347</v>
      </c>
      <c r="H1096" t="s">
        <v>76</v>
      </c>
      <c r="I1096" t="s">
        <v>353</v>
      </c>
      <c r="J1096" s="3">
        <v>2008</v>
      </c>
      <c r="K1096" s="3">
        <v>2017</v>
      </c>
      <c r="L1096" s="6">
        <f t="shared" si="351"/>
        <v>2012.5</v>
      </c>
      <c r="M1096" s="6">
        <f t="shared" si="352"/>
        <v>2012.5</v>
      </c>
      <c r="N1096" s="7">
        <f t="shared" si="340"/>
        <v>0.2</v>
      </c>
      <c r="O1096" s="7">
        <f t="shared" si="341"/>
        <v>0.1</v>
      </c>
      <c r="P1096" s="7">
        <f t="shared" si="342"/>
        <v>0</v>
      </c>
      <c r="Q1096" s="7">
        <f t="shared" si="353"/>
        <v>0</v>
      </c>
      <c r="R1096" s="10" t="str">
        <f t="shared" si="343"/>
        <v>0_Pre</v>
      </c>
      <c r="S1096" s="10" t="str">
        <f t="shared" si="344"/>
        <v>0_Pre</v>
      </c>
      <c r="T1096" s="10" t="str">
        <f t="shared" si="345"/>
        <v>0_Pre</v>
      </c>
      <c r="U1096" s="10" t="str">
        <f t="shared" si="346"/>
        <v>1_Post</v>
      </c>
      <c r="V1096" s="10" t="str">
        <f t="shared" si="354"/>
        <v>0_Pre</v>
      </c>
      <c r="W1096" s="10" t="str">
        <f t="shared" si="347"/>
        <v>straddle</v>
      </c>
      <c r="X1096" s="10" t="str">
        <f t="shared" si="348"/>
        <v>0_Pre</v>
      </c>
      <c r="Y1096" s="10" t="str">
        <f t="shared" si="349"/>
        <v>0_Pre</v>
      </c>
      <c r="Z1096" s="10" t="str">
        <f t="shared" si="350"/>
        <v>0_Pre</v>
      </c>
      <c r="AA1096" s="10" t="str">
        <f t="shared" si="355"/>
        <v>1_Post</v>
      </c>
      <c r="AB1096" s="10" t="str">
        <f t="shared" si="356"/>
        <v>0_Pre</v>
      </c>
      <c r="AC1096" s="10" t="str">
        <f t="shared" si="357"/>
        <v>0_Pre</v>
      </c>
      <c r="AD1096" s="10" t="str">
        <f t="shared" si="358"/>
        <v>2_post sample median</v>
      </c>
      <c r="AE1096" s="10" t="str">
        <f t="shared" si="359"/>
        <v>2_in sample second tertile</v>
      </c>
      <c r="AF1096" t="s">
        <v>80</v>
      </c>
      <c r="AG1096" t="s">
        <v>74</v>
      </c>
      <c r="AH1096" t="s">
        <v>79</v>
      </c>
      <c r="AI1096" t="s">
        <v>123</v>
      </c>
      <c r="AJ1096" t="s">
        <v>123</v>
      </c>
      <c r="AK1096" t="str">
        <f>VLOOKUP(MID($AR1096,1,255),country_lookup!$B:$F,2,FALSE)</f>
        <v>3_AsiaPac</v>
      </c>
      <c r="AL1096" t="str">
        <f>VLOOKUP(MID($AR1096,1,255),country_lookup!$B:$F,3,FALSE)</f>
        <v>2_developing</v>
      </c>
      <c r="AM1096" t="str">
        <f>VLOOKUP(MID($AR1096,1,255),country_lookup!$B:$F,4,FALSE)</f>
        <v>2_non_western</v>
      </c>
      <c r="AN1096" t="str">
        <f>VLOOKUP(MID($AR1096,1,255),country_lookup!$B:$F,5,FALSE)</f>
        <v>1_common law</v>
      </c>
      <c r="AO1096" s="10" t="str">
        <f>VLOOKUP(MID($AS1096,1,255),source_lookup!$B:$K,4,FALSE)</f>
        <v>0_published</v>
      </c>
      <c r="AP1096" s="10" t="str">
        <f>VLOOKUP(MID($AS1096,1,255),source_lookup!$B:$K,6,FALSE)</f>
        <v>0_VHB low</v>
      </c>
      <c r="AQ1096" s="10" t="str">
        <f>VLOOKUP(MID($AS1096,1,255),source_lookup!$B:$K,10,FALSE)</f>
        <v>2_sust</v>
      </c>
      <c r="AR1096" t="s">
        <v>113</v>
      </c>
      <c r="AS1096" t="s">
        <v>176</v>
      </c>
    </row>
    <row r="1097" spans="1:45" x14ac:dyDescent="0.3">
      <c r="A1097" t="s">
        <v>53</v>
      </c>
      <c r="B1097">
        <v>1096</v>
      </c>
      <c r="C1097" s="1">
        <v>-0.11517918158067499</v>
      </c>
      <c r="D1097" s="2">
        <v>41</v>
      </c>
      <c r="E1097" s="4">
        <v>410</v>
      </c>
      <c r="F1097" s="4" t="s">
        <v>346</v>
      </c>
      <c r="G1097" s="4" t="s">
        <v>347</v>
      </c>
      <c r="H1097" t="s">
        <v>77</v>
      </c>
      <c r="I1097" t="s">
        <v>352</v>
      </c>
      <c r="J1097" s="3">
        <v>2008</v>
      </c>
      <c r="K1097" s="3">
        <v>2017</v>
      </c>
      <c r="L1097" s="6">
        <f t="shared" si="351"/>
        <v>2012.5</v>
      </c>
      <c r="M1097" s="6">
        <f t="shared" si="352"/>
        <v>2012.5</v>
      </c>
      <c r="N1097" s="7">
        <f t="shared" si="340"/>
        <v>0.2</v>
      </c>
      <c r="O1097" s="7">
        <f t="shared" si="341"/>
        <v>0.1</v>
      </c>
      <c r="P1097" s="7">
        <f t="shared" si="342"/>
        <v>0</v>
      </c>
      <c r="Q1097" s="7">
        <f t="shared" si="353"/>
        <v>0</v>
      </c>
      <c r="R1097" s="10" t="str">
        <f t="shared" si="343"/>
        <v>0_Pre</v>
      </c>
      <c r="S1097" s="10" t="str">
        <f t="shared" si="344"/>
        <v>0_Pre</v>
      </c>
      <c r="T1097" s="10" t="str">
        <f t="shared" si="345"/>
        <v>0_Pre</v>
      </c>
      <c r="U1097" s="10" t="str">
        <f t="shared" si="346"/>
        <v>1_Post</v>
      </c>
      <c r="V1097" s="10" t="str">
        <f t="shared" si="354"/>
        <v>0_Pre</v>
      </c>
      <c r="W1097" s="10" t="str">
        <f t="shared" si="347"/>
        <v>straddle</v>
      </c>
      <c r="X1097" s="10" t="str">
        <f t="shared" si="348"/>
        <v>0_Pre</v>
      </c>
      <c r="Y1097" s="10" t="str">
        <f t="shared" si="349"/>
        <v>0_Pre</v>
      </c>
      <c r="Z1097" s="10" t="str">
        <f t="shared" si="350"/>
        <v>0_Pre</v>
      </c>
      <c r="AA1097" s="10" t="str">
        <f t="shared" si="355"/>
        <v>1_Post</v>
      </c>
      <c r="AB1097" s="10" t="str">
        <f t="shared" si="356"/>
        <v>0_Pre</v>
      </c>
      <c r="AC1097" s="10" t="str">
        <f t="shared" si="357"/>
        <v>0_Pre</v>
      </c>
      <c r="AD1097" s="10" t="str">
        <f t="shared" si="358"/>
        <v>2_post sample median</v>
      </c>
      <c r="AE1097" s="10" t="str">
        <f t="shared" si="359"/>
        <v>2_in sample second tertile</v>
      </c>
      <c r="AF1097" t="s">
        <v>80</v>
      </c>
      <c r="AG1097" t="s">
        <v>74</v>
      </c>
      <c r="AH1097" t="s">
        <v>79</v>
      </c>
      <c r="AI1097" t="s">
        <v>123</v>
      </c>
      <c r="AJ1097" t="s">
        <v>123</v>
      </c>
      <c r="AK1097" t="str">
        <f>VLOOKUP(MID($AR1097,1,255),country_lookup!$B:$F,2,FALSE)</f>
        <v>3_AsiaPac</v>
      </c>
      <c r="AL1097" t="str">
        <f>VLOOKUP(MID($AR1097,1,255),country_lookup!$B:$F,3,FALSE)</f>
        <v>2_developing</v>
      </c>
      <c r="AM1097" t="str">
        <f>VLOOKUP(MID($AR1097,1,255),country_lookup!$B:$F,4,FALSE)</f>
        <v>2_non_western</v>
      </c>
      <c r="AN1097" t="str">
        <f>VLOOKUP(MID($AR1097,1,255),country_lookup!$B:$F,5,FALSE)</f>
        <v>1_common law</v>
      </c>
      <c r="AO1097" s="10" t="str">
        <f>VLOOKUP(MID($AS1097,1,255),source_lookup!$B:$K,4,FALSE)</f>
        <v>0_published</v>
      </c>
      <c r="AP1097" s="10" t="str">
        <f>VLOOKUP(MID($AS1097,1,255),source_lookup!$B:$K,6,FALSE)</f>
        <v>0_VHB low</v>
      </c>
      <c r="AQ1097" s="10" t="str">
        <f>VLOOKUP(MID($AS1097,1,255),source_lookup!$B:$K,10,FALSE)</f>
        <v>2_sust</v>
      </c>
      <c r="AR1097" t="s">
        <v>113</v>
      </c>
      <c r="AS1097" t="s">
        <v>176</v>
      </c>
    </row>
    <row r="1098" spans="1:45" x14ac:dyDescent="0.3">
      <c r="A1098" t="s">
        <v>54</v>
      </c>
      <c r="B1098">
        <v>1097</v>
      </c>
      <c r="C1098" s="1">
        <v>0.10957582335289495</v>
      </c>
      <c r="D1098" s="2">
        <v>227</v>
      </c>
      <c r="E1098" s="4">
        <v>2268</v>
      </c>
      <c r="F1098" s="4" t="s">
        <v>346</v>
      </c>
      <c r="G1098" s="4" t="s">
        <v>347</v>
      </c>
      <c r="H1098" t="s">
        <v>77</v>
      </c>
      <c r="I1098" t="s">
        <v>352</v>
      </c>
      <c r="J1098" s="3">
        <v>2009</v>
      </c>
      <c r="K1098" s="3">
        <v>2018</v>
      </c>
      <c r="L1098" s="6">
        <f t="shared" si="351"/>
        <v>2013.5</v>
      </c>
      <c r="M1098" s="6">
        <f t="shared" si="352"/>
        <v>2013.5</v>
      </c>
      <c r="N1098" s="7">
        <f t="shared" si="340"/>
        <v>0.3</v>
      </c>
      <c r="O1098" s="7">
        <f t="shared" si="341"/>
        <v>0.2</v>
      </c>
      <c r="P1098" s="7">
        <f t="shared" si="342"/>
        <v>0.1</v>
      </c>
      <c r="Q1098" s="7">
        <f t="shared" si="353"/>
        <v>0</v>
      </c>
      <c r="R1098" s="10" t="str">
        <f t="shared" si="343"/>
        <v>0_Pre</v>
      </c>
      <c r="S1098" s="10" t="str">
        <f t="shared" si="344"/>
        <v>0_Pre</v>
      </c>
      <c r="T1098" s="10" t="str">
        <f t="shared" si="345"/>
        <v>0_Pre</v>
      </c>
      <c r="U1098" s="10" t="str">
        <f t="shared" si="346"/>
        <v>1_Post</v>
      </c>
      <c r="V1098" s="10" t="str">
        <f t="shared" si="354"/>
        <v>0_Pre</v>
      </c>
      <c r="W1098" s="10" t="str">
        <f t="shared" si="347"/>
        <v>straddle</v>
      </c>
      <c r="X1098" s="10" t="str">
        <f t="shared" si="348"/>
        <v>0_Pre</v>
      </c>
      <c r="Y1098" s="10" t="str">
        <f t="shared" si="349"/>
        <v>0_Pre</v>
      </c>
      <c r="Z1098" s="10" t="str">
        <f t="shared" si="350"/>
        <v>0_Pre</v>
      </c>
      <c r="AA1098" s="10" t="str">
        <f t="shared" si="355"/>
        <v>1_Post</v>
      </c>
      <c r="AB1098" s="10" t="str">
        <f t="shared" si="356"/>
        <v>1_Post</v>
      </c>
      <c r="AC1098" s="10" t="str">
        <f t="shared" si="357"/>
        <v>0_Pre</v>
      </c>
      <c r="AD1098" s="10" t="str">
        <f t="shared" si="358"/>
        <v>2_post sample median</v>
      </c>
      <c r="AE1098" s="10" t="str">
        <f t="shared" si="359"/>
        <v>2_in sample second tertile</v>
      </c>
      <c r="AF1098" t="s">
        <v>67</v>
      </c>
      <c r="AG1098" t="s">
        <v>75</v>
      </c>
      <c r="AH1098" t="s">
        <v>78</v>
      </c>
      <c r="AI1098" t="s">
        <v>122</v>
      </c>
      <c r="AJ1098" t="s">
        <v>123</v>
      </c>
      <c r="AK1098" t="str">
        <f>VLOOKUP(MID($AR1098,1,255),country_lookup!$B:$F,2,FALSE)</f>
        <v>3_AsiaPac</v>
      </c>
      <c r="AL1098" t="str">
        <f>VLOOKUP(MID($AR1098,1,255),country_lookup!$B:$F,3,FALSE)</f>
        <v>99_NCE</v>
      </c>
      <c r="AM1098" t="str">
        <f>VLOOKUP(MID($AR1098,1,255),country_lookup!$B:$F,4,FALSE)</f>
        <v>2_non_western</v>
      </c>
      <c r="AN1098" t="str">
        <f>VLOOKUP(MID($AR1098,1,255),country_lookup!$B:$F,5,FALSE)</f>
        <v>2_civil law</v>
      </c>
      <c r="AO1098" s="10" t="str">
        <f>VLOOKUP(MID($AS1098,1,255),source_lookup!$B:$K,4,FALSE)</f>
        <v>0_published</v>
      </c>
      <c r="AP1098" s="10" t="str">
        <f>VLOOKUP(MID($AS1098,1,255),source_lookup!$B:$K,6,FALSE)</f>
        <v>0_VHB low</v>
      </c>
      <c r="AQ1098" s="10" t="str">
        <f>VLOOKUP(MID($AS1098,1,255),source_lookup!$B:$K,10,FALSE)</f>
        <v>1_fin/acc/econ</v>
      </c>
      <c r="AR1098" t="s">
        <v>114</v>
      </c>
      <c r="AS1098" t="s">
        <v>177</v>
      </c>
    </row>
    <row r="1099" spans="1:45" x14ac:dyDescent="0.3">
      <c r="A1099" t="s">
        <v>54</v>
      </c>
      <c r="B1099">
        <v>1098</v>
      </c>
      <c r="C1099" s="1">
        <v>2.9148201866454445E-2</v>
      </c>
      <c r="D1099" s="2">
        <v>60</v>
      </c>
      <c r="E1099" s="4">
        <v>600</v>
      </c>
      <c r="F1099" s="4" t="s">
        <v>346</v>
      </c>
      <c r="G1099" s="4" t="s">
        <v>347</v>
      </c>
      <c r="H1099" t="s">
        <v>77</v>
      </c>
      <c r="I1099" t="s">
        <v>352</v>
      </c>
      <c r="J1099" s="3">
        <v>2009</v>
      </c>
      <c r="K1099" s="3">
        <v>2018</v>
      </c>
      <c r="L1099" s="6">
        <f t="shared" si="351"/>
        <v>2013.5</v>
      </c>
      <c r="M1099" s="6">
        <f t="shared" si="352"/>
        <v>2013.5</v>
      </c>
      <c r="N1099" s="7">
        <f t="shared" si="340"/>
        <v>0.3</v>
      </c>
      <c r="O1099" s="7">
        <f t="shared" si="341"/>
        <v>0.2</v>
      </c>
      <c r="P1099" s="7">
        <f t="shared" si="342"/>
        <v>0.1</v>
      </c>
      <c r="Q1099" s="7">
        <f t="shared" si="353"/>
        <v>0</v>
      </c>
      <c r="R1099" s="10" t="str">
        <f t="shared" si="343"/>
        <v>0_Pre</v>
      </c>
      <c r="S1099" s="10" t="str">
        <f t="shared" si="344"/>
        <v>0_Pre</v>
      </c>
      <c r="T1099" s="10" t="str">
        <f t="shared" si="345"/>
        <v>0_Pre</v>
      </c>
      <c r="U1099" s="10" t="str">
        <f t="shared" si="346"/>
        <v>1_Post</v>
      </c>
      <c r="V1099" s="10" t="str">
        <f t="shared" si="354"/>
        <v>0_Pre</v>
      </c>
      <c r="W1099" s="10" t="str">
        <f t="shared" si="347"/>
        <v>straddle</v>
      </c>
      <c r="X1099" s="10" t="str">
        <f t="shared" si="348"/>
        <v>0_Pre</v>
      </c>
      <c r="Y1099" s="10" t="str">
        <f t="shared" si="349"/>
        <v>0_Pre</v>
      </c>
      <c r="Z1099" s="10" t="str">
        <f t="shared" si="350"/>
        <v>0_Pre</v>
      </c>
      <c r="AA1099" s="10" t="str">
        <f t="shared" si="355"/>
        <v>1_Post</v>
      </c>
      <c r="AB1099" s="10" t="str">
        <f t="shared" si="356"/>
        <v>1_Post</v>
      </c>
      <c r="AC1099" s="10" t="str">
        <f t="shared" si="357"/>
        <v>0_Pre</v>
      </c>
      <c r="AD1099" s="10" t="str">
        <f t="shared" si="358"/>
        <v>2_post sample median</v>
      </c>
      <c r="AE1099" s="10" t="str">
        <f t="shared" si="359"/>
        <v>2_in sample second tertile</v>
      </c>
      <c r="AF1099" t="s">
        <v>67</v>
      </c>
      <c r="AG1099" t="s">
        <v>75</v>
      </c>
      <c r="AH1099" t="s">
        <v>78</v>
      </c>
      <c r="AI1099" t="s">
        <v>122</v>
      </c>
      <c r="AJ1099" t="s">
        <v>123</v>
      </c>
      <c r="AK1099" t="str">
        <f>VLOOKUP(MID($AR1099,1,255),country_lookup!$B:$F,2,FALSE)</f>
        <v>3_AsiaPac</v>
      </c>
      <c r="AL1099" t="str">
        <f>VLOOKUP(MID($AR1099,1,255),country_lookup!$B:$F,3,FALSE)</f>
        <v>2_developing</v>
      </c>
      <c r="AM1099" t="str">
        <f>VLOOKUP(MID($AR1099,1,255),country_lookup!$B:$F,4,FALSE)</f>
        <v>2_non_western</v>
      </c>
      <c r="AN1099" t="str">
        <f>VLOOKUP(MID($AR1099,1,255),country_lookup!$B:$F,5,FALSE)</f>
        <v>2_civil law</v>
      </c>
      <c r="AO1099" s="10" t="str">
        <f>VLOOKUP(MID($AS1099,1,255),source_lookup!$B:$K,4,FALSE)</f>
        <v>0_published</v>
      </c>
      <c r="AP1099" s="10" t="str">
        <f>VLOOKUP(MID($AS1099,1,255),source_lookup!$B:$K,6,FALSE)</f>
        <v>0_VHB low</v>
      </c>
      <c r="AQ1099" s="10" t="str">
        <f>VLOOKUP(MID($AS1099,1,255),source_lookup!$B:$K,10,FALSE)</f>
        <v>1_fin/acc/econ</v>
      </c>
      <c r="AR1099" t="s">
        <v>94</v>
      </c>
      <c r="AS1099" t="s">
        <v>177</v>
      </c>
    </row>
    <row r="1100" spans="1:45" x14ac:dyDescent="0.3">
      <c r="A1100" t="s">
        <v>54</v>
      </c>
      <c r="B1100">
        <v>1099</v>
      </c>
      <c r="C1100" s="1">
        <v>-4.2809652445699668E-2</v>
      </c>
      <c r="D1100" s="2">
        <v>167</v>
      </c>
      <c r="E1100" s="4">
        <v>1668</v>
      </c>
      <c r="F1100" s="4" t="s">
        <v>346</v>
      </c>
      <c r="G1100" s="4" t="s">
        <v>347</v>
      </c>
      <c r="H1100" t="s">
        <v>77</v>
      </c>
      <c r="I1100" t="s">
        <v>352</v>
      </c>
      <c r="J1100" s="3">
        <v>2009</v>
      </c>
      <c r="K1100" s="3">
        <v>2018</v>
      </c>
      <c r="L1100" s="6">
        <f t="shared" si="351"/>
        <v>2013.5</v>
      </c>
      <c r="M1100" s="6">
        <f t="shared" si="352"/>
        <v>2013.5</v>
      </c>
      <c r="N1100" s="7">
        <f t="shared" si="340"/>
        <v>0.3</v>
      </c>
      <c r="O1100" s="7">
        <f t="shared" si="341"/>
        <v>0.2</v>
      </c>
      <c r="P1100" s="7">
        <f t="shared" si="342"/>
        <v>0.1</v>
      </c>
      <c r="Q1100" s="7">
        <f t="shared" si="353"/>
        <v>0</v>
      </c>
      <c r="R1100" s="10" t="str">
        <f t="shared" si="343"/>
        <v>0_Pre</v>
      </c>
      <c r="S1100" s="10" t="str">
        <f t="shared" si="344"/>
        <v>0_Pre</v>
      </c>
      <c r="T1100" s="10" t="str">
        <f t="shared" si="345"/>
        <v>0_Pre</v>
      </c>
      <c r="U1100" s="10" t="str">
        <f t="shared" si="346"/>
        <v>1_Post</v>
      </c>
      <c r="V1100" s="10" t="str">
        <f t="shared" si="354"/>
        <v>0_Pre</v>
      </c>
      <c r="W1100" s="10" t="str">
        <f t="shared" si="347"/>
        <v>straddle</v>
      </c>
      <c r="X1100" s="10" t="str">
        <f t="shared" si="348"/>
        <v>0_Pre</v>
      </c>
      <c r="Y1100" s="10" t="str">
        <f t="shared" si="349"/>
        <v>0_Pre</v>
      </c>
      <c r="Z1100" s="10" t="str">
        <f t="shared" si="350"/>
        <v>0_Pre</v>
      </c>
      <c r="AA1100" s="10" t="str">
        <f t="shared" si="355"/>
        <v>1_Post</v>
      </c>
      <c r="AB1100" s="10" t="str">
        <f t="shared" si="356"/>
        <v>1_Post</v>
      </c>
      <c r="AC1100" s="10" t="str">
        <f t="shared" si="357"/>
        <v>0_Pre</v>
      </c>
      <c r="AD1100" s="10" t="str">
        <f t="shared" si="358"/>
        <v>2_post sample median</v>
      </c>
      <c r="AE1100" s="10" t="str">
        <f t="shared" si="359"/>
        <v>2_in sample second tertile</v>
      </c>
      <c r="AF1100" t="s">
        <v>67</v>
      </c>
      <c r="AG1100" t="s">
        <v>75</v>
      </c>
      <c r="AH1100" t="s">
        <v>78</v>
      </c>
      <c r="AI1100" t="s">
        <v>122</v>
      </c>
      <c r="AJ1100" t="s">
        <v>123</v>
      </c>
      <c r="AK1100" t="str">
        <f>VLOOKUP(MID($AR1100,1,255),country_lookup!$B:$F,2,FALSE)</f>
        <v>3_AsiaPac</v>
      </c>
      <c r="AL1100" t="str">
        <f>VLOOKUP(MID($AR1100,1,255),country_lookup!$B:$F,3,FALSE)</f>
        <v>1_developed</v>
      </c>
      <c r="AM1100" t="str">
        <f>VLOOKUP(MID($AR1100,1,255),country_lookup!$B:$F,4,FALSE)</f>
        <v>2_non_western</v>
      </c>
      <c r="AN1100" t="str">
        <f>VLOOKUP(MID($AR1100,1,255),country_lookup!$B:$F,5,FALSE)</f>
        <v>2_civil law</v>
      </c>
      <c r="AO1100" s="10" t="str">
        <f>VLOOKUP(MID($AS1100,1,255),source_lookup!$B:$K,4,FALSE)</f>
        <v>0_published</v>
      </c>
      <c r="AP1100" s="10" t="str">
        <f>VLOOKUP(MID($AS1100,1,255),source_lookup!$B:$K,6,FALSE)</f>
        <v>0_VHB low</v>
      </c>
      <c r="AQ1100" s="10" t="str">
        <f>VLOOKUP(MID($AS1100,1,255),source_lookup!$B:$K,10,FALSE)</f>
        <v>1_fin/acc/econ</v>
      </c>
      <c r="AR1100" t="s">
        <v>111</v>
      </c>
      <c r="AS1100" t="s">
        <v>177</v>
      </c>
    </row>
    <row r="1101" spans="1:45" x14ac:dyDescent="0.3">
      <c r="A1101" t="s">
        <v>54</v>
      </c>
      <c r="B1101">
        <v>1100</v>
      </c>
      <c r="C1101" s="1">
        <v>0.11569675527871905</v>
      </c>
      <c r="D1101" s="2">
        <v>166</v>
      </c>
      <c r="E1101" s="4">
        <v>1663</v>
      </c>
      <c r="F1101" s="4" t="s">
        <v>346</v>
      </c>
      <c r="G1101" s="4" t="s">
        <v>347</v>
      </c>
      <c r="H1101" t="s">
        <v>77</v>
      </c>
      <c r="I1101" t="s">
        <v>352</v>
      </c>
      <c r="J1101" s="3">
        <v>2009</v>
      </c>
      <c r="K1101" s="3">
        <v>2018</v>
      </c>
      <c r="L1101" s="6">
        <f t="shared" si="351"/>
        <v>2013.5</v>
      </c>
      <c r="M1101" s="6">
        <f t="shared" si="352"/>
        <v>2013.5</v>
      </c>
      <c r="N1101" s="7">
        <f t="shared" si="340"/>
        <v>0.3</v>
      </c>
      <c r="O1101" s="7">
        <f t="shared" si="341"/>
        <v>0.2</v>
      </c>
      <c r="P1101" s="7">
        <f t="shared" si="342"/>
        <v>0.1</v>
      </c>
      <c r="Q1101" s="7">
        <f t="shared" si="353"/>
        <v>0</v>
      </c>
      <c r="R1101" s="10" t="str">
        <f t="shared" si="343"/>
        <v>0_Pre</v>
      </c>
      <c r="S1101" s="10" t="str">
        <f t="shared" si="344"/>
        <v>0_Pre</v>
      </c>
      <c r="T1101" s="10" t="str">
        <f t="shared" si="345"/>
        <v>0_Pre</v>
      </c>
      <c r="U1101" s="10" t="str">
        <f t="shared" si="346"/>
        <v>1_Post</v>
      </c>
      <c r="V1101" s="10" t="str">
        <f t="shared" si="354"/>
        <v>0_Pre</v>
      </c>
      <c r="W1101" s="10" t="str">
        <f t="shared" si="347"/>
        <v>straddle</v>
      </c>
      <c r="X1101" s="10" t="str">
        <f t="shared" si="348"/>
        <v>0_Pre</v>
      </c>
      <c r="Y1101" s="10" t="str">
        <f t="shared" si="349"/>
        <v>0_Pre</v>
      </c>
      <c r="Z1101" s="10" t="str">
        <f t="shared" si="350"/>
        <v>0_Pre</v>
      </c>
      <c r="AA1101" s="10" t="str">
        <f t="shared" si="355"/>
        <v>1_Post</v>
      </c>
      <c r="AB1101" s="10" t="str">
        <f t="shared" si="356"/>
        <v>1_Post</v>
      </c>
      <c r="AC1101" s="10" t="str">
        <f t="shared" si="357"/>
        <v>0_Pre</v>
      </c>
      <c r="AD1101" s="10" t="str">
        <f t="shared" si="358"/>
        <v>2_post sample median</v>
      </c>
      <c r="AE1101" s="10" t="str">
        <f t="shared" si="359"/>
        <v>2_in sample second tertile</v>
      </c>
      <c r="AF1101" t="s">
        <v>67</v>
      </c>
      <c r="AG1101" t="s">
        <v>75</v>
      </c>
      <c r="AH1101" t="s">
        <v>78</v>
      </c>
      <c r="AI1101" t="s">
        <v>122</v>
      </c>
      <c r="AJ1101" t="s">
        <v>123</v>
      </c>
      <c r="AK1101" t="str">
        <f>VLOOKUP(MID($AR1101,1,255),country_lookup!$B:$F,2,FALSE)</f>
        <v>3_AsiaPac</v>
      </c>
      <c r="AL1101" t="str">
        <f>VLOOKUP(MID($AR1101,1,255),country_lookup!$B:$F,3,FALSE)</f>
        <v>99_NCE</v>
      </c>
      <c r="AM1101" t="str">
        <f>VLOOKUP(MID($AR1101,1,255),country_lookup!$B:$F,4,FALSE)</f>
        <v>2_non_western</v>
      </c>
      <c r="AN1101" t="str">
        <f>VLOOKUP(MID($AR1101,1,255),country_lookup!$B:$F,5,FALSE)</f>
        <v>2_civil law</v>
      </c>
      <c r="AO1101" s="10" t="str">
        <f>VLOOKUP(MID($AS1101,1,255),source_lookup!$B:$K,4,FALSE)</f>
        <v>0_published</v>
      </c>
      <c r="AP1101" s="10" t="str">
        <f>VLOOKUP(MID($AS1101,1,255),source_lookup!$B:$K,6,FALSE)</f>
        <v>0_VHB low</v>
      </c>
      <c r="AQ1101" s="10" t="str">
        <f>VLOOKUP(MID($AS1101,1,255),source_lookup!$B:$K,10,FALSE)</f>
        <v>1_fin/acc/econ</v>
      </c>
      <c r="AR1101" t="s">
        <v>114</v>
      </c>
      <c r="AS1101" t="s">
        <v>177</v>
      </c>
    </row>
    <row r="1102" spans="1:45" x14ac:dyDescent="0.3">
      <c r="A1102" t="s">
        <v>54</v>
      </c>
      <c r="B1102">
        <v>1101</v>
      </c>
      <c r="C1102" s="1">
        <v>3.5511041211421748E-2</v>
      </c>
      <c r="D1102" s="2">
        <v>35</v>
      </c>
      <c r="E1102" s="4">
        <v>352</v>
      </c>
      <c r="F1102" s="4" t="s">
        <v>346</v>
      </c>
      <c r="G1102" s="4" t="s">
        <v>347</v>
      </c>
      <c r="H1102" t="s">
        <v>77</v>
      </c>
      <c r="I1102" t="s">
        <v>352</v>
      </c>
      <c r="J1102" s="3">
        <v>2009</v>
      </c>
      <c r="K1102" s="3">
        <v>2018</v>
      </c>
      <c r="L1102" s="6">
        <f t="shared" si="351"/>
        <v>2013.5</v>
      </c>
      <c r="M1102" s="6">
        <f t="shared" si="352"/>
        <v>2013.5</v>
      </c>
      <c r="N1102" s="7">
        <f t="shared" si="340"/>
        <v>0.3</v>
      </c>
      <c r="O1102" s="7">
        <f t="shared" si="341"/>
        <v>0.2</v>
      </c>
      <c r="P1102" s="7">
        <f t="shared" si="342"/>
        <v>0.1</v>
      </c>
      <c r="Q1102" s="7">
        <f t="shared" si="353"/>
        <v>0</v>
      </c>
      <c r="R1102" s="10" t="str">
        <f t="shared" si="343"/>
        <v>0_Pre</v>
      </c>
      <c r="S1102" s="10" t="str">
        <f t="shared" si="344"/>
        <v>0_Pre</v>
      </c>
      <c r="T1102" s="10" t="str">
        <f t="shared" si="345"/>
        <v>0_Pre</v>
      </c>
      <c r="U1102" s="10" t="str">
        <f t="shared" si="346"/>
        <v>1_Post</v>
      </c>
      <c r="V1102" s="10" t="str">
        <f t="shared" si="354"/>
        <v>0_Pre</v>
      </c>
      <c r="W1102" s="10" t="str">
        <f t="shared" si="347"/>
        <v>straddle</v>
      </c>
      <c r="X1102" s="10" t="str">
        <f t="shared" si="348"/>
        <v>0_Pre</v>
      </c>
      <c r="Y1102" s="10" t="str">
        <f t="shared" si="349"/>
        <v>0_Pre</v>
      </c>
      <c r="Z1102" s="10" t="str">
        <f t="shared" si="350"/>
        <v>0_Pre</v>
      </c>
      <c r="AA1102" s="10" t="str">
        <f t="shared" si="355"/>
        <v>1_Post</v>
      </c>
      <c r="AB1102" s="10" t="str">
        <f t="shared" si="356"/>
        <v>1_Post</v>
      </c>
      <c r="AC1102" s="10" t="str">
        <f t="shared" si="357"/>
        <v>0_Pre</v>
      </c>
      <c r="AD1102" s="10" t="str">
        <f t="shared" si="358"/>
        <v>2_post sample median</v>
      </c>
      <c r="AE1102" s="10" t="str">
        <f t="shared" si="359"/>
        <v>2_in sample second tertile</v>
      </c>
      <c r="AF1102" t="s">
        <v>67</v>
      </c>
      <c r="AG1102" t="s">
        <v>75</v>
      </c>
      <c r="AH1102" t="s">
        <v>78</v>
      </c>
      <c r="AI1102" t="s">
        <v>122</v>
      </c>
      <c r="AJ1102" t="s">
        <v>123</v>
      </c>
      <c r="AK1102" t="str">
        <f>VLOOKUP(MID($AR1102,1,255),country_lookup!$B:$F,2,FALSE)</f>
        <v>3_AsiaPac</v>
      </c>
      <c r="AL1102" t="str">
        <f>VLOOKUP(MID($AR1102,1,255),country_lookup!$B:$F,3,FALSE)</f>
        <v>2_developing</v>
      </c>
      <c r="AM1102" t="str">
        <f>VLOOKUP(MID($AR1102,1,255),country_lookup!$B:$F,4,FALSE)</f>
        <v>2_non_western</v>
      </c>
      <c r="AN1102" t="str">
        <f>VLOOKUP(MID($AR1102,1,255),country_lookup!$B:$F,5,FALSE)</f>
        <v>2_civil law</v>
      </c>
      <c r="AO1102" s="10" t="str">
        <f>VLOOKUP(MID($AS1102,1,255),source_lookup!$B:$K,4,FALSE)</f>
        <v>0_published</v>
      </c>
      <c r="AP1102" s="10" t="str">
        <f>VLOOKUP(MID($AS1102,1,255),source_lookup!$B:$K,6,FALSE)</f>
        <v>0_VHB low</v>
      </c>
      <c r="AQ1102" s="10" t="str">
        <f>VLOOKUP(MID($AS1102,1,255),source_lookup!$B:$K,10,FALSE)</f>
        <v>1_fin/acc/econ</v>
      </c>
      <c r="AR1102" t="s">
        <v>94</v>
      </c>
      <c r="AS1102" t="s">
        <v>177</v>
      </c>
    </row>
    <row r="1103" spans="1:45" x14ac:dyDescent="0.3">
      <c r="A1103" t="s">
        <v>54</v>
      </c>
      <c r="B1103">
        <v>1102</v>
      </c>
      <c r="C1103" s="1">
        <v>-4.8275862068965517E-2</v>
      </c>
      <c r="D1103" s="2">
        <v>131</v>
      </c>
      <c r="E1103" s="4">
        <v>1311</v>
      </c>
      <c r="F1103" s="4" t="s">
        <v>346</v>
      </c>
      <c r="G1103" s="4" t="s">
        <v>347</v>
      </c>
      <c r="H1103" t="s">
        <v>77</v>
      </c>
      <c r="I1103" t="s">
        <v>352</v>
      </c>
      <c r="J1103" s="3">
        <v>2009</v>
      </c>
      <c r="K1103" s="3">
        <v>2018</v>
      </c>
      <c r="L1103" s="6">
        <f t="shared" si="351"/>
        <v>2013.5</v>
      </c>
      <c r="M1103" s="6">
        <f t="shared" si="352"/>
        <v>2013.5</v>
      </c>
      <c r="N1103" s="7">
        <f t="shared" si="340"/>
        <v>0.3</v>
      </c>
      <c r="O1103" s="7">
        <f t="shared" si="341"/>
        <v>0.2</v>
      </c>
      <c r="P1103" s="7">
        <f t="shared" si="342"/>
        <v>0.1</v>
      </c>
      <c r="Q1103" s="7">
        <f t="shared" si="353"/>
        <v>0</v>
      </c>
      <c r="R1103" s="10" t="str">
        <f t="shared" si="343"/>
        <v>0_Pre</v>
      </c>
      <c r="S1103" s="10" t="str">
        <f t="shared" si="344"/>
        <v>0_Pre</v>
      </c>
      <c r="T1103" s="10" t="str">
        <f t="shared" si="345"/>
        <v>0_Pre</v>
      </c>
      <c r="U1103" s="10" t="str">
        <f t="shared" si="346"/>
        <v>1_Post</v>
      </c>
      <c r="V1103" s="10" t="str">
        <f t="shared" si="354"/>
        <v>0_Pre</v>
      </c>
      <c r="W1103" s="10" t="str">
        <f t="shared" si="347"/>
        <v>straddle</v>
      </c>
      <c r="X1103" s="10" t="str">
        <f t="shared" si="348"/>
        <v>0_Pre</v>
      </c>
      <c r="Y1103" s="10" t="str">
        <f t="shared" si="349"/>
        <v>0_Pre</v>
      </c>
      <c r="Z1103" s="10" t="str">
        <f t="shared" si="350"/>
        <v>0_Pre</v>
      </c>
      <c r="AA1103" s="10" t="str">
        <f t="shared" si="355"/>
        <v>1_Post</v>
      </c>
      <c r="AB1103" s="10" t="str">
        <f t="shared" si="356"/>
        <v>1_Post</v>
      </c>
      <c r="AC1103" s="10" t="str">
        <f t="shared" si="357"/>
        <v>0_Pre</v>
      </c>
      <c r="AD1103" s="10" t="str">
        <f t="shared" si="358"/>
        <v>2_post sample median</v>
      </c>
      <c r="AE1103" s="10" t="str">
        <f t="shared" si="359"/>
        <v>2_in sample second tertile</v>
      </c>
      <c r="AF1103" t="s">
        <v>67</v>
      </c>
      <c r="AG1103" t="s">
        <v>75</v>
      </c>
      <c r="AH1103" t="s">
        <v>78</v>
      </c>
      <c r="AI1103" t="s">
        <v>122</v>
      </c>
      <c r="AJ1103" t="s">
        <v>123</v>
      </c>
      <c r="AK1103" t="str">
        <f>VLOOKUP(MID($AR1103,1,255),country_lookup!$B:$F,2,FALSE)</f>
        <v>3_AsiaPac</v>
      </c>
      <c r="AL1103" t="str">
        <f>VLOOKUP(MID($AR1103,1,255),country_lookup!$B:$F,3,FALSE)</f>
        <v>1_developed</v>
      </c>
      <c r="AM1103" t="str">
        <f>VLOOKUP(MID($AR1103,1,255),country_lookup!$B:$F,4,FALSE)</f>
        <v>2_non_western</v>
      </c>
      <c r="AN1103" t="str">
        <f>VLOOKUP(MID($AR1103,1,255),country_lookup!$B:$F,5,FALSE)</f>
        <v>2_civil law</v>
      </c>
      <c r="AO1103" s="10" t="str">
        <f>VLOOKUP(MID($AS1103,1,255),source_lookup!$B:$K,4,FALSE)</f>
        <v>0_published</v>
      </c>
      <c r="AP1103" s="10" t="str">
        <f>VLOOKUP(MID($AS1103,1,255),source_lookup!$B:$K,6,FALSE)</f>
        <v>0_VHB low</v>
      </c>
      <c r="AQ1103" s="10" t="str">
        <f>VLOOKUP(MID($AS1103,1,255),source_lookup!$B:$K,10,FALSE)</f>
        <v>1_fin/acc/econ</v>
      </c>
      <c r="AR1103" t="s">
        <v>111</v>
      </c>
      <c r="AS1103" t="s">
        <v>177</v>
      </c>
    </row>
    <row r="1104" spans="1:45" x14ac:dyDescent="0.3">
      <c r="A1104" t="s">
        <v>55</v>
      </c>
      <c r="B1104">
        <v>1103</v>
      </c>
      <c r="C1104" s="1">
        <v>-1.4842738999297686E-2</v>
      </c>
      <c r="D1104" s="2">
        <v>1158</v>
      </c>
      <c r="E1104" s="4">
        <v>13898</v>
      </c>
      <c r="F1104" s="4" t="s">
        <v>347</v>
      </c>
      <c r="G1104" s="4" t="s">
        <v>346</v>
      </c>
      <c r="H1104" t="s">
        <v>77</v>
      </c>
      <c r="I1104" t="s">
        <v>352</v>
      </c>
      <c r="J1104" s="3">
        <v>2008</v>
      </c>
      <c r="K1104" s="3">
        <v>2019</v>
      </c>
      <c r="L1104" s="6">
        <f t="shared" si="351"/>
        <v>2013.5</v>
      </c>
      <c r="M1104" s="6">
        <f t="shared" si="352"/>
        <v>2013.5</v>
      </c>
      <c r="N1104" s="7">
        <f t="shared" si="340"/>
        <v>0.33333333333333331</v>
      </c>
      <c r="O1104" s="7">
        <f t="shared" si="341"/>
        <v>0.25</v>
      </c>
      <c r="P1104" s="7">
        <f t="shared" si="342"/>
        <v>0.16666666666666666</v>
      </c>
      <c r="Q1104" s="7">
        <f t="shared" si="353"/>
        <v>8.3333333333333329E-2</v>
      </c>
      <c r="R1104" s="10" t="str">
        <f t="shared" si="343"/>
        <v>0_Pre</v>
      </c>
      <c r="S1104" s="10" t="str">
        <f t="shared" si="344"/>
        <v>0_Pre</v>
      </c>
      <c r="T1104" s="10" t="str">
        <f t="shared" si="345"/>
        <v>0_Pre</v>
      </c>
      <c r="U1104" s="10" t="str">
        <f t="shared" si="346"/>
        <v>1_Post</v>
      </c>
      <c r="V1104" s="10" t="str">
        <f t="shared" si="354"/>
        <v>0_Pre</v>
      </c>
      <c r="W1104" s="10" t="str">
        <f t="shared" si="347"/>
        <v>straddle</v>
      </c>
      <c r="X1104" s="10" t="str">
        <f t="shared" si="348"/>
        <v>0_Pre</v>
      </c>
      <c r="Y1104" s="10" t="str">
        <f t="shared" si="349"/>
        <v>0_Pre</v>
      </c>
      <c r="Z1104" s="10" t="str">
        <f t="shared" si="350"/>
        <v>0_Pre</v>
      </c>
      <c r="AA1104" s="10" t="str">
        <f t="shared" si="355"/>
        <v>1_Post</v>
      </c>
      <c r="AB1104" s="10" t="str">
        <f t="shared" si="356"/>
        <v>1_Post</v>
      </c>
      <c r="AC1104" s="10" t="str">
        <f t="shared" si="357"/>
        <v>1_Post</v>
      </c>
      <c r="AD1104" s="10" t="str">
        <f t="shared" si="358"/>
        <v>2_post sample median</v>
      </c>
      <c r="AE1104" s="10" t="str">
        <f t="shared" si="359"/>
        <v>2_in sample second tertile</v>
      </c>
      <c r="AF1104" t="s">
        <v>82</v>
      </c>
      <c r="AG1104" t="s">
        <v>75</v>
      </c>
      <c r="AH1104" t="s">
        <v>78</v>
      </c>
      <c r="AI1104" t="s">
        <v>70</v>
      </c>
      <c r="AJ1104" t="s">
        <v>123</v>
      </c>
      <c r="AK1104" t="str">
        <f>VLOOKUP(MID($AR1104,1,255),country_lookup!$B:$F,2,FALSE)</f>
        <v>3_AsiaPac</v>
      </c>
      <c r="AL1104" t="str">
        <f>VLOOKUP(MID($AR1104,1,255),country_lookup!$B:$F,3,FALSE)</f>
        <v>99_NCE</v>
      </c>
      <c r="AM1104" t="str">
        <f>VLOOKUP(MID($AR1104,1,255),country_lookup!$B:$F,4,FALSE)</f>
        <v>99_NCE</v>
      </c>
      <c r="AN1104" t="str">
        <f>VLOOKUP(MID($AR1104,1,255),country_lookup!$B:$F,5,FALSE)</f>
        <v>99_NCE</v>
      </c>
      <c r="AO1104" s="10" t="str">
        <f>VLOOKUP(MID($AS1104,1,255),source_lookup!$B:$K,4,FALSE)</f>
        <v>1_not published</v>
      </c>
      <c r="AP1104" s="10" t="str">
        <f>VLOOKUP(MID($AS1104,1,255),source_lookup!$B:$K,6,FALSE)</f>
        <v>99_NA</v>
      </c>
      <c r="AQ1104" s="10" t="str">
        <f>VLOOKUP(MID($AS1104,1,255),source_lookup!$B:$K,10,FALSE)</f>
        <v>1_fin/acc/econ</v>
      </c>
      <c r="AR1104" t="s">
        <v>115</v>
      </c>
      <c r="AS1104" t="s">
        <v>178</v>
      </c>
    </row>
    <row r="1105" spans="1:45" x14ac:dyDescent="0.3">
      <c r="A1105" t="s">
        <v>55</v>
      </c>
      <c r="B1105">
        <v>1104</v>
      </c>
      <c r="C1105" s="1">
        <v>-6.3617459382917423E-3</v>
      </c>
      <c r="D1105" s="2">
        <v>1158</v>
      </c>
      <c r="E1105" s="4">
        <v>13898</v>
      </c>
      <c r="F1105" s="4" t="s">
        <v>347</v>
      </c>
      <c r="G1105" s="4" t="s">
        <v>346</v>
      </c>
      <c r="H1105" t="s">
        <v>77</v>
      </c>
      <c r="I1105" t="s">
        <v>352</v>
      </c>
      <c r="J1105" s="3">
        <v>2008</v>
      </c>
      <c r="K1105" s="3">
        <v>2019</v>
      </c>
      <c r="L1105" s="6">
        <f t="shared" si="351"/>
        <v>2013.5</v>
      </c>
      <c r="M1105" s="6">
        <f t="shared" si="352"/>
        <v>2013.5</v>
      </c>
      <c r="N1105" s="7">
        <f t="shared" si="340"/>
        <v>0.33333333333333331</v>
      </c>
      <c r="O1105" s="7">
        <f t="shared" si="341"/>
        <v>0.25</v>
      </c>
      <c r="P1105" s="7">
        <f t="shared" si="342"/>
        <v>0.16666666666666666</v>
      </c>
      <c r="Q1105" s="7">
        <f t="shared" si="353"/>
        <v>8.3333333333333329E-2</v>
      </c>
      <c r="R1105" s="10" t="str">
        <f t="shared" si="343"/>
        <v>0_Pre</v>
      </c>
      <c r="S1105" s="10" t="str">
        <f t="shared" si="344"/>
        <v>0_Pre</v>
      </c>
      <c r="T1105" s="10" t="str">
        <f t="shared" si="345"/>
        <v>0_Pre</v>
      </c>
      <c r="U1105" s="10" t="str">
        <f t="shared" si="346"/>
        <v>1_Post</v>
      </c>
      <c r="V1105" s="10" t="str">
        <f t="shared" si="354"/>
        <v>0_Pre</v>
      </c>
      <c r="W1105" s="10" t="str">
        <f t="shared" si="347"/>
        <v>straddle</v>
      </c>
      <c r="X1105" s="10" t="str">
        <f t="shared" si="348"/>
        <v>0_Pre</v>
      </c>
      <c r="Y1105" s="10" t="str">
        <f t="shared" si="349"/>
        <v>0_Pre</v>
      </c>
      <c r="Z1105" s="10" t="str">
        <f t="shared" si="350"/>
        <v>0_Pre</v>
      </c>
      <c r="AA1105" s="10" t="str">
        <f t="shared" si="355"/>
        <v>1_Post</v>
      </c>
      <c r="AB1105" s="10" t="str">
        <f t="shared" si="356"/>
        <v>1_Post</v>
      </c>
      <c r="AC1105" s="10" t="str">
        <f t="shared" si="357"/>
        <v>1_Post</v>
      </c>
      <c r="AD1105" s="10" t="str">
        <f t="shared" si="358"/>
        <v>2_post sample median</v>
      </c>
      <c r="AE1105" s="10" t="str">
        <f t="shared" si="359"/>
        <v>2_in sample second tertile</v>
      </c>
      <c r="AF1105" t="s">
        <v>82</v>
      </c>
      <c r="AG1105" t="s">
        <v>75</v>
      </c>
      <c r="AH1105" t="s">
        <v>78</v>
      </c>
      <c r="AI1105" t="s">
        <v>70</v>
      </c>
      <c r="AJ1105" t="s">
        <v>123</v>
      </c>
      <c r="AK1105" t="str">
        <f>VLOOKUP(MID($AR1105,1,255),country_lookup!$B:$F,2,FALSE)</f>
        <v>3_AsiaPac</v>
      </c>
      <c r="AL1105" t="str">
        <f>VLOOKUP(MID($AR1105,1,255),country_lookup!$B:$F,3,FALSE)</f>
        <v>99_NCE</v>
      </c>
      <c r="AM1105" t="str">
        <f>VLOOKUP(MID($AR1105,1,255),country_lookup!$B:$F,4,FALSE)</f>
        <v>99_NCE</v>
      </c>
      <c r="AN1105" t="str">
        <f>VLOOKUP(MID($AR1105,1,255),country_lookup!$B:$F,5,FALSE)</f>
        <v>99_NCE</v>
      </c>
      <c r="AO1105" s="10" t="str">
        <f>VLOOKUP(MID($AS1105,1,255),source_lookup!$B:$K,4,FALSE)</f>
        <v>1_not published</v>
      </c>
      <c r="AP1105" s="10" t="str">
        <f>VLOOKUP(MID($AS1105,1,255),source_lookup!$B:$K,6,FALSE)</f>
        <v>99_NA</v>
      </c>
      <c r="AQ1105" s="10" t="str">
        <f>VLOOKUP(MID($AS1105,1,255),source_lookup!$B:$K,10,FALSE)</f>
        <v>1_fin/acc/econ</v>
      </c>
      <c r="AR1105" t="s">
        <v>115</v>
      </c>
      <c r="AS1105" t="s">
        <v>178</v>
      </c>
    </row>
    <row r="1106" spans="1:45" x14ac:dyDescent="0.3">
      <c r="A1106" t="s">
        <v>55</v>
      </c>
      <c r="B1106">
        <v>1105</v>
      </c>
      <c r="C1106" s="1">
        <v>-2.5529598864666214E-2</v>
      </c>
      <c r="D1106" s="2">
        <v>174</v>
      </c>
      <c r="E1106" s="4">
        <v>2087</v>
      </c>
      <c r="F1106" s="4" t="s">
        <v>347</v>
      </c>
      <c r="G1106" s="4" t="s">
        <v>346</v>
      </c>
      <c r="H1106" t="s">
        <v>77</v>
      </c>
      <c r="I1106" t="s">
        <v>352</v>
      </c>
      <c r="J1106" s="3">
        <v>2008</v>
      </c>
      <c r="K1106" s="3">
        <v>2019</v>
      </c>
      <c r="L1106" s="6">
        <f t="shared" si="351"/>
        <v>2013.5</v>
      </c>
      <c r="M1106" s="6">
        <f t="shared" si="352"/>
        <v>2013.5</v>
      </c>
      <c r="N1106" s="7">
        <f t="shared" si="340"/>
        <v>0.33333333333333331</v>
      </c>
      <c r="O1106" s="7">
        <f t="shared" si="341"/>
        <v>0.25</v>
      </c>
      <c r="P1106" s="7">
        <f t="shared" si="342"/>
        <v>0.16666666666666666</v>
      </c>
      <c r="Q1106" s="7">
        <f t="shared" si="353"/>
        <v>8.3333333333333329E-2</v>
      </c>
      <c r="R1106" s="10" t="str">
        <f t="shared" si="343"/>
        <v>0_Pre</v>
      </c>
      <c r="S1106" s="10" t="str">
        <f t="shared" si="344"/>
        <v>0_Pre</v>
      </c>
      <c r="T1106" s="10" t="str">
        <f t="shared" si="345"/>
        <v>0_Pre</v>
      </c>
      <c r="U1106" s="10" t="str">
        <f t="shared" si="346"/>
        <v>1_Post</v>
      </c>
      <c r="V1106" s="10" t="str">
        <f t="shared" si="354"/>
        <v>0_Pre</v>
      </c>
      <c r="W1106" s="10" t="str">
        <f t="shared" si="347"/>
        <v>straddle</v>
      </c>
      <c r="X1106" s="10" t="str">
        <f t="shared" si="348"/>
        <v>0_Pre</v>
      </c>
      <c r="Y1106" s="10" t="str">
        <f t="shared" si="349"/>
        <v>0_Pre</v>
      </c>
      <c r="Z1106" s="10" t="str">
        <f t="shared" si="350"/>
        <v>0_Pre</v>
      </c>
      <c r="AA1106" s="10" t="str">
        <f t="shared" si="355"/>
        <v>1_Post</v>
      </c>
      <c r="AB1106" s="10" t="str">
        <f t="shared" si="356"/>
        <v>1_Post</v>
      </c>
      <c r="AC1106" s="10" t="str">
        <f t="shared" si="357"/>
        <v>1_Post</v>
      </c>
      <c r="AD1106" s="10" t="str">
        <f t="shared" si="358"/>
        <v>2_post sample median</v>
      </c>
      <c r="AE1106" s="10" t="str">
        <f t="shared" si="359"/>
        <v>2_in sample second tertile</v>
      </c>
      <c r="AF1106" t="s">
        <v>82</v>
      </c>
      <c r="AG1106" t="s">
        <v>75</v>
      </c>
      <c r="AH1106" t="s">
        <v>78</v>
      </c>
      <c r="AI1106" t="s">
        <v>70</v>
      </c>
      <c r="AJ1106" t="s">
        <v>123</v>
      </c>
      <c r="AK1106" t="str">
        <f>VLOOKUP(MID($AR1106,1,255),country_lookup!$B:$F,2,FALSE)</f>
        <v>3_AsiaPac</v>
      </c>
      <c r="AL1106" t="str">
        <f>VLOOKUP(MID($AR1106,1,255),country_lookup!$B:$F,3,FALSE)</f>
        <v>99_NCE</v>
      </c>
      <c r="AM1106" t="str">
        <f>VLOOKUP(MID($AR1106,1,255),country_lookup!$B:$F,4,FALSE)</f>
        <v>99_NCE</v>
      </c>
      <c r="AN1106" t="str">
        <f>VLOOKUP(MID($AR1106,1,255),country_lookup!$B:$F,5,FALSE)</f>
        <v>99_NCE</v>
      </c>
      <c r="AO1106" s="10" t="str">
        <f>VLOOKUP(MID($AS1106,1,255),source_lookup!$B:$K,4,FALSE)</f>
        <v>1_not published</v>
      </c>
      <c r="AP1106" s="10" t="str">
        <f>VLOOKUP(MID($AS1106,1,255),source_lookup!$B:$K,6,FALSE)</f>
        <v>99_NA</v>
      </c>
      <c r="AQ1106" s="10" t="str">
        <f>VLOOKUP(MID($AS1106,1,255),source_lookup!$B:$K,10,FALSE)</f>
        <v>1_fin/acc/econ</v>
      </c>
      <c r="AR1106" t="s">
        <v>115</v>
      </c>
      <c r="AS1106" t="s">
        <v>178</v>
      </c>
    </row>
    <row r="1107" spans="1:45" x14ac:dyDescent="0.3">
      <c r="A1107" t="s">
        <v>55</v>
      </c>
      <c r="B1107">
        <v>1106</v>
      </c>
      <c r="C1107" s="1">
        <v>-8.2584878614860024E-2</v>
      </c>
      <c r="D1107" s="2">
        <v>174</v>
      </c>
      <c r="E1107" s="4">
        <v>2087</v>
      </c>
      <c r="F1107" s="4" t="s">
        <v>347</v>
      </c>
      <c r="G1107" s="4" t="s">
        <v>346</v>
      </c>
      <c r="H1107" t="s">
        <v>77</v>
      </c>
      <c r="I1107" t="s">
        <v>352</v>
      </c>
      <c r="J1107" s="3">
        <v>2008</v>
      </c>
      <c r="K1107" s="3">
        <v>2019</v>
      </c>
      <c r="L1107" s="6">
        <f t="shared" si="351"/>
        <v>2013.5</v>
      </c>
      <c r="M1107" s="6">
        <f t="shared" si="352"/>
        <v>2013.5</v>
      </c>
      <c r="N1107" s="7">
        <f t="shared" si="340"/>
        <v>0.33333333333333331</v>
      </c>
      <c r="O1107" s="7">
        <f t="shared" si="341"/>
        <v>0.25</v>
      </c>
      <c r="P1107" s="7">
        <f t="shared" si="342"/>
        <v>0.16666666666666666</v>
      </c>
      <c r="Q1107" s="7">
        <f t="shared" si="353"/>
        <v>8.3333333333333329E-2</v>
      </c>
      <c r="R1107" s="10" t="str">
        <f t="shared" si="343"/>
        <v>0_Pre</v>
      </c>
      <c r="S1107" s="10" t="str">
        <f t="shared" si="344"/>
        <v>0_Pre</v>
      </c>
      <c r="T1107" s="10" t="str">
        <f t="shared" si="345"/>
        <v>0_Pre</v>
      </c>
      <c r="U1107" s="10" t="str">
        <f t="shared" si="346"/>
        <v>1_Post</v>
      </c>
      <c r="V1107" s="10" t="str">
        <f t="shared" si="354"/>
        <v>0_Pre</v>
      </c>
      <c r="W1107" s="10" t="str">
        <f t="shared" si="347"/>
        <v>straddle</v>
      </c>
      <c r="X1107" s="10" t="str">
        <f t="shared" si="348"/>
        <v>0_Pre</v>
      </c>
      <c r="Y1107" s="10" t="str">
        <f t="shared" si="349"/>
        <v>0_Pre</v>
      </c>
      <c r="Z1107" s="10" t="str">
        <f t="shared" si="350"/>
        <v>0_Pre</v>
      </c>
      <c r="AA1107" s="10" t="str">
        <f t="shared" si="355"/>
        <v>1_Post</v>
      </c>
      <c r="AB1107" s="10" t="str">
        <f t="shared" si="356"/>
        <v>1_Post</v>
      </c>
      <c r="AC1107" s="10" t="str">
        <f t="shared" si="357"/>
        <v>1_Post</v>
      </c>
      <c r="AD1107" s="10" t="str">
        <f t="shared" si="358"/>
        <v>2_post sample median</v>
      </c>
      <c r="AE1107" s="10" t="str">
        <f t="shared" si="359"/>
        <v>2_in sample second tertile</v>
      </c>
      <c r="AF1107" t="s">
        <v>82</v>
      </c>
      <c r="AG1107" t="s">
        <v>75</v>
      </c>
      <c r="AH1107" t="s">
        <v>78</v>
      </c>
      <c r="AI1107" t="s">
        <v>70</v>
      </c>
      <c r="AJ1107" t="s">
        <v>123</v>
      </c>
      <c r="AK1107" t="str">
        <f>VLOOKUP(MID($AR1107,1,255),country_lookup!$B:$F,2,FALSE)</f>
        <v>3_AsiaPac</v>
      </c>
      <c r="AL1107" t="str">
        <f>VLOOKUP(MID($AR1107,1,255),country_lookup!$B:$F,3,FALSE)</f>
        <v>99_NCE</v>
      </c>
      <c r="AM1107" t="str">
        <f>VLOOKUP(MID($AR1107,1,255),country_lookup!$B:$F,4,FALSE)</f>
        <v>99_NCE</v>
      </c>
      <c r="AN1107" t="str">
        <f>VLOOKUP(MID($AR1107,1,255),country_lookup!$B:$F,5,FALSE)</f>
        <v>99_NCE</v>
      </c>
      <c r="AO1107" s="10" t="str">
        <f>VLOOKUP(MID($AS1107,1,255),source_lookup!$B:$K,4,FALSE)</f>
        <v>1_not published</v>
      </c>
      <c r="AP1107" s="10" t="str">
        <f>VLOOKUP(MID($AS1107,1,255),source_lookup!$B:$K,6,FALSE)</f>
        <v>99_NA</v>
      </c>
      <c r="AQ1107" s="10" t="str">
        <f>VLOOKUP(MID($AS1107,1,255),source_lookup!$B:$K,10,FALSE)</f>
        <v>1_fin/acc/econ</v>
      </c>
      <c r="AR1107" t="s">
        <v>115</v>
      </c>
      <c r="AS1107" t="s">
        <v>178</v>
      </c>
    </row>
    <row r="1108" spans="1:45" x14ac:dyDescent="0.3">
      <c r="A1108" t="s">
        <v>55</v>
      </c>
      <c r="B1108">
        <v>1107</v>
      </c>
      <c r="C1108" s="1">
        <v>-7.094429211527929E-3</v>
      </c>
      <c r="D1108" s="2">
        <v>736</v>
      </c>
      <c r="E1108" s="4">
        <v>8830</v>
      </c>
      <c r="F1108" s="4" t="s">
        <v>347</v>
      </c>
      <c r="G1108" s="4" t="s">
        <v>346</v>
      </c>
      <c r="H1108" t="s">
        <v>77</v>
      </c>
      <c r="I1108" t="s">
        <v>352</v>
      </c>
      <c r="J1108" s="3">
        <v>2008</v>
      </c>
      <c r="K1108" s="3">
        <v>2019</v>
      </c>
      <c r="L1108" s="6">
        <f t="shared" si="351"/>
        <v>2013.5</v>
      </c>
      <c r="M1108" s="6">
        <f t="shared" si="352"/>
        <v>2013.5</v>
      </c>
      <c r="N1108" s="7">
        <f t="shared" si="340"/>
        <v>0.33333333333333331</v>
      </c>
      <c r="O1108" s="7">
        <f t="shared" si="341"/>
        <v>0.25</v>
      </c>
      <c r="P1108" s="7">
        <f t="shared" si="342"/>
        <v>0.16666666666666666</v>
      </c>
      <c r="Q1108" s="7">
        <f t="shared" si="353"/>
        <v>8.3333333333333329E-2</v>
      </c>
      <c r="R1108" s="10" t="str">
        <f t="shared" si="343"/>
        <v>0_Pre</v>
      </c>
      <c r="S1108" s="10" t="str">
        <f t="shared" si="344"/>
        <v>0_Pre</v>
      </c>
      <c r="T1108" s="10" t="str">
        <f t="shared" si="345"/>
        <v>0_Pre</v>
      </c>
      <c r="U1108" s="10" t="str">
        <f t="shared" si="346"/>
        <v>1_Post</v>
      </c>
      <c r="V1108" s="10" t="str">
        <f t="shared" si="354"/>
        <v>0_Pre</v>
      </c>
      <c r="W1108" s="10" t="str">
        <f t="shared" si="347"/>
        <v>straddle</v>
      </c>
      <c r="X1108" s="10" t="str">
        <f t="shared" si="348"/>
        <v>0_Pre</v>
      </c>
      <c r="Y1108" s="10" t="str">
        <f t="shared" si="349"/>
        <v>0_Pre</v>
      </c>
      <c r="Z1108" s="10" t="str">
        <f t="shared" si="350"/>
        <v>0_Pre</v>
      </c>
      <c r="AA1108" s="10" t="str">
        <f t="shared" si="355"/>
        <v>1_Post</v>
      </c>
      <c r="AB1108" s="10" t="str">
        <f t="shared" si="356"/>
        <v>1_Post</v>
      </c>
      <c r="AC1108" s="10" t="str">
        <f t="shared" si="357"/>
        <v>1_Post</v>
      </c>
      <c r="AD1108" s="10" t="str">
        <f t="shared" si="358"/>
        <v>2_post sample median</v>
      </c>
      <c r="AE1108" s="10" t="str">
        <f t="shared" si="359"/>
        <v>2_in sample second tertile</v>
      </c>
      <c r="AF1108" t="s">
        <v>82</v>
      </c>
      <c r="AG1108" t="s">
        <v>75</v>
      </c>
      <c r="AH1108" t="s">
        <v>78</v>
      </c>
      <c r="AI1108" t="s">
        <v>70</v>
      </c>
      <c r="AJ1108" t="s">
        <v>123</v>
      </c>
      <c r="AK1108" t="str">
        <f>VLOOKUP(MID($AR1108,1,255),country_lookup!$B:$F,2,FALSE)</f>
        <v>3_AsiaPac</v>
      </c>
      <c r="AL1108" t="str">
        <f>VLOOKUP(MID($AR1108,1,255),country_lookup!$B:$F,3,FALSE)</f>
        <v>99_NCE</v>
      </c>
      <c r="AM1108" t="str">
        <f>VLOOKUP(MID($AR1108,1,255),country_lookup!$B:$F,4,FALSE)</f>
        <v>99_NCE</v>
      </c>
      <c r="AN1108" t="str">
        <f>VLOOKUP(MID($AR1108,1,255),country_lookup!$B:$F,5,FALSE)</f>
        <v>99_NCE</v>
      </c>
      <c r="AO1108" s="10" t="str">
        <f>VLOOKUP(MID($AS1108,1,255),source_lookup!$B:$K,4,FALSE)</f>
        <v>1_not published</v>
      </c>
      <c r="AP1108" s="10" t="str">
        <f>VLOOKUP(MID($AS1108,1,255),source_lookup!$B:$K,6,FALSE)</f>
        <v>99_NA</v>
      </c>
      <c r="AQ1108" s="10" t="str">
        <f>VLOOKUP(MID($AS1108,1,255),source_lookup!$B:$K,10,FALSE)</f>
        <v>1_fin/acc/econ</v>
      </c>
      <c r="AR1108" t="s">
        <v>115</v>
      </c>
      <c r="AS1108" t="s">
        <v>178</v>
      </c>
    </row>
    <row r="1109" spans="1:45" x14ac:dyDescent="0.3">
      <c r="A1109" t="s">
        <v>55</v>
      </c>
      <c r="B1109">
        <v>1108</v>
      </c>
      <c r="C1109" s="1">
        <v>-2.3405791738884664E-2</v>
      </c>
      <c r="D1109" s="2">
        <v>736</v>
      </c>
      <c r="E1109" s="4">
        <v>8830</v>
      </c>
      <c r="F1109" s="4" t="s">
        <v>347</v>
      </c>
      <c r="G1109" s="4" t="s">
        <v>346</v>
      </c>
      <c r="H1109" t="s">
        <v>77</v>
      </c>
      <c r="I1109" t="s">
        <v>352</v>
      </c>
      <c r="J1109" s="3">
        <v>2008</v>
      </c>
      <c r="K1109" s="3">
        <v>2019</v>
      </c>
      <c r="L1109" s="6">
        <f t="shared" si="351"/>
        <v>2013.5</v>
      </c>
      <c r="M1109" s="6">
        <f t="shared" si="352"/>
        <v>2013.5</v>
      </c>
      <c r="N1109" s="7">
        <f t="shared" si="340"/>
        <v>0.33333333333333331</v>
      </c>
      <c r="O1109" s="7">
        <f t="shared" si="341"/>
        <v>0.25</v>
      </c>
      <c r="P1109" s="7">
        <f t="shared" si="342"/>
        <v>0.16666666666666666</v>
      </c>
      <c r="Q1109" s="7">
        <f t="shared" si="353"/>
        <v>8.3333333333333329E-2</v>
      </c>
      <c r="R1109" s="10" t="str">
        <f t="shared" si="343"/>
        <v>0_Pre</v>
      </c>
      <c r="S1109" s="10" t="str">
        <f t="shared" si="344"/>
        <v>0_Pre</v>
      </c>
      <c r="T1109" s="10" t="str">
        <f t="shared" si="345"/>
        <v>0_Pre</v>
      </c>
      <c r="U1109" s="10" t="str">
        <f t="shared" si="346"/>
        <v>1_Post</v>
      </c>
      <c r="V1109" s="10" t="str">
        <f t="shared" si="354"/>
        <v>0_Pre</v>
      </c>
      <c r="W1109" s="10" t="str">
        <f t="shared" si="347"/>
        <v>straddle</v>
      </c>
      <c r="X1109" s="10" t="str">
        <f t="shared" si="348"/>
        <v>0_Pre</v>
      </c>
      <c r="Y1109" s="10" t="str">
        <f t="shared" si="349"/>
        <v>0_Pre</v>
      </c>
      <c r="Z1109" s="10" t="str">
        <f t="shared" si="350"/>
        <v>0_Pre</v>
      </c>
      <c r="AA1109" s="10" t="str">
        <f t="shared" si="355"/>
        <v>1_Post</v>
      </c>
      <c r="AB1109" s="10" t="str">
        <f t="shared" si="356"/>
        <v>1_Post</v>
      </c>
      <c r="AC1109" s="10" t="str">
        <f t="shared" si="357"/>
        <v>1_Post</v>
      </c>
      <c r="AD1109" s="10" t="str">
        <f t="shared" si="358"/>
        <v>2_post sample median</v>
      </c>
      <c r="AE1109" s="10" t="str">
        <f t="shared" si="359"/>
        <v>2_in sample second tertile</v>
      </c>
      <c r="AF1109" t="s">
        <v>82</v>
      </c>
      <c r="AG1109" t="s">
        <v>75</v>
      </c>
      <c r="AH1109" t="s">
        <v>78</v>
      </c>
      <c r="AI1109" t="s">
        <v>70</v>
      </c>
      <c r="AJ1109" t="s">
        <v>123</v>
      </c>
      <c r="AK1109" t="str">
        <f>VLOOKUP(MID($AR1109,1,255),country_lookup!$B:$F,2,FALSE)</f>
        <v>3_AsiaPac</v>
      </c>
      <c r="AL1109" t="str">
        <f>VLOOKUP(MID($AR1109,1,255),country_lookup!$B:$F,3,FALSE)</f>
        <v>99_NCE</v>
      </c>
      <c r="AM1109" t="str">
        <f>VLOOKUP(MID($AR1109,1,255),country_lookup!$B:$F,4,FALSE)</f>
        <v>99_NCE</v>
      </c>
      <c r="AN1109" t="str">
        <f>VLOOKUP(MID($AR1109,1,255),country_lookup!$B:$F,5,FALSE)</f>
        <v>99_NCE</v>
      </c>
      <c r="AO1109" s="10" t="str">
        <f>VLOOKUP(MID($AS1109,1,255),source_lookup!$B:$K,4,FALSE)</f>
        <v>1_not published</v>
      </c>
      <c r="AP1109" s="10" t="str">
        <f>VLOOKUP(MID($AS1109,1,255),source_lookup!$B:$K,6,FALSE)</f>
        <v>99_NA</v>
      </c>
      <c r="AQ1109" s="10" t="str">
        <f>VLOOKUP(MID($AS1109,1,255),source_lookup!$B:$K,10,FALSE)</f>
        <v>1_fin/acc/econ</v>
      </c>
      <c r="AR1109" t="s">
        <v>115</v>
      </c>
      <c r="AS1109" t="s">
        <v>178</v>
      </c>
    </row>
    <row r="1110" spans="1:45" x14ac:dyDescent="0.3">
      <c r="A1110" t="s">
        <v>55</v>
      </c>
      <c r="B1110">
        <v>1109</v>
      </c>
      <c r="C1110" s="1">
        <v>2.5532261644658504E-2</v>
      </c>
      <c r="D1110" s="2">
        <v>736</v>
      </c>
      <c r="E1110" s="4">
        <v>8830</v>
      </c>
      <c r="F1110" s="4" t="s">
        <v>347</v>
      </c>
      <c r="G1110" s="4" t="s">
        <v>346</v>
      </c>
      <c r="H1110" t="s">
        <v>77</v>
      </c>
      <c r="I1110" t="s">
        <v>352</v>
      </c>
      <c r="J1110" s="3">
        <v>2008</v>
      </c>
      <c r="K1110" s="3">
        <v>2019</v>
      </c>
      <c r="L1110" s="6">
        <f t="shared" si="351"/>
        <v>2013.5</v>
      </c>
      <c r="M1110" s="6">
        <f t="shared" si="352"/>
        <v>2013.5</v>
      </c>
      <c r="N1110" s="7">
        <f t="shared" si="340"/>
        <v>0.33333333333333331</v>
      </c>
      <c r="O1110" s="7">
        <f t="shared" si="341"/>
        <v>0.25</v>
      </c>
      <c r="P1110" s="7">
        <f t="shared" si="342"/>
        <v>0.16666666666666666</v>
      </c>
      <c r="Q1110" s="7">
        <f t="shared" si="353"/>
        <v>8.3333333333333329E-2</v>
      </c>
      <c r="R1110" s="10" t="str">
        <f t="shared" si="343"/>
        <v>0_Pre</v>
      </c>
      <c r="S1110" s="10" t="str">
        <f t="shared" si="344"/>
        <v>0_Pre</v>
      </c>
      <c r="T1110" s="10" t="str">
        <f t="shared" si="345"/>
        <v>0_Pre</v>
      </c>
      <c r="U1110" s="10" t="str">
        <f t="shared" si="346"/>
        <v>1_Post</v>
      </c>
      <c r="V1110" s="10" t="str">
        <f t="shared" si="354"/>
        <v>0_Pre</v>
      </c>
      <c r="W1110" s="10" t="str">
        <f t="shared" si="347"/>
        <v>straddle</v>
      </c>
      <c r="X1110" s="10" t="str">
        <f t="shared" si="348"/>
        <v>0_Pre</v>
      </c>
      <c r="Y1110" s="10" t="str">
        <f t="shared" si="349"/>
        <v>0_Pre</v>
      </c>
      <c r="Z1110" s="10" t="str">
        <f t="shared" si="350"/>
        <v>0_Pre</v>
      </c>
      <c r="AA1110" s="10" t="str">
        <f t="shared" si="355"/>
        <v>1_Post</v>
      </c>
      <c r="AB1110" s="10" t="str">
        <f t="shared" si="356"/>
        <v>1_Post</v>
      </c>
      <c r="AC1110" s="10" t="str">
        <f t="shared" si="357"/>
        <v>1_Post</v>
      </c>
      <c r="AD1110" s="10" t="str">
        <f t="shared" si="358"/>
        <v>2_post sample median</v>
      </c>
      <c r="AE1110" s="10" t="str">
        <f t="shared" si="359"/>
        <v>2_in sample second tertile</v>
      </c>
      <c r="AF1110" t="s">
        <v>82</v>
      </c>
      <c r="AG1110" t="s">
        <v>75</v>
      </c>
      <c r="AH1110" t="s">
        <v>78</v>
      </c>
      <c r="AI1110" t="s">
        <v>70</v>
      </c>
      <c r="AJ1110" t="s">
        <v>123</v>
      </c>
      <c r="AK1110" t="str">
        <f>VLOOKUP(MID($AR1110,1,255),country_lookup!$B:$F,2,FALSE)</f>
        <v>3_AsiaPac</v>
      </c>
      <c r="AL1110" t="str">
        <f>VLOOKUP(MID($AR1110,1,255),country_lookup!$B:$F,3,FALSE)</f>
        <v>99_NCE</v>
      </c>
      <c r="AM1110" t="str">
        <f>VLOOKUP(MID($AR1110,1,255),country_lookup!$B:$F,4,FALSE)</f>
        <v>99_NCE</v>
      </c>
      <c r="AN1110" t="str">
        <f>VLOOKUP(MID($AR1110,1,255),country_lookup!$B:$F,5,FALSE)</f>
        <v>99_NCE</v>
      </c>
      <c r="AO1110" s="10" t="str">
        <f>VLOOKUP(MID($AS1110,1,255),source_lookup!$B:$K,4,FALSE)</f>
        <v>1_not published</v>
      </c>
      <c r="AP1110" s="10" t="str">
        <f>VLOOKUP(MID($AS1110,1,255),source_lookup!$B:$K,6,FALSE)</f>
        <v>99_NA</v>
      </c>
      <c r="AQ1110" s="10" t="str">
        <f>VLOOKUP(MID($AS1110,1,255),source_lookup!$B:$K,10,FALSE)</f>
        <v>1_fin/acc/econ</v>
      </c>
      <c r="AR1110" t="s">
        <v>115</v>
      </c>
      <c r="AS1110" t="s">
        <v>178</v>
      </c>
    </row>
    <row r="1111" spans="1:45" x14ac:dyDescent="0.3">
      <c r="A1111" t="s">
        <v>55</v>
      </c>
      <c r="B1111">
        <v>1110</v>
      </c>
      <c r="C1111" s="1">
        <v>5.8383274419976615E-2</v>
      </c>
      <c r="D1111" s="2">
        <v>390</v>
      </c>
      <c r="E1111" s="4">
        <v>4678</v>
      </c>
      <c r="F1111" s="4" t="s">
        <v>347</v>
      </c>
      <c r="G1111" s="4" t="s">
        <v>346</v>
      </c>
      <c r="H1111" t="s">
        <v>77</v>
      </c>
      <c r="I1111" t="s">
        <v>352</v>
      </c>
      <c r="J1111" s="3">
        <v>2008</v>
      </c>
      <c r="K1111" s="3">
        <v>2019</v>
      </c>
      <c r="L1111" s="6">
        <f t="shared" si="351"/>
        <v>2013.5</v>
      </c>
      <c r="M1111" s="6">
        <f t="shared" si="352"/>
        <v>2013.5</v>
      </c>
      <c r="N1111" s="7">
        <f t="shared" si="340"/>
        <v>0.33333333333333331</v>
      </c>
      <c r="O1111" s="7">
        <f t="shared" si="341"/>
        <v>0.25</v>
      </c>
      <c r="P1111" s="7">
        <f t="shared" si="342"/>
        <v>0.16666666666666666</v>
      </c>
      <c r="Q1111" s="7">
        <f t="shared" si="353"/>
        <v>8.3333333333333329E-2</v>
      </c>
      <c r="R1111" s="10" t="str">
        <f t="shared" si="343"/>
        <v>0_Pre</v>
      </c>
      <c r="S1111" s="10" t="str">
        <f t="shared" si="344"/>
        <v>0_Pre</v>
      </c>
      <c r="T1111" s="10" t="str">
        <f t="shared" si="345"/>
        <v>0_Pre</v>
      </c>
      <c r="U1111" s="10" t="str">
        <f t="shared" si="346"/>
        <v>1_Post</v>
      </c>
      <c r="V1111" s="10" t="str">
        <f t="shared" si="354"/>
        <v>0_Pre</v>
      </c>
      <c r="W1111" s="10" t="str">
        <f t="shared" si="347"/>
        <v>straddle</v>
      </c>
      <c r="X1111" s="10" t="str">
        <f t="shared" si="348"/>
        <v>0_Pre</v>
      </c>
      <c r="Y1111" s="10" t="str">
        <f t="shared" si="349"/>
        <v>0_Pre</v>
      </c>
      <c r="Z1111" s="10" t="str">
        <f t="shared" si="350"/>
        <v>0_Pre</v>
      </c>
      <c r="AA1111" s="10" t="str">
        <f t="shared" si="355"/>
        <v>1_Post</v>
      </c>
      <c r="AB1111" s="10" t="str">
        <f t="shared" si="356"/>
        <v>1_Post</v>
      </c>
      <c r="AC1111" s="10" t="str">
        <f t="shared" si="357"/>
        <v>1_Post</v>
      </c>
      <c r="AD1111" s="10" t="str">
        <f t="shared" si="358"/>
        <v>2_post sample median</v>
      </c>
      <c r="AE1111" s="10" t="str">
        <f t="shared" si="359"/>
        <v>2_in sample second tertile</v>
      </c>
      <c r="AF1111" t="s">
        <v>82</v>
      </c>
      <c r="AG1111" t="s">
        <v>75</v>
      </c>
      <c r="AH1111" t="s">
        <v>78</v>
      </c>
      <c r="AI1111" t="s">
        <v>70</v>
      </c>
      <c r="AJ1111" t="s">
        <v>123</v>
      </c>
      <c r="AK1111" t="str">
        <f>VLOOKUP(MID($AR1111,1,255),country_lookup!$B:$F,2,FALSE)</f>
        <v>3_AsiaPac</v>
      </c>
      <c r="AL1111" t="str">
        <f>VLOOKUP(MID($AR1111,1,255),country_lookup!$B:$F,3,FALSE)</f>
        <v>99_NCE</v>
      </c>
      <c r="AM1111" t="str">
        <f>VLOOKUP(MID($AR1111,1,255),country_lookup!$B:$F,4,FALSE)</f>
        <v>99_NCE</v>
      </c>
      <c r="AN1111" t="str">
        <f>VLOOKUP(MID($AR1111,1,255),country_lookup!$B:$F,5,FALSE)</f>
        <v>99_NCE</v>
      </c>
      <c r="AO1111" s="10" t="str">
        <f>VLOOKUP(MID($AS1111,1,255),source_lookup!$B:$K,4,FALSE)</f>
        <v>1_not published</v>
      </c>
      <c r="AP1111" s="10" t="str">
        <f>VLOOKUP(MID($AS1111,1,255),source_lookup!$B:$K,6,FALSE)</f>
        <v>99_NA</v>
      </c>
      <c r="AQ1111" s="10" t="str">
        <f>VLOOKUP(MID($AS1111,1,255),source_lookup!$B:$K,10,FALSE)</f>
        <v>1_fin/acc/econ</v>
      </c>
      <c r="AR1111" t="s">
        <v>115</v>
      </c>
      <c r="AS1111" t="s">
        <v>178</v>
      </c>
    </row>
    <row r="1112" spans="1:45" x14ac:dyDescent="0.3">
      <c r="A1112" t="s">
        <v>55</v>
      </c>
      <c r="B1112">
        <v>1111</v>
      </c>
      <c r="C1112" s="1">
        <v>-3.1314830636731253E-2</v>
      </c>
      <c r="D1112" s="2">
        <v>390</v>
      </c>
      <c r="E1112" s="4">
        <v>4678</v>
      </c>
      <c r="F1112" s="4" t="s">
        <v>347</v>
      </c>
      <c r="G1112" s="4" t="s">
        <v>346</v>
      </c>
      <c r="H1112" t="s">
        <v>77</v>
      </c>
      <c r="I1112" t="s">
        <v>352</v>
      </c>
      <c r="J1112" s="3">
        <v>2008</v>
      </c>
      <c r="K1112" s="3">
        <v>2019</v>
      </c>
      <c r="L1112" s="6">
        <f t="shared" si="351"/>
        <v>2013.5</v>
      </c>
      <c r="M1112" s="6">
        <f t="shared" si="352"/>
        <v>2013.5</v>
      </c>
      <c r="N1112" s="7">
        <f t="shared" si="340"/>
        <v>0.33333333333333331</v>
      </c>
      <c r="O1112" s="7">
        <f t="shared" si="341"/>
        <v>0.25</v>
      </c>
      <c r="P1112" s="7">
        <f t="shared" si="342"/>
        <v>0.16666666666666666</v>
      </c>
      <c r="Q1112" s="7">
        <f t="shared" si="353"/>
        <v>8.3333333333333329E-2</v>
      </c>
      <c r="R1112" s="10" t="str">
        <f t="shared" si="343"/>
        <v>0_Pre</v>
      </c>
      <c r="S1112" s="10" t="str">
        <f t="shared" si="344"/>
        <v>0_Pre</v>
      </c>
      <c r="T1112" s="10" t="str">
        <f t="shared" si="345"/>
        <v>0_Pre</v>
      </c>
      <c r="U1112" s="10" t="str">
        <f t="shared" si="346"/>
        <v>1_Post</v>
      </c>
      <c r="V1112" s="10" t="str">
        <f t="shared" si="354"/>
        <v>0_Pre</v>
      </c>
      <c r="W1112" s="10" t="str">
        <f t="shared" si="347"/>
        <v>straddle</v>
      </c>
      <c r="X1112" s="10" t="str">
        <f t="shared" si="348"/>
        <v>0_Pre</v>
      </c>
      <c r="Y1112" s="10" t="str">
        <f t="shared" si="349"/>
        <v>0_Pre</v>
      </c>
      <c r="Z1112" s="10" t="str">
        <f t="shared" si="350"/>
        <v>0_Pre</v>
      </c>
      <c r="AA1112" s="10" t="str">
        <f t="shared" si="355"/>
        <v>1_Post</v>
      </c>
      <c r="AB1112" s="10" t="str">
        <f t="shared" si="356"/>
        <v>1_Post</v>
      </c>
      <c r="AC1112" s="10" t="str">
        <f t="shared" si="357"/>
        <v>1_Post</v>
      </c>
      <c r="AD1112" s="10" t="str">
        <f t="shared" si="358"/>
        <v>2_post sample median</v>
      </c>
      <c r="AE1112" s="10" t="str">
        <f t="shared" si="359"/>
        <v>2_in sample second tertile</v>
      </c>
      <c r="AF1112" t="s">
        <v>82</v>
      </c>
      <c r="AG1112" t="s">
        <v>75</v>
      </c>
      <c r="AH1112" t="s">
        <v>78</v>
      </c>
      <c r="AI1112" t="s">
        <v>70</v>
      </c>
      <c r="AJ1112" t="s">
        <v>123</v>
      </c>
      <c r="AK1112" t="str">
        <f>VLOOKUP(MID($AR1112,1,255),country_lookup!$B:$F,2,FALSE)</f>
        <v>3_AsiaPac</v>
      </c>
      <c r="AL1112" t="str">
        <f>VLOOKUP(MID($AR1112,1,255),country_lookup!$B:$F,3,FALSE)</f>
        <v>99_NCE</v>
      </c>
      <c r="AM1112" t="str">
        <f>VLOOKUP(MID($AR1112,1,255),country_lookup!$B:$F,4,FALSE)</f>
        <v>99_NCE</v>
      </c>
      <c r="AN1112" t="str">
        <f>VLOOKUP(MID($AR1112,1,255),country_lookup!$B:$F,5,FALSE)</f>
        <v>99_NCE</v>
      </c>
      <c r="AO1112" s="10" t="str">
        <f>VLOOKUP(MID($AS1112,1,255),source_lookup!$B:$K,4,FALSE)</f>
        <v>1_not published</v>
      </c>
      <c r="AP1112" s="10" t="str">
        <f>VLOOKUP(MID($AS1112,1,255),source_lookup!$B:$K,6,FALSE)</f>
        <v>99_NA</v>
      </c>
      <c r="AQ1112" s="10" t="str">
        <f>VLOOKUP(MID($AS1112,1,255),source_lookup!$B:$K,10,FALSE)</f>
        <v>1_fin/acc/econ</v>
      </c>
      <c r="AR1112" t="s">
        <v>115</v>
      </c>
      <c r="AS1112" t="s">
        <v>178</v>
      </c>
    </row>
    <row r="1113" spans="1:45" x14ac:dyDescent="0.3">
      <c r="A1113" t="s">
        <v>55</v>
      </c>
      <c r="B1113">
        <v>1112</v>
      </c>
      <c r="C1113" s="1">
        <v>-7.1095830505353369E-2</v>
      </c>
      <c r="D1113" s="2">
        <v>390</v>
      </c>
      <c r="E1113" s="4">
        <v>4678</v>
      </c>
      <c r="F1113" s="4" t="s">
        <v>347</v>
      </c>
      <c r="G1113" s="4" t="s">
        <v>346</v>
      </c>
      <c r="H1113" t="s">
        <v>77</v>
      </c>
      <c r="I1113" t="s">
        <v>352</v>
      </c>
      <c r="J1113" s="3">
        <v>2008</v>
      </c>
      <c r="K1113" s="3">
        <v>2019</v>
      </c>
      <c r="L1113" s="6">
        <f t="shared" si="351"/>
        <v>2013.5</v>
      </c>
      <c r="M1113" s="6">
        <f t="shared" si="352"/>
        <v>2013.5</v>
      </c>
      <c r="N1113" s="7">
        <f t="shared" si="340"/>
        <v>0.33333333333333331</v>
      </c>
      <c r="O1113" s="7">
        <f t="shared" si="341"/>
        <v>0.25</v>
      </c>
      <c r="P1113" s="7">
        <f t="shared" si="342"/>
        <v>0.16666666666666666</v>
      </c>
      <c r="Q1113" s="7">
        <f t="shared" si="353"/>
        <v>8.3333333333333329E-2</v>
      </c>
      <c r="R1113" s="10" t="str">
        <f t="shared" si="343"/>
        <v>0_Pre</v>
      </c>
      <c r="S1113" s="10" t="str">
        <f t="shared" si="344"/>
        <v>0_Pre</v>
      </c>
      <c r="T1113" s="10" t="str">
        <f t="shared" si="345"/>
        <v>0_Pre</v>
      </c>
      <c r="U1113" s="10" t="str">
        <f t="shared" si="346"/>
        <v>1_Post</v>
      </c>
      <c r="V1113" s="10" t="str">
        <f t="shared" si="354"/>
        <v>0_Pre</v>
      </c>
      <c r="W1113" s="10" t="str">
        <f t="shared" si="347"/>
        <v>straddle</v>
      </c>
      <c r="X1113" s="10" t="str">
        <f t="shared" si="348"/>
        <v>0_Pre</v>
      </c>
      <c r="Y1113" s="10" t="str">
        <f t="shared" si="349"/>
        <v>0_Pre</v>
      </c>
      <c r="Z1113" s="10" t="str">
        <f t="shared" si="350"/>
        <v>0_Pre</v>
      </c>
      <c r="AA1113" s="10" t="str">
        <f t="shared" si="355"/>
        <v>1_Post</v>
      </c>
      <c r="AB1113" s="10" t="str">
        <f t="shared" si="356"/>
        <v>1_Post</v>
      </c>
      <c r="AC1113" s="10" t="str">
        <f t="shared" si="357"/>
        <v>1_Post</v>
      </c>
      <c r="AD1113" s="10" t="str">
        <f t="shared" si="358"/>
        <v>2_post sample median</v>
      </c>
      <c r="AE1113" s="10" t="str">
        <f t="shared" si="359"/>
        <v>2_in sample second tertile</v>
      </c>
      <c r="AF1113" t="s">
        <v>82</v>
      </c>
      <c r="AG1113" t="s">
        <v>75</v>
      </c>
      <c r="AH1113" t="s">
        <v>78</v>
      </c>
      <c r="AI1113" t="s">
        <v>70</v>
      </c>
      <c r="AJ1113" t="s">
        <v>123</v>
      </c>
      <c r="AK1113" t="str">
        <f>VLOOKUP(MID($AR1113,1,255),country_lookup!$B:$F,2,FALSE)</f>
        <v>3_AsiaPac</v>
      </c>
      <c r="AL1113" t="str">
        <f>VLOOKUP(MID($AR1113,1,255),country_lookup!$B:$F,3,FALSE)</f>
        <v>99_NCE</v>
      </c>
      <c r="AM1113" t="str">
        <f>VLOOKUP(MID($AR1113,1,255),country_lookup!$B:$F,4,FALSE)</f>
        <v>99_NCE</v>
      </c>
      <c r="AN1113" t="str">
        <f>VLOOKUP(MID($AR1113,1,255),country_lookup!$B:$F,5,FALSE)</f>
        <v>99_NCE</v>
      </c>
      <c r="AO1113" s="10" t="str">
        <f>VLOOKUP(MID($AS1113,1,255),source_lookup!$B:$K,4,FALSE)</f>
        <v>1_not published</v>
      </c>
      <c r="AP1113" s="10" t="str">
        <f>VLOOKUP(MID($AS1113,1,255),source_lookup!$B:$K,6,FALSE)</f>
        <v>99_NA</v>
      </c>
      <c r="AQ1113" s="10" t="str">
        <f>VLOOKUP(MID($AS1113,1,255),source_lookup!$B:$K,10,FALSE)</f>
        <v>1_fin/acc/econ</v>
      </c>
      <c r="AR1113" t="s">
        <v>115</v>
      </c>
      <c r="AS1113" t="s">
        <v>178</v>
      </c>
    </row>
    <row r="1114" spans="1:45" x14ac:dyDescent="0.3">
      <c r="A1114" t="s">
        <v>56</v>
      </c>
      <c r="B1114">
        <v>1113</v>
      </c>
      <c r="C1114" s="1">
        <v>-3.3652373818430815E-2</v>
      </c>
      <c r="D1114" s="2">
        <v>1067</v>
      </c>
      <c r="E1114" s="4">
        <v>7469</v>
      </c>
      <c r="F1114" s="4" t="s">
        <v>346</v>
      </c>
      <c r="G1114" s="4" t="s">
        <v>346</v>
      </c>
      <c r="H1114" t="s">
        <v>77</v>
      </c>
      <c r="I1114" t="s">
        <v>350</v>
      </c>
      <c r="J1114" s="3">
        <v>2013</v>
      </c>
      <c r="K1114" s="3">
        <v>2019</v>
      </c>
      <c r="L1114" s="6">
        <f t="shared" si="351"/>
        <v>2016</v>
      </c>
      <c r="M1114" s="6">
        <f t="shared" si="352"/>
        <v>2016</v>
      </c>
      <c r="N1114" s="7">
        <f t="shared" si="340"/>
        <v>0.5714285714285714</v>
      </c>
      <c r="O1114" s="7">
        <f t="shared" si="341"/>
        <v>0.42857142857142855</v>
      </c>
      <c r="P1114" s="7">
        <f t="shared" si="342"/>
        <v>0.2857142857142857</v>
      </c>
      <c r="Q1114" s="7">
        <f t="shared" si="353"/>
        <v>0.14285714285714285</v>
      </c>
      <c r="R1114" s="10" t="str">
        <f t="shared" si="343"/>
        <v>1_Post</v>
      </c>
      <c r="S1114" s="10" t="str">
        <f t="shared" si="344"/>
        <v>1_Post</v>
      </c>
      <c r="T1114" s="10" t="str">
        <f t="shared" si="345"/>
        <v>1_Post</v>
      </c>
      <c r="U1114" s="10" t="str">
        <f t="shared" si="346"/>
        <v>1_Post</v>
      </c>
      <c r="V1114" s="10" t="str">
        <f t="shared" si="354"/>
        <v>0_Pre</v>
      </c>
      <c r="W1114" s="10" t="str">
        <f t="shared" si="347"/>
        <v>straddle</v>
      </c>
      <c r="X1114" s="10" t="str">
        <f t="shared" si="348"/>
        <v>0_Pre</v>
      </c>
      <c r="Y1114" s="10" t="str">
        <f t="shared" si="349"/>
        <v>0_Pre</v>
      </c>
      <c r="Z1114" s="10" t="str">
        <f t="shared" si="350"/>
        <v>0_Pre</v>
      </c>
      <c r="AA1114" s="10" t="str">
        <f t="shared" si="355"/>
        <v>1_Post</v>
      </c>
      <c r="AB1114" s="10" t="str">
        <f t="shared" si="356"/>
        <v>1_Post</v>
      </c>
      <c r="AC1114" s="10" t="str">
        <f t="shared" si="357"/>
        <v>1_Post</v>
      </c>
      <c r="AD1114" s="10" t="str">
        <f t="shared" si="358"/>
        <v>2_post sample median</v>
      </c>
      <c r="AE1114" s="10" t="str">
        <f t="shared" si="359"/>
        <v>3_post sample third tertile</v>
      </c>
      <c r="AF1114" t="s">
        <v>82</v>
      </c>
      <c r="AG1114" t="s">
        <v>75</v>
      </c>
      <c r="AH1114" t="s">
        <v>78</v>
      </c>
      <c r="AI1114" t="s">
        <v>122</v>
      </c>
      <c r="AJ1114" t="s">
        <v>122</v>
      </c>
      <c r="AK1114" t="str">
        <f>VLOOKUP(MID($AR1114,1,255),country_lookup!$B:$F,2,FALSE)</f>
        <v>3_AsiaPac</v>
      </c>
      <c r="AL1114" t="str">
        <f>VLOOKUP(MID($AR1114,1,255),country_lookup!$B:$F,3,FALSE)</f>
        <v>2_developing</v>
      </c>
      <c r="AM1114" t="str">
        <f>VLOOKUP(MID($AR1114,1,255),country_lookup!$B:$F,4,FALSE)</f>
        <v>2_non_western</v>
      </c>
      <c r="AN1114" t="str">
        <f>VLOOKUP(MID($AR1114,1,255),country_lookup!$B:$F,5,FALSE)</f>
        <v>2_civil law</v>
      </c>
      <c r="AO1114" s="10" t="str">
        <f>VLOOKUP(MID($AS1114,1,255),source_lookup!$B:$K,4,FALSE)</f>
        <v>0_published</v>
      </c>
      <c r="AP1114" s="10" t="str">
        <f>VLOOKUP(MID($AS1114,1,255),source_lookup!$B:$K,6,FALSE)</f>
        <v>1_VHB high</v>
      </c>
      <c r="AQ1114" s="10" t="str">
        <f>VLOOKUP(MID($AS1114,1,255),source_lookup!$B:$K,10,FALSE)</f>
        <v>2_sust</v>
      </c>
      <c r="AR1114" t="s">
        <v>94</v>
      </c>
      <c r="AS1114" t="s">
        <v>179</v>
      </c>
    </row>
    <row r="1115" spans="1:45" x14ac:dyDescent="0.3">
      <c r="A1115" t="s">
        <v>56</v>
      </c>
      <c r="B1115">
        <v>1114</v>
      </c>
      <c r="C1115" s="1">
        <v>-3.087968567729231E-2</v>
      </c>
      <c r="D1115" s="2">
        <v>1067</v>
      </c>
      <c r="E1115" s="4">
        <v>7469</v>
      </c>
      <c r="F1115" s="4" t="s">
        <v>346</v>
      </c>
      <c r="G1115" s="4" t="s">
        <v>346</v>
      </c>
      <c r="H1115" t="s">
        <v>77</v>
      </c>
      <c r="I1115" t="s">
        <v>350</v>
      </c>
      <c r="J1115" s="3">
        <v>2013</v>
      </c>
      <c r="K1115" s="3">
        <v>2019</v>
      </c>
      <c r="L1115" s="6">
        <f t="shared" si="351"/>
        <v>2016</v>
      </c>
      <c r="M1115" s="6">
        <f t="shared" si="352"/>
        <v>2016</v>
      </c>
      <c r="N1115" s="7">
        <f t="shared" si="340"/>
        <v>0.5714285714285714</v>
      </c>
      <c r="O1115" s="7">
        <f t="shared" si="341"/>
        <v>0.42857142857142855</v>
      </c>
      <c r="P1115" s="7">
        <f t="shared" si="342"/>
        <v>0.2857142857142857</v>
      </c>
      <c r="Q1115" s="7">
        <f t="shared" si="353"/>
        <v>0.14285714285714285</v>
      </c>
      <c r="R1115" s="10" t="str">
        <f t="shared" si="343"/>
        <v>1_Post</v>
      </c>
      <c r="S1115" s="10" t="str">
        <f t="shared" si="344"/>
        <v>1_Post</v>
      </c>
      <c r="T1115" s="10" t="str">
        <f t="shared" si="345"/>
        <v>1_Post</v>
      </c>
      <c r="U1115" s="10" t="str">
        <f t="shared" si="346"/>
        <v>1_Post</v>
      </c>
      <c r="V1115" s="10" t="str">
        <f t="shared" si="354"/>
        <v>0_Pre</v>
      </c>
      <c r="W1115" s="10" t="str">
        <f t="shared" si="347"/>
        <v>straddle</v>
      </c>
      <c r="X1115" s="10" t="str">
        <f t="shared" si="348"/>
        <v>0_Pre</v>
      </c>
      <c r="Y1115" s="10" t="str">
        <f t="shared" si="349"/>
        <v>0_Pre</v>
      </c>
      <c r="Z1115" s="10" t="str">
        <f t="shared" si="350"/>
        <v>0_Pre</v>
      </c>
      <c r="AA1115" s="10" t="str">
        <f t="shared" si="355"/>
        <v>1_Post</v>
      </c>
      <c r="AB1115" s="10" t="str">
        <f t="shared" si="356"/>
        <v>1_Post</v>
      </c>
      <c r="AC1115" s="10" t="str">
        <f t="shared" si="357"/>
        <v>1_Post</v>
      </c>
      <c r="AD1115" s="10" t="str">
        <f t="shared" si="358"/>
        <v>2_post sample median</v>
      </c>
      <c r="AE1115" s="10" t="str">
        <f t="shared" si="359"/>
        <v>3_post sample third tertile</v>
      </c>
      <c r="AF1115" t="s">
        <v>82</v>
      </c>
      <c r="AG1115" t="s">
        <v>75</v>
      </c>
      <c r="AH1115" t="s">
        <v>78</v>
      </c>
      <c r="AI1115" t="s">
        <v>122</v>
      </c>
      <c r="AJ1115" t="s">
        <v>122</v>
      </c>
      <c r="AK1115" t="str">
        <f>VLOOKUP(MID($AR1115,1,255),country_lookup!$B:$F,2,FALSE)</f>
        <v>3_AsiaPac</v>
      </c>
      <c r="AL1115" t="str">
        <f>VLOOKUP(MID($AR1115,1,255),country_lookup!$B:$F,3,FALSE)</f>
        <v>2_developing</v>
      </c>
      <c r="AM1115" t="str">
        <f>VLOOKUP(MID($AR1115,1,255),country_lookup!$B:$F,4,FALSE)</f>
        <v>2_non_western</v>
      </c>
      <c r="AN1115" t="str">
        <f>VLOOKUP(MID($AR1115,1,255),country_lookup!$B:$F,5,FALSE)</f>
        <v>2_civil law</v>
      </c>
      <c r="AO1115" s="10" t="str">
        <f>VLOOKUP(MID($AS1115,1,255),source_lookup!$B:$K,4,FALSE)</f>
        <v>0_published</v>
      </c>
      <c r="AP1115" s="10" t="str">
        <f>VLOOKUP(MID($AS1115,1,255),source_lookup!$B:$K,6,FALSE)</f>
        <v>1_VHB high</v>
      </c>
      <c r="AQ1115" s="10" t="str">
        <f>VLOOKUP(MID($AS1115,1,255),source_lookup!$B:$K,10,FALSE)</f>
        <v>2_sust</v>
      </c>
      <c r="AR1115" t="s">
        <v>94</v>
      </c>
      <c r="AS1115" t="s">
        <v>179</v>
      </c>
    </row>
    <row r="1116" spans="1:45" x14ac:dyDescent="0.3">
      <c r="A1116" t="s">
        <v>56</v>
      </c>
      <c r="B1116">
        <v>1115</v>
      </c>
      <c r="C1116" s="1">
        <v>-3.4922933452546157E-2</v>
      </c>
      <c r="D1116" s="2">
        <v>1067</v>
      </c>
      <c r="E1116" s="4">
        <v>7469</v>
      </c>
      <c r="F1116" s="4" t="s">
        <v>346</v>
      </c>
      <c r="G1116" s="4" t="s">
        <v>346</v>
      </c>
      <c r="H1116" t="s">
        <v>77</v>
      </c>
      <c r="I1116" t="s">
        <v>350</v>
      </c>
      <c r="J1116" s="3">
        <v>2013</v>
      </c>
      <c r="K1116" s="3">
        <v>2019</v>
      </c>
      <c r="L1116" s="6">
        <f t="shared" si="351"/>
        <v>2016</v>
      </c>
      <c r="M1116" s="6">
        <f t="shared" si="352"/>
        <v>2016</v>
      </c>
      <c r="N1116" s="7">
        <f t="shared" si="340"/>
        <v>0.5714285714285714</v>
      </c>
      <c r="O1116" s="7">
        <f t="shared" si="341"/>
        <v>0.42857142857142855</v>
      </c>
      <c r="P1116" s="7">
        <f t="shared" si="342"/>
        <v>0.2857142857142857</v>
      </c>
      <c r="Q1116" s="7">
        <f t="shared" si="353"/>
        <v>0.14285714285714285</v>
      </c>
      <c r="R1116" s="10" t="str">
        <f t="shared" si="343"/>
        <v>1_Post</v>
      </c>
      <c r="S1116" s="10" t="str">
        <f t="shared" si="344"/>
        <v>1_Post</v>
      </c>
      <c r="T1116" s="10" t="str">
        <f t="shared" si="345"/>
        <v>1_Post</v>
      </c>
      <c r="U1116" s="10" t="str">
        <f t="shared" si="346"/>
        <v>1_Post</v>
      </c>
      <c r="V1116" s="10" t="str">
        <f t="shared" si="354"/>
        <v>0_Pre</v>
      </c>
      <c r="W1116" s="10" t="str">
        <f t="shared" si="347"/>
        <v>straddle</v>
      </c>
      <c r="X1116" s="10" t="str">
        <f t="shared" si="348"/>
        <v>0_Pre</v>
      </c>
      <c r="Y1116" s="10" t="str">
        <f t="shared" si="349"/>
        <v>0_Pre</v>
      </c>
      <c r="Z1116" s="10" t="str">
        <f t="shared" si="350"/>
        <v>0_Pre</v>
      </c>
      <c r="AA1116" s="10" t="str">
        <f t="shared" si="355"/>
        <v>1_Post</v>
      </c>
      <c r="AB1116" s="10" t="str">
        <f t="shared" si="356"/>
        <v>1_Post</v>
      </c>
      <c r="AC1116" s="10" t="str">
        <f t="shared" si="357"/>
        <v>1_Post</v>
      </c>
      <c r="AD1116" s="10" t="str">
        <f t="shared" si="358"/>
        <v>2_post sample median</v>
      </c>
      <c r="AE1116" s="10" t="str">
        <f t="shared" si="359"/>
        <v>3_post sample third tertile</v>
      </c>
      <c r="AF1116" t="s">
        <v>82</v>
      </c>
      <c r="AG1116" t="s">
        <v>75</v>
      </c>
      <c r="AH1116" t="s">
        <v>78</v>
      </c>
      <c r="AI1116" t="s">
        <v>122</v>
      </c>
      <c r="AJ1116" t="s">
        <v>122</v>
      </c>
      <c r="AK1116" t="str">
        <f>VLOOKUP(MID($AR1116,1,255),country_lookup!$B:$F,2,FALSE)</f>
        <v>3_AsiaPac</v>
      </c>
      <c r="AL1116" t="str">
        <f>VLOOKUP(MID($AR1116,1,255),country_lookup!$B:$F,3,FALSE)</f>
        <v>2_developing</v>
      </c>
      <c r="AM1116" t="str">
        <f>VLOOKUP(MID($AR1116,1,255),country_lookup!$B:$F,4,FALSE)</f>
        <v>2_non_western</v>
      </c>
      <c r="AN1116" t="str">
        <f>VLOOKUP(MID($AR1116,1,255),country_lookup!$B:$F,5,FALSE)</f>
        <v>2_civil law</v>
      </c>
      <c r="AO1116" s="10" t="str">
        <f>VLOOKUP(MID($AS1116,1,255),source_lookup!$B:$K,4,FALSE)</f>
        <v>0_published</v>
      </c>
      <c r="AP1116" s="10" t="str">
        <f>VLOOKUP(MID($AS1116,1,255),source_lookup!$B:$K,6,FALSE)</f>
        <v>1_VHB high</v>
      </c>
      <c r="AQ1116" s="10" t="str">
        <f>VLOOKUP(MID($AS1116,1,255),source_lookup!$B:$K,10,FALSE)</f>
        <v>2_sust</v>
      </c>
      <c r="AR1116" t="s">
        <v>94</v>
      </c>
      <c r="AS1116" t="s">
        <v>179</v>
      </c>
    </row>
    <row r="1117" spans="1:45" x14ac:dyDescent="0.3">
      <c r="A1117" t="s">
        <v>56</v>
      </c>
      <c r="B1117">
        <v>1116</v>
      </c>
      <c r="C1117" s="1">
        <v>-4.1619303666344691E-2</v>
      </c>
      <c r="D1117" s="2">
        <v>1067</v>
      </c>
      <c r="E1117" s="4">
        <v>7469</v>
      </c>
      <c r="F1117" s="4" t="s">
        <v>346</v>
      </c>
      <c r="G1117" s="4" t="s">
        <v>346</v>
      </c>
      <c r="H1117" t="s">
        <v>77</v>
      </c>
      <c r="I1117" t="s">
        <v>350</v>
      </c>
      <c r="J1117" s="3">
        <v>2013</v>
      </c>
      <c r="K1117" s="3">
        <v>2019</v>
      </c>
      <c r="L1117" s="6">
        <f t="shared" si="351"/>
        <v>2016</v>
      </c>
      <c r="M1117" s="6">
        <f t="shared" si="352"/>
        <v>2016</v>
      </c>
      <c r="N1117" s="7">
        <f t="shared" si="340"/>
        <v>0.5714285714285714</v>
      </c>
      <c r="O1117" s="7">
        <f t="shared" si="341"/>
        <v>0.42857142857142855</v>
      </c>
      <c r="P1117" s="7">
        <f t="shared" si="342"/>
        <v>0.2857142857142857</v>
      </c>
      <c r="Q1117" s="7">
        <f t="shared" si="353"/>
        <v>0.14285714285714285</v>
      </c>
      <c r="R1117" s="10" t="str">
        <f t="shared" si="343"/>
        <v>1_Post</v>
      </c>
      <c r="S1117" s="10" t="str">
        <f t="shared" si="344"/>
        <v>1_Post</v>
      </c>
      <c r="T1117" s="10" t="str">
        <f t="shared" si="345"/>
        <v>1_Post</v>
      </c>
      <c r="U1117" s="10" t="str">
        <f t="shared" si="346"/>
        <v>1_Post</v>
      </c>
      <c r="V1117" s="10" t="str">
        <f t="shared" si="354"/>
        <v>0_Pre</v>
      </c>
      <c r="W1117" s="10" t="str">
        <f t="shared" si="347"/>
        <v>straddle</v>
      </c>
      <c r="X1117" s="10" t="str">
        <f t="shared" si="348"/>
        <v>0_Pre</v>
      </c>
      <c r="Y1117" s="10" t="str">
        <f t="shared" si="349"/>
        <v>0_Pre</v>
      </c>
      <c r="Z1117" s="10" t="str">
        <f t="shared" si="350"/>
        <v>0_Pre</v>
      </c>
      <c r="AA1117" s="10" t="str">
        <f t="shared" si="355"/>
        <v>1_Post</v>
      </c>
      <c r="AB1117" s="10" t="str">
        <f t="shared" si="356"/>
        <v>1_Post</v>
      </c>
      <c r="AC1117" s="10" t="str">
        <f t="shared" si="357"/>
        <v>1_Post</v>
      </c>
      <c r="AD1117" s="10" t="str">
        <f t="shared" si="358"/>
        <v>2_post sample median</v>
      </c>
      <c r="AE1117" s="10" t="str">
        <f t="shared" si="359"/>
        <v>3_post sample third tertile</v>
      </c>
      <c r="AF1117" t="s">
        <v>82</v>
      </c>
      <c r="AG1117" t="s">
        <v>75</v>
      </c>
      <c r="AH1117" t="s">
        <v>78</v>
      </c>
      <c r="AI1117" t="s">
        <v>122</v>
      </c>
      <c r="AJ1117" t="s">
        <v>122</v>
      </c>
      <c r="AK1117" t="str">
        <f>VLOOKUP(MID($AR1117,1,255),country_lookup!$B:$F,2,FALSE)</f>
        <v>3_AsiaPac</v>
      </c>
      <c r="AL1117" t="str">
        <f>VLOOKUP(MID($AR1117,1,255),country_lookup!$B:$F,3,FALSE)</f>
        <v>2_developing</v>
      </c>
      <c r="AM1117" t="str">
        <f>VLOOKUP(MID($AR1117,1,255),country_lookup!$B:$F,4,FALSE)</f>
        <v>2_non_western</v>
      </c>
      <c r="AN1117" t="str">
        <f>VLOOKUP(MID($AR1117,1,255),country_lookup!$B:$F,5,FALSE)</f>
        <v>2_civil law</v>
      </c>
      <c r="AO1117" s="10" t="str">
        <f>VLOOKUP(MID($AS1117,1,255),source_lookup!$B:$K,4,FALSE)</f>
        <v>0_published</v>
      </c>
      <c r="AP1117" s="10" t="str">
        <f>VLOOKUP(MID($AS1117,1,255),source_lookup!$B:$K,6,FALSE)</f>
        <v>1_VHB high</v>
      </c>
      <c r="AQ1117" s="10" t="str">
        <f>VLOOKUP(MID($AS1117,1,255),source_lookup!$B:$K,10,FALSE)</f>
        <v>2_sust</v>
      </c>
      <c r="AR1117" t="s">
        <v>94</v>
      </c>
      <c r="AS1117" t="s">
        <v>179</v>
      </c>
    </row>
    <row r="1118" spans="1:45" x14ac:dyDescent="0.3">
      <c r="A1118" t="s">
        <v>56</v>
      </c>
      <c r="B1118">
        <v>1117</v>
      </c>
      <c r="C1118" s="1">
        <v>-2.5216635487724574E-2</v>
      </c>
      <c r="D1118" s="2">
        <v>1067</v>
      </c>
      <c r="E1118" s="4">
        <v>7469</v>
      </c>
      <c r="F1118" s="4" t="s">
        <v>346</v>
      </c>
      <c r="G1118" s="4" t="s">
        <v>346</v>
      </c>
      <c r="H1118" t="s">
        <v>77</v>
      </c>
      <c r="I1118" t="s">
        <v>350</v>
      </c>
      <c r="J1118" s="3">
        <v>2013</v>
      </c>
      <c r="K1118" s="3">
        <v>2019</v>
      </c>
      <c r="L1118" s="6">
        <f t="shared" si="351"/>
        <v>2016</v>
      </c>
      <c r="M1118" s="6">
        <f t="shared" si="352"/>
        <v>2016</v>
      </c>
      <c r="N1118" s="7">
        <f t="shared" si="340"/>
        <v>0.5714285714285714</v>
      </c>
      <c r="O1118" s="7">
        <f t="shared" si="341"/>
        <v>0.42857142857142855</v>
      </c>
      <c r="P1118" s="7">
        <f t="shared" si="342"/>
        <v>0.2857142857142857</v>
      </c>
      <c r="Q1118" s="7">
        <f t="shared" si="353"/>
        <v>0.14285714285714285</v>
      </c>
      <c r="R1118" s="10" t="str">
        <f t="shared" si="343"/>
        <v>1_Post</v>
      </c>
      <c r="S1118" s="10" t="str">
        <f t="shared" si="344"/>
        <v>1_Post</v>
      </c>
      <c r="T1118" s="10" t="str">
        <f t="shared" si="345"/>
        <v>1_Post</v>
      </c>
      <c r="U1118" s="10" t="str">
        <f t="shared" si="346"/>
        <v>1_Post</v>
      </c>
      <c r="V1118" s="10" t="str">
        <f t="shared" si="354"/>
        <v>0_Pre</v>
      </c>
      <c r="W1118" s="10" t="str">
        <f t="shared" si="347"/>
        <v>straddle</v>
      </c>
      <c r="X1118" s="10" t="str">
        <f t="shared" si="348"/>
        <v>0_Pre</v>
      </c>
      <c r="Y1118" s="10" t="str">
        <f t="shared" si="349"/>
        <v>0_Pre</v>
      </c>
      <c r="Z1118" s="10" t="str">
        <f t="shared" si="350"/>
        <v>0_Pre</v>
      </c>
      <c r="AA1118" s="10" t="str">
        <f t="shared" si="355"/>
        <v>1_Post</v>
      </c>
      <c r="AB1118" s="10" t="str">
        <f t="shared" si="356"/>
        <v>1_Post</v>
      </c>
      <c r="AC1118" s="10" t="str">
        <f t="shared" si="357"/>
        <v>1_Post</v>
      </c>
      <c r="AD1118" s="10" t="str">
        <f t="shared" si="358"/>
        <v>2_post sample median</v>
      </c>
      <c r="AE1118" s="10" t="str">
        <f t="shared" si="359"/>
        <v>3_post sample third tertile</v>
      </c>
      <c r="AF1118" t="s">
        <v>82</v>
      </c>
      <c r="AG1118" t="s">
        <v>75</v>
      </c>
      <c r="AH1118" t="s">
        <v>78</v>
      </c>
      <c r="AI1118" t="s">
        <v>122</v>
      </c>
      <c r="AJ1118" t="s">
        <v>122</v>
      </c>
      <c r="AK1118" t="str">
        <f>VLOOKUP(MID($AR1118,1,255),country_lookup!$B:$F,2,FALSE)</f>
        <v>3_AsiaPac</v>
      </c>
      <c r="AL1118" t="str">
        <f>VLOOKUP(MID($AR1118,1,255),country_lookup!$B:$F,3,FALSE)</f>
        <v>2_developing</v>
      </c>
      <c r="AM1118" t="str">
        <f>VLOOKUP(MID($AR1118,1,255),country_lookup!$B:$F,4,FALSE)</f>
        <v>2_non_western</v>
      </c>
      <c r="AN1118" t="str">
        <f>VLOOKUP(MID($AR1118,1,255),country_lookup!$B:$F,5,FALSE)</f>
        <v>2_civil law</v>
      </c>
      <c r="AO1118" s="10" t="str">
        <f>VLOOKUP(MID($AS1118,1,255),source_lookup!$B:$K,4,FALSE)</f>
        <v>0_published</v>
      </c>
      <c r="AP1118" s="10" t="str">
        <f>VLOOKUP(MID($AS1118,1,255),source_lookup!$B:$K,6,FALSE)</f>
        <v>1_VHB high</v>
      </c>
      <c r="AQ1118" s="10" t="str">
        <f>VLOOKUP(MID($AS1118,1,255),source_lookup!$B:$K,10,FALSE)</f>
        <v>2_sust</v>
      </c>
      <c r="AR1118" t="s">
        <v>94</v>
      </c>
      <c r="AS1118" t="s">
        <v>179</v>
      </c>
    </row>
    <row r="1119" spans="1:45" x14ac:dyDescent="0.3">
      <c r="A1119" t="s">
        <v>56</v>
      </c>
      <c r="B1119">
        <v>1118</v>
      </c>
      <c r="C1119" s="1">
        <v>-3.1803997435441406E-2</v>
      </c>
      <c r="D1119" s="2">
        <v>1067</v>
      </c>
      <c r="E1119" s="4">
        <v>7469</v>
      </c>
      <c r="F1119" s="4" t="s">
        <v>346</v>
      </c>
      <c r="G1119" s="4" t="s">
        <v>346</v>
      </c>
      <c r="H1119" t="s">
        <v>77</v>
      </c>
      <c r="I1119" t="s">
        <v>350</v>
      </c>
      <c r="J1119" s="3">
        <v>2013</v>
      </c>
      <c r="K1119" s="3">
        <v>2019</v>
      </c>
      <c r="L1119" s="6">
        <f t="shared" si="351"/>
        <v>2016</v>
      </c>
      <c r="M1119" s="6">
        <f t="shared" si="352"/>
        <v>2016</v>
      </c>
      <c r="N1119" s="7">
        <f t="shared" si="340"/>
        <v>0.5714285714285714</v>
      </c>
      <c r="O1119" s="7">
        <f t="shared" si="341"/>
        <v>0.42857142857142855</v>
      </c>
      <c r="P1119" s="7">
        <f t="shared" si="342"/>
        <v>0.2857142857142857</v>
      </c>
      <c r="Q1119" s="7">
        <f t="shared" si="353"/>
        <v>0.14285714285714285</v>
      </c>
      <c r="R1119" s="10" t="str">
        <f t="shared" si="343"/>
        <v>1_Post</v>
      </c>
      <c r="S1119" s="10" t="str">
        <f t="shared" si="344"/>
        <v>1_Post</v>
      </c>
      <c r="T1119" s="10" t="str">
        <f t="shared" si="345"/>
        <v>1_Post</v>
      </c>
      <c r="U1119" s="10" t="str">
        <f t="shared" si="346"/>
        <v>1_Post</v>
      </c>
      <c r="V1119" s="10" t="str">
        <f t="shared" si="354"/>
        <v>0_Pre</v>
      </c>
      <c r="W1119" s="10" t="str">
        <f t="shared" si="347"/>
        <v>straddle</v>
      </c>
      <c r="X1119" s="10" t="str">
        <f t="shared" si="348"/>
        <v>0_Pre</v>
      </c>
      <c r="Y1119" s="10" t="str">
        <f t="shared" si="349"/>
        <v>0_Pre</v>
      </c>
      <c r="Z1119" s="10" t="str">
        <f t="shared" si="350"/>
        <v>0_Pre</v>
      </c>
      <c r="AA1119" s="10" t="str">
        <f t="shared" si="355"/>
        <v>1_Post</v>
      </c>
      <c r="AB1119" s="10" t="str">
        <f t="shared" si="356"/>
        <v>1_Post</v>
      </c>
      <c r="AC1119" s="10" t="str">
        <f t="shared" si="357"/>
        <v>1_Post</v>
      </c>
      <c r="AD1119" s="10" t="str">
        <f t="shared" si="358"/>
        <v>2_post sample median</v>
      </c>
      <c r="AE1119" s="10" t="str">
        <f t="shared" si="359"/>
        <v>3_post sample third tertile</v>
      </c>
      <c r="AF1119" t="s">
        <v>82</v>
      </c>
      <c r="AG1119" t="s">
        <v>75</v>
      </c>
      <c r="AH1119" t="s">
        <v>78</v>
      </c>
      <c r="AI1119" t="s">
        <v>122</v>
      </c>
      <c r="AJ1119" t="s">
        <v>122</v>
      </c>
      <c r="AK1119" t="str">
        <f>VLOOKUP(MID($AR1119,1,255),country_lookup!$B:$F,2,FALSE)</f>
        <v>3_AsiaPac</v>
      </c>
      <c r="AL1119" t="str">
        <f>VLOOKUP(MID($AR1119,1,255),country_lookup!$B:$F,3,FALSE)</f>
        <v>2_developing</v>
      </c>
      <c r="AM1119" t="str">
        <f>VLOOKUP(MID($AR1119,1,255),country_lookup!$B:$F,4,FALSE)</f>
        <v>2_non_western</v>
      </c>
      <c r="AN1119" t="str">
        <f>VLOOKUP(MID($AR1119,1,255),country_lookup!$B:$F,5,FALSE)</f>
        <v>2_civil law</v>
      </c>
      <c r="AO1119" s="10" t="str">
        <f>VLOOKUP(MID($AS1119,1,255),source_lookup!$B:$K,4,FALSE)</f>
        <v>0_published</v>
      </c>
      <c r="AP1119" s="10" t="str">
        <f>VLOOKUP(MID($AS1119,1,255),source_lookup!$B:$K,6,FALSE)</f>
        <v>1_VHB high</v>
      </c>
      <c r="AQ1119" s="10" t="str">
        <f>VLOOKUP(MID($AS1119,1,255),source_lookup!$B:$K,10,FALSE)</f>
        <v>2_sust</v>
      </c>
      <c r="AR1119" t="s">
        <v>94</v>
      </c>
      <c r="AS1119" t="s">
        <v>179</v>
      </c>
    </row>
    <row r="1120" spans="1:45" x14ac:dyDescent="0.3">
      <c r="A1120" t="s">
        <v>56</v>
      </c>
      <c r="B1120">
        <v>1119</v>
      </c>
      <c r="C1120" s="1">
        <v>-3.8387217597075321E-2</v>
      </c>
      <c r="D1120" s="2">
        <v>1067</v>
      </c>
      <c r="E1120" s="4">
        <v>7469</v>
      </c>
      <c r="F1120" s="4" t="s">
        <v>346</v>
      </c>
      <c r="G1120" s="4" t="s">
        <v>346</v>
      </c>
      <c r="H1120" t="s">
        <v>77</v>
      </c>
      <c r="I1120" t="s">
        <v>350</v>
      </c>
      <c r="J1120" s="3">
        <v>2013</v>
      </c>
      <c r="K1120" s="3">
        <v>2019</v>
      </c>
      <c r="L1120" s="6">
        <f t="shared" si="351"/>
        <v>2016</v>
      </c>
      <c r="M1120" s="6">
        <f t="shared" si="352"/>
        <v>2016</v>
      </c>
      <c r="N1120" s="7">
        <f t="shared" si="340"/>
        <v>0.5714285714285714</v>
      </c>
      <c r="O1120" s="7">
        <f t="shared" si="341"/>
        <v>0.42857142857142855</v>
      </c>
      <c r="P1120" s="7">
        <f t="shared" si="342"/>
        <v>0.2857142857142857</v>
      </c>
      <c r="Q1120" s="7">
        <f t="shared" si="353"/>
        <v>0.14285714285714285</v>
      </c>
      <c r="R1120" s="10" t="str">
        <f t="shared" si="343"/>
        <v>1_Post</v>
      </c>
      <c r="S1120" s="10" t="str">
        <f t="shared" si="344"/>
        <v>1_Post</v>
      </c>
      <c r="T1120" s="10" t="str">
        <f t="shared" si="345"/>
        <v>1_Post</v>
      </c>
      <c r="U1120" s="10" t="str">
        <f t="shared" si="346"/>
        <v>1_Post</v>
      </c>
      <c r="V1120" s="10" t="str">
        <f t="shared" si="354"/>
        <v>0_Pre</v>
      </c>
      <c r="W1120" s="10" t="str">
        <f t="shared" si="347"/>
        <v>straddle</v>
      </c>
      <c r="X1120" s="10" t="str">
        <f t="shared" si="348"/>
        <v>0_Pre</v>
      </c>
      <c r="Y1120" s="10" t="str">
        <f t="shared" si="349"/>
        <v>0_Pre</v>
      </c>
      <c r="Z1120" s="10" t="str">
        <f t="shared" si="350"/>
        <v>0_Pre</v>
      </c>
      <c r="AA1120" s="10" t="str">
        <f t="shared" si="355"/>
        <v>1_Post</v>
      </c>
      <c r="AB1120" s="10" t="str">
        <f t="shared" si="356"/>
        <v>1_Post</v>
      </c>
      <c r="AC1120" s="10" t="str">
        <f t="shared" si="357"/>
        <v>1_Post</v>
      </c>
      <c r="AD1120" s="10" t="str">
        <f t="shared" si="358"/>
        <v>2_post sample median</v>
      </c>
      <c r="AE1120" s="10" t="str">
        <f t="shared" si="359"/>
        <v>3_post sample third tertile</v>
      </c>
      <c r="AF1120" t="s">
        <v>82</v>
      </c>
      <c r="AG1120" t="s">
        <v>75</v>
      </c>
      <c r="AH1120" t="s">
        <v>78</v>
      </c>
      <c r="AI1120" t="s">
        <v>122</v>
      </c>
      <c r="AJ1120" t="s">
        <v>122</v>
      </c>
      <c r="AK1120" t="str">
        <f>VLOOKUP(MID($AR1120,1,255),country_lookup!$B:$F,2,FALSE)</f>
        <v>3_AsiaPac</v>
      </c>
      <c r="AL1120" t="str">
        <f>VLOOKUP(MID($AR1120,1,255),country_lookup!$B:$F,3,FALSE)</f>
        <v>2_developing</v>
      </c>
      <c r="AM1120" t="str">
        <f>VLOOKUP(MID($AR1120,1,255),country_lookup!$B:$F,4,FALSE)</f>
        <v>2_non_western</v>
      </c>
      <c r="AN1120" t="str">
        <f>VLOOKUP(MID($AR1120,1,255),country_lookup!$B:$F,5,FALSE)</f>
        <v>2_civil law</v>
      </c>
      <c r="AO1120" s="10" t="str">
        <f>VLOOKUP(MID($AS1120,1,255),source_lookup!$B:$K,4,FALSE)</f>
        <v>0_published</v>
      </c>
      <c r="AP1120" s="10" t="str">
        <f>VLOOKUP(MID($AS1120,1,255),source_lookup!$B:$K,6,FALSE)</f>
        <v>1_VHB high</v>
      </c>
      <c r="AQ1120" s="10" t="str">
        <f>VLOOKUP(MID($AS1120,1,255),source_lookup!$B:$K,10,FALSE)</f>
        <v>2_sust</v>
      </c>
      <c r="AR1120" t="s">
        <v>94</v>
      </c>
      <c r="AS1120" t="s">
        <v>179</v>
      </c>
    </row>
    <row r="1121" spans="1:45" x14ac:dyDescent="0.3">
      <c r="A1121" t="s">
        <v>56</v>
      </c>
      <c r="B1121">
        <v>1120</v>
      </c>
      <c r="C1121" s="1">
        <v>-2.336692378835948E-2</v>
      </c>
      <c r="D1121" s="2">
        <v>1067</v>
      </c>
      <c r="E1121" s="4">
        <v>7469</v>
      </c>
      <c r="F1121" s="4" t="s">
        <v>346</v>
      </c>
      <c r="G1121" s="4" t="s">
        <v>346</v>
      </c>
      <c r="H1121" t="s">
        <v>77</v>
      </c>
      <c r="I1121" t="s">
        <v>350</v>
      </c>
      <c r="J1121" s="3">
        <v>2013</v>
      </c>
      <c r="K1121" s="3">
        <v>2019</v>
      </c>
      <c r="L1121" s="6">
        <f t="shared" si="351"/>
        <v>2016</v>
      </c>
      <c r="M1121" s="6">
        <f t="shared" si="352"/>
        <v>2016</v>
      </c>
      <c r="N1121" s="7">
        <f t="shared" si="340"/>
        <v>0.5714285714285714</v>
      </c>
      <c r="O1121" s="7">
        <f t="shared" si="341"/>
        <v>0.42857142857142855</v>
      </c>
      <c r="P1121" s="7">
        <f t="shared" si="342"/>
        <v>0.2857142857142857</v>
      </c>
      <c r="Q1121" s="7">
        <f t="shared" si="353"/>
        <v>0.14285714285714285</v>
      </c>
      <c r="R1121" s="10" t="str">
        <f t="shared" si="343"/>
        <v>1_Post</v>
      </c>
      <c r="S1121" s="10" t="str">
        <f t="shared" si="344"/>
        <v>1_Post</v>
      </c>
      <c r="T1121" s="10" t="str">
        <f t="shared" si="345"/>
        <v>1_Post</v>
      </c>
      <c r="U1121" s="10" t="str">
        <f t="shared" si="346"/>
        <v>1_Post</v>
      </c>
      <c r="V1121" s="10" t="str">
        <f t="shared" si="354"/>
        <v>0_Pre</v>
      </c>
      <c r="W1121" s="10" t="str">
        <f t="shared" si="347"/>
        <v>straddle</v>
      </c>
      <c r="X1121" s="10" t="str">
        <f t="shared" si="348"/>
        <v>0_Pre</v>
      </c>
      <c r="Y1121" s="10" t="str">
        <f t="shared" si="349"/>
        <v>0_Pre</v>
      </c>
      <c r="Z1121" s="10" t="str">
        <f t="shared" si="350"/>
        <v>0_Pre</v>
      </c>
      <c r="AA1121" s="10" t="str">
        <f t="shared" si="355"/>
        <v>1_Post</v>
      </c>
      <c r="AB1121" s="10" t="str">
        <f t="shared" si="356"/>
        <v>1_Post</v>
      </c>
      <c r="AC1121" s="10" t="str">
        <f t="shared" si="357"/>
        <v>1_Post</v>
      </c>
      <c r="AD1121" s="10" t="str">
        <f t="shared" si="358"/>
        <v>2_post sample median</v>
      </c>
      <c r="AE1121" s="10" t="str">
        <f t="shared" si="359"/>
        <v>3_post sample third tertile</v>
      </c>
      <c r="AF1121" t="s">
        <v>82</v>
      </c>
      <c r="AG1121" t="s">
        <v>75</v>
      </c>
      <c r="AH1121" t="s">
        <v>78</v>
      </c>
      <c r="AI1121" t="s">
        <v>122</v>
      </c>
      <c r="AJ1121" t="s">
        <v>122</v>
      </c>
      <c r="AK1121" t="str">
        <f>VLOOKUP(MID($AR1121,1,255),country_lookup!$B:$F,2,FALSE)</f>
        <v>3_AsiaPac</v>
      </c>
      <c r="AL1121" t="str">
        <f>VLOOKUP(MID($AR1121,1,255),country_lookup!$B:$F,3,FALSE)</f>
        <v>2_developing</v>
      </c>
      <c r="AM1121" t="str">
        <f>VLOOKUP(MID($AR1121,1,255),country_lookup!$B:$F,4,FALSE)</f>
        <v>2_non_western</v>
      </c>
      <c r="AN1121" t="str">
        <f>VLOOKUP(MID($AR1121,1,255),country_lookup!$B:$F,5,FALSE)</f>
        <v>2_civil law</v>
      </c>
      <c r="AO1121" s="10" t="str">
        <f>VLOOKUP(MID($AS1121,1,255),source_lookup!$B:$K,4,FALSE)</f>
        <v>0_published</v>
      </c>
      <c r="AP1121" s="10" t="str">
        <f>VLOOKUP(MID($AS1121,1,255),source_lookup!$B:$K,6,FALSE)</f>
        <v>1_VHB high</v>
      </c>
      <c r="AQ1121" s="10" t="str">
        <f>VLOOKUP(MID($AS1121,1,255),source_lookup!$B:$K,10,FALSE)</f>
        <v>2_sust</v>
      </c>
      <c r="AR1121" t="s">
        <v>94</v>
      </c>
      <c r="AS1121" t="s">
        <v>179</v>
      </c>
    </row>
    <row r="1122" spans="1:45" x14ac:dyDescent="0.3">
      <c r="A1122" t="s">
        <v>56</v>
      </c>
      <c r="B1122">
        <v>1121</v>
      </c>
      <c r="C1122" s="1">
        <v>-2.625698573219026E-2</v>
      </c>
      <c r="D1122" s="2">
        <v>1067</v>
      </c>
      <c r="E1122" s="4">
        <v>7469</v>
      </c>
      <c r="F1122" s="4" t="s">
        <v>346</v>
      </c>
      <c r="G1122" s="4" t="s">
        <v>346</v>
      </c>
      <c r="H1122" t="s">
        <v>77</v>
      </c>
      <c r="I1122" t="s">
        <v>350</v>
      </c>
      <c r="J1122" s="3">
        <v>2013</v>
      </c>
      <c r="K1122" s="3">
        <v>2019</v>
      </c>
      <c r="L1122" s="6">
        <f t="shared" si="351"/>
        <v>2016</v>
      </c>
      <c r="M1122" s="6">
        <f t="shared" si="352"/>
        <v>2016</v>
      </c>
      <c r="N1122" s="7">
        <f t="shared" si="340"/>
        <v>0.5714285714285714</v>
      </c>
      <c r="O1122" s="7">
        <f t="shared" si="341"/>
        <v>0.42857142857142855</v>
      </c>
      <c r="P1122" s="7">
        <f t="shared" si="342"/>
        <v>0.2857142857142857</v>
      </c>
      <c r="Q1122" s="7">
        <f t="shared" si="353"/>
        <v>0.14285714285714285</v>
      </c>
      <c r="R1122" s="10" t="str">
        <f t="shared" si="343"/>
        <v>1_Post</v>
      </c>
      <c r="S1122" s="10" t="str">
        <f t="shared" si="344"/>
        <v>1_Post</v>
      </c>
      <c r="T1122" s="10" t="str">
        <f t="shared" si="345"/>
        <v>1_Post</v>
      </c>
      <c r="U1122" s="10" t="str">
        <f t="shared" si="346"/>
        <v>1_Post</v>
      </c>
      <c r="V1122" s="10" t="str">
        <f t="shared" si="354"/>
        <v>0_Pre</v>
      </c>
      <c r="W1122" s="10" t="str">
        <f t="shared" si="347"/>
        <v>straddle</v>
      </c>
      <c r="X1122" s="10" t="str">
        <f t="shared" si="348"/>
        <v>0_Pre</v>
      </c>
      <c r="Y1122" s="10" t="str">
        <f t="shared" si="349"/>
        <v>0_Pre</v>
      </c>
      <c r="Z1122" s="10" t="str">
        <f t="shared" si="350"/>
        <v>0_Pre</v>
      </c>
      <c r="AA1122" s="10" t="str">
        <f t="shared" si="355"/>
        <v>1_Post</v>
      </c>
      <c r="AB1122" s="10" t="str">
        <f t="shared" si="356"/>
        <v>1_Post</v>
      </c>
      <c r="AC1122" s="10" t="str">
        <f t="shared" si="357"/>
        <v>1_Post</v>
      </c>
      <c r="AD1122" s="10" t="str">
        <f t="shared" si="358"/>
        <v>2_post sample median</v>
      </c>
      <c r="AE1122" s="10" t="str">
        <f t="shared" si="359"/>
        <v>3_post sample third tertile</v>
      </c>
      <c r="AF1122" t="s">
        <v>82</v>
      </c>
      <c r="AG1122" t="s">
        <v>75</v>
      </c>
      <c r="AH1122" t="s">
        <v>78</v>
      </c>
      <c r="AI1122" t="s">
        <v>122</v>
      </c>
      <c r="AJ1122" t="s">
        <v>122</v>
      </c>
      <c r="AK1122" t="str">
        <f>VLOOKUP(MID($AR1122,1,255),country_lookup!$B:$F,2,FALSE)</f>
        <v>3_AsiaPac</v>
      </c>
      <c r="AL1122" t="str">
        <f>VLOOKUP(MID($AR1122,1,255),country_lookup!$B:$F,3,FALSE)</f>
        <v>2_developing</v>
      </c>
      <c r="AM1122" t="str">
        <f>VLOOKUP(MID($AR1122,1,255),country_lookup!$B:$F,4,FALSE)</f>
        <v>2_non_western</v>
      </c>
      <c r="AN1122" t="str">
        <f>VLOOKUP(MID($AR1122,1,255),country_lookup!$B:$F,5,FALSE)</f>
        <v>2_civil law</v>
      </c>
      <c r="AO1122" s="10" t="str">
        <f>VLOOKUP(MID($AS1122,1,255),source_lookup!$B:$K,4,FALSE)</f>
        <v>0_published</v>
      </c>
      <c r="AP1122" s="10" t="str">
        <f>VLOOKUP(MID($AS1122,1,255),source_lookup!$B:$K,6,FALSE)</f>
        <v>1_VHB high</v>
      </c>
      <c r="AQ1122" s="10" t="str">
        <f>VLOOKUP(MID($AS1122,1,255),source_lookup!$B:$K,10,FALSE)</f>
        <v>2_sust</v>
      </c>
      <c r="AR1122" t="s">
        <v>94</v>
      </c>
      <c r="AS1122" t="s">
        <v>179</v>
      </c>
    </row>
    <row r="1123" spans="1:45" x14ac:dyDescent="0.3">
      <c r="A1123" t="s">
        <v>56</v>
      </c>
      <c r="B1123">
        <v>1122</v>
      </c>
      <c r="C1123" s="1">
        <v>-2.7181669993363508E-2</v>
      </c>
      <c r="D1123" s="2">
        <v>1067</v>
      </c>
      <c r="E1123" s="4">
        <v>7469</v>
      </c>
      <c r="F1123" s="4" t="s">
        <v>346</v>
      </c>
      <c r="G1123" s="4" t="s">
        <v>346</v>
      </c>
      <c r="H1123" t="s">
        <v>77</v>
      </c>
      <c r="I1123" t="s">
        <v>350</v>
      </c>
      <c r="J1123" s="3">
        <v>2013</v>
      </c>
      <c r="K1123" s="3">
        <v>2019</v>
      </c>
      <c r="L1123" s="6">
        <f t="shared" si="351"/>
        <v>2016</v>
      </c>
      <c r="M1123" s="6">
        <f t="shared" si="352"/>
        <v>2016</v>
      </c>
      <c r="N1123" s="7">
        <f t="shared" si="340"/>
        <v>0.5714285714285714</v>
      </c>
      <c r="O1123" s="7">
        <f t="shared" si="341"/>
        <v>0.42857142857142855</v>
      </c>
      <c r="P1123" s="7">
        <f t="shared" si="342"/>
        <v>0.2857142857142857</v>
      </c>
      <c r="Q1123" s="7">
        <f t="shared" si="353"/>
        <v>0.14285714285714285</v>
      </c>
      <c r="R1123" s="10" t="str">
        <f t="shared" si="343"/>
        <v>1_Post</v>
      </c>
      <c r="S1123" s="10" t="str">
        <f t="shared" si="344"/>
        <v>1_Post</v>
      </c>
      <c r="T1123" s="10" t="str">
        <f t="shared" si="345"/>
        <v>1_Post</v>
      </c>
      <c r="U1123" s="10" t="str">
        <f t="shared" si="346"/>
        <v>1_Post</v>
      </c>
      <c r="V1123" s="10" t="str">
        <f t="shared" si="354"/>
        <v>0_Pre</v>
      </c>
      <c r="W1123" s="10" t="str">
        <f t="shared" si="347"/>
        <v>straddle</v>
      </c>
      <c r="X1123" s="10" t="str">
        <f t="shared" si="348"/>
        <v>0_Pre</v>
      </c>
      <c r="Y1123" s="10" t="str">
        <f t="shared" si="349"/>
        <v>0_Pre</v>
      </c>
      <c r="Z1123" s="10" t="str">
        <f t="shared" si="350"/>
        <v>0_Pre</v>
      </c>
      <c r="AA1123" s="10" t="str">
        <f t="shared" si="355"/>
        <v>1_Post</v>
      </c>
      <c r="AB1123" s="10" t="str">
        <f t="shared" si="356"/>
        <v>1_Post</v>
      </c>
      <c r="AC1123" s="10" t="str">
        <f t="shared" si="357"/>
        <v>1_Post</v>
      </c>
      <c r="AD1123" s="10" t="str">
        <f t="shared" si="358"/>
        <v>2_post sample median</v>
      </c>
      <c r="AE1123" s="10" t="str">
        <f t="shared" si="359"/>
        <v>3_post sample third tertile</v>
      </c>
      <c r="AF1123" t="s">
        <v>82</v>
      </c>
      <c r="AG1123" t="s">
        <v>75</v>
      </c>
      <c r="AH1123" t="s">
        <v>78</v>
      </c>
      <c r="AI1123" t="s">
        <v>122</v>
      </c>
      <c r="AJ1123" t="s">
        <v>122</v>
      </c>
      <c r="AK1123" t="str">
        <f>VLOOKUP(MID($AR1123,1,255),country_lookup!$B:$F,2,FALSE)</f>
        <v>3_AsiaPac</v>
      </c>
      <c r="AL1123" t="str">
        <f>VLOOKUP(MID($AR1123,1,255),country_lookup!$B:$F,3,FALSE)</f>
        <v>2_developing</v>
      </c>
      <c r="AM1123" t="str">
        <f>VLOOKUP(MID($AR1123,1,255),country_lookup!$B:$F,4,FALSE)</f>
        <v>2_non_western</v>
      </c>
      <c r="AN1123" t="str">
        <f>VLOOKUP(MID($AR1123,1,255),country_lookup!$B:$F,5,FALSE)</f>
        <v>2_civil law</v>
      </c>
      <c r="AO1123" s="10" t="str">
        <f>VLOOKUP(MID($AS1123,1,255),source_lookup!$B:$K,4,FALSE)</f>
        <v>0_published</v>
      </c>
      <c r="AP1123" s="10" t="str">
        <f>VLOOKUP(MID($AS1123,1,255),source_lookup!$B:$K,6,FALSE)</f>
        <v>1_VHB high</v>
      </c>
      <c r="AQ1123" s="10" t="str">
        <f>VLOOKUP(MID($AS1123,1,255),source_lookup!$B:$K,10,FALSE)</f>
        <v>2_sust</v>
      </c>
      <c r="AR1123" t="s">
        <v>94</v>
      </c>
      <c r="AS1123" t="s">
        <v>179</v>
      </c>
    </row>
    <row r="1124" spans="1:45" x14ac:dyDescent="0.3">
      <c r="A1124" t="s">
        <v>56</v>
      </c>
      <c r="B1124">
        <v>1123</v>
      </c>
      <c r="C1124" s="1">
        <v>-2.1863855436063621E-2</v>
      </c>
      <c r="D1124" s="2">
        <v>1067</v>
      </c>
      <c r="E1124" s="4">
        <v>7469</v>
      </c>
      <c r="F1124" s="4" t="s">
        <v>346</v>
      </c>
      <c r="G1124" s="4" t="s">
        <v>346</v>
      </c>
      <c r="H1124" t="s">
        <v>77</v>
      </c>
      <c r="I1124" t="s">
        <v>350</v>
      </c>
      <c r="J1124" s="3">
        <v>2013</v>
      </c>
      <c r="K1124" s="3">
        <v>2019</v>
      </c>
      <c r="L1124" s="6">
        <f t="shared" si="351"/>
        <v>2016</v>
      </c>
      <c r="M1124" s="6">
        <f t="shared" si="352"/>
        <v>2016</v>
      </c>
      <c r="N1124" s="7">
        <f t="shared" si="340"/>
        <v>0.5714285714285714</v>
      </c>
      <c r="O1124" s="7">
        <f t="shared" si="341"/>
        <v>0.42857142857142855</v>
      </c>
      <c r="P1124" s="7">
        <f t="shared" si="342"/>
        <v>0.2857142857142857</v>
      </c>
      <c r="Q1124" s="7">
        <f t="shared" si="353"/>
        <v>0.14285714285714285</v>
      </c>
      <c r="R1124" s="10" t="str">
        <f t="shared" si="343"/>
        <v>1_Post</v>
      </c>
      <c r="S1124" s="10" t="str">
        <f t="shared" si="344"/>
        <v>1_Post</v>
      </c>
      <c r="T1124" s="10" t="str">
        <f t="shared" si="345"/>
        <v>1_Post</v>
      </c>
      <c r="U1124" s="10" t="str">
        <f t="shared" si="346"/>
        <v>1_Post</v>
      </c>
      <c r="V1124" s="10" t="str">
        <f t="shared" si="354"/>
        <v>0_Pre</v>
      </c>
      <c r="W1124" s="10" t="str">
        <f t="shared" si="347"/>
        <v>straddle</v>
      </c>
      <c r="X1124" s="10" t="str">
        <f t="shared" si="348"/>
        <v>0_Pre</v>
      </c>
      <c r="Y1124" s="10" t="str">
        <f t="shared" si="349"/>
        <v>0_Pre</v>
      </c>
      <c r="Z1124" s="10" t="str">
        <f t="shared" si="350"/>
        <v>0_Pre</v>
      </c>
      <c r="AA1124" s="10" t="str">
        <f t="shared" si="355"/>
        <v>1_Post</v>
      </c>
      <c r="AB1124" s="10" t="str">
        <f t="shared" si="356"/>
        <v>1_Post</v>
      </c>
      <c r="AC1124" s="10" t="str">
        <f t="shared" si="357"/>
        <v>1_Post</v>
      </c>
      <c r="AD1124" s="10" t="str">
        <f t="shared" si="358"/>
        <v>2_post sample median</v>
      </c>
      <c r="AE1124" s="10" t="str">
        <f t="shared" si="359"/>
        <v>3_post sample third tertile</v>
      </c>
      <c r="AF1124" t="s">
        <v>82</v>
      </c>
      <c r="AG1124" t="s">
        <v>75</v>
      </c>
      <c r="AH1124" t="s">
        <v>78</v>
      </c>
      <c r="AI1124" t="s">
        <v>122</v>
      </c>
      <c r="AJ1124" t="s">
        <v>122</v>
      </c>
      <c r="AK1124" t="str">
        <f>VLOOKUP(MID($AR1124,1,255),country_lookup!$B:$F,2,FALSE)</f>
        <v>3_AsiaPac</v>
      </c>
      <c r="AL1124" t="str">
        <f>VLOOKUP(MID($AR1124,1,255),country_lookup!$B:$F,3,FALSE)</f>
        <v>2_developing</v>
      </c>
      <c r="AM1124" t="str">
        <f>VLOOKUP(MID($AR1124,1,255),country_lookup!$B:$F,4,FALSE)</f>
        <v>2_non_western</v>
      </c>
      <c r="AN1124" t="str">
        <f>VLOOKUP(MID($AR1124,1,255),country_lookup!$B:$F,5,FALSE)</f>
        <v>2_civil law</v>
      </c>
      <c r="AO1124" s="10" t="str">
        <f>VLOOKUP(MID($AS1124,1,255),source_lookup!$B:$K,4,FALSE)</f>
        <v>0_published</v>
      </c>
      <c r="AP1124" s="10" t="str">
        <f>VLOOKUP(MID($AS1124,1,255),source_lookup!$B:$K,6,FALSE)</f>
        <v>1_VHB high</v>
      </c>
      <c r="AQ1124" s="10" t="str">
        <f>VLOOKUP(MID($AS1124,1,255),source_lookup!$B:$K,10,FALSE)</f>
        <v>2_sust</v>
      </c>
      <c r="AR1124" t="s">
        <v>94</v>
      </c>
      <c r="AS1124" t="s">
        <v>179</v>
      </c>
    </row>
    <row r="1125" spans="1:45" x14ac:dyDescent="0.3">
      <c r="A1125" t="s">
        <v>56</v>
      </c>
      <c r="B1125">
        <v>1124</v>
      </c>
      <c r="C1125" s="1">
        <v>-2.510103589662992E-2</v>
      </c>
      <c r="D1125" s="2">
        <v>1067</v>
      </c>
      <c r="E1125" s="4">
        <v>7469</v>
      </c>
      <c r="F1125" s="4" t="s">
        <v>346</v>
      </c>
      <c r="G1125" s="4" t="s">
        <v>346</v>
      </c>
      <c r="H1125" t="s">
        <v>77</v>
      </c>
      <c r="I1125" t="s">
        <v>350</v>
      </c>
      <c r="J1125" s="3">
        <v>2013</v>
      </c>
      <c r="K1125" s="3">
        <v>2019</v>
      </c>
      <c r="L1125" s="6">
        <f t="shared" si="351"/>
        <v>2016</v>
      </c>
      <c r="M1125" s="6">
        <f t="shared" si="352"/>
        <v>2016</v>
      </c>
      <c r="N1125" s="7">
        <f t="shared" si="340"/>
        <v>0.5714285714285714</v>
      </c>
      <c r="O1125" s="7">
        <f t="shared" si="341"/>
        <v>0.42857142857142855</v>
      </c>
      <c r="P1125" s="7">
        <f t="shared" si="342"/>
        <v>0.2857142857142857</v>
      </c>
      <c r="Q1125" s="7">
        <f t="shared" si="353"/>
        <v>0.14285714285714285</v>
      </c>
      <c r="R1125" s="10" t="str">
        <f t="shared" si="343"/>
        <v>1_Post</v>
      </c>
      <c r="S1125" s="10" t="str">
        <f t="shared" si="344"/>
        <v>1_Post</v>
      </c>
      <c r="T1125" s="10" t="str">
        <f t="shared" si="345"/>
        <v>1_Post</v>
      </c>
      <c r="U1125" s="10" t="str">
        <f t="shared" si="346"/>
        <v>1_Post</v>
      </c>
      <c r="V1125" s="10" t="str">
        <f t="shared" si="354"/>
        <v>0_Pre</v>
      </c>
      <c r="W1125" s="10" t="str">
        <f t="shared" si="347"/>
        <v>straddle</v>
      </c>
      <c r="X1125" s="10" t="str">
        <f t="shared" si="348"/>
        <v>0_Pre</v>
      </c>
      <c r="Y1125" s="10" t="str">
        <f t="shared" si="349"/>
        <v>0_Pre</v>
      </c>
      <c r="Z1125" s="10" t="str">
        <f t="shared" si="350"/>
        <v>0_Pre</v>
      </c>
      <c r="AA1125" s="10" t="str">
        <f t="shared" si="355"/>
        <v>1_Post</v>
      </c>
      <c r="AB1125" s="10" t="str">
        <f t="shared" si="356"/>
        <v>1_Post</v>
      </c>
      <c r="AC1125" s="10" t="str">
        <f t="shared" si="357"/>
        <v>1_Post</v>
      </c>
      <c r="AD1125" s="10" t="str">
        <f t="shared" si="358"/>
        <v>2_post sample median</v>
      </c>
      <c r="AE1125" s="10" t="str">
        <f t="shared" si="359"/>
        <v>3_post sample third tertile</v>
      </c>
      <c r="AF1125" t="s">
        <v>82</v>
      </c>
      <c r="AG1125" t="s">
        <v>75</v>
      </c>
      <c r="AH1125" t="s">
        <v>78</v>
      </c>
      <c r="AI1125" t="s">
        <v>122</v>
      </c>
      <c r="AJ1125" t="s">
        <v>122</v>
      </c>
      <c r="AK1125" t="str">
        <f>VLOOKUP(MID($AR1125,1,255),country_lookup!$B:$F,2,FALSE)</f>
        <v>3_AsiaPac</v>
      </c>
      <c r="AL1125" t="str">
        <f>VLOOKUP(MID($AR1125,1,255),country_lookup!$B:$F,3,FALSE)</f>
        <v>2_developing</v>
      </c>
      <c r="AM1125" t="str">
        <f>VLOOKUP(MID($AR1125,1,255),country_lookup!$B:$F,4,FALSE)</f>
        <v>2_non_western</v>
      </c>
      <c r="AN1125" t="str">
        <f>VLOOKUP(MID($AR1125,1,255),country_lookup!$B:$F,5,FALSE)</f>
        <v>2_civil law</v>
      </c>
      <c r="AO1125" s="10" t="str">
        <f>VLOOKUP(MID($AS1125,1,255),source_lookup!$B:$K,4,FALSE)</f>
        <v>0_published</v>
      </c>
      <c r="AP1125" s="10" t="str">
        <f>VLOOKUP(MID($AS1125,1,255),source_lookup!$B:$K,6,FALSE)</f>
        <v>1_VHB high</v>
      </c>
      <c r="AQ1125" s="10" t="str">
        <f>VLOOKUP(MID($AS1125,1,255),source_lookup!$B:$K,10,FALSE)</f>
        <v>2_sust</v>
      </c>
      <c r="AR1125" t="s">
        <v>94</v>
      </c>
      <c r="AS1125" t="s">
        <v>179</v>
      </c>
    </row>
    <row r="1126" spans="1:45" x14ac:dyDescent="0.3">
      <c r="A1126" t="s">
        <v>56</v>
      </c>
      <c r="B1126">
        <v>1125</v>
      </c>
      <c r="C1126" s="1">
        <v>-4.4388627464060228E-2</v>
      </c>
      <c r="D1126" s="2">
        <v>1067</v>
      </c>
      <c r="E1126" s="4">
        <v>7469</v>
      </c>
      <c r="F1126" s="4" t="s">
        <v>346</v>
      </c>
      <c r="G1126" s="4" t="s">
        <v>346</v>
      </c>
      <c r="H1126" t="s">
        <v>77</v>
      </c>
      <c r="I1126" t="s">
        <v>350</v>
      </c>
      <c r="J1126" s="3">
        <v>2013</v>
      </c>
      <c r="K1126" s="3">
        <v>2019</v>
      </c>
      <c r="L1126" s="6">
        <f t="shared" si="351"/>
        <v>2016</v>
      </c>
      <c r="M1126" s="6">
        <f t="shared" si="352"/>
        <v>2016</v>
      </c>
      <c r="N1126" s="7">
        <f t="shared" si="340"/>
        <v>0.5714285714285714</v>
      </c>
      <c r="O1126" s="7">
        <f t="shared" si="341"/>
        <v>0.42857142857142855</v>
      </c>
      <c r="P1126" s="7">
        <f t="shared" si="342"/>
        <v>0.2857142857142857</v>
      </c>
      <c r="Q1126" s="7">
        <f t="shared" si="353"/>
        <v>0.14285714285714285</v>
      </c>
      <c r="R1126" s="10" t="str">
        <f t="shared" si="343"/>
        <v>1_Post</v>
      </c>
      <c r="S1126" s="10" t="str">
        <f t="shared" si="344"/>
        <v>1_Post</v>
      </c>
      <c r="T1126" s="10" t="str">
        <f t="shared" si="345"/>
        <v>1_Post</v>
      </c>
      <c r="U1126" s="10" t="str">
        <f t="shared" si="346"/>
        <v>1_Post</v>
      </c>
      <c r="V1126" s="10" t="str">
        <f t="shared" si="354"/>
        <v>0_Pre</v>
      </c>
      <c r="W1126" s="10" t="str">
        <f t="shared" si="347"/>
        <v>straddle</v>
      </c>
      <c r="X1126" s="10" t="str">
        <f t="shared" si="348"/>
        <v>0_Pre</v>
      </c>
      <c r="Y1126" s="10" t="str">
        <f t="shared" si="349"/>
        <v>0_Pre</v>
      </c>
      <c r="Z1126" s="10" t="str">
        <f t="shared" si="350"/>
        <v>0_Pre</v>
      </c>
      <c r="AA1126" s="10" t="str">
        <f t="shared" si="355"/>
        <v>1_Post</v>
      </c>
      <c r="AB1126" s="10" t="str">
        <f t="shared" si="356"/>
        <v>1_Post</v>
      </c>
      <c r="AC1126" s="10" t="str">
        <f t="shared" si="357"/>
        <v>1_Post</v>
      </c>
      <c r="AD1126" s="10" t="str">
        <f t="shared" si="358"/>
        <v>2_post sample median</v>
      </c>
      <c r="AE1126" s="10" t="str">
        <f t="shared" si="359"/>
        <v>3_post sample third tertile</v>
      </c>
      <c r="AF1126" t="s">
        <v>82</v>
      </c>
      <c r="AG1126" t="s">
        <v>75</v>
      </c>
      <c r="AH1126" t="s">
        <v>78</v>
      </c>
      <c r="AI1126" t="s">
        <v>122</v>
      </c>
      <c r="AJ1126" t="s">
        <v>122</v>
      </c>
      <c r="AK1126" t="str">
        <f>VLOOKUP(MID($AR1126,1,255),country_lookup!$B:$F,2,FALSE)</f>
        <v>3_AsiaPac</v>
      </c>
      <c r="AL1126" t="str">
        <f>VLOOKUP(MID($AR1126,1,255),country_lookup!$B:$F,3,FALSE)</f>
        <v>2_developing</v>
      </c>
      <c r="AM1126" t="str">
        <f>VLOOKUP(MID($AR1126,1,255),country_lookup!$B:$F,4,FALSE)</f>
        <v>2_non_western</v>
      </c>
      <c r="AN1126" t="str">
        <f>VLOOKUP(MID($AR1126,1,255),country_lookup!$B:$F,5,FALSE)</f>
        <v>2_civil law</v>
      </c>
      <c r="AO1126" s="10" t="str">
        <f>VLOOKUP(MID($AS1126,1,255),source_lookup!$B:$K,4,FALSE)</f>
        <v>0_published</v>
      </c>
      <c r="AP1126" s="10" t="str">
        <f>VLOOKUP(MID($AS1126,1,255),source_lookup!$B:$K,6,FALSE)</f>
        <v>1_VHB high</v>
      </c>
      <c r="AQ1126" s="10" t="str">
        <f>VLOOKUP(MID($AS1126,1,255),source_lookup!$B:$K,10,FALSE)</f>
        <v>2_sust</v>
      </c>
      <c r="AR1126" t="s">
        <v>94</v>
      </c>
      <c r="AS1126" t="s">
        <v>179</v>
      </c>
    </row>
    <row r="1127" spans="1:45" x14ac:dyDescent="0.3">
      <c r="A1127" t="s">
        <v>56</v>
      </c>
      <c r="B1127">
        <v>1126</v>
      </c>
      <c r="C1127" s="1">
        <v>-3.5500404955629394E-2</v>
      </c>
      <c r="D1127" s="2">
        <v>1067</v>
      </c>
      <c r="E1127" s="4">
        <v>7469</v>
      </c>
      <c r="F1127" s="4" t="s">
        <v>346</v>
      </c>
      <c r="G1127" s="4" t="s">
        <v>346</v>
      </c>
      <c r="H1127" t="s">
        <v>77</v>
      </c>
      <c r="I1127" t="s">
        <v>350</v>
      </c>
      <c r="J1127" s="3">
        <v>2013</v>
      </c>
      <c r="K1127" s="3">
        <v>2019</v>
      </c>
      <c r="L1127" s="6">
        <f t="shared" si="351"/>
        <v>2016</v>
      </c>
      <c r="M1127" s="6">
        <f t="shared" si="352"/>
        <v>2016</v>
      </c>
      <c r="N1127" s="7">
        <f t="shared" si="340"/>
        <v>0.5714285714285714</v>
      </c>
      <c r="O1127" s="7">
        <f t="shared" si="341"/>
        <v>0.42857142857142855</v>
      </c>
      <c r="P1127" s="7">
        <f t="shared" si="342"/>
        <v>0.2857142857142857</v>
      </c>
      <c r="Q1127" s="7">
        <f t="shared" si="353"/>
        <v>0.14285714285714285</v>
      </c>
      <c r="R1127" s="10" t="str">
        <f t="shared" si="343"/>
        <v>1_Post</v>
      </c>
      <c r="S1127" s="10" t="str">
        <f t="shared" si="344"/>
        <v>1_Post</v>
      </c>
      <c r="T1127" s="10" t="str">
        <f t="shared" si="345"/>
        <v>1_Post</v>
      </c>
      <c r="U1127" s="10" t="str">
        <f t="shared" si="346"/>
        <v>1_Post</v>
      </c>
      <c r="V1127" s="10" t="str">
        <f t="shared" si="354"/>
        <v>0_Pre</v>
      </c>
      <c r="W1127" s="10" t="str">
        <f t="shared" si="347"/>
        <v>straddle</v>
      </c>
      <c r="X1127" s="10" t="str">
        <f t="shared" si="348"/>
        <v>0_Pre</v>
      </c>
      <c r="Y1127" s="10" t="str">
        <f t="shared" si="349"/>
        <v>0_Pre</v>
      </c>
      <c r="Z1127" s="10" t="str">
        <f t="shared" si="350"/>
        <v>0_Pre</v>
      </c>
      <c r="AA1127" s="10" t="str">
        <f t="shared" si="355"/>
        <v>1_Post</v>
      </c>
      <c r="AB1127" s="10" t="str">
        <f t="shared" si="356"/>
        <v>1_Post</v>
      </c>
      <c r="AC1127" s="10" t="str">
        <f t="shared" si="357"/>
        <v>1_Post</v>
      </c>
      <c r="AD1127" s="10" t="str">
        <f t="shared" si="358"/>
        <v>2_post sample median</v>
      </c>
      <c r="AE1127" s="10" t="str">
        <f t="shared" si="359"/>
        <v>3_post sample third tertile</v>
      </c>
      <c r="AF1127" t="s">
        <v>82</v>
      </c>
      <c r="AG1127" t="s">
        <v>75</v>
      </c>
      <c r="AH1127" t="s">
        <v>78</v>
      </c>
      <c r="AI1127" t="s">
        <v>122</v>
      </c>
      <c r="AJ1127" t="s">
        <v>122</v>
      </c>
      <c r="AK1127" t="str">
        <f>VLOOKUP(MID($AR1127,1,255),country_lookup!$B:$F,2,FALSE)</f>
        <v>3_AsiaPac</v>
      </c>
      <c r="AL1127" t="str">
        <f>VLOOKUP(MID($AR1127,1,255),country_lookup!$B:$F,3,FALSE)</f>
        <v>2_developing</v>
      </c>
      <c r="AM1127" t="str">
        <f>VLOOKUP(MID($AR1127,1,255),country_lookup!$B:$F,4,FALSE)</f>
        <v>2_non_western</v>
      </c>
      <c r="AN1127" t="str">
        <f>VLOOKUP(MID($AR1127,1,255),country_lookup!$B:$F,5,FALSE)</f>
        <v>2_civil law</v>
      </c>
      <c r="AO1127" s="10" t="str">
        <f>VLOOKUP(MID($AS1127,1,255),source_lookup!$B:$K,4,FALSE)</f>
        <v>0_published</v>
      </c>
      <c r="AP1127" s="10" t="str">
        <f>VLOOKUP(MID($AS1127,1,255),source_lookup!$B:$K,6,FALSE)</f>
        <v>1_VHB high</v>
      </c>
      <c r="AQ1127" s="10" t="str">
        <f>VLOOKUP(MID($AS1127,1,255),source_lookup!$B:$K,10,FALSE)</f>
        <v>2_sust</v>
      </c>
      <c r="AR1127" t="s">
        <v>94</v>
      </c>
      <c r="AS1127" t="s">
        <v>179</v>
      </c>
    </row>
    <row r="1128" spans="1:45" x14ac:dyDescent="0.3">
      <c r="A1128" t="s">
        <v>56</v>
      </c>
      <c r="B1128">
        <v>1127</v>
      </c>
      <c r="C1128" s="1">
        <v>-2.5332234067255058E-2</v>
      </c>
      <c r="D1128" s="2">
        <v>1067</v>
      </c>
      <c r="E1128" s="4">
        <v>7469</v>
      </c>
      <c r="F1128" s="4" t="s">
        <v>346</v>
      </c>
      <c r="G1128" s="4" t="s">
        <v>346</v>
      </c>
      <c r="H1128" t="s">
        <v>77</v>
      </c>
      <c r="I1128" t="s">
        <v>350</v>
      </c>
      <c r="J1128" s="3">
        <v>2013</v>
      </c>
      <c r="K1128" s="3">
        <v>2019</v>
      </c>
      <c r="L1128" s="6">
        <f t="shared" si="351"/>
        <v>2016</v>
      </c>
      <c r="M1128" s="6">
        <f t="shared" si="352"/>
        <v>2016</v>
      </c>
      <c r="N1128" s="7">
        <f t="shared" si="340"/>
        <v>0.5714285714285714</v>
      </c>
      <c r="O1128" s="7">
        <f t="shared" si="341"/>
        <v>0.42857142857142855</v>
      </c>
      <c r="P1128" s="7">
        <f t="shared" si="342"/>
        <v>0.2857142857142857</v>
      </c>
      <c r="Q1128" s="7">
        <f t="shared" si="353"/>
        <v>0.14285714285714285</v>
      </c>
      <c r="R1128" s="10" t="str">
        <f t="shared" si="343"/>
        <v>1_Post</v>
      </c>
      <c r="S1128" s="10" t="str">
        <f t="shared" si="344"/>
        <v>1_Post</v>
      </c>
      <c r="T1128" s="10" t="str">
        <f t="shared" si="345"/>
        <v>1_Post</v>
      </c>
      <c r="U1128" s="10" t="str">
        <f t="shared" si="346"/>
        <v>1_Post</v>
      </c>
      <c r="V1128" s="10" t="str">
        <f t="shared" si="354"/>
        <v>0_Pre</v>
      </c>
      <c r="W1128" s="10" t="str">
        <f t="shared" si="347"/>
        <v>straddle</v>
      </c>
      <c r="X1128" s="10" t="str">
        <f t="shared" si="348"/>
        <v>0_Pre</v>
      </c>
      <c r="Y1128" s="10" t="str">
        <f t="shared" si="349"/>
        <v>0_Pre</v>
      </c>
      <c r="Z1128" s="10" t="str">
        <f t="shared" si="350"/>
        <v>0_Pre</v>
      </c>
      <c r="AA1128" s="10" t="str">
        <f t="shared" si="355"/>
        <v>1_Post</v>
      </c>
      <c r="AB1128" s="10" t="str">
        <f t="shared" si="356"/>
        <v>1_Post</v>
      </c>
      <c r="AC1128" s="10" t="str">
        <f t="shared" si="357"/>
        <v>1_Post</v>
      </c>
      <c r="AD1128" s="10" t="str">
        <f t="shared" si="358"/>
        <v>2_post sample median</v>
      </c>
      <c r="AE1128" s="10" t="str">
        <f t="shared" si="359"/>
        <v>3_post sample third tertile</v>
      </c>
      <c r="AF1128" t="s">
        <v>82</v>
      </c>
      <c r="AG1128" t="s">
        <v>75</v>
      </c>
      <c r="AH1128" t="s">
        <v>78</v>
      </c>
      <c r="AI1128" t="s">
        <v>122</v>
      </c>
      <c r="AJ1128" t="s">
        <v>122</v>
      </c>
      <c r="AK1128" t="str">
        <f>VLOOKUP(MID($AR1128,1,255),country_lookup!$B:$F,2,FALSE)</f>
        <v>3_AsiaPac</v>
      </c>
      <c r="AL1128" t="str">
        <f>VLOOKUP(MID($AR1128,1,255),country_lookup!$B:$F,3,FALSE)</f>
        <v>2_developing</v>
      </c>
      <c r="AM1128" t="str">
        <f>VLOOKUP(MID($AR1128,1,255),country_lookup!$B:$F,4,FALSE)</f>
        <v>2_non_western</v>
      </c>
      <c r="AN1128" t="str">
        <f>VLOOKUP(MID($AR1128,1,255),country_lookup!$B:$F,5,FALSE)</f>
        <v>2_civil law</v>
      </c>
      <c r="AO1128" s="10" t="str">
        <f>VLOOKUP(MID($AS1128,1,255),source_lookup!$B:$K,4,FALSE)</f>
        <v>0_published</v>
      </c>
      <c r="AP1128" s="10" t="str">
        <f>VLOOKUP(MID($AS1128,1,255),source_lookup!$B:$K,6,FALSE)</f>
        <v>1_VHB high</v>
      </c>
      <c r="AQ1128" s="10" t="str">
        <f>VLOOKUP(MID($AS1128,1,255),source_lookup!$B:$K,10,FALSE)</f>
        <v>2_sust</v>
      </c>
      <c r="AR1128" t="s">
        <v>94</v>
      </c>
      <c r="AS1128" t="s">
        <v>179</v>
      </c>
    </row>
    <row r="1129" spans="1:45" x14ac:dyDescent="0.3">
      <c r="A1129" t="s">
        <v>56</v>
      </c>
      <c r="B1129">
        <v>1128</v>
      </c>
      <c r="C1129" s="1">
        <v>-3.4229921522766306E-2</v>
      </c>
      <c r="D1129" s="2">
        <v>1067</v>
      </c>
      <c r="E1129" s="4">
        <v>7469</v>
      </c>
      <c r="F1129" s="4" t="s">
        <v>346</v>
      </c>
      <c r="G1129" s="4" t="s">
        <v>346</v>
      </c>
      <c r="H1129" t="s">
        <v>77</v>
      </c>
      <c r="I1129" t="s">
        <v>350</v>
      </c>
      <c r="J1129" s="3">
        <v>2013</v>
      </c>
      <c r="K1129" s="3">
        <v>2019</v>
      </c>
      <c r="L1129" s="6">
        <f t="shared" si="351"/>
        <v>2016</v>
      </c>
      <c r="M1129" s="6">
        <f t="shared" si="352"/>
        <v>2016</v>
      </c>
      <c r="N1129" s="7">
        <f t="shared" si="340"/>
        <v>0.5714285714285714</v>
      </c>
      <c r="O1129" s="7">
        <f t="shared" si="341"/>
        <v>0.42857142857142855</v>
      </c>
      <c r="P1129" s="7">
        <f t="shared" si="342"/>
        <v>0.2857142857142857</v>
      </c>
      <c r="Q1129" s="7">
        <f t="shared" si="353"/>
        <v>0.14285714285714285</v>
      </c>
      <c r="R1129" s="10" t="str">
        <f t="shared" si="343"/>
        <v>1_Post</v>
      </c>
      <c r="S1129" s="10" t="str">
        <f t="shared" si="344"/>
        <v>1_Post</v>
      </c>
      <c r="T1129" s="10" t="str">
        <f t="shared" si="345"/>
        <v>1_Post</v>
      </c>
      <c r="U1129" s="10" t="str">
        <f t="shared" si="346"/>
        <v>1_Post</v>
      </c>
      <c r="V1129" s="10" t="str">
        <f t="shared" si="354"/>
        <v>0_Pre</v>
      </c>
      <c r="W1129" s="10" t="str">
        <f t="shared" si="347"/>
        <v>straddle</v>
      </c>
      <c r="X1129" s="10" t="str">
        <f t="shared" si="348"/>
        <v>0_Pre</v>
      </c>
      <c r="Y1129" s="10" t="str">
        <f t="shared" si="349"/>
        <v>0_Pre</v>
      </c>
      <c r="Z1129" s="10" t="str">
        <f t="shared" si="350"/>
        <v>0_Pre</v>
      </c>
      <c r="AA1129" s="10" t="str">
        <f t="shared" si="355"/>
        <v>1_Post</v>
      </c>
      <c r="AB1129" s="10" t="str">
        <f t="shared" si="356"/>
        <v>1_Post</v>
      </c>
      <c r="AC1129" s="10" t="str">
        <f t="shared" si="357"/>
        <v>1_Post</v>
      </c>
      <c r="AD1129" s="10" t="str">
        <f t="shared" si="358"/>
        <v>2_post sample median</v>
      </c>
      <c r="AE1129" s="10" t="str">
        <f t="shared" si="359"/>
        <v>3_post sample third tertile</v>
      </c>
      <c r="AF1129" t="s">
        <v>82</v>
      </c>
      <c r="AG1129" t="s">
        <v>75</v>
      </c>
      <c r="AH1129" t="s">
        <v>78</v>
      </c>
      <c r="AI1129" t="s">
        <v>122</v>
      </c>
      <c r="AJ1129" t="s">
        <v>122</v>
      </c>
      <c r="AK1129" t="str">
        <f>VLOOKUP(MID($AR1129,1,255),country_lookup!$B:$F,2,FALSE)</f>
        <v>3_AsiaPac</v>
      </c>
      <c r="AL1129" t="str">
        <f>VLOOKUP(MID($AR1129,1,255),country_lookup!$B:$F,3,FALSE)</f>
        <v>2_developing</v>
      </c>
      <c r="AM1129" t="str">
        <f>VLOOKUP(MID($AR1129,1,255),country_lookup!$B:$F,4,FALSE)</f>
        <v>2_non_western</v>
      </c>
      <c r="AN1129" t="str">
        <f>VLOOKUP(MID($AR1129,1,255),country_lookup!$B:$F,5,FALSE)</f>
        <v>2_civil law</v>
      </c>
      <c r="AO1129" s="10" t="str">
        <f>VLOOKUP(MID($AS1129,1,255),source_lookup!$B:$K,4,FALSE)</f>
        <v>0_published</v>
      </c>
      <c r="AP1129" s="10" t="str">
        <f>VLOOKUP(MID($AS1129,1,255),source_lookup!$B:$K,6,FALSE)</f>
        <v>1_VHB high</v>
      </c>
      <c r="AQ1129" s="10" t="str">
        <f>VLOOKUP(MID($AS1129,1,255),source_lookup!$B:$K,10,FALSE)</f>
        <v>2_sust</v>
      </c>
      <c r="AR1129" t="s">
        <v>94</v>
      </c>
      <c r="AS1129" t="s">
        <v>179</v>
      </c>
    </row>
    <row r="1130" spans="1:45" x14ac:dyDescent="0.3">
      <c r="A1130" t="s">
        <v>56</v>
      </c>
      <c r="B1130">
        <v>1129</v>
      </c>
      <c r="C1130" s="1">
        <v>-3.0995229028331149E-2</v>
      </c>
      <c r="D1130" s="2">
        <v>1067</v>
      </c>
      <c r="E1130" s="4">
        <v>7469</v>
      </c>
      <c r="F1130" s="4" t="s">
        <v>346</v>
      </c>
      <c r="G1130" s="4" t="s">
        <v>346</v>
      </c>
      <c r="H1130" t="s">
        <v>77</v>
      </c>
      <c r="I1130" t="s">
        <v>350</v>
      </c>
      <c r="J1130" s="3">
        <v>2013</v>
      </c>
      <c r="K1130" s="3">
        <v>2019</v>
      </c>
      <c r="L1130" s="6">
        <f t="shared" si="351"/>
        <v>2016</v>
      </c>
      <c r="M1130" s="6">
        <f t="shared" si="352"/>
        <v>2016</v>
      </c>
      <c r="N1130" s="7">
        <f t="shared" si="340"/>
        <v>0.5714285714285714</v>
      </c>
      <c r="O1130" s="7">
        <f t="shared" si="341"/>
        <v>0.42857142857142855</v>
      </c>
      <c r="P1130" s="7">
        <f t="shared" si="342"/>
        <v>0.2857142857142857</v>
      </c>
      <c r="Q1130" s="7">
        <f t="shared" si="353"/>
        <v>0.14285714285714285</v>
      </c>
      <c r="R1130" s="10" t="str">
        <f t="shared" si="343"/>
        <v>1_Post</v>
      </c>
      <c r="S1130" s="10" t="str">
        <f t="shared" si="344"/>
        <v>1_Post</v>
      </c>
      <c r="T1130" s="10" t="str">
        <f t="shared" si="345"/>
        <v>1_Post</v>
      </c>
      <c r="U1130" s="10" t="str">
        <f t="shared" si="346"/>
        <v>1_Post</v>
      </c>
      <c r="V1130" s="10" t="str">
        <f t="shared" si="354"/>
        <v>0_Pre</v>
      </c>
      <c r="W1130" s="10" t="str">
        <f t="shared" si="347"/>
        <v>straddle</v>
      </c>
      <c r="X1130" s="10" t="str">
        <f t="shared" si="348"/>
        <v>0_Pre</v>
      </c>
      <c r="Y1130" s="10" t="str">
        <f t="shared" si="349"/>
        <v>0_Pre</v>
      </c>
      <c r="Z1130" s="10" t="str">
        <f t="shared" si="350"/>
        <v>0_Pre</v>
      </c>
      <c r="AA1130" s="10" t="str">
        <f t="shared" si="355"/>
        <v>1_Post</v>
      </c>
      <c r="AB1130" s="10" t="str">
        <f t="shared" si="356"/>
        <v>1_Post</v>
      </c>
      <c r="AC1130" s="10" t="str">
        <f t="shared" si="357"/>
        <v>1_Post</v>
      </c>
      <c r="AD1130" s="10" t="str">
        <f t="shared" si="358"/>
        <v>2_post sample median</v>
      </c>
      <c r="AE1130" s="10" t="str">
        <f t="shared" si="359"/>
        <v>3_post sample third tertile</v>
      </c>
      <c r="AF1130" t="s">
        <v>82</v>
      </c>
      <c r="AG1130" t="s">
        <v>75</v>
      </c>
      <c r="AH1130" t="s">
        <v>78</v>
      </c>
      <c r="AI1130" t="s">
        <v>122</v>
      </c>
      <c r="AJ1130" t="s">
        <v>122</v>
      </c>
      <c r="AK1130" t="str">
        <f>VLOOKUP(MID($AR1130,1,255),country_lookup!$B:$F,2,FALSE)</f>
        <v>3_AsiaPac</v>
      </c>
      <c r="AL1130" t="str">
        <f>VLOOKUP(MID($AR1130,1,255),country_lookup!$B:$F,3,FALSE)</f>
        <v>2_developing</v>
      </c>
      <c r="AM1130" t="str">
        <f>VLOOKUP(MID($AR1130,1,255),country_lookup!$B:$F,4,FALSE)</f>
        <v>2_non_western</v>
      </c>
      <c r="AN1130" t="str">
        <f>VLOOKUP(MID($AR1130,1,255),country_lookup!$B:$F,5,FALSE)</f>
        <v>2_civil law</v>
      </c>
      <c r="AO1130" s="10" t="str">
        <f>VLOOKUP(MID($AS1130,1,255),source_lookup!$B:$K,4,FALSE)</f>
        <v>0_published</v>
      </c>
      <c r="AP1130" s="10" t="str">
        <f>VLOOKUP(MID($AS1130,1,255),source_lookup!$B:$K,6,FALSE)</f>
        <v>1_VHB high</v>
      </c>
      <c r="AQ1130" s="10" t="str">
        <f>VLOOKUP(MID($AS1130,1,255),source_lookup!$B:$K,10,FALSE)</f>
        <v>2_sust</v>
      </c>
      <c r="AR1130" t="s">
        <v>94</v>
      </c>
      <c r="AS1130" t="s">
        <v>179</v>
      </c>
    </row>
    <row r="1131" spans="1:45" x14ac:dyDescent="0.3">
      <c r="A1131" t="s">
        <v>56</v>
      </c>
      <c r="B1131">
        <v>1130</v>
      </c>
      <c r="C1131" s="1">
        <v>-2.9955294690442464E-2</v>
      </c>
      <c r="D1131" s="2">
        <v>1067</v>
      </c>
      <c r="E1131" s="4">
        <v>7469</v>
      </c>
      <c r="F1131" s="4" t="s">
        <v>346</v>
      </c>
      <c r="G1131" s="4" t="s">
        <v>346</v>
      </c>
      <c r="H1131" t="s">
        <v>77</v>
      </c>
      <c r="I1131" t="s">
        <v>350</v>
      </c>
      <c r="J1131" s="3">
        <v>2013</v>
      </c>
      <c r="K1131" s="3">
        <v>2019</v>
      </c>
      <c r="L1131" s="6">
        <f t="shared" si="351"/>
        <v>2016</v>
      </c>
      <c r="M1131" s="6">
        <f t="shared" si="352"/>
        <v>2016</v>
      </c>
      <c r="N1131" s="7">
        <f t="shared" si="340"/>
        <v>0.5714285714285714</v>
      </c>
      <c r="O1131" s="7">
        <f t="shared" si="341"/>
        <v>0.42857142857142855</v>
      </c>
      <c r="P1131" s="7">
        <f t="shared" si="342"/>
        <v>0.2857142857142857</v>
      </c>
      <c r="Q1131" s="7">
        <f t="shared" si="353"/>
        <v>0.14285714285714285</v>
      </c>
      <c r="R1131" s="10" t="str">
        <f t="shared" si="343"/>
        <v>1_Post</v>
      </c>
      <c r="S1131" s="10" t="str">
        <f t="shared" si="344"/>
        <v>1_Post</v>
      </c>
      <c r="T1131" s="10" t="str">
        <f t="shared" si="345"/>
        <v>1_Post</v>
      </c>
      <c r="U1131" s="10" t="str">
        <f t="shared" si="346"/>
        <v>1_Post</v>
      </c>
      <c r="V1131" s="10" t="str">
        <f t="shared" si="354"/>
        <v>0_Pre</v>
      </c>
      <c r="W1131" s="10" t="str">
        <f t="shared" si="347"/>
        <v>straddle</v>
      </c>
      <c r="X1131" s="10" t="str">
        <f t="shared" si="348"/>
        <v>0_Pre</v>
      </c>
      <c r="Y1131" s="10" t="str">
        <f t="shared" si="349"/>
        <v>0_Pre</v>
      </c>
      <c r="Z1131" s="10" t="str">
        <f t="shared" si="350"/>
        <v>0_Pre</v>
      </c>
      <c r="AA1131" s="10" t="str">
        <f t="shared" si="355"/>
        <v>1_Post</v>
      </c>
      <c r="AB1131" s="10" t="str">
        <f t="shared" si="356"/>
        <v>1_Post</v>
      </c>
      <c r="AC1131" s="10" t="str">
        <f t="shared" si="357"/>
        <v>1_Post</v>
      </c>
      <c r="AD1131" s="10" t="str">
        <f t="shared" si="358"/>
        <v>2_post sample median</v>
      </c>
      <c r="AE1131" s="10" t="str">
        <f t="shared" si="359"/>
        <v>3_post sample third tertile</v>
      </c>
      <c r="AF1131" t="s">
        <v>82</v>
      </c>
      <c r="AG1131" t="s">
        <v>75</v>
      </c>
      <c r="AH1131" t="s">
        <v>78</v>
      </c>
      <c r="AI1131" t="s">
        <v>122</v>
      </c>
      <c r="AJ1131" t="s">
        <v>122</v>
      </c>
      <c r="AK1131" t="str">
        <f>VLOOKUP(MID($AR1131,1,255),country_lookup!$B:$F,2,FALSE)</f>
        <v>3_AsiaPac</v>
      </c>
      <c r="AL1131" t="str">
        <f>VLOOKUP(MID($AR1131,1,255),country_lookup!$B:$F,3,FALSE)</f>
        <v>2_developing</v>
      </c>
      <c r="AM1131" t="str">
        <f>VLOOKUP(MID($AR1131,1,255),country_lookup!$B:$F,4,FALSE)</f>
        <v>2_non_western</v>
      </c>
      <c r="AN1131" t="str">
        <f>VLOOKUP(MID($AR1131,1,255),country_lookup!$B:$F,5,FALSE)</f>
        <v>2_civil law</v>
      </c>
      <c r="AO1131" s="10" t="str">
        <f>VLOOKUP(MID($AS1131,1,255),source_lookup!$B:$K,4,FALSE)</f>
        <v>0_published</v>
      </c>
      <c r="AP1131" s="10" t="str">
        <f>VLOOKUP(MID($AS1131,1,255),source_lookup!$B:$K,6,FALSE)</f>
        <v>1_VHB high</v>
      </c>
      <c r="AQ1131" s="10" t="str">
        <f>VLOOKUP(MID($AS1131,1,255),source_lookup!$B:$K,10,FALSE)</f>
        <v>2_sust</v>
      </c>
      <c r="AR1131" t="s">
        <v>94</v>
      </c>
      <c r="AS1131" t="s">
        <v>179</v>
      </c>
    </row>
    <row r="1132" spans="1:45" x14ac:dyDescent="0.3">
      <c r="A1132" t="s">
        <v>56</v>
      </c>
      <c r="B1132">
        <v>1131</v>
      </c>
      <c r="C1132" s="1">
        <v>-3.2843750519298089E-2</v>
      </c>
      <c r="D1132" s="2">
        <v>1067</v>
      </c>
      <c r="E1132" s="4">
        <v>7469</v>
      </c>
      <c r="F1132" s="4" t="s">
        <v>346</v>
      </c>
      <c r="G1132" s="4" t="s">
        <v>346</v>
      </c>
      <c r="H1132" t="s">
        <v>77</v>
      </c>
      <c r="I1132" t="s">
        <v>350</v>
      </c>
      <c r="J1132" s="3">
        <v>2013</v>
      </c>
      <c r="K1132" s="3">
        <v>2019</v>
      </c>
      <c r="L1132" s="6">
        <f t="shared" si="351"/>
        <v>2016</v>
      </c>
      <c r="M1132" s="6">
        <f t="shared" si="352"/>
        <v>2016</v>
      </c>
      <c r="N1132" s="7">
        <f t="shared" si="340"/>
        <v>0.5714285714285714</v>
      </c>
      <c r="O1132" s="7">
        <f t="shared" si="341"/>
        <v>0.42857142857142855</v>
      </c>
      <c r="P1132" s="7">
        <f t="shared" si="342"/>
        <v>0.2857142857142857</v>
      </c>
      <c r="Q1132" s="7">
        <f t="shared" si="353"/>
        <v>0.14285714285714285</v>
      </c>
      <c r="R1132" s="10" t="str">
        <f t="shared" si="343"/>
        <v>1_Post</v>
      </c>
      <c r="S1132" s="10" t="str">
        <f t="shared" si="344"/>
        <v>1_Post</v>
      </c>
      <c r="T1132" s="10" t="str">
        <f t="shared" si="345"/>
        <v>1_Post</v>
      </c>
      <c r="U1132" s="10" t="str">
        <f t="shared" si="346"/>
        <v>1_Post</v>
      </c>
      <c r="V1132" s="10" t="str">
        <f t="shared" si="354"/>
        <v>0_Pre</v>
      </c>
      <c r="W1132" s="10" t="str">
        <f t="shared" si="347"/>
        <v>straddle</v>
      </c>
      <c r="X1132" s="10" t="str">
        <f t="shared" si="348"/>
        <v>0_Pre</v>
      </c>
      <c r="Y1132" s="10" t="str">
        <f t="shared" si="349"/>
        <v>0_Pre</v>
      </c>
      <c r="Z1132" s="10" t="str">
        <f t="shared" si="350"/>
        <v>0_Pre</v>
      </c>
      <c r="AA1132" s="10" t="str">
        <f t="shared" si="355"/>
        <v>1_Post</v>
      </c>
      <c r="AB1132" s="10" t="str">
        <f t="shared" si="356"/>
        <v>1_Post</v>
      </c>
      <c r="AC1132" s="10" t="str">
        <f t="shared" si="357"/>
        <v>1_Post</v>
      </c>
      <c r="AD1132" s="10" t="str">
        <f t="shared" si="358"/>
        <v>2_post sample median</v>
      </c>
      <c r="AE1132" s="10" t="str">
        <f t="shared" si="359"/>
        <v>3_post sample third tertile</v>
      </c>
      <c r="AF1132" t="s">
        <v>82</v>
      </c>
      <c r="AG1132" t="s">
        <v>75</v>
      </c>
      <c r="AH1132" t="s">
        <v>78</v>
      </c>
      <c r="AI1132" t="s">
        <v>122</v>
      </c>
      <c r="AJ1132" t="s">
        <v>122</v>
      </c>
      <c r="AK1132" t="str">
        <f>VLOOKUP(MID($AR1132,1,255),country_lookup!$B:$F,2,FALSE)</f>
        <v>3_AsiaPac</v>
      </c>
      <c r="AL1132" t="str">
        <f>VLOOKUP(MID($AR1132,1,255),country_lookup!$B:$F,3,FALSE)</f>
        <v>2_developing</v>
      </c>
      <c r="AM1132" t="str">
        <f>VLOOKUP(MID($AR1132,1,255),country_lookup!$B:$F,4,FALSE)</f>
        <v>2_non_western</v>
      </c>
      <c r="AN1132" t="str">
        <f>VLOOKUP(MID($AR1132,1,255),country_lookup!$B:$F,5,FALSE)</f>
        <v>2_civil law</v>
      </c>
      <c r="AO1132" s="10" t="str">
        <f>VLOOKUP(MID($AS1132,1,255),source_lookup!$B:$K,4,FALSE)</f>
        <v>0_published</v>
      </c>
      <c r="AP1132" s="10" t="str">
        <f>VLOOKUP(MID($AS1132,1,255),source_lookup!$B:$K,6,FALSE)</f>
        <v>1_VHB high</v>
      </c>
      <c r="AQ1132" s="10" t="str">
        <f>VLOOKUP(MID($AS1132,1,255),source_lookup!$B:$K,10,FALSE)</f>
        <v>2_sust</v>
      </c>
      <c r="AR1132" t="s">
        <v>94</v>
      </c>
      <c r="AS1132" t="s">
        <v>179</v>
      </c>
    </row>
    <row r="1133" spans="1:45" x14ac:dyDescent="0.3">
      <c r="A1133" t="s">
        <v>56</v>
      </c>
      <c r="B1133">
        <v>1132</v>
      </c>
      <c r="C1133" s="1">
        <v>-2.7412830249435853E-2</v>
      </c>
      <c r="D1133" s="2">
        <v>1067</v>
      </c>
      <c r="E1133" s="4">
        <v>7469</v>
      </c>
      <c r="F1133" s="4" t="s">
        <v>346</v>
      </c>
      <c r="G1133" s="4" t="s">
        <v>346</v>
      </c>
      <c r="H1133" t="s">
        <v>77</v>
      </c>
      <c r="I1133" t="s">
        <v>350</v>
      </c>
      <c r="J1133" s="3">
        <v>2013</v>
      </c>
      <c r="K1133" s="3">
        <v>2019</v>
      </c>
      <c r="L1133" s="6">
        <f t="shared" si="351"/>
        <v>2016</v>
      </c>
      <c r="M1133" s="6">
        <f t="shared" si="352"/>
        <v>2016</v>
      </c>
      <c r="N1133" s="7">
        <f t="shared" si="340"/>
        <v>0.5714285714285714</v>
      </c>
      <c r="O1133" s="7">
        <f t="shared" si="341"/>
        <v>0.42857142857142855</v>
      </c>
      <c r="P1133" s="7">
        <f t="shared" si="342"/>
        <v>0.2857142857142857</v>
      </c>
      <c r="Q1133" s="7">
        <f t="shared" si="353"/>
        <v>0.14285714285714285</v>
      </c>
      <c r="R1133" s="10" t="str">
        <f t="shared" si="343"/>
        <v>1_Post</v>
      </c>
      <c r="S1133" s="10" t="str">
        <f t="shared" si="344"/>
        <v>1_Post</v>
      </c>
      <c r="T1133" s="10" t="str">
        <f t="shared" si="345"/>
        <v>1_Post</v>
      </c>
      <c r="U1133" s="10" t="str">
        <f t="shared" si="346"/>
        <v>1_Post</v>
      </c>
      <c r="V1133" s="10" t="str">
        <f t="shared" si="354"/>
        <v>0_Pre</v>
      </c>
      <c r="W1133" s="10" t="str">
        <f t="shared" si="347"/>
        <v>straddle</v>
      </c>
      <c r="X1133" s="10" t="str">
        <f t="shared" si="348"/>
        <v>0_Pre</v>
      </c>
      <c r="Y1133" s="10" t="str">
        <f t="shared" si="349"/>
        <v>0_Pre</v>
      </c>
      <c r="Z1133" s="10" t="str">
        <f t="shared" si="350"/>
        <v>0_Pre</v>
      </c>
      <c r="AA1133" s="10" t="str">
        <f t="shared" si="355"/>
        <v>1_Post</v>
      </c>
      <c r="AB1133" s="10" t="str">
        <f t="shared" si="356"/>
        <v>1_Post</v>
      </c>
      <c r="AC1133" s="10" t="str">
        <f t="shared" si="357"/>
        <v>1_Post</v>
      </c>
      <c r="AD1133" s="10" t="str">
        <f t="shared" si="358"/>
        <v>2_post sample median</v>
      </c>
      <c r="AE1133" s="10" t="str">
        <f t="shared" si="359"/>
        <v>3_post sample third tertile</v>
      </c>
      <c r="AF1133" t="s">
        <v>82</v>
      </c>
      <c r="AG1133" t="s">
        <v>75</v>
      </c>
      <c r="AH1133" t="s">
        <v>78</v>
      </c>
      <c r="AI1133" t="s">
        <v>122</v>
      </c>
      <c r="AJ1133" t="s">
        <v>122</v>
      </c>
      <c r="AK1133" t="str">
        <f>VLOOKUP(MID($AR1133,1,255),country_lookup!$B:$F,2,FALSE)</f>
        <v>3_AsiaPac</v>
      </c>
      <c r="AL1133" t="str">
        <f>VLOOKUP(MID($AR1133,1,255),country_lookup!$B:$F,3,FALSE)</f>
        <v>2_developing</v>
      </c>
      <c r="AM1133" t="str">
        <f>VLOOKUP(MID($AR1133,1,255),country_lookup!$B:$F,4,FALSE)</f>
        <v>2_non_western</v>
      </c>
      <c r="AN1133" t="str">
        <f>VLOOKUP(MID($AR1133,1,255),country_lookup!$B:$F,5,FALSE)</f>
        <v>2_civil law</v>
      </c>
      <c r="AO1133" s="10" t="str">
        <f>VLOOKUP(MID($AS1133,1,255),source_lookup!$B:$K,4,FALSE)</f>
        <v>0_published</v>
      </c>
      <c r="AP1133" s="10" t="str">
        <f>VLOOKUP(MID($AS1133,1,255),source_lookup!$B:$K,6,FALSE)</f>
        <v>1_VHB high</v>
      </c>
      <c r="AQ1133" s="10" t="str">
        <f>VLOOKUP(MID($AS1133,1,255),source_lookup!$B:$K,10,FALSE)</f>
        <v>2_sust</v>
      </c>
      <c r="AR1133" t="s">
        <v>94</v>
      </c>
      <c r="AS1133" t="s">
        <v>179</v>
      </c>
    </row>
    <row r="1134" spans="1:45" x14ac:dyDescent="0.3">
      <c r="A1134" t="s">
        <v>56</v>
      </c>
      <c r="B1134">
        <v>1133</v>
      </c>
      <c r="C1134" s="1">
        <v>-3.0764141088303727E-2</v>
      </c>
      <c r="D1134" s="2">
        <v>1067</v>
      </c>
      <c r="E1134" s="4">
        <v>7469</v>
      </c>
      <c r="F1134" s="4" t="s">
        <v>346</v>
      </c>
      <c r="G1134" s="4" t="s">
        <v>346</v>
      </c>
      <c r="H1134" t="s">
        <v>77</v>
      </c>
      <c r="I1134" t="s">
        <v>350</v>
      </c>
      <c r="J1134" s="3">
        <v>2013</v>
      </c>
      <c r="K1134" s="3">
        <v>2019</v>
      </c>
      <c r="L1134" s="6">
        <f t="shared" si="351"/>
        <v>2016</v>
      </c>
      <c r="M1134" s="6">
        <f t="shared" si="352"/>
        <v>2016</v>
      </c>
      <c r="N1134" s="7">
        <f t="shared" si="340"/>
        <v>0.5714285714285714</v>
      </c>
      <c r="O1134" s="7">
        <f t="shared" si="341"/>
        <v>0.42857142857142855</v>
      </c>
      <c r="P1134" s="7">
        <f t="shared" si="342"/>
        <v>0.2857142857142857</v>
      </c>
      <c r="Q1134" s="7">
        <f t="shared" si="353"/>
        <v>0.14285714285714285</v>
      </c>
      <c r="R1134" s="10" t="str">
        <f t="shared" si="343"/>
        <v>1_Post</v>
      </c>
      <c r="S1134" s="10" t="str">
        <f t="shared" si="344"/>
        <v>1_Post</v>
      </c>
      <c r="T1134" s="10" t="str">
        <f t="shared" si="345"/>
        <v>1_Post</v>
      </c>
      <c r="U1134" s="10" t="str">
        <f t="shared" si="346"/>
        <v>1_Post</v>
      </c>
      <c r="V1134" s="10" t="str">
        <f t="shared" si="354"/>
        <v>0_Pre</v>
      </c>
      <c r="W1134" s="10" t="str">
        <f t="shared" si="347"/>
        <v>straddle</v>
      </c>
      <c r="X1134" s="10" t="str">
        <f t="shared" si="348"/>
        <v>0_Pre</v>
      </c>
      <c r="Y1134" s="10" t="str">
        <f t="shared" si="349"/>
        <v>0_Pre</v>
      </c>
      <c r="Z1134" s="10" t="str">
        <f t="shared" si="350"/>
        <v>0_Pre</v>
      </c>
      <c r="AA1134" s="10" t="str">
        <f t="shared" si="355"/>
        <v>1_Post</v>
      </c>
      <c r="AB1134" s="10" t="str">
        <f t="shared" si="356"/>
        <v>1_Post</v>
      </c>
      <c r="AC1134" s="10" t="str">
        <f t="shared" si="357"/>
        <v>1_Post</v>
      </c>
      <c r="AD1134" s="10" t="str">
        <f t="shared" si="358"/>
        <v>2_post sample median</v>
      </c>
      <c r="AE1134" s="10" t="str">
        <f t="shared" si="359"/>
        <v>3_post sample third tertile</v>
      </c>
      <c r="AF1134" t="s">
        <v>82</v>
      </c>
      <c r="AG1134" t="s">
        <v>75</v>
      </c>
      <c r="AH1134" t="s">
        <v>78</v>
      </c>
      <c r="AI1134" t="s">
        <v>122</v>
      </c>
      <c r="AJ1134" t="s">
        <v>122</v>
      </c>
      <c r="AK1134" t="str">
        <f>VLOOKUP(MID($AR1134,1,255),country_lookup!$B:$F,2,FALSE)</f>
        <v>3_AsiaPac</v>
      </c>
      <c r="AL1134" t="str">
        <f>VLOOKUP(MID($AR1134,1,255),country_lookup!$B:$F,3,FALSE)</f>
        <v>2_developing</v>
      </c>
      <c r="AM1134" t="str">
        <f>VLOOKUP(MID($AR1134,1,255),country_lookup!$B:$F,4,FALSE)</f>
        <v>2_non_western</v>
      </c>
      <c r="AN1134" t="str">
        <f>VLOOKUP(MID($AR1134,1,255),country_lookup!$B:$F,5,FALSE)</f>
        <v>2_civil law</v>
      </c>
      <c r="AO1134" s="10" t="str">
        <f>VLOOKUP(MID($AS1134,1,255),source_lookup!$B:$K,4,FALSE)</f>
        <v>0_published</v>
      </c>
      <c r="AP1134" s="10" t="str">
        <f>VLOOKUP(MID($AS1134,1,255),source_lookup!$B:$K,6,FALSE)</f>
        <v>1_VHB high</v>
      </c>
      <c r="AQ1134" s="10" t="str">
        <f>VLOOKUP(MID($AS1134,1,255),source_lookup!$B:$K,10,FALSE)</f>
        <v>2_sust</v>
      </c>
      <c r="AR1134" t="s">
        <v>94</v>
      </c>
      <c r="AS1134" t="s">
        <v>179</v>
      </c>
    </row>
    <row r="1135" spans="1:45" x14ac:dyDescent="0.3">
      <c r="A1135" t="s">
        <v>56</v>
      </c>
      <c r="B1135">
        <v>1134</v>
      </c>
      <c r="C1135" s="1">
        <v>-2.8452996447248521E-2</v>
      </c>
      <c r="D1135" s="2">
        <v>1067</v>
      </c>
      <c r="E1135" s="4">
        <v>7469</v>
      </c>
      <c r="F1135" s="4" t="s">
        <v>346</v>
      </c>
      <c r="G1135" s="4" t="s">
        <v>346</v>
      </c>
      <c r="H1135" t="s">
        <v>77</v>
      </c>
      <c r="I1135" t="s">
        <v>350</v>
      </c>
      <c r="J1135" s="3">
        <v>2013</v>
      </c>
      <c r="K1135" s="3">
        <v>2019</v>
      </c>
      <c r="L1135" s="6">
        <f t="shared" si="351"/>
        <v>2016</v>
      </c>
      <c r="M1135" s="6">
        <f t="shared" si="352"/>
        <v>2016</v>
      </c>
      <c r="N1135" s="7">
        <f t="shared" si="340"/>
        <v>0.5714285714285714</v>
      </c>
      <c r="O1135" s="7">
        <f t="shared" si="341"/>
        <v>0.42857142857142855</v>
      </c>
      <c r="P1135" s="7">
        <f t="shared" si="342"/>
        <v>0.2857142857142857</v>
      </c>
      <c r="Q1135" s="7">
        <f t="shared" si="353"/>
        <v>0.14285714285714285</v>
      </c>
      <c r="R1135" s="10" t="str">
        <f t="shared" si="343"/>
        <v>1_Post</v>
      </c>
      <c r="S1135" s="10" t="str">
        <f t="shared" si="344"/>
        <v>1_Post</v>
      </c>
      <c r="T1135" s="10" t="str">
        <f t="shared" si="345"/>
        <v>1_Post</v>
      </c>
      <c r="U1135" s="10" t="str">
        <f t="shared" si="346"/>
        <v>1_Post</v>
      </c>
      <c r="V1135" s="10" t="str">
        <f t="shared" si="354"/>
        <v>0_Pre</v>
      </c>
      <c r="W1135" s="10" t="str">
        <f t="shared" si="347"/>
        <v>straddle</v>
      </c>
      <c r="X1135" s="10" t="str">
        <f t="shared" si="348"/>
        <v>0_Pre</v>
      </c>
      <c r="Y1135" s="10" t="str">
        <f t="shared" si="349"/>
        <v>0_Pre</v>
      </c>
      <c r="Z1135" s="10" t="str">
        <f t="shared" si="350"/>
        <v>0_Pre</v>
      </c>
      <c r="AA1135" s="10" t="str">
        <f t="shared" si="355"/>
        <v>1_Post</v>
      </c>
      <c r="AB1135" s="10" t="str">
        <f t="shared" si="356"/>
        <v>1_Post</v>
      </c>
      <c r="AC1135" s="10" t="str">
        <f t="shared" si="357"/>
        <v>1_Post</v>
      </c>
      <c r="AD1135" s="10" t="str">
        <f t="shared" si="358"/>
        <v>2_post sample median</v>
      </c>
      <c r="AE1135" s="10" t="str">
        <f t="shared" si="359"/>
        <v>3_post sample third tertile</v>
      </c>
      <c r="AF1135" t="s">
        <v>82</v>
      </c>
      <c r="AG1135" t="s">
        <v>75</v>
      </c>
      <c r="AH1135" t="s">
        <v>78</v>
      </c>
      <c r="AI1135" t="s">
        <v>122</v>
      </c>
      <c r="AJ1135" t="s">
        <v>122</v>
      </c>
      <c r="AK1135" t="str">
        <f>VLOOKUP(MID($AR1135,1,255),country_lookup!$B:$F,2,FALSE)</f>
        <v>3_AsiaPac</v>
      </c>
      <c r="AL1135" t="str">
        <f>VLOOKUP(MID($AR1135,1,255),country_lookup!$B:$F,3,FALSE)</f>
        <v>2_developing</v>
      </c>
      <c r="AM1135" t="str">
        <f>VLOOKUP(MID($AR1135,1,255),country_lookup!$B:$F,4,FALSE)</f>
        <v>2_non_western</v>
      </c>
      <c r="AN1135" t="str">
        <f>VLOOKUP(MID($AR1135,1,255),country_lookup!$B:$F,5,FALSE)</f>
        <v>2_civil law</v>
      </c>
      <c r="AO1135" s="10" t="str">
        <f>VLOOKUP(MID($AS1135,1,255),source_lookup!$B:$K,4,FALSE)</f>
        <v>0_published</v>
      </c>
      <c r="AP1135" s="10" t="str">
        <f>VLOOKUP(MID($AS1135,1,255),source_lookup!$B:$K,6,FALSE)</f>
        <v>1_VHB high</v>
      </c>
      <c r="AQ1135" s="10" t="str">
        <f>VLOOKUP(MID($AS1135,1,255),source_lookup!$B:$K,10,FALSE)</f>
        <v>2_sust</v>
      </c>
      <c r="AR1135" t="s">
        <v>94</v>
      </c>
      <c r="AS1135" t="s">
        <v>179</v>
      </c>
    </row>
    <row r="1136" spans="1:45" x14ac:dyDescent="0.3">
      <c r="A1136" t="s">
        <v>56</v>
      </c>
      <c r="B1136">
        <v>1135</v>
      </c>
      <c r="C1136" s="1">
        <v>-2.5910211629564993E-2</v>
      </c>
      <c r="D1136" s="2">
        <v>1067</v>
      </c>
      <c r="E1136" s="4">
        <v>7469</v>
      </c>
      <c r="F1136" s="4" t="s">
        <v>346</v>
      </c>
      <c r="G1136" s="4" t="s">
        <v>346</v>
      </c>
      <c r="H1136" t="s">
        <v>77</v>
      </c>
      <c r="I1136" t="s">
        <v>350</v>
      </c>
      <c r="J1136" s="3">
        <v>2013</v>
      </c>
      <c r="K1136" s="3">
        <v>2019</v>
      </c>
      <c r="L1136" s="6">
        <f t="shared" si="351"/>
        <v>2016</v>
      </c>
      <c r="M1136" s="6">
        <f t="shared" si="352"/>
        <v>2016</v>
      </c>
      <c r="N1136" s="7">
        <f t="shared" si="340"/>
        <v>0.5714285714285714</v>
      </c>
      <c r="O1136" s="7">
        <f t="shared" si="341"/>
        <v>0.42857142857142855</v>
      </c>
      <c r="P1136" s="7">
        <f t="shared" si="342"/>
        <v>0.2857142857142857</v>
      </c>
      <c r="Q1136" s="7">
        <f t="shared" si="353"/>
        <v>0.14285714285714285</v>
      </c>
      <c r="R1136" s="10" t="str">
        <f t="shared" si="343"/>
        <v>1_Post</v>
      </c>
      <c r="S1136" s="10" t="str">
        <f t="shared" si="344"/>
        <v>1_Post</v>
      </c>
      <c r="T1136" s="10" t="str">
        <f t="shared" si="345"/>
        <v>1_Post</v>
      </c>
      <c r="U1136" s="10" t="str">
        <f t="shared" si="346"/>
        <v>1_Post</v>
      </c>
      <c r="V1136" s="10" t="str">
        <f t="shared" si="354"/>
        <v>0_Pre</v>
      </c>
      <c r="W1136" s="10" t="str">
        <f t="shared" si="347"/>
        <v>straddle</v>
      </c>
      <c r="X1136" s="10" t="str">
        <f t="shared" si="348"/>
        <v>0_Pre</v>
      </c>
      <c r="Y1136" s="10" t="str">
        <f t="shared" si="349"/>
        <v>0_Pre</v>
      </c>
      <c r="Z1136" s="10" t="str">
        <f t="shared" si="350"/>
        <v>0_Pre</v>
      </c>
      <c r="AA1136" s="10" t="str">
        <f t="shared" si="355"/>
        <v>1_Post</v>
      </c>
      <c r="AB1136" s="10" t="str">
        <f t="shared" si="356"/>
        <v>1_Post</v>
      </c>
      <c r="AC1136" s="10" t="str">
        <f t="shared" si="357"/>
        <v>1_Post</v>
      </c>
      <c r="AD1136" s="10" t="str">
        <f t="shared" si="358"/>
        <v>2_post sample median</v>
      </c>
      <c r="AE1136" s="10" t="str">
        <f t="shared" si="359"/>
        <v>3_post sample third tertile</v>
      </c>
      <c r="AF1136" t="s">
        <v>82</v>
      </c>
      <c r="AG1136" t="s">
        <v>75</v>
      </c>
      <c r="AH1136" t="s">
        <v>78</v>
      </c>
      <c r="AI1136" t="s">
        <v>122</v>
      </c>
      <c r="AJ1136" t="s">
        <v>122</v>
      </c>
      <c r="AK1136" t="str">
        <f>VLOOKUP(MID($AR1136,1,255),country_lookup!$B:$F,2,FALSE)</f>
        <v>3_AsiaPac</v>
      </c>
      <c r="AL1136" t="str">
        <f>VLOOKUP(MID($AR1136,1,255),country_lookup!$B:$F,3,FALSE)</f>
        <v>2_developing</v>
      </c>
      <c r="AM1136" t="str">
        <f>VLOOKUP(MID($AR1136,1,255),country_lookup!$B:$F,4,FALSE)</f>
        <v>2_non_western</v>
      </c>
      <c r="AN1136" t="str">
        <f>VLOOKUP(MID($AR1136,1,255),country_lookup!$B:$F,5,FALSE)</f>
        <v>2_civil law</v>
      </c>
      <c r="AO1136" s="10" t="str">
        <f>VLOOKUP(MID($AS1136,1,255),source_lookup!$B:$K,4,FALSE)</f>
        <v>0_published</v>
      </c>
      <c r="AP1136" s="10" t="str">
        <f>VLOOKUP(MID($AS1136,1,255),source_lookup!$B:$K,6,FALSE)</f>
        <v>1_VHB high</v>
      </c>
      <c r="AQ1136" s="10" t="str">
        <f>VLOOKUP(MID($AS1136,1,255),source_lookup!$B:$K,10,FALSE)</f>
        <v>2_sust</v>
      </c>
      <c r="AR1136" t="s">
        <v>94</v>
      </c>
      <c r="AS1136" t="s">
        <v>179</v>
      </c>
    </row>
    <row r="1137" spans="1:45" x14ac:dyDescent="0.3">
      <c r="A1137" t="s">
        <v>56</v>
      </c>
      <c r="B1137">
        <v>1136</v>
      </c>
      <c r="C1137" s="1">
        <v>-2.2326354270497024E-2</v>
      </c>
      <c r="D1137" s="2">
        <v>1067</v>
      </c>
      <c r="E1137" s="4">
        <v>7469</v>
      </c>
      <c r="F1137" s="4" t="s">
        <v>346</v>
      </c>
      <c r="G1137" s="4" t="s">
        <v>346</v>
      </c>
      <c r="H1137" t="s">
        <v>77</v>
      </c>
      <c r="I1137" t="s">
        <v>350</v>
      </c>
      <c r="J1137" s="3">
        <v>2013</v>
      </c>
      <c r="K1137" s="3">
        <v>2019</v>
      </c>
      <c r="L1137" s="6">
        <f t="shared" si="351"/>
        <v>2016</v>
      </c>
      <c r="M1137" s="6">
        <f t="shared" si="352"/>
        <v>2016</v>
      </c>
      <c r="N1137" s="7">
        <f t="shared" si="340"/>
        <v>0.5714285714285714</v>
      </c>
      <c r="O1137" s="7">
        <f t="shared" si="341"/>
        <v>0.42857142857142855</v>
      </c>
      <c r="P1137" s="7">
        <f t="shared" si="342"/>
        <v>0.2857142857142857</v>
      </c>
      <c r="Q1137" s="7">
        <f t="shared" si="353"/>
        <v>0.14285714285714285</v>
      </c>
      <c r="R1137" s="10" t="str">
        <f t="shared" si="343"/>
        <v>1_Post</v>
      </c>
      <c r="S1137" s="10" t="str">
        <f t="shared" si="344"/>
        <v>1_Post</v>
      </c>
      <c r="T1137" s="10" t="str">
        <f t="shared" si="345"/>
        <v>1_Post</v>
      </c>
      <c r="U1137" s="10" t="str">
        <f t="shared" si="346"/>
        <v>1_Post</v>
      </c>
      <c r="V1137" s="10" t="str">
        <f t="shared" si="354"/>
        <v>0_Pre</v>
      </c>
      <c r="W1137" s="10" t="str">
        <f t="shared" si="347"/>
        <v>straddle</v>
      </c>
      <c r="X1137" s="10" t="str">
        <f t="shared" si="348"/>
        <v>0_Pre</v>
      </c>
      <c r="Y1137" s="10" t="str">
        <f t="shared" si="349"/>
        <v>0_Pre</v>
      </c>
      <c r="Z1137" s="10" t="str">
        <f t="shared" si="350"/>
        <v>0_Pre</v>
      </c>
      <c r="AA1137" s="10" t="str">
        <f t="shared" si="355"/>
        <v>1_Post</v>
      </c>
      <c r="AB1137" s="10" t="str">
        <f t="shared" si="356"/>
        <v>1_Post</v>
      </c>
      <c r="AC1137" s="10" t="str">
        <f t="shared" si="357"/>
        <v>1_Post</v>
      </c>
      <c r="AD1137" s="10" t="str">
        <f t="shared" si="358"/>
        <v>2_post sample median</v>
      </c>
      <c r="AE1137" s="10" t="str">
        <f t="shared" si="359"/>
        <v>3_post sample third tertile</v>
      </c>
      <c r="AF1137" t="s">
        <v>82</v>
      </c>
      <c r="AG1137" t="s">
        <v>75</v>
      </c>
      <c r="AH1137" t="s">
        <v>78</v>
      </c>
      <c r="AI1137" t="s">
        <v>122</v>
      </c>
      <c r="AJ1137" t="s">
        <v>122</v>
      </c>
      <c r="AK1137" t="str">
        <f>VLOOKUP(MID($AR1137,1,255),country_lookup!$B:$F,2,FALSE)</f>
        <v>3_AsiaPac</v>
      </c>
      <c r="AL1137" t="str">
        <f>VLOOKUP(MID($AR1137,1,255),country_lookup!$B:$F,3,FALSE)</f>
        <v>2_developing</v>
      </c>
      <c r="AM1137" t="str">
        <f>VLOOKUP(MID($AR1137,1,255),country_lookup!$B:$F,4,FALSE)</f>
        <v>2_non_western</v>
      </c>
      <c r="AN1137" t="str">
        <f>VLOOKUP(MID($AR1137,1,255),country_lookup!$B:$F,5,FALSE)</f>
        <v>2_civil law</v>
      </c>
      <c r="AO1137" s="10" t="str">
        <f>VLOOKUP(MID($AS1137,1,255),source_lookup!$B:$K,4,FALSE)</f>
        <v>0_published</v>
      </c>
      <c r="AP1137" s="10" t="str">
        <f>VLOOKUP(MID($AS1137,1,255),source_lookup!$B:$K,6,FALSE)</f>
        <v>1_VHB high</v>
      </c>
      <c r="AQ1137" s="10" t="str">
        <f>VLOOKUP(MID($AS1137,1,255),source_lookup!$B:$K,10,FALSE)</f>
        <v>2_sust</v>
      </c>
      <c r="AR1137" t="s">
        <v>94</v>
      </c>
      <c r="AS1137" t="s">
        <v>179</v>
      </c>
    </row>
    <row r="1138" spans="1:45" x14ac:dyDescent="0.3">
      <c r="A1138" t="s">
        <v>56</v>
      </c>
      <c r="B1138">
        <v>1137</v>
      </c>
      <c r="C1138" s="1">
        <v>-3.1572927052787768E-2</v>
      </c>
      <c r="D1138" s="2">
        <v>1067</v>
      </c>
      <c r="E1138" s="4">
        <v>7469</v>
      </c>
      <c r="F1138" s="4" t="s">
        <v>346</v>
      </c>
      <c r="G1138" s="4" t="s">
        <v>346</v>
      </c>
      <c r="H1138" t="s">
        <v>77</v>
      </c>
      <c r="I1138" t="s">
        <v>350</v>
      </c>
      <c r="J1138" s="3">
        <v>2013</v>
      </c>
      <c r="K1138" s="3">
        <v>2019</v>
      </c>
      <c r="L1138" s="6">
        <f t="shared" si="351"/>
        <v>2016</v>
      </c>
      <c r="M1138" s="6">
        <f t="shared" si="352"/>
        <v>2016</v>
      </c>
      <c r="N1138" s="7">
        <f t="shared" si="340"/>
        <v>0.5714285714285714</v>
      </c>
      <c r="O1138" s="7">
        <f t="shared" si="341"/>
        <v>0.42857142857142855</v>
      </c>
      <c r="P1138" s="7">
        <f t="shared" si="342"/>
        <v>0.2857142857142857</v>
      </c>
      <c r="Q1138" s="7">
        <f t="shared" si="353"/>
        <v>0.14285714285714285</v>
      </c>
      <c r="R1138" s="10" t="str">
        <f t="shared" si="343"/>
        <v>1_Post</v>
      </c>
      <c r="S1138" s="10" t="str">
        <f t="shared" si="344"/>
        <v>1_Post</v>
      </c>
      <c r="T1138" s="10" t="str">
        <f t="shared" si="345"/>
        <v>1_Post</v>
      </c>
      <c r="U1138" s="10" t="str">
        <f t="shared" si="346"/>
        <v>1_Post</v>
      </c>
      <c r="V1138" s="10" t="str">
        <f t="shared" si="354"/>
        <v>0_Pre</v>
      </c>
      <c r="W1138" s="10" t="str">
        <f t="shared" si="347"/>
        <v>straddle</v>
      </c>
      <c r="X1138" s="10" t="str">
        <f t="shared" si="348"/>
        <v>0_Pre</v>
      </c>
      <c r="Y1138" s="10" t="str">
        <f t="shared" si="349"/>
        <v>0_Pre</v>
      </c>
      <c r="Z1138" s="10" t="str">
        <f t="shared" si="350"/>
        <v>0_Pre</v>
      </c>
      <c r="AA1138" s="10" t="str">
        <f t="shared" si="355"/>
        <v>1_Post</v>
      </c>
      <c r="AB1138" s="10" t="str">
        <f t="shared" si="356"/>
        <v>1_Post</v>
      </c>
      <c r="AC1138" s="10" t="str">
        <f t="shared" si="357"/>
        <v>1_Post</v>
      </c>
      <c r="AD1138" s="10" t="str">
        <f t="shared" si="358"/>
        <v>2_post sample median</v>
      </c>
      <c r="AE1138" s="10" t="str">
        <f t="shared" si="359"/>
        <v>3_post sample third tertile</v>
      </c>
      <c r="AF1138" t="s">
        <v>82</v>
      </c>
      <c r="AG1138" t="s">
        <v>75</v>
      </c>
      <c r="AH1138" t="s">
        <v>78</v>
      </c>
      <c r="AI1138" t="s">
        <v>122</v>
      </c>
      <c r="AJ1138" t="s">
        <v>122</v>
      </c>
      <c r="AK1138" t="str">
        <f>VLOOKUP(MID($AR1138,1,255),country_lookup!$B:$F,2,FALSE)</f>
        <v>3_AsiaPac</v>
      </c>
      <c r="AL1138" t="str">
        <f>VLOOKUP(MID($AR1138,1,255),country_lookup!$B:$F,3,FALSE)</f>
        <v>2_developing</v>
      </c>
      <c r="AM1138" t="str">
        <f>VLOOKUP(MID($AR1138,1,255),country_lookup!$B:$F,4,FALSE)</f>
        <v>2_non_western</v>
      </c>
      <c r="AN1138" t="str">
        <f>VLOOKUP(MID($AR1138,1,255),country_lookup!$B:$F,5,FALSE)</f>
        <v>2_civil law</v>
      </c>
      <c r="AO1138" s="10" t="str">
        <f>VLOOKUP(MID($AS1138,1,255),source_lookup!$B:$K,4,FALSE)</f>
        <v>0_published</v>
      </c>
      <c r="AP1138" s="10" t="str">
        <f>VLOOKUP(MID($AS1138,1,255),source_lookup!$B:$K,6,FALSE)</f>
        <v>1_VHB high</v>
      </c>
      <c r="AQ1138" s="10" t="str">
        <f>VLOOKUP(MID($AS1138,1,255),source_lookup!$B:$K,10,FALSE)</f>
        <v>2_sust</v>
      </c>
      <c r="AR1138" t="s">
        <v>94</v>
      </c>
      <c r="AS1138" t="s">
        <v>179</v>
      </c>
    </row>
    <row r="1139" spans="1:45" x14ac:dyDescent="0.3">
      <c r="A1139" t="s">
        <v>56</v>
      </c>
      <c r="B1139">
        <v>1138</v>
      </c>
      <c r="C1139" s="1">
        <v>-3.3883396978286143E-2</v>
      </c>
      <c r="D1139" s="2">
        <v>1067</v>
      </c>
      <c r="E1139" s="4">
        <v>7469</v>
      </c>
      <c r="F1139" s="4" t="s">
        <v>346</v>
      </c>
      <c r="G1139" s="4" t="s">
        <v>346</v>
      </c>
      <c r="H1139" t="s">
        <v>77</v>
      </c>
      <c r="I1139" t="s">
        <v>350</v>
      </c>
      <c r="J1139" s="3">
        <v>2013</v>
      </c>
      <c r="K1139" s="3">
        <v>2019</v>
      </c>
      <c r="L1139" s="6">
        <f t="shared" si="351"/>
        <v>2016</v>
      </c>
      <c r="M1139" s="6">
        <f t="shared" si="352"/>
        <v>2016</v>
      </c>
      <c r="N1139" s="7">
        <f t="shared" si="340"/>
        <v>0.5714285714285714</v>
      </c>
      <c r="O1139" s="7">
        <f t="shared" si="341"/>
        <v>0.42857142857142855</v>
      </c>
      <c r="P1139" s="7">
        <f t="shared" si="342"/>
        <v>0.2857142857142857</v>
      </c>
      <c r="Q1139" s="7">
        <f t="shared" si="353"/>
        <v>0.14285714285714285</v>
      </c>
      <c r="R1139" s="10" t="str">
        <f t="shared" si="343"/>
        <v>1_Post</v>
      </c>
      <c r="S1139" s="10" t="str">
        <f t="shared" si="344"/>
        <v>1_Post</v>
      </c>
      <c r="T1139" s="10" t="str">
        <f t="shared" si="345"/>
        <v>1_Post</v>
      </c>
      <c r="U1139" s="10" t="str">
        <f t="shared" si="346"/>
        <v>1_Post</v>
      </c>
      <c r="V1139" s="10" t="str">
        <f t="shared" si="354"/>
        <v>0_Pre</v>
      </c>
      <c r="W1139" s="10" t="str">
        <f t="shared" si="347"/>
        <v>straddle</v>
      </c>
      <c r="X1139" s="10" t="str">
        <f t="shared" si="348"/>
        <v>0_Pre</v>
      </c>
      <c r="Y1139" s="10" t="str">
        <f t="shared" si="349"/>
        <v>0_Pre</v>
      </c>
      <c r="Z1139" s="10" t="str">
        <f t="shared" si="350"/>
        <v>0_Pre</v>
      </c>
      <c r="AA1139" s="10" t="str">
        <f t="shared" si="355"/>
        <v>1_Post</v>
      </c>
      <c r="AB1139" s="10" t="str">
        <f t="shared" si="356"/>
        <v>1_Post</v>
      </c>
      <c r="AC1139" s="10" t="str">
        <f t="shared" si="357"/>
        <v>1_Post</v>
      </c>
      <c r="AD1139" s="10" t="str">
        <f t="shared" si="358"/>
        <v>2_post sample median</v>
      </c>
      <c r="AE1139" s="10" t="str">
        <f t="shared" si="359"/>
        <v>3_post sample third tertile</v>
      </c>
      <c r="AF1139" t="s">
        <v>82</v>
      </c>
      <c r="AG1139" t="s">
        <v>75</v>
      </c>
      <c r="AH1139" t="s">
        <v>78</v>
      </c>
      <c r="AI1139" t="s">
        <v>122</v>
      </c>
      <c r="AJ1139" t="s">
        <v>122</v>
      </c>
      <c r="AK1139" t="str">
        <f>VLOOKUP(MID($AR1139,1,255),country_lookup!$B:$F,2,FALSE)</f>
        <v>3_AsiaPac</v>
      </c>
      <c r="AL1139" t="str">
        <f>VLOOKUP(MID($AR1139,1,255),country_lookup!$B:$F,3,FALSE)</f>
        <v>2_developing</v>
      </c>
      <c r="AM1139" t="str">
        <f>VLOOKUP(MID($AR1139,1,255),country_lookup!$B:$F,4,FALSE)</f>
        <v>2_non_western</v>
      </c>
      <c r="AN1139" t="str">
        <f>VLOOKUP(MID($AR1139,1,255),country_lookup!$B:$F,5,FALSE)</f>
        <v>2_civil law</v>
      </c>
      <c r="AO1139" s="10" t="str">
        <f>VLOOKUP(MID($AS1139,1,255),source_lookup!$B:$K,4,FALSE)</f>
        <v>0_published</v>
      </c>
      <c r="AP1139" s="10" t="str">
        <f>VLOOKUP(MID($AS1139,1,255),source_lookup!$B:$K,6,FALSE)</f>
        <v>1_VHB high</v>
      </c>
      <c r="AQ1139" s="10" t="str">
        <f>VLOOKUP(MID($AS1139,1,255),source_lookup!$B:$K,10,FALSE)</f>
        <v>2_sust</v>
      </c>
      <c r="AR1139" t="s">
        <v>94</v>
      </c>
      <c r="AS1139" t="s">
        <v>179</v>
      </c>
    </row>
    <row r="1140" spans="1:45" x14ac:dyDescent="0.3">
      <c r="A1140" t="s">
        <v>56</v>
      </c>
      <c r="B1140">
        <v>1139</v>
      </c>
      <c r="C1140" s="1">
        <v>-3.087968567729231E-2</v>
      </c>
      <c r="D1140" s="2">
        <v>1067</v>
      </c>
      <c r="E1140" s="4">
        <v>7469</v>
      </c>
      <c r="F1140" s="4" t="s">
        <v>346</v>
      </c>
      <c r="G1140" s="4" t="s">
        <v>346</v>
      </c>
      <c r="H1140" t="s">
        <v>77</v>
      </c>
      <c r="I1140" t="s">
        <v>350</v>
      </c>
      <c r="J1140" s="3">
        <v>2013</v>
      </c>
      <c r="K1140" s="3">
        <v>2019</v>
      </c>
      <c r="L1140" s="6">
        <f t="shared" si="351"/>
        <v>2016</v>
      </c>
      <c r="M1140" s="6">
        <f t="shared" si="352"/>
        <v>2016</v>
      </c>
      <c r="N1140" s="7">
        <f t="shared" si="340"/>
        <v>0.5714285714285714</v>
      </c>
      <c r="O1140" s="7">
        <f t="shared" si="341"/>
        <v>0.42857142857142855</v>
      </c>
      <c r="P1140" s="7">
        <f t="shared" si="342"/>
        <v>0.2857142857142857</v>
      </c>
      <c r="Q1140" s="7">
        <f t="shared" si="353"/>
        <v>0.14285714285714285</v>
      </c>
      <c r="R1140" s="10" t="str">
        <f t="shared" si="343"/>
        <v>1_Post</v>
      </c>
      <c r="S1140" s="10" t="str">
        <f t="shared" si="344"/>
        <v>1_Post</v>
      </c>
      <c r="T1140" s="10" t="str">
        <f t="shared" si="345"/>
        <v>1_Post</v>
      </c>
      <c r="U1140" s="10" t="str">
        <f t="shared" si="346"/>
        <v>1_Post</v>
      </c>
      <c r="V1140" s="10" t="str">
        <f t="shared" si="354"/>
        <v>0_Pre</v>
      </c>
      <c r="W1140" s="10" t="str">
        <f t="shared" si="347"/>
        <v>straddle</v>
      </c>
      <c r="X1140" s="10" t="str">
        <f t="shared" si="348"/>
        <v>0_Pre</v>
      </c>
      <c r="Y1140" s="10" t="str">
        <f t="shared" si="349"/>
        <v>0_Pre</v>
      </c>
      <c r="Z1140" s="10" t="str">
        <f t="shared" si="350"/>
        <v>0_Pre</v>
      </c>
      <c r="AA1140" s="10" t="str">
        <f t="shared" si="355"/>
        <v>1_Post</v>
      </c>
      <c r="AB1140" s="10" t="str">
        <f t="shared" si="356"/>
        <v>1_Post</v>
      </c>
      <c r="AC1140" s="10" t="str">
        <f t="shared" si="357"/>
        <v>1_Post</v>
      </c>
      <c r="AD1140" s="10" t="str">
        <f t="shared" si="358"/>
        <v>2_post sample median</v>
      </c>
      <c r="AE1140" s="10" t="str">
        <f t="shared" si="359"/>
        <v>3_post sample third tertile</v>
      </c>
      <c r="AF1140" t="s">
        <v>82</v>
      </c>
      <c r="AG1140" t="s">
        <v>75</v>
      </c>
      <c r="AH1140" t="s">
        <v>78</v>
      </c>
      <c r="AI1140" t="s">
        <v>122</v>
      </c>
      <c r="AJ1140" t="s">
        <v>122</v>
      </c>
      <c r="AK1140" t="str">
        <f>VLOOKUP(MID($AR1140,1,255),country_lookup!$B:$F,2,FALSE)</f>
        <v>3_AsiaPac</v>
      </c>
      <c r="AL1140" t="str">
        <f>VLOOKUP(MID($AR1140,1,255),country_lookup!$B:$F,3,FALSE)</f>
        <v>2_developing</v>
      </c>
      <c r="AM1140" t="str">
        <f>VLOOKUP(MID($AR1140,1,255),country_lookup!$B:$F,4,FALSE)</f>
        <v>2_non_western</v>
      </c>
      <c r="AN1140" t="str">
        <f>VLOOKUP(MID($AR1140,1,255),country_lookup!$B:$F,5,FALSE)</f>
        <v>2_civil law</v>
      </c>
      <c r="AO1140" s="10" t="str">
        <f>VLOOKUP(MID($AS1140,1,255),source_lookup!$B:$K,4,FALSE)</f>
        <v>0_published</v>
      </c>
      <c r="AP1140" s="10" t="str">
        <f>VLOOKUP(MID($AS1140,1,255),source_lookup!$B:$K,6,FALSE)</f>
        <v>1_VHB high</v>
      </c>
      <c r="AQ1140" s="10" t="str">
        <f>VLOOKUP(MID($AS1140,1,255),source_lookup!$B:$K,10,FALSE)</f>
        <v>2_sust</v>
      </c>
      <c r="AR1140" t="s">
        <v>94</v>
      </c>
      <c r="AS1140" t="s">
        <v>179</v>
      </c>
    </row>
    <row r="1141" spans="1:45" x14ac:dyDescent="0.3">
      <c r="A1141" t="s">
        <v>56</v>
      </c>
      <c r="B1141">
        <v>1140</v>
      </c>
      <c r="C1141" s="1">
        <v>-3.4922933452546157E-2</v>
      </c>
      <c r="D1141" s="2">
        <v>1067</v>
      </c>
      <c r="E1141" s="4">
        <v>7469</v>
      </c>
      <c r="F1141" s="4" t="s">
        <v>346</v>
      </c>
      <c r="G1141" s="4" t="s">
        <v>346</v>
      </c>
      <c r="H1141" t="s">
        <v>77</v>
      </c>
      <c r="I1141" t="s">
        <v>350</v>
      </c>
      <c r="J1141" s="3">
        <v>2013</v>
      </c>
      <c r="K1141" s="3">
        <v>2019</v>
      </c>
      <c r="L1141" s="6">
        <f t="shared" si="351"/>
        <v>2016</v>
      </c>
      <c r="M1141" s="6">
        <f t="shared" si="352"/>
        <v>2016</v>
      </c>
      <c r="N1141" s="7">
        <f t="shared" si="340"/>
        <v>0.5714285714285714</v>
      </c>
      <c r="O1141" s="7">
        <f t="shared" si="341"/>
        <v>0.42857142857142855</v>
      </c>
      <c r="P1141" s="7">
        <f t="shared" si="342"/>
        <v>0.2857142857142857</v>
      </c>
      <c r="Q1141" s="7">
        <f t="shared" si="353"/>
        <v>0.14285714285714285</v>
      </c>
      <c r="R1141" s="10" t="str">
        <f t="shared" si="343"/>
        <v>1_Post</v>
      </c>
      <c r="S1141" s="10" t="str">
        <f t="shared" si="344"/>
        <v>1_Post</v>
      </c>
      <c r="T1141" s="10" t="str">
        <f t="shared" si="345"/>
        <v>1_Post</v>
      </c>
      <c r="U1141" s="10" t="str">
        <f t="shared" si="346"/>
        <v>1_Post</v>
      </c>
      <c r="V1141" s="10" t="str">
        <f t="shared" si="354"/>
        <v>0_Pre</v>
      </c>
      <c r="W1141" s="10" t="str">
        <f t="shared" si="347"/>
        <v>straddle</v>
      </c>
      <c r="X1141" s="10" t="str">
        <f t="shared" si="348"/>
        <v>0_Pre</v>
      </c>
      <c r="Y1141" s="10" t="str">
        <f t="shared" si="349"/>
        <v>0_Pre</v>
      </c>
      <c r="Z1141" s="10" t="str">
        <f t="shared" si="350"/>
        <v>0_Pre</v>
      </c>
      <c r="AA1141" s="10" t="str">
        <f t="shared" si="355"/>
        <v>1_Post</v>
      </c>
      <c r="AB1141" s="10" t="str">
        <f t="shared" si="356"/>
        <v>1_Post</v>
      </c>
      <c r="AC1141" s="10" t="str">
        <f t="shared" si="357"/>
        <v>1_Post</v>
      </c>
      <c r="AD1141" s="10" t="str">
        <f t="shared" si="358"/>
        <v>2_post sample median</v>
      </c>
      <c r="AE1141" s="10" t="str">
        <f t="shared" si="359"/>
        <v>3_post sample third tertile</v>
      </c>
      <c r="AF1141" t="s">
        <v>82</v>
      </c>
      <c r="AG1141" t="s">
        <v>75</v>
      </c>
      <c r="AH1141" t="s">
        <v>78</v>
      </c>
      <c r="AI1141" t="s">
        <v>122</v>
      </c>
      <c r="AJ1141" t="s">
        <v>122</v>
      </c>
      <c r="AK1141" t="str">
        <f>VLOOKUP(MID($AR1141,1,255),country_lookup!$B:$F,2,FALSE)</f>
        <v>3_AsiaPac</v>
      </c>
      <c r="AL1141" t="str">
        <f>VLOOKUP(MID($AR1141,1,255),country_lookup!$B:$F,3,FALSE)</f>
        <v>2_developing</v>
      </c>
      <c r="AM1141" t="str">
        <f>VLOOKUP(MID($AR1141,1,255),country_lookup!$B:$F,4,FALSE)</f>
        <v>2_non_western</v>
      </c>
      <c r="AN1141" t="str">
        <f>VLOOKUP(MID($AR1141,1,255),country_lookup!$B:$F,5,FALSE)</f>
        <v>2_civil law</v>
      </c>
      <c r="AO1141" s="10" t="str">
        <f>VLOOKUP(MID($AS1141,1,255),source_lookup!$B:$K,4,FALSE)</f>
        <v>0_published</v>
      </c>
      <c r="AP1141" s="10" t="str">
        <f>VLOOKUP(MID($AS1141,1,255),source_lookup!$B:$K,6,FALSE)</f>
        <v>1_VHB high</v>
      </c>
      <c r="AQ1141" s="10" t="str">
        <f>VLOOKUP(MID($AS1141,1,255),source_lookup!$B:$K,10,FALSE)</f>
        <v>2_sust</v>
      </c>
      <c r="AR1141" t="s">
        <v>94</v>
      </c>
      <c r="AS1141" t="s">
        <v>179</v>
      </c>
    </row>
    <row r="1142" spans="1:45" x14ac:dyDescent="0.3">
      <c r="A1142" t="s">
        <v>56</v>
      </c>
      <c r="B1142">
        <v>1141</v>
      </c>
      <c r="C1142" s="1">
        <v>-3.0648595265979923E-2</v>
      </c>
      <c r="D1142" s="2">
        <v>1067</v>
      </c>
      <c r="E1142" s="4">
        <v>7469</v>
      </c>
      <c r="F1142" s="4" t="s">
        <v>346</v>
      </c>
      <c r="G1142" s="4" t="s">
        <v>346</v>
      </c>
      <c r="H1142" t="s">
        <v>77</v>
      </c>
      <c r="I1142" t="s">
        <v>350</v>
      </c>
      <c r="J1142" s="3">
        <v>2013</v>
      </c>
      <c r="K1142" s="3">
        <v>2019</v>
      </c>
      <c r="L1142" s="6">
        <f t="shared" si="351"/>
        <v>2016</v>
      </c>
      <c r="M1142" s="6">
        <f t="shared" si="352"/>
        <v>2016</v>
      </c>
      <c r="N1142" s="7">
        <f t="shared" si="340"/>
        <v>0.5714285714285714</v>
      </c>
      <c r="O1142" s="7">
        <f t="shared" si="341"/>
        <v>0.42857142857142855</v>
      </c>
      <c r="P1142" s="7">
        <f t="shared" si="342"/>
        <v>0.2857142857142857</v>
      </c>
      <c r="Q1142" s="7">
        <f t="shared" si="353"/>
        <v>0.14285714285714285</v>
      </c>
      <c r="R1142" s="10" t="str">
        <f t="shared" si="343"/>
        <v>1_Post</v>
      </c>
      <c r="S1142" s="10" t="str">
        <f t="shared" si="344"/>
        <v>1_Post</v>
      </c>
      <c r="T1142" s="10" t="str">
        <f t="shared" si="345"/>
        <v>1_Post</v>
      </c>
      <c r="U1142" s="10" t="str">
        <f t="shared" si="346"/>
        <v>1_Post</v>
      </c>
      <c r="V1142" s="10" t="str">
        <f t="shared" si="354"/>
        <v>0_Pre</v>
      </c>
      <c r="W1142" s="10" t="str">
        <f t="shared" si="347"/>
        <v>straddle</v>
      </c>
      <c r="X1142" s="10" t="str">
        <f t="shared" si="348"/>
        <v>0_Pre</v>
      </c>
      <c r="Y1142" s="10" t="str">
        <f t="shared" si="349"/>
        <v>0_Pre</v>
      </c>
      <c r="Z1142" s="10" t="str">
        <f t="shared" si="350"/>
        <v>0_Pre</v>
      </c>
      <c r="AA1142" s="10" t="str">
        <f t="shared" si="355"/>
        <v>1_Post</v>
      </c>
      <c r="AB1142" s="10" t="str">
        <f t="shared" si="356"/>
        <v>1_Post</v>
      </c>
      <c r="AC1142" s="10" t="str">
        <f t="shared" si="357"/>
        <v>1_Post</v>
      </c>
      <c r="AD1142" s="10" t="str">
        <f t="shared" si="358"/>
        <v>2_post sample median</v>
      </c>
      <c r="AE1142" s="10" t="str">
        <f t="shared" si="359"/>
        <v>3_post sample third tertile</v>
      </c>
      <c r="AF1142" t="s">
        <v>82</v>
      </c>
      <c r="AG1142" t="s">
        <v>75</v>
      </c>
      <c r="AH1142" t="s">
        <v>78</v>
      </c>
      <c r="AI1142" t="s">
        <v>122</v>
      </c>
      <c r="AJ1142" t="s">
        <v>122</v>
      </c>
      <c r="AK1142" t="str">
        <f>VLOOKUP(MID($AR1142,1,255),country_lookup!$B:$F,2,FALSE)</f>
        <v>3_AsiaPac</v>
      </c>
      <c r="AL1142" t="str">
        <f>VLOOKUP(MID($AR1142,1,255),country_lookup!$B:$F,3,FALSE)</f>
        <v>2_developing</v>
      </c>
      <c r="AM1142" t="str">
        <f>VLOOKUP(MID($AR1142,1,255),country_lookup!$B:$F,4,FALSE)</f>
        <v>2_non_western</v>
      </c>
      <c r="AN1142" t="str">
        <f>VLOOKUP(MID($AR1142,1,255),country_lookup!$B:$F,5,FALSE)</f>
        <v>2_civil law</v>
      </c>
      <c r="AO1142" s="10" t="str">
        <f>VLOOKUP(MID($AS1142,1,255),source_lookup!$B:$K,4,FALSE)</f>
        <v>0_published</v>
      </c>
      <c r="AP1142" s="10" t="str">
        <f>VLOOKUP(MID($AS1142,1,255),source_lookup!$B:$K,6,FALSE)</f>
        <v>1_VHB high</v>
      </c>
      <c r="AQ1142" s="10" t="str">
        <f>VLOOKUP(MID($AS1142,1,255),source_lookup!$B:$K,10,FALSE)</f>
        <v>2_sust</v>
      </c>
      <c r="AR1142" t="s">
        <v>94</v>
      </c>
      <c r="AS1142" t="s">
        <v>179</v>
      </c>
    </row>
    <row r="1143" spans="1:45" x14ac:dyDescent="0.3">
      <c r="A1143" t="s">
        <v>56</v>
      </c>
      <c r="B1143">
        <v>1142</v>
      </c>
      <c r="C1143" s="1">
        <v>-2.6950505376624342E-2</v>
      </c>
      <c r="D1143" s="2">
        <v>1067</v>
      </c>
      <c r="E1143" s="4">
        <v>7469</v>
      </c>
      <c r="F1143" s="4" t="s">
        <v>346</v>
      </c>
      <c r="G1143" s="4" t="s">
        <v>346</v>
      </c>
      <c r="H1143" t="s">
        <v>77</v>
      </c>
      <c r="I1143" t="s">
        <v>350</v>
      </c>
      <c r="J1143" s="3">
        <v>2013</v>
      </c>
      <c r="K1143" s="3">
        <v>2019</v>
      </c>
      <c r="L1143" s="6">
        <f t="shared" si="351"/>
        <v>2016</v>
      </c>
      <c r="M1143" s="6">
        <f t="shared" si="352"/>
        <v>2016</v>
      </c>
      <c r="N1143" s="7">
        <f t="shared" si="340"/>
        <v>0.5714285714285714</v>
      </c>
      <c r="O1143" s="7">
        <f t="shared" si="341"/>
        <v>0.42857142857142855</v>
      </c>
      <c r="P1143" s="7">
        <f t="shared" si="342"/>
        <v>0.2857142857142857</v>
      </c>
      <c r="Q1143" s="7">
        <f t="shared" si="353"/>
        <v>0.14285714285714285</v>
      </c>
      <c r="R1143" s="10" t="str">
        <f t="shared" si="343"/>
        <v>1_Post</v>
      </c>
      <c r="S1143" s="10" t="str">
        <f t="shared" si="344"/>
        <v>1_Post</v>
      </c>
      <c r="T1143" s="10" t="str">
        <f t="shared" si="345"/>
        <v>1_Post</v>
      </c>
      <c r="U1143" s="10" t="str">
        <f t="shared" si="346"/>
        <v>1_Post</v>
      </c>
      <c r="V1143" s="10" t="str">
        <f t="shared" si="354"/>
        <v>0_Pre</v>
      </c>
      <c r="W1143" s="10" t="str">
        <f t="shared" si="347"/>
        <v>straddle</v>
      </c>
      <c r="X1143" s="10" t="str">
        <f t="shared" si="348"/>
        <v>0_Pre</v>
      </c>
      <c r="Y1143" s="10" t="str">
        <f t="shared" si="349"/>
        <v>0_Pre</v>
      </c>
      <c r="Z1143" s="10" t="str">
        <f t="shared" si="350"/>
        <v>0_Pre</v>
      </c>
      <c r="AA1143" s="10" t="str">
        <f t="shared" si="355"/>
        <v>1_Post</v>
      </c>
      <c r="AB1143" s="10" t="str">
        <f t="shared" si="356"/>
        <v>1_Post</v>
      </c>
      <c r="AC1143" s="10" t="str">
        <f t="shared" si="357"/>
        <v>1_Post</v>
      </c>
      <c r="AD1143" s="10" t="str">
        <f t="shared" si="358"/>
        <v>2_post sample median</v>
      </c>
      <c r="AE1143" s="10" t="str">
        <f t="shared" si="359"/>
        <v>3_post sample third tertile</v>
      </c>
      <c r="AF1143" t="s">
        <v>82</v>
      </c>
      <c r="AG1143" t="s">
        <v>75</v>
      </c>
      <c r="AH1143" t="s">
        <v>78</v>
      </c>
      <c r="AI1143" t="s">
        <v>122</v>
      </c>
      <c r="AJ1143" t="s">
        <v>122</v>
      </c>
      <c r="AK1143" t="str">
        <f>VLOOKUP(MID($AR1143,1,255),country_lookup!$B:$F,2,FALSE)</f>
        <v>3_AsiaPac</v>
      </c>
      <c r="AL1143" t="str">
        <f>VLOOKUP(MID($AR1143,1,255),country_lookup!$B:$F,3,FALSE)</f>
        <v>2_developing</v>
      </c>
      <c r="AM1143" t="str">
        <f>VLOOKUP(MID($AR1143,1,255),country_lookup!$B:$F,4,FALSE)</f>
        <v>2_non_western</v>
      </c>
      <c r="AN1143" t="str">
        <f>VLOOKUP(MID($AR1143,1,255),country_lookup!$B:$F,5,FALSE)</f>
        <v>2_civil law</v>
      </c>
      <c r="AO1143" s="10" t="str">
        <f>VLOOKUP(MID($AS1143,1,255),source_lookup!$B:$K,4,FALSE)</f>
        <v>0_published</v>
      </c>
      <c r="AP1143" s="10" t="str">
        <f>VLOOKUP(MID($AS1143,1,255),source_lookup!$B:$K,6,FALSE)</f>
        <v>1_VHB high</v>
      </c>
      <c r="AQ1143" s="10" t="str">
        <f>VLOOKUP(MID($AS1143,1,255),source_lookup!$B:$K,10,FALSE)</f>
        <v>2_sust</v>
      </c>
      <c r="AR1143" t="s">
        <v>94</v>
      </c>
      <c r="AS1143" t="s">
        <v>179</v>
      </c>
    </row>
    <row r="1144" spans="1:45" x14ac:dyDescent="0.3">
      <c r="A1144" t="s">
        <v>56</v>
      </c>
      <c r="B1144">
        <v>1143</v>
      </c>
      <c r="C1144" s="1">
        <v>-2.7875137531690807E-2</v>
      </c>
      <c r="D1144" s="2">
        <v>1067</v>
      </c>
      <c r="E1144" s="4">
        <v>7469</v>
      </c>
      <c r="F1144" s="4" t="s">
        <v>346</v>
      </c>
      <c r="G1144" s="4" t="s">
        <v>346</v>
      </c>
      <c r="H1144" t="s">
        <v>77</v>
      </c>
      <c r="I1144" t="s">
        <v>350</v>
      </c>
      <c r="J1144" s="3">
        <v>2013</v>
      </c>
      <c r="K1144" s="3">
        <v>2019</v>
      </c>
      <c r="L1144" s="6">
        <f t="shared" si="351"/>
        <v>2016</v>
      </c>
      <c r="M1144" s="6">
        <f t="shared" si="352"/>
        <v>2016</v>
      </c>
      <c r="N1144" s="7">
        <f t="shared" si="340"/>
        <v>0.5714285714285714</v>
      </c>
      <c r="O1144" s="7">
        <f t="shared" si="341"/>
        <v>0.42857142857142855</v>
      </c>
      <c r="P1144" s="7">
        <f t="shared" si="342"/>
        <v>0.2857142857142857</v>
      </c>
      <c r="Q1144" s="7">
        <f t="shared" si="353"/>
        <v>0.14285714285714285</v>
      </c>
      <c r="R1144" s="10" t="str">
        <f t="shared" si="343"/>
        <v>1_Post</v>
      </c>
      <c r="S1144" s="10" t="str">
        <f t="shared" si="344"/>
        <v>1_Post</v>
      </c>
      <c r="T1144" s="10" t="str">
        <f t="shared" si="345"/>
        <v>1_Post</v>
      </c>
      <c r="U1144" s="10" t="str">
        <f t="shared" si="346"/>
        <v>1_Post</v>
      </c>
      <c r="V1144" s="10" t="str">
        <f t="shared" si="354"/>
        <v>0_Pre</v>
      </c>
      <c r="W1144" s="10" t="str">
        <f t="shared" si="347"/>
        <v>straddle</v>
      </c>
      <c r="X1144" s="10" t="str">
        <f t="shared" si="348"/>
        <v>0_Pre</v>
      </c>
      <c r="Y1144" s="10" t="str">
        <f t="shared" si="349"/>
        <v>0_Pre</v>
      </c>
      <c r="Z1144" s="10" t="str">
        <f t="shared" si="350"/>
        <v>0_Pre</v>
      </c>
      <c r="AA1144" s="10" t="str">
        <f t="shared" si="355"/>
        <v>1_Post</v>
      </c>
      <c r="AB1144" s="10" t="str">
        <f t="shared" si="356"/>
        <v>1_Post</v>
      </c>
      <c r="AC1144" s="10" t="str">
        <f t="shared" si="357"/>
        <v>1_Post</v>
      </c>
      <c r="AD1144" s="10" t="str">
        <f t="shared" si="358"/>
        <v>2_post sample median</v>
      </c>
      <c r="AE1144" s="10" t="str">
        <f t="shared" si="359"/>
        <v>3_post sample third tertile</v>
      </c>
      <c r="AF1144" t="s">
        <v>82</v>
      </c>
      <c r="AG1144" t="s">
        <v>75</v>
      </c>
      <c r="AH1144" t="s">
        <v>78</v>
      </c>
      <c r="AI1144" t="s">
        <v>122</v>
      </c>
      <c r="AJ1144" t="s">
        <v>122</v>
      </c>
      <c r="AK1144" t="str">
        <f>VLOOKUP(MID($AR1144,1,255),country_lookup!$B:$F,2,FALSE)</f>
        <v>3_AsiaPac</v>
      </c>
      <c r="AL1144" t="str">
        <f>VLOOKUP(MID($AR1144,1,255),country_lookup!$B:$F,3,FALSE)</f>
        <v>2_developing</v>
      </c>
      <c r="AM1144" t="str">
        <f>VLOOKUP(MID($AR1144,1,255),country_lookup!$B:$F,4,FALSE)</f>
        <v>2_non_western</v>
      </c>
      <c r="AN1144" t="str">
        <f>VLOOKUP(MID($AR1144,1,255),country_lookup!$B:$F,5,FALSE)</f>
        <v>2_civil law</v>
      </c>
      <c r="AO1144" s="10" t="str">
        <f>VLOOKUP(MID($AS1144,1,255),source_lookup!$B:$K,4,FALSE)</f>
        <v>0_published</v>
      </c>
      <c r="AP1144" s="10" t="str">
        <f>VLOOKUP(MID($AS1144,1,255),source_lookup!$B:$K,6,FALSE)</f>
        <v>1_VHB high</v>
      </c>
      <c r="AQ1144" s="10" t="str">
        <f>VLOOKUP(MID($AS1144,1,255),source_lookup!$B:$K,10,FALSE)</f>
        <v>2_sust</v>
      </c>
      <c r="AR1144" t="s">
        <v>94</v>
      </c>
      <c r="AS1144" t="s">
        <v>179</v>
      </c>
    </row>
    <row r="1145" spans="1:45" x14ac:dyDescent="0.3">
      <c r="A1145" t="s">
        <v>56</v>
      </c>
      <c r="B1145">
        <v>1144</v>
      </c>
      <c r="C1145" s="1">
        <v>-3.0417499939786041E-2</v>
      </c>
      <c r="D1145" s="2">
        <v>1067</v>
      </c>
      <c r="E1145" s="4">
        <v>7469</v>
      </c>
      <c r="F1145" s="4" t="s">
        <v>346</v>
      </c>
      <c r="G1145" s="4" t="s">
        <v>346</v>
      </c>
      <c r="H1145" t="s">
        <v>77</v>
      </c>
      <c r="I1145" t="s">
        <v>350</v>
      </c>
      <c r="J1145" s="3">
        <v>2013</v>
      </c>
      <c r="K1145" s="3">
        <v>2019</v>
      </c>
      <c r="L1145" s="6">
        <f t="shared" si="351"/>
        <v>2016</v>
      </c>
      <c r="M1145" s="6">
        <f t="shared" si="352"/>
        <v>2016</v>
      </c>
      <c r="N1145" s="7">
        <f t="shared" si="340"/>
        <v>0.5714285714285714</v>
      </c>
      <c r="O1145" s="7">
        <f t="shared" si="341"/>
        <v>0.42857142857142855</v>
      </c>
      <c r="P1145" s="7">
        <f t="shared" si="342"/>
        <v>0.2857142857142857</v>
      </c>
      <c r="Q1145" s="7">
        <f t="shared" si="353"/>
        <v>0.14285714285714285</v>
      </c>
      <c r="R1145" s="10" t="str">
        <f t="shared" si="343"/>
        <v>1_Post</v>
      </c>
      <c r="S1145" s="10" t="str">
        <f t="shared" si="344"/>
        <v>1_Post</v>
      </c>
      <c r="T1145" s="10" t="str">
        <f t="shared" si="345"/>
        <v>1_Post</v>
      </c>
      <c r="U1145" s="10" t="str">
        <f t="shared" si="346"/>
        <v>1_Post</v>
      </c>
      <c r="V1145" s="10" t="str">
        <f t="shared" si="354"/>
        <v>0_Pre</v>
      </c>
      <c r="W1145" s="10" t="str">
        <f t="shared" si="347"/>
        <v>straddle</v>
      </c>
      <c r="X1145" s="10" t="str">
        <f t="shared" si="348"/>
        <v>0_Pre</v>
      </c>
      <c r="Y1145" s="10" t="str">
        <f t="shared" si="349"/>
        <v>0_Pre</v>
      </c>
      <c r="Z1145" s="10" t="str">
        <f t="shared" si="350"/>
        <v>0_Pre</v>
      </c>
      <c r="AA1145" s="10" t="str">
        <f t="shared" si="355"/>
        <v>1_Post</v>
      </c>
      <c r="AB1145" s="10" t="str">
        <f t="shared" si="356"/>
        <v>1_Post</v>
      </c>
      <c r="AC1145" s="10" t="str">
        <f t="shared" si="357"/>
        <v>1_Post</v>
      </c>
      <c r="AD1145" s="10" t="str">
        <f t="shared" si="358"/>
        <v>2_post sample median</v>
      </c>
      <c r="AE1145" s="10" t="str">
        <f t="shared" si="359"/>
        <v>3_post sample third tertile</v>
      </c>
      <c r="AF1145" t="s">
        <v>82</v>
      </c>
      <c r="AG1145" t="s">
        <v>75</v>
      </c>
      <c r="AH1145" t="s">
        <v>78</v>
      </c>
      <c r="AI1145" t="s">
        <v>122</v>
      </c>
      <c r="AJ1145" t="s">
        <v>122</v>
      </c>
      <c r="AK1145" t="str">
        <f>VLOOKUP(MID($AR1145,1,255),country_lookup!$B:$F,2,FALSE)</f>
        <v>3_AsiaPac</v>
      </c>
      <c r="AL1145" t="str">
        <f>VLOOKUP(MID($AR1145,1,255),country_lookup!$B:$F,3,FALSE)</f>
        <v>2_developing</v>
      </c>
      <c r="AM1145" t="str">
        <f>VLOOKUP(MID($AR1145,1,255),country_lookup!$B:$F,4,FALSE)</f>
        <v>2_non_western</v>
      </c>
      <c r="AN1145" t="str">
        <f>VLOOKUP(MID($AR1145,1,255),country_lookup!$B:$F,5,FALSE)</f>
        <v>2_civil law</v>
      </c>
      <c r="AO1145" s="10" t="str">
        <f>VLOOKUP(MID($AS1145,1,255),source_lookup!$B:$K,4,FALSE)</f>
        <v>0_published</v>
      </c>
      <c r="AP1145" s="10" t="str">
        <f>VLOOKUP(MID($AS1145,1,255),source_lookup!$B:$K,6,FALSE)</f>
        <v>1_VHB high</v>
      </c>
      <c r="AQ1145" s="10" t="str">
        <f>VLOOKUP(MID($AS1145,1,255),source_lookup!$B:$K,10,FALSE)</f>
        <v>2_sust</v>
      </c>
      <c r="AR1145" t="s">
        <v>94</v>
      </c>
      <c r="AS1145" t="s">
        <v>179</v>
      </c>
    </row>
    <row r="1146" spans="1:45" x14ac:dyDescent="0.3">
      <c r="A1146" t="s">
        <v>56</v>
      </c>
      <c r="B1146">
        <v>1145</v>
      </c>
      <c r="C1146" s="1">
        <v>-2.6025804042585338E-2</v>
      </c>
      <c r="D1146" s="2">
        <v>1067</v>
      </c>
      <c r="E1146" s="4">
        <v>7469</v>
      </c>
      <c r="F1146" s="4" t="s">
        <v>346</v>
      </c>
      <c r="G1146" s="4" t="s">
        <v>346</v>
      </c>
      <c r="H1146" t="s">
        <v>77</v>
      </c>
      <c r="I1146" t="s">
        <v>350</v>
      </c>
      <c r="J1146" s="3">
        <v>2013</v>
      </c>
      <c r="K1146" s="3">
        <v>2019</v>
      </c>
      <c r="L1146" s="6">
        <f t="shared" si="351"/>
        <v>2016</v>
      </c>
      <c r="M1146" s="6">
        <f t="shared" si="352"/>
        <v>2016</v>
      </c>
      <c r="N1146" s="7">
        <f t="shared" si="340"/>
        <v>0.5714285714285714</v>
      </c>
      <c r="O1146" s="7">
        <f t="shared" si="341"/>
        <v>0.42857142857142855</v>
      </c>
      <c r="P1146" s="7">
        <f t="shared" si="342"/>
        <v>0.2857142857142857</v>
      </c>
      <c r="Q1146" s="7">
        <f t="shared" si="353"/>
        <v>0.14285714285714285</v>
      </c>
      <c r="R1146" s="10" t="str">
        <f t="shared" si="343"/>
        <v>1_Post</v>
      </c>
      <c r="S1146" s="10" t="str">
        <f t="shared" si="344"/>
        <v>1_Post</v>
      </c>
      <c r="T1146" s="10" t="str">
        <f t="shared" si="345"/>
        <v>1_Post</v>
      </c>
      <c r="U1146" s="10" t="str">
        <f t="shared" si="346"/>
        <v>1_Post</v>
      </c>
      <c r="V1146" s="10" t="str">
        <f t="shared" si="354"/>
        <v>0_Pre</v>
      </c>
      <c r="W1146" s="10" t="str">
        <f t="shared" si="347"/>
        <v>straddle</v>
      </c>
      <c r="X1146" s="10" t="str">
        <f t="shared" si="348"/>
        <v>0_Pre</v>
      </c>
      <c r="Y1146" s="10" t="str">
        <f t="shared" si="349"/>
        <v>0_Pre</v>
      </c>
      <c r="Z1146" s="10" t="str">
        <f t="shared" si="350"/>
        <v>0_Pre</v>
      </c>
      <c r="AA1146" s="10" t="str">
        <f t="shared" si="355"/>
        <v>1_Post</v>
      </c>
      <c r="AB1146" s="10" t="str">
        <f t="shared" si="356"/>
        <v>1_Post</v>
      </c>
      <c r="AC1146" s="10" t="str">
        <f t="shared" si="357"/>
        <v>1_Post</v>
      </c>
      <c r="AD1146" s="10" t="str">
        <f t="shared" si="358"/>
        <v>2_post sample median</v>
      </c>
      <c r="AE1146" s="10" t="str">
        <f t="shared" si="359"/>
        <v>3_post sample third tertile</v>
      </c>
      <c r="AF1146" t="s">
        <v>82</v>
      </c>
      <c r="AG1146" t="s">
        <v>75</v>
      </c>
      <c r="AH1146" t="s">
        <v>78</v>
      </c>
      <c r="AI1146" t="s">
        <v>122</v>
      </c>
      <c r="AJ1146" t="s">
        <v>122</v>
      </c>
      <c r="AK1146" t="str">
        <f>VLOOKUP(MID($AR1146,1,255),country_lookup!$B:$F,2,FALSE)</f>
        <v>3_AsiaPac</v>
      </c>
      <c r="AL1146" t="str">
        <f>VLOOKUP(MID($AR1146,1,255),country_lookup!$B:$F,3,FALSE)</f>
        <v>2_developing</v>
      </c>
      <c r="AM1146" t="str">
        <f>VLOOKUP(MID($AR1146,1,255),country_lookup!$B:$F,4,FALSE)</f>
        <v>2_non_western</v>
      </c>
      <c r="AN1146" t="str">
        <f>VLOOKUP(MID($AR1146,1,255),country_lookup!$B:$F,5,FALSE)</f>
        <v>2_civil law</v>
      </c>
      <c r="AO1146" s="10" t="str">
        <f>VLOOKUP(MID($AS1146,1,255),source_lookup!$B:$K,4,FALSE)</f>
        <v>0_published</v>
      </c>
      <c r="AP1146" s="10" t="str">
        <f>VLOOKUP(MID($AS1146,1,255),source_lookup!$B:$K,6,FALSE)</f>
        <v>1_VHB high</v>
      </c>
      <c r="AQ1146" s="10" t="str">
        <f>VLOOKUP(MID($AS1146,1,255),source_lookup!$B:$K,10,FALSE)</f>
        <v>2_sust</v>
      </c>
      <c r="AR1146" t="s">
        <v>94</v>
      </c>
      <c r="AS1146" t="s">
        <v>179</v>
      </c>
    </row>
    <row r="1147" spans="1:45" x14ac:dyDescent="0.3">
      <c r="A1147" t="s">
        <v>56</v>
      </c>
      <c r="B1147">
        <v>1146</v>
      </c>
      <c r="C1147" s="1">
        <v>-2.336692378835948E-2</v>
      </c>
      <c r="D1147" s="2">
        <v>1067</v>
      </c>
      <c r="E1147" s="4">
        <v>7469</v>
      </c>
      <c r="F1147" s="4" t="s">
        <v>346</v>
      </c>
      <c r="G1147" s="4" t="s">
        <v>346</v>
      </c>
      <c r="H1147" t="s">
        <v>77</v>
      </c>
      <c r="I1147" t="s">
        <v>350</v>
      </c>
      <c r="J1147" s="3">
        <v>2013</v>
      </c>
      <c r="K1147" s="3">
        <v>2019</v>
      </c>
      <c r="L1147" s="6">
        <f t="shared" si="351"/>
        <v>2016</v>
      </c>
      <c r="M1147" s="6">
        <f t="shared" si="352"/>
        <v>2016</v>
      </c>
      <c r="N1147" s="7">
        <f t="shared" si="340"/>
        <v>0.5714285714285714</v>
      </c>
      <c r="O1147" s="7">
        <f t="shared" si="341"/>
        <v>0.42857142857142855</v>
      </c>
      <c r="P1147" s="7">
        <f t="shared" si="342"/>
        <v>0.2857142857142857</v>
      </c>
      <c r="Q1147" s="7">
        <f t="shared" si="353"/>
        <v>0.14285714285714285</v>
      </c>
      <c r="R1147" s="10" t="str">
        <f t="shared" si="343"/>
        <v>1_Post</v>
      </c>
      <c r="S1147" s="10" t="str">
        <f t="shared" si="344"/>
        <v>1_Post</v>
      </c>
      <c r="T1147" s="10" t="str">
        <f t="shared" si="345"/>
        <v>1_Post</v>
      </c>
      <c r="U1147" s="10" t="str">
        <f t="shared" si="346"/>
        <v>1_Post</v>
      </c>
      <c r="V1147" s="10" t="str">
        <f t="shared" si="354"/>
        <v>0_Pre</v>
      </c>
      <c r="W1147" s="10" t="str">
        <f t="shared" si="347"/>
        <v>straddle</v>
      </c>
      <c r="X1147" s="10" t="str">
        <f t="shared" si="348"/>
        <v>0_Pre</v>
      </c>
      <c r="Y1147" s="10" t="str">
        <f t="shared" si="349"/>
        <v>0_Pre</v>
      </c>
      <c r="Z1147" s="10" t="str">
        <f t="shared" si="350"/>
        <v>0_Pre</v>
      </c>
      <c r="AA1147" s="10" t="str">
        <f t="shared" si="355"/>
        <v>1_Post</v>
      </c>
      <c r="AB1147" s="10" t="str">
        <f t="shared" si="356"/>
        <v>1_Post</v>
      </c>
      <c r="AC1147" s="10" t="str">
        <f t="shared" si="357"/>
        <v>1_Post</v>
      </c>
      <c r="AD1147" s="10" t="str">
        <f t="shared" si="358"/>
        <v>2_post sample median</v>
      </c>
      <c r="AE1147" s="10" t="str">
        <f t="shared" si="359"/>
        <v>3_post sample third tertile</v>
      </c>
      <c r="AF1147" t="s">
        <v>82</v>
      </c>
      <c r="AG1147" t="s">
        <v>75</v>
      </c>
      <c r="AH1147" t="s">
        <v>78</v>
      </c>
      <c r="AI1147" t="s">
        <v>122</v>
      </c>
      <c r="AJ1147" t="s">
        <v>122</v>
      </c>
      <c r="AK1147" t="str">
        <f>VLOOKUP(MID($AR1147,1,255),country_lookup!$B:$F,2,FALSE)</f>
        <v>3_AsiaPac</v>
      </c>
      <c r="AL1147" t="str">
        <f>VLOOKUP(MID($AR1147,1,255),country_lookup!$B:$F,3,FALSE)</f>
        <v>2_developing</v>
      </c>
      <c r="AM1147" t="str">
        <f>VLOOKUP(MID($AR1147,1,255),country_lookup!$B:$F,4,FALSE)</f>
        <v>2_non_western</v>
      </c>
      <c r="AN1147" t="str">
        <f>VLOOKUP(MID($AR1147,1,255),country_lookup!$B:$F,5,FALSE)</f>
        <v>2_civil law</v>
      </c>
      <c r="AO1147" s="10" t="str">
        <f>VLOOKUP(MID($AS1147,1,255),source_lookup!$B:$K,4,FALSE)</f>
        <v>0_published</v>
      </c>
      <c r="AP1147" s="10" t="str">
        <f>VLOOKUP(MID($AS1147,1,255),source_lookup!$B:$K,6,FALSE)</f>
        <v>1_VHB high</v>
      </c>
      <c r="AQ1147" s="10" t="str">
        <f>VLOOKUP(MID($AS1147,1,255),source_lookup!$B:$K,10,FALSE)</f>
        <v>2_sust</v>
      </c>
      <c r="AR1147" t="s">
        <v>94</v>
      </c>
      <c r="AS1147" t="s">
        <v>179</v>
      </c>
    </row>
    <row r="1148" spans="1:45" x14ac:dyDescent="0.3">
      <c r="A1148" t="s">
        <v>56</v>
      </c>
      <c r="B1148">
        <v>1147</v>
      </c>
      <c r="C1148" s="1">
        <v>-3.0070847815858594E-2</v>
      </c>
      <c r="D1148" s="2">
        <v>1067</v>
      </c>
      <c r="E1148" s="4">
        <v>7469</v>
      </c>
      <c r="F1148" s="4" t="s">
        <v>346</v>
      </c>
      <c r="G1148" s="4" t="s">
        <v>346</v>
      </c>
      <c r="H1148" t="s">
        <v>77</v>
      </c>
      <c r="I1148" t="s">
        <v>350</v>
      </c>
      <c r="J1148" s="3">
        <v>2013</v>
      </c>
      <c r="K1148" s="3">
        <v>2019</v>
      </c>
      <c r="L1148" s="6">
        <f t="shared" si="351"/>
        <v>2016</v>
      </c>
      <c r="M1148" s="6">
        <f t="shared" si="352"/>
        <v>2016</v>
      </c>
      <c r="N1148" s="7">
        <f t="shared" si="340"/>
        <v>0.5714285714285714</v>
      </c>
      <c r="O1148" s="7">
        <f t="shared" si="341"/>
        <v>0.42857142857142855</v>
      </c>
      <c r="P1148" s="7">
        <f t="shared" si="342"/>
        <v>0.2857142857142857</v>
      </c>
      <c r="Q1148" s="7">
        <f t="shared" si="353"/>
        <v>0.14285714285714285</v>
      </c>
      <c r="R1148" s="10" t="str">
        <f t="shared" si="343"/>
        <v>1_Post</v>
      </c>
      <c r="S1148" s="10" t="str">
        <f t="shared" si="344"/>
        <v>1_Post</v>
      </c>
      <c r="T1148" s="10" t="str">
        <f t="shared" si="345"/>
        <v>1_Post</v>
      </c>
      <c r="U1148" s="10" t="str">
        <f t="shared" si="346"/>
        <v>1_Post</v>
      </c>
      <c r="V1148" s="10" t="str">
        <f t="shared" si="354"/>
        <v>0_Pre</v>
      </c>
      <c r="W1148" s="10" t="str">
        <f t="shared" si="347"/>
        <v>straddle</v>
      </c>
      <c r="X1148" s="10" t="str">
        <f t="shared" si="348"/>
        <v>0_Pre</v>
      </c>
      <c r="Y1148" s="10" t="str">
        <f t="shared" si="349"/>
        <v>0_Pre</v>
      </c>
      <c r="Z1148" s="10" t="str">
        <f t="shared" si="350"/>
        <v>0_Pre</v>
      </c>
      <c r="AA1148" s="10" t="str">
        <f t="shared" si="355"/>
        <v>1_Post</v>
      </c>
      <c r="AB1148" s="10" t="str">
        <f t="shared" si="356"/>
        <v>1_Post</v>
      </c>
      <c r="AC1148" s="10" t="str">
        <f t="shared" si="357"/>
        <v>1_Post</v>
      </c>
      <c r="AD1148" s="10" t="str">
        <f t="shared" si="358"/>
        <v>2_post sample median</v>
      </c>
      <c r="AE1148" s="10" t="str">
        <f t="shared" si="359"/>
        <v>3_post sample third tertile</v>
      </c>
      <c r="AF1148" t="s">
        <v>82</v>
      </c>
      <c r="AG1148" t="s">
        <v>75</v>
      </c>
      <c r="AH1148" t="s">
        <v>78</v>
      </c>
      <c r="AI1148" t="s">
        <v>122</v>
      </c>
      <c r="AJ1148" t="s">
        <v>122</v>
      </c>
      <c r="AK1148" t="str">
        <f>VLOOKUP(MID($AR1148,1,255),country_lookup!$B:$F,2,FALSE)</f>
        <v>3_AsiaPac</v>
      </c>
      <c r="AL1148" t="str">
        <f>VLOOKUP(MID($AR1148,1,255),country_lookup!$B:$F,3,FALSE)</f>
        <v>2_developing</v>
      </c>
      <c r="AM1148" t="str">
        <f>VLOOKUP(MID($AR1148,1,255),country_lookup!$B:$F,4,FALSE)</f>
        <v>2_non_western</v>
      </c>
      <c r="AN1148" t="str">
        <f>VLOOKUP(MID($AR1148,1,255),country_lookup!$B:$F,5,FALSE)</f>
        <v>2_civil law</v>
      </c>
      <c r="AO1148" s="10" t="str">
        <f>VLOOKUP(MID($AS1148,1,255),source_lookup!$B:$K,4,FALSE)</f>
        <v>0_published</v>
      </c>
      <c r="AP1148" s="10" t="str">
        <f>VLOOKUP(MID($AS1148,1,255),source_lookup!$B:$K,6,FALSE)</f>
        <v>1_VHB high</v>
      </c>
      <c r="AQ1148" s="10" t="str">
        <f>VLOOKUP(MID($AS1148,1,255),source_lookup!$B:$K,10,FALSE)</f>
        <v>2_sust</v>
      </c>
      <c r="AR1148" t="s">
        <v>94</v>
      </c>
      <c r="AS1148" t="s">
        <v>179</v>
      </c>
    </row>
    <row r="1149" spans="1:45" x14ac:dyDescent="0.3">
      <c r="A1149" t="s">
        <v>56</v>
      </c>
      <c r="B1149">
        <v>1148</v>
      </c>
      <c r="C1149" s="1">
        <v>-2.7066088227766311E-2</v>
      </c>
      <c r="D1149" s="2">
        <v>1067</v>
      </c>
      <c r="E1149" s="4">
        <v>7469</v>
      </c>
      <c r="F1149" s="4" t="s">
        <v>346</v>
      </c>
      <c r="G1149" s="4" t="s">
        <v>346</v>
      </c>
      <c r="H1149" t="s">
        <v>77</v>
      </c>
      <c r="I1149" t="s">
        <v>350</v>
      </c>
      <c r="J1149" s="3">
        <v>2013</v>
      </c>
      <c r="K1149" s="3">
        <v>2019</v>
      </c>
      <c r="L1149" s="6">
        <f t="shared" si="351"/>
        <v>2016</v>
      </c>
      <c r="M1149" s="6">
        <f t="shared" si="352"/>
        <v>2016</v>
      </c>
      <c r="N1149" s="7">
        <f t="shared" si="340"/>
        <v>0.5714285714285714</v>
      </c>
      <c r="O1149" s="7">
        <f t="shared" si="341"/>
        <v>0.42857142857142855</v>
      </c>
      <c r="P1149" s="7">
        <f t="shared" si="342"/>
        <v>0.2857142857142857</v>
      </c>
      <c r="Q1149" s="7">
        <f t="shared" si="353"/>
        <v>0.14285714285714285</v>
      </c>
      <c r="R1149" s="10" t="str">
        <f t="shared" si="343"/>
        <v>1_Post</v>
      </c>
      <c r="S1149" s="10" t="str">
        <f t="shared" si="344"/>
        <v>1_Post</v>
      </c>
      <c r="T1149" s="10" t="str">
        <f t="shared" si="345"/>
        <v>1_Post</v>
      </c>
      <c r="U1149" s="10" t="str">
        <f t="shared" si="346"/>
        <v>1_Post</v>
      </c>
      <c r="V1149" s="10" t="str">
        <f t="shared" si="354"/>
        <v>0_Pre</v>
      </c>
      <c r="W1149" s="10" t="str">
        <f t="shared" si="347"/>
        <v>straddle</v>
      </c>
      <c r="X1149" s="10" t="str">
        <f t="shared" si="348"/>
        <v>0_Pre</v>
      </c>
      <c r="Y1149" s="10" t="str">
        <f t="shared" si="349"/>
        <v>0_Pre</v>
      </c>
      <c r="Z1149" s="10" t="str">
        <f t="shared" si="350"/>
        <v>0_Pre</v>
      </c>
      <c r="AA1149" s="10" t="str">
        <f t="shared" si="355"/>
        <v>1_Post</v>
      </c>
      <c r="AB1149" s="10" t="str">
        <f t="shared" si="356"/>
        <v>1_Post</v>
      </c>
      <c r="AC1149" s="10" t="str">
        <f t="shared" si="357"/>
        <v>1_Post</v>
      </c>
      <c r="AD1149" s="10" t="str">
        <f t="shared" si="358"/>
        <v>2_post sample median</v>
      </c>
      <c r="AE1149" s="10" t="str">
        <f t="shared" si="359"/>
        <v>3_post sample third tertile</v>
      </c>
      <c r="AF1149" t="s">
        <v>82</v>
      </c>
      <c r="AG1149" t="s">
        <v>75</v>
      </c>
      <c r="AH1149" t="s">
        <v>78</v>
      </c>
      <c r="AI1149" t="s">
        <v>122</v>
      </c>
      <c r="AJ1149" t="s">
        <v>122</v>
      </c>
      <c r="AK1149" t="str">
        <f>VLOOKUP(MID($AR1149,1,255),country_lookup!$B:$F,2,FALSE)</f>
        <v>3_AsiaPac</v>
      </c>
      <c r="AL1149" t="str">
        <f>VLOOKUP(MID($AR1149,1,255),country_lookup!$B:$F,3,FALSE)</f>
        <v>2_developing</v>
      </c>
      <c r="AM1149" t="str">
        <f>VLOOKUP(MID($AR1149,1,255),country_lookup!$B:$F,4,FALSE)</f>
        <v>2_non_western</v>
      </c>
      <c r="AN1149" t="str">
        <f>VLOOKUP(MID($AR1149,1,255),country_lookup!$B:$F,5,FALSE)</f>
        <v>2_civil law</v>
      </c>
      <c r="AO1149" s="10" t="str">
        <f>VLOOKUP(MID($AS1149,1,255),source_lookup!$B:$K,4,FALSE)</f>
        <v>0_published</v>
      </c>
      <c r="AP1149" s="10" t="str">
        <f>VLOOKUP(MID($AS1149,1,255),source_lookup!$B:$K,6,FALSE)</f>
        <v>1_VHB high</v>
      </c>
      <c r="AQ1149" s="10" t="str">
        <f>VLOOKUP(MID($AS1149,1,255),source_lookup!$B:$K,10,FALSE)</f>
        <v>2_sust</v>
      </c>
      <c r="AR1149" t="s">
        <v>94</v>
      </c>
      <c r="AS1149" t="s">
        <v>179</v>
      </c>
    </row>
    <row r="1150" spans="1:45" x14ac:dyDescent="0.3">
      <c r="A1150" t="s">
        <v>56</v>
      </c>
      <c r="B1150">
        <v>1149</v>
      </c>
      <c r="C1150" s="1">
        <v>-2.8452996447248521E-2</v>
      </c>
      <c r="D1150" s="2">
        <v>1067</v>
      </c>
      <c r="E1150" s="4">
        <v>7469</v>
      </c>
      <c r="F1150" s="4" t="s">
        <v>346</v>
      </c>
      <c r="G1150" s="4" t="s">
        <v>346</v>
      </c>
      <c r="H1150" t="s">
        <v>77</v>
      </c>
      <c r="I1150" t="s">
        <v>350</v>
      </c>
      <c r="J1150" s="3">
        <v>2013</v>
      </c>
      <c r="K1150" s="3">
        <v>2019</v>
      </c>
      <c r="L1150" s="6">
        <f t="shared" si="351"/>
        <v>2016</v>
      </c>
      <c r="M1150" s="6">
        <f t="shared" si="352"/>
        <v>2016</v>
      </c>
      <c r="N1150" s="7">
        <f t="shared" si="340"/>
        <v>0.5714285714285714</v>
      </c>
      <c r="O1150" s="7">
        <f t="shared" si="341"/>
        <v>0.42857142857142855</v>
      </c>
      <c r="P1150" s="7">
        <f t="shared" si="342"/>
        <v>0.2857142857142857</v>
      </c>
      <c r="Q1150" s="7">
        <f t="shared" si="353"/>
        <v>0.14285714285714285</v>
      </c>
      <c r="R1150" s="10" t="str">
        <f t="shared" si="343"/>
        <v>1_Post</v>
      </c>
      <c r="S1150" s="10" t="str">
        <f t="shared" si="344"/>
        <v>1_Post</v>
      </c>
      <c r="T1150" s="10" t="str">
        <f t="shared" si="345"/>
        <v>1_Post</v>
      </c>
      <c r="U1150" s="10" t="str">
        <f t="shared" si="346"/>
        <v>1_Post</v>
      </c>
      <c r="V1150" s="10" t="str">
        <f t="shared" si="354"/>
        <v>0_Pre</v>
      </c>
      <c r="W1150" s="10" t="str">
        <f t="shared" si="347"/>
        <v>straddle</v>
      </c>
      <c r="X1150" s="10" t="str">
        <f t="shared" si="348"/>
        <v>0_Pre</v>
      </c>
      <c r="Y1150" s="10" t="str">
        <f t="shared" si="349"/>
        <v>0_Pre</v>
      </c>
      <c r="Z1150" s="10" t="str">
        <f t="shared" si="350"/>
        <v>0_Pre</v>
      </c>
      <c r="AA1150" s="10" t="str">
        <f t="shared" si="355"/>
        <v>1_Post</v>
      </c>
      <c r="AB1150" s="10" t="str">
        <f t="shared" si="356"/>
        <v>1_Post</v>
      </c>
      <c r="AC1150" s="10" t="str">
        <f t="shared" si="357"/>
        <v>1_Post</v>
      </c>
      <c r="AD1150" s="10" t="str">
        <f t="shared" si="358"/>
        <v>2_post sample median</v>
      </c>
      <c r="AE1150" s="10" t="str">
        <f t="shared" si="359"/>
        <v>3_post sample third tertile</v>
      </c>
      <c r="AF1150" t="s">
        <v>82</v>
      </c>
      <c r="AG1150" t="s">
        <v>75</v>
      </c>
      <c r="AH1150" t="s">
        <v>78</v>
      </c>
      <c r="AI1150" t="s">
        <v>122</v>
      </c>
      <c r="AJ1150" t="s">
        <v>122</v>
      </c>
      <c r="AK1150" t="str">
        <f>VLOOKUP(MID($AR1150,1,255),country_lookup!$B:$F,2,FALSE)</f>
        <v>3_AsiaPac</v>
      </c>
      <c r="AL1150" t="str">
        <f>VLOOKUP(MID($AR1150,1,255),country_lookup!$B:$F,3,FALSE)</f>
        <v>2_developing</v>
      </c>
      <c r="AM1150" t="str">
        <f>VLOOKUP(MID($AR1150,1,255),country_lookup!$B:$F,4,FALSE)</f>
        <v>2_non_western</v>
      </c>
      <c r="AN1150" t="str">
        <f>VLOOKUP(MID($AR1150,1,255),country_lookup!$B:$F,5,FALSE)</f>
        <v>2_civil law</v>
      </c>
      <c r="AO1150" s="10" t="str">
        <f>VLOOKUP(MID($AS1150,1,255),source_lookup!$B:$K,4,FALSE)</f>
        <v>0_published</v>
      </c>
      <c r="AP1150" s="10" t="str">
        <f>VLOOKUP(MID($AS1150,1,255),source_lookup!$B:$K,6,FALSE)</f>
        <v>1_VHB high</v>
      </c>
      <c r="AQ1150" s="10" t="str">
        <f>VLOOKUP(MID($AS1150,1,255),source_lookup!$B:$K,10,FALSE)</f>
        <v>2_sust</v>
      </c>
      <c r="AR1150" t="s">
        <v>94</v>
      </c>
      <c r="AS1150" t="s">
        <v>179</v>
      </c>
    </row>
    <row r="1151" spans="1:45" x14ac:dyDescent="0.3">
      <c r="A1151" t="s">
        <v>56</v>
      </c>
      <c r="B1151">
        <v>1150</v>
      </c>
      <c r="C1151" s="1">
        <v>-2.4060594819672692E-2</v>
      </c>
      <c r="D1151" s="2">
        <v>1067</v>
      </c>
      <c r="E1151" s="4">
        <v>7469</v>
      </c>
      <c r="F1151" s="4" t="s">
        <v>346</v>
      </c>
      <c r="G1151" s="4" t="s">
        <v>346</v>
      </c>
      <c r="H1151" t="s">
        <v>77</v>
      </c>
      <c r="I1151" t="s">
        <v>350</v>
      </c>
      <c r="J1151" s="3">
        <v>2013</v>
      </c>
      <c r="K1151" s="3">
        <v>2019</v>
      </c>
      <c r="L1151" s="6">
        <f t="shared" si="351"/>
        <v>2016</v>
      </c>
      <c r="M1151" s="6">
        <f t="shared" si="352"/>
        <v>2016</v>
      </c>
      <c r="N1151" s="7">
        <f t="shared" si="340"/>
        <v>0.5714285714285714</v>
      </c>
      <c r="O1151" s="7">
        <f t="shared" si="341"/>
        <v>0.42857142857142855</v>
      </c>
      <c r="P1151" s="7">
        <f t="shared" si="342"/>
        <v>0.2857142857142857</v>
      </c>
      <c r="Q1151" s="7">
        <f t="shared" si="353"/>
        <v>0.14285714285714285</v>
      </c>
      <c r="R1151" s="10" t="str">
        <f t="shared" si="343"/>
        <v>1_Post</v>
      </c>
      <c r="S1151" s="10" t="str">
        <f t="shared" si="344"/>
        <v>1_Post</v>
      </c>
      <c r="T1151" s="10" t="str">
        <f t="shared" si="345"/>
        <v>1_Post</v>
      </c>
      <c r="U1151" s="10" t="str">
        <f t="shared" si="346"/>
        <v>1_Post</v>
      </c>
      <c r="V1151" s="10" t="str">
        <f t="shared" si="354"/>
        <v>0_Pre</v>
      </c>
      <c r="W1151" s="10" t="str">
        <f t="shared" si="347"/>
        <v>straddle</v>
      </c>
      <c r="X1151" s="10" t="str">
        <f t="shared" si="348"/>
        <v>0_Pre</v>
      </c>
      <c r="Y1151" s="10" t="str">
        <f t="shared" si="349"/>
        <v>0_Pre</v>
      </c>
      <c r="Z1151" s="10" t="str">
        <f t="shared" si="350"/>
        <v>0_Pre</v>
      </c>
      <c r="AA1151" s="10" t="str">
        <f t="shared" si="355"/>
        <v>1_Post</v>
      </c>
      <c r="AB1151" s="10" t="str">
        <f t="shared" si="356"/>
        <v>1_Post</v>
      </c>
      <c r="AC1151" s="10" t="str">
        <f t="shared" si="357"/>
        <v>1_Post</v>
      </c>
      <c r="AD1151" s="10" t="str">
        <f t="shared" si="358"/>
        <v>2_post sample median</v>
      </c>
      <c r="AE1151" s="10" t="str">
        <f t="shared" si="359"/>
        <v>3_post sample third tertile</v>
      </c>
      <c r="AF1151" t="s">
        <v>82</v>
      </c>
      <c r="AG1151" t="s">
        <v>75</v>
      </c>
      <c r="AH1151" t="s">
        <v>78</v>
      </c>
      <c r="AI1151" t="s">
        <v>122</v>
      </c>
      <c r="AJ1151" t="s">
        <v>122</v>
      </c>
      <c r="AK1151" t="str">
        <f>VLOOKUP(MID($AR1151,1,255),country_lookup!$B:$F,2,FALSE)</f>
        <v>3_AsiaPac</v>
      </c>
      <c r="AL1151" t="str">
        <f>VLOOKUP(MID($AR1151,1,255),country_lookup!$B:$F,3,FALSE)</f>
        <v>2_developing</v>
      </c>
      <c r="AM1151" t="str">
        <f>VLOOKUP(MID($AR1151,1,255),country_lookup!$B:$F,4,FALSE)</f>
        <v>2_non_western</v>
      </c>
      <c r="AN1151" t="str">
        <f>VLOOKUP(MID($AR1151,1,255),country_lookup!$B:$F,5,FALSE)</f>
        <v>2_civil law</v>
      </c>
      <c r="AO1151" s="10" t="str">
        <f>VLOOKUP(MID($AS1151,1,255),source_lookup!$B:$K,4,FALSE)</f>
        <v>0_published</v>
      </c>
      <c r="AP1151" s="10" t="str">
        <f>VLOOKUP(MID($AS1151,1,255),source_lookup!$B:$K,6,FALSE)</f>
        <v>1_VHB high</v>
      </c>
      <c r="AQ1151" s="10" t="str">
        <f>VLOOKUP(MID($AS1151,1,255),source_lookup!$B:$K,10,FALSE)</f>
        <v>2_sust</v>
      </c>
      <c r="AR1151" t="s">
        <v>94</v>
      </c>
      <c r="AS1151" t="s">
        <v>179</v>
      </c>
    </row>
    <row r="1152" spans="1:45" x14ac:dyDescent="0.3">
      <c r="A1152" t="s">
        <v>56</v>
      </c>
      <c r="B1152">
        <v>1151</v>
      </c>
      <c r="C1152" s="1">
        <v>-3.8230225169108206E-2</v>
      </c>
      <c r="D1152" s="2">
        <v>539</v>
      </c>
      <c r="E1152" s="4">
        <v>3773</v>
      </c>
      <c r="F1152" s="4" t="s">
        <v>346</v>
      </c>
      <c r="G1152" s="4" t="s">
        <v>346</v>
      </c>
      <c r="H1152" t="s">
        <v>77</v>
      </c>
      <c r="I1152" t="s">
        <v>350</v>
      </c>
      <c r="J1152" s="3">
        <v>2013</v>
      </c>
      <c r="K1152" s="3">
        <v>2019</v>
      </c>
      <c r="L1152" s="6">
        <f t="shared" si="351"/>
        <v>2016</v>
      </c>
      <c r="M1152" s="6">
        <f t="shared" si="352"/>
        <v>2016</v>
      </c>
      <c r="N1152" s="7">
        <f t="shared" si="340"/>
        <v>0.5714285714285714</v>
      </c>
      <c r="O1152" s="7">
        <f t="shared" si="341"/>
        <v>0.42857142857142855</v>
      </c>
      <c r="P1152" s="7">
        <f t="shared" si="342"/>
        <v>0.2857142857142857</v>
      </c>
      <c r="Q1152" s="7">
        <f t="shared" si="353"/>
        <v>0.14285714285714285</v>
      </c>
      <c r="R1152" s="10" t="str">
        <f t="shared" si="343"/>
        <v>1_Post</v>
      </c>
      <c r="S1152" s="10" t="str">
        <f t="shared" si="344"/>
        <v>1_Post</v>
      </c>
      <c r="T1152" s="10" t="str">
        <f t="shared" si="345"/>
        <v>1_Post</v>
      </c>
      <c r="U1152" s="10" t="str">
        <f t="shared" si="346"/>
        <v>1_Post</v>
      </c>
      <c r="V1152" s="10" t="str">
        <f t="shared" si="354"/>
        <v>0_Pre</v>
      </c>
      <c r="W1152" s="10" t="str">
        <f t="shared" si="347"/>
        <v>straddle</v>
      </c>
      <c r="X1152" s="10" t="str">
        <f t="shared" si="348"/>
        <v>0_Pre</v>
      </c>
      <c r="Y1152" s="10" t="str">
        <f t="shared" si="349"/>
        <v>0_Pre</v>
      </c>
      <c r="Z1152" s="10" t="str">
        <f t="shared" si="350"/>
        <v>0_Pre</v>
      </c>
      <c r="AA1152" s="10" t="str">
        <f t="shared" si="355"/>
        <v>1_Post</v>
      </c>
      <c r="AB1152" s="10" t="str">
        <f t="shared" si="356"/>
        <v>1_Post</v>
      </c>
      <c r="AC1152" s="10" t="str">
        <f t="shared" si="357"/>
        <v>1_Post</v>
      </c>
      <c r="AD1152" s="10" t="str">
        <f t="shared" si="358"/>
        <v>2_post sample median</v>
      </c>
      <c r="AE1152" s="10" t="str">
        <f t="shared" si="359"/>
        <v>3_post sample third tertile</v>
      </c>
      <c r="AF1152" t="s">
        <v>82</v>
      </c>
      <c r="AG1152" t="s">
        <v>75</v>
      </c>
      <c r="AH1152" t="s">
        <v>78</v>
      </c>
      <c r="AI1152" t="s">
        <v>122</v>
      </c>
      <c r="AJ1152" t="s">
        <v>122</v>
      </c>
      <c r="AK1152" t="str">
        <f>VLOOKUP(MID($AR1152,1,255),country_lookup!$B:$F,2,FALSE)</f>
        <v>3_AsiaPac</v>
      </c>
      <c r="AL1152" t="str">
        <f>VLOOKUP(MID($AR1152,1,255),country_lookup!$B:$F,3,FALSE)</f>
        <v>2_developing</v>
      </c>
      <c r="AM1152" t="str">
        <f>VLOOKUP(MID($AR1152,1,255),country_lookup!$B:$F,4,FALSE)</f>
        <v>2_non_western</v>
      </c>
      <c r="AN1152" t="str">
        <f>VLOOKUP(MID($AR1152,1,255),country_lookup!$B:$F,5,FALSE)</f>
        <v>2_civil law</v>
      </c>
      <c r="AO1152" s="10" t="str">
        <f>VLOOKUP(MID($AS1152,1,255),source_lookup!$B:$K,4,FALSE)</f>
        <v>0_published</v>
      </c>
      <c r="AP1152" s="10" t="str">
        <f>VLOOKUP(MID($AS1152,1,255),source_lookup!$B:$K,6,FALSE)</f>
        <v>1_VHB high</v>
      </c>
      <c r="AQ1152" s="10" t="str">
        <f>VLOOKUP(MID($AS1152,1,255),source_lookup!$B:$K,10,FALSE)</f>
        <v>2_sust</v>
      </c>
      <c r="AR1152" t="s">
        <v>94</v>
      </c>
      <c r="AS1152" t="s">
        <v>179</v>
      </c>
    </row>
    <row r="1153" spans="1:45" x14ac:dyDescent="0.3">
      <c r="A1153" t="s">
        <v>56</v>
      </c>
      <c r="B1153">
        <v>1152</v>
      </c>
      <c r="C1153" s="1">
        <v>-2.3515268803174533E-2</v>
      </c>
      <c r="D1153" s="2">
        <v>528</v>
      </c>
      <c r="E1153" s="4">
        <v>3696</v>
      </c>
      <c r="F1153" s="4" t="s">
        <v>346</v>
      </c>
      <c r="G1153" s="4" t="s">
        <v>346</v>
      </c>
      <c r="H1153" t="s">
        <v>77</v>
      </c>
      <c r="I1153" t="s">
        <v>350</v>
      </c>
      <c r="J1153" s="3">
        <v>2013</v>
      </c>
      <c r="K1153" s="3">
        <v>2019</v>
      </c>
      <c r="L1153" s="6">
        <f t="shared" si="351"/>
        <v>2016</v>
      </c>
      <c r="M1153" s="6">
        <f t="shared" si="352"/>
        <v>2016</v>
      </c>
      <c r="N1153" s="7">
        <f t="shared" si="340"/>
        <v>0.5714285714285714</v>
      </c>
      <c r="O1153" s="7">
        <f t="shared" si="341"/>
        <v>0.42857142857142855</v>
      </c>
      <c r="P1153" s="7">
        <f t="shared" si="342"/>
        <v>0.2857142857142857</v>
      </c>
      <c r="Q1153" s="7">
        <f t="shared" si="353"/>
        <v>0.14285714285714285</v>
      </c>
      <c r="R1153" s="10" t="str">
        <f t="shared" si="343"/>
        <v>1_Post</v>
      </c>
      <c r="S1153" s="10" t="str">
        <f t="shared" si="344"/>
        <v>1_Post</v>
      </c>
      <c r="T1153" s="10" t="str">
        <f t="shared" si="345"/>
        <v>1_Post</v>
      </c>
      <c r="U1153" s="10" t="str">
        <f t="shared" si="346"/>
        <v>1_Post</v>
      </c>
      <c r="V1153" s="10" t="str">
        <f t="shared" si="354"/>
        <v>0_Pre</v>
      </c>
      <c r="W1153" s="10" t="str">
        <f t="shared" si="347"/>
        <v>straddle</v>
      </c>
      <c r="X1153" s="10" t="str">
        <f t="shared" si="348"/>
        <v>0_Pre</v>
      </c>
      <c r="Y1153" s="10" t="str">
        <f t="shared" si="349"/>
        <v>0_Pre</v>
      </c>
      <c r="Z1153" s="10" t="str">
        <f t="shared" si="350"/>
        <v>0_Pre</v>
      </c>
      <c r="AA1153" s="10" t="str">
        <f t="shared" si="355"/>
        <v>1_Post</v>
      </c>
      <c r="AB1153" s="10" t="str">
        <f t="shared" si="356"/>
        <v>1_Post</v>
      </c>
      <c r="AC1153" s="10" t="str">
        <f t="shared" si="357"/>
        <v>1_Post</v>
      </c>
      <c r="AD1153" s="10" t="str">
        <f t="shared" si="358"/>
        <v>2_post sample median</v>
      </c>
      <c r="AE1153" s="10" t="str">
        <f t="shared" si="359"/>
        <v>3_post sample third tertile</v>
      </c>
      <c r="AF1153" t="s">
        <v>82</v>
      </c>
      <c r="AG1153" t="s">
        <v>75</v>
      </c>
      <c r="AH1153" t="s">
        <v>78</v>
      </c>
      <c r="AI1153" t="s">
        <v>122</v>
      </c>
      <c r="AJ1153" t="s">
        <v>122</v>
      </c>
      <c r="AK1153" t="str">
        <f>VLOOKUP(MID($AR1153,1,255),country_lookup!$B:$F,2,FALSE)</f>
        <v>3_AsiaPac</v>
      </c>
      <c r="AL1153" t="str">
        <f>VLOOKUP(MID($AR1153,1,255),country_lookup!$B:$F,3,FALSE)</f>
        <v>2_developing</v>
      </c>
      <c r="AM1153" t="str">
        <f>VLOOKUP(MID($AR1153,1,255),country_lookup!$B:$F,4,FALSE)</f>
        <v>2_non_western</v>
      </c>
      <c r="AN1153" t="str">
        <f>VLOOKUP(MID($AR1153,1,255),country_lookup!$B:$F,5,FALSE)</f>
        <v>2_civil law</v>
      </c>
      <c r="AO1153" s="10" t="str">
        <f>VLOOKUP(MID($AS1153,1,255),source_lookup!$B:$K,4,FALSE)</f>
        <v>0_published</v>
      </c>
      <c r="AP1153" s="10" t="str">
        <f>VLOOKUP(MID($AS1153,1,255),source_lookup!$B:$K,6,FALSE)</f>
        <v>1_VHB high</v>
      </c>
      <c r="AQ1153" s="10" t="str">
        <f>VLOOKUP(MID($AS1153,1,255),source_lookup!$B:$K,10,FALSE)</f>
        <v>2_sust</v>
      </c>
      <c r="AR1153" t="s">
        <v>94</v>
      </c>
      <c r="AS1153" t="s">
        <v>179</v>
      </c>
    </row>
    <row r="1154" spans="1:45" x14ac:dyDescent="0.3">
      <c r="A1154" t="s">
        <v>56</v>
      </c>
      <c r="B1154">
        <v>1153</v>
      </c>
      <c r="C1154" s="1">
        <v>-1.9823137008841588E-2</v>
      </c>
      <c r="D1154" s="2">
        <v>506</v>
      </c>
      <c r="E1154" s="4">
        <v>3542</v>
      </c>
      <c r="F1154" s="4" t="s">
        <v>346</v>
      </c>
      <c r="G1154" s="4" t="s">
        <v>346</v>
      </c>
      <c r="H1154" t="s">
        <v>77</v>
      </c>
      <c r="I1154" t="s">
        <v>350</v>
      </c>
      <c r="J1154" s="3">
        <v>2013</v>
      </c>
      <c r="K1154" s="3">
        <v>2019</v>
      </c>
      <c r="L1154" s="6">
        <f t="shared" si="351"/>
        <v>2016</v>
      </c>
      <c r="M1154" s="6">
        <f t="shared" si="352"/>
        <v>2016</v>
      </c>
      <c r="N1154" s="7">
        <f t="shared" ref="N1154:N1217" si="360">MAX(0,$K1154-MAX($J1154,2016)+1)/($K1154-$J1154+1)</f>
        <v>0.5714285714285714</v>
      </c>
      <c r="O1154" s="7">
        <f t="shared" ref="O1154:O1217" si="361">MAX(0,$K1154-MAX($J1154,2017)+1)/($K1154-$J1154+1)</f>
        <v>0.42857142857142855</v>
      </c>
      <c r="P1154" s="7">
        <f t="shared" ref="P1154:P1217" si="362">MAX(0,$K1154-MAX($J1154,2018)+1)/($K1154-$J1154+1)</f>
        <v>0.2857142857142857</v>
      </c>
      <c r="Q1154" s="7">
        <f t="shared" si="353"/>
        <v>0.14285714285714285</v>
      </c>
      <c r="R1154" s="10" t="str">
        <f t="shared" ref="R1154:R1217" si="363">IF(N1154&gt;=0.5,"1_Post","0_Pre")</f>
        <v>1_Post</v>
      </c>
      <c r="S1154" s="10" t="str">
        <f t="shared" ref="S1154:S1217" si="364">IF($L1154&gt;=2016,"1_Post","0_Pre")</f>
        <v>1_Post</v>
      </c>
      <c r="T1154" s="10" t="str">
        <f t="shared" ref="T1154:T1217" si="365">IF($M1154&gt;=2016,"1_Post","0_Pre")</f>
        <v>1_Post</v>
      </c>
      <c r="U1154" s="10" t="str">
        <f t="shared" ref="U1154:U1217" si="366">IF($K1154&gt;=2016,"1_Post","0_Pre")</f>
        <v>1_Post</v>
      </c>
      <c r="V1154" s="10" t="str">
        <f t="shared" si="354"/>
        <v>0_Pre</v>
      </c>
      <c r="W1154" s="10" t="str">
        <f t="shared" ref="W1154:W1217" si="367">IF($K1154&lt;=2015,"clean_pre",IF($J1154&gt;=2016,"clean_post","straddle"))</f>
        <v>straddle</v>
      </c>
      <c r="X1154" s="10" t="str">
        <f t="shared" ref="X1154:X1217" si="368">IF(O1154&gt;=0.5,"1_Post","0_Pre")</f>
        <v>0_Pre</v>
      </c>
      <c r="Y1154" s="10" t="str">
        <f t="shared" ref="Y1154:Y1217" si="369">IF(P1154&gt;=0.5,"1_Post","0_Pre")</f>
        <v>0_Pre</v>
      </c>
      <c r="Z1154" s="10" t="str">
        <f t="shared" ref="Z1154:Z1217" si="370">IF(Q1154&gt;=0.5,"1_Post","0_Pre")</f>
        <v>0_Pre</v>
      </c>
      <c r="AA1154" s="10" t="str">
        <f t="shared" si="355"/>
        <v>1_Post</v>
      </c>
      <c r="AB1154" s="10" t="str">
        <f t="shared" si="356"/>
        <v>1_Post</v>
      </c>
      <c r="AC1154" s="10" t="str">
        <f t="shared" si="357"/>
        <v>1_Post</v>
      </c>
      <c r="AD1154" s="10" t="str">
        <f t="shared" si="358"/>
        <v>2_post sample median</v>
      </c>
      <c r="AE1154" s="10" t="str">
        <f t="shared" si="359"/>
        <v>3_post sample third tertile</v>
      </c>
      <c r="AF1154" t="s">
        <v>82</v>
      </c>
      <c r="AG1154" t="s">
        <v>75</v>
      </c>
      <c r="AH1154" t="s">
        <v>78</v>
      </c>
      <c r="AI1154" t="s">
        <v>122</v>
      </c>
      <c r="AJ1154" t="s">
        <v>122</v>
      </c>
      <c r="AK1154" t="str">
        <f>VLOOKUP(MID($AR1154,1,255),country_lookup!$B:$F,2,FALSE)</f>
        <v>3_AsiaPac</v>
      </c>
      <c r="AL1154" t="str">
        <f>VLOOKUP(MID($AR1154,1,255),country_lookup!$B:$F,3,FALSE)</f>
        <v>2_developing</v>
      </c>
      <c r="AM1154" t="str">
        <f>VLOOKUP(MID($AR1154,1,255),country_lookup!$B:$F,4,FALSE)</f>
        <v>2_non_western</v>
      </c>
      <c r="AN1154" t="str">
        <f>VLOOKUP(MID($AR1154,1,255),country_lookup!$B:$F,5,FALSE)</f>
        <v>2_civil law</v>
      </c>
      <c r="AO1154" s="10" t="str">
        <f>VLOOKUP(MID($AS1154,1,255),source_lookup!$B:$K,4,FALSE)</f>
        <v>0_published</v>
      </c>
      <c r="AP1154" s="10" t="str">
        <f>VLOOKUP(MID($AS1154,1,255),source_lookup!$B:$K,6,FALSE)</f>
        <v>1_VHB high</v>
      </c>
      <c r="AQ1154" s="10" t="str">
        <f>VLOOKUP(MID($AS1154,1,255),source_lookup!$B:$K,10,FALSE)</f>
        <v>2_sust</v>
      </c>
      <c r="AR1154" t="s">
        <v>94</v>
      </c>
      <c r="AS1154" t="s">
        <v>179</v>
      </c>
    </row>
    <row r="1155" spans="1:45" x14ac:dyDescent="0.3">
      <c r="A1155" t="s">
        <v>56</v>
      </c>
      <c r="B1155">
        <v>1154</v>
      </c>
      <c r="C1155" s="1">
        <v>-5.5129578750721525E-2</v>
      </c>
      <c r="D1155" s="2">
        <v>561</v>
      </c>
      <c r="E1155" s="4">
        <v>3927</v>
      </c>
      <c r="F1155" s="4" t="s">
        <v>346</v>
      </c>
      <c r="G1155" s="4" t="s">
        <v>346</v>
      </c>
      <c r="H1155" t="s">
        <v>77</v>
      </c>
      <c r="I1155" t="s">
        <v>350</v>
      </c>
      <c r="J1155" s="3">
        <v>2013</v>
      </c>
      <c r="K1155" s="3">
        <v>2019</v>
      </c>
      <c r="L1155" s="6">
        <f t="shared" ref="L1155:L1218" si="371">ROUND(AVERAGE(J1155:K1155),100)</f>
        <v>2016</v>
      </c>
      <c r="M1155" s="6">
        <f t="shared" ref="M1155:M1218" si="372">ROUND(MEDIAN(J1155:K1155),100)</f>
        <v>2016</v>
      </c>
      <c r="N1155" s="7">
        <f t="shared" si="360"/>
        <v>0.5714285714285714</v>
      </c>
      <c r="O1155" s="7">
        <f t="shared" si="361"/>
        <v>0.42857142857142855</v>
      </c>
      <c r="P1155" s="7">
        <f t="shared" si="362"/>
        <v>0.2857142857142857</v>
      </c>
      <c r="Q1155" s="7">
        <f t="shared" ref="Q1155:Q1218" si="373">MAX(0,$K1155-MAX($J1155,2019)+1)/($K1155-$J1155+1)</f>
        <v>0.14285714285714285</v>
      </c>
      <c r="R1155" s="10" t="str">
        <f t="shared" si="363"/>
        <v>1_Post</v>
      </c>
      <c r="S1155" s="10" t="str">
        <f t="shared" si="364"/>
        <v>1_Post</v>
      </c>
      <c r="T1155" s="10" t="str">
        <f t="shared" si="365"/>
        <v>1_Post</v>
      </c>
      <c r="U1155" s="10" t="str">
        <f t="shared" si="366"/>
        <v>1_Post</v>
      </c>
      <c r="V1155" s="10" t="str">
        <f t="shared" ref="V1155:V1218" si="374">IF($J1155&lt;=2017,"0_Pre","1_Post")</f>
        <v>0_Pre</v>
      </c>
      <c r="W1155" s="10" t="str">
        <f t="shared" si="367"/>
        <v>straddle</v>
      </c>
      <c r="X1155" s="10" t="str">
        <f t="shared" si="368"/>
        <v>0_Pre</v>
      </c>
      <c r="Y1155" s="10" t="str">
        <f t="shared" si="369"/>
        <v>0_Pre</v>
      </c>
      <c r="Z1155" s="10" t="str">
        <f t="shared" si="370"/>
        <v>0_Pre</v>
      </c>
      <c r="AA1155" s="10" t="str">
        <f t="shared" ref="AA1155:AA1218" si="375">IF($K1155&gt;=2017,"1_Post","0_Pre")</f>
        <v>1_Post</v>
      </c>
      <c r="AB1155" s="10" t="str">
        <f t="shared" ref="AB1155:AB1218" si="376">IF($K1155&gt;=2018,"1_Post","0_Pre")</f>
        <v>1_Post</v>
      </c>
      <c r="AC1155" s="10" t="str">
        <f t="shared" ref="AC1155:AC1218" si="377">IF($K1155&gt;=2019,"1_Post","0_Pre")</f>
        <v>1_Post</v>
      </c>
      <c r="AD1155" s="10" t="str">
        <f t="shared" ref="AD1155:AD1218" si="378">IF(L1155&lt;MEDIAN($L$2:$L$1307),"1_pre sample median","2_post sample median")</f>
        <v>2_post sample median</v>
      </c>
      <c r="AE1155" s="10" t="str">
        <f t="shared" ref="AE1155:AE1218" si="379">IF(L1155&lt;=PERCENTILE($L$2:$L$1307,0.33),"1_pre sample first tertile",IF(L1155&gt;=PERCENTILE($L$2:$L$1307,0.67),"3_post sample third tertile","2_in sample second tertile"))</f>
        <v>3_post sample third tertile</v>
      </c>
      <c r="AF1155" t="s">
        <v>82</v>
      </c>
      <c r="AG1155" t="s">
        <v>75</v>
      </c>
      <c r="AH1155" t="s">
        <v>78</v>
      </c>
      <c r="AI1155" t="s">
        <v>122</v>
      </c>
      <c r="AJ1155" t="s">
        <v>122</v>
      </c>
      <c r="AK1155" t="str">
        <f>VLOOKUP(MID($AR1155,1,255),country_lookup!$B:$F,2,FALSE)</f>
        <v>3_AsiaPac</v>
      </c>
      <c r="AL1155" t="str">
        <f>VLOOKUP(MID($AR1155,1,255),country_lookup!$B:$F,3,FALSE)</f>
        <v>2_developing</v>
      </c>
      <c r="AM1155" t="str">
        <f>VLOOKUP(MID($AR1155,1,255),country_lookup!$B:$F,4,FALSE)</f>
        <v>2_non_western</v>
      </c>
      <c r="AN1155" t="str">
        <f>VLOOKUP(MID($AR1155,1,255),country_lookup!$B:$F,5,FALSE)</f>
        <v>2_civil law</v>
      </c>
      <c r="AO1155" s="10" t="str">
        <f>VLOOKUP(MID($AS1155,1,255),source_lookup!$B:$K,4,FALSE)</f>
        <v>0_published</v>
      </c>
      <c r="AP1155" s="10" t="str">
        <f>VLOOKUP(MID($AS1155,1,255),source_lookup!$B:$K,6,FALSE)</f>
        <v>1_VHB high</v>
      </c>
      <c r="AQ1155" s="10" t="str">
        <f>VLOOKUP(MID($AS1155,1,255),source_lookup!$B:$K,10,FALSE)</f>
        <v>2_sust</v>
      </c>
      <c r="AR1155" t="s">
        <v>94</v>
      </c>
      <c r="AS1155" t="s">
        <v>179</v>
      </c>
    </row>
    <row r="1156" spans="1:45" x14ac:dyDescent="0.3">
      <c r="A1156" t="s">
        <v>56</v>
      </c>
      <c r="B1156">
        <v>1155</v>
      </c>
      <c r="C1156" s="1">
        <v>-2.1953071183879857E-2</v>
      </c>
      <c r="D1156" s="2">
        <v>532</v>
      </c>
      <c r="E1156" s="4">
        <v>3724</v>
      </c>
      <c r="F1156" s="4" t="s">
        <v>346</v>
      </c>
      <c r="G1156" s="4" t="s">
        <v>346</v>
      </c>
      <c r="H1156" t="s">
        <v>77</v>
      </c>
      <c r="I1156" t="s">
        <v>350</v>
      </c>
      <c r="J1156" s="3">
        <v>2013</v>
      </c>
      <c r="K1156" s="3">
        <v>2019</v>
      </c>
      <c r="L1156" s="6">
        <f t="shared" si="371"/>
        <v>2016</v>
      </c>
      <c r="M1156" s="6">
        <f t="shared" si="372"/>
        <v>2016</v>
      </c>
      <c r="N1156" s="7">
        <f t="shared" si="360"/>
        <v>0.5714285714285714</v>
      </c>
      <c r="O1156" s="7">
        <f t="shared" si="361"/>
        <v>0.42857142857142855</v>
      </c>
      <c r="P1156" s="7">
        <f t="shared" si="362"/>
        <v>0.2857142857142857</v>
      </c>
      <c r="Q1156" s="7">
        <f t="shared" si="373"/>
        <v>0.14285714285714285</v>
      </c>
      <c r="R1156" s="10" t="str">
        <f t="shared" si="363"/>
        <v>1_Post</v>
      </c>
      <c r="S1156" s="10" t="str">
        <f t="shared" si="364"/>
        <v>1_Post</v>
      </c>
      <c r="T1156" s="10" t="str">
        <f t="shared" si="365"/>
        <v>1_Post</v>
      </c>
      <c r="U1156" s="10" t="str">
        <f t="shared" si="366"/>
        <v>1_Post</v>
      </c>
      <c r="V1156" s="10" t="str">
        <f t="shared" si="374"/>
        <v>0_Pre</v>
      </c>
      <c r="W1156" s="10" t="str">
        <f t="shared" si="367"/>
        <v>straddle</v>
      </c>
      <c r="X1156" s="10" t="str">
        <f t="shared" si="368"/>
        <v>0_Pre</v>
      </c>
      <c r="Y1156" s="10" t="str">
        <f t="shared" si="369"/>
        <v>0_Pre</v>
      </c>
      <c r="Z1156" s="10" t="str">
        <f t="shared" si="370"/>
        <v>0_Pre</v>
      </c>
      <c r="AA1156" s="10" t="str">
        <f t="shared" si="375"/>
        <v>1_Post</v>
      </c>
      <c r="AB1156" s="10" t="str">
        <f t="shared" si="376"/>
        <v>1_Post</v>
      </c>
      <c r="AC1156" s="10" t="str">
        <f t="shared" si="377"/>
        <v>1_Post</v>
      </c>
      <c r="AD1156" s="10" t="str">
        <f t="shared" si="378"/>
        <v>2_post sample median</v>
      </c>
      <c r="AE1156" s="10" t="str">
        <f t="shared" si="379"/>
        <v>3_post sample third tertile</v>
      </c>
      <c r="AF1156" t="s">
        <v>82</v>
      </c>
      <c r="AG1156" t="s">
        <v>75</v>
      </c>
      <c r="AH1156" t="s">
        <v>78</v>
      </c>
      <c r="AI1156" t="s">
        <v>122</v>
      </c>
      <c r="AJ1156" t="s">
        <v>122</v>
      </c>
      <c r="AK1156" t="str">
        <f>VLOOKUP(MID($AR1156,1,255),country_lookup!$B:$F,2,FALSE)</f>
        <v>3_AsiaPac</v>
      </c>
      <c r="AL1156" t="str">
        <f>VLOOKUP(MID($AR1156,1,255),country_lookup!$B:$F,3,FALSE)</f>
        <v>2_developing</v>
      </c>
      <c r="AM1156" t="str">
        <f>VLOOKUP(MID($AR1156,1,255),country_lookup!$B:$F,4,FALSE)</f>
        <v>2_non_western</v>
      </c>
      <c r="AN1156" t="str">
        <f>VLOOKUP(MID($AR1156,1,255),country_lookup!$B:$F,5,FALSE)</f>
        <v>2_civil law</v>
      </c>
      <c r="AO1156" s="10" t="str">
        <f>VLOOKUP(MID($AS1156,1,255),source_lookup!$B:$K,4,FALSE)</f>
        <v>0_published</v>
      </c>
      <c r="AP1156" s="10" t="str">
        <f>VLOOKUP(MID($AS1156,1,255),source_lookup!$B:$K,6,FALSE)</f>
        <v>1_VHB high</v>
      </c>
      <c r="AQ1156" s="10" t="str">
        <f>VLOOKUP(MID($AS1156,1,255),source_lookup!$B:$K,10,FALSE)</f>
        <v>2_sust</v>
      </c>
      <c r="AR1156" t="s">
        <v>94</v>
      </c>
      <c r="AS1156" t="s">
        <v>179</v>
      </c>
    </row>
    <row r="1157" spans="1:45" x14ac:dyDescent="0.3">
      <c r="A1157" t="s">
        <v>56</v>
      </c>
      <c r="B1157">
        <v>1156</v>
      </c>
      <c r="C1157" s="1">
        <v>-4.7823845942232886E-2</v>
      </c>
      <c r="D1157" s="2">
        <v>535</v>
      </c>
      <c r="E1157" s="4">
        <v>3745</v>
      </c>
      <c r="F1157" s="4" t="s">
        <v>346</v>
      </c>
      <c r="G1157" s="4" t="s">
        <v>346</v>
      </c>
      <c r="H1157" t="s">
        <v>77</v>
      </c>
      <c r="I1157" t="s">
        <v>350</v>
      </c>
      <c r="J1157" s="3">
        <v>2013</v>
      </c>
      <c r="K1157" s="3">
        <v>2019</v>
      </c>
      <c r="L1157" s="6">
        <f t="shared" si="371"/>
        <v>2016</v>
      </c>
      <c r="M1157" s="6">
        <f t="shared" si="372"/>
        <v>2016</v>
      </c>
      <c r="N1157" s="7">
        <f t="shared" si="360"/>
        <v>0.5714285714285714</v>
      </c>
      <c r="O1157" s="7">
        <f t="shared" si="361"/>
        <v>0.42857142857142855</v>
      </c>
      <c r="P1157" s="7">
        <f t="shared" si="362"/>
        <v>0.2857142857142857</v>
      </c>
      <c r="Q1157" s="7">
        <f t="shared" si="373"/>
        <v>0.14285714285714285</v>
      </c>
      <c r="R1157" s="10" t="str">
        <f t="shared" si="363"/>
        <v>1_Post</v>
      </c>
      <c r="S1157" s="10" t="str">
        <f t="shared" si="364"/>
        <v>1_Post</v>
      </c>
      <c r="T1157" s="10" t="str">
        <f t="shared" si="365"/>
        <v>1_Post</v>
      </c>
      <c r="U1157" s="10" t="str">
        <f t="shared" si="366"/>
        <v>1_Post</v>
      </c>
      <c r="V1157" s="10" t="str">
        <f t="shared" si="374"/>
        <v>0_Pre</v>
      </c>
      <c r="W1157" s="10" t="str">
        <f t="shared" si="367"/>
        <v>straddle</v>
      </c>
      <c r="X1157" s="10" t="str">
        <f t="shared" si="368"/>
        <v>0_Pre</v>
      </c>
      <c r="Y1157" s="10" t="str">
        <f t="shared" si="369"/>
        <v>0_Pre</v>
      </c>
      <c r="Z1157" s="10" t="str">
        <f t="shared" si="370"/>
        <v>0_Pre</v>
      </c>
      <c r="AA1157" s="10" t="str">
        <f t="shared" si="375"/>
        <v>1_Post</v>
      </c>
      <c r="AB1157" s="10" t="str">
        <f t="shared" si="376"/>
        <v>1_Post</v>
      </c>
      <c r="AC1157" s="10" t="str">
        <f t="shared" si="377"/>
        <v>1_Post</v>
      </c>
      <c r="AD1157" s="10" t="str">
        <f t="shared" si="378"/>
        <v>2_post sample median</v>
      </c>
      <c r="AE1157" s="10" t="str">
        <f t="shared" si="379"/>
        <v>3_post sample third tertile</v>
      </c>
      <c r="AF1157" t="s">
        <v>82</v>
      </c>
      <c r="AG1157" t="s">
        <v>75</v>
      </c>
      <c r="AH1157" t="s">
        <v>78</v>
      </c>
      <c r="AI1157" t="s">
        <v>122</v>
      </c>
      <c r="AJ1157" t="s">
        <v>122</v>
      </c>
      <c r="AK1157" t="str">
        <f>VLOOKUP(MID($AR1157,1,255),country_lookup!$B:$F,2,FALSE)</f>
        <v>3_AsiaPac</v>
      </c>
      <c r="AL1157" t="str">
        <f>VLOOKUP(MID($AR1157,1,255),country_lookup!$B:$F,3,FALSE)</f>
        <v>2_developing</v>
      </c>
      <c r="AM1157" t="str">
        <f>VLOOKUP(MID($AR1157,1,255),country_lookup!$B:$F,4,FALSE)</f>
        <v>2_non_western</v>
      </c>
      <c r="AN1157" t="str">
        <f>VLOOKUP(MID($AR1157,1,255),country_lookup!$B:$F,5,FALSE)</f>
        <v>2_civil law</v>
      </c>
      <c r="AO1157" s="10" t="str">
        <f>VLOOKUP(MID($AS1157,1,255),source_lookup!$B:$K,4,FALSE)</f>
        <v>0_published</v>
      </c>
      <c r="AP1157" s="10" t="str">
        <f>VLOOKUP(MID($AS1157,1,255),source_lookup!$B:$K,6,FALSE)</f>
        <v>1_VHB high</v>
      </c>
      <c r="AQ1157" s="10" t="str">
        <f>VLOOKUP(MID($AS1157,1,255),source_lookup!$B:$K,10,FALSE)</f>
        <v>2_sust</v>
      </c>
      <c r="AR1157" t="s">
        <v>94</v>
      </c>
      <c r="AS1157" t="s">
        <v>179</v>
      </c>
    </row>
    <row r="1158" spans="1:45" x14ac:dyDescent="0.3">
      <c r="A1158" t="s">
        <v>56</v>
      </c>
      <c r="B1158">
        <v>1157</v>
      </c>
      <c r="C1158" s="1">
        <v>-1.8479262307133204E-2</v>
      </c>
      <c r="D1158" s="2">
        <v>534</v>
      </c>
      <c r="E1158" s="4">
        <v>3738</v>
      </c>
      <c r="F1158" s="4" t="s">
        <v>346</v>
      </c>
      <c r="G1158" s="4" t="s">
        <v>346</v>
      </c>
      <c r="H1158" t="s">
        <v>77</v>
      </c>
      <c r="I1158" t="s">
        <v>350</v>
      </c>
      <c r="J1158" s="3">
        <v>2013</v>
      </c>
      <c r="K1158" s="3">
        <v>2019</v>
      </c>
      <c r="L1158" s="6">
        <f t="shared" si="371"/>
        <v>2016</v>
      </c>
      <c r="M1158" s="6">
        <f t="shared" si="372"/>
        <v>2016</v>
      </c>
      <c r="N1158" s="7">
        <f t="shared" si="360"/>
        <v>0.5714285714285714</v>
      </c>
      <c r="O1158" s="7">
        <f t="shared" si="361"/>
        <v>0.42857142857142855</v>
      </c>
      <c r="P1158" s="7">
        <f t="shared" si="362"/>
        <v>0.2857142857142857</v>
      </c>
      <c r="Q1158" s="7">
        <f t="shared" si="373"/>
        <v>0.14285714285714285</v>
      </c>
      <c r="R1158" s="10" t="str">
        <f t="shared" si="363"/>
        <v>1_Post</v>
      </c>
      <c r="S1158" s="10" t="str">
        <f t="shared" si="364"/>
        <v>1_Post</v>
      </c>
      <c r="T1158" s="10" t="str">
        <f t="shared" si="365"/>
        <v>1_Post</v>
      </c>
      <c r="U1158" s="10" t="str">
        <f t="shared" si="366"/>
        <v>1_Post</v>
      </c>
      <c r="V1158" s="10" t="str">
        <f t="shared" si="374"/>
        <v>0_Pre</v>
      </c>
      <c r="W1158" s="10" t="str">
        <f t="shared" si="367"/>
        <v>straddle</v>
      </c>
      <c r="X1158" s="10" t="str">
        <f t="shared" si="368"/>
        <v>0_Pre</v>
      </c>
      <c r="Y1158" s="10" t="str">
        <f t="shared" si="369"/>
        <v>0_Pre</v>
      </c>
      <c r="Z1158" s="10" t="str">
        <f t="shared" si="370"/>
        <v>0_Pre</v>
      </c>
      <c r="AA1158" s="10" t="str">
        <f t="shared" si="375"/>
        <v>1_Post</v>
      </c>
      <c r="AB1158" s="10" t="str">
        <f t="shared" si="376"/>
        <v>1_Post</v>
      </c>
      <c r="AC1158" s="10" t="str">
        <f t="shared" si="377"/>
        <v>1_Post</v>
      </c>
      <c r="AD1158" s="10" t="str">
        <f t="shared" si="378"/>
        <v>2_post sample median</v>
      </c>
      <c r="AE1158" s="10" t="str">
        <f t="shared" si="379"/>
        <v>3_post sample third tertile</v>
      </c>
      <c r="AF1158" t="s">
        <v>82</v>
      </c>
      <c r="AG1158" t="s">
        <v>75</v>
      </c>
      <c r="AH1158" t="s">
        <v>78</v>
      </c>
      <c r="AI1158" t="s">
        <v>122</v>
      </c>
      <c r="AJ1158" t="s">
        <v>122</v>
      </c>
      <c r="AK1158" t="str">
        <f>VLOOKUP(MID($AR1158,1,255),country_lookup!$B:$F,2,FALSE)</f>
        <v>3_AsiaPac</v>
      </c>
      <c r="AL1158" t="str">
        <f>VLOOKUP(MID($AR1158,1,255),country_lookup!$B:$F,3,FALSE)</f>
        <v>2_developing</v>
      </c>
      <c r="AM1158" t="str">
        <f>VLOOKUP(MID($AR1158,1,255),country_lookup!$B:$F,4,FALSE)</f>
        <v>2_non_western</v>
      </c>
      <c r="AN1158" t="str">
        <f>VLOOKUP(MID($AR1158,1,255),country_lookup!$B:$F,5,FALSE)</f>
        <v>2_civil law</v>
      </c>
      <c r="AO1158" s="10" t="str">
        <f>VLOOKUP(MID($AS1158,1,255),source_lookup!$B:$K,4,FALSE)</f>
        <v>0_published</v>
      </c>
      <c r="AP1158" s="10" t="str">
        <f>VLOOKUP(MID($AS1158,1,255),source_lookup!$B:$K,6,FALSE)</f>
        <v>1_VHB high</v>
      </c>
      <c r="AQ1158" s="10" t="str">
        <f>VLOOKUP(MID($AS1158,1,255),source_lookup!$B:$K,10,FALSE)</f>
        <v>2_sust</v>
      </c>
      <c r="AR1158" t="s">
        <v>94</v>
      </c>
      <c r="AS1158" t="s">
        <v>179</v>
      </c>
    </row>
    <row r="1159" spans="1:45" x14ac:dyDescent="0.3">
      <c r="A1159" t="s">
        <v>56</v>
      </c>
      <c r="B1159">
        <v>1158</v>
      </c>
      <c r="C1159" s="1">
        <v>-4.5791997795285443E-2</v>
      </c>
      <c r="D1159" s="2">
        <v>533</v>
      </c>
      <c r="E1159" s="4">
        <v>3731</v>
      </c>
      <c r="F1159" s="4" t="s">
        <v>346</v>
      </c>
      <c r="G1159" s="4" t="s">
        <v>346</v>
      </c>
      <c r="H1159" t="s">
        <v>77</v>
      </c>
      <c r="I1159" t="s">
        <v>350</v>
      </c>
      <c r="J1159" s="3">
        <v>2013</v>
      </c>
      <c r="K1159" s="3">
        <v>2019</v>
      </c>
      <c r="L1159" s="6">
        <f t="shared" si="371"/>
        <v>2016</v>
      </c>
      <c r="M1159" s="6">
        <f t="shared" si="372"/>
        <v>2016</v>
      </c>
      <c r="N1159" s="7">
        <f t="shared" si="360"/>
        <v>0.5714285714285714</v>
      </c>
      <c r="O1159" s="7">
        <f t="shared" si="361"/>
        <v>0.42857142857142855</v>
      </c>
      <c r="P1159" s="7">
        <f t="shared" si="362"/>
        <v>0.2857142857142857</v>
      </c>
      <c r="Q1159" s="7">
        <f t="shared" si="373"/>
        <v>0.14285714285714285</v>
      </c>
      <c r="R1159" s="10" t="str">
        <f t="shared" si="363"/>
        <v>1_Post</v>
      </c>
      <c r="S1159" s="10" t="str">
        <f t="shared" si="364"/>
        <v>1_Post</v>
      </c>
      <c r="T1159" s="10" t="str">
        <f t="shared" si="365"/>
        <v>1_Post</v>
      </c>
      <c r="U1159" s="10" t="str">
        <f t="shared" si="366"/>
        <v>1_Post</v>
      </c>
      <c r="V1159" s="10" t="str">
        <f t="shared" si="374"/>
        <v>0_Pre</v>
      </c>
      <c r="W1159" s="10" t="str">
        <f t="shared" si="367"/>
        <v>straddle</v>
      </c>
      <c r="X1159" s="10" t="str">
        <f t="shared" si="368"/>
        <v>0_Pre</v>
      </c>
      <c r="Y1159" s="10" t="str">
        <f t="shared" si="369"/>
        <v>0_Pre</v>
      </c>
      <c r="Z1159" s="10" t="str">
        <f t="shared" si="370"/>
        <v>0_Pre</v>
      </c>
      <c r="AA1159" s="10" t="str">
        <f t="shared" si="375"/>
        <v>1_Post</v>
      </c>
      <c r="AB1159" s="10" t="str">
        <f t="shared" si="376"/>
        <v>1_Post</v>
      </c>
      <c r="AC1159" s="10" t="str">
        <f t="shared" si="377"/>
        <v>1_Post</v>
      </c>
      <c r="AD1159" s="10" t="str">
        <f t="shared" si="378"/>
        <v>2_post sample median</v>
      </c>
      <c r="AE1159" s="10" t="str">
        <f t="shared" si="379"/>
        <v>3_post sample third tertile</v>
      </c>
      <c r="AF1159" t="s">
        <v>82</v>
      </c>
      <c r="AG1159" t="s">
        <v>75</v>
      </c>
      <c r="AH1159" t="s">
        <v>78</v>
      </c>
      <c r="AI1159" t="s">
        <v>122</v>
      </c>
      <c r="AJ1159" t="s">
        <v>122</v>
      </c>
      <c r="AK1159" t="str">
        <f>VLOOKUP(MID($AR1159,1,255),country_lookup!$B:$F,2,FALSE)</f>
        <v>3_AsiaPac</v>
      </c>
      <c r="AL1159" t="str">
        <f>VLOOKUP(MID($AR1159,1,255),country_lookup!$B:$F,3,FALSE)</f>
        <v>2_developing</v>
      </c>
      <c r="AM1159" t="str">
        <f>VLOOKUP(MID($AR1159,1,255),country_lookup!$B:$F,4,FALSE)</f>
        <v>2_non_western</v>
      </c>
      <c r="AN1159" t="str">
        <f>VLOOKUP(MID($AR1159,1,255),country_lookup!$B:$F,5,FALSE)</f>
        <v>2_civil law</v>
      </c>
      <c r="AO1159" s="10" t="str">
        <f>VLOOKUP(MID($AS1159,1,255),source_lookup!$B:$K,4,FALSE)</f>
        <v>0_published</v>
      </c>
      <c r="AP1159" s="10" t="str">
        <f>VLOOKUP(MID($AS1159,1,255),source_lookup!$B:$K,6,FALSE)</f>
        <v>1_VHB high</v>
      </c>
      <c r="AQ1159" s="10" t="str">
        <f>VLOOKUP(MID($AS1159,1,255),source_lookup!$B:$K,10,FALSE)</f>
        <v>2_sust</v>
      </c>
      <c r="AR1159" t="s">
        <v>94</v>
      </c>
      <c r="AS1159" t="s">
        <v>179</v>
      </c>
    </row>
    <row r="1160" spans="1:45" x14ac:dyDescent="0.3">
      <c r="A1160" t="s">
        <v>56</v>
      </c>
      <c r="B1160">
        <v>1159</v>
      </c>
      <c r="C1160" s="1">
        <v>-2.2379169187744744E-2</v>
      </c>
      <c r="D1160" s="2">
        <v>583</v>
      </c>
      <c r="E1160" s="4">
        <v>4081</v>
      </c>
      <c r="F1160" s="4" t="s">
        <v>346</v>
      </c>
      <c r="G1160" s="4" t="s">
        <v>346</v>
      </c>
      <c r="H1160" t="s">
        <v>77</v>
      </c>
      <c r="I1160" t="s">
        <v>350</v>
      </c>
      <c r="J1160" s="3">
        <v>2013</v>
      </c>
      <c r="K1160" s="3">
        <v>2019</v>
      </c>
      <c r="L1160" s="6">
        <f t="shared" si="371"/>
        <v>2016</v>
      </c>
      <c r="M1160" s="6">
        <f t="shared" si="372"/>
        <v>2016</v>
      </c>
      <c r="N1160" s="7">
        <f t="shared" si="360"/>
        <v>0.5714285714285714</v>
      </c>
      <c r="O1160" s="7">
        <f t="shared" si="361"/>
        <v>0.42857142857142855</v>
      </c>
      <c r="P1160" s="7">
        <f t="shared" si="362"/>
        <v>0.2857142857142857</v>
      </c>
      <c r="Q1160" s="7">
        <f t="shared" si="373"/>
        <v>0.14285714285714285</v>
      </c>
      <c r="R1160" s="10" t="str">
        <f t="shared" si="363"/>
        <v>1_Post</v>
      </c>
      <c r="S1160" s="10" t="str">
        <f t="shared" si="364"/>
        <v>1_Post</v>
      </c>
      <c r="T1160" s="10" t="str">
        <f t="shared" si="365"/>
        <v>1_Post</v>
      </c>
      <c r="U1160" s="10" t="str">
        <f t="shared" si="366"/>
        <v>1_Post</v>
      </c>
      <c r="V1160" s="10" t="str">
        <f t="shared" si="374"/>
        <v>0_Pre</v>
      </c>
      <c r="W1160" s="10" t="str">
        <f t="shared" si="367"/>
        <v>straddle</v>
      </c>
      <c r="X1160" s="10" t="str">
        <f t="shared" si="368"/>
        <v>0_Pre</v>
      </c>
      <c r="Y1160" s="10" t="str">
        <f t="shared" si="369"/>
        <v>0_Pre</v>
      </c>
      <c r="Z1160" s="10" t="str">
        <f t="shared" si="370"/>
        <v>0_Pre</v>
      </c>
      <c r="AA1160" s="10" t="str">
        <f t="shared" si="375"/>
        <v>1_Post</v>
      </c>
      <c r="AB1160" s="10" t="str">
        <f t="shared" si="376"/>
        <v>1_Post</v>
      </c>
      <c r="AC1160" s="10" t="str">
        <f t="shared" si="377"/>
        <v>1_Post</v>
      </c>
      <c r="AD1160" s="10" t="str">
        <f t="shared" si="378"/>
        <v>2_post sample median</v>
      </c>
      <c r="AE1160" s="10" t="str">
        <f t="shared" si="379"/>
        <v>3_post sample third tertile</v>
      </c>
      <c r="AF1160" t="s">
        <v>82</v>
      </c>
      <c r="AG1160" t="s">
        <v>75</v>
      </c>
      <c r="AH1160" t="s">
        <v>78</v>
      </c>
      <c r="AI1160" t="s">
        <v>122</v>
      </c>
      <c r="AJ1160" t="s">
        <v>122</v>
      </c>
      <c r="AK1160" t="str">
        <f>VLOOKUP(MID($AR1160,1,255),country_lookup!$B:$F,2,FALSE)</f>
        <v>3_AsiaPac</v>
      </c>
      <c r="AL1160" t="str">
        <f>VLOOKUP(MID($AR1160,1,255),country_lookup!$B:$F,3,FALSE)</f>
        <v>2_developing</v>
      </c>
      <c r="AM1160" t="str">
        <f>VLOOKUP(MID($AR1160,1,255),country_lookup!$B:$F,4,FALSE)</f>
        <v>2_non_western</v>
      </c>
      <c r="AN1160" t="str">
        <f>VLOOKUP(MID($AR1160,1,255),country_lookup!$B:$F,5,FALSE)</f>
        <v>2_civil law</v>
      </c>
      <c r="AO1160" s="10" t="str">
        <f>VLOOKUP(MID($AS1160,1,255),source_lookup!$B:$K,4,FALSE)</f>
        <v>0_published</v>
      </c>
      <c r="AP1160" s="10" t="str">
        <f>VLOOKUP(MID($AS1160,1,255),source_lookup!$B:$K,6,FALSE)</f>
        <v>1_VHB high</v>
      </c>
      <c r="AQ1160" s="10" t="str">
        <f>VLOOKUP(MID($AS1160,1,255),source_lookup!$B:$K,10,FALSE)</f>
        <v>2_sust</v>
      </c>
      <c r="AR1160" t="s">
        <v>94</v>
      </c>
      <c r="AS1160" t="s">
        <v>179</v>
      </c>
    </row>
    <row r="1161" spans="1:45" x14ac:dyDescent="0.3">
      <c r="A1161" t="s">
        <v>56</v>
      </c>
      <c r="B1161">
        <v>1160</v>
      </c>
      <c r="C1161" s="1">
        <v>-3.0223344611218457E-2</v>
      </c>
      <c r="D1161" s="2">
        <v>484</v>
      </c>
      <c r="E1161" s="4">
        <v>3388</v>
      </c>
      <c r="F1161" s="4" t="s">
        <v>346</v>
      </c>
      <c r="G1161" s="4" t="s">
        <v>346</v>
      </c>
      <c r="H1161" t="s">
        <v>77</v>
      </c>
      <c r="I1161" t="s">
        <v>350</v>
      </c>
      <c r="J1161" s="3">
        <v>2013</v>
      </c>
      <c r="K1161" s="3">
        <v>2019</v>
      </c>
      <c r="L1161" s="6">
        <f t="shared" si="371"/>
        <v>2016</v>
      </c>
      <c r="M1161" s="6">
        <f t="shared" si="372"/>
        <v>2016</v>
      </c>
      <c r="N1161" s="7">
        <f t="shared" si="360"/>
        <v>0.5714285714285714</v>
      </c>
      <c r="O1161" s="7">
        <f t="shared" si="361"/>
        <v>0.42857142857142855</v>
      </c>
      <c r="P1161" s="7">
        <f t="shared" si="362"/>
        <v>0.2857142857142857</v>
      </c>
      <c r="Q1161" s="7">
        <f t="shared" si="373"/>
        <v>0.14285714285714285</v>
      </c>
      <c r="R1161" s="10" t="str">
        <f t="shared" si="363"/>
        <v>1_Post</v>
      </c>
      <c r="S1161" s="10" t="str">
        <f t="shared" si="364"/>
        <v>1_Post</v>
      </c>
      <c r="T1161" s="10" t="str">
        <f t="shared" si="365"/>
        <v>1_Post</v>
      </c>
      <c r="U1161" s="10" t="str">
        <f t="shared" si="366"/>
        <v>1_Post</v>
      </c>
      <c r="V1161" s="10" t="str">
        <f t="shared" si="374"/>
        <v>0_Pre</v>
      </c>
      <c r="W1161" s="10" t="str">
        <f t="shared" si="367"/>
        <v>straddle</v>
      </c>
      <c r="X1161" s="10" t="str">
        <f t="shared" si="368"/>
        <v>0_Pre</v>
      </c>
      <c r="Y1161" s="10" t="str">
        <f t="shared" si="369"/>
        <v>0_Pre</v>
      </c>
      <c r="Z1161" s="10" t="str">
        <f t="shared" si="370"/>
        <v>0_Pre</v>
      </c>
      <c r="AA1161" s="10" t="str">
        <f t="shared" si="375"/>
        <v>1_Post</v>
      </c>
      <c r="AB1161" s="10" t="str">
        <f t="shared" si="376"/>
        <v>1_Post</v>
      </c>
      <c r="AC1161" s="10" t="str">
        <f t="shared" si="377"/>
        <v>1_Post</v>
      </c>
      <c r="AD1161" s="10" t="str">
        <f t="shared" si="378"/>
        <v>2_post sample median</v>
      </c>
      <c r="AE1161" s="10" t="str">
        <f t="shared" si="379"/>
        <v>3_post sample third tertile</v>
      </c>
      <c r="AF1161" t="s">
        <v>82</v>
      </c>
      <c r="AG1161" t="s">
        <v>75</v>
      </c>
      <c r="AH1161" t="s">
        <v>78</v>
      </c>
      <c r="AI1161" t="s">
        <v>122</v>
      </c>
      <c r="AJ1161" t="s">
        <v>122</v>
      </c>
      <c r="AK1161" t="str">
        <f>VLOOKUP(MID($AR1161,1,255),country_lookup!$B:$F,2,FALSE)</f>
        <v>3_AsiaPac</v>
      </c>
      <c r="AL1161" t="str">
        <f>VLOOKUP(MID($AR1161,1,255),country_lookup!$B:$F,3,FALSE)</f>
        <v>2_developing</v>
      </c>
      <c r="AM1161" t="str">
        <f>VLOOKUP(MID($AR1161,1,255),country_lookup!$B:$F,4,FALSE)</f>
        <v>2_non_western</v>
      </c>
      <c r="AN1161" t="str">
        <f>VLOOKUP(MID($AR1161,1,255),country_lookup!$B:$F,5,FALSE)</f>
        <v>2_civil law</v>
      </c>
      <c r="AO1161" s="10" t="str">
        <f>VLOOKUP(MID($AS1161,1,255),source_lookup!$B:$K,4,FALSE)</f>
        <v>0_published</v>
      </c>
      <c r="AP1161" s="10" t="str">
        <f>VLOOKUP(MID($AS1161,1,255),source_lookup!$B:$K,6,FALSE)</f>
        <v>1_VHB high</v>
      </c>
      <c r="AQ1161" s="10" t="str">
        <f>VLOOKUP(MID($AS1161,1,255),source_lookup!$B:$K,10,FALSE)</f>
        <v>2_sust</v>
      </c>
      <c r="AR1161" t="s">
        <v>94</v>
      </c>
      <c r="AS1161" t="s">
        <v>179</v>
      </c>
    </row>
    <row r="1162" spans="1:45" x14ac:dyDescent="0.3">
      <c r="A1162" t="s">
        <v>56</v>
      </c>
      <c r="B1162">
        <v>1161</v>
      </c>
      <c r="C1162" s="1">
        <v>-5.2837974198138814E-2</v>
      </c>
      <c r="D1162" s="2">
        <v>516</v>
      </c>
      <c r="E1162" s="4">
        <v>3612</v>
      </c>
      <c r="F1162" s="4" t="s">
        <v>346</v>
      </c>
      <c r="G1162" s="4" t="s">
        <v>346</v>
      </c>
      <c r="H1162" t="s">
        <v>77</v>
      </c>
      <c r="I1162" t="s">
        <v>350</v>
      </c>
      <c r="J1162" s="3">
        <v>2013</v>
      </c>
      <c r="K1162" s="3">
        <v>2019</v>
      </c>
      <c r="L1162" s="6">
        <f t="shared" si="371"/>
        <v>2016</v>
      </c>
      <c r="M1162" s="6">
        <f t="shared" si="372"/>
        <v>2016</v>
      </c>
      <c r="N1162" s="7">
        <f t="shared" si="360"/>
        <v>0.5714285714285714</v>
      </c>
      <c r="O1162" s="7">
        <f t="shared" si="361"/>
        <v>0.42857142857142855</v>
      </c>
      <c r="P1162" s="7">
        <f t="shared" si="362"/>
        <v>0.2857142857142857</v>
      </c>
      <c r="Q1162" s="7">
        <f t="shared" si="373"/>
        <v>0.14285714285714285</v>
      </c>
      <c r="R1162" s="10" t="str">
        <f t="shared" si="363"/>
        <v>1_Post</v>
      </c>
      <c r="S1162" s="10" t="str">
        <f t="shared" si="364"/>
        <v>1_Post</v>
      </c>
      <c r="T1162" s="10" t="str">
        <f t="shared" si="365"/>
        <v>1_Post</v>
      </c>
      <c r="U1162" s="10" t="str">
        <f t="shared" si="366"/>
        <v>1_Post</v>
      </c>
      <c r="V1162" s="10" t="str">
        <f t="shared" si="374"/>
        <v>0_Pre</v>
      </c>
      <c r="W1162" s="10" t="str">
        <f t="shared" si="367"/>
        <v>straddle</v>
      </c>
      <c r="X1162" s="10" t="str">
        <f t="shared" si="368"/>
        <v>0_Pre</v>
      </c>
      <c r="Y1162" s="10" t="str">
        <f t="shared" si="369"/>
        <v>0_Pre</v>
      </c>
      <c r="Z1162" s="10" t="str">
        <f t="shared" si="370"/>
        <v>0_Pre</v>
      </c>
      <c r="AA1162" s="10" t="str">
        <f t="shared" si="375"/>
        <v>1_Post</v>
      </c>
      <c r="AB1162" s="10" t="str">
        <f t="shared" si="376"/>
        <v>1_Post</v>
      </c>
      <c r="AC1162" s="10" t="str">
        <f t="shared" si="377"/>
        <v>1_Post</v>
      </c>
      <c r="AD1162" s="10" t="str">
        <f t="shared" si="378"/>
        <v>2_post sample median</v>
      </c>
      <c r="AE1162" s="10" t="str">
        <f t="shared" si="379"/>
        <v>3_post sample third tertile</v>
      </c>
      <c r="AF1162" t="s">
        <v>82</v>
      </c>
      <c r="AG1162" t="s">
        <v>75</v>
      </c>
      <c r="AH1162" t="s">
        <v>78</v>
      </c>
      <c r="AI1162" t="s">
        <v>122</v>
      </c>
      <c r="AJ1162" t="s">
        <v>122</v>
      </c>
      <c r="AK1162" t="str">
        <f>VLOOKUP(MID($AR1162,1,255),country_lookup!$B:$F,2,FALSE)</f>
        <v>3_AsiaPac</v>
      </c>
      <c r="AL1162" t="str">
        <f>VLOOKUP(MID($AR1162,1,255),country_lookup!$B:$F,3,FALSE)</f>
        <v>2_developing</v>
      </c>
      <c r="AM1162" t="str">
        <f>VLOOKUP(MID($AR1162,1,255),country_lookup!$B:$F,4,FALSE)</f>
        <v>2_non_western</v>
      </c>
      <c r="AN1162" t="str">
        <f>VLOOKUP(MID($AR1162,1,255),country_lookup!$B:$F,5,FALSE)</f>
        <v>2_civil law</v>
      </c>
      <c r="AO1162" s="10" t="str">
        <f>VLOOKUP(MID($AS1162,1,255),source_lookup!$B:$K,4,FALSE)</f>
        <v>0_published</v>
      </c>
      <c r="AP1162" s="10" t="str">
        <f>VLOOKUP(MID($AS1162,1,255),source_lookup!$B:$K,6,FALSE)</f>
        <v>1_VHB high</v>
      </c>
      <c r="AQ1162" s="10" t="str">
        <f>VLOOKUP(MID($AS1162,1,255),source_lookup!$B:$K,10,FALSE)</f>
        <v>2_sust</v>
      </c>
      <c r="AR1162" t="s">
        <v>94</v>
      </c>
      <c r="AS1162" t="s">
        <v>179</v>
      </c>
    </row>
    <row r="1163" spans="1:45" x14ac:dyDescent="0.3">
      <c r="A1163" t="s">
        <v>56</v>
      </c>
      <c r="B1163">
        <v>1162</v>
      </c>
      <c r="C1163" s="1">
        <v>-1.3685272002787206E-2</v>
      </c>
      <c r="D1163" s="2">
        <v>551</v>
      </c>
      <c r="E1163" s="4">
        <v>3857</v>
      </c>
      <c r="F1163" s="4" t="s">
        <v>346</v>
      </c>
      <c r="G1163" s="4" t="s">
        <v>346</v>
      </c>
      <c r="H1163" t="s">
        <v>77</v>
      </c>
      <c r="I1163" t="s">
        <v>350</v>
      </c>
      <c r="J1163" s="3">
        <v>2013</v>
      </c>
      <c r="K1163" s="3">
        <v>2019</v>
      </c>
      <c r="L1163" s="6">
        <f t="shared" si="371"/>
        <v>2016</v>
      </c>
      <c r="M1163" s="6">
        <f t="shared" si="372"/>
        <v>2016</v>
      </c>
      <c r="N1163" s="7">
        <f t="shared" si="360"/>
        <v>0.5714285714285714</v>
      </c>
      <c r="O1163" s="7">
        <f t="shared" si="361"/>
        <v>0.42857142857142855</v>
      </c>
      <c r="P1163" s="7">
        <f t="shared" si="362"/>
        <v>0.2857142857142857</v>
      </c>
      <c r="Q1163" s="7">
        <f t="shared" si="373"/>
        <v>0.14285714285714285</v>
      </c>
      <c r="R1163" s="10" t="str">
        <f t="shared" si="363"/>
        <v>1_Post</v>
      </c>
      <c r="S1163" s="10" t="str">
        <f t="shared" si="364"/>
        <v>1_Post</v>
      </c>
      <c r="T1163" s="10" t="str">
        <f t="shared" si="365"/>
        <v>1_Post</v>
      </c>
      <c r="U1163" s="10" t="str">
        <f t="shared" si="366"/>
        <v>1_Post</v>
      </c>
      <c r="V1163" s="10" t="str">
        <f t="shared" si="374"/>
        <v>0_Pre</v>
      </c>
      <c r="W1163" s="10" t="str">
        <f t="shared" si="367"/>
        <v>straddle</v>
      </c>
      <c r="X1163" s="10" t="str">
        <f t="shared" si="368"/>
        <v>0_Pre</v>
      </c>
      <c r="Y1163" s="10" t="str">
        <f t="shared" si="369"/>
        <v>0_Pre</v>
      </c>
      <c r="Z1163" s="10" t="str">
        <f t="shared" si="370"/>
        <v>0_Pre</v>
      </c>
      <c r="AA1163" s="10" t="str">
        <f t="shared" si="375"/>
        <v>1_Post</v>
      </c>
      <c r="AB1163" s="10" t="str">
        <f t="shared" si="376"/>
        <v>1_Post</v>
      </c>
      <c r="AC1163" s="10" t="str">
        <f t="shared" si="377"/>
        <v>1_Post</v>
      </c>
      <c r="AD1163" s="10" t="str">
        <f t="shared" si="378"/>
        <v>2_post sample median</v>
      </c>
      <c r="AE1163" s="10" t="str">
        <f t="shared" si="379"/>
        <v>3_post sample third tertile</v>
      </c>
      <c r="AF1163" t="s">
        <v>82</v>
      </c>
      <c r="AG1163" t="s">
        <v>75</v>
      </c>
      <c r="AH1163" t="s">
        <v>78</v>
      </c>
      <c r="AI1163" t="s">
        <v>122</v>
      </c>
      <c r="AJ1163" t="s">
        <v>122</v>
      </c>
      <c r="AK1163" t="str">
        <f>VLOOKUP(MID($AR1163,1,255),country_lookup!$B:$F,2,FALSE)</f>
        <v>3_AsiaPac</v>
      </c>
      <c r="AL1163" t="str">
        <f>VLOOKUP(MID($AR1163,1,255),country_lookup!$B:$F,3,FALSE)</f>
        <v>2_developing</v>
      </c>
      <c r="AM1163" t="str">
        <f>VLOOKUP(MID($AR1163,1,255),country_lookup!$B:$F,4,FALSE)</f>
        <v>2_non_western</v>
      </c>
      <c r="AN1163" t="str">
        <f>VLOOKUP(MID($AR1163,1,255),country_lookup!$B:$F,5,FALSE)</f>
        <v>2_civil law</v>
      </c>
      <c r="AO1163" s="10" t="str">
        <f>VLOOKUP(MID($AS1163,1,255),source_lookup!$B:$K,4,FALSE)</f>
        <v>0_published</v>
      </c>
      <c r="AP1163" s="10" t="str">
        <f>VLOOKUP(MID($AS1163,1,255),source_lookup!$B:$K,6,FALSE)</f>
        <v>1_VHB high</v>
      </c>
      <c r="AQ1163" s="10" t="str">
        <f>VLOOKUP(MID($AS1163,1,255),source_lookup!$B:$K,10,FALSE)</f>
        <v>2_sust</v>
      </c>
      <c r="AR1163" t="s">
        <v>94</v>
      </c>
      <c r="AS1163" t="s">
        <v>179</v>
      </c>
    </row>
    <row r="1164" spans="1:45" x14ac:dyDescent="0.3">
      <c r="A1164" t="s">
        <v>57</v>
      </c>
      <c r="B1164">
        <v>1163</v>
      </c>
      <c r="C1164" s="1">
        <v>-0.08</v>
      </c>
      <c r="D1164" s="2">
        <v>1294</v>
      </c>
      <c r="E1164" s="4">
        <v>4152</v>
      </c>
      <c r="F1164" s="4" t="s">
        <v>346</v>
      </c>
      <c r="G1164" s="4" t="s">
        <v>347</v>
      </c>
      <c r="H1164" t="s">
        <v>76</v>
      </c>
      <c r="I1164" t="s">
        <v>353</v>
      </c>
      <c r="J1164" s="3">
        <v>2015</v>
      </c>
      <c r="K1164" s="3">
        <v>2019</v>
      </c>
      <c r="L1164" s="6">
        <f t="shared" si="371"/>
        <v>2017</v>
      </c>
      <c r="M1164" s="6">
        <f t="shared" si="372"/>
        <v>2017</v>
      </c>
      <c r="N1164" s="7">
        <f t="shared" si="360"/>
        <v>0.8</v>
      </c>
      <c r="O1164" s="7">
        <f t="shared" si="361"/>
        <v>0.6</v>
      </c>
      <c r="P1164" s="7">
        <f t="shared" si="362"/>
        <v>0.4</v>
      </c>
      <c r="Q1164" s="7">
        <f t="shared" si="373"/>
        <v>0.2</v>
      </c>
      <c r="R1164" s="10" t="str">
        <f t="shared" si="363"/>
        <v>1_Post</v>
      </c>
      <c r="S1164" s="10" t="str">
        <f t="shared" si="364"/>
        <v>1_Post</v>
      </c>
      <c r="T1164" s="10" t="str">
        <f t="shared" si="365"/>
        <v>1_Post</v>
      </c>
      <c r="U1164" s="10" t="str">
        <f t="shared" si="366"/>
        <v>1_Post</v>
      </c>
      <c r="V1164" s="10" t="str">
        <f t="shared" si="374"/>
        <v>0_Pre</v>
      </c>
      <c r="W1164" s="10" t="str">
        <f t="shared" si="367"/>
        <v>straddle</v>
      </c>
      <c r="X1164" s="10" t="str">
        <f t="shared" si="368"/>
        <v>1_Post</v>
      </c>
      <c r="Y1164" s="10" t="str">
        <f t="shared" si="369"/>
        <v>0_Pre</v>
      </c>
      <c r="Z1164" s="10" t="str">
        <f t="shared" si="370"/>
        <v>0_Pre</v>
      </c>
      <c r="AA1164" s="10" t="str">
        <f t="shared" si="375"/>
        <v>1_Post</v>
      </c>
      <c r="AB1164" s="10" t="str">
        <f t="shared" si="376"/>
        <v>1_Post</v>
      </c>
      <c r="AC1164" s="10" t="str">
        <f t="shared" si="377"/>
        <v>1_Post</v>
      </c>
      <c r="AD1164" s="10" t="str">
        <f t="shared" si="378"/>
        <v>2_post sample median</v>
      </c>
      <c r="AE1164" s="10" t="str">
        <f t="shared" si="379"/>
        <v>3_post sample third tertile</v>
      </c>
      <c r="AF1164" t="s">
        <v>80</v>
      </c>
      <c r="AG1164" t="s">
        <v>75</v>
      </c>
      <c r="AH1164" t="s">
        <v>78</v>
      </c>
      <c r="AI1164" t="s">
        <v>70</v>
      </c>
      <c r="AJ1164" t="s">
        <v>70</v>
      </c>
      <c r="AK1164" t="str">
        <f>VLOOKUP(MID($AR1164,1,255),country_lookup!$B:$F,2,FALSE)</f>
        <v>99_NCE</v>
      </c>
      <c r="AL1164" t="str">
        <f>VLOOKUP(MID($AR1164,1,255),country_lookup!$B:$F,3,FALSE)</f>
        <v>99_NCE</v>
      </c>
      <c r="AM1164" t="str">
        <f>VLOOKUP(MID($AR1164,1,255),country_lookup!$B:$F,4,FALSE)</f>
        <v>99_NCE</v>
      </c>
      <c r="AN1164" t="str">
        <f>VLOOKUP(MID($AR1164,1,255),country_lookup!$B:$F,5,FALSE)</f>
        <v>99_NCE</v>
      </c>
      <c r="AO1164" s="10" t="str">
        <f>VLOOKUP(MID($AS1164,1,255),source_lookup!$B:$K,4,FALSE)</f>
        <v>0_published</v>
      </c>
      <c r="AP1164" s="10" t="str">
        <f>VLOOKUP(MID($AS1164,1,255),source_lookup!$B:$K,6,FALSE)</f>
        <v>1_VHB high</v>
      </c>
      <c r="AQ1164" s="10" t="str">
        <f>VLOOKUP(MID($AS1164,1,255),source_lookup!$B:$K,10,FALSE)</f>
        <v>2_sust</v>
      </c>
      <c r="AR1164" t="s">
        <v>116</v>
      </c>
      <c r="AS1164" t="s">
        <v>180</v>
      </c>
    </row>
    <row r="1165" spans="1:45" x14ac:dyDescent="0.3">
      <c r="A1165" t="s">
        <v>57</v>
      </c>
      <c r="B1165">
        <v>1164</v>
      </c>
      <c r="C1165" s="1">
        <v>-7.0000000000000007E-2</v>
      </c>
      <c r="D1165" s="2">
        <v>1294</v>
      </c>
      <c r="E1165" s="4">
        <v>4152</v>
      </c>
      <c r="F1165" s="4" t="s">
        <v>346</v>
      </c>
      <c r="G1165" s="4" t="s">
        <v>347</v>
      </c>
      <c r="H1165" t="s">
        <v>76</v>
      </c>
      <c r="I1165" t="s">
        <v>353</v>
      </c>
      <c r="J1165" s="3">
        <v>2015</v>
      </c>
      <c r="K1165" s="3">
        <v>2019</v>
      </c>
      <c r="L1165" s="6">
        <f t="shared" si="371"/>
        <v>2017</v>
      </c>
      <c r="M1165" s="6">
        <f t="shared" si="372"/>
        <v>2017</v>
      </c>
      <c r="N1165" s="7">
        <f t="shared" si="360"/>
        <v>0.8</v>
      </c>
      <c r="O1165" s="7">
        <f t="shared" si="361"/>
        <v>0.6</v>
      </c>
      <c r="P1165" s="7">
        <f t="shared" si="362"/>
        <v>0.4</v>
      </c>
      <c r="Q1165" s="7">
        <f t="shared" si="373"/>
        <v>0.2</v>
      </c>
      <c r="R1165" s="10" t="str">
        <f t="shared" si="363"/>
        <v>1_Post</v>
      </c>
      <c r="S1165" s="10" t="str">
        <f t="shared" si="364"/>
        <v>1_Post</v>
      </c>
      <c r="T1165" s="10" t="str">
        <f t="shared" si="365"/>
        <v>1_Post</v>
      </c>
      <c r="U1165" s="10" t="str">
        <f t="shared" si="366"/>
        <v>1_Post</v>
      </c>
      <c r="V1165" s="10" t="str">
        <f t="shared" si="374"/>
        <v>0_Pre</v>
      </c>
      <c r="W1165" s="10" t="str">
        <f t="shared" si="367"/>
        <v>straddle</v>
      </c>
      <c r="X1165" s="10" t="str">
        <f t="shared" si="368"/>
        <v>1_Post</v>
      </c>
      <c r="Y1165" s="10" t="str">
        <f t="shared" si="369"/>
        <v>0_Pre</v>
      </c>
      <c r="Z1165" s="10" t="str">
        <f t="shared" si="370"/>
        <v>0_Pre</v>
      </c>
      <c r="AA1165" s="10" t="str">
        <f t="shared" si="375"/>
        <v>1_Post</v>
      </c>
      <c r="AB1165" s="10" t="str">
        <f t="shared" si="376"/>
        <v>1_Post</v>
      </c>
      <c r="AC1165" s="10" t="str">
        <f t="shared" si="377"/>
        <v>1_Post</v>
      </c>
      <c r="AD1165" s="10" t="str">
        <f t="shared" si="378"/>
        <v>2_post sample median</v>
      </c>
      <c r="AE1165" s="10" t="str">
        <f t="shared" si="379"/>
        <v>3_post sample third tertile</v>
      </c>
      <c r="AF1165" t="s">
        <v>80</v>
      </c>
      <c r="AG1165" t="s">
        <v>75</v>
      </c>
      <c r="AH1165" t="s">
        <v>78</v>
      </c>
      <c r="AI1165" t="s">
        <v>70</v>
      </c>
      <c r="AJ1165" t="s">
        <v>70</v>
      </c>
      <c r="AK1165" t="str">
        <f>VLOOKUP(MID($AR1165,1,255),country_lookup!$B:$F,2,FALSE)</f>
        <v>99_NCE</v>
      </c>
      <c r="AL1165" t="str">
        <f>VLOOKUP(MID($AR1165,1,255),country_lookup!$B:$F,3,FALSE)</f>
        <v>99_NCE</v>
      </c>
      <c r="AM1165" t="str">
        <f>VLOOKUP(MID($AR1165,1,255),country_lookup!$B:$F,4,FALSE)</f>
        <v>99_NCE</v>
      </c>
      <c r="AN1165" t="str">
        <f>VLOOKUP(MID($AR1165,1,255),country_lookup!$B:$F,5,FALSE)</f>
        <v>99_NCE</v>
      </c>
      <c r="AO1165" s="10" t="str">
        <f>VLOOKUP(MID($AS1165,1,255),source_lookup!$B:$K,4,FALSE)</f>
        <v>0_published</v>
      </c>
      <c r="AP1165" s="10" t="str">
        <f>VLOOKUP(MID($AS1165,1,255),source_lookup!$B:$K,6,FALSE)</f>
        <v>1_VHB high</v>
      </c>
      <c r="AQ1165" s="10" t="str">
        <f>VLOOKUP(MID($AS1165,1,255),source_lookup!$B:$K,10,FALSE)</f>
        <v>2_sust</v>
      </c>
      <c r="AR1165" t="s">
        <v>116</v>
      </c>
      <c r="AS1165" t="s">
        <v>180</v>
      </c>
    </row>
    <row r="1166" spans="1:45" x14ac:dyDescent="0.3">
      <c r="A1166" t="s">
        <v>57</v>
      </c>
      <c r="B1166">
        <v>1165</v>
      </c>
      <c r="C1166" s="1">
        <v>-0.1</v>
      </c>
      <c r="D1166" s="2">
        <v>1294</v>
      </c>
      <c r="E1166" s="4">
        <v>4152</v>
      </c>
      <c r="F1166" s="4" t="s">
        <v>346</v>
      </c>
      <c r="G1166" s="4" t="s">
        <v>347</v>
      </c>
      <c r="H1166" t="s">
        <v>76</v>
      </c>
      <c r="I1166" t="s">
        <v>353</v>
      </c>
      <c r="J1166" s="3">
        <v>2015</v>
      </c>
      <c r="K1166" s="3">
        <v>2019</v>
      </c>
      <c r="L1166" s="6">
        <f t="shared" si="371"/>
        <v>2017</v>
      </c>
      <c r="M1166" s="6">
        <f t="shared" si="372"/>
        <v>2017</v>
      </c>
      <c r="N1166" s="7">
        <f t="shared" si="360"/>
        <v>0.8</v>
      </c>
      <c r="O1166" s="7">
        <f t="shared" si="361"/>
        <v>0.6</v>
      </c>
      <c r="P1166" s="7">
        <f t="shared" si="362"/>
        <v>0.4</v>
      </c>
      <c r="Q1166" s="7">
        <f t="shared" si="373"/>
        <v>0.2</v>
      </c>
      <c r="R1166" s="10" t="str">
        <f t="shared" si="363"/>
        <v>1_Post</v>
      </c>
      <c r="S1166" s="10" t="str">
        <f t="shared" si="364"/>
        <v>1_Post</v>
      </c>
      <c r="T1166" s="10" t="str">
        <f t="shared" si="365"/>
        <v>1_Post</v>
      </c>
      <c r="U1166" s="10" t="str">
        <f t="shared" si="366"/>
        <v>1_Post</v>
      </c>
      <c r="V1166" s="10" t="str">
        <f t="shared" si="374"/>
        <v>0_Pre</v>
      </c>
      <c r="W1166" s="10" t="str">
        <f t="shared" si="367"/>
        <v>straddle</v>
      </c>
      <c r="X1166" s="10" t="str">
        <f t="shared" si="368"/>
        <v>1_Post</v>
      </c>
      <c r="Y1166" s="10" t="str">
        <f t="shared" si="369"/>
        <v>0_Pre</v>
      </c>
      <c r="Z1166" s="10" t="str">
        <f t="shared" si="370"/>
        <v>0_Pre</v>
      </c>
      <c r="AA1166" s="10" t="str">
        <f t="shared" si="375"/>
        <v>1_Post</v>
      </c>
      <c r="AB1166" s="10" t="str">
        <f t="shared" si="376"/>
        <v>1_Post</v>
      </c>
      <c r="AC1166" s="10" t="str">
        <f t="shared" si="377"/>
        <v>1_Post</v>
      </c>
      <c r="AD1166" s="10" t="str">
        <f t="shared" si="378"/>
        <v>2_post sample median</v>
      </c>
      <c r="AE1166" s="10" t="str">
        <f t="shared" si="379"/>
        <v>3_post sample third tertile</v>
      </c>
      <c r="AF1166" t="s">
        <v>80</v>
      </c>
      <c r="AG1166" t="s">
        <v>75</v>
      </c>
      <c r="AH1166" t="s">
        <v>78</v>
      </c>
      <c r="AI1166" t="s">
        <v>70</v>
      </c>
      <c r="AJ1166" t="s">
        <v>70</v>
      </c>
      <c r="AK1166" t="str">
        <f>VLOOKUP(MID($AR1166,1,255),country_lookup!$B:$F,2,FALSE)</f>
        <v>99_NCE</v>
      </c>
      <c r="AL1166" t="str">
        <f>VLOOKUP(MID($AR1166,1,255),country_lookup!$B:$F,3,FALSE)</f>
        <v>99_NCE</v>
      </c>
      <c r="AM1166" t="str">
        <f>VLOOKUP(MID($AR1166,1,255),country_lookup!$B:$F,4,FALSE)</f>
        <v>99_NCE</v>
      </c>
      <c r="AN1166" t="str">
        <f>VLOOKUP(MID($AR1166,1,255),country_lookup!$B:$F,5,FALSE)</f>
        <v>99_NCE</v>
      </c>
      <c r="AO1166" s="10" t="str">
        <f>VLOOKUP(MID($AS1166,1,255),source_lookup!$B:$K,4,FALSE)</f>
        <v>0_published</v>
      </c>
      <c r="AP1166" s="10" t="str">
        <f>VLOOKUP(MID($AS1166,1,255),source_lookup!$B:$K,6,FALSE)</f>
        <v>1_VHB high</v>
      </c>
      <c r="AQ1166" s="10" t="str">
        <f>VLOOKUP(MID($AS1166,1,255),source_lookup!$B:$K,10,FALSE)</f>
        <v>2_sust</v>
      </c>
      <c r="AR1166" t="s">
        <v>116</v>
      </c>
      <c r="AS1166" t="s">
        <v>180</v>
      </c>
    </row>
    <row r="1167" spans="1:45" x14ac:dyDescent="0.3">
      <c r="A1167" t="s">
        <v>57</v>
      </c>
      <c r="B1167">
        <v>1166</v>
      </c>
      <c r="C1167" s="1">
        <v>-0.05</v>
      </c>
      <c r="D1167" s="2">
        <v>1294</v>
      </c>
      <c r="E1167" s="4">
        <v>4152</v>
      </c>
      <c r="F1167" s="4" t="s">
        <v>346</v>
      </c>
      <c r="G1167" s="4" t="s">
        <v>347</v>
      </c>
      <c r="H1167" t="s">
        <v>76</v>
      </c>
      <c r="I1167" t="s">
        <v>353</v>
      </c>
      <c r="J1167" s="3">
        <v>2015</v>
      </c>
      <c r="K1167" s="3">
        <v>2019</v>
      </c>
      <c r="L1167" s="6">
        <f t="shared" si="371"/>
        <v>2017</v>
      </c>
      <c r="M1167" s="6">
        <f t="shared" si="372"/>
        <v>2017</v>
      </c>
      <c r="N1167" s="7">
        <f t="shared" si="360"/>
        <v>0.8</v>
      </c>
      <c r="O1167" s="7">
        <f t="shared" si="361"/>
        <v>0.6</v>
      </c>
      <c r="P1167" s="7">
        <f t="shared" si="362"/>
        <v>0.4</v>
      </c>
      <c r="Q1167" s="7">
        <f t="shared" si="373"/>
        <v>0.2</v>
      </c>
      <c r="R1167" s="10" t="str">
        <f t="shared" si="363"/>
        <v>1_Post</v>
      </c>
      <c r="S1167" s="10" t="str">
        <f t="shared" si="364"/>
        <v>1_Post</v>
      </c>
      <c r="T1167" s="10" t="str">
        <f t="shared" si="365"/>
        <v>1_Post</v>
      </c>
      <c r="U1167" s="10" t="str">
        <f t="shared" si="366"/>
        <v>1_Post</v>
      </c>
      <c r="V1167" s="10" t="str">
        <f t="shared" si="374"/>
        <v>0_Pre</v>
      </c>
      <c r="W1167" s="10" t="str">
        <f t="shared" si="367"/>
        <v>straddle</v>
      </c>
      <c r="X1167" s="10" t="str">
        <f t="shared" si="368"/>
        <v>1_Post</v>
      </c>
      <c r="Y1167" s="10" t="str">
        <f t="shared" si="369"/>
        <v>0_Pre</v>
      </c>
      <c r="Z1167" s="10" t="str">
        <f t="shared" si="370"/>
        <v>0_Pre</v>
      </c>
      <c r="AA1167" s="10" t="str">
        <f t="shared" si="375"/>
        <v>1_Post</v>
      </c>
      <c r="AB1167" s="10" t="str">
        <f t="shared" si="376"/>
        <v>1_Post</v>
      </c>
      <c r="AC1167" s="10" t="str">
        <f t="shared" si="377"/>
        <v>1_Post</v>
      </c>
      <c r="AD1167" s="10" t="str">
        <f t="shared" si="378"/>
        <v>2_post sample median</v>
      </c>
      <c r="AE1167" s="10" t="str">
        <f t="shared" si="379"/>
        <v>3_post sample third tertile</v>
      </c>
      <c r="AF1167" t="s">
        <v>80</v>
      </c>
      <c r="AG1167" t="s">
        <v>75</v>
      </c>
      <c r="AH1167" t="s">
        <v>78</v>
      </c>
      <c r="AI1167" t="s">
        <v>70</v>
      </c>
      <c r="AJ1167" t="s">
        <v>70</v>
      </c>
      <c r="AK1167" t="str">
        <f>VLOOKUP(MID($AR1167,1,255),country_lookup!$B:$F,2,FALSE)</f>
        <v>99_NCE</v>
      </c>
      <c r="AL1167" t="str">
        <f>VLOOKUP(MID($AR1167,1,255),country_lookup!$B:$F,3,FALSE)</f>
        <v>99_NCE</v>
      </c>
      <c r="AM1167" t="str">
        <f>VLOOKUP(MID($AR1167,1,255),country_lookup!$B:$F,4,FALSE)</f>
        <v>99_NCE</v>
      </c>
      <c r="AN1167" t="str">
        <f>VLOOKUP(MID($AR1167,1,255),country_lookup!$B:$F,5,FALSE)</f>
        <v>99_NCE</v>
      </c>
      <c r="AO1167" s="10" t="str">
        <f>VLOOKUP(MID($AS1167,1,255),source_lookup!$B:$K,4,FALSE)</f>
        <v>0_published</v>
      </c>
      <c r="AP1167" s="10" t="str">
        <f>VLOOKUP(MID($AS1167,1,255),source_lookup!$B:$K,6,FALSE)</f>
        <v>1_VHB high</v>
      </c>
      <c r="AQ1167" s="10" t="str">
        <f>VLOOKUP(MID($AS1167,1,255),source_lookup!$B:$K,10,FALSE)</f>
        <v>2_sust</v>
      </c>
      <c r="AR1167" t="s">
        <v>116</v>
      </c>
      <c r="AS1167" t="s">
        <v>180</v>
      </c>
    </row>
    <row r="1168" spans="1:45" x14ac:dyDescent="0.3">
      <c r="A1168" t="s">
        <v>57</v>
      </c>
      <c r="B1168">
        <v>1167</v>
      </c>
      <c r="C1168" s="1">
        <v>-4.6507435970786257E-2</v>
      </c>
      <c r="D1168" s="2">
        <v>1294</v>
      </c>
      <c r="E1168" s="4">
        <v>4152</v>
      </c>
      <c r="F1168" s="4" t="s">
        <v>346</v>
      </c>
      <c r="G1168" s="4" t="s">
        <v>347</v>
      </c>
      <c r="H1168" t="s">
        <v>77</v>
      </c>
      <c r="I1168" t="s">
        <v>352</v>
      </c>
      <c r="J1168" s="3">
        <v>2015</v>
      </c>
      <c r="K1168" s="3">
        <v>2019</v>
      </c>
      <c r="L1168" s="6">
        <f t="shared" si="371"/>
        <v>2017</v>
      </c>
      <c r="M1168" s="6">
        <f t="shared" si="372"/>
        <v>2017</v>
      </c>
      <c r="N1168" s="7">
        <f t="shared" si="360"/>
        <v>0.8</v>
      </c>
      <c r="O1168" s="7">
        <f t="shared" si="361"/>
        <v>0.6</v>
      </c>
      <c r="P1168" s="7">
        <f t="shared" si="362"/>
        <v>0.4</v>
      </c>
      <c r="Q1168" s="7">
        <f t="shared" si="373"/>
        <v>0.2</v>
      </c>
      <c r="R1168" s="10" t="str">
        <f t="shared" si="363"/>
        <v>1_Post</v>
      </c>
      <c r="S1168" s="10" t="str">
        <f t="shared" si="364"/>
        <v>1_Post</v>
      </c>
      <c r="T1168" s="10" t="str">
        <f t="shared" si="365"/>
        <v>1_Post</v>
      </c>
      <c r="U1168" s="10" t="str">
        <f t="shared" si="366"/>
        <v>1_Post</v>
      </c>
      <c r="V1168" s="10" t="str">
        <f t="shared" si="374"/>
        <v>0_Pre</v>
      </c>
      <c r="W1168" s="10" t="str">
        <f t="shared" si="367"/>
        <v>straddle</v>
      </c>
      <c r="X1168" s="10" t="str">
        <f t="shared" si="368"/>
        <v>1_Post</v>
      </c>
      <c r="Y1168" s="10" t="str">
        <f t="shared" si="369"/>
        <v>0_Pre</v>
      </c>
      <c r="Z1168" s="10" t="str">
        <f t="shared" si="370"/>
        <v>0_Pre</v>
      </c>
      <c r="AA1168" s="10" t="str">
        <f t="shared" si="375"/>
        <v>1_Post</v>
      </c>
      <c r="AB1168" s="10" t="str">
        <f t="shared" si="376"/>
        <v>1_Post</v>
      </c>
      <c r="AC1168" s="10" t="str">
        <f t="shared" si="377"/>
        <v>1_Post</v>
      </c>
      <c r="AD1168" s="10" t="str">
        <f t="shared" si="378"/>
        <v>2_post sample median</v>
      </c>
      <c r="AE1168" s="10" t="str">
        <f t="shared" si="379"/>
        <v>3_post sample third tertile</v>
      </c>
      <c r="AF1168" t="s">
        <v>80</v>
      </c>
      <c r="AG1168" t="s">
        <v>75</v>
      </c>
      <c r="AH1168" t="s">
        <v>78</v>
      </c>
      <c r="AI1168" t="s">
        <v>70</v>
      </c>
      <c r="AJ1168" t="s">
        <v>70</v>
      </c>
      <c r="AK1168" t="str">
        <f>VLOOKUP(MID($AR1168,1,255),country_lookup!$B:$F,2,FALSE)</f>
        <v>99_NCE</v>
      </c>
      <c r="AL1168" t="str">
        <f>VLOOKUP(MID($AR1168,1,255),country_lookup!$B:$F,3,FALSE)</f>
        <v>99_NCE</v>
      </c>
      <c r="AM1168" t="str">
        <f>VLOOKUP(MID($AR1168,1,255),country_lookup!$B:$F,4,FALSE)</f>
        <v>99_NCE</v>
      </c>
      <c r="AN1168" t="str">
        <f>VLOOKUP(MID($AR1168,1,255),country_lookup!$B:$F,5,FALSE)</f>
        <v>99_NCE</v>
      </c>
      <c r="AO1168" s="10" t="str">
        <f>VLOOKUP(MID($AS1168,1,255),source_lookup!$B:$K,4,FALSE)</f>
        <v>0_published</v>
      </c>
      <c r="AP1168" s="10" t="str">
        <f>VLOOKUP(MID($AS1168,1,255),source_lookup!$B:$K,6,FALSE)</f>
        <v>1_VHB high</v>
      </c>
      <c r="AQ1168" s="10" t="str">
        <f>VLOOKUP(MID($AS1168,1,255),source_lookup!$B:$K,10,FALSE)</f>
        <v>2_sust</v>
      </c>
      <c r="AR1168" t="s">
        <v>116</v>
      </c>
      <c r="AS1168" t="s">
        <v>180</v>
      </c>
    </row>
    <row r="1169" spans="1:45" x14ac:dyDescent="0.3">
      <c r="A1169" t="s">
        <v>57</v>
      </c>
      <c r="B1169">
        <v>1168</v>
      </c>
      <c r="C1169" s="1">
        <v>-4.6507435970786257E-2</v>
      </c>
      <c r="D1169" s="2">
        <v>1294</v>
      </c>
      <c r="E1169" s="4">
        <v>4152</v>
      </c>
      <c r="F1169" s="4" t="s">
        <v>346</v>
      </c>
      <c r="G1169" s="4" t="s">
        <v>347</v>
      </c>
      <c r="H1169" t="s">
        <v>77</v>
      </c>
      <c r="I1169" t="s">
        <v>352</v>
      </c>
      <c r="J1169" s="3">
        <v>2015</v>
      </c>
      <c r="K1169" s="3">
        <v>2019</v>
      </c>
      <c r="L1169" s="6">
        <f t="shared" si="371"/>
        <v>2017</v>
      </c>
      <c r="M1169" s="6">
        <f t="shared" si="372"/>
        <v>2017</v>
      </c>
      <c r="N1169" s="7">
        <f t="shared" si="360"/>
        <v>0.8</v>
      </c>
      <c r="O1169" s="7">
        <f t="shared" si="361"/>
        <v>0.6</v>
      </c>
      <c r="P1169" s="7">
        <f t="shared" si="362"/>
        <v>0.4</v>
      </c>
      <c r="Q1169" s="7">
        <f t="shared" si="373"/>
        <v>0.2</v>
      </c>
      <c r="R1169" s="10" t="str">
        <f t="shared" si="363"/>
        <v>1_Post</v>
      </c>
      <c r="S1169" s="10" t="str">
        <f t="shared" si="364"/>
        <v>1_Post</v>
      </c>
      <c r="T1169" s="10" t="str">
        <f t="shared" si="365"/>
        <v>1_Post</v>
      </c>
      <c r="U1169" s="10" t="str">
        <f t="shared" si="366"/>
        <v>1_Post</v>
      </c>
      <c r="V1169" s="10" t="str">
        <f t="shared" si="374"/>
        <v>0_Pre</v>
      </c>
      <c r="W1169" s="10" t="str">
        <f t="shared" si="367"/>
        <v>straddle</v>
      </c>
      <c r="X1169" s="10" t="str">
        <f t="shared" si="368"/>
        <v>1_Post</v>
      </c>
      <c r="Y1169" s="10" t="str">
        <f t="shared" si="369"/>
        <v>0_Pre</v>
      </c>
      <c r="Z1169" s="10" t="str">
        <f t="shared" si="370"/>
        <v>0_Pre</v>
      </c>
      <c r="AA1169" s="10" t="str">
        <f t="shared" si="375"/>
        <v>1_Post</v>
      </c>
      <c r="AB1169" s="10" t="str">
        <f t="shared" si="376"/>
        <v>1_Post</v>
      </c>
      <c r="AC1169" s="10" t="str">
        <f t="shared" si="377"/>
        <v>1_Post</v>
      </c>
      <c r="AD1169" s="10" t="str">
        <f t="shared" si="378"/>
        <v>2_post sample median</v>
      </c>
      <c r="AE1169" s="10" t="str">
        <f t="shared" si="379"/>
        <v>3_post sample third tertile</v>
      </c>
      <c r="AF1169" t="s">
        <v>80</v>
      </c>
      <c r="AG1169" t="s">
        <v>75</v>
      </c>
      <c r="AH1169" t="s">
        <v>78</v>
      </c>
      <c r="AI1169" t="s">
        <v>70</v>
      </c>
      <c r="AJ1169" t="s">
        <v>70</v>
      </c>
      <c r="AK1169" t="str">
        <f>VLOOKUP(MID($AR1169,1,255),country_lookup!$B:$F,2,FALSE)</f>
        <v>99_NCE</v>
      </c>
      <c r="AL1169" t="str">
        <f>VLOOKUP(MID($AR1169,1,255),country_lookup!$B:$F,3,FALSE)</f>
        <v>99_NCE</v>
      </c>
      <c r="AM1169" t="str">
        <f>VLOOKUP(MID($AR1169,1,255),country_lookup!$B:$F,4,FALSE)</f>
        <v>99_NCE</v>
      </c>
      <c r="AN1169" t="str">
        <f>VLOOKUP(MID($AR1169,1,255),country_lookup!$B:$F,5,FALSE)</f>
        <v>99_NCE</v>
      </c>
      <c r="AO1169" s="10" t="str">
        <f>VLOOKUP(MID($AS1169,1,255),source_lookup!$B:$K,4,FALSE)</f>
        <v>0_published</v>
      </c>
      <c r="AP1169" s="10" t="str">
        <f>VLOOKUP(MID($AS1169,1,255),source_lookup!$B:$K,6,FALSE)</f>
        <v>1_VHB high</v>
      </c>
      <c r="AQ1169" s="10" t="str">
        <f>VLOOKUP(MID($AS1169,1,255),source_lookup!$B:$K,10,FALSE)</f>
        <v>2_sust</v>
      </c>
      <c r="AR1169" t="s">
        <v>116</v>
      </c>
      <c r="AS1169" t="s">
        <v>180</v>
      </c>
    </row>
    <row r="1170" spans="1:45" x14ac:dyDescent="0.3">
      <c r="A1170" t="s">
        <v>57</v>
      </c>
      <c r="B1170">
        <v>1169</v>
      </c>
      <c r="C1170" s="1">
        <v>-3.1023602427884881E-2</v>
      </c>
      <c r="D1170" s="2">
        <v>1294</v>
      </c>
      <c r="E1170" s="4">
        <v>4152</v>
      </c>
      <c r="F1170" s="4" t="s">
        <v>346</v>
      </c>
      <c r="G1170" s="4" t="s">
        <v>347</v>
      </c>
      <c r="H1170" t="s">
        <v>77</v>
      </c>
      <c r="I1170" t="s">
        <v>352</v>
      </c>
      <c r="J1170" s="3">
        <v>2015</v>
      </c>
      <c r="K1170" s="3">
        <v>2019</v>
      </c>
      <c r="L1170" s="6">
        <f t="shared" si="371"/>
        <v>2017</v>
      </c>
      <c r="M1170" s="6">
        <f t="shared" si="372"/>
        <v>2017</v>
      </c>
      <c r="N1170" s="7">
        <f t="shared" si="360"/>
        <v>0.8</v>
      </c>
      <c r="O1170" s="7">
        <f t="shared" si="361"/>
        <v>0.6</v>
      </c>
      <c r="P1170" s="7">
        <f t="shared" si="362"/>
        <v>0.4</v>
      </c>
      <c r="Q1170" s="7">
        <f t="shared" si="373"/>
        <v>0.2</v>
      </c>
      <c r="R1170" s="10" t="str">
        <f t="shared" si="363"/>
        <v>1_Post</v>
      </c>
      <c r="S1170" s="10" t="str">
        <f t="shared" si="364"/>
        <v>1_Post</v>
      </c>
      <c r="T1170" s="10" t="str">
        <f t="shared" si="365"/>
        <v>1_Post</v>
      </c>
      <c r="U1170" s="10" t="str">
        <f t="shared" si="366"/>
        <v>1_Post</v>
      </c>
      <c r="V1170" s="10" t="str">
        <f t="shared" si="374"/>
        <v>0_Pre</v>
      </c>
      <c r="W1170" s="10" t="str">
        <f t="shared" si="367"/>
        <v>straddle</v>
      </c>
      <c r="X1170" s="10" t="str">
        <f t="shared" si="368"/>
        <v>1_Post</v>
      </c>
      <c r="Y1170" s="10" t="str">
        <f t="shared" si="369"/>
        <v>0_Pre</v>
      </c>
      <c r="Z1170" s="10" t="str">
        <f t="shared" si="370"/>
        <v>0_Pre</v>
      </c>
      <c r="AA1170" s="10" t="str">
        <f t="shared" si="375"/>
        <v>1_Post</v>
      </c>
      <c r="AB1170" s="10" t="str">
        <f t="shared" si="376"/>
        <v>1_Post</v>
      </c>
      <c r="AC1170" s="10" t="str">
        <f t="shared" si="377"/>
        <v>1_Post</v>
      </c>
      <c r="AD1170" s="10" t="str">
        <f t="shared" si="378"/>
        <v>2_post sample median</v>
      </c>
      <c r="AE1170" s="10" t="str">
        <f t="shared" si="379"/>
        <v>3_post sample third tertile</v>
      </c>
      <c r="AF1170" t="s">
        <v>80</v>
      </c>
      <c r="AG1170" t="s">
        <v>75</v>
      </c>
      <c r="AH1170" t="s">
        <v>78</v>
      </c>
      <c r="AI1170" t="s">
        <v>70</v>
      </c>
      <c r="AJ1170" t="s">
        <v>70</v>
      </c>
      <c r="AK1170" t="str">
        <f>VLOOKUP(MID($AR1170,1,255),country_lookup!$B:$F,2,FALSE)</f>
        <v>99_NCE</v>
      </c>
      <c r="AL1170" t="str">
        <f>VLOOKUP(MID($AR1170,1,255),country_lookup!$B:$F,3,FALSE)</f>
        <v>99_NCE</v>
      </c>
      <c r="AM1170" t="str">
        <f>VLOOKUP(MID($AR1170,1,255),country_lookup!$B:$F,4,FALSE)</f>
        <v>99_NCE</v>
      </c>
      <c r="AN1170" t="str">
        <f>VLOOKUP(MID($AR1170,1,255),country_lookup!$B:$F,5,FALSE)</f>
        <v>99_NCE</v>
      </c>
      <c r="AO1170" s="10" t="str">
        <f>VLOOKUP(MID($AS1170,1,255),source_lookup!$B:$K,4,FALSE)</f>
        <v>0_published</v>
      </c>
      <c r="AP1170" s="10" t="str">
        <f>VLOOKUP(MID($AS1170,1,255),source_lookup!$B:$K,6,FALSE)</f>
        <v>1_VHB high</v>
      </c>
      <c r="AQ1170" s="10" t="str">
        <f>VLOOKUP(MID($AS1170,1,255),source_lookup!$B:$K,10,FALSE)</f>
        <v>2_sust</v>
      </c>
      <c r="AR1170" t="s">
        <v>116</v>
      </c>
      <c r="AS1170" t="s">
        <v>180</v>
      </c>
    </row>
    <row r="1171" spans="1:45" x14ac:dyDescent="0.3">
      <c r="A1171" t="s">
        <v>57</v>
      </c>
      <c r="B1171">
        <v>1170</v>
      </c>
      <c r="C1171" s="1">
        <v>-1.551740282756371E-2</v>
      </c>
      <c r="D1171" s="2">
        <v>1294</v>
      </c>
      <c r="E1171" s="4">
        <v>4152</v>
      </c>
      <c r="F1171" s="4" t="s">
        <v>346</v>
      </c>
      <c r="G1171" s="4" t="s">
        <v>347</v>
      </c>
      <c r="H1171" t="s">
        <v>77</v>
      </c>
      <c r="I1171" t="s">
        <v>352</v>
      </c>
      <c r="J1171" s="3">
        <v>2015</v>
      </c>
      <c r="K1171" s="3">
        <v>2019</v>
      </c>
      <c r="L1171" s="6">
        <f t="shared" si="371"/>
        <v>2017</v>
      </c>
      <c r="M1171" s="6">
        <f t="shared" si="372"/>
        <v>2017</v>
      </c>
      <c r="N1171" s="7">
        <f t="shared" si="360"/>
        <v>0.8</v>
      </c>
      <c r="O1171" s="7">
        <f t="shared" si="361"/>
        <v>0.6</v>
      </c>
      <c r="P1171" s="7">
        <f t="shared" si="362"/>
        <v>0.4</v>
      </c>
      <c r="Q1171" s="7">
        <f t="shared" si="373"/>
        <v>0.2</v>
      </c>
      <c r="R1171" s="10" t="str">
        <f t="shared" si="363"/>
        <v>1_Post</v>
      </c>
      <c r="S1171" s="10" t="str">
        <f t="shared" si="364"/>
        <v>1_Post</v>
      </c>
      <c r="T1171" s="10" t="str">
        <f t="shared" si="365"/>
        <v>1_Post</v>
      </c>
      <c r="U1171" s="10" t="str">
        <f t="shared" si="366"/>
        <v>1_Post</v>
      </c>
      <c r="V1171" s="10" t="str">
        <f t="shared" si="374"/>
        <v>0_Pre</v>
      </c>
      <c r="W1171" s="10" t="str">
        <f t="shared" si="367"/>
        <v>straddle</v>
      </c>
      <c r="X1171" s="10" t="str">
        <f t="shared" si="368"/>
        <v>1_Post</v>
      </c>
      <c r="Y1171" s="10" t="str">
        <f t="shared" si="369"/>
        <v>0_Pre</v>
      </c>
      <c r="Z1171" s="10" t="str">
        <f t="shared" si="370"/>
        <v>0_Pre</v>
      </c>
      <c r="AA1171" s="10" t="str">
        <f t="shared" si="375"/>
        <v>1_Post</v>
      </c>
      <c r="AB1171" s="10" t="str">
        <f t="shared" si="376"/>
        <v>1_Post</v>
      </c>
      <c r="AC1171" s="10" t="str">
        <f t="shared" si="377"/>
        <v>1_Post</v>
      </c>
      <c r="AD1171" s="10" t="str">
        <f t="shared" si="378"/>
        <v>2_post sample median</v>
      </c>
      <c r="AE1171" s="10" t="str">
        <f t="shared" si="379"/>
        <v>3_post sample third tertile</v>
      </c>
      <c r="AF1171" t="s">
        <v>80</v>
      </c>
      <c r="AG1171" t="s">
        <v>75</v>
      </c>
      <c r="AH1171" t="s">
        <v>78</v>
      </c>
      <c r="AI1171" t="s">
        <v>70</v>
      </c>
      <c r="AJ1171" t="s">
        <v>70</v>
      </c>
      <c r="AK1171" t="str">
        <f>VLOOKUP(MID($AR1171,1,255),country_lookup!$B:$F,2,FALSE)</f>
        <v>99_NCE</v>
      </c>
      <c r="AL1171" t="str">
        <f>VLOOKUP(MID($AR1171,1,255),country_lookup!$B:$F,3,FALSE)</f>
        <v>99_NCE</v>
      </c>
      <c r="AM1171" t="str">
        <f>VLOOKUP(MID($AR1171,1,255),country_lookup!$B:$F,4,FALSE)</f>
        <v>99_NCE</v>
      </c>
      <c r="AN1171" t="str">
        <f>VLOOKUP(MID($AR1171,1,255),country_lookup!$B:$F,5,FALSE)</f>
        <v>99_NCE</v>
      </c>
      <c r="AO1171" s="10" t="str">
        <f>VLOOKUP(MID($AS1171,1,255),source_lookup!$B:$K,4,FALSE)</f>
        <v>0_published</v>
      </c>
      <c r="AP1171" s="10" t="str">
        <f>VLOOKUP(MID($AS1171,1,255),source_lookup!$B:$K,6,FALSE)</f>
        <v>1_VHB high</v>
      </c>
      <c r="AQ1171" s="10" t="str">
        <f>VLOOKUP(MID($AS1171,1,255),source_lookup!$B:$K,10,FALSE)</f>
        <v>2_sust</v>
      </c>
      <c r="AR1171" t="s">
        <v>116</v>
      </c>
      <c r="AS1171" t="s">
        <v>180</v>
      </c>
    </row>
    <row r="1172" spans="1:45" x14ac:dyDescent="0.3">
      <c r="A1172" t="s">
        <v>57</v>
      </c>
      <c r="B1172">
        <v>1171</v>
      </c>
      <c r="C1172" s="1">
        <v>-3.6187914707974236E-2</v>
      </c>
      <c r="D1172" s="2">
        <v>1294</v>
      </c>
      <c r="E1172" s="4">
        <v>4152</v>
      </c>
      <c r="F1172" s="4" t="s">
        <v>346</v>
      </c>
      <c r="G1172" s="4" t="s">
        <v>347</v>
      </c>
      <c r="H1172" t="s">
        <v>77</v>
      </c>
      <c r="I1172" t="s">
        <v>352</v>
      </c>
      <c r="J1172" s="3">
        <v>2015</v>
      </c>
      <c r="K1172" s="3">
        <v>2019</v>
      </c>
      <c r="L1172" s="6">
        <f t="shared" si="371"/>
        <v>2017</v>
      </c>
      <c r="M1172" s="6">
        <f t="shared" si="372"/>
        <v>2017</v>
      </c>
      <c r="N1172" s="7">
        <f t="shared" si="360"/>
        <v>0.8</v>
      </c>
      <c r="O1172" s="7">
        <f t="shared" si="361"/>
        <v>0.6</v>
      </c>
      <c r="P1172" s="7">
        <f t="shared" si="362"/>
        <v>0.4</v>
      </c>
      <c r="Q1172" s="7">
        <f t="shared" si="373"/>
        <v>0.2</v>
      </c>
      <c r="R1172" s="10" t="str">
        <f t="shared" si="363"/>
        <v>1_Post</v>
      </c>
      <c r="S1172" s="10" t="str">
        <f t="shared" si="364"/>
        <v>1_Post</v>
      </c>
      <c r="T1172" s="10" t="str">
        <f t="shared" si="365"/>
        <v>1_Post</v>
      </c>
      <c r="U1172" s="10" t="str">
        <f t="shared" si="366"/>
        <v>1_Post</v>
      </c>
      <c r="V1172" s="10" t="str">
        <f t="shared" si="374"/>
        <v>0_Pre</v>
      </c>
      <c r="W1172" s="10" t="str">
        <f t="shared" si="367"/>
        <v>straddle</v>
      </c>
      <c r="X1172" s="10" t="str">
        <f t="shared" si="368"/>
        <v>1_Post</v>
      </c>
      <c r="Y1172" s="10" t="str">
        <f t="shared" si="369"/>
        <v>0_Pre</v>
      </c>
      <c r="Z1172" s="10" t="str">
        <f t="shared" si="370"/>
        <v>0_Pre</v>
      </c>
      <c r="AA1172" s="10" t="str">
        <f t="shared" si="375"/>
        <v>1_Post</v>
      </c>
      <c r="AB1172" s="10" t="str">
        <f t="shared" si="376"/>
        <v>1_Post</v>
      </c>
      <c r="AC1172" s="10" t="str">
        <f t="shared" si="377"/>
        <v>1_Post</v>
      </c>
      <c r="AD1172" s="10" t="str">
        <f t="shared" si="378"/>
        <v>2_post sample median</v>
      </c>
      <c r="AE1172" s="10" t="str">
        <f t="shared" si="379"/>
        <v>3_post sample third tertile</v>
      </c>
      <c r="AF1172" t="s">
        <v>80</v>
      </c>
      <c r="AG1172" t="s">
        <v>75</v>
      </c>
      <c r="AH1172" t="s">
        <v>78</v>
      </c>
      <c r="AI1172" t="s">
        <v>70</v>
      </c>
      <c r="AJ1172" t="s">
        <v>70</v>
      </c>
      <c r="AK1172" t="str">
        <f>VLOOKUP(MID($AR1172,1,255),country_lookup!$B:$F,2,FALSE)</f>
        <v>99_NCE</v>
      </c>
      <c r="AL1172" t="str">
        <f>VLOOKUP(MID($AR1172,1,255),country_lookup!$B:$F,3,FALSE)</f>
        <v>99_NCE</v>
      </c>
      <c r="AM1172" t="str">
        <f>VLOOKUP(MID($AR1172,1,255),country_lookup!$B:$F,4,FALSE)</f>
        <v>99_NCE</v>
      </c>
      <c r="AN1172" t="str">
        <f>VLOOKUP(MID($AR1172,1,255),country_lookup!$B:$F,5,FALSE)</f>
        <v>99_NCE</v>
      </c>
      <c r="AO1172" s="10" t="str">
        <f>VLOOKUP(MID($AS1172,1,255),source_lookup!$B:$K,4,FALSE)</f>
        <v>0_published</v>
      </c>
      <c r="AP1172" s="10" t="str">
        <f>VLOOKUP(MID($AS1172,1,255),source_lookup!$B:$K,6,FALSE)</f>
        <v>1_VHB high</v>
      </c>
      <c r="AQ1172" s="10" t="str">
        <f>VLOOKUP(MID($AS1172,1,255),source_lookup!$B:$K,10,FALSE)</f>
        <v>2_sust</v>
      </c>
      <c r="AR1172" t="s">
        <v>116</v>
      </c>
      <c r="AS1172" t="s">
        <v>180</v>
      </c>
    </row>
    <row r="1173" spans="1:45" x14ac:dyDescent="0.3">
      <c r="A1173" t="s">
        <v>58</v>
      </c>
      <c r="B1173">
        <v>1172</v>
      </c>
      <c r="C1173" s="1">
        <v>-4.2014151429822219E-2</v>
      </c>
      <c r="D1173" s="2">
        <v>507</v>
      </c>
      <c r="E1173" s="4">
        <v>1521</v>
      </c>
      <c r="F1173" s="4" t="s">
        <v>346</v>
      </c>
      <c r="G1173" s="4" t="s">
        <v>346</v>
      </c>
      <c r="H1173" t="s">
        <v>77</v>
      </c>
      <c r="I1173" t="s">
        <v>350</v>
      </c>
      <c r="J1173" s="3">
        <v>2011</v>
      </c>
      <c r="K1173" s="3">
        <v>2013</v>
      </c>
      <c r="L1173" s="6">
        <f t="shared" si="371"/>
        <v>2012</v>
      </c>
      <c r="M1173" s="6">
        <f t="shared" si="372"/>
        <v>2012</v>
      </c>
      <c r="N1173" s="7">
        <f t="shared" si="360"/>
        <v>0</v>
      </c>
      <c r="O1173" s="7">
        <f t="shared" si="361"/>
        <v>0</v>
      </c>
      <c r="P1173" s="7">
        <f t="shared" si="362"/>
        <v>0</v>
      </c>
      <c r="Q1173" s="7">
        <f t="shared" si="373"/>
        <v>0</v>
      </c>
      <c r="R1173" s="10" t="str">
        <f t="shared" si="363"/>
        <v>0_Pre</v>
      </c>
      <c r="S1173" s="10" t="str">
        <f t="shared" si="364"/>
        <v>0_Pre</v>
      </c>
      <c r="T1173" s="10" t="str">
        <f t="shared" si="365"/>
        <v>0_Pre</v>
      </c>
      <c r="U1173" s="10" t="str">
        <f t="shared" si="366"/>
        <v>0_Pre</v>
      </c>
      <c r="V1173" s="10" t="str">
        <f t="shared" si="374"/>
        <v>0_Pre</v>
      </c>
      <c r="W1173" s="10" t="str">
        <f t="shared" si="367"/>
        <v>clean_pre</v>
      </c>
      <c r="X1173" s="10" t="str">
        <f t="shared" si="368"/>
        <v>0_Pre</v>
      </c>
      <c r="Y1173" s="10" t="str">
        <f t="shared" si="369"/>
        <v>0_Pre</v>
      </c>
      <c r="Z1173" s="10" t="str">
        <f t="shared" si="370"/>
        <v>0_Pre</v>
      </c>
      <c r="AA1173" s="10" t="str">
        <f t="shared" si="375"/>
        <v>0_Pre</v>
      </c>
      <c r="AB1173" s="10" t="str">
        <f t="shared" si="376"/>
        <v>0_Pre</v>
      </c>
      <c r="AC1173" s="10" t="str">
        <f t="shared" si="377"/>
        <v>0_Pre</v>
      </c>
      <c r="AD1173" s="10" t="str">
        <f t="shared" si="378"/>
        <v>2_post sample median</v>
      </c>
      <c r="AE1173" s="10" t="str">
        <f t="shared" si="379"/>
        <v>2_in sample second tertile</v>
      </c>
      <c r="AF1173" t="s">
        <v>81</v>
      </c>
      <c r="AG1173" t="s">
        <v>75</v>
      </c>
      <c r="AH1173" t="s">
        <v>78</v>
      </c>
      <c r="AI1173" t="s">
        <v>122</v>
      </c>
      <c r="AJ1173" t="s">
        <v>122</v>
      </c>
      <c r="AK1173" t="str">
        <f>VLOOKUP(MID($AR1173,1,255),country_lookup!$B:$F,2,FALSE)</f>
        <v>1_US</v>
      </c>
      <c r="AL1173" t="str">
        <f>VLOOKUP(MID($AR1173,1,255),country_lookup!$B:$F,3,FALSE)</f>
        <v>1_developed</v>
      </c>
      <c r="AM1173" t="str">
        <f>VLOOKUP(MID($AR1173,1,255),country_lookup!$B:$F,4,FALSE)</f>
        <v>1_western</v>
      </c>
      <c r="AN1173" t="str">
        <f>VLOOKUP(MID($AR1173,1,255),country_lookup!$B:$F,5,FALSE)</f>
        <v>1_common law</v>
      </c>
      <c r="AO1173" s="10" t="str">
        <f>VLOOKUP(MID($AS1173,1,255),source_lookup!$B:$K,4,FALSE)</f>
        <v>0_published</v>
      </c>
      <c r="AP1173" s="10" t="str">
        <f>VLOOKUP(MID($AS1173,1,255),source_lookup!$B:$K,6,FALSE)</f>
        <v>0_VHB low</v>
      </c>
      <c r="AQ1173" s="10" t="str">
        <f>VLOOKUP(MID($AS1173,1,255),source_lookup!$B:$K,10,FALSE)</f>
        <v>2_sust</v>
      </c>
      <c r="AR1173" t="s">
        <v>85</v>
      </c>
      <c r="AS1173" t="s">
        <v>181</v>
      </c>
    </row>
    <row r="1174" spans="1:45" x14ac:dyDescent="0.3">
      <c r="A1174" t="s">
        <v>58</v>
      </c>
      <c r="B1174">
        <v>1173</v>
      </c>
      <c r="C1174" s="1">
        <v>-3.8688960662803737E-2</v>
      </c>
      <c r="D1174" s="2">
        <v>507</v>
      </c>
      <c r="E1174" s="4">
        <v>1521</v>
      </c>
      <c r="F1174" s="4" t="s">
        <v>346</v>
      </c>
      <c r="G1174" s="4" t="s">
        <v>346</v>
      </c>
      <c r="H1174" t="s">
        <v>77</v>
      </c>
      <c r="I1174" t="s">
        <v>350</v>
      </c>
      <c r="J1174" s="3">
        <v>2011</v>
      </c>
      <c r="K1174" s="3">
        <v>2013</v>
      </c>
      <c r="L1174" s="6">
        <f t="shared" si="371"/>
        <v>2012</v>
      </c>
      <c r="M1174" s="6">
        <f t="shared" si="372"/>
        <v>2012</v>
      </c>
      <c r="N1174" s="7">
        <f t="shared" si="360"/>
        <v>0</v>
      </c>
      <c r="O1174" s="7">
        <f t="shared" si="361"/>
        <v>0</v>
      </c>
      <c r="P1174" s="7">
        <f t="shared" si="362"/>
        <v>0</v>
      </c>
      <c r="Q1174" s="7">
        <f t="shared" si="373"/>
        <v>0</v>
      </c>
      <c r="R1174" s="10" t="str">
        <f t="shared" si="363"/>
        <v>0_Pre</v>
      </c>
      <c r="S1174" s="10" t="str">
        <f t="shared" si="364"/>
        <v>0_Pre</v>
      </c>
      <c r="T1174" s="10" t="str">
        <f t="shared" si="365"/>
        <v>0_Pre</v>
      </c>
      <c r="U1174" s="10" t="str">
        <f t="shared" si="366"/>
        <v>0_Pre</v>
      </c>
      <c r="V1174" s="10" t="str">
        <f t="shared" si="374"/>
        <v>0_Pre</v>
      </c>
      <c r="W1174" s="10" t="str">
        <f t="shared" si="367"/>
        <v>clean_pre</v>
      </c>
      <c r="X1174" s="10" t="str">
        <f t="shared" si="368"/>
        <v>0_Pre</v>
      </c>
      <c r="Y1174" s="10" t="str">
        <f t="shared" si="369"/>
        <v>0_Pre</v>
      </c>
      <c r="Z1174" s="10" t="str">
        <f t="shared" si="370"/>
        <v>0_Pre</v>
      </c>
      <c r="AA1174" s="10" t="str">
        <f t="shared" si="375"/>
        <v>0_Pre</v>
      </c>
      <c r="AB1174" s="10" t="str">
        <f t="shared" si="376"/>
        <v>0_Pre</v>
      </c>
      <c r="AC1174" s="10" t="str">
        <f t="shared" si="377"/>
        <v>0_Pre</v>
      </c>
      <c r="AD1174" s="10" t="str">
        <f t="shared" si="378"/>
        <v>2_post sample median</v>
      </c>
      <c r="AE1174" s="10" t="str">
        <f t="shared" si="379"/>
        <v>2_in sample second tertile</v>
      </c>
      <c r="AF1174" t="s">
        <v>81</v>
      </c>
      <c r="AG1174" t="s">
        <v>75</v>
      </c>
      <c r="AH1174" t="s">
        <v>78</v>
      </c>
      <c r="AI1174" t="s">
        <v>122</v>
      </c>
      <c r="AJ1174" t="s">
        <v>122</v>
      </c>
      <c r="AK1174" t="str">
        <f>VLOOKUP(MID($AR1174,1,255),country_lookup!$B:$F,2,FALSE)</f>
        <v>1_US</v>
      </c>
      <c r="AL1174" t="str">
        <f>VLOOKUP(MID($AR1174,1,255),country_lookup!$B:$F,3,FALSE)</f>
        <v>1_developed</v>
      </c>
      <c r="AM1174" t="str">
        <f>VLOOKUP(MID($AR1174,1,255),country_lookup!$B:$F,4,FALSE)</f>
        <v>1_western</v>
      </c>
      <c r="AN1174" t="str">
        <f>VLOOKUP(MID($AR1174,1,255),country_lookup!$B:$F,5,FALSE)</f>
        <v>1_common law</v>
      </c>
      <c r="AO1174" s="10" t="str">
        <f>VLOOKUP(MID($AS1174,1,255),source_lookup!$B:$K,4,FALSE)</f>
        <v>0_published</v>
      </c>
      <c r="AP1174" s="10" t="str">
        <f>VLOOKUP(MID($AS1174,1,255),source_lookup!$B:$K,6,FALSE)</f>
        <v>0_VHB low</v>
      </c>
      <c r="AQ1174" s="10" t="str">
        <f>VLOOKUP(MID($AS1174,1,255),source_lookup!$B:$K,10,FALSE)</f>
        <v>2_sust</v>
      </c>
      <c r="AR1174" t="s">
        <v>85</v>
      </c>
      <c r="AS1174" t="s">
        <v>181</v>
      </c>
    </row>
    <row r="1175" spans="1:45" x14ac:dyDescent="0.3">
      <c r="A1175" t="s">
        <v>58</v>
      </c>
      <c r="B1175">
        <v>1174</v>
      </c>
      <c r="C1175" s="1">
        <v>-4.5593562297675035E-2</v>
      </c>
      <c r="D1175" s="2">
        <v>507</v>
      </c>
      <c r="E1175" s="4">
        <v>1521</v>
      </c>
      <c r="F1175" s="4" t="s">
        <v>346</v>
      </c>
      <c r="G1175" s="4" t="s">
        <v>346</v>
      </c>
      <c r="H1175" t="s">
        <v>77</v>
      </c>
      <c r="I1175" t="s">
        <v>350</v>
      </c>
      <c r="J1175" s="3">
        <v>2011</v>
      </c>
      <c r="K1175" s="3">
        <v>2013</v>
      </c>
      <c r="L1175" s="6">
        <f t="shared" si="371"/>
        <v>2012</v>
      </c>
      <c r="M1175" s="6">
        <f t="shared" si="372"/>
        <v>2012</v>
      </c>
      <c r="N1175" s="7">
        <f t="shared" si="360"/>
        <v>0</v>
      </c>
      <c r="O1175" s="7">
        <f t="shared" si="361"/>
        <v>0</v>
      </c>
      <c r="P1175" s="7">
        <f t="shared" si="362"/>
        <v>0</v>
      </c>
      <c r="Q1175" s="7">
        <f t="shared" si="373"/>
        <v>0</v>
      </c>
      <c r="R1175" s="10" t="str">
        <f t="shared" si="363"/>
        <v>0_Pre</v>
      </c>
      <c r="S1175" s="10" t="str">
        <f t="shared" si="364"/>
        <v>0_Pre</v>
      </c>
      <c r="T1175" s="10" t="str">
        <f t="shared" si="365"/>
        <v>0_Pre</v>
      </c>
      <c r="U1175" s="10" t="str">
        <f t="shared" si="366"/>
        <v>0_Pre</v>
      </c>
      <c r="V1175" s="10" t="str">
        <f t="shared" si="374"/>
        <v>0_Pre</v>
      </c>
      <c r="W1175" s="10" t="str">
        <f t="shared" si="367"/>
        <v>clean_pre</v>
      </c>
      <c r="X1175" s="10" t="str">
        <f t="shared" si="368"/>
        <v>0_Pre</v>
      </c>
      <c r="Y1175" s="10" t="str">
        <f t="shared" si="369"/>
        <v>0_Pre</v>
      </c>
      <c r="Z1175" s="10" t="str">
        <f t="shared" si="370"/>
        <v>0_Pre</v>
      </c>
      <c r="AA1175" s="10" t="str">
        <f t="shared" si="375"/>
        <v>0_Pre</v>
      </c>
      <c r="AB1175" s="10" t="str">
        <f t="shared" si="376"/>
        <v>0_Pre</v>
      </c>
      <c r="AC1175" s="10" t="str">
        <f t="shared" si="377"/>
        <v>0_Pre</v>
      </c>
      <c r="AD1175" s="10" t="str">
        <f t="shared" si="378"/>
        <v>2_post sample median</v>
      </c>
      <c r="AE1175" s="10" t="str">
        <f t="shared" si="379"/>
        <v>2_in sample second tertile</v>
      </c>
      <c r="AF1175" t="s">
        <v>81</v>
      </c>
      <c r="AG1175" t="s">
        <v>75</v>
      </c>
      <c r="AH1175" t="s">
        <v>78</v>
      </c>
      <c r="AI1175" t="s">
        <v>122</v>
      </c>
      <c r="AJ1175" t="s">
        <v>122</v>
      </c>
      <c r="AK1175" t="str">
        <f>VLOOKUP(MID($AR1175,1,255),country_lookup!$B:$F,2,FALSE)</f>
        <v>1_US</v>
      </c>
      <c r="AL1175" t="str">
        <f>VLOOKUP(MID($AR1175,1,255),country_lookup!$B:$F,3,FALSE)</f>
        <v>1_developed</v>
      </c>
      <c r="AM1175" t="str">
        <f>VLOOKUP(MID($AR1175,1,255),country_lookup!$B:$F,4,FALSE)</f>
        <v>1_western</v>
      </c>
      <c r="AN1175" t="str">
        <f>VLOOKUP(MID($AR1175,1,255),country_lookup!$B:$F,5,FALSE)</f>
        <v>1_common law</v>
      </c>
      <c r="AO1175" s="10" t="str">
        <f>VLOOKUP(MID($AS1175,1,255),source_lookup!$B:$K,4,FALSE)</f>
        <v>0_published</v>
      </c>
      <c r="AP1175" s="10" t="str">
        <f>VLOOKUP(MID($AS1175,1,255),source_lookup!$B:$K,6,FALSE)</f>
        <v>0_VHB low</v>
      </c>
      <c r="AQ1175" s="10" t="str">
        <f>VLOOKUP(MID($AS1175,1,255),source_lookup!$B:$K,10,FALSE)</f>
        <v>2_sust</v>
      </c>
      <c r="AR1175" t="s">
        <v>85</v>
      </c>
      <c r="AS1175" t="s">
        <v>181</v>
      </c>
    </row>
    <row r="1176" spans="1:45" x14ac:dyDescent="0.3">
      <c r="A1176" t="s">
        <v>58</v>
      </c>
      <c r="B1176">
        <v>1175</v>
      </c>
      <c r="C1176" s="1">
        <v>-4.8149217670227153E-2</v>
      </c>
      <c r="D1176" s="2">
        <v>507</v>
      </c>
      <c r="E1176" s="4">
        <v>1521</v>
      </c>
      <c r="F1176" s="4" t="s">
        <v>346</v>
      </c>
      <c r="G1176" s="4" t="s">
        <v>346</v>
      </c>
      <c r="H1176" t="s">
        <v>77</v>
      </c>
      <c r="I1176" t="s">
        <v>350</v>
      </c>
      <c r="J1176" s="3">
        <v>2011</v>
      </c>
      <c r="K1176" s="3">
        <v>2013</v>
      </c>
      <c r="L1176" s="6">
        <f t="shared" si="371"/>
        <v>2012</v>
      </c>
      <c r="M1176" s="6">
        <f t="shared" si="372"/>
        <v>2012</v>
      </c>
      <c r="N1176" s="7">
        <f t="shared" si="360"/>
        <v>0</v>
      </c>
      <c r="O1176" s="7">
        <f t="shared" si="361"/>
        <v>0</v>
      </c>
      <c r="P1176" s="7">
        <f t="shared" si="362"/>
        <v>0</v>
      </c>
      <c r="Q1176" s="7">
        <f t="shared" si="373"/>
        <v>0</v>
      </c>
      <c r="R1176" s="10" t="str">
        <f t="shared" si="363"/>
        <v>0_Pre</v>
      </c>
      <c r="S1176" s="10" t="str">
        <f t="shared" si="364"/>
        <v>0_Pre</v>
      </c>
      <c r="T1176" s="10" t="str">
        <f t="shared" si="365"/>
        <v>0_Pre</v>
      </c>
      <c r="U1176" s="10" t="str">
        <f t="shared" si="366"/>
        <v>0_Pre</v>
      </c>
      <c r="V1176" s="10" t="str">
        <f t="shared" si="374"/>
        <v>0_Pre</v>
      </c>
      <c r="W1176" s="10" t="str">
        <f t="shared" si="367"/>
        <v>clean_pre</v>
      </c>
      <c r="X1176" s="10" t="str">
        <f t="shared" si="368"/>
        <v>0_Pre</v>
      </c>
      <c r="Y1176" s="10" t="str">
        <f t="shared" si="369"/>
        <v>0_Pre</v>
      </c>
      <c r="Z1176" s="10" t="str">
        <f t="shared" si="370"/>
        <v>0_Pre</v>
      </c>
      <c r="AA1176" s="10" t="str">
        <f t="shared" si="375"/>
        <v>0_Pre</v>
      </c>
      <c r="AB1176" s="10" t="str">
        <f t="shared" si="376"/>
        <v>0_Pre</v>
      </c>
      <c r="AC1176" s="10" t="str">
        <f t="shared" si="377"/>
        <v>0_Pre</v>
      </c>
      <c r="AD1176" s="10" t="str">
        <f t="shared" si="378"/>
        <v>2_post sample median</v>
      </c>
      <c r="AE1176" s="10" t="str">
        <f t="shared" si="379"/>
        <v>2_in sample second tertile</v>
      </c>
      <c r="AF1176" t="s">
        <v>81</v>
      </c>
      <c r="AG1176" t="s">
        <v>75</v>
      </c>
      <c r="AH1176" t="s">
        <v>78</v>
      </c>
      <c r="AI1176" t="s">
        <v>122</v>
      </c>
      <c r="AJ1176" t="s">
        <v>122</v>
      </c>
      <c r="AK1176" t="str">
        <f>VLOOKUP(MID($AR1176,1,255),country_lookup!$B:$F,2,FALSE)</f>
        <v>1_US</v>
      </c>
      <c r="AL1176" t="str">
        <f>VLOOKUP(MID($AR1176,1,255),country_lookup!$B:$F,3,FALSE)</f>
        <v>1_developed</v>
      </c>
      <c r="AM1176" t="str">
        <f>VLOOKUP(MID($AR1176,1,255),country_lookup!$B:$F,4,FALSE)</f>
        <v>1_western</v>
      </c>
      <c r="AN1176" t="str">
        <f>VLOOKUP(MID($AR1176,1,255),country_lookup!$B:$F,5,FALSE)</f>
        <v>1_common law</v>
      </c>
      <c r="AO1176" s="10" t="str">
        <f>VLOOKUP(MID($AS1176,1,255),source_lookup!$B:$K,4,FALSE)</f>
        <v>0_published</v>
      </c>
      <c r="AP1176" s="10" t="str">
        <f>VLOOKUP(MID($AS1176,1,255),source_lookup!$B:$K,6,FALSE)</f>
        <v>0_VHB low</v>
      </c>
      <c r="AQ1176" s="10" t="str">
        <f>VLOOKUP(MID($AS1176,1,255),source_lookup!$B:$K,10,FALSE)</f>
        <v>2_sust</v>
      </c>
      <c r="AR1176" t="s">
        <v>85</v>
      </c>
      <c r="AS1176" t="s">
        <v>181</v>
      </c>
    </row>
    <row r="1177" spans="1:45" x14ac:dyDescent="0.3">
      <c r="A1177" t="s">
        <v>58</v>
      </c>
      <c r="B1177">
        <v>1176</v>
      </c>
      <c r="C1177" s="1">
        <v>-3.5362484139376885E-2</v>
      </c>
      <c r="D1177" s="2">
        <v>507</v>
      </c>
      <c r="E1177" s="4">
        <v>1521</v>
      </c>
      <c r="F1177" s="4" t="s">
        <v>346</v>
      </c>
      <c r="G1177" s="4" t="s">
        <v>346</v>
      </c>
      <c r="H1177" t="s">
        <v>77</v>
      </c>
      <c r="I1177" t="s">
        <v>350</v>
      </c>
      <c r="J1177" s="3">
        <v>2011</v>
      </c>
      <c r="K1177" s="3">
        <v>2013</v>
      </c>
      <c r="L1177" s="6">
        <f t="shared" si="371"/>
        <v>2012</v>
      </c>
      <c r="M1177" s="6">
        <f t="shared" si="372"/>
        <v>2012</v>
      </c>
      <c r="N1177" s="7">
        <f t="shared" si="360"/>
        <v>0</v>
      </c>
      <c r="O1177" s="7">
        <f t="shared" si="361"/>
        <v>0</v>
      </c>
      <c r="P1177" s="7">
        <f t="shared" si="362"/>
        <v>0</v>
      </c>
      <c r="Q1177" s="7">
        <f t="shared" si="373"/>
        <v>0</v>
      </c>
      <c r="R1177" s="10" t="str">
        <f t="shared" si="363"/>
        <v>0_Pre</v>
      </c>
      <c r="S1177" s="10" t="str">
        <f t="shared" si="364"/>
        <v>0_Pre</v>
      </c>
      <c r="T1177" s="10" t="str">
        <f t="shared" si="365"/>
        <v>0_Pre</v>
      </c>
      <c r="U1177" s="10" t="str">
        <f t="shared" si="366"/>
        <v>0_Pre</v>
      </c>
      <c r="V1177" s="10" t="str">
        <f t="shared" si="374"/>
        <v>0_Pre</v>
      </c>
      <c r="W1177" s="10" t="str">
        <f t="shared" si="367"/>
        <v>clean_pre</v>
      </c>
      <c r="X1177" s="10" t="str">
        <f t="shared" si="368"/>
        <v>0_Pre</v>
      </c>
      <c r="Y1177" s="10" t="str">
        <f t="shared" si="369"/>
        <v>0_Pre</v>
      </c>
      <c r="Z1177" s="10" t="str">
        <f t="shared" si="370"/>
        <v>0_Pre</v>
      </c>
      <c r="AA1177" s="10" t="str">
        <f t="shared" si="375"/>
        <v>0_Pre</v>
      </c>
      <c r="AB1177" s="10" t="str">
        <f t="shared" si="376"/>
        <v>0_Pre</v>
      </c>
      <c r="AC1177" s="10" t="str">
        <f t="shared" si="377"/>
        <v>0_Pre</v>
      </c>
      <c r="AD1177" s="10" t="str">
        <f t="shared" si="378"/>
        <v>2_post sample median</v>
      </c>
      <c r="AE1177" s="10" t="str">
        <f t="shared" si="379"/>
        <v>2_in sample second tertile</v>
      </c>
      <c r="AF1177" t="s">
        <v>81</v>
      </c>
      <c r="AG1177" t="s">
        <v>75</v>
      </c>
      <c r="AH1177" t="s">
        <v>78</v>
      </c>
      <c r="AI1177" t="s">
        <v>122</v>
      </c>
      <c r="AJ1177" t="s">
        <v>122</v>
      </c>
      <c r="AK1177" t="str">
        <f>VLOOKUP(MID($AR1177,1,255),country_lookup!$B:$F,2,FALSE)</f>
        <v>1_US</v>
      </c>
      <c r="AL1177" t="str">
        <f>VLOOKUP(MID($AR1177,1,255),country_lookup!$B:$F,3,FALSE)</f>
        <v>1_developed</v>
      </c>
      <c r="AM1177" t="str">
        <f>VLOOKUP(MID($AR1177,1,255),country_lookup!$B:$F,4,FALSE)</f>
        <v>1_western</v>
      </c>
      <c r="AN1177" t="str">
        <f>VLOOKUP(MID($AR1177,1,255),country_lookup!$B:$F,5,FALSE)</f>
        <v>1_common law</v>
      </c>
      <c r="AO1177" s="10" t="str">
        <f>VLOOKUP(MID($AS1177,1,255),source_lookup!$B:$K,4,FALSE)</f>
        <v>0_published</v>
      </c>
      <c r="AP1177" s="10" t="str">
        <f>VLOOKUP(MID($AS1177,1,255),source_lookup!$B:$K,6,FALSE)</f>
        <v>0_VHB low</v>
      </c>
      <c r="AQ1177" s="10" t="str">
        <f>VLOOKUP(MID($AS1177,1,255),source_lookup!$B:$K,10,FALSE)</f>
        <v>2_sust</v>
      </c>
      <c r="AR1177" t="s">
        <v>85</v>
      </c>
      <c r="AS1177" t="s">
        <v>181</v>
      </c>
    </row>
    <row r="1178" spans="1:45" x14ac:dyDescent="0.3">
      <c r="A1178" t="s">
        <v>59</v>
      </c>
      <c r="B1178">
        <v>1177</v>
      </c>
      <c r="C1178" s="1">
        <v>-0.155</v>
      </c>
      <c r="D1178" s="2">
        <v>112</v>
      </c>
      <c r="E1178" s="4">
        <v>433</v>
      </c>
      <c r="F1178" s="4" t="s">
        <v>347</v>
      </c>
      <c r="G1178" s="4" t="s">
        <v>346</v>
      </c>
      <c r="H1178" t="s">
        <v>76</v>
      </c>
      <c r="I1178" t="s">
        <v>353</v>
      </c>
      <c r="J1178" s="3">
        <v>2003</v>
      </c>
      <c r="K1178" s="3">
        <v>2016</v>
      </c>
      <c r="L1178" s="6">
        <f t="shared" si="371"/>
        <v>2009.5</v>
      </c>
      <c r="M1178" s="6">
        <f t="shared" si="372"/>
        <v>2009.5</v>
      </c>
      <c r="N1178" s="7">
        <f t="shared" si="360"/>
        <v>7.1428571428571425E-2</v>
      </c>
      <c r="O1178" s="7">
        <f t="shared" si="361"/>
        <v>0</v>
      </c>
      <c r="P1178" s="7">
        <f t="shared" si="362"/>
        <v>0</v>
      </c>
      <c r="Q1178" s="7">
        <f t="shared" si="373"/>
        <v>0</v>
      </c>
      <c r="R1178" s="10" t="str">
        <f t="shared" si="363"/>
        <v>0_Pre</v>
      </c>
      <c r="S1178" s="10" t="str">
        <f t="shared" si="364"/>
        <v>0_Pre</v>
      </c>
      <c r="T1178" s="10" t="str">
        <f t="shared" si="365"/>
        <v>0_Pre</v>
      </c>
      <c r="U1178" s="10" t="str">
        <f t="shared" si="366"/>
        <v>1_Post</v>
      </c>
      <c r="V1178" s="10" t="str">
        <f t="shared" si="374"/>
        <v>0_Pre</v>
      </c>
      <c r="W1178" s="10" t="str">
        <f t="shared" si="367"/>
        <v>straddle</v>
      </c>
      <c r="X1178" s="10" t="str">
        <f t="shared" si="368"/>
        <v>0_Pre</v>
      </c>
      <c r="Y1178" s="10" t="str">
        <f t="shared" si="369"/>
        <v>0_Pre</v>
      </c>
      <c r="Z1178" s="10" t="str">
        <f t="shared" si="370"/>
        <v>0_Pre</v>
      </c>
      <c r="AA1178" s="10" t="str">
        <f t="shared" si="375"/>
        <v>0_Pre</v>
      </c>
      <c r="AB1178" s="10" t="str">
        <f t="shared" si="376"/>
        <v>0_Pre</v>
      </c>
      <c r="AC1178" s="10" t="str">
        <f t="shared" si="377"/>
        <v>0_Pre</v>
      </c>
      <c r="AD1178" s="10" t="str">
        <f t="shared" si="378"/>
        <v>1_pre sample median</v>
      </c>
      <c r="AE1178" s="10" t="str">
        <f t="shared" si="379"/>
        <v>1_pre sample first tertile</v>
      </c>
      <c r="AF1178" t="s">
        <v>80</v>
      </c>
      <c r="AG1178" t="s">
        <v>75</v>
      </c>
      <c r="AH1178" t="s">
        <v>78</v>
      </c>
      <c r="AI1178" t="s">
        <v>70</v>
      </c>
      <c r="AJ1178" t="s">
        <v>70</v>
      </c>
      <c r="AK1178" t="str">
        <f>VLOOKUP(MID($AR1178,1,255),country_lookup!$B:$F,2,FALSE)</f>
        <v>99_NCE</v>
      </c>
      <c r="AL1178" t="str">
        <f>VLOOKUP(MID($AR1178,1,255),country_lookup!$B:$F,3,FALSE)</f>
        <v>99_NCE</v>
      </c>
      <c r="AM1178" t="str">
        <f>VLOOKUP(MID($AR1178,1,255),country_lookup!$B:$F,4,FALSE)</f>
        <v>99_NCE</v>
      </c>
      <c r="AN1178" t="str">
        <f>VLOOKUP(MID($AR1178,1,255),country_lookup!$B:$F,5,FALSE)</f>
        <v>99_NCE</v>
      </c>
      <c r="AO1178" s="10" t="str">
        <f>VLOOKUP(MID($AS1178,1,255),source_lookup!$B:$K,4,FALSE)</f>
        <v>0_published</v>
      </c>
      <c r="AP1178" s="10" t="str">
        <f>VLOOKUP(MID($AS1178,1,255),source_lookup!$B:$K,6,FALSE)</f>
        <v>0_VHB low</v>
      </c>
      <c r="AQ1178" s="10" t="str">
        <f>VLOOKUP(MID($AS1178,1,255),source_lookup!$B:$K,10,FALSE)</f>
        <v>3_mgmt</v>
      </c>
      <c r="AR1178" t="s">
        <v>117</v>
      </c>
      <c r="AS1178" t="s">
        <v>182</v>
      </c>
    </row>
    <row r="1179" spans="1:45" x14ac:dyDescent="0.3">
      <c r="A1179" t="s">
        <v>59</v>
      </c>
      <c r="B1179">
        <v>1178</v>
      </c>
      <c r="C1179" s="1">
        <v>-0.246</v>
      </c>
      <c r="D1179" s="2">
        <v>112</v>
      </c>
      <c r="E1179" s="4">
        <v>433</v>
      </c>
      <c r="F1179" s="4" t="s">
        <v>347</v>
      </c>
      <c r="G1179" s="4" t="s">
        <v>346</v>
      </c>
      <c r="H1179" t="s">
        <v>76</v>
      </c>
      <c r="I1179" t="s">
        <v>353</v>
      </c>
      <c r="J1179" s="3">
        <v>2003</v>
      </c>
      <c r="K1179" s="3">
        <v>2016</v>
      </c>
      <c r="L1179" s="6">
        <f t="shared" si="371"/>
        <v>2009.5</v>
      </c>
      <c r="M1179" s="6">
        <f t="shared" si="372"/>
        <v>2009.5</v>
      </c>
      <c r="N1179" s="7">
        <f t="shared" si="360"/>
        <v>7.1428571428571425E-2</v>
      </c>
      <c r="O1179" s="7">
        <f t="shared" si="361"/>
        <v>0</v>
      </c>
      <c r="P1179" s="7">
        <f t="shared" si="362"/>
        <v>0</v>
      </c>
      <c r="Q1179" s="7">
        <f t="shared" si="373"/>
        <v>0</v>
      </c>
      <c r="R1179" s="10" t="str">
        <f t="shared" si="363"/>
        <v>0_Pre</v>
      </c>
      <c r="S1179" s="10" t="str">
        <f t="shared" si="364"/>
        <v>0_Pre</v>
      </c>
      <c r="T1179" s="10" t="str">
        <f t="shared" si="365"/>
        <v>0_Pre</v>
      </c>
      <c r="U1179" s="10" t="str">
        <f t="shared" si="366"/>
        <v>1_Post</v>
      </c>
      <c r="V1179" s="10" t="str">
        <f t="shared" si="374"/>
        <v>0_Pre</v>
      </c>
      <c r="W1179" s="10" t="str">
        <f t="shared" si="367"/>
        <v>straddle</v>
      </c>
      <c r="X1179" s="10" t="str">
        <f t="shared" si="368"/>
        <v>0_Pre</v>
      </c>
      <c r="Y1179" s="10" t="str">
        <f t="shared" si="369"/>
        <v>0_Pre</v>
      </c>
      <c r="Z1179" s="10" t="str">
        <f t="shared" si="370"/>
        <v>0_Pre</v>
      </c>
      <c r="AA1179" s="10" t="str">
        <f t="shared" si="375"/>
        <v>0_Pre</v>
      </c>
      <c r="AB1179" s="10" t="str">
        <f t="shared" si="376"/>
        <v>0_Pre</v>
      </c>
      <c r="AC1179" s="10" t="str">
        <f t="shared" si="377"/>
        <v>0_Pre</v>
      </c>
      <c r="AD1179" s="10" t="str">
        <f t="shared" si="378"/>
        <v>1_pre sample median</v>
      </c>
      <c r="AE1179" s="10" t="str">
        <f t="shared" si="379"/>
        <v>1_pre sample first tertile</v>
      </c>
      <c r="AF1179" t="s">
        <v>80</v>
      </c>
      <c r="AG1179" t="s">
        <v>75</v>
      </c>
      <c r="AH1179" t="s">
        <v>78</v>
      </c>
      <c r="AI1179" t="s">
        <v>70</v>
      </c>
      <c r="AJ1179" t="s">
        <v>70</v>
      </c>
      <c r="AK1179" t="str">
        <f>VLOOKUP(MID($AR1179,1,255),country_lookup!$B:$F,2,FALSE)</f>
        <v>99_NCE</v>
      </c>
      <c r="AL1179" t="str">
        <f>VLOOKUP(MID($AR1179,1,255),country_lookup!$B:$F,3,FALSE)</f>
        <v>99_NCE</v>
      </c>
      <c r="AM1179" t="str">
        <f>VLOOKUP(MID($AR1179,1,255),country_lookup!$B:$F,4,FALSE)</f>
        <v>99_NCE</v>
      </c>
      <c r="AN1179" t="str">
        <f>VLOOKUP(MID($AR1179,1,255),country_lookup!$B:$F,5,FALSE)</f>
        <v>99_NCE</v>
      </c>
      <c r="AO1179" s="10" t="str">
        <f>VLOOKUP(MID($AS1179,1,255),source_lookup!$B:$K,4,FALSE)</f>
        <v>0_published</v>
      </c>
      <c r="AP1179" s="10" t="str">
        <f>VLOOKUP(MID($AS1179,1,255),source_lookup!$B:$K,6,FALSE)</f>
        <v>0_VHB low</v>
      </c>
      <c r="AQ1179" s="10" t="str">
        <f>VLOOKUP(MID($AS1179,1,255),source_lookup!$B:$K,10,FALSE)</f>
        <v>3_mgmt</v>
      </c>
      <c r="AR1179" t="s">
        <v>117</v>
      </c>
      <c r="AS1179" t="s">
        <v>182</v>
      </c>
    </row>
    <row r="1180" spans="1:45" x14ac:dyDescent="0.3">
      <c r="A1180" t="s">
        <v>60</v>
      </c>
      <c r="B1180">
        <v>1179</v>
      </c>
      <c r="C1180" s="1">
        <v>-8.3999999999999995E-3</v>
      </c>
      <c r="D1180" s="2">
        <v>799</v>
      </c>
      <c r="E1180" s="4">
        <v>3993</v>
      </c>
      <c r="F1180" s="4" t="s">
        <v>347</v>
      </c>
      <c r="G1180" s="4" t="s">
        <v>346</v>
      </c>
      <c r="H1180" t="s">
        <v>76</v>
      </c>
      <c r="I1180" t="s">
        <v>353</v>
      </c>
      <c r="J1180" s="3">
        <v>2014</v>
      </c>
      <c r="K1180" s="3">
        <v>2018</v>
      </c>
      <c r="L1180" s="6">
        <f t="shared" si="371"/>
        <v>2016</v>
      </c>
      <c r="M1180" s="6">
        <f t="shared" si="372"/>
        <v>2016</v>
      </c>
      <c r="N1180" s="7">
        <f t="shared" si="360"/>
        <v>0.6</v>
      </c>
      <c r="O1180" s="7">
        <f t="shared" si="361"/>
        <v>0.4</v>
      </c>
      <c r="P1180" s="7">
        <f t="shared" si="362"/>
        <v>0.2</v>
      </c>
      <c r="Q1180" s="7">
        <f t="shared" si="373"/>
        <v>0</v>
      </c>
      <c r="R1180" s="10" t="str">
        <f t="shared" si="363"/>
        <v>1_Post</v>
      </c>
      <c r="S1180" s="10" t="str">
        <f t="shared" si="364"/>
        <v>1_Post</v>
      </c>
      <c r="T1180" s="10" t="str">
        <f t="shared" si="365"/>
        <v>1_Post</v>
      </c>
      <c r="U1180" s="10" t="str">
        <f t="shared" si="366"/>
        <v>1_Post</v>
      </c>
      <c r="V1180" s="10" t="str">
        <f t="shared" si="374"/>
        <v>0_Pre</v>
      </c>
      <c r="W1180" s="10" t="str">
        <f t="shared" si="367"/>
        <v>straddle</v>
      </c>
      <c r="X1180" s="10" t="str">
        <f t="shared" si="368"/>
        <v>0_Pre</v>
      </c>
      <c r="Y1180" s="10" t="str">
        <f t="shared" si="369"/>
        <v>0_Pre</v>
      </c>
      <c r="Z1180" s="10" t="str">
        <f t="shared" si="370"/>
        <v>0_Pre</v>
      </c>
      <c r="AA1180" s="10" t="str">
        <f t="shared" si="375"/>
        <v>1_Post</v>
      </c>
      <c r="AB1180" s="10" t="str">
        <f t="shared" si="376"/>
        <v>1_Post</v>
      </c>
      <c r="AC1180" s="10" t="str">
        <f t="shared" si="377"/>
        <v>0_Pre</v>
      </c>
      <c r="AD1180" s="10" t="str">
        <f t="shared" si="378"/>
        <v>2_post sample median</v>
      </c>
      <c r="AE1180" s="10" t="str">
        <f t="shared" si="379"/>
        <v>3_post sample third tertile</v>
      </c>
      <c r="AF1180" t="s">
        <v>80</v>
      </c>
      <c r="AG1180" t="s">
        <v>75</v>
      </c>
      <c r="AH1180" t="s">
        <v>78</v>
      </c>
      <c r="AI1180" t="s">
        <v>122</v>
      </c>
      <c r="AJ1180" t="s">
        <v>122</v>
      </c>
      <c r="AK1180" t="str">
        <f>VLOOKUP(MID($AR1180,1,255),country_lookup!$B:$F,2,FALSE)</f>
        <v>3_AsiaPac</v>
      </c>
      <c r="AL1180" t="str">
        <f>VLOOKUP(MID($AR1180,1,255),country_lookup!$B:$F,3,FALSE)</f>
        <v>2_developing</v>
      </c>
      <c r="AM1180" t="str">
        <f>VLOOKUP(MID($AR1180,1,255),country_lookup!$B:$F,4,FALSE)</f>
        <v>2_non_western</v>
      </c>
      <c r="AN1180" t="str">
        <f>VLOOKUP(MID($AR1180,1,255),country_lookup!$B:$F,5,FALSE)</f>
        <v>2_civil law</v>
      </c>
      <c r="AO1180" s="10" t="str">
        <f>VLOOKUP(MID($AS1180,1,255),source_lookup!$B:$K,4,FALSE)</f>
        <v>0_published</v>
      </c>
      <c r="AP1180" s="10" t="str">
        <f>VLOOKUP(MID($AS1180,1,255),source_lookup!$B:$K,6,FALSE)</f>
        <v>0_VHB low</v>
      </c>
      <c r="AQ1180" s="10" t="str">
        <f>VLOOKUP(MID($AS1180,1,255),source_lookup!$B:$K,10,FALSE)</f>
        <v>3_mgmt</v>
      </c>
      <c r="AR1180" t="s">
        <v>94</v>
      </c>
      <c r="AS1180" t="s">
        <v>183</v>
      </c>
    </row>
    <row r="1181" spans="1:45" x14ac:dyDescent="0.3">
      <c r="A1181" t="s">
        <v>60</v>
      </c>
      <c r="B1181">
        <v>1180</v>
      </c>
      <c r="C1181" s="1">
        <v>-3.8269030637030986E-2</v>
      </c>
      <c r="D1181" s="2">
        <v>799</v>
      </c>
      <c r="E1181" s="4">
        <v>3993</v>
      </c>
      <c r="F1181" s="4" t="s">
        <v>347</v>
      </c>
      <c r="G1181" s="4" t="s">
        <v>346</v>
      </c>
      <c r="H1181" t="s">
        <v>77</v>
      </c>
      <c r="I1181" t="s">
        <v>350</v>
      </c>
      <c r="J1181" s="3">
        <v>2014</v>
      </c>
      <c r="K1181" s="3">
        <v>2018</v>
      </c>
      <c r="L1181" s="6">
        <f t="shared" si="371"/>
        <v>2016</v>
      </c>
      <c r="M1181" s="6">
        <f t="shared" si="372"/>
        <v>2016</v>
      </c>
      <c r="N1181" s="7">
        <f t="shared" si="360"/>
        <v>0.6</v>
      </c>
      <c r="O1181" s="7">
        <f t="shared" si="361"/>
        <v>0.4</v>
      </c>
      <c r="P1181" s="7">
        <f t="shared" si="362"/>
        <v>0.2</v>
      </c>
      <c r="Q1181" s="7">
        <f t="shared" si="373"/>
        <v>0</v>
      </c>
      <c r="R1181" s="10" t="str">
        <f t="shared" si="363"/>
        <v>1_Post</v>
      </c>
      <c r="S1181" s="10" t="str">
        <f t="shared" si="364"/>
        <v>1_Post</v>
      </c>
      <c r="T1181" s="10" t="str">
        <f t="shared" si="365"/>
        <v>1_Post</v>
      </c>
      <c r="U1181" s="10" t="str">
        <f t="shared" si="366"/>
        <v>1_Post</v>
      </c>
      <c r="V1181" s="10" t="str">
        <f t="shared" si="374"/>
        <v>0_Pre</v>
      </c>
      <c r="W1181" s="10" t="str">
        <f t="shared" si="367"/>
        <v>straddle</v>
      </c>
      <c r="X1181" s="10" t="str">
        <f t="shared" si="368"/>
        <v>0_Pre</v>
      </c>
      <c r="Y1181" s="10" t="str">
        <f t="shared" si="369"/>
        <v>0_Pre</v>
      </c>
      <c r="Z1181" s="10" t="str">
        <f t="shared" si="370"/>
        <v>0_Pre</v>
      </c>
      <c r="AA1181" s="10" t="str">
        <f t="shared" si="375"/>
        <v>1_Post</v>
      </c>
      <c r="AB1181" s="10" t="str">
        <f t="shared" si="376"/>
        <v>1_Post</v>
      </c>
      <c r="AC1181" s="10" t="str">
        <f t="shared" si="377"/>
        <v>0_Pre</v>
      </c>
      <c r="AD1181" s="10" t="str">
        <f t="shared" si="378"/>
        <v>2_post sample median</v>
      </c>
      <c r="AE1181" s="10" t="str">
        <f t="shared" si="379"/>
        <v>3_post sample third tertile</v>
      </c>
      <c r="AF1181" t="s">
        <v>80</v>
      </c>
      <c r="AG1181" t="s">
        <v>75</v>
      </c>
      <c r="AH1181" t="s">
        <v>78</v>
      </c>
      <c r="AI1181" t="s">
        <v>122</v>
      </c>
      <c r="AJ1181" t="s">
        <v>122</v>
      </c>
      <c r="AK1181" t="str">
        <f>VLOOKUP(MID($AR1181,1,255),country_lookup!$B:$F,2,FALSE)</f>
        <v>3_AsiaPac</v>
      </c>
      <c r="AL1181" t="str">
        <f>VLOOKUP(MID($AR1181,1,255),country_lookup!$B:$F,3,FALSE)</f>
        <v>2_developing</v>
      </c>
      <c r="AM1181" t="str">
        <f>VLOOKUP(MID($AR1181,1,255),country_lookup!$B:$F,4,FALSE)</f>
        <v>2_non_western</v>
      </c>
      <c r="AN1181" t="str">
        <f>VLOOKUP(MID($AR1181,1,255),country_lookup!$B:$F,5,FALSE)</f>
        <v>2_civil law</v>
      </c>
      <c r="AO1181" s="10" t="str">
        <f>VLOOKUP(MID($AS1181,1,255),source_lookup!$B:$K,4,FALSE)</f>
        <v>0_published</v>
      </c>
      <c r="AP1181" s="10" t="str">
        <f>VLOOKUP(MID($AS1181,1,255),source_lookup!$B:$K,6,FALSE)</f>
        <v>0_VHB low</v>
      </c>
      <c r="AQ1181" s="10" t="str">
        <f>VLOOKUP(MID($AS1181,1,255),source_lookup!$B:$K,10,FALSE)</f>
        <v>3_mgmt</v>
      </c>
      <c r="AR1181" t="s">
        <v>94</v>
      </c>
      <c r="AS1181" t="s">
        <v>183</v>
      </c>
    </row>
    <row r="1182" spans="1:45" x14ac:dyDescent="0.3">
      <c r="A1182" t="s">
        <v>60</v>
      </c>
      <c r="B1182">
        <v>1181</v>
      </c>
      <c r="C1182" s="1">
        <v>-4.7737741456549208E-2</v>
      </c>
      <c r="D1182" s="2">
        <v>799</v>
      </c>
      <c r="E1182" s="4">
        <v>3993</v>
      </c>
      <c r="F1182" s="4" t="s">
        <v>347</v>
      </c>
      <c r="G1182" s="4" t="s">
        <v>346</v>
      </c>
      <c r="H1182" t="s">
        <v>77</v>
      </c>
      <c r="I1182" t="s">
        <v>350</v>
      </c>
      <c r="J1182" s="3">
        <v>2014</v>
      </c>
      <c r="K1182" s="3">
        <v>2018</v>
      </c>
      <c r="L1182" s="6">
        <f t="shared" si="371"/>
        <v>2016</v>
      </c>
      <c r="M1182" s="6">
        <f t="shared" si="372"/>
        <v>2016</v>
      </c>
      <c r="N1182" s="7">
        <f t="shared" si="360"/>
        <v>0.6</v>
      </c>
      <c r="O1182" s="7">
        <f t="shared" si="361"/>
        <v>0.4</v>
      </c>
      <c r="P1182" s="7">
        <f t="shared" si="362"/>
        <v>0.2</v>
      </c>
      <c r="Q1182" s="7">
        <f t="shared" si="373"/>
        <v>0</v>
      </c>
      <c r="R1182" s="10" t="str">
        <f t="shared" si="363"/>
        <v>1_Post</v>
      </c>
      <c r="S1182" s="10" t="str">
        <f t="shared" si="364"/>
        <v>1_Post</v>
      </c>
      <c r="T1182" s="10" t="str">
        <f t="shared" si="365"/>
        <v>1_Post</v>
      </c>
      <c r="U1182" s="10" t="str">
        <f t="shared" si="366"/>
        <v>1_Post</v>
      </c>
      <c r="V1182" s="10" t="str">
        <f t="shared" si="374"/>
        <v>0_Pre</v>
      </c>
      <c r="W1182" s="10" t="str">
        <f t="shared" si="367"/>
        <v>straddle</v>
      </c>
      <c r="X1182" s="10" t="str">
        <f t="shared" si="368"/>
        <v>0_Pre</v>
      </c>
      <c r="Y1182" s="10" t="str">
        <f t="shared" si="369"/>
        <v>0_Pre</v>
      </c>
      <c r="Z1182" s="10" t="str">
        <f t="shared" si="370"/>
        <v>0_Pre</v>
      </c>
      <c r="AA1182" s="10" t="str">
        <f t="shared" si="375"/>
        <v>1_Post</v>
      </c>
      <c r="AB1182" s="10" t="str">
        <f t="shared" si="376"/>
        <v>1_Post</v>
      </c>
      <c r="AC1182" s="10" t="str">
        <f t="shared" si="377"/>
        <v>0_Pre</v>
      </c>
      <c r="AD1182" s="10" t="str">
        <f t="shared" si="378"/>
        <v>2_post sample median</v>
      </c>
      <c r="AE1182" s="10" t="str">
        <f t="shared" si="379"/>
        <v>3_post sample third tertile</v>
      </c>
      <c r="AF1182" t="s">
        <v>80</v>
      </c>
      <c r="AG1182" t="s">
        <v>75</v>
      </c>
      <c r="AH1182" t="s">
        <v>78</v>
      </c>
      <c r="AI1182" t="s">
        <v>122</v>
      </c>
      <c r="AJ1182" t="s">
        <v>122</v>
      </c>
      <c r="AK1182" t="str">
        <f>VLOOKUP(MID($AR1182,1,255),country_lookup!$B:$F,2,FALSE)</f>
        <v>3_AsiaPac</v>
      </c>
      <c r="AL1182" t="str">
        <f>VLOOKUP(MID($AR1182,1,255),country_lookup!$B:$F,3,FALSE)</f>
        <v>2_developing</v>
      </c>
      <c r="AM1182" t="str">
        <f>VLOOKUP(MID($AR1182,1,255),country_lookup!$B:$F,4,FALSE)</f>
        <v>2_non_western</v>
      </c>
      <c r="AN1182" t="str">
        <f>VLOOKUP(MID($AR1182,1,255),country_lookup!$B:$F,5,FALSE)</f>
        <v>2_civil law</v>
      </c>
      <c r="AO1182" s="10" t="str">
        <f>VLOOKUP(MID($AS1182,1,255),source_lookup!$B:$K,4,FALSE)</f>
        <v>0_published</v>
      </c>
      <c r="AP1182" s="10" t="str">
        <f>VLOOKUP(MID($AS1182,1,255),source_lookup!$B:$K,6,FALSE)</f>
        <v>0_VHB low</v>
      </c>
      <c r="AQ1182" s="10" t="str">
        <f>VLOOKUP(MID($AS1182,1,255),source_lookup!$B:$K,10,FALSE)</f>
        <v>3_mgmt</v>
      </c>
      <c r="AR1182" t="s">
        <v>94</v>
      </c>
      <c r="AS1182" t="s">
        <v>183</v>
      </c>
    </row>
    <row r="1183" spans="1:45" x14ac:dyDescent="0.3">
      <c r="A1183" t="s">
        <v>60</v>
      </c>
      <c r="B1183">
        <v>1182</v>
      </c>
      <c r="C1183" s="1">
        <v>-4.6961228345215024E-2</v>
      </c>
      <c r="D1183" s="2">
        <v>674</v>
      </c>
      <c r="E1183" s="4">
        <v>3372</v>
      </c>
      <c r="F1183" s="4" t="s">
        <v>347</v>
      </c>
      <c r="G1183" s="4" t="s">
        <v>346</v>
      </c>
      <c r="H1183" t="s">
        <v>77</v>
      </c>
      <c r="I1183" t="s">
        <v>350</v>
      </c>
      <c r="J1183" s="3">
        <v>2014</v>
      </c>
      <c r="K1183" s="3">
        <v>2018</v>
      </c>
      <c r="L1183" s="6">
        <f t="shared" si="371"/>
        <v>2016</v>
      </c>
      <c r="M1183" s="6">
        <f t="shared" si="372"/>
        <v>2016</v>
      </c>
      <c r="N1183" s="7">
        <f t="shared" si="360"/>
        <v>0.6</v>
      </c>
      <c r="O1183" s="7">
        <f t="shared" si="361"/>
        <v>0.4</v>
      </c>
      <c r="P1183" s="7">
        <f t="shared" si="362"/>
        <v>0.2</v>
      </c>
      <c r="Q1183" s="7">
        <f t="shared" si="373"/>
        <v>0</v>
      </c>
      <c r="R1183" s="10" t="str">
        <f t="shared" si="363"/>
        <v>1_Post</v>
      </c>
      <c r="S1183" s="10" t="str">
        <f t="shared" si="364"/>
        <v>1_Post</v>
      </c>
      <c r="T1183" s="10" t="str">
        <f t="shared" si="365"/>
        <v>1_Post</v>
      </c>
      <c r="U1183" s="10" t="str">
        <f t="shared" si="366"/>
        <v>1_Post</v>
      </c>
      <c r="V1183" s="10" t="str">
        <f t="shared" si="374"/>
        <v>0_Pre</v>
      </c>
      <c r="W1183" s="10" t="str">
        <f t="shared" si="367"/>
        <v>straddle</v>
      </c>
      <c r="X1183" s="10" t="str">
        <f t="shared" si="368"/>
        <v>0_Pre</v>
      </c>
      <c r="Y1183" s="10" t="str">
        <f t="shared" si="369"/>
        <v>0_Pre</v>
      </c>
      <c r="Z1183" s="10" t="str">
        <f t="shared" si="370"/>
        <v>0_Pre</v>
      </c>
      <c r="AA1183" s="10" t="str">
        <f t="shared" si="375"/>
        <v>1_Post</v>
      </c>
      <c r="AB1183" s="10" t="str">
        <f t="shared" si="376"/>
        <v>1_Post</v>
      </c>
      <c r="AC1183" s="10" t="str">
        <f t="shared" si="377"/>
        <v>0_Pre</v>
      </c>
      <c r="AD1183" s="10" t="str">
        <f t="shared" si="378"/>
        <v>2_post sample median</v>
      </c>
      <c r="AE1183" s="10" t="str">
        <f t="shared" si="379"/>
        <v>3_post sample third tertile</v>
      </c>
      <c r="AF1183" t="s">
        <v>80</v>
      </c>
      <c r="AG1183" t="s">
        <v>75</v>
      </c>
      <c r="AH1183" t="s">
        <v>78</v>
      </c>
      <c r="AI1183" t="s">
        <v>122</v>
      </c>
      <c r="AJ1183" t="s">
        <v>122</v>
      </c>
      <c r="AK1183" t="str">
        <f>VLOOKUP(MID($AR1183,1,255),country_lookup!$B:$F,2,FALSE)</f>
        <v>3_AsiaPac</v>
      </c>
      <c r="AL1183" t="str">
        <f>VLOOKUP(MID($AR1183,1,255),country_lookup!$B:$F,3,FALSE)</f>
        <v>2_developing</v>
      </c>
      <c r="AM1183" t="str">
        <f>VLOOKUP(MID($AR1183,1,255),country_lookup!$B:$F,4,FALSE)</f>
        <v>2_non_western</v>
      </c>
      <c r="AN1183" t="str">
        <f>VLOOKUP(MID($AR1183,1,255),country_lookup!$B:$F,5,FALSE)</f>
        <v>2_civil law</v>
      </c>
      <c r="AO1183" s="10" t="str">
        <f>VLOOKUP(MID($AS1183,1,255),source_lookup!$B:$K,4,FALSE)</f>
        <v>0_published</v>
      </c>
      <c r="AP1183" s="10" t="str">
        <f>VLOOKUP(MID($AS1183,1,255),source_lookup!$B:$K,6,FALSE)</f>
        <v>0_VHB low</v>
      </c>
      <c r="AQ1183" s="10" t="str">
        <f>VLOOKUP(MID($AS1183,1,255),source_lookup!$B:$K,10,FALSE)</f>
        <v>3_mgmt</v>
      </c>
      <c r="AR1183" t="s">
        <v>94</v>
      </c>
      <c r="AS1183" t="s">
        <v>183</v>
      </c>
    </row>
    <row r="1184" spans="1:45" x14ac:dyDescent="0.3">
      <c r="A1184" t="s">
        <v>60</v>
      </c>
      <c r="B1184">
        <v>1183</v>
      </c>
      <c r="C1184" s="1">
        <v>-3.5452783077815637E-2</v>
      </c>
      <c r="D1184" s="2">
        <v>674</v>
      </c>
      <c r="E1184" s="4">
        <v>3372</v>
      </c>
      <c r="F1184" s="4" t="s">
        <v>347</v>
      </c>
      <c r="G1184" s="4" t="s">
        <v>346</v>
      </c>
      <c r="H1184" t="s">
        <v>77</v>
      </c>
      <c r="I1184" t="s">
        <v>350</v>
      </c>
      <c r="J1184" s="3">
        <v>2014</v>
      </c>
      <c r="K1184" s="3">
        <v>2018</v>
      </c>
      <c r="L1184" s="6">
        <f t="shared" si="371"/>
        <v>2016</v>
      </c>
      <c r="M1184" s="6">
        <f t="shared" si="372"/>
        <v>2016</v>
      </c>
      <c r="N1184" s="7">
        <f t="shared" si="360"/>
        <v>0.6</v>
      </c>
      <c r="O1184" s="7">
        <f t="shared" si="361"/>
        <v>0.4</v>
      </c>
      <c r="P1184" s="7">
        <f t="shared" si="362"/>
        <v>0.2</v>
      </c>
      <c r="Q1184" s="7">
        <f t="shared" si="373"/>
        <v>0</v>
      </c>
      <c r="R1184" s="10" t="str">
        <f t="shared" si="363"/>
        <v>1_Post</v>
      </c>
      <c r="S1184" s="10" t="str">
        <f t="shared" si="364"/>
        <v>1_Post</v>
      </c>
      <c r="T1184" s="10" t="str">
        <f t="shared" si="365"/>
        <v>1_Post</v>
      </c>
      <c r="U1184" s="10" t="str">
        <f t="shared" si="366"/>
        <v>1_Post</v>
      </c>
      <c r="V1184" s="10" t="str">
        <f t="shared" si="374"/>
        <v>0_Pre</v>
      </c>
      <c r="W1184" s="10" t="str">
        <f t="shared" si="367"/>
        <v>straddle</v>
      </c>
      <c r="X1184" s="10" t="str">
        <f t="shared" si="368"/>
        <v>0_Pre</v>
      </c>
      <c r="Y1184" s="10" t="str">
        <f t="shared" si="369"/>
        <v>0_Pre</v>
      </c>
      <c r="Z1184" s="10" t="str">
        <f t="shared" si="370"/>
        <v>0_Pre</v>
      </c>
      <c r="AA1184" s="10" t="str">
        <f t="shared" si="375"/>
        <v>1_Post</v>
      </c>
      <c r="AB1184" s="10" t="str">
        <f t="shared" si="376"/>
        <v>1_Post</v>
      </c>
      <c r="AC1184" s="10" t="str">
        <f t="shared" si="377"/>
        <v>0_Pre</v>
      </c>
      <c r="AD1184" s="10" t="str">
        <f t="shared" si="378"/>
        <v>2_post sample median</v>
      </c>
      <c r="AE1184" s="10" t="str">
        <f t="shared" si="379"/>
        <v>3_post sample third tertile</v>
      </c>
      <c r="AF1184" t="s">
        <v>80</v>
      </c>
      <c r="AG1184" t="s">
        <v>75</v>
      </c>
      <c r="AH1184" t="s">
        <v>78</v>
      </c>
      <c r="AI1184" t="s">
        <v>122</v>
      </c>
      <c r="AJ1184" t="s">
        <v>122</v>
      </c>
      <c r="AK1184" t="str">
        <f>VLOOKUP(MID($AR1184,1,255),country_lookup!$B:$F,2,FALSE)</f>
        <v>3_AsiaPac</v>
      </c>
      <c r="AL1184" t="str">
        <f>VLOOKUP(MID($AR1184,1,255),country_lookup!$B:$F,3,FALSE)</f>
        <v>2_developing</v>
      </c>
      <c r="AM1184" t="str">
        <f>VLOOKUP(MID($AR1184,1,255),country_lookup!$B:$F,4,FALSE)</f>
        <v>2_non_western</v>
      </c>
      <c r="AN1184" t="str">
        <f>VLOOKUP(MID($AR1184,1,255),country_lookup!$B:$F,5,FALSE)</f>
        <v>2_civil law</v>
      </c>
      <c r="AO1184" s="10" t="str">
        <f>VLOOKUP(MID($AS1184,1,255),source_lookup!$B:$K,4,FALSE)</f>
        <v>0_published</v>
      </c>
      <c r="AP1184" s="10" t="str">
        <f>VLOOKUP(MID($AS1184,1,255),source_lookup!$B:$K,6,FALSE)</f>
        <v>0_VHB low</v>
      </c>
      <c r="AQ1184" s="10" t="str">
        <f>VLOOKUP(MID($AS1184,1,255),source_lookup!$B:$K,10,FALSE)</f>
        <v>3_mgmt</v>
      </c>
      <c r="AR1184" t="s">
        <v>94</v>
      </c>
      <c r="AS1184" t="s">
        <v>183</v>
      </c>
    </row>
    <row r="1185" spans="1:45" x14ac:dyDescent="0.3">
      <c r="A1185" t="s">
        <v>60</v>
      </c>
      <c r="B1185">
        <v>1184</v>
      </c>
      <c r="C1185" s="1">
        <v>-4.4740586899857562E-2</v>
      </c>
      <c r="D1185" s="2">
        <v>799</v>
      </c>
      <c r="E1185" s="4">
        <v>3993</v>
      </c>
      <c r="F1185" s="4" t="s">
        <v>347</v>
      </c>
      <c r="G1185" s="4" t="s">
        <v>346</v>
      </c>
      <c r="H1185" t="s">
        <v>77</v>
      </c>
      <c r="I1185" t="s">
        <v>350</v>
      </c>
      <c r="J1185" s="3">
        <v>2014</v>
      </c>
      <c r="K1185" s="3">
        <v>2018</v>
      </c>
      <c r="L1185" s="6">
        <f t="shared" si="371"/>
        <v>2016</v>
      </c>
      <c r="M1185" s="6">
        <f t="shared" si="372"/>
        <v>2016</v>
      </c>
      <c r="N1185" s="7">
        <f t="shared" si="360"/>
        <v>0.6</v>
      </c>
      <c r="O1185" s="7">
        <f t="shared" si="361"/>
        <v>0.4</v>
      </c>
      <c r="P1185" s="7">
        <f t="shared" si="362"/>
        <v>0.2</v>
      </c>
      <c r="Q1185" s="7">
        <f t="shared" si="373"/>
        <v>0</v>
      </c>
      <c r="R1185" s="10" t="str">
        <f t="shared" si="363"/>
        <v>1_Post</v>
      </c>
      <c r="S1185" s="10" t="str">
        <f t="shared" si="364"/>
        <v>1_Post</v>
      </c>
      <c r="T1185" s="10" t="str">
        <f t="shared" si="365"/>
        <v>1_Post</v>
      </c>
      <c r="U1185" s="10" t="str">
        <f t="shared" si="366"/>
        <v>1_Post</v>
      </c>
      <c r="V1185" s="10" t="str">
        <f t="shared" si="374"/>
        <v>0_Pre</v>
      </c>
      <c r="W1185" s="10" t="str">
        <f t="shared" si="367"/>
        <v>straddle</v>
      </c>
      <c r="X1185" s="10" t="str">
        <f t="shared" si="368"/>
        <v>0_Pre</v>
      </c>
      <c r="Y1185" s="10" t="str">
        <f t="shared" si="369"/>
        <v>0_Pre</v>
      </c>
      <c r="Z1185" s="10" t="str">
        <f t="shared" si="370"/>
        <v>0_Pre</v>
      </c>
      <c r="AA1185" s="10" t="str">
        <f t="shared" si="375"/>
        <v>1_Post</v>
      </c>
      <c r="AB1185" s="10" t="str">
        <f t="shared" si="376"/>
        <v>1_Post</v>
      </c>
      <c r="AC1185" s="10" t="str">
        <f t="shared" si="377"/>
        <v>0_Pre</v>
      </c>
      <c r="AD1185" s="10" t="str">
        <f t="shared" si="378"/>
        <v>2_post sample median</v>
      </c>
      <c r="AE1185" s="10" t="str">
        <f t="shared" si="379"/>
        <v>3_post sample third tertile</v>
      </c>
      <c r="AF1185" t="s">
        <v>80</v>
      </c>
      <c r="AG1185" t="s">
        <v>75</v>
      </c>
      <c r="AH1185" t="s">
        <v>78</v>
      </c>
      <c r="AI1185" t="s">
        <v>122</v>
      </c>
      <c r="AJ1185" t="s">
        <v>122</v>
      </c>
      <c r="AK1185" t="str">
        <f>VLOOKUP(MID($AR1185,1,255),country_lookup!$B:$F,2,FALSE)</f>
        <v>3_AsiaPac</v>
      </c>
      <c r="AL1185" t="str">
        <f>VLOOKUP(MID($AR1185,1,255),country_lookup!$B:$F,3,FALSE)</f>
        <v>2_developing</v>
      </c>
      <c r="AM1185" t="str">
        <f>VLOOKUP(MID($AR1185,1,255),country_lookup!$B:$F,4,FALSE)</f>
        <v>2_non_western</v>
      </c>
      <c r="AN1185" t="str">
        <f>VLOOKUP(MID($AR1185,1,255),country_lookup!$B:$F,5,FALSE)</f>
        <v>2_civil law</v>
      </c>
      <c r="AO1185" s="10" t="str">
        <f>VLOOKUP(MID($AS1185,1,255),source_lookup!$B:$K,4,FALSE)</f>
        <v>0_published</v>
      </c>
      <c r="AP1185" s="10" t="str">
        <f>VLOOKUP(MID($AS1185,1,255),source_lookup!$B:$K,6,FALSE)</f>
        <v>0_VHB low</v>
      </c>
      <c r="AQ1185" s="10" t="str">
        <f>VLOOKUP(MID($AS1185,1,255),source_lookup!$B:$K,10,FALSE)</f>
        <v>3_mgmt</v>
      </c>
      <c r="AR1185" t="s">
        <v>94</v>
      </c>
      <c r="AS1185" t="s">
        <v>183</v>
      </c>
    </row>
    <row r="1186" spans="1:45" x14ac:dyDescent="0.3">
      <c r="A1186" t="s">
        <v>60</v>
      </c>
      <c r="B1186">
        <v>1185</v>
      </c>
      <c r="C1186" s="1">
        <v>-5.7650088303529079E-2</v>
      </c>
      <c r="D1186" s="2">
        <v>764</v>
      </c>
      <c r="E1186" s="4">
        <v>3822</v>
      </c>
      <c r="F1186" s="4" t="s">
        <v>347</v>
      </c>
      <c r="G1186" s="4" t="s">
        <v>346</v>
      </c>
      <c r="H1186" t="s">
        <v>77</v>
      </c>
      <c r="I1186" t="s">
        <v>350</v>
      </c>
      <c r="J1186" s="3">
        <v>2014</v>
      </c>
      <c r="K1186" s="3">
        <v>2018</v>
      </c>
      <c r="L1186" s="6">
        <f t="shared" si="371"/>
        <v>2016</v>
      </c>
      <c r="M1186" s="6">
        <f t="shared" si="372"/>
        <v>2016</v>
      </c>
      <c r="N1186" s="7">
        <f t="shared" si="360"/>
        <v>0.6</v>
      </c>
      <c r="O1186" s="7">
        <f t="shared" si="361"/>
        <v>0.4</v>
      </c>
      <c r="P1186" s="7">
        <f t="shared" si="362"/>
        <v>0.2</v>
      </c>
      <c r="Q1186" s="7">
        <f t="shared" si="373"/>
        <v>0</v>
      </c>
      <c r="R1186" s="10" t="str">
        <f t="shared" si="363"/>
        <v>1_Post</v>
      </c>
      <c r="S1186" s="10" t="str">
        <f t="shared" si="364"/>
        <v>1_Post</v>
      </c>
      <c r="T1186" s="10" t="str">
        <f t="shared" si="365"/>
        <v>1_Post</v>
      </c>
      <c r="U1186" s="10" t="str">
        <f t="shared" si="366"/>
        <v>1_Post</v>
      </c>
      <c r="V1186" s="10" t="str">
        <f t="shared" si="374"/>
        <v>0_Pre</v>
      </c>
      <c r="W1186" s="10" t="str">
        <f t="shared" si="367"/>
        <v>straddle</v>
      </c>
      <c r="X1186" s="10" t="str">
        <f t="shared" si="368"/>
        <v>0_Pre</v>
      </c>
      <c r="Y1186" s="10" t="str">
        <f t="shared" si="369"/>
        <v>0_Pre</v>
      </c>
      <c r="Z1186" s="10" t="str">
        <f t="shared" si="370"/>
        <v>0_Pre</v>
      </c>
      <c r="AA1186" s="10" t="str">
        <f t="shared" si="375"/>
        <v>1_Post</v>
      </c>
      <c r="AB1186" s="10" t="str">
        <f t="shared" si="376"/>
        <v>1_Post</v>
      </c>
      <c r="AC1186" s="10" t="str">
        <f t="shared" si="377"/>
        <v>0_Pre</v>
      </c>
      <c r="AD1186" s="10" t="str">
        <f t="shared" si="378"/>
        <v>2_post sample median</v>
      </c>
      <c r="AE1186" s="10" t="str">
        <f t="shared" si="379"/>
        <v>3_post sample third tertile</v>
      </c>
      <c r="AF1186" t="s">
        <v>80</v>
      </c>
      <c r="AG1186" t="s">
        <v>75</v>
      </c>
      <c r="AH1186" t="s">
        <v>78</v>
      </c>
      <c r="AI1186" t="s">
        <v>122</v>
      </c>
      <c r="AJ1186" t="s">
        <v>122</v>
      </c>
      <c r="AK1186" t="str">
        <f>VLOOKUP(MID($AR1186,1,255),country_lookup!$B:$F,2,FALSE)</f>
        <v>3_AsiaPac</v>
      </c>
      <c r="AL1186" t="str">
        <f>VLOOKUP(MID($AR1186,1,255),country_lookup!$B:$F,3,FALSE)</f>
        <v>2_developing</v>
      </c>
      <c r="AM1186" t="str">
        <f>VLOOKUP(MID($AR1186,1,255),country_lookup!$B:$F,4,FALSE)</f>
        <v>2_non_western</v>
      </c>
      <c r="AN1186" t="str">
        <f>VLOOKUP(MID($AR1186,1,255),country_lookup!$B:$F,5,FALSE)</f>
        <v>2_civil law</v>
      </c>
      <c r="AO1186" s="10" t="str">
        <f>VLOOKUP(MID($AS1186,1,255),source_lookup!$B:$K,4,FALSE)</f>
        <v>0_published</v>
      </c>
      <c r="AP1186" s="10" t="str">
        <f>VLOOKUP(MID($AS1186,1,255),source_lookup!$B:$K,6,FALSE)</f>
        <v>0_VHB low</v>
      </c>
      <c r="AQ1186" s="10" t="str">
        <f>VLOOKUP(MID($AS1186,1,255),source_lookup!$B:$K,10,FALSE)</f>
        <v>3_mgmt</v>
      </c>
      <c r="AR1186" t="s">
        <v>94</v>
      </c>
      <c r="AS1186" t="s">
        <v>183</v>
      </c>
    </row>
    <row r="1187" spans="1:45" x14ac:dyDescent="0.3">
      <c r="A1187" t="s">
        <v>60</v>
      </c>
      <c r="B1187">
        <v>1186</v>
      </c>
      <c r="C1187" s="1">
        <v>-3.7795303100218808E-2</v>
      </c>
      <c r="D1187" s="2">
        <v>799</v>
      </c>
      <c r="E1187" s="4">
        <v>3993</v>
      </c>
      <c r="F1187" s="4" t="s">
        <v>347</v>
      </c>
      <c r="G1187" s="4" t="s">
        <v>346</v>
      </c>
      <c r="H1187" t="s">
        <v>77</v>
      </c>
      <c r="I1187" t="s">
        <v>350</v>
      </c>
      <c r="J1187" s="3">
        <v>2014</v>
      </c>
      <c r="K1187" s="3">
        <v>2018</v>
      </c>
      <c r="L1187" s="6">
        <f t="shared" si="371"/>
        <v>2016</v>
      </c>
      <c r="M1187" s="6">
        <f t="shared" si="372"/>
        <v>2016</v>
      </c>
      <c r="N1187" s="7">
        <f t="shared" si="360"/>
        <v>0.6</v>
      </c>
      <c r="O1187" s="7">
        <f t="shared" si="361"/>
        <v>0.4</v>
      </c>
      <c r="P1187" s="7">
        <f t="shared" si="362"/>
        <v>0.2</v>
      </c>
      <c r="Q1187" s="7">
        <f t="shared" si="373"/>
        <v>0</v>
      </c>
      <c r="R1187" s="10" t="str">
        <f t="shared" si="363"/>
        <v>1_Post</v>
      </c>
      <c r="S1187" s="10" t="str">
        <f t="shared" si="364"/>
        <v>1_Post</v>
      </c>
      <c r="T1187" s="10" t="str">
        <f t="shared" si="365"/>
        <v>1_Post</v>
      </c>
      <c r="U1187" s="10" t="str">
        <f t="shared" si="366"/>
        <v>1_Post</v>
      </c>
      <c r="V1187" s="10" t="str">
        <f t="shared" si="374"/>
        <v>0_Pre</v>
      </c>
      <c r="W1187" s="10" t="str">
        <f t="shared" si="367"/>
        <v>straddle</v>
      </c>
      <c r="X1187" s="10" t="str">
        <f t="shared" si="368"/>
        <v>0_Pre</v>
      </c>
      <c r="Y1187" s="10" t="str">
        <f t="shared" si="369"/>
        <v>0_Pre</v>
      </c>
      <c r="Z1187" s="10" t="str">
        <f t="shared" si="370"/>
        <v>0_Pre</v>
      </c>
      <c r="AA1187" s="10" t="str">
        <f t="shared" si="375"/>
        <v>1_Post</v>
      </c>
      <c r="AB1187" s="10" t="str">
        <f t="shared" si="376"/>
        <v>1_Post</v>
      </c>
      <c r="AC1187" s="10" t="str">
        <f t="shared" si="377"/>
        <v>0_Pre</v>
      </c>
      <c r="AD1187" s="10" t="str">
        <f t="shared" si="378"/>
        <v>2_post sample median</v>
      </c>
      <c r="AE1187" s="10" t="str">
        <f t="shared" si="379"/>
        <v>3_post sample third tertile</v>
      </c>
      <c r="AF1187" t="s">
        <v>80</v>
      </c>
      <c r="AG1187" t="s">
        <v>75</v>
      </c>
      <c r="AH1187" t="s">
        <v>78</v>
      </c>
      <c r="AI1187" t="s">
        <v>122</v>
      </c>
      <c r="AJ1187" t="s">
        <v>122</v>
      </c>
      <c r="AK1187" t="str">
        <f>VLOOKUP(MID($AR1187,1,255),country_lookup!$B:$F,2,FALSE)</f>
        <v>3_AsiaPac</v>
      </c>
      <c r="AL1187" t="str">
        <f>VLOOKUP(MID($AR1187,1,255),country_lookup!$B:$F,3,FALSE)</f>
        <v>2_developing</v>
      </c>
      <c r="AM1187" t="str">
        <f>VLOOKUP(MID($AR1187,1,255),country_lookup!$B:$F,4,FALSE)</f>
        <v>2_non_western</v>
      </c>
      <c r="AN1187" t="str">
        <f>VLOOKUP(MID($AR1187,1,255),country_lookup!$B:$F,5,FALSE)</f>
        <v>2_civil law</v>
      </c>
      <c r="AO1187" s="10" t="str">
        <f>VLOOKUP(MID($AS1187,1,255),source_lookup!$B:$K,4,FALSE)</f>
        <v>0_published</v>
      </c>
      <c r="AP1187" s="10" t="str">
        <f>VLOOKUP(MID($AS1187,1,255),source_lookup!$B:$K,6,FALSE)</f>
        <v>0_VHB low</v>
      </c>
      <c r="AQ1187" s="10" t="str">
        <f>VLOOKUP(MID($AS1187,1,255),source_lookup!$B:$K,10,FALSE)</f>
        <v>3_mgmt</v>
      </c>
      <c r="AR1187" t="s">
        <v>94</v>
      </c>
      <c r="AS1187" t="s">
        <v>183</v>
      </c>
    </row>
    <row r="1188" spans="1:45" x14ac:dyDescent="0.3">
      <c r="A1188" t="s">
        <v>60</v>
      </c>
      <c r="B1188">
        <v>1187</v>
      </c>
      <c r="C1188" s="1">
        <v>-5.2497513998703747E-2</v>
      </c>
      <c r="D1188" s="2">
        <v>764</v>
      </c>
      <c r="E1188" s="4">
        <v>3822</v>
      </c>
      <c r="F1188" s="4" t="s">
        <v>347</v>
      </c>
      <c r="G1188" s="4" t="s">
        <v>346</v>
      </c>
      <c r="H1188" t="s">
        <v>77</v>
      </c>
      <c r="I1188" t="s">
        <v>350</v>
      </c>
      <c r="J1188" s="3">
        <v>2014</v>
      </c>
      <c r="K1188" s="3">
        <v>2018</v>
      </c>
      <c r="L1188" s="6">
        <f t="shared" si="371"/>
        <v>2016</v>
      </c>
      <c r="M1188" s="6">
        <f t="shared" si="372"/>
        <v>2016</v>
      </c>
      <c r="N1188" s="7">
        <f t="shared" si="360"/>
        <v>0.6</v>
      </c>
      <c r="O1188" s="7">
        <f t="shared" si="361"/>
        <v>0.4</v>
      </c>
      <c r="P1188" s="7">
        <f t="shared" si="362"/>
        <v>0.2</v>
      </c>
      <c r="Q1188" s="7">
        <f t="shared" si="373"/>
        <v>0</v>
      </c>
      <c r="R1188" s="10" t="str">
        <f t="shared" si="363"/>
        <v>1_Post</v>
      </c>
      <c r="S1188" s="10" t="str">
        <f t="shared" si="364"/>
        <v>1_Post</v>
      </c>
      <c r="T1188" s="10" t="str">
        <f t="shared" si="365"/>
        <v>1_Post</v>
      </c>
      <c r="U1188" s="10" t="str">
        <f t="shared" si="366"/>
        <v>1_Post</v>
      </c>
      <c r="V1188" s="10" t="str">
        <f t="shared" si="374"/>
        <v>0_Pre</v>
      </c>
      <c r="W1188" s="10" t="str">
        <f t="shared" si="367"/>
        <v>straddle</v>
      </c>
      <c r="X1188" s="10" t="str">
        <f t="shared" si="368"/>
        <v>0_Pre</v>
      </c>
      <c r="Y1188" s="10" t="str">
        <f t="shared" si="369"/>
        <v>0_Pre</v>
      </c>
      <c r="Z1188" s="10" t="str">
        <f t="shared" si="370"/>
        <v>0_Pre</v>
      </c>
      <c r="AA1188" s="10" t="str">
        <f t="shared" si="375"/>
        <v>1_Post</v>
      </c>
      <c r="AB1188" s="10" t="str">
        <f t="shared" si="376"/>
        <v>1_Post</v>
      </c>
      <c r="AC1188" s="10" t="str">
        <f t="shared" si="377"/>
        <v>0_Pre</v>
      </c>
      <c r="AD1188" s="10" t="str">
        <f t="shared" si="378"/>
        <v>2_post sample median</v>
      </c>
      <c r="AE1188" s="10" t="str">
        <f t="shared" si="379"/>
        <v>3_post sample third tertile</v>
      </c>
      <c r="AF1188" t="s">
        <v>80</v>
      </c>
      <c r="AG1188" t="s">
        <v>75</v>
      </c>
      <c r="AH1188" t="s">
        <v>78</v>
      </c>
      <c r="AI1188" t="s">
        <v>122</v>
      </c>
      <c r="AJ1188" t="s">
        <v>122</v>
      </c>
      <c r="AK1188" t="str">
        <f>VLOOKUP(MID($AR1188,1,255),country_lookup!$B:$F,2,FALSE)</f>
        <v>3_AsiaPac</v>
      </c>
      <c r="AL1188" t="str">
        <f>VLOOKUP(MID($AR1188,1,255),country_lookup!$B:$F,3,FALSE)</f>
        <v>2_developing</v>
      </c>
      <c r="AM1188" t="str">
        <f>VLOOKUP(MID($AR1188,1,255),country_lookup!$B:$F,4,FALSE)</f>
        <v>2_non_western</v>
      </c>
      <c r="AN1188" t="str">
        <f>VLOOKUP(MID($AR1188,1,255),country_lookup!$B:$F,5,FALSE)</f>
        <v>2_civil law</v>
      </c>
      <c r="AO1188" s="10" t="str">
        <f>VLOOKUP(MID($AS1188,1,255),source_lookup!$B:$K,4,FALSE)</f>
        <v>0_published</v>
      </c>
      <c r="AP1188" s="10" t="str">
        <f>VLOOKUP(MID($AS1188,1,255),source_lookup!$B:$K,6,FALSE)</f>
        <v>0_VHB low</v>
      </c>
      <c r="AQ1188" s="10" t="str">
        <f>VLOOKUP(MID($AS1188,1,255),source_lookup!$B:$K,10,FALSE)</f>
        <v>3_mgmt</v>
      </c>
      <c r="AR1188" t="s">
        <v>94</v>
      </c>
      <c r="AS1188" t="s">
        <v>183</v>
      </c>
    </row>
    <row r="1189" spans="1:45" x14ac:dyDescent="0.3">
      <c r="A1189" t="s">
        <v>60</v>
      </c>
      <c r="B1189">
        <v>1188</v>
      </c>
      <c r="C1189" s="1">
        <v>-4.300483459085154E-2</v>
      </c>
      <c r="D1189" s="2">
        <v>799</v>
      </c>
      <c r="E1189" s="4">
        <v>3993</v>
      </c>
      <c r="F1189" s="4" t="s">
        <v>347</v>
      </c>
      <c r="G1189" s="4" t="s">
        <v>346</v>
      </c>
      <c r="H1189" t="s">
        <v>77</v>
      </c>
      <c r="I1189" t="s">
        <v>350</v>
      </c>
      <c r="J1189" s="3">
        <v>2014</v>
      </c>
      <c r="K1189" s="3">
        <v>2018</v>
      </c>
      <c r="L1189" s="6">
        <f t="shared" si="371"/>
        <v>2016</v>
      </c>
      <c r="M1189" s="6">
        <f t="shared" si="372"/>
        <v>2016</v>
      </c>
      <c r="N1189" s="7">
        <f t="shared" si="360"/>
        <v>0.6</v>
      </c>
      <c r="O1189" s="7">
        <f t="shared" si="361"/>
        <v>0.4</v>
      </c>
      <c r="P1189" s="7">
        <f t="shared" si="362"/>
        <v>0.2</v>
      </c>
      <c r="Q1189" s="7">
        <f t="shared" si="373"/>
        <v>0</v>
      </c>
      <c r="R1189" s="10" t="str">
        <f t="shared" si="363"/>
        <v>1_Post</v>
      </c>
      <c r="S1189" s="10" t="str">
        <f t="shared" si="364"/>
        <v>1_Post</v>
      </c>
      <c r="T1189" s="10" t="str">
        <f t="shared" si="365"/>
        <v>1_Post</v>
      </c>
      <c r="U1189" s="10" t="str">
        <f t="shared" si="366"/>
        <v>1_Post</v>
      </c>
      <c r="V1189" s="10" t="str">
        <f t="shared" si="374"/>
        <v>0_Pre</v>
      </c>
      <c r="W1189" s="10" t="str">
        <f t="shared" si="367"/>
        <v>straddle</v>
      </c>
      <c r="X1189" s="10" t="str">
        <f t="shared" si="368"/>
        <v>0_Pre</v>
      </c>
      <c r="Y1189" s="10" t="str">
        <f t="shared" si="369"/>
        <v>0_Pre</v>
      </c>
      <c r="Z1189" s="10" t="str">
        <f t="shared" si="370"/>
        <v>0_Pre</v>
      </c>
      <c r="AA1189" s="10" t="str">
        <f t="shared" si="375"/>
        <v>1_Post</v>
      </c>
      <c r="AB1189" s="10" t="str">
        <f t="shared" si="376"/>
        <v>1_Post</v>
      </c>
      <c r="AC1189" s="10" t="str">
        <f t="shared" si="377"/>
        <v>0_Pre</v>
      </c>
      <c r="AD1189" s="10" t="str">
        <f t="shared" si="378"/>
        <v>2_post sample median</v>
      </c>
      <c r="AE1189" s="10" t="str">
        <f t="shared" si="379"/>
        <v>3_post sample third tertile</v>
      </c>
      <c r="AF1189" t="s">
        <v>80</v>
      </c>
      <c r="AG1189" t="s">
        <v>75</v>
      </c>
      <c r="AH1189" t="s">
        <v>78</v>
      </c>
      <c r="AI1189" t="s">
        <v>122</v>
      </c>
      <c r="AJ1189" t="s">
        <v>122</v>
      </c>
      <c r="AK1189" t="str">
        <f>VLOOKUP(MID($AR1189,1,255),country_lookup!$B:$F,2,FALSE)</f>
        <v>3_AsiaPac</v>
      </c>
      <c r="AL1189" t="str">
        <f>VLOOKUP(MID($AR1189,1,255),country_lookup!$B:$F,3,FALSE)</f>
        <v>2_developing</v>
      </c>
      <c r="AM1189" t="str">
        <f>VLOOKUP(MID($AR1189,1,255),country_lookup!$B:$F,4,FALSE)</f>
        <v>2_non_western</v>
      </c>
      <c r="AN1189" t="str">
        <f>VLOOKUP(MID($AR1189,1,255),country_lookup!$B:$F,5,FALSE)</f>
        <v>2_civil law</v>
      </c>
      <c r="AO1189" s="10" t="str">
        <f>VLOOKUP(MID($AS1189,1,255),source_lookup!$B:$K,4,FALSE)</f>
        <v>0_published</v>
      </c>
      <c r="AP1189" s="10" t="str">
        <f>VLOOKUP(MID($AS1189,1,255),source_lookup!$B:$K,6,FALSE)</f>
        <v>0_VHB low</v>
      </c>
      <c r="AQ1189" s="10" t="str">
        <f>VLOOKUP(MID($AS1189,1,255),source_lookup!$B:$K,10,FALSE)</f>
        <v>3_mgmt</v>
      </c>
      <c r="AR1189" t="s">
        <v>94</v>
      </c>
      <c r="AS1189" t="s">
        <v>183</v>
      </c>
    </row>
    <row r="1190" spans="1:45" x14ac:dyDescent="0.3">
      <c r="A1190" t="s">
        <v>60</v>
      </c>
      <c r="B1190">
        <v>1189</v>
      </c>
      <c r="C1190" s="1">
        <v>-4.3478260869565216E-2</v>
      </c>
      <c r="D1190" s="2">
        <v>799</v>
      </c>
      <c r="E1190" s="4">
        <v>3993</v>
      </c>
      <c r="F1190" s="4" t="s">
        <v>347</v>
      </c>
      <c r="G1190" s="4" t="s">
        <v>346</v>
      </c>
      <c r="H1190" t="s">
        <v>77</v>
      </c>
      <c r="I1190" t="s">
        <v>350</v>
      </c>
      <c r="J1190" s="3">
        <v>2014</v>
      </c>
      <c r="K1190" s="3">
        <v>2018</v>
      </c>
      <c r="L1190" s="6">
        <f t="shared" si="371"/>
        <v>2016</v>
      </c>
      <c r="M1190" s="6">
        <f t="shared" si="372"/>
        <v>2016</v>
      </c>
      <c r="N1190" s="7">
        <f t="shared" si="360"/>
        <v>0.6</v>
      </c>
      <c r="O1190" s="7">
        <f t="shared" si="361"/>
        <v>0.4</v>
      </c>
      <c r="P1190" s="7">
        <f t="shared" si="362"/>
        <v>0.2</v>
      </c>
      <c r="Q1190" s="7">
        <f t="shared" si="373"/>
        <v>0</v>
      </c>
      <c r="R1190" s="10" t="str">
        <f t="shared" si="363"/>
        <v>1_Post</v>
      </c>
      <c r="S1190" s="10" t="str">
        <f t="shared" si="364"/>
        <v>1_Post</v>
      </c>
      <c r="T1190" s="10" t="str">
        <f t="shared" si="365"/>
        <v>1_Post</v>
      </c>
      <c r="U1190" s="10" t="str">
        <f t="shared" si="366"/>
        <v>1_Post</v>
      </c>
      <c r="V1190" s="10" t="str">
        <f t="shared" si="374"/>
        <v>0_Pre</v>
      </c>
      <c r="W1190" s="10" t="str">
        <f t="shared" si="367"/>
        <v>straddle</v>
      </c>
      <c r="X1190" s="10" t="str">
        <f t="shared" si="368"/>
        <v>0_Pre</v>
      </c>
      <c r="Y1190" s="10" t="str">
        <f t="shared" si="369"/>
        <v>0_Pre</v>
      </c>
      <c r="Z1190" s="10" t="str">
        <f t="shared" si="370"/>
        <v>0_Pre</v>
      </c>
      <c r="AA1190" s="10" t="str">
        <f t="shared" si="375"/>
        <v>1_Post</v>
      </c>
      <c r="AB1190" s="10" t="str">
        <f t="shared" si="376"/>
        <v>1_Post</v>
      </c>
      <c r="AC1190" s="10" t="str">
        <f t="shared" si="377"/>
        <v>0_Pre</v>
      </c>
      <c r="AD1190" s="10" t="str">
        <f t="shared" si="378"/>
        <v>2_post sample median</v>
      </c>
      <c r="AE1190" s="10" t="str">
        <f t="shared" si="379"/>
        <v>3_post sample third tertile</v>
      </c>
      <c r="AF1190" t="s">
        <v>80</v>
      </c>
      <c r="AG1190" t="s">
        <v>75</v>
      </c>
      <c r="AH1190" t="s">
        <v>78</v>
      </c>
      <c r="AI1190" t="s">
        <v>122</v>
      </c>
      <c r="AJ1190" t="s">
        <v>122</v>
      </c>
      <c r="AK1190" t="str">
        <f>VLOOKUP(MID($AR1190,1,255),country_lookup!$B:$F,2,FALSE)</f>
        <v>3_AsiaPac</v>
      </c>
      <c r="AL1190" t="str">
        <f>VLOOKUP(MID($AR1190,1,255),country_lookup!$B:$F,3,FALSE)</f>
        <v>2_developing</v>
      </c>
      <c r="AM1190" t="str">
        <f>VLOOKUP(MID($AR1190,1,255),country_lookup!$B:$F,4,FALSE)</f>
        <v>2_non_western</v>
      </c>
      <c r="AN1190" t="str">
        <f>VLOOKUP(MID($AR1190,1,255),country_lookup!$B:$F,5,FALSE)</f>
        <v>2_civil law</v>
      </c>
      <c r="AO1190" s="10" t="str">
        <f>VLOOKUP(MID($AS1190,1,255),source_lookup!$B:$K,4,FALSE)</f>
        <v>0_published</v>
      </c>
      <c r="AP1190" s="10" t="str">
        <f>VLOOKUP(MID($AS1190,1,255),source_lookup!$B:$K,6,FALSE)</f>
        <v>0_VHB low</v>
      </c>
      <c r="AQ1190" s="10" t="str">
        <f>VLOOKUP(MID($AS1190,1,255),source_lookup!$B:$K,10,FALSE)</f>
        <v>3_mgmt</v>
      </c>
      <c r="AR1190" t="s">
        <v>94</v>
      </c>
      <c r="AS1190" t="s">
        <v>183</v>
      </c>
    </row>
    <row r="1191" spans="1:45" x14ac:dyDescent="0.3">
      <c r="A1191" t="s">
        <v>60</v>
      </c>
      <c r="B1191">
        <v>1190</v>
      </c>
      <c r="C1191" s="1">
        <v>-5.0186649605241038E-2</v>
      </c>
      <c r="D1191" s="2">
        <v>419</v>
      </c>
      <c r="E1191" s="4">
        <v>2095</v>
      </c>
      <c r="F1191" s="4" t="s">
        <v>347</v>
      </c>
      <c r="G1191" s="4" t="s">
        <v>346</v>
      </c>
      <c r="H1191" t="s">
        <v>77</v>
      </c>
      <c r="I1191" t="s">
        <v>350</v>
      </c>
      <c r="J1191" s="3">
        <v>2014</v>
      </c>
      <c r="K1191" s="3">
        <v>2018</v>
      </c>
      <c r="L1191" s="6">
        <f t="shared" si="371"/>
        <v>2016</v>
      </c>
      <c r="M1191" s="6">
        <f t="shared" si="372"/>
        <v>2016</v>
      </c>
      <c r="N1191" s="7">
        <f t="shared" si="360"/>
        <v>0.6</v>
      </c>
      <c r="O1191" s="7">
        <f t="shared" si="361"/>
        <v>0.4</v>
      </c>
      <c r="P1191" s="7">
        <f t="shared" si="362"/>
        <v>0.2</v>
      </c>
      <c r="Q1191" s="7">
        <f t="shared" si="373"/>
        <v>0</v>
      </c>
      <c r="R1191" s="10" t="str">
        <f t="shared" si="363"/>
        <v>1_Post</v>
      </c>
      <c r="S1191" s="10" t="str">
        <f t="shared" si="364"/>
        <v>1_Post</v>
      </c>
      <c r="T1191" s="10" t="str">
        <f t="shared" si="365"/>
        <v>1_Post</v>
      </c>
      <c r="U1191" s="10" t="str">
        <f t="shared" si="366"/>
        <v>1_Post</v>
      </c>
      <c r="V1191" s="10" t="str">
        <f t="shared" si="374"/>
        <v>0_Pre</v>
      </c>
      <c r="W1191" s="10" t="str">
        <f t="shared" si="367"/>
        <v>straddle</v>
      </c>
      <c r="X1191" s="10" t="str">
        <f t="shared" si="368"/>
        <v>0_Pre</v>
      </c>
      <c r="Y1191" s="10" t="str">
        <f t="shared" si="369"/>
        <v>0_Pre</v>
      </c>
      <c r="Z1191" s="10" t="str">
        <f t="shared" si="370"/>
        <v>0_Pre</v>
      </c>
      <c r="AA1191" s="10" t="str">
        <f t="shared" si="375"/>
        <v>1_Post</v>
      </c>
      <c r="AB1191" s="10" t="str">
        <f t="shared" si="376"/>
        <v>1_Post</v>
      </c>
      <c r="AC1191" s="10" t="str">
        <f t="shared" si="377"/>
        <v>0_Pre</v>
      </c>
      <c r="AD1191" s="10" t="str">
        <f t="shared" si="378"/>
        <v>2_post sample median</v>
      </c>
      <c r="AE1191" s="10" t="str">
        <f t="shared" si="379"/>
        <v>3_post sample third tertile</v>
      </c>
      <c r="AF1191" t="s">
        <v>80</v>
      </c>
      <c r="AG1191" t="s">
        <v>75</v>
      </c>
      <c r="AH1191" t="s">
        <v>78</v>
      </c>
      <c r="AI1191" t="s">
        <v>122</v>
      </c>
      <c r="AJ1191" t="s">
        <v>122</v>
      </c>
      <c r="AK1191" t="str">
        <f>VLOOKUP(MID($AR1191,1,255),country_lookup!$B:$F,2,FALSE)</f>
        <v>3_AsiaPac</v>
      </c>
      <c r="AL1191" t="str">
        <f>VLOOKUP(MID($AR1191,1,255),country_lookup!$B:$F,3,FALSE)</f>
        <v>2_developing</v>
      </c>
      <c r="AM1191" t="str">
        <f>VLOOKUP(MID($AR1191,1,255),country_lookup!$B:$F,4,FALSE)</f>
        <v>2_non_western</v>
      </c>
      <c r="AN1191" t="str">
        <f>VLOOKUP(MID($AR1191,1,255),country_lookup!$B:$F,5,FALSE)</f>
        <v>2_civil law</v>
      </c>
      <c r="AO1191" s="10" t="str">
        <f>VLOOKUP(MID($AS1191,1,255),source_lookup!$B:$K,4,FALSE)</f>
        <v>0_published</v>
      </c>
      <c r="AP1191" s="10" t="str">
        <f>VLOOKUP(MID($AS1191,1,255),source_lookup!$B:$K,6,FALSE)</f>
        <v>0_VHB low</v>
      </c>
      <c r="AQ1191" s="10" t="str">
        <f>VLOOKUP(MID($AS1191,1,255),source_lookup!$B:$K,10,FALSE)</f>
        <v>3_mgmt</v>
      </c>
      <c r="AR1191" t="s">
        <v>94</v>
      </c>
      <c r="AS1191" t="s">
        <v>183</v>
      </c>
    </row>
    <row r="1192" spans="1:45" x14ac:dyDescent="0.3">
      <c r="A1192" t="s">
        <v>60</v>
      </c>
      <c r="B1192">
        <v>1191</v>
      </c>
      <c r="C1192" s="1">
        <v>-5.5190720565338983E-2</v>
      </c>
      <c r="D1192" s="2">
        <v>419</v>
      </c>
      <c r="E1192" s="4">
        <v>2095</v>
      </c>
      <c r="F1192" s="4" t="s">
        <v>347</v>
      </c>
      <c r="G1192" s="4" t="s">
        <v>346</v>
      </c>
      <c r="H1192" t="s">
        <v>77</v>
      </c>
      <c r="I1192" t="s">
        <v>350</v>
      </c>
      <c r="J1192" s="3">
        <v>2014</v>
      </c>
      <c r="K1192" s="3">
        <v>2018</v>
      </c>
      <c r="L1192" s="6">
        <f t="shared" si="371"/>
        <v>2016</v>
      </c>
      <c r="M1192" s="6">
        <f t="shared" si="372"/>
        <v>2016</v>
      </c>
      <c r="N1192" s="7">
        <f t="shared" si="360"/>
        <v>0.6</v>
      </c>
      <c r="O1192" s="7">
        <f t="shared" si="361"/>
        <v>0.4</v>
      </c>
      <c r="P1192" s="7">
        <f t="shared" si="362"/>
        <v>0.2</v>
      </c>
      <c r="Q1192" s="7">
        <f t="shared" si="373"/>
        <v>0</v>
      </c>
      <c r="R1192" s="10" t="str">
        <f t="shared" si="363"/>
        <v>1_Post</v>
      </c>
      <c r="S1192" s="10" t="str">
        <f t="shared" si="364"/>
        <v>1_Post</v>
      </c>
      <c r="T1192" s="10" t="str">
        <f t="shared" si="365"/>
        <v>1_Post</v>
      </c>
      <c r="U1192" s="10" t="str">
        <f t="shared" si="366"/>
        <v>1_Post</v>
      </c>
      <c r="V1192" s="10" t="str">
        <f t="shared" si="374"/>
        <v>0_Pre</v>
      </c>
      <c r="W1192" s="10" t="str">
        <f t="shared" si="367"/>
        <v>straddle</v>
      </c>
      <c r="X1192" s="10" t="str">
        <f t="shared" si="368"/>
        <v>0_Pre</v>
      </c>
      <c r="Y1192" s="10" t="str">
        <f t="shared" si="369"/>
        <v>0_Pre</v>
      </c>
      <c r="Z1192" s="10" t="str">
        <f t="shared" si="370"/>
        <v>0_Pre</v>
      </c>
      <c r="AA1192" s="10" t="str">
        <f t="shared" si="375"/>
        <v>1_Post</v>
      </c>
      <c r="AB1192" s="10" t="str">
        <f t="shared" si="376"/>
        <v>1_Post</v>
      </c>
      <c r="AC1192" s="10" t="str">
        <f t="shared" si="377"/>
        <v>0_Pre</v>
      </c>
      <c r="AD1192" s="10" t="str">
        <f t="shared" si="378"/>
        <v>2_post sample median</v>
      </c>
      <c r="AE1192" s="10" t="str">
        <f t="shared" si="379"/>
        <v>3_post sample third tertile</v>
      </c>
      <c r="AF1192" t="s">
        <v>80</v>
      </c>
      <c r="AG1192" t="s">
        <v>75</v>
      </c>
      <c r="AH1192" t="s">
        <v>78</v>
      </c>
      <c r="AI1192" t="s">
        <v>122</v>
      </c>
      <c r="AJ1192" t="s">
        <v>122</v>
      </c>
      <c r="AK1192" t="str">
        <f>VLOOKUP(MID($AR1192,1,255),country_lookup!$B:$F,2,FALSE)</f>
        <v>3_AsiaPac</v>
      </c>
      <c r="AL1192" t="str">
        <f>VLOOKUP(MID($AR1192,1,255),country_lookup!$B:$F,3,FALSE)</f>
        <v>2_developing</v>
      </c>
      <c r="AM1192" t="str">
        <f>VLOOKUP(MID($AR1192,1,255),country_lookup!$B:$F,4,FALSE)</f>
        <v>2_non_western</v>
      </c>
      <c r="AN1192" t="str">
        <f>VLOOKUP(MID($AR1192,1,255),country_lookup!$B:$F,5,FALSE)</f>
        <v>2_civil law</v>
      </c>
      <c r="AO1192" s="10" t="str">
        <f>VLOOKUP(MID($AS1192,1,255),source_lookup!$B:$K,4,FALSE)</f>
        <v>0_published</v>
      </c>
      <c r="AP1192" s="10" t="str">
        <f>VLOOKUP(MID($AS1192,1,255),source_lookup!$B:$K,6,FALSE)</f>
        <v>0_VHB low</v>
      </c>
      <c r="AQ1192" s="10" t="str">
        <f>VLOOKUP(MID($AS1192,1,255),source_lookup!$B:$K,10,FALSE)</f>
        <v>3_mgmt</v>
      </c>
      <c r="AR1192" t="s">
        <v>94</v>
      </c>
      <c r="AS1192" t="s">
        <v>183</v>
      </c>
    </row>
    <row r="1193" spans="1:45" x14ac:dyDescent="0.3">
      <c r="A1193" t="s">
        <v>60</v>
      </c>
      <c r="B1193">
        <v>1192</v>
      </c>
      <c r="C1193" s="1">
        <v>-5.4200788812819083E-2</v>
      </c>
      <c r="D1193" s="2">
        <v>799</v>
      </c>
      <c r="E1193" s="4">
        <v>3993</v>
      </c>
      <c r="F1193" s="4" t="s">
        <v>347</v>
      </c>
      <c r="G1193" s="4" t="s">
        <v>346</v>
      </c>
      <c r="H1193" t="s">
        <v>77</v>
      </c>
      <c r="I1193" t="s">
        <v>350</v>
      </c>
      <c r="J1193" s="3">
        <v>2014</v>
      </c>
      <c r="K1193" s="3">
        <v>2018</v>
      </c>
      <c r="L1193" s="6">
        <f t="shared" si="371"/>
        <v>2016</v>
      </c>
      <c r="M1193" s="6">
        <f t="shared" si="372"/>
        <v>2016</v>
      </c>
      <c r="N1193" s="7">
        <f t="shared" si="360"/>
        <v>0.6</v>
      </c>
      <c r="O1193" s="7">
        <f t="shared" si="361"/>
        <v>0.4</v>
      </c>
      <c r="P1193" s="7">
        <f t="shared" si="362"/>
        <v>0.2</v>
      </c>
      <c r="Q1193" s="7">
        <f t="shared" si="373"/>
        <v>0</v>
      </c>
      <c r="R1193" s="10" t="str">
        <f t="shared" si="363"/>
        <v>1_Post</v>
      </c>
      <c r="S1193" s="10" t="str">
        <f t="shared" si="364"/>
        <v>1_Post</v>
      </c>
      <c r="T1193" s="10" t="str">
        <f t="shared" si="365"/>
        <v>1_Post</v>
      </c>
      <c r="U1193" s="10" t="str">
        <f t="shared" si="366"/>
        <v>1_Post</v>
      </c>
      <c r="V1193" s="10" t="str">
        <f t="shared" si="374"/>
        <v>0_Pre</v>
      </c>
      <c r="W1193" s="10" t="str">
        <f t="shared" si="367"/>
        <v>straddle</v>
      </c>
      <c r="X1193" s="10" t="str">
        <f t="shared" si="368"/>
        <v>0_Pre</v>
      </c>
      <c r="Y1193" s="10" t="str">
        <f t="shared" si="369"/>
        <v>0_Pre</v>
      </c>
      <c r="Z1193" s="10" t="str">
        <f t="shared" si="370"/>
        <v>0_Pre</v>
      </c>
      <c r="AA1193" s="10" t="str">
        <f t="shared" si="375"/>
        <v>1_Post</v>
      </c>
      <c r="AB1193" s="10" t="str">
        <f t="shared" si="376"/>
        <v>1_Post</v>
      </c>
      <c r="AC1193" s="10" t="str">
        <f t="shared" si="377"/>
        <v>0_Pre</v>
      </c>
      <c r="AD1193" s="10" t="str">
        <f t="shared" si="378"/>
        <v>2_post sample median</v>
      </c>
      <c r="AE1193" s="10" t="str">
        <f t="shared" si="379"/>
        <v>3_post sample third tertile</v>
      </c>
      <c r="AF1193" t="s">
        <v>80</v>
      </c>
      <c r="AG1193" t="s">
        <v>75</v>
      </c>
      <c r="AH1193" t="s">
        <v>78</v>
      </c>
      <c r="AI1193" t="s">
        <v>122</v>
      </c>
      <c r="AJ1193" t="s">
        <v>122</v>
      </c>
      <c r="AK1193" t="str">
        <f>VLOOKUP(MID($AR1193,1,255),country_lookup!$B:$F,2,FALSE)</f>
        <v>3_AsiaPac</v>
      </c>
      <c r="AL1193" t="str">
        <f>VLOOKUP(MID($AR1193,1,255),country_lookup!$B:$F,3,FALSE)</f>
        <v>2_developing</v>
      </c>
      <c r="AM1193" t="str">
        <f>VLOOKUP(MID($AR1193,1,255),country_lookup!$B:$F,4,FALSE)</f>
        <v>2_non_western</v>
      </c>
      <c r="AN1193" t="str">
        <f>VLOOKUP(MID($AR1193,1,255),country_lookup!$B:$F,5,FALSE)</f>
        <v>2_civil law</v>
      </c>
      <c r="AO1193" s="10" t="str">
        <f>VLOOKUP(MID($AS1193,1,255),source_lookup!$B:$K,4,FALSE)</f>
        <v>0_published</v>
      </c>
      <c r="AP1193" s="10" t="str">
        <f>VLOOKUP(MID($AS1193,1,255),source_lookup!$B:$K,6,FALSE)</f>
        <v>0_VHB low</v>
      </c>
      <c r="AQ1193" s="10" t="str">
        <f>VLOOKUP(MID($AS1193,1,255),source_lookup!$B:$K,10,FALSE)</f>
        <v>3_mgmt</v>
      </c>
      <c r="AR1193" t="s">
        <v>94</v>
      </c>
      <c r="AS1193" t="s">
        <v>183</v>
      </c>
    </row>
    <row r="1194" spans="1:45" x14ac:dyDescent="0.3">
      <c r="A1194" t="s">
        <v>60</v>
      </c>
      <c r="B1194">
        <v>1193</v>
      </c>
      <c r="C1194" s="1">
        <v>-4.6318192417352681E-2</v>
      </c>
      <c r="D1194" s="2">
        <v>799</v>
      </c>
      <c r="E1194" s="4">
        <v>3993</v>
      </c>
      <c r="F1194" s="4" t="s">
        <v>347</v>
      </c>
      <c r="G1194" s="4" t="s">
        <v>346</v>
      </c>
      <c r="H1194" t="s">
        <v>77</v>
      </c>
      <c r="I1194" t="s">
        <v>350</v>
      </c>
      <c r="J1194" s="3">
        <v>2014</v>
      </c>
      <c r="K1194" s="3">
        <v>2018</v>
      </c>
      <c r="L1194" s="6">
        <f t="shared" si="371"/>
        <v>2016</v>
      </c>
      <c r="M1194" s="6">
        <f t="shared" si="372"/>
        <v>2016</v>
      </c>
      <c r="N1194" s="7">
        <f t="shared" si="360"/>
        <v>0.6</v>
      </c>
      <c r="O1194" s="7">
        <f t="shared" si="361"/>
        <v>0.4</v>
      </c>
      <c r="P1194" s="7">
        <f t="shared" si="362"/>
        <v>0.2</v>
      </c>
      <c r="Q1194" s="7">
        <f t="shared" si="373"/>
        <v>0</v>
      </c>
      <c r="R1194" s="10" t="str">
        <f t="shared" si="363"/>
        <v>1_Post</v>
      </c>
      <c r="S1194" s="10" t="str">
        <f t="shared" si="364"/>
        <v>1_Post</v>
      </c>
      <c r="T1194" s="10" t="str">
        <f t="shared" si="365"/>
        <v>1_Post</v>
      </c>
      <c r="U1194" s="10" t="str">
        <f t="shared" si="366"/>
        <v>1_Post</v>
      </c>
      <c r="V1194" s="10" t="str">
        <f t="shared" si="374"/>
        <v>0_Pre</v>
      </c>
      <c r="W1194" s="10" t="str">
        <f t="shared" si="367"/>
        <v>straddle</v>
      </c>
      <c r="X1194" s="10" t="str">
        <f t="shared" si="368"/>
        <v>0_Pre</v>
      </c>
      <c r="Y1194" s="10" t="str">
        <f t="shared" si="369"/>
        <v>0_Pre</v>
      </c>
      <c r="Z1194" s="10" t="str">
        <f t="shared" si="370"/>
        <v>0_Pre</v>
      </c>
      <c r="AA1194" s="10" t="str">
        <f t="shared" si="375"/>
        <v>1_Post</v>
      </c>
      <c r="AB1194" s="10" t="str">
        <f t="shared" si="376"/>
        <v>1_Post</v>
      </c>
      <c r="AC1194" s="10" t="str">
        <f t="shared" si="377"/>
        <v>0_Pre</v>
      </c>
      <c r="AD1194" s="10" t="str">
        <f t="shared" si="378"/>
        <v>2_post sample median</v>
      </c>
      <c r="AE1194" s="10" t="str">
        <f t="shared" si="379"/>
        <v>3_post sample third tertile</v>
      </c>
      <c r="AF1194" t="s">
        <v>80</v>
      </c>
      <c r="AG1194" t="s">
        <v>75</v>
      </c>
      <c r="AH1194" t="s">
        <v>78</v>
      </c>
      <c r="AI1194" t="s">
        <v>122</v>
      </c>
      <c r="AJ1194" t="s">
        <v>122</v>
      </c>
      <c r="AK1194" t="str">
        <f>VLOOKUP(MID($AR1194,1,255),country_lookup!$B:$F,2,FALSE)</f>
        <v>3_AsiaPac</v>
      </c>
      <c r="AL1194" t="str">
        <f>VLOOKUP(MID($AR1194,1,255),country_lookup!$B:$F,3,FALSE)</f>
        <v>2_developing</v>
      </c>
      <c r="AM1194" t="str">
        <f>VLOOKUP(MID($AR1194,1,255),country_lookup!$B:$F,4,FALSE)</f>
        <v>2_non_western</v>
      </c>
      <c r="AN1194" t="str">
        <f>VLOOKUP(MID($AR1194,1,255),country_lookup!$B:$F,5,FALSE)</f>
        <v>2_civil law</v>
      </c>
      <c r="AO1194" s="10" t="str">
        <f>VLOOKUP(MID($AS1194,1,255),source_lookup!$B:$K,4,FALSE)</f>
        <v>0_published</v>
      </c>
      <c r="AP1194" s="10" t="str">
        <f>VLOOKUP(MID($AS1194,1,255),source_lookup!$B:$K,6,FALSE)</f>
        <v>0_VHB low</v>
      </c>
      <c r="AQ1194" s="10" t="str">
        <f>VLOOKUP(MID($AS1194,1,255),source_lookup!$B:$K,10,FALSE)</f>
        <v>3_mgmt</v>
      </c>
      <c r="AR1194" t="s">
        <v>94</v>
      </c>
      <c r="AS1194" t="s">
        <v>183</v>
      </c>
    </row>
    <row r="1195" spans="1:45" x14ac:dyDescent="0.3">
      <c r="A1195" t="s">
        <v>60</v>
      </c>
      <c r="B1195">
        <v>1194</v>
      </c>
      <c r="C1195" s="1">
        <v>-7.2866172850446109E-2</v>
      </c>
      <c r="D1195" s="2">
        <v>398</v>
      </c>
      <c r="E1195" s="4">
        <v>1991</v>
      </c>
      <c r="F1195" s="4" t="s">
        <v>347</v>
      </c>
      <c r="G1195" s="4" t="s">
        <v>346</v>
      </c>
      <c r="H1195" t="s">
        <v>77</v>
      </c>
      <c r="I1195" t="s">
        <v>350</v>
      </c>
      <c r="J1195" s="3">
        <v>2014</v>
      </c>
      <c r="K1195" s="3">
        <v>2018</v>
      </c>
      <c r="L1195" s="6">
        <f t="shared" si="371"/>
        <v>2016</v>
      </c>
      <c r="M1195" s="6">
        <f t="shared" si="372"/>
        <v>2016</v>
      </c>
      <c r="N1195" s="7">
        <f t="shared" si="360"/>
        <v>0.6</v>
      </c>
      <c r="O1195" s="7">
        <f t="shared" si="361"/>
        <v>0.4</v>
      </c>
      <c r="P1195" s="7">
        <f t="shared" si="362"/>
        <v>0.2</v>
      </c>
      <c r="Q1195" s="7">
        <f t="shared" si="373"/>
        <v>0</v>
      </c>
      <c r="R1195" s="10" t="str">
        <f t="shared" si="363"/>
        <v>1_Post</v>
      </c>
      <c r="S1195" s="10" t="str">
        <f t="shared" si="364"/>
        <v>1_Post</v>
      </c>
      <c r="T1195" s="10" t="str">
        <f t="shared" si="365"/>
        <v>1_Post</v>
      </c>
      <c r="U1195" s="10" t="str">
        <f t="shared" si="366"/>
        <v>1_Post</v>
      </c>
      <c r="V1195" s="10" t="str">
        <f t="shared" si="374"/>
        <v>0_Pre</v>
      </c>
      <c r="W1195" s="10" t="str">
        <f t="shared" si="367"/>
        <v>straddle</v>
      </c>
      <c r="X1195" s="10" t="str">
        <f t="shared" si="368"/>
        <v>0_Pre</v>
      </c>
      <c r="Y1195" s="10" t="str">
        <f t="shared" si="369"/>
        <v>0_Pre</v>
      </c>
      <c r="Z1195" s="10" t="str">
        <f t="shared" si="370"/>
        <v>0_Pre</v>
      </c>
      <c r="AA1195" s="10" t="str">
        <f t="shared" si="375"/>
        <v>1_Post</v>
      </c>
      <c r="AB1195" s="10" t="str">
        <f t="shared" si="376"/>
        <v>1_Post</v>
      </c>
      <c r="AC1195" s="10" t="str">
        <f t="shared" si="377"/>
        <v>0_Pre</v>
      </c>
      <c r="AD1195" s="10" t="str">
        <f t="shared" si="378"/>
        <v>2_post sample median</v>
      </c>
      <c r="AE1195" s="10" t="str">
        <f t="shared" si="379"/>
        <v>3_post sample third tertile</v>
      </c>
      <c r="AF1195" t="s">
        <v>80</v>
      </c>
      <c r="AG1195" t="s">
        <v>75</v>
      </c>
      <c r="AH1195" t="s">
        <v>78</v>
      </c>
      <c r="AI1195" t="s">
        <v>122</v>
      </c>
      <c r="AJ1195" t="s">
        <v>122</v>
      </c>
      <c r="AK1195" t="str">
        <f>VLOOKUP(MID($AR1195,1,255),country_lookup!$B:$F,2,FALSE)</f>
        <v>3_AsiaPac</v>
      </c>
      <c r="AL1195" t="str">
        <f>VLOOKUP(MID($AR1195,1,255),country_lookup!$B:$F,3,FALSE)</f>
        <v>2_developing</v>
      </c>
      <c r="AM1195" t="str">
        <f>VLOOKUP(MID($AR1195,1,255),country_lookup!$B:$F,4,FALSE)</f>
        <v>2_non_western</v>
      </c>
      <c r="AN1195" t="str">
        <f>VLOOKUP(MID($AR1195,1,255),country_lookup!$B:$F,5,FALSE)</f>
        <v>2_civil law</v>
      </c>
      <c r="AO1195" s="10" t="str">
        <f>VLOOKUP(MID($AS1195,1,255),source_lookup!$B:$K,4,FALSE)</f>
        <v>0_published</v>
      </c>
      <c r="AP1195" s="10" t="str">
        <f>VLOOKUP(MID($AS1195,1,255),source_lookup!$B:$K,6,FALSE)</f>
        <v>0_VHB low</v>
      </c>
      <c r="AQ1195" s="10" t="str">
        <f>VLOOKUP(MID($AS1195,1,255),source_lookup!$B:$K,10,FALSE)</f>
        <v>3_mgmt</v>
      </c>
      <c r="AR1195" t="s">
        <v>94</v>
      </c>
      <c r="AS1195" t="s">
        <v>183</v>
      </c>
    </row>
    <row r="1196" spans="1:45" x14ac:dyDescent="0.3">
      <c r="A1196" t="s">
        <v>60</v>
      </c>
      <c r="B1196">
        <v>1195</v>
      </c>
      <c r="C1196" s="1">
        <v>-1.9887128128648447E-2</v>
      </c>
      <c r="D1196" s="2">
        <v>400</v>
      </c>
      <c r="E1196" s="4">
        <v>2002</v>
      </c>
      <c r="F1196" s="4" t="s">
        <v>347</v>
      </c>
      <c r="G1196" s="4" t="s">
        <v>346</v>
      </c>
      <c r="H1196" t="s">
        <v>77</v>
      </c>
      <c r="I1196" t="s">
        <v>350</v>
      </c>
      <c r="J1196" s="3">
        <v>2014</v>
      </c>
      <c r="K1196" s="3">
        <v>2018</v>
      </c>
      <c r="L1196" s="6">
        <f t="shared" si="371"/>
        <v>2016</v>
      </c>
      <c r="M1196" s="6">
        <f t="shared" si="372"/>
        <v>2016</v>
      </c>
      <c r="N1196" s="7">
        <f t="shared" si="360"/>
        <v>0.6</v>
      </c>
      <c r="O1196" s="7">
        <f t="shared" si="361"/>
        <v>0.4</v>
      </c>
      <c r="P1196" s="7">
        <f t="shared" si="362"/>
        <v>0.2</v>
      </c>
      <c r="Q1196" s="7">
        <f t="shared" si="373"/>
        <v>0</v>
      </c>
      <c r="R1196" s="10" t="str">
        <f t="shared" si="363"/>
        <v>1_Post</v>
      </c>
      <c r="S1196" s="10" t="str">
        <f t="shared" si="364"/>
        <v>1_Post</v>
      </c>
      <c r="T1196" s="10" t="str">
        <f t="shared" si="365"/>
        <v>1_Post</v>
      </c>
      <c r="U1196" s="10" t="str">
        <f t="shared" si="366"/>
        <v>1_Post</v>
      </c>
      <c r="V1196" s="10" t="str">
        <f t="shared" si="374"/>
        <v>0_Pre</v>
      </c>
      <c r="W1196" s="10" t="str">
        <f t="shared" si="367"/>
        <v>straddle</v>
      </c>
      <c r="X1196" s="10" t="str">
        <f t="shared" si="368"/>
        <v>0_Pre</v>
      </c>
      <c r="Y1196" s="10" t="str">
        <f t="shared" si="369"/>
        <v>0_Pre</v>
      </c>
      <c r="Z1196" s="10" t="str">
        <f t="shared" si="370"/>
        <v>0_Pre</v>
      </c>
      <c r="AA1196" s="10" t="str">
        <f t="shared" si="375"/>
        <v>1_Post</v>
      </c>
      <c r="AB1196" s="10" t="str">
        <f t="shared" si="376"/>
        <v>1_Post</v>
      </c>
      <c r="AC1196" s="10" t="str">
        <f t="shared" si="377"/>
        <v>0_Pre</v>
      </c>
      <c r="AD1196" s="10" t="str">
        <f t="shared" si="378"/>
        <v>2_post sample median</v>
      </c>
      <c r="AE1196" s="10" t="str">
        <f t="shared" si="379"/>
        <v>3_post sample third tertile</v>
      </c>
      <c r="AF1196" t="s">
        <v>80</v>
      </c>
      <c r="AG1196" t="s">
        <v>75</v>
      </c>
      <c r="AH1196" t="s">
        <v>78</v>
      </c>
      <c r="AI1196" t="s">
        <v>122</v>
      </c>
      <c r="AJ1196" t="s">
        <v>122</v>
      </c>
      <c r="AK1196" t="str">
        <f>VLOOKUP(MID($AR1196,1,255),country_lookup!$B:$F,2,FALSE)</f>
        <v>3_AsiaPac</v>
      </c>
      <c r="AL1196" t="str">
        <f>VLOOKUP(MID($AR1196,1,255),country_lookup!$B:$F,3,FALSE)</f>
        <v>2_developing</v>
      </c>
      <c r="AM1196" t="str">
        <f>VLOOKUP(MID($AR1196,1,255),country_lookup!$B:$F,4,FALSE)</f>
        <v>2_non_western</v>
      </c>
      <c r="AN1196" t="str">
        <f>VLOOKUP(MID($AR1196,1,255),country_lookup!$B:$F,5,FALSE)</f>
        <v>2_civil law</v>
      </c>
      <c r="AO1196" s="10" t="str">
        <f>VLOOKUP(MID($AS1196,1,255),source_lookup!$B:$K,4,FALSE)</f>
        <v>0_published</v>
      </c>
      <c r="AP1196" s="10" t="str">
        <f>VLOOKUP(MID($AS1196,1,255),source_lookup!$B:$K,6,FALSE)</f>
        <v>0_VHB low</v>
      </c>
      <c r="AQ1196" s="10" t="str">
        <f>VLOOKUP(MID($AS1196,1,255),source_lookup!$B:$K,10,FALSE)</f>
        <v>3_mgmt</v>
      </c>
      <c r="AR1196" t="s">
        <v>94</v>
      </c>
      <c r="AS1196" t="s">
        <v>183</v>
      </c>
    </row>
    <row r="1197" spans="1:45" x14ac:dyDescent="0.3">
      <c r="A1197" t="s">
        <v>60</v>
      </c>
      <c r="B1197">
        <v>1196</v>
      </c>
      <c r="C1197" s="1">
        <v>-4.3636063136271448E-2</v>
      </c>
      <c r="D1197" s="2">
        <v>799</v>
      </c>
      <c r="E1197" s="4">
        <v>3993</v>
      </c>
      <c r="F1197" s="4" t="s">
        <v>347</v>
      </c>
      <c r="G1197" s="4" t="s">
        <v>346</v>
      </c>
      <c r="H1197" t="s">
        <v>77</v>
      </c>
      <c r="I1197" t="s">
        <v>350</v>
      </c>
      <c r="J1197" s="3">
        <v>2014</v>
      </c>
      <c r="K1197" s="3">
        <v>2018</v>
      </c>
      <c r="L1197" s="6">
        <f t="shared" si="371"/>
        <v>2016</v>
      </c>
      <c r="M1197" s="6">
        <f t="shared" si="372"/>
        <v>2016</v>
      </c>
      <c r="N1197" s="7">
        <f t="shared" si="360"/>
        <v>0.6</v>
      </c>
      <c r="O1197" s="7">
        <f t="shared" si="361"/>
        <v>0.4</v>
      </c>
      <c r="P1197" s="7">
        <f t="shared" si="362"/>
        <v>0.2</v>
      </c>
      <c r="Q1197" s="7">
        <f t="shared" si="373"/>
        <v>0</v>
      </c>
      <c r="R1197" s="10" t="str">
        <f t="shared" si="363"/>
        <v>1_Post</v>
      </c>
      <c r="S1197" s="10" t="str">
        <f t="shared" si="364"/>
        <v>1_Post</v>
      </c>
      <c r="T1197" s="10" t="str">
        <f t="shared" si="365"/>
        <v>1_Post</v>
      </c>
      <c r="U1197" s="10" t="str">
        <f t="shared" si="366"/>
        <v>1_Post</v>
      </c>
      <c r="V1197" s="10" t="str">
        <f t="shared" si="374"/>
        <v>0_Pre</v>
      </c>
      <c r="W1197" s="10" t="str">
        <f t="shared" si="367"/>
        <v>straddle</v>
      </c>
      <c r="X1197" s="10" t="str">
        <f t="shared" si="368"/>
        <v>0_Pre</v>
      </c>
      <c r="Y1197" s="10" t="str">
        <f t="shared" si="369"/>
        <v>0_Pre</v>
      </c>
      <c r="Z1197" s="10" t="str">
        <f t="shared" si="370"/>
        <v>0_Pre</v>
      </c>
      <c r="AA1197" s="10" t="str">
        <f t="shared" si="375"/>
        <v>1_Post</v>
      </c>
      <c r="AB1197" s="10" t="str">
        <f t="shared" si="376"/>
        <v>1_Post</v>
      </c>
      <c r="AC1197" s="10" t="str">
        <f t="shared" si="377"/>
        <v>0_Pre</v>
      </c>
      <c r="AD1197" s="10" t="str">
        <f t="shared" si="378"/>
        <v>2_post sample median</v>
      </c>
      <c r="AE1197" s="10" t="str">
        <f t="shared" si="379"/>
        <v>3_post sample third tertile</v>
      </c>
      <c r="AF1197" t="s">
        <v>80</v>
      </c>
      <c r="AG1197" t="s">
        <v>75</v>
      </c>
      <c r="AH1197" t="s">
        <v>78</v>
      </c>
      <c r="AI1197" t="s">
        <v>122</v>
      </c>
      <c r="AJ1197" t="s">
        <v>122</v>
      </c>
      <c r="AK1197" t="str">
        <f>VLOOKUP(MID($AR1197,1,255),country_lookup!$B:$F,2,FALSE)</f>
        <v>3_AsiaPac</v>
      </c>
      <c r="AL1197" t="str">
        <f>VLOOKUP(MID($AR1197,1,255),country_lookup!$B:$F,3,FALSE)</f>
        <v>2_developing</v>
      </c>
      <c r="AM1197" t="str">
        <f>VLOOKUP(MID($AR1197,1,255),country_lookup!$B:$F,4,FALSE)</f>
        <v>2_non_western</v>
      </c>
      <c r="AN1197" t="str">
        <f>VLOOKUP(MID($AR1197,1,255),country_lookup!$B:$F,5,FALSE)</f>
        <v>2_civil law</v>
      </c>
      <c r="AO1197" s="10" t="str">
        <f>VLOOKUP(MID($AS1197,1,255),source_lookup!$B:$K,4,FALSE)</f>
        <v>0_published</v>
      </c>
      <c r="AP1197" s="10" t="str">
        <f>VLOOKUP(MID($AS1197,1,255),source_lookup!$B:$K,6,FALSE)</f>
        <v>0_VHB low</v>
      </c>
      <c r="AQ1197" s="10" t="str">
        <f>VLOOKUP(MID($AS1197,1,255),source_lookup!$B:$K,10,FALSE)</f>
        <v>3_mgmt</v>
      </c>
      <c r="AR1197" t="s">
        <v>94</v>
      </c>
      <c r="AS1197" t="s">
        <v>183</v>
      </c>
    </row>
    <row r="1198" spans="1:45" x14ac:dyDescent="0.3">
      <c r="A1198" t="s">
        <v>60</v>
      </c>
      <c r="B1198">
        <v>1197</v>
      </c>
      <c r="C1198" s="1">
        <v>-3.5584242779538318E-2</v>
      </c>
      <c r="D1198" s="2">
        <v>799</v>
      </c>
      <c r="E1198" s="4">
        <v>3993</v>
      </c>
      <c r="F1198" s="4" t="s">
        <v>347</v>
      </c>
      <c r="G1198" s="4" t="s">
        <v>346</v>
      </c>
      <c r="H1198" t="s">
        <v>77</v>
      </c>
      <c r="I1198" t="s">
        <v>350</v>
      </c>
      <c r="J1198" s="3">
        <v>2014</v>
      </c>
      <c r="K1198" s="3">
        <v>2018</v>
      </c>
      <c r="L1198" s="6">
        <f t="shared" si="371"/>
        <v>2016</v>
      </c>
      <c r="M1198" s="6">
        <f t="shared" si="372"/>
        <v>2016</v>
      </c>
      <c r="N1198" s="7">
        <f t="shared" si="360"/>
        <v>0.6</v>
      </c>
      <c r="O1198" s="7">
        <f t="shared" si="361"/>
        <v>0.4</v>
      </c>
      <c r="P1198" s="7">
        <f t="shared" si="362"/>
        <v>0.2</v>
      </c>
      <c r="Q1198" s="7">
        <f t="shared" si="373"/>
        <v>0</v>
      </c>
      <c r="R1198" s="10" t="str">
        <f t="shared" si="363"/>
        <v>1_Post</v>
      </c>
      <c r="S1198" s="10" t="str">
        <f t="shared" si="364"/>
        <v>1_Post</v>
      </c>
      <c r="T1198" s="10" t="str">
        <f t="shared" si="365"/>
        <v>1_Post</v>
      </c>
      <c r="U1198" s="10" t="str">
        <f t="shared" si="366"/>
        <v>1_Post</v>
      </c>
      <c r="V1198" s="10" t="str">
        <f t="shared" si="374"/>
        <v>0_Pre</v>
      </c>
      <c r="W1198" s="10" t="str">
        <f t="shared" si="367"/>
        <v>straddle</v>
      </c>
      <c r="X1198" s="10" t="str">
        <f t="shared" si="368"/>
        <v>0_Pre</v>
      </c>
      <c r="Y1198" s="10" t="str">
        <f t="shared" si="369"/>
        <v>0_Pre</v>
      </c>
      <c r="Z1198" s="10" t="str">
        <f t="shared" si="370"/>
        <v>0_Pre</v>
      </c>
      <c r="AA1198" s="10" t="str">
        <f t="shared" si="375"/>
        <v>1_Post</v>
      </c>
      <c r="AB1198" s="10" t="str">
        <f t="shared" si="376"/>
        <v>1_Post</v>
      </c>
      <c r="AC1198" s="10" t="str">
        <f t="shared" si="377"/>
        <v>0_Pre</v>
      </c>
      <c r="AD1198" s="10" t="str">
        <f t="shared" si="378"/>
        <v>2_post sample median</v>
      </c>
      <c r="AE1198" s="10" t="str">
        <f t="shared" si="379"/>
        <v>3_post sample third tertile</v>
      </c>
      <c r="AF1198" t="s">
        <v>80</v>
      </c>
      <c r="AG1198" t="s">
        <v>75</v>
      </c>
      <c r="AH1198" t="s">
        <v>78</v>
      </c>
      <c r="AI1198" t="s">
        <v>122</v>
      </c>
      <c r="AJ1198" t="s">
        <v>122</v>
      </c>
      <c r="AK1198" t="str">
        <f>VLOOKUP(MID($AR1198,1,255),country_lookup!$B:$F,2,FALSE)</f>
        <v>3_AsiaPac</v>
      </c>
      <c r="AL1198" t="str">
        <f>VLOOKUP(MID($AR1198,1,255),country_lookup!$B:$F,3,FALSE)</f>
        <v>2_developing</v>
      </c>
      <c r="AM1198" t="str">
        <f>VLOOKUP(MID($AR1198,1,255),country_lookup!$B:$F,4,FALSE)</f>
        <v>2_non_western</v>
      </c>
      <c r="AN1198" t="str">
        <f>VLOOKUP(MID($AR1198,1,255),country_lookup!$B:$F,5,FALSE)</f>
        <v>2_civil law</v>
      </c>
      <c r="AO1198" s="10" t="str">
        <f>VLOOKUP(MID($AS1198,1,255),source_lookup!$B:$K,4,FALSE)</f>
        <v>0_published</v>
      </c>
      <c r="AP1198" s="10" t="str">
        <f>VLOOKUP(MID($AS1198,1,255),source_lookup!$B:$K,6,FALSE)</f>
        <v>0_VHB low</v>
      </c>
      <c r="AQ1198" s="10" t="str">
        <f>VLOOKUP(MID($AS1198,1,255),source_lookup!$B:$K,10,FALSE)</f>
        <v>3_mgmt</v>
      </c>
      <c r="AR1198" t="s">
        <v>94</v>
      </c>
      <c r="AS1198" t="s">
        <v>183</v>
      </c>
    </row>
    <row r="1199" spans="1:45" x14ac:dyDescent="0.3">
      <c r="A1199" t="s">
        <v>60</v>
      </c>
      <c r="B1199">
        <v>1198</v>
      </c>
      <c r="C1199" s="1">
        <v>-7.2893413212963096E-2</v>
      </c>
      <c r="D1199" s="2">
        <v>410</v>
      </c>
      <c r="E1199" s="4">
        <v>2051</v>
      </c>
      <c r="F1199" s="4" t="s">
        <v>347</v>
      </c>
      <c r="G1199" s="4" t="s">
        <v>346</v>
      </c>
      <c r="H1199" t="s">
        <v>77</v>
      </c>
      <c r="I1199" t="s">
        <v>350</v>
      </c>
      <c r="J1199" s="3">
        <v>2014</v>
      </c>
      <c r="K1199" s="3">
        <v>2018</v>
      </c>
      <c r="L1199" s="6">
        <f t="shared" si="371"/>
        <v>2016</v>
      </c>
      <c r="M1199" s="6">
        <f t="shared" si="372"/>
        <v>2016</v>
      </c>
      <c r="N1199" s="7">
        <f t="shared" si="360"/>
        <v>0.6</v>
      </c>
      <c r="O1199" s="7">
        <f t="shared" si="361"/>
        <v>0.4</v>
      </c>
      <c r="P1199" s="7">
        <f t="shared" si="362"/>
        <v>0.2</v>
      </c>
      <c r="Q1199" s="7">
        <f t="shared" si="373"/>
        <v>0</v>
      </c>
      <c r="R1199" s="10" t="str">
        <f t="shared" si="363"/>
        <v>1_Post</v>
      </c>
      <c r="S1199" s="10" t="str">
        <f t="shared" si="364"/>
        <v>1_Post</v>
      </c>
      <c r="T1199" s="10" t="str">
        <f t="shared" si="365"/>
        <v>1_Post</v>
      </c>
      <c r="U1199" s="10" t="str">
        <f t="shared" si="366"/>
        <v>1_Post</v>
      </c>
      <c r="V1199" s="10" t="str">
        <f t="shared" si="374"/>
        <v>0_Pre</v>
      </c>
      <c r="W1199" s="10" t="str">
        <f t="shared" si="367"/>
        <v>straddle</v>
      </c>
      <c r="X1199" s="10" t="str">
        <f t="shared" si="368"/>
        <v>0_Pre</v>
      </c>
      <c r="Y1199" s="10" t="str">
        <f t="shared" si="369"/>
        <v>0_Pre</v>
      </c>
      <c r="Z1199" s="10" t="str">
        <f t="shared" si="370"/>
        <v>0_Pre</v>
      </c>
      <c r="AA1199" s="10" t="str">
        <f t="shared" si="375"/>
        <v>1_Post</v>
      </c>
      <c r="AB1199" s="10" t="str">
        <f t="shared" si="376"/>
        <v>1_Post</v>
      </c>
      <c r="AC1199" s="10" t="str">
        <f t="shared" si="377"/>
        <v>0_Pre</v>
      </c>
      <c r="AD1199" s="10" t="str">
        <f t="shared" si="378"/>
        <v>2_post sample median</v>
      </c>
      <c r="AE1199" s="10" t="str">
        <f t="shared" si="379"/>
        <v>3_post sample third tertile</v>
      </c>
      <c r="AF1199" t="s">
        <v>80</v>
      </c>
      <c r="AG1199" t="s">
        <v>75</v>
      </c>
      <c r="AH1199" t="s">
        <v>78</v>
      </c>
      <c r="AI1199" t="s">
        <v>122</v>
      </c>
      <c r="AJ1199" t="s">
        <v>122</v>
      </c>
      <c r="AK1199" t="str">
        <f>VLOOKUP(MID($AR1199,1,255),country_lookup!$B:$F,2,FALSE)</f>
        <v>3_AsiaPac</v>
      </c>
      <c r="AL1199" t="str">
        <f>VLOOKUP(MID($AR1199,1,255),country_lookup!$B:$F,3,FALSE)</f>
        <v>2_developing</v>
      </c>
      <c r="AM1199" t="str">
        <f>VLOOKUP(MID($AR1199,1,255),country_lookup!$B:$F,4,FALSE)</f>
        <v>2_non_western</v>
      </c>
      <c r="AN1199" t="str">
        <f>VLOOKUP(MID($AR1199,1,255),country_lookup!$B:$F,5,FALSE)</f>
        <v>2_civil law</v>
      </c>
      <c r="AO1199" s="10" t="str">
        <f>VLOOKUP(MID($AS1199,1,255),source_lookup!$B:$K,4,FALSE)</f>
        <v>0_published</v>
      </c>
      <c r="AP1199" s="10" t="str">
        <f>VLOOKUP(MID($AS1199,1,255),source_lookup!$B:$K,6,FALSE)</f>
        <v>0_VHB low</v>
      </c>
      <c r="AQ1199" s="10" t="str">
        <f>VLOOKUP(MID($AS1199,1,255),source_lookup!$B:$K,10,FALSE)</f>
        <v>3_mgmt</v>
      </c>
      <c r="AR1199" t="s">
        <v>94</v>
      </c>
      <c r="AS1199" t="s">
        <v>183</v>
      </c>
    </row>
    <row r="1200" spans="1:45" x14ac:dyDescent="0.3">
      <c r="A1200" t="s">
        <v>60</v>
      </c>
      <c r="B1200">
        <v>1199</v>
      </c>
      <c r="C1200" s="1">
        <v>-2.9940191724784296E-2</v>
      </c>
      <c r="D1200" s="2">
        <v>388</v>
      </c>
      <c r="E1200" s="4">
        <v>1942</v>
      </c>
      <c r="F1200" s="4" t="s">
        <v>347</v>
      </c>
      <c r="G1200" s="4" t="s">
        <v>346</v>
      </c>
      <c r="H1200" t="s">
        <v>77</v>
      </c>
      <c r="I1200" t="s">
        <v>350</v>
      </c>
      <c r="J1200" s="3">
        <v>2014</v>
      </c>
      <c r="K1200" s="3">
        <v>2018</v>
      </c>
      <c r="L1200" s="6">
        <f t="shared" si="371"/>
        <v>2016</v>
      </c>
      <c r="M1200" s="6">
        <f t="shared" si="372"/>
        <v>2016</v>
      </c>
      <c r="N1200" s="7">
        <f t="shared" si="360"/>
        <v>0.6</v>
      </c>
      <c r="O1200" s="7">
        <f t="shared" si="361"/>
        <v>0.4</v>
      </c>
      <c r="P1200" s="7">
        <f t="shared" si="362"/>
        <v>0.2</v>
      </c>
      <c r="Q1200" s="7">
        <f t="shared" si="373"/>
        <v>0</v>
      </c>
      <c r="R1200" s="10" t="str">
        <f t="shared" si="363"/>
        <v>1_Post</v>
      </c>
      <c r="S1200" s="10" t="str">
        <f t="shared" si="364"/>
        <v>1_Post</v>
      </c>
      <c r="T1200" s="10" t="str">
        <f t="shared" si="365"/>
        <v>1_Post</v>
      </c>
      <c r="U1200" s="10" t="str">
        <f t="shared" si="366"/>
        <v>1_Post</v>
      </c>
      <c r="V1200" s="10" t="str">
        <f t="shared" si="374"/>
        <v>0_Pre</v>
      </c>
      <c r="W1200" s="10" t="str">
        <f t="shared" si="367"/>
        <v>straddle</v>
      </c>
      <c r="X1200" s="10" t="str">
        <f t="shared" si="368"/>
        <v>0_Pre</v>
      </c>
      <c r="Y1200" s="10" t="str">
        <f t="shared" si="369"/>
        <v>0_Pre</v>
      </c>
      <c r="Z1200" s="10" t="str">
        <f t="shared" si="370"/>
        <v>0_Pre</v>
      </c>
      <c r="AA1200" s="10" t="str">
        <f t="shared" si="375"/>
        <v>1_Post</v>
      </c>
      <c r="AB1200" s="10" t="str">
        <f t="shared" si="376"/>
        <v>1_Post</v>
      </c>
      <c r="AC1200" s="10" t="str">
        <f t="shared" si="377"/>
        <v>0_Pre</v>
      </c>
      <c r="AD1200" s="10" t="str">
        <f t="shared" si="378"/>
        <v>2_post sample median</v>
      </c>
      <c r="AE1200" s="10" t="str">
        <f t="shared" si="379"/>
        <v>3_post sample third tertile</v>
      </c>
      <c r="AF1200" t="s">
        <v>80</v>
      </c>
      <c r="AG1200" t="s">
        <v>75</v>
      </c>
      <c r="AH1200" t="s">
        <v>78</v>
      </c>
      <c r="AI1200" t="s">
        <v>122</v>
      </c>
      <c r="AJ1200" t="s">
        <v>122</v>
      </c>
      <c r="AK1200" t="str">
        <f>VLOOKUP(MID($AR1200,1,255),country_lookup!$B:$F,2,FALSE)</f>
        <v>3_AsiaPac</v>
      </c>
      <c r="AL1200" t="str">
        <f>VLOOKUP(MID($AR1200,1,255),country_lookup!$B:$F,3,FALSE)</f>
        <v>2_developing</v>
      </c>
      <c r="AM1200" t="str">
        <f>VLOOKUP(MID($AR1200,1,255),country_lookup!$B:$F,4,FALSE)</f>
        <v>2_non_western</v>
      </c>
      <c r="AN1200" t="str">
        <f>VLOOKUP(MID($AR1200,1,255),country_lookup!$B:$F,5,FALSE)</f>
        <v>2_civil law</v>
      </c>
      <c r="AO1200" s="10" t="str">
        <f>VLOOKUP(MID($AS1200,1,255),source_lookup!$B:$K,4,FALSE)</f>
        <v>0_published</v>
      </c>
      <c r="AP1200" s="10" t="str">
        <f>VLOOKUP(MID($AS1200,1,255),source_lookup!$B:$K,6,FALSE)</f>
        <v>0_VHB low</v>
      </c>
      <c r="AQ1200" s="10" t="str">
        <f>VLOOKUP(MID($AS1200,1,255),source_lookup!$B:$K,10,FALSE)</f>
        <v>3_mgmt</v>
      </c>
      <c r="AR1200" t="s">
        <v>94</v>
      </c>
      <c r="AS1200" t="s">
        <v>183</v>
      </c>
    </row>
    <row r="1201" spans="1:45" x14ac:dyDescent="0.3">
      <c r="A1201" t="s">
        <v>60</v>
      </c>
      <c r="B1201">
        <v>1200</v>
      </c>
      <c r="C1201" s="1">
        <v>-4.8368559820016678E-2</v>
      </c>
      <c r="D1201" s="2">
        <v>799</v>
      </c>
      <c r="E1201" s="4">
        <v>3993</v>
      </c>
      <c r="F1201" s="4" t="s">
        <v>347</v>
      </c>
      <c r="G1201" s="4" t="s">
        <v>346</v>
      </c>
      <c r="H1201" t="s">
        <v>77</v>
      </c>
      <c r="I1201" t="s">
        <v>350</v>
      </c>
      <c r="J1201" s="3">
        <v>2014</v>
      </c>
      <c r="K1201" s="3">
        <v>2018</v>
      </c>
      <c r="L1201" s="6">
        <f t="shared" si="371"/>
        <v>2016</v>
      </c>
      <c r="M1201" s="6">
        <f t="shared" si="372"/>
        <v>2016</v>
      </c>
      <c r="N1201" s="7">
        <f t="shared" si="360"/>
        <v>0.6</v>
      </c>
      <c r="O1201" s="7">
        <f t="shared" si="361"/>
        <v>0.4</v>
      </c>
      <c r="P1201" s="7">
        <f t="shared" si="362"/>
        <v>0.2</v>
      </c>
      <c r="Q1201" s="7">
        <f t="shared" si="373"/>
        <v>0</v>
      </c>
      <c r="R1201" s="10" t="str">
        <f t="shared" si="363"/>
        <v>1_Post</v>
      </c>
      <c r="S1201" s="10" t="str">
        <f t="shared" si="364"/>
        <v>1_Post</v>
      </c>
      <c r="T1201" s="10" t="str">
        <f t="shared" si="365"/>
        <v>1_Post</v>
      </c>
      <c r="U1201" s="10" t="str">
        <f t="shared" si="366"/>
        <v>1_Post</v>
      </c>
      <c r="V1201" s="10" t="str">
        <f t="shared" si="374"/>
        <v>0_Pre</v>
      </c>
      <c r="W1201" s="10" t="str">
        <f t="shared" si="367"/>
        <v>straddle</v>
      </c>
      <c r="X1201" s="10" t="str">
        <f t="shared" si="368"/>
        <v>0_Pre</v>
      </c>
      <c r="Y1201" s="10" t="str">
        <f t="shared" si="369"/>
        <v>0_Pre</v>
      </c>
      <c r="Z1201" s="10" t="str">
        <f t="shared" si="370"/>
        <v>0_Pre</v>
      </c>
      <c r="AA1201" s="10" t="str">
        <f t="shared" si="375"/>
        <v>1_Post</v>
      </c>
      <c r="AB1201" s="10" t="str">
        <f t="shared" si="376"/>
        <v>1_Post</v>
      </c>
      <c r="AC1201" s="10" t="str">
        <f t="shared" si="377"/>
        <v>0_Pre</v>
      </c>
      <c r="AD1201" s="10" t="str">
        <f t="shared" si="378"/>
        <v>2_post sample median</v>
      </c>
      <c r="AE1201" s="10" t="str">
        <f t="shared" si="379"/>
        <v>3_post sample third tertile</v>
      </c>
      <c r="AF1201" t="s">
        <v>80</v>
      </c>
      <c r="AG1201" t="s">
        <v>75</v>
      </c>
      <c r="AH1201" t="s">
        <v>78</v>
      </c>
      <c r="AI1201" t="s">
        <v>122</v>
      </c>
      <c r="AJ1201" t="s">
        <v>122</v>
      </c>
      <c r="AK1201" t="str">
        <f>VLOOKUP(MID($AR1201,1,255),country_lookup!$B:$F,2,FALSE)</f>
        <v>3_AsiaPac</v>
      </c>
      <c r="AL1201" t="str">
        <f>VLOOKUP(MID($AR1201,1,255),country_lookup!$B:$F,3,FALSE)</f>
        <v>2_developing</v>
      </c>
      <c r="AM1201" t="str">
        <f>VLOOKUP(MID($AR1201,1,255),country_lookup!$B:$F,4,FALSE)</f>
        <v>2_non_western</v>
      </c>
      <c r="AN1201" t="str">
        <f>VLOOKUP(MID($AR1201,1,255),country_lookup!$B:$F,5,FALSE)</f>
        <v>2_civil law</v>
      </c>
      <c r="AO1201" s="10" t="str">
        <f>VLOOKUP(MID($AS1201,1,255),source_lookup!$B:$K,4,FALSE)</f>
        <v>0_published</v>
      </c>
      <c r="AP1201" s="10" t="str">
        <f>VLOOKUP(MID($AS1201,1,255),source_lookup!$B:$K,6,FALSE)</f>
        <v>0_VHB low</v>
      </c>
      <c r="AQ1201" s="10" t="str">
        <f>VLOOKUP(MID($AS1201,1,255),source_lookup!$B:$K,10,FALSE)</f>
        <v>3_mgmt</v>
      </c>
      <c r="AR1201" t="s">
        <v>94</v>
      </c>
      <c r="AS1201" t="s">
        <v>183</v>
      </c>
    </row>
    <row r="1202" spans="1:45" x14ac:dyDescent="0.3">
      <c r="A1202" t="s">
        <v>60</v>
      </c>
      <c r="B1202">
        <v>1201</v>
      </c>
      <c r="C1202" s="1">
        <v>-2.7683558382666916E-2</v>
      </c>
      <c r="D1202" s="2">
        <v>799</v>
      </c>
      <c r="E1202" s="4">
        <v>3993</v>
      </c>
      <c r="F1202" s="4" t="s">
        <v>347</v>
      </c>
      <c r="G1202" s="4" t="s">
        <v>346</v>
      </c>
      <c r="H1202" t="s">
        <v>77</v>
      </c>
      <c r="I1202" t="s">
        <v>350</v>
      </c>
      <c r="J1202" s="3">
        <v>2014</v>
      </c>
      <c r="K1202" s="3">
        <v>2018</v>
      </c>
      <c r="L1202" s="6">
        <f t="shared" si="371"/>
        <v>2016</v>
      </c>
      <c r="M1202" s="6">
        <f t="shared" si="372"/>
        <v>2016</v>
      </c>
      <c r="N1202" s="7">
        <f t="shared" si="360"/>
        <v>0.6</v>
      </c>
      <c r="O1202" s="7">
        <f t="shared" si="361"/>
        <v>0.4</v>
      </c>
      <c r="P1202" s="7">
        <f t="shared" si="362"/>
        <v>0.2</v>
      </c>
      <c r="Q1202" s="7">
        <f t="shared" si="373"/>
        <v>0</v>
      </c>
      <c r="R1202" s="10" t="str">
        <f t="shared" si="363"/>
        <v>1_Post</v>
      </c>
      <c r="S1202" s="10" t="str">
        <f t="shared" si="364"/>
        <v>1_Post</v>
      </c>
      <c r="T1202" s="10" t="str">
        <f t="shared" si="365"/>
        <v>1_Post</v>
      </c>
      <c r="U1202" s="10" t="str">
        <f t="shared" si="366"/>
        <v>1_Post</v>
      </c>
      <c r="V1202" s="10" t="str">
        <f t="shared" si="374"/>
        <v>0_Pre</v>
      </c>
      <c r="W1202" s="10" t="str">
        <f t="shared" si="367"/>
        <v>straddle</v>
      </c>
      <c r="X1202" s="10" t="str">
        <f t="shared" si="368"/>
        <v>0_Pre</v>
      </c>
      <c r="Y1202" s="10" t="str">
        <f t="shared" si="369"/>
        <v>0_Pre</v>
      </c>
      <c r="Z1202" s="10" t="str">
        <f t="shared" si="370"/>
        <v>0_Pre</v>
      </c>
      <c r="AA1202" s="10" t="str">
        <f t="shared" si="375"/>
        <v>1_Post</v>
      </c>
      <c r="AB1202" s="10" t="str">
        <f t="shared" si="376"/>
        <v>1_Post</v>
      </c>
      <c r="AC1202" s="10" t="str">
        <f t="shared" si="377"/>
        <v>0_Pre</v>
      </c>
      <c r="AD1202" s="10" t="str">
        <f t="shared" si="378"/>
        <v>2_post sample median</v>
      </c>
      <c r="AE1202" s="10" t="str">
        <f t="shared" si="379"/>
        <v>3_post sample third tertile</v>
      </c>
      <c r="AF1202" t="s">
        <v>80</v>
      </c>
      <c r="AG1202" t="s">
        <v>75</v>
      </c>
      <c r="AH1202" t="s">
        <v>78</v>
      </c>
      <c r="AI1202" t="s">
        <v>122</v>
      </c>
      <c r="AJ1202" t="s">
        <v>122</v>
      </c>
      <c r="AK1202" t="str">
        <f>VLOOKUP(MID($AR1202,1,255),country_lookup!$B:$F,2,FALSE)</f>
        <v>3_AsiaPac</v>
      </c>
      <c r="AL1202" t="str">
        <f>VLOOKUP(MID($AR1202,1,255),country_lookup!$B:$F,3,FALSE)</f>
        <v>2_developing</v>
      </c>
      <c r="AM1202" t="str">
        <f>VLOOKUP(MID($AR1202,1,255),country_lookup!$B:$F,4,FALSE)</f>
        <v>2_non_western</v>
      </c>
      <c r="AN1202" t="str">
        <f>VLOOKUP(MID($AR1202,1,255),country_lookup!$B:$F,5,FALSE)</f>
        <v>2_civil law</v>
      </c>
      <c r="AO1202" s="10" t="str">
        <f>VLOOKUP(MID($AS1202,1,255),source_lookup!$B:$K,4,FALSE)</f>
        <v>0_published</v>
      </c>
      <c r="AP1202" s="10" t="str">
        <f>VLOOKUP(MID($AS1202,1,255),source_lookup!$B:$K,6,FALSE)</f>
        <v>0_VHB low</v>
      </c>
      <c r="AQ1202" s="10" t="str">
        <f>VLOOKUP(MID($AS1202,1,255),source_lookup!$B:$K,10,FALSE)</f>
        <v>3_mgmt</v>
      </c>
      <c r="AR1202" t="s">
        <v>94</v>
      </c>
      <c r="AS1202" t="s">
        <v>183</v>
      </c>
    </row>
    <row r="1203" spans="1:45" x14ac:dyDescent="0.3">
      <c r="A1203" t="s">
        <v>60</v>
      </c>
      <c r="B1203">
        <v>1202</v>
      </c>
      <c r="C1203" s="1">
        <v>-3.2522982201023252E-2</v>
      </c>
      <c r="D1203" s="2">
        <v>490</v>
      </c>
      <c r="E1203" s="4">
        <v>2448</v>
      </c>
      <c r="F1203" s="4" t="s">
        <v>347</v>
      </c>
      <c r="G1203" s="4" t="s">
        <v>346</v>
      </c>
      <c r="H1203" t="s">
        <v>77</v>
      </c>
      <c r="I1203" t="s">
        <v>350</v>
      </c>
      <c r="J1203" s="3">
        <v>2014</v>
      </c>
      <c r="K1203" s="3">
        <v>2018</v>
      </c>
      <c r="L1203" s="6">
        <f t="shared" si="371"/>
        <v>2016</v>
      </c>
      <c r="M1203" s="6">
        <f t="shared" si="372"/>
        <v>2016</v>
      </c>
      <c r="N1203" s="7">
        <f t="shared" si="360"/>
        <v>0.6</v>
      </c>
      <c r="O1203" s="7">
        <f t="shared" si="361"/>
        <v>0.4</v>
      </c>
      <c r="P1203" s="7">
        <f t="shared" si="362"/>
        <v>0.2</v>
      </c>
      <c r="Q1203" s="7">
        <f t="shared" si="373"/>
        <v>0</v>
      </c>
      <c r="R1203" s="10" t="str">
        <f t="shared" si="363"/>
        <v>1_Post</v>
      </c>
      <c r="S1203" s="10" t="str">
        <f t="shared" si="364"/>
        <v>1_Post</v>
      </c>
      <c r="T1203" s="10" t="str">
        <f t="shared" si="365"/>
        <v>1_Post</v>
      </c>
      <c r="U1203" s="10" t="str">
        <f t="shared" si="366"/>
        <v>1_Post</v>
      </c>
      <c r="V1203" s="10" t="str">
        <f t="shared" si="374"/>
        <v>0_Pre</v>
      </c>
      <c r="W1203" s="10" t="str">
        <f t="shared" si="367"/>
        <v>straddle</v>
      </c>
      <c r="X1203" s="10" t="str">
        <f t="shared" si="368"/>
        <v>0_Pre</v>
      </c>
      <c r="Y1203" s="10" t="str">
        <f t="shared" si="369"/>
        <v>0_Pre</v>
      </c>
      <c r="Z1203" s="10" t="str">
        <f t="shared" si="370"/>
        <v>0_Pre</v>
      </c>
      <c r="AA1203" s="10" t="str">
        <f t="shared" si="375"/>
        <v>1_Post</v>
      </c>
      <c r="AB1203" s="10" t="str">
        <f t="shared" si="376"/>
        <v>1_Post</v>
      </c>
      <c r="AC1203" s="10" t="str">
        <f t="shared" si="377"/>
        <v>0_Pre</v>
      </c>
      <c r="AD1203" s="10" t="str">
        <f t="shared" si="378"/>
        <v>2_post sample median</v>
      </c>
      <c r="AE1203" s="10" t="str">
        <f t="shared" si="379"/>
        <v>3_post sample third tertile</v>
      </c>
      <c r="AF1203" t="s">
        <v>80</v>
      </c>
      <c r="AG1203" t="s">
        <v>75</v>
      </c>
      <c r="AH1203" t="s">
        <v>78</v>
      </c>
      <c r="AI1203" t="s">
        <v>122</v>
      </c>
      <c r="AJ1203" t="s">
        <v>122</v>
      </c>
      <c r="AK1203" t="str">
        <f>VLOOKUP(MID($AR1203,1,255),country_lookup!$B:$F,2,FALSE)</f>
        <v>3_AsiaPac</v>
      </c>
      <c r="AL1203" t="str">
        <f>VLOOKUP(MID($AR1203,1,255),country_lookup!$B:$F,3,FALSE)</f>
        <v>2_developing</v>
      </c>
      <c r="AM1203" t="str">
        <f>VLOOKUP(MID($AR1203,1,255),country_lookup!$B:$F,4,FALSE)</f>
        <v>2_non_western</v>
      </c>
      <c r="AN1203" t="str">
        <f>VLOOKUP(MID($AR1203,1,255),country_lookup!$B:$F,5,FALSE)</f>
        <v>2_civil law</v>
      </c>
      <c r="AO1203" s="10" t="str">
        <f>VLOOKUP(MID($AS1203,1,255),source_lookup!$B:$K,4,FALSE)</f>
        <v>0_published</v>
      </c>
      <c r="AP1203" s="10" t="str">
        <f>VLOOKUP(MID($AS1203,1,255),source_lookup!$B:$K,6,FALSE)</f>
        <v>0_VHB low</v>
      </c>
      <c r="AQ1203" s="10" t="str">
        <f>VLOOKUP(MID($AS1203,1,255),source_lookup!$B:$K,10,FALSE)</f>
        <v>3_mgmt</v>
      </c>
      <c r="AR1203" t="s">
        <v>94</v>
      </c>
      <c r="AS1203" t="s">
        <v>183</v>
      </c>
    </row>
    <row r="1204" spans="1:45" x14ac:dyDescent="0.3">
      <c r="A1204" t="s">
        <v>60</v>
      </c>
      <c r="B1204">
        <v>1203</v>
      </c>
      <c r="C1204" s="1">
        <v>-7.0802511886828248E-2</v>
      </c>
      <c r="D1204" s="2">
        <v>309</v>
      </c>
      <c r="E1204" s="4">
        <v>1545</v>
      </c>
      <c r="F1204" s="4" t="s">
        <v>347</v>
      </c>
      <c r="G1204" s="4" t="s">
        <v>346</v>
      </c>
      <c r="H1204" t="s">
        <v>77</v>
      </c>
      <c r="I1204" t="s">
        <v>350</v>
      </c>
      <c r="J1204" s="3">
        <v>2014</v>
      </c>
      <c r="K1204" s="3">
        <v>2018</v>
      </c>
      <c r="L1204" s="6">
        <f t="shared" si="371"/>
        <v>2016</v>
      </c>
      <c r="M1204" s="6">
        <f t="shared" si="372"/>
        <v>2016</v>
      </c>
      <c r="N1204" s="7">
        <f t="shared" si="360"/>
        <v>0.6</v>
      </c>
      <c r="O1204" s="7">
        <f t="shared" si="361"/>
        <v>0.4</v>
      </c>
      <c r="P1204" s="7">
        <f t="shared" si="362"/>
        <v>0.2</v>
      </c>
      <c r="Q1204" s="7">
        <f t="shared" si="373"/>
        <v>0</v>
      </c>
      <c r="R1204" s="10" t="str">
        <f t="shared" si="363"/>
        <v>1_Post</v>
      </c>
      <c r="S1204" s="10" t="str">
        <f t="shared" si="364"/>
        <v>1_Post</v>
      </c>
      <c r="T1204" s="10" t="str">
        <f t="shared" si="365"/>
        <v>1_Post</v>
      </c>
      <c r="U1204" s="10" t="str">
        <f t="shared" si="366"/>
        <v>1_Post</v>
      </c>
      <c r="V1204" s="10" t="str">
        <f t="shared" si="374"/>
        <v>0_Pre</v>
      </c>
      <c r="W1204" s="10" t="str">
        <f t="shared" si="367"/>
        <v>straddle</v>
      </c>
      <c r="X1204" s="10" t="str">
        <f t="shared" si="368"/>
        <v>0_Pre</v>
      </c>
      <c r="Y1204" s="10" t="str">
        <f t="shared" si="369"/>
        <v>0_Pre</v>
      </c>
      <c r="Z1204" s="10" t="str">
        <f t="shared" si="370"/>
        <v>0_Pre</v>
      </c>
      <c r="AA1204" s="10" t="str">
        <f t="shared" si="375"/>
        <v>1_Post</v>
      </c>
      <c r="AB1204" s="10" t="str">
        <f t="shared" si="376"/>
        <v>1_Post</v>
      </c>
      <c r="AC1204" s="10" t="str">
        <f t="shared" si="377"/>
        <v>0_Pre</v>
      </c>
      <c r="AD1204" s="10" t="str">
        <f t="shared" si="378"/>
        <v>2_post sample median</v>
      </c>
      <c r="AE1204" s="10" t="str">
        <f t="shared" si="379"/>
        <v>3_post sample third tertile</v>
      </c>
      <c r="AF1204" t="s">
        <v>80</v>
      </c>
      <c r="AG1204" t="s">
        <v>75</v>
      </c>
      <c r="AH1204" t="s">
        <v>78</v>
      </c>
      <c r="AI1204" t="s">
        <v>122</v>
      </c>
      <c r="AJ1204" t="s">
        <v>122</v>
      </c>
      <c r="AK1204" t="str">
        <f>VLOOKUP(MID($AR1204,1,255),country_lookup!$B:$F,2,FALSE)</f>
        <v>3_AsiaPac</v>
      </c>
      <c r="AL1204" t="str">
        <f>VLOOKUP(MID($AR1204,1,255),country_lookup!$B:$F,3,FALSE)</f>
        <v>2_developing</v>
      </c>
      <c r="AM1204" t="str">
        <f>VLOOKUP(MID($AR1204,1,255),country_lookup!$B:$F,4,FALSE)</f>
        <v>2_non_western</v>
      </c>
      <c r="AN1204" t="str">
        <f>VLOOKUP(MID($AR1204,1,255),country_lookup!$B:$F,5,FALSE)</f>
        <v>2_civil law</v>
      </c>
      <c r="AO1204" s="10" t="str">
        <f>VLOOKUP(MID($AS1204,1,255),source_lookup!$B:$K,4,FALSE)</f>
        <v>0_published</v>
      </c>
      <c r="AP1204" s="10" t="str">
        <f>VLOOKUP(MID($AS1204,1,255),source_lookup!$B:$K,6,FALSE)</f>
        <v>0_VHB low</v>
      </c>
      <c r="AQ1204" s="10" t="str">
        <f>VLOOKUP(MID($AS1204,1,255),source_lookup!$B:$K,10,FALSE)</f>
        <v>3_mgmt</v>
      </c>
      <c r="AR1204" t="s">
        <v>94</v>
      </c>
      <c r="AS1204" t="s">
        <v>183</v>
      </c>
    </row>
    <row r="1205" spans="1:45" x14ac:dyDescent="0.3">
      <c r="A1205" t="s">
        <v>60</v>
      </c>
      <c r="B1205">
        <v>1204</v>
      </c>
      <c r="C1205" s="1">
        <v>-4.6002698659682727E-2</v>
      </c>
      <c r="D1205" s="2">
        <v>799</v>
      </c>
      <c r="E1205" s="4">
        <v>3993</v>
      </c>
      <c r="F1205" s="4" t="s">
        <v>347</v>
      </c>
      <c r="G1205" s="4" t="s">
        <v>346</v>
      </c>
      <c r="H1205" t="s">
        <v>77</v>
      </c>
      <c r="I1205" t="s">
        <v>350</v>
      </c>
      <c r="J1205" s="3">
        <v>2014</v>
      </c>
      <c r="K1205" s="3">
        <v>2018</v>
      </c>
      <c r="L1205" s="6">
        <f t="shared" si="371"/>
        <v>2016</v>
      </c>
      <c r="M1205" s="6">
        <f t="shared" si="372"/>
        <v>2016</v>
      </c>
      <c r="N1205" s="7">
        <f t="shared" si="360"/>
        <v>0.6</v>
      </c>
      <c r="O1205" s="7">
        <f t="shared" si="361"/>
        <v>0.4</v>
      </c>
      <c r="P1205" s="7">
        <f t="shared" si="362"/>
        <v>0.2</v>
      </c>
      <c r="Q1205" s="7">
        <f t="shared" si="373"/>
        <v>0</v>
      </c>
      <c r="R1205" s="10" t="str">
        <f t="shared" si="363"/>
        <v>1_Post</v>
      </c>
      <c r="S1205" s="10" t="str">
        <f t="shared" si="364"/>
        <v>1_Post</v>
      </c>
      <c r="T1205" s="10" t="str">
        <f t="shared" si="365"/>
        <v>1_Post</v>
      </c>
      <c r="U1205" s="10" t="str">
        <f t="shared" si="366"/>
        <v>1_Post</v>
      </c>
      <c r="V1205" s="10" t="str">
        <f t="shared" si="374"/>
        <v>0_Pre</v>
      </c>
      <c r="W1205" s="10" t="str">
        <f t="shared" si="367"/>
        <v>straddle</v>
      </c>
      <c r="X1205" s="10" t="str">
        <f t="shared" si="368"/>
        <v>0_Pre</v>
      </c>
      <c r="Y1205" s="10" t="str">
        <f t="shared" si="369"/>
        <v>0_Pre</v>
      </c>
      <c r="Z1205" s="10" t="str">
        <f t="shared" si="370"/>
        <v>0_Pre</v>
      </c>
      <c r="AA1205" s="10" t="str">
        <f t="shared" si="375"/>
        <v>1_Post</v>
      </c>
      <c r="AB1205" s="10" t="str">
        <f t="shared" si="376"/>
        <v>1_Post</v>
      </c>
      <c r="AC1205" s="10" t="str">
        <f t="shared" si="377"/>
        <v>0_Pre</v>
      </c>
      <c r="AD1205" s="10" t="str">
        <f t="shared" si="378"/>
        <v>2_post sample median</v>
      </c>
      <c r="AE1205" s="10" t="str">
        <f t="shared" si="379"/>
        <v>3_post sample third tertile</v>
      </c>
      <c r="AF1205" t="s">
        <v>80</v>
      </c>
      <c r="AG1205" t="s">
        <v>75</v>
      </c>
      <c r="AH1205" t="s">
        <v>78</v>
      </c>
      <c r="AI1205" t="s">
        <v>122</v>
      </c>
      <c r="AJ1205" t="s">
        <v>122</v>
      </c>
      <c r="AK1205" t="str">
        <f>VLOOKUP(MID($AR1205,1,255),country_lookup!$B:$F,2,FALSE)</f>
        <v>3_AsiaPac</v>
      </c>
      <c r="AL1205" t="str">
        <f>VLOOKUP(MID($AR1205,1,255),country_lookup!$B:$F,3,FALSE)</f>
        <v>2_developing</v>
      </c>
      <c r="AM1205" t="str">
        <f>VLOOKUP(MID($AR1205,1,255),country_lookup!$B:$F,4,FALSE)</f>
        <v>2_non_western</v>
      </c>
      <c r="AN1205" t="str">
        <f>VLOOKUP(MID($AR1205,1,255),country_lookup!$B:$F,5,FALSE)</f>
        <v>2_civil law</v>
      </c>
      <c r="AO1205" s="10" t="str">
        <f>VLOOKUP(MID($AS1205,1,255),source_lookup!$B:$K,4,FALSE)</f>
        <v>0_published</v>
      </c>
      <c r="AP1205" s="10" t="str">
        <f>VLOOKUP(MID($AS1205,1,255),source_lookup!$B:$K,6,FALSE)</f>
        <v>0_VHB low</v>
      </c>
      <c r="AQ1205" s="10" t="str">
        <f>VLOOKUP(MID($AS1205,1,255),source_lookup!$B:$K,10,FALSE)</f>
        <v>3_mgmt</v>
      </c>
      <c r="AR1205" t="s">
        <v>94</v>
      </c>
      <c r="AS1205" t="s">
        <v>183</v>
      </c>
    </row>
    <row r="1206" spans="1:45" x14ac:dyDescent="0.3">
      <c r="A1206" t="s">
        <v>60</v>
      </c>
      <c r="B1206">
        <v>1205</v>
      </c>
      <c r="C1206" s="1">
        <v>3.7163626798235698E-2</v>
      </c>
      <c r="D1206" s="2">
        <v>799</v>
      </c>
      <c r="E1206" s="4">
        <v>3993</v>
      </c>
      <c r="F1206" s="4" t="s">
        <v>347</v>
      </c>
      <c r="G1206" s="4" t="s">
        <v>346</v>
      </c>
      <c r="H1206" t="s">
        <v>77</v>
      </c>
      <c r="I1206" t="s">
        <v>350</v>
      </c>
      <c r="J1206" s="3">
        <v>2014</v>
      </c>
      <c r="K1206" s="3">
        <v>2018</v>
      </c>
      <c r="L1206" s="6">
        <f t="shared" si="371"/>
        <v>2016</v>
      </c>
      <c r="M1206" s="6">
        <f t="shared" si="372"/>
        <v>2016</v>
      </c>
      <c r="N1206" s="7">
        <f t="shared" si="360"/>
        <v>0.6</v>
      </c>
      <c r="O1206" s="7">
        <f t="shared" si="361"/>
        <v>0.4</v>
      </c>
      <c r="P1206" s="7">
        <f t="shared" si="362"/>
        <v>0.2</v>
      </c>
      <c r="Q1206" s="7">
        <f t="shared" si="373"/>
        <v>0</v>
      </c>
      <c r="R1206" s="10" t="str">
        <f t="shared" si="363"/>
        <v>1_Post</v>
      </c>
      <c r="S1206" s="10" t="str">
        <f t="shared" si="364"/>
        <v>1_Post</v>
      </c>
      <c r="T1206" s="10" t="str">
        <f t="shared" si="365"/>
        <v>1_Post</v>
      </c>
      <c r="U1206" s="10" t="str">
        <f t="shared" si="366"/>
        <v>1_Post</v>
      </c>
      <c r="V1206" s="10" t="str">
        <f t="shared" si="374"/>
        <v>0_Pre</v>
      </c>
      <c r="W1206" s="10" t="str">
        <f t="shared" si="367"/>
        <v>straddle</v>
      </c>
      <c r="X1206" s="10" t="str">
        <f t="shared" si="368"/>
        <v>0_Pre</v>
      </c>
      <c r="Y1206" s="10" t="str">
        <f t="shared" si="369"/>
        <v>0_Pre</v>
      </c>
      <c r="Z1206" s="10" t="str">
        <f t="shared" si="370"/>
        <v>0_Pre</v>
      </c>
      <c r="AA1206" s="10" t="str">
        <f t="shared" si="375"/>
        <v>1_Post</v>
      </c>
      <c r="AB1206" s="10" t="str">
        <f t="shared" si="376"/>
        <v>1_Post</v>
      </c>
      <c r="AC1206" s="10" t="str">
        <f t="shared" si="377"/>
        <v>0_Pre</v>
      </c>
      <c r="AD1206" s="10" t="str">
        <f t="shared" si="378"/>
        <v>2_post sample median</v>
      </c>
      <c r="AE1206" s="10" t="str">
        <f t="shared" si="379"/>
        <v>3_post sample third tertile</v>
      </c>
      <c r="AF1206" t="s">
        <v>80</v>
      </c>
      <c r="AG1206" t="s">
        <v>75</v>
      </c>
      <c r="AH1206" t="s">
        <v>78</v>
      </c>
      <c r="AI1206" t="s">
        <v>122</v>
      </c>
      <c r="AJ1206" t="s">
        <v>122</v>
      </c>
      <c r="AK1206" t="str">
        <f>VLOOKUP(MID($AR1206,1,255),country_lookup!$B:$F,2,FALSE)</f>
        <v>3_AsiaPac</v>
      </c>
      <c r="AL1206" t="str">
        <f>VLOOKUP(MID($AR1206,1,255),country_lookup!$B:$F,3,FALSE)</f>
        <v>2_developing</v>
      </c>
      <c r="AM1206" t="str">
        <f>VLOOKUP(MID($AR1206,1,255),country_lookup!$B:$F,4,FALSE)</f>
        <v>2_non_western</v>
      </c>
      <c r="AN1206" t="str">
        <f>VLOOKUP(MID($AR1206,1,255),country_lookup!$B:$F,5,FALSE)</f>
        <v>2_civil law</v>
      </c>
      <c r="AO1206" s="10" t="str">
        <f>VLOOKUP(MID($AS1206,1,255),source_lookup!$B:$K,4,FALSE)</f>
        <v>0_published</v>
      </c>
      <c r="AP1206" s="10" t="str">
        <f>VLOOKUP(MID($AS1206,1,255),source_lookup!$B:$K,6,FALSE)</f>
        <v>0_VHB low</v>
      </c>
      <c r="AQ1206" s="10" t="str">
        <f>VLOOKUP(MID($AS1206,1,255),source_lookup!$B:$K,10,FALSE)</f>
        <v>3_mgmt</v>
      </c>
      <c r="AR1206" t="s">
        <v>94</v>
      </c>
      <c r="AS1206" t="s">
        <v>183</v>
      </c>
    </row>
    <row r="1207" spans="1:45" x14ac:dyDescent="0.3">
      <c r="A1207" t="s">
        <v>60</v>
      </c>
      <c r="B1207">
        <v>1206</v>
      </c>
      <c r="C1207" s="1">
        <v>8.5052604900310459E-3</v>
      </c>
      <c r="D1207" s="2">
        <v>399</v>
      </c>
      <c r="E1207" s="4">
        <v>1996</v>
      </c>
      <c r="F1207" s="4" t="s">
        <v>347</v>
      </c>
      <c r="G1207" s="4" t="s">
        <v>346</v>
      </c>
      <c r="H1207" t="s">
        <v>77</v>
      </c>
      <c r="I1207" t="s">
        <v>350</v>
      </c>
      <c r="J1207" s="3">
        <v>2014</v>
      </c>
      <c r="K1207" s="3">
        <v>2018</v>
      </c>
      <c r="L1207" s="6">
        <f t="shared" si="371"/>
        <v>2016</v>
      </c>
      <c r="M1207" s="6">
        <f t="shared" si="372"/>
        <v>2016</v>
      </c>
      <c r="N1207" s="7">
        <f t="shared" si="360"/>
        <v>0.6</v>
      </c>
      <c r="O1207" s="7">
        <f t="shared" si="361"/>
        <v>0.4</v>
      </c>
      <c r="P1207" s="7">
        <f t="shared" si="362"/>
        <v>0.2</v>
      </c>
      <c r="Q1207" s="7">
        <f t="shared" si="373"/>
        <v>0</v>
      </c>
      <c r="R1207" s="10" t="str">
        <f t="shared" si="363"/>
        <v>1_Post</v>
      </c>
      <c r="S1207" s="10" t="str">
        <f t="shared" si="364"/>
        <v>1_Post</v>
      </c>
      <c r="T1207" s="10" t="str">
        <f t="shared" si="365"/>
        <v>1_Post</v>
      </c>
      <c r="U1207" s="10" t="str">
        <f t="shared" si="366"/>
        <v>1_Post</v>
      </c>
      <c r="V1207" s="10" t="str">
        <f t="shared" si="374"/>
        <v>0_Pre</v>
      </c>
      <c r="W1207" s="10" t="str">
        <f t="shared" si="367"/>
        <v>straddle</v>
      </c>
      <c r="X1207" s="10" t="str">
        <f t="shared" si="368"/>
        <v>0_Pre</v>
      </c>
      <c r="Y1207" s="10" t="str">
        <f t="shared" si="369"/>
        <v>0_Pre</v>
      </c>
      <c r="Z1207" s="10" t="str">
        <f t="shared" si="370"/>
        <v>0_Pre</v>
      </c>
      <c r="AA1207" s="10" t="str">
        <f t="shared" si="375"/>
        <v>1_Post</v>
      </c>
      <c r="AB1207" s="10" t="str">
        <f t="shared" si="376"/>
        <v>1_Post</v>
      </c>
      <c r="AC1207" s="10" t="str">
        <f t="shared" si="377"/>
        <v>0_Pre</v>
      </c>
      <c r="AD1207" s="10" t="str">
        <f t="shared" si="378"/>
        <v>2_post sample median</v>
      </c>
      <c r="AE1207" s="10" t="str">
        <f t="shared" si="379"/>
        <v>3_post sample third tertile</v>
      </c>
      <c r="AF1207" t="s">
        <v>80</v>
      </c>
      <c r="AG1207" t="s">
        <v>75</v>
      </c>
      <c r="AH1207" t="s">
        <v>78</v>
      </c>
      <c r="AI1207" t="s">
        <v>122</v>
      </c>
      <c r="AJ1207" t="s">
        <v>122</v>
      </c>
      <c r="AK1207" t="str">
        <f>VLOOKUP(MID($AR1207,1,255),country_lookup!$B:$F,2,FALSE)</f>
        <v>3_AsiaPac</v>
      </c>
      <c r="AL1207" t="str">
        <f>VLOOKUP(MID($AR1207,1,255),country_lookup!$B:$F,3,FALSE)</f>
        <v>2_developing</v>
      </c>
      <c r="AM1207" t="str">
        <f>VLOOKUP(MID($AR1207,1,255),country_lookup!$B:$F,4,FALSE)</f>
        <v>2_non_western</v>
      </c>
      <c r="AN1207" t="str">
        <f>VLOOKUP(MID($AR1207,1,255),country_lookup!$B:$F,5,FALSE)</f>
        <v>2_civil law</v>
      </c>
      <c r="AO1207" s="10" t="str">
        <f>VLOOKUP(MID($AS1207,1,255),source_lookup!$B:$K,4,FALSE)</f>
        <v>0_published</v>
      </c>
      <c r="AP1207" s="10" t="str">
        <f>VLOOKUP(MID($AS1207,1,255),source_lookup!$B:$K,6,FALSE)</f>
        <v>0_VHB low</v>
      </c>
      <c r="AQ1207" s="10" t="str">
        <f>VLOOKUP(MID($AS1207,1,255),source_lookup!$B:$K,10,FALSE)</f>
        <v>3_mgmt</v>
      </c>
      <c r="AR1207" t="s">
        <v>94</v>
      </c>
      <c r="AS1207" t="s">
        <v>183</v>
      </c>
    </row>
    <row r="1208" spans="1:45" x14ac:dyDescent="0.3">
      <c r="A1208" t="s">
        <v>60</v>
      </c>
      <c r="B1208">
        <v>1207</v>
      </c>
      <c r="C1208" s="1">
        <v>-5.8083194848898873E-2</v>
      </c>
      <c r="D1208" s="2">
        <v>399</v>
      </c>
      <c r="E1208" s="4">
        <v>1997</v>
      </c>
      <c r="F1208" s="4" t="s">
        <v>347</v>
      </c>
      <c r="G1208" s="4" t="s">
        <v>346</v>
      </c>
      <c r="H1208" t="s">
        <v>77</v>
      </c>
      <c r="I1208" t="s">
        <v>350</v>
      </c>
      <c r="J1208" s="3">
        <v>2014</v>
      </c>
      <c r="K1208" s="3">
        <v>2018</v>
      </c>
      <c r="L1208" s="6">
        <f t="shared" si="371"/>
        <v>2016</v>
      </c>
      <c r="M1208" s="6">
        <f t="shared" si="372"/>
        <v>2016</v>
      </c>
      <c r="N1208" s="7">
        <f t="shared" si="360"/>
        <v>0.6</v>
      </c>
      <c r="O1208" s="7">
        <f t="shared" si="361"/>
        <v>0.4</v>
      </c>
      <c r="P1208" s="7">
        <f t="shared" si="362"/>
        <v>0.2</v>
      </c>
      <c r="Q1208" s="7">
        <f t="shared" si="373"/>
        <v>0</v>
      </c>
      <c r="R1208" s="10" t="str">
        <f t="shared" si="363"/>
        <v>1_Post</v>
      </c>
      <c r="S1208" s="10" t="str">
        <f t="shared" si="364"/>
        <v>1_Post</v>
      </c>
      <c r="T1208" s="10" t="str">
        <f t="shared" si="365"/>
        <v>1_Post</v>
      </c>
      <c r="U1208" s="10" t="str">
        <f t="shared" si="366"/>
        <v>1_Post</v>
      </c>
      <c r="V1208" s="10" t="str">
        <f t="shared" si="374"/>
        <v>0_Pre</v>
      </c>
      <c r="W1208" s="10" t="str">
        <f t="shared" si="367"/>
        <v>straddle</v>
      </c>
      <c r="X1208" s="10" t="str">
        <f t="shared" si="368"/>
        <v>0_Pre</v>
      </c>
      <c r="Y1208" s="10" t="str">
        <f t="shared" si="369"/>
        <v>0_Pre</v>
      </c>
      <c r="Z1208" s="10" t="str">
        <f t="shared" si="370"/>
        <v>0_Pre</v>
      </c>
      <c r="AA1208" s="10" t="str">
        <f t="shared" si="375"/>
        <v>1_Post</v>
      </c>
      <c r="AB1208" s="10" t="str">
        <f t="shared" si="376"/>
        <v>1_Post</v>
      </c>
      <c r="AC1208" s="10" t="str">
        <f t="shared" si="377"/>
        <v>0_Pre</v>
      </c>
      <c r="AD1208" s="10" t="str">
        <f t="shared" si="378"/>
        <v>2_post sample median</v>
      </c>
      <c r="AE1208" s="10" t="str">
        <f t="shared" si="379"/>
        <v>3_post sample third tertile</v>
      </c>
      <c r="AF1208" t="s">
        <v>80</v>
      </c>
      <c r="AG1208" t="s">
        <v>75</v>
      </c>
      <c r="AH1208" t="s">
        <v>78</v>
      </c>
      <c r="AI1208" t="s">
        <v>122</v>
      </c>
      <c r="AJ1208" t="s">
        <v>122</v>
      </c>
      <c r="AK1208" t="str">
        <f>VLOOKUP(MID($AR1208,1,255),country_lookup!$B:$F,2,FALSE)</f>
        <v>3_AsiaPac</v>
      </c>
      <c r="AL1208" t="str">
        <f>VLOOKUP(MID($AR1208,1,255),country_lookup!$B:$F,3,FALSE)</f>
        <v>2_developing</v>
      </c>
      <c r="AM1208" t="str">
        <f>VLOOKUP(MID($AR1208,1,255),country_lookup!$B:$F,4,FALSE)</f>
        <v>2_non_western</v>
      </c>
      <c r="AN1208" t="str">
        <f>VLOOKUP(MID($AR1208,1,255),country_lookup!$B:$F,5,FALSE)</f>
        <v>2_civil law</v>
      </c>
      <c r="AO1208" s="10" t="str">
        <f>VLOOKUP(MID($AS1208,1,255),source_lookup!$B:$K,4,FALSE)</f>
        <v>0_published</v>
      </c>
      <c r="AP1208" s="10" t="str">
        <f>VLOOKUP(MID($AS1208,1,255),source_lookup!$B:$K,6,FALSE)</f>
        <v>0_VHB low</v>
      </c>
      <c r="AQ1208" s="10" t="str">
        <f>VLOOKUP(MID($AS1208,1,255),source_lookup!$B:$K,10,FALSE)</f>
        <v>3_mgmt</v>
      </c>
      <c r="AR1208" t="s">
        <v>94</v>
      </c>
      <c r="AS1208" t="s">
        <v>183</v>
      </c>
    </row>
    <row r="1209" spans="1:45" x14ac:dyDescent="0.3">
      <c r="A1209" t="s">
        <v>61</v>
      </c>
      <c r="B1209">
        <v>1208</v>
      </c>
      <c r="C1209" s="1">
        <v>0.21881874416951308</v>
      </c>
      <c r="D1209" s="2">
        <v>180</v>
      </c>
      <c r="E1209" s="4">
        <v>180</v>
      </c>
      <c r="F1209" s="4" t="s">
        <v>347</v>
      </c>
      <c r="G1209" s="4" t="s">
        <v>346</v>
      </c>
      <c r="H1209" t="s">
        <v>77</v>
      </c>
      <c r="I1209" t="s">
        <v>351</v>
      </c>
      <c r="J1209" s="3">
        <v>2010</v>
      </c>
      <c r="K1209" s="3">
        <v>2010</v>
      </c>
      <c r="L1209" s="6">
        <f t="shared" si="371"/>
        <v>2010</v>
      </c>
      <c r="M1209" s="6">
        <f t="shared" si="372"/>
        <v>2010</v>
      </c>
      <c r="N1209" s="7">
        <f t="shared" si="360"/>
        <v>0</v>
      </c>
      <c r="O1209" s="7">
        <f t="shared" si="361"/>
        <v>0</v>
      </c>
      <c r="P1209" s="7">
        <f t="shared" si="362"/>
        <v>0</v>
      </c>
      <c r="Q1209" s="7">
        <f t="shared" si="373"/>
        <v>0</v>
      </c>
      <c r="R1209" s="10" t="str">
        <f t="shared" si="363"/>
        <v>0_Pre</v>
      </c>
      <c r="S1209" s="10" t="str">
        <f t="shared" si="364"/>
        <v>0_Pre</v>
      </c>
      <c r="T1209" s="10" t="str">
        <f t="shared" si="365"/>
        <v>0_Pre</v>
      </c>
      <c r="U1209" s="10" t="str">
        <f t="shared" si="366"/>
        <v>0_Pre</v>
      </c>
      <c r="V1209" s="10" t="str">
        <f t="shared" si="374"/>
        <v>0_Pre</v>
      </c>
      <c r="W1209" s="10" t="str">
        <f t="shared" si="367"/>
        <v>clean_pre</v>
      </c>
      <c r="X1209" s="10" t="str">
        <f t="shared" si="368"/>
        <v>0_Pre</v>
      </c>
      <c r="Y1209" s="10" t="str">
        <f t="shared" si="369"/>
        <v>0_Pre</v>
      </c>
      <c r="Z1209" s="10" t="str">
        <f t="shared" si="370"/>
        <v>0_Pre</v>
      </c>
      <c r="AA1209" s="10" t="str">
        <f t="shared" si="375"/>
        <v>0_Pre</v>
      </c>
      <c r="AB1209" s="10" t="str">
        <f t="shared" si="376"/>
        <v>0_Pre</v>
      </c>
      <c r="AC1209" s="10" t="str">
        <f t="shared" si="377"/>
        <v>0_Pre</v>
      </c>
      <c r="AD1209" s="10" t="str">
        <f t="shared" si="378"/>
        <v>1_pre sample median</v>
      </c>
      <c r="AE1209" s="10" t="str">
        <f t="shared" si="379"/>
        <v>1_pre sample first tertile</v>
      </c>
      <c r="AF1209" t="s">
        <v>67</v>
      </c>
      <c r="AG1209" t="s">
        <v>75</v>
      </c>
      <c r="AH1209" t="s">
        <v>78</v>
      </c>
      <c r="AI1209" t="s">
        <v>122</v>
      </c>
      <c r="AJ1209" t="s">
        <v>122</v>
      </c>
      <c r="AK1209" t="str">
        <f>VLOOKUP(MID($AR1209,1,255),country_lookup!$B:$F,2,FALSE)</f>
        <v>2_Europe</v>
      </c>
      <c r="AL1209" t="str">
        <f>VLOOKUP(MID($AR1209,1,255),country_lookup!$B:$F,3,FALSE)</f>
        <v>1_developed</v>
      </c>
      <c r="AM1209" t="str">
        <f>VLOOKUP(MID($AR1209,1,255),country_lookup!$B:$F,4,FALSE)</f>
        <v>1_western</v>
      </c>
      <c r="AN1209" t="str">
        <f>VLOOKUP(MID($AR1209,1,255),country_lookup!$B:$F,5,FALSE)</f>
        <v>2_civil law</v>
      </c>
      <c r="AO1209" s="10" t="str">
        <f>VLOOKUP(MID($AS1209,1,255),source_lookup!$B:$K,4,FALSE)</f>
        <v>0_published</v>
      </c>
      <c r="AP1209" s="10" t="str">
        <f>VLOOKUP(MID($AS1209,1,255),source_lookup!$B:$K,6,FALSE)</f>
        <v>1_VHB high</v>
      </c>
      <c r="AQ1209" s="10" t="str">
        <f>VLOOKUP(MID($AS1209,1,255),source_lookup!$B:$K,10,FALSE)</f>
        <v>2_sust</v>
      </c>
      <c r="AR1209" t="s">
        <v>118</v>
      </c>
      <c r="AS1209" t="s">
        <v>184</v>
      </c>
    </row>
    <row r="1210" spans="1:45" x14ac:dyDescent="0.3">
      <c r="A1210" t="s">
        <v>62</v>
      </c>
      <c r="B1210">
        <v>1209</v>
      </c>
      <c r="C1210" s="1">
        <v>-0.215</v>
      </c>
      <c r="D1210" s="2">
        <v>125</v>
      </c>
      <c r="E1210" s="4">
        <v>1375</v>
      </c>
      <c r="F1210" s="4" t="s">
        <v>346</v>
      </c>
      <c r="G1210" s="4" t="s">
        <v>347</v>
      </c>
      <c r="H1210" t="s">
        <v>76</v>
      </c>
      <c r="I1210" t="s">
        <v>353</v>
      </c>
      <c r="J1210" s="3">
        <v>2009</v>
      </c>
      <c r="K1210" s="3">
        <v>2019</v>
      </c>
      <c r="L1210" s="6">
        <f t="shared" si="371"/>
        <v>2014</v>
      </c>
      <c r="M1210" s="6">
        <f t="shared" si="372"/>
        <v>2014</v>
      </c>
      <c r="N1210" s="7">
        <f t="shared" si="360"/>
        <v>0.36363636363636365</v>
      </c>
      <c r="O1210" s="7">
        <f t="shared" si="361"/>
        <v>0.27272727272727271</v>
      </c>
      <c r="P1210" s="7">
        <f t="shared" si="362"/>
        <v>0.18181818181818182</v>
      </c>
      <c r="Q1210" s="7">
        <f t="shared" si="373"/>
        <v>9.0909090909090912E-2</v>
      </c>
      <c r="R1210" s="10" t="str">
        <f t="shared" si="363"/>
        <v>0_Pre</v>
      </c>
      <c r="S1210" s="10" t="str">
        <f t="shared" si="364"/>
        <v>0_Pre</v>
      </c>
      <c r="T1210" s="10" t="str">
        <f t="shared" si="365"/>
        <v>0_Pre</v>
      </c>
      <c r="U1210" s="10" t="str">
        <f t="shared" si="366"/>
        <v>1_Post</v>
      </c>
      <c r="V1210" s="10" t="str">
        <f t="shared" si="374"/>
        <v>0_Pre</v>
      </c>
      <c r="W1210" s="10" t="str">
        <f t="shared" si="367"/>
        <v>straddle</v>
      </c>
      <c r="X1210" s="10" t="str">
        <f t="shared" si="368"/>
        <v>0_Pre</v>
      </c>
      <c r="Y1210" s="10" t="str">
        <f t="shared" si="369"/>
        <v>0_Pre</v>
      </c>
      <c r="Z1210" s="10" t="str">
        <f t="shared" si="370"/>
        <v>0_Pre</v>
      </c>
      <c r="AA1210" s="10" t="str">
        <f t="shared" si="375"/>
        <v>1_Post</v>
      </c>
      <c r="AB1210" s="10" t="str">
        <f t="shared" si="376"/>
        <v>1_Post</v>
      </c>
      <c r="AC1210" s="10" t="str">
        <f t="shared" si="377"/>
        <v>1_Post</v>
      </c>
      <c r="AD1210" s="10" t="str">
        <f t="shared" si="378"/>
        <v>2_post sample median</v>
      </c>
      <c r="AE1210" s="10" t="str">
        <f t="shared" si="379"/>
        <v>3_post sample third tertile</v>
      </c>
      <c r="AF1210" t="s">
        <v>80</v>
      </c>
      <c r="AG1210" t="s">
        <v>75</v>
      </c>
      <c r="AH1210" t="s">
        <v>79</v>
      </c>
      <c r="AI1210" t="s">
        <v>70</v>
      </c>
      <c r="AJ1210" t="s">
        <v>70</v>
      </c>
      <c r="AK1210" t="str">
        <f>VLOOKUP(MID($AR1210,1,255),country_lookup!$B:$F,2,FALSE)</f>
        <v>99_NCE</v>
      </c>
      <c r="AL1210" t="str">
        <f>VLOOKUP(MID($AR1210,1,255),country_lookup!$B:$F,3,FALSE)</f>
        <v>99_NCE</v>
      </c>
      <c r="AM1210" t="str">
        <f>VLOOKUP(MID($AR1210,1,255),country_lookup!$B:$F,4,FALSE)</f>
        <v>99_NCE</v>
      </c>
      <c r="AN1210" t="str">
        <f>VLOOKUP(MID($AR1210,1,255),country_lookup!$B:$F,5,FALSE)</f>
        <v>99_NCE</v>
      </c>
      <c r="AO1210" s="10" t="str">
        <f>VLOOKUP(MID($AS1210,1,255),source_lookup!$B:$K,4,FALSE)</f>
        <v>0_published</v>
      </c>
      <c r="AP1210" s="10" t="str">
        <f>VLOOKUP(MID($AS1210,1,255),source_lookup!$B:$K,6,FALSE)</f>
        <v>0_VHB low</v>
      </c>
      <c r="AQ1210" s="10" t="str">
        <f>VLOOKUP(MID($AS1210,1,255),source_lookup!$B:$K,10,FALSE)</f>
        <v>1_fin/acc/econ</v>
      </c>
      <c r="AR1210" t="s">
        <v>119</v>
      </c>
      <c r="AS1210" t="s">
        <v>185</v>
      </c>
    </row>
    <row r="1211" spans="1:45" x14ac:dyDescent="0.3">
      <c r="A1211" t="s">
        <v>63</v>
      </c>
      <c r="B1211">
        <v>1210</v>
      </c>
      <c r="C1211" s="1">
        <v>-0.51900000000000002</v>
      </c>
      <c r="D1211" s="2">
        <v>191</v>
      </c>
      <c r="E1211" s="4">
        <v>955</v>
      </c>
      <c r="F1211" s="4" t="s">
        <v>346</v>
      </c>
      <c r="G1211" s="4" t="s">
        <v>346</v>
      </c>
      <c r="H1211" t="s">
        <v>76</v>
      </c>
      <c r="I1211" t="s">
        <v>353</v>
      </c>
      <c r="J1211" s="3">
        <v>2011</v>
      </c>
      <c r="K1211" s="3">
        <v>2015</v>
      </c>
      <c r="L1211" s="6">
        <f t="shared" si="371"/>
        <v>2013</v>
      </c>
      <c r="M1211" s="6">
        <f t="shared" si="372"/>
        <v>2013</v>
      </c>
      <c r="N1211" s="7">
        <f t="shared" si="360"/>
        <v>0</v>
      </c>
      <c r="O1211" s="7">
        <f t="shared" si="361"/>
        <v>0</v>
      </c>
      <c r="P1211" s="7">
        <f t="shared" si="362"/>
        <v>0</v>
      </c>
      <c r="Q1211" s="7">
        <f t="shared" si="373"/>
        <v>0</v>
      </c>
      <c r="R1211" s="10" t="str">
        <f t="shared" si="363"/>
        <v>0_Pre</v>
      </c>
      <c r="S1211" s="10" t="str">
        <f t="shared" si="364"/>
        <v>0_Pre</v>
      </c>
      <c r="T1211" s="10" t="str">
        <f t="shared" si="365"/>
        <v>0_Pre</v>
      </c>
      <c r="U1211" s="10" t="str">
        <f t="shared" si="366"/>
        <v>0_Pre</v>
      </c>
      <c r="V1211" s="10" t="str">
        <f t="shared" si="374"/>
        <v>0_Pre</v>
      </c>
      <c r="W1211" s="10" t="str">
        <f t="shared" si="367"/>
        <v>clean_pre</v>
      </c>
      <c r="X1211" s="10" t="str">
        <f t="shared" si="368"/>
        <v>0_Pre</v>
      </c>
      <c r="Y1211" s="10" t="str">
        <f t="shared" si="369"/>
        <v>0_Pre</v>
      </c>
      <c r="Z1211" s="10" t="str">
        <f t="shared" si="370"/>
        <v>0_Pre</v>
      </c>
      <c r="AA1211" s="10" t="str">
        <f t="shared" si="375"/>
        <v>0_Pre</v>
      </c>
      <c r="AB1211" s="10" t="str">
        <f t="shared" si="376"/>
        <v>0_Pre</v>
      </c>
      <c r="AC1211" s="10" t="str">
        <f t="shared" si="377"/>
        <v>0_Pre</v>
      </c>
      <c r="AD1211" s="10" t="str">
        <f t="shared" si="378"/>
        <v>2_post sample median</v>
      </c>
      <c r="AE1211" s="10" t="str">
        <f t="shared" si="379"/>
        <v>2_in sample second tertile</v>
      </c>
      <c r="AF1211" t="s">
        <v>80</v>
      </c>
      <c r="AG1211" t="s">
        <v>75</v>
      </c>
      <c r="AH1211" t="s">
        <v>79</v>
      </c>
      <c r="AI1211" t="s">
        <v>122</v>
      </c>
      <c r="AJ1211" t="s">
        <v>123</v>
      </c>
      <c r="AK1211" t="str">
        <f>VLOOKUP(MID($AR1211,1,255),country_lookup!$B:$F,2,FALSE)</f>
        <v>3_AsiaPac</v>
      </c>
      <c r="AL1211" t="str">
        <f>VLOOKUP(MID($AR1211,1,255),country_lookup!$B:$F,3,FALSE)</f>
        <v>2_developing</v>
      </c>
      <c r="AM1211" t="str">
        <f>VLOOKUP(MID($AR1211,1,255),country_lookup!$B:$F,4,FALSE)</f>
        <v>2_non_western</v>
      </c>
      <c r="AN1211" t="str">
        <f>VLOOKUP(MID($AR1211,1,255),country_lookup!$B:$F,5,FALSE)</f>
        <v>2_civil law</v>
      </c>
      <c r="AO1211" s="10" t="str">
        <f>VLOOKUP(MID($AS1211,1,255),source_lookup!$B:$K,4,FALSE)</f>
        <v>0_published</v>
      </c>
      <c r="AP1211" s="10" t="str">
        <f>VLOOKUP(MID($AS1211,1,255),source_lookup!$B:$K,6,FALSE)</f>
        <v>1_VHB high</v>
      </c>
      <c r="AQ1211" s="10" t="str">
        <f>VLOOKUP(MID($AS1211,1,255),source_lookup!$B:$K,10,FALSE)</f>
        <v>2_sust</v>
      </c>
      <c r="AR1211" t="s">
        <v>94</v>
      </c>
      <c r="AS1211" t="s">
        <v>186</v>
      </c>
    </row>
    <row r="1212" spans="1:45" x14ac:dyDescent="0.3">
      <c r="A1212" t="s">
        <v>63</v>
      </c>
      <c r="B1212">
        <v>1211</v>
      </c>
      <c r="C1212" s="1">
        <v>-1.2942611881365159E-2</v>
      </c>
      <c r="D1212" s="2">
        <v>191</v>
      </c>
      <c r="E1212" s="4">
        <v>955</v>
      </c>
      <c r="F1212" s="4" t="s">
        <v>346</v>
      </c>
      <c r="G1212" s="4" t="s">
        <v>347</v>
      </c>
      <c r="H1212" t="s">
        <v>77</v>
      </c>
      <c r="I1212" t="s">
        <v>350</v>
      </c>
      <c r="J1212" s="3">
        <v>2011</v>
      </c>
      <c r="K1212" s="3">
        <v>2015</v>
      </c>
      <c r="L1212" s="6">
        <f t="shared" si="371"/>
        <v>2013</v>
      </c>
      <c r="M1212" s="6">
        <f t="shared" si="372"/>
        <v>2013</v>
      </c>
      <c r="N1212" s="7">
        <f t="shared" si="360"/>
        <v>0</v>
      </c>
      <c r="O1212" s="7">
        <f t="shared" si="361"/>
        <v>0</v>
      </c>
      <c r="P1212" s="7">
        <f t="shared" si="362"/>
        <v>0</v>
      </c>
      <c r="Q1212" s="7">
        <f t="shared" si="373"/>
        <v>0</v>
      </c>
      <c r="R1212" s="10" t="str">
        <f t="shared" si="363"/>
        <v>0_Pre</v>
      </c>
      <c r="S1212" s="10" t="str">
        <f t="shared" si="364"/>
        <v>0_Pre</v>
      </c>
      <c r="T1212" s="10" t="str">
        <f t="shared" si="365"/>
        <v>0_Pre</v>
      </c>
      <c r="U1212" s="10" t="str">
        <f t="shared" si="366"/>
        <v>0_Pre</v>
      </c>
      <c r="V1212" s="10" t="str">
        <f t="shared" si="374"/>
        <v>0_Pre</v>
      </c>
      <c r="W1212" s="10" t="str">
        <f t="shared" si="367"/>
        <v>clean_pre</v>
      </c>
      <c r="X1212" s="10" t="str">
        <f t="shared" si="368"/>
        <v>0_Pre</v>
      </c>
      <c r="Y1212" s="10" t="str">
        <f t="shared" si="369"/>
        <v>0_Pre</v>
      </c>
      <c r="Z1212" s="10" t="str">
        <f t="shared" si="370"/>
        <v>0_Pre</v>
      </c>
      <c r="AA1212" s="10" t="str">
        <f t="shared" si="375"/>
        <v>0_Pre</v>
      </c>
      <c r="AB1212" s="10" t="str">
        <f t="shared" si="376"/>
        <v>0_Pre</v>
      </c>
      <c r="AC1212" s="10" t="str">
        <f t="shared" si="377"/>
        <v>0_Pre</v>
      </c>
      <c r="AD1212" s="10" t="str">
        <f t="shared" si="378"/>
        <v>2_post sample median</v>
      </c>
      <c r="AE1212" s="10" t="str">
        <f t="shared" si="379"/>
        <v>2_in sample second tertile</v>
      </c>
      <c r="AF1212" t="s">
        <v>80</v>
      </c>
      <c r="AG1212" t="s">
        <v>75</v>
      </c>
      <c r="AH1212" t="s">
        <v>79</v>
      </c>
      <c r="AI1212" t="s">
        <v>122</v>
      </c>
      <c r="AJ1212" t="s">
        <v>123</v>
      </c>
      <c r="AK1212" t="str">
        <f>VLOOKUP(MID($AR1212,1,255),country_lookup!$B:$F,2,FALSE)</f>
        <v>3_AsiaPac</v>
      </c>
      <c r="AL1212" t="str">
        <f>VLOOKUP(MID($AR1212,1,255),country_lookup!$B:$F,3,FALSE)</f>
        <v>2_developing</v>
      </c>
      <c r="AM1212" t="str">
        <f>VLOOKUP(MID($AR1212,1,255),country_lookup!$B:$F,4,FALSE)</f>
        <v>2_non_western</v>
      </c>
      <c r="AN1212" t="str">
        <f>VLOOKUP(MID($AR1212,1,255),country_lookup!$B:$F,5,FALSE)</f>
        <v>2_civil law</v>
      </c>
      <c r="AO1212" s="10" t="str">
        <f>VLOOKUP(MID($AS1212,1,255),source_lookup!$B:$K,4,FALSE)</f>
        <v>0_published</v>
      </c>
      <c r="AP1212" s="10" t="str">
        <f>VLOOKUP(MID($AS1212,1,255),source_lookup!$B:$K,6,FALSE)</f>
        <v>1_VHB high</v>
      </c>
      <c r="AQ1212" s="10" t="str">
        <f>VLOOKUP(MID($AS1212,1,255),source_lookup!$B:$K,10,FALSE)</f>
        <v>2_sust</v>
      </c>
      <c r="AR1212" t="s">
        <v>94</v>
      </c>
      <c r="AS1212" t="s">
        <v>186</v>
      </c>
    </row>
    <row r="1213" spans="1:45" x14ac:dyDescent="0.3">
      <c r="A1213" t="s">
        <v>63</v>
      </c>
      <c r="B1213">
        <v>1212</v>
      </c>
      <c r="C1213" s="1">
        <v>-3.8966404368325415E-2</v>
      </c>
      <c r="D1213" s="2">
        <v>191</v>
      </c>
      <c r="E1213" s="4">
        <v>725</v>
      </c>
      <c r="F1213" s="4" t="s">
        <v>346</v>
      </c>
      <c r="G1213" s="4" t="s">
        <v>347</v>
      </c>
      <c r="H1213" t="s">
        <v>77</v>
      </c>
      <c r="I1213" t="s">
        <v>350</v>
      </c>
      <c r="J1213" s="3">
        <v>2011</v>
      </c>
      <c r="K1213" s="3">
        <v>2015</v>
      </c>
      <c r="L1213" s="6">
        <f t="shared" si="371"/>
        <v>2013</v>
      </c>
      <c r="M1213" s="6">
        <f t="shared" si="372"/>
        <v>2013</v>
      </c>
      <c r="N1213" s="7">
        <f t="shared" si="360"/>
        <v>0</v>
      </c>
      <c r="O1213" s="7">
        <f t="shared" si="361"/>
        <v>0</v>
      </c>
      <c r="P1213" s="7">
        <f t="shared" si="362"/>
        <v>0</v>
      </c>
      <c r="Q1213" s="7">
        <f t="shared" si="373"/>
        <v>0</v>
      </c>
      <c r="R1213" s="10" t="str">
        <f t="shared" si="363"/>
        <v>0_Pre</v>
      </c>
      <c r="S1213" s="10" t="str">
        <f t="shared" si="364"/>
        <v>0_Pre</v>
      </c>
      <c r="T1213" s="10" t="str">
        <f t="shared" si="365"/>
        <v>0_Pre</v>
      </c>
      <c r="U1213" s="10" t="str">
        <f t="shared" si="366"/>
        <v>0_Pre</v>
      </c>
      <c r="V1213" s="10" t="str">
        <f t="shared" si="374"/>
        <v>0_Pre</v>
      </c>
      <c r="W1213" s="10" t="str">
        <f t="shared" si="367"/>
        <v>clean_pre</v>
      </c>
      <c r="X1213" s="10" t="str">
        <f t="shared" si="368"/>
        <v>0_Pre</v>
      </c>
      <c r="Y1213" s="10" t="str">
        <f t="shared" si="369"/>
        <v>0_Pre</v>
      </c>
      <c r="Z1213" s="10" t="str">
        <f t="shared" si="370"/>
        <v>0_Pre</v>
      </c>
      <c r="AA1213" s="10" t="str">
        <f t="shared" si="375"/>
        <v>0_Pre</v>
      </c>
      <c r="AB1213" s="10" t="str">
        <f t="shared" si="376"/>
        <v>0_Pre</v>
      </c>
      <c r="AC1213" s="10" t="str">
        <f t="shared" si="377"/>
        <v>0_Pre</v>
      </c>
      <c r="AD1213" s="10" t="str">
        <f t="shared" si="378"/>
        <v>2_post sample median</v>
      </c>
      <c r="AE1213" s="10" t="str">
        <f t="shared" si="379"/>
        <v>2_in sample second tertile</v>
      </c>
      <c r="AF1213" t="s">
        <v>80</v>
      </c>
      <c r="AG1213" t="s">
        <v>75</v>
      </c>
      <c r="AH1213" t="s">
        <v>79</v>
      </c>
      <c r="AI1213" t="s">
        <v>122</v>
      </c>
      <c r="AJ1213" t="s">
        <v>123</v>
      </c>
      <c r="AK1213" t="str">
        <f>VLOOKUP(MID($AR1213,1,255),country_lookup!$B:$F,2,FALSE)</f>
        <v>3_AsiaPac</v>
      </c>
      <c r="AL1213" t="str">
        <f>VLOOKUP(MID($AR1213,1,255),country_lookup!$B:$F,3,FALSE)</f>
        <v>2_developing</v>
      </c>
      <c r="AM1213" t="str">
        <f>VLOOKUP(MID($AR1213,1,255),country_lookup!$B:$F,4,FALSE)</f>
        <v>2_non_western</v>
      </c>
      <c r="AN1213" t="str">
        <f>VLOOKUP(MID($AR1213,1,255),country_lookup!$B:$F,5,FALSE)</f>
        <v>2_civil law</v>
      </c>
      <c r="AO1213" s="10" t="str">
        <f>VLOOKUP(MID($AS1213,1,255),source_lookup!$B:$K,4,FALSE)</f>
        <v>0_published</v>
      </c>
      <c r="AP1213" s="10" t="str">
        <f>VLOOKUP(MID($AS1213,1,255),source_lookup!$B:$K,6,FALSE)</f>
        <v>1_VHB high</v>
      </c>
      <c r="AQ1213" s="10" t="str">
        <f>VLOOKUP(MID($AS1213,1,255),source_lookup!$B:$K,10,FALSE)</f>
        <v>2_sust</v>
      </c>
      <c r="AR1213" t="s">
        <v>94</v>
      </c>
      <c r="AS1213" t="s">
        <v>186</v>
      </c>
    </row>
    <row r="1214" spans="1:45" x14ac:dyDescent="0.3">
      <c r="A1214" t="s">
        <v>63</v>
      </c>
      <c r="B1214">
        <v>1213</v>
      </c>
      <c r="C1214" s="1">
        <v>6.1863047564500298E-2</v>
      </c>
      <c r="D1214" s="2">
        <v>191</v>
      </c>
      <c r="E1214" s="4">
        <v>230</v>
      </c>
      <c r="F1214" s="4" t="s">
        <v>346</v>
      </c>
      <c r="G1214" s="4" t="s">
        <v>347</v>
      </c>
      <c r="H1214" t="s">
        <v>77</v>
      </c>
      <c r="I1214" t="s">
        <v>350</v>
      </c>
      <c r="J1214" s="3">
        <v>2011</v>
      </c>
      <c r="K1214" s="3">
        <v>2015</v>
      </c>
      <c r="L1214" s="6">
        <f t="shared" si="371"/>
        <v>2013</v>
      </c>
      <c r="M1214" s="6">
        <f t="shared" si="372"/>
        <v>2013</v>
      </c>
      <c r="N1214" s="7">
        <f t="shared" si="360"/>
        <v>0</v>
      </c>
      <c r="O1214" s="7">
        <f t="shared" si="361"/>
        <v>0</v>
      </c>
      <c r="P1214" s="7">
        <f t="shared" si="362"/>
        <v>0</v>
      </c>
      <c r="Q1214" s="7">
        <f t="shared" si="373"/>
        <v>0</v>
      </c>
      <c r="R1214" s="10" t="str">
        <f t="shared" si="363"/>
        <v>0_Pre</v>
      </c>
      <c r="S1214" s="10" t="str">
        <f t="shared" si="364"/>
        <v>0_Pre</v>
      </c>
      <c r="T1214" s="10" t="str">
        <f t="shared" si="365"/>
        <v>0_Pre</v>
      </c>
      <c r="U1214" s="10" t="str">
        <f t="shared" si="366"/>
        <v>0_Pre</v>
      </c>
      <c r="V1214" s="10" t="str">
        <f t="shared" si="374"/>
        <v>0_Pre</v>
      </c>
      <c r="W1214" s="10" t="str">
        <f t="shared" si="367"/>
        <v>clean_pre</v>
      </c>
      <c r="X1214" s="10" t="str">
        <f t="shared" si="368"/>
        <v>0_Pre</v>
      </c>
      <c r="Y1214" s="10" t="str">
        <f t="shared" si="369"/>
        <v>0_Pre</v>
      </c>
      <c r="Z1214" s="10" t="str">
        <f t="shared" si="370"/>
        <v>0_Pre</v>
      </c>
      <c r="AA1214" s="10" t="str">
        <f t="shared" si="375"/>
        <v>0_Pre</v>
      </c>
      <c r="AB1214" s="10" t="str">
        <f t="shared" si="376"/>
        <v>0_Pre</v>
      </c>
      <c r="AC1214" s="10" t="str">
        <f t="shared" si="377"/>
        <v>0_Pre</v>
      </c>
      <c r="AD1214" s="10" t="str">
        <f t="shared" si="378"/>
        <v>2_post sample median</v>
      </c>
      <c r="AE1214" s="10" t="str">
        <f t="shared" si="379"/>
        <v>2_in sample second tertile</v>
      </c>
      <c r="AF1214" t="s">
        <v>80</v>
      </c>
      <c r="AG1214" t="s">
        <v>75</v>
      </c>
      <c r="AH1214" t="s">
        <v>79</v>
      </c>
      <c r="AI1214" t="s">
        <v>122</v>
      </c>
      <c r="AJ1214" t="s">
        <v>123</v>
      </c>
      <c r="AK1214" t="str">
        <f>VLOOKUP(MID($AR1214,1,255),country_lookup!$B:$F,2,FALSE)</f>
        <v>3_AsiaPac</v>
      </c>
      <c r="AL1214" t="str">
        <f>VLOOKUP(MID($AR1214,1,255),country_lookup!$B:$F,3,FALSE)</f>
        <v>2_developing</v>
      </c>
      <c r="AM1214" t="str">
        <f>VLOOKUP(MID($AR1214,1,255),country_lookup!$B:$F,4,FALSE)</f>
        <v>2_non_western</v>
      </c>
      <c r="AN1214" t="str">
        <f>VLOOKUP(MID($AR1214,1,255),country_lookup!$B:$F,5,FALSE)</f>
        <v>2_civil law</v>
      </c>
      <c r="AO1214" s="10" t="str">
        <f>VLOOKUP(MID($AS1214,1,255),source_lookup!$B:$K,4,FALSE)</f>
        <v>0_published</v>
      </c>
      <c r="AP1214" s="10" t="str">
        <f>VLOOKUP(MID($AS1214,1,255),source_lookup!$B:$K,6,FALSE)</f>
        <v>1_VHB high</v>
      </c>
      <c r="AQ1214" s="10" t="str">
        <f>VLOOKUP(MID($AS1214,1,255),source_lookup!$B:$K,10,FALSE)</f>
        <v>2_sust</v>
      </c>
      <c r="AR1214" t="s">
        <v>94</v>
      </c>
      <c r="AS1214" t="s">
        <v>186</v>
      </c>
    </row>
    <row r="1215" spans="1:45" x14ac:dyDescent="0.3">
      <c r="A1215" t="s">
        <v>63</v>
      </c>
      <c r="B1215">
        <v>1214</v>
      </c>
      <c r="C1215" s="1">
        <v>6.5547987249099202E-2</v>
      </c>
      <c r="D1215" s="2">
        <v>191</v>
      </c>
      <c r="E1215" s="4">
        <v>955</v>
      </c>
      <c r="F1215" s="4" t="s">
        <v>346</v>
      </c>
      <c r="G1215" s="4" t="s">
        <v>347</v>
      </c>
      <c r="H1215" t="s">
        <v>77</v>
      </c>
      <c r="I1215" t="s">
        <v>350</v>
      </c>
      <c r="J1215" s="3">
        <v>2011</v>
      </c>
      <c r="K1215" s="3">
        <v>2015</v>
      </c>
      <c r="L1215" s="6">
        <f t="shared" si="371"/>
        <v>2013</v>
      </c>
      <c r="M1215" s="6">
        <f t="shared" si="372"/>
        <v>2013</v>
      </c>
      <c r="N1215" s="7">
        <f t="shared" si="360"/>
        <v>0</v>
      </c>
      <c r="O1215" s="7">
        <f t="shared" si="361"/>
        <v>0</v>
      </c>
      <c r="P1215" s="7">
        <f t="shared" si="362"/>
        <v>0</v>
      </c>
      <c r="Q1215" s="7">
        <f t="shared" si="373"/>
        <v>0</v>
      </c>
      <c r="R1215" s="10" t="str">
        <f t="shared" si="363"/>
        <v>0_Pre</v>
      </c>
      <c r="S1215" s="10" t="str">
        <f t="shared" si="364"/>
        <v>0_Pre</v>
      </c>
      <c r="T1215" s="10" t="str">
        <f t="shared" si="365"/>
        <v>0_Pre</v>
      </c>
      <c r="U1215" s="10" t="str">
        <f t="shared" si="366"/>
        <v>0_Pre</v>
      </c>
      <c r="V1215" s="10" t="str">
        <f t="shared" si="374"/>
        <v>0_Pre</v>
      </c>
      <c r="W1215" s="10" t="str">
        <f t="shared" si="367"/>
        <v>clean_pre</v>
      </c>
      <c r="X1215" s="10" t="str">
        <f t="shared" si="368"/>
        <v>0_Pre</v>
      </c>
      <c r="Y1215" s="10" t="str">
        <f t="shared" si="369"/>
        <v>0_Pre</v>
      </c>
      <c r="Z1215" s="10" t="str">
        <f t="shared" si="370"/>
        <v>0_Pre</v>
      </c>
      <c r="AA1215" s="10" t="str">
        <f t="shared" si="375"/>
        <v>0_Pre</v>
      </c>
      <c r="AB1215" s="10" t="str">
        <f t="shared" si="376"/>
        <v>0_Pre</v>
      </c>
      <c r="AC1215" s="10" t="str">
        <f t="shared" si="377"/>
        <v>0_Pre</v>
      </c>
      <c r="AD1215" s="10" t="str">
        <f t="shared" si="378"/>
        <v>2_post sample median</v>
      </c>
      <c r="AE1215" s="10" t="str">
        <f t="shared" si="379"/>
        <v>2_in sample second tertile</v>
      </c>
      <c r="AF1215" t="s">
        <v>80</v>
      </c>
      <c r="AG1215" t="s">
        <v>75</v>
      </c>
      <c r="AH1215" t="s">
        <v>79</v>
      </c>
      <c r="AI1215" t="s">
        <v>122</v>
      </c>
      <c r="AJ1215" t="s">
        <v>123</v>
      </c>
      <c r="AK1215" t="str">
        <f>VLOOKUP(MID($AR1215,1,255),country_lookup!$B:$F,2,FALSE)</f>
        <v>3_AsiaPac</v>
      </c>
      <c r="AL1215" t="str">
        <f>VLOOKUP(MID($AR1215,1,255),country_lookup!$B:$F,3,FALSE)</f>
        <v>2_developing</v>
      </c>
      <c r="AM1215" t="str">
        <f>VLOOKUP(MID($AR1215,1,255),country_lookup!$B:$F,4,FALSE)</f>
        <v>2_non_western</v>
      </c>
      <c r="AN1215" t="str">
        <f>VLOOKUP(MID($AR1215,1,255),country_lookup!$B:$F,5,FALSE)</f>
        <v>2_civil law</v>
      </c>
      <c r="AO1215" s="10" t="str">
        <f>VLOOKUP(MID($AS1215,1,255),source_lookup!$B:$K,4,FALSE)</f>
        <v>0_published</v>
      </c>
      <c r="AP1215" s="10" t="str">
        <f>VLOOKUP(MID($AS1215,1,255),source_lookup!$B:$K,6,FALSE)</f>
        <v>1_VHB high</v>
      </c>
      <c r="AQ1215" s="10" t="str">
        <f>VLOOKUP(MID($AS1215,1,255),source_lookup!$B:$K,10,FALSE)</f>
        <v>2_sust</v>
      </c>
      <c r="AR1215" t="s">
        <v>94</v>
      </c>
      <c r="AS1215" t="s">
        <v>186</v>
      </c>
    </row>
    <row r="1216" spans="1:45" x14ac:dyDescent="0.3">
      <c r="A1216" t="s">
        <v>63</v>
      </c>
      <c r="B1216">
        <v>1215</v>
      </c>
      <c r="C1216" s="1">
        <v>-7.2937098951515136E-2</v>
      </c>
      <c r="D1216" s="2">
        <v>191</v>
      </c>
      <c r="E1216" s="4">
        <v>955</v>
      </c>
      <c r="F1216" s="4" t="s">
        <v>346</v>
      </c>
      <c r="G1216" s="4" t="s">
        <v>347</v>
      </c>
      <c r="H1216" t="s">
        <v>77</v>
      </c>
      <c r="I1216" t="s">
        <v>350</v>
      </c>
      <c r="J1216" s="3">
        <v>2011</v>
      </c>
      <c r="K1216" s="3">
        <v>2015</v>
      </c>
      <c r="L1216" s="6">
        <f t="shared" si="371"/>
        <v>2013</v>
      </c>
      <c r="M1216" s="6">
        <f t="shared" si="372"/>
        <v>2013</v>
      </c>
      <c r="N1216" s="7">
        <f t="shared" si="360"/>
        <v>0</v>
      </c>
      <c r="O1216" s="7">
        <f t="shared" si="361"/>
        <v>0</v>
      </c>
      <c r="P1216" s="7">
        <f t="shared" si="362"/>
        <v>0</v>
      </c>
      <c r="Q1216" s="7">
        <f t="shared" si="373"/>
        <v>0</v>
      </c>
      <c r="R1216" s="10" t="str">
        <f t="shared" si="363"/>
        <v>0_Pre</v>
      </c>
      <c r="S1216" s="10" t="str">
        <f t="shared" si="364"/>
        <v>0_Pre</v>
      </c>
      <c r="T1216" s="10" t="str">
        <f t="shared" si="365"/>
        <v>0_Pre</v>
      </c>
      <c r="U1216" s="10" t="str">
        <f t="shared" si="366"/>
        <v>0_Pre</v>
      </c>
      <c r="V1216" s="10" t="str">
        <f t="shared" si="374"/>
        <v>0_Pre</v>
      </c>
      <c r="W1216" s="10" t="str">
        <f t="shared" si="367"/>
        <v>clean_pre</v>
      </c>
      <c r="X1216" s="10" t="str">
        <f t="shared" si="368"/>
        <v>0_Pre</v>
      </c>
      <c r="Y1216" s="10" t="str">
        <f t="shared" si="369"/>
        <v>0_Pre</v>
      </c>
      <c r="Z1216" s="10" t="str">
        <f t="shared" si="370"/>
        <v>0_Pre</v>
      </c>
      <c r="AA1216" s="10" t="str">
        <f t="shared" si="375"/>
        <v>0_Pre</v>
      </c>
      <c r="AB1216" s="10" t="str">
        <f t="shared" si="376"/>
        <v>0_Pre</v>
      </c>
      <c r="AC1216" s="10" t="str">
        <f t="shared" si="377"/>
        <v>0_Pre</v>
      </c>
      <c r="AD1216" s="10" t="str">
        <f t="shared" si="378"/>
        <v>2_post sample median</v>
      </c>
      <c r="AE1216" s="10" t="str">
        <f t="shared" si="379"/>
        <v>2_in sample second tertile</v>
      </c>
      <c r="AF1216" t="s">
        <v>80</v>
      </c>
      <c r="AG1216" t="s">
        <v>75</v>
      </c>
      <c r="AH1216" t="s">
        <v>79</v>
      </c>
      <c r="AI1216" t="s">
        <v>122</v>
      </c>
      <c r="AJ1216" t="s">
        <v>123</v>
      </c>
      <c r="AK1216" t="str">
        <f>VLOOKUP(MID($AR1216,1,255),country_lookup!$B:$F,2,FALSE)</f>
        <v>3_AsiaPac</v>
      </c>
      <c r="AL1216" t="str">
        <f>VLOOKUP(MID($AR1216,1,255),country_lookup!$B:$F,3,FALSE)</f>
        <v>2_developing</v>
      </c>
      <c r="AM1216" t="str">
        <f>VLOOKUP(MID($AR1216,1,255),country_lookup!$B:$F,4,FALSE)</f>
        <v>2_non_western</v>
      </c>
      <c r="AN1216" t="str">
        <f>VLOOKUP(MID($AR1216,1,255),country_lookup!$B:$F,5,FALSE)</f>
        <v>2_civil law</v>
      </c>
      <c r="AO1216" s="10" t="str">
        <f>VLOOKUP(MID($AS1216,1,255),source_lookup!$B:$K,4,FALSE)</f>
        <v>0_published</v>
      </c>
      <c r="AP1216" s="10" t="str">
        <f>VLOOKUP(MID($AS1216,1,255),source_lookup!$B:$K,6,FALSE)</f>
        <v>1_VHB high</v>
      </c>
      <c r="AQ1216" s="10" t="str">
        <f>VLOOKUP(MID($AS1216,1,255),source_lookup!$B:$K,10,FALSE)</f>
        <v>2_sust</v>
      </c>
      <c r="AR1216" t="s">
        <v>94</v>
      </c>
      <c r="AS1216" t="s">
        <v>186</v>
      </c>
    </row>
    <row r="1217" spans="1:45" x14ac:dyDescent="0.3">
      <c r="A1217" t="s">
        <v>63</v>
      </c>
      <c r="B1217">
        <v>1216</v>
      </c>
      <c r="C1217" s="1">
        <v>4.0448454662788277E-2</v>
      </c>
      <c r="D1217" s="2">
        <v>145</v>
      </c>
      <c r="E1217" s="4">
        <v>725</v>
      </c>
      <c r="F1217" s="4" t="s">
        <v>346</v>
      </c>
      <c r="G1217" s="4" t="s">
        <v>347</v>
      </c>
      <c r="H1217" t="s">
        <v>77</v>
      </c>
      <c r="I1217" t="s">
        <v>350</v>
      </c>
      <c r="J1217" s="3">
        <v>2011</v>
      </c>
      <c r="K1217" s="3">
        <v>2015</v>
      </c>
      <c r="L1217" s="6">
        <f t="shared" si="371"/>
        <v>2013</v>
      </c>
      <c r="M1217" s="6">
        <f t="shared" si="372"/>
        <v>2013</v>
      </c>
      <c r="N1217" s="7">
        <f t="shared" si="360"/>
        <v>0</v>
      </c>
      <c r="O1217" s="7">
        <f t="shared" si="361"/>
        <v>0</v>
      </c>
      <c r="P1217" s="7">
        <f t="shared" si="362"/>
        <v>0</v>
      </c>
      <c r="Q1217" s="7">
        <f t="shared" si="373"/>
        <v>0</v>
      </c>
      <c r="R1217" s="10" t="str">
        <f t="shared" si="363"/>
        <v>0_Pre</v>
      </c>
      <c r="S1217" s="10" t="str">
        <f t="shared" si="364"/>
        <v>0_Pre</v>
      </c>
      <c r="T1217" s="10" t="str">
        <f t="shared" si="365"/>
        <v>0_Pre</v>
      </c>
      <c r="U1217" s="10" t="str">
        <f t="shared" si="366"/>
        <v>0_Pre</v>
      </c>
      <c r="V1217" s="10" t="str">
        <f t="shared" si="374"/>
        <v>0_Pre</v>
      </c>
      <c r="W1217" s="10" t="str">
        <f t="shared" si="367"/>
        <v>clean_pre</v>
      </c>
      <c r="X1217" s="10" t="str">
        <f t="shared" si="368"/>
        <v>0_Pre</v>
      </c>
      <c r="Y1217" s="10" t="str">
        <f t="shared" si="369"/>
        <v>0_Pre</v>
      </c>
      <c r="Z1217" s="10" t="str">
        <f t="shared" si="370"/>
        <v>0_Pre</v>
      </c>
      <c r="AA1217" s="10" t="str">
        <f t="shared" si="375"/>
        <v>0_Pre</v>
      </c>
      <c r="AB1217" s="10" t="str">
        <f t="shared" si="376"/>
        <v>0_Pre</v>
      </c>
      <c r="AC1217" s="10" t="str">
        <f t="shared" si="377"/>
        <v>0_Pre</v>
      </c>
      <c r="AD1217" s="10" t="str">
        <f t="shared" si="378"/>
        <v>2_post sample median</v>
      </c>
      <c r="AE1217" s="10" t="str">
        <f t="shared" si="379"/>
        <v>2_in sample second tertile</v>
      </c>
      <c r="AF1217" t="s">
        <v>80</v>
      </c>
      <c r="AG1217" t="s">
        <v>75</v>
      </c>
      <c r="AH1217" t="s">
        <v>79</v>
      </c>
      <c r="AI1217" t="s">
        <v>122</v>
      </c>
      <c r="AJ1217" t="s">
        <v>123</v>
      </c>
      <c r="AK1217" t="str">
        <f>VLOOKUP(MID($AR1217,1,255),country_lookup!$B:$F,2,FALSE)</f>
        <v>3_AsiaPac</v>
      </c>
      <c r="AL1217" t="str">
        <f>VLOOKUP(MID($AR1217,1,255),country_lookup!$B:$F,3,FALSE)</f>
        <v>2_developing</v>
      </c>
      <c r="AM1217" t="str">
        <f>VLOOKUP(MID($AR1217,1,255),country_lookup!$B:$F,4,FALSE)</f>
        <v>2_non_western</v>
      </c>
      <c r="AN1217" t="str">
        <f>VLOOKUP(MID($AR1217,1,255),country_lookup!$B:$F,5,FALSE)</f>
        <v>2_civil law</v>
      </c>
      <c r="AO1217" s="10" t="str">
        <f>VLOOKUP(MID($AS1217,1,255),source_lookup!$B:$K,4,FALSE)</f>
        <v>0_published</v>
      </c>
      <c r="AP1217" s="10" t="str">
        <f>VLOOKUP(MID($AS1217,1,255),source_lookup!$B:$K,6,FALSE)</f>
        <v>1_VHB high</v>
      </c>
      <c r="AQ1217" s="10" t="str">
        <f>VLOOKUP(MID($AS1217,1,255),source_lookup!$B:$K,10,FALSE)</f>
        <v>2_sust</v>
      </c>
      <c r="AR1217" t="s">
        <v>94</v>
      </c>
      <c r="AS1217" t="s">
        <v>186</v>
      </c>
    </row>
    <row r="1218" spans="1:45" x14ac:dyDescent="0.3">
      <c r="A1218" t="s">
        <v>63</v>
      </c>
      <c r="B1218">
        <v>1217</v>
      </c>
      <c r="C1218" s="1">
        <v>-5.4513250088080299E-2</v>
      </c>
      <c r="D1218" s="2">
        <v>145</v>
      </c>
      <c r="E1218" s="4">
        <v>725</v>
      </c>
      <c r="F1218" s="4" t="s">
        <v>346</v>
      </c>
      <c r="G1218" s="4" t="s">
        <v>347</v>
      </c>
      <c r="H1218" t="s">
        <v>77</v>
      </c>
      <c r="I1218" t="s">
        <v>350</v>
      </c>
      <c r="J1218" s="3">
        <v>2011</v>
      </c>
      <c r="K1218" s="3">
        <v>2015</v>
      </c>
      <c r="L1218" s="6">
        <f t="shared" si="371"/>
        <v>2013</v>
      </c>
      <c r="M1218" s="6">
        <f t="shared" si="372"/>
        <v>2013</v>
      </c>
      <c r="N1218" s="7">
        <f t="shared" ref="N1218:N1281" si="380">MAX(0,$K1218-MAX($J1218,2016)+1)/($K1218-$J1218+1)</f>
        <v>0</v>
      </c>
      <c r="O1218" s="7">
        <f t="shared" ref="O1218:O1281" si="381">MAX(0,$K1218-MAX($J1218,2017)+1)/($K1218-$J1218+1)</f>
        <v>0</v>
      </c>
      <c r="P1218" s="7">
        <f t="shared" ref="P1218:P1281" si="382">MAX(0,$K1218-MAX($J1218,2018)+1)/($K1218-$J1218+1)</f>
        <v>0</v>
      </c>
      <c r="Q1218" s="7">
        <f t="shared" si="373"/>
        <v>0</v>
      </c>
      <c r="R1218" s="10" t="str">
        <f t="shared" ref="R1218:R1281" si="383">IF(N1218&gt;=0.5,"1_Post","0_Pre")</f>
        <v>0_Pre</v>
      </c>
      <c r="S1218" s="10" t="str">
        <f t="shared" ref="S1218:S1281" si="384">IF($L1218&gt;=2016,"1_Post","0_Pre")</f>
        <v>0_Pre</v>
      </c>
      <c r="T1218" s="10" t="str">
        <f t="shared" ref="T1218:T1281" si="385">IF($M1218&gt;=2016,"1_Post","0_Pre")</f>
        <v>0_Pre</v>
      </c>
      <c r="U1218" s="10" t="str">
        <f t="shared" ref="U1218:U1281" si="386">IF($K1218&gt;=2016,"1_Post","0_Pre")</f>
        <v>0_Pre</v>
      </c>
      <c r="V1218" s="10" t="str">
        <f t="shared" si="374"/>
        <v>0_Pre</v>
      </c>
      <c r="W1218" s="10" t="str">
        <f t="shared" ref="W1218:W1281" si="387">IF($K1218&lt;=2015,"clean_pre",IF($J1218&gt;=2016,"clean_post","straddle"))</f>
        <v>clean_pre</v>
      </c>
      <c r="X1218" s="10" t="str">
        <f t="shared" ref="X1218:X1281" si="388">IF(O1218&gt;=0.5,"1_Post","0_Pre")</f>
        <v>0_Pre</v>
      </c>
      <c r="Y1218" s="10" t="str">
        <f t="shared" ref="Y1218:Y1281" si="389">IF(P1218&gt;=0.5,"1_Post","0_Pre")</f>
        <v>0_Pre</v>
      </c>
      <c r="Z1218" s="10" t="str">
        <f t="shared" ref="Z1218:Z1281" si="390">IF(Q1218&gt;=0.5,"1_Post","0_Pre")</f>
        <v>0_Pre</v>
      </c>
      <c r="AA1218" s="10" t="str">
        <f t="shared" si="375"/>
        <v>0_Pre</v>
      </c>
      <c r="AB1218" s="10" t="str">
        <f t="shared" si="376"/>
        <v>0_Pre</v>
      </c>
      <c r="AC1218" s="10" t="str">
        <f t="shared" si="377"/>
        <v>0_Pre</v>
      </c>
      <c r="AD1218" s="10" t="str">
        <f t="shared" si="378"/>
        <v>2_post sample median</v>
      </c>
      <c r="AE1218" s="10" t="str">
        <f t="shared" si="379"/>
        <v>2_in sample second tertile</v>
      </c>
      <c r="AF1218" t="s">
        <v>80</v>
      </c>
      <c r="AG1218" t="s">
        <v>75</v>
      </c>
      <c r="AH1218" t="s">
        <v>79</v>
      </c>
      <c r="AI1218" t="s">
        <v>122</v>
      </c>
      <c r="AJ1218" t="s">
        <v>123</v>
      </c>
      <c r="AK1218" t="str">
        <f>VLOOKUP(MID($AR1218,1,255),country_lookup!$B:$F,2,FALSE)</f>
        <v>3_AsiaPac</v>
      </c>
      <c r="AL1218" t="str">
        <f>VLOOKUP(MID($AR1218,1,255),country_lookup!$B:$F,3,FALSE)</f>
        <v>2_developing</v>
      </c>
      <c r="AM1218" t="str">
        <f>VLOOKUP(MID($AR1218,1,255),country_lookup!$B:$F,4,FALSE)</f>
        <v>2_non_western</v>
      </c>
      <c r="AN1218" t="str">
        <f>VLOOKUP(MID($AR1218,1,255),country_lookup!$B:$F,5,FALSE)</f>
        <v>2_civil law</v>
      </c>
      <c r="AO1218" s="10" t="str">
        <f>VLOOKUP(MID($AS1218,1,255),source_lookup!$B:$K,4,FALSE)</f>
        <v>0_published</v>
      </c>
      <c r="AP1218" s="10" t="str">
        <f>VLOOKUP(MID($AS1218,1,255),source_lookup!$B:$K,6,FALSE)</f>
        <v>1_VHB high</v>
      </c>
      <c r="AQ1218" s="10" t="str">
        <f>VLOOKUP(MID($AS1218,1,255),source_lookup!$B:$K,10,FALSE)</f>
        <v>2_sust</v>
      </c>
      <c r="AR1218" t="s">
        <v>94</v>
      </c>
      <c r="AS1218" t="s">
        <v>186</v>
      </c>
    </row>
    <row r="1219" spans="1:45" x14ac:dyDescent="0.3">
      <c r="A1219" t="s">
        <v>63</v>
      </c>
      <c r="B1219">
        <v>1218</v>
      </c>
      <c r="C1219" s="1">
        <v>0.15376319012266931</v>
      </c>
      <c r="D1219" s="2">
        <v>46</v>
      </c>
      <c r="E1219" s="4">
        <v>230</v>
      </c>
      <c r="F1219" s="4" t="s">
        <v>346</v>
      </c>
      <c r="G1219" s="4" t="s">
        <v>347</v>
      </c>
      <c r="H1219" t="s">
        <v>77</v>
      </c>
      <c r="I1219" t="s">
        <v>350</v>
      </c>
      <c r="J1219" s="3">
        <v>2011</v>
      </c>
      <c r="K1219" s="3">
        <v>2015</v>
      </c>
      <c r="L1219" s="6">
        <f t="shared" ref="L1219:L1282" si="391">ROUND(AVERAGE(J1219:K1219),100)</f>
        <v>2013</v>
      </c>
      <c r="M1219" s="6">
        <f t="shared" ref="M1219:M1282" si="392">ROUND(MEDIAN(J1219:K1219),100)</f>
        <v>2013</v>
      </c>
      <c r="N1219" s="7">
        <f t="shared" si="380"/>
        <v>0</v>
      </c>
      <c r="O1219" s="7">
        <f t="shared" si="381"/>
        <v>0</v>
      </c>
      <c r="P1219" s="7">
        <f t="shared" si="382"/>
        <v>0</v>
      </c>
      <c r="Q1219" s="7">
        <f t="shared" ref="Q1219:Q1282" si="393">MAX(0,$K1219-MAX($J1219,2019)+1)/($K1219-$J1219+1)</f>
        <v>0</v>
      </c>
      <c r="R1219" s="10" t="str">
        <f t="shared" si="383"/>
        <v>0_Pre</v>
      </c>
      <c r="S1219" s="10" t="str">
        <f t="shared" si="384"/>
        <v>0_Pre</v>
      </c>
      <c r="T1219" s="10" t="str">
        <f t="shared" si="385"/>
        <v>0_Pre</v>
      </c>
      <c r="U1219" s="10" t="str">
        <f t="shared" si="386"/>
        <v>0_Pre</v>
      </c>
      <c r="V1219" s="10" t="str">
        <f t="shared" ref="V1219:V1282" si="394">IF($J1219&lt;=2017,"0_Pre","1_Post")</f>
        <v>0_Pre</v>
      </c>
      <c r="W1219" s="10" t="str">
        <f t="shared" si="387"/>
        <v>clean_pre</v>
      </c>
      <c r="X1219" s="10" t="str">
        <f t="shared" si="388"/>
        <v>0_Pre</v>
      </c>
      <c r="Y1219" s="10" t="str">
        <f t="shared" si="389"/>
        <v>0_Pre</v>
      </c>
      <c r="Z1219" s="10" t="str">
        <f t="shared" si="390"/>
        <v>0_Pre</v>
      </c>
      <c r="AA1219" s="10" t="str">
        <f t="shared" ref="AA1219:AA1282" si="395">IF($K1219&gt;=2017,"1_Post","0_Pre")</f>
        <v>0_Pre</v>
      </c>
      <c r="AB1219" s="10" t="str">
        <f t="shared" ref="AB1219:AB1282" si="396">IF($K1219&gt;=2018,"1_Post","0_Pre")</f>
        <v>0_Pre</v>
      </c>
      <c r="AC1219" s="10" t="str">
        <f t="shared" ref="AC1219:AC1282" si="397">IF($K1219&gt;=2019,"1_Post","0_Pre")</f>
        <v>0_Pre</v>
      </c>
      <c r="AD1219" s="10" t="str">
        <f t="shared" ref="AD1219:AD1282" si="398">IF(L1219&lt;MEDIAN($L$2:$L$1307),"1_pre sample median","2_post sample median")</f>
        <v>2_post sample median</v>
      </c>
      <c r="AE1219" s="10" t="str">
        <f t="shared" ref="AE1219:AE1282" si="399">IF(L1219&lt;=PERCENTILE($L$2:$L$1307,0.33),"1_pre sample first tertile",IF(L1219&gt;=PERCENTILE($L$2:$L$1307,0.67),"3_post sample third tertile","2_in sample second tertile"))</f>
        <v>2_in sample second tertile</v>
      </c>
      <c r="AF1219" t="s">
        <v>80</v>
      </c>
      <c r="AG1219" t="s">
        <v>75</v>
      </c>
      <c r="AH1219" t="s">
        <v>79</v>
      </c>
      <c r="AI1219" t="s">
        <v>122</v>
      </c>
      <c r="AJ1219" t="s">
        <v>123</v>
      </c>
      <c r="AK1219" t="str">
        <f>VLOOKUP(MID($AR1219,1,255),country_lookup!$B:$F,2,FALSE)</f>
        <v>3_AsiaPac</v>
      </c>
      <c r="AL1219" t="str">
        <f>VLOOKUP(MID($AR1219,1,255),country_lookup!$B:$F,3,FALSE)</f>
        <v>2_developing</v>
      </c>
      <c r="AM1219" t="str">
        <f>VLOOKUP(MID($AR1219,1,255),country_lookup!$B:$F,4,FALSE)</f>
        <v>2_non_western</v>
      </c>
      <c r="AN1219" t="str">
        <f>VLOOKUP(MID($AR1219,1,255),country_lookup!$B:$F,5,FALSE)</f>
        <v>2_civil law</v>
      </c>
      <c r="AO1219" s="10" t="str">
        <f>VLOOKUP(MID($AS1219,1,255),source_lookup!$B:$K,4,FALSE)</f>
        <v>0_published</v>
      </c>
      <c r="AP1219" s="10" t="str">
        <f>VLOOKUP(MID($AS1219,1,255),source_lookup!$B:$K,6,FALSE)</f>
        <v>1_VHB high</v>
      </c>
      <c r="AQ1219" s="10" t="str">
        <f>VLOOKUP(MID($AS1219,1,255),source_lookup!$B:$K,10,FALSE)</f>
        <v>2_sust</v>
      </c>
      <c r="AR1219" t="s">
        <v>94</v>
      </c>
      <c r="AS1219" t="s">
        <v>186</v>
      </c>
    </row>
    <row r="1220" spans="1:45" x14ac:dyDescent="0.3">
      <c r="A1220" t="s">
        <v>63</v>
      </c>
      <c r="B1220">
        <v>1219</v>
      </c>
      <c r="C1220" s="1">
        <v>-0.14164294725409121</v>
      </c>
      <c r="D1220" s="2">
        <v>46</v>
      </c>
      <c r="E1220" s="4">
        <v>230</v>
      </c>
      <c r="F1220" s="4" t="s">
        <v>346</v>
      </c>
      <c r="G1220" s="4" t="s">
        <v>347</v>
      </c>
      <c r="H1220" t="s">
        <v>77</v>
      </c>
      <c r="I1220" t="s">
        <v>350</v>
      </c>
      <c r="J1220" s="3">
        <v>2011</v>
      </c>
      <c r="K1220" s="3">
        <v>2015</v>
      </c>
      <c r="L1220" s="6">
        <f t="shared" si="391"/>
        <v>2013</v>
      </c>
      <c r="M1220" s="6">
        <f t="shared" si="392"/>
        <v>2013</v>
      </c>
      <c r="N1220" s="7">
        <f t="shared" si="380"/>
        <v>0</v>
      </c>
      <c r="O1220" s="7">
        <f t="shared" si="381"/>
        <v>0</v>
      </c>
      <c r="P1220" s="7">
        <f t="shared" si="382"/>
        <v>0</v>
      </c>
      <c r="Q1220" s="7">
        <f t="shared" si="393"/>
        <v>0</v>
      </c>
      <c r="R1220" s="10" t="str">
        <f t="shared" si="383"/>
        <v>0_Pre</v>
      </c>
      <c r="S1220" s="10" t="str">
        <f t="shared" si="384"/>
        <v>0_Pre</v>
      </c>
      <c r="T1220" s="10" t="str">
        <f t="shared" si="385"/>
        <v>0_Pre</v>
      </c>
      <c r="U1220" s="10" t="str">
        <f t="shared" si="386"/>
        <v>0_Pre</v>
      </c>
      <c r="V1220" s="10" t="str">
        <f t="shared" si="394"/>
        <v>0_Pre</v>
      </c>
      <c r="W1220" s="10" t="str">
        <f t="shared" si="387"/>
        <v>clean_pre</v>
      </c>
      <c r="X1220" s="10" t="str">
        <f t="shared" si="388"/>
        <v>0_Pre</v>
      </c>
      <c r="Y1220" s="10" t="str">
        <f t="shared" si="389"/>
        <v>0_Pre</v>
      </c>
      <c r="Z1220" s="10" t="str">
        <f t="shared" si="390"/>
        <v>0_Pre</v>
      </c>
      <c r="AA1220" s="10" t="str">
        <f t="shared" si="395"/>
        <v>0_Pre</v>
      </c>
      <c r="AB1220" s="10" t="str">
        <f t="shared" si="396"/>
        <v>0_Pre</v>
      </c>
      <c r="AC1220" s="10" t="str">
        <f t="shared" si="397"/>
        <v>0_Pre</v>
      </c>
      <c r="AD1220" s="10" t="str">
        <f t="shared" si="398"/>
        <v>2_post sample median</v>
      </c>
      <c r="AE1220" s="10" t="str">
        <f t="shared" si="399"/>
        <v>2_in sample second tertile</v>
      </c>
      <c r="AF1220" t="s">
        <v>80</v>
      </c>
      <c r="AG1220" t="s">
        <v>75</v>
      </c>
      <c r="AH1220" t="s">
        <v>79</v>
      </c>
      <c r="AI1220" t="s">
        <v>122</v>
      </c>
      <c r="AJ1220" t="s">
        <v>123</v>
      </c>
      <c r="AK1220" t="str">
        <f>VLOOKUP(MID($AR1220,1,255),country_lookup!$B:$F,2,FALSE)</f>
        <v>3_AsiaPac</v>
      </c>
      <c r="AL1220" t="str">
        <f>VLOOKUP(MID($AR1220,1,255),country_lookup!$B:$F,3,FALSE)</f>
        <v>2_developing</v>
      </c>
      <c r="AM1220" t="str">
        <f>VLOOKUP(MID($AR1220,1,255),country_lookup!$B:$F,4,FALSE)</f>
        <v>2_non_western</v>
      </c>
      <c r="AN1220" t="str">
        <f>VLOOKUP(MID($AR1220,1,255),country_lookup!$B:$F,5,FALSE)</f>
        <v>2_civil law</v>
      </c>
      <c r="AO1220" s="10" t="str">
        <f>VLOOKUP(MID($AS1220,1,255),source_lookup!$B:$K,4,FALSE)</f>
        <v>0_published</v>
      </c>
      <c r="AP1220" s="10" t="str">
        <f>VLOOKUP(MID($AS1220,1,255),source_lookup!$B:$K,6,FALSE)</f>
        <v>1_VHB high</v>
      </c>
      <c r="AQ1220" s="10" t="str">
        <f>VLOOKUP(MID($AS1220,1,255),source_lookup!$B:$K,10,FALSE)</f>
        <v>2_sust</v>
      </c>
      <c r="AR1220" t="s">
        <v>94</v>
      </c>
      <c r="AS1220" t="s">
        <v>186</v>
      </c>
    </row>
    <row r="1221" spans="1:45" x14ac:dyDescent="0.3">
      <c r="A1221" t="s">
        <v>63</v>
      </c>
      <c r="B1221">
        <v>1220</v>
      </c>
      <c r="C1221" s="1">
        <v>6.3618568423522079E-2</v>
      </c>
      <c r="D1221" s="2">
        <v>191</v>
      </c>
      <c r="E1221" s="4">
        <v>955</v>
      </c>
      <c r="F1221" s="4" t="s">
        <v>346</v>
      </c>
      <c r="G1221" s="4" t="s">
        <v>347</v>
      </c>
      <c r="H1221" t="s">
        <v>77</v>
      </c>
      <c r="I1221" t="s">
        <v>350</v>
      </c>
      <c r="J1221" s="3">
        <v>2011</v>
      </c>
      <c r="K1221" s="3">
        <v>2015</v>
      </c>
      <c r="L1221" s="6">
        <f t="shared" si="391"/>
        <v>2013</v>
      </c>
      <c r="M1221" s="6">
        <f t="shared" si="392"/>
        <v>2013</v>
      </c>
      <c r="N1221" s="7">
        <f t="shared" si="380"/>
        <v>0</v>
      </c>
      <c r="O1221" s="7">
        <f t="shared" si="381"/>
        <v>0</v>
      </c>
      <c r="P1221" s="7">
        <f t="shared" si="382"/>
        <v>0</v>
      </c>
      <c r="Q1221" s="7">
        <f t="shared" si="393"/>
        <v>0</v>
      </c>
      <c r="R1221" s="10" t="str">
        <f t="shared" si="383"/>
        <v>0_Pre</v>
      </c>
      <c r="S1221" s="10" t="str">
        <f t="shared" si="384"/>
        <v>0_Pre</v>
      </c>
      <c r="T1221" s="10" t="str">
        <f t="shared" si="385"/>
        <v>0_Pre</v>
      </c>
      <c r="U1221" s="10" t="str">
        <f t="shared" si="386"/>
        <v>0_Pre</v>
      </c>
      <c r="V1221" s="10" t="str">
        <f t="shared" si="394"/>
        <v>0_Pre</v>
      </c>
      <c r="W1221" s="10" t="str">
        <f t="shared" si="387"/>
        <v>clean_pre</v>
      </c>
      <c r="X1221" s="10" t="str">
        <f t="shared" si="388"/>
        <v>0_Pre</v>
      </c>
      <c r="Y1221" s="10" t="str">
        <f t="shared" si="389"/>
        <v>0_Pre</v>
      </c>
      <c r="Z1221" s="10" t="str">
        <f t="shared" si="390"/>
        <v>0_Pre</v>
      </c>
      <c r="AA1221" s="10" t="str">
        <f t="shared" si="395"/>
        <v>0_Pre</v>
      </c>
      <c r="AB1221" s="10" t="str">
        <f t="shared" si="396"/>
        <v>0_Pre</v>
      </c>
      <c r="AC1221" s="10" t="str">
        <f t="shared" si="397"/>
        <v>0_Pre</v>
      </c>
      <c r="AD1221" s="10" t="str">
        <f t="shared" si="398"/>
        <v>2_post sample median</v>
      </c>
      <c r="AE1221" s="10" t="str">
        <f t="shared" si="399"/>
        <v>2_in sample second tertile</v>
      </c>
      <c r="AF1221" t="s">
        <v>80</v>
      </c>
      <c r="AG1221" t="s">
        <v>75</v>
      </c>
      <c r="AH1221" t="s">
        <v>79</v>
      </c>
      <c r="AI1221" t="s">
        <v>122</v>
      </c>
      <c r="AJ1221" t="s">
        <v>123</v>
      </c>
      <c r="AK1221" t="str">
        <f>VLOOKUP(MID($AR1221,1,255),country_lookup!$B:$F,2,FALSE)</f>
        <v>3_AsiaPac</v>
      </c>
      <c r="AL1221" t="str">
        <f>VLOOKUP(MID($AR1221,1,255),country_lookup!$B:$F,3,FALSE)</f>
        <v>2_developing</v>
      </c>
      <c r="AM1221" t="str">
        <f>VLOOKUP(MID($AR1221,1,255),country_lookup!$B:$F,4,FALSE)</f>
        <v>2_non_western</v>
      </c>
      <c r="AN1221" t="str">
        <f>VLOOKUP(MID($AR1221,1,255),country_lookup!$B:$F,5,FALSE)</f>
        <v>2_civil law</v>
      </c>
      <c r="AO1221" s="10" t="str">
        <f>VLOOKUP(MID($AS1221,1,255),source_lookup!$B:$K,4,FALSE)</f>
        <v>0_published</v>
      </c>
      <c r="AP1221" s="10" t="str">
        <f>VLOOKUP(MID($AS1221,1,255),source_lookup!$B:$K,6,FALSE)</f>
        <v>1_VHB high</v>
      </c>
      <c r="AQ1221" s="10" t="str">
        <f>VLOOKUP(MID($AS1221,1,255),source_lookup!$B:$K,10,FALSE)</f>
        <v>2_sust</v>
      </c>
      <c r="AR1221" t="s">
        <v>94</v>
      </c>
      <c r="AS1221" t="s">
        <v>186</v>
      </c>
    </row>
    <row r="1222" spans="1:45" x14ac:dyDescent="0.3">
      <c r="A1222" t="s">
        <v>63</v>
      </c>
      <c r="B1222">
        <v>1221</v>
      </c>
      <c r="C1222" s="1">
        <v>-7.0047069806427317E-2</v>
      </c>
      <c r="D1222" s="2">
        <v>191</v>
      </c>
      <c r="E1222" s="4">
        <v>955</v>
      </c>
      <c r="F1222" s="4" t="s">
        <v>346</v>
      </c>
      <c r="G1222" s="4" t="s">
        <v>347</v>
      </c>
      <c r="H1222" t="s">
        <v>77</v>
      </c>
      <c r="I1222" t="s">
        <v>350</v>
      </c>
      <c r="J1222" s="3">
        <v>2011</v>
      </c>
      <c r="K1222" s="3">
        <v>2015</v>
      </c>
      <c r="L1222" s="6">
        <f t="shared" si="391"/>
        <v>2013</v>
      </c>
      <c r="M1222" s="6">
        <f t="shared" si="392"/>
        <v>2013</v>
      </c>
      <c r="N1222" s="7">
        <f t="shared" si="380"/>
        <v>0</v>
      </c>
      <c r="O1222" s="7">
        <f t="shared" si="381"/>
        <v>0</v>
      </c>
      <c r="P1222" s="7">
        <f t="shared" si="382"/>
        <v>0</v>
      </c>
      <c r="Q1222" s="7">
        <f t="shared" si="393"/>
        <v>0</v>
      </c>
      <c r="R1222" s="10" t="str">
        <f t="shared" si="383"/>
        <v>0_Pre</v>
      </c>
      <c r="S1222" s="10" t="str">
        <f t="shared" si="384"/>
        <v>0_Pre</v>
      </c>
      <c r="T1222" s="10" t="str">
        <f t="shared" si="385"/>
        <v>0_Pre</v>
      </c>
      <c r="U1222" s="10" t="str">
        <f t="shared" si="386"/>
        <v>0_Pre</v>
      </c>
      <c r="V1222" s="10" t="str">
        <f t="shared" si="394"/>
        <v>0_Pre</v>
      </c>
      <c r="W1222" s="10" t="str">
        <f t="shared" si="387"/>
        <v>clean_pre</v>
      </c>
      <c r="X1222" s="10" t="str">
        <f t="shared" si="388"/>
        <v>0_Pre</v>
      </c>
      <c r="Y1222" s="10" t="str">
        <f t="shared" si="389"/>
        <v>0_Pre</v>
      </c>
      <c r="Z1222" s="10" t="str">
        <f t="shared" si="390"/>
        <v>0_Pre</v>
      </c>
      <c r="AA1222" s="10" t="str">
        <f t="shared" si="395"/>
        <v>0_Pre</v>
      </c>
      <c r="AB1222" s="10" t="str">
        <f t="shared" si="396"/>
        <v>0_Pre</v>
      </c>
      <c r="AC1222" s="10" t="str">
        <f t="shared" si="397"/>
        <v>0_Pre</v>
      </c>
      <c r="AD1222" s="10" t="str">
        <f t="shared" si="398"/>
        <v>2_post sample median</v>
      </c>
      <c r="AE1222" s="10" t="str">
        <f t="shared" si="399"/>
        <v>2_in sample second tertile</v>
      </c>
      <c r="AF1222" t="s">
        <v>80</v>
      </c>
      <c r="AG1222" t="s">
        <v>75</v>
      </c>
      <c r="AH1222" t="s">
        <v>79</v>
      </c>
      <c r="AI1222" t="s">
        <v>122</v>
      </c>
      <c r="AJ1222" t="s">
        <v>123</v>
      </c>
      <c r="AK1222" t="str">
        <f>VLOOKUP(MID($AR1222,1,255),country_lookup!$B:$F,2,FALSE)</f>
        <v>3_AsiaPac</v>
      </c>
      <c r="AL1222" t="str">
        <f>VLOOKUP(MID($AR1222,1,255),country_lookup!$B:$F,3,FALSE)</f>
        <v>2_developing</v>
      </c>
      <c r="AM1222" t="str">
        <f>VLOOKUP(MID($AR1222,1,255),country_lookup!$B:$F,4,FALSE)</f>
        <v>2_non_western</v>
      </c>
      <c r="AN1222" t="str">
        <f>VLOOKUP(MID($AR1222,1,255),country_lookup!$B:$F,5,FALSE)</f>
        <v>2_civil law</v>
      </c>
      <c r="AO1222" s="10" t="str">
        <f>VLOOKUP(MID($AS1222,1,255),source_lookup!$B:$K,4,FALSE)</f>
        <v>0_published</v>
      </c>
      <c r="AP1222" s="10" t="str">
        <f>VLOOKUP(MID($AS1222,1,255),source_lookup!$B:$K,6,FALSE)</f>
        <v>1_VHB high</v>
      </c>
      <c r="AQ1222" s="10" t="str">
        <f>VLOOKUP(MID($AS1222,1,255),source_lookup!$B:$K,10,FALSE)</f>
        <v>2_sust</v>
      </c>
      <c r="AR1222" t="s">
        <v>94</v>
      </c>
      <c r="AS1222" t="s">
        <v>186</v>
      </c>
    </row>
    <row r="1223" spans="1:45" x14ac:dyDescent="0.3">
      <c r="A1223" t="s">
        <v>63</v>
      </c>
      <c r="B1223">
        <v>1222</v>
      </c>
      <c r="C1223" s="1">
        <v>-6.9404598917607987E-2</v>
      </c>
      <c r="D1223" s="2">
        <v>191</v>
      </c>
      <c r="E1223" s="4">
        <v>955</v>
      </c>
      <c r="F1223" s="4" t="s">
        <v>346</v>
      </c>
      <c r="G1223" s="4" t="s">
        <v>347</v>
      </c>
      <c r="H1223" t="s">
        <v>77</v>
      </c>
      <c r="I1223" t="s">
        <v>350</v>
      </c>
      <c r="J1223" s="3">
        <v>2011</v>
      </c>
      <c r="K1223" s="3">
        <v>2015</v>
      </c>
      <c r="L1223" s="6">
        <f t="shared" si="391"/>
        <v>2013</v>
      </c>
      <c r="M1223" s="6">
        <f t="shared" si="392"/>
        <v>2013</v>
      </c>
      <c r="N1223" s="7">
        <f t="shared" si="380"/>
        <v>0</v>
      </c>
      <c r="O1223" s="7">
        <f t="shared" si="381"/>
        <v>0</v>
      </c>
      <c r="P1223" s="7">
        <f t="shared" si="382"/>
        <v>0</v>
      </c>
      <c r="Q1223" s="7">
        <f t="shared" si="393"/>
        <v>0</v>
      </c>
      <c r="R1223" s="10" t="str">
        <f t="shared" si="383"/>
        <v>0_Pre</v>
      </c>
      <c r="S1223" s="10" t="str">
        <f t="shared" si="384"/>
        <v>0_Pre</v>
      </c>
      <c r="T1223" s="10" t="str">
        <f t="shared" si="385"/>
        <v>0_Pre</v>
      </c>
      <c r="U1223" s="10" t="str">
        <f t="shared" si="386"/>
        <v>0_Pre</v>
      </c>
      <c r="V1223" s="10" t="str">
        <f t="shared" si="394"/>
        <v>0_Pre</v>
      </c>
      <c r="W1223" s="10" t="str">
        <f t="shared" si="387"/>
        <v>clean_pre</v>
      </c>
      <c r="X1223" s="10" t="str">
        <f t="shared" si="388"/>
        <v>0_Pre</v>
      </c>
      <c r="Y1223" s="10" t="str">
        <f t="shared" si="389"/>
        <v>0_Pre</v>
      </c>
      <c r="Z1223" s="10" t="str">
        <f t="shared" si="390"/>
        <v>0_Pre</v>
      </c>
      <c r="AA1223" s="10" t="str">
        <f t="shared" si="395"/>
        <v>0_Pre</v>
      </c>
      <c r="AB1223" s="10" t="str">
        <f t="shared" si="396"/>
        <v>0_Pre</v>
      </c>
      <c r="AC1223" s="10" t="str">
        <f t="shared" si="397"/>
        <v>0_Pre</v>
      </c>
      <c r="AD1223" s="10" t="str">
        <f t="shared" si="398"/>
        <v>2_post sample median</v>
      </c>
      <c r="AE1223" s="10" t="str">
        <f t="shared" si="399"/>
        <v>2_in sample second tertile</v>
      </c>
      <c r="AF1223" t="s">
        <v>80</v>
      </c>
      <c r="AG1223" t="s">
        <v>75</v>
      </c>
      <c r="AH1223" t="s">
        <v>79</v>
      </c>
      <c r="AI1223" t="s">
        <v>122</v>
      </c>
      <c r="AJ1223" t="s">
        <v>123</v>
      </c>
      <c r="AK1223" t="str">
        <f>VLOOKUP(MID($AR1223,1,255),country_lookup!$B:$F,2,FALSE)</f>
        <v>3_AsiaPac</v>
      </c>
      <c r="AL1223" t="str">
        <f>VLOOKUP(MID($AR1223,1,255),country_lookup!$B:$F,3,FALSE)</f>
        <v>2_developing</v>
      </c>
      <c r="AM1223" t="str">
        <f>VLOOKUP(MID($AR1223,1,255),country_lookup!$B:$F,4,FALSE)</f>
        <v>2_non_western</v>
      </c>
      <c r="AN1223" t="str">
        <f>VLOOKUP(MID($AR1223,1,255),country_lookup!$B:$F,5,FALSE)</f>
        <v>2_civil law</v>
      </c>
      <c r="AO1223" s="10" t="str">
        <f>VLOOKUP(MID($AS1223,1,255),source_lookup!$B:$K,4,FALSE)</f>
        <v>0_published</v>
      </c>
      <c r="AP1223" s="10" t="str">
        <f>VLOOKUP(MID($AS1223,1,255),source_lookup!$B:$K,6,FALSE)</f>
        <v>1_VHB high</v>
      </c>
      <c r="AQ1223" s="10" t="str">
        <f>VLOOKUP(MID($AS1223,1,255),source_lookup!$B:$K,10,FALSE)</f>
        <v>2_sust</v>
      </c>
      <c r="AR1223" t="s">
        <v>94</v>
      </c>
      <c r="AS1223" t="s">
        <v>186</v>
      </c>
    </row>
    <row r="1224" spans="1:45" x14ac:dyDescent="0.3">
      <c r="A1224" t="s">
        <v>63</v>
      </c>
      <c r="B1224">
        <v>1223</v>
      </c>
      <c r="C1224" s="1">
        <v>5.9435741222498437E-2</v>
      </c>
      <c r="D1224" s="2">
        <v>191</v>
      </c>
      <c r="E1224" s="4">
        <v>955</v>
      </c>
      <c r="F1224" s="4" t="s">
        <v>346</v>
      </c>
      <c r="G1224" s="4" t="s">
        <v>347</v>
      </c>
      <c r="H1224" t="s">
        <v>77</v>
      </c>
      <c r="I1224" t="s">
        <v>350</v>
      </c>
      <c r="J1224" s="3">
        <v>2011</v>
      </c>
      <c r="K1224" s="3">
        <v>2015</v>
      </c>
      <c r="L1224" s="6">
        <f t="shared" si="391"/>
        <v>2013</v>
      </c>
      <c r="M1224" s="6">
        <f t="shared" si="392"/>
        <v>2013</v>
      </c>
      <c r="N1224" s="7">
        <f t="shared" si="380"/>
        <v>0</v>
      </c>
      <c r="O1224" s="7">
        <f t="shared" si="381"/>
        <v>0</v>
      </c>
      <c r="P1224" s="7">
        <f t="shared" si="382"/>
        <v>0</v>
      </c>
      <c r="Q1224" s="7">
        <f t="shared" si="393"/>
        <v>0</v>
      </c>
      <c r="R1224" s="10" t="str">
        <f t="shared" si="383"/>
        <v>0_Pre</v>
      </c>
      <c r="S1224" s="10" t="str">
        <f t="shared" si="384"/>
        <v>0_Pre</v>
      </c>
      <c r="T1224" s="10" t="str">
        <f t="shared" si="385"/>
        <v>0_Pre</v>
      </c>
      <c r="U1224" s="10" t="str">
        <f t="shared" si="386"/>
        <v>0_Pre</v>
      </c>
      <c r="V1224" s="10" t="str">
        <f t="shared" si="394"/>
        <v>0_Pre</v>
      </c>
      <c r="W1224" s="10" t="str">
        <f t="shared" si="387"/>
        <v>clean_pre</v>
      </c>
      <c r="X1224" s="10" t="str">
        <f t="shared" si="388"/>
        <v>0_Pre</v>
      </c>
      <c r="Y1224" s="10" t="str">
        <f t="shared" si="389"/>
        <v>0_Pre</v>
      </c>
      <c r="Z1224" s="10" t="str">
        <f t="shared" si="390"/>
        <v>0_Pre</v>
      </c>
      <c r="AA1224" s="10" t="str">
        <f t="shared" si="395"/>
        <v>0_Pre</v>
      </c>
      <c r="AB1224" s="10" t="str">
        <f t="shared" si="396"/>
        <v>0_Pre</v>
      </c>
      <c r="AC1224" s="10" t="str">
        <f t="shared" si="397"/>
        <v>0_Pre</v>
      </c>
      <c r="AD1224" s="10" t="str">
        <f t="shared" si="398"/>
        <v>2_post sample median</v>
      </c>
      <c r="AE1224" s="10" t="str">
        <f t="shared" si="399"/>
        <v>2_in sample second tertile</v>
      </c>
      <c r="AF1224" t="s">
        <v>80</v>
      </c>
      <c r="AG1224" t="s">
        <v>75</v>
      </c>
      <c r="AH1224" t="s">
        <v>79</v>
      </c>
      <c r="AI1224" t="s">
        <v>122</v>
      </c>
      <c r="AJ1224" t="s">
        <v>123</v>
      </c>
      <c r="AK1224" t="str">
        <f>VLOOKUP(MID($AR1224,1,255),country_lookup!$B:$F,2,FALSE)</f>
        <v>3_AsiaPac</v>
      </c>
      <c r="AL1224" t="str">
        <f>VLOOKUP(MID($AR1224,1,255),country_lookup!$B:$F,3,FALSE)</f>
        <v>2_developing</v>
      </c>
      <c r="AM1224" t="str">
        <f>VLOOKUP(MID($AR1224,1,255),country_lookup!$B:$F,4,FALSE)</f>
        <v>2_non_western</v>
      </c>
      <c r="AN1224" t="str">
        <f>VLOOKUP(MID($AR1224,1,255),country_lookup!$B:$F,5,FALSE)</f>
        <v>2_civil law</v>
      </c>
      <c r="AO1224" s="10" t="str">
        <f>VLOOKUP(MID($AS1224,1,255),source_lookup!$B:$K,4,FALSE)</f>
        <v>0_published</v>
      </c>
      <c r="AP1224" s="10" t="str">
        <f>VLOOKUP(MID($AS1224,1,255),source_lookup!$B:$K,6,FALSE)</f>
        <v>1_VHB high</v>
      </c>
      <c r="AQ1224" s="10" t="str">
        <f>VLOOKUP(MID($AS1224,1,255),source_lookup!$B:$K,10,FALSE)</f>
        <v>2_sust</v>
      </c>
      <c r="AR1224" t="s">
        <v>94</v>
      </c>
      <c r="AS1224" t="s">
        <v>186</v>
      </c>
    </row>
    <row r="1225" spans="1:45" x14ac:dyDescent="0.3">
      <c r="A1225" t="s">
        <v>63</v>
      </c>
      <c r="B1225">
        <v>1224</v>
      </c>
      <c r="C1225" s="1">
        <v>3.8225282162947676E-2</v>
      </c>
      <c r="D1225" s="2">
        <v>145</v>
      </c>
      <c r="E1225" s="4">
        <v>725</v>
      </c>
      <c r="F1225" s="4" t="s">
        <v>346</v>
      </c>
      <c r="G1225" s="4" t="s">
        <v>347</v>
      </c>
      <c r="H1225" t="s">
        <v>77</v>
      </c>
      <c r="I1225" t="s">
        <v>350</v>
      </c>
      <c r="J1225" s="3">
        <v>2011</v>
      </c>
      <c r="K1225" s="3">
        <v>2015</v>
      </c>
      <c r="L1225" s="6">
        <f t="shared" si="391"/>
        <v>2013</v>
      </c>
      <c r="M1225" s="6">
        <f t="shared" si="392"/>
        <v>2013</v>
      </c>
      <c r="N1225" s="7">
        <f t="shared" si="380"/>
        <v>0</v>
      </c>
      <c r="O1225" s="7">
        <f t="shared" si="381"/>
        <v>0</v>
      </c>
      <c r="P1225" s="7">
        <f t="shared" si="382"/>
        <v>0</v>
      </c>
      <c r="Q1225" s="7">
        <f t="shared" si="393"/>
        <v>0</v>
      </c>
      <c r="R1225" s="10" t="str">
        <f t="shared" si="383"/>
        <v>0_Pre</v>
      </c>
      <c r="S1225" s="10" t="str">
        <f t="shared" si="384"/>
        <v>0_Pre</v>
      </c>
      <c r="T1225" s="10" t="str">
        <f t="shared" si="385"/>
        <v>0_Pre</v>
      </c>
      <c r="U1225" s="10" t="str">
        <f t="shared" si="386"/>
        <v>0_Pre</v>
      </c>
      <c r="V1225" s="10" t="str">
        <f t="shared" si="394"/>
        <v>0_Pre</v>
      </c>
      <c r="W1225" s="10" t="str">
        <f t="shared" si="387"/>
        <v>clean_pre</v>
      </c>
      <c r="X1225" s="10" t="str">
        <f t="shared" si="388"/>
        <v>0_Pre</v>
      </c>
      <c r="Y1225" s="10" t="str">
        <f t="shared" si="389"/>
        <v>0_Pre</v>
      </c>
      <c r="Z1225" s="10" t="str">
        <f t="shared" si="390"/>
        <v>0_Pre</v>
      </c>
      <c r="AA1225" s="10" t="str">
        <f t="shared" si="395"/>
        <v>0_Pre</v>
      </c>
      <c r="AB1225" s="10" t="str">
        <f t="shared" si="396"/>
        <v>0_Pre</v>
      </c>
      <c r="AC1225" s="10" t="str">
        <f t="shared" si="397"/>
        <v>0_Pre</v>
      </c>
      <c r="AD1225" s="10" t="str">
        <f t="shared" si="398"/>
        <v>2_post sample median</v>
      </c>
      <c r="AE1225" s="10" t="str">
        <f t="shared" si="399"/>
        <v>2_in sample second tertile</v>
      </c>
      <c r="AF1225" t="s">
        <v>80</v>
      </c>
      <c r="AG1225" t="s">
        <v>75</v>
      </c>
      <c r="AH1225" t="s">
        <v>79</v>
      </c>
      <c r="AI1225" t="s">
        <v>122</v>
      </c>
      <c r="AJ1225" t="s">
        <v>123</v>
      </c>
      <c r="AK1225" t="str">
        <f>VLOOKUP(MID($AR1225,1,255),country_lookup!$B:$F,2,FALSE)</f>
        <v>3_AsiaPac</v>
      </c>
      <c r="AL1225" t="str">
        <f>VLOOKUP(MID($AR1225,1,255),country_lookup!$B:$F,3,FALSE)</f>
        <v>2_developing</v>
      </c>
      <c r="AM1225" t="str">
        <f>VLOOKUP(MID($AR1225,1,255),country_lookup!$B:$F,4,FALSE)</f>
        <v>2_non_western</v>
      </c>
      <c r="AN1225" t="str">
        <f>VLOOKUP(MID($AR1225,1,255),country_lookup!$B:$F,5,FALSE)</f>
        <v>2_civil law</v>
      </c>
      <c r="AO1225" s="10" t="str">
        <f>VLOOKUP(MID($AS1225,1,255),source_lookup!$B:$K,4,FALSE)</f>
        <v>0_published</v>
      </c>
      <c r="AP1225" s="10" t="str">
        <f>VLOOKUP(MID($AS1225,1,255),source_lookup!$B:$K,6,FALSE)</f>
        <v>1_VHB high</v>
      </c>
      <c r="AQ1225" s="10" t="str">
        <f>VLOOKUP(MID($AS1225,1,255),source_lookup!$B:$K,10,FALSE)</f>
        <v>2_sust</v>
      </c>
      <c r="AR1225" t="s">
        <v>94</v>
      </c>
      <c r="AS1225" t="s">
        <v>186</v>
      </c>
    </row>
    <row r="1226" spans="1:45" x14ac:dyDescent="0.3">
      <c r="A1226" t="s">
        <v>63</v>
      </c>
      <c r="B1226">
        <v>1225</v>
      </c>
      <c r="C1226" s="1">
        <v>-5.1184732456308765E-2</v>
      </c>
      <c r="D1226" s="2">
        <v>145</v>
      </c>
      <c r="E1226" s="4">
        <v>725</v>
      </c>
      <c r="F1226" s="4" t="s">
        <v>346</v>
      </c>
      <c r="G1226" s="4" t="s">
        <v>347</v>
      </c>
      <c r="H1226" t="s">
        <v>77</v>
      </c>
      <c r="I1226" t="s">
        <v>350</v>
      </c>
      <c r="J1226" s="3">
        <v>2011</v>
      </c>
      <c r="K1226" s="3">
        <v>2015</v>
      </c>
      <c r="L1226" s="6">
        <f t="shared" si="391"/>
        <v>2013</v>
      </c>
      <c r="M1226" s="6">
        <f t="shared" si="392"/>
        <v>2013</v>
      </c>
      <c r="N1226" s="7">
        <f t="shared" si="380"/>
        <v>0</v>
      </c>
      <c r="O1226" s="7">
        <f t="shared" si="381"/>
        <v>0</v>
      </c>
      <c r="P1226" s="7">
        <f t="shared" si="382"/>
        <v>0</v>
      </c>
      <c r="Q1226" s="7">
        <f t="shared" si="393"/>
        <v>0</v>
      </c>
      <c r="R1226" s="10" t="str">
        <f t="shared" si="383"/>
        <v>0_Pre</v>
      </c>
      <c r="S1226" s="10" t="str">
        <f t="shared" si="384"/>
        <v>0_Pre</v>
      </c>
      <c r="T1226" s="10" t="str">
        <f t="shared" si="385"/>
        <v>0_Pre</v>
      </c>
      <c r="U1226" s="10" t="str">
        <f t="shared" si="386"/>
        <v>0_Pre</v>
      </c>
      <c r="V1226" s="10" t="str">
        <f t="shared" si="394"/>
        <v>0_Pre</v>
      </c>
      <c r="W1226" s="10" t="str">
        <f t="shared" si="387"/>
        <v>clean_pre</v>
      </c>
      <c r="X1226" s="10" t="str">
        <f t="shared" si="388"/>
        <v>0_Pre</v>
      </c>
      <c r="Y1226" s="10" t="str">
        <f t="shared" si="389"/>
        <v>0_Pre</v>
      </c>
      <c r="Z1226" s="10" t="str">
        <f t="shared" si="390"/>
        <v>0_Pre</v>
      </c>
      <c r="AA1226" s="10" t="str">
        <f t="shared" si="395"/>
        <v>0_Pre</v>
      </c>
      <c r="AB1226" s="10" t="str">
        <f t="shared" si="396"/>
        <v>0_Pre</v>
      </c>
      <c r="AC1226" s="10" t="str">
        <f t="shared" si="397"/>
        <v>0_Pre</v>
      </c>
      <c r="AD1226" s="10" t="str">
        <f t="shared" si="398"/>
        <v>2_post sample median</v>
      </c>
      <c r="AE1226" s="10" t="str">
        <f t="shared" si="399"/>
        <v>2_in sample second tertile</v>
      </c>
      <c r="AF1226" t="s">
        <v>80</v>
      </c>
      <c r="AG1226" t="s">
        <v>75</v>
      </c>
      <c r="AH1226" t="s">
        <v>79</v>
      </c>
      <c r="AI1226" t="s">
        <v>122</v>
      </c>
      <c r="AJ1226" t="s">
        <v>123</v>
      </c>
      <c r="AK1226" t="str">
        <f>VLOOKUP(MID($AR1226,1,255),country_lookup!$B:$F,2,FALSE)</f>
        <v>3_AsiaPac</v>
      </c>
      <c r="AL1226" t="str">
        <f>VLOOKUP(MID($AR1226,1,255),country_lookup!$B:$F,3,FALSE)</f>
        <v>2_developing</v>
      </c>
      <c r="AM1226" t="str">
        <f>VLOOKUP(MID($AR1226,1,255),country_lookup!$B:$F,4,FALSE)</f>
        <v>2_non_western</v>
      </c>
      <c r="AN1226" t="str">
        <f>VLOOKUP(MID($AR1226,1,255),country_lookup!$B:$F,5,FALSE)</f>
        <v>2_civil law</v>
      </c>
      <c r="AO1226" s="10" t="str">
        <f>VLOOKUP(MID($AS1226,1,255),source_lookup!$B:$K,4,FALSE)</f>
        <v>0_published</v>
      </c>
      <c r="AP1226" s="10" t="str">
        <f>VLOOKUP(MID($AS1226,1,255),source_lookup!$B:$K,6,FALSE)</f>
        <v>1_VHB high</v>
      </c>
      <c r="AQ1226" s="10" t="str">
        <f>VLOOKUP(MID($AS1226,1,255),source_lookup!$B:$K,10,FALSE)</f>
        <v>2_sust</v>
      </c>
      <c r="AR1226" t="s">
        <v>94</v>
      </c>
      <c r="AS1226" t="s">
        <v>186</v>
      </c>
    </row>
    <row r="1227" spans="1:45" x14ac:dyDescent="0.3">
      <c r="A1227" t="s">
        <v>63</v>
      </c>
      <c r="B1227">
        <v>1226</v>
      </c>
      <c r="C1227" s="1">
        <v>-6.8176883886789927E-2</v>
      </c>
      <c r="D1227" s="2">
        <v>145</v>
      </c>
      <c r="E1227" s="4">
        <v>725</v>
      </c>
      <c r="F1227" s="4" t="s">
        <v>346</v>
      </c>
      <c r="G1227" s="4" t="s">
        <v>347</v>
      </c>
      <c r="H1227" t="s">
        <v>77</v>
      </c>
      <c r="I1227" t="s">
        <v>350</v>
      </c>
      <c r="J1227" s="3">
        <v>2011</v>
      </c>
      <c r="K1227" s="3">
        <v>2015</v>
      </c>
      <c r="L1227" s="6">
        <f t="shared" si="391"/>
        <v>2013</v>
      </c>
      <c r="M1227" s="6">
        <f t="shared" si="392"/>
        <v>2013</v>
      </c>
      <c r="N1227" s="7">
        <f t="shared" si="380"/>
        <v>0</v>
      </c>
      <c r="O1227" s="7">
        <f t="shared" si="381"/>
        <v>0</v>
      </c>
      <c r="P1227" s="7">
        <f t="shared" si="382"/>
        <v>0</v>
      </c>
      <c r="Q1227" s="7">
        <f t="shared" si="393"/>
        <v>0</v>
      </c>
      <c r="R1227" s="10" t="str">
        <f t="shared" si="383"/>
        <v>0_Pre</v>
      </c>
      <c r="S1227" s="10" t="str">
        <f t="shared" si="384"/>
        <v>0_Pre</v>
      </c>
      <c r="T1227" s="10" t="str">
        <f t="shared" si="385"/>
        <v>0_Pre</v>
      </c>
      <c r="U1227" s="10" t="str">
        <f t="shared" si="386"/>
        <v>0_Pre</v>
      </c>
      <c r="V1227" s="10" t="str">
        <f t="shared" si="394"/>
        <v>0_Pre</v>
      </c>
      <c r="W1227" s="10" t="str">
        <f t="shared" si="387"/>
        <v>clean_pre</v>
      </c>
      <c r="X1227" s="10" t="str">
        <f t="shared" si="388"/>
        <v>0_Pre</v>
      </c>
      <c r="Y1227" s="10" t="str">
        <f t="shared" si="389"/>
        <v>0_Pre</v>
      </c>
      <c r="Z1227" s="10" t="str">
        <f t="shared" si="390"/>
        <v>0_Pre</v>
      </c>
      <c r="AA1227" s="10" t="str">
        <f t="shared" si="395"/>
        <v>0_Pre</v>
      </c>
      <c r="AB1227" s="10" t="str">
        <f t="shared" si="396"/>
        <v>0_Pre</v>
      </c>
      <c r="AC1227" s="10" t="str">
        <f t="shared" si="397"/>
        <v>0_Pre</v>
      </c>
      <c r="AD1227" s="10" t="str">
        <f t="shared" si="398"/>
        <v>2_post sample median</v>
      </c>
      <c r="AE1227" s="10" t="str">
        <f t="shared" si="399"/>
        <v>2_in sample second tertile</v>
      </c>
      <c r="AF1227" t="s">
        <v>80</v>
      </c>
      <c r="AG1227" t="s">
        <v>75</v>
      </c>
      <c r="AH1227" t="s">
        <v>79</v>
      </c>
      <c r="AI1227" t="s">
        <v>122</v>
      </c>
      <c r="AJ1227" t="s">
        <v>123</v>
      </c>
      <c r="AK1227" t="str">
        <f>VLOOKUP(MID($AR1227,1,255),country_lookup!$B:$F,2,FALSE)</f>
        <v>3_AsiaPac</v>
      </c>
      <c r="AL1227" t="str">
        <f>VLOOKUP(MID($AR1227,1,255),country_lookup!$B:$F,3,FALSE)</f>
        <v>2_developing</v>
      </c>
      <c r="AM1227" t="str">
        <f>VLOOKUP(MID($AR1227,1,255),country_lookup!$B:$F,4,FALSE)</f>
        <v>2_non_western</v>
      </c>
      <c r="AN1227" t="str">
        <f>VLOOKUP(MID($AR1227,1,255),country_lookup!$B:$F,5,FALSE)</f>
        <v>2_civil law</v>
      </c>
      <c r="AO1227" s="10" t="str">
        <f>VLOOKUP(MID($AS1227,1,255),source_lookup!$B:$K,4,FALSE)</f>
        <v>0_published</v>
      </c>
      <c r="AP1227" s="10" t="str">
        <f>VLOOKUP(MID($AS1227,1,255),source_lookup!$B:$K,6,FALSE)</f>
        <v>1_VHB high</v>
      </c>
      <c r="AQ1227" s="10" t="str">
        <f>VLOOKUP(MID($AS1227,1,255),source_lookup!$B:$K,10,FALSE)</f>
        <v>2_sust</v>
      </c>
      <c r="AR1227" t="s">
        <v>94</v>
      </c>
      <c r="AS1227" t="s">
        <v>186</v>
      </c>
    </row>
    <row r="1228" spans="1:45" x14ac:dyDescent="0.3">
      <c r="A1228" t="s">
        <v>63</v>
      </c>
      <c r="B1228">
        <v>1227</v>
      </c>
      <c r="C1228" s="1">
        <v>4.5263224417469841E-2</v>
      </c>
      <c r="D1228" s="2">
        <v>145</v>
      </c>
      <c r="E1228" s="4">
        <v>725</v>
      </c>
      <c r="F1228" s="4" t="s">
        <v>346</v>
      </c>
      <c r="G1228" s="4" t="s">
        <v>347</v>
      </c>
      <c r="H1228" t="s">
        <v>77</v>
      </c>
      <c r="I1228" t="s">
        <v>350</v>
      </c>
      <c r="J1228" s="3">
        <v>2011</v>
      </c>
      <c r="K1228" s="3">
        <v>2015</v>
      </c>
      <c r="L1228" s="6">
        <f t="shared" si="391"/>
        <v>2013</v>
      </c>
      <c r="M1228" s="6">
        <f t="shared" si="392"/>
        <v>2013</v>
      </c>
      <c r="N1228" s="7">
        <f t="shared" si="380"/>
        <v>0</v>
      </c>
      <c r="O1228" s="7">
        <f t="shared" si="381"/>
        <v>0</v>
      </c>
      <c r="P1228" s="7">
        <f t="shared" si="382"/>
        <v>0</v>
      </c>
      <c r="Q1228" s="7">
        <f t="shared" si="393"/>
        <v>0</v>
      </c>
      <c r="R1228" s="10" t="str">
        <f t="shared" si="383"/>
        <v>0_Pre</v>
      </c>
      <c r="S1228" s="10" t="str">
        <f t="shared" si="384"/>
        <v>0_Pre</v>
      </c>
      <c r="T1228" s="10" t="str">
        <f t="shared" si="385"/>
        <v>0_Pre</v>
      </c>
      <c r="U1228" s="10" t="str">
        <f t="shared" si="386"/>
        <v>0_Pre</v>
      </c>
      <c r="V1228" s="10" t="str">
        <f t="shared" si="394"/>
        <v>0_Pre</v>
      </c>
      <c r="W1228" s="10" t="str">
        <f t="shared" si="387"/>
        <v>clean_pre</v>
      </c>
      <c r="X1228" s="10" t="str">
        <f t="shared" si="388"/>
        <v>0_Pre</v>
      </c>
      <c r="Y1228" s="10" t="str">
        <f t="shared" si="389"/>
        <v>0_Pre</v>
      </c>
      <c r="Z1228" s="10" t="str">
        <f t="shared" si="390"/>
        <v>0_Pre</v>
      </c>
      <c r="AA1228" s="10" t="str">
        <f t="shared" si="395"/>
        <v>0_Pre</v>
      </c>
      <c r="AB1228" s="10" t="str">
        <f t="shared" si="396"/>
        <v>0_Pre</v>
      </c>
      <c r="AC1228" s="10" t="str">
        <f t="shared" si="397"/>
        <v>0_Pre</v>
      </c>
      <c r="AD1228" s="10" t="str">
        <f t="shared" si="398"/>
        <v>2_post sample median</v>
      </c>
      <c r="AE1228" s="10" t="str">
        <f t="shared" si="399"/>
        <v>2_in sample second tertile</v>
      </c>
      <c r="AF1228" t="s">
        <v>80</v>
      </c>
      <c r="AG1228" t="s">
        <v>75</v>
      </c>
      <c r="AH1228" t="s">
        <v>79</v>
      </c>
      <c r="AI1228" t="s">
        <v>122</v>
      </c>
      <c r="AJ1228" t="s">
        <v>123</v>
      </c>
      <c r="AK1228" t="str">
        <f>VLOOKUP(MID($AR1228,1,255),country_lookup!$B:$F,2,FALSE)</f>
        <v>3_AsiaPac</v>
      </c>
      <c r="AL1228" t="str">
        <f>VLOOKUP(MID($AR1228,1,255),country_lookup!$B:$F,3,FALSE)</f>
        <v>2_developing</v>
      </c>
      <c r="AM1228" t="str">
        <f>VLOOKUP(MID($AR1228,1,255),country_lookup!$B:$F,4,FALSE)</f>
        <v>2_non_western</v>
      </c>
      <c r="AN1228" t="str">
        <f>VLOOKUP(MID($AR1228,1,255),country_lookup!$B:$F,5,FALSE)</f>
        <v>2_civil law</v>
      </c>
      <c r="AO1228" s="10" t="str">
        <f>VLOOKUP(MID($AS1228,1,255),source_lookup!$B:$K,4,FALSE)</f>
        <v>0_published</v>
      </c>
      <c r="AP1228" s="10" t="str">
        <f>VLOOKUP(MID($AS1228,1,255),source_lookup!$B:$K,6,FALSE)</f>
        <v>1_VHB high</v>
      </c>
      <c r="AQ1228" s="10" t="str">
        <f>VLOOKUP(MID($AS1228,1,255),source_lookup!$B:$K,10,FALSE)</f>
        <v>2_sust</v>
      </c>
      <c r="AR1228" t="s">
        <v>94</v>
      </c>
      <c r="AS1228" t="s">
        <v>186</v>
      </c>
    </row>
    <row r="1229" spans="1:45" x14ac:dyDescent="0.3">
      <c r="A1229" t="s">
        <v>63</v>
      </c>
      <c r="B1229">
        <v>1228</v>
      </c>
      <c r="C1229" s="1">
        <v>0.16328329991111162</v>
      </c>
      <c r="D1229" s="2">
        <v>46</v>
      </c>
      <c r="E1229" s="4">
        <v>230</v>
      </c>
      <c r="F1229" s="4" t="s">
        <v>346</v>
      </c>
      <c r="G1229" s="4" t="s">
        <v>347</v>
      </c>
      <c r="H1229" t="s">
        <v>77</v>
      </c>
      <c r="I1229" t="s">
        <v>350</v>
      </c>
      <c r="J1229" s="3">
        <v>2011</v>
      </c>
      <c r="K1229" s="3">
        <v>2015</v>
      </c>
      <c r="L1229" s="6">
        <f t="shared" si="391"/>
        <v>2013</v>
      </c>
      <c r="M1229" s="6">
        <f t="shared" si="392"/>
        <v>2013</v>
      </c>
      <c r="N1229" s="7">
        <f t="shared" si="380"/>
        <v>0</v>
      </c>
      <c r="O1229" s="7">
        <f t="shared" si="381"/>
        <v>0</v>
      </c>
      <c r="P1229" s="7">
        <f t="shared" si="382"/>
        <v>0</v>
      </c>
      <c r="Q1229" s="7">
        <f t="shared" si="393"/>
        <v>0</v>
      </c>
      <c r="R1229" s="10" t="str">
        <f t="shared" si="383"/>
        <v>0_Pre</v>
      </c>
      <c r="S1229" s="10" t="str">
        <f t="shared" si="384"/>
        <v>0_Pre</v>
      </c>
      <c r="T1229" s="10" t="str">
        <f t="shared" si="385"/>
        <v>0_Pre</v>
      </c>
      <c r="U1229" s="10" t="str">
        <f t="shared" si="386"/>
        <v>0_Pre</v>
      </c>
      <c r="V1229" s="10" t="str">
        <f t="shared" si="394"/>
        <v>0_Pre</v>
      </c>
      <c r="W1229" s="10" t="str">
        <f t="shared" si="387"/>
        <v>clean_pre</v>
      </c>
      <c r="X1229" s="10" t="str">
        <f t="shared" si="388"/>
        <v>0_Pre</v>
      </c>
      <c r="Y1229" s="10" t="str">
        <f t="shared" si="389"/>
        <v>0_Pre</v>
      </c>
      <c r="Z1229" s="10" t="str">
        <f t="shared" si="390"/>
        <v>0_Pre</v>
      </c>
      <c r="AA1229" s="10" t="str">
        <f t="shared" si="395"/>
        <v>0_Pre</v>
      </c>
      <c r="AB1229" s="10" t="str">
        <f t="shared" si="396"/>
        <v>0_Pre</v>
      </c>
      <c r="AC1229" s="10" t="str">
        <f t="shared" si="397"/>
        <v>0_Pre</v>
      </c>
      <c r="AD1229" s="10" t="str">
        <f t="shared" si="398"/>
        <v>2_post sample median</v>
      </c>
      <c r="AE1229" s="10" t="str">
        <f t="shared" si="399"/>
        <v>2_in sample second tertile</v>
      </c>
      <c r="AF1229" t="s">
        <v>80</v>
      </c>
      <c r="AG1229" t="s">
        <v>75</v>
      </c>
      <c r="AH1229" t="s">
        <v>79</v>
      </c>
      <c r="AI1229" t="s">
        <v>122</v>
      </c>
      <c r="AJ1229" t="s">
        <v>123</v>
      </c>
      <c r="AK1229" t="str">
        <f>VLOOKUP(MID($AR1229,1,255),country_lookup!$B:$F,2,FALSE)</f>
        <v>3_AsiaPac</v>
      </c>
      <c r="AL1229" t="str">
        <f>VLOOKUP(MID($AR1229,1,255),country_lookup!$B:$F,3,FALSE)</f>
        <v>2_developing</v>
      </c>
      <c r="AM1229" t="str">
        <f>VLOOKUP(MID($AR1229,1,255),country_lookup!$B:$F,4,FALSE)</f>
        <v>2_non_western</v>
      </c>
      <c r="AN1229" t="str">
        <f>VLOOKUP(MID($AR1229,1,255),country_lookup!$B:$F,5,FALSE)</f>
        <v>2_civil law</v>
      </c>
      <c r="AO1229" s="10" t="str">
        <f>VLOOKUP(MID($AS1229,1,255),source_lookup!$B:$K,4,FALSE)</f>
        <v>0_published</v>
      </c>
      <c r="AP1229" s="10" t="str">
        <f>VLOOKUP(MID($AS1229,1,255),source_lookup!$B:$K,6,FALSE)</f>
        <v>1_VHB high</v>
      </c>
      <c r="AQ1229" s="10" t="str">
        <f>VLOOKUP(MID($AS1229,1,255),source_lookup!$B:$K,10,FALSE)</f>
        <v>2_sust</v>
      </c>
      <c r="AR1229" t="s">
        <v>94</v>
      </c>
      <c r="AS1229" t="s">
        <v>186</v>
      </c>
    </row>
    <row r="1230" spans="1:45" x14ac:dyDescent="0.3">
      <c r="A1230" t="s">
        <v>63</v>
      </c>
      <c r="B1230">
        <v>1229</v>
      </c>
      <c r="C1230" s="1">
        <v>-0.15249053964040671</v>
      </c>
      <c r="D1230" s="2">
        <v>46</v>
      </c>
      <c r="E1230" s="4">
        <v>230</v>
      </c>
      <c r="F1230" s="4" t="s">
        <v>346</v>
      </c>
      <c r="G1230" s="4" t="s">
        <v>347</v>
      </c>
      <c r="H1230" t="s">
        <v>77</v>
      </c>
      <c r="I1230" t="s">
        <v>350</v>
      </c>
      <c r="J1230" s="3">
        <v>2011</v>
      </c>
      <c r="K1230" s="3">
        <v>2015</v>
      </c>
      <c r="L1230" s="6">
        <f t="shared" si="391"/>
        <v>2013</v>
      </c>
      <c r="M1230" s="6">
        <f t="shared" si="392"/>
        <v>2013</v>
      </c>
      <c r="N1230" s="7">
        <f t="shared" si="380"/>
        <v>0</v>
      </c>
      <c r="O1230" s="7">
        <f t="shared" si="381"/>
        <v>0</v>
      </c>
      <c r="P1230" s="7">
        <f t="shared" si="382"/>
        <v>0</v>
      </c>
      <c r="Q1230" s="7">
        <f t="shared" si="393"/>
        <v>0</v>
      </c>
      <c r="R1230" s="10" t="str">
        <f t="shared" si="383"/>
        <v>0_Pre</v>
      </c>
      <c r="S1230" s="10" t="str">
        <f t="shared" si="384"/>
        <v>0_Pre</v>
      </c>
      <c r="T1230" s="10" t="str">
        <f t="shared" si="385"/>
        <v>0_Pre</v>
      </c>
      <c r="U1230" s="10" t="str">
        <f t="shared" si="386"/>
        <v>0_Pre</v>
      </c>
      <c r="V1230" s="10" t="str">
        <f t="shared" si="394"/>
        <v>0_Pre</v>
      </c>
      <c r="W1230" s="10" t="str">
        <f t="shared" si="387"/>
        <v>clean_pre</v>
      </c>
      <c r="X1230" s="10" t="str">
        <f t="shared" si="388"/>
        <v>0_Pre</v>
      </c>
      <c r="Y1230" s="10" t="str">
        <f t="shared" si="389"/>
        <v>0_Pre</v>
      </c>
      <c r="Z1230" s="10" t="str">
        <f t="shared" si="390"/>
        <v>0_Pre</v>
      </c>
      <c r="AA1230" s="10" t="str">
        <f t="shared" si="395"/>
        <v>0_Pre</v>
      </c>
      <c r="AB1230" s="10" t="str">
        <f t="shared" si="396"/>
        <v>0_Pre</v>
      </c>
      <c r="AC1230" s="10" t="str">
        <f t="shared" si="397"/>
        <v>0_Pre</v>
      </c>
      <c r="AD1230" s="10" t="str">
        <f t="shared" si="398"/>
        <v>2_post sample median</v>
      </c>
      <c r="AE1230" s="10" t="str">
        <f t="shared" si="399"/>
        <v>2_in sample second tertile</v>
      </c>
      <c r="AF1230" t="s">
        <v>80</v>
      </c>
      <c r="AG1230" t="s">
        <v>75</v>
      </c>
      <c r="AH1230" t="s">
        <v>79</v>
      </c>
      <c r="AI1230" t="s">
        <v>122</v>
      </c>
      <c r="AJ1230" t="s">
        <v>123</v>
      </c>
      <c r="AK1230" t="str">
        <f>VLOOKUP(MID($AR1230,1,255),country_lookup!$B:$F,2,FALSE)</f>
        <v>3_AsiaPac</v>
      </c>
      <c r="AL1230" t="str">
        <f>VLOOKUP(MID($AR1230,1,255),country_lookup!$B:$F,3,FALSE)</f>
        <v>2_developing</v>
      </c>
      <c r="AM1230" t="str">
        <f>VLOOKUP(MID($AR1230,1,255),country_lookup!$B:$F,4,FALSE)</f>
        <v>2_non_western</v>
      </c>
      <c r="AN1230" t="str">
        <f>VLOOKUP(MID($AR1230,1,255),country_lookup!$B:$F,5,FALSE)</f>
        <v>2_civil law</v>
      </c>
      <c r="AO1230" s="10" t="str">
        <f>VLOOKUP(MID($AS1230,1,255),source_lookup!$B:$K,4,FALSE)</f>
        <v>0_published</v>
      </c>
      <c r="AP1230" s="10" t="str">
        <f>VLOOKUP(MID($AS1230,1,255),source_lookup!$B:$K,6,FALSE)</f>
        <v>1_VHB high</v>
      </c>
      <c r="AQ1230" s="10" t="str">
        <f>VLOOKUP(MID($AS1230,1,255),source_lookup!$B:$K,10,FALSE)</f>
        <v>2_sust</v>
      </c>
      <c r="AR1230" t="s">
        <v>94</v>
      </c>
      <c r="AS1230" t="s">
        <v>186</v>
      </c>
    </row>
    <row r="1231" spans="1:45" x14ac:dyDescent="0.3">
      <c r="A1231" t="s">
        <v>63</v>
      </c>
      <c r="B1231">
        <v>1230</v>
      </c>
      <c r="C1231" s="1">
        <v>-0.16391638589123567</v>
      </c>
      <c r="D1231" s="2">
        <v>46</v>
      </c>
      <c r="E1231" s="4">
        <v>230</v>
      </c>
      <c r="F1231" s="4" t="s">
        <v>346</v>
      </c>
      <c r="G1231" s="4" t="s">
        <v>347</v>
      </c>
      <c r="H1231" t="s">
        <v>77</v>
      </c>
      <c r="I1231" t="s">
        <v>350</v>
      </c>
      <c r="J1231" s="3">
        <v>2011</v>
      </c>
      <c r="K1231" s="3">
        <v>2015</v>
      </c>
      <c r="L1231" s="6">
        <f t="shared" si="391"/>
        <v>2013</v>
      </c>
      <c r="M1231" s="6">
        <f t="shared" si="392"/>
        <v>2013</v>
      </c>
      <c r="N1231" s="7">
        <f t="shared" si="380"/>
        <v>0</v>
      </c>
      <c r="O1231" s="7">
        <f t="shared" si="381"/>
        <v>0</v>
      </c>
      <c r="P1231" s="7">
        <f t="shared" si="382"/>
        <v>0</v>
      </c>
      <c r="Q1231" s="7">
        <f t="shared" si="393"/>
        <v>0</v>
      </c>
      <c r="R1231" s="10" t="str">
        <f t="shared" si="383"/>
        <v>0_Pre</v>
      </c>
      <c r="S1231" s="10" t="str">
        <f t="shared" si="384"/>
        <v>0_Pre</v>
      </c>
      <c r="T1231" s="10" t="str">
        <f t="shared" si="385"/>
        <v>0_Pre</v>
      </c>
      <c r="U1231" s="10" t="str">
        <f t="shared" si="386"/>
        <v>0_Pre</v>
      </c>
      <c r="V1231" s="10" t="str">
        <f t="shared" si="394"/>
        <v>0_Pre</v>
      </c>
      <c r="W1231" s="10" t="str">
        <f t="shared" si="387"/>
        <v>clean_pre</v>
      </c>
      <c r="X1231" s="10" t="str">
        <f t="shared" si="388"/>
        <v>0_Pre</v>
      </c>
      <c r="Y1231" s="10" t="str">
        <f t="shared" si="389"/>
        <v>0_Pre</v>
      </c>
      <c r="Z1231" s="10" t="str">
        <f t="shared" si="390"/>
        <v>0_Pre</v>
      </c>
      <c r="AA1231" s="10" t="str">
        <f t="shared" si="395"/>
        <v>0_Pre</v>
      </c>
      <c r="AB1231" s="10" t="str">
        <f t="shared" si="396"/>
        <v>0_Pre</v>
      </c>
      <c r="AC1231" s="10" t="str">
        <f t="shared" si="397"/>
        <v>0_Pre</v>
      </c>
      <c r="AD1231" s="10" t="str">
        <f t="shared" si="398"/>
        <v>2_post sample median</v>
      </c>
      <c r="AE1231" s="10" t="str">
        <f t="shared" si="399"/>
        <v>2_in sample second tertile</v>
      </c>
      <c r="AF1231" t="s">
        <v>80</v>
      </c>
      <c r="AG1231" t="s">
        <v>75</v>
      </c>
      <c r="AH1231" t="s">
        <v>79</v>
      </c>
      <c r="AI1231" t="s">
        <v>122</v>
      </c>
      <c r="AJ1231" t="s">
        <v>123</v>
      </c>
      <c r="AK1231" t="str">
        <f>VLOOKUP(MID($AR1231,1,255),country_lookup!$B:$F,2,FALSE)</f>
        <v>3_AsiaPac</v>
      </c>
      <c r="AL1231" t="str">
        <f>VLOOKUP(MID($AR1231,1,255),country_lookup!$B:$F,3,FALSE)</f>
        <v>2_developing</v>
      </c>
      <c r="AM1231" t="str">
        <f>VLOOKUP(MID($AR1231,1,255),country_lookup!$B:$F,4,FALSE)</f>
        <v>2_non_western</v>
      </c>
      <c r="AN1231" t="str">
        <f>VLOOKUP(MID($AR1231,1,255),country_lookup!$B:$F,5,FALSE)</f>
        <v>2_civil law</v>
      </c>
      <c r="AO1231" s="10" t="str">
        <f>VLOOKUP(MID($AS1231,1,255),source_lookup!$B:$K,4,FALSE)</f>
        <v>0_published</v>
      </c>
      <c r="AP1231" s="10" t="str">
        <f>VLOOKUP(MID($AS1231,1,255),source_lookup!$B:$K,6,FALSE)</f>
        <v>1_VHB high</v>
      </c>
      <c r="AQ1231" s="10" t="str">
        <f>VLOOKUP(MID($AS1231,1,255),source_lookup!$B:$K,10,FALSE)</f>
        <v>2_sust</v>
      </c>
      <c r="AR1231" t="s">
        <v>94</v>
      </c>
      <c r="AS1231" t="s">
        <v>186</v>
      </c>
    </row>
    <row r="1232" spans="1:45" x14ac:dyDescent="0.3">
      <c r="A1232" t="s">
        <v>63</v>
      </c>
      <c r="B1232">
        <v>1231</v>
      </c>
      <c r="C1232" s="1">
        <v>0.14611601688790907</v>
      </c>
      <c r="D1232" s="2">
        <v>46</v>
      </c>
      <c r="E1232" s="4">
        <v>230</v>
      </c>
      <c r="F1232" s="4" t="s">
        <v>346</v>
      </c>
      <c r="G1232" s="4" t="s">
        <v>347</v>
      </c>
      <c r="H1232" t="s">
        <v>77</v>
      </c>
      <c r="I1232" t="s">
        <v>350</v>
      </c>
      <c r="J1232" s="3">
        <v>2011</v>
      </c>
      <c r="K1232" s="3">
        <v>2015</v>
      </c>
      <c r="L1232" s="6">
        <f t="shared" si="391"/>
        <v>2013</v>
      </c>
      <c r="M1232" s="6">
        <f t="shared" si="392"/>
        <v>2013</v>
      </c>
      <c r="N1232" s="7">
        <f t="shared" si="380"/>
        <v>0</v>
      </c>
      <c r="O1232" s="7">
        <f t="shared" si="381"/>
        <v>0</v>
      </c>
      <c r="P1232" s="7">
        <f t="shared" si="382"/>
        <v>0</v>
      </c>
      <c r="Q1232" s="7">
        <f t="shared" si="393"/>
        <v>0</v>
      </c>
      <c r="R1232" s="10" t="str">
        <f t="shared" si="383"/>
        <v>0_Pre</v>
      </c>
      <c r="S1232" s="10" t="str">
        <f t="shared" si="384"/>
        <v>0_Pre</v>
      </c>
      <c r="T1232" s="10" t="str">
        <f t="shared" si="385"/>
        <v>0_Pre</v>
      </c>
      <c r="U1232" s="10" t="str">
        <f t="shared" si="386"/>
        <v>0_Pre</v>
      </c>
      <c r="V1232" s="10" t="str">
        <f t="shared" si="394"/>
        <v>0_Pre</v>
      </c>
      <c r="W1232" s="10" t="str">
        <f t="shared" si="387"/>
        <v>clean_pre</v>
      </c>
      <c r="X1232" s="10" t="str">
        <f t="shared" si="388"/>
        <v>0_Pre</v>
      </c>
      <c r="Y1232" s="10" t="str">
        <f t="shared" si="389"/>
        <v>0_Pre</v>
      </c>
      <c r="Z1232" s="10" t="str">
        <f t="shared" si="390"/>
        <v>0_Pre</v>
      </c>
      <c r="AA1232" s="10" t="str">
        <f t="shared" si="395"/>
        <v>0_Pre</v>
      </c>
      <c r="AB1232" s="10" t="str">
        <f t="shared" si="396"/>
        <v>0_Pre</v>
      </c>
      <c r="AC1232" s="10" t="str">
        <f t="shared" si="397"/>
        <v>0_Pre</v>
      </c>
      <c r="AD1232" s="10" t="str">
        <f t="shared" si="398"/>
        <v>2_post sample median</v>
      </c>
      <c r="AE1232" s="10" t="str">
        <f t="shared" si="399"/>
        <v>2_in sample second tertile</v>
      </c>
      <c r="AF1232" t="s">
        <v>80</v>
      </c>
      <c r="AG1232" t="s">
        <v>75</v>
      </c>
      <c r="AH1232" t="s">
        <v>79</v>
      </c>
      <c r="AI1232" t="s">
        <v>122</v>
      </c>
      <c r="AJ1232" t="s">
        <v>123</v>
      </c>
      <c r="AK1232" t="str">
        <f>VLOOKUP(MID($AR1232,1,255),country_lookup!$B:$F,2,FALSE)</f>
        <v>3_AsiaPac</v>
      </c>
      <c r="AL1232" t="str">
        <f>VLOOKUP(MID($AR1232,1,255),country_lookup!$B:$F,3,FALSE)</f>
        <v>2_developing</v>
      </c>
      <c r="AM1232" t="str">
        <f>VLOOKUP(MID($AR1232,1,255),country_lookup!$B:$F,4,FALSE)</f>
        <v>2_non_western</v>
      </c>
      <c r="AN1232" t="str">
        <f>VLOOKUP(MID($AR1232,1,255),country_lookup!$B:$F,5,FALSE)</f>
        <v>2_civil law</v>
      </c>
      <c r="AO1232" s="10" t="str">
        <f>VLOOKUP(MID($AS1232,1,255),source_lookup!$B:$K,4,FALSE)</f>
        <v>0_published</v>
      </c>
      <c r="AP1232" s="10" t="str">
        <f>VLOOKUP(MID($AS1232,1,255),source_lookup!$B:$K,6,FALSE)</f>
        <v>1_VHB high</v>
      </c>
      <c r="AQ1232" s="10" t="str">
        <f>VLOOKUP(MID($AS1232,1,255),source_lookup!$B:$K,10,FALSE)</f>
        <v>2_sust</v>
      </c>
      <c r="AR1232" t="s">
        <v>94</v>
      </c>
      <c r="AS1232" t="s">
        <v>186</v>
      </c>
    </row>
    <row r="1233" spans="1:45" x14ac:dyDescent="0.3">
      <c r="A1233" t="s">
        <v>63</v>
      </c>
      <c r="B1233">
        <v>1232</v>
      </c>
      <c r="C1233" s="1">
        <v>0.20864446795582658</v>
      </c>
      <c r="D1233" s="2">
        <v>13</v>
      </c>
      <c r="E1233" s="4">
        <v>65</v>
      </c>
      <c r="F1233" s="4" t="s">
        <v>346</v>
      </c>
      <c r="G1233" s="4" t="s">
        <v>347</v>
      </c>
      <c r="H1233" t="s">
        <v>77</v>
      </c>
      <c r="I1233" t="s">
        <v>350</v>
      </c>
      <c r="J1233" s="3">
        <v>2011</v>
      </c>
      <c r="K1233" s="3">
        <v>2015</v>
      </c>
      <c r="L1233" s="6">
        <f t="shared" si="391"/>
        <v>2013</v>
      </c>
      <c r="M1233" s="6">
        <f t="shared" si="392"/>
        <v>2013</v>
      </c>
      <c r="N1233" s="7">
        <f t="shared" si="380"/>
        <v>0</v>
      </c>
      <c r="O1233" s="7">
        <f t="shared" si="381"/>
        <v>0</v>
      </c>
      <c r="P1233" s="7">
        <f t="shared" si="382"/>
        <v>0</v>
      </c>
      <c r="Q1233" s="7">
        <f t="shared" si="393"/>
        <v>0</v>
      </c>
      <c r="R1233" s="10" t="str">
        <f t="shared" si="383"/>
        <v>0_Pre</v>
      </c>
      <c r="S1233" s="10" t="str">
        <f t="shared" si="384"/>
        <v>0_Pre</v>
      </c>
      <c r="T1233" s="10" t="str">
        <f t="shared" si="385"/>
        <v>0_Pre</v>
      </c>
      <c r="U1233" s="10" t="str">
        <f t="shared" si="386"/>
        <v>0_Pre</v>
      </c>
      <c r="V1233" s="10" t="str">
        <f t="shared" si="394"/>
        <v>0_Pre</v>
      </c>
      <c r="W1233" s="10" t="str">
        <f t="shared" si="387"/>
        <v>clean_pre</v>
      </c>
      <c r="X1233" s="10" t="str">
        <f t="shared" si="388"/>
        <v>0_Pre</v>
      </c>
      <c r="Y1233" s="10" t="str">
        <f t="shared" si="389"/>
        <v>0_Pre</v>
      </c>
      <c r="Z1233" s="10" t="str">
        <f t="shared" si="390"/>
        <v>0_Pre</v>
      </c>
      <c r="AA1233" s="10" t="str">
        <f t="shared" si="395"/>
        <v>0_Pre</v>
      </c>
      <c r="AB1233" s="10" t="str">
        <f t="shared" si="396"/>
        <v>0_Pre</v>
      </c>
      <c r="AC1233" s="10" t="str">
        <f t="shared" si="397"/>
        <v>0_Pre</v>
      </c>
      <c r="AD1233" s="10" t="str">
        <f t="shared" si="398"/>
        <v>2_post sample median</v>
      </c>
      <c r="AE1233" s="10" t="str">
        <f t="shared" si="399"/>
        <v>2_in sample second tertile</v>
      </c>
      <c r="AF1233" t="s">
        <v>80</v>
      </c>
      <c r="AG1233" t="s">
        <v>75</v>
      </c>
      <c r="AH1233" t="s">
        <v>79</v>
      </c>
      <c r="AI1233" t="s">
        <v>122</v>
      </c>
      <c r="AJ1233" t="s">
        <v>123</v>
      </c>
      <c r="AK1233" t="str">
        <f>VLOOKUP(MID($AR1233,1,255),country_lookup!$B:$F,2,FALSE)</f>
        <v>3_AsiaPac</v>
      </c>
      <c r="AL1233" t="str">
        <f>VLOOKUP(MID($AR1233,1,255),country_lookup!$B:$F,3,FALSE)</f>
        <v>2_developing</v>
      </c>
      <c r="AM1233" t="str">
        <f>VLOOKUP(MID($AR1233,1,255),country_lookup!$B:$F,4,FALSE)</f>
        <v>2_non_western</v>
      </c>
      <c r="AN1233" t="str">
        <f>VLOOKUP(MID($AR1233,1,255),country_lookup!$B:$F,5,FALSE)</f>
        <v>2_civil law</v>
      </c>
      <c r="AO1233" s="10" t="str">
        <f>VLOOKUP(MID($AS1233,1,255),source_lookup!$B:$K,4,FALSE)</f>
        <v>0_published</v>
      </c>
      <c r="AP1233" s="10" t="str">
        <f>VLOOKUP(MID($AS1233,1,255),source_lookup!$B:$K,6,FALSE)</f>
        <v>1_VHB high</v>
      </c>
      <c r="AQ1233" s="10" t="str">
        <f>VLOOKUP(MID($AS1233,1,255),source_lookup!$B:$K,10,FALSE)</f>
        <v>2_sust</v>
      </c>
      <c r="AR1233" t="s">
        <v>94</v>
      </c>
      <c r="AS1233" t="s">
        <v>186</v>
      </c>
    </row>
    <row r="1234" spans="1:45" x14ac:dyDescent="0.3">
      <c r="A1234" t="s">
        <v>63</v>
      </c>
      <c r="B1234">
        <v>1233</v>
      </c>
      <c r="C1234" s="1">
        <v>-0.21789787555987158</v>
      </c>
      <c r="D1234" s="2">
        <v>13</v>
      </c>
      <c r="E1234" s="4">
        <v>65</v>
      </c>
      <c r="F1234" s="4" t="s">
        <v>346</v>
      </c>
      <c r="G1234" s="4" t="s">
        <v>347</v>
      </c>
      <c r="H1234" t="s">
        <v>77</v>
      </c>
      <c r="I1234" t="s">
        <v>350</v>
      </c>
      <c r="J1234" s="3">
        <v>2011</v>
      </c>
      <c r="K1234" s="3">
        <v>2015</v>
      </c>
      <c r="L1234" s="6">
        <f t="shared" si="391"/>
        <v>2013</v>
      </c>
      <c r="M1234" s="6">
        <f t="shared" si="392"/>
        <v>2013</v>
      </c>
      <c r="N1234" s="7">
        <f t="shared" si="380"/>
        <v>0</v>
      </c>
      <c r="O1234" s="7">
        <f t="shared" si="381"/>
        <v>0</v>
      </c>
      <c r="P1234" s="7">
        <f t="shared" si="382"/>
        <v>0</v>
      </c>
      <c r="Q1234" s="7">
        <f t="shared" si="393"/>
        <v>0</v>
      </c>
      <c r="R1234" s="10" t="str">
        <f t="shared" si="383"/>
        <v>0_Pre</v>
      </c>
      <c r="S1234" s="10" t="str">
        <f t="shared" si="384"/>
        <v>0_Pre</v>
      </c>
      <c r="T1234" s="10" t="str">
        <f t="shared" si="385"/>
        <v>0_Pre</v>
      </c>
      <c r="U1234" s="10" t="str">
        <f t="shared" si="386"/>
        <v>0_Pre</v>
      </c>
      <c r="V1234" s="10" t="str">
        <f t="shared" si="394"/>
        <v>0_Pre</v>
      </c>
      <c r="W1234" s="10" t="str">
        <f t="shared" si="387"/>
        <v>clean_pre</v>
      </c>
      <c r="X1234" s="10" t="str">
        <f t="shared" si="388"/>
        <v>0_Pre</v>
      </c>
      <c r="Y1234" s="10" t="str">
        <f t="shared" si="389"/>
        <v>0_Pre</v>
      </c>
      <c r="Z1234" s="10" t="str">
        <f t="shared" si="390"/>
        <v>0_Pre</v>
      </c>
      <c r="AA1234" s="10" t="str">
        <f t="shared" si="395"/>
        <v>0_Pre</v>
      </c>
      <c r="AB1234" s="10" t="str">
        <f t="shared" si="396"/>
        <v>0_Pre</v>
      </c>
      <c r="AC1234" s="10" t="str">
        <f t="shared" si="397"/>
        <v>0_Pre</v>
      </c>
      <c r="AD1234" s="10" t="str">
        <f t="shared" si="398"/>
        <v>2_post sample median</v>
      </c>
      <c r="AE1234" s="10" t="str">
        <f t="shared" si="399"/>
        <v>2_in sample second tertile</v>
      </c>
      <c r="AF1234" t="s">
        <v>80</v>
      </c>
      <c r="AG1234" t="s">
        <v>75</v>
      </c>
      <c r="AH1234" t="s">
        <v>79</v>
      </c>
      <c r="AI1234" t="s">
        <v>122</v>
      </c>
      <c r="AJ1234" t="s">
        <v>123</v>
      </c>
      <c r="AK1234" t="str">
        <f>VLOOKUP(MID($AR1234,1,255),country_lookup!$B:$F,2,FALSE)</f>
        <v>3_AsiaPac</v>
      </c>
      <c r="AL1234" t="str">
        <f>VLOOKUP(MID($AR1234,1,255),country_lookup!$B:$F,3,FALSE)</f>
        <v>2_developing</v>
      </c>
      <c r="AM1234" t="str">
        <f>VLOOKUP(MID($AR1234,1,255),country_lookup!$B:$F,4,FALSE)</f>
        <v>2_non_western</v>
      </c>
      <c r="AN1234" t="str">
        <f>VLOOKUP(MID($AR1234,1,255),country_lookup!$B:$F,5,FALSE)</f>
        <v>2_civil law</v>
      </c>
      <c r="AO1234" s="10" t="str">
        <f>VLOOKUP(MID($AS1234,1,255),source_lookup!$B:$K,4,FALSE)</f>
        <v>0_published</v>
      </c>
      <c r="AP1234" s="10" t="str">
        <f>VLOOKUP(MID($AS1234,1,255),source_lookup!$B:$K,6,FALSE)</f>
        <v>1_VHB high</v>
      </c>
      <c r="AQ1234" s="10" t="str">
        <f>VLOOKUP(MID($AS1234,1,255),source_lookup!$B:$K,10,FALSE)</f>
        <v>2_sust</v>
      </c>
      <c r="AR1234" t="s">
        <v>94</v>
      </c>
      <c r="AS1234" t="s">
        <v>186</v>
      </c>
    </row>
    <row r="1235" spans="1:45" x14ac:dyDescent="0.3">
      <c r="A1235" t="s">
        <v>63</v>
      </c>
      <c r="B1235">
        <v>1234</v>
      </c>
      <c r="C1235" s="1">
        <v>0.15759791708868934</v>
      </c>
      <c r="D1235" s="2">
        <v>33</v>
      </c>
      <c r="E1235" s="4">
        <v>165</v>
      </c>
      <c r="F1235" s="4" t="s">
        <v>346</v>
      </c>
      <c r="G1235" s="4" t="s">
        <v>347</v>
      </c>
      <c r="H1235" t="s">
        <v>77</v>
      </c>
      <c r="I1235" t="s">
        <v>350</v>
      </c>
      <c r="J1235" s="3">
        <v>2011</v>
      </c>
      <c r="K1235" s="3">
        <v>2015</v>
      </c>
      <c r="L1235" s="6">
        <f t="shared" si="391"/>
        <v>2013</v>
      </c>
      <c r="M1235" s="6">
        <f t="shared" si="392"/>
        <v>2013</v>
      </c>
      <c r="N1235" s="7">
        <f t="shared" si="380"/>
        <v>0</v>
      </c>
      <c r="O1235" s="7">
        <f t="shared" si="381"/>
        <v>0</v>
      </c>
      <c r="P1235" s="7">
        <f t="shared" si="382"/>
        <v>0</v>
      </c>
      <c r="Q1235" s="7">
        <f t="shared" si="393"/>
        <v>0</v>
      </c>
      <c r="R1235" s="10" t="str">
        <f t="shared" si="383"/>
        <v>0_Pre</v>
      </c>
      <c r="S1235" s="10" t="str">
        <f t="shared" si="384"/>
        <v>0_Pre</v>
      </c>
      <c r="T1235" s="10" t="str">
        <f t="shared" si="385"/>
        <v>0_Pre</v>
      </c>
      <c r="U1235" s="10" t="str">
        <f t="shared" si="386"/>
        <v>0_Pre</v>
      </c>
      <c r="V1235" s="10" t="str">
        <f t="shared" si="394"/>
        <v>0_Pre</v>
      </c>
      <c r="W1235" s="10" t="str">
        <f t="shared" si="387"/>
        <v>clean_pre</v>
      </c>
      <c r="X1235" s="10" t="str">
        <f t="shared" si="388"/>
        <v>0_Pre</v>
      </c>
      <c r="Y1235" s="10" t="str">
        <f t="shared" si="389"/>
        <v>0_Pre</v>
      </c>
      <c r="Z1235" s="10" t="str">
        <f t="shared" si="390"/>
        <v>0_Pre</v>
      </c>
      <c r="AA1235" s="10" t="str">
        <f t="shared" si="395"/>
        <v>0_Pre</v>
      </c>
      <c r="AB1235" s="10" t="str">
        <f t="shared" si="396"/>
        <v>0_Pre</v>
      </c>
      <c r="AC1235" s="10" t="str">
        <f t="shared" si="397"/>
        <v>0_Pre</v>
      </c>
      <c r="AD1235" s="10" t="str">
        <f t="shared" si="398"/>
        <v>2_post sample median</v>
      </c>
      <c r="AE1235" s="10" t="str">
        <f t="shared" si="399"/>
        <v>2_in sample second tertile</v>
      </c>
      <c r="AF1235" t="s">
        <v>80</v>
      </c>
      <c r="AG1235" t="s">
        <v>75</v>
      </c>
      <c r="AH1235" t="s">
        <v>79</v>
      </c>
      <c r="AI1235" t="s">
        <v>122</v>
      </c>
      <c r="AJ1235" t="s">
        <v>123</v>
      </c>
      <c r="AK1235" t="str">
        <f>VLOOKUP(MID($AR1235,1,255),country_lookup!$B:$F,2,FALSE)</f>
        <v>3_AsiaPac</v>
      </c>
      <c r="AL1235" t="str">
        <f>VLOOKUP(MID($AR1235,1,255),country_lookup!$B:$F,3,FALSE)</f>
        <v>2_developing</v>
      </c>
      <c r="AM1235" t="str">
        <f>VLOOKUP(MID($AR1235,1,255),country_lookup!$B:$F,4,FALSE)</f>
        <v>2_non_western</v>
      </c>
      <c r="AN1235" t="str">
        <f>VLOOKUP(MID($AR1235,1,255),country_lookup!$B:$F,5,FALSE)</f>
        <v>2_civil law</v>
      </c>
      <c r="AO1235" s="10" t="str">
        <f>VLOOKUP(MID($AS1235,1,255),source_lookup!$B:$K,4,FALSE)</f>
        <v>0_published</v>
      </c>
      <c r="AP1235" s="10" t="str">
        <f>VLOOKUP(MID($AS1235,1,255),source_lookup!$B:$K,6,FALSE)</f>
        <v>1_VHB high</v>
      </c>
      <c r="AQ1235" s="10" t="str">
        <f>VLOOKUP(MID($AS1235,1,255),source_lookup!$B:$K,10,FALSE)</f>
        <v>2_sust</v>
      </c>
      <c r="AR1235" t="s">
        <v>94</v>
      </c>
      <c r="AS1235" t="s">
        <v>186</v>
      </c>
    </row>
    <row r="1236" spans="1:45" x14ac:dyDescent="0.3">
      <c r="A1236" t="s">
        <v>63</v>
      </c>
      <c r="B1236">
        <v>1235</v>
      </c>
      <c r="C1236" s="1">
        <v>-0.15008772482547916</v>
      </c>
      <c r="D1236" s="2">
        <v>33</v>
      </c>
      <c r="E1236" s="4">
        <v>165</v>
      </c>
      <c r="F1236" s="4" t="s">
        <v>346</v>
      </c>
      <c r="G1236" s="4" t="s">
        <v>347</v>
      </c>
      <c r="H1236" t="s">
        <v>77</v>
      </c>
      <c r="I1236" t="s">
        <v>350</v>
      </c>
      <c r="J1236" s="3">
        <v>2011</v>
      </c>
      <c r="K1236" s="3">
        <v>2015</v>
      </c>
      <c r="L1236" s="6">
        <f t="shared" si="391"/>
        <v>2013</v>
      </c>
      <c r="M1236" s="6">
        <f t="shared" si="392"/>
        <v>2013</v>
      </c>
      <c r="N1236" s="7">
        <f t="shared" si="380"/>
        <v>0</v>
      </c>
      <c r="O1236" s="7">
        <f t="shared" si="381"/>
        <v>0</v>
      </c>
      <c r="P1236" s="7">
        <f t="shared" si="382"/>
        <v>0</v>
      </c>
      <c r="Q1236" s="7">
        <f t="shared" si="393"/>
        <v>0</v>
      </c>
      <c r="R1236" s="10" t="str">
        <f t="shared" si="383"/>
        <v>0_Pre</v>
      </c>
      <c r="S1236" s="10" t="str">
        <f t="shared" si="384"/>
        <v>0_Pre</v>
      </c>
      <c r="T1236" s="10" t="str">
        <f t="shared" si="385"/>
        <v>0_Pre</v>
      </c>
      <c r="U1236" s="10" t="str">
        <f t="shared" si="386"/>
        <v>0_Pre</v>
      </c>
      <c r="V1236" s="10" t="str">
        <f t="shared" si="394"/>
        <v>0_Pre</v>
      </c>
      <c r="W1236" s="10" t="str">
        <f t="shared" si="387"/>
        <v>clean_pre</v>
      </c>
      <c r="X1236" s="10" t="str">
        <f t="shared" si="388"/>
        <v>0_Pre</v>
      </c>
      <c r="Y1236" s="10" t="str">
        <f t="shared" si="389"/>
        <v>0_Pre</v>
      </c>
      <c r="Z1236" s="10" t="str">
        <f t="shared" si="390"/>
        <v>0_Pre</v>
      </c>
      <c r="AA1236" s="10" t="str">
        <f t="shared" si="395"/>
        <v>0_Pre</v>
      </c>
      <c r="AB1236" s="10" t="str">
        <f t="shared" si="396"/>
        <v>0_Pre</v>
      </c>
      <c r="AC1236" s="10" t="str">
        <f t="shared" si="397"/>
        <v>0_Pre</v>
      </c>
      <c r="AD1236" s="10" t="str">
        <f t="shared" si="398"/>
        <v>2_post sample median</v>
      </c>
      <c r="AE1236" s="10" t="str">
        <f t="shared" si="399"/>
        <v>2_in sample second tertile</v>
      </c>
      <c r="AF1236" t="s">
        <v>80</v>
      </c>
      <c r="AG1236" t="s">
        <v>75</v>
      </c>
      <c r="AH1236" t="s">
        <v>79</v>
      </c>
      <c r="AI1236" t="s">
        <v>122</v>
      </c>
      <c r="AJ1236" t="s">
        <v>123</v>
      </c>
      <c r="AK1236" t="str">
        <f>VLOOKUP(MID($AR1236,1,255),country_lookup!$B:$F,2,FALSE)</f>
        <v>3_AsiaPac</v>
      </c>
      <c r="AL1236" t="str">
        <f>VLOOKUP(MID($AR1236,1,255),country_lookup!$B:$F,3,FALSE)</f>
        <v>2_developing</v>
      </c>
      <c r="AM1236" t="str">
        <f>VLOOKUP(MID($AR1236,1,255),country_lookup!$B:$F,4,FALSE)</f>
        <v>2_non_western</v>
      </c>
      <c r="AN1236" t="str">
        <f>VLOOKUP(MID($AR1236,1,255),country_lookup!$B:$F,5,FALSE)</f>
        <v>2_civil law</v>
      </c>
      <c r="AO1236" s="10" t="str">
        <f>VLOOKUP(MID($AS1236,1,255),source_lookup!$B:$K,4,FALSE)</f>
        <v>0_published</v>
      </c>
      <c r="AP1236" s="10" t="str">
        <f>VLOOKUP(MID($AS1236,1,255),source_lookup!$B:$K,6,FALSE)</f>
        <v>1_VHB high</v>
      </c>
      <c r="AQ1236" s="10" t="str">
        <f>VLOOKUP(MID($AS1236,1,255),source_lookup!$B:$K,10,FALSE)</f>
        <v>2_sust</v>
      </c>
      <c r="AR1236" t="s">
        <v>94</v>
      </c>
      <c r="AS1236" t="s">
        <v>186</v>
      </c>
    </row>
    <row r="1237" spans="1:45" x14ac:dyDescent="0.3">
      <c r="A1237" t="s">
        <v>63</v>
      </c>
      <c r="B1237">
        <v>1236</v>
      </c>
      <c r="C1237" s="1">
        <v>6.4583368372062661E-2</v>
      </c>
      <c r="D1237" s="2">
        <v>191</v>
      </c>
      <c r="E1237" s="4">
        <v>955</v>
      </c>
      <c r="F1237" s="4" t="s">
        <v>346</v>
      </c>
      <c r="G1237" s="4" t="s">
        <v>347</v>
      </c>
      <c r="H1237" t="s">
        <v>77</v>
      </c>
      <c r="I1237" t="s">
        <v>350</v>
      </c>
      <c r="J1237" s="3">
        <v>2011</v>
      </c>
      <c r="K1237" s="3">
        <v>2015</v>
      </c>
      <c r="L1237" s="6">
        <f t="shared" si="391"/>
        <v>2013</v>
      </c>
      <c r="M1237" s="6">
        <f t="shared" si="392"/>
        <v>2013</v>
      </c>
      <c r="N1237" s="7">
        <f t="shared" si="380"/>
        <v>0</v>
      </c>
      <c r="O1237" s="7">
        <f t="shared" si="381"/>
        <v>0</v>
      </c>
      <c r="P1237" s="7">
        <f t="shared" si="382"/>
        <v>0</v>
      </c>
      <c r="Q1237" s="7">
        <f t="shared" si="393"/>
        <v>0</v>
      </c>
      <c r="R1237" s="10" t="str">
        <f t="shared" si="383"/>
        <v>0_Pre</v>
      </c>
      <c r="S1237" s="10" t="str">
        <f t="shared" si="384"/>
        <v>0_Pre</v>
      </c>
      <c r="T1237" s="10" t="str">
        <f t="shared" si="385"/>
        <v>0_Pre</v>
      </c>
      <c r="U1237" s="10" t="str">
        <f t="shared" si="386"/>
        <v>0_Pre</v>
      </c>
      <c r="V1237" s="10" t="str">
        <f t="shared" si="394"/>
        <v>0_Pre</v>
      </c>
      <c r="W1237" s="10" t="str">
        <f t="shared" si="387"/>
        <v>clean_pre</v>
      </c>
      <c r="X1237" s="10" t="str">
        <f t="shared" si="388"/>
        <v>0_Pre</v>
      </c>
      <c r="Y1237" s="10" t="str">
        <f t="shared" si="389"/>
        <v>0_Pre</v>
      </c>
      <c r="Z1237" s="10" t="str">
        <f t="shared" si="390"/>
        <v>0_Pre</v>
      </c>
      <c r="AA1237" s="10" t="str">
        <f t="shared" si="395"/>
        <v>0_Pre</v>
      </c>
      <c r="AB1237" s="10" t="str">
        <f t="shared" si="396"/>
        <v>0_Pre</v>
      </c>
      <c r="AC1237" s="10" t="str">
        <f t="shared" si="397"/>
        <v>0_Pre</v>
      </c>
      <c r="AD1237" s="10" t="str">
        <f t="shared" si="398"/>
        <v>2_post sample median</v>
      </c>
      <c r="AE1237" s="10" t="str">
        <f t="shared" si="399"/>
        <v>2_in sample second tertile</v>
      </c>
      <c r="AF1237" t="s">
        <v>80</v>
      </c>
      <c r="AG1237" t="s">
        <v>75</v>
      </c>
      <c r="AH1237" t="s">
        <v>79</v>
      </c>
      <c r="AI1237" t="s">
        <v>122</v>
      </c>
      <c r="AJ1237" t="s">
        <v>123</v>
      </c>
      <c r="AK1237" t="str">
        <f>VLOOKUP(MID($AR1237,1,255),country_lookup!$B:$F,2,FALSE)</f>
        <v>3_AsiaPac</v>
      </c>
      <c r="AL1237" t="str">
        <f>VLOOKUP(MID($AR1237,1,255),country_lookup!$B:$F,3,FALSE)</f>
        <v>2_developing</v>
      </c>
      <c r="AM1237" t="str">
        <f>VLOOKUP(MID($AR1237,1,255),country_lookup!$B:$F,4,FALSE)</f>
        <v>2_non_western</v>
      </c>
      <c r="AN1237" t="str">
        <f>VLOOKUP(MID($AR1237,1,255),country_lookup!$B:$F,5,FALSE)</f>
        <v>2_civil law</v>
      </c>
      <c r="AO1237" s="10" t="str">
        <f>VLOOKUP(MID($AS1237,1,255),source_lookup!$B:$K,4,FALSE)</f>
        <v>0_published</v>
      </c>
      <c r="AP1237" s="10" t="str">
        <f>VLOOKUP(MID($AS1237,1,255),source_lookup!$B:$K,6,FALSE)</f>
        <v>1_VHB high</v>
      </c>
      <c r="AQ1237" s="10" t="str">
        <f>VLOOKUP(MID($AS1237,1,255),source_lookup!$B:$K,10,FALSE)</f>
        <v>2_sust</v>
      </c>
      <c r="AR1237" t="s">
        <v>94</v>
      </c>
      <c r="AS1237" t="s">
        <v>186</v>
      </c>
    </row>
    <row r="1238" spans="1:45" x14ac:dyDescent="0.3">
      <c r="A1238" t="s">
        <v>63</v>
      </c>
      <c r="B1238">
        <v>1237</v>
      </c>
      <c r="C1238" s="1">
        <v>-7.4220971189614099E-2</v>
      </c>
      <c r="D1238" s="2">
        <v>191</v>
      </c>
      <c r="E1238" s="4">
        <v>955</v>
      </c>
      <c r="F1238" s="4" t="s">
        <v>346</v>
      </c>
      <c r="G1238" s="4" t="s">
        <v>347</v>
      </c>
      <c r="H1238" t="s">
        <v>77</v>
      </c>
      <c r="I1238" t="s">
        <v>350</v>
      </c>
      <c r="J1238" s="3">
        <v>2011</v>
      </c>
      <c r="K1238" s="3">
        <v>2015</v>
      </c>
      <c r="L1238" s="6">
        <f t="shared" si="391"/>
        <v>2013</v>
      </c>
      <c r="M1238" s="6">
        <f t="shared" si="392"/>
        <v>2013</v>
      </c>
      <c r="N1238" s="7">
        <f t="shared" si="380"/>
        <v>0</v>
      </c>
      <c r="O1238" s="7">
        <f t="shared" si="381"/>
        <v>0</v>
      </c>
      <c r="P1238" s="7">
        <f t="shared" si="382"/>
        <v>0</v>
      </c>
      <c r="Q1238" s="7">
        <f t="shared" si="393"/>
        <v>0</v>
      </c>
      <c r="R1238" s="10" t="str">
        <f t="shared" si="383"/>
        <v>0_Pre</v>
      </c>
      <c r="S1238" s="10" t="str">
        <f t="shared" si="384"/>
        <v>0_Pre</v>
      </c>
      <c r="T1238" s="10" t="str">
        <f t="shared" si="385"/>
        <v>0_Pre</v>
      </c>
      <c r="U1238" s="10" t="str">
        <f t="shared" si="386"/>
        <v>0_Pre</v>
      </c>
      <c r="V1238" s="10" t="str">
        <f t="shared" si="394"/>
        <v>0_Pre</v>
      </c>
      <c r="W1238" s="10" t="str">
        <f t="shared" si="387"/>
        <v>clean_pre</v>
      </c>
      <c r="X1238" s="10" t="str">
        <f t="shared" si="388"/>
        <v>0_Pre</v>
      </c>
      <c r="Y1238" s="10" t="str">
        <f t="shared" si="389"/>
        <v>0_Pre</v>
      </c>
      <c r="Z1238" s="10" t="str">
        <f t="shared" si="390"/>
        <v>0_Pre</v>
      </c>
      <c r="AA1238" s="10" t="str">
        <f t="shared" si="395"/>
        <v>0_Pre</v>
      </c>
      <c r="AB1238" s="10" t="str">
        <f t="shared" si="396"/>
        <v>0_Pre</v>
      </c>
      <c r="AC1238" s="10" t="str">
        <f t="shared" si="397"/>
        <v>0_Pre</v>
      </c>
      <c r="AD1238" s="10" t="str">
        <f t="shared" si="398"/>
        <v>2_post sample median</v>
      </c>
      <c r="AE1238" s="10" t="str">
        <f t="shared" si="399"/>
        <v>2_in sample second tertile</v>
      </c>
      <c r="AF1238" t="s">
        <v>80</v>
      </c>
      <c r="AG1238" t="s">
        <v>75</v>
      </c>
      <c r="AH1238" t="s">
        <v>79</v>
      </c>
      <c r="AI1238" t="s">
        <v>122</v>
      </c>
      <c r="AJ1238" t="s">
        <v>123</v>
      </c>
      <c r="AK1238" t="str">
        <f>VLOOKUP(MID($AR1238,1,255),country_lookup!$B:$F,2,FALSE)</f>
        <v>3_AsiaPac</v>
      </c>
      <c r="AL1238" t="str">
        <f>VLOOKUP(MID($AR1238,1,255),country_lookup!$B:$F,3,FALSE)</f>
        <v>2_developing</v>
      </c>
      <c r="AM1238" t="str">
        <f>VLOOKUP(MID($AR1238,1,255),country_lookup!$B:$F,4,FALSE)</f>
        <v>2_non_western</v>
      </c>
      <c r="AN1238" t="str">
        <f>VLOOKUP(MID($AR1238,1,255),country_lookup!$B:$F,5,FALSE)</f>
        <v>2_civil law</v>
      </c>
      <c r="AO1238" s="10" t="str">
        <f>VLOOKUP(MID($AS1238,1,255),source_lookup!$B:$K,4,FALSE)</f>
        <v>0_published</v>
      </c>
      <c r="AP1238" s="10" t="str">
        <f>VLOOKUP(MID($AS1238,1,255),source_lookup!$B:$K,6,FALSE)</f>
        <v>1_VHB high</v>
      </c>
      <c r="AQ1238" s="10" t="str">
        <f>VLOOKUP(MID($AS1238,1,255),source_lookup!$B:$K,10,FALSE)</f>
        <v>2_sust</v>
      </c>
      <c r="AR1238" t="s">
        <v>94</v>
      </c>
      <c r="AS1238" t="s">
        <v>186</v>
      </c>
    </row>
    <row r="1239" spans="1:45" x14ac:dyDescent="0.3">
      <c r="A1239" t="s">
        <v>63</v>
      </c>
      <c r="B1239">
        <v>1238</v>
      </c>
      <c r="C1239" s="1">
        <v>6.2975269176364007E-2</v>
      </c>
      <c r="D1239" s="2">
        <v>191</v>
      </c>
      <c r="E1239" s="4">
        <v>955</v>
      </c>
      <c r="F1239" s="4" t="s">
        <v>346</v>
      </c>
      <c r="G1239" s="4" t="s">
        <v>347</v>
      </c>
      <c r="H1239" t="s">
        <v>77</v>
      </c>
      <c r="I1239" t="s">
        <v>350</v>
      </c>
      <c r="J1239" s="3">
        <v>2011</v>
      </c>
      <c r="K1239" s="3">
        <v>2015</v>
      </c>
      <c r="L1239" s="6">
        <f t="shared" si="391"/>
        <v>2013</v>
      </c>
      <c r="M1239" s="6">
        <f t="shared" si="392"/>
        <v>2013</v>
      </c>
      <c r="N1239" s="7">
        <f t="shared" si="380"/>
        <v>0</v>
      </c>
      <c r="O1239" s="7">
        <f t="shared" si="381"/>
        <v>0</v>
      </c>
      <c r="P1239" s="7">
        <f t="shared" si="382"/>
        <v>0</v>
      </c>
      <c r="Q1239" s="7">
        <f t="shared" si="393"/>
        <v>0</v>
      </c>
      <c r="R1239" s="10" t="str">
        <f t="shared" si="383"/>
        <v>0_Pre</v>
      </c>
      <c r="S1239" s="10" t="str">
        <f t="shared" si="384"/>
        <v>0_Pre</v>
      </c>
      <c r="T1239" s="10" t="str">
        <f t="shared" si="385"/>
        <v>0_Pre</v>
      </c>
      <c r="U1239" s="10" t="str">
        <f t="shared" si="386"/>
        <v>0_Pre</v>
      </c>
      <c r="V1239" s="10" t="str">
        <f t="shared" si="394"/>
        <v>0_Pre</v>
      </c>
      <c r="W1239" s="10" t="str">
        <f t="shared" si="387"/>
        <v>clean_pre</v>
      </c>
      <c r="X1239" s="10" t="str">
        <f t="shared" si="388"/>
        <v>0_Pre</v>
      </c>
      <c r="Y1239" s="10" t="str">
        <f t="shared" si="389"/>
        <v>0_Pre</v>
      </c>
      <c r="Z1239" s="10" t="str">
        <f t="shared" si="390"/>
        <v>0_Pre</v>
      </c>
      <c r="AA1239" s="10" t="str">
        <f t="shared" si="395"/>
        <v>0_Pre</v>
      </c>
      <c r="AB1239" s="10" t="str">
        <f t="shared" si="396"/>
        <v>0_Pre</v>
      </c>
      <c r="AC1239" s="10" t="str">
        <f t="shared" si="397"/>
        <v>0_Pre</v>
      </c>
      <c r="AD1239" s="10" t="str">
        <f t="shared" si="398"/>
        <v>2_post sample median</v>
      </c>
      <c r="AE1239" s="10" t="str">
        <f t="shared" si="399"/>
        <v>2_in sample second tertile</v>
      </c>
      <c r="AF1239" t="s">
        <v>80</v>
      </c>
      <c r="AG1239" t="s">
        <v>75</v>
      </c>
      <c r="AH1239" t="s">
        <v>79</v>
      </c>
      <c r="AI1239" t="s">
        <v>122</v>
      </c>
      <c r="AJ1239" t="s">
        <v>123</v>
      </c>
      <c r="AK1239" t="str">
        <f>VLOOKUP(MID($AR1239,1,255),country_lookup!$B:$F,2,FALSE)</f>
        <v>3_AsiaPac</v>
      </c>
      <c r="AL1239" t="str">
        <f>VLOOKUP(MID($AR1239,1,255),country_lookup!$B:$F,3,FALSE)</f>
        <v>2_developing</v>
      </c>
      <c r="AM1239" t="str">
        <f>VLOOKUP(MID($AR1239,1,255),country_lookup!$B:$F,4,FALSE)</f>
        <v>2_non_western</v>
      </c>
      <c r="AN1239" t="str">
        <f>VLOOKUP(MID($AR1239,1,255),country_lookup!$B:$F,5,FALSE)</f>
        <v>2_civil law</v>
      </c>
      <c r="AO1239" s="10" t="str">
        <f>VLOOKUP(MID($AS1239,1,255),source_lookup!$B:$K,4,FALSE)</f>
        <v>0_published</v>
      </c>
      <c r="AP1239" s="10" t="str">
        <f>VLOOKUP(MID($AS1239,1,255),source_lookup!$B:$K,6,FALSE)</f>
        <v>1_VHB high</v>
      </c>
      <c r="AQ1239" s="10" t="str">
        <f>VLOOKUP(MID($AS1239,1,255),source_lookup!$B:$K,10,FALSE)</f>
        <v>2_sust</v>
      </c>
      <c r="AR1239" t="s">
        <v>94</v>
      </c>
      <c r="AS1239" t="s">
        <v>186</v>
      </c>
    </row>
    <row r="1240" spans="1:45" x14ac:dyDescent="0.3">
      <c r="A1240" t="s">
        <v>63</v>
      </c>
      <c r="B1240">
        <v>1239</v>
      </c>
      <c r="C1240" s="1">
        <v>-7.2295026427833572E-2</v>
      </c>
      <c r="D1240" s="2">
        <v>191</v>
      </c>
      <c r="E1240" s="4">
        <v>955</v>
      </c>
      <c r="F1240" s="4" t="s">
        <v>346</v>
      </c>
      <c r="G1240" s="4" t="s">
        <v>347</v>
      </c>
      <c r="H1240" t="s">
        <v>77</v>
      </c>
      <c r="I1240" t="s">
        <v>350</v>
      </c>
      <c r="J1240" s="3">
        <v>2011</v>
      </c>
      <c r="K1240" s="3">
        <v>2015</v>
      </c>
      <c r="L1240" s="6">
        <f t="shared" si="391"/>
        <v>2013</v>
      </c>
      <c r="M1240" s="6">
        <f t="shared" si="392"/>
        <v>2013</v>
      </c>
      <c r="N1240" s="7">
        <f t="shared" si="380"/>
        <v>0</v>
      </c>
      <c r="O1240" s="7">
        <f t="shared" si="381"/>
        <v>0</v>
      </c>
      <c r="P1240" s="7">
        <f t="shared" si="382"/>
        <v>0</v>
      </c>
      <c r="Q1240" s="7">
        <f t="shared" si="393"/>
        <v>0</v>
      </c>
      <c r="R1240" s="10" t="str">
        <f t="shared" si="383"/>
        <v>0_Pre</v>
      </c>
      <c r="S1240" s="10" t="str">
        <f t="shared" si="384"/>
        <v>0_Pre</v>
      </c>
      <c r="T1240" s="10" t="str">
        <f t="shared" si="385"/>
        <v>0_Pre</v>
      </c>
      <c r="U1240" s="10" t="str">
        <f t="shared" si="386"/>
        <v>0_Pre</v>
      </c>
      <c r="V1240" s="10" t="str">
        <f t="shared" si="394"/>
        <v>0_Pre</v>
      </c>
      <c r="W1240" s="10" t="str">
        <f t="shared" si="387"/>
        <v>clean_pre</v>
      </c>
      <c r="X1240" s="10" t="str">
        <f t="shared" si="388"/>
        <v>0_Pre</v>
      </c>
      <c r="Y1240" s="10" t="str">
        <f t="shared" si="389"/>
        <v>0_Pre</v>
      </c>
      <c r="Z1240" s="10" t="str">
        <f t="shared" si="390"/>
        <v>0_Pre</v>
      </c>
      <c r="AA1240" s="10" t="str">
        <f t="shared" si="395"/>
        <v>0_Pre</v>
      </c>
      <c r="AB1240" s="10" t="str">
        <f t="shared" si="396"/>
        <v>0_Pre</v>
      </c>
      <c r="AC1240" s="10" t="str">
        <f t="shared" si="397"/>
        <v>0_Pre</v>
      </c>
      <c r="AD1240" s="10" t="str">
        <f t="shared" si="398"/>
        <v>2_post sample median</v>
      </c>
      <c r="AE1240" s="10" t="str">
        <f t="shared" si="399"/>
        <v>2_in sample second tertile</v>
      </c>
      <c r="AF1240" t="s">
        <v>80</v>
      </c>
      <c r="AG1240" t="s">
        <v>75</v>
      </c>
      <c r="AH1240" t="s">
        <v>79</v>
      </c>
      <c r="AI1240" t="s">
        <v>122</v>
      </c>
      <c r="AJ1240" t="s">
        <v>123</v>
      </c>
      <c r="AK1240" t="str">
        <f>VLOOKUP(MID($AR1240,1,255),country_lookup!$B:$F,2,FALSE)</f>
        <v>3_AsiaPac</v>
      </c>
      <c r="AL1240" t="str">
        <f>VLOOKUP(MID($AR1240,1,255),country_lookup!$B:$F,3,FALSE)</f>
        <v>2_developing</v>
      </c>
      <c r="AM1240" t="str">
        <f>VLOOKUP(MID($AR1240,1,255),country_lookup!$B:$F,4,FALSE)</f>
        <v>2_non_western</v>
      </c>
      <c r="AN1240" t="str">
        <f>VLOOKUP(MID($AR1240,1,255),country_lookup!$B:$F,5,FALSE)</f>
        <v>2_civil law</v>
      </c>
      <c r="AO1240" s="10" t="str">
        <f>VLOOKUP(MID($AS1240,1,255),source_lookup!$B:$K,4,FALSE)</f>
        <v>0_published</v>
      </c>
      <c r="AP1240" s="10" t="str">
        <f>VLOOKUP(MID($AS1240,1,255),source_lookup!$B:$K,6,FALSE)</f>
        <v>1_VHB high</v>
      </c>
      <c r="AQ1240" s="10" t="str">
        <f>VLOOKUP(MID($AS1240,1,255),source_lookup!$B:$K,10,FALSE)</f>
        <v>2_sust</v>
      </c>
      <c r="AR1240" t="s">
        <v>94</v>
      </c>
      <c r="AS1240" t="s">
        <v>186</v>
      </c>
    </row>
    <row r="1241" spans="1:45" x14ac:dyDescent="0.3">
      <c r="A1241" t="s">
        <v>63</v>
      </c>
      <c r="B1241">
        <v>1240</v>
      </c>
      <c r="C1241" s="1">
        <v>-6.6833859491046754E-2</v>
      </c>
      <c r="D1241" s="2">
        <v>191</v>
      </c>
      <c r="E1241" s="4">
        <v>955</v>
      </c>
      <c r="F1241" s="4" t="s">
        <v>346</v>
      </c>
      <c r="G1241" s="4" t="s">
        <v>347</v>
      </c>
      <c r="H1241" t="s">
        <v>77</v>
      </c>
      <c r="I1241" t="s">
        <v>350</v>
      </c>
      <c r="J1241" s="3">
        <v>2011</v>
      </c>
      <c r="K1241" s="3">
        <v>2015</v>
      </c>
      <c r="L1241" s="6">
        <f t="shared" si="391"/>
        <v>2013</v>
      </c>
      <c r="M1241" s="6">
        <f t="shared" si="392"/>
        <v>2013</v>
      </c>
      <c r="N1241" s="7">
        <f t="shared" si="380"/>
        <v>0</v>
      </c>
      <c r="O1241" s="7">
        <f t="shared" si="381"/>
        <v>0</v>
      </c>
      <c r="P1241" s="7">
        <f t="shared" si="382"/>
        <v>0</v>
      </c>
      <c r="Q1241" s="7">
        <f t="shared" si="393"/>
        <v>0</v>
      </c>
      <c r="R1241" s="10" t="str">
        <f t="shared" si="383"/>
        <v>0_Pre</v>
      </c>
      <c r="S1241" s="10" t="str">
        <f t="shared" si="384"/>
        <v>0_Pre</v>
      </c>
      <c r="T1241" s="10" t="str">
        <f t="shared" si="385"/>
        <v>0_Pre</v>
      </c>
      <c r="U1241" s="10" t="str">
        <f t="shared" si="386"/>
        <v>0_Pre</v>
      </c>
      <c r="V1241" s="10" t="str">
        <f t="shared" si="394"/>
        <v>0_Pre</v>
      </c>
      <c r="W1241" s="10" t="str">
        <f t="shared" si="387"/>
        <v>clean_pre</v>
      </c>
      <c r="X1241" s="10" t="str">
        <f t="shared" si="388"/>
        <v>0_Pre</v>
      </c>
      <c r="Y1241" s="10" t="str">
        <f t="shared" si="389"/>
        <v>0_Pre</v>
      </c>
      <c r="Z1241" s="10" t="str">
        <f t="shared" si="390"/>
        <v>0_Pre</v>
      </c>
      <c r="AA1241" s="10" t="str">
        <f t="shared" si="395"/>
        <v>0_Pre</v>
      </c>
      <c r="AB1241" s="10" t="str">
        <f t="shared" si="396"/>
        <v>0_Pre</v>
      </c>
      <c r="AC1241" s="10" t="str">
        <f t="shared" si="397"/>
        <v>0_Pre</v>
      </c>
      <c r="AD1241" s="10" t="str">
        <f t="shared" si="398"/>
        <v>2_post sample median</v>
      </c>
      <c r="AE1241" s="10" t="str">
        <f t="shared" si="399"/>
        <v>2_in sample second tertile</v>
      </c>
      <c r="AF1241" t="s">
        <v>80</v>
      </c>
      <c r="AG1241" t="s">
        <v>75</v>
      </c>
      <c r="AH1241" t="s">
        <v>79</v>
      </c>
      <c r="AI1241" t="s">
        <v>122</v>
      </c>
      <c r="AJ1241" t="s">
        <v>123</v>
      </c>
      <c r="AK1241" t="str">
        <f>VLOOKUP(MID($AR1241,1,255),country_lookup!$B:$F,2,FALSE)</f>
        <v>3_AsiaPac</v>
      </c>
      <c r="AL1241" t="str">
        <f>VLOOKUP(MID($AR1241,1,255),country_lookup!$B:$F,3,FALSE)</f>
        <v>2_developing</v>
      </c>
      <c r="AM1241" t="str">
        <f>VLOOKUP(MID($AR1241,1,255),country_lookup!$B:$F,4,FALSE)</f>
        <v>2_non_western</v>
      </c>
      <c r="AN1241" t="str">
        <f>VLOOKUP(MID($AR1241,1,255),country_lookup!$B:$F,5,FALSE)</f>
        <v>2_civil law</v>
      </c>
      <c r="AO1241" s="10" t="str">
        <f>VLOOKUP(MID($AS1241,1,255),source_lookup!$B:$K,4,FALSE)</f>
        <v>0_published</v>
      </c>
      <c r="AP1241" s="10" t="str">
        <f>VLOOKUP(MID($AS1241,1,255),source_lookup!$B:$K,6,FALSE)</f>
        <v>1_VHB high</v>
      </c>
      <c r="AQ1241" s="10" t="str">
        <f>VLOOKUP(MID($AS1241,1,255),source_lookup!$B:$K,10,FALSE)</f>
        <v>2_sust</v>
      </c>
      <c r="AR1241" t="s">
        <v>94</v>
      </c>
      <c r="AS1241" t="s">
        <v>186</v>
      </c>
    </row>
    <row r="1242" spans="1:45" x14ac:dyDescent="0.3">
      <c r="A1242" t="s">
        <v>63</v>
      </c>
      <c r="B1242">
        <v>1241</v>
      </c>
      <c r="C1242" s="1">
        <v>5.8791945818553397E-2</v>
      </c>
      <c r="D1242" s="2">
        <v>191</v>
      </c>
      <c r="E1242" s="4">
        <v>955</v>
      </c>
      <c r="F1242" s="4" t="s">
        <v>346</v>
      </c>
      <c r="G1242" s="4" t="s">
        <v>347</v>
      </c>
      <c r="H1242" t="s">
        <v>77</v>
      </c>
      <c r="I1242" t="s">
        <v>350</v>
      </c>
      <c r="J1242" s="3">
        <v>2011</v>
      </c>
      <c r="K1242" s="3">
        <v>2015</v>
      </c>
      <c r="L1242" s="6">
        <f t="shared" si="391"/>
        <v>2013</v>
      </c>
      <c r="M1242" s="6">
        <f t="shared" si="392"/>
        <v>2013</v>
      </c>
      <c r="N1242" s="7">
        <f t="shared" si="380"/>
        <v>0</v>
      </c>
      <c r="O1242" s="7">
        <f t="shared" si="381"/>
        <v>0</v>
      </c>
      <c r="P1242" s="7">
        <f t="shared" si="382"/>
        <v>0</v>
      </c>
      <c r="Q1242" s="7">
        <f t="shared" si="393"/>
        <v>0</v>
      </c>
      <c r="R1242" s="10" t="str">
        <f t="shared" si="383"/>
        <v>0_Pre</v>
      </c>
      <c r="S1242" s="10" t="str">
        <f t="shared" si="384"/>
        <v>0_Pre</v>
      </c>
      <c r="T1242" s="10" t="str">
        <f t="shared" si="385"/>
        <v>0_Pre</v>
      </c>
      <c r="U1242" s="10" t="str">
        <f t="shared" si="386"/>
        <v>0_Pre</v>
      </c>
      <c r="V1242" s="10" t="str">
        <f t="shared" si="394"/>
        <v>0_Pre</v>
      </c>
      <c r="W1242" s="10" t="str">
        <f t="shared" si="387"/>
        <v>clean_pre</v>
      </c>
      <c r="X1242" s="10" t="str">
        <f t="shared" si="388"/>
        <v>0_Pre</v>
      </c>
      <c r="Y1242" s="10" t="str">
        <f t="shared" si="389"/>
        <v>0_Pre</v>
      </c>
      <c r="Z1242" s="10" t="str">
        <f t="shared" si="390"/>
        <v>0_Pre</v>
      </c>
      <c r="AA1242" s="10" t="str">
        <f t="shared" si="395"/>
        <v>0_Pre</v>
      </c>
      <c r="AB1242" s="10" t="str">
        <f t="shared" si="396"/>
        <v>0_Pre</v>
      </c>
      <c r="AC1242" s="10" t="str">
        <f t="shared" si="397"/>
        <v>0_Pre</v>
      </c>
      <c r="AD1242" s="10" t="str">
        <f t="shared" si="398"/>
        <v>2_post sample median</v>
      </c>
      <c r="AE1242" s="10" t="str">
        <f t="shared" si="399"/>
        <v>2_in sample second tertile</v>
      </c>
      <c r="AF1242" t="s">
        <v>80</v>
      </c>
      <c r="AG1242" t="s">
        <v>75</v>
      </c>
      <c r="AH1242" t="s">
        <v>79</v>
      </c>
      <c r="AI1242" t="s">
        <v>122</v>
      </c>
      <c r="AJ1242" t="s">
        <v>123</v>
      </c>
      <c r="AK1242" t="str">
        <f>VLOOKUP(MID($AR1242,1,255),country_lookup!$B:$F,2,FALSE)</f>
        <v>3_AsiaPac</v>
      </c>
      <c r="AL1242" t="str">
        <f>VLOOKUP(MID($AR1242,1,255),country_lookup!$B:$F,3,FALSE)</f>
        <v>2_developing</v>
      </c>
      <c r="AM1242" t="str">
        <f>VLOOKUP(MID($AR1242,1,255),country_lookup!$B:$F,4,FALSE)</f>
        <v>2_non_western</v>
      </c>
      <c r="AN1242" t="str">
        <f>VLOOKUP(MID($AR1242,1,255),country_lookup!$B:$F,5,FALSE)</f>
        <v>2_civil law</v>
      </c>
      <c r="AO1242" s="10" t="str">
        <f>VLOOKUP(MID($AS1242,1,255),source_lookup!$B:$K,4,FALSE)</f>
        <v>0_published</v>
      </c>
      <c r="AP1242" s="10" t="str">
        <f>VLOOKUP(MID($AS1242,1,255),source_lookup!$B:$K,6,FALSE)</f>
        <v>1_VHB high</v>
      </c>
      <c r="AQ1242" s="10" t="str">
        <f>VLOOKUP(MID($AS1242,1,255),source_lookup!$B:$K,10,FALSE)</f>
        <v>2_sust</v>
      </c>
      <c r="AR1242" t="s">
        <v>94</v>
      </c>
      <c r="AS1242" t="s">
        <v>186</v>
      </c>
    </row>
    <row r="1243" spans="1:45" x14ac:dyDescent="0.3">
      <c r="A1243" t="s">
        <v>63</v>
      </c>
      <c r="B1243">
        <v>1242</v>
      </c>
      <c r="C1243" s="1">
        <v>4.4522687461620414E-2</v>
      </c>
      <c r="D1243" s="2">
        <v>145</v>
      </c>
      <c r="E1243" s="4">
        <v>725</v>
      </c>
      <c r="F1243" s="4" t="s">
        <v>346</v>
      </c>
      <c r="G1243" s="4" t="s">
        <v>347</v>
      </c>
      <c r="H1243" t="s">
        <v>77</v>
      </c>
      <c r="I1243" t="s">
        <v>350</v>
      </c>
      <c r="J1243" s="3">
        <v>2011</v>
      </c>
      <c r="K1243" s="3">
        <v>2015</v>
      </c>
      <c r="L1243" s="6">
        <f t="shared" si="391"/>
        <v>2013</v>
      </c>
      <c r="M1243" s="6">
        <f t="shared" si="392"/>
        <v>2013</v>
      </c>
      <c r="N1243" s="7">
        <f t="shared" si="380"/>
        <v>0</v>
      </c>
      <c r="O1243" s="7">
        <f t="shared" si="381"/>
        <v>0</v>
      </c>
      <c r="P1243" s="7">
        <f t="shared" si="382"/>
        <v>0</v>
      </c>
      <c r="Q1243" s="7">
        <f t="shared" si="393"/>
        <v>0</v>
      </c>
      <c r="R1243" s="10" t="str">
        <f t="shared" si="383"/>
        <v>0_Pre</v>
      </c>
      <c r="S1243" s="10" t="str">
        <f t="shared" si="384"/>
        <v>0_Pre</v>
      </c>
      <c r="T1243" s="10" t="str">
        <f t="shared" si="385"/>
        <v>0_Pre</v>
      </c>
      <c r="U1243" s="10" t="str">
        <f t="shared" si="386"/>
        <v>0_Pre</v>
      </c>
      <c r="V1243" s="10" t="str">
        <f t="shared" si="394"/>
        <v>0_Pre</v>
      </c>
      <c r="W1243" s="10" t="str">
        <f t="shared" si="387"/>
        <v>clean_pre</v>
      </c>
      <c r="X1243" s="10" t="str">
        <f t="shared" si="388"/>
        <v>0_Pre</v>
      </c>
      <c r="Y1243" s="10" t="str">
        <f t="shared" si="389"/>
        <v>0_Pre</v>
      </c>
      <c r="Z1243" s="10" t="str">
        <f t="shared" si="390"/>
        <v>0_Pre</v>
      </c>
      <c r="AA1243" s="10" t="str">
        <f t="shared" si="395"/>
        <v>0_Pre</v>
      </c>
      <c r="AB1243" s="10" t="str">
        <f t="shared" si="396"/>
        <v>0_Pre</v>
      </c>
      <c r="AC1243" s="10" t="str">
        <f t="shared" si="397"/>
        <v>0_Pre</v>
      </c>
      <c r="AD1243" s="10" t="str">
        <f t="shared" si="398"/>
        <v>2_post sample median</v>
      </c>
      <c r="AE1243" s="10" t="str">
        <f t="shared" si="399"/>
        <v>2_in sample second tertile</v>
      </c>
      <c r="AF1243" t="s">
        <v>80</v>
      </c>
      <c r="AG1243" t="s">
        <v>75</v>
      </c>
      <c r="AH1243" t="s">
        <v>79</v>
      </c>
      <c r="AI1243" t="s">
        <v>122</v>
      </c>
      <c r="AJ1243" t="s">
        <v>123</v>
      </c>
      <c r="AK1243" t="str">
        <f>VLOOKUP(MID($AR1243,1,255),country_lookup!$B:$F,2,FALSE)</f>
        <v>3_AsiaPac</v>
      </c>
      <c r="AL1243" t="str">
        <f>VLOOKUP(MID($AR1243,1,255),country_lookup!$B:$F,3,FALSE)</f>
        <v>2_developing</v>
      </c>
      <c r="AM1243" t="str">
        <f>VLOOKUP(MID($AR1243,1,255),country_lookup!$B:$F,4,FALSE)</f>
        <v>2_non_western</v>
      </c>
      <c r="AN1243" t="str">
        <f>VLOOKUP(MID($AR1243,1,255),country_lookup!$B:$F,5,FALSE)</f>
        <v>2_civil law</v>
      </c>
      <c r="AO1243" s="10" t="str">
        <f>VLOOKUP(MID($AS1243,1,255),source_lookup!$B:$K,4,FALSE)</f>
        <v>0_published</v>
      </c>
      <c r="AP1243" s="10" t="str">
        <f>VLOOKUP(MID($AS1243,1,255),source_lookup!$B:$K,6,FALSE)</f>
        <v>1_VHB high</v>
      </c>
      <c r="AQ1243" s="10" t="str">
        <f>VLOOKUP(MID($AS1243,1,255),source_lookup!$B:$K,10,FALSE)</f>
        <v>2_sust</v>
      </c>
      <c r="AR1243" t="s">
        <v>94</v>
      </c>
      <c r="AS1243" t="s">
        <v>186</v>
      </c>
    </row>
    <row r="1244" spans="1:45" x14ac:dyDescent="0.3">
      <c r="A1244" t="s">
        <v>63</v>
      </c>
      <c r="B1244">
        <v>1243</v>
      </c>
      <c r="C1244" s="1">
        <v>-5.2294433375518388E-2</v>
      </c>
      <c r="D1244" s="2">
        <v>145</v>
      </c>
      <c r="E1244" s="4">
        <v>725</v>
      </c>
      <c r="F1244" s="4" t="s">
        <v>346</v>
      </c>
      <c r="G1244" s="4" t="s">
        <v>347</v>
      </c>
      <c r="H1244" t="s">
        <v>77</v>
      </c>
      <c r="I1244" t="s">
        <v>350</v>
      </c>
      <c r="J1244" s="3">
        <v>2011</v>
      </c>
      <c r="K1244" s="3">
        <v>2015</v>
      </c>
      <c r="L1244" s="6">
        <f t="shared" si="391"/>
        <v>2013</v>
      </c>
      <c r="M1244" s="6">
        <f t="shared" si="392"/>
        <v>2013</v>
      </c>
      <c r="N1244" s="7">
        <f t="shared" si="380"/>
        <v>0</v>
      </c>
      <c r="O1244" s="7">
        <f t="shared" si="381"/>
        <v>0</v>
      </c>
      <c r="P1244" s="7">
        <f t="shared" si="382"/>
        <v>0</v>
      </c>
      <c r="Q1244" s="7">
        <f t="shared" si="393"/>
        <v>0</v>
      </c>
      <c r="R1244" s="10" t="str">
        <f t="shared" si="383"/>
        <v>0_Pre</v>
      </c>
      <c r="S1244" s="10" t="str">
        <f t="shared" si="384"/>
        <v>0_Pre</v>
      </c>
      <c r="T1244" s="10" t="str">
        <f t="shared" si="385"/>
        <v>0_Pre</v>
      </c>
      <c r="U1244" s="10" t="str">
        <f t="shared" si="386"/>
        <v>0_Pre</v>
      </c>
      <c r="V1244" s="10" t="str">
        <f t="shared" si="394"/>
        <v>0_Pre</v>
      </c>
      <c r="W1244" s="10" t="str">
        <f t="shared" si="387"/>
        <v>clean_pre</v>
      </c>
      <c r="X1244" s="10" t="str">
        <f t="shared" si="388"/>
        <v>0_Pre</v>
      </c>
      <c r="Y1244" s="10" t="str">
        <f t="shared" si="389"/>
        <v>0_Pre</v>
      </c>
      <c r="Z1244" s="10" t="str">
        <f t="shared" si="390"/>
        <v>0_Pre</v>
      </c>
      <c r="AA1244" s="10" t="str">
        <f t="shared" si="395"/>
        <v>0_Pre</v>
      </c>
      <c r="AB1244" s="10" t="str">
        <f t="shared" si="396"/>
        <v>0_Pre</v>
      </c>
      <c r="AC1244" s="10" t="str">
        <f t="shared" si="397"/>
        <v>0_Pre</v>
      </c>
      <c r="AD1244" s="10" t="str">
        <f t="shared" si="398"/>
        <v>2_post sample median</v>
      </c>
      <c r="AE1244" s="10" t="str">
        <f t="shared" si="399"/>
        <v>2_in sample second tertile</v>
      </c>
      <c r="AF1244" t="s">
        <v>80</v>
      </c>
      <c r="AG1244" t="s">
        <v>75</v>
      </c>
      <c r="AH1244" t="s">
        <v>79</v>
      </c>
      <c r="AI1244" t="s">
        <v>122</v>
      </c>
      <c r="AJ1244" t="s">
        <v>123</v>
      </c>
      <c r="AK1244" t="str">
        <f>VLOOKUP(MID($AR1244,1,255),country_lookup!$B:$F,2,FALSE)</f>
        <v>3_AsiaPac</v>
      </c>
      <c r="AL1244" t="str">
        <f>VLOOKUP(MID($AR1244,1,255),country_lookup!$B:$F,3,FALSE)</f>
        <v>2_developing</v>
      </c>
      <c r="AM1244" t="str">
        <f>VLOOKUP(MID($AR1244,1,255),country_lookup!$B:$F,4,FALSE)</f>
        <v>2_non_western</v>
      </c>
      <c r="AN1244" t="str">
        <f>VLOOKUP(MID($AR1244,1,255),country_lookup!$B:$F,5,FALSE)</f>
        <v>2_civil law</v>
      </c>
      <c r="AO1244" s="10" t="str">
        <f>VLOOKUP(MID($AS1244,1,255),source_lookup!$B:$K,4,FALSE)</f>
        <v>0_published</v>
      </c>
      <c r="AP1244" s="10" t="str">
        <f>VLOOKUP(MID($AS1244,1,255),source_lookup!$B:$K,6,FALSE)</f>
        <v>1_VHB high</v>
      </c>
      <c r="AQ1244" s="10" t="str">
        <f>VLOOKUP(MID($AS1244,1,255),source_lookup!$B:$K,10,FALSE)</f>
        <v>2_sust</v>
      </c>
      <c r="AR1244" t="s">
        <v>94</v>
      </c>
      <c r="AS1244" t="s">
        <v>186</v>
      </c>
    </row>
    <row r="1245" spans="1:45" x14ac:dyDescent="0.3">
      <c r="A1245" t="s">
        <v>63</v>
      </c>
      <c r="B1245">
        <v>1244</v>
      </c>
      <c r="C1245" s="1">
        <v>4.1559817748342887E-2</v>
      </c>
      <c r="D1245" s="2">
        <v>145</v>
      </c>
      <c r="E1245" s="4">
        <v>725</v>
      </c>
      <c r="F1245" s="4" t="s">
        <v>346</v>
      </c>
      <c r="G1245" s="4" t="s">
        <v>347</v>
      </c>
      <c r="H1245" t="s">
        <v>77</v>
      </c>
      <c r="I1245" t="s">
        <v>350</v>
      </c>
      <c r="J1245" s="3">
        <v>2011</v>
      </c>
      <c r="K1245" s="3">
        <v>2015</v>
      </c>
      <c r="L1245" s="6">
        <f t="shared" si="391"/>
        <v>2013</v>
      </c>
      <c r="M1245" s="6">
        <f t="shared" si="392"/>
        <v>2013</v>
      </c>
      <c r="N1245" s="7">
        <f t="shared" si="380"/>
        <v>0</v>
      </c>
      <c r="O1245" s="7">
        <f t="shared" si="381"/>
        <v>0</v>
      </c>
      <c r="P1245" s="7">
        <f t="shared" si="382"/>
        <v>0</v>
      </c>
      <c r="Q1245" s="7">
        <f t="shared" si="393"/>
        <v>0</v>
      </c>
      <c r="R1245" s="10" t="str">
        <f t="shared" si="383"/>
        <v>0_Pre</v>
      </c>
      <c r="S1245" s="10" t="str">
        <f t="shared" si="384"/>
        <v>0_Pre</v>
      </c>
      <c r="T1245" s="10" t="str">
        <f t="shared" si="385"/>
        <v>0_Pre</v>
      </c>
      <c r="U1245" s="10" t="str">
        <f t="shared" si="386"/>
        <v>0_Pre</v>
      </c>
      <c r="V1245" s="10" t="str">
        <f t="shared" si="394"/>
        <v>0_Pre</v>
      </c>
      <c r="W1245" s="10" t="str">
        <f t="shared" si="387"/>
        <v>clean_pre</v>
      </c>
      <c r="X1245" s="10" t="str">
        <f t="shared" si="388"/>
        <v>0_Pre</v>
      </c>
      <c r="Y1245" s="10" t="str">
        <f t="shared" si="389"/>
        <v>0_Pre</v>
      </c>
      <c r="Z1245" s="10" t="str">
        <f t="shared" si="390"/>
        <v>0_Pre</v>
      </c>
      <c r="AA1245" s="10" t="str">
        <f t="shared" si="395"/>
        <v>0_Pre</v>
      </c>
      <c r="AB1245" s="10" t="str">
        <f t="shared" si="396"/>
        <v>0_Pre</v>
      </c>
      <c r="AC1245" s="10" t="str">
        <f t="shared" si="397"/>
        <v>0_Pre</v>
      </c>
      <c r="AD1245" s="10" t="str">
        <f t="shared" si="398"/>
        <v>2_post sample median</v>
      </c>
      <c r="AE1245" s="10" t="str">
        <f t="shared" si="399"/>
        <v>2_in sample second tertile</v>
      </c>
      <c r="AF1245" t="s">
        <v>80</v>
      </c>
      <c r="AG1245" t="s">
        <v>75</v>
      </c>
      <c r="AH1245" t="s">
        <v>79</v>
      </c>
      <c r="AI1245" t="s">
        <v>122</v>
      </c>
      <c r="AJ1245" t="s">
        <v>123</v>
      </c>
      <c r="AK1245" t="str">
        <f>VLOOKUP(MID($AR1245,1,255),country_lookup!$B:$F,2,FALSE)</f>
        <v>3_AsiaPac</v>
      </c>
      <c r="AL1245" t="str">
        <f>VLOOKUP(MID($AR1245,1,255),country_lookup!$B:$F,3,FALSE)</f>
        <v>2_developing</v>
      </c>
      <c r="AM1245" t="str">
        <f>VLOOKUP(MID($AR1245,1,255),country_lookup!$B:$F,4,FALSE)</f>
        <v>2_non_western</v>
      </c>
      <c r="AN1245" t="str">
        <f>VLOOKUP(MID($AR1245,1,255),country_lookup!$B:$F,5,FALSE)</f>
        <v>2_civil law</v>
      </c>
      <c r="AO1245" s="10" t="str">
        <f>VLOOKUP(MID($AS1245,1,255),source_lookup!$B:$K,4,FALSE)</f>
        <v>0_published</v>
      </c>
      <c r="AP1245" s="10" t="str">
        <f>VLOOKUP(MID($AS1245,1,255),source_lookup!$B:$K,6,FALSE)</f>
        <v>1_VHB high</v>
      </c>
      <c r="AQ1245" s="10" t="str">
        <f>VLOOKUP(MID($AS1245,1,255),source_lookup!$B:$K,10,FALSE)</f>
        <v>2_sust</v>
      </c>
      <c r="AR1245" t="s">
        <v>94</v>
      </c>
      <c r="AS1245" t="s">
        <v>186</v>
      </c>
    </row>
    <row r="1246" spans="1:45" x14ac:dyDescent="0.3">
      <c r="A1246" t="s">
        <v>63</v>
      </c>
      <c r="B1246">
        <v>1245</v>
      </c>
      <c r="C1246" s="1">
        <v>-4.8594699930575656E-2</v>
      </c>
      <c r="D1246" s="2">
        <v>145</v>
      </c>
      <c r="E1246" s="4">
        <v>725</v>
      </c>
      <c r="F1246" s="4" t="s">
        <v>346</v>
      </c>
      <c r="G1246" s="4" t="s">
        <v>347</v>
      </c>
      <c r="H1246" t="s">
        <v>77</v>
      </c>
      <c r="I1246" t="s">
        <v>350</v>
      </c>
      <c r="J1246" s="3">
        <v>2011</v>
      </c>
      <c r="K1246" s="3">
        <v>2015</v>
      </c>
      <c r="L1246" s="6">
        <f t="shared" si="391"/>
        <v>2013</v>
      </c>
      <c r="M1246" s="6">
        <f t="shared" si="392"/>
        <v>2013</v>
      </c>
      <c r="N1246" s="7">
        <f t="shared" si="380"/>
        <v>0</v>
      </c>
      <c r="O1246" s="7">
        <f t="shared" si="381"/>
        <v>0</v>
      </c>
      <c r="P1246" s="7">
        <f t="shared" si="382"/>
        <v>0</v>
      </c>
      <c r="Q1246" s="7">
        <f t="shared" si="393"/>
        <v>0</v>
      </c>
      <c r="R1246" s="10" t="str">
        <f t="shared" si="383"/>
        <v>0_Pre</v>
      </c>
      <c r="S1246" s="10" t="str">
        <f t="shared" si="384"/>
        <v>0_Pre</v>
      </c>
      <c r="T1246" s="10" t="str">
        <f t="shared" si="385"/>
        <v>0_Pre</v>
      </c>
      <c r="U1246" s="10" t="str">
        <f t="shared" si="386"/>
        <v>0_Pre</v>
      </c>
      <c r="V1246" s="10" t="str">
        <f t="shared" si="394"/>
        <v>0_Pre</v>
      </c>
      <c r="W1246" s="10" t="str">
        <f t="shared" si="387"/>
        <v>clean_pre</v>
      </c>
      <c r="X1246" s="10" t="str">
        <f t="shared" si="388"/>
        <v>0_Pre</v>
      </c>
      <c r="Y1246" s="10" t="str">
        <f t="shared" si="389"/>
        <v>0_Pre</v>
      </c>
      <c r="Z1246" s="10" t="str">
        <f t="shared" si="390"/>
        <v>0_Pre</v>
      </c>
      <c r="AA1246" s="10" t="str">
        <f t="shared" si="395"/>
        <v>0_Pre</v>
      </c>
      <c r="AB1246" s="10" t="str">
        <f t="shared" si="396"/>
        <v>0_Pre</v>
      </c>
      <c r="AC1246" s="10" t="str">
        <f t="shared" si="397"/>
        <v>0_Pre</v>
      </c>
      <c r="AD1246" s="10" t="str">
        <f t="shared" si="398"/>
        <v>2_post sample median</v>
      </c>
      <c r="AE1246" s="10" t="str">
        <f t="shared" si="399"/>
        <v>2_in sample second tertile</v>
      </c>
      <c r="AF1246" t="s">
        <v>80</v>
      </c>
      <c r="AG1246" t="s">
        <v>75</v>
      </c>
      <c r="AH1246" t="s">
        <v>79</v>
      </c>
      <c r="AI1246" t="s">
        <v>122</v>
      </c>
      <c r="AJ1246" t="s">
        <v>123</v>
      </c>
      <c r="AK1246" t="str">
        <f>VLOOKUP(MID($AR1246,1,255),country_lookup!$B:$F,2,FALSE)</f>
        <v>3_AsiaPac</v>
      </c>
      <c r="AL1246" t="str">
        <f>VLOOKUP(MID($AR1246,1,255),country_lookup!$B:$F,3,FALSE)</f>
        <v>2_developing</v>
      </c>
      <c r="AM1246" t="str">
        <f>VLOOKUP(MID($AR1246,1,255),country_lookup!$B:$F,4,FALSE)</f>
        <v>2_non_western</v>
      </c>
      <c r="AN1246" t="str">
        <f>VLOOKUP(MID($AR1246,1,255),country_lookup!$B:$F,5,FALSE)</f>
        <v>2_civil law</v>
      </c>
      <c r="AO1246" s="10" t="str">
        <f>VLOOKUP(MID($AS1246,1,255),source_lookup!$B:$K,4,FALSE)</f>
        <v>0_published</v>
      </c>
      <c r="AP1246" s="10" t="str">
        <f>VLOOKUP(MID($AS1246,1,255),source_lookup!$B:$K,6,FALSE)</f>
        <v>1_VHB high</v>
      </c>
      <c r="AQ1246" s="10" t="str">
        <f>VLOOKUP(MID($AS1246,1,255),source_lookup!$B:$K,10,FALSE)</f>
        <v>2_sust</v>
      </c>
      <c r="AR1246" t="s">
        <v>94</v>
      </c>
      <c r="AS1246" t="s">
        <v>186</v>
      </c>
    </row>
    <row r="1247" spans="1:45" x14ac:dyDescent="0.3">
      <c r="A1247" t="s">
        <v>63</v>
      </c>
      <c r="B1247">
        <v>1246</v>
      </c>
      <c r="C1247" s="1">
        <v>-6.5963560322092607E-2</v>
      </c>
      <c r="D1247" s="2">
        <v>145</v>
      </c>
      <c r="E1247" s="4">
        <v>725</v>
      </c>
      <c r="F1247" s="4" t="s">
        <v>346</v>
      </c>
      <c r="G1247" s="4" t="s">
        <v>347</v>
      </c>
      <c r="H1247" t="s">
        <v>77</v>
      </c>
      <c r="I1247" t="s">
        <v>350</v>
      </c>
      <c r="J1247" s="3">
        <v>2011</v>
      </c>
      <c r="K1247" s="3">
        <v>2015</v>
      </c>
      <c r="L1247" s="6">
        <f t="shared" si="391"/>
        <v>2013</v>
      </c>
      <c r="M1247" s="6">
        <f t="shared" si="392"/>
        <v>2013</v>
      </c>
      <c r="N1247" s="7">
        <f t="shared" si="380"/>
        <v>0</v>
      </c>
      <c r="O1247" s="7">
        <f t="shared" si="381"/>
        <v>0</v>
      </c>
      <c r="P1247" s="7">
        <f t="shared" si="382"/>
        <v>0</v>
      </c>
      <c r="Q1247" s="7">
        <f t="shared" si="393"/>
        <v>0</v>
      </c>
      <c r="R1247" s="10" t="str">
        <f t="shared" si="383"/>
        <v>0_Pre</v>
      </c>
      <c r="S1247" s="10" t="str">
        <f t="shared" si="384"/>
        <v>0_Pre</v>
      </c>
      <c r="T1247" s="10" t="str">
        <f t="shared" si="385"/>
        <v>0_Pre</v>
      </c>
      <c r="U1247" s="10" t="str">
        <f t="shared" si="386"/>
        <v>0_Pre</v>
      </c>
      <c r="V1247" s="10" t="str">
        <f t="shared" si="394"/>
        <v>0_Pre</v>
      </c>
      <c r="W1247" s="10" t="str">
        <f t="shared" si="387"/>
        <v>clean_pre</v>
      </c>
      <c r="X1247" s="10" t="str">
        <f t="shared" si="388"/>
        <v>0_Pre</v>
      </c>
      <c r="Y1247" s="10" t="str">
        <f t="shared" si="389"/>
        <v>0_Pre</v>
      </c>
      <c r="Z1247" s="10" t="str">
        <f t="shared" si="390"/>
        <v>0_Pre</v>
      </c>
      <c r="AA1247" s="10" t="str">
        <f t="shared" si="395"/>
        <v>0_Pre</v>
      </c>
      <c r="AB1247" s="10" t="str">
        <f t="shared" si="396"/>
        <v>0_Pre</v>
      </c>
      <c r="AC1247" s="10" t="str">
        <f t="shared" si="397"/>
        <v>0_Pre</v>
      </c>
      <c r="AD1247" s="10" t="str">
        <f t="shared" si="398"/>
        <v>2_post sample median</v>
      </c>
      <c r="AE1247" s="10" t="str">
        <f t="shared" si="399"/>
        <v>2_in sample second tertile</v>
      </c>
      <c r="AF1247" t="s">
        <v>80</v>
      </c>
      <c r="AG1247" t="s">
        <v>75</v>
      </c>
      <c r="AH1247" t="s">
        <v>79</v>
      </c>
      <c r="AI1247" t="s">
        <v>122</v>
      </c>
      <c r="AJ1247" t="s">
        <v>123</v>
      </c>
      <c r="AK1247" t="str">
        <f>VLOOKUP(MID($AR1247,1,255),country_lookup!$B:$F,2,FALSE)</f>
        <v>3_AsiaPac</v>
      </c>
      <c r="AL1247" t="str">
        <f>VLOOKUP(MID($AR1247,1,255),country_lookup!$B:$F,3,FALSE)</f>
        <v>2_developing</v>
      </c>
      <c r="AM1247" t="str">
        <f>VLOOKUP(MID($AR1247,1,255),country_lookup!$B:$F,4,FALSE)</f>
        <v>2_non_western</v>
      </c>
      <c r="AN1247" t="str">
        <f>VLOOKUP(MID($AR1247,1,255),country_lookup!$B:$F,5,FALSE)</f>
        <v>2_civil law</v>
      </c>
      <c r="AO1247" s="10" t="str">
        <f>VLOOKUP(MID($AS1247,1,255),source_lookup!$B:$K,4,FALSE)</f>
        <v>0_published</v>
      </c>
      <c r="AP1247" s="10" t="str">
        <f>VLOOKUP(MID($AS1247,1,255),source_lookup!$B:$K,6,FALSE)</f>
        <v>1_VHB high</v>
      </c>
      <c r="AQ1247" s="10" t="str">
        <f>VLOOKUP(MID($AS1247,1,255),source_lookup!$B:$K,10,FALSE)</f>
        <v>2_sust</v>
      </c>
      <c r="AR1247" t="s">
        <v>94</v>
      </c>
      <c r="AS1247" t="s">
        <v>186</v>
      </c>
    </row>
    <row r="1248" spans="1:45" x14ac:dyDescent="0.3">
      <c r="A1248" t="s">
        <v>63</v>
      </c>
      <c r="B1248">
        <v>1247</v>
      </c>
      <c r="C1248" s="1">
        <v>4.9334811553500786E-2</v>
      </c>
      <c r="D1248" s="2">
        <v>145</v>
      </c>
      <c r="E1248" s="4">
        <v>725</v>
      </c>
      <c r="F1248" s="4" t="s">
        <v>346</v>
      </c>
      <c r="G1248" s="4" t="s">
        <v>347</v>
      </c>
      <c r="H1248" t="s">
        <v>77</v>
      </c>
      <c r="I1248" t="s">
        <v>350</v>
      </c>
      <c r="J1248" s="3">
        <v>2011</v>
      </c>
      <c r="K1248" s="3">
        <v>2015</v>
      </c>
      <c r="L1248" s="6">
        <f t="shared" si="391"/>
        <v>2013</v>
      </c>
      <c r="M1248" s="6">
        <f t="shared" si="392"/>
        <v>2013</v>
      </c>
      <c r="N1248" s="7">
        <f t="shared" si="380"/>
        <v>0</v>
      </c>
      <c r="O1248" s="7">
        <f t="shared" si="381"/>
        <v>0</v>
      </c>
      <c r="P1248" s="7">
        <f t="shared" si="382"/>
        <v>0</v>
      </c>
      <c r="Q1248" s="7">
        <f t="shared" si="393"/>
        <v>0</v>
      </c>
      <c r="R1248" s="10" t="str">
        <f t="shared" si="383"/>
        <v>0_Pre</v>
      </c>
      <c r="S1248" s="10" t="str">
        <f t="shared" si="384"/>
        <v>0_Pre</v>
      </c>
      <c r="T1248" s="10" t="str">
        <f t="shared" si="385"/>
        <v>0_Pre</v>
      </c>
      <c r="U1248" s="10" t="str">
        <f t="shared" si="386"/>
        <v>0_Pre</v>
      </c>
      <c r="V1248" s="10" t="str">
        <f t="shared" si="394"/>
        <v>0_Pre</v>
      </c>
      <c r="W1248" s="10" t="str">
        <f t="shared" si="387"/>
        <v>clean_pre</v>
      </c>
      <c r="X1248" s="10" t="str">
        <f t="shared" si="388"/>
        <v>0_Pre</v>
      </c>
      <c r="Y1248" s="10" t="str">
        <f t="shared" si="389"/>
        <v>0_Pre</v>
      </c>
      <c r="Z1248" s="10" t="str">
        <f t="shared" si="390"/>
        <v>0_Pre</v>
      </c>
      <c r="AA1248" s="10" t="str">
        <f t="shared" si="395"/>
        <v>0_Pre</v>
      </c>
      <c r="AB1248" s="10" t="str">
        <f t="shared" si="396"/>
        <v>0_Pre</v>
      </c>
      <c r="AC1248" s="10" t="str">
        <f t="shared" si="397"/>
        <v>0_Pre</v>
      </c>
      <c r="AD1248" s="10" t="str">
        <f t="shared" si="398"/>
        <v>2_post sample median</v>
      </c>
      <c r="AE1248" s="10" t="str">
        <f t="shared" si="399"/>
        <v>2_in sample second tertile</v>
      </c>
      <c r="AF1248" t="s">
        <v>80</v>
      </c>
      <c r="AG1248" t="s">
        <v>75</v>
      </c>
      <c r="AH1248" t="s">
        <v>79</v>
      </c>
      <c r="AI1248" t="s">
        <v>122</v>
      </c>
      <c r="AJ1248" t="s">
        <v>123</v>
      </c>
      <c r="AK1248" t="str">
        <f>VLOOKUP(MID($AR1248,1,255),country_lookup!$B:$F,2,FALSE)</f>
        <v>3_AsiaPac</v>
      </c>
      <c r="AL1248" t="str">
        <f>VLOOKUP(MID($AR1248,1,255),country_lookup!$B:$F,3,FALSE)</f>
        <v>2_developing</v>
      </c>
      <c r="AM1248" t="str">
        <f>VLOOKUP(MID($AR1248,1,255),country_lookup!$B:$F,4,FALSE)</f>
        <v>2_non_western</v>
      </c>
      <c r="AN1248" t="str">
        <f>VLOOKUP(MID($AR1248,1,255),country_lookup!$B:$F,5,FALSE)</f>
        <v>2_civil law</v>
      </c>
      <c r="AO1248" s="10" t="str">
        <f>VLOOKUP(MID($AS1248,1,255),source_lookup!$B:$K,4,FALSE)</f>
        <v>0_published</v>
      </c>
      <c r="AP1248" s="10" t="str">
        <f>VLOOKUP(MID($AS1248,1,255),source_lookup!$B:$K,6,FALSE)</f>
        <v>1_VHB high</v>
      </c>
      <c r="AQ1248" s="10" t="str">
        <f>VLOOKUP(MID($AS1248,1,255),source_lookup!$B:$K,10,FALSE)</f>
        <v>2_sust</v>
      </c>
      <c r="AR1248" t="s">
        <v>94</v>
      </c>
      <c r="AS1248" t="s">
        <v>186</v>
      </c>
    </row>
    <row r="1249" spans="1:45" x14ac:dyDescent="0.3">
      <c r="A1249" t="s">
        <v>63</v>
      </c>
      <c r="B1249">
        <v>1248</v>
      </c>
      <c r="C1249" s="1">
        <v>0.1429218652164593</v>
      </c>
      <c r="D1249" s="2">
        <v>46</v>
      </c>
      <c r="E1249" s="4">
        <v>230</v>
      </c>
      <c r="F1249" s="4" t="s">
        <v>346</v>
      </c>
      <c r="G1249" s="4" t="s">
        <v>347</v>
      </c>
      <c r="H1249" t="s">
        <v>77</v>
      </c>
      <c r="I1249" t="s">
        <v>350</v>
      </c>
      <c r="J1249" s="3">
        <v>2011</v>
      </c>
      <c r="K1249" s="3">
        <v>2015</v>
      </c>
      <c r="L1249" s="6">
        <f t="shared" si="391"/>
        <v>2013</v>
      </c>
      <c r="M1249" s="6">
        <f t="shared" si="392"/>
        <v>2013</v>
      </c>
      <c r="N1249" s="7">
        <f t="shared" si="380"/>
        <v>0</v>
      </c>
      <c r="O1249" s="7">
        <f t="shared" si="381"/>
        <v>0</v>
      </c>
      <c r="P1249" s="7">
        <f t="shared" si="382"/>
        <v>0</v>
      </c>
      <c r="Q1249" s="7">
        <f t="shared" si="393"/>
        <v>0</v>
      </c>
      <c r="R1249" s="10" t="str">
        <f t="shared" si="383"/>
        <v>0_Pre</v>
      </c>
      <c r="S1249" s="10" t="str">
        <f t="shared" si="384"/>
        <v>0_Pre</v>
      </c>
      <c r="T1249" s="10" t="str">
        <f t="shared" si="385"/>
        <v>0_Pre</v>
      </c>
      <c r="U1249" s="10" t="str">
        <f t="shared" si="386"/>
        <v>0_Pre</v>
      </c>
      <c r="V1249" s="10" t="str">
        <f t="shared" si="394"/>
        <v>0_Pre</v>
      </c>
      <c r="W1249" s="10" t="str">
        <f t="shared" si="387"/>
        <v>clean_pre</v>
      </c>
      <c r="X1249" s="10" t="str">
        <f t="shared" si="388"/>
        <v>0_Pre</v>
      </c>
      <c r="Y1249" s="10" t="str">
        <f t="shared" si="389"/>
        <v>0_Pre</v>
      </c>
      <c r="Z1249" s="10" t="str">
        <f t="shared" si="390"/>
        <v>0_Pre</v>
      </c>
      <c r="AA1249" s="10" t="str">
        <f t="shared" si="395"/>
        <v>0_Pre</v>
      </c>
      <c r="AB1249" s="10" t="str">
        <f t="shared" si="396"/>
        <v>0_Pre</v>
      </c>
      <c r="AC1249" s="10" t="str">
        <f t="shared" si="397"/>
        <v>0_Pre</v>
      </c>
      <c r="AD1249" s="10" t="str">
        <f t="shared" si="398"/>
        <v>2_post sample median</v>
      </c>
      <c r="AE1249" s="10" t="str">
        <f t="shared" si="399"/>
        <v>2_in sample second tertile</v>
      </c>
      <c r="AF1249" t="s">
        <v>80</v>
      </c>
      <c r="AG1249" t="s">
        <v>75</v>
      </c>
      <c r="AH1249" t="s">
        <v>79</v>
      </c>
      <c r="AI1249" t="s">
        <v>122</v>
      </c>
      <c r="AJ1249" t="s">
        <v>123</v>
      </c>
      <c r="AK1249" t="str">
        <f>VLOOKUP(MID($AR1249,1,255),country_lookup!$B:$F,2,FALSE)</f>
        <v>3_AsiaPac</v>
      </c>
      <c r="AL1249" t="str">
        <f>VLOOKUP(MID($AR1249,1,255),country_lookup!$B:$F,3,FALSE)</f>
        <v>2_developing</v>
      </c>
      <c r="AM1249" t="str">
        <f>VLOOKUP(MID($AR1249,1,255),country_lookup!$B:$F,4,FALSE)</f>
        <v>2_non_western</v>
      </c>
      <c r="AN1249" t="str">
        <f>VLOOKUP(MID($AR1249,1,255),country_lookup!$B:$F,5,FALSE)</f>
        <v>2_civil law</v>
      </c>
      <c r="AO1249" s="10" t="str">
        <f>VLOOKUP(MID($AS1249,1,255),source_lookup!$B:$K,4,FALSE)</f>
        <v>0_published</v>
      </c>
      <c r="AP1249" s="10" t="str">
        <f>VLOOKUP(MID($AS1249,1,255),source_lookup!$B:$K,6,FALSE)</f>
        <v>1_VHB high</v>
      </c>
      <c r="AQ1249" s="10" t="str">
        <f>VLOOKUP(MID($AS1249,1,255),source_lookup!$B:$K,10,FALSE)</f>
        <v>2_sust</v>
      </c>
      <c r="AR1249" t="s">
        <v>94</v>
      </c>
      <c r="AS1249" t="s">
        <v>186</v>
      </c>
    </row>
    <row r="1250" spans="1:45" x14ac:dyDescent="0.3">
      <c r="A1250" t="s">
        <v>63</v>
      </c>
      <c r="B1250">
        <v>1249</v>
      </c>
      <c r="C1250" s="1">
        <v>-0.13074409009212268</v>
      </c>
      <c r="D1250" s="2">
        <v>46</v>
      </c>
      <c r="E1250" s="4">
        <v>230</v>
      </c>
      <c r="F1250" s="4" t="s">
        <v>346</v>
      </c>
      <c r="G1250" s="4" t="s">
        <v>347</v>
      </c>
      <c r="H1250" t="s">
        <v>77</v>
      </c>
      <c r="I1250" t="s">
        <v>350</v>
      </c>
      <c r="J1250" s="3">
        <v>2011</v>
      </c>
      <c r="K1250" s="3">
        <v>2015</v>
      </c>
      <c r="L1250" s="6">
        <f t="shared" si="391"/>
        <v>2013</v>
      </c>
      <c r="M1250" s="6">
        <f t="shared" si="392"/>
        <v>2013</v>
      </c>
      <c r="N1250" s="7">
        <f t="shared" si="380"/>
        <v>0</v>
      </c>
      <c r="O1250" s="7">
        <f t="shared" si="381"/>
        <v>0</v>
      </c>
      <c r="P1250" s="7">
        <f t="shared" si="382"/>
        <v>0</v>
      </c>
      <c r="Q1250" s="7">
        <f t="shared" si="393"/>
        <v>0</v>
      </c>
      <c r="R1250" s="10" t="str">
        <f t="shared" si="383"/>
        <v>0_Pre</v>
      </c>
      <c r="S1250" s="10" t="str">
        <f t="shared" si="384"/>
        <v>0_Pre</v>
      </c>
      <c r="T1250" s="10" t="str">
        <f t="shared" si="385"/>
        <v>0_Pre</v>
      </c>
      <c r="U1250" s="10" t="str">
        <f t="shared" si="386"/>
        <v>0_Pre</v>
      </c>
      <c r="V1250" s="10" t="str">
        <f t="shared" si="394"/>
        <v>0_Pre</v>
      </c>
      <c r="W1250" s="10" t="str">
        <f t="shared" si="387"/>
        <v>clean_pre</v>
      </c>
      <c r="X1250" s="10" t="str">
        <f t="shared" si="388"/>
        <v>0_Pre</v>
      </c>
      <c r="Y1250" s="10" t="str">
        <f t="shared" si="389"/>
        <v>0_Pre</v>
      </c>
      <c r="Z1250" s="10" t="str">
        <f t="shared" si="390"/>
        <v>0_Pre</v>
      </c>
      <c r="AA1250" s="10" t="str">
        <f t="shared" si="395"/>
        <v>0_Pre</v>
      </c>
      <c r="AB1250" s="10" t="str">
        <f t="shared" si="396"/>
        <v>0_Pre</v>
      </c>
      <c r="AC1250" s="10" t="str">
        <f t="shared" si="397"/>
        <v>0_Pre</v>
      </c>
      <c r="AD1250" s="10" t="str">
        <f t="shared" si="398"/>
        <v>2_post sample median</v>
      </c>
      <c r="AE1250" s="10" t="str">
        <f t="shared" si="399"/>
        <v>2_in sample second tertile</v>
      </c>
      <c r="AF1250" t="s">
        <v>80</v>
      </c>
      <c r="AG1250" t="s">
        <v>75</v>
      </c>
      <c r="AH1250" t="s">
        <v>79</v>
      </c>
      <c r="AI1250" t="s">
        <v>122</v>
      </c>
      <c r="AJ1250" t="s">
        <v>123</v>
      </c>
      <c r="AK1250" t="str">
        <f>VLOOKUP(MID($AR1250,1,255),country_lookup!$B:$F,2,FALSE)</f>
        <v>3_AsiaPac</v>
      </c>
      <c r="AL1250" t="str">
        <f>VLOOKUP(MID($AR1250,1,255),country_lookup!$B:$F,3,FALSE)</f>
        <v>2_developing</v>
      </c>
      <c r="AM1250" t="str">
        <f>VLOOKUP(MID($AR1250,1,255),country_lookup!$B:$F,4,FALSE)</f>
        <v>2_non_western</v>
      </c>
      <c r="AN1250" t="str">
        <f>VLOOKUP(MID($AR1250,1,255),country_lookup!$B:$F,5,FALSE)</f>
        <v>2_civil law</v>
      </c>
      <c r="AO1250" s="10" t="str">
        <f>VLOOKUP(MID($AS1250,1,255),source_lookup!$B:$K,4,FALSE)</f>
        <v>0_published</v>
      </c>
      <c r="AP1250" s="10" t="str">
        <f>VLOOKUP(MID($AS1250,1,255),source_lookup!$B:$K,6,FALSE)</f>
        <v>1_VHB high</v>
      </c>
      <c r="AQ1250" s="10" t="str">
        <f>VLOOKUP(MID($AS1250,1,255),source_lookup!$B:$K,10,FALSE)</f>
        <v>2_sust</v>
      </c>
      <c r="AR1250" t="s">
        <v>94</v>
      </c>
      <c r="AS1250" t="s">
        <v>186</v>
      </c>
    </row>
    <row r="1251" spans="1:45" x14ac:dyDescent="0.3">
      <c r="A1251" t="s">
        <v>63</v>
      </c>
      <c r="B1251">
        <v>1250</v>
      </c>
      <c r="C1251" s="1">
        <v>0.15249053964040671</v>
      </c>
      <c r="D1251" s="2">
        <v>46</v>
      </c>
      <c r="E1251" s="4">
        <v>230</v>
      </c>
      <c r="F1251" s="4" t="s">
        <v>346</v>
      </c>
      <c r="G1251" s="4" t="s">
        <v>347</v>
      </c>
      <c r="H1251" t="s">
        <v>77</v>
      </c>
      <c r="I1251" t="s">
        <v>350</v>
      </c>
      <c r="J1251" s="3">
        <v>2011</v>
      </c>
      <c r="K1251" s="3">
        <v>2015</v>
      </c>
      <c r="L1251" s="6">
        <f t="shared" si="391"/>
        <v>2013</v>
      </c>
      <c r="M1251" s="6">
        <f t="shared" si="392"/>
        <v>2013</v>
      </c>
      <c r="N1251" s="7">
        <f t="shared" si="380"/>
        <v>0</v>
      </c>
      <c r="O1251" s="7">
        <f t="shared" si="381"/>
        <v>0</v>
      </c>
      <c r="P1251" s="7">
        <f t="shared" si="382"/>
        <v>0</v>
      </c>
      <c r="Q1251" s="7">
        <f t="shared" si="393"/>
        <v>0</v>
      </c>
      <c r="R1251" s="10" t="str">
        <f t="shared" si="383"/>
        <v>0_Pre</v>
      </c>
      <c r="S1251" s="10" t="str">
        <f t="shared" si="384"/>
        <v>0_Pre</v>
      </c>
      <c r="T1251" s="10" t="str">
        <f t="shared" si="385"/>
        <v>0_Pre</v>
      </c>
      <c r="U1251" s="10" t="str">
        <f t="shared" si="386"/>
        <v>0_Pre</v>
      </c>
      <c r="V1251" s="10" t="str">
        <f t="shared" si="394"/>
        <v>0_Pre</v>
      </c>
      <c r="W1251" s="10" t="str">
        <f t="shared" si="387"/>
        <v>clean_pre</v>
      </c>
      <c r="X1251" s="10" t="str">
        <f t="shared" si="388"/>
        <v>0_Pre</v>
      </c>
      <c r="Y1251" s="10" t="str">
        <f t="shared" si="389"/>
        <v>0_Pre</v>
      </c>
      <c r="Z1251" s="10" t="str">
        <f t="shared" si="390"/>
        <v>0_Pre</v>
      </c>
      <c r="AA1251" s="10" t="str">
        <f t="shared" si="395"/>
        <v>0_Pre</v>
      </c>
      <c r="AB1251" s="10" t="str">
        <f t="shared" si="396"/>
        <v>0_Pre</v>
      </c>
      <c r="AC1251" s="10" t="str">
        <f t="shared" si="397"/>
        <v>0_Pre</v>
      </c>
      <c r="AD1251" s="10" t="str">
        <f t="shared" si="398"/>
        <v>2_post sample median</v>
      </c>
      <c r="AE1251" s="10" t="str">
        <f t="shared" si="399"/>
        <v>2_in sample second tertile</v>
      </c>
      <c r="AF1251" t="s">
        <v>80</v>
      </c>
      <c r="AG1251" t="s">
        <v>75</v>
      </c>
      <c r="AH1251" t="s">
        <v>79</v>
      </c>
      <c r="AI1251" t="s">
        <v>122</v>
      </c>
      <c r="AJ1251" t="s">
        <v>123</v>
      </c>
      <c r="AK1251" t="str">
        <f>VLOOKUP(MID($AR1251,1,255),country_lookup!$B:$F,2,FALSE)</f>
        <v>3_AsiaPac</v>
      </c>
      <c r="AL1251" t="str">
        <f>VLOOKUP(MID($AR1251,1,255),country_lookup!$B:$F,3,FALSE)</f>
        <v>2_developing</v>
      </c>
      <c r="AM1251" t="str">
        <f>VLOOKUP(MID($AR1251,1,255),country_lookup!$B:$F,4,FALSE)</f>
        <v>2_non_western</v>
      </c>
      <c r="AN1251" t="str">
        <f>VLOOKUP(MID($AR1251,1,255),country_lookup!$B:$F,5,FALSE)</f>
        <v>2_civil law</v>
      </c>
      <c r="AO1251" s="10" t="str">
        <f>VLOOKUP(MID($AS1251,1,255),source_lookup!$B:$K,4,FALSE)</f>
        <v>0_published</v>
      </c>
      <c r="AP1251" s="10" t="str">
        <f>VLOOKUP(MID($AS1251,1,255),source_lookup!$B:$K,6,FALSE)</f>
        <v>1_VHB high</v>
      </c>
      <c r="AQ1251" s="10" t="str">
        <f>VLOOKUP(MID($AS1251,1,255),source_lookup!$B:$K,10,FALSE)</f>
        <v>2_sust</v>
      </c>
      <c r="AR1251" t="s">
        <v>94</v>
      </c>
      <c r="AS1251" t="s">
        <v>186</v>
      </c>
    </row>
    <row r="1252" spans="1:45" x14ac:dyDescent="0.3">
      <c r="A1252" t="s">
        <v>63</v>
      </c>
      <c r="B1252">
        <v>1251</v>
      </c>
      <c r="C1252" s="1">
        <v>-0.14164294725409121</v>
      </c>
      <c r="D1252" s="2">
        <v>46</v>
      </c>
      <c r="E1252" s="4">
        <v>230</v>
      </c>
      <c r="F1252" s="4" t="s">
        <v>346</v>
      </c>
      <c r="G1252" s="4" t="s">
        <v>347</v>
      </c>
      <c r="H1252" t="s">
        <v>77</v>
      </c>
      <c r="I1252" t="s">
        <v>350</v>
      </c>
      <c r="J1252" s="3">
        <v>2011</v>
      </c>
      <c r="K1252" s="3">
        <v>2015</v>
      </c>
      <c r="L1252" s="6">
        <f t="shared" si="391"/>
        <v>2013</v>
      </c>
      <c r="M1252" s="6">
        <f t="shared" si="392"/>
        <v>2013</v>
      </c>
      <c r="N1252" s="7">
        <f t="shared" si="380"/>
        <v>0</v>
      </c>
      <c r="O1252" s="7">
        <f t="shared" si="381"/>
        <v>0</v>
      </c>
      <c r="P1252" s="7">
        <f t="shared" si="382"/>
        <v>0</v>
      </c>
      <c r="Q1252" s="7">
        <f t="shared" si="393"/>
        <v>0</v>
      </c>
      <c r="R1252" s="10" t="str">
        <f t="shared" si="383"/>
        <v>0_Pre</v>
      </c>
      <c r="S1252" s="10" t="str">
        <f t="shared" si="384"/>
        <v>0_Pre</v>
      </c>
      <c r="T1252" s="10" t="str">
        <f t="shared" si="385"/>
        <v>0_Pre</v>
      </c>
      <c r="U1252" s="10" t="str">
        <f t="shared" si="386"/>
        <v>0_Pre</v>
      </c>
      <c r="V1252" s="10" t="str">
        <f t="shared" si="394"/>
        <v>0_Pre</v>
      </c>
      <c r="W1252" s="10" t="str">
        <f t="shared" si="387"/>
        <v>clean_pre</v>
      </c>
      <c r="X1252" s="10" t="str">
        <f t="shared" si="388"/>
        <v>0_Pre</v>
      </c>
      <c r="Y1252" s="10" t="str">
        <f t="shared" si="389"/>
        <v>0_Pre</v>
      </c>
      <c r="Z1252" s="10" t="str">
        <f t="shared" si="390"/>
        <v>0_Pre</v>
      </c>
      <c r="AA1252" s="10" t="str">
        <f t="shared" si="395"/>
        <v>0_Pre</v>
      </c>
      <c r="AB1252" s="10" t="str">
        <f t="shared" si="396"/>
        <v>0_Pre</v>
      </c>
      <c r="AC1252" s="10" t="str">
        <f t="shared" si="397"/>
        <v>0_Pre</v>
      </c>
      <c r="AD1252" s="10" t="str">
        <f t="shared" si="398"/>
        <v>2_post sample median</v>
      </c>
      <c r="AE1252" s="10" t="str">
        <f t="shared" si="399"/>
        <v>2_in sample second tertile</v>
      </c>
      <c r="AF1252" t="s">
        <v>80</v>
      </c>
      <c r="AG1252" t="s">
        <v>75</v>
      </c>
      <c r="AH1252" t="s">
        <v>79</v>
      </c>
      <c r="AI1252" t="s">
        <v>122</v>
      </c>
      <c r="AJ1252" t="s">
        <v>123</v>
      </c>
      <c r="AK1252" t="str">
        <f>VLOOKUP(MID($AR1252,1,255),country_lookup!$B:$F,2,FALSE)</f>
        <v>3_AsiaPac</v>
      </c>
      <c r="AL1252" t="str">
        <f>VLOOKUP(MID($AR1252,1,255),country_lookup!$B:$F,3,FALSE)</f>
        <v>2_developing</v>
      </c>
      <c r="AM1252" t="str">
        <f>VLOOKUP(MID($AR1252,1,255),country_lookup!$B:$F,4,FALSE)</f>
        <v>2_non_western</v>
      </c>
      <c r="AN1252" t="str">
        <f>VLOOKUP(MID($AR1252,1,255),country_lookup!$B:$F,5,FALSE)</f>
        <v>2_civil law</v>
      </c>
      <c r="AO1252" s="10" t="str">
        <f>VLOOKUP(MID($AS1252,1,255),source_lookup!$B:$K,4,FALSE)</f>
        <v>0_published</v>
      </c>
      <c r="AP1252" s="10" t="str">
        <f>VLOOKUP(MID($AS1252,1,255),source_lookup!$B:$K,6,FALSE)</f>
        <v>1_VHB high</v>
      </c>
      <c r="AQ1252" s="10" t="str">
        <f>VLOOKUP(MID($AS1252,1,255),source_lookup!$B:$K,10,FALSE)</f>
        <v>2_sust</v>
      </c>
      <c r="AR1252" t="s">
        <v>94</v>
      </c>
      <c r="AS1252" t="s">
        <v>186</v>
      </c>
    </row>
    <row r="1253" spans="1:45" x14ac:dyDescent="0.3">
      <c r="A1253" t="s">
        <v>63</v>
      </c>
      <c r="B1253">
        <v>1252</v>
      </c>
      <c r="C1253" s="1">
        <v>-0.15567073014744984</v>
      </c>
      <c r="D1253" s="2">
        <v>46</v>
      </c>
      <c r="E1253" s="4">
        <v>230</v>
      </c>
      <c r="F1253" s="4" t="s">
        <v>346</v>
      </c>
      <c r="G1253" s="4" t="s">
        <v>347</v>
      </c>
      <c r="H1253" t="s">
        <v>77</v>
      </c>
      <c r="I1253" t="s">
        <v>350</v>
      </c>
      <c r="J1253" s="3">
        <v>2011</v>
      </c>
      <c r="K1253" s="3">
        <v>2015</v>
      </c>
      <c r="L1253" s="6">
        <f t="shared" si="391"/>
        <v>2013</v>
      </c>
      <c r="M1253" s="6">
        <f t="shared" si="392"/>
        <v>2013</v>
      </c>
      <c r="N1253" s="7">
        <f t="shared" si="380"/>
        <v>0</v>
      </c>
      <c r="O1253" s="7">
        <f t="shared" si="381"/>
        <v>0</v>
      </c>
      <c r="P1253" s="7">
        <f t="shared" si="382"/>
        <v>0</v>
      </c>
      <c r="Q1253" s="7">
        <f t="shared" si="393"/>
        <v>0</v>
      </c>
      <c r="R1253" s="10" t="str">
        <f t="shared" si="383"/>
        <v>0_Pre</v>
      </c>
      <c r="S1253" s="10" t="str">
        <f t="shared" si="384"/>
        <v>0_Pre</v>
      </c>
      <c r="T1253" s="10" t="str">
        <f t="shared" si="385"/>
        <v>0_Pre</v>
      </c>
      <c r="U1253" s="10" t="str">
        <f t="shared" si="386"/>
        <v>0_Pre</v>
      </c>
      <c r="V1253" s="10" t="str">
        <f t="shared" si="394"/>
        <v>0_Pre</v>
      </c>
      <c r="W1253" s="10" t="str">
        <f t="shared" si="387"/>
        <v>clean_pre</v>
      </c>
      <c r="X1253" s="10" t="str">
        <f t="shared" si="388"/>
        <v>0_Pre</v>
      </c>
      <c r="Y1253" s="10" t="str">
        <f t="shared" si="389"/>
        <v>0_Pre</v>
      </c>
      <c r="Z1253" s="10" t="str">
        <f t="shared" si="390"/>
        <v>0_Pre</v>
      </c>
      <c r="AA1253" s="10" t="str">
        <f t="shared" si="395"/>
        <v>0_Pre</v>
      </c>
      <c r="AB1253" s="10" t="str">
        <f t="shared" si="396"/>
        <v>0_Pre</v>
      </c>
      <c r="AC1253" s="10" t="str">
        <f t="shared" si="397"/>
        <v>0_Pre</v>
      </c>
      <c r="AD1253" s="10" t="str">
        <f t="shared" si="398"/>
        <v>2_post sample median</v>
      </c>
      <c r="AE1253" s="10" t="str">
        <f t="shared" si="399"/>
        <v>2_in sample second tertile</v>
      </c>
      <c r="AF1253" t="s">
        <v>80</v>
      </c>
      <c r="AG1253" t="s">
        <v>75</v>
      </c>
      <c r="AH1253" t="s">
        <v>79</v>
      </c>
      <c r="AI1253" t="s">
        <v>122</v>
      </c>
      <c r="AJ1253" t="s">
        <v>123</v>
      </c>
      <c r="AK1253" t="str">
        <f>VLOOKUP(MID($AR1253,1,255),country_lookup!$B:$F,2,FALSE)</f>
        <v>3_AsiaPac</v>
      </c>
      <c r="AL1253" t="str">
        <f>VLOOKUP(MID($AR1253,1,255),country_lookup!$B:$F,3,FALSE)</f>
        <v>2_developing</v>
      </c>
      <c r="AM1253" t="str">
        <f>VLOOKUP(MID($AR1253,1,255),country_lookup!$B:$F,4,FALSE)</f>
        <v>2_non_western</v>
      </c>
      <c r="AN1253" t="str">
        <f>VLOOKUP(MID($AR1253,1,255),country_lookup!$B:$F,5,FALSE)</f>
        <v>2_civil law</v>
      </c>
      <c r="AO1253" s="10" t="str">
        <f>VLOOKUP(MID($AS1253,1,255),source_lookup!$B:$K,4,FALSE)</f>
        <v>0_published</v>
      </c>
      <c r="AP1253" s="10" t="str">
        <f>VLOOKUP(MID($AS1253,1,255),source_lookup!$B:$K,6,FALSE)</f>
        <v>1_VHB high</v>
      </c>
      <c r="AQ1253" s="10" t="str">
        <f>VLOOKUP(MID($AS1253,1,255),source_lookup!$B:$K,10,FALSE)</f>
        <v>2_sust</v>
      </c>
      <c r="AR1253" t="s">
        <v>94</v>
      </c>
      <c r="AS1253" t="s">
        <v>186</v>
      </c>
    </row>
    <row r="1254" spans="1:45" x14ac:dyDescent="0.3">
      <c r="A1254" t="s">
        <v>63</v>
      </c>
      <c r="B1254">
        <v>1253</v>
      </c>
      <c r="C1254" s="1">
        <v>0.14675430253460001</v>
      </c>
      <c r="D1254" s="2">
        <v>46</v>
      </c>
      <c r="E1254" s="4">
        <v>230</v>
      </c>
      <c r="F1254" s="4" t="s">
        <v>346</v>
      </c>
      <c r="G1254" s="4" t="s">
        <v>347</v>
      </c>
      <c r="H1254" t="s">
        <v>77</v>
      </c>
      <c r="I1254" t="s">
        <v>350</v>
      </c>
      <c r="J1254" s="3">
        <v>2011</v>
      </c>
      <c r="K1254" s="3">
        <v>2015</v>
      </c>
      <c r="L1254" s="6">
        <f t="shared" si="391"/>
        <v>2013</v>
      </c>
      <c r="M1254" s="6">
        <f t="shared" si="392"/>
        <v>2013</v>
      </c>
      <c r="N1254" s="7">
        <f t="shared" si="380"/>
        <v>0</v>
      </c>
      <c r="O1254" s="7">
        <f t="shared" si="381"/>
        <v>0</v>
      </c>
      <c r="P1254" s="7">
        <f t="shared" si="382"/>
        <v>0</v>
      </c>
      <c r="Q1254" s="7">
        <f t="shared" si="393"/>
        <v>0</v>
      </c>
      <c r="R1254" s="10" t="str">
        <f t="shared" si="383"/>
        <v>0_Pre</v>
      </c>
      <c r="S1254" s="10" t="str">
        <f t="shared" si="384"/>
        <v>0_Pre</v>
      </c>
      <c r="T1254" s="10" t="str">
        <f t="shared" si="385"/>
        <v>0_Pre</v>
      </c>
      <c r="U1254" s="10" t="str">
        <f t="shared" si="386"/>
        <v>0_Pre</v>
      </c>
      <c r="V1254" s="10" t="str">
        <f t="shared" si="394"/>
        <v>0_Pre</v>
      </c>
      <c r="W1254" s="10" t="str">
        <f t="shared" si="387"/>
        <v>clean_pre</v>
      </c>
      <c r="X1254" s="10" t="str">
        <f t="shared" si="388"/>
        <v>0_Pre</v>
      </c>
      <c r="Y1254" s="10" t="str">
        <f t="shared" si="389"/>
        <v>0_Pre</v>
      </c>
      <c r="Z1254" s="10" t="str">
        <f t="shared" si="390"/>
        <v>0_Pre</v>
      </c>
      <c r="AA1254" s="10" t="str">
        <f t="shared" si="395"/>
        <v>0_Pre</v>
      </c>
      <c r="AB1254" s="10" t="str">
        <f t="shared" si="396"/>
        <v>0_Pre</v>
      </c>
      <c r="AC1254" s="10" t="str">
        <f t="shared" si="397"/>
        <v>0_Pre</v>
      </c>
      <c r="AD1254" s="10" t="str">
        <f t="shared" si="398"/>
        <v>2_post sample median</v>
      </c>
      <c r="AE1254" s="10" t="str">
        <f t="shared" si="399"/>
        <v>2_in sample second tertile</v>
      </c>
      <c r="AF1254" t="s">
        <v>80</v>
      </c>
      <c r="AG1254" t="s">
        <v>75</v>
      </c>
      <c r="AH1254" t="s">
        <v>79</v>
      </c>
      <c r="AI1254" t="s">
        <v>122</v>
      </c>
      <c r="AJ1254" t="s">
        <v>123</v>
      </c>
      <c r="AK1254" t="str">
        <f>VLOOKUP(MID($AR1254,1,255),country_lookup!$B:$F,2,FALSE)</f>
        <v>3_AsiaPac</v>
      </c>
      <c r="AL1254" t="str">
        <f>VLOOKUP(MID($AR1254,1,255),country_lookup!$B:$F,3,FALSE)</f>
        <v>2_developing</v>
      </c>
      <c r="AM1254" t="str">
        <f>VLOOKUP(MID($AR1254,1,255),country_lookup!$B:$F,4,FALSE)</f>
        <v>2_non_western</v>
      </c>
      <c r="AN1254" t="str">
        <f>VLOOKUP(MID($AR1254,1,255),country_lookup!$B:$F,5,FALSE)</f>
        <v>2_civil law</v>
      </c>
      <c r="AO1254" s="10" t="str">
        <f>VLOOKUP(MID($AS1254,1,255),source_lookup!$B:$K,4,FALSE)</f>
        <v>0_published</v>
      </c>
      <c r="AP1254" s="10" t="str">
        <f>VLOOKUP(MID($AS1254,1,255),source_lookup!$B:$K,6,FALSE)</f>
        <v>1_VHB high</v>
      </c>
      <c r="AQ1254" s="10" t="str">
        <f>VLOOKUP(MID($AS1254,1,255),source_lookup!$B:$K,10,FALSE)</f>
        <v>2_sust</v>
      </c>
      <c r="AR1254" t="s">
        <v>94</v>
      </c>
      <c r="AS1254" t="s">
        <v>186</v>
      </c>
    </row>
    <row r="1255" spans="1:45" x14ac:dyDescent="0.3">
      <c r="A1255" t="s">
        <v>63</v>
      </c>
      <c r="B1255">
        <v>1254</v>
      </c>
      <c r="C1255" s="1">
        <v>6.7155275777835449E-2</v>
      </c>
      <c r="D1255" s="2">
        <v>191</v>
      </c>
      <c r="E1255" s="4">
        <v>955</v>
      </c>
      <c r="F1255" s="4" t="s">
        <v>346</v>
      </c>
      <c r="G1255" s="4" t="s">
        <v>347</v>
      </c>
      <c r="H1255" t="s">
        <v>77</v>
      </c>
      <c r="I1255" t="s">
        <v>350</v>
      </c>
      <c r="J1255" s="3">
        <v>2011</v>
      </c>
      <c r="K1255" s="3">
        <v>2015</v>
      </c>
      <c r="L1255" s="6">
        <f t="shared" si="391"/>
        <v>2013</v>
      </c>
      <c r="M1255" s="6">
        <f t="shared" si="392"/>
        <v>2013</v>
      </c>
      <c r="N1255" s="7">
        <f t="shared" si="380"/>
        <v>0</v>
      </c>
      <c r="O1255" s="7">
        <f t="shared" si="381"/>
        <v>0</v>
      </c>
      <c r="P1255" s="7">
        <f t="shared" si="382"/>
        <v>0</v>
      </c>
      <c r="Q1255" s="7">
        <f t="shared" si="393"/>
        <v>0</v>
      </c>
      <c r="R1255" s="10" t="str">
        <f t="shared" si="383"/>
        <v>0_Pre</v>
      </c>
      <c r="S1255" s="10" t="str">
        <f t="shared" si="384"/>
        <v>0_Pre</v>
      </c>
      <c r="T1255" s="10" t="str">
        <f t="shared" si="385"/>
        <v>0_Pre</v>
      </c>
      <c r="U1255" s="10" t="str">
        <f t="shared" si="386"/>
        <v>0_Pre</v>
      </c>
      <c r="V1255" s="10" t="str">
        <f t="shared" si="394"/>
        <v>0_Pre</v>
      </c>
      <c r="W1255" s="10" t="str">
        <f t="shared" si="387"/>
        <v>clean_pre</v>
      </c>
      <c r="X1255" s="10" t="str">
        <f t="shared" si="388"/>
        <v>0_Pre</v>
      </c>
      <c r="Y1255" s="10" t="str">
        <f t="shared" si="389"/>
        <v>0_Pre</v>
      </c>
      <c r="Z1255" s="10" t="str">
        <f t="shared" si="390"/>
        <v>0_Pre</v>
      </c>
      <c r="AA1255" s="10" t="str">
        <f t="shared" si="395"/>
        <v>0_Pre</v>
      </c>
      <c r="AB1255" s="10" t="str">
        <f t="shared" si="396"/>
        <v>0_Pre</v>
      </c>
      <c r="AC1255" s="10" t="str">
        <f t="shared" si="397"/>
        <v>0_Pre</v>
      </c>
      <c r="AD1255" s="10" t="str">
        <f t="shared" si="398"/>
        <v>2_post sample median</v>
      </c>
      <c r="AE1255" s="10" t="str">
        <f t="shared" si="399"/>
        <v>2_in sample second tertile</v>
      </c>
      <c r="AF1255" t="s">
        <v>80</v>
      </c>
      <c r="AG1255" t="s">
        <v>75</v>
      </c>
      <c r="AH1255" t="s">
        <v>79</v>
      </c>
      <c r="AI1255" t="s">
        <v>122</v>
      </c>
      <c r="AJ1255" t="s">
        <v>123</v>
      </c>
      <c r="AK1255" t="str">
        <f>VLOOKUP(MID($AR1255,1,255),country_lookup!$B:$F,2,FALSE)</f>
        <v>3_AsiaPac</v>
      </c>
      <c r="AL1255" t="str">
        <f>VLOOKUP(MID($AR1255,1,255),country_lookup!$B:$F,3,FALSE)</f>
        <v>2_developing</v>
      </c>
      <c r="AM1255" t="str">
        <f>VLOOKUP(MID($AR1255,1,255),country_lookup!$B:$F,4,FALSE)</f>
        <v>2_non_western</v>
      </c>
      <c r="AN1255" t="str">
        <f>VLOOKUP(MID($AR1255,1,255),country_lookup!$B:$F,5,FALSE)</f>
        <v>2_civil law</v>
      </c>
      <c r="AO1255" s="10" t="str">
        <f>VLOOKUP(MID($AS1255,1,255),source_lookup!$B:$K,4,FALSE)</f>
        <v>0_published</v>
      </c>
      <c r="AP1255" s="10" t="str">
        <f>VLOOKUP(MID($AS1255,1,255),source_lookup!$B:$K,6,FALSE)</f>
        <v>1_VHB high</v>
      </c>
      <c r="AQ1255" s="10" t="str">
        <f>VLOOKUP(MID($AS1255,1,255),source_lookup!$B:$K,10,FALSE)</f>
        <v>2_sust</v>
      </c>
      <c r="AR1255" t="s">
        <v>94</v>
      </c>
      <c r="AS1255" t="s">
        <v>186</v>
      </c>
    </row>
    <row r="1256" spans="1:45" x14ac:dyDescent="0.3">
      <c r="A1256" t="s">
        <v>63</v>
      </c>
      <c r="B1256">
        <v>1255</v>
      </c>
      <c r="C1256" s="1">
        <v>-7.1652864009382117E-2</v>
      </c>
      <c r="D1256" s="2">
        <v>191</v>
      </c>
      <c r="E1256" s="4">
        <v>955</v>
      </c>
      <c r="F1256" s="4" t="s">
        <v>346</v>
      </c>
      <c r="G1256" s="4" t="s">
        <v>347</v>
      </c>
      <c r="H1256" t="s">
        <v>77</v>
      </c>
      <c r="I1256" t="s">
        <v>350</v>
      </c>
      <c r="J1256" s="3">
        <v>2011</v>
      </c>
      <c r="K1256" s="3">
        <v>2015</v>
      </c>
      <c r="L1256" s="6">
        <f t="shared" si="391"/>
        <v>2013</v>
      </c>
      <c r="M1256" s="6">
        <f t="shared" si="392"/>
        <v>2013</v>
      </c>
      <c r="N1256" s="7">
        <f t="shared" si="380"/>
        <v>0</v>
      </c>
      <c r="O1256" s="7">
        <f t="shared" si="381"/>
        <v>0</v>
      </c>
      <c r="P1256" s="7">
        <f t="shared" si="382"/>
        <v>0</v>
      </c>
      <c r="Q1256" s="7">
        <f t="shared" si="393"/>
        <v>0</v>
      </c>
      <c r="R1256" s="10" t="str">
        <f t="shared" si="383"/>
        <v>0_Pre</v>
      </c>
      <c r="S1256" s="10" t="str">
        <f t="shared" si="384"/>
        <v>0_Pre</v>
      </c>
      <c r="T1256" s="10" t="str">
        <f t="shared" si="385"/>
        <v>0_Pre</v>
      </c>
      <c r="U1256" s="10" t="str">
        <f t="shared" si="386"/>
        <v>0_Pre</v>
      </c>
      <c r="V1256" s="10" t="str">
        <f t="shared" si="394"/>
        <v>0_Pre</v>
      </c>
      <c r="W1256" s="10" t="str">
        <f t="shared" si="387"/>
        <v>clean_pre</v>
      </c>
      <c r="X1256" s="10" t="str">
        <f t="shared" si="388"/>
        <v>0_Pre</v>
      </c>
      <c r="Y1256" s="10" t="str">
        <f t="shared" si="389"/>
        <v>0_Pre</v>
      </c>
      <c r="Z1256" s="10" t="str">
        <f t="shared" si="390"/>
        <v>0_Pre</v>
      </c>
      <c r="AA1256" s="10" t="str">
        <f t="shared" si="395"/>
        <v>0_Pre</v>
      </c>
      <c r="AB1256" s="10" t="str">
        <f t="shared" si="396"/>
        <v>0_Pre</v>
      </c>
      <c r="AC1256" s="10" t="str">
        <f t="shared" si="397"/>
        <v>0_Pre</v>
      </c>
      <c r="AD1256" s="10" t="str">
        <f t="shared" si="398"/>
        <v>2_post sample median</v>
      </c>
      <c r="AE1256" s="10" t="str">
        <f t="shared" si="399"/>
        <v>2_in sample second tertile</v>
      </c>
      <c r="AF1256" t="s">
        <v>80</v>
      </c>
      <c r="AG1256" t="s">
        <v>75</v>
      </c>
      <c r="AH1256" t="s">
        <v>79</v>
      </c>
      <c r="AI1256" t="s">
        <v>122</v>
      </c>
      <c r="AJ1256" t="s">
        <v>123</v>
      </c>
      <c r="AK1256" t="str">
        <f>VLOOKUP(MID($AR1256,1,255),country_lookup!$B:$F,2,FALSE)</f>
        <v>3_AsiaPac</v>
      </c>
      <c r="AL1256" t="str">
        <f>VLOOKUP(MID($AR1256,1,255),country_lookup!$B:$F,3,FALSE)</f>
        <v>2_developing</v>
      </c>
      <c r="AM1256" t="str">
        <f>VLOOKUP(MID($AR1256,1,255),country_lookup!$B:$F,4,FALSE)</f>
        <v>2_non_western</v>
      </c>
      <c r="AN1256" t="str">
        <f>VLOOKUP(MID($AR1256,1,255),country_lookup!$B:$F,5,FALSE)</f>
        <v>2_civil law</v>
      </c>
      <c r="AO1256" s="10" t="str">
        <f>VLOOKUP(MID($AS1256,1,255),source_lookup!$B:$K,4,FALSE)</f>
        <v>0_published</v>
      </c>
      <c r="AP1256" s="10" t="str">
        <f>VLOOKUP(MID($AS1256,1,255),source_lookup!$B:$K,6,FALSE)</f>
        <v>1_VHB high</v>
      </c>
      <c r="AQ1256" s="10" t="str">
        <f>VLOOKUP(MID($AS1256,1,255),source_lookup!$B:$K,10,FALSE)</f>
        <v>2_sust</v>
      </c>
      <c r="AR1256" t="s">
        <v>94</v>
      </c>
      <c r="AS1256" t="s">
        <v>186</v>
      </c>
    </row>
    <row r="1257" spans="1:45" x14ac:dyDescent="0.3">
      <c r="A1257" t="s">
        <v>63</v>
      </c>
      <c r="B1257">
        <v>1256</v>
      </c>
      <c r="C1257" s="1">
        <v>-6.9725845207490908E-2</v>
      </c>
      <c r="D1257" s="2">
        <v>191</v>
      </c>
      <c r="E1257" s="4">
        <v>955</v>
      </c>
      <c r="F1257" s="4" t="s">
        <v>346</v>
      </c>
      <c r="G1257" s="4" t="s">
        <v>347</v>
      </c>
      <c r="H1257" t="s">
        <v>77</v>
      </c>
      <c r="I1257" t="s">
        <v>350</v>
      </c>
      <c r="J1257" s="3">
        <v>2011</v>
      </c>
      <c r="K1257" s="3">
        <v>2015</v>
      </c>
      <c r="L1257" s="6">
        <f t="shared" si="391"/>
        <v>2013</v>
      </c>
      <c r="M1257" s="6">
        <f t="shared" si="392"/>
        <v>2013</v>
      </c>
      <c r="N1257" s="7">
        <f t="shared" si="380"/>
        <v>0</v>
      </c>
      <c r="O1257" s="7">
        <f t="shared" si="381"/>
        <v>0</v>
      </c>
      <c r="P1257" s="7">
        <f t="shared" si="382"/>
        <v>0</v>
      </c>
      <c r="Q1257" s="7">
        <f t="shared" si="393"/>
        <v>0</v>
      </c>
      <c r="R1257" s="10" t="str">
        <f t="shared" si="383"/>
        <v>0_Pre</v>
      </c>
      <c r="S1257" s="10" t="str">
        <f t="shared" si="384"/>
        <v>0_Pre</v>
      </c>
      <c r="T1257" s="10" t="str">
        <f t="shared" si="385"/>
        <v>0_Pre</v>
      </c>
      <c r="U1257" s="10" t="str">
        <f t="shared" si="386"/>
        <v>0_Pre</v>
      </c>
      <c r="V1257" s="10" t="str">
        <f t="shared" si="394"/>
        <v>0_Pre</v>
      </c>
      <c r="W1257" s="10" t="str">
        <f t="shared" si="387"/>
        <v>clean_pre</v>
      </c>
      <c r="X1257" s="10" t="str">
        <f t="shared" si="388"/>
        <v>0_Pre</v>
      </c>
      <c r="Y1257" s="10" t="str">
        <f t="shared" si="389"/>
        <v>0_Pre</v>
      </c>
      <c r="Z1257" s="10" t="str">
        <f t="shared" si="390"/>
        <v>0_Pre</v>
      </c>
      <c r="AA1257" s="10" t="str">
        <f t="shared" si="395"/>
        <v>0_Pre</v>
      </c>
      <c r="AB1257" s="10" t="str">
        <f t="shared" si="396"/>
        <v>0_Pre</v>
      </c>
      <c r="AC1257" s="10" t="str">
        <f t="shared" si="397"/>
        <v>0_Pre</v>
      </c>
      <c r="AD1257" s="10" t="str">
        <f t="shared" si="398"/>
        <v>2_post sample median</v>
      </c>
      <c r="AE1257" s="10" t="str">
        <f t="shared" si="399"/>
        <v>2_in sample second tertile</v>
      </c>
      <c r="AF1257" t="s">
        <v>80</v>
      </c>
      <c r="AG1257" t="s">
        <v>75</v>
      </c>
      <c r="AH1257" t="s">
        <v>79</v>
      </c>
      <c r="AI1257" t="s">
        <v>122</v>
      </c>
      <c r="AJ1257" t="s">
        <v>123</v>
      </c>
      <c r="AK1257" t="str">
        <f>VLOOKUP(MID($AR1257,1,255),country_lookup!$B:$F,2,FALSE)</f>
        <v>3_AsiaPac</v>
      </c>
      <c r="AL1257" t="str">
        <f>VLOOKUP(MID($AR1257,1,255),country_lookup!$B:$F,3,FALSE)</f>
        <v>2_developing</v>
      </c>
      <c r="AM1257" t="str">
        <f>VLOOKUP(MID($AR1257,1,255),country_lookup!$B:$F,4,FALSE)</f>
        <v>2_non_western</v>
      </c>
      <c r="AN1257" t="str">
        <f>VLOOKUP(MID($AR1257,1,255),country_lookup!$B:$F,5,FALSE)</f>
        <v>2_civil law</v>
      </c>
      <c r="AO1257" s="10" t="str">
        <f>VLOOKUP(MID($AS1257,1,255),source_lookup!$B:$K,4,FALSE)</f>
        <v>0_published</v>
      </c>
      <c r="AP1257" s="10" t="str">
        <f>VLOOKUP(MID($AS1257,1,255),source_lookup!$B:$K,6,FALSE)</f>
        <v>1_VHB high</v>
      </c>
      <c r="AQ1257" s="10" t="str">
        <f>VLOOKUP(MID($AS1257,1,255),source_lookup!$B:$K,10,FALSE)</f>
        <v>2_sust</v>
      </c>
      <c r="AR1257" t="s">
        <v>94</v>
      </c>
      <c r="AS1257" t="s">
        <v>186</v>
      </c>
    </row>
    <row r="1258" spans="1:45" x14ac:dyDescent="0.3">
      <c r="A1258" t="s">
        <v>63</v>
      </c>
      <c r="B1258">
        <v>1257</v>
      </c>
      <c r="C1258" s="1">
        <v>6.0401295036856116E-2</v>
      </c>
      <c r="D1258" s="2">
        <v>191</v>
      </c>
      <c r="E1258" s="4">
        <v>955</v>
      </c>
      <c r="F1258" s="4" t="s">
        <v>346</v>
      </c>
      <c r="G1258" s="4" t="s">
        <v>347</v>
      </c>
      <c r="H1258" t="s">
        <v>77</v>
      </c>
      <c r="I1258" t="s">
        <v>350</v>
      </c>
      <c r="J1258" s="3">
        <v>2011</v>
      </c>
      <c r="K1258" s="3">
        <v>2015</v>
      </c>
      <c r="L1258" s="6">
        <f t="shared" si="391"/>
        <v>2013</v>
      </c>
      <c r="M1258" s="6">
        <f t="shared" si="392"/>
        <v>2013</v>
      </c>
      <c r="N1258" s="7">
        <f t="shared" si="380"/>
        <v>0</v>
      </c>
      <c r="O1258" s="7">
        <f t="shared" si="381"/>
        <v>0</v>
      </c>
      <c r="P1258" s="7">
        <f t="shared" si="382"/>
        <v>0</v>
      </c>
      <c r="Q1258" s="7">
        <f t="shared" si="393"/>
        <v>0</v>
      </c>
      <c r="R1258" s="10" t="str">
        <f t="shared" si="383"/>
        <v>0_Pre</v>
      </c>
      <c r="S1258" s="10" t="str">
        <f t="shared" si="384"/>
        <v>0_Pre</v>
      </c>
      <c r="T1258" s="10" t="str">
        <f t="shared" si="385"/>
        <v>0_Pre</v>
      </c>
      <c r="U1258" s="10" t="str">
        <f t="shared" si="386"/>
        <v>0_Pre</v>
      </c>
      <c r="V1258" s="10" t="str">
        <f t="shared" si="394"/>
        <v>0_Pre</v>
      </c>
      <c r="W1258" s="10" t="str">
        <f t="shared" si="387"/>
        <v>clean_pre</v>
      </c>
      <c r="X1258" s="10" t="str">
        <f t="shared" si="388"/>
        <v>0_Pre</v>
      </c>
      <c r="Y1258" s="10" t="str">
        <f t="shared" si="389"/>
        <v>0_Pre</v>
      </c>
      <c r="Z1258" s="10" t="str">
        <f t="shared" si="390"/>
        <v>0_Pre</v>
      </c>
      <c r="AA1258" s="10" t="str">
        <f t="shared" si="395"/>
        <v>0_Pre</v>
      </c>
      <c r="AB1258" s="10" t="str">
        <f t="shared" si="396"/>
        <v>0_Pre</v>
      </c>
      <c r="AC1258" s="10" t="str">
        <f t="shared" si="397"/>
        <v>0_Pre</v>
      </c>
      <c r="AD1258" s="10" t="str">
        <f t="shared" si="398"/>
        <v>2_post sample median</v>
      </c>
      <c r="AE1258" s="10" t="str">
        <f t="shared" si="399"/>
        <v>2_in sample second tertile</v>
      </c>
      <c r="AF1258" t="s">
        <v>80</v>
      </c>
      <c r="AG1258" t="s">
        <v>75</v>
      </c>
      <c r="AH1258" t="s">
        <v>79</v>
      </c>
      <c r="AI1258" t="s">
        <v>122</v>
      </c>
      <c r="AJ1258" t="s">
        <v>123</v>
      </c>
      <c r="AK1258" t="str">
        <f>VLOOKUP(MID($AR1258,1,255),country_lookup!$B:$F,2,FALSE)</f>
        <v>3_AsiaPac</v>
      </c>
      <c r="AL1258" t="str">
        <f>VLOOKUP(MID($AR1258,1,255),country_lookup!$B:$F,3,FALSE)</f>
        <v>2_developing</v>
      </c>
      <c r="AM1258" t="str">
        <f>VLOOKUP(MID($AR1258,1,255),country_lookup!$B:$F,4,FALSE)</f>
        <v>2_non_western</v>
      </c>
      <c r="AN1258" t="str">
        <f>VLOOKUP(MID($AR1258,1,255),country_lookup!$B:$F,5,FALSE)</f>
        <v>2_civil law</v>
      </c>
      <c r="AO1258" s="10" t="str">
        <f>VLOOKUP(MID($AS1258,1,255),source_lookup!$B:$K,4,FALSE)</f>
        <v>0_published</v>
      </c>
      <c r="AP1258" s="10" t="str">
        <f>VLOOKUP(MID($AS1258,1,255),source_lookup!$B:$K,6,FALSE)</f>
        <v>1_VHB high</v>
      </c>
      <c r="AQ1258" s="10" t="str">
        <f>VLOOKUP(MID($AS1258,1,255),source_lookup!$B:$K,10,FALSE)</f>
        <v>2_sust</v>
      </c>
      <c r="AR1258" t="s">
        <v>94</v>
      </c>
      <c r="AS1258" t="s">
        <v>186</v>
      </c>
    </row>
    <row r="1259" spans="1:45" x14ac:dyDescent="0.3">
      <c r="A1259" t="s">
        <v>63</v>
      </c>
      <c r="B1259">
        <v>1258</v>
      </c>
      <c r="C1259" s="1">
        <v>3.8966404368325415E-2</v>
      </c>
      <c r="D1259" s="2">
        <v>145</v>
      </c>
      <c r="E1259" s="4">
        <v>725</v>
      </c>
      <c r="F1259" s="4" t="s">
        <v>346</v>
      </c>
      <c r="G1259" s="4" t="s">
        <v>347</v>
      </c>
      <c r="H1259" t="s">
        <v>77</v>
      </c>
      <c r="I1259" t="s">
        <v>350</v>
      </c>
      <c r="J1259" s="3">
        <v>2011</v>
      </c>
      <c r="K1259" s="3">
        <v>2015</v>
      </c>
      <c r="L1259" s="6">
        <f t="shared" si="391"/>
        <v>2013</v>
      </c>
      <c r="M1259" s="6">
        <f t="shared" si="392"/>
        <v>2013</v>
      </c>
      <c r="N1259" s="7">
        <f t="shared" si="380"/>
        <v>0</v>
      </c>
      <c r="O1259" s="7">
        <f t="shared" si="381"/>
        <v>0</v>
      </c>
      <c r="P1259" s="7">
        <f t="shared" si="382"/>
        <v>0</v>
      </c>
      <c r="Q1259" s="7">
        <f t="shared" si="393"/>
        <v>0</v>
      </c>
      <c r="R1259" s="10" t="str">
        <f t="shared" si="383"/>
        <v>0_Pre</v>
      </c>
      <c r="S1259" s="10" t="str">
        <f t="shared" si="384"/>
        <v>0_Pre</v>
      </c>
      <c r="T1259" s="10" t="str">
        <f t="shared" si="385"/>
        <v>0_Pre</v>
      </c>
      <c r="U1259" s="10" t="str">
        <f t="shared" si="386"/>
        <v>0_Pre</v>
      </c>
      <c r="V1259" s="10" t="str">
        <f t="shared" si="394"/>
        <v>0_Pre</v>
      </c>
      <c r="W1259" s="10" t="str">
        <f t="shared" si="387"/>
        <v>clean_pre</v>
      </c>
      <c r="X1259" s="10" t="str">
        <f t="shared" si="388"/>
        <v>0_Pre</v>
      </c>
      <c r="Y1259" s="10" t="str">
        <f t="shared" si="389"/>
        <v>0_Pre</v>
      </c>
      <c r="Z1259" s="10" t="str">
        <f t="shared" si="390"/>
        <v>0_Pre</v>
      </c>
      <c r="AA1259" s="10" t="str">
        <f t="shared" si="395"/>
        <v>0_Pre</v>
      </c>
      <c r="AB1259" s="10" t="str">
        <f t="shared" si="396"/>
        <v>0_Pre</v>
      </c>
      <c r="AC1259" s="10" t="str">
        <f t="shared" si="397"/>
        <v>0_Pre</v>
      </c>
      <c r="AD1259" s="10" t="str">
        <f t="shared" si="398"/>
        <v>2_post sample median</v>
      </c>
      <c r="AE1259" s="10" t="str">
        <f t="shared" si="399"/>
        <v>2_in sample second tertile</v>
      </c>
      <c r="AF1259" t="s">
        <v>80</v>
      </c>
      <c r="AG1259" t="s">
        <v>75</v>
      </c>
      <c r="AH1259" t="s">
        <v>79</v>
      </c>
      <c r="AI1259" t="s">
        <v>122</v>
      </c>
      <c r="AJ1259" t="s">
        <v>123</v>
      </c>
      <c r="AK1259" t="str">
        <f>VLOOKUP(MID($AR1259,1,255),country_lookup!$B:$F,2,FALSE)</f>
        <v>3_AsiaPac</v>
      </c>
      <c r="AL1259" t="str">
        <f>VLOOKUP(MID($AR1259,1,255),country_lookup!$B:$F,3,FALSE)</f>
        <v>2_developing</v>
      </c>
      <c r="AM1259" t="str">
        <f>VLOOKUP(MID($AR1259,1,255),country_lookup!$B:$F,4,FALSE)</f>
        <v>2_non_western</v>
      </c>
      <c r="AN1259" t="str">
        <f>VLOOKUP(MID($AR1259,1,255),country_lookup!$B:$F,5,FALSE)</f>
        <v>2_civil law</v>
      </c>
      <c r="AO1259" s="10" t="str">
        <f>VLOOKUP(MID($AS1259,1,255),source_lookup!$B:$K,4,FALSE)</f>
        <v>0_published</v>
      </c>
      <c r="AP1259" s="10" t="str">
        <f>VLOOKUP(MID($AS1259,1,255),source_lookup!$B:$K,6,FALSE)</f>
        <v>1_VHB high</v>
      </c>
      <c r="AQ1259" s="10" t="str">
        <f>VLOOKUP(MID($AS1259,1,255),source_lookup!$B:$K,10,FALSE)</f>
        <v>2_sust</v>
      </c>
      <c r="AR1259" t="s">
        <v>94</v>
      </c>
      <c r="AS1259" t="s">
        <v>186</v>
      </c>
    </row>
    <row r="1260" spans="1:45" x14ac:dyDescent="0.3">
      <c r="A1260" t="s">
        <v>63</v>
      </c>
      <c r="B1260">
        <v>1259</v>
      </c>
      <c r="C1260" s="1">
        <v>-5.1554654032621404E-2</v>
      </c>
      <c r="D1260" s="2">
        <v>145</v>
      </c>
      <c r="E1260" s="4">
        <v>725</v>
      </c>
      <c r="F1260" s="4" t="s">
        <v>346</v>
      </c>
      <c r="G1260" s="4" t="s">
        <v>347</v>
      </c>
      <c r="H1260" t="s">
        <v>77</v>
      </c>
      <c r="I1260" t="s">
        <v>350</v>
      </c>
      <c r="J1260" s="3">
        <v>2011</v>
      </c>
      <c r="K1260" s="3">
        <v>2015</v>
      </c>
      <c r="L1260" s="6">
        <f t="shared" si="391"/>
        <v>2013</v>
      </c>
      <c r="M1260" s="6">
        <f t="shared" si="392"/>
        <v>2013</v>
      </c>
      <c r="N1260" s="7">
        <f t="shared" si="380"/>
        <v>0</v>
      </c>
      <c r="O1260" s="7">
        <f t="shared" si="381"/>
        <v>0</v>
      </c>
      <c r="P1260" s="7">
        <f t="shared" si="382"/>
        <v>0</v>
      </c>
      <c r="Q1260" s="7">
        <f t="shared" si="393"/>
        <v>0</v>
      </c>
      <c r="R1260" s="10" t="str">
        <f t="shared" si="383"/>
        <v>0_Pre</v>
      </c>
      <c r="S1260" s="10" t="str">
        <f t="shared" si="384"/>
        <v>0_Pre</v>
      </c>
      <c r="T1260" s="10" t="str">
        <f t="shared" si="385"/>
        <v>0_Pre</v>
      </c>
      <c r="U1260" s="10" t="str">
        <f t="shared" si="386"/>
        <v>0_Pre</v>
      </c>
      <c r="V1260" s="10" t="str">
        <f t="shared" si="394"/>
        <v>0_Pre</v>
      </c>
      <c r="W1260" s="10" t="str">
        <f t="shared" si="387"/>
        <v>clean_pre</v>
      </c>
      <c r="X1260" s="10" t="str">
        <f t="shared" si="388"/>
        <v>0_Pre</v>
      </c>
      <c r="Y1260" s="10" t="str">
        <f t="shared" si="389"/>
        <v>0_Pre</v>
      </c>
      <c r="Z1260" s="10" t="str">
        <f t="shared" si="390"/>
        <v>0_Pre</v>
      </c>
      <c r="AA1260" s="10" t="str">
        <f t="shared" si="395"/>
        <v>0_Pre</v>
      </c>
      <c r="AB1260" s="10" t="str">
        <f t="shared" si="396"/>
        <v>0_Pre</v>
      </c>
      <c r="AC1260" s="10" t="str">
        <f t="shared" si="397"/>
        <v>0_Pre</v>
      </c>
      <c r="AD1260" s="10" t="str">
        <f t="shared" si="398"/>
        <v>2_post sample median</v>
      </c>
      <c r="AE1260" s="10" t="str">
        <f t="shared" si="399"/>
        <v>2_in sample second tertile</v>
      </c>
      <c r="AF1260" t="s">
        <v>80</v>
      </c>
      <c r="AG1260" t="s">
        <v>75</v>
      </c>
      <c r="AH1260" t="s">
        <v>79</v>
      </c>
      <c r="AI1260" t="s">
        <v>122</v>
      </c>
      <c r="AJ1260" t="s">
        <v>123</v>
      </c>
      <c r="AK1260" t="str">
        <f>VLOOKUP(MID($AR1260,1,255),country_lookup!$B:$F,2,FALSE)</f>
        <v>3_AsiaPac</v>
      </c>
      <c r="AL1260" t="str">
        <f>VLOOKUP(MID($AR1260,1,255),country_lookup!$B:$F,3,FALSE)</f>
        <v>2_developing</v>
      </c>
      <c r="AM1260" t="str">
        <f>VLOOKUP(MID($AR1260,1,255),country_lookup!$B:$F,4,FALSE)</f>
        <v>2_non_western</v>
      </c>
      <c r="AN1260" t="str">
        <f>VLOOKUP(MID($AR1260,1,255),country_lookup!$B:$F,5,FALSE)</f>
        <v>2_civil law</v>
      </c>
      <c r="AO1260" s="10" t="str">
        <f>VLOOKUP(MID($AS1260,1,255),source_lookup!$B:$K,4,FALSE)</f>
        <v>0_published</v>
      </c>
      <c r="AP1260" s="10" t="str">
        <f>VLOOKUP(MID($AS1260,1,255),source_lookup!$B:$K,6,FALSE)</f>
        <v>1_VHB high</v>
      </c>
      <c r="AQ1260" s="10" t="str">
        <f>VLOOKUP(MID($AS1260,1,255),source_lookup!$B:$K,10,FALSE)</f>
        <v>2_sust</v>
      </c>
      <c r="AR1260" t="s">
        <v>94</v>
      </c>
      <c r="AS1260" t="s">
        <v>186</v>
      </c>
    </row>
    <row r="1261" spans="1:45" x14ac:dyDescent="0.3">
      <c r="A1261" t="s">
        <v>63</v>
      </c>
      <c r="B1261">
        <v>1260</v>
      </c>
      <c r="C1261" s="1">
        <v>-6.8914436396189799E-2</v>
      </c>
      <c r="D1261" s="2">
        <v>145</v>
      </c>
      <c r="E1261" s="4">
        <v>725</v>
      </c>
      <c r="F1261" s="4" t="s">
        <v>346</v>
      </c>
      <c r="G1261" s="4" t="s">
        <v>347</v>
      </c>
      <c r="H1261" t="s">
        <v>77</v>
      </c>
      <c r="I1261" t="s">
        <v>350</v>
      </c>
      <c r="J1261" s="3">
        <v>2011</v>
      </c>
      <c r="K1261" s="3">
        <v>2015</v>
      </c>
      <c r="L1261" s="6">
        <f t="shared" si="391"/>
        <v>2013</v>
      </c>
      <c r="M1261" s="6">
        <f t="shared" si="392"/>
        <v>2013</v>
      </c>
      <c r="N1261" s="7">
        <f t="shared" si="380"/>
        <v>0</v>
      </c>
      <c r="O1261" s="7">
        <f t="shared" si="381"/>
        <v>0</v>
      </c>
      <c r="P1261" s="7">
        <f t="shared" si="382"/>
        <v>0</v>
      </c>
      <c r="Q1261" s="7">
        <f t="shared" si="393"/>
        <v>0</v>
      </c>
      <c r="R1261" s="10" t="str">
        <f t="shared" si="383"/>
        <v>0_Pre</v>
      </c>
      <c r="S1261" s="10" t="str">
        <f t="shared" si="384"/>
        <v>0_Pre</v>
      </c>
      <c r="T1261" s="10" t="str">
        <f t="shared" si="385"/>
        <v>0_Pre</v>
      </c>
      <c r="U1261" s="10" t="str">
        <f t="shared" si="386"/>
        <v>0_Pre</v>
      </c>
      <c r="V1261" s="10" t="str">
        <f t="shared" si="394"/>
        <v>0_Pre</v>
      </c>
      <c r="W1261" s="10" t="str">
        <f t="shared" si="387"/>
        <v>clean_pre</v>
      </c>
      <c r="X1261" s="10" t="str">
        <f t="shared" si="388"/>
        <v>0_Pre</v>
      </c>
      <c r="Y1261" s="10" t="str">
        <f t="shared" si="389"/>
        <v>0_Pre</v>
      </c>
      <c r="Z1261" s="10" t="str">
        <f t="shared" si="390"/>
        <v>0_Pre</v>
      </c>
      <c r="AA1261" s="10" t="str">
        <f t="shared" si="395"/>
        <v>0_Pre</v>
      </c>
      <c r="AB1261" s="10" t="str">
        <f t="shared" si="396"/>
        <v>0_Pre</v>
      </c>
      <c r="AC1261" s="10" t="str">
        <f t="shared" si="397"/>
        <v>0_Pre</v>
      </c>
      <c r="AD1261" s="10" t="str">
        <f t="shared" si="398"/>
        <v>2_post sample median</v>
      </c>
      <c r="AE1261" s="10" t="str">
        <f t="shared" si="399"/>
        <v>2_in sample second tertile</v>
      </c>
      <c r="AF1261" t="s">
        <v>80</v>
      </c>
      <c r="AG1261" t="s">
        <v>75</v>
      </c>
      <c r="AH1261" t="s">
        <v>79</v>
      </c>
      <c r="AI1261" t="s">
        <v>122</v>
      </c>
      <c r="AJ1261" t="s">
        <v>123</v>
      </c>
      <c r="AK1261" t="str">
        <f>VLOOKUP(MID($AR1261,1,255),country_lookup!$B:$F,2,FALSE)</f>
        <v>3_AsiaPac</v>
      </c>
      <c r="AL1261" t="str">
        <f>VLOOKUP(MID($AR1261,1,255),country_lookup!$B:$F,3,FALSE)</f>
        <v>2_developing</v>
      </c>
      <c r="AM1261" t="str">
        <f>VLOOKUP(MID($AR1261,1,255),country_lookup!$B:$F,4,FALSE)</f>
        <v>2_non_western</v>
      </c>
      <c r="AN1261" t="str">
        <f>VLOOKUP(MID($AR1261,1,255),country_lookup!$B:$F,5,FALSE)</f>
        <v>2_civil law</v>
      </c>
      <c r="AO1261" s="10" t="str">
        <f>VLOOKUP(MID($AS1261,1,255),source_lookup!$B:$K,4,FALSE)</f>
        <v>0_published</v>
      </c>
      <c r="AP1261" s="10" t="str">
        <f>VLOOKUP(MID($AS1261,1,255),source_lookup!$B:$K,6,FALSE)</f>
        <v>1_VHB high</v>
      </c>
      <c r="AQ1261" s="10" t="str">
        <f>VLOOKUP(MID($AS1261,1,255),source_lookup!$B:$K,10,FALSE)</f>
        <v>2_sust</v>
      </c>
      <c r="AR1261" t="s">
        <v>94</v>
      </c>
      <c r="AS1261" t="s">
        <v>186</v>
      </c>
    </row>
    <row r="1262" spans="1:45" x14ac:dyDescent="0.3">
      <c r="A1262" t="s">
        <v>63</v>
      </c>
      <c r="B1262">
        <v>1261</v>
      </c>
      <c r="C1262" s="1">
        <v>4.6003686761595226E-2</v>
      </c>
      <c r="D1262" s="2">
        <v>145</v>
      </c>
      <c r="E1262" s="4">
        <v>725</v>
      </c>
      <c r="F1262" s="4" t="s">
        <v>346</v>
      </c>
      <c r="G1262" s="4" t="s">
        <v>347</v>
      </c>
      <c r="H1262" t="s">
        <v>77</v>
      </c>
      <c r="I1262" t="s">
        <v>350</v>
      </c>
      <c r="J1262" s="3">
        <v>2011</v>
      </c>
      <c r="K1262" s="3">
        <v>2015</v>
      </c>
      <c r="L1262" s="6">
        <f t="shared" si="391"/>
        <v>2013</v>
      </c>
      <c r="M1262" s="6">
        <f t="shared" si="392"/>
        <v>2013</v>
      </c>
      <c r="N1262" s="7">
        <f t="shared" si="380"/>
        <v>0</v>
      </c>
      <c r="O1262" s="7">
        <f t="shared" si="381"/>
        <v>0</v>
      </c>
      <c r="P1262" s="7">
        <f t="shared" si="382"/>
        <v>0</v>
      </c>
      <c r="Q1262" s="7">
        <f t="shared" si="393"/>
        <v>0</v>
      </c>
      <c r="R1262" s="10" t="str">
        <f t="shared" si="383"/>
        <v>0_Pre</v>
      </c>
      <c r="S1262" s="10" t="str">
        <f t="shared" si="384"/>
        <v>0_Pre</v>
      </c>
      <c r="T1262" s="10" t="str">
        <f t="shared" si="385"/>
        <v>0_Pre</v>
      </c>
      <c r="U1262" s="10" t="str">
        <f t="shared" si="386"/>
        <v>0_Pre</v>
      </c>
      <c r="V1262" s="10" t="str">
        <f t="shared" si="394"/>
        <v>0_Pre</v>
      </c>
      <c r="W1262" s="10" t="str">
        <f t="shared" si="387"/>
        <v>clean_pre</v>
      </c>
      <c r="X1262" s="10" t="str">
        <f t="shared" si="388"/>
        <v>0_Pre</v>
      </c>
      <c r="Y1262" s="10" t="str">
        <f t="shared" si="389"/>
        <v>0_Pre</v>
      </c>
      <c r="Z1262" s="10" t="str">
        <f t="shared" si="390"/>
        <v>0_Pre</v>
      </c>
      <c r="AA1262" s="10" t="str">
        <f t="shared" si="395"/>
        <v>0_Pre</v>
      </c>
      <c r="AB1262" s="10" t="str">
        <f t="shared" si="396"/>
        <v>0_Pre</v>
      </c>
      <c r="AC1262" s="10" t="str">
        <f t="shared" si="397"/>
        <v>0_Pre</v>
      </c>
      <c r="AD1262" s="10" t="str">
        <f t="shared" si="398"/>
        <v>2_post sample median</v>
      </c>
      <c r="AE1262" s="10" t="str">
        <f t="shared" si="399"/>
        <v>2_in sample second tertile</v>
      </c>
      <c r="AF1262" t="s">
        <v>80</v>
      </c>
      <c r="AG1262" t="s">
        <v>75</v>
      </c>
      <c r="AH1262" t="s">
        <v>79</v>
      </c>
      <c r="AI1262" t="s">
        <v>122</v>
      </c>
      <c r="AJ1262" t="s">
        <v>123</v>
      </c>
      <c r="AK1262" t="str">
        <f>VLOOKUP(MID($AR1262,1,255),country_lookup!$B:$F,2,FALSE)</f>
        <v>3_AsiaPac</v>
      </c>
      <c r="AL1262" t="str">
        <f>VLOOKUP(MID($AR1262,1,255),country_lookup!$B:$F,3,FALSE)</f>
        <v>2_developing</v>
      </c>
      <c r="AM1262" t="str">
        <f>VLOOKUP(MID($AR1262,1,255),country_lookup!$B:$F,4,FALSE)</f>
        <v>2_non_western</v>
      </c>
      <c r="AN1262" t="str">
        <f>VLOOKUP(MID($AR1262,1,255),country_lookup!$B:$F,5,FALSE)</f>
        <v>2_civil law</v>
      </c>
      <c r="AO1262" s="10" t="str">
        <f>VLOOKUP(MID($AS1262,1,255),source_lookup!$B:$K,4,FALSE)</f>
        <v>0_published</v>
      </c>
      <c r="AP1262" s="10" t="str">
        <f>VLOOKUP(MID($AS1262,1,255),source_lookup!$B:$K,6,FALSE)</f>
        <v>1_VHB high</v>
      </c>
      <c r="AQ1262" s="10" t="str">
        <f>VLOOKUP(MID($AS1262,1,255),source_lookup!$B:$K,10,FALSE)</f>
        <v>2_sust</v>
      </c>
      <c r="AR1262" t="s">
        <v>94</v>
      </c>
      <c r="AS1262" t="s">
        <v>186</v>
      </c>
    </row>
    <row r="1263" spans="1:45" x14ac:dyDescent="0.3">
      <c r="A1263" t="s">
        <v>63</v>
      </c>
      <c r="B1263">
        <v>1262</v>
      </c>
      <c r="C1263" s="1">
        <v>0.16391638589123567</v>
      </c>
      <c r="D1263" s="2">
        <v>46</v>
      </c>
      <c r="E1263" s="4">
        <v>230</v>
      </c>
      <c r="F1263" s="4" t="s">
        <v>346</v>
      </c>
      <c r="G1263" s="4" t="s">
        <v>347</v>
      </c>
      <c r="H1263" t="s">
        <v>77</v>
      </c>
      <c r="I1263" t="s">
        <v>350</v>
      </c>
      <c r="J1263" s="3">
        <v>2011</v>
      </c>
      <c r="K1263" s="3">
        <v>2015</v>
      </c>
      <c r="L1263" s="6">
        <f t="shared" si="391"/>
        <v>2013</v>
      </c>
      <c r="M1263" s="6">
        <f t="shared" si="392"/>
        <v>2013</v>
      </c>
      <c r="N1263" s="7">
        <f t="shared" si="380"/>
        <v>0</v>
      </c>
      <c r="O1263" s="7">
        <f t="shared" si="381"/>
        <v>0</v>
      </c>
      <c r="P1263" s="7">
        <f t="shared" si="382"/>
        <v>0</v>
      </c>
      <c r="Q1263" s="7">
        <f t="shared" si="393"/>
        <v>0</v>
      </c>
      <c r="R1263" s="10" t="str">
        <f t="shared" si="383"/>
        <v>0_Pre</v>
      </c>
      <c r="S1263" s="10" t="str">
        <f t="shared" si="384"/>
        <v>0_Pre</v>
      </c>
      <c r="T1263" s="10" t="str">
        <f t="shared" si="385"/>
        <v>0_Pre</v>
      </c>
      <c r="U1263" s="10" t="str">
        <f t="shared" si="386"/>
        <v>0_Pre</v>
      </c>
      <c r="V1263" s="10" t="str">
        <f t="shared" si="394"/>
        <v>0_Pre</v>
      </c>
      <c r="W1263" s="10" t="str">
        <f t="shared" si="387"/>
        <v>clean_pre</v>
      </c>
      <c r="X1263" s="10" t="str">
        <f t="shared" si="388"/>
        <v>0_Pre</v>
      </c>
      <c r="Y1263" s="10" t="str">
        <f t="shared" si="389"/>
        <v>0_Pre</v>
      </c>
      <c r="Z1263" s="10" t="str">
        <f t="shared" si="390"/>
        <v>0_Pre</v>
      </c>
      <c r="AA1263" s="10" t="str">
        <f t="shared" si="395"/>
        <v>0_Pre</v>
      </c>
      <c r="AB1263" s="10" t="str">
        <f t="shared" si="396"/>
        <v>0_Pre</v>
      </c>
      <c r="AC1263" s="10" t="str">
        <f t="shared" si="397"/>
        <v>0_Pre</v>
      </c>
      <c r="AD1263" s="10" t="str">
        <f t="shared" si="398"/>
        <v>2_post sample median</v>
      </c>
      <c r="AE1263" s="10" t="str">
        <f t="shared" si="399"/>
        <v>2_in sample second tertile</v>
      </c>
      <c r="AF1263" t="s">
        <v>80</v>
      </c>
      <c r="AG1263" t="s">
        <v>75</v>
      </c>
      <c r="AH1263" t="s">
        <v>79</v>
      </c>
      <c r="AI1263" t="s">
        <v>122</v>
      </c>
      <c r="AJ1263" t="s">
        <v>123</v>
      </c>
      <c r="AK1263" t="str">
        <f>VLOOKUP(MID($AR1263,1,255),country_lookup!$B:$F,2,FALSE)</f>
        <v>3_AsiaPac</v>
      </c>
      <c r="AL1263" t="str">
        <f>VLOOKUP(MID($AR1263,1,255),country_lookup!$B:$F,3,FALSE)</f>
        <v>2_developing</v>
      </c>
      <c r="AM1263" t="str">
        <f>VLOOKUP(MID($AR1263,1,255),country_lookup!$B:$F,4,FALSE)</f>
        <v>2_non_western</v>
      </c>
      <c r="AN1263" t="str">
        <f>VLOOKUP(MID($AR1263,1,255),country_lookup!$B:$F,5,FALSE)</f>
        <v>2_civil law</v>
      </c>
      <c r="AO1263" s="10" t="str">
        <f>VLOOKUP(MID($AS1263,1,255),source_lookup!$B:$K,4,FALSE)</f>
        <v>0_published</v>
      </c>
      <c r="AP1263" s="10" t="str">
        <f>VLOOKUP(MID($AS1263,1,255),source_lookup!$B:$K,6,FALSE)</f>
        <v>1_VHB high</v>
      </c>
      <c r="AQ1263" s="10" t="str">
        <f>VLOOKUP(MID($AS1263,1,255),source_lookup!$B:$K,10,FALSE)</f>
        <v>2_sust</v>
      </c>
      <c r="AR1263" t="s">
        <v>94</v>
      </c>
      <c r="AS1263" t="s">
        <v>186</v>
      </c>
    </row>
    <row r="1264" spans="1:45" x14ac:dyDescent="0.3">
      <c r="A1264" t="s">
        <v>63</v>
      </c>
      <c r="B1264">
        <v>1263</v>
      </c>
      <c r="C1264" s="1">
        <v>-0.15058014252838633</v>
      </c>
      <c r="D1264" s="2">
        <v>46</v>
      </c>
      <c r="E1264" s="4">
        <v>230</v>
      </c>
      <c r="F1264" s="4" t="s">
        <v>346</v>
      </c>
      <c r="G1264" s="4" t="s">
        <v>347</v>
      </c>
      <c r="H1264" t="s">
        <v>77</v>
      </c>
      <c r="I1264" t="s">
        <v>350</v>
      </c>
      <c r="J1264" s="3">
        <v>2011</v>
      </c>
      <c r="K1264" s="3">
        <v>2015</v>
      </c>
      <c r="L1264" s="6">
        <f t="shared" si="391"/>
        <v>2013</v>
      </c>
      <c r="M1264" s="6">
        <f t="shared" si="392"/>
        <v>2013</v>
      </c>
      <c r="N1264" s="7">
        <f t="shared" si="380"/>
        <v>0</v>
      </c>
      <c r="O1264" s="7">
        <f t="shared" si="381"/>
        <v>0</v>
      </c>
      <c r="P1264" s="7">
        <f t="shared" si="382"/>
        <v>0</v>
      </c>
      <c r="Q1264" s="7">
        <f t="shared" si="393"/>
        <v>0</v>
      </c>
      <c r="R1264" s="10" t="str">
        <f t="shared" si="383"/>
        <v>0_Pre</v>
      </c>
      <c r="S1264" s="10" t="str">
        <f t="shared" si="384"/>
        <v>0_Pre</v>
      </c>
      <c r="T1264" s="10" t="str">
        <f t="shared" si="385"/>
        <v>0_Pre</v>
      </c>
      <c r="U1264" s="10" t="str">
        <f t="shared" si="386"/>
        <v>0_Pre</v>
      </c>
      <c r="V1264" s="10" t="str">
        <f t="shared" si="394"/>
        <v>0_Pre</v>
      </c>
      <c r="W1264" s="10" t="str">
        <f t="shared" si="387"/>
        <v>clean_pre</v>
      </c>
      <c r="X1264" s="10" t="str">
        <f t="shared" si="388"/>
        <v>0_Pre</v>
      </c>
      <c r="Y1264" s="10" t="str">
        <f t="shared" si="389"/>
        <v>0_Pre</v>
      </c>
      <c r="Z1264" s="10" t="str">
        <f t="shared" si="390"/>
        <v>0_Pre</v>
      </c>
      <c r="AA1264" s="10" t="str">
        <f t="shared" si="395"/>
        <v>0_Pre</v>
      </c>
      <c r="AB1264" s="10" t="str">
        <f t="shared" si="396"/>
        <v>0_Pre</v>
      </c>
      <c r="AC1264" s="10" t="str">
        <f t="shared" si="397"/>
        <v>0_Pre</v>
      </c>
      <c r="AD1264" s="10" t="str">
        <f t="shared" si="398"/>
        <v>2_post sample median</v>
      </c>
      <c r="AE1264" s="10" t="str">
        <f t="shared" si="399"/>
        <v>2_in sample second tertile</v>
      </c>
      <c r="AF1264" t="s">
        <v>80</v>
      </c>
      <c r="AG1264" t="s">
        <v>75</v>
      </c>
      <c r="AH1264" t="s">
        <v>79</v>
      </c>
      <c r="AI1264" t="s">
        <v>122</v>
      </c>
      <c r="AJ1264" t="s">
        <v>123</v>
      </c>
      <c r="AK1264" t="str">
        <f>VLOOKUP(MID($AR1264,1,255),country_lookup!$B:$F,2,FALSE)</f>
        <v>3_AsiaPac</v>
      </c>
      <c r="AL1264" t="str">
        <f>VLOOKUP(MID($AR1264,1,255),country_lookup!$B:$F,3,FALSE)</f>
        <v>2_developing</v>
      </c>
      <c r="AM1264" t="str">
        <f>VLOOKUP(MID($AR1264,1,255),country_lookup!$B:$F,4,FALSE)</f>
        <v>2_non_western</v>
      </c>
      <c r="AN1264" t="str">
        <f>VLOOKUP(MID($AR1264,1,255),country_lookup!$B:$F,5,FALSE)</f>
        <v>2_civil law</v>
      </c>
      <c r="AO1264" s="10" t="str">
        <f>VLOOKUP(MID($AS1264,1,255),source_lookup!$B:$K,4,FALSE)</f>
        <v>0_published</v>
      </c>
      <c r="AP1264" s="10" t="str">
        <f>VLOOKUP(MID($AS1264,1,255),source_lookup!$B:$K,6,FALSE)</f>
        <v>1_VHB high</v>
      </c>
      <c r="AQ1264" s="10" t="str">
        <f>VLOOKUP(MID($AS1264,1,255),source_lookup!$B:$K,10,FALSE)</f>
        <v>2_sust</v>
      </c>
      <c r="AR1264" t="s">
        <v>94</v>
      </c>
      <c r="AS1264" t="s">
        <v>186</v>
      </c>
    </row>
    <row r="1265" spans="1:45" x14ac:dyDescent="0.3">
      <c r="A1265" t="s">
        <v>63</v>
      </c>
      <c r="B1265">
        <v>1264</v>
      </c>
      <c r="C1265" s="1">
        <v>-0.16581442623911491</v>
      </c>
      <c r="D1265" s="2">
        <v>46</v>
      </c>
      <c r="E1265" s="4">
        <v>230</v>
      </c>
      <c r="F1265" s="4" t="s">
        <v>346</v>
      </c>
      <c r="G1265" s="4" t="s">
        <v>347</v>
      </c>
      <c r="H1265" t="s">
        <v>77</v>
      </c>
      <c r="I1265" t="s">
        <v>350</v>
      </c>
      <c r="J1265" s="3">
        <v>2011</v>
      </c>
      <c r="K1265" s="3">
        <v>2015</v>
      </c>
      <c r="L1265" s="6">
        <f t="shared" si="391"/>
        <v>2013</v>
      </c>
      <c r="M1265" s="6">
        <f t="shared" si="392"/>
        <v>2013</v>
      </c>
      <c r="N1265" s="7">
        <f t="shared" si="380"/>
        <v>0</v>
      </c>
      <c r="O1265" s="7">
        <f t="shared" si="381"/>
        <v>0</v>
      </c>
      <c r="P1265" s="7">
        <f t="shared" si="382"/>
        <v>0</v>
      </c>
      <c r="Q1265" s="7">
        <f t="shared" si="393"/>
        <v>0</v>
      </c>
      <c r="R1265" s="10" t="str">
        <f t="shared" si="383"/>
        <v>0_Pre</v>
      </c>
      <c r="S1265" s="10" t="str">
        <f t="shared" si="384"/>
        <v>0_Pre</v>
      </c>
      <c r="T1265" s="10" t="str">
        <f t="shared" si="385"/>
        <v>0_Pre</v>
      </c>
      <c r="U1265" s="10" t="str">
        <f t="shared" si="386"/>
        <v>0_Pre</v>
      </c>
      <c r="V1265" s="10" t="str">
        <f t="shared" si="394"/>
        <v>0_Pre</v>
      </c>
      <c r="W1265" s="10" t="str">
        <f t="shared" si="387"/>
        <v>clean_pre</v>
      </c>
      <c r="X1265" s="10" t="str">
        <f t="shared" si="388"/>
        <v>0_Pre</v>
      </c>
      <c r="Y1265" s="10" t="str">
        <f t="shared" si="389"/>
        <v>0_Pre</v>
      </c>
      <c r="Z1265" s="10" t="str">
        <f t="shared" si="390"/>
        <v>0_Pre</v>
      </c>
      <c r="AA1265" s="10" t="str">
        <f t="shared" si="395"/>
        <v>0_Pre</v>
      </c>
      <c r="AB1265" s="10" t="str">
        <f t="shared" si="396"/>
        <v>0_Pre</v>
      </c>
      <c r="AC1265" s="10" t="str">
        <f t="shared" si="397"/>
        <v>0_Pre</v>
      </c>
      <c r="AD1265" s="10" t="str">
        <f t="shared" si="398"/>
        <v>2_post sample median</v>
      </c>
      <c r="AE1265" s="10" t="str">
        <f t="shared" si="399"/>
        <v>2_in sample second tertile</v>
      </c>
      <c r="AF1265" t="s">
        <v>80</v>
      </c>
      <c r="AG1265" t="s">
        <v>75</v>
      </c>
      <c r="AH1265" t="s">
        <v>79</v>
      </c>
      <c r="AI1265" t="s">
        <v>122</v>
      </c>
      <c r="AJ1265" t="s">
        <v>123</v>
      </c>
      <c r="AK1265" t="str">
        <f>VLOOKUP(MID($AR1265,1,255),country_lookup!$B:$F,2,FALSE)</f>
        <v>3_AsiaPac</v>
      </c>
      <c r="AL1265" t="str">
        <f>VLOOKUP(MID($AR1265,1,255),country_lookup!$B:$F,3,FALSE)</f>
        <v>2_developing</v>
      </c>
      <c r="AM1265" t="str">
        <f>VLOOKUP(MID($AR1265,1,255),country_lookup!$B:$F,4,FALSE)</f>
        <v>2_non_western</v>
      </c>
      <c r="AN1265" t="str">
        <f>VLOOKUP(MID($AR1265,1,255),country_lookup!$B:$F,5,FALSE)</f>
        <v>2_civil law</v>
      </c>
      <c r="AO1265" s="10" t="str">
        <f>VLOOKUP(MID($AS1265,1,255),source_lookup!$B:$K,4,FALSE)</f>
        <v>0_published</v>
      </c>
      <c r="AP1265" s="10" t="str">
        <f>VLOOKUP(MID($AS1265,1,255),source_lookup!$B:$K,6,FALSE)</f>
        <v>1_VHB high</v>
      </c>
      <c r="AQ1265" s="10" t="str">
        <f>VLOOKUP(MID($AS1265,1,255),source_lookup!$B:$K,10,FALSE)</f>
        <v>2_sust</v>
      </c>
      <c r="AR1265" t="s">
        <v>94</v>
      </c>
      <c r="AS1265" t="s">
        <v>186</v>
      </c>
    </row>
    <row r="1266" spans="1:45" x14ac:dyDescent="0.3">
      <c r="A1266" t="s">
        <v>63</v>
      </c>
      <c r="B1266">
        <v>1265</v>
      </c>
      <c r="C1266" s="1">
        <v>0.1588460875423135</v>
      </c>
      <c r="D1266" s="2">
        <v>46</v>
      </c>
      <c r="E1266" s="4">
        <v>230</v>
      </c>
      <c r="F1266" s="4" t="s">
        <v>346</v>
      </c>
      <c r="G1266" s="4" t="s">
        <v>347</v>
      </c>
      <c r="H1266" t="s">
        <v>77</v>
      </c>
      <c r="I1266" t="s">
        <v>350</v>
      </c>
      <c r="J1266" s="3">
        <v>2011</v>
      </c>
      <c r="K1266" s="3">
        <v>2015</v>
      </c>
      <c r="L1266" s="6">
        <f t="shared" si="391"/>
        <v>2013</v>
      </c>
      <c r="M1266" s="6">
        <f t="shared" si="392"/>
        <v>2013</v>
      </c>
      <c r="N1266" s="7">
        <f t="shared" si="380"/>
        <v>0</v>
      </c>
      <c r="O1266" s="7">
        <f t="shared" si="381"/>
        <v>0</v>
      </c>
      <c r="P1266" s="7">
        <f t="shared" si="382"/>
        <v>0</v>
      </c>
      <c r="Q1266" s="7">
        <f t="shared" si="393"/>
        <v>0</v>
      </c>
      <c r="R1266" s="10" t="str">
        <f t="shared" si="383"/>
        <v>0_Pre</v>
      </c>
      <c r="S1266" s="10" t="str">
        <f t="shared" si="384"/>
        <v>0_Pre</v>
      </c>
      <c r="T1266" s="10" t="str">
        <f t="shared" si="385"/>
        <v>0_Pre</v>
      </c>
      <c r="U1266" s="10" t="str">
        <f t="shared" si="386"/>
        <v>0_Pre</v>
      </c>
      <c r="V1266" s="10" t="str">
        <f t="shared" si="394"/>
        <v>0_Pre</v>
      </c>
      <c r="W1266" s="10" t="str">
        <f t="shared" si="387"/>
        <v>clean_pre</v>
      </c>
      <c r="X1266" s="10" t="str">
        <f t="shared" si="388"/>
        <v>0_Pre</v>
      </c>
      <c r="Y1266" s="10" t="str">
        <f t="shared" si="389"/>
        <v>0_Pre</v>
      </c>
      <c r="Z1266" s="10" t="str">
        <f t="shared" si="390"/>
        <v>0_Pre</v>
      </c>
      <c r="AA1266" s="10" t="str">
        <f t="shared" si="395"/>
        <v>0_Pre</v>
      </c>
      <c r="AB1266" s="10" t="str">
        <f t="shared" si="396"/>
        <v>0_Pre</v>
      </c>
      <c r="AC1266" s="10" t="str">
        <f t="shared" si="397"/>
        <v>0_Pre</v>
      </c>
      <c r="AD1266" s="10" t="str">
        <f t="shared" si="398"/>
        <v>2_post sample median</v>
      </c>
      <c r="AE1266" s="10" t="str">
        <f t="shared" si="399"/>
        <v>2_in sample second tertile</v>
      </c>
      <c r="AF1266" t="s">
        <v>80</v>
      </c>
      <c r="AG1266" t="s">
        <v>75</v>
      </c>
      <c r="AH1266" t="s">
        <v>79</v>
      </c>
      <c r="AI1266" t="s">
        <v>122</v>
      </c>
      <c r="AJ1266" t="s">
        <v>123</v>
      </c>
      <c r="AK1266" t="str">
        <f>VLOOKUP(MID($AR1266,1,255),country_lookup!$B:$F,2,FALSE)</f>
        <v>3_AsiaPac</v>
      </c>
      <c r="AL1266" t="str">
        <f>VLOOKUP(MID($AR1266,1,255),country_lookup!$B:$F,3,FALSE)</f>
        <v>2_developing</v>
      </c>
      <c r="AM1266" t="str">
        <f>VLOOKUP(MID($AR1266,1,255),country_lookup!$B:$F,4,FALSE)</f>
        <v>2_non_western</v>
      </c>
      <c r="AN1266" t="str">
        <f>VLOOKUP(MID($AR1266,1,255),country_lookup!$B:$F,5,FALSE)</f>
        <v>2_civil law</v>
      </c>
      <c r="AO1266" s="10" t="str">
        <f>VLOOKUP(MID($AS1266,1,255),source_lookup!$B:$K,4,FALSE)</f>
        <v>0_published</v>
      </c>
      <c r="AP1266" s="10" t="str">
        <f>VLOOKUP(MID($AS1266,1,255),source_lookup!$B:$K,6,FALSE)</f>
        <v>1_VHB high</v>
      </c>
      <c r="AQ1266" s="10" t="str">
        <f>VLOOKUP(MID($AS1266,1,255),source_lookup!$B:$K,10,FALSE)</f>
        <v>2_sust</v>
      </c>
      <c r="AR1266" t="s">
        <v>94</v>
      </c>
      <c r="AS1266" t="s">
        <v>186</v>
      </c>
    </row>
    <row r="1267" spans="1:45" x14ac:dyDescent="0.3">
      <c r="A1267" t="s">
        <v>63</v>
      </c>
      <c r="B1267">
        <v>1266</v>
      </c>
      <c r="C1267" s="1">
        <v>6.3940188361236674E-2</v>
      </c>
      <c r="D1267" s="2">
        <v>191</v>
      </c>
      <c r="E1267" s="4">
        <v>955</v>
      </c>
      <c r="F1267" s="4" t="s">
        <v>346</v>
      </c>
      <c r="G1267" s="4" t="s">
        <v>347</v>
      </c>
      <c r="H1267" t="s">
        <v>77</v>
      </c>
      <c r="I1267" t="s">
        <v>350</v>
      </c>
      <c r="J1267" s="3">
        <v>2011</v>
      </c>
      <c r="K1267" s="3">
        <v>2015</v>
      </c>
      <c r="L1267" s="6">
        <f t="shared" si="391"/>
        <v>2013</v>
      </c>
      <c r="M1267" s="6">
        <f t="shared" si="392"/>
        <v>2013</v>
      </c>
      <c r="N1267" s="7">
        <f t="shared" si="380"/>
        <v>0</v>
      </c>
      <c r="O1267" s="7">
        <f t="shared" si="381"/>
        <v>0</v>
      </c>
      <c r="P1267" s="7">
        <f t="shared" si="382"/>
        <v>0</v>
      </c>
      <c r="Q1267" s="7">
        <f t="shared" si="393"/>
        <v>0</v>
      </c>
      <c r="R1267" s="10" t="str">
        <f t="shared" si="383"/>
        <v>0_Pre</v>
      </c>
      <c r="S1267" s="10" t="str">
        <f t="shared" si="384"/>
        <v>0_Pre</v>
      </c>
      <c r="T1267" s="10" t="str">
        <f t="shared" si="385"/>
        <v>0_Pre</v>
      </c>
      <c r="U1267" s="10" t="str">
        <f t="shared" si="386"/>
        <v>0_Pre</v>
      </c>
      <c r="V1267" s="10" t="str">
        <f t="shared" si="394"/>
        <v>0_Pre</v>
      </c>
      <c r="W1267" s="10" t="str">
        <f t="shared" si="387"/>
        <v>clean_pre</v>
      </c>
      <c r="X1267" s="10" t="str">
        <f t="shared" si="388"/>
        <v>0_Pre</v>
      </c>
      <c r="Y1267" s="10" t="str">
        <f t="shared" si="389"/>
        <v>0_Pre</v>
      </c>
      <c r="Z1267" s="10" t="str">
        <f t="shared" si="390"/>
        <v>0_Pre</v>
      </c>
      <c r="AA1267" s="10" t="str">
        <f t="shared" si="395"/>
        <v>0_Pre</v>
      </c>
      <c r="AB1267" s="10" t="str">
        <f t="shared" si="396"/>
        <v>0_Pre</v>
      </c>
      <c r="AC1267" s="10" t="str">
        <f t="shared" si="397"/>
        <v>0_Pre</v>
      </c>
      <c r="AD1267" s="10" t="str">
        <f t="shared" si="398"/>
        <v>2_post sample median</v>
      </c>
      <c r="AE1267" s="10" t="str">
        <f t="shared" si="399"/>
        <v>2_in sample second tertile</v>
      </c>
      <c r="AF1267" t="s">
        <v>80</v>
      </c>
      <c r="AG1267" t="s">
        <v>75</v>
      </c>
      <c r="AH1267" t="s">
        <v>79</v>
      </c>
      <c r="AI1267" t="s">
        <v>122</v>
      </c>
      <c r="AJ1267" t="s">
        <v>123</v>
      </c>
      <c r="AK1267" t="str">
        <f>VLOOKUP(MID($AR1267,1,255),country_lookup!$B:$F,2,FALSE)</f>
        <v>3_AsiaPac</v>
      </c>
      <c r="AL1267" t="str">
        <f>VLOOKUP(MID($AR1267,1,255),country_lookup!$B:$F,3,FALSE)</f>
        <v>2_developing</v>
      </c>
      <c r="AM1267" t="str">
        <f>VLOOKUP(MID($AR1267,1,255),country_lookup!$B:$F,4,FALSE)</f>
        <v>2_non_western</v>
      </c>
      <c r="AN1267" t="str">
        <f>VLOOKUP(MID($AR1267,1,255),country_lookup!$B:$F,5,FALSE)</f>
        <v>2_civil law</v>
      </c>
      <c r="AO1267" s="10" t="str">
        <f>VLOOKUP(MID($AS1267,1,255),source_lookup!$B:$K,4,FALSE)</f>
        <v>0_published</v>
      </c>
      <c r="AP1267" s="10" t="str">
        <f>VLOOKUP(MID($AS1267,1,255),source_lookup!$B:$K,6,FALSE)</f>
        <v>1_VHB high</v>
      </c>
      <c r="AQ1267" s="10" t="str">
        <f>VLOOKUP(MID($AS1267,1,255),source_lookup!$B:$K,10,FALSE)</f>
        <v>2_sust</v>
      </c>
      <c r="AR1267" t="s">
        <v>94</v>
      </c>
      <c r="AS1267" t="s">
        <v>186</v>
      </c>
    </row>
    <row r="1268" spans="1:45" x14ac:dyDescent="0.3">
      <c r="A1268" t="s">
        <v>63</v>
      </c>
      <c r="B1268">
        <v>1267</v>
      </c>
      <c r="C1268" s="1">
        <v>-6.6833859491046754E-2</v>
      </c>
      <c r="D1268" s="2">
        <v>191</v>
      </c>
      <c r="E1268" s="4">
        <v>955</v>
      </c>
      <c r="F1268" s="4" t="s">
        <v>346</v>
      </c>
      <c r="G1268" s="4" t="s">
        <v>347</v>
      </c>
      <c r="H1268" t="s">
        <v>77</v>
      </c>
      <c r="I1268" t="s">
        <v>350</v>
      </c>
      <c r="J1268" s="3">
        <v>2011</v>
      </c>
      <c r="K1268" s="3">
        <v>2015</v>
      </c>
      <c r="L1268" s="6">
        <f t="shared" si="391"/>
        <v>2013</v>
      </c>
      <c r="M1268" s="6">
        <f t="shared" si="392"/>
        <v>2013</v>
      </c>
      <c r="N1268" s="7">
        <f t="shared" si="380"/>
        <v>0</v>
      </c>
      <c r="O1268" s="7">
        <f t="shared" si="381"/>
        <v>0</v>
      </c>
      <c r="P1268" s="7">
        <f t="shared" si="382"/>
        <v>0</v>
      </c>
      <c r="Q1268" s="7">
        <f t="shared" si="393"/>
        <v>0</v>
      </c>
      <c r="R1268" s="10" t="str">
        <f t="shared" si="383"/>
        <v>0_Pre</v>
      </c>
      <c r="S1268" s="10" t="str">
        <f t="shared" si="384"/>
        <v>0_Pre</v>
      </c>
      <c r="T1268" s="10" t="str">
        <f t="shared" si="385"/>
        <v>0_Pre</v>
      </c>
      <c r="U1268" s="10" t="str">
        <f t="shared" si="386"/>
        <v>0_Pre</v>
      </c>
      <c r="V1268" s="10" t="str">
        <f t="shared" si="394"/>
        <v>0_Pre</v>
      </c>
      <c r="W1268" s="10" t="str">
        <f t="shared" si="387"/>
        <v>clean_pre</v>
      </c>
      <c r="X1268" s="10" t="str">
        <f t="shared" si="388"/>
        <v>0_Pre</v>
      </c>
      <c r="Y1268" s="10" t="str">
        <f t="shared" si="389"/>
        <v>0_Pre</v>
      </c>
      <c r="Z1268" s="10" t="str">
        <f t="shared" si="390"/>
        <v>0_Pre</v>
      </c>
      <c r="AA1268" s="10" t="str">
        <f t="shared" si="395"/>
        <v>0_Pre</v>
      </c>
      <c r="AB1268" s="10" t="str">
        <f t="shared" si="396"/>
        <v>0_Pre</v>
      </c>
      <c r="AC1268" s="10" t="str">
        <f t="shared" si="397"/>
        <v>0_Pre</v>
      </c>
      <c r="AD1268" s="10" t="str">
        <f t="shared" si="398"/>
        <v>2_post sample median</v>
      </c>
      <c r="AE1268" s="10" t="str">
        <f t="shared" si="399"/>
        <v>2_in sample second tertile</v>
      </c>
      <c r="AF1268" t="s">
        <v>80</v>
      </c>
      <c r="AG1268" t="s">
        <v>75</v>
      </c>
      <c r="AH1268" t="s">
        <v>79</v>
      </c>
      <c r="AI1268" t="s">
        <v>122</v>
      </c>
      <c r="AJ1268" t="s">
        <v>123</v>
      </c>
      <c r="AK1268" t="str">
        <f>VLOOKUP(MID($AR1268,1,255),country_lookup!$B:$F,2,FALSE)</f>
        <v>3_AsiaPac</v>
      </c>
      <c r="AL1268" t="str">
        <f>VLOOKUP(MID($AR1268,1,255),country_lookup!$B:$F,3,FALSE)</f>
        <v>2_developing</v>
      </c>
      <c r="AM1268" t="str">
        <f>VLOOKUP(MID($AR1268,1,255),country_lookup!$B:$F,4,FALSE)</f>
        <v>2_non_western</v>
      </c>
      <c r="AN1268" t="str">
        <f>VLOOKUP(MID($AR1268,1,255),country_lookup!$B:$F,5,FALSE)</f>
        <v>2_civil law</v>
      </c>
      <c r="AO1268" s="10" t="str">
        <f>VLOOKUP(MID($AS1268,1,255),source_lookup!$B:$K,4,FALSE)</f>
        <v>0_published</v>
      </c>
      <c r="AP1268" s="10" t="str">
        <f>VLOOKUP(MID($AS1268,1,255),source_lookup!$B:$K,6,FALSE)</f>
        <v>1_VHB high</v>
      </c>
      <c r="AQ1268" s="10" t="str">
        <f>VLOOKUP(MID($AS1268,1,255),source_lookup!$B:$K,10,FALSE)</f>
        <v>2_sust</v>
      </c>
      <c r="AR1268" t="s">
        <v>94</v>
      </c>
      <c r="AS1268" t="s">
        <v>186</v>
      </c>
    </row>
    <row r="1269" spans="1:45" x14ac:dyDescent="0.3">
      <c r="A1269" t="s">
        <v>63</v>
      </c>
      <c r="B1269">
        <v>1268</v>
      </c>
      <c r="C1269" s="1">
        <v>6.2975269176364007E-2</v>
      </c>
      <c r="D1269" s="2">
        <v>191</v>
      </c>
      <c r="E1269" s="4">
        <v>955</v>
      </c>
      <c r="F1269" s="4" t="s">
        <v>346</v>
      </c>
      <c r="G1269" s="4" t="s">
        <v>347</v>
      </c>
      <c r="H1269" t="s">
        <v>77</v>
      </c>
      <c r="I1269" t="s">
        <v>350</v>
      </c>
      <c r="J1269" s="3">
        <v>2011</v>
      </c>
      <c r="K1269" s="3">
        <v>2015</v>
      </c>
      <c r="L1269" s="6">
        <f t="shared" si="391"/>
        <v>2013</v>
      </c>
      <c r="M1269" s="6">
        <f t="shared" si="392"/>
        <v>2013</v>
      </c>
      <c r="N1269" s="7">
        <f t="shared" si="380"/>
        <v>0</v>
      </c>
      <c r="O1269" s="7">
        <f t="shared" si="381"/>
        <v>0</v>
      </c>
      <c r="P1269" s="7">
        <f t="shared" si="382"/>
        <v>0</v>
      </c>
      <c r="Q1269" s="7">
        <f t="shared" si="393"/>
        <v>0</v>
      </c>
      <c r="R1269" s="10" t="str">
        <f t="shared" si="383"/>
        <v>0_Pre</v>
      </c>
      <c r="S1269" s="10" t="str">
        <f t="shared" si="384"/>
        <v>0_Pre</v>
      </c>
      <c r="T1269" s="10" t="str">
        <f t="shared" si="385"/>
        <v>0_Pre</v>
      </c>
      <c r="U1269" s="10" t="str">
        <f t="shared" si="386"/>
        <v>0_Pre</v>
      </c>
      <c r="V1269" s="10" t="str">
        <f t="shared" si="394"/>
        <v>0_Pre</v>
      </c>
      <c r="W1269" s="10" t="str">
        <f t="shared" si="387"/>
        <v>clean_pre</v>
      </c>
      <c r="X1269" s="10" t="str">
        <f t="shared" si="388"/>
        <v>0_Pre</v>
      </c>
      <c r="Y1269" s="10" t="str">
        <f t="shared" si="389"/>
        <v>0_Pre</v>
      </c>
      <c r="Z1269" s="10" t="str">
        <f t="shared" si="390"/>
        <v>0_Pre</v>
      </c>
      <c r="AA1269" s="10" t="str">
        <f t="shared" si="395"/>
        <v>0_Pre</v>
      </c>
      <c r="AB1269" s="10" t="str">
        <f t="shared" si="396"/>
        <v>0_Pre</v>
      </c>
      <c r="AC1269" s="10" t="str">
        <f t="shared" si="397"/>
        <v>0_Pre</v>
      </c>
      <c r="AD1269" s="10" t="str">
        <f t="shared" si="398"/>
        <v>2_post sample median</v>
      </c>
      <c r="AE1269" s="10" t="str">
        <f t="shared" si="399"/>
        <v>2_in sample second tertile</v>
      </c>
      <c r="AF1269" t="s">
        <v>80</v>
      </c>
      <c r="AG1269" t="s">
        <v>75</v>
      </c>
      <c r="AH1269" t="s">
        <v>79</v>
      </c>
      <c r="AI1269" t="s">
        <v>122</v>
      </c>
      <c r="AJ1269" t="s">
        <v>123</v>
      </c>
      <c r="AK1269" t="str">
        <f>VLOOKUP(MID($AR1269,1,255),country_lookup!$B:$F,2,FALSE)</f>
        <v>3_AsiaPac</v>
      </c>
      <c r="AL1269" t="str">
        <f>VLOOKUP(MID($AR1269,1,255),country_lookup!$B:$F,3,FALSE)</f>
        <v>2_developing</v>
      </c>
      <c r="AM1269" t="str">
        <f>VLOOKUP(MID($AR1269,1,255),country_lookup!$B:$F,4,FALSE)</f>
        <v>2_non_western</v>
      </c>
      <c r="AN1269" t="str">
        <f>VLOOKUP(MID($AR1269,1,255),country_lookup!$B:$F,5,FALSE)</f>
        <v>2_civil law</v>
      </c>
      <c r="AO1269" s="10" t="str">
        <f>VLOOKUP(MID($AS1269,1,255),source_lookup!$B:$K,4,FALSE)</f>
        <v>0_published</v>
      </c>
      <c r="AP1269" s="10" t="str">
        <f>VLOOKUP(MID($AS1269,1,255),source_lookup!$B:$K,6,FALSE)</f>
        <v>1_VHB high</v>
      </c>
      <c r="AQ1269" s="10" t="str">
        <f>VLOOKUP(MID($AS1269,1,255),source_lookup!$B:$K,10,FALSE)</f>
        <v>2_sust</v>
      </c>
      <c r="AR1269" t="s">
        <v>94</v>
      </c>
      <c r="AS1269" t="s">
        <v>186</v>
      </c>
    </row>
    <row r="1270" spans="1:45" x14ac:dyDescent="0.3">
      <c r="A1270" t="s">
        <v>63</v>
      </c>
      <c r="B1270">
        <v>1269</v>
      </c>
      <c r="C1270" s="1">
        <v>-6.8119398809045204E-2</v>
      </c>
      <c r="D1270" s="2">
        <v>191</v>
      </c>
      <c r="E1270" s="4">
        <v>955</v>
      </c>
      <c r="F1270" s="4" t="s">
        <v>346</v>
      </c>
      <c r="G1270" s="4" t="s">
        <v>347</v>
      </c>
      <c r="H1270" t="s">
        <v>77</v>
      </c>
      <c r="I1270" t="s">
        <v>350</v>
      </c>
      <c r="J1270" s="3">
        <v>2011</v>
      </c>
      <c r="K1270" s="3">
        <v>2015</v>
      </c>
      <c r="L1270" s="6">
        <f t="shared" si="391"/>
        <v>2013</v>
      </c>
      <c r="M1270" s="6">
        <f t="shared" si="392"/>
        <v>2013</v>
      </c>
      <c r="N1270" s="7">
        <f t="shared" si="380"/>
        <v>0</v>
      </c>
      <c r="O1270" s="7">
        <f t="shared" si="381"/>
        <v>0</v>
      </c>
      <c r="P1270" s="7">
        <f t="shared" si="382"/>
        <v>0</v>
      </c>
      <c r="Q1270" s="7">
        <f t="shared" si="393"/>
        <v>0</v>
      </c>
      <c r="R1270" s="10" t="str">
        <f t="shared" si="383"/>
        <v>0_Pre</v>
      </c>
      <c r="S1270" s="10" t="str">
        <f t="shared" si="384"/>
        <v>0_Pre</v>
      </c>
      <c r="T1270" s="10" t="str">
        <f t="shared" si="385"/>
        <v>0_Pre</v>
      </c>
      <c r="U1270" s="10" t="str">
        <f t="shared" si="386"/>
        <v>0_Pre</v>
      </c>
      <c r="V1270" s="10" t="str">
        <f t="shared" si="394"/>
        <v>0_Pre</v>
      </c>
      <c r="W1270" s="10" t="str">
        <f t="shared" si="387"/>
        <v>clean_pre</v>
      </c>
      <c r="X1270" s="10" t="str">
        <f t="shared" si="388"/>
        <v>0_Pre</v>
      </c>
      <c r="Y1270" s="10" t="str">
        <f t="shared" si="389"/>
        <v>0_Pre</v>
      </c>
      <c r="Z1270" s="10" t="str">
        <f t="shared" si="390"/>
        <v>0_Pre</v>
      </c>
      <c r="AA1270" s="10" t="str">
        <f t="shared" si="395"/>
        <v>0_Pre</v>
      </c>
      <c r="AB1270" s="10" t="str">
        <f t="shared" si="396"/>
        <v>0_Pre</v>
      </c>
      <c r="AC1270" s="10" t="str">
        <f t="shared" si="397"/>
        <v>0_Pre</v>
      </c>
      <c r="AD1270" s="10" t="str">
        <f t="shared" si="398"/>
        <v>2_post sample median</v>
      </c>
      <c r="AE1270" s="10" t="str">
        <f t="shared" si="399"/>
        <v>2_in sample second tertile</v>
      </c>
      <c r="AF1270" t="s">
        <v>80</v>
      </c>
      <c r="AG1270" t="s">
        <v>75</v>
      </c>
      <c r="AH1270" t="s">
        <v>79</v>
      </c>
      <c r="AI1270" t="s">
        <v>122</v>
      </c>
      <c r="AJ1270" t="s">
        <v>123</v>
      </c>
      <c r="AK1270" t="str">
        <f>VLOOKUP(MID($AR1270,1,255),country_lookup!$B:$F,2,FALSE)</f>
        <v>3_AsiaPac</v>
      </c>
      <c r="AL1270" t="str">
        <f>VLOOKUP(MID($AR1270,1,255),country_lookup!$B:$F,3,FALSE)</f>
        <v>2_developing</v>
      </c>
      <c r="AM1270" t="str">
        <f>VLOOKUP(MID($AR1270,1,255),country_lookup!$B:$F,4,FALSE)</f>
        <v>2_non_western</v>
      </c>
      <c r="AN1270" t="str">
        <f>VLOOKUP(MID($AR1270,1,255),country_lookup!$B:$F,5,FALSE)</f>
        <v>2_civil law</v>
      </c>
      <c r="AO1270" s="10" t="str">
        <f>VLOOKUP(MID($AS1270,1,255),source_lookup!$B:$K,4,FALSE)</f>
        <v>0_published</v>
      </c>
      <c r="AP1270" s="10" t="str">
        <f>VLOOKUP(MID($AS1270,1,255),source_lookup!$B:$K,6,FALSE)</f>
        <v>1_VHB high</v>
      </c>
      <c r="AQ1270" s="10" t="str">
        <f>VLOOKUP(MID($AS1270,1,255),source_lookup!$B:$K,10,FALSE)</f>
        <v>2_sust</v>
      </c>
      <c r="AR1270" t="s">
        <v>94</v>
      </c>
      <c r="AS1270" t="s">
        <v>186</v>
      </c>
    </row>
    <row r="1271" spans="1:45" x14ac:dyDescent="0.3">
      <c r="A1271" t="s">
        <v>63</v>
      </c>
      <c r="B1271">
        <v>1270</v>
      </c>
      <c r="C1271" s="1">
        <v>-6.7798045535045662E-2</v>
      </c>
      <c r="D1271" s="2">
        <v>191</v>
      </c>
      <c r="E1271" s="4">
        <v>955</v>
      </c>
      <c r="F1271" s="4" t="s">
        <v>346</v>
      </c>
      <c r="G1271" s="4" t="s">
        <v>347</v>
      </c>
      <c r="H1271" t="s">
        <v>77</v>
      </c>
      <c r="I1271" t="s">
        <v>350</v>
      </c>
      <c r="J1271" s="3">
        <v>2011</v>
      </c>
      <c r="K1271" s="3">
        <v>2015</v>
      </c>
      <c r="L1271" s="6">
        <f t="shared" si="391"/>
        <v>2013</v>
      </c>
      <c r="M1271" s="6">
        <f t="shared" si="392"/>
        <v>2013</v>
      </c>
      <c r="N1271" s="7">
        <f t="shared" si="380"/>
        <v>0</v>
      </c>
      <c r="O1271" s="7">
        <f t="shared" si="381"/>
        <v>0</v>
      </c>
      <c r="P1271" s="7">
        <f t="shared" si="382"/>
        <v>0</v>
      </c>
      <c r="Q1271" s="7">
        <f t="shared" si="393"/>
        <v>0</v>
      </c>
      <c r="R1271" s="10" t="str">
        <f t="shared" si="383"/>
        <v>0_Pre</v>
      </c>
      <c r="S1271" s="10" t="str">
        <f t="shared" si="384"/>
        <v>0_Pre</v>
      </c>
      <c r="T1271" s="10" t="str">
        <f t="shared" si="385"/>
        <v>0_Pre</v>
      </c>
      <c r="U1271" s="10" t="str">
        <f t="shared" si="386"/>
        <v>0_Pre</v>
      </c>
      <c r="V1271" s="10" t="str">
        <f t="shared" si="394"/>
        <v>0_Pre</v>
      </c>
      <c r="W1271" s="10" t="str">
        <f t="shared" si="387"/>
        <v>clean_pre</v>
      </c>
      <c r="X1271" s="10" t="str">
        <f t="shared" si="388"/>
        <v>0_Pre</v>
      </c>
      <c r="Y1271" s="10" t="str">
        <f t="shared" si="389"/>
        <v>0_Pre</v>
      </c>
      <c r="Z1271" s="10" t="str">
        <f t="shared" si="390"/>
        <v>0_Pre</v>
      </c>
      <c r="AA1271" s="10" t="str">
        <f t="shared" si="395"/>
        <v>0_Pre</v>
      </c>
      <c r="AB1271" s="10" t="str">
        <f t="shared" si="396"/>
        <v>0_Pre</v>
      </c>
      <c r="AC1271" s="10" t="str">
        <f t="shared" si="397"/>
        <v>0_Pre</v>
      </c>
      <c r="AD1271" s="10" t="str">
        <f t="shared" si="398"/>
        <v>2_post sample median</v>
      </c>
      <c r="AE1271" s="10" t="str">
        <f t="shared" si="399"/>
        <v>2_in sample second tertile</v>
      </c>
      <c r="AF1271" t="s">
        <v>80</v>
      </c>
      <c r="AG1271" t="s">
        <v>75</v>
      </c>
      <c r="AH1271" t="s">
        <v>79</v>
      </c>
      <c r="AI1271" t="s">
        <v>122</v>
      </c>
      <c r="AJ1271" t="s">
        <v>123</v>
      </c>
      <c r="AK1271" t="str">
        <f>VLOOKUP(MID($AR1271,1,255),country_lookup!$B:$F,2,FALSE)</f>
        <v>3_AsiaPac</v>
      </c>
      <c r="AL1271" t="str">
        <f>VLOOKUP(MID($AR1271,1,255),country_lookup!$B:$F,3,FALSE)</f>
        <v>2_developing</v>
      </c>
      <c r="AM1271" t="str">
        <f>VLOOKUP(MID($AR1271,1,255),country_lookup!$B:$F,4,FALSE)</f>
        <v>2_non_western</v>
      </c>
      <c r="AN1271" t="str">
        <f>VLOOKUP(MID($AR1271,1,255),country_lookup!$B:$F,5,FALSE)</f>
        <v>2_civil law</v>
      </c>
      <c r="AO1271" s="10" t="str">
        <f>VLOOKUP(MID($AS1271,1,255),source_lookup!$B:$K,4,FALSE)</f>
        <v>0_published</v>
      </c>
      <c r="AP1271" s="10" t="str">
        <f>VLOOKUP(MID($AS1271,1,255),source_lookup!$B:$K,6,FALSE)</f>
        <v>1_VHB high</v>
      </c>
      <c r="AQ1271" s="10" t="str">
        <f>VLOOKUP(MID($AS1271,1,255),source_lookup!$B:$K,10,FALSE)</f>
        <v>2_sust</v>
      </c>
      <c r="AR1271" t="s">
        <v>94</v>
      </c>
      <c r="AS1271" t="s">
        <v>186</v>
      </c>
    </row>
    <row r="1272" spans="1:45" x14ac:dyDescent="0.3">
      <c r="A1272" t="s">
        <v>63</v>
      </c>
      <c r="B1272">
        <v>1271</v>
      </c>
      <c r="C1272" s="1">
        <v>5.7826115401188011E-2</v>
      </c>
      <c r="D1272" s="2">
        <v>191</v>
      </c>
      <c r="E1272" s="4">
        <v>955</v>
      </c>
      <c r="F1272" s="4" t="s">
        <v>346</v>
      </c>
      <c r="G1272" s="4" t="s">
        <v>347</v>
      </c>
      <c r="H1272" t="s">
        <v>77</v>
      </c>
      <c r="I1272" t="s">
        <v>350</v>
      </c>
      <c r="J1272" s="3">
        <v>2011</v>
      </c>
      <c r="K1272" s="3">
        <v>2015</v>
      </c>
      <c r="L1272" s="6">
        <f t="shared" si="391"/>
        <v>2013</v>
      </c>
      <c r="M1272" s="6">
        <f t="shared" si="392"/>
        <v>2013</v>
      </c>
      <c r="N1272" s="7">
        <f t="shared" si="380"/>
        <v>0</v>
      </c>
      <c r="O1272" s="7">
        <f t="shared" si="381"/>
        <v>0</v>
      </c>
      <c r="P1272" s="7">
        <f t="shared" si="382"/>
        <v>0</v>
      </c>
      <c r="Q1272" s="7">
        <f t="shared" si="393"/>
        <v>0</v>
      </c>
      <c r="R1272" s="10" t="str">
        <f t="shared" si="383"/>
        <v>0_Pre</v>
      </c>
      <c r="S1272" s="10" t="str">
        <f t="shared" si="384"/>
        <v>0_Pre</v>
      </c>
      <c r="T1272" s="10" t="str">
        <f t="shared" si="385"/>
        <v>0_Pre</v>
      </c>
      <c r="U1272" s="10" t="str">
        <f t="shared" si="386"/>
        <v>0_Pre</v>
      </c>
      <c r="V1272" s="10" t="str">
        <f t="shared" si="394"/>
        <v>0_Pre</v>
      </c>
      <c r="W1272" s="10" t="str">
        <f t="shared" si="387"/>
        <v>clean_pre</v>
      </c>
      <c r="X1272" s="10" t="str">
        <f t="shared" si="388"/>
        <v>0_Pre</v>
      </c>
      <c r="Y1272" s="10" t="str">
        <f t="shared" si="389"/>
        <v>0_Pre</v>
      </c>
      <c r="Z1272" s="10" t="str">
        <f t="shared" si="390"/>
        <v>0_Pre</v>
      </c>
      <c r="AA1272" s="10" t="str">
        <f t="shared" si="395"/>
        <v>0_Pre</v>
      </c>
      <c r="AB1272" s="10" t="str">
        <f t="shared" si="396"/>
        <v>0_Pre</v>
      </c>
      <c r="AC1272" s="10" t="str">
        <f t="shared" si="397"/>
        <v>0_Pre</v>
      </c>
      <c r="AD1272" s="10" t="str">
        <f t="shared" si="398"/>
        <v>2_post sample median</v>
      </c>
      <c r="AE1272" s="10" t="str">
        <f t="shared" si="399"/>
        <v>2_in sample second tertile</v>
      </c>
      <c r="AF1272" t="s">
        <v>80</v>
      </c>
      <c r="AG1272" t="s">
        <v>75</v>
      </c>
      <c r="AH1272" t="s">
        <v>79</v>
      </c>
      <c r="AI1272" t="s">
        <v>122</v>
      </c>
      <c r="AJ1272" t="s">
        <v>123</v>
      </c>
      <c r="AK1272" t="str">
        <f>VLOOKUP(MID($AR1272,1,255),country_lookup!$B:$F,2,FALSE)</f>
        <v>3_AsiaPac</v>
      </c>
      <c r="AL1272" t="str">
        <f>VLOOKUP(MID($AR1272,1,255),country_lookup!$B:$F,3,FALSE)</f>
        <v>2_developing</v>
      </c>
      <c r="AM1272" t="str">
        <f>VLOOKUP(MID($AR1272,1,255),country_lookup!$B:$F,4,FALSE)</f>
        <v>2_non_western</v>
      </c>
      <c r="AN1272" t="str">
        <f>VLOOKUP(MID($AR1272,1,255),country_lookup!$B:$F,5,FALSE)</f>
        <v>2_civil law</v>
      </c>
      <c r="AO1272" s="10" t="str">
        <f>VLOOKUP(MID($AS1272,1,255),source_lookup!$B:$K,4,FALSE)</f>
        <v>0_published</v>
      </c>
      <c r="AP1272" s="10" t="str">
        <f>VLOOKUP(MID($AS1272,1,255),source_lookup!$B:$K,6,FALSE)</f>
        <v>1_VHB high</v>
      </c>
      <c r="AQ1272" s="10" t="str">
        <f>VLOOKUP(MID($AS1272,1,255),source_lookup!$B:$K,10,FALSE)</f>
        <v>2_sust</v>
      </c>
      <c r="AR1272" t="s">
        <v>94</v>
      </c>
      <c r="AS1272" t="s">
        <v>186</v>
      </c>
    </row>
    <row r="1273" spans="1:45" x14ac:dyDescent="0.3">
      <c r="A1273" t="s">
        <v>64</v>
      </c>
      <c r="B1273">
        <v>1272</v>
      </c>
      <c r="C1273" s="1">
        <v>-4.8000000000000001E-2</v>
      </c>
      <c r="D1273" s="2">
        <v>1892</v>
      </c>
      <c r="E1273" s="4">
        <v>10212</v>
      </c>
      <c r="F1273" s="4" t="s">
        <v>347</v>
      </c>
      <c r="G1273" s="4" t="s">
        <v>346</v>
      </c>
      <c r="H1273" t="s">
        <v>76</v>
      </c>
      <c r="I1273" t="s">
        <v>353</v>
      </c>
      <c r="J1273" s="3">
        <v>2009</v>
      </c>
      <c r="K1273" s="3">
        <v>2019</v>
      </c>
      <c r="L1273" s="6">
        <f t="shared" si="391"/>
        <v>2014</v>
      </c>
      <c r="M1273" s="6">
        <f t="shared" si="392"/>
        <v>2014</v>
      </c>
      <c r="N1273" s="7">
        <f t="shared" si="380"/>
        <v>0.36363636363636365</v>
      </c>
      <c r="O1273" s="7">
        <f t="shared" si="381"/>
        <v>0.27272727272727271</v>
      </c>
      <c r="P1273" s="7">
        <f t="shared" si="382"/>
        <v>0.18181818181818182</v>
      </c>
      <c r="Q1273" s="7">
        <f t="shared" si="393"/>
        <v>9.0909090909090912E-2</v>
      </c>
      <c r="R1273" s="10" t="str">
        <f t="shared" si="383"/>
        <v>0_Pre</v>
      </c>
      <c r="S1273" s="10" t="str">
        <f t="shared" si="384"/>
        <v>0_Pre</v>
      </c>
      <c r="T1273" s="10" t="str">
        <f t="shared" si="385"/>
        <v>0_Pre</v>
      </c>
      <c r="U1273" s="10" t="str">
        <f t="shared" si="386"/>
        <v>1_Post</v>
      </c>
      <c r="V1273" s="10" t="str">
        <f t="shared" si="394"/>
        <v>0_Pre</v>
      </c>
      <c r="W1273" s="10" t="str">
        <f t="shared" si="387"/>
        <v>straddle</v>
      </c>
      <c r="X1273" s="10" t="str">
        <f t="shared" si="388"/>
        <v>0_Pre</v>
      </c>
      <c r="Y1273" s="10" t="str">
        <f t="shared" si="389"/>
        <v>0_Pre</v>
      </c>
      <c r="Z1273" s="10" t="str">
        <f t="shared" si="390"/>
        <v>0_Pre</v>
      </c>
      <c r="AA1273" s="10" t="str">
        <f t="shared" si="395"/>
        <v>1_Post</v>
      </c>
      <c r="AB1273" s="10" t="str">
        <f t="shared" si="396"/>
        <v>1_Post</v>
      </c>
      <c r="AC1273" s="10" t="str">
        <f t="shared" si="397"/>
        <v>1_Post</v>
      </c>
      <c r="AD1273" s="10" t="str">
        <f t="shared" si="398"/>
        <v>2_post sample median</v>
      </c>
      <c r="AE1273" s="10" t="str">
        <f t="shared" si="399"/>
        <v>3_post sample third tertile</v>
      </c>
      <c r="AF1273" t="s">
        <v>80</v>
      </c>
      <c r="AG1273" t="s">
        <v>75</v>
      </c>
      <c r="AH1273" t="s">
        <v>78</v>
      </c>
      <c r="AI1273" t="s">
        <v>122</v>
      </c>
      <c r="AJ1273" t="s">
        <v>123</v>
      </c>
      <c r="AK1273" t="str">
        <f>VLOOKUP(MID($AR1273,1,255),country_lookup!$B:$F,2,FALSE)</f>
        <v>3_AsiaPac</v>
      </c>
      <c r="AL1273" t="str">
        <f>VLOOKUP(MID($AR1273,1,255),country_lookup!$B:$F,3,FALSE)</f>
        <v>2_developing</v>
      </c>
      <c r="AM1273" t="str">
        <f>VLOOKUP(MID($AR1273,1,255),country_lookup!$B:$F,4,FALSE)</f>
        <v>2_non_western</v>
      </c>
      <c r="AN1273" t="str">
        <f>VLOOKUP(MID($AR1273,1,255),country_lookup!$B:$F,5,FALSE)</f>
        <v>2_civil law</v>
      </c>
      <c r="AO1273" s="10" t="str">
        <f>VLOOKUP(MID($AS1273,1,255),source_lookup!$B:$K,4,FALSE)</f>
        <v>0_published</v>
      </c>
      <c r="AP1273" s="10" t="str">
        <f>VLOOKUP(MID($AS1273,1,255),source_lookup!$B:$K,6,FALSE)</f>
        <v>1_VHB high</v>
      </c>
      <c r="AQ1273" s="10" t="str">
        <f>VLOOKUP(MID($AS1273,1,255),source_lookup!$B:$K,10,FALSE)</f>
        <v>3_mgmt</v>
      </c>
      <c r="AR1273" t="s">
        <v>94</v>
      </c>
      <c r="AS1273" t="s">
        <v>187</v>
      </c>
    </row>
    <row r="1274" spans="1:45" x14ac:dyDescent="0.3">
      <c r="A1274" t="s">
        <v>64</v>
      </c>
      <c r="B1274">
        <v>1273</v>
      </c>
      <c r="C1274" s="1">
        <v>-2.4039495292624183E-2</v>
      </c>
      <c r="D1274" s="2">
        <v>1892</v>
      </c>
      <c r="E1274" s="4">
        <v>10212</v>
      </c>
      <c r="F1274" s="4" t="s">
        <v>347</v>
      </c>
      <c r="G1274" s="4" t="s">
        <v>346</v>
      </c>
      <c r="H1274" t="s">
        <v>77</v>
      </c>
      <c r="I1274" t="s">
        <v>350</v>
      </c>
      <c r="J1274" s="3">
        <v>2009</v>
      </c>
      <c r="K1274" s="3">
        <v>2019</v>
      </c>
      <c r="L1274" s="6">
        <f t="shared" si="391"/>
        <v>2014</v>
      </c>
      <c r="M1274" s="6">
        <f t="shared" si="392"/>
        <v>2014</v>
      </c>
      <c r="N1274" s="7">
        <f t="shared" si="380"/>
        <v>0.36363636363636365</v>
      </c>
      <c r="O1274" s="7">
        <f t="shared" si="381"/>
        <v>0.27272727272727271</v>
      </c>
      <c r="P1274" s="7">
        <f t="shared" si="382"/>
        <v>0.18181818181818182</v>
      </c>
      <c r="Q1274" s="7">
        <f t="shared" si="393"/>
        <v>9.0909090909090912E-2</v>
      </c>
      <c r="R1274" s="10" t="str">
        <f t="shared" si="383"/>
        <v>0_Pre</v>
      </c>
      <c r="S1274" s="10" t="str">
        <f t="shared" si="384"/>
        <v>0_Pre</v>
      </c>
      <c r="T1274" s="10" t="str">
        <f t="shared" si="385"/>
        <v>0_Pre</v>
      </c>
      <c r="U1274" s="10" t="str">
        <f t="shared" si="386"/>
        <v>1_Post</v>
      </c>
      <c r="V1274" s="10" t="str">
        <f t="shared" si="394"/>
        <v>0_Pre</v>
      </c>
      <c r="W1274" s="10" t="str">
        <f t="shared" si="387"/>
        <v>straddle</v>
      </c>
      <c r="X1274" s="10" t="str">
        <f t="shared" si="388"/>
        <v>0_Pre</v>
      </c>
      <c r="Y1274" s="10" t="str">
        <f t="shared" si="389"/>
        <v>0_Pre</v>
      </c>
      <c r="Z1274" s="10" t="str">
        <f t="shared" si="390"/>
        <v>0_Pre</v>
      </c>
      <c r="AA1274" s="10" t="str">
        <f t="shared" si="395"/>
        <v>1_Post</v>
      </c>
      <c r="AB1274" s="10" t="str">
        <f t="shared" si="396"/>
        <v>1_Post</v>
      </c>
      <c r="AC1274" s="10" t="str">
        <f t="shared" si="397"/>
        <v>1_Post</v>
      </c>
      <c r="AD1274" s="10" t="str">
        <f t="shared" si="398"/>
        <v>2_post sample median</v>
      </c>
      <c r="AE1274" s="10" t="str">
        <f t="shared" si="399"/>
        <v>3_post sample third tertile</v>
      </c>
      <c r="AF1274" t="s">
        <v>80</v>
      </c>
      <c r="AG1274" t="s">
        <v>75</v>
      </c>
      <c r="AH1274" t="s">
        <v>78</v>
      </c>
      <c r="AI1274" t="s">
        <v>122</v>
      </c>
      <c r="AJ1274" t="s">
        <v>123</v>
      </c>
      <c r="AK1274" t="str">
        <f>VLOOKUP(MID($AR1274,1,255),country_lookup!$B:$F,2,FALSE)</f>
        <v>3_AsiaPac</v>
      </c>
      <c r="AL1274" t="str">
        <f>VLOOKUP(MID($AR1274,1,255),country_lookup!$B:$F,3,FALSE)</f>
        <v>2_developing</v>
      </c>
      <c r="AM1274" t="str">
        <f>VLOOKUP(MID($AR1274,1,255),country_lookup!$B:$F,4,FALSE)</f>
        <v>2_non_western</v>
      </c>
      <c r="AN1274" t="str">
        <f>VLOOKUP(MID($AR1274,1,255),country_lookup!$B:$F,5,FALSE)</f>
        <v>2_civil law</v>
      </c>
      <c r="AO1274" s="10" t="str">
        <f>VLOOKUP(MID($AS1274,1,255),source_lookup!$B:$K,4,FALSE)</f>
        <v>0_published</v>
      </c>
      <c r="AP1274" s="10" t="str">
        <f>VLOOKUP(MID($AS1274,1,255),source_lookup!$B:$K,6,FALSE)</f>
        <v>1_VHB high</v>
      </c>
      <c r="AQ1274" s="10" t="str">
        <f>VLOOKUP(MID($AS1274,1,255),source_lookup!$B:$K,10,FALSE)</f>
        <v>3_mgmt</v>
      </c>
      <c r="AR1274" t="s">
        <v>94</v>
      </c>
      <c r="AS1274" t="s">
        <v>187</v>
      </c>
    </row>
    <row r="1275" spans="1:45" x14ac:dyDescent="0.3">
      <c r="A1275" t="s">
        <v>64</v>
      </c>
      <c r="B1275">
        <v>1274</v>
      </c>
      <c r="C1275" s="1">
        <v>-2.1171957416833264E-2</v>
      </c>
      <c r="D1275" s="2">
        <v>1892</v>
      </c>
      <c r="E1275" s="4">
        <v>10212</v>
      </c>
      <c r="F1275" s="4" t="s">
        <v>347</v>
      </c>
      <c r="G1275" s="4" t="s">
        <v>346</v>
      </c>
      <c r="H1275" t="s">
        <v>77</v>
      </c>
      <c r="I1275" t="s">
        <v>350</v>
      </c>
      <c r="J1275" s="3">
        <v>2009</v>
      </c>
      <c r="K1275" s="3">
        <v>2019</v>
      </c>
      <c r="L1275" s="6">
        <f t="shared" si="391"/>
        <v>2014</v>
      </c>
      <c r="M1275" s="6">
        <f t="shared" si="392"/>
        <v>2014</v>
      </c>
      <c r="N1275" s="7">
        <f t="shared" si="380"/>
        <v>0.36363636363636365</v>
      </c>
      <c r="O1275" s="7">
        <f t="shared" si="381"/>
        <v>0.27272727272727271</v>
      </c>
      <c r="P1275" s="7">
        <f t="shared" si="382"/>
        <v>0.18181818181818182</v>
      </c>
      <c r="Q1275" s="7">
        <f t="shared" si="393"/>
        <v>9.0909090909090912E-2</v>
      </c>
      <c r="R1275" s="10" t="str">
        <f t="shared" si="383"/>
        <v>0_Pre</v>
      </c>
      <c r="S1275" s="10" t="str">
        <f t="shared" si="384"/>
        <v>0_Pre</v>
      </c>
      <c r="T1275" s="10" t="str">
        <f t="shared" si="385"/>
        <v>0_Pre</v>
      </c>
      <c r="U1275" s="10" t="str">
        <f t="shared" si="386"/>
        <v>1_Post</v>
      </c>
      <c r="V1275" s="10" t="str">
        <f t="shared" si="394"/>
        <v>0_Pre</v>
      </c>
      <c r="W1275" s="10" t="str">
        <f t="shared" si="387"/>
        <v>straddle</v>
      </c>
      <c r="X1275" s="10" t="str">
        <f t="shared" si="388"/>
        <v>0_Pre</v>
      </c>
      <c r="Y1275" s="10" t="str">
        <f t="shared" si="389"/>
        <v>0_Pre</v>
      </c>
      <c r="Z1275" s="10" t="str">
        <f t="shared" si="390"/>
        <v>0_Pre</v>
      </c>
      <c r="AA1275" s="10" t="str">
        <f t="shared" si="395"/>
        <v>1_Post</v>
      </c>
      <c r="AB1275" s="10" t="str">
        <f t="shared" si="396"/>
        <v>1_Post</v>
      </c>
      <c r="AC1275" s="10" t="str">
        <f t="shared" si="397"/>
        <v>1_Post</v>
      </c>
      <c r="AD1275" s="10" t="str">
        <f t="shared" si="398"/>
        <v>2_post sample median</v>
      </c>
      <c r="AE1275" s="10" t="str">
        <f t="shared" si="399"/>
        <v>3_post sample third tertile</v>
      </c>
      <c r="AF1275" t="s">
        <v>80</v>
      </c>
      <c r="AG1275" t="s">
        <v>75</v>
      </c>
      <c r="AH1275" t="s">
        <v>78</v>
      </c>
      <c r="AI1275" t="s">
        <v>122</v>
      </c>
      <c r="AJ1275" t="s">
        <v>123</v>
      </c>
      <c r="AK1275" t="str">
        <f>VLOOKUP(MID($AR1275,1,255),country_lookup!$B:$F,2,FALSE)</f>
        <v>3_AsiaPac</v>
      </c>
      <c r="AL1275" t="str">
        <f>VLOOKUP(MID($AR1275,1,255),country_lookup!$B:$F,3,FALSE)</f>
        <v>2_developing</v>
      </c>
      <c r="AM1275" t="str">
        <f>VLOOKUP(MID($AR1275,1,255),country_lookup!$B:$F,4,FALSE)</f>
        <v>2_non_western</v>
      </c>
      <c r="AN1275" t="str">
        <f>VLOOKUP(MID($AR1275,1,255),country_lookup!$B:$F,5,FALSE)</f>
        <v>2_civil law</v>
      </c>
      <c r="AO1275" s="10" t="str">
        <f>VLOOKUP(MID($AS1275,1,255),source_lookup!$B:$K,4,FALSE)</f>
        <v>0_published</v>
      </c>
      <c r="AP1275" s="10" t="str">
        <f>VLOOKUP(MID($AS1275,1,255),source_lookup!$B:$K,6,FALSE)</f>
        <v>1_VHB high</v>
      </c>
      <c r="AQ1275" s="10" t="str">
        <f>VLOOKUP(MID($AS1275,1,255),source_lookup!$B:$K,10,FALSE)</f>
        <v>3_mgmt</v>
      </c>
      <c r="AR1275" t="s">
        <v>94</v>
      </c>
      <c r="AS1275" t="s">
        <v>187</v>
      </c>
    </row>
    <row r="1276" spans="1:45" x14ac:dyDescent="0.3">
      <c r="A1276" t="s">
        <v>64</v>
      </c>
      <c r="B1276">
        <v>1275</v>
      </c>
      <c r="C1276" s="1">
        <v>-9.8951716910055491E-3</v>
      </c>
      <c r="D1276" s="2">
        <v>1892</v>
      </c>
      <c r="E1276" s="4">
        <v>10212</v>
      </c>
      <c r="F1276" s="4" t="s">
        <v>347</v>
      </c>
      <c r="G1276" s="4" t="s">
        <v>346</v>
      </c>
      <c r="H1276" t="s">
        <v>77</v>
      </c>
      <c r="I1276" t="s">
        <v>350</v>
      </c>
      <c r="J1276" s="3">
        <v>2009</v>
      </c>
      <c r="K1276" s="3">
        <v>2019</v>
      </c>
      <c r="L1276" s="6">
        <f t="shared" si="391"/>
        <v>2014</v>
      </c>
      <c r="M1276" s="6">
        <f t="shared" si="392"/>
        <v>2014</v>
      </c>
      <c r="N1276" s="7">
        <f t="shared" si="380"/>
        <v>0.36363636363636365</v>
      </c>
      <c r="O1276" s="7">
        <f t="shared" si="381"/>
        <v>0.27272727272727271</v>
      </c>
      <c r="P1276" s="7">
        <f t="shared" si="382"/>
        <v>0.18181818181818182</v>
      </c>
      <c r="Q1276" s="7">
        <f t="shared" si="393"/>
        <v>9.0909090909090912E-2</v>
      </c>
      <c r="R1276" s="10" t="str">
        <f t="shared" si="383"/>
        <v>0_Pre</v>
      </c>
      <c r="S1276" s="10" t="str">
        <f t="shared" si="384"/>
        <v>0_Pre</v>
      </c>
      <c r="T1276" s="10" t="str">
        <f t="shared" si="385"/>
        <v>0_Pre</v>
      </c>
      <c r="U1276" s="10" t="str">
        <f t="shared" si="386"/>
        <v>1_Post</v>
      </c>
      <c r="V1276" s="10" t="str">
        <f t="shared" si="394"/>
        <v>0_Pre</v>
      </c>
      <c r="W1276" s="10" t="str">
        <f t="shared" si="387"/>
        <v>straddle</v>
      </c>
      <c r="X1276" s="10" t="str">
        <f t="shared" si="388"/>
        <v>0_Pre</v>
      </c>
      <c r="Y1276" s="10" t="str">
        <f t="shared" si="389"/>
        <v>0_Pre</v>
      </c>
      <c r="Z1276" s="10" t="str">
        <f t="shared" si="390"/>
        <v>0_Pre</v>
      </c>
      <c r="AA1276" s="10" t="str">
        <f t="shared" si="395"/>
        <v>1_Post</v>
      </c>
      <c r="AB1276" s="10" t="str">
        <f t="shared" si="396"/>
        <v>1_Post</v>
      </c>
      <c r="AC1276" s="10" t="str">
        <f t="shared" si="397"/>
        <v>1_Post</v>
      </c>
      <c r="AD1276" s="10" t="str">
        <f t="shared" si="398"/>
        <v>2_post sample median</v>
      </c>
      <c r="AE1276" s="10" t="str">
        <f t="shared" si="399"/>
        <v>3_post sample third tertile</v>
      </c>
      <c r="AF1276" t="s">
        <v>80</v>
      </c>
      <c r="AG1276" t="s">
        <v>75</v>
      </c>
      <c r="AH1276" t="s">
        <v>78</v>
      </c>
      <c r="AI1276" t="s">
        <v>122</v>
      </c>
      <c r="AJ1276" t="s">
        <v>123</v>
      </c>
      <c r="AK1276" t="str">
        <f>VLOOKUP(MID($AR1276,1,255),country_lookup!$B:$F,2,FALSE)</f>
        <v>3_AsiaPac</v>
      </c>
      <c r="AL1276" t="str">
        <f>VLOOKUP(MID($AR1276,1,255),country_lookup!$B:$F,3,FALSE)</f>
        <v>2_developing</v>
      </c>
      <c r="AM1276" t="str">
        <f>VLOOKUP(MID($AR1276,1,255),country_lookup!$B:$F,4,FALSE)</f>
        <v>2_non_western</v>
      </c>
      <c r="AN1276" t="str">
        <f>VLOOKUP(MID($AR1276,1,255),country_lookup!$B:$F,5,FALSE)</f>
        <v>2_civil law</v>
      </c>
      <c r="AO1276" s="10" t="str">
        <f>VLOOKUP(MID($AS1276,1,255),source_lookup!$B:$K,4,FALSE)</f>
        <v>0_published</v>
      </c>
      <c r="AP1276" s="10" t="str">
        <f>VLOOKUP(MID($AS1276,1,255),source_lookup!$B:$K,6,FALSE)</f>
        <v>1_VHB high</v>
      </c>
      <c r="AQ1276" s="10" t="str">
        <f>VLOOKUP(MID($AS1276,1,255),source_lookup!$B:$K,10,FALSE)</f>
        <v>3_mgmt</v>
      </c>
      <c r="AR1276" t="s">
        <v>94</v>
      </c>
      <c r="AS1276" t="s">
        <v>187</v>
      </c>
    </row>
    <row r="1277" spans="1:45" x14ac:dyDescent="0.3">
      <c r="A1277" t="s">
        <v>64</v>
      </c>
      <c r="B1277">
        <v>1276</v>
      </c>
      <c r="C1277" s="1">
        <v>9.8951716910055491E-3</v>
      </c>
      <c r="D1277" s="2">
        <v>1892</v>
      </c>
      <c r="E1277" s="4">
        <v>10212</v>
      </c>
      <c r="F1277" s="4" t="s">
        <v>347</v>
      </c>
      <c r="G1277" s="4" t="s">
        <v>346</v>
      </c>
      <c r="H1277" t="s">
        <v>77</v>
      </c>
      <c r="I1277" t="s">
        <v>350</v>
      </c>
      <c r="J1277" s="3">
        <v>2009</v>
      </c>
      <c r="K1277" s="3">
        <v>2019</v>
      </c>
      <c r="L1277" s="6">
        <f t="shared" si="391"/>
        <v>2014</v>
      </c>
      <c r="M1277" s="6">
        <f t="shared" si="392"/>
        <v>2014</v>
      </c>
      <c r="N1277" s="7">
        <f t="shared" si="380"/>
        <v>0.36363636363636365</v>
      </c>
      <c r="O1277" s="7">
        <f t="shared" si="381"/>
        <v>0.27272727272727271</v>
      </c>
      <c r="P1277" s="7">
        <f t="shared" si="382"/>
        <v>0.18181818181818182</v>
      </c>
      <c r="Q1277" s="7">
        <f t="shared" si="393"/>
        <v>9.0909090909090912E-2</v>
      </c>
      <c r="R1277" s="10" t="str">
        <f t="shared" si="383"/>
        <v>0_Pre</v>
      </c>
      <c r="S1277" s="10" t="str">
        <f t="shared" si="384"/>
        <v>0_Pre</v>
      </c>
      <c r="T1277" s="10" t="str">
        <f t="shared" si="385"/>
        <v>0_Pre</v>
      </c>
      <c r="U1277" s="10" t="str">
        <f t="shared" si="386"/>
        <v>1_Post</v>
      </c>
      <c r="V1277" s="10" t="str">
        <f t="shared" si="394"/>
        <v>0_Pre</v>
      </c>
      <c r="W1277" s="10" t="str">
        <f t="shared" si="387"/>
        <v>straddle</v>
      </c>
      <c r="X1277" s="10" t="str">
        <f t="shared" si="388"/>
        <v>0_Pre</v>
      </c>
      <c r="Y1277" s="10" t="str">
        <f t="shared" si="389"/>
        <v>0_Pre</v>
      </c>
      <c r="Z1277" s="10" t="str">
        <f t="shared" si="390"/>
        <v>0_Pre</v>
      </c>
      <c r="AA1277" s="10" t="str">
        <f t="shared" si="395"/>
        <v>1_Post</v>
      </c>
      <c r="AB1277" s="10" t="str">
        <f t="shared" si="396"/>
        <v>1_Post</v>
      </c>
      <c r="AC1277" s="10" t="str">
        <f t="shared" si="397"/>
        <v>1_Post</v>
      </c>
      <c r="AD1277" s="10" t="str">
        <f t="shared" si="398"/>
        <v>2_post sample median</v>
      </c>
      <c r="AE1277" s="10" t="str">
        <f t="shared" si="399"/>
        <v>3_post sample third tertile</v>
      </c>
      <c r="AF1277" t="s">
        <v>80</v>
      </c>
      <c r="AG1277" t="s">
        <v>75</v>
      </c>
      <c r="AH1277" t="s">
        <v>78</v>
      </c>
      <c r="AI1277" t="s">
        <v>122</v>
      </c>
      <c r="AJ1277" t="s">
        <v>123</v>
      </c>
      <c r="AK1277" t="str">
        <f>VLOOKUP(MID($AR1277,1,255),country_lookup!$B:$F,2,FALSE)</f>
        <v>3_AsiaPac</v>
      </c>
      <c r="AL1277" t="str">
        <f>VLOOKUP(MID($AR1277,1,255),country_lookup!$B:$F,3,FALSE)</f>
        <v>2_developing</v>
      </c>
      <c r="AM1277" t="str">
        <f>VLOOKUP(MID($AR1277,1,255),country_lookup!$B:$F,4,FALSE)</f>
        <v>2_non_western</v>
      </c>
      <c r="AN1277" t="str">
        <f>VLOOKUP(MID($AR1277,1,255),country_lookup!$B:$F,5,FALSE)</f>
        <v>2_civil law</v>
      </c>
      <c r="AO1277" s="10" t="str">
        <f>VLOOKUP(MID($AS1277,1,255),source_lookup!$B:$K,4,FALSE)</f>
        <v>0_published</v>
      </c>
      <c r="AP1277" s="10" t="str">
        <f>VLOOKUP(MID($AS1277,1,255),source_lookup!$B:$K,6,FALSE)</f>
        <v>1_VHB high</v>
      </c>
      <c r="AQ1277" s="10" t="str">
        <f>VLOOKUP(MID($AS1277,1,255),source_lookup!$B:$K,10,FALSE)</f>
        <v>3_mgmt</v>
      </c>
      <c r="AR1277" t="s">
        <v>94</v>
      </c>
      <c r="AS1277" t="s">
        <v>187</v>
      </c>
    </row>
    <row r="1278" spans="1:45" x14ac:dyDescent="0.3">
      <c r="A1278" t="s">
        <v>64</v>
      </c>
      <c r="B1278">
        <v>1277</v>
      </c>
      <c r="C1278" s="1">
        <v>-3.0069191896765182E-2</v>
      </c>
      <c r="D1278" s="2">
        <v>1892</v>
      </c>
      <c r="E1278" s="4">
        <v>10212</v>
      </c>
      <c r="F1278" s="4" t="s">
        <v>347</v>
      </c>
      <c r="G1278" s="4" t="s">
        <v>346</v>
      </c>
      <c r="H1278" t="s">
        <v>77</v>
      </c>
      <c r="I1278" t="s">
        <v>350</v>
      </c>
      <c r="J1278" s="3">
        <v>2009</v>
      </c>
      <c r="K1278" s="3">
        <v>2019</v>
      </c>
      <c r="L1278" s="6">
        <f t="shared" si="391"/>
        <v>2014</v>
      </c>
      <c r="M1278" s="6">
        <f t="shared" si="392"/>
        <v>2014</v>
      </c>
      <c r="N1278" s="7">
        <f t="shared" si="380"/>
        <v>0.36363636363636365</v>
      </c>
      <c r="O1278" s="7">
        <f t="shared" si="381"/>
        <v>0.27272727272727271</v>
      </c>
      <c r="P1278" s="7">
        <f t="shared" si="382"/>
        <v>0.18181818181818182</v>
      </c>
      <c r="Q1278" s="7">
        <f t="shared" si="393"/>
        <v>9.0909090909090912E-2</v>
      </c>
      <c r="R1278" s="10" t="str">
        <f t="shared" si="383"/>
        <v>0_Pre</v>
      </c>
      <c r="S1278" s="10" t="str">
        <f t="shared" si="384"/>
        <v>0_Pre</v>
      </c>
      <c r="T1278" s="10" t="str">
        <f t="shared" si="385"/>
        <v>0_Pre</v>
      </c>
      <c r="U1278" s="10" t="str">
        <f t="shared" si="386"/>
        <v>1_Post</v>
      </c>
      <c r="V1278" s="10" t="str">
        <f t="shared" si="394"/>
        <v>0_Pre</v>
      </c>
      <c r="W1278" s="10" t="str">
        <f t="shared" si="387"/>
        <v>straddle</v>
      </c>
      <c r="X1278" s="10" t="str">
        <f t="shared" si="388"/>
        <v>0_Pre</v>
      </c>
      <c r="Y1278" s="10" t="str">
        <f t="shared" si="389"/>
        <v>0_Pre</v>
      </c>
      <c r="Z1278" s="10" t="str">
        <f t="shared" si="390"/>
        <v>0_Pre</v>
      </c>
      <c r="AA1278" s="10" t="str">
        <f t="shared" si="395"/>
        <v>1_Post</v>
      </c>
      <c r="AB1278" s="10" t="str">
        <f t="shared" si="396"/>
        <v>1_Post</v>
      </c>
      <c r="AC1278" s="10" t="str">
        <f t="shared" si="397"/>
        <v>1_Post</v>
      </c>
      <c r="AD1278" s="10" t="str">
        <f t="shared" si="398"/>
        <v>2_post sample median</v>
      </c>
      <c r="AE1278" s="10" t="str">
        <f t="shared" si="399"/>
        <v>3_post sample third tertile</v>
      </c>
      <c r="AF1278" t="s">
        <v>80</v>
      </c>
      <c r="AG1278" t="s">
        <v>75</v>
      </c>
      <c r="AH1278" t="s">
        <v>78</v>
      </c>
      <c r="AI1278" t="s">
        <v>122</v>
      </c>
      <c r="AJ1278" t="s">
        <v>123</v>
      </c>
      <c r="AK1278" t="str">
        <f>VLOOKUP(MID($AR1278,1,255),country_lookup!$B:$F,2,FALSE)</f>
        <v>3_AsiaPac</v>
      </c>
      <c r="AL1278" t="str">
        <f>VLOOKUP(MID($AR1278,1,255),country_lookup!$B:$F,3,FALSE)</f>
        <v>2_developing</v>
      </c>
      <c r="AM1278" t="str">
        <f>VLOOKUP(MID($AR1278,1,255),country_lookup!$B:$F,4,FALSE)</f>
        <v>2_non_western</v>
      </c>
      <c r="AN1278" t="str">
        <f>VLOOKUP(MID($AR1278,1,255),country_lookup!$B:$F,5,FALSE)</f>
        <v>2_civil law</v>
      </c>
      <c r="AO1278" s="10" t="str">
        <f>VLOOKUP(MID($AS1278,1,255),source_lookup!$B:$K,4,FALSE)</f>
        <v>0_published</v>
      </c>
      <c r="AP1278" s="10" t="str">
        <f>VLOOKUP(MID($AS1278,1,255),source_lookup!$B:$K,6,FALSE)</f>
        <v>1_VHB high</v>
      </c>
      <c r="AQ1278" s="10" t="str">
        <f>VLOOKUP(MID($AS1278,1,255),source_lookup!$B:$K,10,FALSE)</f>
        <v>3_mgmt</v>
      </c>
      <c r="AR1278" t="s">
        <v>94</v>
      </c>
      <c r="AS1278" t="s">
        <v>187</v>
      </c>
    </row>
    <row r="1279" spans="1:45" x14ac:dyDescent="0.3">
      <c r="A1279" t="s">
        <v>64</v>
      </c>
      <c r="B1279">
        <v>1278</v>
      </c>
      <c r="C1279" s="1">
        <v>-7.9162768752165293E-3</v>
      </c>
      <c r="D1279" s="2">
        <v>1892</v>
      </c>
      <c r="E1279" s="4">
        <v>10212</v>
      </c>
      <c r="F1279" s="4" t="s">
        <v>347</v>
      </c>
      <c r="G1279" s="4" t="s">
        <v>346</v>
      </c>
      <c r="H1279" t="s">
        <v>77</v>
      </c>
      <c r="I1279" t="s">
        <v>350</v>
      </c>
      <c r="J1279" s="3">
        <v>2009</v>
      </c>
      <c r="K1279" s="3">
        <v>2019</v>
      </c>
      <c r="L1279" s="6">
        <f t="shared" si="391"/>
        <v>2014</v>
      </c>
      <c r="M1279" s="6">
        <f t="shared" si="392"/>
        <v>2014</v>
      </c>
      <c r="N1279" s="7">
        <f t="shared" si="380"/>
        <v>0.36363636363636365</v>
      </c>
      <c r="O1279" s="7">
        <f t="shared" si="381"/>
        <v>0.27272727272727271</v>
      </c>
      <c r="P1279" s="7">
        <f t="shared" si="382"/>
        <v>0.18181818181818182</v>
      </c>
      <c r="Q1279" s="7">
        <f t="shared" si="393"/>
        <v>9.0909090909090912E-2</v>
      </c>
      <c r="R1279" s="10" t="str">
        <f t="shared" si="383"/>
        <v>0_Pre</v>
      </c>
      <c r="S1279" s="10" t="str">
        <f t="shared" si="384"/>
        <v>0_Pre</v>
      </c>
      <c r="T1279" s="10" t="str">
        <f t="shared" si="385"/>
        <v>0_Pre</v>
      </c>
      <c r="U1279" s="10" t="str">
        <f t="shared" si="386"/>
        <v>1_Post</v>
      </c>
      <c r="V1279" s="10" t="str">
        <f t="shared" si="394"/>
        <v>0_Pre</v>
      </c>
      <c r="W1279" s="10" t="str">
        <f t="shared" si="387"/>
        <v>straddle</v>
      </c>
      <c r="X1279" s="10" t="str">
        <f t="shared" si="388"/>
        <v>0_Pre</v>
      </c>
      <c r="Y1279" s="10" t="str">
        <f t="shared" si="389"/>
        <v>0_Pre</v>
      </c>
      <c r="Z1279" s="10" t="str">
        <f t="shared" si="390"/>
        <v>0_Pre</v>
      </c>
      <c r="AA1279" s="10" t="str">
        <f t="shared" si="395"/>
        <v>1_Post</v>
      </c>
      <c r="AB1279" s="10" t="str">
        <f t="shared" si="396"/>
        <v>1_Post</v>
      </c>
      <c r="AC1279" s="10" t="str">
        <f t="shared" si="397"/>
        <v>1_Post</v>
      </c>
      <c r="AD1279" s="10" t="str">
        <f t="shared" si="398"/>
        <v>2_post sample median</v>
      </c>
      <c r="AE1279" s="10" t="str">
        <f t="shared" si="399"/>
        <v>3_post sample third tertile</v>
      </c>
      <c r="AF1279" t="s">
        <v>80</v>
      </c>
      <c r="AG1279" t="s">
        <v>75</v>
      </c>
      <c r="AH1279" t="s">
        <v>78</v>
      </c>
      <c r="AI1279" t="s">
        <v>122</v>
      </c>
      <c r="AJ1279" t="s">
        <v>123</v>
      </c>
      <c r="AK1279" t="str">
        <f>VLOOKUP(MID($AR1279,1,255),country_lookup!$B:$F,2,FALSE)</f>
        <v>3_AsiaPac</v>
      </c>
      <c r="AL1279" t="str">
        <f>VLOOKUP(MID($AR1279,1,255),country_lookup!$B:$F,3,FALSE)</f>
        <v>2_developing</v>
      </c>
      <c r="AM1279" t="str">
        <f>VLOOKUP(MID($AR1279,1,255),country_lookup!$B:$F,4,FALSE)</f>
        <v>2_non_western</v>
      </c>
      <c r="AN1279" t="str">
        <f>VLOOKUP(MID($AR1279,1,255),country_lookup!$B:$F,5,FALSE)</f>
        <v>2_civil law</v>
      </c>
      <c r="AO1279" s="10" t="str">
        <f>VLOOKUP(MID($AS1279,1,255),source_lookup!$B:$K,4,FALSE)</f>
        <v>0_published</v>
      </c>
      <c r="AP1279" s="10" t="str">
        <f>VLOOKUP(MID($AS1279,1,255),source_lookup!$B:$K,6,FALSE)</f>
        <v>1_VHB high</v>
      </c>
      <c r="AQ1279" s="10" t="str">
        <f>VLOOKUP(MID($AS1279,1,255),source_lookup!$B:$K,10,FALSE)</f>
        <v>3_mgmt</v>
      </c>
      <c r="AR1279" t="s">
        <v>94</v>
      </c>
      <c r="AS1279" t="s">
        <v>187</v>
      </c>
    </row>
    <row r="1280" spans="1:45" x14ac:dyDescent="0.3">
      <c r="A1280" t="s">
        <v>64</v>
      </c>
      <c r="B1280">
        <v>1279</v>
      </c>
      <c r="C1280" s="1">
        <v>1.0191996454402965E-2</v>
      </c>
      <c r="D1280" s="2">
        <v>1892</v>
      </c>
      <c r="E1280" s="4">
        <v>10212</v>
      </c>
      <c r="F1280" s="4" t="s">
        <v>347</v>
      </c>
      <c r="G1280" s="4" t="s">
        <v>346</v>
      </c>
      <c r="H1280" t="s">
        <v>77</v>
      </c>
      <c r="I1280" t="s">
        <v>350</v>
      </c>
      <c r="J1280" s="3">
        <v>2009</v>
      </c>
      <c r="K1280" s="3">
        <v>2019</v>
      </c>
      <c r="L1280" s="6">
        <f t="shared" si="391"/>
        <v>2014</v>
      </c>
      <c r="M1280" s="6">
        <f t="shared" si="392"/>
        <v>2014</v>
      </c>
      <c r="N1280" s="7">
        <f t="shared" si="380"/>
        <v>0.36363636363636365</v>
      </c>
      <c r="O1280" s="7">
        <f t="shared" si="381"/>
        <v>0.27272727272727271</v>
      </c>
      <c r="P1280" s="7">
        <f t="shared" si="382"/>
        <v>0.18181818181818182</v>
      </c>
      <c r="Q1280" s="7">
        <f t="shared" si="393"/>
        <v>9.0909090909090912E-2</v>
      </c>
      <c r="R1280" s="10" t="str">
        <f t="shared" si="383"/>
        <v>0_Pre</v>
      </c>
      <c r="S1280" s="10" t="str">
        <f t="shared" si="384"/>
        <v>0_Pre</v>
      </c>
      <c r="T1280" s="10" t="str">
        <f t="shared" si="385"/>
        <v>0_Pre</v>
      </c>
      <c r="U1280" s="10" t="str">
        <f t="shared" si="386"/>
        <v>1_Post</v>
      </c>
      <c r="V1280" s="10" t="str">
        <f t="shared" si="394"/>
        <v>0_Pre</v>
      </c>
      <c r="W1280" s="10" t="str">
        <f t="shared" si="387"/>
        <v>straddle</v>
      </c>
      <c r="X1280" s="10" t="str">
        <f t="shared" si="388"/>
        <v>0_Pre</v>
      </c>
      <c r="Y1280" s="10" t="str">
        <f t="shared" si="389"/>
        <v>0_Pre</v>
      </c>
      <c r="Z1280" s="10" t="str">
        <f t="shared" si="390"/>
        <v>0_Pre</v>
      </c>
      <c r="AA1280" s="10" t="str">
        <f t="shared" si="395"/>
        <v>1_Post</v>
      </c>
      <c r="AB1280" s="10" t="str">
        <f t="shared" si="396"/>
        <v>1_Post</v>
      </c>
      <c r="AC1280" s="10" t="str">
        <f t="shared" si="397"/>
        <v>1_Post</v>
      </c>
      <c r="AD1280" s="10" t="str">
        <f t="shared" si="398"/>
        <v>2_post sample median</v>
      </c>
      <c r="AE1280" s="10" t="str">
        <f t="shared" si="399"/>
        <v>3_post sample third tertile</v>
      </c>
      <c r="AF1280" t="s">
        <v>80</v>
      </c>
      <c r="AG1280" t="s">
        <v>75</v>
      </c>
      <c r="AH1280" t="s">
        <v>78</v>
      </c>
      <c r="AI1280" t="s">
        <v>122</v>
      </c>
      <c r="AJ1280" t="s">
        <v>123</v>
      </c>
      <c r="AK1280" t="str">
        <f>VLOOKUP(MID($AR1280,1,255),country_lookup!$B:$F,2,FALSE)</f>
        <v>3_AsiaPac</v>
      </c>
      <c r="AL1280" t="str">
        <f>VLOOKUP(MID($AR1280,1,255),country_lookup!$B:$F,3,FALSE)</f>
        <v>2_developing</v>
      </c>
      <c r="AM1280" t="str">
        <f>VLOOKUP(MID($AR1280,1,255),country_lookup!$B:$F,4,FALSE)</f>
        <v>2_non_western</v>
      </c>
      <c r="AN1280" t="str">
        <f>VLOOKUP(MID($AR1280,1,255),country_lookup!$B:$F,5,FALSE)</f>
        <v>2_civil law</v>
      </c>
      <c r="AO1280" s="10" t="str">
        <f>VLOOKUP(MID($AS1280,1,255),source_lookup!$B:$K,4,FALSE)</f>
        <v>0_published</v>
      </c>
      <c r="AP1280" s="10" t="str">
        <f>VLOOKUP(MID($AS1280,1,255),source_lookup!$B:$K,6,FALSE)</f>
        <v>1_VHB high</v>
      </c>
      <c r="AQ1280" s="10" t="str">
        <f>VLOOKUP(MID($AS1280,1,255),source_lookup!$B:$K,10,FALSE)</f>
        <v>3_mgmt</v>
      </c>
      <c r="AR1280" t="s">
        <v>94</v>
      </c>
      <c r="AS1280" t="s">
        <v>187</v>
      </c>
    </row>
    <row r="1281" spans="1:45" x14ac:dyDescent="0.3">
      <c r="A1281" t="s">
        <v>64</v>
      </c>
      <c r="B1281">
        <v>1280</v>
      </c>
      <c r="C1281" s="1">
        <v>-3.0069191896765182E-2</v>
      </c>
      <c r="D1281" s="2">
        <v>1892</v>
      </c>
      <c r="E1281" s="4">
        <v>10212</v>
      </c>
      <c r="F1281" s="4" t="s">
        <v>347</v>
      </c>
      <c r="G1281" s="4" t="s">
        <v>346</v>
      </c>
      <c r="H1281" t="s">
        <v>77</v>
      </c>
      <c r="I1281" t="s">
        <v>350</v>
      </c>
      <c r="J1281" s="3">
        <v>2009</v>
      </c>
      <c r="K1281" s="3">
        <v>2019</v>
      </c>
      <c r="L1281" s="6">
        <f t="shared" si="391"/>
        <v>2014</v>
      </c>
      <c r="M1281" s="6">
        <f t="shared" si="392"/>
        <v>2014</v>
      </c>
      <c r="N1281" s="7">
        <f t="shared" si="380"/>
        <v>0.36363636363636365</v>
      </c>
      <c r="O1281" s="7">
        <f t="shared" si="381"/>
        <v>0.27272727272727271</v>
      </c>
      <c r="P1281" s="7">
        <f t="shared" si="382"/>
        <v>0.18181818181818182</v>
      </c>
      <c r="Q1281" s="7">
        <f t="shared" si="393"/>
        <v>9.0909090909090912E-2</v>
      </c>
      <c r="R1281" s="10" t="str">
        <f t="shared" si="383"/>
        <v>0_Pre</v>
      </c>
      <c r="S1281" s="10" t="str">
        <f t="shared" si="384"/>
        <v>0_Pre</v>
      </c>
      <c r="T1281" s="10" t="str">
        <f t="shared" si="385"/>
        <v>0_Pre</v>
      </c>
      <c r="U1281" s="10" t="str">
        <f t="shared" si="386"/>
        <v>1_Post</v>
      </c>
      <c r="V1281" s="10" t="str">
        <f t="shared" si="394"/>
        <v>0_Pre</v>
      </c>
      <c r="W1281" s="10" t="str">
        <f t="shared" si="387"/>
        <v>straddle</v>
      </c>
      <c r="X1281" s="10" t="str">
        <f t="shared" si="388"/>
        <v>0_Pre</v>
      </c>
      <c r="Y1281" s="10" t="str">
        <f t="shared" si="389"/>
        <v>0_Pre</v>
      </c>
      <c r="Z1281" s="10" t="str">
        <f t="shared" si="390"/>
        <v>0_Pre</v>
      </c>
      <c r="AA1281" s="10" t="str">
        <f t="shared" si="395"/>
        <v>1_Post</v>
      </c>
      <c r="AB1281" s="10" t="str">
        <f t="shared" si="396"/>
        <v>1_Post</v>
      </c>
      <c r="AC1281" s="10" t="str">
        <f t="shared" si="397"/>
        <v>1_Post</v>
      </c>
      <c r="AD1281" s="10" t="str">
        <f t="shared" si="398"/>
        <v>2_post sample median</v>
      </c>
      <c r="AE1281" s="10" t="str">
        <f t="shared" si="399"/>
        <v>3_post sample third tertile</v>
      </c>
      <c r="AF1281" t="s">
        <v>80</v>
      </c>
      <c r="AG1281" t="s">
        <v>75</v>
      </c>
      <c r="AH1281" t="s">
        <v>78</v>
      </c>
      <c r="AI1281" t="s">
        <v>122</v>
      </c>
      <c r="AJ1281" t="s">
        <v>123</v>
      </c>
      <c r="AK1281" t="str">
        <f>VLOOKUP(MID($AR1281,1,255),country_lookup!$B:$F,2,FALSE)</f>
        <v>3_AsiaPac</v>
      </c>
      <c r="AL1281" t="str">
        <f>VLOOKUP(MID($AR1281,1,255),country_lookup!$B:$F,3,FALSE)</f>
        <v>2_developing</v>
      </c>
      <c r="AM1281" t="str">
        <f>VLOOKUP(MID($AR1281,1,255),country_lookup!$B:$F,4,FALSE)</f>
        <v>2_non_western</v>
      </c>
      <c r="AN1281" t="str">
        <f>VLOOKUP(MID($AR1281,1,255),country_lookup!$B:$F,5,FALSE)</f>
        <v>2_civil law</v>
      </c>
      <c r="AO1281" s="10" t="str">
        <f>VLOOKUP(MID($AS1281,1,255),source_lookup!$B:$K,4,FALSE)</f>
        <v>0_published</v>
      </c>
      <c r="AP1281" s="10" t="str">
        <f>VLOOKUP(MID($AS1281,1,255),source_lookup!$B:$K,6,FALSE)</f>
        <v>1_VHB high</v>
      </c>
      <c r="AQ1281" s="10" t="str">
        <f>VLOOKUP(MID($AS1281,1,255),source_lookup!$B:$K,10,FALSE)</f>
        <v>3_mgmt</v>
      </c>
      <c r="AR1281" t="s">
        <v>94</v>
      </c>
      <c r="AS1281" t="s">
        <v>187</v>
      </c>
    </row>
    <row r="1282" spans="1:45" x14ac:dyDescent="0.3">
      <c r="A1282" t="s">
        <v>64</v>
      </c>
      <c r="B1282">
        <v>1281</v>
      </c>
      <c r="C1282" s="1">
        <v>-2.1279625081338547E-2</v>
      </c>
      <c r="D1282" s="2">
        <v>811</v>
      </c>
      <c r="E1282" s="4">
        <v>8918</v>
      </c>
      <c r="F1282" s="4" t="s">
        <v>347</v>
      </c>
      <c r="G1282" s="4" t="s">
        <v>346</v>
      </c>
      <c r="H1282" t="s">
        <v>77</v>
      </c>
      <c r="I1282" t="s">
        <v>350</v>
      </c>
      <c r="J1282" s="3">
        <v>2009</v>
      </c>
      <c r="K1282" s="3">
        <v>2019</v>
      </c>
      <c r="L1282" s="6">
        <f t="shared" si="391"/>
        <v>2014</v>
      </c>
      <c r="M1282" s="6">
        <f t="shared" si="392"/>
        <v>2014</v>
      </c>
      <c r="N1282" s="7">
        <f t="shared" ref="N1282:N1307" si="400">MAX(0,$K1282-MAX($J1282,2016)+1)/($K1282-$J1282+1)</f>
        <v>0.36363636363636365</v>
      </c>
      <c r="O1282" s="7">
        <f t="shared" ref="O1282:O1307" si="401">MAX(0,$K1282-MAX($J1282,2017)+1)/($K1282-$J1282+1)</f>
        <v>0.27272727272727271</v>
      </c>
      <c r="P1282" s="7">
        <f t="shared" ref="P1282:P1307" si="402">MAX(0,$K1282-MAX($J1282,2018)+1)/($K1282-$J1282+1)</f>
        <v>0.18181818181818182</v>
      </c>
      <c r="Q1282" s="7">
        <f t="shared" si="393"/>
        <v>9.0909090909090912E-2</v>
      </c>
      <c r="R1282" s="10" t="str">
        <f t="shared" ref="R1282:R1307" si="403">IF(N1282&gt;=0.5,"1_Post","0_Pre")</f>
        <v>0_Pre</v>
      </c>
      <c r="S1282" s="10" t="str">
        <f t="shared" ref="S1282:S1307" si="404">IF($L1282&gt;=2016,"1_Post","0_Pre")</f>
        <v>0_Pre</v>
      </c>
      <c r="T1282" s="10" t="str">
        <f t="shared" ref="T1282:T1307" si="405">IF($M1282&gt;=2016,"1_Post","0_Pre")</f>
        <v>0_Pre</v>
      </c>
      <c r="U1282" s="10" t="str">
        <f t="shared" ref="U1282:U1307" si="406">IF($K1282&gt;=2016,"1_Post","0_Pre")</f>
        <v>1_Post</v>
      </c>
      <c r="V1282" s="10" t="str">
        <f t="shared" si="394"/>
        <v>0_Pre</v>
      </c>
      <c r="W1282" s="10" t="str">
        <f t="shared" ref="W1282:W1307" si="407">IF($K1282&lt;=2015,"clean_pre",IF($J1282&gt;=2016,"clean_post","straddle"))</f>
        <v>straddle</v>
      </c>
      <c r="X1282" s="10" t="str">
        <f t="shared" ref="X1282:X1307" si="408">IF(O1282&gt;=0.5,"1_Post","0_Pre")</f>
        <v>0_Pre</v>
      </c>
      <c r="Y1282" s="10" t="str">
        <f t="shared" ref="Y1282:Y1307" si="409">IF(P1282&gt;=0.5,"1_Post","0_Pre")</f>
        <v>0_Pre</v>
      </c>
      <c r="Z1282" s="10" t="str">
        <f t="shared" ref="Z1282:Z1307" si="410">IF(Q1282&gt;=0.5,"1_Post","0_Pre")</f>
        <v>0_Pre</v>
      </c>
      <c r="AA1282" s="10" t="str">
        <f t="shared" si="395"/>
        <v>1_Post</v>
      </c>
      <c r="AB1282" s="10" t="str">
        <f t="shared" si="396"/>
        <v>1_Post</v>
      </c>
      <c r="AC1282" s="10" t="str">
        <f t="shared" si="397"/>
        <v>1_Post</v>
      </c>
      <c r="AD1282" s="10" t="str">
        <f t="shared" si="398"/>
        <v>2_post sample median</v>
      </c>
      <c r="AE1282" s="10" t="str">
        <f t="shared" si="399"/>
        <v>3_post sample third tertile</v>
      </c>
      <c r="AF1282" t="s">
        <v>80</v>
      </c>
      <c r="AG1282" t="s">
        <v>75</v>
      </c>
      <c r="AH1282" t="s">
        <v>78</v>
      </c>
      <c r="AI1282" t="s">
        <v>122</v>
      </c>
      <c r="AJ1282" t="s">
        <v>123</v>
      </c>
      <c r="AK1282" t="str">
        <f>VLOOKUP(MID($AR1282,1,255),country_lookup!$B:$F,2,FALSE)</f>
        <v>3_AsiaPac</v>
      </c>
      <c r="AL1282" t="str">
        <f>VLOOKUP(MID($AR1282,1,255),country_lookup!$B:$F,3,FALSE)</f>
        <v>2_developing</v>
      </c>
      <c r="AM1282" t="str">
        <f>VLOOKUP(MID($AR1282,1,255),country_lookup!$B:$F,4,FALSE)</f>
        <v>2_non_western</v>
      </c>
      <c r="AN1282" t="str">
        <f>VLOOKUP(MID($AR1282,1,255),country_lookup!$B:$F,5,FALSE)</f>
        <v>2_civil law</v>
      </c>
      <c r="AO1282" s="10" t="str">
        <f>VLOOKUP(MID($AS1282,1,255),source_lookup!$B:$K,4,FALSE)</f>
        <v>0_published</v>
      </c>
      <c r="AP1282" s="10" t="str">
        <f>VLOOKUP(MID($AS1282,1,255),source_lookup!$B:$K,6,FALSE)</f>
        <v>1_VHB high</v>
      </c>
      <c r="AQ1282" s="10" t="str">
        <f>VLOOKUP(MID($AS1282,1,255),source_lookup!$B:$K,10,FALSE)</f>
        <v>3_mgmt</v>
      </c>
      <c r="AR1282" t="s">
        <v>94</v>
      </c>
      <c r="AS1282" t="s">
        <v>187</v>
      </c>
    </row>
    <row r="1283" spans="1:45" x14ac:dyDescent="0.3">
      <c r="A1283" t="s">
        <v>64</v>
      </c>
      <c r="B1283">
        <v>1282</v>
      </c>
      <c r="C1283" s="1">
        <v>-4.2217166888865149E-2</v>
      </c>
      <c r="D1283" s="2">
        <v>118</v>
      </c>
      <c r="E1283" s="4">
        <v>1294</v>
      </c>
      <c r="F1283" s="4" t="s">
        <v>347</v>
      </c>
      <c r="G1283" s="4" t="s">
        <v>346</v>
      </c>
      <c r="H1283" t="s">
        <v>77</v>
      </c>
      <c r="I1283" t="s">
        <v>350</v>
      </c>
      <c r="J1283" s="3">
        <v>2009</v>
      </c>
      <c r="K1283" s="3">
        <v>2019</v>
      </c>
      <c r="L1283" s="6">
        <f t="shared" ref="L1283:L1307" si="411">ROUND(AVERAGE(J1283:K1283),100)</f>
        <v>2014</v>
      </c>
      <c r="M1283" s="6">
        <f t="shared" ref="M1283:M1307" si="412">ROUND(MEDIAN(J1283:K1283),100)</f>
        <v>2014</v>
      </c>
      <c r="N1283" s="7">
        <f t="shared" si="400"/>
        <v>0.36363636363636365</v>
      </c>
      <c r="O1283" s="7">
        <f t="shared" si="401"/>
        <v>0.27272727272727271</v>
      </c>
      <c r="P1283" s="7">
        <f t="shared" si="402"/>
        <v>0.18181818181818182</v>
      </c>
      <c r="Q1283" s="7">
        <f t="shared" ref="Q1283:Q1307" si="413">MAX(0,$K1283-MAX($J1283,2019)+1)/($K1283-$J1283+1)</f>
        <v>9.0909090909090912E-2</v>
      </c>
      <c r="R1283" s="10" t="str">
        <f t="shared" si="403"/>
        <v>0_Pre</v>
      </c>
      <c r="S1283" s="10" t="str">
        <f t="shared" si="404"/>
        <v>0_Pre</v>
      </c>
      <c r="T1283" s="10" t="str">
        <f t="shared" si="405"/>
        <v>0_Pre</v>
      </c>
      <c r="U1283" s="10" t="str">
        <f t="shared" si="406"/>
        <v>1_Post</v>
      </c>
      <c r="V1283" s="10" t="str">
        <f t="shared" ref="V1283:V1307" si="414">IF($J1283&lt;=2017,"0_Pre","1_Post")</f>
        <v>0_Pre</v>
      </c>
      <c r="W1283" s="10" t="str">
        <f t="shared" si="407"/>
        <v>straddle</v>
      </c>
      <c r="X1283" s="10" t="str">
        <f t="shared" si="408"/>
        <v>0_Pre</v>
      </c>
      <c r="Y1283" s="10" t="str">
        <f t="shared" si="409"/>
        <v>0_Pre</v>
      </c>
      <c r="Z1283" s="10" t="str">
        <f t="shared" si="410"/>
        <v>0_Pre</v>
      </c>
      <c r="AA1283" s="10" t="str">
        <f t="shared" ref="AA1283:AA1307" si="415">IF($K1283&gt;=2017,"1_Post","0_Pre")</f>
        <v>1_Post</v>
      </c>
      <c r="AB1283" s="10" t="str">
        <f t="shared" ref="AB1283:AB1307" si="416">IF($K1283&gt;=2018,"1_Post","0_Pre")</f>
        <v>1_Post</v>
      </c>
      <c r="AC1283" s="10" t="str">
        <f t="shared" ref="AC1283:AC1307" si="417">IF($K1283&gt;=2019,"1_Post","0_Pre")</f>
        <v>1_Post</v>
      </c>
      <c r="AD1283" s="10" t="str">
        <f t="shared" ref="AD1283:AD1307" si="418">IF(L1283&lt;MEDIAN($L$2:$L$1307),"1_pre sample median","2_post sample median")</f>
        <v>2_post sample median</v>
      </c>
      <c r="AE1283" s="10" t="str">
        <f t="shared" ref="AE1283:AE1307" si="419">IF(L1283&lt;=PERCENTILE($L$2:$L$1307,0.33),"1_pre sample first tertile",IF(L1283&gt;=PERCENTILE($L$2:$L$1307,0.67),"3_post sample third tertile","2_in sample second tertile"))</f>
        <v>3_post sample third tertile</v>
      </c>
      <c r="AF1283" t="s">
        <v>80</v>
      </c>
      <c r="AG1283" t="s">
        <v>75</v>
      </c>
      <c r="AH1283" t="s">
        <v>78</v>
      </c>
      <c r="AI1283" t="s">
        <v>122</v>
      </c>
      <c r="AJ1283" t="s">
        <v>123</v>
      </c>
      <c r="AK1283" t="str">
        <f>VLOOKUP(MID($AR1283,1,255),country_lookup!$B:$F,2,FALSE)</f>
        <v>3_AsiaPac</v>
      </c>
      <c r="AL1283" t="str">
        <f>VLOOKUP(MID($AR1283,1,255),country_lookup!$B:$F,3,FALSE)</f>
        <v>2_developing</v>
      </c>
      <c r="AM1283" t="str">
        <f>VLOOKUP(MID($AR1283,1,255),country_lookup!$B:$F,4,FALSE)</f>
        <v>2_non_western</v>
      </c>
      <c r="AN1283" t="str">
        <f>VLOOKUP(MID($AR1283,1,255),country_lookup!$B:$F,5,FALSE)</f>
        <v>2_civil law</v>
      </c>
      <c r="AO1283" s="10" t="str">
        <f>VLOOKUP(MID($AS1283,1,255),source_lookup!$B:$K,4,FALSE)</f>
        <v>0_published</v>
      </c>
      <c r="AP1283" s="10" t="str">
        <f>VLOOKUP(MID($AS1283,1,255),source_lookup!$B:$K,6,FALSE)</f>
        <v>1_VHB high</v>
      </c>
      <c r="AQ1283" s="10" t="str">
        <f>VLOOKUP(MID($AS1283,1,255),source_lookup!$B:$K,10,FALSE)</f>
        <v>3_mgmt</v>
      </c>
      <c r="AR1283" t="s">
        <v>94</v>
      </c>
      <c r="AS1283" t="s">
        <v>187</v>
      </c>
    </row>
    <row r="1284" spans="1:45" x14ac:dyDescent="0.3">
      <c r="A1284" t="s">
        <v>64</v>
      </c>
      <c r="B1284">
        <v>1283</v>
      </c>
      <c r="C1284" s="1">
        <v>-2.9659752219015994E-2</v>
      </c>
      <c r="D1284" s="2">
        <v>413</v>
      </c>
      <c r="E1284" s="4">
        <v>4543</v>
      </c>
      <c r="F1284" s="4" t="s">
        <v>347</v>
      </c>
      <c r="G1284" s="4" t="s">
        <v>346</v>
      </c>
      <c r="H1284" t="s">
        <v>77</v>
      </c>
      <c r="I1284" t="s">
        <v>350</v>
      </c>
      <c r="J1284" s="3">
        <v>2009</v>
      </c>
      <c r="K1284" s="3">
        <v>2019</v>
      </c>
      <c r="L1284" s="6">
        <f t="shared" si="411"/>
        <v>2014</v>
      </c>
      <c r="M1284" s="6">
        <f t="shared" si="412"/>
        <v>2014</v>
      </c>
      <c r="N1284" s="7">
        <f t="shared" si="400"/>
        <v>0.36363636363636365</v>
      </c>
      <c r="O1284" s="7">
        <f t="shared" si="401"/>
        <v>0.27272727272727271</v>
      </c>
      <c r="P1284" s="7">
        <f t="shared" si="402"/>
        <v>0.18181818181818182</v>
      </c>
      <c r="Q1284" s="7">
        <f t="shared" si="413"/>
        <v>9.0909090909090912E-2</v>
      </c>
      <c r="R1284" s="10" t="str">
        <f t="shared" si="403"/>
        <v>0_Pre</v>
      </c>
      <c r="S1284" s="10" t="str">
        <f t="shared" si="404"/>
        <v>0_Pre</v>
      </c>
      <c r="T1284" s="10" t="str">
        <f t="shared" si="405"/>
        <v>0_Pre</v>
      </c>
      <c r="U1284" s="10" t="str">
        <f t="shared" si="406"/>
        <v>1_Post</v>
      </c>
      <c r="V1284" s="10" t="str">
        <f t="shared" si="414"/>
        <v>0_Pre</v>
      </c>
      <c r="W1284" s="10" t="str">
        <f t="shared" si="407"/>
        <v>straddle</v>
      </c>
      <c r="X1284" s="10" t="str">
        <f t="shared" si="408"/>
        <v>0_Pre</v>
      </c>
      <c r="Y1284" s="10" t="str">
        <f t="shared" si="409"/>
        <v>0_Pre</v>
      </c>
      <c r="Z1284" s="10" t="str">
        <f t="shared" si="410"/>
        <v>0_Pre</v>
      </c>
      <c r="AA1284" s="10" t="str">
        <f t="shared" si="415"/>
        <v>1_Post</v>
      </c>
      <c r="AB1284" s="10" t="str">
        <f t="shared" si="416"/>
        <v>1_Post</v>
      </c>
      <c r="AC1284" s="10" t="str">
        <f t="shared" si="417"/>
        <v>1_Post</v>
      </c>
      <c r="AD1284" s="10" t="str">
        <f t="shared" si="418"/>
        <v>2_post sample median</v>
      </c>
      <c r="AE1284" s="10" t="str">
        <f t="shared" si="419"/>
        <v>3_post sample third tertile</v>
      </c>
      <c r="AF1284" t="s">
        <v>80</v>
      </c>
      <c r="AG1284" t="s">
        <v>75</v>
      </c>
      <c r="AH1284" t="s">
        <v>78</v>
      </c>
      <c r="AI1284" t="s">
        <v>122</v>
      </c>
      <c r="AJ1284" t="s">
        <v>123</v>
      </c>
      <c r="AK1284" t="str">
        <f>VLOOKUP(MID($AR1284,1,255),country_lookup!$B:$F,2,FALSE)</f>
        <v>3_AsiaPac</v>
      </c>
      <c r="AL1284" t="str">
        <f>VLOOKUP(MID($AR1284,1,255),country_lookup!$B:$F,3,FALSE)</f>
        <v>2_developing</v>
      </c>
      <c r="AM1284" t="str">
        <f>VLOOKUP(MID($AR1284,1,255),country_lookup!$B:$F,4,FALSE)</f>
        <v>2_non_western</v>
      </c>
      <c r="AN1284" t="str">
        <f>VLOOKUP(MID($AR1284,1,255),country_lookup!$B:$F,5,FALSE)</f>
        <v>2_civil law</v>
      </c>
      <c r="AO1284" s="10" t="str">
        <f>VLOOKUP(MID($AS1284,1,255),source_lookup!$B:$K,4,FALSE)</f>
        <v>0_published</v>
      </c>
      <c r="AP1284" s="10" t="str">
        <f>VLOOKUP(MID($AS1284,1,255),source_lookup!$B:$K,6,FALSE)</f>
        <v>1_VHB high</v>
      </c>
      <c r="AQ1284" s="10" t="str">
        <f>VLOOKUP(MID($AS1284,1,255),source_lookup!$B:$K,10,FALSE)</f>
        <v>3_mgmt</v>
      </c>
      <c r="AR1284" t="s">
        <v>94</v>
      </c>
      <c r="AS1284" t="s">
        <v>187</v>
      </c>
    </row>
    <row r="1285" spans="1:45" x14ac:dyDescent="0.3">
      <c r="A1285" t="s">
        <v>64</v>
      </c>
      <c r="B1285">
        <v>1284</v>
      </c>
      <c r="C1285" s="1">
        <v>-1.4076983523546745E-2</v>
      </c>
      <c r="D1285" s="2">
        <v>515</v>
      </c>
      <c r="E1285" s="4">
        <v>5669</v>
      </c>
      <c r="F1285" s="4" t="s">
        <v>347</v>
      </c>
      <c r="G1285" s="4" t="s">
        <v>346</v>
      </c>
      <c r="H1285" t="s">
        <v>77</v>
      </c>
      <c r="I1285" t="s">
        <v>350</v>
      </c>
      <c r="J1285" s="3">
        <v>2009</v>
      </c>
      <c r="K1285" s="3">
        <v>2019</v>
      </c>
      <c r="L1285" s="6">
        <f t="shared" si="411"/>
        <v>2014</v>
      </c>
      <c r="M1285" s="6">
        <f t="shared" si="412"/>
        <v>2014</v>
      </c>
      <c r="N1285" s="7">
        <f t="shared" si="400"/>
        <v>0.36363636363636365</v>
      </c>
      <c r="O1285" s="7">
        <f t="shared" si="401"/>
        <v>0.27272727272727271</v>
      </c>
      <c r="P1285" s="7">
        <f t="shared" si="402"/>
        <v>0.18181818181818182</v>
      </c>
      <c r="Q1285" s="7">
        <f t="shared" si="413"/>
        <v>9.0909090909090912E-2</v>
      </c>
      <c r="R1285" s="10" t="str">
        <f t="shared" si="403"/>
        <v>0_Pre</v>
      </c>
      <c r="S1285" s="10" t="str">
        <f t="shared" si="404"/>
        <v>0_Pre</v>
      </c>
      <c r="T1285" s="10" t="str">
        <f t="shared" si="405"/>
        <v>0_Pre</v>
      </c>
      <c r="U1285" s="10" t="str">
        <f t="shared" si="406"/>
        <v>1_Post</v>
      </c>
      <c r="V1285" s="10" t="str">
        <f t="shared" si="414"/>
        <v>0_Pre</v>
      </c>
      <c r="W1285" s="10" t="str">
        <f t="shared" si="407"/>
        <v>straddle</v>
      </c>
      <c r="X1285" s="10" t="str">
        <f t="shared" si="408"/>
        <v>0_Pre</v>
      </c>
      <c r="Y1285" s="10" t="str">
        <f t="shared" si="409"/>
        <v>0_Pre</v>
      </c>
      <c r="Z1285" s="10" t="str">
        <f t="shared" si="410"/>
        <v>0_Pre</v>
      </c>
      <c r="AA1285" s="10" t="str">
        <f t="shared" si="415"/>
        <v>1_Post</v>
      </c>
      <c r="AB1285" s="10" t="str">
        <f t="shared" si="416"/>
        <v>1_Post</v>
      </c>
      <c r="AC1285" s="10" t="str">
        <f t="shared" si="417"/>
        <v>1_Post</v>
      </c>
      <c r="AD1285" s="10" t="str">
        <f t="shared" si="418"/>
        <v>2_post sample median</v>
      </c>
      <c r="AE1285" s="10" t="str">
        <f t="shared" si="419"/>
        <v>3_post sample third tertile</v>
      </c>
      <c r="AF1285" t="s">
        <v>80</v>
      </c>
      <c r="AG1285" t="s">
        <v>75</v>
      </c>
      <c r="AH1285" t="s">
        <v>78</v>
      </c>
      <c r="AI1285" t="s">
        <v>122</v>
      </c>
      <c r="AJ1285" t="s">
        <v>123</v>
      </c>
      <c r="AK1285" t="str">
        <f>VLOOKUP(MID($AR1285,1,255),country_lookup!$B:$F,2,FALSE)</f>
        <v>3_AsiaPac</v>
      </c>
      <c r="AL1285" t="str">
        <f>VLOOKUP(MID($AR1285,1,255),country_lookup!$B:$F,3,FALSE)</f>
        <v>2_developing</v>
      </c>
      <c r="AM1285" t="str">
        <f>VLOOKUP(MID($AR1285,1,255),country_lookup!$B:$F,4,FALSE)</f>
        <v>2_non_western</v>
      </c>
      <c r="AN1285" t="str">
        <f>VLOOKUP(MID($AR1285,1,255),country_lookup!$B:$F,5,FALSE)</f>
        <v>2_civil law</v>
      </c>
      <c r="AO1285" s="10" t="str">
        <f>VLOOKUP(MID($AS1285,1,255),source_lookup!$B:$K,4,FALSE)</f>
        <v>0_published</v>
      </c>
      <c r="AP1285" s="10" t="str">
        <f>VLOOKUP(MID($AS1285,1,255),source_lookup!$B:$K,6,FALSE)</f>
        <v>1_VHB high</v>
      </c>
      <c r="AQ1285" s="10" t="str">
        <f>VLOOKUP(MID($AS1285,1,255),source_lookup!$B:$K,10,FALSE)</f>
        <v>3_mgmt</v>
      </c>
      <c r="AR1285" t="s">
        <v>94</v>
      </c>
      <c r="AS1285" t="s">
        <v>187</v>
      </c>
    </row>
    <row r="1286" spans="1:45" x14ac:dyDescent="0.3">
      <c r="A1286" t="s">
        <v>64</v>
      </c>
      <c r="B1286">
        <v>1285</v>
      </c>
      <c r="C1286" s="1">
        <v>-3.0175379403071891E-2</v>
      </c>
      <c r="D1286" s="2">
        <v>523</v>
      </c>
      <c r="E1286" s="4">
        <v>5754</v>
      </c>
      <c r="F1286" s="4" t="s">
        <v>347</v>
      </c>
      <c r="G1286" s="4" t="s">
        <v>346</v>
      </c>
      <c r="H1286" t="s">
        <v>77</v>
      </c>
      <c r="I1286" t="s">
        <v>350</v>
      </c>
      <c r="J1286" s="3">
        <v>2009</v>
      </c>
      <c r="K1286" s="3">
        <v>2019</v>
      </c>
      <c r="L1286" s="6">
        <f t="shared" si="411"/>
        <v>2014</v>
      </c>
      <c r="M1286" s="6">
        <f t="shared" si="412"/>
        <v>2014</v>
      </c>
      <c r="N1286" s="7">
        <f t="shared" si="400"/>
        <v>0.36363636363636365</v>
      </c>
      <c r="O1286" s="7">
        <f t="shared" si="401"/>
        <v>0.27272727272727271</v>
      </c>
      <c r="P1286" s="7">
        <f t="shared" si="402"/>
        <v>0.18181818181818182</v>
      </c>
      <c r="Q1286" s="7">
        <f t="shared" si="413"/>
        <v>9.0909090909090912E-2</v>
      </c>
      <c r="R1286" s="10" t="str">
        <f t="shared" si="403"/>
        <v>0_Pre</v>
      </c>
      <c r="S1286" s="10" t="str">
        <f t="shared" si="404"/>
        <v>0_Pre</v>
      </c>
      <c r="T1286" s="10" t="str">
        <f t="shared" si="405"/>
        <v>0_Pre</v>
      </c>
      <c r="U1286" s="10" t="str">
        <f t="shared" si="406"/>
        <v>1_Post</v>
      </c>
      <c r="V1286" s="10" t="str">
        <f t="shared" si="414"/>
        <v>0_Pre</v>
      </c>
      <c r="W1286" s="10" t="str">
        <f t="shared" si="407"/>
        <v>straddle</v>
      </c>
      <c r="X1286" s="10" t="str">
        <f t="shared" si="408"/>
        <v>0_Pre</v>
      </c>
      <c r="Y1286" s="10" t="str">
        <f t="shared" si="409"/>
        <v>0_Pre</v>
      </c>
      <c r="Z1286" s="10" t="str">
        <f t="shared" si="410"/>
        <v>0_Pre</v>
      </c>
      <c r="AA1286" s="10" t="str">
        <f t="shared" si="415"/>
        <v>1_Post</v>
      </c>
      <c r="AB1286" s="10" t="str">
        <f t="shared" si="416"/>
        <v>1_Post</v>
      </c>
      <c r="AC1286" s="10" t="str">
        <f t="shared" si="417"/>
        <v>1_Post</v>
      </c>
      <c r="AD1286" s="10" t="str">
        <f t="shared" si="418"/>
        <v>2_post sample median</v>
      </c>
      <c r="AE1286" s="10" t="str">
        <f t="shared" si="419"/>
        <v>3_post sample third tertile</v>
      </c>
      <c r="AF1286" t="s">
        <v>80</v>
      </c>
      <c r="AG1286" t="s">
        <v>75</v>
      </c>
      <c r="AH1286" t="s">
        <v>78</v>
      </c>
      <c r="AI1286" t="s">
        <v>122</v>
      </c>
      <c r="AJ1286" t="s">
        <v>123</v>
      </c>
      <c r="AK1286" t="str">
        <f>VLOOKUP(MID($AR1286,1,255),country_lookup!$B:$F,2,FALSE)</f>
        <v>3_AsiaPac</v>
      </c>
      <c r="AL1286" t="str">
        <f>VLOOKUP(MID($AR1286,1,255),country_lookup!$B:$F,3,FALSE)</f>
        <v>2_developing</v>
      </c>
      <c r="AM1286" t="str">
        <f>VLOOKUP(MID($AR1286,1,255),country_lookup!$B:$F,4,FALSE)</f>
        <v>2_non_western</v>
      </c>
      <c r="AN1286" t="str">
        <f>VLOOKUP(MID($AR1286,1,255),country_lookup!$B:$F,5,FALSE)</f>
        <v>2_civil law</v>
      </c>
      <c r="AO1286" s="10" t="str">
        <f>VLOOKUP(MID($AS1286,1,255),source_lookup!$B:$K,4,FALSE)</f>
        <v>0_published</v>
      </c>
      <c r="AP1286" s="10" t="str">
        <f>VLOOKUP(MID($AS1286,1,255),source_lookup!$B:$K,6,FALSE)</f>
        <v>1_VHB high</v>
      </c>
      <c r="AQ1286" s="10" t="str">
        <f>VLOOKUP(MID($AS1286,1,255),source_lookup!$B:$K,10,FALSE)</f>
        <v>3_mgmt</v>
      </c>
      <c r="AR1286" t="s">
        <v>94</v>
      </c>
      <c r="AS1286" t="s">
        <v>187</v>
      </c>
    </row>
    <row r="1287" spans="1:45" x14ac:dyDescent="0.3">
      <c r="A1287" t="s">
        <v>64</v>
      </c>
      <c r="B1287">
        <v>1286</v>
      </c>
      <c r="C1287" s="1">
        <v>-1.6322948174708869E-2</v>
      </c>
      <c r="D1287" s="2">
        <v>405</v>
      </c>
      <c r="E1287" s="4">
        <v>4458</v>
      </c>
      <c r="F1287" s="4" t="s">
        <v>347</v>
      </c>
      <c r="G1287" s="4" t="s">
        <v>346</v>
      </c>
      <c r="H1287" t="s">
        <v>77</v>
      </c>
      <c r="I1287" t="s">
        <v>350</v>
      </c>
      <c r="J1287" s="3">
        <v>2009</v>
      </c>
      <c r="K1287" s="3">
        <v>2019</v>
      </c>
      <c r="L1287" s="6">
        <f t="shared" si="411"/>
        <v>2014</v>
      </c>
      <c r="M1287" s="6">
        <f t="shared" si="412"/>
        <v>2014</v>
      </c>
      <c r="N1287" s="7">
        <f t="shared" si="400"/>
        <v>0.36363636363636365</v>
      </c>
      <c r="O1287" s="7">
        <f t="shared" si="401"/>
        <v>0.27272727272727271</v>
      </c>
      <c r="P1287" s="7">
        <f t="shared" si="402"/>
        <v>0.18181818181818182</v>
      </c>
      <c r="Q1287" s="7">
        <f t="shared" si="413"/>
        <v>9.0909090909090912E-2</v>
      </c>
      <c r="R1287" s="10" t="str">
        <f t="shared" si="403"/>
        <v>0_Pre</v>
      </c>
      <c r="S1287" s="10" t="str">
        <f t="shared" si="404"/>
        <v>0_Pre</v>
      </c>
      <c r="T1287" s="10" t="str">
        <f t="shared" si="405"/>
        <v>0_Pre</v>
      </c>
      <c r="U1287" s="10" t="str">
        <f t="shared" si="406"/>
        <v>1_Post</v>
      </c>
      <c r="V1287" s="10" t="str">
        <f t="shared" si="414"/>
        <v>0_Pre</v>
      </c>
      <c r="W1287" s="10" t="str">
        <f t="shared" si="407"/>
        <v>straddle</v>
      </c>
      <c r="X1287" s="10" t="str">
        <f t="shared" si="408"/>
        <v>0_Pre</v>
      </c>
      <c r="Y1287" s="10" t="str">
        <f t="shared" si="409"/>
        <v>0_Pre</v>
      </c>
      <c r="Z1287" s="10" t="str">
        <f t="shared" si="410"/>
        <v>0_Pre</v>
      </c>
      <c r="AA1287" s="10" t="str">
        <f t="shared" si="415"/>
        <v>1_Post</v>
      </c>
      <c r="AB1287" s="10" t="str">
        <f t="shared" si="416"/>
        <v>1_Post</v>
      </c>
      <c r="AC1287" s="10" t="str">
        <f t="shared" si="417"/>
        <v>1_Post</v>
      </c>
      <c r="AD1287" s="10" t="str">
        <f t="shared" si="418"/>
        <v>2_post sample median</v>
      </c>
      <c r="AE1287" s="10" t="str">
        <f t="shared" si="419"/>
        <v>3_post sample third tertile</v>
      </c>
      <c r="AF1287" t="s">
        <v>80</v>
      </c>
      <c r="AG1287" t="s">
        <v>75</v>
      </c>
      <c r="AH1287" t="s">
        <v>78</v>
      </c>
      <c r="AI1287" t="s">
        <v>122</v>
      </c>
      <c r="AJ1287" t="s">
        <v>123</v>
      </c>
      <c r="AK1287" t="str">
        <f>VLOOKUP(MID($AR1287,1,255),country_lookup!$B:$F,2,FALSE)</f>
        <v>3_AsiaPac</v>
      </c>
      <c r="AL1287" t="str">
        <f>VLOOKUP(MID($AR1287,1,255),country_lookup!$B:$F,3,FALSE)</f>
        <v>2_developing</v>
      </c>
      <c r="AM1287" t="str">
        <f>VLOOKUP(MID($AR1287,1,255),country_lookup!$B:$F,4,FALSE)</f>
        <v>2_non_western</v>
      </c>
      <c r="AN1287" t="str">
        <f>VLOOKUP(MID($AR1287,1,255),country_lookup!$B:$F,5,FALSE)</f>
        <v>2_civil law</v>
      </c>
      <c r="AO1287" s="10" t="str">
        <f>VLOOKUP(MID($AS1287,1,255),source_lookup!$B:$K,4,FALSE)</f>
        <v>0_published</v>
      </c>
      <c r="AP1287" s="10" t="str">
        <f>VLOOKUP(MID($AS1287,1,255),source_lookup!$B:$K,6,FALSE)</f>
        <v>1_VHB high</v>
      </c>
      <c r="AQ1287" s="10" t="str">
        <f>VLOOKUP(MID($AS1287,1,255),source_lookup!$B:$K,10,FALSE)</f>
        <v>3_mgmt</v>
      </c>
      <c r="AR1287" t="s">
        <v>94</v>
      </c>
      <c r="AS1287" t="s">
        <v>187</v>
      </c>
    </row>
    <row r="1288" spans="1:45" x14ac:dyDescent="0.3">
      <c r="A1288" t="s">
        <v>64</v>
      </c>
      <c r="B1288">
        <v>1287</v>
      </c>
      <c r="C1288" s="1">
        <v>-1.5760927764422523E-2</v>
      </c>
      <c r="D1288" s="2">
        <v>677</v>
      </c>
      <c r="E1288" s="4">
        <v>7444</v>
      </c>
      <c r="F1288" s="4" t="s">
        <v>347</v>
      </c>
      <c r="G1288" s="4" t="s">
        <v>346</v>
      </c>
      <c r="H1288" t="s">
        <v>77</v>
      </c>
      <c r="I1288" t="s">
        <v>350</v>
      </c>
      <c r="J1288" s="3">
        <v>2009</v>
      </c>
      <c r="K1288" s="3">
        <v>2019</v>
      </c>
      <c r="L1288" s="6">
        <f t="shared" si="411"/>
        <v>2014</v>
      </c>
      <c r="M1288" s="6">
        <f t="shared" si="412"/>
        <v>2014</v>
      </c>
      <c r="N1288" s="7">
        <f t="shared" si="400"/>
        <v>0.36363636363636365</v>
      </c>
      <c r="O1288" s="7">
        <f t="shared" si="401"/>
        <v>0.27272727272727271</v>
      </c>
      <c r="P1288" s="7">
        <f t="shared" si="402"/>
        <v>0.18181818181818182</v>
      </c>
      <c r="Q1288" s="7">
        <f t="shared" si="413"/>
        <v>9.0909090909090912E-2</v>
      </c>
      <c r="R1288" s="10" t="str">
        <f t="shared" si="403"/>
        <v>0_Pre</v>
      </c>
      <c r="S1288" s="10" t="str">
        <f t="shared" si="404"/>
        <v>0_Pre</v>
      </c>
      <c r="T1288" s="10" t="str">
        <f t="shared" si="405"/>
        <v>0_Pre</v>
      </c>
      <c r="U1288" s="10" t="str">
        <f t="shared" si="406"/>
        <v>1_Post</v>
      </c>
      <c r="V1288" s="10" t="str">
        <f t="shared" si="414"/>
        <v>0_Pre</v>
      </c>
      <c r="W1288" s="10" t="str">
        <f t="shared" si="407"/>
        <v>straddle</v>
      </c>
      <c r="X1288" s="10" t="str">
        <f t="shared" si="408"/>
        <v>0_Pre</v>
      </c>
      <c r="Y1288" s="10" t="str">
        <f t="shared" si="409"/>
        <v>0_Pre</v>
      </c>
      <c r="Z1288" s="10" t="str">
        <f t="shared" si="410"/>
        <v>0_Pre</v>
      </c>
      <c r="AA1288" s="10" t="str">
        <f t="shared" si="415"/>
        <v>1_Post</v>
      </c>
      <c r="AB1288" s="10" t="str">
        <f t="shared" si="416"/>
        <v>1_Post</v>
      </c>
      <c r="AC1288" s="10" t="str">
        <f t="shared" si="417"/>
        <v>1_Post</v>
      </c>
      <c r="AD1288" s="10" t="str">
        <f t="shared" si="418"/>
        <v>2_post sample median</v>
      </c>
      <c r="AE1288" s="10" t="str">
        <f t="shared" si="419"/>
        <v>3_post sample third tertile</v>
      </c>
      <c r="AF1288" t="s">
        <v>80</v>
      </c>
      <c r="AG1288" t="s">
        <v>75</v>
      </c>
      <c r="AH1288" t="s">
        <v>78</v>
      </c>
      <c r="AI1288" t="s">
        <v>122</v>
      </c>
      <c r="AJ1288" t="s">
        <v>123</v>
      </c>
      <c r="AK1288" t="str">
        <f>VLOOKUP(MID($AR1288,1,255),country_lookup!$B:$F,2,FALSE)</f>
        <v>3_AsiaPac</v>
      </c>
      <c r="AL1288" t="str">
        <f>VLOOKUP(MID($AR1288,1,255),country_lookup!$B:$F,3,FALSE)</f>
        <v>2_developing</v>
      </c>
      <c r="AM1288" t="str">
        <f>VLOOKUP(MID($AR1288,1,255),country_lookup!$B:$F,4,FALSE)</f>
        <v>2_non_western</v>
      </c>
      <c r="AN1288" t="str">
        <f>VLOOKUP(MID($AR1288,1,255),country_lookup!$B:$F,5,FALSE)</f>
        <v>2_civil law</v>
      </c>
      <c r="AO1288" s="10" t="str">
        <f>VLOOKUP(MID($AS1288,1,255),source_lookup!$B:$K,4,FALSE)</f>
        <v>0_published</v>
      </c>
      <c r="AP1288" s="10" t="str">
        <f>VLOOKUP(MID($AS1288,1,255),source_lookup!$B:$K,6,FALSE)</f>
        <v>1_VHB high</v>
      </c>
      <c r="AQ1288" s="10" t="str">
        <f>VLOOKUP(MID($AS1288,1,255),source_lookup!$B:$K,10,FALSE)</f>
        <v>3_mgmt</v>
      </c>
      <c r="AR1288" t="s">
        <v>94</v>
      </c>
      <c r="AS1288" t="s">
        <v>187</v>
      </c>
    </row>
    <row r="1289" spans="1:45" x14ac:dyDescent="0.3">
      <c r="A1289" t="s">
        <v>64</v>
      </c>
      <c r="B1289">
        <v>1288</v>
      </c>
      <c r="C1289" s="1">
        <v>-4.0641690255368214E-2</v>
      </c>
      <c r="D1289" s="2">
        <v>252</v>
      </c>
      <c r="E1289" s="4">
        <v>2768</v>
      </c>
      <c r="F1289" s="4" t="s">
        <v>347</v>
      </c>
      <c r="G1289" s="4" t="s">
        <v>346</v>
      </c>
      <c r="H1289" t="s">
        <v>77</v>
      </c>
      <c r="I1289" t="s">
        <v>350</v>
      </c>
      <c r="J1289" s="3">
        <v>2009</v>
      </c>
      <c r="K1289" s="3">
        <v>2019</v>
      </c>
      <c r="L1289" s="6">
        <f t="shared" si="411"/>
        <v>2014</v>
      </c>
      <c r="M1289" s="6">
        <f t="shared" si="412"/>
        <v>2014</v>
      </c>
      <c r="N1289" s="7">
        <f t="shared" si="400"/>
        <v>0.36363636363636365</v>
      </c>
      <c r="O1289" s="7">
        <f t="shared" si="401"/>
        <v>0.27272727272727271</v>
      </c>
      <c r="P1289" s="7">
        <f t="shared" si="402"/>
        <v>0.18181818181818182</v>
      </c>
      <c r="Q1289" s="7">
        <f t="shared" si="413"/>
        <v>9.0909090909090912E-2</v>
      </c>
      <c r="R1289" s="10" t="str">
        <f t="shared" si="403"/>
        <v>0_Pre</v>
      </c>
      <c r="S1289" s="10" t="str">
        <f t="shared" si="404"/>
        <v>0_Pre</v>
      </c>
      <c r="T1289" s="10" t="str">
        <f t="shared" si="405"/>
        <v>0_Pre</v>
      </c>
      <c r="U1289" s="10" t="str">
        <f t="shared" si="406"/>
        <v>1_Post</v>
      </c>
      <c r="V1289" s="10" t="str">
        <f t="shared" si="414"/>
        <v>0_Pre</v>
      </c>
      <c r="W1289" s="10" t="str">
        <f t="shared" si="407"/>
        <v>straddle</v>
      </c>
      <c r="X1289" s="10" t="str">
        <f t="shared" si="408"/>
        <v>0_Pre</v>
      </c>
      <c r="Y1289" s="10" t="str">
        <f t="shared" si="409"/>
        <v>0_Pre</v>
      </c>
      <c r="Z1289" s="10" t="str">
        <f t="shared" si="410"/>
        <v>0_Pre</v>
      </c>
      <c r="AA1289" s="10" t="str">
        <f t="shared" si="415"/>
        <v>1_Post</v>
      </c>
      <c r="AB1289" s="10" t="str">
        <f t="shared" si="416"/>
        <v>1_Post</v>
      </c>
      <c r="AC1289" s="10" t="str">
        <f t="shared" si="417"/>
        <v>1_Post</v>
      </c>
      <c r="AD1289" s="10" t="str">
        <f t="shared" si="418"/>
        <v>2_post sample median</v>
      </c>
      <c r="AE1289" s="10" t="str">
        <f t="shared" si="419"/>
        <v>3_post sample third tertile</v>
      </c>
      <c r="AF1289" t="s">
        <v>80</v>
      </c>
      <c r="AG1289" t="s">
        <v>75</v>
      </c>
      <c r="AH1289" t="s">
        <v>78</v>
      </c>
      <c r="AI1289" t="s">
        <v>122</v>
      </c>
      <c r="AJ1289" t="s">
        <v>123</v>
      </c>
      <c r="AK1289" t="str">
        <f>VLOOKUP(MID($AR1289,1,255),country_lookup!$B:$F,2,FALSE)</f>
        <v>3_AsiaPac</v>
      </c>
      <c r="AL1289" t="str">
        <f>VLOOKUP(MID($AR1289,1,255),country_lookup!$B:$F,3,FALSE)</f>
        <v>2_developing</v>
      </c>
      <c r="AM1289" t="str">
        <f>VLOOKUP(MID($AR1289,1,255),country_lookup!$B:$F,4,FALSE)</f>
        <v>2_non_western</v>
      </c>
      <c r="AN1289" t="str">
        <f>VLOOKUP(MID($AR1289,1,255),country_lookup!$B:$F,5,FALSE)</f>
        <v>2_civil law</v>
      </c>
      <c r="AO1289" s="10" t="str">
        <f>VLOOKUP(MID($AS1289,1,255),source_lookup!$B:$K,4,FALSE)</f>
        <v>0_published</v>
      </c>
      <c r="AP1289" s="10" t="str">
        <f>VLOOKUP(MID($AS1289,1,255),source_lookup!$B:$K,6,FALSE)</f>
        <v>1_VHB high</v>
      </c>
      <c r="AQ1289" s="10" t="str">
        <f>VLOOKUP(MID($AS1289,1,255),source_lookup!$B:$K,10,FALSE)</f>
        <v>3_mgmt</v>
      </c>
      <c r="AR1289" t="s">
        <v>94</v>
      </c>
      <c r="AS1289" t="s">
        <v>187</v>
      </c>
    </row>
    <row r="1290" spans="1:45" x14ac:dyDescent="0.3">
      <c r="A1290" t="s">
        <v>64</v>
      </c>
      <c r="B1290">
        <v>1289</v>
      </c>
      <c r="C1290" s="1">
        <v>-2.0778426272745201E-2</v>
      </c>
      <c r="D1290" s="2">
        <v>928</v>
      </c>
      <c r="E1290" s="4">
        <v>10210</v>
      </c>
      <c r="F1290" s="4" t="s">
        <v>347</v>
      </c>
      <c r="G1290" s="4" t="s">
        <v>346</v>
      </c>
      <c r="H1290" t="s">
        <v>77</v>
      </c>
      <c r="I1290" t="s">
        <v>350</v>
      </c>
      <c r="J1290" s="3">
        <v>2009</v>
      </c>
      <c r="K1290" s="3">
        <v>2019</v>
      </c>
      <c r="L1290" s="6">
        <f t="shared" si="411"/>
        <v>2014</v>
      </c>
      <c r="M1290" s="6">
        <f t="shared" si="412"/>
        <v>2014</v>
      </c>
      <c r="N1290" s="7">
        <f t="shared" si="400"/>
        <v>0.36363636363636365</v>
      </c>
      <c r="O1290" s="7">
        <f t="shared" si="401"/>
        <v>0.27272727272727271</v>
      </c>
      <c r="P1290" s="7">
        <f t="shared" si="402"/>
        <v>0.18181818181818182</v>
      </c>
      <c r="Q1290" s="7">
        <f t="shared" si="413"/>
        <v>9.0909090909090912E-2</v>
      </c>
      <c r="R1290" s="10" t="str">
        <f t="shared" si="403"/>
        <v>0_Pre</v>
      </c>
      <c r="S1290" s="10" t="str">
        <f t="shared" si="404"/>
        <v>0_Pre</v>
      </c>
      <c r="T1290" s="10" t="str">
        <f t="shared" si="405"/>
        <v>0_Pre</v>
      </c>
      <c r="U1290" s="10" t="str">
        <f t="shared" si="406"/>
        <v>1_Post</v>
      </c>
      <c r="V1290" s="10" t="str">
        <f t="shared" si="414"/>
        <v>0_Pre</v>
      </c>
      <c r="W1290" s="10" t="str">
        <f t="shared" si="407"/>
        <v>straddle</v>
      </c>
      <c r="X1290" s="10" t="str">
        <f t="shared" si="408"/>
        <v>0_Pre</v>
      </c>
      <c r="Y1290" s="10" t="str">
        <f t="shared" si="409"/>
        <v>0_Pre</v>
      </c>
      <c r="Z1290" s="10" t="str">
        <f t="shared" si="410"/>
        <v>0_Pre</v>
      </c>
      <c r="AA1290" s="10" t="str">
        <f t="shared" si="415"/>
        <v>1_Post</v>
      </c>
      <c r="AB1290" s="10" t="str">
        <f t="shared" si="416"/>
        <v>1_Post</v>
      </c>
      <c r="AC1290" s="10" t="str">
        <f t="shared" si="417"/>
        <v>1_Post</v>
      </c>
      <c r="AD1290" s="10" t="str">
        <f t="shared" si="418"/>
        <v>2_post sample median</v>
      </c>
      <c r="AE1290" s="10" t="str">
        <f t="shared" si="419"/>
        <v>3_post sample third tertile</v>
      </c>
      <c r="AF1290" t="s">
        <v>80</v>
      </c>
      <c r="AG1290" t="s">
        <v>75</v>
      </c>
      <c r="AH1290" t="s">
        <v>78</v>
      </c>
      <c r="AI1290" t="s">
        <v>122</v>
      </c>
      <c r="AJ1290" t="s">
        <v>123</v>
      </c>
      <c r="AK1290" t="str">
        <f>VLOOKUP(MID($AR1290,1,255),country_lookup!$B:$F,2,FALSE)</f>
        <v>3_AsiaPac</v>
      </c>
      <c r="AL1290" t="str">
        <f>VLOOKUP(MID($AR1290,1,255),country_lookup!$B:$F,3,FALSE)</f>
        <v>2_developing</v>
      </c>
      <c r="AM1290" t="str">
        <f>VLOOKUP(MID($AR1290,1,255),country_lookup!$B:$F,4,FALSE)</f>
        <v>2_non_western</v>
      </c>
      <c r="AN1290" t="str">
        <f>VLOOKUP(MID($AR1290,1,255),country_lookup!$B:$F,5,FALSE)</f>
        <v>2_civil law</v>
      </c>
      <c r="AO1290" s="10" t="str">
        <f>VLOOKUP(MID($AS1290,1,255),source_lookup!$B:$K,4,FALSE)</f>
        <v>0_published</v>
      </c>
      <c r="AP1290" s="10" t="str">
        <f>VLOOKUP(MID($AS1290,1,255),source_lookup!$B:$K,6,FALSE)</f>
        <v>1_VHB high</v>
      </c>
      <c r="AQ1290" s="10" t="str">
        <f>VLOOKUP(MID($AS1290,1,255),source_lookup!$B:$K,10,FALSE)</f>
        <v>3_mgmt</v>
      </c>
      <c r="AR1290" t="s">
        <v>94</v>
      </c>
      <c r="AS1290" t="s">
        <v>187</v>
      </c>
    </row>
    <row r="1291" spans="1:45" x14ac:dyDescent="0.3">
      <c r="A1291" t="s">
        <v>64</v>
      </c>
      <c r="B1291">
        <v>1290</v>
      </c>
      <c r="C1291" s="1">
        <v>-2.149072268951539E-2</v>
      </c>
      <c r="D1291" s="2">
        <v>926</v>
      </c>
      <c r="E1291" s="4">
        <v>10191</v>
      </c>
      <c r="F1291" s="4" t="s">
        <v>347</v>
      </c>
      <c r="G1291" s="4" t="s">
        <v>346</v>
      </c>
      <c r="H1291" t="s">
        <v>77</v>
      </c>
      <c r="I1291" t="s">
        <v>350</v>
      </c>
      <c r="J1291" s="3">
        <v>2009</v>
      </c>
      <c r="K1291" s="3">
        <v>2019</v>
      </c>
      <c r="L1291" s="6">
        <f t="shared" si="411"/>
        <v>2014</v>
      </c>
      <c r="M1291" s="6">
        <f t="shared" si="412"/>
        <v>2014</v>
      </c>
      <c r="N1291" s="7">
        <f t="shared" si="400"/>
        <v>0.36363636363636365</v>
      </c>
      <c r="O1291" s="7">
        <f t="shared" si="401"/>
        <v>0.27272727272727271</v>
      </c>
      <c r="P1291" s="7">
        <f t="shared" si="402"/>
        <v>0.18181818181818182</v>
      </c>
      <c r="Q1291" s="7">
        <f t="shared" si="413"/>
        <v>9.0909090909090912E-2</v>
      </c>
      <c r="R1291" s="10" t="str">
        <f t="shared" si="403"/>
        <v>0_Pre</v>
      </c>
      <c r="S1291" s="10" t="str">
        <f t="shared" si="404"/>
        <v>0_Pre</v>
      </c>
      <c r="T1291" s="10" t="str">
        <f t="shared" si="405"/>
        <v>0_Pre</v>
      </c>
      <c r="U1291" s="10" t="str">
        <f t="shared" si="406"/>
        <v>1_Post</v>
      </c>
      <c r="V1291" s="10" t="str">
        <f t="shared" si="414"/>
        <v>0_Pre</v>
      </c>
      <c r="W1291" s="10" t="str">
        <f t="shared" si="407"/>
        <v>straddle</v>
      </c>
      <c r="X1291" s="10" t="str">
        <f t="shared" si="408"/>
        <v>0_Pre</v>
      </c>
      <c r="Y1291" s="10" t="str">
        <f t="shared" si="409"/>
        <v>0_Pre</v>
      </c>
      <c r="Z1291" s="10" t="str">
        <f t="shared" si="410"/>
        <v>0_Pre</v>
      </c>
      <c r="AA1291" s="10" t="str">
        <f t="shared" si="415"/>
        <v>1_Post</v>
      </c>
      <c r="AB1291" s="10" t="str">
        <f t="shared" si="416"/>
        <v>1_Post</v>
      </c>
      <c r="AC1291" s="10" t="str">
        <f t="shared" si="417"/>
        <v>1_Post</v>
      </c>
      <c r="AD1291" s="10" t="str">
        <f t="shared" si="418"/>
        <v>2_post sample median</v>
      </c>
      <c r="AE1291" s="10" t="str">
        <f t="shared" si="419"/>
        <v>3_post sample third tertile</v>
      </c>
      <c r="AF1291" t="s">
        <v>80</v>
      </c>
      <c r="AG1291" t="s">
        <v>75</v>
      </c>
      <c r="AH1291" t="s">
        <v>78</v>
      </c>
      <c r="AI1291" t="s">
        <v>122</v>
      </c>
      <c r="AJ1291" t="s">
        <v>123</v>
      </c>
      <c r="AK1291" t="str">
        <f>VLOOKUP(MID($AR1291,1,255),country_lookup!$B:$F,2,FALSE)</f>
        <v>3_AsiaPac</v>
      </c>
      <c r="AL1291" t="str">
        <f>VLOOKUP(MID($AR1291,1,255),country_lookup!$B:$F,3,FALSE)</f>
        <v>2_developing</v>
      </c>
      <c r="AM1291" t="str">
        <f>VLOOKUP(MID($AR1291,1,255),country_lookup!$B:$F,4,FALSE)</f>
        <v>2_non_western</v>
      </c>
      <c r="AN1291" t="str">
        <f>VLOOKUP(MID($AR1291,1,255),country_lookup!$B:$F,5,FALSE)</f>
        <v>2_civil law</v>
      </c>
      <c r="AO1291" s="10" t="str">
        <f>VLOOKUP(MID($AS1291,1,255),source_lookup!$B:$K,4,FALSE)</f>
        <v>0_published</v>
      </c>
      <c r="AP1291" s="10" t="str">
        <f>VLOOKUP(MID($AS1291,1,255),source_lookup!$B:$K,6,FALSE)</f>
        <v>1_VHB high</v>
      </c>
      <c r="AQ1291" s="10" t="str">
        <f>VLOOKUP(MID($AS1291,1,255),source_lookup!$B:$K,10,FALSE)</f>
        <v>3_mgmt</v>
      </c>
      <c r="AR1291" t="s">
        <v>94</v>
      </c>
      <c r="AS1291" t="s">
        <v>187</v>
      </c>
    </row>
    <row r="1292" spans="1:45" x14ac:dyDescent="0.3">
      <c r="A1292" t="s">
        <v>64</v>
      </c>
      <c r="B1292">
        <v>1291</v>
      </c>
      <c r="C1292" s="1">
        <v>-1.9391838971179957E-2</v>
      </c>
      <c r="D1292" s="2">
        <v>1892</v>
      </c>
      <c r="E1292" s="4">
        <v>10212</v>
      </c>
      <c r="F1292" s="4" t="s">
        <v>347</v>
      </c>
      <c r="G1292" s="4" t="s">
        <v>346</v>
      </c>
      <c r="H1292" t="s">
        <v>77</v>
      </c>
      <c r="I1292" t="s">
        <v>350</v>
      </c>
      <c r="J1292" s="3">
        <v>2009</v>
      </c>
      <c r="K1292" s="3">
        <v>2019</v>
      </c>
      <c r="L1292" s="6">
        <f t="shared" si="411"/>
        <v>2014</v>
      </c>
      <c r="M1292" s="6">
        <f t="shared" si="412"/>
        <v>2014</v>
      </c>
      <c r="N1292" s="7">
        <f t="shared" si="400"/>
        <v>0.36363636363636365</v>
      </c>
      <c r="O1292" s="7">
        <f t="shared" si="401"/>
        <v>0.27272727272727271</v>
      </c>
      <c r="P1292" s="7">
        <f t="shared" si="402"/>
        <v>0.18181818181818182</v>
      </c>
      <c r="Q1292" s="7">
        <f t="shared" si="413"/>
        <v>9.0909090909090912E-2</v>
      </c>
      <c r="R1292" s="10" t="str">
        <f t="shared" si="403"/>
        <v>0_Pre</v>
      </c>
      <c r="S1292" s="10" t="str">
        <f t="shared" si="404"/>
        <v>0_Pre</v>
      </c>
      <c r="T1292" s="10" t="str">
        <f t="shared" si="405"/>
        <v>0_Pre</v>
      </c>
      <c r="U1292" s="10" t="str">
        <f t="shared" si="406"/>
        <v>1_Post</v>
      </c>
      <c r="V1292" s="10" t="str">
        <f t="shared" si="414"/>
        <v>0_Pre</v>
      </c>
      <c r="W1292" s="10" t="str">
        <f t="shared" si="407"/>
        <v>straddle</v>
      </c>
      <c r="X1292" s="10" t="str">
        <f t="shared" si="408"/>
        <v>0_Pre</v>
      </c>
      <c r="Y1292" s="10" t="str">
        <f t="shared" si="409"/>
        <v>0_Pre</v>
      </c>
      <c r="Z1292" s="10" t="str">
        <f t="shared" si="410"/>
        <v>0_Pre</v>
      </c>
      <c r="AA1292" s="10" t="str">
        <f t="shared" si="415"/>
        <v>1_Post</v>
      </c>
      <c r="AB1292" s="10" t="str">
        <f t="shared" si="416"/>
        <v>1_Post</v>
      </c>
      <c r="AC1292" s="10" t="str">
        <f t="shared" si="417"/>
        <v>1_Post</v>
      </c>
      <c r="AD1292" s="10" t="str">
        <f t="shared" si="418"/>
        <v>2_post sample median</v>
      </c>
      <c r="AE1292" s="10" t="str">
        <f t="shared" si="419"/>
        <v>3_post sample third tertile</v>
      </c>
      <c r="AF1292" t="s">
        <v>80</v>
      </c>
      <c r="AG1292" t="s">
        <v>75</v>
      </c>
      <c r="AH1292" t="s">
        <v>78</v>
      </c>
      <c r="AI1292" t="s">
        <v>122</v>
      </c>
      <c r="AJ1292" t="s">
        <v>123</v>
      </c>
      <c r="AK1292" t="str">
        <f>VLOOKUP(MID($AR1292,1,255),country_lookup!$B:$F,2,FALSE)</f>
        <v>3_AsiaPac</v>
      </c>
      <c r="AL1292" t="str">
        <f>VLOOKUP(MID($AR1292,1,255),country_lookup!$B:$F,3,FALSE)</f>
        <v>2_developing</v>
      </c>
      <c r="AM1292" t="str">
        <f>VLOOKUP(MID($AR1292,1,255),country_lookup!$B:$F,4,FALSE)</f>
        <v>2_non_western</v>
      </c>
      <c r="AN1292" t="str">
        <f>VLOOKUP(MID($AR1292,1,255),country_lookup!$B:$F,5,FALSE)</f>
        <v>2_civil law</v>
      </c>
      <c r="AO1292" s="10" t="str">
        <f>VLOOKUP(MID($AS1292,1,255),source_lookup!$B:$K,4,FALSE)</f>
        <v>0_published</v>
      </c>
      <c r="AP1292" s="10" t="str">
        <f>VLOOKUP(MID($AS1292,1,255),source_lookup!$B:$K,6,FALSE)</f>
        <v>1_VHB high</v>
      </c>
      <c r="AQ1292" s="10" t="str">
        <f>VLOOKUP(MID($AS1292,1,255),source_lookup!$B:$K,10,FALSE)</f>
        <v>3_mgmt</v>
      </c>
      <c r="AR1292" t="s">
        <v>94</v>
      </c>
      <c r="AS1292" t="s">
        <v>187</v>
      </c>
    </row>
    <row r="1293" spans="1:45" x14ac:dyDescent="0.3">
      <c r="A1293" t="s">
        <v>64</v>
      </c>
      <c r="B1293">
        <v>1292</v>
      </c>
      <c r="C1293" s="1">
        <v>-2.2754116425064554E-2</v>
      </c>
      <c r="D1293" s="2">
        <v>1892</v>
      </c>
      <c r="E1293" s="4">
        <v>10212</v>
      </c>
      <c r="F1293" s="4" t="s">
        <v>347</v>
      </c>
      <c r="G1293" s="4" t="s">
        <v>346</v>
      </c>
      <c r="H1293" t="s">
        <v>77</v>
      </c>
      <c r="I1293" t="s">
        <v>350</v>
      </c>
      <c r="J1293" s="3">
        <v>2009</v>
      </c>
      <c r="K1293" s="3">
        <v>2019</v>
      </c>
      <c r="L1293" s="6">
        <f t="shared" si="411"/>
        <v>2014</v>
      </c>
      <c r="M1293" s="6">
        <f t="shared" si="412"/>
        <v>2014</v>
      </c>
      <c r="N1293" s="7">
        <f t="shared" si="400"/>
        <v>0.36363636363636365</v>
      </c>
      <c r="O1293" s="7">
        <f t="shared" si="401"/>
        <v>0.27272727272727271</v>
      </c>
      <c r="P1293" s="7">
        <f t="shared" si="402"/>
        <v>0.18181818181818182</v>
      </c>
      <c r="Q1293" s="7">
        <f t="shared" si="413"/>
        <v>9.0909090909090912E-2</v>
      </c>
      <c r="R1293" s="10" t="str">
        <f t="shared" si="403"/>
        <v>0_Pre</v>
      </c>
      <c r="S1293" s="10" t="str">
        <f t="shared" si="404"/>
        <v>0_Pre</v>
      </c>
      <c r="T1293" s="10" t="str">
        <f t="shared" si="405"/>
        <v>0_Pre</v>
      </c>
      <c r="U1293" s="10" t="str">
        <f t="shared" si="406"/>
        <v>1_Post</v>
      </c>
      <c r="V1293" s="10" t="str">
        <f t="shared" si="414"/>
        <v>0_Pre</v>
      </c>
      <c r="W1293" s="10" t="str">
        <f t="shared" si="407"/>
        <v>straddle</v>
      </c>
      <c r="X1293" s="10" t="str">
        <f t="shared" si="408"/>
        <v>0_Pre</v>
      </c>
      <c r="Y1293" s="10" t="str">
        <f t="shared" si="409"/>
        <v>0_Pre</v>
      </c>
      <c r="Z1293" s="10" t="str">
        <f t="shared" si="410"/>
        <v>0_Pre</v>
      </c>
      <c r="AA1293" s="10" t="str">
        <f t="shared" si="415"/>
        <v>1_Post</v>
      </c>
      <c r="AB1293" s="10" t="str">
        <f t="shared" si="416"/>
        <v>1_Post</v>
      </c>
      <c r="AC1293" s="10" t="str">
        <f t="shared" si="417"/>
        <v>1_Post</v>
      </c>
      <c r="AD1293" s="10" t="str">
        <f t="shared" si="418"/>
        <v>2_post sample median</v>
      </c>
      <c r="AE1293" s="10" t="str">
        <f t="shared" si="419"/>
        <v>3_post sample third tertile</v>
      </c>
      <c r="AF1293" t="s">
        <v>80</v>
      </c>
      <c r="AG1293" t="s">
        <v>75</v>
      </c>
      <c r="AH1293" t="s">
        <v>78</v>
      </c>
      <c r="AI1293" t="s">
        <v>122</v>
      </c>
      <c r="AJ1293" t="s">
        <v>123</v>
      </c>
      <c r="AK1293" t="str">
        <f>VLOOKUP(MID($AR1293,1,255),country_lookup!$B:$F,2,FALSE)</f>
        <v>3_AsiaPac</v>
      </c>
      <c r="AL1293" t="str">
        <f>VLOOKUP(MID($AR1293,1,255),country_lookup!$B:$F,3,FALSE)</f>
        <v>2_developing</v>
      </c>
      <c r="AM1293" t="str">
        <f>VLOOKUP(MID($AR1293,1,255),country_lookup!$B:$F,4,FALSE)</f>
        <v>2_non_western</v>
      </c>
      <c r="AN1293" t="str">
        <f>VLOOKUP(MID($AR1293,1,255),country_lookup!$B:$F,5,FALSE)</f>
        <v>2_civil law</v>
      </c>
      <c r="AO1293" s="10" t="str">
        <f>VLOOKUP(MID($AS1293,1,255),source_lookup!$B:$K,4,FALSE)</f>
        <v>0_published</v>
      </c>
      <c r="AP1293" s="10" t="str">
        <f>VLOOKUP(MID($AS1293,1,255),source_lookup!$B:$K,6,FALSE)</f>
        <v>1_VHB high</v>
      </c>
      <c r="AQ1293" s="10" t="str">
        <f>VLOOKUP(MID($AS1293,1,255),source_lookup!$B:$K,10,FALSE)</f>
        <v>3_mgmt</v>
      </c>
      <c r="AR1293" t="s">
        <v>94</v>
      </c>
      <c r="AS1293" t="s">
        <v>187</v>
      </c>
    </row>
    <row r="1294" spans="1:45" x14ac:dyDescent="0.3">
      <c r="A1294" t="s">
        <v>64</v>
      </c>
      <c r="B1294">
        <v>1293</v>
      </c>
      <c r="C1294" s="1">
        <v>-1.8402803502197071E-2</v>
      </c>
      <c r="D1294" s="2">
        <v>1892</v>
      </c>
      <c r="E1294" s="4">
        <v>10212</v>
      </c>
      <c r="F1294" s="4" t="s">
        <v>347</v>
      </c>
      <c r="G1294" s="4" t="s">
        <v>346</v>
      </c>
      <c r="H1294" t="s">
        <v>77</v>
      </c>
      <c r="I1294" t="s">
        <v>350</v>
      </c>
      <c r="J1294" s="3">
        <v>2009</v>
      </c>
      <c r="K1294" s="3">
        <v>2019</v>
      </c>
      <c r="L1294" s="6">
        <f t="shared" si="411"/>
        <v>2014</v>
      </c>
      <c r="M1294" s="6">
        <f t="shared" si="412"/>
        <v>2014</v>
      </c>
      <c r="N1294" s="7">
        <f t="shared" si="400"/>
        <v>0.36363636363636365</v>
      </c>
      <c r="O1294" s="7">
        <f t="shared" si="401"/>
        <v>0.27272727272727271</v>
      </c>
      <c r="P1294" s="7">
        <f t="shared" si="402"/>
        <v>0.18181818181818182</v>
      </c>
      <c r="Q1294" s="7">
        <f t="shared" si="413"/>
        <v>9.0909090909090912E-2</v>
      </c>
      <c r="R1294" s="10" t="str">
        <f t="shared" si="403"/>
        <v>0_Pre</v>
      </c>
      <c r="S1294" s="10" t="str">
        <f t="shared" si="404"/>
        <v>0_Pre</v>
      </c>
      <c r="T1294" s="10" t="str">
        <f t="shared" si="405"/>
        <v>0_Pre</v>
      </c>
      <c r="U1294" s="10" t="str">
        <f t="shared" si="406"/>
        <v>1_Post</v>
      </c>
      <c r="V1294" s="10" t="str">
        <f t="shared" si="414"/>
        <v>0_Pre</v>
      </c>
      <c r="W1294" s="10" t="str">
        <f t="shared" si="407"/>
        <v>straddle</v>
      </c>
      <c r="X1294" s="10" t="str">
        <f t="shared" si="408"/>
        <v>0_Pre</v>
      </c>
      <c r="Y1294" s="10" t="str">
        <f t="shared" si="409"/>
        <v>0_Pre</v>
      </c>
      <c r="Z1294" s="10" t="str">
        <f t="shared" si="410"/>
        <v>0_Pre</v>
      </c>
      <c r="AA1294" s="10" t="str">
        <f t="shared" si="415"/>
        <v>1_Post</v>
      </c>
      <c r="AB1294" s="10" t="str">
        <f t="shared" si="416"/>
        <v>1_Post</v>
      </c>
      <c r="AC1294" s="10" t="str">
        <f t="shared" si="417"/>
        <v>1_Post</v>
      </c>
      <c r="AD1294" s="10" t="str">
        <f t="shared" si="418"/>
        <v>2_post sample median</v>
      </c>
      <c r="AE1294" s="10" t="str">
        <f t="shared" si="419"/>
        <v>3_post sample third tertile</v>
      </c>
      <c r="AF1294" t="s">
        <v>80</v>
      </c>
      <c r="AG1294" t="s">
        <v>75</v>
      </c>
      <c r="AH1294" t="s">
        <v>78</v>
      </c>
      <c r="AI1294" t="s">
        <v>122</v>
      </c>
      <c r="AJ1294" t="s">
        <v>123</v>
      </c>
      <c r="AK1294" t="str">
        <f>VLOOKUP(MID($AR1294,1,255),country_lookup!$B:$F,2,FALSE)</f>
        <v>3_AsiaPac</v>
      </c>
      <c r="AL1294" t="str">
        <f>VLOOKUP(MID($AR1294,1,255),country_lookup!$B:$F,3,FALSE)</f>
        <v>2_developing</v>
      </c>
      <c r="AM1294" t="str">
        <f>VLOOKUP(MID($AR1294,1,255),country_lookup!$B:$F,4,FALSE)</f>
        <v>2_non_western</v>
      </c>
      <c r="AN1294" t="str">
        <f>VLOOKUP(MID($AR1294,1,255),country_lookup!$B:$F,5,FALSE)</f>
        <v>2_civil law</v>
      </c>
      <c r="AO1294" s="10" t="str">
        <f>VLOOKUP(MID($AS1294,1,255),source_lookup!$B:$K,4,FALSE)</f>
        <v>0_published</v>
      </c>
      <c r="AP1294" s="10" t="str">
        <f>VLOOKUP(MID($AS1294,1,255),source_lookup!$B:$K,6,FALSE)</f>
        <v>1_VHB high</v>
      </c>
      <c r="AQ1294" s="10" t="str">
        <f>VLOOKUP(MID($AS1294,1,255),source_lookup!$B:$K,10,FALSE)</f>
        <v>3_mgmt</v>
      </c>
      <c r="AR1294" t="s">
        <v>94</v>
      </c>
      <c r="AS1294" t="s">
        <v>187</v>
      </c>
    </row>
    <row r="1295" spans="1:45" x14ac:dyDescent="0.3">
      <c r="A1295" t="s">
        <v>64</v>
      </c>
      <c r="B1295">
        <v>1294</v>
      </c>
      <c r="C1295" s="1">
        <v>-2.2457474274667922E-2</v>
      </c>
      <c r="D1295" s="2">
        <v>1892</v>
      </c>
      <c r="E1295" s="4">
        <v>10212</v>
      </c>
      <c r="F1295" s="4" t="s">
        <v>347</v>
      </c>
      <c r="G1295" s="4" t="s">
        <v>346</v>
      </c>
      <c r="H1295" t="s">
        <v>77</v>
      </c>
      <c r="I1295" t="s">
        <v>350</v>
      </c>
      <c r="J1295" s="3">
        <v>2009</v>
      </c>
      <c r="K1295" s="3">
        <v>2019</v>
      </c>
      <c r="L1295" s="6">
        <f t="shared" si="411"/>
        <v>2014</v>
      </c>
      <c r="M1295" s="6">
        <f t="shared" si="412"/>
        <v>2014</v>
      </c>
      <c r="N1295" s="7">
        <f t="shared" si="400"/>
        <v>0.36363636363636365</v>
      </c>
      <c r="O1295" s="7">
        <f t="shared" si="401"/>
        <v>0.27272727272727271</v>
      </c>
      <c r="P1295" s="7">
        <f t="shared" si="402"/>
        <v>0.18181818181818182</v>
      </c>
      <c r="Q1295" s="7">
        <f t="shared" si="413"/>
        <v>9.0909090909090912E-2</v>
      </c>
      <c r="R1295" s="10" t="str">
        <f t="shared" si="403"/>
        <v>0_Pre</v>
      </c>
      <c r="S1295" s="10" t="str">
        <f t="shared" si="404"/>
        <v>0_Pre</v>
      </c>
      <c r="T1295" s="10" t="str">
        <f t="shared" si="405"/>
        <v>0_Pre</v>
      </c>
      <c r="U1295" s="10" t="str">
        <f t="shared" si="406"/>
        <v>1_Post</v>
      </c>
      <c r="V1295" s="10" t="str">
        <f t="shared" si="414"/>
        <v>0_Pre</v>
      </c>
      <c r="W1295" s="10" t="str">
        <f t="shared" si="407"/>
        <v>straddle</v>
      </c>
      <c r="X1295" s="10" t="str">
        <f t="shared" si="408"/>
        <v>0_Pre</v>
      </c>
      <c r="Y1295" s="10" t="str">
        <f t="shared" si="409"/>
        <v>0_Pre</v>
      </c>
      <c r="Z1295" s="10" t="str">
        <f t="shared" si="410"/>
        <v>0_Pre</v>
      </c>
      <c r="AA1295" s="10" t="str">
        <f t="shared" si="415"/>
        <v>1_Post</v>
      </c>
      <c r="AB1295" s="10" t="str">
        <f t="shared" si="416"/>
        <v>1_Post</v>
      </c>
      <c r="AC1295" s="10" t="str">
        <f t="shared" si="417"/>
        <v>1_Post</v>
      </c>
      <c r="AD1295" s="10" t="str">
        <f t="shared" si="418"/>
        <v>2_post sample median</v>
      </c>
      <c r="AE1295" s="10" t="str">
        <f t="shared" si="419"/>
        <v>3_post sample third tertile</v>
      </c>
      <c r="AF1295" t="s">
        <v>80</v>
      </c>
      <c r="AG1295" t="s">
        <v>75</v>
      </c>
      <c r="AH1295" t="s">
        <v>78</v>
      </c>
      <c r="AI1295" t="s">
        <v>122</v>
      </c>
      <c r="AJ1295" t="s">
        <v>123</v>
      </c>
      <c r="AK1295" t="str">
        <f>VLOOKUP(MID($AR1295,1,255),country_lookup!$B:$F,2,FALSE)</f>
        <v>3_AsiaPac</v>
      </c>
      <c r="AL1295" t="str">
        <f>VLOOKUP(MID($AR1295,1,255),country_lookup!$B:$F,3,FALSE)</f>
        <v>2_developing</v>
      </c>
      <c r="AM1295" t="str">
        <f>VLOOKUP(MID($AR1295,1,255),country_lookup!$B:$F,4,FALSE)</f>
        <v>2_non_western</v>
      </c>
      <c r="AN1295" t="str">
        <f>VLOOKUP(MID($AR1295,1,255),country_lookup!$B:$F,5,FALSE)</f>
        <v>2_civil law</v>
      </c>
      <c r="AO1295" s="10" t="str">
        <f>VLOOKUP(MID($AS1295,1,255),source_lookup!$B:$K,4,FALSE)</f>
        <v>0_published</v>
      </c>
      <c r="AP1295" s="10" t="str">
        <f>VLOOKUP(MID($AS1295,1,255),source_lookup!$B:$K,6,FALSE)</f>
        <v>1_VHB high</v>
      </c>
      <c r="AQ1295" s="10" t="str">
        <f>VLOOKUP(MID($AS1295,1,255),source_lookup!$B:$K,10,FALSE)</f>
        <v>3_mgmt</v>
      </c>
      <c r="AR1295" t="s">
        <v>94</v>
      </c>
      <c r="AS1295" t="s">
        <v>187</v>
      </c>
    </row>
    <row r="1296" spans="1:45" x14ac:dyDescent="0.3">
      <c r="A1296" t="s">
        <v>64</v>
      </c>
      <c r="B1296">
        <v>1295</v>
      </c>
      <c r="C1296" s="1">
        <v>-2.2160826192619498E-2</v>
      </c>
      <c r="D1296" s="2">
        <v>1892</v>
      </c>
      <c r="E1296" s="4">
        <v>10212</v>
      </c>
      <c r="F1296" s="4" t="s">
        <v>347</v>
      </c>
      <c r="G1296" s="4" t="s">
        <v>346</v>
      </c>
      <c r="H1296" t="s">
        <v>77</v>
      </c>
      <c r="I1296" t="s">
        <v>350</v>
      </c>
      <c r="J1296" s="3">
        <v>2009</v>
      </c>
      <c r="K1296" s="3">
        <v>2019</v>
      </c>
      <c r="L1296" s="6">
        <f t="shared" si="411"/>
        <v>2014</v>
      </c>
      <c r="M1296" s="6">
        <f t="shared" si="412"/>
        <v>2014</v>
      </c>
      <c r="N1296" s="7">
        <f t="shared" si="400"/>
        <v>0.36363636363636365</v>
      </c>
      <c r="O1296" s="7">
        <f t="shared" si="401"/>
        <v>0.27272727272727271</v>
      </c>
      <c r="P1296" s="7">
        <f t="shared" si="402"/>
        <v>0.18181818181818182</v>
      </c>
      <c r="Q1296" s="7">
        <f t="shared" si="413"/>
        <v>9.0909090909090912E-2</v>
      </c>
      <c r="R1296" s="10" t="str">
        <f t="shared" si="403"/>
        <v>0_Pre</v>
      </c>
      <c r="S1296" s="10" t="str">
        <f t="shared" si="404"/>
        <v>0_Pre</v>
      </c>
      <c r="T1296" s="10" t="str">
        <f t="shared" si="405"/>
        <v>0_Pre</v>
      </c>
      <c r="U1296" s="10" t="str">
        <f t="shared" si="406"/>
        <v>1_Post</v>
      </c>
      <c r="V1296" s="10" t="str">
        <f t="shared" si="414"/>
        <v>0_Pre</v>
      </c>
      <c r="W1296" s="10" t="str">
        <f t="shared" si="407"/>
        <v>straddle</v>
      </c>
      <c r="X1296" s="10" t="str">
        <f t="shared" si="408"/>
        <v>0_Pre</v>
      </c>
      <c r="Y1296" s="10" t="str">
        <f t="shared" si="409"/>
        <v>0_Pre</v>
      </c>
      <c r="Z1296" s="10" t="str">
        <f t="shared" si="410"/>
        <v>0_Pre</v>
      </c>
      <c r="AA1296" s="10" t="str">
        <f t="shared" si="415"/>
        <v>1_Post</v>
      </c>
      <c r="AB1296" s="10" t="str">
        <f t="shared" si="416"/>
        <v>1_Post</v>
      </c>
      <c r="AC1296" s="10" t="str">
        <f t="shared" si="417"/>
        <v>1_Post</v>
      </c>
      <c r="AD1296" s="10" t="str">
        <f t="shared" si="418"/>
        <v>2_post sample median</v>
      </c>
      <c r="AE1296" s="10" t="str">
        <f t="shared" si="419"/>
        <v>3_post sample third tertile</v>
      </c>
      <c r="AF1296" t="s">
        <v>80</v>
      </c>
      <c r="AG1296" t="s">
        <v>75</v>
      </c>
      <c r="AH1296" t="s">
        <v>78</v>
      </c>
      <c r="AI1296" t="s">
        <v>122</v>
      </c>
      <c r="AJ1296" t="s">
        <v>123</v>
      </c>
      <c r="AK1296" t="str">
        <f>VLOOKUP(MID($AR1296,1,255),country_lookup!$B:$F,2,FALSE)</f>
        <v>3_AsiaPac</v>
      </c>
      <c r="AL1296" t="str">
        <f>VLOOKUP(MID($AR1296,1,255),country_lookup!$B:$F,3,FALSE)</f>
        <v>2_developing</v>
      </c>
      <c r="AM1296" t="str">
        <f>VLOOKUP(MID($AR1296,1,255),country_lookup!$B:$F,4,FALSE)</f>
        <v>2_non_western</v>
      </c>
      <c r="AN1296" t="str">
        <f>VLOOKUP(MID($AR1296,1,255),country_lookup!$B:$F,5,FALSE)</f>
        <v>2_civil law</v>
      </c>
      <c r="AO1296" s="10" t="str">
        <f>VLOOKUP(MID($AS1296,1,255),source_lookup!$B:$K,4,FALSE)</f>
        <v>0_published</v>
      </c>
      <c r="AP1296" s="10" t="str">
        <f>VLOOKUP(MID($AS1296,1,255),source_lookup!$B:$K,6,FALSE)</f>
        <v>1_VHB high</v>
      </c>
      <c r="AQ1296" s="10" t="str">
        <f>VLOOKUP(MID($AS1296,1,255),source_lookup!$B:$K,10,FALSE)</f>
        <v>3_mgmt</v>
      </c>
      <c r="AR1296" t="s">
        <v>94</v>
      </c>
      <c r="AS1296" t="s">
        <v>187</v>
      </c>
    </row>
    <row r="1297" spans="1:45" x14ac:dyDescent="0.3">
      <c r="A1297" t="s">
        <v>64</v>
      </c>
      <c r="B1297">
        <v>1296</v>
      </c>
      <c r="C1297" s="1">
        <v>-2.1765286324699349E-2</v>
      </c>
      <c r="D1297" s="2">
        <v>1892</v>
      </c>
      <c r="E1297" s="4">
        <v>10212</v>
      </c>
      <c r="F1297" s="4" t="s">
        <v>347</v>
      </c>
      <c r="G1297" s="4" t="s">
        <v>346</v>
      </c>
      <c r="H1297" t="s">
        <v>77</v>
      </c>
      <c r="I1297" t="s">
        <v>350</v>
      </c>
      <c r="J1297" s="3">
        <v>2009</v>
      </c>
      <c r="K1297" s="3">
        <v>2019</v>
      </c>
      <c r="L1297" s="6">
        <f t="shared" si="411"/>
        <v>2014</v>
      </c>
      <c r="M1297" s="6">
        <f t="shared" si="412"/>
        <v>2014</v>
      </c>
      <c r="N1297" s="7">
        <f t="shared" si="400"/>
        <v>0.36363636363636365</v>
      </c>
      <c r="O1297" s="7">
        <f t="shared" si="401"/>
        <v>0.27272727272727271</v>
      </c>
      <c r="P1297" s="7">
        <f t="shared" si="402"/>
        <v>0.18181818181818182</v>
      </c>
      <c r="Q1297" s="7">
        <f t="shared" si="413"/>
        <v>9.0909090909090912E-2</v>
      </c>
      <c r="R1297" s="10" t="str">
        <f t="shared" si="403"/>
        <v>0_Pre</v>
      </c>
      <c r="S1297" s="10" t="str">
        <f t="shared" si="404"/>
        <v>0_Pre</v>
      </c>
      <c r="T1297" s="10" t="str">
        <f t="shared" si="405"/>
        <v>0_Pre</v>
      </c>
      <c r="U1297" s="10" t="str">
        <f t="shared" si="406"/>
        <v>1_Post</v>
      </c>
      <c r="V1297" s="10" t="str">
        <f t="shared" si="414"/>
        <v>0_Pre</v>
      </c>
      <c r="W1297" s="10" t="str">
        <f t="shared" si="407"/>
        <v>straddle</v>
      </c>
      <c r="X1297" s="10" t="str">
        <f t="shared" si="408"/>
        <v>0_Pre</v>
      </c>
      <c r="Y1297" s="10" t="str">
        <f t="shared" si="409"/>
        <v>0_Pre</v>
      </c>
      <c r="Z1297" s="10" t="str">
        <f t="shared" si="410"/>
        <v>0_Pre</v>
      </c>
      <c r="AA1297" s="10" t="str">
        <f t="shared" si="415"/>
        <v>1_Post</v>
      </c>
      <c r="AB1297" s="10" t="str">
        <f t="shared" si="416"/>
        <v>1_Post</v>
      </c>
      <c r="AC1297" s="10" t="str">
        <f t="shared" si="417"/>
        <v>1_Post</v>
      </c>
      <c r="AD1297" s="10" t="str">
        <f t="shared" si="418"/>
        <v>2_post sample median</v>
      </c>
      <c r="AE1297" s="10" t="str">
        <f t="shared" si="419"/>
        <v>3_post sample third tertile</v>
      </c>
      <c r="AF1297" t="s">
        <v>80</v>
      </c>
      <c r="AG1297" t="s">
        <v>75</v>
      </c>
      <c r="AH1297" t="s">
        <v>78</v>
      </c>
      <c r="AI1297" t="s">
        <v>122</v>
      </c>
      <c r="AJ1297" t="s">
        <v>123</v>
      </c>
      <c r="AK1297" t="str">
        <f>VLOOKUP(MID($AR1297,1,255),country_lookup!$B:$F,2,FALSE)</f>
        <v>3_AsiaPac</v>
      </c>
      <c r="AL1297" t="str">
        <f>VLOOKUP(MID($AR1297,1,255),country_lookup!$B:$F,3,FALSE)</f>
        <v>2_developing</v>
      </c>
      <c r="AM1297" t="str">
        <f>VLOOKUP(MID($AR1297,1,255),country_lookup!$B:$F,4,FALSE)</f>
        <v>2_non_western</v>
      </c>
      <c r="AN1297" t="str">
        <f>VLOOKUP(MID($AR1297,1,255),country_lookup!$B:$F,5,FALSE)</f>
        <v>2_civil law</v>
      </c>
      <c r="AO1297" s="10" t="str">
        <f>VLOOKUP(MID($AS1297,1,255),source_lookup!$B:$K,4,FALSE)</f>
        <v>0_published</v>
      </c>
      <c r="AP1297" s="10" t="str">
        <f>VLOOKUP(MID($AS1297,1,255),source_lookup!$B:$K,6,FALSE)</f>
        <v>1_VHB high</v>
      </c>
      <c r="AQ1297" s="10" t="str">
        <f>VLOOKUP(MID($AS1297,1,255),source_lookup!$B:$K,10,FALSE)</f>
        <v>3_mgmt</v>
      </c>
      <c r="AR1297" t="s">
        <v>94</v>
      </c>
      <c r="AS1297" t="s">
        <v>187</v>
      </c>
    </row>
    <row r="1298" spans="1:45" x14ac:dyDescent="0.3">
      <c r="A1298" t="s">
        <v>64</v>
      </c>
      <c r="B1298">
        <v>1297</v>
      </c>
      <c r="C1298" s="1">
        <v>-2.2655236372164822E-2</v>
      </c>
      <c r="D1298" s="2">
        <v>1892</v>
      </c>
      <c r="E1298" s="4">
        <v>10212</v>
      </c>
      <c r="F1298" s="4" t="s">
        <v>347</v>
      </c>
      <c r="G1298" s="4" t="s">
        <v>346</v>
      </c>
      <c r="H1298" t="s">
        <v>77</v>
      </c>
      <c r="I1298" t="s">
        <v>350</v>
      </c>
      <c r="J1298" s="3">
        <v>2009</v>
      </c>
      <c r="K1298" s="3">
        <v>2019</v>
      </c>
      <c r="L1298" s="6">
        <f t="shared" si="411"/>
        <v>2014</v>
      </c>
      <c r="M1298" s="6">
        <f t="shared" si="412"/>
        <v>2014</v>
      </c>
      <c r="N1298" s="7">
        <f t="shared" si="400"/>
        <v>0.36363636363636365</v>
      </c>
      <c r="O1298" s="7">
        <f t="shared" si="401"/>
        <v>0.27272727272727271</v>
      </c>
      <c r="P1298" s="7">
        <f t="shared" si="402"/>
        <v>0.18181818181818182</v>
      </c>
      <c r="Q1298" s="7">
        <f t="shared" si="413"/>
        <v>9.0909090909090912E-2</v>
      </c>
      <c r="R1298" s="10" t="str">
        <f t="shared" si="403"/>
        <v>0_Pre</v>
      </c>
      <c r="S1298" s="10" t="str">
        <f t="shared" si="404"/>
        <v>0_Pre</v>
      </c>
      <c r="T1298" s="10" t="str">
        <f t="shared" si="405"/>
        <v>0_Pre</v>
      </c>
      <c r="U1298" s="10" t="str">
        <f t="shared" si="406"/>
        <v>1_Post</v>
      </c>
      <c r="V1298" s="10" t="str">
        <f t="shared" si="414"/>
        <v>0_Pre</v>
      </c>
      <c r="W1298" s="10" t="str">
        <f t="shared" si="407"/>
        <v>straddle</v>
      </c>
      <c r="X1298" s="10" t="str">
        <f t="shared" si="408"/>
        <v>0_Pre</v>
      </c>
      <c r="Y1298" s="10" t="str">
        <f t="shared" si="409"/>
        <v>0_Pre</v>
      </c>
      <c r="Z1298" s="10" t="str">
        <f t="shared" si="410"/>
        <v>0_Pre</v>
      </c>
      <c r="AA1298" s="10" t="str">
        <f t="shared" si="415"/>
        <v>1_Post</v>
      </c>
      <c r="AB1298" s="10" t="str">
        <f t="shared" si="416"/>
        <v>1_Post</v>
      </c>
      <c r="AC1298" s="10" t="str">
        <f t="shared" si="417"/>
        <v>1_Post</v>
      </c>
      <c r="AD1298" s="10" t="str">
        <f t="shared" si="418"/>
        <v>2_post sample median</v>
      </c>
      <c r="AE1298" s="10" t="str">
        <f t="shared" si="419"/>
        <v>3_post sample third tertile</v>
      </c>
      <c r="AF1298" t="s">
        <v>80</v>
      </c>
      <c r="AG1298" t="s">
        <v>75</v>
      </c>
      <c r="AH1298" t="s">
        <v>78</v>
      </c>
      <c r="AI1298" t="s">
        <v>122</v>
      </c>
      <c r="AJ1298" t="s">
        <v>123</v>
      </c>
      <c r="AK1298" t="str">
        <f>VLOOKUP(MID($AR1298,1,255),country_lookup!$B:$F,2,FALSE)</f>
        <v>3_AsiaPac</v>
      </c>
      <c r="AL1298" t="str">
        <f>VLOOKUP(MID($AR1298,1,255),country_lookup!$B:$F,3,FALSE)</f>
        <v>2_developing</v>
      </c>
      <c r="AM1298" t="str">
        <f>VLOOKUP(MID($AR1298,1,255),country_lookup!$B:$F,4,FALSE)</f>
        <v>2_non_western</v>
      </c>
      <c r="AN1298" t="str">
        <f>VLOOKUP(MID($AR1298,1,255),country_lookup!$B:$F,5,FALSE)</f>
        <v>2_civil law</v>
      </c>
      <c r="AO1298" s="10" t="str">
        <f>VLOOKUP(MID($AS1298,1,255),source_lookup!$B:$K,4,FALSE)</f>
        <v>0_published</v>
      </c>
      <c r="AP1298" s="10" t="str">
        <f>VLOOKUP(MID($AS1298,1,255),source_lookup!$B:$K,6,FALSE)</f>
        <v>1_VHB high</v>
      </c>
      <c r="AQ1298" s="10" t="str">
        <f>VLOOKUP(MID($AS1298,1,255),source_lookup!$B:$K,10,FALSE)</f>
        <v>3_mgmt</v>
      </c>
      <c r="AR1298" t="s">
        <v>94</v>
      </c>
      <c r="AS1298" t="s">
        <v>187</v>
      </c>
    </row>
    <row r="1299" spans="1:45" x14ac:dyDescent="0.3">
      <c r="A1299" t="s">
        <v>64</v>
      </c>
      <c r="B1299">
        <v>1298</v>
      </c>
      <c r="C1299" s="1">
        <v>-2.7301830073329883E-2</v>
      </c>
      <c r="D1299" s="2">
        <v>1892</v>
      </c>
      <c r="E1299" s="4">
        <v>10212</v>
      </c>
      <c r="F1299" s="4" t="s">
        <v>347</v>
      </c>
      <c r="G1299" s="4" t="s">
        <v>346</v>
      </c>
      <c r="H1299" t="s">
        <v>77</v>
      </c>
      <c r="I1299" t="s">
        <v>350</v>
      </c>
      <c r="J1299" s="3">
        <v>2009</v>
      </c>
      <c r="K1299" s="3">
        <v>2019</v>
      </c>
      <c r="L1299" s="6">
        <f t="shared" si="411"/>
        <v>2014</v>
      </c>
      <c r="M1299" s="6">
        <f t="shared" si="412"/>
        <v>2014</v>
      </c>
      <c r="N1299" s="7">
        <f t="shared" si="400"/>
        <v>0.36363636363636365</v>
      </c>
      <c r="O1299" s="7">
        <f t="shared" si="401"/>
        <v>0.27272727272727271</v>
      </c>
      <c r="P1299" s="7">
        <f t="shared" si="402"/>
        <v>0.18181818181818182</v>
      </c>
      <c r="Q1299" s="7">
        <f t="shared" si="413"/>
        <v>9.0909090909090912E-2</v>
      </c>
      <c r="R1299" s="10" t="str">
        <f t="shared" si="403"/>
        <v>0_Pre</v>
      </c>
      <c r="S1299" s="10" t="str">
        <f t="shared" si="404"/>
        <v>0_Pre</v>
      </c>
      <c r="T1299" s="10" t="str">
        <f t="shared" si="405"/>
        <v>0_Pre</v>
      </c>
      <c r="U1299" s="10" t="str">
        <f t="shared" si="406"/>
        <v>1_Post</v>
      </c>
      <c r="V1299" s="10" t="str">
        <f t="shared" si="414"/>
        <v>0_Pre</v>
      </c>
      <c r="W1299" s="10" t="str">
        <f t="shared" si="407"/>
        <v>straddle</v>
      </c>
      <c r="X1299" s="10" t="str">
        <f t="shared" si="408"/>
        <v>0_Pre</v>
      </c>
      <c r="Y1299" s="10" t="str">
        <f t="shared" si="409"/>
        <v>0_Pre</v>
      </c>
      <c r="Z1299" s="10" t="str">
        <f t="shared" si="410"/>
        <v>0_Pre</v>
      </c>
      <c r="AA1299" s="10" t="str">
        <f t="shared" si="415"/>
        <v>1_Post</v>
      </c>
      <c r="AB1299" s="10" t="str">
        <f t="shared" si="416"/>
        <v>1_Post</v>
      </c>
      <c r="AC1299" s="10" t="str">
        <f t="shared" si="417"/>
        <v>1_Post</v>
      </c>
      <c r="AD1299" s="10" t="str">
        <f t="shared" si="418"/>
        <v>2_post sample median</v>
      </c>
      <c r="AE1299" s="10" t="str">
        <f t="shared" si="419"/>
        <v>3_post sample third tertile</v>
      </c>
      <c r="AF1299" t="s">
        <v>80</v>
      </c>
      <c r="AG1299" t="s">
        <v>75</v>
      </c>
      <c r="AH1299" t="s">
        <v>78</v>
      </c>
      <c r="AI1299" t="s">
        <v>122</v>
      </c>
      <c r="AJ1299" t="s">
        <v>123</v>
      </c>
      <c r="AK1299" t="str">
        <f>VLOOKUP(MID($AR1299,1,255),country_lookup!$B:$F,2,FALSE)</f>
        <v>3_AsiaPac</v>
      </c>
      <c r="AL1299" t="str">
        <f>VLOOKUP(MID($AR1299,1,255),country_lookup!$B:$F,3,FALSE)</f>
        <v>2_developing</v>
      </c>
      <c r="AM1299" t="str">
        <f>VLOOKUP(MID($AR1299,1,255),country_lookup!$B:$F,4,FALSE)</f>
        <v>2_non_western</v>
      </c>
      <c r="AN1299" t="str">
        <f>VLOOKUP(MID($AR1299,1,255),country_lookup!$B:$F,5,FALSE)</f>
        <v>2_civil law</v>
      </c>
      <c r="AO1299" s="10" t="str">
        <f>VLOOKUP(MID($AS1299,1,255),source_lookup!$B:$K,4,FALSE)</f>
        <v>0_published</v>
      </c>
      <c r="AP1299" s="10" t="str">
        <f>VLOOKUP(MID($AS1299,1,255),source_lookup!$B:$K,6,FALSE)</f>
        <v>1_VHB high</v>
      </c>
      <c r="AQ1299" s="10" t="str">
        <f>VLOOKUP(MID($AS1299,1,255),source_lookup!$B:$K,10,FALSE)</f>
        <v>3_mgmt</v>
      </c>
      <c r="AR1299" t="s">
        <v>94</v>
      </c>
      <c r="AS1299" t="s">
        <v>187</v>
      </c>
    </row>
    <row r="1300" spans="1:45" x14ac:dyDescent="0.3">
      <c r="A1300" t="s">
        <v>64</v>
      </c>
      <c r="B1300">
        <v>1299</v>
      </c>
      <c r="C1300" s="1">
        <v>-3.293465851467927E-2</v>
      </c>
      <c r="D1300" s="2">
        <v>1892</v>
      </c>
      <c r="E1300" s="4">
        <v>10212</v>
      </c>
      <c r="F1300" s="4" t="s">
        <v>347</v>
      </c>
      <c r="G1300" s="4" t="s">
        <v>346</v>
      </c>
      <c r="H1300" t="s">
        <v>77</v>
      </c>
      <c r="I1300" t="s">
        <v>350</v>
      </c>
      <c r="J1300" s="3">
        <v>2009</v>
      </c>
      <c r="K1300" s="3">
        <v>2019</v>
      </c>
      <c r="L1300" s="6">
        <f t="shared" si="411"/>
        <v>2014</v>
      </c>
      <c r="M1300" s="6">
        <f t="shared" si="412"/>
        <v>2014</v>
      </c>
      <c r="N1300" s="7">
        <f t="shared" si="400"/>
        <v>0.36363636363636365</v>
      </c>
      <c r="O1300" s="7">
        <f t="shared" si="401"/>
        <v>0.27272727272727271</v>
      </c>
      <c r="P1300" s="7">
        <f t="shared" si="402"/>
        <v>0.18181818181818182</v>
      </c>
      <c r="Q1300" s="7">
        <f t="shared" si="413"/>
        <v>9.0909090909090912E-2</v>
      </c>
      <c r="R1300" s="10" t="str">
        <f t="shared" si="403"/>
        <v>0_Pre</v>
      </c>
      <c r="S1300" s="10" t="str">
        <f t="shared" si="404"/>
        <v>0_Pre</v>
      </c>
      <c r="T1300" s="10" t="str">
        <f t="shared" si="405"/>
        <v>0_Pre</v>
      </c>
      <c r="U1300" s="10" t="str">
        <f t="shared" si="406"/>
        <v>1_Post</v>
      </c>
      <c r="V1300" s="10" t="str">
        <f t="shared" si="414"/>
        <v>0_Pre</v>
      </c>
      <c r="W1300" s="10" t="str">
        <f t="shared" si="407"/>
        <v>straddle</v>
      </c>
      <c r="X1300" s="10" t="str">
        <f t="shared" si="408"/>
        <v>0_Pre</v>
      </c>
      <c r="Y1300" s="10" t="str">
        <f t="shared" si="409"/>
        <v>0_Pre</v>
      </c>
      <c r="Z1300" s="10" t="str">
        <f t="shared" si="410"/>
        <v>0_Pre</v>
      </c>
      <c r="AA1300" s="10" t="str">
        <f t="shared" si="415"/>
        <v>1_Post</v>
      </c>
      <c r="AB1300" s="10" t="str">
        <f t="shared" si="416"/>
        <v>1_Post</v>
      </c>
      <c r="AC1300" s="10" t="str">
        <f t="shared" si="417"/>
        <v>1_Post</v>
      </c>
      <c r="AD1300" s="10" t="str">
        <f t="shared" si="418"/>
        <v>2_post sample median</v>
      </c>
      <c r="AE1300" s="10" t="str">
        <f t="shared" si="419"/>
        <v>3_post sample third tertile</v>
      </c>
      <c r="AF1300" t="s">
        <v>80</v>
      </c>
      <c r="AG1300" t="s">
        <v>75</v>
      </c>
      <c r="AH1300" t="s">
        <v>78</v>
      </c>
      <c r="AI1300" t="s">
        <v>122</v>
      </c>
      <c r="AJ1300" t="s">
        <v>123</v>
      </c>
      <c r="AK1300" t="str">
        <f>VLOOKUP(MID($AR1300,1,255),country_lookup!$B:$F,2,FALSE)</f>
        <v>3_AsiaPac</v>
      </c>
      <c r="AL1300" t="str">
        <f>VLOOKUP(MID($AR1300,1,255),country_lookup!$B:$F,3,FALSE)</f>
        <v>2_developing</v>
      </c>
      <c r="AM1300" t="str">
        <f>VLOOKUP(MID($AR1300,1,255),country_lookup!$B:$F,4,FALSE)</f>
        <v>2_non_western</v>
      </c>
      <c r="AN1300" t="str">
        <f>VLOOKUP(MID($AR1300,1,255),country_lookup!$B:$F,5,FALSE)</f>
        <v>2_civil law</v>
      </c>
      <c r="AO1300" s="10" t="str">
        <f>VLOOKUP(MID($AS1300,1,255),source_lookup!$B:$K,4,FALSE)</f>
        <v>0_published</v>
      </c>
      <c r="AP1300" s="10" t="str">
        <f>VLOOKUP(MID($AS1300,1,255),source_lookup!$B:$K,6,FALSE)</f>
        <v>1_VHB high</v>
      </c>
      <c r="AQ1300" s="10" t="str">
        <f>VLOOKUP(MID($AS1300,1,255),source_lookup!$B:$K,10,FALSE)</f>
        <v>3_mgmt</v>
      </c>
      <c r="AR1300" t="s">
        <v>94</v>
      </c>
      <c r="AS1300" t="s">
        <v>187</v>
      </c>
    </row>
    <row r="1301" spans="1:45" x14ac:dyDescent="0.3">
      <c r="A1301" t="s">
        <v>64</v>
      </c>
      <c r="B1301">
        <v>1300</v>
      </c>
      <c r="C1301" s="1">
        <v>-4.5472931150409374E-2</v>
      </c>
      <c r="D1301" s="2">
        <v>1892</v>
      </c>
      <c r="E1301" s="4">
        <v>10212</v>
      </c>
      <c r="F1301" s="4" t="s">
        <v>347</v>
      </c>
      <c r="G1301" s="4" t="s">
        <v>346</v>
      </c>
      <c r="H1301" t="s">
        <v>77</v>
      </c>
      <c r="I1301" t="s">
        <v>350</v>
      </c>
      <c r="J1301" s="3">
        <v>2009</v>
      </c>
      <c r="K1301" s="3">
        <v>2019</v>
      </c>
      <c r="L1301" s="6">
        <f t="shared" si="411"/>
        <v>2014</v>
      </c>
      <c r="M1301" s="6">
        <f t="shared" si="412"/>
        <v>2014</v>
      </c>
      <c r="N1301" s="7">
        <f t="shared" si="400"/>
        <v>0.36363636363636365</v>
      </c>
      <c r="O1301" s="7">
        <f t="shared" si="401"/>
        <v>0.27272727272727271</v>
      </c>
      <c r="P1301" s="7">
        <f t="shared" si="402"/>
        <v>0.18181818181818182</v>
      </c>
      <c r="Q1301" s="7">
        <f t="shared" si="413"/>
        <v>9.0909090909090912E-2</v>
      </c>
      <c r="R1301" s="10" t="str">
        <f t="shared" si="403"/>
        <v>0_Pre</v>
      </c>
      <c r="S1301" s="10" t="str">
        <f t="shared" si="404"/>
        <v>0_Pre</v>
      </c>
      <c r="T1301" s="10" t="str">
        <f t="shared" si="405"/>
        <v>0_Pre</v>
      </c>
      <c r="U1301" s="10" t="str">
        <f t="shared" si="406"/>
        <v>1_Post</v>
      </c>
      <c r="V1301" s="10" t="str">
        <f t="shared" si="414"/>
        <v>0_Pre</v>
      </c>
      <c r="W1301" s="10" t="str">
        <f t="shared" si="407"/>
        <v>straddle</v>
      </c>
      <c r="X1301" s="10" t="str">
        <f t="shared" si="408"/>
        <v>0_Pre</v>
      </c>
      <c r="Y1301" s="10" t="str">
        <f t="shared" si="409"/>
        <v>0_Pre</v>
      </c>
      <c r="Z1301" s="10" t="str">
        <f t="shared" si="410"/>
        <v>0_Pre</v>
      </c>
      <c r="AA1301" s="10" t="str">
        <f t="shared" si="415"/>
        <v>1_Post</v>
      </c>
      <c r="AB1301" s="10" t="str">
        <f t="shared" si="416"/>
        <v>1_Post</v>
      </c>
      <c r="AC1301" s="10" t="str">
        <f t="shared" si="417"/>
        <v>1_Post</v>
      </c>
      <c r="AD1301" s="10" t="str">
        <f t="shared" si="418"/>
        <v>2_post sample median</v>
      </c>
      <c r="AE1301" s="10" t="str">
        <f t="shared" si="419"/>
        <v>3_post sample third tertile</v>
      </c>
      <c r="AF1301" t="s">
        <v>80</v>
      </c>
      <c r="AG1301" t="s">
        <v>75</v>
      </c>
      <c r="AH1301" t="s">
        <v>78</v>
      </c>
      <c r="AI1301" t="s">
        <v>122</v>
      </c>
      <c r="AJ1301" t="s">
        <v>123</v>
      </c>
      <c r="AK1301" t="str">
        <f>VLOOKUP(MID($AR1301,1,255),country_lookup!$B:$F,2,FALSE)</f>
        <v>3_AsiaPac</v>
      </c>
      <c r="AL1301" t="str">
        <f>VLOOKUP(MID($AR1301,1,255),country_lookup!$B:$F,3,FALSE)</f>
        <v>2_developing</v>
      </c>
      <c r="AM1301" t="str">
        <f>VLOOKUP(MID($AR1301,1,255),country_lookup!$B:$F,4,FALSE)</f>
        <v>2_non_western</v>
      </c>
      <c r="AN1301" t="str">
        <f>VLOOKUP(MID($AR1301,1,255),country_lookup!$B:$F,5,FALSE)</f>
        <v>2_civil law</v>
      </c>
      <c r="AO1301" s="10" t="str">
        <f>VLOOKUP(MID($AS1301,1,255),source_lookup!$B:$K,4,FALSE)</f>
        <v>0_published</v>
      </c>
      <c r="AP1301" s="10" t="str">
        <f>VLOOKUP(MID($AS1301,1,255),source_lookup!$B:$K,6,FALSE)</f>
        <v>1_VHB high</v>
      </c>
      <c r="AQ1301" s="10" t="str">
        <f>VLOOKUP(MID($AS1301,1,255),source_lookup!$B:$K,10,FALSE)</f>
        <v>3_mgmt</v>
      </c>
      <c r="AR1301" t="s">
        <v>94</v>
      </c>
      <c r="AS1301" t="s">
        <v>187</v>
      </c>
    </row>
    <row r="1302" spans="1:45" x14ac:dyDescent="0.3">
      <c r="A1302" t="s">
        <v>64</v>
      </c>
      <c r="B1302">
        <v>1301</v>
      </c>
      <c r="C1302" s="1">
        <v>-3.1650235201066093E-2</v>
      </c>
      <c r="D1302" s="2">
        <v>1892</v>
      </c>
      <c r="E1302" s="4">
        <v>10212</v>
      </c>
      <c r="F1302" s="4" t="s">
        <v>347</v>
      </c>
      <c r="G1302" s="4" t="s">
        <v>346</v>
      </c>
      <c r="H1302" t="s">
        <v>77</v>
      </c>
      <c r="I1302" t="s">
        <v>350</v>
      </c>
      <c r="J1302" s="3">
        <v>2009</v>
      </c>
      <c r="K1302" s="3">
        <v>2019</v>
      </c>
      <c r="L1302" s="6">
        <f t="shared" si="411"/>
        <v>2014</v>
      </c>
      <c r="M1302" s="6">
        <f t="shared" si="412"/>
        <v>2014</v>
      </c>
      <c r="N1302" s="7">
        <f t="shared" si="400"/>
        <v>0.36363636363636365</v>
      </c>
      <c r="O1302" s="7">
        <f t="shared" si="401"/>
        <v>0.27272727272727271</v>
      </c>
      <c r="P1302" s="7">
        <f t="shared" si="402"/>
        <v>0.18181818181818182</v>
      </c>
      <c r="Q1302" s="7">
        <f t="shared" si="413"/>
        <v>9.0909090909090912E-2</v>
      </c>
      <c r="R1302" s="10" t="str">
        <f t="shared" si="403"/>
        <v>0_Pre</v>
      </c>
      <c r="S1302" s="10" t="str">
        <f t="shared" si="404"/>
        <v>0_Pre</v>
      </c>
      <c r="T1302" s="10" t="str">
        <f t="shared" si="405"/>
        <v>0_Pre</v>
      </c>
      <c r="U1302" s="10" t="str">
        <f t="shared" si="406"/>
        <v>1_Post</v>
      </c>
      <c r="V1302" s="10" t="str">
        <f t="shared" si="414"/>
        <v>0_Pre</v>
      </c>
      <c r="W1302" s="10" t="str">
        <f t="shared" si="407"/>
        <v>straddle</v>
      </c>
      <c r="X1302" s="10" t="str">
        <f t="shared" si="408"/>
        <v>0_Pre</v>
      </c>
      <c r="Y1302" s="10" t="str">
        <f t="shared" si="409"/>
        <v>0_Pre</v>
      </c>
      <c r="Z1302" s="10" t="str">
        <f t="shared" si="410"/>
        <v>0_Pre</v>
      </c>
      <c r="AA1302" s="10" t="str">
        <f t="shared" si="415"/>
        <v>1_Post</v>
      </c>
      <c r="AB1302" s="10" t="str">
        <f t="shared" si="416"/>
        <v>1_Post</v>
      </c>
      <c r="AC1302" s="10" t="str">
        <f t="shared" si="417"/>
        <v>1_Post</v>
      </c>
      <c r="AD1302" s="10" t="str">
        <f t="shared" si="418"/>
        <v>2_post sample median</v>
      </c>
      <c r="AE1302" s="10" t="str">
        <f t="shared" si="419"/>
        <v>3_post sample third tertile</v>
      </c>
      <c r="AF1302" t="s">
        <v>80</v>
      </c>
      <c r="AG1302" t="s">
        <v>75</v>
      </c>
      <c r="AH1302" t="s">
        <v>78</v>
      </c>
      <c r="AI1302" t="s">
        <v>122</v>
      </c>
      <c r="AJ1302" t="s">
        <v>123</v>
      </c>
      <c r="AK1302" t="str">
        <f>VLOOKUP(MID($AR1302,1,255),country_lookup!$B:$F,2,FALSE)</f>
        <v>3_AsiaPac</v>
      </c>
      <c r="AL1302" t="str">
        <f>VLOOKUP(MID($AR1302,1,255),country_lookup!$B:$F,3,FALSE)</f>
        <v>2_developing</v>
      </c>
      <c r="AM1302" t="str">
        <f>VLOOKUP(MID($AR1302,1,255),country_lookup!$B:$F,4,FALSE)</f>
        <v>2_non_western</v>
      </c>
      <c r="AN1302" t="str">
        <f>VLOOKUP(MID($AR1302,1,255),country_lookup!$B:$F,5,FALSE)</f>
        <v>2_civil law</v>
      </c>
      <c r="AO1302" s="10" t="str">
        <f>VLOOKUP(MID($AS1302,1,255),source_lookup!$B:$K,4,FALSE)</f>
        <v>0_published</v>
      </c>
      <c r="AP1302" s="10" t="str">
        <f>VLOOKUP(MID($AS1302,1,255),source_lookup!$B:$K,6,FALSE)</f>
        <v>1_VHB high</v>
      </c>
      <c r="AQ1302" s="10" t="str">
        <f>VLOOKUP(MID($AS1302,1,255),source_lookup!$B:$K,10,FALSE)</f>
        <v>3_mgmt</v>
      </c>
      <c r="AR1302" t="s">
        <v>94</v>
      </c>
      <c r="AS1302" t="s">
        <v>187</v>
      </c>
    </row>
    <row r="1303" spans="1:45" x14ac:dyDescent="0.3">
      <c r="A1303" t="s">
        <v>64</v>
      </c>
      <c r="B1303">
        <v>1302</v>
      </c>
      <c r="C1303" s="1">
        <v>-2.6115621958945068E-2</v>
      </c>
      <c r="D1303" s="2">
        <v>1892</v>
      </c>
      <c r="E1303" s="4">
        <v>10212</v>
      </c>
      <c r="F1303" s="4" t="s">
        <v>347</v>
      </c>
      <c r="G1303" s="4" t="s">
        <v>346</v>
      </c>
      <c r="H1303" t="s">
        <v>77</v>
      </c>
      <c r="I1303" t="s">
        <v>350</v>
      </c>
      <c r="J1303" s="3">
        <v>2009</v>
      </c>
      <c r="K1303" s="3">
        <v>2019</v>
      </c>
      <c r="L1303" s="6">
        <f t="shared" si="411"/>
        <v>2014</v>
      </c>
      <c r="M1303" s="6">
        <f t="shared" si="412"/>
        <v>2014</v>
      </c>
      <c r="N1303" s="7">
        <f t="shared" si="400"/>
        <v>0.36363636363636365</v>
      </c>
      <c r="O1303" s="7">
        <f t="shared" si="401"/>
        <v>0.27272727272727271</v>
      </c>
      <c r="P1303" s="7">
        <f t="shared" si="402"/>
        <v>0.18181818181818182</v>
      </c>
      <c r="Q1303" s="7">
        <f t="shared" si="413"/>
        <v>9.0909090909090912E-2</v>
      </c>
      <c r="R1303" s="10" t="str">
        <f t="shared" si="403"/>
        <v>0_Pre</v>
      </c>
      <c r="S1303" s="10" t="str">
        <f t="shared" si="404"/>
        <v>0_Pre</v>
      </c>
      <c r="T1303" s="10" t="str">
        <f t="shared" si="405"/>
        <v>0_Pre</v>
      </c>
      <c r="U1303" s="10" t="str">
        <f t="shared" si="406"/>
        <v>1_Post</v>
      </c>
      <c r="V1303" s="10" t="str">
        <f t="shared" si="414"/>
        <v>0_Pre</v>
      </c>
      <c r="W1303" s="10" t="str">
        <f t="shared" si="407"/>
        <v>straddle</v>
      </c>
      <c r="X1303" s="10" t="str">
        <f t="shared" si="408"/>
        <v>0_Pre</v>
      </c>
      <c r="Y1303" s="10" t="str">
        <f t="shared" si="409"/>
        <v>0_Pre</v>
      </c>
      <c r="Z1303" s="10" t="str">
        <f t="shared" si="410"/>
        <v>0_Pre</v>
      </c>
      <c r="AA1303" s="10" t="str">
        <f t="shared" si="415"/>
        <v>1_Post</v>
      </c>
      <c r="AB1303" s="10" t="str">
        <f t="shared" si="416"/>
        <v>1_Post</v>
      </c>
      <c r="AC1303" s="10" t="str">
        <f t="shared" si="417"/>
        <v>1_Post</v>
      </c>
      <c r="AD1303" s="10" t="str">
        <f t="shared" si="418"/>
        <v>2_post sample median</v>
      </c>
      <c r="AE1303" s="10" t="str">
        <f t="shared" si="419"/>
        <v>3_post sample third tertile</v>
      </c>
      <c r="AF1303" t="s">
        <v>80</v>
      </c>
      <c r="AG1303" t="s">
        <v>75</v>
      </c>
      <c r="AH1303" t="s">
        <v>78</v>
      </c>
      <c r="AI1303" t="s">
        <v>122</v>
      </c>
      <c r="AJ1303" t="s">
        <v>123</v>
      </c>
      <c r="AK1303" t="str">
        <f>VLOOKUP(MID($AR1303,1,255),country_lookup!$B:$F,2,FALSE)</f>
        <v>3_AsiaPac</v>
      </c>
      <c r="AL1303" t="str">
        <f>VLOOKUP(MID($AR1303,1,255),country_lookup!$B:$F,3,FALSE)</f>
        <v>2_developing</v>
      </c>
      <c r="AM1303" t="str">
        <f>VLOOKUP(MID($AR1303,1,255),country_lookup!$B:$F,4,FALSE)</f>
        <v>2_non_western</v>
      </c>
      <c r="AN1303" t="str">
        <f>VLOOKUP(MID($AR1303,1,255),country_lookup!$B:$F,5,FALSE)</f>
        <v>2_civil law</v>
      </c>
      <c r="AO1303" s="10" t="str">
        <f>VLOOKUP(MID($AS1303,1,255),source_lookup!$B:$K,4,FALSE)</f>
        <v>0_published</v>
      </c>
      <c r="AP1303" s="10" t="str">
        <f>VLOOKUP(MID($AS1303,1,255),source_lookup!$B:$K,6,FALSE)</f>
        <v>1_VHB high</v>
      </c>
      <c r="AQ1303" s="10" t="str">
        <f>VLOOKUP(MID($AS1303,1,255),source_lookup!$B:$K,10,FALSE)</f>
        <v>3_mgmt</v>
      </c>
      <c r="AR1303" t="s">
        <v>94</v>
      </c>
      <c r="AS1303" t="s">
        <v>187</v>
      </c>
    </row>
    <row r="1304" spans="1:45" x14ac:dyDescent="0.3">
      <c r="A1304" t="s">
        <v>64</v>
      </c>
      <c r="B1304">
        <v>1303</v>
      </c>
      <c r="C1304" s="1">
        <v>-2.0123564444962532E-2</v>
      </c>
      <c r="D1304" s="2">
        <v>925</v>
      </c>
      <c r="E1304" s="4">
        <v>10172</v>
      </c>
      <c r="F1304" s="4" t="s">
        <v>347</v>
      </c>
      <c r="G1304" s="4" t="s">
        <v>346</v>
      </c>
      <c r="H1304" t="s">
        <v>77</v>
      </c>
      <c r="I1304" t="s">
        <v>350</v>
      </c>
      <c r="J1304" s="3">
        <v>2009</v>
      </c>
      <c r="K1304" s="3">
        <v>2019</v>
      </c>
      <c r="L1304" s="6">
        <f t="shared" si="411"/>
        <v>2014</v>
      </c>
      <c r="M1304" s="6">
        <f t="shared" si="412"/>
        <v>2014</v>
      </c>
      <c r="N1304" s="7">
        <f t="shared" si="400"/>
        <v>0.36363636363636365</v>
      </c>
      <c r="O1304" s="7">
        <f t="shared" si="401"/>
        <v>0.27272727272727271</v>
      </c>
      <c r="P1304" s="7">
        <f t="shared" si="402"/>
        <v>0.18181818181818182</v>
      </c>
      <c r="Q1304" s="7">
        <f t="shared" si="413"/>
        <v>9.0909090909090912E-2</v>
      </c>
      <c r="R1304" s="10" t="str">
        <f t="shared" si="403"/>
        <v>0_Pre</v>
      </c>
      <c r="S1304" s="10" t="str">
        <f t="shared" si="404"/>
        <v>0_Pre</v>
      </c>
      <c r="T1304" s="10" t="str">
        <f t="shared" si="405"/>
        <v>0_Pre</v>
      </c>
      <c r="U1304" s="10" t="str">
        <f t="shared" si="406"/>
        <v>1_Post</v>
      </c>
      <c r="V1304" s="10" t="str">
        <f t="shared" si="414"/>
        <v>0_Pre</v>
      </c>
      <c r="W1304" s="10" t="str">
        <f t="shared" si="407"/>
        <v>straddle</v>
      </c>
      <c r="X1304" s="10" t="str">
        <f t="shared" si="408"/>
        <v>0_Pre</v>
      </c>
      <c r="Y1304" s="10" t="str">
        <f t="shared" si="409"/>
        <v>0_Pre</v>
      </c>
      <c r="Z1304" s="10" t="str">
        <f t="shared" si="410"/>
        <v>0_Pre</v>
      </c>
      <c r="AA1304" s="10" t="str">
        <f t="shared" si="415"/>
        <v>1_Post</v>
      </c>
      <c r="AB1304" s="10" t="str">
        <f t="shared" si="416"/>
        <v>1_Post</v>
      </c>
      <c r="AC1304" s="10" t="str">
        <f t="shared" si="417"/>
        <v>1_Post</v>
      </c>
      <c r="AD1304" s="10" t="str">
        <f t="shared" si="418"/>
        <v>2_post sample median</v>
      </c>
      <c r="AE1304" s="10" t="str">
        <f t="shared" si="419"/>
        <v>3_post sample third tertile</v>
      </c>
      <c r="AF1304" t="s">
        <v>80</v>
      </c>
      <c r="AG1304" t="s">
        <v>75</v>
      </c>
      <c r="AH1304" t="s">
        <v>78</v>
      </c>
      <c r="AI1304" t="s">
        <v>122</v>
      </c>
      <c r="AJ1304" t="s">
        <v>123</v>
      </c>
      <c r="AK1304" t="str">
        <f>VLOOKUP(MID($AR1304,1,255),country_lookup!$B:$F,2,FALSE)</f>
        <v>3_AsiaPac</v>
      </c>
      <c r="AL1304" t="str">
        <f>VLOOKUP(MID($AR1304,1,255),country_lookup!$B:$F,3,FALSE)</f>
        <v>2_developing</v>
      </c>
      <c r="AM1304" t="str">
        <f>VLOOKUP(MID($AR1304,1,255),country_lookup!$B:$F,4,FALSE)</f>
        <v>2_non_western</v>
      </c>
      <c r="AN1304" t="str">
        <f>VLOOKUP(MID($AR1304,1,255),country_lookup!$B:$F,5,FALSE)</f>
        <v>2_civil law</v>
      </c>
      <c r="AO1304" s="10" t="str">
        <f>VLOOKUP(MID($AS1304,1,255),source_lookup!$B:$K,4,FALSE)</f>
        <v>0_published</v>
      </c>
      <c r="AP1304" s="10" t="str">
        <f>VLOOKUP(MID($AS1304,1,255),source_lookup!$B:$K,6,FALSE)</f>
        <v>1_VHB high</v>
      </c>
      <c r="AQ1304" s="10" t="str">
        <f>VLOOKUP(MID($AS1304,1,255),source_lookup!$B:$K,10,FALSE)</f>
        <v>3_mgmt</v>
      </c>
      <c r="AR1304" t="s">
        <v>94</v>
      </c>
      <c r="AS1304" t="s">
        <v>187</v>
      </c>
    </row>
    <row r="1305" spans="1:45" x14ac:dyDescent="0.3">
      <c r="A1305" t="s">
        <v>64</v>
      </c>
      <c r="B1305">
        <v>1304</v>
      </c>
      <c r="C1305" s="1">
        <v>-2.9797818355738696E-2</v>
      </c>
      <c r="D1305" s="2">
        <v>718</v>
      </c>
      <c r="E1305" s="4">
        <v>7902</v>
      </c>
      <c r="F1305" s="4" t="s">
        <v>347</v>
      </c>
      <c r="G1305" s="4" t="s">
        <v>346</v>
      </c>
      <c r="H1305" t="s">
        <v>77</v>
      </c>
      <c r="I1305" t="s">
        <v>350</v>
      </c>
      <c r="J1305" s="3">
        <v>2009</v>
      </c>
      <c r="K1305" s="3">
        <v>2019</v>
      </c>
      <c r="L1305" s="6">
        <f t="shared" si="411"/>
        <v>2014</v>
      </c>
      <c r="M1305" s="6">
        <f t="shared" si="412"/>
        <v>2014</v>
      </c>
      <c r="N1305" s="7">
        <f t="shared" si="400"/>
        <v>0.36363636363636365</v>
      </c>
      <c r="O1305" s="7">
        <f t="shared" si="401"/>
        <v>0.27272727272727271</v>
      </c>
      <c r="P1305" s="7">
        <f t="shared" si="402"/>
        <v>0.18181818181818182</v>
      </c>
      <c r="Q1305" s="7">
        <f t="shared" si="413"/>
        <v>9.0909090909090912E-2</v>
      </c>
      <c r="R1305" s="10" t="str">
        <f t="shared" si="403"/>
        <v>0_Pre</v>
      </c>
      <c r="S1305" s="10" t="str">
        <f t="shared" si="404"/>
        <v>0_Pre</v>
      </c>
      <c r="T1305" s="10" t="str">
        <f t="shared" si="405"/>
        <v>0_Pre</v>
      </c>
      <c r="U1305" s="10" t="str">
        <f t="shared" si="406"/>
        <v>1_Post</v>
      </c>
      <c r="V1305" s="10" t="str">
        <f t="shared" si="414"/>
        <v>0_Pre</v>
      </c>
      <c r="W1305" s="10" t="str">
        <f t="shared" si="407"/>
        <v>straddle</v>
      </c>
      <c r="X1305" s="10" t="str">
        <f t="shared" si="408"/>
        <v>0_Pre</v>
      </c>
      <c r="Y1305" s="10" t="str">
        <f t="shared" si="409"/>
        <v>0_Pre</v>
      </c>
      <c r="Z1305" s="10" t="str">
        <f t="shared" si="410"/>
        <v>0_Pre</v>
      </c>
      <c r="AA1305" s="10" t="str">
        <f t="shared" si="415"/>
        <v>1_Post</v>
      </c>
      <c r="AB1305" s="10" t="str">
        <f t="shared" si="416"/>
        <v>1_Post</v>
      </c>
      <c r="AC1305" s="10" t="str">
        <f t="shared" si="417"/>
        <v>1_Post</v>
      </c>
      <c r="AD1305" s="10" t="str">
        <f t="shared" si="418"/>
        <v>2_post sample median</v>
      </c>
      <c r="AE1305" s="10" t="str">
        <f t="shared" si="419"/>
        <v>3_post sample third tertile</v>
      </c>
      <c r="AF1305" t="s">
        <v>80</v>
      </c>
      <c r="AG1305" t="s">
        <v>75</v>
      </c>
      <c r="AH1305" t="s">
        <v>78</v>
      </c>
      <c r="AI1305" t="s">
        <v>122</v>
      </c>
      <c r="AJ1305" t="s">
        <v>123</v>
      </c>
      <c r="AK1305" t="str">
        <f>VLOOKUP(MID($AR1305,1,255),country_lookup!$B:$F,2,FALSE)</f>
        <v>3_AsiaPac</v>
      </c>
      <c r="AL1305" t="str">
        <f>VLOOKUP(MID($AR1305,1,255),country_lookup!$B:$F,3,FALSE)</f>
        <v>2_developing</v>
      </c>
      <c r="AM1305" t="str">
        <f>VLOOKUP(MID($AR1305,1,255),country_lookup!$B:$F,4,FALSE)</f>
        <v>2_non_western</v>
      </c>
      <c r="AN1305" t="str">
        <f>VLOOKUP(MID($AR1305,1,255),country_lookup!$B:$F,5,FALSE)</f>
        <v>2_civil law</v>
      </c>
      <c r="AO1305" s="10" t="str">
        <f>VLOOKUP(MID($AS1305,1,255),source_lookup!$B:$K,4,FALSE)</f>
        <v>0_published</v>
      </c>
      <c r="AP1305" s="10" t="str">
        <f>VLOOKUP(MID($AS1305,1,255),source_lookup!$B:$K,6,FALSE)</f>
        <v>1_VHB high</v>
      </c>
      <c r="AQ1305" s="10" t="str">
        <f>VLOOKUP(MID($AS1305,1,255),source_lookup!$B:$K,10,FALSE)</f>
        <v>3_mgmt</v>
      </c>
      <c r="AR1305" t="s">
        <v>94</v>
      </c>
      <c r="AS1305" t="s">
        <v>187</v>
      </c>
    </row>
    <row r="1306" spans="1:45" x14ac:dyDescent="0.3">
      <c r="A1306" t="s">
        <v>64</v>
      </c>
      <c r="B1306">
        <v>1305</v>
      </c>
      <c r="C1306" s="1">
        <v>-2.9694238837246607E-2</v>
      </c>
      <c r="D1306" s="2">
        <v>927</v>
      </c>
      <c r="E1306" s="4">
        <v>10198</v>
      </c>
      <c r="F1306" s="4" t="s">
        <v>347</v>
      </c>
      <c r="G1306" s="4" t="s">
        <v>346</v>
      </c>
      <c r="H1306" t="s">
        <v>77</v>
      </c>
      <c r="I1306" t="s">
        <v>350</v>
      </c>
      <c r="J1306" s="3">
        <v>2009</v>
      </c>
      <c r="K1306" s="3">
        <v>2019</v>
      </c>
      <c r="L1306" s="6">
        <f t="shared" si="411"/>
        <v>2014</v>
      </c>
      <c r="M1306" s="6">
        <f t="shared" si="412"/>
        <v>2014</v>
      </c>
      <c r="N1306" s="7">
        <f t="shared" si="400"/>
        <v>0.36363636363636365</v>
      </c>
      <c r="O1306" s="7">
        <f t="shared" si="401"/>
        <v>0.27272727272727271</v>
      </c>
      <c r="P1306" s="7">
        <f t="shared" si="402"/>
        <v>0.18181818181818182</v>
      </c>
      <c r="Q1306" s="7">
        <f t="shared" si="413"/>
        <v>9.0909090909090912E-2</v>
      </c>
      <c r="R1306" s="10" t="str">
        <f t="shared" si="403"/>
        <v>0_Pre</v>
      </c>
      <c r="S1306" s="10" t="str">
        <f t="shared" si="404"/>
        <v>0_Pre</v>
      </c>
      <c r="T1306" s="10" t="str">
        <f t="shared" si="405"/>
        <v>0_Pre</v>
      </c>
      <c r="U1306" s="10" t="str">
        <f t="shared" si="406"/>
        <v>1_Post</v>
      </c>
      <c r="V1306" s="10" t="str">
        <f t="shared" si="414"/>
        <v>0_Pre</v>
      </c>
      <c r="W1306" s="10" t="str">
        <f t="shared" si="407"/>
        <v>straddle</v>
      </c>
      <c r="X1306" s="10" t="str">
        <f t="shared" si="408"/>
        <v>0_Pre</v>
      </c>
      <c r="Y1306" s="10" t="str">
        <f t="shared" si="409"/>
        <v>0_Pre</v>
      </c>
      <c r="Z1306" s="10" t="str">
        <f t="shared" si="410"/>
        <v>0_Pre</v>
      </c>
      <c r="AA1306" s="10" t="str">
        <f t="shared" si="415"/>
        <v>1_Post</v>
      </c>
      <c r="AB1306" s="10" t="str">
        <f t="shared" si="416"/>
        <v>1_Post</v>
      </c>
      <c r="AC1306" s="10" t="str">
        <f t="shared" si="417"/>
        <v>1_Post</v>
      </c>
      <c r="AD1306" s="10" t="str">
        <f t="shared" si="418"/>
        <v>2_post sample median</v>
      </c>
      <c r="AE1306" s="10" t="str">
        <f t="shared" si="419"/>
        <v>3_post sample third tertile</v>
      </c>
      <c r="AF1306" t="s">
        <v>80</v>
      </c>
      <c r="AG1306" t="s">
        <v>75</v>
      </c>
      <c r="AH1306" t="s">
        <v>78</v>
      </c>
      <c r="AI1306" t="s">
        <v>122</v>
      </c>
      <c r="AJ1306" t="s">
        <v>123</v>
      </c>
      <c r="AK1306" t="str">
        <f>VLOOKUP(MID($AR1306,1,255),country_lookup!$B:$F,2,FALSE)</f>
        <v>3_AsiaPac</v>
      </c>
      <c r="AL1306" t="str">
        <f>VLOOKUP(MID($AR1306,1,255),country_lookup!$B:$F,3,FALSE)</f>
        <v>2_developing</v>
      </c>
      <c r="AM1306" t="str">
        <f>VLOOKUP(MID($AR1306,1,255),country_lookup!$B:$F,4,FALSE)</f>
        <v>2_non_western</v>
      </c>
      <c r="AN1306" t="str">
        <f>VLOOKUP(MID($AR1306,1,255),country_lookup!$B:$F,5,FALSE)</f>
        <v>2_civil law</v>
      </c>
      <c r="AO1306" s="10" t="str">
        <f>VLOOKUP(MID($AS1306,1,255),source_lookup!$B:$K,4,FALSE)</f>
        <v>0_published</v>
      </c>
      <c r="AP1306" s="10" t="str">
        <f>VLOOKUP(MID($AS1306,1,255),source_lookup!$B:$K,6,FALSE)</f>
        <v>1_VHB high</v>
      </c>
      <c r="AQ1306" s="10" t="str">
        <f>VLOOKUP(MID($AS1306,1,255),source_lookup!$B:$K,10,FALSE)</f>
        <v>3_mgmt</v>
      </c>
      <c r="AR1306" t="s">
        <v>94</v>
      </c>
      <c r="AS1306" t="s">
        <v>187</v>
      </c>
    </row>
    <row r="1307" spans="1:45" x14ac:dyDescent="0.3">
      <c r="A1307" t="s">
        <v>64</v>
      </c>
      <c r="B1307">
        <v>1306</v>
      </c>
      <c r="C1307" s="1">
        <v>-2.8467605213135499E-2</v>
      </c>
      <c r="D1307" s="2">
        <v>717</v>
      </c>
      <c r="E1307" s="4">
        <v>7892</v>
      </c>
      <c r="F1307" s="4" t="s">
        <v>347</v>
      </c>
      <c r="G1307" s="4" t="s">
        <v>346</v>
      </c>
      <c r="H1307" t="s">
        <v>77</v>
      </c>
      <c r="I1307" t="s">
        <v>350</v>
      </c>
      <c r="J1307" s="3">
        <v>2009</v>
      </c>
      <c r="K1307" s="3">
        <v>2019</v>
      </c>
      <c r="L1307" s="6">
        <f t="shared" si="411"/>
        <v>2014</v>
      </c>
      <c r="M1307" s="6">
        <f t="shared" si="412"/>
        <v>2014</v>
      </c>
      <c r="N1307" s="7">
        <f t="shared" si="400"/>
        <v>0.36363636363636365</v>
      </c>
      <c r="O1307" s="7">
        <f t="shared" si="401"/>
        <v>0.27272727272727271</v>
      </c>
      <c r="P1307" s="7">
        <f t="shared" si="402"/>
        <v>0.18181818181818182</v>
      </c>
      <c r="Q1307" s="7">
        <f t="shared" si="413"/>
        <v>9.0909090909090912E-2</v>
      </c>
      <c r="R1307" s="10" t="str">
        <f t="shared" si="403"/>
        <v>0_Pre</v>
      </c>
      <c r="S1307" s="10" t="str">
        <f t="shared" si="404"/>
        <v>0_Pre</v>
      </c>
      <c r="T1307" s="10" t="str">
        <f t="shared" si="405"/>
        <v>0_Pre</v>
      </c>
      <c r="U1307" s="10" t="str">
        <f t="shared" si="406"/>
        <v>1_Post</v>
      </c>
      <c r="V1307" s="10" t="str">
        <f t="shared" si="414"/>
        <v>0_Pre</v>
      </c>
      <c r="W1307" s="10" t="str">
        <f t="shared" si="407"/>
        <v>straddle</v>
      </c>
      <c r="X1307" s="10" t="str">
        <f t="shared" si="408"/>
        <v>0_Pre</v>
      </c>
      <c r="Y1307" s="10" t="str">
        <f t="shared" si="409"/>
        <v>0_Pre</v>
      </c>
      <c r="Z1307" s="10" t="str">
        <f t="shared" si="410"/>
        <v>0_Pre</v>
      </c>
      <c r="AA1307" s="10" t="str">
        <f t="shared" si="415"/>
        <v>1_Post</v>
      </c>
      <c r="AB1307" s="10" t="str">
        <f t="shared" si="416"/>
        <v>1_Post</v>
      </c>
      <c r="AC1307" s="10" t="str">
        <f t="shared" si="417"/>
        <v>1_Post</v>
      </c>
      <c r="AD1307" s="10" t="str">
        <f t="shared" si="418"/>
        <v>2_post sample median</v>
      </c>
      <c r="AE1307" s="10" t="str">
        <f t="shared" si="419"/>
        <v>3_post sample third tertile</v>
      </c>
      <c r="AF1307" t="s">
        <v>80</v>
      </c>
      <c r="AG1307" t="s">
        <v>75</v>
      </c>
      <c r="AH1307" t="s">
        <v>78</v>
      </c>
      <c r="AI1307" t="s">
        <v>122</v>
      </c>
      <c r="AJ1307" t="s">
        <v>123</v>
      </c>
      <c r="AK1307" t="str">
        <f>VLOOKUP(MID($AR1307,1,255),country_lookup!$B:$F,2,FALSE)</f>
        <v>3_AsiaPac</v>
      </c>
      <c r="AL1307" t="str">
        <f>VLOOKUP(MID($AR1307,1,255),country_lookup!$B:$F,3,FALSE)</f>
        <v>2_developing</v>
      </c>
      <c r="AM1307" t="str">
        <f>VLOOKUP(MID($AR1307,1,255),country_lookup!$B:$F,4,FALSE)</f>
        <v>2_non_western</v>
      </c>
      <c r="AN1307" t="str">
        <f>VLOOKUP(MID($AR1307,1,255),country_lookup!$B:$F,5,FALSE)</f>
        <v>2_civil law</v>
      </c>
      <c r="AO1307" s="10" t="str">
        <f>VLOOKUP(MID($AS1307,1,255),source_lookup!$B:$K,4,FALSE)</f>
        <v>0_published</v>
      </c>
      <c r="AP1307" s="10" t="str">
        <f>VLOOKUP(MID($AS1307,1,255),source_lookup!$B:$K,6,FALSE)</f>
        <v>1_VHB high</v>
      </c>
      <c r="AQ1307" s="10" t="str">
        <f>VLOOKUP(MID($AS1307,1,255),source_lookup!$B:$K,10,FALSE)</f>
        <v>3_mgmt</v>
      </c>
      <c r="AR1307" t="s">
        <v>94</v>
      </c>
      <c r="AS1307" t="s">
        <v>187</v>
      </c>
    </row>
  </sheetData>
  <autoFilter ref="A1:AW1307" xr:uid="{5932EB34-171E-40AB-91AD-51A20460CBD6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opLeftCell="A36" workbookViewId="0">
      <selection activeCell="A36" sqref="A36"/>
    </sheetView>
  </sheetViews>
  <sheetFormatPr baseColWidth="10" defaultColWidth="8.88671875" defaultRowHeight="14.4" x14ac:dyDescent="0.3"/>
  <cols>
    <col min="1" max="2" width="40" customWidth="1"/>
    <col min="3" max="7" width="14" customWidth="1"/>
  </cols>
  <sheetData>
    <row r="1" spans="1:7" s="5" customFormat="1" x14ac:dyDescent="0.3">
      <c r="A1" s="5" t="s">
        <v>83</v>
      </c>
      <c r="B1" s="5" t="s">
        <v>214</v>
      </c>
      <c r="C1" s="5" t="s">
        <v>193</v>
      </c>
      <c r="D1" s="5" t="s">
        <v>194</v>
      </c>
      <c r="E1" s="5" t="s">
        <v>216</v>
      </c>
      <c r="F1" s="5" t="s">
        <v>224</v>
      </c>
      <c r="G1" s="5" t="s">
        <v>195</v>
      </c>
    </row>
    <row r="2" spans="1:7" x14ac:dyDescent="0.3">
      <c r="A2" t="s">
        <v>85</v>
      </c>
      <c r="B2" t="str">
        <f>MID(A2,1,255)</f>
        <v>United States</v>
      </c>
      <c r="C2" t="s">
        <v>215</v>
      </c>
      <c r="D2" t="s">
        <v>220</v>
      </c>
      <c r="E2" t="s">
        <v>222</v>
      </c>
      <c r="F2" t="s">
        <v>225</v>
      </c>
      <c r="G2" t="s">
        <v>196</v>
      </c>
    </row>
    <row r="3" spans="1:7" x14ac:dyDescent="0.3">
      <c r="A3" t="s">
        <v>86</v>
      </c>
      <c r="B3" t="str">
        <f t="shared" ref="B3:B36" si="0">MID(A3,1,255)</f>
        <v>Argentina,Bahrain,Botswana,Brazil,Chile,China,Colombia,Croatia,Czechia,Egypt,Hungary,India,Jordan,Kazakhstan,Kenya,Kuwait,Lebanon,Malaysia,Mauritius,Mexico,Morocco,Namibia,Indonesia,Nigeria,Oman,Pakistan,Panama,Peru,Philippines,Poland,Qatar,Romania,Russia</v>
      </c>
      <c r="C3" t="s">
        <v>219</v>
      </c>
      <c r="D3" t="s">
        <v>219</v>
      </c>
      <c r="E3" t="s">
        <v>219</v>
      </c>
      <c r="F3" t="s">
        <v>219</v>
      </c>
      <c r="G3" t="s">
        <v>197</v>
      </c>
    </row>
    <row r="4" spans="1:7" x14ac:dyDescent="0.3">
      <c r="A4" t="s">
        <v>87</v>
      </c>
      <c r="B4" t="str">
        <f t="shared" si="0"/>
        <v>United States,Austria,Belgium,Bulgaria,Croatia,Cyprus,Czechia,Denmark,Estonia,Finland,France,Germany,Greece,Hungary,Ireland,Italy,Latvia,Lithuania,Luxembourg,Malta,Netherlands,Poland,Portugal,Romania,Slovak Republic,Slovenia,Spain,Sweden</v>
      </c>
      <c r="C4" t="s">
        <v>219</v>
      </c>
      <c r="D4" t="s">
        <v>219</v>
      </c>
      <c r="E4" t="s">
        <v>222</v>
      </c>
      <c r="F4" t="s">
        <v>219</v>
      </c>
      <c r="G4" t="s">
        <v>198</v>
      </c>
    </row>
    <row r="5" spans="1:7" x14ac:dyDescent="0.3">
      <c r="A5" t="s">
        <v>88</v>
      </c>
      <c r="B5" t="str">
        <f t="shared" si="0"/>
        <v>Austria,Belgium,Bulgaria,Croatia,Cyprus,Czechia,Denmark,Estonia,Finland,France,Germany,Greece,Hungary,Ireland,Italy,Latvia,Lithuania,Luxembourg,Malta,Netherlands,Poland,Portugal,Romania,Slovak Republic,Slovenia,Spain,Sweden</v>
      </c>
      <c r="C5" t="s">
        <v>217</v>
      </c>
      <c r="D5" t="s">
        <v>219</v>
      </c>
      <c r="E5" t="s">
        <v>222</v>
      </c>
      <c r="F5" t="s">
        <v>226</v>
      </c>
      <c r="G5" t="s">
        <v>199</v>
      </c>
    </row>
    <row r="6" spans="1:7" x14ac:dyDescent="0.3">
      <c r="A6" t="s">
        <v>89</v>
      </c>
      <c r="B6" t="str">
        <f t="shared" si="0"/>
        <v>Norway,New Zealand,Sweden,Finland,Canada,Austria,Switzerland,Denmark,Netherlands,Australia,Japan,United Kingdom,Germany,France,Belgium,Spain,Portugal,Italy,Ireland,Greece</v>
      </c>
      <c r="C6" t="s">
        <v>219</v>
      </c>
      <c r="D6" t="s">
        <v>220</v>
      </c>
      <c r="E6" t="s">
        <v>219</v>
      </c>
      <c r="F6" t="s">
        <v>226</v>
      </c>
      <c r="G6" t="s">
        <v>200</v>
      </c>
    </row>
    <row r="7" spans="1:7" x14ac:dyDescent="0.3">
      <c r="A7" t="s">
        <v>90</v>
      </c>
      <c r="B7" t="str">
        <f t="shared" si="0"/>
        <v>Worldwide</v>
      </c>
      <c r="C7" t="s">
        <v>219</v>
      </c>
      <c r="D7" t="s">
        <v>219</v>
      </c>
      <c r="E7" t="s">
        <v>219</v>
      </c>
      <c r="F7" t="s">
        <v>219</v>
      </c>
      <c r="G7" t="s">
        <v>201</v>
      </c>
    </row>
    <row r="8" spans="1:7" x14ac:dyDescent="0.3">
      <c r="A8" t="s">
        <v>91</v>
      </c>
      <c r="B8" t="str">
        <f t="shared" si="0"/>
        <v>Austria,Belgium,Bulgaria,Croatia,Cyprus,Czechia,Denmark,Estonia,Finland,France,Germany,Greece,Hungary,Ireland,Italy,Latvia,Lithuania,Luxembourg,Malta,Netherlands,Poland,Portugal,Romania,Slovak Republic,Slovenia,Spain,Sweden,United Kingdom</v>
      </c>
      <c r="C8" t="s">
        <v>217</v>
      </c>
      <c r="D8" t="s">
        <v>219</v>
      </c>
      <c r="E8" t="s">
        <v>222</v>
      </c>
      <c r="F8" t="s">
        <v>226</v>
      </c>
      <c r="G8" t="s">
        <v>198</v>
      </c>
    </row>
    <row r="9" spans="1:7" x14ac:dyDescent="0.3">
      <c r="A9" t="s">
        <v>92</v>
      </c>
      <c r="B9" t="str">
        <f t="shared" si="0"/>
        <v xml:space="preserve">Argentina, Australia, Brazil, Bulgaria, Canada, China, Colombia, Croatia, Czechia, Denmark, Ecuador, Egypt, France, Germany, India, Indonesia, Iraq, Ireland, Israel, Italy, Kazakhstan, Libya, Malaysia, Mexico, Mongolia, Morocco, Netherlands, New Zealand, </v>
      </c>
      <c r="C9" t="s">
        <v>219</v>
      </c>
      <c r="D9" t="s">
        <v>219</v>
      </c>
      <c r="E9" t="s">
        <v>219</v>
      </c>
      <c r="F9" t="s">
        <v>219</v>
      </c>
      <c r="G9" t="s">
        <v>197</v>
      </c>
    </row>
    <row r="10" spans="1:7" x14ac:dyDescent="0.3">
      <c r="A10" t="s">
        <v>93</v>
      </c>
      <c r="B10" t="str">
        <f t="shared" si="0"/>
        <v>Spain,Italy</v>
      </c>
      <c r="C10" t="s">
        <v>217</v>
      </c>
      <c r="D10" t="s">
        <v>220</v>
      </c>
      <c r="E10" t="s">
        <v>222</v>
      </c>
      <c r="F10" t="s">
        <v>226</v>
      </c>
      <c r="G10" t="s">
        <v>202</v>
      </c>
    </row>
    <row r="11" spans="1:7" x14ac:dyDescent="0.3">
      <c r="A11" t="s">
        <v>94</v>
      </c>
      <c r="B11" t="str">
        <f t="shared" si="0"/>
        <v>China</v>
      </c>
      <c r="C11" t="s">
        <v>218</v>
      </c>
      <c r="D11" t="s">
        <v>221</v>
      </c>
      <c r="E11" t="s">
        <v>223</v>
      </c>
      <c r="F11" t="s">
        <v>226</v>
      </c>
      <c r="G11" t="s">
        <v>196</v>
      </c>
    </row>
    <row r="12" spans="1:7" x14ac:dyDescent="0.3">
      <c r="A12" t="s">
        <v>95</v>
      </c>
      <c r="B12" t="str">
        <f t="shared" si="0"/>
        <v>Austria,Belgium,Czechia,Denmark,Finland,France,Germany,Greece,Hungary,Italy,Netherlands,Norway,Poland,Portugal,Spain,Sweden,Switzerland,United Kingdom</v>
      </c>
      <c r="C12" t="s">
        <v>217</v>
      </c>
      <c r="D12" t="s">
        <v>219</v>
      </c>
      <c r="E12" t="s">
        <v>222</v>
      </c>
      <c r="F12" t="s">
        <v>225</v>
      </c>
      <c r="G12" t="s">
        <v>203</v>
      </c>
    </row>
    <row r="13" spans="1:7" x14ac:dyDescent="0.3">
      <c r="A13" t="s">
        <v>96</v>
      </c>
      <c r="B13" t="str">
        <f t="shared" si="0"/>
        <v>Austria,Belgium,Cyprus,Czechia,Denmark,Finland,France,Germany,Greece,Ireland,Italy,Netherlands,Poland,Portugal,Spain,Sweden,United Kingdom</v>
      </c>
      <c r="C13" t="s">
        <v>217</v>
      </c>
      <c r="D13" t="s">
        <v>219</v>
      </c>
      <c r="E13" t="s">
        <v>222</v>
      </c>
      <c r="F13" t="s">
        <v>225</v>
      </c>
      <c r="G13" t="s">
        <v>204</v>
      </c>
    </row>
    <row r="14" spans="1:7" x14ac:dyDescent="0.3">
      <c r="A14" t="s">
        <v>97</v>
      </c>
      <c r="B14" t="str">
        <f t="shared" si="0"/>
        <v>Austria,Belgium,Denmark,Finland,France,Germany,Greece,Ireland,Italy,Netherlands,Norway,Portugal,Spain,Sweden,United Kingdom</v>
      </c>
      <c r="C14" t="s">
        <v>217</v>
      </c>
      <c r="D14" t="s">
        <v>220</v>
      </c>
      <c r="E14" t="s">
        <v>222</v>
      </c>
      <c r="F14" t="s">
        <v>225</v>
      </c>
      <c r="G14" t="s">
        <v>205</v>
      </c>
    </row>
    <row r="15" spans="1:7" x14ac:dyDescent="0.3">
      <c r="A15" t="s">
        <v>98</v>
      </c>
      <c r="B15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5" t="s">
        <v>219</v>
      </c>
      <c r="D15" t="s">
        <v>219</v>
      </c>
      <c r="E15" t="s">
        <v>219</v>
      </c>
      <c r="F15" t="s">
        <v>219</v>
      </c>
      <c r="G15" t="s">
        <v>199</v>
      </c>
    </row>
    <row r="16" spans="1:7" x14ac:dyDescent="0.3">
      <c r="A16" t="s">
        <v>99</v>
      </c>
      <c r="B16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6" t="s">
        <v>219</v>
      </c>
      <c r="D16" t="s">
        <v>219</v>
      </c>
      <c r="E16" t="s">
        <v>219</v>
      </c>
      <c r="F16" t="s">
        <v>219</v>
      </c>
      <c r="G16" t="s">
        <v>198</v>
      </c>
    </row>
    <row r="17" spans="1:7" x14ac:dyDescent="0.3">
      <c r="A17" t="s">
        <v>100</v>
      </c>
      <c r="B17" t="str">
        <f t="shared" si="0"/>
        <v>France</v>
      </c>
      <c r="C17" t="s">
        <v>217</v>
      </c>
      <c r="D17" t="s">
        <v>220</v>
      </c>
      <c r="E17" t="s">
        <v>222</v>
      </c>
      <c r="F17" t="s">
        <v>226</v>
      </c>
      <c r="G17" t="s">
        <v>196</v>
      </c>
    </row>
    <row r="18" spans="1:7" x14ac:dyDescent="0.3">
      <c r="A18" t="s">
        <v>101</v>
      </c>
      <c r="B18" t="str">
        <f t="shared" si="0"/>
        <v>Europe</v>
      </c>
      <c r="C18" t="s">
        <v>217</v>
      </c>
      <c r="D18" t="s">
        <v>219</v>
      </c>
      <c r="E18" t="s">
        <v>222</v>
      </c>
      <c r="F18" t="s">
        <v>226</v>
      </c>
      <c r="G18" t="s">
        <v>206</v>
      </c>
    </row>
    <row r="19" spans="1:7" x14ac:dyDescent="0.3">
      <c r="A19" t="s">
        <v>102</v>
      </c>
      <c r="B19" t="str">
        <f t="shared" si="0"/>
        <v>Australia, Austria, Brazil, Canada, China, Finland, France, Germany, Greece, Hungary, India, Indonesia, Italy, Japan, Mexico, Netherlands, Norway, Poland, Portugal, Romania, Russian Federation, South Korea, Spain, Sweden, Switzerland, United Kingdom, Unit</v>
      </c>
      <c r="C19" t="s">
        <v>219</v>
      </c>
      <c r="D19" t="s">
        <v>219</v>
      </c>
      <c r="E19" t="s">
        <v>219</v>
      </c>
      <c r="F19" t="s">
        <v>219</v>
      </c>
      <c r="G19" t="s">
        <v>199</v>
      </c>
    </row>
    <row r="20" spans="1:7" x14ac:dyDescent="0.3">
      <c r="A20" t="s">
        <v>103</v>
      </c>
      <c r="B20" t="str">
        <f t="shared" si="0"/>
        <v>South Korea</v>
      </c>
      <c r="C20" t="s">
        <v>218</v>
      </c>
      <c r="D20" t="s">
        <v>220</v>
      </c>
      <c r="E20" t="s">
        <v>223</v>
      </c>
      <c r="F20" t="s">
        <v>226</v>
      </c>
      <c r="G20" t="s">
        <v>196</v>
      </c>
    </row>
    <row r="21" spans="1:7" x14ac:dyDescent="0.3">
      <c r="A21" t="s">
        <v>104</v>
      </c>
      <c r="B21" t="str">
        <f t="shared" si="0"/>
        <v>Australia</v>
      </c>
      <c r="C21" t="s">
        <v>218</v>
      </c>
      <c r="D21" t="s">
        <v>220</v>
      </c>
      <c r="E21" t="s">
        <v>222</v>
      </c>
      <c r="F21" t="s">
        <v>225</v>
      </c>
      <c r="G21" t="s">
        <v>196</v>
      </c>
    </row>
    <row r="22" spans="1:7" x14ac:dyDescent="0.3">
      <c r="A22" t="s">
        <v>105</v>
      </c>
      <c r="B22" t="str">
        <f t="shared" si="0"/>
        <v>Austria,Belgium,Cyprus,Czechia,Denmark,Finland,France,Germany,Greece,Guernsey,Hungary,Ireland,Isle of Man,Italy,Jersey,Luxembourg,Malta,Netherlands,Norway,Poland,Portugal,Spain,Sweden,Switzerland,Ukraine,United Kingdom</v>
      </c>
      <c r="C22" t="s">
        <v>217</v>
      </c>
      <c r="D22" t="s">
        <v>219</v>
      </c>
      <c r="E22" t="s">
        <v>219</v>
      </c>
      <c r="F22" t="s">
        <v>225</v>
      </c>
      <c r="G22" t="s">
        <v>207</v>
      </c>
    </row>
    <row r="23" spans="1:7" x14ac:dyDescent="0.3">
      <c r="A23" t="s">
        <v>106</v>
      </c>
      <c r="B23" t="str">
        <f t="shared" si="0"/>
        <v>South Africa</v>
      </c>
      <c r="C23" t="s">
        <v>219</v>
      </c>
      <c r="D23" t="s">
        <v>221</v>
      </c>
      <c r="E23" t="s">
        <v>223</v>
      </c>
      <c r="F23" t="s">
        <v>225</v>
      </c>
      <c r="G23" t="s">
        <v>196</v>
      </c>
    </row>
    <row r="24" spans="1:7" x14ac:dyDescent="0.3">
      <c r="A24" t="s">
        <v>107</v>
      </c>
      <c r="B24" t="str">
        <f t="shared" si="0"/>
        <v>Australia,Hong Kong,China,India,Indonesia,Japan,Malaysia,Mongolia,New Zealand,Pakistan,China,Philippines,Korea, Rep.,Sri Lanka,Thailand,Viet Nam,Australia,Austria,Belgium,Canada,Chile,Czechia,Denmark,Estonia,Finland,France,Germany,Hungary,Iceland,Ireland,</v>
      </c>
      <c r="C24" t="s">
        <v>219</v>
      </c>
      <c r="D24" t="s">
        <v>219</v>
      </c>
      <c r="E24" t="s">
        <v>219</v>
      </c>
      <c r="F24" t="s">
        <v>219</v>
      </c>
      <c r="G24" t="s">
        <v>208</v>
      </c>
    </row>
    <row r="25" spans="1:7" x14ac:dyDescent="0.3">
      <c r="A25" t="s">
        <v>108</v>
      </c>
      <c r="B25" t="str">
        <f t="shared" si="0"/>
        <v>Australia,Hong Kong,China,India,Indonesia,Japan,Malaysia,Mongolia,New Zealand,Pakistan,China,Philippines,Korea, Rep.,Sri Lanka,Thailand,Viet Nam</v>
      </c>
      <c r="C25" t="s">
        <v>218</v>
      </c>
      <c r="D25" t="s">
        <v>219</v>
      </c>
      <c r="E25" t="s">
        <v>219</v>
      </c>
      <c r="F25" t="s">
        <v>219</v>
      </c>
      <c r="G25" t="s">
        <v>209</v>
      </c>
    </row>
    <row r="26" spans="1:7" x14ac:dyDescent="0.3">
      <c r="A26" t="s">
        <v>109</v>
      </c>
      <c r="B26" t="str">
        <f t="shared" si="0"/>
        <v>Australia,Austria,Belgium,Canada,Chile,Czechia,Denmark,Estonia,Finland,France,Germany,Hungary,Iceland,Ireland,Israel,Italy,Japan,Latvia,Lithuania,Mexico,Netherlands,New Zealand,Norway,Poland,Portugal,Korea, Rep.,Slovak Republic,Slovenia,Spain,Sweden,Switz</v>
      </c>
      <c r="C26" t="s">
        <v>219</v>
      </c>
      <c r="D26" t="s">
        <v>219</v>
      </c>
      <c r="E26" t="s">
        <v>219</v>
      </c>
      <c r="F26" t="s">
        <v>219</v>
      </c>
      <c r="G26" t="s">
        <v>210</v>
      </c>
    </row>
    <row r="27" spans="1:7" x14ac:dyDescent="0.3">
      <c r="A27" t="s">
        <v>110</v>
      </c>
      <c r="B27" t="str">
        <f t="shared" si="0"/>
        <v>Nigeria</v>
      </c>
      <c r="C27" t="s">
        <v>219</v>
      </c>
      <c r="D27" t="s">
        <v>221</v>
      </c>
      <c r="E27" t="s">
        <v>223</v>
      </c>
      <c r="F27" t="s">
        <v>225</v>
      </c>
      <c r="G27" t="s">
        <v>196</v>
      </c>
    </row>
    <row r="28" spans="1:7" x14ac:dyDescent="0.3">
      <c r="A28" t="s">
        <v>111</v>
      </c>
      <c r="B28" t="str">
        <f t="shared" si="0"/>
        <v>Japan</v>
      </c>
      <c r="C28" t="s">
        <v>218</v>
      </c>
      <c r="D28" t="s">
        <v>220</v>
      </c>
      <c r="E28" t="s">
        <v>223</v>
      </c>
      <c r="F28" t="s">
        <v>226</v>
      </c>
      <c r="G28" t="s">
        <v>196</v>
      </c>
    </row>
    <row r="29" spans="1:7" x14ac:dyDescent="0.3">
      <c r="A29" t="s">
        <v>112</v>
      </c>
      <c r="B29" t="str">
        <f t="shared" si="0"/>
        <v>Austria,Belgium,Finland,France,Germany,Greece,Ireland,Italy,Luxembourg,Netherlands,Portugal,Spain</v>
      </c>
      <c r="C29" t="s">
        <v>217</v>
      </c>
      <c r="D29" t="s">
        <v>220</v>
      </c>
      <c r="E29" t="s">
        <v>222</v>
      </c>
      <c r="F29" t="s">
        <v>225</v>
      </c>
      <c r="G29" t="s">
        <v>211</v>
      </c>
    </row>
    <row r="30" spans="1:7" x14ac:dyDescent="0.3">
      <c r="A30" t="s">
        <v>113</v>
      </c>
      <c r="B30" t="str">
        <f t="shared" si="0"/>
        <v>Malaysia</v>
      </c>
      <c r="C30" t="s">
        <v>218</v>
      </c>
      <c r="D30" t="s">
        <v>221</v>
      </c>
      <c r="E30" t="s">
        <v>223</v>
      </c>
      <c r="F30" t="s">
        <v>225</v>
      </c>
      <c r="G30" t="s">
        <v>196</v>
      </c>
    </row>
    <row r="31" spans="1:7" x14ac:dyDescent="0.3">
      <c r="A31" t="s">
        <v>114</v>
      </c>
      <c r="B31" t="str">
        <f t="shared" si="0"/>
        <v>Japan,China</v>
      </c>
      <c r="C31" t="s">
        <v>218</v>
      </c>
      <c r="D31" t="s">
        <v>219</v>
      </c>
      <c r="E31" t="s">
        <v>223</v>
      </c>
      <c r="F31" t="s">
        <v>226</v>
      </c>
      <c r="G31" t="s">
        <v>202</v>
      </c>
    </row>
    <row r="32" spans="1:7" x14ac:dyDescent="0.3">
      <c r="A32" t="s">
        <v>115</v>
      </c>
      <c r="B32" t="str">
        <f t="shared" si="0"/>
        <v>Australia,China,Hong Kong,Indonesia,Japan,Malaysia,New Zealand,Philippines,Singapore,Korea, Rep.,Thailand</v>
      </c>
      <c r="C32" t="s">
        <v>218</v>
      </c>
      <c r="D32" t="s">
        <v>219</v>
      </c>
      <c r="E32" t="s">
        <v>219</v>
      </c>
      <c r="F32" t="s">
        <v>219</v>
      </c>
      <c r="G32" t="s">
        <v>212</v>
      </c>
    </row>
    <row r="33" spans="1:7" x14ac:dyDescent="0.3">
      <c r="A33" t="s">
        <v>116</v>
      </c>
      <c r="B33" t="str">
        <f t="shared" si="0"/>
        <v>Argentina,Brazil,Chile,China,Colombia,Greece,India,Indonesia,Malaysia,Mexico,Peru,Philippines,Russian Federation,South Africa,China,Thailand,Turkiye</v>
      </c>
      <c r="C33" t="s">
        <v>219</v>
      </c>
      <c r="D33" t="s">
        <v>219</v>
      </c>
      <c r="E33" t="s">
        <v>219</v>
      </c>
      <c r="F33" t="s">
        <v>219</v>
      </c>
      <c r="G33" t="s">
        <v>204</v>
      </c>
    </row>
    <row r="34" spans="1:7" x14ac:dyDescent="0.3">
      <c r="A34" t="s">
        <v>117</v>
      </c>
      <c r="B34" t="str">
        <f t="shared" si="0"/>
        <v>Australia,Brazil,Canada,Denmark,France,Germany,Italy,Japan,Malaysia,Mexico,Portugal,South Africa,Spain,Thailand,Turkiye,United Kingdom,United States</v>
      </c>
      <c r="C34" t="s">
        <v>219</v>
      </c>
      <c r="D34" t="s">
        <v>219</v>
      </c>
      <c r="E34" t="s">
        <v>219</v>
      </c>
      <c r="F34" t="s">
        <v>219</v>
      </c>
      <c r="G34" t="s">
        <v>204</v>
      </c>
    </row>
    <row r="35" spans="1:7" x14ac:dyDescent="0.3">
      <c r="A35" t="s">
        <v>118</v>
      </c>
      <c r="B35" t="str">
        <f t="shared" si="0"/>
        <v>Germany</v>
      </c>
      <c r="C35" t="s">
        <v>217</v>
      </c>
      <c r="D35" t="s">
        <v>220</v>
      </c>
      <c r="E35" t="s">
        <v>222</v>
      </c>
      <c r="F35" t="s">
        <v>226</v>
      </c>
      <c r="G35" t="s">
        <v>196</v>
      </c>
    </row>
    <row r="36" spans="1:7" x14ac:dyDescent="0.3">
      <c r="A36" t="s">
        <v>119</v>
      </c>
      <c r="B36" t="str">
        <f t="shared" si="0"/>
        <v>Australia,Austria,Belgium,Canada,Denmark,Finland,France,Germany,Greece,Hungary,Ireland,Italy,Japan,Luxembourg,Netherlands,Norway,Poland,Portugal,Russian Federation,Spain,Sweden,Switzerland,United Kingdom,United States</v>
      </c>
      <c r="C36" t="s">
        <v>219</v>
      </c>
      <c r="D36" t="s">
        <v>219</v>
      </c>
      <c r="E36" t="s">
        <v>219</v>
      </c>
      <c r="F36" t="s">
        <v>219</v>
      </c>
      <c r="G36" t="s">
        <v>213</v>
      </c>
    </row>
  </sheetData>
  <autoFilter ref="A1:G36" xr:uid="{00000000-0001-0000-0100-000000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26B4-2BFB-44EB-B8CB-7D80DD9F8BF8}">
  <sheetPr filterMode="1"/>
  <dimension ref="A1:M66"/>
  <sheetViews>
    <sheetView workbookViewId="0">
      <selection activeCell="A66" sqref="A66"/>
    </sheetView>
  </sheetViews>
  <sheetFormatPr baseColWidth="10" defaultRowHeight="14.4" x14ac:dyDescent="0.3"/>
  <cols>
    <col min="1" max="2" width="71" customWidth="1"/>
    <col min="3" max="11" width="14.88671875" customWidth="1"/>
  </cols>
  <sheetData>
    <row r="1" spans="1:13" s="5" customFormat="1" x14ac:dyDescent="0.3">
      <c r="A1" s="5" t="s">
        <v>188</v>
      </c>
      <c r="B1" s="5" t="s">
        <v>304</v>
      </c>
      <c r="C1" s="5" t="s">
        <v>244</v>
      </c>
      <c r="D1" s="5" t="s">
        <v>299</v>
      </c>
      <c r="E1" s="5" t="s">
        <v>247</v>
      </c>
      <c r="F1" s="5" t="s">
        <v>245</v>
      </c>
      <c r="G1" s="5" t="s">
        <v>305</v>
      </c>
      <c r="H1" s="5" t="s">
        <v>246</v>
      </c>
      <c r="I1" s="5" t="s">
        <v>303</v>
      </c>
      <c r="J1" s="5" t="s">
        <v>300</v>
      </c>
      <c r="K1" s="5" t="s">
        <v>316</v>
      </c>
      <c r="L1" s="5" t="s">
        <v>195</v>
      </c>
      <c r="M1" s="5" t="s">
        <v>369</v>
      </c>
    </row>
    <row r="2" spans="1:13" ht="43.2" hidden="1" x14ac:dyDescent="0.3">
      <c r="A2" s="17" t="s">
        <v>124</v>
      </c>
      <c r="B2" s="17" t="str">
        <f>MID(A2,1,255)</f>
        <v xml:space="preserve">Atif, M., and Searat Ali (2021). Environmental, social and governance disclosure and default risk. In Business Strategy and the Environment, 30, 8, 3937–3959. https://doi.org/10.1002/bse.2850. </v>
      </c>
      <c r="C2" t="s">
        <v>248</v>
      </c>
      <c r="D2">
        <v>2021</v>
      </c>
      <c r="E2" t="s">
        <v>301</v>
      </c>
      <c r="F2" t="s">
        <v>249</v>
      </c>
      <c r="G2" s="10" t="s">
        <v>306</v>
      </c>
      <c r="H2">
        <v>12.5</v>
      </c>
      <c r="I2" s="10" t="str">
        <f>IF(H2&gt;MEDIAN($H$2:$H$66),"1_JIF high","0_JIF low")</f>
        <v>1_JIF high</v>
      </c>
      <c r="J2" t="s">
        <v>308</v>
      </c>
      <c r="K2" s="10" t="s">
        <v>318</v>
      </c>
      <c r="L2" t="s">
        <v>252</v>
      </c>
      <c r="M2" t="str">
        <f>A2</f>
        <v xml:space="preserve">Atif, M., and Searat Ali (2021). Environmental, social and governance disclosure and default risk. In Business Strategy and the Environment, 30, 8, 3937–3959. https://doi.org/10.1002/bse.2850. </v>
      </c>
    </row>
    <row r="3" spans="1:13" ht="57.6" hidden="1" x14ac:dyDescent="0.3">
      <c r="A3" s="17" t="s">
        <v>125</v>
      </c>
      <c r="B3" s="17" t="str">
        <f t="shared" ref="B3:B65" si="0">MID(A3,1,255)</f>
        <v>Azmi, W., Hassan, M. K., Houston, R. &amp; Karim, M. S. (2021). ESG activities and Banking Performance: International Evidence from Emerging Economies. In Journal of International Financial Markets, Institutions and Money, 70, 101277. https://doi.org/10.1016/</v>
      </c>
      <c r="C3" t="s">
        <v>250</v>
      </c>
      <c r="D3">
        <v>2021</v>
      </c>
      <c r="E3" t="s">
        <v>301</v>
      </c>
      <c r="F3" t="s">
        <v>249</v>
      </c>
      <c r="G3" s="10" t="s">
        <v>306</v>
      </c>
      <c r="H3">
        <v>4.9000000000000004</v>
      </c>
      <c r="I3" s="10" t="str">
        <f>IF(H3&gt;MEDIAN($H$2:$H$66),"1_JIF high","0_JIF low")</f>
        <v>0_JIF low</v>
      </c>
      <c r="J3" t="s">
        <v>309</v>
      </c>
      <c r="K3" s="10" t="s">
        <v>317</v>
      </c>
      <c r="L3" t="s">
        <v>252</v>
      </c>
      <c r="M3" t="str">
        <f t="shared" ref="M3" si="1">A3</f>
        <v xml:space="preserve">Azmi, W., Hassan, M. K., Houston, R. &amp; Karim, M. S. (2021). ESG activities and Banking Performance: International Evidence from Emerging Economies. In Journal of International Financial Markets, Institutions and Money, 70, 101277. https://doi.org/10.1016/j.intfin.2020.101277 </v>
      </c>
    </row>
    <row r="4" spans="1:13" ht="28.8" hidden="1" x14ac:dyDescent="0.3">
      <c r="A4" s="17" t="s">
        <v>126</v>
      </c>
      <c r="B4" s="17" t="str">
        <f t="shared" si="0"/>
        <v xml:space="preserve">Bannier, C., et al (2020). Corporate Social Responsibility and Credit Risk. In SSRN Electronic Journal. https://doi.org/10.2139/ssrn.3686025. </v>
      </c>
      <c r="C4" t="s">
        <v>251</v>
      </c>
      <c r="D4">
        <v>2020</v>
      </c>
      <c r="E4" t="s">
        <v>301</v>
      </c>
      <c r="F4" t="s">
        <v>249</v>
      </c>
      <c r="G4" s="10" t="s">
        <v>306</v>
      </c>
      <c r="H4" t="s">
        <v>253</v>
      </c>
      <c r="I4" s="10" t="s">
        <v>323</v>
      </c>
      <c r="J4" t="s">
        <v>309</v>
      </c>
      <c r="K4" s="10" t="s">
        <v>317</v>
      </c>
      <c r="L4" t="s">
        <v>334</v>
      </c>
      <c r="M4" t="s">
        <v>335</v>
      </c>
    </row>
    <row r="5" spans="1:13" ht="28.8" hidden="1" x14ac:dyDescent="0.3">
      <c r="A5" s="17" t="s">
        <v>127</v>
      </c>
      <c r="B5" s="17" t="str">
        <f t="shared" si="0"/>
        <v xml:space="preserve">Bauer, R. &amp; Hann, D. (2010). Corporate Environmental Management and Credit Risk. In SSRN Electronic Journal. https://doi.org/10.2139/ssrn.1660470. </v>
      </c>
      <c r="C5" t="s">
        <v>251</v>
      </c>
      <c r="D5">
        <v>2010</v>
      </c>
      <c r="E5" t="s">
        <v>302</v>
      </c>
      <c r="F5" t="s">
        <v>252</v>
      </c>
      <c r="G5" s="10" t="s">
        <v>323</v>
      </c>
      <c r="H5" t="s">
        <v>253</v>
      </c>
      <c r="I5" s="10" t="s">
        <v>323</v>
      </c>
      <c r="J5" t="s">
        <v>309</v>
      </c>
      <c r="K5" s="10" t="s">
        <v>317</v>
      </c>
      <c r="L5" t="s">
        <v>252</v>
      </c>
      <c r="M5" t="str">
        <f t="shared" ref="M5:M9" si="2">A5</f>
        <v xml:space="preserve">Bauer, R. &amp; Hann, D. (2010). Corporate Environmental Management and Credit Risk. In SSRN Electronic Journal. https://doi.org/10.2139/ssrn.1660470. </v>
      </c>
    </row>
    <row r="6" spans="1:13" ht="43.2" hidden="1" x14ac:dyDescent="0.3">
      <c r="A6" s="17" t="s">
        <v>128</v>
      </c>
      <c r="B6" s="17" t="str">
        <f t="shared" si="0"/>
        <v xml:space="preserve">Capelle-Blancard, G., et al (2019). Sovereign bond yield spreads and sustainability: An empirical analysis of OECD countries. In Journal of Banking and Finance,  98, 156–169. https://doi.org/10.1016/j.jbankfin.2018.11.011. </v>
      </c>
      <c r="C6" t="s">
        <v>254</v>
      </c>
      <c r="D6">
        <v>2019</v>
      </c>
      <c r="E6" t="s">
        <v>301</v>
      </c>
      <c r="F6" t="s">
        <v>255</v>
      </c>
      <c r="G6" s="10" t="s">
        <v>306</v>
      </c>
      <c r="H6">
        <v>3.6</v>
      </c>
      <c r="I6" s="10" t="str">
        <f>IF(H6&gt;MEDIAN($H$2:$H$66),"1_JIF high","0_JIF low")</f>
        <v>0_JIF low</v>
      </c>
      <c r="J6" t="s">
        <v>309</v>
      </c>
      <c r="K6" s="10" t="s">
        <v>317</v>
      </c>
      <c r="L6" t="s">
        <v>252</v>
      </c>
      <c r="M6" t="str">
        <f t="shared" si="2"/>
        <v xml:space="preserve">Capelle-Blancard, G., et al (2019). Sovereign bond yield spreads and sustainability: An empirical analysis of OECD countries. In Journal of Banking and Finance,  98, 156–169. https://doi.org/10.1016/j.jbankfin.2018.11.011. </v>
      </c>
    </row>
    <row r="7" spans="1:13" ht="28.8" hidden="1" x14ac:dyDescent="0.3">
      <c r="A7" s="17" t="s">
        <v>129</v>
      </c>
      <c r="B7" s="17" t="str">
        <f t="shared" si="0"/>
        <v>Chava, S. (2010). Do Environmental Concerns Affect the Cost of Bank Loans? (Mays Business School, Texas A&amp;M University, Texas, US)</v>
      </c>
      <c r="C7" t="s">
        <v>256</v>
      </c>
      <c r="D7">
        <v>2010</v>
      </c>
      <c r="E7" t="s">
        <v>302</v>
      </c>
      <c r="F7" t="s">
        <v>252</v>
      </c>
      <c r="G7" s="10" t="s">
        <v>323</v>
      </c>
      <c r="H7" t="s">
        <v>253</v>
      </c>
      <c r="I7" s="10" t="s">
        <v>323</v>
      </c>
      <c r="J7" t="s">
        <v>309</v>
      </c>
      <c r="K7" s="10" t="s">
        <v>317</v>
      </c>
      <c r="L7" t="s">
        <v>252</v>
      </c>
      <c r="M7" t="str">
        <f t="shared" si="2"/>
        <v>Chava, S. (2010). Do Environmental Concerns Affect the Cost of Bank Loans? (Mays Business School, Texas A&amp;M University, Texas, US)</v>
      </c>
    </row>
    <row r="8" spans="1:13" ht="28.8" hidden="1" x14ac:dyDescent="0.3">
      <c r="A8" s="17" t="s">
        <v>130</v>
      </c>
      <c r="B8" s="17" t="str">
        <f t="shared" si="0"/>
        <v xml:space="preserve">Chava, S. (2014). Environmental externalities and cost of capital. In Management Science, 60/9, 2223–2247. https://doi.org/10.1287/mnsc.2013.1863. </v>
      </c>
      <c r="C8" t="s">
        <v>257</v>
      </c>
      <c r="D8">
        <v>2014</v>
      </c>
      <c r="E8" t="s">
        <v>301</v>
      </c>
      <c r="F8" t="s">
        <v>258</v>
      </c>
      <c r="G8" s="10" t="s">
        <v>306</v>
      </c>
      <c r="H8">
        <v>4.5999999999999996</v>
      </c>
      <c r="I8" s="10" t="str">
        <f>IF(H8&gt;MEDIAN($H$2:$H$66),"1_JIF high","0_JIF low")</f>
        <v>0_JIF low</v>
      </c>
      <c r="J8" t="s">
        <v>310</v>
      </c>
      <c r="K8" s="10" t="s">
        <v>319</v>
      </c>
      <c r="L8" t="s">
        <v>252</v>
      </c>
      <c r="M8" t="str">
        <f t="shared" si="2"/>
        <v xml:space="preserve">Chava, S. (2014). Environmental externalities and cost of capital. In Management Science, 60/9, 2223–2247. https://doi.org/10.1287/mnsc.2013.1863. </v>
      </c>
    </row>
    <row r="9" spans="1:13" ht="43.2" hidden="1" x14ac:dyDescent="0.3">
      <c r="A9" s="17" t="s">
        <v>131</v>
      </c>
      <c r="B9" s="17" t="str">
        <f t="shared" si="0"/>
        <v xml:space="preserve">Chen, I., et al (2020). Do banks value borrowers’ environmental record? evidence from financial contracts. In Journal of Business Ethics, 174/3, 687–713. https://doi.org/10.1007/s10551-020-04621-2. </v>
      </c>
      <c r="C9" t="s">
        <v>259</v>
      </c>
      <c r="D9">
        <v>2020</v>
      </c>
      <c r="E9" t="s">
        <v>301</v>
      </c>
      <c r="F9" t="s">
        <v>249</v>
      </c>
      <c r="G9" s="10" t="s">
        <v>306</v>
      </c>
      <c r="H9">
        <v>6.1</v>
      </c>
      <c r="I9" s="10" t="str">
        <f>IF(H9&gt;MEDIAN($H$2:$H$66),"1_JIF high","0_JIF low")</f>
        <v>1_JIF high</v>
      </c>
      <c r="J9" t="s">
        <v>310</v>
      </c>
      <c r="K9" s="10" t="s">
        <v>319</v>
      </c>
      <c r="L9" t="s">
        <v>252</v>
      </c>
      <c r="M9" t="str">
        <f t="shared" si="2"/>
        <v xml:space="preserve">Chen, I., et al (2020). Do banks value borrowers’ environmental record? evidence from financial contracts. In Journal of Business Ethics, 174/3, 687–713. https://doi.org/10.1007/s10551-020-04621-2. </v>
      </c>
    </row>
    <row r="10" spans="1:13" ht="28.8" hidden="1" x14ac:dyDescent="0.3">
      <c r="A10" s="17" t="s">
        <v>132</v>
      </c>
      <c r="B10" s="17" t="str">
        <f t="shared" si="0"/>
        <v xml:space="preserve">Chen, Li. &amp; Gao, L. S. (2011). The pricing of climate risk. In SSRN Electronic Journal. https://doi.org/10.2139/ssrn.1940727. </v>
      </c>
      <c r="C10" t="s">
        <v>251</v>
      </c>
      <c r="D10">
        <v>2011</v>
      </c>
      <c r="E10" t="s">
        <v>301</v>
      </c>
      <c r="F10" t="s">
        <v>266</v>
      </c>
      <c r="G10" s="10" t="s">
        <v>307</v>
      </c>
      <c r="H10" t="s">
        <v>253</v>
      </c>
      <c r="I10" s="10" t="s">
        <v>323</v>
      </c>
      <c r="J10" t="s">
        <v>309</v>
      </c>
      <c r="K10" s="10" t="s">
        <v>317</v>
      </c>
      <c r="L10" t="s">
        <v>329</v>
      </c>
      <c r="M10" t="s">
        <v>336</v>
      </c>
    </row>
    <row r="11" spans="1:13" ht="43.2" hidden="1" x14ac:dyDescent="0.3">
      <c r="A11" s="17" t="s">
        <v>133</v>
      </c>
      <c r="B11" s="17" t="str">
        <f t="shared" si="0"/>
        <v xml:space="preserve">Chodnicka-Jaworska, P. (2022). Environmental, social, and governance impact on energy sector default risk—long-term issuer credit ratings perspective. In Frontiers in Energy Research, 10. https://doi.org/10.3389/fenrg.2022.817679. </v>
      </c>
      <c r="C11" t="s">
        <v>260</v>
      </c>
      <c r="D11">
        <v>2022</v>
      </c>
      <c r="E11" t="s">
        <v>301</v>
      </c>
      <c r="F11" t="s">
        <v>261</v>
      </c>
      <c r="G11" s="10" t="s">
        <v>307</v>
      </c>
      <c r="H11">
        <v>2.6</v>
      </c>
      <c r="I11" s="10" t="str">
        <f>IF(H11&gt;MEDIAN($H$2:$H$66),"1_JIF high","0_JIF low")</f>
        <v>0_JIF low</v>
      </c>
      <c r="J11" t="s">
        <v>311</v>
      </c>
      <c r="K11" s="10" t="s">
        <v>318</v>
      </c>
      <c r="L11" t="s">
        <v>252</v>
      </c>
      <c r="M11" t="str">
        <f t="shared" ref="M11:M13" si="3">A11</f>
        <v xml:space="preserve">Chodnicka-Jaworska, P. (2022). Environmental, social, and governance impact on energy sector default risk—long-term issuer credit ratings perspective. In Frontiers in Energy Research, 10. https://doi.org/10.3389/fenrg.2022.817679. </v>
      </c>
    </row>
    <row r="12" spans="1:13" ht="43.2" hidden="1" x14ac:dyDescent="0.3">
      <c r="A12" s="17" t="s">
        <v>134</v>
      </c>
      <c r="B12" s="17" t="str">
        <f t="shared" si="0"/>
        <v xml:space="preserve">Christ, J., et al (2022). Corporate Sustainability Performance and the cost of debt – an analysis of the impact of country- and industry-specific climate risk exposures. In SSRN Electronic Journal. https://doi.org/10.2139/ssrn.4135247. </v>
      </c>
      <c r="C12" t="s">
        <v>251</v>
      </c>
      <c r="D12">
        <v>2022</v>
      </c>
      <c r="E12" t="s">
        <v>302</v>
      </c>
      <c r="F12" t="s">
        <v>252</v>
      </c>
      <c r="G12" s="10" t="s">
        <v>323</v>
      </c>
      <c r="H12" t="s">
        <v>253</v>
      </c>
      <c r="I12" s="10" t="s">
        <v>323</v>
      </c>
      <c r="J12" t="s">
        <v>309</v>
      </c>
      <c r="K12" s="10" t="s">
        <v>317</v>
      </c>
      <c r="L12" t="s">
        <v>252</v>
      </c>
      <c r="M12" t="str">
        <f t="shared" si="3"/>
        <v xml:space="preserve">Christ, J., et al (2022). Corporate Sustainability Performance and the cost of debt – an analysis of the impact of country- and industry-specific climate risk exposures. In SSRN Electronic Journal. https://doi.org/10.2139/ssrn.4135247. </v>
      </c>
    </row>
    <row r="13" spans="1:13" ht="43.2" hidden="1" x14ac:dyDescent="0.3">
      <c r="A13" s="17" t="s">
        <v>135</v>
      </c>
      <c r="B13" s="17" t="str">
        <f t="shared" si="0"/>
        <v xml:space="preserve">Cubas-Díaz, M. &amp; Sedano M.A.M. (2018). Do credit ratings take into account the sustainability performance of companies? In Sustainability, 10/11, 4272. https://doi.org/10.3390/su10114272. </v>
      </c>
      <c r="C13" t="s">
        <v>262</v>
      </c>
      <c r="D13">
        <v>2018</v>
      </c>
      <c r="E13" t="s">
        <v>301</v>
      </c>
      <c r="F13" t="s">
        <v>263</v>
      </c>
      <c r="G13" s="10" t="s">
        <v>307</v>
      </c>
      <c r="H13">
        <v>3.3</v>
      </c>
      <c r="I13" s="10" t="str">
        <f>IF(H13&gt;MEDIAN($H$2:$H$66),"1_JIF high","0_JIF low")</f>
        <v>0_JIF low</v>
      </c>
      <c r="J13" t="s">
        <v>308</v>
      </c>
      <c r="K13" s="10" t="s">
        <v>318</v>
      </c>
      <c r="L13" t="s">
        <v>252</v>
      </c>
      <c r="M13" t="str">
        <f t="shared" si="3"/>
        <v xml:space="preserve">Cubas-Díaz, M. &amp; Sedano M.A.M. (2018). Do credit ratings take into account the sustainability performance of companies? In Sustainability, 10/11, 4272. https://doi.org/10.3390/su10114272. </v>
      </c>
    </row>
    <row r="14" spans="1:13" ht="43.2" hidden="1" x14ac:dyDescent="0.3">
      <c r="A14" s="17" t="s">
        <v>136</v>
      </c>
      <c r="B14" s="17" t="str">
        <f t="shared" si="0"/>
        <v xml:space="preserve">Delis, M., et al (2021). Being stranded with fossil fuel reserves? climate policy risk and the pricing of Bank Loans. In Swiss Finance InstituteResearch Paper Series, 18/10. https://doi.org/10.2139/ssrn.3451335. </v>
      </c>
      <c r="C14" t="s">
        <v>264</v>
      </c>
      <c r="D14">
        <v>2021</v>
      </c>
      <c r="E14" t="s">
        <v>301</v>
      </c>
      <c r="F14" t="s">
        <v>249</v>
      </c>
      <c r="G14" s="10" t="s">
        <v>306</v>
      </c>
      <c r="H14" t="s">
        <v>253</v>
      </c>
      <c r="I14" s="10" t="s">
        <v>323</v>
      </c>
      <c r="J14" t="s">
        <v>309</v>
      </c>
      <c r="K14" s="10" t="s">
        <v>317</v>
      </c>
      <c r="L14" t="s">
        <v>328</v>
      </c>
      <c r="M14" t="s">
        <v>337</v>
      </c>
    </row>
    <row r="15" spans="1:13" ht="43.2" hidden="1" x14ac:dyDescent="0.3">
      <c r="A15" s="17" t="s">
        <v>137</v>
      </c>
      <c r="B15" s="17" t="str">
        <f t="shared" si="0"/>
        <v xml:space="preserve">Devalle, A., et al (2017). The linkage between ESG performance and Credit Ratings: A firm-level perspective analysis. In International Journal of Business and Management, 12/9, 53. https://doi.org/10.5539/ijbm.v12n9p53. </v>
      </c>
      <c r="C15" t="s">
        <v>265</v>
      </c>
      <c r="D15">
        <v>2017</v>
      </c>
      <c r="E15" t="s">
        <v>301</v>
      </c>
      <c r="F15" t="s">
        <v>266</v>
      </c>
      <c r="G15" s="10" t="s">
        <v>307</v>
      </c>
      <c r="H15" t="s">
        <v>253</v>
      </c>
      <c r="I15" s="10" t="s">
        <v>323</v>
      </c>
      <c r="J15" t="s">
        <v>310</v>
      </c>
      <c r="K15" s="10" t="s">
        <v>319</v>
      </c>
      <c r="L15" t="s">
        <v>252</v>
      </c>
      <c r="M15" t="str">
        <f t="shared" ref="M15:M23" si="4">A15</f>
        <v xml:space="preserve">Devalle, A., et al (2017). The linkage between ESG performance and Credit Ratings: A firm-level perspective analysis. In International Journal of Business and Management, 12/9, 53. https://doi.org/10.5539/ijbm.v12n9p53. </v>
      </c>
    </row>
    <row r="16" spans="1:13" ht="43.2" hidden="1" x14ac:dyDescent="0.3">
      <c r="A16" s="17" t="s">
        <v>138</v>
      </c>
      <c r="B16" s="17" t="str">
        <f t="shared" si="0"/>
        <v>Ding, X., et al (2022). Environmental administrative penalty, corporate environmental disclosures and the cost of debt. In Journal of Cleaner Production, 332, 2022, 129919. https://doi.org/10.1016/j.jclepro.2021.129919.</v>
      </c>
      <c r="C16" t="s">
        <v>267</v>
      </c>
      <c r="D16">
        <v>2022</v>
      </c>
      <c r="E16" t="s">
        <v>301</v>
      </c>
      <c r="F16" t="s">
        <v>249</v>
      </c>
      <c r="G16" s="10" t="s">
        <v>306</v>
      </c>
      <c r="H16">
        <v>11.1</v>
      </c>
      <c r="I16" s="10" t="str">
        <f>IF(H16&gt;MEDIAN($H$2:$H$66),"1_JIF high","0_JIF low")</f>
        <v>1_JIF high</v>
      </c>
      <c r="J16" t="s">
        <v>308</v>
      </c>
      <c r="K16" s="10" t="s">
        <v>318</v>
      </c>
      <c r="L16" t="s">
        <v>252</v>
      </c>
      <c r="M16" t="str">
        <f t="shared" si="4"/>
        <v>Ding, X., et al (2022). Environmental administrative penalty, corporate environmental disclosures and the cost of debt. In Journal of Cleaner Production, 332, 2022, 129919. https://doi.org/10.1016/j.jclepro.2021.129919.</v>
      </c>
    </row>
    <row r="17" spans="1:13" ht="43.2" hidden="1" x14ac:dyDescent="0.3">
      <c r="A17" s="17" t="s">
        <v>139</v>
      </c>
      <c r="B17" s="17" t="str">
        <f t="shared" si="0"/>
        <v xml:space="preserve">Drago, D., et al (2018). Do corporate social responsibility ratings affect credit default swap spreads? In Corporate Social Responsibility and Environmental Management, 26/3, 644–652. https://doi.org/10.1002/csr.1709. </v>
      </c>
      <c r="C17" t="s">
        <v>268</v>
      </c>
      <c r="D17">
        <v>2018</v>
      </c>
      <c r="E17" t="s">
        <v>301</v>
      </c>
      <c r="F17" t="s">
        <v>249</v>
      </c>
      <c r="G17" s="10" t="s">
        <v>306</v>
      </c>
      <c r="H17">
        <v>9.8000000000000007</v>
      </c>
      <c r="I17" s="10" t="str">
        <f>IF(H17&gt;MEDIAN($H$2:$H$66),"1_JIF high","0_JIF low")</f>
        <v>1_JIF high</v>
      </c>
      <c r="J17" t="s">
        <v>308</v>
      </c>
      <c r="K17" s="10" t="s">
        <v>318</v>
      </c>
      <c r="L17" t="s">
        <v>252</v>
      </c>
      <c r="M17" t="str">
        <f t="shared" si="4"/>
        <v xml:space="preserve">Drago, D., et al (2018). Do corporate social responsibility ratings affect credit default swap spreads? In Corporate Social Responsibility and Environmental Management, 26/3, 644–652. https://doi.org/10.1002/csr.1709. </v>
      </c>
    </row>
    <row r="18" spans="1:13" ht="43.2" hidden="1" x14ac:dyDescent="0.3">
      <c r="A18" s="17" t="s">
        <v>140</v>
      </c>
      <c r="B18" s="17" t="str">
        <f t="shared" si="0"/>
        <v xml:space="preserve">Drago, D. &amp;Carnevale, C. (2020). Do CSR ratings affect loan spreads? evidence from European syndicated loan market. In Sustainability, 12/18, 7639. https://doi.org/10.3390/su12187639. </v>
      </c>
      <c r="C18" t="s">
        <v>262</v>
      </c>
      <c r="D18">
        <v>2020</v>
      </c>
      <c r="E18" t="s">
        <v>301</v>
      </c>
      <c r="F18" t="s">
        <v>263</v>
      </c>
      <c r="G18" s="10" t="s">
        <v>307</v>
      </c>
      <c r="H18">
        <v>3.3</v>
      </c>
      <c r="I18" s="10" t="str">
        <f>IF(H18&gt;MEDIAN($H$2:$H$66),"1_JIF high","0_JIF low")</f>
        <v>0_JIF low</v>
      </c>
      <c r="J18" t="s">
        <v>308</v>
      </c>
      <c r="K18" s="10" t="s">
        <v>318</v>
      </c>
      <c r="L18" t="s">
        <v>252</v>
      </c>
      <c r="M18" t="str">
        <f t="shared" si="4"/>
        <v xml:space="preserve">Drago, D. &amp;Carnevale, C. (2020). Do CSR ratings affect loan spreads? evidence from European syndicated loan market. In Sustainability, 12/18, 7639. https://doi.org/10.3390/su12187639. </v>
      </c>
    </row>
    <row r="19" spans="1:13" ht="43.2" hidden="1" x14ac:dyDescent="0.3">
      <c r="A19" s="17" t="s">
        <v>141</v>
      </c>
      <c r="B19" s="17" t="str">
        <f t="shared" si="0"/>
        <v xml:space="preserve">Du, X., et al (2015). Do lenders applaud corporate environmental performance? evidence from Chinese private-owned firms. In Journal of Business Ethics, 143/1, 179–207. https://doi.org/10.1007/s10551-015-2758-2. </v>
      </c>
      <c r="C19" t="s">
        <v>259</v>
      </c>
      <c r="D19">
        <v>2015</v>
      </c>
      <c r="E19" t="s">
        <v>301</v>
      </c>
      <c r="F19" t="s">
        <v>249</v>
      </c>
      <c r="G19" s="10" t="s">
        <v>306</v>
      </c>
      <c r="H19">
        <v>6.1</v>
      </c>
      <c r="I19" s="10" t="str">
        <f>IF(H19&gt;MEDIAN($H$2:$H$66),"1_JIF high","0_JIF low")</f>
        <v>1_JIF high</v>
      </c>
      <c r="J19" t="s">
        <v>310</v>
      </c>
      <c r="K19" s="10" t="s">
        <v>319</v>
      </c>
      <c r="L19" t="s">
        <v>252</v>
      </c>
      <c r="M19" t="str">
        <f t="shared" si="4"/>
        <v xml:space="preserve">Du, X., et al (2015). Do lenders applaud corporate environmental performance? evidence from Chinese private-owned firms. In Journal of Business Ethics, 143/1, 179–207. https://doi.org/10.1007/s10551-015-2758-2. </v>
      </c>
    </row>
    <row r="20" spans="1:13" ht="57.6" hidden="1" x14ac:dyDescent="0.3">
      <c r="A20" s="17" t="s">
        <v>142</v>
      </c>
      <c r="B20" s="17" t="str">
        <f t="shared" si="0"/>
        <v>Du, M, et al (2022). Will environmental information disclosure affect bank credit decisions and corporate debt financing costs? evidence from China’s heavily polluting industries. In Environmental Science and Pollution Research, 29/31, 47661–47672. https:</v>
      </c>
      <c r="C20" t="s">
        <v>269</v>
      </c>
      <c r="D20">
        <v>2022</v>
      </c>
      <c r="E20" t="s">
        <v>301</v>
      </c>
      <c r="F20" t="s">
        <v>266</v>
      </c>
      <c r="G20" s="10" t="s">
        <v>307</v>
      </c>
      <c r="H20">
        <v>5.8</v>
      </c>
      <c r="I20" s="10" t="str">
        <f>IF(H20&gt;MEDIAN($H$2:$H$66),"1_JIF high","0_JIF low")</f>
        <v>1_JIF high</v>
      </c>
      <c r="J20" t="s">
        <v>311</v>
      </c>
      <c r="K20" s="10" t="s">
        <v>318</v>
      </c>
      <c r="L20" t="s">
        <v>252</v>
      </c>
      <c r="M20" t="str">
        <f t="shared" si="4"/>
        <v xml:space="preserve">Du, M, et al (2022). Will environmental information disclosure affect bank credit decisions and corporate debt financing costs? evidence from China’s heavily polluting industries. In Environmental Science and Pollution Research, 29/31, 47661–47672. https://doi.org/10.1007/s11356-022-19229-4. </v>
      </c>
    </row>
    <row r="21" spans="1:13" ht="43.2" hidden="1" x14ac:dyDescent="0.3">
      <c r="A21" s="17" t="s">
        <v>143</v>
      </c>
      <c r="B21" s="17" t="str">
        <f t="shared" si="0"/>
        <v xml:space="preserve">Eichholtz, P., et al (2019). Environmental performance and the cost of debt: Evidence from commercial mortgages and REIT bonds. In Journal of Banking &amp; Finance, 102, 19–32. https://doi.org/10.1016/j.jbankfin.2019.02.015. </v>
      </c>
      <c r="C21" t="s">
        <v>254</v>
      </c>
      <c r="D21">
        <v>2019</v>
      </c>
      <c r="E21" t="s">
        <v>301</v>
      </c>
      <c r="F21" t="s">
        <v>255</v>
      </c>
      <c r="G21" s="10" t="s">
        <v>306</v>
      </c>
      <c r="H21">
        <v>3.6</v>
      </c>
      <c r="I21" s="10" t="str">
        <f>IF(H21&gt;MEDIAN($H$2:$H$66),"1_JIF high","0_JIF low")</f>
        <v>0_JIF low</v>
      </c>
      <c r="J21" t="s">
        <v>309</v>
      </c>
      <c r="K21" s="10" t="s">
        <v>317</v>
      </c>
      <c r="L21" t="s">
        <v>252</v>
      </c>
      <c r="M21" t="str">
        <f t="shared" si="4"/>
        <v xml:space="preserve">Eichholtz, P., et al (2019). Environmental performance and the cost of debt: Evidence from commercial mortgages and REIT bonds. In Journal of Banking &amp; Finance, 102, 19–32. https://doi.org/10.1016/j.jbankfin.2019.02.015. </v>
      </c>
    </row>
    <row r="22" spans="1:13" ht="43.2" hidden="1" x14ac:dyDescent="0.3">
      <c r="A22" s="17" t="s">
        <v>144</v>
      </c>
      <c r="B22" s="17" t="str">
        <f t="shared" si="0"/>
        <v>Eliwa, Y., et al (2021). ESG practices and the cost of debt: Evidence from EU countries. In Critical Perspectives on Accounting, 79, 102097. https://doi.org/10.1016/j.cpa.2019.102097.</v>
      </c>
      <c r="C22" t="s">
        <v>270</v>
      </c>
      <c r="D22">
        <v>2021</v>
      </c>
      <c r="E22" t="s">
        <v>301</v>
      </c>
      <c r="F22" t="s">
        <v>249</v>
      </c>
      <c r="G22" s="10" t="s">
        <v>306</v>
      </c>
      <c r="H22">
        <v>5</v>
      </c>
      <c r="I22" s="10" t="str">
        <f>IF(H22&gt;MEDIAN($H$2:$H$66),"1_JIF high","0_JIF low")</f>
        <v>0_JIF low</v>
      </c>
      <c r="J22" t="s">
        <v>312</v>
      </c>
      <c r="K22" s="10" t="s">
        <v>317</v>
      </c>
      <c r="L22" t="s">
        <v>252</v>
      </c>
      <c r="M22" t="str">
        <f t="shared" si="4"/>
        <v>Eliwa, Y., et al (2021). ESG practices and the cost of debt: Evidence from EU countries. In Critical Perspectives on Accounting, 79, 102097. https://doi.org/10.1016/j.cpa.2019.102097.</v>
      </c>
    </row>
    <row r="23" spans="1:13" ht="43.2" hidden="1" x14ac:dyDescent="0.3">
      <c r="A23" s="17" t="s">
        <v>145</v>
      </c>
      <c r="B23" s="17" t="str">
        <f t="shared" si="0"/>
        <v xml:space="preserve">Fard, A., et al (2020). Environmental regulation and the cost of Bank Loans: International Evidence. In Journal of Financial Stability, 51, 100797. https://doi.org/10.1016/j.jfs.2020.100797. </v>
      </c>
      <c r="C23" t="s">
        <v>271</v>
      </c>
      <c r="D23">
        <v>2020</v>
      </c>
      <c r="E23" t="s">
        <v>301</v>
      </c>
      <c r="F23" t="s">
        <v>255</v>
      </c>
      <c r="G23" s="10" t="s">
        <v>306</v>
      </c>
      <c r="H23">
        <v>6.1</v>
      </c>
      <c r="I23" s="10" t="str">
        <f>IF(H23&gt;MEDIAN($H$2:$H$66),"1_JIF high","0_JIF low")</f>
        <v>1_JIF high</v>
      </c>
      <c r="J23" t="s">
        <v>309</v>
      </c>
      <c r="K23" s="10" t="s">
        <v>317</v>
      </c>
      <c r="L23" t="s">
        <v>252</v>
      </c>
      <c r="M23" t="str">
        <f t="shared" si="4"/>
        <v xml:space="preserve">Fard, A., et al (2020). Environmental regulation and the cost of Bank Loans: International Evidence. In Journal of Financial Stability, 51, 100797. https://doi.org/10.1016/j.jfs.2020.100797. </v>
      </c>
    </row>
    <row r="24" spans="1:13" ht="28.8" hidden="1" x14ac:dyDescent="0.3">
      <c r="A24" s="17" t="s">
        <v>146</v>
      </c>
      <c r="B24" s="17" t="str">
        <f t="shared" si="0"/>
        <v xml:space="preserve">Ferriani, F. (2022). Issuing bonds during the covid-19 pandemic: Is there an ESG premium? In SSRN Electronic Journal. https://doi.org/10.2139/ssrn.4042802. </v>
      </c>
      <c r="C24" t="s">
        <v>251</v>
      </c>
      <c r="D24">
        <v>2022</v>
      </c>
      <c r="E24" t="s">
        <v>301</v>
      </c>
      <c r="F24" t="s">
        <v>249</v>
      </c>
      <c r="G24" s="10" t="s">
        <v>306</v>
      </c>
      <c r="H24" t="s">
        <v>253</v>
      </c>
      <c r="I24" s="10" t="s">
        <v>323</v>
      </c>
      <c r="J24" t="s">
        <v>309</v>
      </c>
      <c r="K24" s="10" t="s">
        <v>317</v>
      </c>
      <c r="L24" t="s">
        <v>330</v>
      </c>
      <c r="M24" t="s">
        <v>338</v>
      </c>
    </row>
    <row r="25" spans="1:13" ht="43.2" hidden="1" x14ac:dyDescent="0.3">
      <c r="A25" s="17" t="s">
        <v>147</v>
      </c>
      <c r="B25" s="17" t="str">
        <f t="shared" si="0"/>
        <v xml:space="preserve">Fonseka, M., et al (2019). The effect of environmental information disclosure and energy product type on the cost of debt: Evidence from energy firms in China. In Pacific-Basin Finance Journal, 54, 159–182. https://doi.org/10.1016/j.pacfin.2018.05.001. </v>
      </c>
      <c r="C25" t="s">
        <v>272</v>
      </c>
      <c r="D25">
        <v>2019</v>
      </c>
      <c r="E25" t="s">
        <v>301</v>
      </c>
      <c r="F25" t="s">
        <v>273</v>
      </c>
      <c r="G25" s="10" t="s">
        <v>306</v>
      </c>
      <c r="H25">
        <v>4.8</v>
      </c>
      <c r="I25" s="10" t="str">
        <f>IF(H25&gt;MEDIAN($H$2:$H$66),"1_JIF high","0_JIF low")</f>
        <v>0_JIF low</v>
      </c>
      <c r="J25" t="s">
        <v>309</v>
      </c>
      <c r="K25" s="10" t="s">
        <v>317</v>
      </c>
      <c r="L25" t="s">
        <v>252</v>
      </c>
      <c r="M25" t="str">
        <f t="shared" ref="M25:M36" si="5">A25</f>
        <v xml:space="preserve">Fonseka, M., et al (2019). The effect of environmental information disclosure and energy product type on the cost of debt: Evidence from energy firms in China. In Pacific-Basin Finance Journal, 54, 159–182. https://doi.org/10.1016/j.pacfin.2018.05.001. </v>
      </c>
    </row>
    <row r="26" spans="1:13" ht="57.6" hidden="1" x14ac:dyDescent="0.3">
      <c r="A26" s="17" t="s">
        <v>148</v>
      </c>
      <c r="B26" s="17" t="str">
        <f t="shared" si="0"/>
        <v>Fonseka, M., Gao‐Liang T., et al (2019). Impact of environmental information disclosure and real estate segments on cost of debt: Evidence from the Chinese real estate industry. In Economics of Transition and Institutional Change, 28/1, 195–221. https://d</v>
      </c>
      <c r="C26" t="s">
        <v>274</v>
      </c>
      <c r="D26">
        <v>2019</v>
      </c>
      <c r="E26" t="s">
        <v>301</v>
      </c>
      <c r="F26" t="s">
        <v>261</v>
      </c>
      <c r="G26" s="10" t="s">
        <v>307</v>
      </c>
      <c r="H26" t="s">
        <v>275</v>
      </c>
      <c r="I26" s="10" t="s">
        <v>323</v>
      </c>
      <c r="J26" t="s">
        <v>313</v>
      </c>
      <c r="K26" s="10" t="s">
        <v>317</v>
      </c>
      <c r="L26" t="s">
        <v>252</v>
      </c>
      <c r="M26" t="str">
        <f t="shared" si="5"/>
        <v>Fonseka, M., Gao‐Liang T., et al (2019). Impact of environmental information disclosure and real estate segments on cost of debt: Evidence from the Chinese real estate industry. In Economics of Transition and Institutional Change, 28/1, 195–221. https://doi.org/10.1111/ecot.12238.</v>
      </c>
    </row>
    <row r="27" spans="1:13" ht="43.2" hidden="1" x14ac:dyDescent="0.3">
      <c r="A27" s="17" t="s">
        <v>149</v>
      </c>
      <c r="B27" s="17" t="str">
        <f t="shared" si="0"/>
        <v>Ge, W. &amp; Liu, M. (2015). Corporate Social Responsibility and the cost of corporate bonds. In Journal of Accounting and Public Policy, 34/6, 597–624. https://doi.org/10.1016/j.jaccpubpol.2015.05.008.</v>
      </c>
      <c r="C27" t="s">
        <v>276</v>
      </c>
      <c r="D27">
        <v>2015</v>
      </c>
      <c r="E27" t="s">
        <v>301</v>
      </c>
      <c r="F27" t="s">
        <v>249</v>
      </c>
      <c r="G27" s="10" t="s">
        <v>306</v>
      </c>
      <c r="H27">
        <v>3.3</v>
      </c>
      <c r="I27" s="10" t="str">
        <f>IF(H27&gt;MEDIAN($H$2:$H$66),"1_JIF high","0_JIF low")</f>
        <v>0_JIF low</v>
      </c>
      <c r="J27" t="s">
        <v>312</v>
      </c>
      <c r="K27" s="10" t="s">
        <v>317</v>
      </c>
      <c r="L27" t="s">
        <v>252</v>
      </c>
      <c r="M27" t="str">
        <f t="shared" si="5"/>
        <v>Ge, W. &amp; Liu, M. (2015). Corporate Social Responsibility and the cost of corporate bonds. In Journal of Accounting and Public Policy, 34/6, 597–624. https://doi.org/10.1016/j.jaccpubpol.2015.05.008.</v>
      </c>
    </row>
    <row r="28" spans="1:13" ht="43.2" hidden="1" x14ac:dyDescent="0.3">
      <c r="A28" s="17" t="s">
        <v>150</v>
      </c>
      <c r="B28" s="17" t="str">
        <f t="shared" si="0"/>
        <v>Hachenberg, B. &amp; Schiereck, D. (2018). Are green bonds priced differently from conventional bonds? In Journal of Asset Management, 19/6, 371–383. https://doi.org/10.1057/s41260-018-0088-5.</v>
      </c>
      <c r="C28" t="s">
        <v>277</v>
      </c>
      <c r="D28">
        <v>2018</v>
      </c>
      <c r="E28" t="s">
        <v>301</v>
      </c>
      <c r="F28" t="s">
        <v>249</v>
      </c>
      <c r="G28" s="10" t="s">
        <v>306</v>
      </c>
      <c r="H28" t="s">
        <v>275</v>
      </c>
      <c r="I28" s="10" t="s">
        <v>323</v>
      </c>
      <c r="J28" t="s">
        <v>309</v>
      </c>
      <c r="K28" s="10" t="s">
        <v>317</v>
      </c>
      <c r="L28" t="s">
        <v>252</v>
      </c>
      <c r="M28" t="str">
        <f t="shared" si="5"/>
        <v>Hachenberg, B. &amp; Schiereck, D. (2018). Are green bonds priced differently from conventional bonds? In Journal of Asset Management, 19/6, 371–383. https://doi.org/10.1057/s41260-018-0088-5.</v>
      </c>
    </row>
    <row r="29" spans="1:13" ht="43.2" hidden="1" x14ac:dyDescent="0.3">
      <c r="A29" s="17" t="s">
        <v>151</v>
      </c>
      <c r="B29" s="17" t="str">
        <f t="shared" si="0"/>
        <v xml:space="preserve">Hamrouni, A., et al (2019). Are Corporate Social Responsibility Disclosures relevant for lenders? empirical evidence from France. In Management Decision, 58/2, 267–279. https://doi.org/10.1108/md-06-2019-0757. </v>
      </c>
      <c r="C29" t="s">
        <v>278</v>
      </c>
      <c r="D29">
        <v>2019</v>
      </c>
      <c r="E29" t="s">
        <v>301</v>
      </c>
      <c r="F29" t="s">
        <v>249</v>
      </c>
      <c r="G29" s="10" t="s">
        <v>306</v>
      </c>
      <c r="H29">
        <v>4.5999999999999996</v>
      </c>
      <c r="I29" s="10" t="str">
        <f>IF(H29&gt;MEDIAN($H$2:$H$66),"1_JIF high","0_JIF low")</f>
        <v>0_JIF low</v>
      </c>
      <c r="J29" t="s">
        <v>310</v>
      </c>
      <c r="K29" s="10" t="s">
        <v>319</v>
      </c>
      <c r="L29" t="s">
        <v>252</v>
      </c>
      <c r="M29" t="str">
        <f t="shared" si="5"/>
        <v xml:space="preserve">Hamrouni, A., et al (2019). Are Corporate Social Responsibility Disclosures relevant for lenders? empirical evidence from France. In Management Decision, 58/2, 267–279. https://doi.org/10.1108/md-06-2019-0757. </v>
      </c>
    </row>
    <row r="30" spans="1:13" ht="28.8" hidden="1" x14ac:dyDescent="0.3">
      <c r="A30" s="17" t="s">
        <v>152</v>
      </c>
      <c r="B30" s="17" t="str">
        <f t="shared" si="0"/>
        <v xml:space="preserve">Höck, A., et al (2020). The effect of environmental sustainability on credit risk. In Journal of Asset Management, 21/2, 85–93. https://doi.org/10.1057/s41260-020-00155-4. </v>
      </c>
      <c r="C30" t="s">
        <v>277</v>
      </c>
      <c r="D30">
        <v>2020</v>
      </c>
      <c r="E30" t="s">
        <v>301</v>
      </c>
      <c r="F30" t="s">
        <v>249</v>
      </c>
      <c r="G30" s="10" t="s">
        <v>306</v>
      </c>
      <c r="H30" t="s">
        <v>275</v>
      </c>
      <c r="I30" s="10" t="s">
        <v>323</v>
      </c>
      <c r="J30" t="s">
        <v>309</v>
      </c>
      <c r="K30" s="10" t="s">
        <v>317</v>
      </c>
      <c r="L30" t="s">
        <v>252</v>
      </c>
      <c r="M30" t="str">
        <f t="shared" si="5"/>
        <v xml:space="preserve">Höck, A., et al (2020). The effect of environmental sustainability on credit risk. In Journal of Asset Management, 21/2, 85–93. https://doi.org/10.1057/s41260-020-00155-4. </v>
      </c>
    </row>
    <row r="31" spans="1:13" ht="43.2" hidden="1" x14ac:dyDescent="0.3">
      <c r="A31" s="17" t="s">
        <v>153</v>
      </c>
      <c r="B31" s="17" t="str">
        <f t="shared" si="0"/>
        <v xml:space="preserve">Hoepner, A., et al (2016). The effects of corporate and country sustainability characteristics on the cost of debt: An international investigation. In Journal of Business Finance &amp; Accounting, 43/1–2, 158–190. https://doi.org/10.1111/jbfa.12183. </v>
      </c>
      <c r="C31" t="s">
        <v>279</v>
      </c>
      <c r="D31">
        <v>2016</v>
      </c>
      <c r="E31" t="s">
        <v>301</v>
      </c>
      <c r="F31" t="s">
        <v>249</v>
      </c>
      <c r="G31" s="10" t="s">
        <v>306</v>
      </c>
      <c r="H31">
        <v>2.2000000000000002</v>
      </c>
      <c r="I31" s="10" t="str">
        <f>IF(H31&gt;MEDIAN($H$2:$H$66),"1_JIF high","0_JIF low")</f>
        <v>0_JIF low</v>
      </c>
      <c r="J31" t="s">
        <v>312</v>
      </c>
      <c r="K31" s="10" t="s">
        <v>317</v>
      </c>
      <c r="L31" t="s">
        <v>252</v>
      </c>
      <c r="M31" t="str">
        <f t="shared" si="5"/>
        <v xml:space="preserve">Hoepner, A., et al (2016). The effects of corporate and country sustainability characteristics on the cost of debt: An international investigation. In Journal of Business Finance &amp; Accounting, 43/1–2, 158–190. https://doi.org/10.1111/jbfa.12183. </v>
      </c>
    </row>
    <row r="32" spans="1:13" ht="57.6" hidden="1" x14ac:dyDescent="0.3">
      <c r="A32" s="17" t="s">
        <v>154</v>
      </c>
      <c r="B32" s="17" t="str">
        <f t="shared" si="0"/>
        <v>Hui, Z., Li, H., &amp; Elamer, A. A. (2024). Financing sustainability: How environmental disclosures shape bank lending decisions in emerging markets. Corporate Social Responsibility and Environmental Management, 31(5), 3940–3967. https://doi.org/10.1002/csr.</v>
      </c>
      <c r="C32" t="s">
        <v>268</v>
      </c>
      <c r="D32">
        <v>2024</v>
      </c>
      <c r="E32" t="s">
        <v>301</v>
      </c>
      <c r="F32" t="s">
        <v>249</v>
      </c>
      <c r="G32" s="10" t="s">
        <v>306</v>
      </c>
      <c r="H32">
        <v>9.8000000000000007</v>
      </c>
      <c r="I32" s="10" t="str">
        <f>IF(H32&gt;MEDIAN($H$2:$H$66),"1_JIF high","0_JIF low")</f>
        <v>1_JIF high</v>
      </c>
      <c r="J32" t="s">
        <v>308</v>
      </c>
      <c r="K32" s="10" t="s">
        <v>318</v>
      </c>
      <c r="L32" t="s">
        <v>252</v>
      </c>
      <c r="M32" t="str">
        <f t="shared" si="5"/>
        <v>Hui, Z., Li, H., &amp; Elamer, A. A. (2024). Financing sustainability: How environmental disclosures shape bank lending decisions in emerging markets. Corporate Social Responsibility and Environmental Management, 31(5), 3940–3967. https://doi.org/10.1002/csr.2789</v>
      </c>
    </row>
    <row r="33" spans="1:13" ht="28.8" hidden="1" x14ac:dyDescent="0.3">
      <c r="A33" s="17" t="s">
        <v>155</v>
      </c>
      <c r="B33" s="17" t="str">
        <f t="shared" si="0"/>
        <v xml:space="preserve">Jang, G., et al (2020). ESG scores and the Credit Market. In Sustainability, 12/8, 3456. https://doi.org/10.3390/su12083456. </v>
      </c>
      <c r="C33" t="s">
        <v>262</v>
      </c>
      <c r="D33">
        <v>2020</v>
      </c>
      <c r="E33" t="s">
        <v>301</v>
      </c>
      <c r="F33" t="s">
        <v>263</v>
      </c>
      <c r="G33" s="10" t="s">
        <v>307</v>
      </c>
      <c r="H33">
        <v>3.3</v>
      </c>
      <c r="I33" s="10" t="str">
        <f>IF(H33&gt;MEDIAN($H$2:$H$66),"1_JIF high","0_JIF low")</f>
        <v>0_JIF low</v>
      </c>
      <c r="J33" t="s">
        <v>308</v>
      </c>
      <c r="K33" s="10" t="s">
        <v>318</v>
      </c>
      <c r="L33" t="s">
        <v>252</v>
      </c>
      <c r="M33" t="str">
        <f t="shared" si="5"/>
        <v xml:space="preserve">Jang, G., et al (2020). ESG scores and the Credit Market. In Sustainability, 12/8, 3456. https://doi.org/10.3390/su12083456. </v>
      </c>
    </row>
    <row r="34" spans="1:13" ht="43.2" hidden="1" x14ac:dyDescent="0.3">
      <c r="A34" s="17" t="s">
        <v>156</v>
      </c>
      <c r="B34" s="17" t="str">
        <f t="shared" si="0"/>
        <v xml:space="preserve">Jiraporn, P., et al (2014). Does Corporate Social Responsibility (CSR) improve credit ratings? evidence from geographic identification. In Financial Management, 43/3, 505–531. https://doi.org/10.1111/fima.12044. </v>
      </c>
      <c r="C34" t="s">
        <v>280</v>
      </c>
      <c r="D34">
        <v>2014</v>
      </c>
      <c r="E34" t="s">
        <v>301</v>
      </c>
      <c r="F34" t="s">
        <v>249</v>
      </c>
      <c r="G34" s="10" t="s">
        <v>306</v>
      </c>
      <c r="H34">
        <v>3.1</v>
      </c>
      <c r="I34" s="10" t="str">
        <f>IF(H34&gt;MEDIAN($H$2:$H$66),"1_JIF high","0_JIF low")</f>
        <v>0_JIF low</v>
      </c>
      <c r="J34" t="s">
        <v>309</v>
      </c>
      <c r="K34" s="10" t="s">
        <v>317</v>
      </c>
      <c r="L34" t="s">
        <v>252</v>
      </c>
      <c r="M34" t="str">
        <f t="shared" si="5"/>
        <v xml:space="preserve">Jiraporn, P., et al (2014). Does Corporate Social Responsibility (CSR) improve credit ratings? evidence from geographic identification. In Financial Management, 43/3, 505–531. https://doi.org/10.1111/fima.12044. </v>
      </c>
    </row>
    <row r="35" spans="1:13" ht="43.2" hidden="1" x14ac:dyDescent="0.3">
      <c r="A35" s="17" t="s">
        <v>157</v>
      </c>
      <c r="B35" s="17" t="str">
        <f t="shared" si="0"/>
        <v xml:space="preserve">Jung, J., et al (2016). Carbon risk, carbon risk awareness and the cost of debt financing. In Journal of Business Ethics, 150/4, 1151–1171. https://doi.org/10.1007/s10551-016-3207-6. </v>
      </c>
      <c r="C35" t="s">
        <v>259</v>
      </c>
      <c r="D35">
        <v>2016</v>
      </c>
      <c r="E35" t="s">
        <v>301</v>
      </c>
      <c r="F35" t="s">
        <v>249</v>
      </c>
      <c r="G35" s="10" t="s">
        <v>306</v>
      </c>
      <c r="H35">
        <v>6.1</v>
      </c>
      <c r="I35" s="10" t="str">
        <f>IF(H35&gt;MEDIAN($H$2:$H$66),"1_JIF high","0_JIF low")</f>
        <v>1_JIF high</v>
      </c>
      <c r="J35" t="s">
        <v>310</v>
      </c>
      <c r="K35" s="10" t="s">
        <v>319</v>
      </c>
      <c r="L35" t="s">
        <v>252</v>
      </c>
      <c r="M35" t="str">
        <f t="shared" si="5"/>
        <v xml:space="preserve">Jung, J., et al (2016). Carbon risk, carbon risk awareness and the cost of debt financing. In Journal of Business Ethics, 150/4, 1151–1171. https://doi.org/10.1007/s10551-016-3207-6. </v>
      </c>
    </row>
    <row r="36" spans="1:13" ht="43.2" hidden="1" x14ac:dyDescent="0.3">
      <c r="A36" s="17" t="s">
        <v>158</v>
      </c>
      <c r="B36" s="17" t="str">
        <f t="shared" si="0"/>
        <v xml:space="preserve">Kim, Y. &amp; Kim, S. (2022). Environmental risk and credit ratings, and the moderating effect of market competition. In International Journal of Environmental Research and Public Health, 19/9, 5341. https://doi.org/10.3390/ijerph19095341. </v>
      </c>
      <c r="C36" t="s">
        <v>281</v>
      </c>
      <c r="D36">
        <v>2022</v>
      </c>
      <c r="E36" t="s">
        <v>301</v>
      </c>
      <c r="F36" t="s">
        <v>266</v>
      </c>
      <c r="G36" s="10" t="s">
        <v>307</v>
      </c>
      <c r="H36">
        <v>4.5999999999999996</v>
      </c>
      <c r="I36" s="10" t="str">
        <f>IF(H36&gt;MEDIAN($H$2:$H$66),"1_JIF high","0_JIF low")</f>
        <v>0_JIF low</v>
      </c>
      <c r="J36" t="s">
        <v>314</v>
      </c>
      <c r="K36" s="10" t="s">
        <v>319</v>
      </c>
      <c r="L36" t="s">
        <v>252</v>
      </c>
      <c r="M36" t="str">
        <f t="shared" si="5"/>
        <v xml:space="preserve">Kim, Y. &amp; Kim, S. (2022). Environmental risk and credit ratings, and the moderating effect of market competition. In International Journal of Environmental Research and Public Health, 19/9, 5341. https://doi.org/10.3390/ijerph19095341. </v>
      </c>
    </row>
    <row r="37" spans="1:13" ht="28.8" hidden="1" x14ac:dyDescent="0.3">
      <c r="A37" s="17" t="s">
        <v>159</v>
      </c>
      <c r="B37" s="17" t="str">
        <f t="shared" si="0"/>
        <v xml:space="preserve">Kölbel, J., et al (2020). Does the CDS market reflect regulatory climate risk disclosures? In SSRN Electronic Journal. https://doi.org/10.2139/ssrn.3616324. </v>
      </c>
      <c r="C37" t="s">
        <v>251</v>
      </c>
      <c r="D37">
        <v>2020</v>
      </c>
      <c r="E37" t="s">
        <v>301</v>
      </c>
      <c r="F37" t="s">
        <v>255</v>
      </c>
      <c r="G37" s="10" t="s">
        <v>306</v>
      </c>
      <c r="H37" t="s">
        <v>253</v>
      </c>
      <c r="I37" s="10" t="s">
        <v>323</v>
      </c>
      <c r="J37" t="s">
        <v>309</v>
      </c>
      <c r="K37" s="10" t="s">
        <v>317</v>
      </c>
      <c r="L37" t="s">
        <v>331</v>
      </c>
      <c r="M37" t="s">
        <v>339</v>
      </c>
    </row>
    <row r="38" spans="1:13" ht="43.2" hidden="1" x14ac:dyDescent="0.3">
      <c r="A38" s="17" t="s">
        <v>160</v>
      </c>
      <c r="B38" s="17" t="str">
        <f t="shared" si="0"/>
        <v xml:space="preserve">Kordsachia, O. (2020). A risk management perspective on CSR and the marginal cost of debt: Empirical evidence from Europe. In Review of Managerial Science, 15/6, 1611–1643. https://doi.org/10.1007/s11846-020-00392-2. </v>
      </c>
      <c r="C38" t="s">
        <v>282</v>
      </c>
      <c r="D38">
        <v>2020</v>
      </c>
      <c r="E38" t="s">
        <v>301</v>
      </c>
      <c r="F38" t="s">
        <v>249</v>
      </c>
      <c r="G38" s="10" t="s">
        <v>306</v>
      </c>
      <c r="H38">
        <v>7.3</v>
      </c>
      <c r="I38" s="10" t="str">
        <f>IF(H38&gt;MEDIAN($H$2:$H$66),"1_JIF high","0_JIF low")</f>
        <v>1_JIF high</v>
      </c>
      <c r="J38" t="s">
        <v>310</v>
      </c>
      <c r="K38" s="10" t="s">
        <v>319</v>
      </c>
      <c r="L38" t="s">
        <v>252</v>
      </c>
      <c r="M38" t="str">
        <f t="shared" ref="M38:M46" si="6">A38</f>
        <v xml:space="preserve">Kordsachia, O. (2020). A risk management perspective on CSR and the marginal cost of debt: Empirical evidence from Europe. In Review of Managerial Science, 15/6, 1611–1643. https://doi.org/10.1007/s11846-020-00392-2. </v>
      </c>
    </row>
    <row r="39" spans="1:13" ht="43.2" hidden="1" x14ac:dyDescent="0.3">
      <c r="A39" s="17" t="s">
        <v>161</v>
      </c>
      <c r="B39" s="17" t="str">
        <f t="shared" si="0"/>
        <v xml:space="preserve">Lee, J. (2022). Voluntary disclosure of carbon emissions information, managerial ability, and credit ratings. In Sustainability, 14/12, 7504. https://doi.org/10.3390/su14127504. </v>
      </c>
      <c r="C39" t="s">
        <v>262</v>
      </c>
      <c r="D39">
        <v>2022</v>
      </c>
      <c r="E39" t="s">
        <v>301</v>
      </c>
      <c r="F39" t="s">
        <v>263</v>
      </c>
      <c r="G39" s="10" t="s">
        <v>307</v>
      </c>
      <c r="H39">
        <v>3.3</v>
      </c>
      <c r="I39" s="10" t="str">
        <f>IF(H39&gt;MEDIAN($H$2:$H$66),"1_JIF high","0_JIF low")</f>
        <v>0_JIF low</v>
      </c>
      <c r="J39" t="s">
        <v>308</v>
      </c>
      <c r="K39" s="10" t="s">
        <v>318</v>
      </c>
      <c r="L39" t="s">
        <v>252</v>
      </c>
      <c r="M39" t="str">
        <f t="shared" si="6"/>
        <v xml:space="preserve">Lee, J. (2022). Voluntary disclosure of carbon emissions information, managerial ability, and credit ratings. In Sustainability, 14/12, 7504. https://doi.org/10.3390/su14127504. </v>
      </c>
    </row>
    <row r="40" spans="1:13" ht="43.2" hidden="1" x14ac:dyDescent="0.3">
      <c r="A40" s="17" t="s">
        <v>162</v>
      </c>
      <c r="B40" s="17" t="str">
        <f t="shared" si="0"/>
        <v xml:space="preserve">Lemma, T., et al (2017). Corporate Carbon Risk, voluntary disclosure, and cost of capital: south african evidence. In Business Strategy and the Environment, 28/1, 111–126. https://doi.org/10.1002/bse.2242. </v>
      </c>
      <c r="C40" t="s">
        <v>248</v>
      </c>
      <c r="D40">
        <v>2017</v>
      </c>
      <c r="E40" t="s">
        <v>301</v>
      </c>
      <c r="F40" t="s">
        <v>249</v>
      </c>
      <c r="G40" s="10" t="s">
        <v>306</v>
      </c>
      <c r="H40">
        <v>12.5</v>
      </c>
      <c r="I40" s="10" t="str">
        <f>IF(H40&gt;MEDIAN($H$2:$H$66),"1_JIF high","0_JIF low")</f>
        <v>1_JIF high</v>
      </c>
      <c r="J40" t="s">
        <v>308</v>
      </c>
      <c r="K40" s="10" t="s">
        <v>318</v>
      </c>
      <c r="L40" t="s">
        <v>252</v>
      </c>
      <c r="M40" t="str">
        <f t="shared" si="6"/>
        <v xml:space="preserve">Lemma, T., et al (2017). Corporate Carbon Risk, voluntary disclosure, and cost of capital: south african evidence. In Business Strategy and the Environment, 28/1, 111–126. https://doi.org/10.1002/bse.2242. </v>
      </c>
    </row>
    <row r="41" spans="1:13" ht="43.2" x14ac:dyDescent="0.3">
      <c r="A41" s="17" t="s">
        <v>163</v>
      </c>
      <c r="B41" s="17" t="str">
        <f t="shared" si="0"/>
        <v xml:space="preserve">Li, Y., et al (2014). Carbon emissions and the cost of capital: Australian evidence. In Review of Accounting and Finance, 13/4, 400–420. https://doi.org/10.1108/raf-08-2012-0074. </v>
      </c>
      <c r="C41" t="s">
        <v>283</v>
      </c>
      <c r="D41">
        <v>2014</v>
      </c>
      <c r="E41" t="s">
        <v>301</v>
      </c>
      <c r="F41" t="s">
        <v>249</v>
      </c>
      <c r="G41" s="10" t="s">
        <v>306</v>
      </c>
      <c r="H41">
        <v>3</v>
      </c>
      <c r="I41" s="10" t="str">
        <f>IF(H41&gt;MEDIAN($H$2:$H$66),"1_JIF high","0_JIF low")</f>
        <v>0_JIF low</v>
      </c>
      <c r="J41" t="s">
        <v>312</v>
      </c>
      <c r="K41" s="10" t="s">
        <v>317</v>
      </c>
      <c r="L41" t="s">
        <v>252</v>
      </c>
      <c r="M41" t="str">
        <f t="shared" si="6"/>
        <v xml:space="preserve">Li, Y., et al (2014). Carbon emissions and the cost of capital: Australian evidence. In Review of Accounting and Finance, 13/4, 400–420. https://doi.org/10.1108/raf-08-2012-0074. </v>
      </c>
    </row>
    <row r="42" spans="1:13" ht="57.6" hidden="1" x14ac:dyDescent="0.3">
      <c r="A42" s="17" t="s">
        <v>164</v>
      </c>
      <c r="B42" s="17" t="str">
        <f t="shared" si="0"/>
        <v>Maaloul, A. &amp; Wegener, M. (2021). The effect of environmental, social, and governance (ESG) performance and disclosure on cost of debt: The mediating effect of corporate reputation. In Corporate Reputation Review, 26/1, 1–18. https://doi.org/10.1057/s4129</v>
      </c>
      <c r="C42" t="s">
        <v>284</v>
      </c>
      <c r="D42">
        <v>2021</v>
      </c>
      <c r="E42" t="s">
        <v>301</v>
      </c>
      <c r="F42" t="s">
        <v>261</v>
      </c>
      <c r="G42" s="10" t="s">
        <v>307</v>
      </c>
      <c r="H42" t="s">
        <v>275</v>
      </c>
      <c r="I42" s="10" t="s">
        <v>323</v>
      </c>
      <c r="J42" t="s">
        <v>310</v>
      </c>
      <c r="K42" s="10" t="s">
        <v>319</v>
      </c>
      <c r="L42" t="s">
        <v>252</v>
      </c>
      <c r="M42" t="str">
        <f t="shared" si="6"/>
        <v xml:space="preserve">Maaloul, A. &amp; Wegener, M. (2021). The effect of environmental, social, and governance (ESG) performance and disclosure on cost of debt: The mediating effect of corporate reputation. In Corporate Reputation Review, 26/1, 1–18. https://doi.org/10.1057/s41299-021-00130-8. </v>
      </c>
    </row>
    <row r="43" spans="1:13" ht="43.2" hidden="1" x14ac:dyDescent="0.3">
      <c r="A43" s="17" t="s">
        <v>165</v>
      </c>
      <c r="B43" s="17" t="str">
        <f t="shared" si="0"/>
        <v xml:space="preserve">Nandy, M. &amp; Lodh, S. (2012). Do banks value the eco-friendliness of firms in their corporate lending decision? some empirical evidence. In International Review of Financial Analysis, 25, 83–93. https://doi.org/10.1016/j.irfa.2012.06.008. </v>
      </c>
      <c r="C43" t="s">
        <v>285</v>
      </c>
      <c r="D43">
        <v>2012</v>
      </c>
      <c r="E43" t="s">
        <v>301</v>
      </c>
      <c r="F43" t="s">
        <v>249</v>
      </c>
      <c r="G43" s="10" t="s">
        <v>306</v>
      </c>
      <c r="H43">
        <v>8.1999999999999993</v>
      </c>
      <c r="I43" s="10" t="str">
        <f>IF(H43&gt;MEDIAN($H$2:$H$66),"1_JIF high","0_JIF low")</f>
        <v>1_JIF high</v>
      </c>
      <c r="J43" t="s">
        <v>309</v>
      </c>
      <c r="K43" s="10" t="s">
        <v>317</v>
      </c>
      <c r="L43" t="s">
        <v>252</v>
      </c>
      <c r="M43" t="str">
        <f t="shared" si="6"/>
        <v xml:space="preserve">Nandy, M. &amp; Lodh, S. (2012). Do banks value the eco-friendliness of firms in their corporate lending decision? some empirical evidence. In International Review of Financial Analysis, 25, 83–93. https://doi.org/10.1016/j.irfa.2012.06.008. </v>
      </c>
    </row>
    <row r="44" spans="1:13" ht="43.2" hidden="1" x14ac:dyDescent="0.3">
      <c r="A44" s="17" t="s">
        <v>166</v>
      </c>
      <c r="B44" s="17" t="str">
        <f t="shared" si="0"/>
        <v>Nemoto, N. &amp; Liu, L. (2020). Measuring the Effect of Environmental, Social, and Governance on Sovereign Funding Costs (Asian Development Bank Institute, No. 1088). Tokyo, Japan</v>
      </c>
      <c r="C44" t="s">
        <v>286</v>
      </c>
      <c r="D44">
        <v>2020</v>
      </c>
      <c r="E44" t="s">
        <v>302</v>
      </c>
      <c r="F44" t="s">
        <v>252</v>
      </c>
      <c r="G44" s="10" t="s">
        <v>323</v>
      </c>
      <c r="H44" t="s">
        <v>253</v>
      </c>
      <c r="I44" s="10" t="s">
        <v>323</v>
      </c>
      <c r="J44" t="s">
        <v>309</v>
      </c>
      <c r="K44" s="10" t="s">
        <v>317</v>
      </c>
      <c r="L44" t="s">
        <v>252</v>
      </c>
      <c r="M44" t="str">
        <f t="shared" si="6"/>
        <v>Nemoto, N. &amp; Liu, L. (2020). Measuring the Effect of Environmental, Social, and Governance on Sovereign Funding Costs (Asian Development Bank Institute, No. 1088). Tokyo, Japan</v>
      </c>
    </row>
    <row r="45" spans="1:13" ht="43.2" hidden="1" x14ac:dyDescent="0.3">
      <c r="A45" s="17" t="s">
        <v>167</v>
      </c>
      <c r="B45" s="17" t="str">
        <f t="shared" si="0"/>
        <v xml:space="preserve">Ofogbe, N., et al (2021). The relationship between the corporate social responsibility and the cost of the capital of the companies listed on the Nigerian Stock Exchange. In Ekonomski Horizonti, 23/3, 277–292. https://doi.org/10.5937/ekonhor2103289o. </v>
      </c>
      <c r="C45" t="s">
        <v>287</v>
      </c>
      <c r="D45">
        <v>2021</v>
      </c>
      <c r="E45" t="s">
        <v>301</v>
      </c>
      <c r="F45" t="s">
        <v>266</v>
      </c>
      <c r="G45" s="10" t="s">
        <v>307</v>
      </c>
      <c r="H45" t="s">
        <v>253</v>
      </c>
      <c r="I45" s="10" t="s">
        <v>323</v>
      </c>
      <c r="J45" t="s">
        <v>310</v>
      </c>
      <c r="K45" s="10" t="s">
        <v>319</v>
      </c>
      <c r="L45" t="s">
        <v>252</v>
      </c>
      <c r="M45" t="str">
        <f t="shared" si="6"/>
        <v xml:space="preserve">Ofogbe, N., et al (2021). The relationship between the corporate social responsibility and the cost of the capital of the companies listed on the Nigerian Stock Exchange. In Ekonomski Horizonti, 23/3, 277–292. https://doi.org/10.5937/ekonhor2103289o. </v>
      </c>
    </row>
    <row r="46" spans="1:13" ht="43.2" hidden="1" x14ac:dyDescent="0.3">
      <c r="A46" s="17" t="s">
        <v>168</v>
      </c>
      <c r="B46" s="17" t="str">
        <f t="shared" si="0"/>
        <v xml:space="preserve">Oikonomou, I., et al (2014). The effects of corporate social performance on the cost of corporate debt and credit ratings. In Financial Review, 49/1, 49–75. https://doi.org/10.1111/fire.12025. </v>
      </c>
      <c r="C46" t="s">
        <v>288</v>
      </c>
      <c r="D46">
        <v>2014</v>
      </c>
      <c r="E46" t="s">
        <v>301</v>
      </c>
      <c r="F46" t="s">
        <v>249</v>
      </c>
      <c r="G46" s="10" t="s">
        <v>306</v>
      </c>
      <c r="H46">
        <v>2.7</v>
      </c>
      <c r="I46" s="10" t="str">
        <f>IF(H46&gt;MEDIAN($H$2:$H$66),"1_JIF high","0_JIF low")</f>
        <v>0_JIF low</v>
      </c>
      <c r="J46" t="s">
        <v>309</v>
      </c>
      <c r="K46" s="10" t="s">
        <v>317</v>
      </c>
      <c r="L46" t="s">
        <v>252</v>
      </c>
      <c r="M46" t="str">
        <f t="shared" si="6"/>
        <v xml:space="preserve">Oikonomou, I., et al (2014). The effects of corporate social performance on the cost of corporate debt and credit ratings. In Financial Review, 49/1, 49–75. https://doi.org/10.1111/fire.12025. </v>
      </c>
    </row>
    <row r="47" spans="1:13" ht="43.2" hidden="1" x14ac:dyDescent="0.3">
      <c r="A47" s="17" t="s">
        <v>169</v>
      </c>
      <c r="B47" s="17" t="str">
        <f t="shared" si="0"/>
        <v>Okimoto, T. &amp; Takaoka, s. (2022). Sustainability and Credit Spreads in Japan (Faculty of Economics, Keio University and Research Institute of Economy, Trade and Industry), Tokyo, Japan. https://doi.org/10.2139/ssrn.4368358.</v>
      </c>
      <c r="C47" t="s">
        <v>289</v>
      </c>
      <c r="D47">
        <v>2022</v>
      </c>
      <c r="E47" t="s">
        <v>301</v>
      </c>
      <c r="F47" t="s">
        <v>249</v>
      </c>
      <c r="G47" s="10" t="s">
        <v>306</v>
      </c>
      <c r="H47" t="s">
        <v>253</v>
      </c>
      <c r="I47" s="10" t="s">
        <v>323</v>
      </c>
      <c r="J47" t="s">
        <v>309</v>
      </c>
      <c r="K47" s="10" t="s">
        <v>317</v>
      </c>
      <c r="L47" t="s">
        <v>332</v>
      </c>
      <c r="M47" t="s">
        <v>340</v>
      </c>
    </row>
    <row r="48" spans="1:13" ht="57.6" hidden="1" x14ac:dyDescent="0.3">
      <c r="A48" s="17" t="s">
        <v>170</v>
      </c>
      <c r="B48" s="17" t="str">
        <f t="shared" si="0"/>
        <v>Palea, V. &amp; Drogo, F. (2020). Carbon emissions and the cost of debt in the eurozone: The role of public policies, climate‐related disclosure and corporate governance. In Business Strategy and the Environment, 29/8, 2953–2972. https://doi.org/10.1002/bse.2</v>
      </c>
      <c r="C48" t="s">
        <v>248</v>
      </c>
      <c r="D48">
        <v>2020</v>
      </c>
      <c r="E48" t="s">
        <v>301</v>
      </c>
      <c r="F48" t="s">
        <v>249</v>
      </c>
      <c r="G48" s="10" t="s">
        <v>306</v>
      </c>
      <c r="H48">
        <v>12.5</v>
      </c>
      <c r="I48" s="10" t="str">
        <f>IF(H48&gt;MEDIAN($H$2:$H$66),"1_JIF high","0_JIF low")</f>
        <v>1_JIF high</v>
      </c>
      <c r="J48" t="s">
        <v>308</v>
      </c>
      <c r="K48" s="10" t="s">
        <v>318</v>
      </c>
      <c r="L48" t="s">
        <v>252</v>
      </c>
      <c r="M48" t="str">
        <f t="shared" ref="M48:M51" si="7">A48</f>
        <v xml:space="preserve">Palea, V. &amp; Drogo, F. (2020). Carbon emissions and the cost of debt in the eurozone: The role of public policies, climate‐related disclosure and corporate governance. In Business Strategy and the Environment, 29/8, 2953–2972. https://doi.org/10.1002/bse.2550. </v>
      </c>
    </row>
    <row r="49" spans="1:13" ht="28.8" hidden="1" x14ac:dyDescent="0.3">
      <c r="A49" s="17" t="s">
        <v>171</v>
      </c>
      <c r="B49" s="17" t="str">
        <f t="shared" si="0"/>
        <v xml:space="preserve">Safiullah, M., et al (2021). Carbon Emissions and credit ratings. In Energy Economics, 100, 105330. https://doi.org/10.1016/j.eneco.2021.105330. </v>
      </c>
      <c r="C49" t="s">
        <v>290</v>
      </c>
      <c r="D49">
        <v>2021</v>
      </c>
      <c r="E49" t="s">
        <v>301</v>
      </c>
      <c r="F49" t="s">
        <v>249</v>
      </c>
      <c r="G49" s="10" t="s">
        <v>306</v>
      </c>
      <c r="H49">
        <v>13.6</v>
      </c>
      <c r="I49" s="10" t="str">
        <f>IF(H49&gt;MEDIAN($H$2:$H$66),"1_JIF high","0_JIF low")</f>
        <v>1_JIF high</v>
      </c>
      <c r="J49" t="s">
        <v>313</v>
      </c>
      <c r="K49" s="10" t="s">
        <v>317</v>
      </c>
      <c r="L49" t="s">
        <v>252</v>
      </c>
      <c r="M49" t="str">
        <f t="shared" si="7"/>
        <v xml:space="preserve">Safiullah, M., et al (2021). Carbon Emissions and credit ratings. In Energy Economics, 100, 105330. https://doi.org/10.1016/j.eneco.2021.105330. </v>
      </c>
    </row>
    <row r="50" spans="1:13" ht="43.2" hidden="1" x14ac:dyDescent="0.3">
      <c r="A50" s="17" t="s">
        <v>172</v>
      </c>
      <c r="B50" s="17" t="str">
        <f t="shared" si="0"/>
        <v xml:space="preserve">Salvi, A., et al. (2021). CSR in the bond market: Pricing stakeholders and the moderating role of the institutional context. In Global Finance Journal, 50, 100522. https://doi.org/10.1016/j.gfj.2020.100522. </v>
      </c>
      <c r="C50" t="s">
        <v>291</v>
      </c>
      <c r="D50">
        <v>2021</v>
      </c>
      <c r="E50" t="s">
        <v>301</v>
      </c>
      <c r="F50" t="s">
        <v>273</v>
      </c>
      <c r="G50" s="10" t="s">
        <v>306</v>
      </c>
      <c r="H50">
        <v>5.5</v>
      </c>
      <c r="I50" s="10" t="str">
        <f>IF(H50&gt;MEDIAN($H$2:$H$66),"1_JIF high","0_JIF low")</f>
        <v>0_JIF low</v>
      </c>
      <c r="J50" t="s">
        <v>309</v>
      </c>
      <c r="K50" s="10" t="s">
        <v>317</v>
      </c>
      <c r="L50" t="s">
        <v>252</v>
      </c>
      <c r="M50" t="str">
        <f t="shared" si="7"/>
        <v xml:space="preserve">Salvi, A., et al. (2021). CSR in the bond market: Pricing stakeholders and the moderating role of the institutional context. In Global Finance Journal, 50, 100522. https://doi.org/10.1016/j.gfj.2020.100522. </v>
      </c>
    </row>
    <row r="51" spans="1:13" ht="57.6" hidden="1" x14ac:dyDescent="0.3">
      <c r="A51" s="17" t="s">
        <v>173</v>
      </c>
      <c r="B51" s="17" t="str">
        <f t="shared" si="0"/>
        <v>Sandra, O., et al (2021). Long-run relationship of corporate social responsibility and cost of capital of quoted companies in Nigeria Stock Exchange: Nigeria evidence. In Universal Journal of Accounting and Finance, 9/5, 946–960. https://doi.org/10.13189/</v>
      </c>
      <c r="C51" t="s">
        <v>292</v>
      </c>
      <c r="D51">
        <v>2021</v>
      </c>
      <c r="E51" t="s">
        <v>301</v>
      </c>
      <c r="F51" t="s">
        <v>266</v>
      </c>
      <c r="G51" s="10" t="s">
        <v>307</v>
      </c>
      <c r="H51" t="s">
        <v>253</v>
      </c>
      <c r="I51" s="10" t="s">
        <v>323</v>
      </c>
      <c r="J51" t="s">
        <v>312</v>
      </c>
      <c r="K51" s="10" t="s">
        <v>317</v>
      </c>
      <c r="L51" t="s">
        <v>252</v>
      </c>
      <c r="M51" t="str">
        <f t="shared" si="7"/>
        <v xml:space="preserve">Sandra, O., et al (2021). Long-run relationship of corporate social responsibility and cost of capital of quoted companies in Nigeria Stock Exchange: Nigeria evidence. In Universal Journal of Accounting and Finance, 9/5, 946–960. https://doi.org/10.13189/ujaf.2021.090506. </v>
      </c>
    </row>
    <row r="52" spans="1:13" ht="43.2" hidden="1" x14ac:dyDescent="0.3">
      <c r="A52" s="17" t="s">
        <v>174</v>
      </c>
      <c r="B52" s="17" t="str">
        <f t="shared" si="0"/>
        <v xml:space="preserve">Schneider, T. (2010). Is environmental performance a determinant of bond pricing? evidence from the U.S. pulp and Paper and Chemical Industries. In SSRN Electronic Journal. https://doi.org/10.2139/ssrn.1299761. </v>
      </c>
      <c r="C52" t="s">
        <v>251</v>
      </c>
      <c r="D52">
        <v>2010</v>
      </c>
      <c r="E52" t="s">
        <v>301</v>
      </c>
      <c r="F52" t="s">
        <v>255</v>
      </c>
      <c r="G52" s="10" t="s">
        <v>306</v>
      </c>
      <c r="H52" t="s">
        <v>253</v>
      </c>
      <c r="I52" s="10" t="s">
        <v>323</v>
      </c>
      <c r="J52" t="s">
        <v>312</v>
      </c>
      <c r="K52" s="10" t="s">
        <v>317</v>
      </c>
      <c r="L52" t="s">
        <v>333</v>
      </c>
      <c r="M52" t="s">
        <v>341</v>
      </c>
    </row>
    <row r="53" spans="1:13" ht="28.8" hidden="1" x14ac:dyDescent="0.3">
      <c r="A53" s="17" t="s">
        <v>175</v>
      </c>
      <c r="B53" s="17" t="str">
        <f t="shared" si="0"/>
        <v xml:space="preserve">Seltzer, L., et al (2022). Climate regulatory risks and corporate bonds. In SSRN Electronic Journal. https://doi.org/10.2139/ssrn.4090897. </v>
      </c>
      <c r="C53" t="s">
        <v>293</v>
      </c>
      <c r="D53">
        <v>2022</v>
      </c>
      <c r="E53" t="s">
        <v>302</v>
      </c>
      <c r="F53" t="s">
        <v>252</v>
      </c>
      <c r="G53" s="10" t="s">
        <v>323</v>
      </c>
      <c r="H53" t="s">
        <v>253</v>
      </c>
      <c r="I53" s="10" t="s">
        <v>323</v>
      </c>
      <c r="J53" t="s">
        <v>309</v>
      </c>
      <c r="K53" s="10" t="s">
        <v>317</v>
      </c>
      <c r="L53" t="s">
        <v>252</v>
      </c>
      <c r="M53" t="str">
        <f t="shared" ref="M53:M66" si="8">A53</f>
        <v xml:space="preserve">Seltzer, L., et al (2022). Climate regulatory risks and corporate bonds. In SSRN Electronic Journal. https://doi.org/10.2139/ssrn.4090897. </v>
      </c>
    </row>
    <row r="54" spans="1:13" ht="43.2" hidden="1" x14ac:dyDescent="0.3">
      <c r="A54" s="17" t="s">
        <v>176</v>
      </c>
      <c r="B54" s="17" t="str">
        <f t="shared" si="0"/>
        <v xml:space="preserve">Shad, M., et al (2022). The efficacy of sustainability reporting towards cost of debt and equity reduction. In Environmental Science and Pollution Research, 27/18, 22511–22522. https://doi.org/10.1007/s11356-020-08398-9. </v>
      </c>
      <c r="C54" t="s">
        <v>269</v>
      </c>
      <c r="D54">
        <v>2022</v>
      </c>
      <c r="E54" t="s">
        <v>301</v>
      </c>
      <c r="F54" t="s">
        <v>266</v>
      </c>
      <c r="G54" s="10" t="s">
        <v>307</v>
      </c>
      <c r="H54">
        <v>5.8</v>
      </c>
      <c r="I54" s="10" t="str">
        <f>IF(H54&gt;MEDIAN($H$2:$H$66),"1_JIF high","0_JIF low")</f>
        <v>1_JIF high</v>
      </c>
      <c r="J54" t="s">
        <v>311</v>
      </c>
      <c r="K54" s="10" t="s">
        <v>318</v>
      </c>
      <c r="L54" t="s">
        <v>252</v>
      </c>
      <c r="M54" t="str">
        <f t="shared" si="8"/>
        <v xml:space="preserve">Shad, M., et al (2022). The efficacy of sustainability reporting towards cost of debt and equity reduction. In Environmental Science and Pollution Research, 27/18, 22511–22522. https://doi.org/10.1007/s11356-020-08398-9. </v>
      </c>
    </row>
    <row r="55" spans="1:13" ht="57.6" hidden="1" x14ac:dyDescent="0.3">
      <c r="A55" s="17" t="s">
        <v>177</v>
      </c>
      <c r="B55" s="17" t="str">
        <f t="shared" si="0"/>
        <v>Srivisal, N. , et al (2021). Environmental, social and governance and creditworthiness: Two contrary evidence from major Asian markets. In Asian Academy of Management Journal of Accounting and Finance, 17/2, 161–187. https://doi.org/10.21315/aamjaf2021.17</v>
      </c>
      <c r="C55" t="s">
        <v>294</v>
      </c>
      <c r="D55">
        <v>2021</v>
      </c>
      <c r="E55" t="s">
        <v>301</v>
      </c>
      <c r="F55" t="s">
        <v>261</v>
      </c>
      <c r="G55" s="10" t="s">
        <v>307</v>
      </c>
      <c r="H55" t="s">
        <v>253</v>
      </c>
      <c r="I55" s="10" t="s">
        <v>323</v>
      </c>
      <c r="J55" t="s">
        <v>309</v>
      </c>
      <c r="K55" s="10" t="s">
        <v>317</v>
      </c>
      <c r="L55" t="s">
        <v>252</v>
      </c>
      <c r="M55" t="str">
        <f t="shared" si="8"/>
        <v xml:space="preserve">Srivisal, N. , et al (2021). Environmental, social and governance and creditworthiness: Two contrary evidence from major Asian markets. In Asian Academy of Management Journal of Accounting and Finance, 17/2, 161–187. https://doi.org/10.21315/aamjaf2021.17.2.7. </v>
      </c>
    </row>
    <row r="56" spans="1:13" ht="43.2" hidden="1" x14ac:dyDescent="0.3">
      <c r="A56" s="17" t="s">
        <v>178</v>
      </c>
      <c r="B56" s="17" t="str">
        <f t="shared" si="0"/>
        <v xml:space="preserve">Sze, A., et al (2021). Is the cost of corporate debt influenced by ESG factors? evidence from the EMEAP region. In SSRN Electronic Journal. https://doi.org/10.2139/ssrn.3995764. </v>
      </c>
      <c r="C56" t="s">
        <v>251</v>
      </c>
      <c r="D56">
        <v>2021</v>
      </c>
      <c r="E56" t="s">
        <v>302</v>
      </c>
      <c r="F56" t="s">
        <v>252</v>
      </c>
      <c r="G56" s="10" t="s">
        <v>323</v>
      </c>
      <c r="H56" t="s">
        <v>253</v>
      </c>
      <c r="I56" s="10" t="s">
        <v>323</v>
      </c>
      <c r="J56" t="s">
        <v>309</v>
      </c>
      <c r="K56" s="10" t="s">
        <v>317</v>
      </c>
      <c r="L56" t="s">
        <v>252</v>
      </c>
      <c r="M56" t="str">
        <f t="shared" si="8"/>
        <v xml:space="preserve">Sze, A., et al (2021). Is the cost of corporate debt influenced by ESG factors? evidence from the EMEAP region. In SSRN Electronic Journal. https://doi.org/10.2139/ssrn.3995764. </v>
      </c>
    </row>
    <row r="57" spans="1:13" ht="43.2" hidden="1" x14ac:dyDescent="0.3">
      <c r="A57" s="17" t="s">
        <v>179</v>
      </c>
      <c r="B57" s="17" t="str">
        <f t="shared" si="0"/>
        <v xml:space="preserve">Tan, J., et al (2021). The impact of air pollution on the cost of debt financing: Evidence from the bond market. In Business Strategy and the Environment, 31/1, 464–482. https://doi.org/10.1002/bse.2904. </v>
      </c>
      <c r="C57" t="s">
        <v>248</v>
      </c>
      <c r="D57">
        <v>2021</v>
      </c>
      <c r="E57" t="s">
        <v>301</v>
      </c>
      <c r="F57" t="s">
        <v>249</v>
      </c>
      <c r="G57" s="10" t="s">
        <v>306</v>
      </c>
      <c r="H57">
        <v>12.5</v>
      </c>
      <c r="I57" s="10" t="str">
        <f>IF(H57&gt;MEDIAN($H$2:$H$66),"1_JIF high","0_JIF low")</f>
        <v>1_JIF high</v>
      </c>
      <c r="J57" t="s">
        <v>308</v>
      </c>
      <c r="K57" s="10" t="s">
        <v>318</v>
      </c>
      <c r="L57" t="s">
        <v>252</v>
      </c>
      <c r="M57" t="str">
        <f t="shared" si="8"/>
        <v xml:space="preserve">Tan, J., et al (2021). The impact of air pollution on the cost of debt financing: Evidence from the bond market. In Business Strategy and the Environment, 31/1, 464–482. https://doi.org/10.1002/bse.2904. </v>
      </c>
    </row>
    <row r="58" spans="1:13" ht="43.2" hidden="1" x14ac:dyDescent="0.3">
      <c r="A58" s="17" t="s">
        <v>180</v>
      </c>
      <c r="B58" s="17" t="str">
        <f t="shared" si="0"/>
        <v xml:space="preserve">Temiz, H. (2022). Environmental performance and cost of finance: Evidence from emerging markets. In Sustainability Accounting, Management and Policy Journal, 13/5, 1229–1250. https://doi.org/10.1108/sampj-12-2021-0537. </v>
      </c>
      <c r="C58" t="s">
        <v>295</v>
      </c>
      <c r="D58">
        <v>2022</v>
      </c>
      <c r="E58" t="s">
        <v>301</v>
      </c>
      <c r="F58" t="s">
        <v>249</v>
      </c>
      <c r="G58" s="10" t="s">
        <v>306</v>
      </c>
      <c r="H58">
        <v>5.6</v>
      </c>
      <c r="I58" s="10" t="str">
        <f>IF(H58&gt;MEDIAN($H$2:$H$66),"1_JIF high","0_JIF low")</f>
        <v>1_JIF high</v>
      </c>
      <c r="J58" t="s">
        <v>308</v>
      </c>
      <c r="K58" s="10" t="s">
        <v>318</v>
      </c>
      <c r="L58" t="s">
        <v>252</v>
      </c>
      <c r="M58" t="str">
        <f t="shared" si="8"/>
        <v xml:space="preserve">Temiz, H. (2022). Environmental performance and cost of finance: Evidence from emerging markets. In Sustainability Accounting, Management and Policy Journal, 13/5, 1229–1250. https://doi.org/10.1108/sampj-12-2021-0537. </v>
      </c>
    </row>
    <row r="59" spans="1:13" ht="43.2" hidden="1" x14ac:dyDescent="0.3">
      <c r="A59" s="17" t="s">
        <v>181</v>
      </c>
      <c r="B59" s="17" t="str">
        <f t="shared" si="0"/>
        <v xml:space="preserve">Truong, T. &amp; Kim, J. (2019). Do corporate social responsibility activities reduce credit risk? short and long-term perspectives. In Sustainability, 11/24, 6962. https://doi.org/10.3390/su11246962. </v>
      </c>
      <c r="C59" t="s">
        <v>262</v>
      </c>
      <c r="D59">
        <v>2019</v>
      </c>
      <c r="E59" t="s">
        <v>301</v>
      </c>
      <c r="F59" t="s">
        <v>263</v>
      </c>
      <c r="G59" s="10" t="s">
        <v>307</v>
      </c>
      <c r="H59">
        <v>3.3</v>
      </c>
      <c r="I59" s="10" t="str">
        <f>IF(H59&gt;MEDIAN($H$2:$H$66),"1_JIF high","0_JIF low")</f>
        <v>0_JIF low</v>
      </c>
      <c r="J59" t="s">
        <v>308</v>
      </c>
      <c r="K59" s="10" t="s">
        <v>318</v>
      </c>
      <c r="L59" t="s">
        <v>252</v>
      </c>
      <c r="M59" t="str">
        <f t="shared" si="8"/>
        <v xml:space="preserve">Truong, T. &amp; Kim, J. (2019). Do corporate social responsibility activities reduce credit risk? short and long-term perspectives. In Sustainability, 11/24, 6962. https://doi.org/10.3390/su11246962. </v>
      </c>
    </row>
    <row r="60" spans="1:13" ht="43.2" hidden="1" x14ac:dyDescent="0.3">
      <c r="A60" s="17" t="s">
        <v>182</v>
      </c>
      <c r="B60" s="17" t="str">
        <f t="shared" si="0"/>
        <v xml:space="preserve">Wang, Y., et al (2020). Corporate carbon dioxide emissions and the cost of debt financing: Evidence from the Global Tourism Industry. In International Journal of Tourism Research, 23/1, 56–69. https://doi.org/10.1002/jtr.2392. </v>
      </c>
      <c r="C60" t="s">
        <v>296</v>
      </c>
      <c r="D60">
        <v>2020</v>
      </c>
      <c r="E60" t="s">
        <v>301</v>
      </c>
      <c r="F60" t="s">
        <v>261</v>
      </c>
      <c r="G60" s="10" t="s">
        <v>307</v>
      </c>
      <c r="H60">
        <v>3.6</v>
      </c>
      <c r="I60" s="10" t="str">
        <f>IF(H60&gt;MEDIAN($H$2:$H$66),"1_JIF high","0_JIF low")</f>
        <v>0_JIF low</v>
      </c>
      <c r="J60" t="s">
        <v>315</v>
      </c>
      <c r="K60" s="10" t="s">
        <v>319</v>
      </c>
      <c r="L60" t="s">
        <v>252</v>
      </c>
      <c r="M60" t="str">
        <f t="shared" si="8"/>
        <v xml:space="preserve">Wang, Y., et al (2020). Corporate carbon dioxide emissions and the cost of debt financing: Evidence from the Global Tourism Industry. In International Journal of Tourism Research, 23/1, 56–69. https://doi.org/10.1002/jtr.2392. </v>
      </c>
    </row>
    <row r="61" spans="1:13" ht="43.2" hidden="1" x14ac:dyDescent="0.3">
      <c r="A61" s="17" t="s">
        <v>183</v>
      </c>
      <c r="B61" s="17" t="str">
        <f t="shared" si="0"/>
        <v xml:space="preserve">Wang, A., et al (2022). Air Pollution, environmental violation risk, and the cost of debt: Evidence from China. In International Journal of Environmental Research and Public Health, 19/6, 3584. https://doi.org/10.3390/ijerph19063584. </v>
      </c>
      <c r="C61" t="s">
        <v>281</v>
      </c>
      <c r="D61">
        <v>2022</v>
      </c>
      <c r="E61" t="s">
        <v>301</v>
      </c>
      <c r="F61" t="s">
        <v>266</v>
      </c>
      <c r="G61" s="10" t="s">
        <v>307</v>
      </c>
      <c r="H61">
        <v>4.5999999999999996</v>
      </c>
      <c r="I61" s="10" t="str">
        <f>IF(H61&gt;MEDIAN($H$2:$H$66),"1_JIF high","0_JIF low")</f>
        <v>0_JIF low</v>
      </c>
      <c r="J61" t="s">
        <v>314</v>
      </c>
      <c r="K61" s="10" t="s">
        <v>319</v>
      </c>
      <c r="L61" t="s">
        <v>252</v>
      </c>
      <c r="M61" t="str">
        <f t="shared" si="8"/>
        <v xml:space="preserve">Wang, A., et al (2022). Air Pollution, environmental violation risk, and the cost of debt: Evidence from China. In International Journal of Environmental Research and Public Health, 19/6, 3584. https://doi.org/10.3390/ijerph19063584. </v>
      </c>
    </row>
    <row r="62" spans="1:13" ht="43.2" hidden="1" x14ac:dyDescent="0.3">
      <c r="A62" s="17" t="s">
        <v>184</v>
      </c>
      <c r="B62" s="17" t="str">
        <f t="shared" si="0"/>
        <v xml:space="preserve">Weber, O., et al (2010). Incorporating sustainability criteria into credit risk management. In Business Strategy and the Environment, 19/1, 39–50. https://doi.org/10.1002/bse.636. </v>
      </c>
      <c r="C62" t="s">
        <v>248</v>
      </c>
      <c r="D62">
        <v>2010</v>
      </c>
      <c r="E62" t="s">
        <v>301</v>
      </c>
      <c r="F62" t="s">
        <v>249</v>
      </c>
      <c r="G62" s="10" t="s">
        <v>306</v>
      </c>
      <c r="H62">
        <v>12.5</v>
      </c>
      <c r="I62" s="10" t="str">
        <f>IF(H62&gt;MEDIAN($H$2:$H$66),"1_JIF high","0_JIF low")</f>
        <v>1_JIF high</v>
      </c>
      <c r="J62" t="s">
        <v>308</v>
      </c>
      <c r="K62" s="10" t="s">
        <v>318</v>
      </c>
      <c r="L62" t="s">
        <v>252</v>
      </c>
      <c r="M62" t="str">
        <f t="shared" si="8"/>
        <v xml:space="preserve">Weber, O., et al (2010). Incorporating sustainability criteria into credit risk management. In Business Strategy and the Environment, 19/1, 39–50. https://doi.org/10.1002/bse.636. </v>
      </c>
    </row>
    <row r="63" spans="1:13" ht="57.6" hidden="1" x14ac:dyDescent="0.3">
      <c r="A63" s="17" t="s">
        <v>185</v>
      </c>
      <c r="B63" s="17" t="str">
        <f t="shared" si="0"/>
        <v>Yilmaz, I. (2022). ESG-based sustainability performance and its impact on cost of capital: International evidence from the energy sector. In International Journal of Applied Economics, Finance and Accounting, 12/2, 21–30. https://doi.org/10.33094/ijaefa.v</v>
      </c>
      <c r="C63" t="s">
        <v>297</v>
      </c>
      <c r="D63">
        <v>2022</v>
      </c>
      <c r="E63" t="s">
        <v>301</v>
      </c>
      <c r="F63" t="s">
        <v>266</v>
      </c>
      <c r="G63" s="10" t="s">
        <v>307</v>
      </c>
      <c r="H63" t="s">
        <v>253</v>
      </c>
      <c r="I63" s="10" t="s">
        <v>323</v>
      </c>
      <c r="J63" t="s">
        <v>309</v>
      </c>
      <c r="K63" s="10" t="s">
        <v>317</v>
      </c>
      <c r="L63" t="s">
        <v>252</v>
      </c>
      <c r="M63" t="str">
        <f t="shared" si="8"/>
        <v xml:space="preserve">Yilmaz, I. (2022). ESG-based sustainability performance and its impact on cost of capital: International evidence from the energy sector. In International Journal of Applied Economics, Finance and Accounting, 12/2, 21–30. https://doi.org/10.33094/ijaefa.v12i2.529. </v>
      </c>
    </row>
    <row r="64" spans="1:13" ht="57.6" hidden="1" x14ac:dyDescent="0.3">
      <c r="A64" s="17" t="s">
        <v>186</v>
      </c>
      <c r="B64" s="17" t="str">
        <f t="shared" si="0"/>
        <v>Zhou, Z., et al (2018). Carbon risk, cost of debt financing and the moderation effect of media attention: Evidence from Chinese companies operating in high‐carbon industries. In Business Strategy and the Environment, 27/8, 1131–1144. https://doi.org/10.10</v>
      </c>
      <c r="C64" t="s">
        <v>248</v>
      </c>
      <c r="D64">
        <v>2018</v>
      </c>
      <c r="E64" t="s">
        <v>301</v>
      </c>
      <c r="F64" t="s">
        <v>249</v>
      </c>
      <c r="G64" s="10" t="s">
        <v>306</v>
      </c>
      <c r="H64">
        <v>12.5</v>
      </c>
      <c r="I64" s="10" t="str">
        <f>IF(H64&gt;MEDIAN($H$2:$H$66),"1_JIF high","0_JIF low")</f>
        <v>1_JIF high</v>
      </c>
      <c r="J64" t="s">
        <v>308</v>
      </c>
      <c r="K64" s="10" t="s">
        <v>318</v>
      </c>
      <c r="L64" t="s">
        <v>252</v>
      </c>
      <c r="M64" t="str">
        <f t="shared" si="8"/>
        <v xml:space="preserve">Zhou, Z., et al (2018). Carbon risk, cost of debt financing and the moderation effect of media attention: Evidence from Chinese companies operating in high‐carbon industries. In Business Strategy and the Environment, 27/8, 1131–1144. https://doi.org/10.1002/bse.2056. </v>
      </c>
    </row>
    <row r="65" spans="1:13" ht="43.2" hidden="1" x14ac:dyDescent="0.3">
      <c r="A65" s="17" t="s">
        <v>187</v>
      </c>
      <c r="B65" s="17" t="str">
        <f t="shared" si="0"/>
        <v xml:space="preserve">Zhu, B. &amp; Zhao, Y. (2022). Carbon risk and the cost of bank loans: Evidence from China. In Technological Forecasting and Social Change, 180, 121741. https://doi.org/10.1016/j.techfore.2022.121741. </v>
      </c>
      <c r="C65" t="s">
        <v>298</v>
      </c>
      <c r="D65">
        <v>2022</v>
      </c>
      <c r="E65" t="s">
        <v>301</v>
      </c>
      <c r="F65" t="s">
        <v>249</v>
      </c>
      <c r="G65" s="10" t="s">
        <v>306</v>
      </c>
      <c r="H65">
        <v>12</v>
      </c>
      <c r="I65" s="10" t="str">
        <f>IF(H65&gt;MEDIAN($H$2:$H$66),"1_JIF high","0_JIF low")</f>
        <v>1_JIF high</v>
      </c>
      <c r="J65" t="s">
        <v>310</v>
      </c>
      <c r="K65" s="10" t="s">
        <v>319</v>
      </c>
      <c r="L65" t="s">
        <v>252</v>
      </c>
      <c r="M65" t="str">
        <f t="shared" si="8"/>
        <v xml:space="preserve">Zhu, B. &amp; Zhao, Y. (2022). Carbon risk and the cost of bank loans: Evidence from China. In Technological Forecasting and Social Change, 180, 121741. https://doi.org/10.1016/j.techfore.2022.121741. </v>
      </c>
    </row>
    <row r="66" spans="1:13" ht="57.6" x14ac:dyDescent="0.3">
      <c r="A66" s="17" t="s">
        <v>243</v>
      </c>
      <c r="B66" s="17" t="str">
        <f t="shared" ref="B66" si="9">MID(A66,1,255)</f>
        <v>Li, Y., Chen, R., &amp; Xiang, E. (2022). Corporate social responsibility, green financial system guidelines, and cost of debt financing: Evidence from pollution‐intensive industries in China. Corporate Social Responsibility and Environmental Management, 29(3</v>
      </c>
      <c r="C66" t="s">
        <v>268</v>
      </c>
      <c r="D66">
        <v>2022</v>
      </c>
      <c r="E66" t="s">
        <v>301</v>
      </c>
      <c r="F66" t="s">
        <v>249</v>
      </c>
      <c r="G66" s="10" t="s">
        <v>306</v>
      </c>
      <c r="H66">
        <v>9.8000000000000007</v>
      </c>
      <c r="I66" s="10" t="str">
        <f>IF(H66&gt;MEDIAN($H$2:$H$66),"1_JIF high","0_JIF low")</f>
        <v>1_JIF high</v>
      </c>
      <c r="J66" t="s">
        <v>308</v>
      </c>
      <c r="K66" s="10" t="s">
        <v>318</v>
      </c>
      <c r="L66" t="s">
        <v>252</v>
      </c>
      <c r="M66" t="str">
        <f t="shared" si="8"/>
        <v>Li, Y., Chen, R., &amp; Xiang, E. (2022). Corporate social responsibility, green financial system guidelines, and cost of debt financing: Evidence from pollution‐intensive industries in China. Corporate Social Responsibility and Environmental Management, 29(3), 593-608.</v>
      </c>
    </row>
  </sheetData>
  <autoFilter xmlns:x14="http://schemas.microsoft.com/office/spreadsheetml/2009/9/main" ref="A1:M66" xr:uid="{C08C26B4-2BFB-44EB-B8CB-7D80DD9F8BF8}">
    <filterColumn colId="0">
      <filters>
        <mc:AlternateContent xmlns:mc="http://schemas.openxmlformats.org/markup-compatibility/2006">
          <mc:Choice Requires="x14">
            <x14:filter val="Li, Y., Chen, R., &amp; Xiang, E. (2022). Corporate social responsibility, green financial system guidelines, and cost of debt financing: Evidence from pollution‐intensive industries in China. Corporate Social Responsibility and Environmental Management, 29(3), 593-608."/>
            <x14:filter val="Li, Y., Chen, R., et al (2021). Corporate Social Responsibility, Green Financial System Guidelines, and cost of debt financing: Evidence from pollution‐intensive industries in China. In Corporate Social Responsibility and Environmental Management, 29/3, 593–608. https://doi.org/10.1002/csr.2222."/>
            <x14:filter val="Li, Y., et al (2014). Carbon emissions and the cost of capital: Australian evidence. In Review of Accounting and Finance, 13/4, 400–420. https://doi.org/10.1108/raf-08-2012-0074."/>
          </mc:Choice>
          <mc:Fallback>
            <filter val="Li, Y., et al (2014). Carbon emissions and the cost of capital: Australian evidence. In Review of Accounting and Finance, 13/4, 400–420. https://doi.org/10.1108/raf-08-2012-0074."/>
          </mc:Fallback>
        </mc:AlternateContent>
      </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1484-D81E-434C-B5CE-207047C40B36}">
  <dimension ref="B6:D10"/>
  <sheetViews>
    <sheetView workbookViewId="0">
      <selection activeCell="D11" sqref="D11"/>
    </sheetView>
  </sheetViews>
  <sheetFormatPr baseColWidth="10" defaultRowHeight="14.4" x14ac:dyDescent="0.3"/>
  <sheetData>
    <row r="6" spans="2:4" x14ac:dyDescent="0.3">
      <c r="B6" t="s">
        <v>361</v>
      </c>
      <c r="C6" t="s">
        <v>362</v>
      </c>
      <c r="D6" t="s">
        <v>363</v>
      </c>
    </row>
    <row r="7" spans="2:4" x14ac:dyDescent="0.3">
      <c r="B7" t="s">
        <v>364</v>
      </c>
      <c r="C7" t="s">
        <v>362</v>
      </c>
      <c r="D7" t="s">
        <v>365</v>
      </c>
    </row>
    <row r="8" spans="2:4" x14ac:dyDescent="0.3">
      <c r="B8" t="s">
        <v>366</v>
      </c>
      <c r="C8" t="s">
        <v>362</v>
      </c>
      <c r="D8" t="s">
        <v>367</v>
      </c>
    </row>
    <row r="9" spans="2:4" x14ac:dyDescent="0.3">
      <c r="B9" t="s">
        <v>368</v>
      </c>
      <c r="C9" t="s">
        <v>362</v>
      </c>
      <c r="D9" t="s">
        <v>365</v>
      </c>
    </row>
    <row r="10" spans="2:4" x14ac:dyDescent="0.3">
      <c r="B10" t="s">
        <v>370</v>
      </c>
      <c r="C10" t="s">
        <v>362</v>
      </c>
      <c r="D10" t="s">
        <v>371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684F-777D-4EB3-AE43-8BEFD00A247F}">
  <dimension ref="B2:E5"/>
  <sheetViews>
    <sheetView workbookViewId="0">
      <selection activeCell="E4" sqref="E4"/>
    </sheetView>
  </sheetViews>
  <sheetFormatPr baseColWidth="10" defaultRowHeight="14.4" x14ac:dyDescent="0.3"/>
  <cols>
    <col min="2" max="2" width="7.21875" customWidth="1"/>
    <col min="3" max="3" width="41.6640625" bestFit="1" customWidth="1"/>
    <col min="4" max="4" width="7.21875" customWidth="1"/>
    <col min="5" max="5" width="42.6640625" bestFit="1" customWidth="1"/>
  </cols>
  <sheetData>
    <row r="2" spans="2:5" x14ac:dyDescent="0.3">
      <c r="B2" t="s">
        <v>356</v>
      </c>
      <c r="C2" t="s">
        <v>353</v>
      </c>
      <c r="D2" t="s">
        <v>357</v>
      </c>
      <c r="E2" t="s">
        <v>358</v>
      </c>
    </row>
    <row r="3" spans="2:5" x14ac:dyDescent="0.3">
      <c r="B3" t="s">
        <v>356</v>
      </c>
      <c r="C3" t="s">
        <v>354</v>
      </c>
      <c r="D3" t="s">
        <v>357</v>
      </c>
      <c r="E3" t="s">
        <v>355</v>
      </c>
    </row>
    <row r="4" spans="2:5" x14ac:dyDescent="0.3">
      <c r="B4" t="s">
        <v>356</v>
      </c>
      <c r="C4" t="s">
        <v>352</v>
      </c>
      <c r="D4" t="s">
        <v>357</v>
      </c>
      <c r="E4" t="s">
        <v>359</v>
      </c>
    </row>
    <row r="5" spans="2:5" x14ac:dyDescent="0.3">
      <c r="B5" t="s">
        <v>356</v>
      </c>
      <c r="C5" t="s">
        <v>351</v>
      </c>
      <c r="D5" t="s">
        <v>357</v>
      </c>
      <c r="E5" t="s">
        <v>360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data</vt:lpstr>
      <vt:lpstr>country_lookup</vt:lpstr>
      <vt:lpstr>source_lookup</vt:lpstr>
      <vt:lpstr>notes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Witte</dc:creator>
  <cp:lastModifiedBy>Robert Witte</cp:lastModifiedBy>
  <dcterms:created xsi:type="dcterms:W3CDTF">2026-06-29T19:21:59Z</dcterms:created>
  <dcterms:modified xsi:type="dcterms:W3CDTF">2026-07-04T11:08:45Z</dcterms:modified>
</cp:coreProperties>
</file>