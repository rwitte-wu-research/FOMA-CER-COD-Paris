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_Projects\FOMA-CER-COD-Paris\output\"/>
    </mc:Choice>
  </mc:AlternateContent>
  <xr:revisionPtr revIDLastSave="0" documentId="11_9197094AC06BA1713BDFF3F28B3A6534A74D14DB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1_README" sheetId="1" r:id="rId1"/>
    <sheet name="2_Methodology" sheetId="2" r:id="rId2"/>
    <sheet name="3_Interpretation_Guide" sheetId="3" r:id="rId3"/>
    <sheet name="4_Formula_Reference" sheetId="4" r:id="rId4"/>
    <sheet name="5_Data_Provenance" sheetId="5" r:id="rId5"/>
    <sheet name="6_A1_Main_Results" sheetId="6" r:id="rId6"/>
    <sheet name="7_A2_Heterogeneity" sheetId="7" r:id="rId7"/>
    <sheet name="8_A3_Periods_PI" sheetId="8" r:id="rId8"/>
    <sheet name="9_A4_A5_Sensitivity" sheetId="9" r:id="rId9"/>
    <sheet name="10_A6_Economic_Translation" sheetId="10" r:id="rId10"/>
    <sheet name="11_Results_Long" sheetId="11" r:id="rId11"/>
    <sheet name="12_Manuscript_Inputs" sheetId="12" r:id="rId12"/>
    <sheet name="13_Manuscript_Text_Blocks" sheetId="13" r:id="rId13"/>
  </sheets>
  <definedNames>
    <definedName name="_xlnm._FilterDatabase" localSheetId="10" hidden="1">'11_Results_Long'!$A$1:$AI$16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2" l="1"/>
  <c r="I13" i="12"/>
  <c r="D13" i="12"/>
  <c r="I12" i="12"/>
  <c r="D12" i="12"/>
  <c r="I11" i="12"/>
  <c r="D11" i="12"/>
  <c r="I10" i="12"/>
  <c r="H10" i="12"/>
  <c r="G10" i="12"/>
  <c r="F10" i="12"/>
  <c r="E10" i="12"/>
  <c r="D10" i="12"/>
  <c r="I9" i="12"/>
  <c r="H9" i="12"/>
  <c r="G9" i="12"/>
  <c r="F9" i="12"/>
  <c r="E9" i="12"/>
  <c r="D9" i="12"/>
  <c r="I8" i="12"/>
  <c r="G8" i="12"/>
  <c r="F8" i="12"/>
  <c r="E8" i="12"/>
  <c r="D8" i="12"/>
  <c r="I7" i="12"/>
  <c r="D7" i="12"/>
  <c r="I6" i="12"/>
  <c r="H6" i="12"/>
  <c r="G6" i="12"/>
  <c r="F6" i="12"/>
  <c r="E6" i="12"/>
  <c r="D6" i="12"/>
  <c r="C9" i="10"/>
  <c r="C8" i="10"/>
  <c r="C7" i="10"/>
  <c r="C6" i="10"/>
  <c r="M12" i="9"/>
  <c r="L12" i="9"/>
  <c r="K12" i="9"/>
  <c r="J12" i="9"/>
  <c r="I12" i="9"/>
  <c r="H12" i="9"/>
  <c r="G12" i="9"/>
  <c r="F12" i="9"/>
  <c r="E12" i="9"/>
  <c r="D12" i="9"/>
  <c r="C12" i="9"/>
  <c r="B12" i="9"/>
  <c r="M11" i="9"/>
  <c r="L11" i="9"/>
  <c r="K11" i="9"/>
  <c r="J11" i="9"/>
  <c r="I11" i="9"/>
  <c r="H11" i="9"/>
  <c r="G11" i="9"/>
  <c r="F11" i="9"/>
  <c r="E11" i="9"/>
  <c r="D11" i="9"/>
  <c r="C11" i="9"/>
  <c r="B11" i="9"/>
  <c r="M10" i="9"/>
  <c r="L10" i="9"/>
  <c r="K10" i="9"/>
  <c r="J10" i="9"/>
  <c r="I10" i="9"/>
  <c r="H10" i="9"/>
  <c r="G10" i="9"/>
  <c r="F10" i="9"/>
  <c r="E10" i="9"/>
  <c r="D10" i="9"/>
  <c r="C10" i="9"/>
  <c r="B10" i="9"/>
  <c r="M9" i="9"/>
  <c r="L9" i="9"/>
  <c r="K9" i="9"/>
  <c r="J9" i="9"/>
  <c r="I9" i="9"/>
  <c r="H9" i="9"/>
  <c r="G9" i="9"/>
  <c r="F9" i="9"/>
  <c r="E9" i="9"/>
  <c r="D9" i="9"/>
  <c r="C9" i="9"/>
  <c r="B9" i="9"/>
  <c r="M8" i="9"/>
  <c r="L8" i="9"/>
  <c r="K8" i="9"/>
  <c r="J8" i="9"/>
  <c r="I8" i="9"/>
  <c r="H8" i="9"/>
  <c r="G8" i="9"/>
  <c r="F8" i="9"/>
  <c r="E8" i="9"/>
  <c r="D8" i="9"/>
  <c r="C8" i="9"/>
  <c r="B8" i="9"/>
  <c r="M7" i="9"/>
  <c r="L7" i="9"/>
  <c r="K7" i="9"/>
  <c r="J7" i="9"/>
  <c r="I7" i="9"/>
  <c r="H7" i="9"/>
  <c r="G7" i="9"/>
  <c r="F7" i="9"/>
  <c r="E7" i="9"/>
  <c r="D7" i="9"/>
  <c r="C7" i="9"/>
  <c r="B7" i="9"/>
  <c r="M6" i="9"/>
  <c r="L6" i="9"/>
  <c r="K6" i="9"/>
  <c r="J6" i="9"/>
  <c r="I6" i="9"/>
  <c r="H6" i="9"/>
  <c r="G6" i="9"/>
  <c r="F6" i="9"/>
  <c r="E6" i="9"/>
  <c r="D6" i="9"/>
  <c r="C6" i="9"/>
  <c r="B6" i="9"/>
  <c r="K8" i="8"/>
  <c r="J8" i="8"/>
  <c r="I8" i="8"/>
  <c r="H8" i="8"/>
  <c r="G8" i="8"/>
  <c r="F8" i="8"/>
  <c r="E8" i="8"/>
  <c r="D8" i="8"/>
  <c r="C8" i="8"/>
  <c r="B8" i="8"/>
  <c r="K7" i="8"/>
  <c r="J7" i="8"/>
  <c r="I7" i="8"/>
  <c r="H7" i="8"/>
  <c r="G7" i="8"/>
  <c r="F7" i="8"/>
  <c r="E7" i="8"/>
  <c r="D7" i="8"/>
  <c r="C7" i="8"/>
  <c r="B7" i="8"/>
  <c r="K6" i="8"/>
  <c r="J6" i="8"/>
  <c r="I6" i="8"/>
  <c r="H6" i="8"/>
  <c r="G6" i="8"/>
  <c r="F6" i="8"/>
  <c r="E6" i="8"/>
  <c r="D6" i="8"/>
  <c r="C6" i="8"/>
  <c r="B6" i="8"/>
  <c r="B13" i="7"/>
  <c r="B12" i="7"/>
  <c r="C9" i="7"/>
  <c r="B9" i="7"/>
  <c r="C8" i="7"/>
  <c r="B8" i="7"/>
  <c r="C7" i="7"/>
  <c r="B7" i="7"/>
  <c r="C6" i="7"/>
  <c r="B6" i="7"/>
  <c r="C14" i="6"/>
  <c r="B14" i="6"/>
  <c r="C13" i="6"/>
  <c r="B13" i="6"/>
  <c r="C12" i="6"/>
  <c r="B12" i="6"/>
  <c r="C11" i="6"/>
  <c r="B11" i="6"/>
  <c r="B10" i="6"/>
  <c r="B9" i="6"/>
  <c r="B8" i="6"/>
  <c r="B7" i="6"/>
  <c r="C6" i="6"/>
  <c r="B6" i="6"/>
</calcChain>
</file>

<file path=xl/sharedStrings.xml><?xml version="1.0" encoding="utf-8"?>
<sst xmlns="http://schemas.openxmlformats.org/spreadsheetml/2006/main" count="620" uniqueCount="477">
  <si>
    <t>FOMA CER-COD (Paris) -- T1 Results Workbook: Block A (A1-A8)</t>
  </si>
  <si>
    <t>Per-run results workbook per Setup par.5/par.7 (SOMA template) -- frontmatter + analysis tabs + Manuscript Inputs</t>
  </si>
  <si>
    <t>Canonical run 2026-07-13 20:39 CEST | verifier R/01_verify_outputs.R: 21/21 PASS | seed 20260710</t>
  </si>
  <si>
    <t>Item</t>
  </si>
  <si>
    <t>Value</t>
  </si>
  <si>
    <t>Version</t>
  </si>
  <si>
    <t>v1 (T1 canonical run, 2026-07-13)</t>
  </si>
  <si>
    <t>Method</t>
  </si>
  <si>
    <t>Three-level meta-analysis with robust variance estimation (3LMA-RVE) on Fisher-z PCC; CR2/Satterthwaite on cluster_id; see 2_Methodology</t>
  </si>
  <si>
    <t>Repo</t>
  </si>
  <si>
    <t>github.com/rwitte-wu-research/FOMA-CER-COD-Paris (main); local C:\R_Projects\FOMA-CER-COD-Paris</t>
  </si>
  <si>
    <t>Computational stack</t>
  </si>
  <si>
    <t>R 4.6.1 (ucrt, Win 11) | metafor 5.0-1 | clubSandwich 0.7.0 | ggplot2 4.0.3 | renv consistent</t>
  </si>
  <si>
    <t>Scripts</t>
  </si>
  <si>
    <t>R/01_core.R + paired verifier R/01_verify_outputs.R; prompt docs/cc_prompt_T1.md</t>
  </si>
  <si>
    <t>Decision basis</t>
  </si>
  <si>
    <t>[DEC-031/031a] battery Block A | [DEC-042/042a] v12 + estimation set | [DEC-042b] period-NA rule | [DEC-012/012a] economic translation | F53-F57 rulings</t>
  </si>
  <si>
    <t>TAB-INDEX</t>
  </si>
  <si>
    <t>Tab</t>
  </si>
  <si>
    <t>Content</t>
  </si>
  <si>
    <t>1_README</t>
  </si>
  <si>
    <t>this tab</t>
  </si>
  <si>
    <t>2_Methodology</t>
  </si>
  <si>
    <t>Quantity | Formula | Reference</t>
  </si>
  <si>
    <t>3_Interpretation_Guide</t>
  </si>
  <si>
    <t>Quantity | Meaning | Decision rule</t>
  </si>
  <si>
    <t>4_Formula_Reference</t>
  </si>
  <si>
    <t>Quantity | R call | Reference</t>
  </si>
  <si>
    <t>5_Data_Provenance</t>
  </si>
  <si>
    <t>Item | Value | Source</t>
  </si>
  <si>
    <t>6_A1_Main_Results</t>
  </si>
  <si>
    <t>headline pooled effect, both scales, interpretation, reviewer Q&amp;A</t>
  </si>
  <si>
    <t>7_A2_Heterogeneity</t>
  </si>
  <si>
    <t>variance decomposition + prediction interval</t>
  </si>
  <si>
    <t>8_A3_Periods_PI</t>
  </si>
  <si>
    <t>pre/post-Paris subsets, PIs (descriptive; test = B1)</t>
  </si>
  <si>
    <t>9_A4_A5_Sensitivity</t>
  </si>
  <si>
    <t>rho grid + estimator robustness vs headline (Delta, %Delta, CI overlap) + verdict</t>
  </si>
  <si>
    <t>10_A6_Economic_Translation</t>
  </si>
  <si>
    <t>bp translation (PENDING DEC-012a) + Doucouliagos ratio</t>
  </si>
  <si>
    <t>11_Results_Long</t>
  </si>
  <si>
    <t>verbatim transport of output/T1_results.csv (15 x 35, full precision)</t>
  </si>
  <si>
    <t>12_Manuscript_Inputs</t>
  </si>
  <si>
    <t>copy-paste-ready values (formulas from 11_Results_Long)</t>
  </si>
  <si>
    <t>13_Manuscript_Text_Blocks</t>
  </si>
  <si>
    <t>copy-paste-ready English prose blocks (READY / BLOCKED / DRAFT status; framing-neutral until Ablauf 3b)</t>
  </si>
  <si>
    <t>Methodology -- estimators and constructions used in Block A</t>
  </si>
  <si>
    <t>All conventions fixed a priori; source pointers per project notation</t>
  </si>
  <si>
    <t>Quantity</t>
  </si>
  <si>
    <t>Formula / Construction</t>
  </si>
  <si>
    <t>Reference</t>
  </si>
  <si>
    <t>Effect size</t>
  </si>
  <si>
    <t>z = atanh(r_p); v = 1/(n_eff - 3); n_eff = column-E basis (n_obs, else n_firms x window years)</t>
  </si>
  <si>
    <t>van Aert (2023); [DEC-042a D31.6]</t>
  </si>
  <si>
    <t>Headline model</t>
  </si>
  <si>
    <t>rma.mv(z, V, random = ~1|cluster_id/study/esid, REML)</t>
  </si>
  <si>
    <t>Pustejovsky &amp; Tipton (2022); van den Noortgate et al. (2013, 2015); [DEC-031 D31.1]</t>
  </si>
  <si>
    <t>Working covariance V</t>
  </si>
  <si>
    <t>CHE blocks: impute_covariance_matrix(v, cluster = cluster_id, r = 0.6); grid rho in {0.4, 0.8}</t>
  </si>
  <si>
    <t>[DEC-017; E1; F56: sample-overlap cluster]</t>
  </si>
  <si>
    <t>Robust inference</t>
  </si>
  <si>
    <t>CR2 with Satterthwaite df, clustered on cluster_id (coef_test / conf_int)</t>
  </si>
  <si>
    <t>Tipton &amp; Pustejovsky (2015); [plan par.5]</t>
  </si>
  <si>
    <t>Prediction interval</t>
  </si>
  <si>
    <t>b +/- t(df_Satt) * sqrt(SE_CR2^2 + sigma2_cluster + sigma2_study + omega2_esid) -- ALL three components</t>
  </si>
  <si>
    <t>[F55; plan Addendum A.8]</t>
  </si>
  <si>
    <t>Variance shares</t>
  </si>
  <si>
    <t>pct_i = sigma2_i / (sum sigma2 + v_typ); v_typ = Higgins-Thompson typical sampling variance</t>
  </si>
  <si>
    <t>Borenstein et al. (2017) I2 machinery</t>
  </si>
  <si>
    <t>One-effect-per-cluster</t>
  </si>
  <si>
    <t>aggregate.escalc (CS, rho = 0.6) within cluster_id -&gt; rma REML + Knapp-Hartung, k = 114</t>
  </si>
  <si>
    <t>Borenstein et al. (2009); [DEC-031a.4]</t>
  </si>
  <si>
    <t>UWLS+3</t>
  </si>
  <si>
    <t>rp3 = t/sqrt(t^2 + df + 3); var3 = 1/(t^2 + df + 3); df ~= n_eff; WLS; CR2 on cluster_id</t>
  </si>
  <si>
    <t>Stanley et al. (2024) Eq 2/4/9; [F21; F54]</t>
  </si>
  <si>
    <t>HS bare-bones</t>
  </si>
  <si>
    <t>r_bar = sum(n r)/sum(n); SE = SD_w/sqrt(k), k = 2,713 ES (anti-conservative, disclosed)</t>
  </si>
  <si>
    <t>Stanley et al. (2025) Eq 9-11; Hunter &amp; Schmidt (2004); [F54]</t>
  </si>
  <si>
    <t>WAAP</t>
  </si>
  <si>
    <t>adequately powered iff SE_i &lt;= |UWLS+3|/2.8; UWLS on powered subset; &lt;2 powered -&gt; UWLS fallback</t>
  </si>
  <si>
    <t>Stanley, Doucouliagos &amp; Ioannidis (2017)</t>
  </si>
  <si>
    <t>Economic translation</t>
  </si>
  <si>
    <t>Delta COD (bp) per 1-SD CER = tanh(z_pooled) x SD_COD_bp; constants = instrument-level medians (loan/bond/CDS)</t>
  </si>
  <si>
    <t>[DEC-012; DEC-012a -- constants PENDING]</t>
  </si>
  <si>
    <t>Period cells</t>
  </si>
  <si>
    <t>pp_mid_lag0 (mid &gt;= 2015.5); 8 ES / 2 studies window-undefined drop listwise from period cells only</t>
  </si>
  <si>
    <t>[Addendum A.3; DEC-042b]</t>
  </si>
  <si>
    <t>Interpretation guide -- how to read each quantity</t>
  </si>
  <si>
    <t>Meaning</t>
  </si>
  <si>
    <t>Decision rule</t>
  </si>
  <si>
    <t>est_r</t>
  </si>
  <si>
    <t>Pooled partial correlation CER -&gt; COD (negative = CER associated with lower COD)</t>
  </si>
  <si>
    <t>|r| &lt; 0.07 = below the field's 'small' benchmark (Doucouliagos 2011)</t>
  </si>
  <si>
    <t>95% CI</t>
  </si>
  <si>
    <t>Precision of the MEAN effect</t>
  </si>
  <si>
    <t>Excludes 0 -&gt; nonzero average association</t>
  </si>
  <si>
    <t>95% PI</t>
  </si>
  <si>
    <t>Plausible range of a SINGLE new effect (all heterogeneity levels)</t>
  </si>
  <si>
    <t>Sign-inclusive -&gt; heterogeneity dominates; report PI alongside mean (N4)</t>
  </si>
  <si>
    <t>df (Satterthwaite)</t>
  </si>
  <si>
    <t>Effective number of independent clusters behind the estimate</t>
  </si>
  <si>
    <t>df &lt; 4 -&gt; CI unreliable (Tipton); F57: disclose, rely on point estimate</t>
  </si>
  <si>
    <t>Where heterogeneity lives (cluster / study / ES / sampling)</t>
  </si>
  <si>
    <t>Large ES-level share -&gt; within-study moderators matter (Blocks C/E)</t>
  </si>
  <si>
    <t>Delta / %Delta vs headline</t>
  </si>
  <si>
    <t>Estimator sensitivity of the pooled mean</t>
  </si>
  <si>
    <t>Same sign + CI overlap -&gt; robust; magnitude shifts -&gt; explain mechanism</t>
  </si>
  <si>
    <t>CI overlap</t>
  </si>
  <si>
    <t>Spec CI intersects headline CI (z scale)</t>
  </si>
  <si>
    <t>'yes' across all specs -&gt; no estimator drives the conclusion</t>
  </si>
  <si>
    <t>PENDING DEC-012a</t>
  </si>
  <si>
    <t>bp values rest on placeholder SD constants</t>
  </si>
  <si>
    <t>Do NOT quote bp in the manuscript until DEC-012a constants land</t>
  </si>
  <si>
    <t>Formula reference -- exact R calls (see R/01_core.R)</t>
  </si>
  <si>
    <t>R call</t>
  </si>
  <si>
    <t>Reference / section</t>
  </si>
  <si>
    <t>Headline fit</t>
  </si>
  <si>
    <t>metafor::rma.mv(yi, V, random = ~1|cluster/study/esid, sparse = TRUE, method = 'REML')</t>
  </si>
  <si>
    <t>R/01_core.R par.4 (fit_3lma)</t>
  </si>
  <si>
    <t>V blocks</t>
  </si>
  <si>
    <t>clubSandwich::impute_covariance_matrix(vi, cluster = cluster_id, r = rho)</t>
  </si>
  <si>
    <t>R/01_core.R (fit_3lma); F56 comment</t>
  </si>
  <si>
    <t>CR2 inference</t>
  </si>
  <si>
    <t>clubSandwich::coef_test(m, vcov='CR2', cluster, test='Satterthwaite'); conf_int(...)</t>
  </si>
  <si>
    <t>R/01_core.R (rob_stats)</t>
  </si>
  <si>
    <t>qt(.975, df_Satt) * sqrt(SE_CR2^2 + sum(sigma2))</t>
  </si>
  <si>
    <t>R/01_core.R (pi_bounds); F55</t>
  </si>
  <si>
    <t>Typical v</t>
  </si>
  <si>
    <t>(k-1) * sum(w) / (sum(w)^2 - sum(w^2)), w = 1/vi</t>
  </si>
  <si>
    <t>R/01_core.R (typical_v)</t>
  </si>
  <si>
    <t>Cluster aggregation</t>
  </si>
  <si>
    <t>metafor::escalc(measure='GEN') -&gt; aggregate(esc, cluster, rho = 0.6)</t>
  </si>
  <si>
    <t>R/01_core.R (agg_rho)</t>
  </si>
  <si>
    <t>One-per-cluster RE</t>
  </si>
  <si>
    <t>metafor::rma(yi, vi, method='REML', test='knha')</t>
  </si>
  <si>
    <t>R/01_core.R par.8a</t>
  </si>
  <si>
    <t>lm(rp3 ~ 1, weights = 1/var3); clubSandwich::coef_test(fit, 'CR2', cluster)</t>
  </si>
  <si>
    <t>R/01_core.R par.8b; Stanley et al. 2024</t>
  </si>
  <si>
    <t>HS</t>
  </si>
  <si>
    <t>sum(n*r)/sum(n); sqrt(sum(n*(r-rbar)^2)/sum(n)/k)</t>
  </si>
  <si>
    <t>R/01_core.R par.8c</t>
  </si>
  <si>
    <t>WAAP subset</t>
  </si>
  <si>
    <t>powered &lt;- sqrt(var3) &lt;= abs(uwls3)/2.8; lm on subset + CR2</t>
  </si>
  <si>
    <t>R/01_core.R par.8d</t>
  </si>
  <si>
    <t>bp translation</t>
  </si>
  <si>
    <t>tanh(z_pooled) * SD_COD_bp (grid; PENDING DEC-012a)</t>
  </si>
  <si>
    <t>R/01_core.R par.9</t>
  </si>
  <si>
    <t>Data provenance -- run and input identity</t>
  </si>
  <si>
    <t>Source</t>
  </si>
  <si>
    <t>Raw data</t>
  </si>
  <si>
    <t>data/CER-COD_data_v12.xlsx (canonical, frozen)</t>
  </si>
  <si>
    <t>[DEC-042; commit 63356a7]</t>
  </si>
  <si>
    <t>Estimation set</t>
  </si>
  <si>
    <t>2,713 ES / 115 studies / 114 clusters</t>
  </si>
  <si>
    <t>[DEC-042a]</t>
  </si>
  <si>
    <t>Prep object</t>
  </si>
  <si>
    <t>output/dat_prep.rds -- list(pr$dat, pr$n = 2713, pr$seed = 20260710)</t>
  </si>
  <si>
    <t>R/00_prep.R; md5 6702ef3dc45fe0b693b13f50ebd1576b</t>
  </si>
  <si>
    <t>Period NA</t>
  </si>
  <si>
    <t>8 ES / 2 studies (Bhattacharya &amp; Sharma 2019; Ng &amp; Rezaee 2012) -- design fact, listwise out of period cells only</t>
  </si>
  <si>
    <t>[DEC-042b]</t>
  </si>
  <si>
    <t>Run</t>
  </si>
  <si>
    <t>2026-07-13 20:39:15 CEST, Claude Code canonical (docs/cc_prompt_T1.md)</t>
  </si>
  <si>
    <t>output/T1_run_meta.txt</t>
  </si>
  <si>
    <t>Verifier</t>
  </si>
  <si>
    <t>R/01_verify_outputs.R -- 21/21 PASS; O18: min 3LMA df 27.52; appendix df 2.28 / 2.22 (F57)</t>
  </si>
  <si>
    <t>CC run report</t>
  </si>
  <si>
    <t>Results</t>
  </si>
  <si>
    <t>output/T1_results.csv (15 rows x 35 cols) -- verbatim in 11_Results_Long</t>
  </si>
  <si>
    <t>this workbook</t>
  </si>
  <si>
    <t>Figures</t>
  </si>
  <si>
    <t>output/figures/T1_A7_caterpillar_cluster.pdf/.png; T1_A8_forest_study.pdf</t>
  </si>
  <si>
    <t>R/01_core.R par.10-11</t>
  </si>
  <si>
    <t>SD_COD grid</t>
  </si>
  <si>
    <t>100 / 150 / 200 bp -- PLACEHOLDER, PENDING DEC-012a (Volker instrument-median extraction)</t>
  </si>
  <si>
    <t>[DEC-012a]</t>
  </si>
  <si>
    <t>Known warning</t>
  </si>
  <si>
    <t>impute_covariance_matrix() deprecation (clubSandwich &gt;= 0.5.11) -- frozen by design; maintenance DEC later</t>
  </si>
  <si>
    <t>CC session notes</t>
  </si>
  <si>
    <t>A1 -- Headline pooled effect (3LMA-RVE, rho = 0.6, CR2/Satterthwaite on cluster_id)</t>
  </si>
  <si>
    <t>k = 2,713 ES / 115 studies / 114 clusters [DEC-042a] | spec label: headline</t>
  </si>
  <si>
    <t>Run 2026-07-13 | verifier 21/21 PASS</t>
  </si>
  <si>
    <t>Fisher z</t>
  </si>
  <si>
    <t>r (reporting scale)</t>
  </si>
  <si>
    <t>Estimate</t>
  </si>
  <si>
    <t>SE</t>
  </si>
  <si>
    <t>t</t>
  </si>
  <si>
    <t>p</t>
  </si>
  <si>
    <t>95% CI lower</t>
  </si>
  <si>
    <t>95% CI upper</t>
  </si>
  <si>
    <t>95% PI lower</t>
  </si>
  <si>
    <t>95% PI upper</t>
  </si>
  <si>
    <t>Interpretation</t>
  </si>
  <si>
    <t>Small, precisely estimated negative pooled association: r = -0.059 [-0.086; -0.031], p &lt; 0.0001.</t>
  </si>
  <si>
    <t>Magnitude sits at 0.84x the Doucouliagos (2011) 'small' benchmark (0.07) -- economically modest by the field's own yardstick.</t>
  </si>
  <si>
    <t>The mean is not the story: see 7_A2 -- the 95% PI is sign-inclusive; heterogeneity carries the substantive message.</t>
  </si>
  <si>
    <t>Reviewer Q&amp;A</t>
  </si>
  <si>
    <t>Question</t>
  </si>
  <si>
    <t>Answer</t>
  </si>
  <si>
    <t>Why Fisher-z PCC rather than raw correlations?</t>
  </si>
  <si>
    <t>97% of the corpus are partial correlations from regressions; Fisher-z stabilizes variances (van Aert 2023); back-transform is for reporting only.</t>
  </si>
  <si>
    <t>A p &lt; 0.0001 headline -- does that not contradict the paper's null thesis?</t>
  </si>
  <si>
    <t>No. The null thesis concerns the PARIS moderation, not the level. The level is small-negative and precise; the Paris contrast is B1's test.</t>
  </si>
  <si>
    <t>Why CR2 on cluster_id rather than study?</t>
  </si>
  <si>
    <t>The one multi-study cluster exists because of sample overlap (F56) -- sampling errors correlate at cluster level; CR2 on the coarser unit is the conservative, substantively correct choice.</t>
  </si>
  <si>
    <t>Verdict: The headline association is real but small; its economic reading (A6) and its heterogeneity envelope (A2/A3), not its p-value, drive the manuscript.</t>
  </si>
  <si>
    <t>A2 -- Variance decomposition + A3 overall prediction interval</t>
  </si>
  <si>
    <t>3LMA-RVE variance components; shares vs Higgins-Thompson typical sampling variance</t>
  </si>
  <si>
    <t>Run 2026-07-13 | verifier O8 PASS (shares sum to 1)</t>
  </si>
  <si>
    <t>Component</t>
  </si>
  <si>
    <t>Value (z^2 scale)</t>
  </si>
  <si>
    <t>Share</t>
  </si>
  <si>
    <t>sigma2 cluster (between clusters)</t>
  </si>
  <si>
    <t>Dominant layer: population/design differences between author-clusters</t>
  </si>
  <si>
    <t>sigma2 study (within cluster)</t>
  </si>
  <si>
    <t>At boundary (~0): only ONE multi-study cluster exists -- weakly identified by design [DEC-042a]; battery wording '+where estimable' anticipated this</t>
  </si>
  <si>
    <t>omega2 ES (within study)</t>
  </si>
  <si>
    <t>Substantial within-study spread -&gt; specification choices inside papers matter (Blocks C/E)</t>
  </si>
  <si>
    <t>Typical sampling variance</t>
  </si>
  <si>
    <t>Negligible: differences are real heterogeneity, not noise</t>
  </si>
  <si>
    <t>95% prediction interval (r scale)</t>
  </si>
  <si>
    <t>PI lower</t>
  </si>
  <si>
    <t>PI upper</t>
  </si>
  <si>
    <t>The PI [-0.390; +0.287] is sign-inclusive: a single new study can plausibly find either direction.</t>
  </si>
  <si>
    <t>This is the N4 statement: report the PI alongside the mean; the pooled average alone would overstate consensus.</t>
  </si>
  <si>
    <t>62% of variance lies between clusters, 38% within studies, &lt;1% study-within-cluster (boundary) and sampling.</t>
  </si>
  <si>
    <t>Is a pooled mean meaningful under a sign-inclusive PI?</t>
  </si>
  <si>
    <t>Yes, as the average association -- but the manuscript reports PI and mean together (N4) and builds the contribution on heterogeneity, not on a universal effect.</t>
  </si>
  <si>
    <t>Why is the study level ~0?</t>
  </si>
  <si>
    <t>113 of 114 clusters contain exactly one study; the cluster/study split is identified by a single cluster (Sandra/Ofogbe). The component collapses to the boundary as anticipated [DEC-042a].</t>
  </si>
  <si>
    <t>Verdict: Heterogeneity, not the mean, is the dominant feature of this evidence base -- the PI carries the substantive story.</t>
  </si>
  <si>
    <t>A3 -- Pre/Post-Paris subsets (pp_mid_lag0), descriptive; the formal moderation test is B1 [DEC-031a.6]</t>
  </si>
  <si>
    <t>8 ES / 2 studies with undefined windows excluded listwise [DEC-042b]; straddling studies appear in both cells</t>
  </si>
  <si>
    <t>Run 2026-07-13</t>
  </si>
  <si>
    <t>Subset</t>
  </si>
  <si>
    <t>k ES</t>
  </si>
  <si>
    <t>k studies</t>
  </si>
  <si>
    <t>k clusters</t>
  </si>
  <si>
    <t>r</t>
  </si>
  <si>
    <t>95% CI lb</t>
  </si>
  <si>
    <t>95% CI ub</t>
  </si>
  <si>
    <t>95% PI lb</t>
  </si>
  <si>
    <t>95% PI ub</t>
  </si>
  <si>
    <t>df</t>
  </si>
  <si>
    <t>Overall</t>
  </si>
  <si>
    <t>Pre-Paris</t>
  </si>
  <si>
    <t>Post-Paris</t>
  </si>
  <si>
    <t>Point contrast: post -0.049 vs pre -0.060 -- a small shift toward zero after Paris (+0.011), descriptive only.</t>
  </si>
  <si>
    <t>Post-cell PI [-0.208; +0.113] is narrower than pre -- fewer, more recent, somewhat more homogeneous studies (31).</t>
  </si>
  <si>
    <t>Consistent with the expected approximately-null Paris result; inference belongs to B1 (CR2 moderator test).</t>
  </si>
  <si>
    <t>Why no significance test of the pre/post difference here?</t>
  </si>
  <si>
    <t>Pre-registered separation: A3 delivers descriptive per-period PIs; the moderation test with CR2 inference is B1 [DEC-031a.6]. Reporting both here would invite double testing.</t>
  </si>
  <si>
    <t>Could cell assignment drive the contrast?</t>
  </si>
  <si>
    <t>Cells are window-based (majority-of-window, ties -&gt; Post [DEC-024]); straddlers enter both cells; 8 window-undefined ES are excluded and disclosed [DEC-042b]. Coding sensitivity runs in Block B.</t>
  </si>
  <si>
    <t>Verdict: Descriptively, the association is slightly weaker post-Paris -- small enough to preview the null moderation story; B1 decides.</t>
  </si>
  <si>
    <t>A4 + A5 -- Working-correlation grid and estimator robustness vs headline</t>
  </si>
  <si>
    <t>Delta/%Delta on the z scale vs headline; CI overlap = spec CI intersects headline CI (z scale)</t>
  </si>
  <si>
    <t>F57: UWLS+3/WAAP CIs unreliable below df 4 (weight concentration disclosed in 11_Results_Long notes)</t>
  </si>
  <si>
    <t>Spec</t>
  </si>
  <si>
    <t>est z</t>
  </si>
  <si>
    <t>95% CI z lb</t>
  </si>
  <si>
    <t>95% CI z ub</t>
  </si>
  <si>
    <t>Delta z</t>
  </si>
  <si>
    <t>%Delta</t>
  </si>
  <si>
    <t>est r</t>
  </si>
  <si>
    <t>95% CI r lb</t>
  </si>
  <si>
    <t>95% CI r ub</t>
  </si>
  <si>
    <t>headline (reference)</t>
  </si>
  <si>
    <t>rho_0.4</t>
  </si>
  <si>
    <t>rho_0.8</t>
  </si>
  <si>
    <t>one_effect_per_cluster</t>
  </si>
  <si>
    <t>uwls3</t>
  </si>
  <si>
    <t>hs_es_level</t>
  </si>
  <si>
    <t>waap_uwls</t>
  </si>
  <si>
    <t>rho 0.4/0.8: estimate moves by &lt;2% -- the working-correlation assumption is immaterial.</t>
  </si>
  <si>
    <t>One-effect-per-cluster (-0.062, KnHa df 113) brackets the headline from below -- aggregation does not create the effect.</t>
  </si>
  <si>
    <t>UWLS+3 (-0.031) and WAAP (-0.031) halve the estimate: FE-type precision weights concentrate on mega-samples (top cluster 37.9% / 41.1% of weight) -- the documented rationale for the hierarchical headline. Point estimates keep sign and order of magnitude.</t>
  </si>
  <si>
    <t>HS (-0.022) is the n-weighted floor; its SE is anti-conservative under dependence (disclosed) -- the 'no' in the CI-overlap column is an artifact of that too-narrow interval, not a point-estimate divergence.</t>
  </si>
  <si>
    <t>WAAP power finding: only 704 of 2,713 ES (26%) are adequately powered against the pooled effect (Ioannidis et al. 2017 narrative).</t>
  </si>
  <si>
    <t>Are the UWLS+3/WAAP confidence intervals valid at df ~ 2.2?</t>
  </si>
  <si>
    <t>No -- flagged unreliable below df 4 (Tipton); the robustness claim rests on point-estimate agreement. Inference burden per F54: one_effect_per_cluster + the 3LMA family [F57].</t>
  </si>
  <si>
    <t>Why does the FE-type estimator shrink the effect?</t>
  </si>
  <si>
    <t>Two mega-sample clusters dominate the precision weights (top-2 = 52.6%); their effects are closer to zero. That precision-weighted view is reported, disclosed -- and is exactly why the headline uses hierarchical weighting.</t>
  </si>
  <si>
    <t>Is one robustness row enough per estimator family?</t>
  </si>
  <si>
    <t>Block G runs the full pre-registered catalogue (LOSO, outliers, winsorizing, r-type, k10/k20 df sensitivity etc.); A5 anchors the estimator families [DEC-031a.4].</t>
  </si>
  <si>
    <t>Verdict: The pooled association is robust in sign and order of magnitude across rho and estimator families; magnitude differences are explained, disclosed weight-concentration effects -- no estimator overturns the headline reading.</t>
  </si>
  <si>
    <t>A6 -- Economic translation [DEC-012/DEC-012a]</t>
  </si>
  <si>
    <t>Delta COD (bp) per 1-SD CER improvement = tanh(z_pooled) x SD_COD_bp -- constants PENDING DEC-012a (Volker instrument-median extraction)</t>
  </si>
  <si>
    <t>Manuscript economic-significance line stays BLOCKED until instrument medians (loan/bond/CDS) land</t>
  </si>
  <si>
    <t>SD_COD (bp)</t>
  </si>
  <si>
    <t>Delta COD (bp)</t>
  </si>
  <si>
    <t>Status</t>
  </si>
  <si>
    <t>bp_per_1sd_sd100</t>
  </si>
  <si>
    <t>PLACEHOLDER -- PENDING DEC-012a</t>
  </si>
  <si>
    <t>bp_per_1sd_sd150</t>
  </si>
  <si>
    <t>bp_per_1sd_sd200</t>
  </si>
  <si>
    <t>small_benchmark_ratio</t>
  </si>
  <si>
    <t>-</t>
  </si>
  <si>
    <t>constant-free: pooled r / 0.07 (Doucouliagos 2011)</t>
  </si>
  <si>
    <t>Under plausible SD anchors, a 1-SD CER improvement maps to single-digit bp reductions in COD (-5.9 to -11.7 bp).</t>
  </si>
  <si>
    <t>Constant-free anchor: |r| = 0.84x the field's own 'small' benchmark -- quotable now.</t>
  </si>
  <si>
    <t>Final manuscript numbers re-key to bp_per_1sd_{loan,bond,cds} once DEC-012a medians land (deterministic constants-patch re-run).</t>
  </si>
  <si>
    <t>Where do the SD benchmarks come from?</t>
  </si>
  <si>
    <t>Pre-fixed extraction rule [DEC-012a]: median reported SD(COD) per instrument class (loan/bond/CDS) across all corpus studies reporting it -- rule fixed before any constant was seen.</t>
  </si>
  <si>
    <t>Is r x SD a valid economic mapping?</t>
  </si>
  <si>
    <t>It is the transparent first-order approximation, labelled as such -- not a structural elasticity. Zarea et al. do not quantify at all; doing it per instrument is the differentiator [DEC-012].</t>
  </si>
  <si>
    <t>Verdict: Economically modest under any plausible scale anchor -- exactly the honest-magnitude statement DEC-012 requires; final bp values await DEC-012a.</t>
  </si>
  <si>
    <t>analysis_id</t>
  </si>
  <si>
    <t>spec</t>
  </si>
  <si>
    <t>subset</t>
  </si>
  <si>
    <t>metric</t>
  </si>
  <si>
    <t>estimator</t>
  </si>
  <si>
    <t>rho</t>
  </si>
  <si>
    <t>k_es</t>
  </si>
  <si>
    <t>k_study</t>
  </si>
  <si>
    <t>k_cluster</t>
  </si>
  <si>
    <t>est_z</t>
  </si>
  <si>
    <t>se_z</t>
  </si>
  <si>
    <t>t_stat</t>
  </si>
  <si>
    <t>ci_lb_z</t>
  </si>
  <si>
    <t>ci_ub_z</t>
  </si>
  <si>
    <t>pi_lb_z</t>
  </si>
  <si>
    <t>pi_ub_z</t>
  </si>
  <si>
    <t>ci_lb_r</t>
  </si>
  <si>
    <t>ci_ub_r</t>
  </si>
  <si>
    <t>pi_lb_r</t>
  </si>
  <si>
    <t>pi_ub_r</t>
  </si>
  <si>
    <t>sigma2_cluster</t>
  </si>
  <si>
    <t>sigma2_study</t>
  </si>
  <si>
    <t>sigma2_esid</t>
  </si>
  <si>
    <t>pct_cluster</t>
  </si>
  <si>
    <t>pct_study</t>
  </si>
  <si>
    <t>pct_esid</t>
  </si>
  <si>
    <t>pct_sampling</t>
  </si>
  <si>
    <t>typical_v</t>
  </si>
  <si>
    <t>value</t>
  </si>
  <si>
    <t>ms_input</t>
  </si>
  <si>
    <t>ms_label</t>
  </si>
  <si>
    <t>note</t>
  </si>
  <si>
    <t>A1</t>
  </si>
  <si>
    <t>headline</t>
  </si>
  <si>
    <t>all</t>
  </si>
  <si>
    <t>Fisher_z</t>
  </si>
  <si>
    <t>3LMA-RVE_CR2</t>
  </si>
  <si>
    <t>TRUE</t>
  </si>
  <si>
    <t>headline_pooled</t>
  </si>
  <si>
    <t>rma.mv ~1|cluster_id/study/esid; V blocks within cluster_id, rho=0.6 [D31.1/F56: sample-overlap cluster]; CR2/Satterthwaite on cluster_id</t>
  </si>
  <si>
    <t>A2</t>
  </si>
  <si>
    <t>var_decomposition</t>
  </si>
  <si>
    <t>3LMA-RVE_REML</t>
  </si>
  <si>
    <t>variance_decomposition</t>
  </si>
  <si>
    <t>Cluster/study split weakly identified by design (1 multi-study cluster, DEC-042a); battery A2: '+Cluster-Ebene wo schaetzbar'. Sampling share via Higgins-Thompson typical v.</t>
  </si>
  <si>
    <t>A3</t>
  </si>
  <si>
    <t>pi_overall</t>
  </si>
  <si>
    <t>Identical fit to A1 (verifier identity O20). PI = est +/- t_dfSatt*sqrt(SE_CR2^2+sum(sigma2)) [F55].</t>
  </si>
  <si>
    <t>pi_pre</t>
  </si>
  <si>
    <t>pre</t>
  </si>
  <si>
    <t>Descriptive per-period fit on pp_mid_lag0 subset; straddling studies appear in both cells (design fact); 8 ES / 2 studies with undefined windows excluded listwise [DEC-042b]; NO between-group test here (that is B1) [DEC-031a.6].</t>
  </si>
  <si>
    <t>pi_post</t>
  </si>
  <si>
    <t>post</t>
  </si>
  <si>
    <t>A4</t>
  </si>
  <si>
    <t>FALSE</t>
  </si>
  <si>
    <t>Spec-label compatible with catalogue G long table [battery A4 remark].</t>
  </si>
  <si>
    <t>A5</t>
  </si>
  <si>
    <t>RE_REML_KnHa</t>
  </si>
  <si>
    <t>aggregate.escalc CS rho=0.6 within cluster_id; RE REML + Knapp-Hartung on k=114 aggregates.</t>
  </si>
  <si>
    <t>PCC_r</t>
  </si>
  <si>
    <t>UWLS+3_CR2</t>
  </si>
  <si>
    <t>rp3=t/sqrt(t^2+n_eff+3), var3=1/(t^2+n_eff+3) [Stanley et al. 2024 Eq 2/4/9; df~=n_eff per F21]; CR2 on cluster_id [plan par.5]; conventional UWLS SE = 0.002270. F57 disclosure (unconditional): CR2 df_Satt = 2.28; top-cluster weight share = 37.9%; top-2 = 52.6%. CI below df 4 unreliable (Tipton); inference burden per F54 on one_effect_per_cluster + 3LMA family.</t>
  </si>
  <si>
    <t>HS_bare_bones</t>
  </si>
  <si>
    <t>n-weighted mean r; SE = SD_w/sqrt(k), k = 2713 ES -- anti-conservative under dependence; descriptive appendix benchmark [F54]. SE_HS = 0.001382.</t>
  </si>
  <si>
    <t>powered</t>
  </si>
  <si>
    <t>WAAP_CR2</t>
  </si>
  <si>
    <t>Adequately powered: SE_i &lt;= |UWLS+3|/2.8; k_powered = 704 of 2713 ES. F57 disclosure (unconditional): CR2 df_Satt = 2.22; top-cluster weight share = 41.1%; top-2 = 56.9% (powered subset).</t>
  </si>
  <si>
    <t>A6</t>
  </si>
  <si>
    <t>bp_COD</t>
  </si>
  <si>
    <t>translation</t>
  </si>
  <si>
    <t>bp_translation_sd100</t>
  </si>
  <si>
    <t>Delta COD (bp) per 1-SD CER = tanh(z_pooled) * SD_COD_bp; SD_COD_bp = 100 &lt;&lt;&lt; PLACEHOLDER -- PENDING DEC-012a (instrument medians via Volker task) &gt;&gt;&gt;. CI endpoints scale identically (value column = point).</t>
  </si>
  <si>
    <t>bp_translation_sd150</t>
  </si>
  <si>
    <t>Delta COD (bp) per 1-SD CER = tanh(z_pooled) * SD_COD_bp; SD_COD_bp = 150 &lt;&lt;&lt; PLACEHOLDER -- PENDING DEC-012a (instrument medians via Volker task) &gt;&gt;&gt;. CI endpoints scale identically (value column = point).</t>
  </si>
  <si>
    <t>bp_translation_sd200</t>
  </si>
  <si>
    <t>Delta COD (bp) per 1-SD CER = tanh(z_pooled) * SD_COD_bp; SD_COD_bp = 200 &lt;&lt;&lt; PLACEHOLDER -- PENDING DEC-012a (instrument medians via Volker task) &gt;&gt;&gt;. CI endpoints scale identically (value column = point).</t>
  </si>
  <si>
    <t>ratio</t>
  </si>
  <si>
    <t>doucouliagos_small_ratio</t>
  </si>
  <si>
    <t>Pooled r over Doucouliagos (2011) 'small' benchmark 0.07 [DEC-012 rationale]; constant-free.</t>
  </si>
  <si>
    <t>Manuscript Inputs -- copy-paste-ready values (SOMA's most valuable sheet)</t>
  </si>
  <si>
    <t>All cells derive by formula from 11_Results_Long; ms_input = TRUE rows only</t>
  </si>
  <si>
    <t>bp rows: PENDING DEC-012a -- do not quote in the manuscript yet</t>
  </si>
  <si>
    <t>analysis</t>
  </si>
  <si>
    <t>quantity</t>
  </si>
  <si>
    <t>PI (95%)</t>
  </si>
  <si>
    <t>k (ES/studies/clusters)</t>
  </si>
  <si>
    <t>status / note</t>
  </si>
  <si>
    <t>Pooled partial correlation (3LMA-RVE, rho=0.6, CR2)</t>
  </si>
  <si>
    <t>Variance shares cluster / study / ES / sampling</t>
  </si>
  <si>
    <t>study level at boundary (1 multi-study cluster)</t>
  </si>
  <si>
    <t>Prediction interval, full set</t>
  </si>
  <si>
    <t>F55 construction</t>
  </si>
  <si>
    <t>Pre-Paris subset</t>
  </si>
  <si>
    <t>descriptive; test in B1; 8 ES excluded [DEC-042b]</t>
  </si>
  <si>
    <t>Post-Paris subset</t>
  </si>
  <si>
    <t>Delta COD per 1-SD CER, SD_COD = 100 bp</t>
  </si>
  <si>
    <t>Delta COD per 1-SD CER, SD_COD = 150 bp</t>
  </si>
  <si>
    <t>Delta COD per 1-SD CER, SD_COD = 200 bp</t>
  </si>
  <si>
    <t>Pooled r / 0.07 (Doucouliagos 'small')</t>
  </si>
  <si>
    <t>constant-free [DEC-012]</t>
  </si>
  <si>
    <t>Manuscript text blocks -- Block A (copy-paste-ready English prose)</t>
  </si>
  <si>
    <t>Framing-neutral report-level prose; the A-vs-C positioning (Ablauf 3b, after T8) may adjust emphasis, not numbers.</t>
  </si>
  <si>
    <t>Numbers are hardcoded from 11_Results_Long (run 2026-07-13, verifier 21/21) -- regenerate this tab on any re-run. Cross-references [in brackets] to be resolved at write-up.</t>
  </si>
  <si>
    <t>ID</t>
  </si>
  <si>
    <t>Target</t>
  </si>
  <si>
    <t>Text (EN)</t>
  </si>
  <si>
    <t>Source pointers</t>
  </si>
  <si>
    <t>Note</t>
  </si>
  <si>
    <t>TB-01</t>
  </si>
  <si>
    <t>Methods 3.x (model)</t>
  </si>
  <si>
    <t>READY</t>
  </si>
  <si>
    <t>We estimate a three-level random-effects model on Fisher-z transformed partial correlations, with effect sizes nested in studies nested in author clusters. The working covariance follows the correlated-and-hierarchical-effects structure with an assumed within-cluster sampling correlation of rho = 0.6, and all inference uses CR2 small-sample robust standard errors with Satterthwaite degrees of freedom, clustered at the author-cluster level (Hedges, Tipton, &amp; Johnson, 2010; Tipton &amp; Pustejovsky, 2015; Pustejovsky &amp; Tipton, 2022). Partial correlations are transformed per van Aert (2023), with sampling variance 1/(n - 3); results are back-transformed to r for reporting.</t>
  </si>
  <si>
    <t>[R/01]; [DEC-017]; [DEC-031 D31.1]; [plan par.3/par.5]</t>
  </si>
  <si>
    <t>rho grid {0.4, 0.8} sensitivity -&gt; TB-09</t>
  </si>
  <si>
    <t>TB-02</t>
  </si>
  <si>
    <t>Methods 3.x (PI)</t>
  </si>
  <si>
    <t>Prediction intervals are constructed as b +/- t(df) * sqrt(SE^2 + sigma2_cluster + sigma2_study + omega2), i.e., including all estimated variance components, so that they describe the plausible range of a single new effect.</t>
  </si>
  <si>
    <t>[F55]; [plan Addendum A.8]; [R/01]</t>
  </si>
  <si>
    <t>one sentence; place after model paragraph</t>
  </si>
  <si>
    <t>TB-03</t>
  </si>
  <si>
    <t>Methods 3.x (sample)</t>
  </si>
  <si>
    <t>The estimation set comprises 2,713 effect sizes from 115 studies forming 114 independent author clusters. Eight effect sizes from two studies (Bhattacharya &amp; Sharma, 2019; Ng &amp; Rezaee, 2012) do not report recoverable sample windows; they remain in the estimation set but are excluded listwise from all period-based cells.</t>
  </si>
  <si>
    <t>[DEC-042a]; [DEC-042b]</t>
  </si>
  <si>
    <t>second sentence doubles as the DEC-042b disclosure</t>
  </si>
  <si>
    <t>TB-04</t>
  </si>
  <si>
    <t>Results 4.1 (headline)</t>
  </si>
  <si>
    <t>Across 2,713 effect sizes from 115 studies, the pooled partial correlation between corporate environmental responsibility and the cost of debt is r = -0.059 (95% CI [-0.086; -0.031], df = 111.7, p &lt; 0.001).</t>
  </si>
  <si>
    <t>[11_Results_Long row 2]; [DEC-042a]</t>
  </si>
  <si>
    <t>headline sentence</t>
  </si>
  <si>
    <t>TB-05</t>
  </si>
  <si>
    <t>Results 4.1 (magnitude)</t>
  </si>
  <si>
    <t>At |r| = 0.059, the pooled association falls below the 'small' partial-correlation benchmark of 0.07 (Doucouliagos, 2011), at 0.84 times that threshold.</t>
  </si>
  <si>
    <t>[11_Results_Long row 16]; [DEC-012]</t>
  </si>
  <si>
    <t>constant-free; quotable now</t>
  </si>
  <si>
    <t>TB-06</t>
  </si>
  <si>
    <t>Results 4.1 (heterogeneity)</t>
  </si>
  <si>
    <t>Heterogeneity, not the mean, is the dominant feature of the evidence base: the 95% prediction interval spans [-0.390; 0.287], so a single new study can plausibly report either sign. Of total variance, 62.3% lies between author clusters and 37.5% within studies; sampling error accounts for less than 1%. The study-within-cluster component is empirically indistinguishable from zero, as only one cluster contains more than one study.</t>
  </si>
  <si>
    <t>[11_Results_Long rows 2-3]; [N4]; [DEC-042a]</t>
  </si>
  <si>
    <t>PI sentence = N4 commitment</t>
  </si>
  <si>
    <t>TB-07</t>
  </si>
  <si>
    <t>Results 4.x (pre/post descriptive)</t>
  </si>
  <si>
    <t>Descriptively, the association is marginally weaker in study windows lying predominantly after the Paris Agreement (r = -0.049, 95% CI [-0.066; -0.031], 711 effect sizes from 31 studies) than before (r = -0.060, 95% CI [-0.098; -0.022], 1,994 effect sizes from 83 studies); the corresponding prediction intervals are [-0.208; 0.113] and [-0.440; 0.338]. The formal moderation test follows in Section [B1].</t>
  </si>
  <si>
    <t>[11_Results_Long rows 5-6]; [DEC-031a.6]</t>
  </si>
  <si>
    <t>cross-ref [B1] to resolve; no test language here</t>
  </si>
  <si>
    <t>TB-08</t>
  </si>
  <si>
    <t>Results 4.x (economic translation)</t>
  </si>
  <si>
    <t>BLOCKED -- DEC-012a</t>
  </si>
  <si>
    <t>Translated into economic terms, a one-standard-deviation improvement in CER corresponds to a reduction in borrowing costs of approximately [X] basis points for loans, [Y] basis points for bonds, and [Z] basis points for CDS spreads, based on instrument-level median standard deviations of the cost-of-debt measures reported in the primary studies.</t>
  </si>
  <si>
    <t>[DEC-012a]; [11_Results_Long rows 13-15]</t>
  </si>
  <si>
    <t>DO NOT fill [X/Y/Z] from the placeholder grid (-5.9/-8.8/-11.7 rest on illustrative SDs); wait for Volker extraction</t>
  </si>
  <si>
    <t>TB-09</t>
  </si>
  <si>
    <t>Results 4.x / Robustness</t>
  </si>
  <si>
    <t>The pooled estimate is insensitive to the working-correlation assumption (rho = 0.4/0.8: r = -0.059/-0.058) and to aggregation to one effect per cluster (r = -0.062, 95% CI [-0.109; -0.013], Knapp-Hartung, k = 114). Precision-weighted estimators are smaller (UWLS+3: -0.031; WAAP: -0.031; Hunter-Schmidt: -0.022), reflecting the dominance of two very large samples in the precision weights (top cluster: 37.9% of total UWLS+3 weight; top two: 52.6%); we therefore retain the hierarchical model as the headline and report the precision-weighted family in Appendix [X].</t>
  </si>
  <si>
    <t>[11_Results_Long rows 7-12]; [F54]; [F57]</t>
  </si>
  <si>
    <t>appendix cross-ref to resolve</t>
  </si>
  <si>
    <t>TB-10</t>
  </si>
  <si>
    <t>Appendix (df footnote)</t>
  </si>
  <si>
    <t>CR2 Satterthwaite degrees of freedom for the UWLS+3 and WAAP estimators are 2.3 and 2.2, respectively -- below the df &gt;= 4 threshold at which the t-approximation is reliable (Tipton &amp; Pustejovsky, 2015); their confidence intervals should therefore not be used for inference. The small degrees of freedom reflect weight concentration rather than an estimation defect.</t>
  </si>
  <si>
    <t>[F57]; [11_Results_Long rows 10, 12]</t>
  </si>
  <si>
    <t>footnote to the appendix estimator table</t>
  </si>
  <si>
    <t>TB-11</t>
  </si>
  <si>
    <t>Appendix / Discussion (power)</t>
  </si>
  <si>
    <t>Only 704 of 2,713 effect sizes (26%, from 49 clusters) are adequately powered against the pooled effect (Stanley, Doucouliagos, &amp; Ioannidis, 2017), echoing the low statistical power documented for empirical economics more broadly (Ioannidis, Stanley, &amp; Doucouliagos, 2017).</t>
  </si>
  <si>
    <t>[11_Results_Long row 12]</t>
  </si>
  <si>
    <t>feeds the null-security narrative; placement decided at 3b</t>
  </si>
  <si>
    <t>TB-12</t>
  </si>
  <si>
    <t>Abstract</t>
  </si>
  <si>
    <t>Whether the Paris Agreement repriced corporate environmental responsibility (CER) in credit markets is a central expectation of sustainable finance that no synthesis has tested. We meta-analyze the CER–cost of debt relationship, pooling 2,713 effect sizes from 115 studies forming 114 independent author clusters, with three-level cluster-robust models and pre-specified equivalence tests. The pooled association is statistically detectable but economically negligible — r = −0.059 (95% CI [−0.086; −0.031]), 0.84 times the conventional small-effect benchmark for partial correlations — and explicitly not a null effect. Centrally, the post-minus-pre Paris contrast is statistically equivalent to zero within the pre-specified smallest-effect-size-of-interest band: no detectable Paris-Agreement moderation. No coded measurement, instrument, industry, regulatory, or country context detectably shifts the association, and publication-selection corrections mark the pooled magnitude as an upper bound. We convert a scattered literature into a calibrated quantity and give the Paris-repricing thesis its first meta-analytic test in credit-market pricing.</t>
  </si>
  <si>
    <t>[Ablauf #11]</t>
  </si>
  <si>
    <t>Finalized at M6 (DEC-058); supersedes the Block-A fragment at use — deltas: PI clause dropped (single home ch4 §4.1.1/A.8); benchmark wording → 0.84-ratio Tier-2 form; Paris, moderation/selection, and contribution elements added. BSE cap author-verified (≤ 150 words, citation-free, ≤ 6 keywords).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</si>
</sst>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E+00"/>
    <numFmt numFmtId="167" formatCode="0.0%"/>
    <numFmt numFmtId="168" formatCode="0.000"/>
  </numFmts>
  <fonts count="9" x14ac:knownFonts="1">
    <font>
      <sz val="11"/>
      <color theme="1"/>
      <name val="Calibri"/>
      <family val="2"/>
      <charset val="1"/>
    </font>
    <font>
      <b/>
      <sz val="12"/>
      <color rgb="FF1F386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7A1F"/>
      <name val="Arial"/>
      <charset val="1"/>
    </font>
    <font>
      <b/>
      <sz val="10"/>
      <color rgb="FFB00000"/>
      <name val="Arial"/>
      <charset val="1"/>
    </font>
    <font>
      <b/>
      <sz val="10"/>
      <color rgb="FFB07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5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1" fontId="4" fillId="0" borderId="1" xfId="0" applyNumberFormat="1" applyFont="1" applyBorder="1"/>
    <xf numFmtId="167" fontId="4" fillId="0" borderId="1" xfId="0" applyNumberFormat="1" applyFont="1" applyBorder="1"/>
    <xf numFmtId="0" fontId="4" fillId="0" borderId="0" xfId="0" applyFont="1"/>
    <xf numFmtId="168" fontId="0" fillId="0" borderId="0" xfId="0" applyNumberFormat="1"/>
    <xf numFmtId="168" fontId="4" fillId="0" borderId="1" xfId="0" applyNumberFormat="1" applyFont="1" applyBorder="1"/>
    <xf numFmtId="2" fontId="4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F7A1F"/>
      <rgbColor rgb="FF000080"/>
      <rgbColor rgb="FFB07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Normal="100" workbookViewId="0"/>
  </sheetViews>
  <sheetFormatPr baseColWidth="10" defaultColWidth="8.6640625" defaultRowHeight="14.4" x14ac:dyDescent="0.3"/>
  <cols>
    <col min="1" max="1" width="26" customWidth="1"/>
    <col min="2" max="2" width="120" customWidth="1"/>
  </cols>
  <sheetData>
    <row r="1" spans="1:2" ht="15" customHeight="1" x14ac:dyDescent="0.3">
      <c r="A1" s="1" t="s">
        <v>0</v>
      </c>
    </row>
    <row r="2" spans="1:2" ht="15" customHeight="1" x14ac:dyDescent="0.3">
      <c r="A2" s="2" t="s">
        <v>1</v>
      </c>
    </row>
    <row r="3" spans="1:2" ht="15" customHeight="1" x14ac:dyDescent="0.3">
      <c r="A3" s="2" t="s">
        <v>2</v>
      </c>
    </row>
    <row r="5" spans="1:2" ht="15" customHeight="1" x14ac:dyDescent="0.3">
      <c r="A5" s="3" t="s">
        <v>3</v>
      </c>
      <c r="B5" s="3" t="s">
        <v>4</v>
      </c>
    </row>
    <row r="6" spans="1:2" ht="15" customHeight="1" x14ac:dyDescent="0.3">
      <c r="A6" s="4" t="s">
        <v>5</v>
      </c>
      <c r="B6" s="5" t="s">
        <v>6</v>
      </c>
    </row>
    <row r="7" spans="1:2" ht="15" customHeight="1" x14ac:dyDescent="0.3">
      <c r="A7" s="4" t="s">
        <v>7</v>
      </c>
      <c r="B7" s="5" t="s">
        <v>8</v>
      </c>
    </row>
    <row r="8" spans="1:2" ht="15" customHeight="1" x14ac:dyDescent="0.3">
      <c r="A8" s="4" t="s">
        <v>9</v>
      </c>
      <c r="B8" s="5" t="s">
        <v>10</v>
      </c>
    </row>
    <row r="9" spans="1:2" ht="15" customHeight="1" x14ac:dyDescent="0.3">
      <c r="A9" s="4" t="s">
        <v>11</v>
      </c>
      <c r="B9" s="5" t="s">
        <v>12</v>
      </c>
    </row>
    <row r="10" spans="1:2" ht="15" customHeight="1" x14ac:dyDescent="0.3">
      <c r="A10" s="4" t="s">
        <v>13</v>
      </c>
      <c r="B10" s="5" t="s">
        <v>14</v>
      </c>
    </row>
    <row r="11" spans="1:2" ht="23.25" customHeight="1" x14ac:dyDescent="0.3">
      <c r="A11" s="4" t="s">
        <v>15</v>
      </c>
      <c r="B11" s="5" t="s">
        <v>16</v>
      </c>
    </row>
    <row r="12" spans="1:2" ht="15" customHeight="1" x14ac:dyDescent="0.3">
      <c r="A12" s="4"/>
      <c r="B12" s="5"/>
    </row>
    <row r="13" spans="1:2" ht="15" customHeight="1" x14ac:dyDescent="0.3">
      <c r="A13" s="4" t="s">
        <v>17</v>
      </c>
      <c r="B13" s="5"/>
    </row>
    <row r="14" spans="1:2" ht="15" customHeight="1" x14ac:dyDescent="0.3">
      <c r="A14" s="6" t="s">
        <v>18</v>
      </c>
      <c r="B14" s="7" t="s">
        <v>19</v>
      </c>
    </row>
    <row r="15" spans="1:2" ht="15" customHeight="1" x14ac:dyDescent="0.3">
      <c r="A15" s="4" t="s">
        <v>20</v>
      </c>
      <c r="B15" s="5" t="s">
        <v>21</v>
      </c>
    </row>
    <row r="16" spans="1:2" ht="15" customHeight="1" x14ac:dyDescent="0.3">
      <c r="A16" s="4" t="s">
        <v>22</v>
      </c>
      <c r="B16" s="5" t="s">
        <v>23</v>
      </c>
    </row>
    <row r="17" spans="1:2" ht="15" customHeight="1" x14ac:dyDescent="0.3">
      <c r="A17" s="4" t="s">
        <v>24</v>
      </c>
      <c r="B17" s="5" t="s">
        <v>25</v>
      </c>
    </row>
    <row r="18" spans="1:2" ht="15" customHeight="1" x14ac:dyDescent="0.3">
      <c r="A18" s="4" t="s">
        <v>26</v>
      </c>
      <c r="B18" s="5" t="s">
        <v>27</v>
      </c>
    </row>
    <row r="19" spans="1:2" ht="15" customHeight="1" x14ac:dyDescent="0.3">
      <c r="A19" s="4" t="s">
        <v>28</v>
      </c>
      <c r="B19" s="5" t="s">
        <v>29</v>
      </c>
    </row>
    <row r="20" spans="1:2" ht="15" customHeight="1" x14ac:dyDescent="0.3">
      <c r="A20" s="4" t="s">
        <v>30</v>
      </c>
      <c r="B20" s="5" t="s">
        <v>31</v>
      </c>
    </row>
    <row r="21" spans="1:2" ht="15" customHeight="1" x14ac:dyDescent="0.3">
      <c r="A21" s="4" t="s">
        <v>32</v>
      </c>
      <c r="B21" s="5" t="s">
        <v>33</v>
      </c>
    </row>
    <row r="22" spans="1:2" ht="15" customHeight="1" x14ac:dyDescent="0.3">
      <c r="A22" s="4" t="s">
        <v>34</v>
      </c>
      <c r="B22" s="5" t="s">
        <v>35</v>
      </c>
    </row>
    <row r="23" spans="1:2" ht="15" customHeight="1" x14ac:dyDescent="0.3">
      <c r="A23" s="4" t="s">
        <v>36</v>
      </c>
      <c r="B23" s="5" t="s">
        <v>37</v>
      </c>
    </row>
    <row r="24" spans="1:2" ht="15" customHeight="1" x14ac:dyDescent="0.3">
      <c r="A24" s="4" t="s">
        <v>38</v>
      </c>
      <c r="B24" s="5" t="s">
        <v>39</v>
      </c>
    </row>
    <row r="25" spans="1:2" ht="15" customHeight="1" x14ac:dyDescent="0.3">
      <c r="A25" s="4" t="s">
        <v>40</v>
      </c>
      <c r="B25" s="5" t="s">
        <v>41</v>
      </c>
    </row>
    <row r="26" spans="1:2" ht="15" customHeight="1" x14ac:dyDescent="0.3">
      <c r="A26" s="4" t="s">
        <v>42</v>
      </c>
      <c r="B26" s="5" t="s">
        <v>43</v>
      </c>
    </row>
    <row r="27" spans="1:2" ht="15" customHeight="1" x14ac:dyDescent="0.3">
      <c r="A27" s="4" t="s">
        <v>44</v>
      </c>
      <c r="B27" s="4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Normal="100" workbookViewId="0"/>
  </sheetViews>
  <sheetFormatPr baseColWidth="10" defaultColWidth="8.6640625" defaultRowHeight="14.4" x14ac:dyDescent="0.3"/>
  <cols>
    <col min="1" max="1" width="24" customWidth="1"/>
    <col min="2" max="2" width="78" customWidth="1"/>
    <col min="3" max="3" width="52" customWidth="1"/>
  </cols>
  <sheetData>
    <row r="1" spans="1:3" ht="15" customHeight="1" x14ac:dyDescent="0.3">
      <c r="A1" s="1" t="s">
        <v>46</v>
      </c>
    </row>
    <row r="2" spans="1:3" ht="15" customHeight="1" x14ac:dyDescent="0.3">
      <c r="A2" s="2" t="s">
        <v>47</v>
      </c>
    </row>
    <row r="3" spans="1:3" ht="15" customHeight="1" x14ac:dyDescent="0.3">
      <c r="A3" s="2"/>
    </row>
    <row r="5" spans="1:3" ht="15" customHeight="1" x14ac:dyDescent="0.3">
      <c r="A5" s="3" t="s">
        <v>48</v>
      </c>
      <c r="B5" s="3" t="s">
        <v>49</v>
      </c>
      <c r="C5" s="3" t="s">
        <v>50</v>
      </c>
    </row>
    <row r="6" spans="1:3" ht="15" customHeight="1" x14ac:dyDescent="0.3">
      <c r="A6" s="4" t="s">
        <v>51</v>
      </c>
      <c r="B6" s="5" t="s">
        <v>52</v>
      </c>
      <c r="C6" s="5" t="s">
        <v>53</v>
      </c>
    </row>
    <row r="7" spans="1:3" ht="23.25" customHeight="1" x14ac:dyDescent="0.3">
      <c r="A7" s="4" t="s">
        <v>54</v>
      </c>
      <c r="B7" s="5" t="s">
        <v>55</v>
      </c>
      <c r="C7" s="5" t="s">
        <v>56</v>
      </c>
    </row>
    <row r="8" spans="1:3" ht="15" customHeight="1" x14ac:dyDescent="0.3">
      <c r="A8" s="4" t="s">
        <v>57</v>
      </c>
      <c r="B8" s="5" t="s">
        <v>58</v>
      </c>
      <c r="C8" s="5" t="s">
        <v>59</v>
      </c>
    </row>
    <row r="9" spans="1:3" ht="15" customHeight="1" x14ac:dyDescent="0.3">
      <c r="A9" s="4" t="s">
        <v>60</v>
      </c>
      <c r="B9" s="5" t="s">
        <v>61</v>
      </c>
      <c r="C9" s="5" t="s">
        <v>62</v>
      </c>
    </row>
    <row r="10" spans="1:3" ht="23.25" customHeight="1" x14ac:dyDescent="0.3">
      <c r="A10" s="4" t="s">
        <v>63</v>
      </c>
      <c r="B10" s="5" t="s">
        <v>64</v>
      </c>
      <c r="C10" s="5" t="s">
        <v>65</v>
      </c>
    </row>
    <row r="11" spans="1:3" ht="15" customHeight="1" x14ac:dyDescent="0.3">
      <c r="A11" s="4" t="s">
        <v>66</v>
      </c>
      <c r="B11" s="5" t="s">
        <v>67</v>
      </c>
      <c r="C11" s="5" t="s">
        <v>68</v>
      </c>
    </row>
    <row r="12" spans="1:3" ht="15" customHeight="1" x14ac:dyDescent="0.3">
      <c r="A12" s="4" t="s">
        <v>69</v>
      </c>
      <c r="B12" s="5" t="s">
        <v>70</v>
      </c>
      <c r="C12" s="5" t="s">
        <v>71</v>
      </c>
    </row>
    <row r="13" spans="1:3" ht="15" customHeight="1" x14ac:dyDescent="0.3">
      <c r="A13" s="4" t="s">
        <v>72</v>
      </c>
      <c r="B13" s="5" t="s">
        <v>73</v>
      </c>
      <c r="C13" s="5" t="s">
        <v>74</v>
      </c>
    </row>
    <row r="14" spans="1:3" ht="15" customHeight="1" x14ac:dyDescent="0.3">
      <c r="A14" s="4" t="s">
        <v>75</v>
      </c>
      <c r="B14" s="5" t="s">
        <v>76</v>
      </c>
      <c r="C14" s="5" t="s">
        <v>77</v>
      </c>
    </row>
    <row r="15" spans="1:3" ht="23.25" customHeight="1" x14ac:dyDescent="0.3">
      <c r="A15" s="4" t="s">
        <v>78</v>
      </c>
      <c r="B15" s="5" t="s">
        <v>79</v>
      </c>
      <c r="C15" s="5" t="s">
        <v>80</v>
      </c>
    </row>
    <row r="16" spans="1:3" ht="23.25" customHeight="1" x14ac:dyDescent="0.3">
      <c r="A16" s="4" t="s">
        <v>81</v>
      </c>
      <c r="B16" s="5" t="s">
        <v>82</v>
      </c>
      <c r="C16" s="5" t="s">
        <v>83</v>
      </c>
    </row>
    <row r="17" spans="1:3" ht="23.25" customHeight="1" x14ac:dyDescent="0.3">
      <c r="A17" s="4" t="s">
        <v>84</v>
      </c>
      <c r="B17" s="5" t="s">
        <v>85</v>
      </c>
      <c r="C17" s="5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66" customWidth="1"/>
    <col min="3" max="3" width="60" customWidth="1"/>
  </cols>
  <sheetData>
    <row r="1" spans="1:3" ht="15" customHeight="1" x14ac:dyDescent="0.3">
      <c r="A1" s="1" t="s">
        <v>87</v>
      </c>
    </row>
    <row r="2" spans="1:3" ht="15" customHeight="1" x14ac:dyDescent="0.3">
      <c r="A2" s="2"/>
    </row>
    <row r="3" spans="1:3" ht="15" customHeight="1" x14ac:dyDescent="0.3">
      <c r="A3" s="2"/>
    </row>
    <row r="5" spans="1:3" ht="15" customHeight="1" x14ac:dyDescent="0.3">
      <c r="A5" s="3" t="s">
        <v>48</v>
      </c>
      <c r="B5" s="3" t="s">
        <v>88</v>
      </c>
      <c r="C5" s="3" t="s">
        <v>89</v>
      </c>
    </row>
    <row r="6" spans="1:3" ht="23.25" customHeight="1" x14ac:dyDescent="0.3">
      <c r="A6" s="4" t="s">
        <v>90</v>
      </c>
      <c r="B6" s="5" t="s">
        <v>91</v>
      </c>
      <c r="C6" s="5" t="s">
        <v>92</v>
      </c>
    </row>
    <row r="7" spans="1:3" ht="15" customHeight="1" x14ac:dyDescent="0.3">
      <c r="A7" s="4" t="s">
        <v>93</v>
      </c>
      <c r="B7" s="5" t="s">
        <v>94</v>
      </c>
      <c r="C7" s="5" t="s">
        <v>95</v>
      </c>
    </row>
    <row r="8" spans="1:3" ht="15" customHeight="1" x14ac:dyDescent="0.3">
      <c r="A8" s="4" t="s">
        <v>96</v>
      </c>
      <c r="B8" s="5" t="s">
        <v>97</v>
      </c>
      <c r="C8" s="5" t="s">
        <v>98</v>
      </c>
    </row>
    <row r="9" spans="1:3" ht="15" customHeight="1" x14ac:dyDescent="0.3">
      <c r="A9" s="4" t="s">
        <v>99</v>
      </c>
      <c r="B9" s="5" t="s">
        <v>100</v>
      </c>
      <c r="C9" s="5" t="s">
        <v>101</v>
      </c>
    </row>
    <row r="10" spans="1:3" ht="15" customHeight="1" x14ac:dyDescent="0.3">
      <c r="A10" s="4" t="s">
        <v>66</v>
      </c>
      <c r="B10" s="5" t="s">
        <v>102</v>
      </c>
      <c r="C10" s="5" t="s">
        <v>103</v>
      </c>
    </row>
    <row r="11" spans="1:3" ht="15" customHeight="1" x14ac:dyDescent="0.3">
      <c r="A11" s="4" t="s">
        <v>104</v>
      </c>
      <c r="B11" s="5" t="s">
        <v>105</v>
      </c>
      <c r="C11" s="5" t="s">
        <v>106</v>
      </c>
    </row>
    <row r="12" spans="1:3" ht="15" customHeight="1" x14ac:dyDescent="0.3">
      <c r="A12" s="4" t="s">
        <v>107</v>
      </c>
      <c r="B12" s="5" t="s">
        <v>108</v>
      </c>
      <c r="C12" s="5" t="s">
        <v>109</v>
      </c>
    </row>
    <row r="13" spans="1:3" ht="15" customHeight="1" x14ac:dyDescent="0.3">
      <c r="A13" s="4" t="s">
        <v>110</v>
      </c>
      <c r="B13" s="5" t="s">
        <v>111</v>
      </c>
      <c r="C13" s="5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zoomScaleNormal="100" workbookViewId="0"/>
  </sheetViews>
  <sheetFormatPr baseColWidth="10" defaultColWidth="8.6640625" defaultRowHeight="14.4" x14ac:dyDescent="0.3"/>
  <cols>
    <col min="1" max="1" width="24" customWidth="1"/>
    <col min="2" max="2" width="80" customWidth="1"/>
    <col min="3" max="3" width="42" customWidth="1"/>
  </cols>
  <sheetData>
    <row r="1" spans="1:3" ht="15" customHeight="1" x14ac:dyDescent="0.3">
      <c r="A1" s="1" t="s">
        <v>113</v>
      </c>
    </row>
    <row r="2" spans="1:3" ht="15" customHeight="1" x14ac:dyDescent="0.3">
      <c r="A2" s="2"/>
    </row>
    <row r="3" spans="1:3" ht="15" customHeight="1" x14ac:dyDescent="0.3">
      <c r="A3" s="2"/>
    </row>
    <row r="5" spans="1:3" ht="15" customHeight="1" x14ac:dyDescent="0.3">
      <c r="A5" s="3" t="s">
        <v>48</v>
      </c>
      <c r="B5" s="3" t="s">
        <v>114</v>
      </c>
      <c r="C5" s="3" t="s">
        <v>115</v>
      </c>
    </row>
    <row r="6" spans="1:3" ht="15" customHeight="1" x14ac:dyDescent="0.3">
      <c r="A6" s="4" t="s">
        <v>116</v>
      </c>
      <c r="B6" s="5" t="s">
        <v>117</v>
      </c>
      <c r="C6" s="5" t="s">
        <v>118</v>
      </c>
    </row>
    <row r="7" spans="1:3" ht="15" customHeight="1" x14ac:dyDescent="0.3">
      <c r="A7" s="4" t="s">
        <v>119</v>
      </c>
      <c r="B7" s="5" t="s">
        <v>120</v>
      </c>
      <c r="C7" s="5" t="s">
        <v>121</v>
      </c>
    </row>
    <row r="8" spans="1:3" ht="15" customHeight="1" x14ac:dyDescent="0.3">
      <c r="A8" s="4" t="s">
        <v>122</v>
      </c>
      <c r="B8" s="5" t="s">
        <v>123</v>
      </c>
      <c r="C8" s="5" t="s">
        <v>124</v>
      </c>
    </row>
    <row r="9" spans="1:3" ht="15" customHeight="1" x14ac:dyDescent="0.3">
      <c r="A9" s="4" t="s">
        <v>63</v>
      </c>
      <c r="B9" s="5" t="s">
        <v>125</v>
      </c>
      <c r="C9" s="5" t="s">
        <v>126</v>
      </c>
    </row>
    <row r="10" spans="1:3" ht="15" customHeight="1" x14ac:dyDescent="0.3">
      <c r="A10" s="4" t="s">
        <v>127</v>
      </c>
      <c r="B10" s="5" t="s">
        <v>128</v>
      </c>
      <c r="C10" s="5" t="s">
        <v>129</v>
      </c>
    </row>
    <row r="11" spans="1:3" ht="15" customHeight="1" x14ac:dyDescent="0.3">
      <c r="A11" s="4" t="s">
        <v>130</v>
      </c>
      <c r="B11" s="5" t="s">
        <v>131</v>
      </c>
      <c r="C11" s="5" t="s">
        <v>132</v>
      </c>
    </row>
    <row r="12" spans="1:3" ht="15" customHeight="1" x14ac:dyDescent="0.3">
      <c r="A12" s="4" t="s">
        <v>133</v>
      </c>
      <c r="B12" s="5" t="s">
        <v>134</v>
      </c>
      <c r="C12" s="5" t="s">
        <v>135</v>
      </c>
    </row>
    <row r="13" spans="1:3" ht="15" customHeight="1" x14ac:dyDescent="0.3">
      <c r="A13" s="4" t="s">
        <v>72</v>
      </c>
      <c r="B13" s="5" t="s">
        <v>136</v>
      </c>
      <c r="C13" s="5" t="s">
        <v>137</v>
      </c>
    </row>
    <row r="14" spans="1:3" ht="15" customHeight="1" x14ac:dyDescent="0.3">
      <c r="A14" s="4" t="s">
        <v>138</v>
      </c>
      <c r="B14" s="5" t="s">
        <v>139</v>
      </c>
      <c r="C14" s="5" t="s">
        <v>140</v>
      </c>
    </row>
    <row r="15" spans="1:3" ht="15" customHeight="1" x14ac:dyDescent="0.3">
      <c r="A15" s="4" t="s">
        <v>141</v>
      </c>
      <c r="B15" s="5" t="s">
        <v>142</v>
      </c>
      <c r="C15" s="5" t="s">
        <v>143</v>
      </c>
    </row>
    <row r="16" spans="1:3" ht="15" customHeight="1" x14ac:dyDescent="0.3">
      <c r="A16" s="4" t="s">
        <v>144</v>
      </c>
      <c r="B16" s="5" t="s">
        <v>145</v>
      </c>
      <c r="C16" s="5" t="s">
        <v>146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/>
  </sheetViews>
  <sheetFormatPr baseColWidth="10" defaultColWidth="8.6640625" defaultRowHeight="14.4" x14ac:dyDescent="0.3"/>
  <cols>
    <col min="1" max="1" width="20" customWidth="1"/>
    <col min="2" max="2" width="86" customWidth="1"/>
    <col min="3" max="3" width="44" customWidth="1"/>
  </cols>
  <sheetData>
    <row r="1" spans="1:3" ht="15" customHeight="1" x14ac:dyDescent="0.3">
      <c r="A1" s="1" t="s">
        <v>147</v>
      </c>
    </row>
    <row r="2" spans="1:3" ht="15" customHeight="1" x14ac:dyDescent="0.3">
      <c r="A2" s="2"/>
    </row>
    <row r="3" spans="1:3" ht="15" customHeight="1" x14ac:dyDescent="0.3">
      <c r="A3" s="2"/>
    </row>
    <row r="5" spans="1:3" ht="15" customHeight="1" x14ac:dyDescent="0.3">
      <c r="A5" s="3" t="s">
        <v>3</v>
      </c>
      <c r="B5" s="3" t="s">
        <v>4</v>
      </c>
      <c r="C5" s="3" t="s">
        <v>148</v>
      </c>
    </row>
    <row r="6" spans="1:3" ht="15" customHeight="1" x14ac:dyDescent="0.3">
      <c r="A6" s="4" t="s">
        <v>149</v>
      </c>
      <c r="B6" s="5" t="s">
        <v>150</v>
      </c>
      <c r="C6" s="5" t="s">
        <v>151</v>
      </c>
    </row>
    <row r="7" spans="1:3" ht="15" customHeight="1" x14ac:dyDescent="0.3">
      <c r="A7" s="4" t="s">
        <v>152</v>
      </c>
      <c r="B7" s="5" t="s">
        <v>153</v>
      </c>
      <c r="C7" s="5" t="s">
        <v>154</v>
      </c>
    </row>
    <row r="8" spans="1:3" ht="23.25" customHeight="1" x14ac:dyDescent="0.3">
      <c r="A8" s="4" t="s">
        <v>155</v>
      </c>
      <c r="B8" s="5" t="s">
        <v>156</v>
      </c>
      <c r="C8" s="5" t="s">
        <v>157</v>
      </c>
    </row>
    <row r="9" spans="1:3" ht="23.25" customHeight="1" x14ac:dyDescent="0.3">
      <c r="A9" s="4" t="s">
        <v>158</v>
      </c>
      <c r="B9" s="5" t="s">
        <v>159</v>
      </c>
      <c r="C9" s="5" t="s">
        <v>160</v>
      </c>
    </row>
    <row r="10" spans="1:3" ht="15" customHeight="1" x14ac:dyDescent="0.3">
      <c r="A10" s="4" t="s">
        <v>161</v>
      </c>
      <c r="B10" s="5" t="s">
        <v>162</v>
      </c>
      <c r="C10" s="5" t="s">
        <v>163</v>
      </c>
    </row>
    <row r="11" spans="1:3" ht="15" customHeight="1" x14ac:dyDescent="0.3">
      <c r="A11" s="4" t="s">
        <v>164</v>
      </c>
      <c r="B11" s="5" t="s">
        <v>165</v>
      </c>
      <c r="C11" s="5" t="s">
        <v>166</v>
      </c>
    </row>
    <row r="12" spans="1:3" ht="15" customHeight="1" x14ac:dyDescent="0.3">
      <c r="A12" s="4" t="s">
        <v>167</v>
      </c>
      <c r="B12" s="5" t="s">
        <v>168</v>
      </c>
      <c r="C12" s="5" t="s">
        <v>169</v>
      </c>
    </row>
    <row r="13" spans="1:3" ht="15" customHeight="1" x14ac:dyDescent="0.3">
      <c r="A13" s="4" t="s">
        <v>170</v>
      </c>
      <c r="B13" s="5" t="s">
        <v>171</v>
      </c>
      <c r="C13" s="5" t="s">
        <v>172</v>
      </c>
    </row>
    <row r="14" spans="1:3" ht="15" customHeight="1" x14ac:dyDescent="0.3">
      <c r="A14" s="4" t="s">
        <v>173</v>
      </c>
      <c r="B14" s="5" t="s">
        <v>174</v>
      </c>
      <c r="C14" s="5" t="s">
        <v>175</v>
      </c>
    </row>
    <row r="15" spans="1:3" ht="23.25" customHeight="1" x14ac:dyDescent="0.3">
      <c r="A15" s="4" t="s">
        <v>176</v>
      </c>
      <c r="B15" s="5" t="s">
        <v>177</v>
      </c>
      <c r="C15" s="5" t="s"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zoomScaleNormal="100" workbookViewId="0"/>
  </sheetViews>
  <sheetFormatPr baseColWidth="10" defaultColWidth="8.6640625" defaultRowHeight="14.4" x14ac:dyDescent="0.3"/>
  <cols>
    <col min="1" max="1" width="52" customWidth="1"/>
    <col min="2" max="2" width="60" customWidth="1"/>
    <col min="3" max="3" width="26" customWidth="1"/>
  </cols>
  <sheetData>
    <row r="1" spans="1:3" ht="15" customHeight="1" x14ac:dyDescent="0.3">
      <c r="A1" s="1" t="s">
        <v>179</v>
      </c>
    </row>
    <row r="2" spans="1:3" ht="15" customHeight="1" x14ac:dyDescent="0.3">
      <c r="A2" s="2" t="s">
        <v>180</v>
      </c>
    </row>
    <row r="3" spans="1:3" ht="15" customHeight="1" x14ac:dyDescent="0.3">
      <c r="A3" s="2" t="s">
        <v>181</v>
      </c>
    </row>
    <row r="5" spans="1:3" ht="15" customHeight="1" x14ac:dyDescent="0.3">
      <c r="A5" s="3" t="s">
        <v>48</v>
      </c>
      <c r="B5" s="3" t="s">
        <v>182</v>
      </c>
      <c r="C5" s="3" t="s">
        <v>183</v>
      </c>
    </row>
    <row r="6" spans="1:3" ht="15" customHeight="1" x14ac:dyDescent="0.3">
      <c r="A6" s="4" t="s">
        <v>184</v>
      </c>
      <c r="B6" s="8">
        <f>'11_Results_Long'!J2</f>
        <v>-5.8646736610097998E-2</v>
      </c>
      <c r="C6" s="8">
        <f>'11_Results_Long'!S2</f>
        <v>-5.85795916799434E-2</v>
      </c>
    </row>
    <row r="7" spans="1:3" ht="15" customHeight="1" x14ac:dyDescent="0.3">
      <c r="A7" s="4" t="s">
        <v>185</v>
      </c>
      <c r="B7" s="8">
        <f>'11_Results_Long'!K2</f>
        <v>1.3856549617298999E-2</v>
      </c>
      <c r="C7" s="8"/>
    </row>
    <row r="8" spans="1:3" ht="15" customHeight="1" x14ac:dyDescent="0.3">
      <c r="A8" s="4" t="s">
        <v>186</v>
      </c>
      <c r="B8" s="8">
        <f>'11_Results_Long'!L2</f>
        <v>-4.2324199190887599</v>
      </c>
      <c r="C8" s="8"/>
    </row>
    <row r="9" spans="1:3" ht="15" customHeight="1" x14ac:dyDescent="0.3">
      <c r="A9" s="4" t="s">
        <v>99</v>
      </c>
      <c r="B9" s="9">
        <f>'11_Results_Long'!M2</f>
        <v>111.671795029271</v>
      </c>
      <c r="C9" s="8"/>
    </row>
    <row r="10" spans="1:3" ht="15" customHeight="1" x14ac:dyDescent="0.3">
      <c r="A10" s="4" t="s">
        <v>187</v>
      </c>
      <c r="B10" s="10">
        <f>'11_Results_Long'!N2</f>
        <v>4.7619835484618398E-5</v>
      </c>
      <c r="C10" s="8"/>
    </row>
    <row r="11" spans="1:3" ht="15" customHeight="1" x14ac:dyDescent="0.3">
      <c r="A11" s="4" t="s">
        <v>188</v>
      </c>
      <c r="B11" s="8">
        <f>'11_Results_Long'!O2</f>
        <v>-8.6102594638797797E-2</v>
      </c>
      <c r="C11" s="8">
        <f>'11_Results_Long'!T2</f>
        <v>-8.5890445375145993E-2</v>
      </c>
    </row>
    <row r="12" spans="1:3" ht="15" customHeight="1" x14ac:dyDescent="0.3">
      <c r="A12" s="4" t="s">
        <v>189</v>
      </c>
      <c r="B12" s="8">
        <f>'11_Results_Long'!P2</f>
        <v>-3.1190878581398102E-2</v>
      </c>
      <c r="C12" s="8">
        <f>'11_Results_Long'!U2</f>
        <v>-3.1180767616603398E-2</v>
      </c>
    </row>
    <row r="13" spans="1:3" ht="15" customHeight="1" x14ac:dyDescent="0.3">
      <c r="A13" s="4" t="s">
        <v>190</v>
      </c>
      <c r="B13" s="8">
        <f>'11_Results_Long'!Q2</f>
        <v>-0.41210245201268703</v>
      </c>
      <c r="C13" s="8">
        <f>'11_Results_Long'!V2</f>
        <v>-0.39025638957994502</v>
      </c>
    </row>
    <row r="14" spans="1:3" ht="15" customHeight="1" x14ac:dyDescent="0.3">
      <c r="A14" s="4" t="s">
        <v>191</v>
      </c>
      <c r="B14" s="8">
        <f>'11_Results_Long'!R2</f>
        <v>0.29480897879249102</v>
      </c>
      <c r="C14" s="8">
        <f>'11_Results_Long'!W2</f>
        <v>0.28655496524775897</v>
      </c>
    </row>
    <row r="16" spans="1:3" ht="15" customHeight="1" x14ac:dyDescent="0.3">
      <c r="A16" s="11" t="s">
        <v>192</v>
      </c>
    </row>
    <row r="17" spans="1:2" ht="23.25" customHeight="1" x14ac:dyDescent="0.3">
      <c r="A17" s="12" t="s">
        <v>193</v>
      </c>
    </row>
    <row r="18" spans="1:2" ht="34.5" customHeight="1" x14ac:dyDescent="0.3">
      <c r="A18" s="12" t="s">
        <v>194</v>
      </c>
    </row>
    <row r="19" spans="1:2" ht="23.25" customHeight="1" x14ac:dyDescent="0.3">
      <c r="A19" s="12" t="s">
        <v>195</v>
      </c>
    </row>
    <row r="21" spans="1:2" ht="15" customHeight="1" x14ac:dyDescent="0.3">
      <c r="A21" s="11" t="s">
        <v>196</v>
      </c>
    </row>
    <row r="22" spans="1:2" ht="15" customHeight="1" x14ac:dyDescent="0.3">
      <c r="A22" s="3" t="s">
        <v>197</v>
      </c>
      <c r="B22" s="3" t="s">
        <v>198</v>
      </c>
    </row>
    <row r="23" spans="1:2" ht="23.25" customHeight="1" x14ac:dyDescent="0.3">
      <c r="A23" s="5" t="s">
        <v>199</v>
      </c>
      <c r="B23" s="5" t="s">
        <v>200</v>
      </c>
    </row>
    <row r="24" spans="1:2" ht="23.25" customHeight="1" x14ac:dyDescent="0.3">
      <c r="A24" s="5" t="s">
        <v>201</v>
      </c>
      <c r="B24" s="5" t="s">
        <v>202</v>
      </c>
    </row>
    <row r="25" spans="1:2" ht="34.5" customHeight="1" x14ac:dyDescent="0.3">
      <c r="A25" s="5" t="s">
        <v>203</v>
      </c>
      <c r="B25" s="5" t="s">
        <v>204</v>
      </c>
    </row>
    <row r="27" spans="1:2" ht="34.5" customHeight="1" x14ac:dyDescent="0.3">
      <c r="A27" s="13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zoomScaleNormal="100" workbookViewId="0"/>
  </sheetViews>
  <sheetFormatPr baseColWidth="10" defaultColWidth="8.6640625" defaultRowHeight="14.4" x14ac:dyDescent="0.3"/>
  <cols>
    <col min="1" max="1" width="38" customWidth="1"/>
    <col min="2" max="2" width="18" customWidth="1"/>
    <col min="3" max="3" width="10" customWidth="1"/>
    <col min="4" max="4" width="80" customWidth="1"/>
  </cols>
  <sheetData>
    <row r="1" spans="1:4" ht="15" customHeight="1" x14ac:dyDescent="0.3">
      <c r="A1" s="1" t="s">
        <v>206</v>
      </c>
    </row>
    <row r="2" spans="1:4" ht="15" customHeight="1" x14ac:dyDescent="0.3">
      <c r="A2" s="2" t="s">
        <v>207</v>
      </c>
    </row>
    <row r="3" spans="1:4" ht="15" customHeight="1" x14ac:dyDescent="0.3">
      <c r="A3" s="2" t="s">
        <v>208</v>
      </c>
    </row>
    <row r="5" spans="1:4" ht="15" customHeight="1" x14ac:dyDescent="0.3">
      <c r="A5" s="3" t="s">
        <v>209</v>
      </c>
      <c r="B5" s="3" t="s">
        <v>210</v>
      </c>
      <c r="C5" s="3" t="s">
        <v>211</v>
      </c>
      <c r="D5" s="3" t="s">
        <v>192</v>
      </c>
    </row>
    <row r="6" spans="1:4" ht="15" customHeight="1" x14ac:dyDescent="0.3">
      <c r="A6" s="4" t="s">
        <v>212</v>
      </c>
      <c r="B6" s="14">
        <f>'11_Results_Long'!X3</f>
        <v>1.9745548666112299E-2</v>
      </c>
      <c r="C6" s="15">
        <f>'11_Results_Long'!AA3</f>
        <v>0.62343415122659096</v>
      </c>
      <c r="D6" s="5" t="s">
        <v>213</v>
      </c>
    </row>
    <row r="7" spans="1:4" ht="23.25" customHeight="1" x14ac:dyDescent="0.3">
      <c r="A7" s="4" t="s">
        <v>214</v>
      </c>
      <c r="B7" s="14">
        <f>'11_Results_Long'!Y3</f>
        <v>1.0209212874954301E-9</v>
      </c>
      <c r="C7" s="15">
        <f>'11_Results_Long'!AB3</f>
        <v>3.2233958503832597E-8</v>
      </c>
      <c r="D7" s="5" t="s">
        <v>215</v>
      </c>
    </row>
    <row r="8" spans="1:4" ht="15" customHeight="1" x14ac:dyDescent="0.3">
      <c r="A8" s="4" t="s">
        <v>216</v>
      </c>
      <c r="B8" s="14">
        <f>'11_Results_Long'!Z3</f>
        <v>1.18831792865472E-2</v>
      </c>
      <c r="C8" s="15">
        <f>'11_Results_Long'!AC3</f>
        <v>0.37519239995069698</v>
      </c>
      <c r="D8" s="5" t="s">
        <v>217</v>
      </c>
    </row>
    <row r="9" spans="1:4" ht="15" customHeight="1" x14ac:dyDescent="0.3">
      <c r="A9" s="4" t="s">
        <v>218</v>
      </c>
      <c r="B9" s="14">
        <f>'11_Results_Long'!AE3</f>
        <v>4.34991635262953E-5</v>
      </c>
      <c r="C9" s="15">
        <f>'11_Results_Long'!AD3</f>
        <v>1.37341658875372E-3</v>
      </c>
      <c r="D9" s="5" t="s">
        <v>219</v>
      </c>
    </row>
    <row r="11" spans="1:4" ht="15" customHeight="1" x14ac:dyDescent="0.3">
      <c r="A11" s="11" t="s">
        <v>220</v>
      </c>
    </row>
    <row r="12" spans="1:4" ht="15" customHeight="1" x14ac:dyDescent="0.3">
      <c r="A12" s="16" t="s">
        <v>221</v>
      </c>
      <c r="B12" s="17">
        <f>'11_Results_Long'!V2</f>
        <v>-0.39025638957994502</v>
      </c>
    </row>
    <row r="13" spans="1:4" ht="15" customHeight="1" x14ac:dyDescent="0.3">
      <c r="A13" s="16" t="s">
        <v>222</v>
      </c>
      <c r="B13" s="17">
        <f>'11_Results_Long'!W2</f>
        <v>0.28655496524775897</v>
      </c>
    </row>
    <row r="15" spans="1:4" ht="15" customHeight="1" x14ac:dyDescent="0.3">
      <c r="A15" s="11" t="s">
        <v>192</v>
      </c>
    </row>
    <row r="16" spans="1:4" ht="34.5" customHeight="1" x14ac:dyDescent="0.3">
      <c r="A16" s="12" t="s">
        <v>223</v>
      </c>
    </row>
    <row r="17" spans="1:2" ht="34.5" customHeight="1" x14ac:dyDescent="0.3">
      <c r="A17" s="12" t="s">
        <v>224</v>
      </c>
    </row>
    <row r="18" spans="1:2" ht="34.5" customHeight="1" x14ac:dyDescent="0.3">
      <c r="A18" s="12" t="s">
        <v>225</v>
      </c>
    </row>
    <row r="20" spans="1:2" ht="15" customHeight="1" x14ac:dyDescent="0.3">
      <c r="A20" s="11" t="s">
        <v>196</v>
      </c>
    </row>
    <row r="21" spans="1:2" ht="15" customHeight="1" x14ac:dyDescent="0.3">
      <c r="A21" s="3" t="s">
        <v>197</v>
      </c>
      <c r="B21" s="3" t="s">
        <v>198</v>
      </c>
    </row>
    <row r="22" spans="1:2" ht="90.75" customHeight="1" x14ac:dyDescent="0.3">
      <c r="A22" s="12" t="s">
        <v>226</v>
      </c>
      <c r="B22" s="12" t="s">
        <v>227</v>
      </c>
    </row>
    <row r="23" spans="1:2" ht="135.75" customHeight="1" x14ac:dyDescent="0.3">
      <c r="A23" s="12" t="s">
        <v>228</v>
      </c>
      <c r="B23" s="12" t="s">
        <v>229</v>
      </c>
    </row>
    <row r="25" spans="1:2" ht="34.5" customHeight="1" x14ac:dyDescent="0.3">
      <c r="A25" s="13" t="s">
        <v>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zoomScaleNormal="100" workbookViewId="0"/>
  </sheetViews>
  <sheetFormatPr baseColWidth="10" defaultColWidth="8.6640625" defaultRowHeight="14.4" x14ac:dyDescent="0.3"/>
  <cols>
    <col min="1" max="1" width="16" customWidth="1"/>
    <col min="2" max="11" width="9" customWidth="1"/>
  </cols>
  <sheetData>
    <row r="1" spans="1:11" ht="15" customHeight="1" x14ac:dyDescent="0.3">
      <c r="A1" s="1" t="s">
        <v>231</v>
      </c>
    </row>
    <row r="2" spans="1:11" ht="15" customHeight="1" x14ac:dyDescent="0.3">
      <c r="A2" s="2" t="s">
        <v>232</v>
      </c>
    </row>
    <row r="3" spans="1:11" ht="15" customHeight="1" x14ac:dyDescent="0.3">
      <c r="A3" s="2" t="s">
        <v>233</v>
      </c>
    </row>
    <row r="5" spans="1:11" ht="15" customHeight="1" x14ac:dyDescent="0.3">
      <c r="A5" s="3" t="s">
        <v>234</v>
      </c>
      <c r="B5" s="3" t="s">
        <v>235</v>
      </c>
      <c r="C5" s="3" t="s">
        <v>236</v>
      </c>
      <c r="D5" s="3" t="s">
        <v>237</v>
      </c>
      <c r="E5" s="3" t="s">
        <v>238</v>
      </c>
      <c r="F5" s="3" t="s">
        <v>239</v>
      </c>
      <c r="G5" s="3" t="s">
        <v>240</v>
      </c>
      <c r="H5" s="3" t="s">
        <v>241</v>
      </c>
      <c r="I5" s="3" t="s">
        <v>242</v>
      </c>
      <c r="J5" s="3" t="s">
        <v>243</v>
      </c>
      <c r="K5" s="3" t="s">
        <v>187</v>
      </c>
    </row>
    <row r="6" spans="1:11" ht="15" customHeight="1" x14ac:dyDescent="0.3">
      <c r="A6" s="4" t="s">
        <v>244</v>
      </c>
      <c r="B6" s="4">
        <f>'11_Results_Long'!G4</f>
        <v>2713</v>
      </c>
      <c r="C6" s="4">
        <f>'11_Results_Long'!H4</f>
        <v>115</v>
      </c>
      <c r="D6" s="4">
        <f>'11_Results_Long'!I4</f>
        <v>114</v>
      </c>
      <c r="E6" s="18">
        <f>'11_Results_Long'!S4</f>
        <v>-5.85795916799434E-2</v>
      </c>
      <c r="F6" s="18">
        <f>'11_Results_Long'!T4</f>
        <v>-8.5890445375145993E-2</v>
      </c>
      <c r="G6" s="18">
        <f>'11_Results_Long'!U4</f>
        <v>-3.1180767616603398E-2</v>
      </c>
      <c r="H6" s="18">
        <f>'11_Results_Long'!V4</f>
        <v>-0.39025638957994502</v>
      </c>
      <c r="I6" s="18">
        <f>'11_Results_Long'!W4</f>
        <v>0.28655496524775897</v>
      </c>
      <c r="J6" s="4">
        <f>ROUND('11_Results_Long'!M4,1)</f>
        <v>111.7</v>
      </c>
      <c r="K6" s="4" t="str">
        <f>IF('11_Results_Long'!N4="","",IF('11_Results_Long'!N4&lt;0.0001,"&lt; 0.0001",TEXT('11_Results_Long'!N4,"0.0000")))</f>
        <v/>
      </c>
    </row>
    <row r="7" spans="1:11" ht="15" customHeight="1" x14ac:dyDescent="0.3">
      <c r="A7" s="4" t="s">
        <v>245</v>
      </c>
      <c r="B7" s="4">
        <f>'11_Results_Long'!G5</f>
        <v>1994</v>
      </c>
      <c r="C7" s="4">
        <f>'11_Results_Long'!H5</f>
        <v>83</v>
      </c>
      <c r="D7" s="4">
        <f>'11_Results_Long'!I5</f>
        <v>82</v>
      </c>
      <c r="E7" s="18">
        <f>'11_Results_Long'!S5</f>
        <v>-6.0209887161573501E-2</v>
      </c>
      <c r="F7" s="18">
        <f>'11_Results_Long'!T5</f>
        <v>-9.8458626508199407E-2</v>
      </c>
      <c r="G7" s="18">
        <f>'11_Results_Long'!U5</f>
        <v>-2.1783515657687099E-2</v>
      </c>
      <c r="H7" s="18">
        <f>'11_Results_Long'!V5</f>
        <v>-0.43972762827157802</v>
      </c>
      <c r="I7" s="18">
        <f>'11_Results_Long'!W5</f>
        <v>0.33755229925795499</v>
      </c>
      <c r="J7" s="4">
        <f>ROUND('11_Results_Long'!M5,1)</f>
        <v>80.3</v>
      </c>
      <c r="K7" s="4" t="e">
        <f>IF('11_Results_Long'!N5="","",IF('11_Results_Long'!N5&lt;0.0001,"&lt; 0.0001",TEXT('11_Results_Long'!N5,"0.0000")))</f>
        <v>#VALUE!</v>
      </c>
    </row>
    <row r="8" spans="1:11" ht="15" customHeight="1" x14ac:dyDescent="0.3">
      <c r="A8" s="4" t="s">
        <v>246</v>
      </c>
      <c r="B8" s="4">
        <f>'11_Results_Long'!G6</f>
        <v>711</v>
      </c>
      <c r="C8" s="4">
        <f>'11_Results_Long'!H6</f>
        <v>31</v>
      </c>
      <c r="D8" s="4">
        <f>'11_Results_Long'!I6</f>
        <v>31</v>
      </c>
      <c r="E8" s="18">
        <f>'11_Results_Long'!S6</f>
        <v>-4.8667158961559598E-2</v>
      </c>
      <c r="F8" s="18">
        <f>'11_Results_Long'!T6</f>
        <v>-6.6109574309097197E-2</v>
      </c>
      <c r="G8" s="18">
        <f>'11_Results_Long'!U6</f>
        <v>-3.1195009925846999E-2</v>
      </c>
      <c r="H8" s="18">
        <f>'11_Results_Long'!V6</f>
        <v>-0.207947037965168</v>
      </c>
      <c r="I8" s="18">
        <f>'11_Results_Long'!W6</f>
        <v>0.113127035023064</v>
      </c>
      <c r="J8" s="4">
        <f>ROUND('11_Results_Long'!M6,1)</f>
        <v>27.5</v>
      </c>
      <c r="K8" s="4" t="str">
        <f>IF('11_Results_Long'!N6="","",IF('11_Results_Long'!N6&lt;0.0001,"&lt; 0.0001",TEXT('11_Results_Long'!N6,"0.0000")))</f>
        <v>&lt; 0.0001</v>
      </c>
    </row>
    <row r="10" spans="1:11" ht="15" customHeight="1" x14ac:dyDescent="0.3">
      <c r="A10" s="11" t="s">
        <v>192</v>
      </c>
    </row>
    <row r="11" spans="1:11" ht="79.5" customHeight="1" x14ac:dyDescent="0.3">
      <c r="A11" s="12" t="s">
        <v>247</v>
      </c>
    </row>
    <row r="12" spans="1:11" ht="90.75" customHeight="1" x14ac:dyDescent="0.3">
      <c r="A12" s="12" t="s">
        <v>248</v>
      </c>
    </row>
    <row r="13" spans="1:11" ht="79.5" customHeight="1" x14ac:dyDescent="0.3">
      <c r="A13" s="12" t="s">
        <v>249</v>
      </c>
    </row>
    <row r="15" spans="1:11" ht="15" customHeight="1" x14ac:dyDescent="0.3">
      <c r="A15" s="11" t="s">
        <v>196</v>
      </c>
    </row>
    <row r="16" spans="1:11" ht="15" customHeight="1" x14ac:dyDescent="0.3">
      <c r="A16" s="3" t="s">
        <v>197</v>
      </c>
      <c r="B16" s="3" t="s">
        <v>198</v>
      </c>
    </row>
    <row r="17" spans="1:2" ht="247.5" customHeight="1" x14ac:dyDescent="0.3">
      <c r="A17" s="12" t="s">
        <v>250</v>
      </c>
      <c r="B17" s="12" t="s">
        <v>251</v>
      </c>
    </row>
    <row r="18" spans="1:2" ht="281.25" customHeight="1" x14ac:dyDescent="0.3">
      <c r="A18" s="12" t="s">
        <v>252</v>
      </c>
      <c r="B18" s="12" t="s">
        <v>253</v>
      </c>
    </row>
    <row r="20" spans="1:2" ht="102" customHeight="1" x14ac:dyDescent="0.3">
      <c r="A20" s="13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7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13" width="10" customWidth="1"/>
  </cols>
  <sheetData>
    <row r="1" spans="1:13" ht="15" customHeight="1" x14ac:dyDescent="0.3">
      <c r="A1" s="1" t="s">
        <v>255</v>
      </c>
    </row>
    <row r="2" spans="1:13" ht="15" customHeight="1" x14ac:dyDescent="0.3">
      <c r="A2" s="2" t="s">
        <v>256</v>
      </c>
    </row>
    <row r="3" spans="1:13" ht="15" customHeight="1" x14ac:dyDescent="0.3">
      <c r="A3" s="2" t="s">
        <v>257</v>
      </c>
    </row>
    <row r="5" spans="1:13" ht="15" customHeight="1" x14ac:dyDescent="0.3">
      <c r="A5" s="3" t="s">
        <v>258</v>
      </c>
      <c r="B5" s="3" t="s">
        <v>235</v>
      </c>
      <c r="C5" s="3" t="s">
        <v>237</v>
      </c>
      <c r="D5" s="3" t="s">
        <v>259</v>
      </c>
      <c r="E5" s="3" t="s">
        <v>260</v>
      </c>
      <c r="F5" s="3" t="s">
        <v>261</v>
      </c>
      <c r="G5" s="3" t="s">
        <v>262</v>
      </c>
      <c r="H5" s="3" t="s">
        <v>263</v>
      </c>
      <c r="I5" s="3" t="s">
        <v>264</v>
      </c>
      <c r="J5" s="3" t="s">
        <v>265</v>
      </c>
      <c r="K5" s="3" t="s">
        <v>266</v>
      </c>
      <c r="L5" s="3" t="s">
        <v>243</v>
      </c>
      <c r="M5" s="3" t="s">
        <v>107</v>
      </c>
    </row>
    <row r="6" spans="1:13" ht="15" customHeight="1" x14ac:dyDescent="0.3">
      <c r="A6" s="4" t="s">
        <v>267</v>
      </c>
      <c r="B6" s="4">
        <f>'11_Results_Long'!G2</f>
        <v>2713</v>
      </c>
      <c r="C6" s="4">
        <f>'11_Results_Long'!I2</f>
        <v>114</v>
      </c>
      <c r="D6" s="8">
        <f>'11_Results_Long'!J2</f>
        <v>-5.8646736610097998E-2</v>
      </c>
      <c r="E6" s="8">
        <f>'11_Results_Long'!O2</f>
        <v>-8.6102594638797797E-2</v>
      </c>
      <c r="F6" s="8">
        <f>'11_Results_Long'!P2</f>
        <v>-3.1190878581398102E-2</v>
      </c>
      <c r="G6" s="8">
        <f>'11_Results_Long'!J2-'11_Results_Long'!$J$2</f>
        <v>0</v>
      </c>
      <c r="H6" s="15">
        <f>('11_Results_Long'!J2-'11_Results_Long'!$J$2)/ABS('11_Results_Long'!$J$2)</f>
        <v>0</v>
      </c>
      <c r="I6" s="8">
        <f>'11_Results_Long'!S2</f>
        <v>-5.85795916799434E-2</v>
      </c>
      <c r="J6" s="8">
        <f>'11_Results_Long'!T2</f>
        <v>-8.5890445375145993E-2</v>
      </c>
      <c r="K6" s="8">
        <f>'11_Results_Long'!U2</f>
        <v>-3.1180767616603398E-2</v>
      </c>
      <c r="L6" s="4">
        <f>IF('11_Results_Long'!M2="","",ROUND('11_Results_Long'!M2,1))</f>
        <v>111.7</v>
      </c>
      <c r="M6" s="4" t="str">
        <f>IF(AND('11_Results_Long'!O2&lt;='11_Results_Long'!$P$2,'11_Results_Long'!P2&gt;='11_Results_Long'!$O$2),"yes","no")</f>
        <v>yes</v>
      </c>
    </row>
    <row r="7" spans="1:13" ht="15" customHeight="1" x14ac:dyDescent="0.3">
      <c r="A7" s="4" t="s">
        <v>268</v>
      </c>
      <c r="B7" s="4">
        <f>'11_Results_Long'!G7</f>
        <v>2713</v>
      </c>
      <c r="C7" s="4">
        <f>'11_Results_Long'!I7</f>
        <v>114</v>
      </c>
      <c r="D7" s="8">
        <f>'11_Results_Long'!J7</f>
        <v>-5.9331661564333199E-2</v>
      </c>
      <c r="E7" s="8">
        <f>'11_Results_Long'!O7</f>
        <v>-8.6819506192781795E-2</v>
      </c>
      <c r="F7" s="8">
        <f>'11_Results_Long'!P7</f>
        <v>-3.1843816935884603E-2</v>
      </c>
      <c r="G7" s="8">
        <f>'11_Results_Long'!J7-'11_Results_Long'!$J$2</f>
        <v>-6.8492495423520122E-4</v>
      </c>
      <c r="H7" s="15">
        <f>('11_Results_Long'!J7-'11_Results_Long'!$J$2)/ABS('11_Results_Long'!$J$2)</f>
        <v>-1.1678824668264124E-2</v>
      </c>
      <c r="I7" s="8">
        <f>'11_Results_Long'!S7</f>
        <v>-5.9262138774925602E-2</v>
      </c>
      <c r="J7" s="8">
        <f>'11_Results_Long'!T7</f>
        <v>-8.6602024213738193E-2</v>
      </c>
      <c r="K7" s="8">
        <f>'11_Results_Long'!U7</f>
        <v>-3.18330577853786E-2</v>
      </c>
      <c r="L7" s="4">
        <f>IF('11_Results_Long'!M7="","",ROUND('11_Results_Long'!M7,1))</f>
        <v>111.8</v>
      </c>
      <c r="M7" s="4" t="str">
        <f>IF(AND('11_Results_Long'!O7&lt;='11_Results_Long'!$P$2,'11_Results_Long'!P7&gt;='11_Results_Long'!$O$2),"yes","no")</f>
        <v>yes</v>
      </c>
    </row>
    <row r="8" spans="1:13" ht="15" customHeight="1" x14ac:dyDescent="0.3">
      <c r="A8" s="4" t="s">
        <v>269</v>
      </c>
      <c r="B8" s="4">
        <f>'11_Results_Long'!G8</f>
        <v>2713</v>
      </c>
      <c r="C8" s="4">
        <f>'11_Results_Long'!I8</f>
        <v>114</v>
      </c>
      <c r="D8" s="8">
        <f>'11_Results_Long'!J8</f>
        <v>-5.80360251444842E-2</v>
      </c>
      <c r="E8" s="8">
        <f>'11_Results_Long'!O8</f>
        <v>-8.5430224956228401E-2</v>
      </c>
      <c r="F8" s="8">
        <f>'11_Results_Long'!P8</f>
        <v>-3.064182533274E-2</v>
      </c>
      <c r="G8" s="8">
        <f>'11_Results_Long'!J8-'11_Results_Long'!$J$2</f>
        <v>6.1071146561379741E-4</v>
      </c>
      <c r="H8" s="15">
        <f>('11_Results_Long'!J8-'11_Results_Long'!$J$2)/ABS('11_Results_Long'!$J$2)</f>
        <v>1.0413392132523926E-2</v>
      </c>
      <c r="I8" s="8">
        <f>'11_Results_Long'!S8</f>
        <v>-5.7970954214118402E-2</v>
      </c>
      <c r="J8" s="8">
        <f>'11_Results_Long'!T8</f>
        <v>-8.5222997432464698E-2</v>
      </c>
      <c r="K8" s="8">
        <f>'11_Results_Long'!U8</f>
        <v>-3.06322388439846E-2</v>
      </c>
      <c r="L8" s="4">
        <f>IF('11_Results_Long'!M8="","",ROUND('11_Results_Long'!M8,1))</f>
        <v>111.5</v>
      </c>
      <c r="M8" s="4" t="str">
        <f>IF(AND('11_Results_Long'!O8&lt;='11_Results_Long'!$P$2,'11_Results_Long'!P8&gt;='11_Results_Long'!$O$2),"yes","no")</f>
        <v>yes</v>
      </c>
    </row>
    <row r="9" spans="1:13" ht="15" customHeight="1" x14ac:dyDescent="0.3">
      <c r="A9" s="4" t="s">
        <v>270</v>
      </c>
      <c r="B9" s="4">
        <f>'11_Results_Long'!G9</f>
        <v>114</v>
      </c>
      <c r="C9" s="4">
        <f>'11_Results_Long'!I9</f>
        <v>114</v>
      </c>
      <c r="D9" s="8">
        <f>'11_Results_Long'!J9</f>
        <v>-6.1660838654062897E-2</v>
      </c>
      <c r="E9" s="8">
        <f>'11_Results_Long'!O9</f>
        <v>-0.10986426491887499</v>
      </c>
      <c r="F9" s="8">
        <f>'11_Results_Long'!P9</f>
        <v>-1.34574123892513E-2</v>
      </c>
      <c r="G9" s="8">
        <f>'11_Results_Long'!J9-'11_Results_Long'!$J$2</f>
        <v>-3.0141020439648988E-3</v>
      </c>
      <c r="H9" s="15">
        <f>('11_Results_Long'!J9-'11_Results_Long'!$J$2)/ABS('11_Results_Long'!$J$2)</f>
        <v>-5.1394198862310107E-2</v>
      </c>
      <c r="I9" s="8">
        <f>'11_Results_Long'!S9</f>
        <v>-6.1582811268470802E-2</v>
      </c>
      <c r="J9" s="8">
        <f>'11_Results_Long'!T9</f>
        <v>-0.109424362375925</v>
      </c>
      <c r="K9" s="8">
        <f>'11_Results_Long'!U9</f>
        <v>-1.3456600060229799E-2</v>
      </c>
      <c r="L9" s="4">
        <f>IF('11_Results_Long'!M9="","",ROUND('11_Results_Long'!M9,1))</f>
        <v>113</v>
      </c>
      <c r="M9" s="4" t="str">
        <f>IF(AND('11_Results_Long'!O9&lt;='11_Results_Long'!$P$2,'11_Results_Long'!P9&gt;='11_Results_Long'!$O$2),"yes","no")</f>
        <v>yes</v>
      </c>
    </row>
    <row r="10" spans="1:13" ht="15" customHeight="1" x14ac:dyDescent="0.3">
      <c r="A10" s="4" t="s">
        <v>271</v>
      </c>
      <c r="B10" s="4">
        <f>'11_Results_Long'!G10</f>
        <v>2713</v>
      </c>
      <c r="C10" s="4">
        <f>'11_Results_Long'!I10</f>
        <v>114</v>
      </c>
      <c r="D10" s="8">
        <f>'11_Results_Long'!J10</f>
        <v>-3.0667421794809299E-2</v>
      </c>
      <c r="E10" s="8">
        <f>'11_Results_Long'!O10</f>
        <v>-8.6946257530746196E-2</v>
      </c>
      <c r="F10" s="8">
        <f>'11_Results_Long'!P10</f>
        <v>2.5417673361075099E-2</v>
      </c>
      <c r="G10" s="8">
        <f>'11_Results_Long'!J10-'11_Results_Long'!$J$2</f>
        <v>2.7979314815288699E-2</v>
      </c>
      <c r="H10" s="15">
        <f>('11_Results_Long'!J10-'11_Results_Long'!$J$2)/ABS('11_Results_Long'!$J$2)</f>
        <v>0.47708221177427157</v>
      </c>
      <c r="I10" s="8">
        <f>'11_Results_Long'!S10</f>
        <v>-3.0657811267965501E-2</v>
      </c>
      <c r="J10" s="8">
        <f>'11_Results_Long'!T10</f>
        <v>-8.6727823546436503E-2</v>
      </c>
      <c r="K10" s="8">
        <f>'11_Results_Long'!U10</f>
        <v>2.5412201010505599E-2</v>
      </c>
      <c r="L10" s="4">
        <f>IF('11_Results_Long'!M10="","",ROUND('11_Results_Long'!M10,1))</f>
        <v>2.2999999999999998</v>
      </c>
      <c r="M10" s="4" t="str">
        <f>IF(AND('11_Results_Long'!O10&lt;='11_Results_Long'!$P$2,'11_Results_Long'!P10&gt;='11_Results_Long'!$O$2),"yes","no")</f>
        <v>yes</v>
      </c>
    </row>
    <row r="11" spans="1:13" ht="15" customHeight="1" x14ac:dyDescent="0.3">
      <c r="A11" s="4" t="s">
        <v>272</v>
      </c>
      <c r="B11" s="4">
        <f>'11_Results_Long'!G11</f>
        <v>2713</v>
      </c>
      <c r="C11" s="4">
        <f>'11_Results_Long'!I11</f>
        <v>114</v>
      </c>
      <c r="D11" s="8">
        <f>'11_Results_Long'!J11</f>
        <v>-2.1773098397479301E-2</v>
      </c>
      <c r="E11" s="8">
        <f>'11_Results_Long'!O11</f>
        <v>-2.4483150414556801E-2</v>
      </c>
      <c r="F11" s="8">
        <f>'11_Results_Long'!P11</f>
        <v>-1.9063366112829799E-2</v>
      </c>
      <c r="G11" s="8">
        <f>'11_Results_Long'!J11-'11_Results_Long'!$J$2</f>
        <v>3.6873638212618701E-2</v>
      </c>
      <c r="H11" s="15">
        <f>('11_Results_Long'!J11-'11_Results_Long'!$J$2)/ABS('11_Results_Long'!$J$2)</f>
        <v>0.62874151818141699</v>
      </c>
      <c r="I11" s="8">
        <f>'11_Results_Long'!S11</f>
        <v>-2.1769658408073898E-2</v>
      </c>
      <c r="J11" s="8">
        <f>'11_Results_Long'!T11</f>
        <v>-2.44782596525536E-2</v>
      </c>
      <c r="K11" s="8">
        <f>'11_Results_Long'!U11</f>
        <v>-1.90610571635942E-2</v>
      </c>
      <c r="L11" s="4" t="str">
        <f>IF('11_Results_Long'!M11="","",ROUND('11_Results_Long'!M11,1))</f>
        <v/>
      </c>
      <c r="M11" s="4" t="str">
        <f>IF(AND('11_Results_Long'!O11&lt;='11_Results_Long'!$P$2,'11_Results_Long'!P11&gt;='11_Results_Long'!$O$2),"yes","no")</f>
        <v>no</v>
      </c>
    </row>
    <row r="12" spans="1:13" ht="15" customHeight="1" x14ac:dyDescent="0.3">
      <c r="A12" s="4" t="s">
        <v>273</v>
      </c>
      <c r="B12" s="4">
        <f>'11_Results_Long'!G12</f>
        <v>704</v>
      </c>
      <c r="C12" s="4">
        <f>'11_Results_Long'!I12</f>
        <v>49</v>
      </c>
      <c r="D12" s="8">
        <f>'11_Results_Long'!J12</f>
        <v>-3.0912018281733601E-2</v>
      </c>
      <c r="E12" s="8">
        <f>'11_Results_Long'!O12</f>
        <v>-9.2903673697996195E-2</v>
      </c>
      <c r="F12" s="8">
        <f>'11_Results_Long'!P12</f>
        <v>3.08427307407045E-2</v>
      </c>
      <c r="G12" s="8">
        <f>'11_Results_Long'!J12-'11_Results_Long'!$J$2</f>
        <v>2.7734718328364397E-2</v>
      </c>
      <c r="H12" s="15">
        <f>('11_Results_Long'!J12-'11_Results_Long'!$J$2)/ABS('11_Results_Long'!$J$2)</f>
        <v>0.47291153662570434</v>
      </c>
      <c r="I12" s="8">
        <f>'11_Results_Long'!S12</f>
        <v>-3.0902176020997402E-2</v>
      </c>
      <c r="J12" s="8">
        <f>'11_Results_Long'!T12</f>
        <v>-9.2637306539616104E-2</v>
      </c>
      <c r="K12" s="8">
        <f>'11_Results_Long'!U12</f>
        <v>3.0832954497621402E-2</v>
      </c>
      <c r="L12" s="4">
        <f>IF('11_Results_Long'!M12="","",ROUND('11_Results_Long'!M12,1))</f>
        <v>2.2000000000000002</v>
      </c>
      <c r="M12" s="4" t="str">
        <f>IF(AND('11_Results_Long'!O12&lt;='11_Results_Long'!$P$2,'11_Results_Long'!P12&gt;='11_Results_Long'!$O$2),"yes","no")</f>
        <v>yes</v>
      </c>
    </row>
    <row r="14" spans="1:13" ht="15" customHeight="1" x14ac:dyDescent="0.3">
      <c r="A14" s="11" t="s">
        <v>192</v>
      </c>
    </row>
    <row r="15" spans="1:13" ht="34.5" customHeight="1" x14ac:dyDescent="0.3">
      <c r="A15" s="12" t="s">
        <v>274</v>
      </c>
    </row>
    <row r="16" spans="1:13" ht="57" customHeight="1" x14ac:dyDescent="0.3">
      <c r="A16" s="12" t="s">
        <v>275</v>
      </c>
    </row>
    <row r="17" spans="1:2" ht="102" customHeight="1" x14ac:dyDescent="0.3">
      <c r="A17" s="12" t="s">
        <v>276</v>
      </c>
    </row>
    <row r="18" spans="1:2" ht="34.5" customHeight="1" x14ac:dyDescent="0.3">
      <c r="A18" s="12" t="s">
        <v>277</v>
      </c>
    </row>
    <row r="19" spans="1:2" ht="57" customHeight="1" x14ac:dyDescent="0.3">
      <c r="A19" s="12" t="s">
        <v>278</v>
      </c>
    </row>
    <row r="21" spans="1:2" ht="15" customHeight="1" x14ac:dyDescent="0.3">
      <c r="A21" s="11" t="s">
        <v>196</v>
      </c>
    </row>
    <row r="22" spans="1:2" ht="15" customHeight="1" x14ac:dyDescent="0.3">
      <c r="A22" s="3" t="s">
        <v>197</v>
      </c>
      <c r="B22" s="3" t="s">
        <v>198</v>
      </c>
    </row>
    <row r="23" spans="1:2" ht="213.75" customHeight="1" x14ac:dyDescent="0.3">
      <c r="A23" s="12" t="s">
        <v>279</v>
      </c>
      <c r="B23" s="12" t="s">
        <v>280</v>
      </c>
    </row>
    <row r="24" spans="1:2" ht="281.25" customHeight="1" x14ac:dyDescent="0.3">
      <c r="A24" s="12" t="s">
        <v>281</v>
      </c>
      <c r="B24" s="12" t="s">
        <v>282</v>
      </c>
    </row>
    <row r="25" spans="1:2" ht="191.25" customHeight="1" x14ac:dyDescent="0.3">
      <c r="A25" s="12" t="s">
        <v>283</v>
      </c>
      <c r="B25" s="12" t="s">
        <v>284</v>
      </c>
    </row>
    <row r="27" spans="1:2" ht="113.25" customHeight="1" x14ac:dyDescent="0.3">
      <c r="A27" s="13" t="s">
        <v>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12" customWidth="1"/>
    <col min="3" max="3" width="14" customWidth="1"/>
    <col min="4" max="4" width="60" customWidth="1"/>
  </cols>
  <sheetData>
    <row r="1" spans="1:4" ht="15" customHeight="1" x14ac:dyDescent="0.3">
      <c r="A1" s="1" t="s">
        <v>286</v>
      </c>
    </row>
    <row r="2" spans="1:4" ht="15" customHeight="1" x14ac:dyDescent="0.3">
      <c r="A2" s="2" t="s">
        <v>287</v>
      </c>
    </row>
    <row r="3" spans="1:4" ht="15" customHeight="1" x14ac:dyDescent="0.3">
      <c r="A3" s="2" t="s">
        <v>288</v>
      </c>
    </row>
    <row r="5" spans="1:4" ht="15" customHeight="1" x14ac:dyDescent="0.3">
      <c r="A5" s="3" t="s">
        <v>258</v>
      </c>
      <c r="B5" s="3" t="s">
        <v>289</v>
      </c>
      <c r="C5" s="3" t="s">
        <v>290</v>
      </c>
      <c r="D5" s="3" t="s">
        <v>291</v>
      </c>
    </row>
    <row r="6" spans="1:4" ht="15" customHeight="1" x14ac:dyDescent="0.3">
      <c r="A6" s="4" t="s">
        <v>292</v>
      </c>
      <c r="B6" s="4">
        <v>100</v>
      </c>
      <c r="C6" s="19">
        <f>'11_Results_Long'!AF13</f>
        <v>-5.8579591679943404</v>
      </c>
      <c r="D6" s="5" t="s">
        <v>293</v>
      </c>
    </row>
    <row r="7" spans="1:4" ht="15" customHeight="1" x14ac:dyDescent="0.3">
      <c r="A7" s="4" t="s">
        <v>294</v>
      </c>
      <c r="B7" s="4">
        <v>150</v>
      </c>
      <c r="C7" s="19">
        <f>'11_Results_Long'!AF14</f>
        <v>-8.7869387519915207</v>
      </c>
      <c r="D7" s="5" t="s">
        <v>293</v>
      </c>
    </row>
    <row r="8" spans="1:4" ht="15" customHeight="1" x14ac:dyDescent="0.3">
      <c r="A8" s="4" t="s">
        <v>295</v>
      </c>
      <c r="B8" s="4">
        <v>200</v>
      </c>
      <c r="C8" s="19">
        <f>'11_Results_Long'!AF15</f>
        <v>-11.7159183359887</v>
      </c>
      <c r="D8" s="5" t="s">
        <v>293</v>
      </c>
    </row>
    <row r="9" spans="1:4" ht="15" customHeight="1" x14ac:dyDescent="0.3">
      <c r="A9" s="4" t="s">
        <v>296</v>
      </c>
      <c r="B9" s="4" t="s">
        <v>297</v>
      </c>
      <c r="C9" s="19">
        <f>'11_Results_Long'!AF16</f>
        <v>-0.83685130971347799</v>
      </c>
      <c r="D9" s="5" t="s">
        <v>298</v>
      </c>
    </row>
    <row r="11" spans="1:4" ht="15" customHeight="1" x14ac:dyDescent="0.3">
      <c r="A11" s="11" t="s">
        <v>192</v>
      </c>
    </row>
    <row r="12" spans="1:4" ht="45.75" customHeight="1" x14ac:dyDescent="0.3">
      <c r="A12" s="12" t="s">
        <v>299</v>
      </c>
    </row>
    <row r="13" spans="1:4" ht="34.5" customHeight="1" x14ac:dyDescent="0.3">
      <c r="A13" s="12" t="s">
        <v>300</v>
      </c>
    </row>
    <row r="14" spans="1:4" ht="68.25" customHeight="1" x14ac:dyDescent="0.3">
      <c r="A14" s="12" t="s">
        <v>301</v>
      </c>
    </row>
    <row r="16" spans="1:4" ht="15" customHeight="1" x14ac:dyDescent="0.3">
      <c r="A16" s="11" t="s">
        <v>196</v>
      </c>
    </row>
    <row r="17" spans="1:2" ht="15" customHeight="1" x14ac:dyDescent="0.3">
      <c r="A17" s="3" t="s">
        <v>197</v>
      </c>
      <c r="B17" s="3" t="s">
        <v>198</v>
      </c>
    </row>
    <row r="18" spans="1:2" ht="191.25" customHeight="1" x14ac:dyDescent="0.3">
      <c r="A18" s="12" t="s">
        <v>302</v>
      </c>
      <c r="B18" s="12" t="s">
        <v>303</v>
      </c>
    </row>
    <row r="19" spans="1:2" ht="180" customHeight="1" x14ac:dyDescent="0.3">
      <c r="A19" s="12" t="s">
        <v>304</v>
      </c>
      <c r="B19" s="12" t="s">
        <v>305</v>
      </c>
    </row>
    <row r="21" spans="1:2" ht="68.25" customHeight="1" x14ac:dyDescent="0.3">
      <c r="A21" s="13" t="s">
        <v>306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22" customWidth="1"/>
    <col min="3" max="3" width="8" customWidth="1"/>
    <col min="4" max="4" width="9" customWidth="1"/>
    <col min="5" max="5" width="16" customWidth="1"/>
    <col min="6" max="34" width="10" customWidth="1"/>
    <col min="35" max="35" width="100" customWidth="1"/>
  </cols>
  <sheetData>
    <row r="1" spans="1:35" ht="15" customHeight="1" x14ac:dyDescent="0.3">
      <c r="A1" s="3" t="s">
        <v>307</v>
      </c>
      <c r="B1" s="3" t="s">
        <v>308</v>
      </c>
      <c r="C1" s="3" t="s">
        <v>309</v>
      </c>
      <c r="D1" s="3" t="s">
        <v>310</v>
      </c>
      <c r="E1" s="3" t="s">
        <v>311</v>
      </c>
      <c r="F1" s="3" t="s">
        <v>312</v>
      </c>
      <c r="G1" s="3" t="s">
        <v>313</v>
      </c>
      <c r="H1" s="3" t="s">
        <v>314</v>
      </c>
      <c r="I1" s="3" t="s">
        <v>315</v>
      </c>
      <c r="J1" s="3" t="s">
        <v>316</v>
      </c>
      <c r="K1" s="3" t="s">
        <v>317</v>
      </c>
      <c r="L1" s="3" t="s">
        <v>318</v>
      </c>
      <c r="M1" s="3" t="s">
        <v>243</v>
      </c>
      <c r="N1" s="3" t="s">
        <v>187</v>
      </c>
      <c r="O1" s="3" t="s">
        <v>319</v>
      </c>
      <c r="P1" s="3" t="s">
        <v>320</v>
      </c>
      <c r="Q1" s="3" t="s">
        <v>321</v>
      </c>
      <c r="R1" s="3" t="s">
        <v>322</v>
      </c>
      <c r="S1" s="3" t="s">
        <v>90</v>
      </c>
      <c r="T1" s="3" t="s">
        <v>323</v>
      </c>
      <c r="U1" s="3" t="s">
        <v>324</v>
      </c>
      <c r="V1" s="3" t="s">
        <v>325</v>
      </c>
      <c r="W1" s="3" t="s">
        <v>326</v>
      </c>
      <c r="X1" s="3" t="s">
        <v>327</v>
      </c>
      <c r="Y1" s="3" t="s">
        <v>328</v>
      </c>
      <c r="Z1" s="3" t="s">
        <v>329</v>
      </c>
      <c r="AA1" s="3" t="s">
        <v>330</v>
      </c>
      <c r="AB1" s="3" t="s">
        <v>331</v>
      </c>
      <c r="AC1" s="3" t="s">
        <v>332</v>
      </c>
      <c r="AD1" s="3" t="s">
        <v>333</v>
      </c>
      <c r="AE1" s="3" t="s">
        <v>334</v>
      </c>
      <c r="AF1" s="3" t="s">
        <v>335</v>
      </c>
      <c r="AG1" s="3" t="s">
        <v>336</v>
      </c>
      <c r="AH1" s="3" t="s">
        <v>337</v>
      </c>
      <c r="AI1" s="3" t="s">
        <v>338</v>
      </c>
    </row>
    <row r="2" spans="1:35" ht="15" customHeight="1" x14ac:dyDescent="0.3">
      <c r="A2" s="4" t="s">
        <v>339</v>
      </c>
      <c r="B2" s="4" t="s">
        <v>340</v>
      </c>
      <c r="C2" s="4" t="s">
        <v>341</v>
      </c>
      <c r="D2" s="4" t="s">
        <v>342</v>
      </c>
      <c r="E2" s="4" t="s">
        <v>343</v>
      </c>
      <c r="F2" s="4">
        <v>0.6</v>
      </c>
      <c r="G2" s="4">
        <v>2713</v>
      </c>
      <c r="H2" s="4">
        <v>115</v>
      </c>
      <c r="I2" s="4">
        <v>114</v>
      </c>
      <c r="J2" s="8">
        <v>-5.8646736610097998E-2</v>
      </c>
      <c r="K2" s="8">
        <v>1.3856549617298999E-2</v>
      </c>
      <c r="L2" s="8">
        <v>-4.2324199190887599</v>
      </c>
      <c r="M2" s="9">
        <v>111.671795029271</v>
      </c>
      <c r="N2" s="8">
        <v>4.7619835484618398E-5</v>
      </c>
      <c r="O2" s="8">
        <v>-8.6102594638797797E-2</v>
      </c>
      <c r="P2" s="8">
        <v>-3.1190878581398102E-2</v>
      </c>
      <c r="Q2" s="8">
        <v>-0.41210245201268703</v>
      </c>
      <c r="R2" s="8">
        <v>0.29480897879249102</v>
      </c>
      <c r="S2" s="8">
        <v>-5.85795916799434E-2</v>
      </c>
      <c r="T2" s="8">
        <v>-8.5890445375145993E-2</v>
      </c>
      <c r="U2" s="8">
        <v>-3.1180767616603398E-2</v>
      </c>
      <c r="V2" s="8">
        <v>-0.39025638957994502</v>
      </c>
      <c r="W2" s="8">
        <v>0.28655496524775897</v>
      </c>
      <c r="X2" s="14">
        <v>1.9745548666112299E-2</v>
      </c>
      <c r="Y2" s="14">
        <v>1.0209212874954301E-9</v>
      </c>
      <c r="Z2" s="14">
        <v>1.18831792865472E-2</v>
      </c>
      <c r="AA2" s="14"/>
      <c r="AB2" s="14"/>
      <c r="AC2" s="14"/>
      <c r="AD2" s="14"/>
      <c r="AE2" s="14"/>
      <c r="AF2" s="19"/>
      <c r="AG2" s="4" t="s">
        <v>344</v>
      </c>
      <c r="AH2" s="4" t="s">
        <v>345</v>
      </c>
      <c r="AI2" s="4" t="s">
        <v>346</v>
      </c>
    </row>
    <row r="3" spans="1:35" ht="15" customHeight="1" x14ac:dyDescent="0.3">
      <c r="A3" s="4" t="s">
        <v>347</v>
      </c>
      <c r="B3" s="4" t="s">
        <v>348</v>
      </c>
      <c r="C3" s="4" t="s">
        <v>341</v>
      </c>
      <c r="D3" s="4" t="s">
        <v>342</v>
      </c>
      <c r="E3" s="4" t="s">
        <v>349</v>
      </c>
      <c r="F3" s="4">
        <v>0.6</v>
      </c>
      <c r="G3" s="4">
        <v>2713</v>
      </c>
      <c r="H3" s="4">
        <v>115</v>
      </c>
      <c r="I3" s="4">
        <v>114</v>
      </c>
      <c r="J3" s="8"/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14">
        <v>1.9745548666112299E-2</v>
      </c>
      <c r="Y3" s="14">
        <v>1.0209212874954301E-9</v>
      </c>
      <c r="Z3" s="14">
        <v>1.18831792865472E-2</v>
      </c>
      <c r="AA3" s="14">
        <v>0.62343415122659096</v>
      </c>
      <c r="AB3" s="14">
        <v>3.2233958503832597E-8</v>
      </c>
      <c r="AC3" s="14">
        <v>0.37519239995069698</v>
      </c>
      <c r="AD3" s="14">
        <v>1.37341658875372E-3</v>
      </c>
      <c r="AE3" s="14">
        <v>4.34991635262953E-5</v>
      </c>
      <c r="AF3" s="19"/>
      <c r="AG3" s="4" t="s">
        <v>344</v>
      </c>
      <c r="AH3" s="4" t="s">
        <v>350</v>
      </c>
      <c r="AI3" s="4" t="s">
        <v>351</v>
      </c>
    </row>
    <row r="4" spans="1:35" ht="15" customHeight="1" x14ac:dyDescent="0.3">
      <c r="A4" s="4" t="s">
        <v>352</v>
      </c>
      <c r="B4" s="4" t="s">
        <v>353</v>
      </c>
      <c r="C4" s="4" t="s">
        <v>341</v>
      </c>
      <c r="D4" s="4" t="s">
        <v>342</v>
      </c>
      <c r="E4" s="4" t="s">
        <v>343</v>
      </c>
      <c r="F4" s="4">
        <v>0.6</v>
      </c>
      <c r="G4" s="4">
        <v>2713</v>
      </c>
      <c r="H4" s="4">
        <v>115</v>
      </c>
      <c r="I4" s="4">
        <v>114</v>
      </c>
      <c r="J4" s="8">
        <v>-5.8646736610097998E-2</v>
      </c>
      <c r="K4" s="8">
        <v>1.3856549617298999E-2</v>
      </c>
      <c r="L4" s="8"/>
      <c r="M4" s="9">
        <v>111.671795029271</v>
      </c>
      <c r="N4" s="8"/>
      <c r="O4" s="8">
        <v>-8.6102594638797797E-2</v>
      </c>
      <c r="P4" s="8">
        <v>-3.1190878581398102E-2</v>
      </c>
      <c r="Q4" s="8">
        <v>-0.41210245201268703</v>
      </c>
      <c r="R4" s="8">
        <v>0.29480897879249102</v>
      </c>
      <c r="S4" s="8">
        <v>-5.85795916799434E-2</v>
      </c>
      <c r="T4" s="8">
        <v>-8.5890445375145993E-2</v>
      </c>
      <c r="U4" s="8">
        <v>-3.1180767616603398E-2</v>
      </c>
      <c r="V4" s="8">
        <v>-0.39025638957994502</v>
      </c>
      <c r="W4" s="8">
        <v>0.28655496524775897</v>
      </c>
      <c r="X4" s="14"/>
      <c r="Y4" s="14"/>
      <c r="Z4" s="14"/>
      <c r="AA4" s="14"/>
      <c r="AB4" s="14"/>
      <c r="AC4" s="14"/>
      <c r="AD4" s="14"/>
      <c r="AE4" s="14"/>
      <c r="AF4" s="19"/>
      <c r="AG4" s="4" t="s">
        <v>344</v>
      </c>
      <c r="AH4" s="4" t="s">
        <v>353</v>
      </c>
      <c r="AI4" s="4" t="s">
        <v>354</v>
      </c>
    </row>
    <row r="5" spans="1:35" ht="15" customHeight="1" x14ac:dyDescent="0.3">
      <c r="A5" s="4" t="s">
        <v>352</v>
      </c>
      <c r="B5" s="4" t="s">
        <v>355</v>
      </c>
      <c r="C5" s="4" t="s">
        <v>356</v>
      </c>
      <c r="D5" s="4" t="s">
        <v>342</v>
      </c>
      <c r="E5" s="4" t="s">
        <v>343</v>
      </c>
      <c r="F5" s="4">
        <v>0.6</v>
      </c>
      <c r="G5" s="4">
        <v>1994</v>
      </c>
      <c r="H5" s="4">
        <v>83</v>
      </c>
      <c r="I5" s="4">
        <v>82</v>
      </c>
      <c r="J5" s="8">
        <v>-6.02828040717929E-2</v>
      </c>
      <c r="K5" s="8">
        <v>1.9345037388620999E-2</v>
      </c>
      <c r="L5" s="8">
        <v>-3.11618958706444</v>
      </c>
      <c r="M5" s="9">
        <v>80.2729465320662</v>
      </c>
      <c r="N5" s="8">
        <v>2.5416564156794E-3</v>
      </c>
      <c r="O5" s="8">
        <v>-9.8778645921993993E-2</v>
      </c>
      <c r="P5" s="8">
        <v>-2.17869622215917E-2</v>
      </c>
      <c r="Q5" s="8">
        <v>-0.47189309203684199</v>
      </c>
      <c r="R5" s="8">
        <v>0.35132748389325602</v>
      </c>
      <c r="S5" s="8">
        <v>-6.0209887161573501E-2</v>
      </c>
      <c r="T5" s="8">
        <v>-9.8458626508199407E-2</v>
      </c>
      <c r="U5" s="8">
        <v>-2.1783515657687099E-2</v>
      </c>
      <c r="V5" s="8">
        <v>-0.43972762827157802</v>
      </c>
      <c r="W5" s="8">
        <v>0.33755229925795499</v>
      </c>
      <c r="X5" s="14">
        <v>2.81496855515481E-2</v>
      </c>
      <c r="Y5" s="14">
        <v>1.9888002526970899E-9</v>
      </c>
      <c r="Z5" s="14">
        <v>1.42603342485258E-2</v>
      </c>
      <c r="AA5" s="14"/>
      <c r="AB5" s="14"/>
      <c r="AC5" s="14"/>
      <c r="AD5" s="14"/>
      <c r="AE5" s="14"/>
      <c r="AF5" s="19"/>
      <c r="AG5" s="4" t="s">
        <v>344</v>
      </c>
      <c r="AH5" s="4" t="s">
        <v>355</v>
      </c>
      <c r="AI5" s="4" t="s">
        <v>357</v>
      </c>
    </row>
    <row r="6" spans="1:35" ht="15" customHeight="1" x14ac:dyDescent="0.3">
      <c r="A6" s="4" t="s">
        <v>352</v>
      </c>
      <c r="B6" s="4" t="s">
        <v>358</v>
      </c>
      <c r="C6" s="4" t="s">
        <v>359</v>
      </c>
      <c r="D6" s="4" t="s">
        <v>342</v>
      </c>
      <c r="E6" s="4" t="s">
        <v>343</v>
      </c>
      <c r="F6" s="4">
        <v>0.6</v>
      </c>
      <c r="G6" s="4">
        <v>711</v>
      </c>
      <c r="H6" s="4">
        <v>31</v>
      </c>
      <c r="I6" s="4">
        <v>31</v>
      </c>
      <c r="J6" s="8">
        <v>-4.8705636254366698E-2</v>
      </c>
      <c r="K6" s="8">
        <v>8.5367028677267795E-3</v>
      </c>
      <c r="L6" s="8">
        <v>-5.7054388572547703</v>
      </c>
      <c r="M6" s="9">
        <v>27.516320526444101</v>
      </c>
      <c r="N6" s="8">
        <v>4.3127478158974396E-6</v>
      </c>
      <c r="O6" s="8">
        <v>-6.6206137751331301E-2</v>
      </c>
      <c r="P6" s="8">
        <v>-3.1205134757402098E-2</v>
      </c>
      <c r="Q6" s="8">
        <v>-0.211024636977414</v>
      </c>
      <c r="R6" s="8">
        <v>0.11361336446868101</v>
      </c>
      <c r="S6" s="8">
        <v>-4.8667158961559598E-2</v>
      </c>
      <c r="T6" s="8">
        <v>-6.6109574309097197E-2</v>
      </c>
      <c r="U6" s="8">
        <v>-3.1195009925846999E-2</v>
      </c>
      <c r="V6" s="8">
        <v>-0.207947037965168</v>
      </c>
      <c r="W6" s="8">
        <v>0.113127035023064</v>
      </c>
      <c r="X6" s="14">
        <v>7.3681521654243203E-4</v>
      </c>
      <c r="Y6" s="14">
        <v>7.3681522441875402E-4</v>
      </c>
      <c r="Z6" s="14">
        <v>4.7227799899939703E-3</v>
      </c>
      <c r="AA6" s="14"/>
      <c r="AB6" s="14"/>
      <c r="AC6" s="14"/>
      <c r="AD6" s="14"/>
      <c r="AE6" s="14"/>
      <c r="AF6" s="19"/>
      <c r="AG6" s="4" t="s">
        <v>344</v>
      </c>
      <c r="AH6" s="4" t="s">
        <v>358</v>
      </c>
      <c r="AI6" s="4" t="s">
        <v>357</v>
      </c>
    </row>
    <row r="7" spans="1:35" ht="15" customHeight="1" x14ac:dyDescent="0.3">
      <c r="A7" s="4" t="s">
        <v>360</v>
      </c>
      <c r="B7" s="4" t="s">
        <v>268</v>
      </c>
      <c r="C7" s="4" t="s">
        <v>341</v>
      </c>
      <c r="D7" s="4" t="s">
        <v>342</v>
      </c>
      <c r="E7" s="4" t="s">
        <v>343</v>
      </c>
      <c r="F7" s="4">
        <v>0.4</v>
      </c>
      <c r="G7" s="4">
        <v>2713</v>
      </c>
      <c r="H7" s="4">
        <v>115</v>
      </c>
      <c r="I7" s="4">
        <v>114</v>
      </c>
      <c r="J7" s="8">
        <v>-5.9331661564333199E-2</v>
      </c>
      <c r="K7" s="8">
        <v>1.3872878333107399E-2</v>
      </c>
      <c r="L7" s="8">
        <v>-4.27680976792964</v>
      </c>
      <c r="M7" s="9">
        <v>111.808351804043</v>
      </c>
      <c r="N7" s="8">
        <v>4.0118379725660202E-5</v>
      </c>
      <c r="O7" s="8">
        <v>-8.6819506192781795E-2</v>
      </c>
      <c r="P7" s="8">
        <v>-3.1843816935884603E-2</v>
      </c>
      <c r="Q7" s="8">
        <v>-0.412321259596727</v>
      </c>
      <c r="R7" s="8">
        <v>0.29365793646806099</v>
      </c>
      <c r="S7" s="8">
        <v>-5.9262138774925602E-2</v>
      </c>
      <c r="T7" s="8">
        <v>-8.6602024213738193E-2</v>
      </c>
      <c r="U7" s="8">
        <v>-3.18330577853786E-2</v>
      </c>
      <c r="V7" s="8">
        <v>-0.39044185691786898</v>
      </c>
      <c r="W7" s="8">
        <v>0.28549809119351499</v>
      </c>
      <c r="X7" s="14">
        <v>1.9970875134671901E-2</v>
      </c>
      <c r="Y7" s="14">
        <v>2.0563757867895999E-9</v>
      </c>
      <c r="Z7" s="14">
        <v>1.1574376649219901E-2</v>
      </c>
      <c r="AA7" s="14"/>
      <c r="AB7" s="14"/>
      <c r="AC7" s="14"/>
      <c r="AD7" s="14"/>
      <c r="AE7" s="14"/>
      <c r="AF7" s="19"/>
      <c r="AG7" s="4" t="s">
        <v>361</v>
      </c>
      <c r="AH7" s="4"/>
      <c r="AI7" s="4" t="s">
        <v>362</v>
      </c>
    </row>
    <row r="8" spans="1:35" ht="15" customHeight="1" x14ac:dyDescent="0.3">
      <c r="A8" s="4" t="s">
        <v>360</v>
      </c>
      <c r="B8" s="4" t="s">
        <v>269</v>
      </c>
      <c r="C8" s="4" t="s">
        <v>341</v>
      </c>
      <c r="D8" s="4" t="s">
        <v>342</v>
      </c>
      <c r="E8" s="4" t="s">
        <v>343</v>
      </c>
      <c r="F8" s="4">
        <v>0.8</v>
      </c>
      <c r="G8" s="4">
        <v>2713</v>
      </c>
      <c r="H8" s="4">
        <v>115</v>
      </c>
      <c r="I8" s="4">
        <v>114</v>
      </c>
      <c r="J8" s="8">
        <v>-5.80360251444842E-2</v>
      </c>
      <c r="K8" s="8">
        <v>1.3825217428174E-2</v>
      </c>
      <c r="L8" s="8">
        <v>-4.1978381494539301</v>
      </c>
      <c r="M8" s="9">
        <v>111.51402244840899</v>
      </c>
      <c r="N8" s="8">
        <v>5.4394337927424102E-5</v>
      </c>
      <c r="O8" s="8">
        <v>-8.5430224956228401E-2</v>
      </c>
      <c r="P8" s="8">
        <v>-3.064182533274E-2</v>
      </c>
      <c r="Q8" s="8">
        <v>-0.412116559321207</v>
      </c>
      <c r="R8" s="8">
        <v>0.296044509032239</v>
      </c>
      <c r="S8" s="8">
        <v>-5.7970954214118402E-2</v>
      </c>
      <c r="T8" s="8">
        <v>-8.5222997432464698E-2</v>
      </c>
      <c r="U8" s="8">
        <v>-3.06322388439846E-2</v>
      </c>
      <c r="V8" s="8">
        <v>-0.39026834827883899</v>
      </c>
      <c r="W8" s="8">
        <v>0.28768863951741303</v>
      </c>
      <c r="X8" s="14">
        <v>1.94788756125359E-2</v>
      </c>
      <c r="Y8" s="14">
        <v>2.8549316161038899E-9</v>
      </c>
      <c r="Z8" s="14">
        <v>1.2262329362447699E-2</v>
      </c>
      <c r="AA8" s="14"/>
      <c r="AB8" s="14"/>
      <c r="AC8" s="14"/>
      <c r="AD8" s="14"/>
      <c r="AE8" s="14"/>
      <c r="AF8" s="19"/>
      <c r="AG8" s="4" t="s">
        <v>361</v>
      </c>
      <c r="AH8" s="4"/>
      <c r="AI8" s="4" t="s">
        <v>362</v>
      </c>
    </row>
    <row r="9" spans="1:35" ht="15" customHeight="1" x14ac:dyDescent="0.3">
      <c r="A9" s="4" t="s">
        <v>363</v>
      </c>
      <c r="B9" s="4" t="s">
        <v>270</v>
      </c>
      <c r="C9" s="4" t="s">
        <v>341</v>
      </c>
      <c r="D9" s="4" t="s">
        <v>342</v>
      </c>
      <c r="E9" s="4" t="s">
        <v>364</v>
      </c>
      <c r="F9" s="4">
        <v>0.6</v>
      </c>
      <c r="G9" s="4">
        <v>114</v>
      </c>
      <c r="H9" s="4"/>
      <c r="I9" s="4">
        <v>114</v>
      </c>
      <c r="J9" s="8">
        <v>-6.1660838654062897E-2</v>
      </c>
      <c r="K9" s="8">
        <v>2.4330660273178401E-2</v>
      </c>
      <c r="L9" s="8">
        <v>-2.5342854637626302</v>
      </c>
      <c r="M9" s="9">
        <v>113</v>
      </c>
      <c r="N9" s="8">
        <v>1.2636764435838299E-2</v>
      </c>
      <c r="O9" s="8">
        <v>-0.10986426491887499</v>
      </c>
      <c r="P9" s="8">
        <v>-1.34574123892513E-2</v>
      </c>
      <c r="Q9" s="8"/>
      <c r="R9" s="8"/>
      <c r="S9" s="8">
        <v>-6.1582811268470802E-2</v>
      </c>
      <c r="T9" s="8">
        <v>-0.109424362375925</v>
      </c>
      <c r="U9" s="8">
        <v>-1.3456600060229799E-2</v>
      </c>
      <c r="V9" s="8"/>
      <c r="W9" s="8"/>
      <c r="X9" s="14"/>
      <c r="Y9" s="14"/>
      <c r="Z9" s="14"/>
      <c r="AA9" s="14"/>
      <c r="AB9" s="14"/>
      <c r="AC9" s="14"/>
      <c r="AD9" s="14"/>
      <c r="AE9" s="14"/>
      <c r="AF9" s="19"/>
      <c r="AG9" s="4" t="s">
        <v>361</v>
      </c>
      <c r="AH9" s="4"/>
      <c r="AI9" s="4" t="s">
        <v>365</v>
      </c>
    </row>
    <row r="10" spans="1:35" ht="15" customHeight="1" x14ac:dyDescent="0.3">
      <c r="A10" s="4" t="s">
        <v>363</v>
      </c>
      <c r="B10" s="4" t="s">
        <v>271</v>
      </c>
      <c r="C10" s="4" t="s">
        <v>341</v>
      </c>
      <c r="D10" s="4" t="s">
        <v>366</v>
      </c>
      <c r="E10" s="4" t="s">
        <v>367</v>
      </c>
      <c r="F10" s="4"/>
      <c r="G10" s="4">
        <v>2713</v>
      </c>
      <c r="H10" s="4">
        <v>115</v>
      </c>
      <c r="I10" s="4">
        <v>114</v>
      </c>
      <c r="J10" s="8">
        <v>-3.0667421794809299E-2</v>
      </c>
      <c r="K10" s="8"/>
      <c r="L10" s="8">
        <v>-2.0951955833531799</v>
      </c>
      <c r="M10" s="9">
        <v>2.28149855436489</v>
      </c>
      <c r="N10" s="8">
        <v>0.15520196646932799</v>
      </c>
      <c r="O10" s="8">
        <v>-8.6946257530746196E-2</v>
      </c>
      <c r="P10" s="8">
        <v>2.5417673361075099E-2</v>
      </c>
      <c r="Q10" s="8"/>
      <c r="R10" s="8"/>
      <c r="S10" s="8">
        <v>-3.0657811267965501E-2</v>
      </c>
      <c r="T10" s="8">
        <v>-8.6727823546436503E-2</v>
      </c>
      <c r="U10" s="8">
        <v>2.5412201010505599E-2</v>
      </c>
      <c r="V10" s="8"/>
      <c r="W10" s="8"/>
      <c r="X10" s="14"/>
      <c r="Y10" s="14"/>
      <c r="Z10" s="14"/>
      <c r="AA10" s="14"/>
      <c r="AB10" s="14"/>
      <c r="AC10" s="14"/>
      <c r="AD10" s="14"/>
      <c r="AE10" s="14"/>
      <c r="AF10" s="19"/>
      <c r="AG10" s="4" t="s">
        <v>361</v>
      </c>
      <c r="AH10" s="4"/>
      <c r="AI10" s="4" t="s">
        <v>368</v>
      </c>
    </row>
    <row r="11" spans="1:35" ht="15" customHeight="1" x14ac:dyDescent="0.3">
      <c r="A11" s="4" t="s">
        <v>363</v>
      </c>
      <c r="B11" s="4" t="s">
        <v>272</v>
      </c>
      <c r="C11" s="4" t="s">
        <v>341</v>
      </c>
      <c r="D11" s="4" t="s">
        <v>366</v>
      </c>
      <c r="E11" s="4" t="s">
        <v>369</v>
      </c>
      <c r="F11" s="4"/>
      <c r="G11" s="4">
        <v>2713</v>
      </c>
      <c r="H11" s="4">
        <v>115</v>
      </c>
      <c r="I11" s="4">
        <v>114</v>
      </c>
      <c r="J11" s="8">
        <v>-2.1773098397479301E-2</v>
      </c>
      <c r="K11" s="8"/>
      <c r="L11" s="8"/>
      <c r="M11" s="9"/>
      <c r="N11" s="8"/>
      <c r="O11" s="8">
        <v>-2.4483150414556801E-2</v>
      </c>
      <c r="P11" s="8">
        <v>-1.9063366112829799E-2</v>
      </c>
      <c r="Q11" s="8"/>
      <c r="R11" s="8"/>
      <c r="S11" s="8">
        <v>-2.1769658408073898E-2</v>
      </c>
      <c r="T11" s="8">
        <v>-2.44782596525536E-2</v>
      </c>
      <c r="U11" s="8">
        <v>-1.90610571635942E-2</v>
      </c>
      <c r="V11" s="8"/>
      <c r="W11" s="8"/>
      <c r="X11" s="14"/>
      <c r="Y11" s="14"/>
      <c r="Z11" s="14"/>
      <c r="AA11" s="14"/>
      <c r="AB11" s="14"/>
      <c r="AC11" s="14"/>
      <c r="AD11" s="14"/>
      <c r="AE11" s="14"/>
      <c r="AF11" s="19"/>
      <c r="AG11" s="4" t="s">
        <v>361</v>
      </c>
      <c r="AH11" s="4"/>
      <c r="AI11" s="4" t="s">
        <v>370</v>
      </c>
    </row>
    <row r="12" spans="1:35" ht="15" customHeight="1" x14ac:dyDescent="0.3">
      <c r="A12" s="4" t="s">
        <v>363</v>
      </c>
      <c r="B12" s="4" t="s">
        <v>273</v>
      </c>
      <c r="C12" s="4" t="s">
        <v>371</v>
      </c>
      <c r="D12" s="4" t="s">
        <v>366</v>
      </c>
      <c r="E12" s="4" t="s">
        <v>372</v>
      </c>
      <c r="F12" s="4"/>
      <c r="G12" s="4">
        <v>704</v>
      </c>
      <c r="H12" s="4"/>
      <c r="I12" s="4">
        <v>49</v>
      </c>
      <c r="J12" s="8">
        <v>-3.0912018281733601E-2</v>
      </c>
      <c r="K12" s="8"/>
      <c r="L12" s="8">
        <v>-1.96483306103419</v>
      </c>
      <c r="M12" s="9">
        <v>2.2156310023088599</v>
      </c>
      <c r="N12" s="8">
        <v>0.17582816427905501</v>
      </c>
      <c r="O12" s="8">
        <v>-9.2903673697996195E-2</v>
      </c>
      <c r="P12" s="8">
        <v>3.08427307407045E-2</v>
      </c>
      <c r="Q12" s="8"/>
      <c r="R12" s="8"/>
      <c r="S12" s="8">
        <v>-3.0902176020997402E-2</v>
      </c>
      <c r="T12" s="8">
        <v>-9.2637306539616104E-2</v>
      </c>
      <c r="U12" s="8">
        <v>3.0832954497621402E-2</v>
      </c>
      <c r="V12" s="8"/>
      <c r="W12" s="8"/>
      <c r="X12" s="14"/>
      <c r="Y12" s="14"/>
      <c r="Z12" s="14"/>
      <c r="AA12" s="14"/>
      <c r="AB12" s="14"/>
      <c r="AC12" s="14"/>
      <c r="AD12" s="14"/>
      <c r="AE12" s="14"/>
      <c r="AF12" s="19"/>
      <c r="AG12" s="4" t="s">
        <v>361</v>
      </c>
      <c r="AH12" s="4"/>
      <c r="AI12" s="4" t="s">
        <v>373</v>
      </c>
    </row>
    <row r="13" spans="1:35" ht="15" customHeight="1" x14ac:dyDescent="0.3">
      <c r="A13" s="4" t="s">
        <v>374</v>
      </c>
      <c r="B13" s="4" t="s">
        <v>292</v>
      </c>
      <c r="C13" s="4" t="s">
        <v>341</v>
      </c>
      <c r="D13" s="4" t="s">
        <v>375</v>
      </c>
      <c r="E13" s="4" t="s">
        <v>376</v>
      </c>
      <c r="F13" s="4"/>
      <c r="G13" s="4">
        <v>2713</v>
      </c>
      <c r="H13" s="4">
        <v>115</v>
      </c>
      <c r="I13" s="4">
        <v>114</v>
      </c>
      <c r="J13" s="8"/>
      <c r="K13" s="8"/>
      <c r="L13" s="8"/>
      <c r="M13" s="9"/>
      <c r="N13" s="8"/>
      <c r="O13" s="8"/>
      <c r="P13" s="8"/>
      <c r="Q13" s="8"/>
      <c r="R13" s="8"/>
      <c r="S13" s="8">
        <v>-5.85795916799434E-2</v>
      </c>
      <c r="T13" s="8">
        <v>-8.5890445375145993E-2</v>
      </c>
      <c r="U13" s="8">
        <v>-3.1180767616603398E-2</v>
      </c>
      <c r="V13" s="8"/>
      <c r="W13" s="8"/>
      <c r="X13" s="14"/>
      <c r="Y13" s="14"/>
      <c r="Z13" s="14"/>
      <c r="AA13" s="14"/>
      <c r="AB13" s="14"/>
      <c r="AC13" s="14"/>
      <c r="AD13" s="14"/>
      <c r="AE13" s="14"/>
      <c r="AF13" s="19">
        <v>-5.8579591679943404</v>
      </c>
      <c r="AG13" s="4" t="s">
        <v>344</v>
      </c>
      <c r="AH13" s="4" t="s">
        <v>377</v>
      </c>
      <c r="AI13" s="4" t="s">
        <v>378</v>
      </c>
    </row>
    <row r="14" spans="1:35" ht="15" customHeight="1" x14ac:dyDescent="0.3">
      <c r="A14" s="4" t="s">
        <v>374</v>
      </c>
      <c r="B14" s="4" t="s">
        <v>294</v>
      </c>
      <c r="C14" s="4" t="s">
        <v>341</v>
      </c>
      <c r="D14" s="4" t="s">
        <v>375</v>
      </c>
      <c r="E14" s="4" t="s">
        <v>376</v>
      </c>
      <c r="F14" s="4"/>
      <c r="G14" s="4">
        <v>2713</v>
      </c>
      <c r="H14" s="4">
        <v>115</v>
      </c>
      <c r="I14" s="4">
        <v>114</v>
      </c>
      <c r="J14" s="8"/>
      <c r="K14" s="8"/>
      <c r="L14" s="8"/>
      <c r="M14" s="9"/>
      <c r="N14" s="8"/>
      <c r="O14" s="8"/>
      <c r="P14" s="8"/>
      <c r="Q14" s="8"/>
      <c r="R14" s="8"/>
      <c r="S14" s="8">
        <v>-5.85795916799434E-2</v>
      </c>
      <c r="T14" s="8">
        <v>-8.5890445375145993E-2</v>
      </c>
      <c r="U14" s="8">
        <v>-3.1180767616603398E-2</v>
      </c>
      <c r="V14" s="8"/>
      <c r="W14" s="8"/>
      <c r="X14" s="14"/>
      <c r="Y14" s="14"/>
      <c r="Z14" s="14"/>
      <c r="AA14" s="14"/>
      <c r="AB14" s="14"/>
      <c r="AC14" s="14"/>
      <c r="AD14" s="14"/>
      <c r="AE14" s="14"/>
      <c r="AF14" s="19">
        <v>-8.7869387519915207</v>
      </c>
      <c r="AG14" s="4" t="s">
        <v>344</v>
      </c>
      <c r="AH14" s="4" t="s">
        <v>379</v>
      </c>
      <c r="AI14" s="4" t="s">
        <v>380</v>
      </c>
    </row>
    <row r="15" spans="1:35" ht="15" customHeight="1" x14ac:dyDescent="0.3">
      <c r="A15" s="4" t="s">
        <v>374</v>
      </c>
      <c r="B15" s="4" t="s">
        <v>295</v>
      </c>
      <c r="C15" s="4" t="s">
        <v>341</v>
      </c>
      <c r="D15" s="4" t="s">
        <v>375</v>
      </c>
      <c r="E15" s="4" t="s">
        <v>376</v>
      </c>
      <c r="F15" s="4"/>
      <c r="G15" s="4">
        <v>2713</v>
      </c>
      <c r="H15" s="4">
        <v>115</v>
      </c>
      <c r="I15" s="4">
        <v>114</v>
      </c>
      <c r="J15" s="8"/>
      <c r="K15" s="8"/>
      <c r="L15" s="8"/>
      <c r="M15" s="9"/>
      <c r="N15" s="8"/>
      <c r="O15" s="8"/>
      <c r="P15" s="8"/>
      <c r="Q15" s="8"/>
      <c r="R15" s="8"/>
      <c r="S15" s="8">
        <v>-5.85795916799434E-2</v>
      </c>
      <c r="T15" s="8">
        <v>-8.5890445375145993E-2</v>
      </c>
      <c r="U15" s="8">
        <v>-3.1180767616603398E-2</v>
      </c>
      <c r="V15" s="8"/>
      <c r="W15" s="8"/>
      <c r="X15" s="14"/>
      <c r="Y15" s="14"/>
      <c r="Z15" s="14"/>
      <c r="AA15" s="14"/>
      <c r="AB15" s="14"/>
      <c r="AC15" s="14"/>
      <c r="AD15" s="14"/>
      <c r="AE15" s="14"/>
      <c r="AF15" s="19">
        <v>-11.7159183359887</v>
      </c>
      <c r="AG15" s="4" t="s">
        <v>344</v>
      </c>
      <c r="AH15" s="4" t="s">
        <v>381</v>
      </c>
      <c r="AI15" s="4" t="s">
        <v>382</v>
      </c>
    </row>
    <row r="16" spans="1:35" ht="15" customHeight="1" x14ac:dyDescent="0.3">
      <c r="A16" s="4" t="s">
        <v>374</v>
      </c>
      <c r="B16" s="4" t="s">
        <v>296</v>
      </c>
      <c r="C16" s="4" t="s">
        <v>341</v>
      </c>
      <c r="D16" s="4" t="s">
        <v>383</v>
      </c>
      <c r="E16" s="4" t="s">
        <v>376</v>
      </c>
      <c r="F16" s="4"/>
      <c r="G16" s="4"/>
      <c r="H16" s="4"/>
      <c r="I16" s="4"/>
      <c r="J16" s="8"/>
      <c r="K16" s="8"/>
      <c r="L16" s="8"/>
      <c r="M16" s="9"/>
      <c r="N16" s="8"/>
      <c r="O16" s="8"/>
      <c r="P16" s="8"/>
      <c r="Q16" s="8"/>
      <c r="R16" s="8"/>
      <c r="S16" s="8">
        <v>-5.85795916799434E-2</v>
      </c>
      <c r="T16" s="8"/>
      <c r="U16" s="8"/>
      <c r="V16" s="8"/>
      <c r="W16" s="8"/>
      <c r="X16" s="14"/>
      <c r="Y16" s="14"/>
      <c r="Z16" s="14"/>
      <c r="AA16" s="14"/>
      <c r="AB16" s="14"/>
      <c r="AC16" s="14"/>
      <c r="AD16" s="14"/>
      <c r="AE16" s="14"/>
      <c r="AF16" s="19">
        <v>-0.83685130971347799</v>
      </c>
      <c r="AG16" s="4" t="s">
        <v>344</v>
      </c>
      <c r="AH16" s="4" t="s">
        <v>384</v>
      </c>
      <c r="AI16" s="4" t="s">
        <v>385</v>
      </c>
    </row>
  </sheetData>
  <autoFilter ref="A1:AI16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24" customWidth="1"/>
    <col min="2" max="2" width="8" customWidth="1"/>
    <col min="3" max="3" width="44" customWidth="1"/>
    <col min="4" max="4" width="22" customWidth="1"/>
    <col min="5" max="5" width="16" customWidth="1"/>
    <col min="6" max="6" width="18" customWidth="1"/>
    <col min="7" max="7" width="6" customWidth="1"/>
    <col min="8" max="8" width="9" customWidth="1"/>
    <col min="9" max="9" width="20" customWidth="1"/>
    <col min="10" max="10" width="44" customWidth="1"/>
  </cols>
  <sheetData>
    <row r="1" spans="1:10" ht="15" customHeight="1" x14ac:dyDescent="0.3">
      <c r="A1" s="1" t="s">
        <v>386</v>
      </c>
    </row>
    <row r="2" spans="1:10" ht="15" customHeight="1" x14ac:dyDescent="0.3">
      <c r="A2" s="2" t="s">
        <v>387</v>
      </c>
    </row>
    <row r="3" spans="1:10" ht="15" customHeight="1" x14ac:dyDescent="0.3">
      <c r="A3" s="2" t="s">
        <v>388</v>
      </c>
    </row>
    <row r="5" spans="1:10" ht="15" customHeight="1" x14ac:dyDescent="0.3">
      <c r="A5" s="3" t="s">
        <v>337</v>
      </c>
      <c r="B5" s="3" t="s">
        <v>389</v>
      </c>
      <c r="C5" s="3" t="s">
        <v>390</v>
      </c>
      <c r="D5" s="3" t="s">
        <v>335</v>
      </c>
      <c r="E5" s="3" t="s">
        <v>93</v>
      </c>
      <c r="F5" s="3" t="s">
        <v>391</v>
      </c>
      <c r="G5" s="3" t="s">
        <v>243</v>
      </c>
      <c r="H5" s="3" t="s">
        <v>187</v>
      </c>
      <c r="I5" s="3" t="s">
        <v>392</v>
      </c>
      <c r="J5" s="3" t="s">
        <v>393</v>
      </c>
    </row>
    <row r="6" spans="1:10" ht="15" customHeight="1" x14ac:dyDescent="0.3">
      <c r="A6" s="4" t="s">
        <v>345</v>
      </c>
      <c r="B6" s="4" t="s">
        <v>339</v>
      </c>
      <c r="C6" s="5" t="s">
        <v>394</v>
      </c>
      <c r="D6" s="4" t="e">
        <f>TEXT('11_Results_Long'!S2,"0.000")</f>
        <v>#VALUE!</v>
      </c>
      <c r="E6" s="4" t="e">
        <f>"["&amp;TEXT('11_Results_Long'!T2,"0.000")&amp;"; "&amp;TEXT('11_Results_Long'!U2,"0.000")&amp;"]"</f>
        <v>#VALUE!</v>
      </c>
      <c r="F6" s="4" t="e">
        <f>"["&amp;TEXT('11_Results_Long'!V2,"0.000")&amp;"; "&amp;TEXT('11_Results_Long'!W2,"0.000")&amp;"]"</f>
        <v>#VALUE!</v>
      </c>
      <c r="G6" s="4">
        <f>ROUND('11_Results_Long'!M2,1)</f>
        <v>111.7</v>
      </c>
      <c r="H6" s="4" t="str">
        <f>IF('11_Results_Long'!N2&lt;0.0001,"&lt; 0.0001",TEXT('11_Results_Long'!N2,"0.0000"))</f>
        <v>&lt; 0.0001</v>
      </c>
      <c r="I6" s="4" t="str">
        <f>'11_Results_Long'!G2&amp;" / "&amp;'11_Results_Long'!H2&amp;" / "&amp;'11_Results_Long'!I2</f>
        <v>2713 / 115 / 114</v>
      </c>
      <c r="J6" s="5" t="s">
        <v>340</v>
      </c>
    </row>
    <row r="7" spans="1:10" ht="15" customHeight="1" x14ac:dyDescent="0.3">
      <c r="A7" s="4" t="s">
        <v>350</v>
      </c>
      <c r="B7" s="4" t="s">
        <v>347</v>
      </c>
      <c r="C7" s="5" t="s">
        <v>395</v>
      </c>
      <c r="D7" s="4" t="e">
        <f>TEXT('11_Results_Long'!AA3,"0.0%")&amp;" / "&amp;TEXT('11_Results_Long'!AB3,"0.0%")&amp;" / "&amp;TEXT('11_Results_Long'!AC3,"0.0%")&amp;" / "&amp;TEXT('11_Results_Long'!AD3,"0.0%")</f>
        <v>#VALUE!</v>
      </c>
      <c r="E7" s="4"/>
      <c r="F7" s="4"/>
      <c r="G7" s="4"/>
      <c r="H7" s="4"/>
      <c r="I7" s="4" t="str">
        <f>'11_Results_Long'!G3&amp;" / "&amp;'11_Results_Long'!H3&amp;" / "&amp;'11_Results_Long'!I3</f>
        <v>2713 / 115 / 114</v>
      </c>
      <c r="J7" s="5" t="s">
        <v>396</v>
      </c>
    </row>
    <row r="8" spans="1:10" ht="15" customHeight="1" x14ac:dyDescent="0.3">
      <c r="A8" s="4" t="s">
        <v>353</v>
      </c>
      <c r="B8" s="4" t="s">
        <v>352</v>
      </c>
      <c r="C8" s="5" t="s">
        <v>397</v>
      </c>
      <c r="D8" s="4" t="e">
        <f>TEXT('11_Results_Long'!S4,"0.000")</f>
        <v>#VALUE!</v>
      </c>
      <c r="E8" s="4" t="e">
        <f>"["&amp;TEXT('11_Results_Long'!T4,"0.000")&amp;"; "&amp;TEXT('11_Results_Long'!U4,"0.000")&amp;"]"</f>
        <v>#VALUE!</v>
      </c>
      <c r="F8" s="4" t="e">
        <f>"["&amp;TEXT('11_Results_Long'!V4,"0.000")&amp;"; "&amp;TEXT('11_Results_Long'!W4,"0.000")&amp;"]"</f>
        <v>#VALUE!</v>
      </c>
      <c r="G8" s="4">
        <f>ROUND('11_Results_Long'!M4,1)</f>
        <v>111.7</v>
      </c>
      <c r="H8" s="4"/>
      <c r="I8" s="4" t="str">
        <f>'11_Results_Long'!G4&amp;" / "&amp;'11_Results_Long'!H4&amp;" / "&amp;'11_Results_Long'!I4</f>
        <v>2713 / 115 / 114</v>
      </c>
      <c r="J8" s="5" t="s">
        <v>398</v>
      </c>
    </row>
    <row r="9" spans="1:10" ht="15" customHeight="1" x14ac:dyDescent="0.3">
      <c r="A9" s="4" t="s">
        <v>355</v>
      </c>
      <c r="B9" s="4" t="s">
        <v>352</v>
      </c>
      <c r="C9" s="5" t="s">
        <v>399</v>
      </c>
      <c r="D9" s="4" t="e">
        <f>TEXT('11_Results_Long'!S5,"0.000")</f>
        <v>#VALUE!</v>
      </c>
      <c r="E9" s="4" t="e">
        <f>"["&amp;TEXT('11_Results_Long'!T5,"0.000")&amp;"; "&amp;TEXT('11_Results_Long'!U5,"0.000")&amp;"]"</f>
        <v>#VALUE!</v>
      </c>
      <c r="F9" s="4" t="e">
        <f>"["&amp;TEXT('11_Results_Long'!V5,"0.000")&amp;"; "&amp;TEXT('11_Results_Long'!W5,"0.000")&amp;"]"</f>
        <v>#VALUE!</v>
      </c>
      <c r="G9" s="4">
        <f>ROUND('11_Results_Long'!M5,1)</f>
        <v>80.3</v>
      </c>
      <c r="H9" s="4" t="e">
        <f>IF('11_Results_Long'!N5&lt;0.0001,"&lt; 0.0001",TEXT('11_Results_Long'!N5,"0.0000"))</f>
        <v>#VALUE!</v>
      </c>
      <c r="I9" s="4" t="str">
        <f>'11_Results_Long'!G5&amp;" / "&amp;'11_Results_Long'!H5&amp;" / "&amp;'11_Results_Long'!I5</f>
        <v>1994 / 83 / 82</v>
      </c>
      <c r="J9" s="5" t="s">
        <v>400</v>
      </c>
    </row>
    <row r="10" spans="1:10" ht="15" customHeight="1" x14ac:dyDescent="0.3">
      <c r="A10" s="4" t="s">
        <v>358</v>
      </c>
      <c r="B10" s="4" t="s">
        <v>352</v>
      </c>
      <c r="C10" s="5" t="s">
        <v>401</v>
      </c>
      <c r="D10" s="4" t="e">
        <f>TEXT('11_Results_Long'!S6,"0.000")</f>
        <v>#VALUE!</v>
      </c>
      <c r="E10" s="4" t="e">
        <f>"["&amp;TEXT('11_Results_Long'!T6,"0.000")&amp;"; "&amp;TEXT('11_Results_Long'!U6,"0.000")&amp;"]"</f>
        <v>#VALUE!</v>
      </c>
      <c r="F10" s="4" t="e">
        <f>"["&amp;TEXT('11_Results_Long'!V6,"0.000")&amp;"; "&amp;TEXT('11_Results_Long'!W6,"0.000")&amp;"]"</f>
        <v>#VALUE!</v>
      </c>
      <c r="G10" s="4">
        <f>ROUND('11_Results_Long'!M6,1)</f>
        <v>27.5</v>
      </c>
      <c r="H10" s="4" t="str">
        <f>IF('11_Results_Long'!N6&lt;0.0001,"&lt; 0.0001",TEXT('11_Results_Long'!N6,"0.0000"))</f>
        <v>&lt; 0.0001</v>
      </c>
      <c r="I10" s="4" t="str">
        <f>'11_Results_Long'!G6&amp;" / "&amp;'11_Results_Long'!H6&amp;" / "&amp;'11_Results_Long'!I6</f>
        <v>711 / 31 / 31</v>
      </c>
      <c r="J10" s="5" t="s">
        <v>400</v>
      </c>
    </row>
    <row r="11" spans="1:10" ht="15" customHeight="1" x14ac:dyDescent="0.3">
      <c r="A11" s="4" t="s">
        <v>377</v>
      </c>
      <c r="B11" s="4" t="s">
        <v>374</v>
      </c>
      <c r="C11" s="5" t="s">
        <v>402</v>
      </c>
      <c r="D11" s="4" t="e">
        <f>TEXT('11_Results_Long'!AF13,"0.0")&amp;" bp"</f>
        <v>#VALUE!</v>
      </c>
      <c r="E11" s="4"/>
      <c r="F11" s="4"/>
      <c r="G11" s="4"/>
      <c r="H11" s="4"/>
      <c r="I11" s="4" t="str">
        <f>'11_Results_Long'!G13&amp;" / "&amp;'11_Results_Long'!H13&amp;" / "&amp;'11_Results_Long'!I13</f>
        <v>2713 / 115 / 114</v>
      </c>
      <c r="J11" s="5" t="s">
        <v>110</v>
      </c>
    </row>
    <row r="12" spans="1:10" ht="15" customHeight="1" x14ac:dyDescent="0.3">
      <c r="A12" s="4" t="s">
        <v>379</v>
      </c>
      <c r="B12" s="4" t="s">
        <v>374</v>
      </c>
      <c r="C12" s="5" t="s">
        <v>403</v>
      </c>
      <c r="D12" s="4" t="e">
        <f>TEXT('11_Results_Long'!AF14,"0.0")&amp;" bp"</f>
        <v>#VALUE!</v>
      </c>
      <c r="E12" s="4"/>
      <c r="F12" s="4"/>
      <c r="G12" s="4"/>
      <c r="H12" s="4"/>
      <c r="I12" s="4" t="str">
        <f>'11_Results_Long'!G14&amp;" / "&amp;'11_Results_Long'!H14&amp;" / "&amp;'11_Results_Long'!I14</f>
        <v>2713 / 115 / 114</v>
      </c>
      <c r="J12" s="5" t="s">
        <v>110</v>
      </c>
    </row>
    <row r="13" spans="1:10" ht="15" customHeight="1" x14ac:dyDescent="0.3">
      <c r="A13" s="4" t="s">
        <v>381</v>
      </c>
      <c r="B13" s="4" t="s">
        <v>374</v>
      </c>
      <c r="C13" s="5" t="s">
        <v>404</v>
      </c>
      <c r="D13" s="4" t="e">
        <f>TEXT('11_Results_Long'!AF15,"0.0")&amp;" bp"</f>
        <v>#VALUE!</v>
      </c>
      <c r="E13" s="4"/>
      <c r="F13" s="4"/>
      <c r="G13" s="4"/>
      <c r="H13" s="4"/>
      <c r="I13" s="4" t="str">
        <f>'11_Results_Long'!G15&amp;" / "&amp;'11_Results_Long'!H15&amp;" / "&amp;'11_Results_Long'!I15</f>
        <v>2713 / 115 / 114</v>
      </c>
      <c r="J13" s="5" t="s">
        <v>110</v>
      </c>
    </row>
    <row r="14" spans="1:10" ht="15" customHeight="1" x14ac:dyDescent="0.3">
      <c r="A14" s="4" t="s">
        <v>384</v>
      </c>
      <c r="B14" s="4" t="s">
        <v>374</v>
      </c>
      <c r="C14" s="5" t="s">
        <v>405</v>
      </c>
      <c r="D14" s="4" t="e">
        <f>TEXT('11_Results_Long'!AF16,"0.00")&amp;" x"</f>
        <v>#VALUE!</v>
      </c>
      <c r="E14" s="4"/>
      <c r="F14" s="4"/>
      <c r="G14" s="4"/>
      <c r="H14" s="4"/>
      <c r="I14" s="4"/>
      <c r="J14" s="5" t="s">
        <v>406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7" customWidth="1"/>
    <col min="2" max="2" width="26" customWidth="1"/>
    <col min="3" max="3" width="20" customWidth="1"/>
    <col min="4" max="4" width="110" customWidth="1"/>
    <col min="5" max="5" width="34" customWidth="1"/>
    <col min="6" max="6" width="40" customWidth="1"/>
  </cols>
  <sheetData>
    <row r="1" spans="1:6" ht="15" customHeight="1" x14ac:dyDescent="0.3">
      <c r="A1" s="1" t="s">
        <v>407</v>
      </c>
    </row>
    <row r="2" spans="1:6" ht="15" customHeight="1" x14ac:dyDescent="0.3">
      <c r="A2" s="2" t="s">
        <v>408</v>
      </c>
    </row>
    <row r="3" spans="1:6" ht="15" customHeight="1" x14ac:dyDescent="0.3">
      <c r="A3" s="2" t="s">
        <v>409</v>
      </c>
    </row>
    <row r="5" spans="1:6" ht="15" customHeight="1" x14ac:dyDescent="0.3">
      <c r="A5" s="3" t="s">
        <v>410</v>
      </c>
      <c r="B5" s="3" t="s">
        <v>411</v>
      </c>
      <c r="C5" s="3" t="s">
        <v>291</v>
      </c>
      <c r="D5" s="3" t="s">
        <v>412</v>
      </c>
      <c r="E5" s="3" t="s">
        <v>413</v>
      </c>
      <c r="F5" s="3" t="s">
        <v>414</v>
      </c>
    </row>
    <row r="6" spans="1:6" ht="67.5" customHeight="1" x14ac:dyDescent="0.3">
      <c r="A6" s="4" t="s">
        <v>415</v>
      </c>
      <c r="B6" s="4" t="s">
        <v>416</v>
      </c>
      <c r="C6" s="20" t="s">
        <v>417</v>
      </c>
      <c r="D6" s="5" t="s">
        <v>418</v>
      </c>
      <c r="E6" s="5" t="s">
        <v>419</v>
      </c>
      <c r="F6" s="5" t="s">
        <v>420</v>
      </c>
    </row>
    <row r="7" spans="1:6" ht="67.5" customHeight="1" x14ac:dyDescent="0.3">
      <c r="A7" s="4" t="s">
        <v>421</v>
      </c>
      <c r="B7" s="4" t="s">
        <v>422</v>
      </c>
      <c r="C7" s="20" t="s">
        <v>417</v>
      </c>
      <c r="D7" s="5" t="s">
        <v>423</v>
      </c>
      <c r="E7" s="5" t="s">
        <v>424</v>
      </c>
      <c r="F7" s="5" t="s">
        <v>425</v>
      </c>
    </row>
    <row r="8" spans="1:6" ht="67.5" customHeight="1" x14ac:dyDescent="0.3">
      <c r="A8" s="4" t="s">
        <v>426</v>
      </c>
      <c r="B8" s="4" t="s">
        <v>427</v>
      </c>
      <c r="C8" s="20" t="s">
        <v>417</v>
      </c>
      <c r="D8" s="5" t="s">
        <v>428</v>
      </c>
      <c r="E8" s="5" t="s">
        <v>429</v>
      </c>
      <c r="F8" s="5" t="s">
        <v>430</v>
      </c>
    </row>
    <row r="9" spans="1:6" ht="67.5" customHeight="1" x14ac:dyDescent="0.3">
      <c r="A9" s="4" t="s">
        <v>431</v>
      </c>
      <c r="B9" s="4" t="s">
        <v>432</v>
      </c>
      <c r="C9" s="20" t="s">
        <v>417</v>
      </c>
      <c r="D9" s="5" t="s">
        <v>433</v>
      </c>
      <c r="E9" s="5" t="s">
        <v>434</v>
      </c>
      <c r="F9" s="5" t="s">
        <v>435</v>
      </c>
    </row>
    <row r="10" spans="1:6" ht="67.5" customHeight="1" x14ac:dyDescent="0.3">
      <c r="A10" s="4" t="s">
        <v>436</v>
      </c>
      <c r="B10" s="4" t="s">
        <v>437</v>
      </c>
      <c r="C10" s="20" t="s">
        <v>417</v>
      </c>
      <c r="D10" s="5" t="s">
        <v>438</v>
      </c>
      <c r="E10" s="5" t="s">
        <v>439</v>
      </c>
      <c r="F10" s="5" t="s">
        <v>440</v>
      </c>
    </row>
    <row r="11" spans="1:6" ht="67.5" customHeight="1" x14ac:dyDescent="0.3">
      <c r="A11" s="4" t="s">
        <v>441</v>
      </c>
      <c r="B11" s="4" t="s">
        <v>442</v>
      </c>
      <c r="C11" s="20" t="s">
        <v>417</v>
      </c>
      <c r="D11" s="5" t="s">
        <v>443</v>
      </c>
      <c r="E11" s="5" t="s">
        <v>444</v>
      </c>
      <c r="F11" s="5" t="s">
        <v>445</v>
      </c>
    </row>
    <row r="12" spans="1:6" ht="67.5" customHeight="1" x14ac:dyDescent="0.3">
      <c r="A12" s="4" t="s">
        <v>446</v>
      </c>
      <c r="B12" s="4" t="s">
        <v>447</v>
      </c>
      <c r="C12" s="20" t="s">
        <v>417</v>
      </c>
      <c r="D12" s="5" t="s">
        <v>448</v>
      </c>
      <c r="E12" s="5" t="s">
        <v>449</v>
      </c>
      <c r="F12" s="5" t="s">
        <v>450</v>
      </c>
    </row>
    <row r="13" spans="1:6" ht="67.5" customHeight="1" x14ac:dyDescent="0.3">
      <c r="A13" s="4" t="s">
        <v>451</v>
      </c>
      <c r="B13" s="4" t="s">
        <v>452</v>
      </c>
      <c r="C13" s="21" t="s">
        <v>453</v>
      </c>
      <c r="D13" s="5" t="s">
        <v>454</v>
      </c>
      <c r="E13" s="5" t="s">
        <v>455</v>
      </c>
      <c r="F13" s="5" t="s">
        <v>456</v>
      </c>
    </row>
    <row r="14" spans="1:6" ht="67.5" customHeight="1" x14ac:dyDescent="0.3">
      <c r="A14" s="4" t="s">
        <v>457</v>
      </c>
      <c r="B14" s="4" t="s">
        <v>458</v>
      </c>
      <c r="C14" s="20" t="s">
        <v>417</v>
      </c>
      <c r="D14" s="5" t="s">
        <v>459</v>
      </c>
      <c r="E14" s="5" t="s">
        <v>460</v>
      </c>
      <c r="F14" s="5" t="s">
        <v>461</v>
      </c>
    </row>
    <row r="15" spans="1:6" ht="67.5" customHeight="1" x14ac:dyDescent="0.3">
      <c r="A15" s="4" t="s">
        <v>462</v>
      </c>
      <c r="B15" s="4" t="s">
        <v>463</v>
      </c>
      <c r="C15" s="20" t="s">
        <v>417</v>
      </c>
      <c r="D15" s="5" t="s">
        <v>464</v>
      </c>
      <c r="E15" s="5" t="s">
        <v>465</v>
      </c>
      <c r="F15" s="5" t="s">
        <v>466</v>
      </c>
    </row>
    <row r="16" spans="1:6" ht="67.5" customHeight="1" x14ac:dyDescent="0.3">
      <c r="A16" s="4" t="s">
        <v>467</v>
      </c>
      <c r="B16" s="4" t="s">
        <v>468</v>
      </c>
      <c r="C16" s="20" t="s">
        <v>417</v>
      </c>
      <c r="D16" s="5" t="s">
        <v>469</v>
      </c>
      <c r="E16" s="5" t="s">
        <v>470</v>
      </c>
      <c r="F16" s="5" t="s">
        <v>471</v>
      </c>
    </row>
    <row r="17" spans="1:6" ht="67.5" customHeight="1" x14ac:dyDescent="0.3">
      <c r="A17" s="4" t="s">
        <v>472</v>
      </c>
      <c r="B17" s="4" t="s">
        <v>473</v>
      </c>
      <c r="C17" s="22" t="s">
        <v>417</v>
      </c>
      <c r="D17" s="5" t="s">
        <v>474</v>
      </c>
      <c r="E17" s="5" t="s">
        <v>475</v>
      </c>
      <c r="F17" s="5" t="s">
        <v>476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1_README</vt:lpstr>
      <vt:lpstr>2_Methodology</vt:lpstr>
      <vt:lpstr>3_Interpretation_Guide</vt:lpstr>
      <vt:lpstr>4_Formula_Reference</vt:lpstr>
      <vt:lpstr>5_Data_Provenance</vt:lpstr>
      <vt:lpstr>6_A1_Main_Results</vt:lpstr>
      <vt:lpstr>7_A2_Heterogeneity</vt:lpstr>
      <vt:lpstr>8_A3_Periods_PI</vt:lpstr>
      <vt:lpstr>9_A4_A5_Sensitivity</vt:lpstr>
      <vt:lpstr>10_A6_Economic_Translation</vt:lpstr>
      <vt:lpstr>11_Results_Long</vt:lpstr>
      <vt:lpstr>12_Manuscript_Inputs</vt:lpstr>
      <vt:lpstr>13_Manuscript_Text_Blocks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Witte</cp:lastModifiedBy>
  <cp:revision>0</cp:revision>
  <dcterms:created xsi:type="dcterms:W3CDTF">2026-07-13T19:04:04Z</dcterms:created>
  <dcterms:modified xsi:type="dcterms:W3CDTF">2026-08-05T07:08:48Z</dcterms:modified>
  <dc:language>en-US</dc:language>
</cp:coreProperties>
</file>