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README" sheetId="1" state="visible" r:id="rId3"/>
    <sheet name="2_Methodology" sheetId="2" state="visible" r:id="rId4"/>
    <sheet name="3_Interpretation_Guide" sheetId="3" state="visible" r:id="rId5"/>
    <sheet name="4_Formula_Reference" sheetId="4" state="visible" r:id="rId6"/>
    <sheet name="5_Data_Provenance" sheetId="5" state="visible" r:id="rId7"/>
    <sheet name="6_B1_Paris_Moderation" sheetId="6" state="visible" r:id="rId8"/>
    <sheet name="7_B3_Coding_Sensitivity" sheetId="7" state="visible" r:id="rId9"/>
    <sheet name="8_B6_LOSO_Post" sheetId="8" state="visible" r:id="rId10"/>
    <sheet name="9_B6_Post_Dominance" sheetId="9" state="visible" r:id="rId11"/>
    <sheet name="10_B7_Disclosures" sheetId="10" state="visible" r:id="rId12"/>
    <sheet name="11_Results_Long" sheetId="11" state="visible" r:id="rId13"/>
    <sheet name="12_Manuscript_Inputs" sheetId="12" state="visible" r:id="rId14"/>
    <sheet name="13_Manuscript_Text_Blocks" sheetId="13" state="visible" r:id="rId15"/>
  </sheets>
  <definedNames>
    <definedName function="false" hidden="true" localSheetId="10" name="_xlnm._FilterDatabase" vbProcedure="false">11_Results_Long!$A$1:$AJ$97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<sst xmlns="http://schemas.openxmlformats.org/spreadsheetml/2006/main" count="1253" uniqueCount="505">
  <si>
    <t xml:space="preserve">FOMA CER-COD (Paris) -- T2 Results Workbook: Block B coding layer (B1/B3/B6/B7)</t>
  </si>
  <si>
    <t xml:space="preserve">Per-run results workbook (SOMA template, Setup par.5/par.7) -- frontmatter + analysis tabs + Manuscript Inputs</t>
  </si>
  <si>
    <t xml:space="preserve">Canonical run 2026-07-14 19:58 CEST | build from FROZEN docs/T2_spec.md Rev. 2026-07-13b (F58) | verifier 17/17 PASS</t>
  </si>
  <si>
    <t xml:space="preserve">Item</t>
  </si>
  <si>
    <t xml:space="preserve">Value</t>
  </si>
  <si>
    <t xml:space="preserve">Version</t>
  </si>
  <si>
    <t xml:space="preserve">v1 (T2 canonical run, 2026-07-14)</t>
  </si>
  <si>
    <t xml:space="preserve">Method</t>
  </si>
  <si>
    <t xml:space="preserve">3LMA-RVE moderation on Paris codings: ~0+factor(coding), V rho=0.6 on cluster_id [F56], CR2/Satterthwaite; cell_pre/cell_post/diff per coding; see 2_Methodology</t>
  </si>
  <si>
    <t xml:space="preserve">Scope</t>
  </si>
  <si>
    <t xml:space="preserve">B1 paris_mid · B3 nine coding sensitivities · B6 post-cell LOSO (31) + dominance · B7 three disclosures; T8 (dose/trend/composition/bounding) is a SEPARATE Gate-2 run</t>
  </si>
  <si>
    <t xml:space="preserve">Repo</t>
  </si>
  <si>
    <t xml:space="preserve">github.com/rwitte-wu-research/FOMA-CER-COD-Paris (main)</t>
  </si>
  <si>
    <t xml:space="preserve">Stack</t>
  </si>
  <si>
    <t xml:space="preserve">R 4.6.1 | metafor 5.0-1 | clubSandwich 0.7.0 | renv consistent</t>
  </si>
  <si>
    <t xml:space="preserve">Scripts</t>
  </si>
  <si>
    <t xml:space="preserve">R/02_paris.R + R/02_verify_outputs.R (CC-built from spec; 7-agent conformance audit: 0 findings)</t>
  </si>
  <si>
    <t xml:space="preserve">Decision basis</t>
  </si>
  <si>
    <t xml:space="preserve">[DEC-024] cut+ties-&gt;Post | [DEC-031/031a] battery | [DEC-042a/b] domain | [F55-F58] | plan par.6 + Addendum A.3</t>
  </si>
  <si>
    <t xml:space="preserve">Tab</t>
  </si>
  <si>
    <t xml:space="preserve">Content</t>
  </si>
  <si>
    <t xml:space="preserve">1_README</t>
  </si>
  <si>
    <t xml:space="preserve">this tab</t>
  </si>
  <si>
    <t xml:space="preserve">2_Methodology</t>
  </si>
  <si>
    <t xml:space="preserve">Quantity | Formula | Reference</t>
  </si>
  <si>
    <t xml:space="preserve">3_Interpretation_Guide</t>
  </si>
  <si>
    <t xml:space="preserve">Quantity | Meaning | Decision rule</t>
  </si>
  <si>
    <t xml:space="preserve">4_Formula_Reference</t>
  </si>
  <si>
    <t xml:space="preserve">Quantity | R call | Reference</t>
  </si>
  <si>
    <t xml:space="preserve">5_Data_Provenance</t>
  </si>
  <si>
    <t xml:space="preserve">Item | Value | Source</t>
  </si>
  <si>
    <t xml:space="preserve">6_B1_Paris_Moderation</t>
  </si>
  <si>
    <t xml:space="preserve">the formal Paris test: cells + diff, interpretation, reviewer Q&amp;A</t>
  </si>
  <si>
    <t xml:space="preserve">7_B3_Coding_Sensitivity</t>
  </si>
  <si>
    <t xml:space="preserve">all 10 coding diffs (own inference each; no pairwise tests [DEC-031a.6])</t>
  </si>
  <si>
    <t xml:space="preserve">8_B6_LOSO_Post</t>
  </si>
  <si>
    <t xml:space="preserve">31 leave-one-post-study-out refits + range summary</t>
  </si>
  <si>
    <t xml:space="preserve">9_B6_Post_Dominance</t>
  </si>
  <si>
    <t xml:space="preserve">post-cell weight/ES shares per study (Panjwani memo check)</t>
  </si>
  <si>
    <t xml:space="preserve">10_B7_Disclosures</t>
  </si>
  <si>
    <t xml:space="preserve">attenuation / knife-edge / panel-drift, recomputed on v12</t>
  </si>
  <si>
    <t xml:space="preserve">11_Results_Long</t>
  </si>
  <si>
    <t xml:space="preserve">verbatim transport of output/T2_results.csv (96 x 36)</t>
  </si>
  <si>
    <t xml:space="preserve">12_Manuscript_Inputs</t>
  </si>
  <si>
    <t xml:space="preserve">the 10 ms_input rows, formula-derived</t>
  </si>
  <si>
    <t xml:space="preserve">13_Manuscript_Text_Blocks</t>
  </si>
  <si>
    <t xml:space="preserve">copy-paste-ready English prose (TB-13..TB-19)</t>
  </si>
  <si>
    <t xml:space="preserve">Methodology -- Block B coding layer</t>
  </si>
  <si>
    <t xml:space="preserve">All conventions frozen a priori (docs/T2_spec.md)</t>
  </si>
  <si>
    <t xml:space="preserve">Quantity</t>
  </si>
  <si>
    <t xml:space="preserve">Formula / Construction</t>
  </si>
  <si>
    <t xml:space="preserve">Reference</t>
  </si>
  <si>
    <t xml:space="preserve">Coding model</t>
  </si>
  <si>
    <t xml:space="preserve">rma.mv(zi, V, mods=~0+factor(coding), random=~1|cluster_id/study/esid, REML); CR2/Satterthwaite on cluster_id; cell means + CR2 linear contrast (diff)</t>
  </si>
  <si>
    <t xml:space="preserve">Pustejovsky &amp; Tipton (2022); [DEC-031a.6]</t>
  </si>
  <si>
    <t xml:space="preserve">Headline coding</t>
  </si>
  <si>
    <t xml:space="preserve">pp_mid_lag0: majority-of-window post iff share_2016 &gt;= 0.5, ties-&gt;Post</t>
  </si>
  <si>
    <t xml:space="preserve">[DEC-024; DEC-031a.9]</t>
  </si>
  <si>
    <t xml:space="preserve">Recut sensitivities</t>
  </si>
  <si>
    <t xml:space="preserve">in-script share_201x &gt;= 0.5 (ties-&gt;Post), x = 2017/18/19; prep pp_share_lag1..3 not used as regressors</t>
  </si>
  <si>
    <t xml:space="preserve">[P2; DEC-024]</t>
  </si>
  <si>
    <t xml:space="preserve">Tie-break variant</t>
  </si>
  <si>
    <t xml:space="preserve">pp_median_lag0 (ties-&gt;Pre); 79 disagreements, all at share_2016 == 0.5</t>
  </si>
  <si>
    <t xml:space="preserve">[P4; plan par.6]</t>
  </si>
  <si>
    <t xml:space="preserve">End-coding family</t>
  </si>
  <si>
    <t xml:space="preserve">pp_end_lag0..3 (any exposure by window end); upper-recall bound; lags 1-3 appendix</t>
  </si>
  <si>
    <t xml:space="preserve">[DEC-024 Annex B]</t>
  </si>
  <si>
    <t xml:space="preserve">Clean-window</t>
  </si>
  <si>
    <t xml:space="preserve">pp_window_class: pre-only (611 ES/27 st) vs post-only (318/13); FULL inference (upgrade fired, df &gt;= 5)</t>
  </si>
  <si>
    <t xml:space="preserve">[DEC-031a.5; P5]</t>
  </si>
  <si>
    <t xml:space="preserve">Domain rule</t>
  </si>
  <si>
    <t xml:space="preserve">complete cases per coding (k = 2,705); 8 ES / 2 studies window-undefined listwise out</t>
  </si>
  <si>
    <t xml:space="preserve">[DEC-042b generalized]</t>
  </si>
  <si>
    <t xml:space="preserve">LOSO</t>
  </si>
  <si>
    <t xml:space="preserve">refit paris_mid dropping each of the 31 post-cell studies entirely; range = max - min of diffs</t>
  </si>
  <si>
    <t xml:space="preserve">battery B6</t>
  </si>
  <si>
    <t xml:space="preserve">Dominance</t>
  </si>
  <si>
    <t xml:space="preserve">normalized w = 1/(vi + sum sigma2_B1) within post cell (marginal approximation; RVE weights are matrix-valued)</t>
  </si>
  <si>
    <t xml:space="preserve">battery B6; [DEC-027 weight principle]</t>
  </si>
  <si>
    <t xml:space="preserve">Disclosures</t>
  </si>
  <si>
    <t xml:space="preserve">attenuation: end-coded post ES with share_2016 &lt; 0.5 · knife-edge: share_2016 in [0.45,0.55] · drift: ES-level minus study-level mean share</t>
  </si>
  <si>
    <t xml:space="preserve">battery B7; [DEC-024]</t>
  </si>
  <si>
    <t xml:space="preserve">df policy</t>
  </si>
  <si>
    <t xml:space="preserve">two-tier [F57 logic]: hard floor df &gt;= 4 on paris_mid + clean_window diffs; other variants df finite &gt; 1, disclosed</t>
  </si>
  <si>
    <t xml:space="preserve">[F57; O15]</t>
  </si>
  <si>
    <t xml:space="preserve">Interpretation guide</t>
  </si>
  <si>
    <t xml:space="preserve">Meaning</t>
  </si>
  <si>
    <t xml:space="preserve">Decision rule</t>
  </si>
  <si>
    <t xml:space="preserve">diff (z scale)</t>
  </si>
  <si>
    <t xml:space="preserve">post - pre contrast of Fisher-z cell means; the formal moderation inference</t>
  </si>
  <si>
    <t xml:space="preserve">CI excludes 0 -&gt; Paris shift; here: judge magnitude vs |headline r| = 0.059</t>
  </si>
  <si>
    <t xml:space="preserve">cell_pre / cell_post</t>
  </si>
  <si>
    <t xml:space="preserve">period-specific mean association (shared sigma2 across cells -- differs by construction from T1/A3 subset fits)</t>
  </si>
  <si>
    <t xml:space="preserve">report r scale; A3-vs-B1 gap is estimand, not error</t>
  </si>
  <si>
    <t xml:space="preserve">Coding-sensitivity panel</t>
  </si>
  <si>
    <t xml:space="preserve">does the null survive the coding choice?</t>
  </si>
  <si>
    <t xml:space="preserve">'collapse = finding' -- a sign-stable, CI-overlapping panel = robust null</t>
  </si>
  <si>
    <t xml:space="preserve">LOSO range</t>
  </si>
  <si>
    <t xml:space="preserve">spread of the diff across 31 drop-one-post-study refits</t>
  </si>
  <si>
    <t xml:space="preserve">range &lt;&lt; CI width -&gt; no single study drives the result</t>
  </si>
  <si>
    <t xml:space="preserve">Weight share (dominance)</t>
  </si>
  <si>
    <t xml:space="preserve">study's share of post-cell information under marginal weights</t>
  </si>
  <si>
    <t xml:space="preserve">top share &gt; ~25-30% would warrant a named-study discussion</t>
  </si>
  <si>
    <t xml:space="preserve">Attenuation (end)</t>
  </si>
  <si>
    <t xml:space="preserve">share of end-coded 'post' ES that are majority-pre</t>
  </si>
  <si>
    <t xml:space="preserve">high value disqualifies end-coding as headline; defends pp_mid</t>
  </si>
  <si>
    <t xml:space="preserve">Knife-edge</t>
  </si>
  <si>
    <t xml:space="preserve">ES mass within 0.05 of the 0.5 threshold</t>
  </si>
  <si>
    <t xml:space="preserve">low value -&gt; headline cut not threshold-fragile</t>
  </si>
  <si>
    <t xml:space="preserve">Panel drift</t>
  </si>
  <si>
    <t xml:space="preserve">ES-level vs study-level mean exposure</t>
  </si>
  <si>
    <t xml:space="preserve">small positive = later years contribute more obs; disclosed</t>
  </si>
  <si>
    <t xml:space="preserve">Formula reference -- exact R calls (see R/02_paris.R)</t>
  </si>
  <si>
    <t xml:space="preserve">R call</t>
  </si>
  <si>
    <t xml:space="preserve">Reference / section</t>
  </si>
  <si>
    <t xml:space="preserve">Coding fit</t>
  </si>
  <si>
    <t xml:space="preserve">metafor::rma.mv(zi, V, mods=~0+factor(coding), random=~1|cluster_id/study/esid, sparse=TRUE, method='REML')</t>
  </si>
  <si>
    <t xml:space="preserve">R/02_paris.R</t>
  </si>
  <si>
    <t xml:space="preserve">V blocks</t>
  </si>
  <si>
    <t xml:space="preserve">clubSandwich::impute_covariance_matrix(vi, cluster=cluster_id, r=0.6)</t>
  </si>
  <si>
    <t xml:space="preserve">F56</t>
  </si>
  <si>
    <t xml:space="preserve">Cells + diff</t>
  </si>
  <si>
    <t xml:space="preserve">coef_test/conf_int (CR2, Satterthwaite) on cell coefficients; linear contrast c(-1,1) for diff</t>
  </si>
  <si>
    <t xml:space="preserve">clubSandwich</t>
  </si>
  <si>
    <t xml:space="preserve">Recuts</t>
  </si>
  <si>
    <t xml:space="preserve">as.integer(share_201x &gt;= 0.5) on defined rows</t>
  </si>
  <si>
    <t xml:space="preserve">P2</t>
  </si>
  <si>
    <t xml:space="preserve">for each post study s: refit on dat[study != s]; collect diff row</t>
  </si>
  <si>
    <t xml:space="preserve">w_i = 1/(vi + sum(sigma2_B1)); shares = tapply(w, study, sum)/sum(w) within post cell</t>
  </si>
  <si>
    <t xml:space="preserve">mean(share_2016[pp_end==1] &lt; 0.5); mean(abs(share_2016-0.5) &lt;= 0.05); mean(share) - mean(tapply(share, study, mean))</t>
  </si>
  <si>
    <t xml:space="preserve">battery B7</t>
  </si>
  <si>
    <t xml:space="preserve">Data provenance -- run and input identity</t>
  </si>
  <si>
    <t xml:space="preserve">Source</t>
  </si>
  <si>
    <t xml:space="preserve">Estimation set</t>
  </si>
  <si>
    <t xml:space="preserve">2,713 ES / 115 studies / 114 clusters; coding domain 2,705 (8 NA / 2 studies per coding)</t>
  </si>
  <si>
    <t xml:space="preserve">[DEC-042a/b]; run_meta</t>
  </si>
  <si>
    <t xml:space="preserve">Prep object</t>
  </si>
  <si>
    <t xml:space="preserve">output/dat_prep.rds; md5 6702ef3dc45fe0b693b13f50ebd1576b; pr$n 2713 / pr$seed 20260710</t>
  </si>
  <si>
    <t xml:space="preserve">R/00_prep.R</t>
  </si>
  <si>
    <t xml:space="preserve">Spec</t>
  </si>
  <si>
    <t xml:space="preserve">docs/T2_spec.md FROZEN Rev. 2026-07-13b (F58 erratum 93-&gt;96, caught by CC STOP S4 pre-build)</t>
  </si>
  <si>
    <t xml:space="preserve">spec header</t>
  </si>
  <si>
    <t xml:space="preserve">Run</t>
  </si>
  <si>
    <t xml:space="preserve">2026-07-14 19:58 CEST; 19.7 min (41 rma.mv fits); Claude Code standard loop</t>
  </si>
  <si>
    <t xml:space="preserve">output/T2_run_meta.txt</t>
  </si>
  <si>
    <t xml:space="preserve">Verifier</t>
  </si>
  <si>
    <t xml:space="preserve">R/02_verify_outputs.R -- 17/17 PASS; O15 tier-1 df: paris_mid 14.99, clean_window 23.47</t>
  </si>
  <si>
    <t xml:space="preserve">CC report</t>
  </si>
  <si>
    <t xml:space="preserve">Semantics pins</t>
  </si>
  <si>
    <t xml:space="preserve">P1 pp_share_lag0==share_2016 (41 values) · P3 recut reproduces pp_mid · P4 79 tie disagreements · P5 pre-only/post-only/mixed</t>
  </si>
  <si>
    <t xml:space="preserve">run_meta</t>
  </si>
  <si>
    <t xml:space="preserve">Design cross-checks</t>
  </si>
  <si>
    <t xml:space="preserve">clean cells 611/318 (= design_quantities); post cell 31 studies; realized paris_mid diff df 15.0 vs design 31.9 (DISCLOSED)</t>
  </si>
  <si>
    <t xml:space="preserve">design_quantities_v12.csv</t>
  </si>
  <si>
    <t xml:space="preserve">Memo check</t>
  </si>
  <si>
    <t xml:space="preserve">Panjwani ES share 0.2391 (170/711) vs expected ~23.9%; top-3 ~44%</t>
  </si>
  <si>
    <t xml:space="preserve">spec par.3</t>
  </si>
  <si>
    <t xml:space="preserve">Known warning</t>
  </si>
  <si>
    <t xml:space="preserve">impute_covariance_matrix() deprecation -- frozen [F56]; maintenance DEC later</t>
  </si>
  <si>
    <t xml:space="preserve">session notes</t>
  </si>
  <si>
    <t xml:space="preserve">B1 -- Paris moderation, headline binary pp_mid_lag0 (the paper's formal test)</t>
  </si>
  <si>
    <t xml:space="preserve">One joint model, shared variance components; own CR2 inference on the contrast [DEC-031a.6]; k = 2,705 defined</t>
  </si>
  <si>
    <t xml:space="preserve">Run 2026-07-14 | verifier 17/17 | realized diff df 15.0 (design df 31.9 -- disclosed)</t>
  </si>
  <si>
    <t xml:space="preserve">term</t>
  </si>
  <si>
    <t xml:space="preserve">k ES</t>
  </si>
  <si>
    <t xml:space="preserve">k studies</t>
  </si>
  <si>
    <t xml:space="preserve">est z</t>
  </si>
  <si>
    <t xml:space="preserve">95% CI z lb</t>
  </si>
  <si>
    <t xml:space="preserve">95% CI z ub</t>
  </si>
  <si>
    <t xml:space="preserve">est r</t>
  </si>
  <si>
    <t xml:space="preserve">95% CI r lb</t>
  </si>
  <si>
    <t xml:space="preserve">95% CI r ub</t>
  </si>
  <si>
    <t xml:space="preserve">df</t>
  </si>
  <si>
    <t xml:space="preserve">p</t>
  </si>
  <si>
    <t xml:space="preserve">cell_pre</t>
  </si>
  <si>
    <t xml:space="preserve">cell_post</t>
  </si>
  <si>
    <t xml:space="preserve">diff (post - pre)</t>
  </si>
  <si>
    <t xml:space="preserve">Interpretation</t>
  </si>
  <si>
    <t xml:space="preserve">The formal Paris test is a precise null: diff_z = +0.010, 95% CI [-0.028; +0.049], t(15.0) = 0.56, p = 0.582.</t>
  </si>
  <si>
    <t xml:space="preserve">The CI excludes any shift larger than ~80% of the headline effect itself (|r| = 0.059) in either direction -- an informative null, not an underpowered one (TOST/N1 quantifies this in Block H).</t>
  </si>
  <si>
    <t xml:space="preserve">Cell means differ slightly from T1/A3 by construction (joint model, shared sigma2, vs separate subset fits): pre -0.062 vs -0.060; post -0.051 vs -0.049. Same picture, different estimand.</t>
  </si>
  <si>
    <t xml:space="preserve">Realized Satterthwaite df on the contrast = 15.0 vs design-only df 31.9: the design quantity ignores the estimated variance components; both clear the Tipton floor; the gap is disclosed here and in Methods.</t>
  </si>
  <si>
    <t xml:space="preserve">Question</t>
  </si>
  <si>
    <t xml:space="preserve">Answer</t>
  </si>
  <si>
    <t xml:space="preserve">Is p = 0.58 just low power?</t>
  </si>
  <si>
    <t xml:space="preserve">No: the CI half-width (0.039 z) is smaller than the headline effect itself; the design was pre-checked (transfer rule, df 31.9) and the realized df 15.0 clears the reliability floor. The formal equivalence test (N1/TOST) follows in Block H.</t>
  </si>
  <si>
    <t xml:space="preserve">Why does the realized df (15.0) differ from the design df (31.9)?</t>
  </si>
  <si>
    <t xml:space="preserve">The a-priori transfer rule was adjudicated mechanically on design-only quantities (no variance components). The realized CR2 df accounts for estimated sigma2 and unequal cell leverage. Both are reported; the rule's verdict (binary carries full inference) stands.</t>
  </si>
  <si>
    <t xml:space="preserve">Could the null be an artifact of the pp_mid coding?</t>
  </si>
  <si>
    <t xml:space="preserve">Tab 7: all nine alternative codings replicate it; Tab 10 explains why the one sign-flipping family (end-coding) measures something else (66% majority-pre contamination).</t>
  </si>
  <si>
    <t xml:space="preserve">Verdict: The Paris moderation is a precise, formally tested null -- the paper's central expected result now exists canonically.</t>
  </si>
  <si>
    <t xml:space="preserve">B3 -- Coding sensitivity panel: ten codings, each with its OWN inference (no pairwise spec-vs-headline tests [DEC-031a.6])</t>
  </si>
  <si>
    <t xml:space="preserve">'Collapse = finding' -- the pre-registered question is whether the null survives the coding choice</t>
  </si>
  <si>
    <t xml:space="preserve">df two-tier [F57 logic]: hard floor on paris_mid + clean_window; variants disclosed</t>
  </si>
  <si>
    <t xml:space="preserve">family</t>
  </si>
  <si>
    <t xml:space="preserve">k pre</t>
  </si>
  <si>
    <t xml:space="preserve">k post</t>
  </si>
  <si>
    <t xml:space="preserve">diff z</t>
  </si>
  <si>
    <t xml:space="preserve">note class</t>
  </si>
  <si>
    <t xml:space="preserve">paris_mid</t>
  </si>
  <si>
    <t xml:space="preserve">headline</t>
  </si>
  <si>
    <t xml:space="preserve">main text</t>
  </si>
  <si>
    <t xml:space="preserve">tie_break_median</t>
  </si>
  <si>
    <t xml:space="preserve">tie rule</t>
  </si>
  <si>
    <t xml:space="preserve">end_any_exposure</t>
  </si>
  <si>
    <t xml:space="preserve">end family</t>
  </si>
  <si>
    <t xml:space="preserve">share_recut_2017</t>
  </si>
  <si>
    <t xml:space="preserve">share recut</t>
  </si>
  <si>
    <t xml:space="preserve">share_recut_2018</t>
  </si>
  <si>
    <t xml:space="preserve">share_recut_2019</t>
  </si>
  <si>
    <t xml:space="preserve">end_lag1</t>
  </si>
  <si>
    <t xml:space="preserve">end family (appendix)</t>
  </si>
  <si>
    <t xml:space="preserve">appendix</t>
  </si>
  <si>
    <t xml:space="preserve">end_lag2</t>
  </si>
  <si>
    <t xml:space="preserve">end_lag3</t>
  </si>
  <si>
    <t xml:space="preserve">clean_window</t>
  </si>
  <si>
    <t xml:space="preserve">clean cells (full inference)</t>
  </si>
  <si>
    <t xml:space="preserve">No collapse anywhere: all ten diffs are null; the largest (end_lag2, +0.040) has p = 0.14 and sits in the appendix end-family.</t>
  </si>
  <si>
    <t xml:space="preserve">The share-recut family (2017/18/19) stays tightly at +0.003..+0.008 -- pushing the cut later does not manufacture a Paris effect.</t>
  </si>
  <si>
    <t xml:space="preserve">Sign heterogeneity is informative: the full-domain codings lean +0.01 (weaker post), the clean-window contrast leans -0.013 (stronger post), the end-family varies -- with everything within noise of zero, this is what 'no systematic shift in either direction' looks like.</t>
  </si>
  <si>
    <t xml:space="preserve">end_any_exposure is the outlier by construction, not by result: 66.0% of its 'post' cell is majority-pre data (Tab 10) -- it measures early partial exposure, not a post-Paris regime.</t>
  </si>
  <si>
    <t xml:space="preserve">Why no test of each variant against the headline?</t>
  </si>
  <si>
    <t xml:space="preserve">Nested-subset differences have no valid SE [DEC-031a.6]; each coding carries its own formal inference, and joint specification inference runs via the N5 specification-curve permutation (Block H).</t>
  </si>
  <si>
    <t xml:space="preserve">The clean-window diff points the other way -- a problem?</t>
  </si>
  <si>
    <t xml:space="preserve">No: -0.013 with CI [-0.049; +0.023] is as null as +0.010, on 929 ES / 40 studies with full inference (df 23.5). Direction instability around zero across codings is evidence against any robust shift, in either direction.</t>
  </si>
  <si>
    <t xml:space="preserve">Verdict: The Paris null survives every pre-registered coding; the one sign-flipping family is disqualified by its own disclosed contamination, not by post-hoc choice.</t>
  </si>
  <si>
    <t xml:space="preserve">B6 -- Post-cell leave-one-study-out: paris_mid refit dropping each of the 31 post studies entirely</t>
  </si>
  <si>
    <t xml:space="preserve">Question: does any single post study create or destroy the null?</t>
  </si>
  <si>
    <t xml:space="preserve">Summary row: range = max - min of the 31 diff estimates (z)</t>
  </si>
  <si>
    <t xml:space="preserve">dropped study</t>
  </si>
  <si>
    <t xml:space="preserve">k ES remaining</t>
  </si>
  <si>
    <t xml:space="preserve">Ali et al (2026)</t>
  </si>
  <si>
    <t xml:space="preserve">Almutairi (2026)</t>
  </si>
  <si>
    <t xml:space="preserve">Altavilla et al (2024)</t>
  </si>
  <si>
    <t xml:space="preserve">Boermans et al (2023)</t>
  </si>
  <si>
    <t xml:space="preserve">Boubaker et al (2026)</t>
  </si>
  <si>
    <t xml:space="preserve">Brinette et al (2026)</t>
  </si>
  <si>
    <t xml:space="preserve">Cicchini et al (2026)</t>
  </si>
  <si>
    <t xml:space="preserve">Du et al (2022)</t>
  </si>
  <si>
    <t xml:space="preserve">Ferriani (2022)</t>
  </si>
  <si>
    <t xml:space="preserve">Gonzales Sanches et al (2026)</t>
  </si>
  <si>
    <t xml:space="preserve">Ho &amp; Wong (2023)</t>
  </si>
  <si>
    <t xml:space="preserve">Kordschia (2020)</t>
  </si>
  <si>
    <t xml:space="preserve">Kozak (2021)</t>
  </si>
  <si>
    <t xml:space="preserve">Li et al (2022)</t>
  </si>
  <si>
    <t xml:space="preserve">Lin et al (2025)</t>
  </si>
  <si>
    <t xml:space="preserve">Liu et al (2023)</t>
  </si>
  <si>
    <t xml:space="preserve">Nasih et al (2024)</t>
  </si>
  <si>
    <t xml:space="preserve">Owolabi et al (2024)</t>
  </si>
  <si>
    <t xml:space="preserve">Panjwani et al (2023)</t>
  </si>
  <si>
    <t xml:space="preserve">Ratajczak &amp; Mikolajewicz (2021)</t>
  </si>
  <si>
    <t xml:space="preserve">Ririmasse et al (2026)</t>
  </si>
  <si>
    <t xml:space="preserve">Shi et al (2025)</t>
  </si>
  <si>
    <t xml:space="preserve">Tan et al (2021)</t>
  </si>
  <si>
    <t xml:space="preserve">Tan et al (2026)</t>
  </si>
  <si>
    <t xml:space="preserve">Tang et al (2023)</t>
  </si>
  <si>
    <t xml:space="preserve">Temiz (2022)</t>
  </si>
  <si>
    <t xml:space="preserve">Wang &amp; Wijethilake (2026)</t>
  </si>
  <si>
    <t xml:space="preserve">Wang et al (2022a)</t>
  </si>
  <si>
    <t xml:space="preserve">Wang et al (2025a)</t>
  </si>
  <si>
    <t xml:space="preserve">Wang et al (2025b)</t>
  </si>
  <si>
    <t xml:space="preserve">Xiang &amp; Gong (2026)</t>
  </si>
  <si>
    <t xml:space="preserve">RANGE (max - min)</t>
  </si>
  <si>
    <t xml:space="preserve">All 31 diffs lie in [+0.002; +0.014] -- a range of 0.011, less than a third of the CI half-width (0.039). Every refit stays null.</t>
  </si>
  <si>
    <t xml:space="preserve">Extremes: dropping Li et al (2022) moves the diff closest to zero (+0.002; that refit's df jumps to 51.9); dropping Brinette et al (2026) yields the largest (+0.014). Neither approaches significance.</t>
  </si>
  <si>
    <t xml:space="preserve">Together with Tab 9: even the heaviest post study (Panjwani, 22.8% weight) does not carry the result.</t>
  </si>
  <si>
    <t xml:space="preserve">Verdict: No single post-Paris study creates, inflates, or hides the moderation null.</t>
  </si>
  <si>
    <t xml:space="preserve">B6 -- Post-cell dominance: per-study weight and ES-count shares (711 ES / 31 studies)</t>
  </si>
  <si>
    <t xml:space="preserve">Weights: w = 1/(vi + sum sigma2_B1), normalized within the post cell (marginal approximation to RVE weights)</t>
  </si>
  <si>
    <t xml:space="preserve">Memo check [spec par.3]: Panjwani expected ~23.9% ES share; top-3 ~44%</t>
  </si>
  <si>
    <t xml:space="preserve">study</t>
  </si>
  <si>
    <t xml:space="preserve">weight share</t>
  </si>
  <si>
    <t xml:space="preserve">k ES (post cell)</t>
  </si>
  <si>
    <t xml:space="preserve">ES share</t>
  </si>
  <si>
    <t xml:space="preserve">note</t>
  </si>
  <si>
    <t xml:space="preserve">Panjwani et al (2023): 22.8% weight / 23.9% ES share (170/711) -- exactly the memo expectation; top-3 (with Altavilla 12.0%, Boermans 8.9%) ~44% of ES, ~43.7% of weight.</t>
  </si>
  <si>
    <t xml:space="preserve">Concentration is real but below the ~25-30% single-study threshold that would force a named-study caveat; the LOSO tab shows it is immaterial to the verdict either way.</t>
  </si>
  <si>
    <t xml:space="preserve">Verdict: Post-cell concentration is disclosed and bounded; LOSO demonstrates it does not drive the null.</t>
  </si>
  <si>
    <t xml:space="preserve">B7 -- Coding-hygiene disclosures, recomputed on v12</t>
  </si>
  <si>
    <t xml:space="preserve">Feed the Methods/coding-defence paragraphs</t>
  </si>
  <si>
    <t xml:space="preserve">disclosure</t>
  </si>
  <si>
    <t xml:space="preserve">value</t>
  </si>
  <si>
    <t xml:space="preserve">reading</t>
  </si>
  <si>
    <t xml:space="preserve">attenuation (end-coding)</t>
  </si>
  <si>
    <t xml:space="preserve">66.0% of end-coded 'post' ES (1,383/2,094; 56 studies) are majority-pre -- the DEC-024 contamination, down from ~81% on the pre-v12 corpus; disqualifies end-coding as headline</t>
  </si>
  <si>
    <t xml:space="preserve">knife-edge mass</t>
  </si>
  <si>
    <t xml:space="preserve">only 2.9% of defined ES (79; 5 studies) sit within 0.05 of the 0.5 cut -- the same 79 rows as the tie-break disagreements (all exactly at 0.5); the headline cut is not threshold-fragile</t>
  </si>
  <si>
    <t xml:space="preserve">panel drift</t>
  </si>
  <si>
    <t xml:space="preserve">ES-level mean exposure 0.358 vs study-level 0.343 (+0.015): later years contribute modestly more observations; disclosed, immaterial</t>
  </si>
  <si>
    <t xml:space="preserve">Verdict: All three hygiene numbers land on the favourable side and are now v12-canonical -- the coding-defence paragraph writes itself.</t>
  </si>
  <si>
    <t xml:space="preserve">analysis_id</t>
  </si>
  <si>
    <t xml:space="preserve">spec</t>
  </si>
  <si>
    <t xml:space="preserve">subset</t>
  </si>
  <si>
    <t xml:space="preserve">metric</t>
  </si>
  <si>
    <t xml:space="preserve">estimator</t>
  </si>
  <si>
    <t xml:space="preserve">rho</t>
  </si>
  <si>
    <t xml:space="preserve">k_es</t>
  </si>
  <si>
    <t xml:space="preserve">k_study</t>
  </si>
  <si>
    <t xml:space="preserve">k_cluster</t>
  </si>
  <si>
    <t xml:space="preserve">est_z</t>
  </si>
  <si>
    <t xml:space="preserve">se_z</t>
  </si>
  <si>
    <t xml:space="preserve">t_stat</t>
  </si>
  <si>
    <t xml:space="preserve">ci_lb_z</t>
  </si>
  <si>
    <t xml:space="preserve">ci_ub_z</t>
  </si>
  <si>
    <t xml:space="preserve">pi_lb_z</t>
  </si>
  <si>
    <t xml:space="preserve">pi_ub_z</t>
  </si>
  <si>
    <t xml:space="preserve">est_r</t>
  </si>
  <si>
    <t xml:space="preserve">ci_lb_r</t>
  </si>
  <si>
    <t xml:space="preserve">ci_ub_r</t>
  </si>
  <si>
    <t xml:space="preserve">pi_lb_r</t>
  </si>
  <si>
    <t xml:space="preserve">pi_ub_r</t>
  </si>
  <si>
    <t xml:space="preserve">sigma2_cluster</t>
  </si>
  <si>
    <t xml:space="preserve">sigma2_study</t>
  </si>
  <si>
    <t xml:space="preserve">sigma2_esid</t>
  </si>
  <si>
    <t xml:space="preserve">pct_cluster</t>
  </si>
  <si>
    <t xml:space="preserve">pct_study</t>
  </si>
  <si>
    <t xml:space="preserve">pct_esid</t>
  </si>
  <si>
    <t xml:space="preserve">pct_sampling</t>
  </si>
  <si>
    <t xml:space="preserve">typical_v</t>
  </si>
  <si>
    <t xml:space="preserve">ms_input</t>
  </si>
  <si>
    <t xml:space="preserve">ms_label</t>
  </si>
  <si>
    <t xml:space="preserve">B1</t>
  </si>
  <si>
    <t xml:space="preserve">defined</t>
  </si>
  <si>
    <t xml:space="preserve">Fisher_z</t>
  </si>
  <si>
    <t xml:space="preserve">3LMA-RVE_CR2</t>
  </si>
  <si>
    <t xml:space="preserve">TRUE</t>
  </si>
  <si>
    <t xml:space="preserve">paris_mid_cell_pre</t>
  </si>
  <si>
    <t xml:space="preserve">Cell mean at coding = 0 (pre); rma.mv ~0+factor(coding), V rho=0.6 on cluster_id [F56], CR2/Satterthwaite on cluster_id; headline binary pp_mid_lag0; k = complete cases on coding [DEC-042b]; transfer rule NOT triggered (design df 31.9) -&gt; binary carries full inference</t>
  </si>
  <si>
    <t xml:space="preserve">paris_mid_cell_post</t>
  </si>
  <si>
    <t xml:space="preserve">Cell mean at coding = 1 (post); rma.mv ~0+factor(coding), V rho=0.6 on cluster_id [F56], CR2/Satterthwaite on cluster_id; headline binary pp_mid_lag0; k = complete cases on coding [DEC-042b]; transfer rule NOT triggered (design df 31.9) -&gt; binary carries full inference</t>
  </si>
  <si>
    <t xml:space="preserve">diff</t>
  </si>
  <si>
    <t xml:space="preserve">paris_mid_diff</t>
  </si>
  <si>
    <t xml:space="preserve">post - pre moderator contrast (own formal inference per model [DEC-031a.6]); difference of Fisher-z means; no tanh transform of differences; headline binary pp_mid_lag0; k = complete cases on coding [DEC-042b]; transfer rule NOT triggered (design df 31.9) -&gt; binary carries full inference</t>
  </si>
  <si>
    <t xml:space="preserve">B3</t>
  </si>
  <si>
    <t xml:space="preserve">FALSE</t>
  </si>
  <si>
    <t xml:space="preserve">Cell mean at coding = 0 (pre); rma.mv ~0+factor(coding), V rho=0.6 on cluster_id [F56], CR2/Satterthwaite on cluster_id; tie-break variant pp_median_lag0 (ties-&gt;Pre) [plan par.6]; ONE variant; sensitivity</t>
  </si>
  <si>
    <t xml:space="preserve">Cell mean at coding = 1 (post); rma.mv ~0+factor(coding), V rho=0.6 on cluster_id [F56], CR2/Satterthwaite on cluster_id; tie-break variant pp_median_lag0 (ties-&gt;Pre) [plan par.6]; ONE variant; sensitivity</t>
  </si>
  <si>
    <t xml:space="preserve">post - pre moderator contrast (own formal inference per model [DEC-031a.6]); difference of Fisher-z means; no tanh transform of differences; tie-break variant pp_median_lag0 (ties-&gt;Pre) [plan par.6]; ONE variant; sensitivity</t>
  </si>
  <si>
    <t xml:space="preserve">Cell mean at coding = 0 (pre); rma.mv ~0+factor(coding), V rho=0.6 on cluster_id [F56], CR2/Satterthwaite on cluster_id; pp_end_lag0 (any exposure by window end); upper-recall bound</t>
  </si>
  <si>
    <t xml:space="preserve">Cell mean at coding = 1 (post); rma.mv ~0+factor(coding), V rho=0.6 on cluster_id [F56], CR2/Satterthwaite on cluster_id; pp_end_lag0 (any exposure by window end); upper-recall bound</t>
  </si>
  <si>
    <t xml:space="preserve">post - pre moderator contrast (own formal inference per model [DEC-031a.6]); difference of Fisher-z means; no tanh transform of differences; pp_end_lag0 (any exposure by window end); upper-recall bound</t>
  </si>
  <si>
    <t xml:space="preserve">Cell mean at coding = 0 (pre); rma.mv ~0+factor(coding), V rho=0.6 on cluster_id [F56], CR2/Satterthwaite on cluster_id; in-script recut share_2017 &gt;= 0.5 (ties-&gt;Post) [P2/DEC-024]; main-text coding sensitivity; collapse = finding</t>
  </si>
  <si>
    <t xml:space="preserve">Cell mean at coding = 1 (post); rma.mv ~0+factor(coding), V rho=0.6 on cluster_id [F56], CR2/Satterthwaite on cluster_id; in-script recut share_2017 &gt;= 0.5 (ties-&gt;Post) [P2/DEC-024]; main-text coding sensitivity; collapse = finding</t>
  </si>
  <si>
    <t xml:space="preserve">post - pre moderator contrast (own formal inference per model [DEC-031a.6]); difference of Fisher-z means; no tanh transform of differences; in-script recut share_2017 &gt;= 0.5 (ties-&gt;Post) [P2/DEC-024]; main-text coding sensitivity; collapse = finding</t>
  </si>
  <si>
    <t xml:space="preserve">Cell mean at coding = 0 (pre); rma.mv ~0+factor(coding), V rho=0.6 on cluster_id [F56], CR2/Satterthwaite on cluster_id; in-script recut share_2018 &gt;= 0.5 (ties-&gt;Post) [P2/DEC-024]; main-text coding sensitivity; collapse = finding</t>
  </si>
  <si>
    <t xml:space="preserve">Cell mean at coding = 1 (post); rma.mv ~0+factor(coding), V rho=0.6 on cluster_id [F56], CR2/Satterthwaite on cluster_id; in-script recut share_2018 &gt;= 0.5 (ties-&gt;Post) [P2/DEC-024]; main-text coding sensitivity; collapse = finding</t>
  </si>
  <si>
    <t xml:space="preserve">post - pre moderator contrast (own formal inference per model [DEC-031a.6]); difference of Fisher-z means; no tanh transform of differences; in-script recut share_2018 &gt;= 0.5 (ties-&gt;Post) [P2/DEC-024]; main-text coding sensitivity; collapse = finding</t>
  </si>
  <si>
    <t xml:space="preserve">Cell mean at coding = 0 (pre); rma.mv ~0+factor(coding), V rho=0.6 on cluster_id [F56], CR2/Satterthwaite on cluster_id; in-script recut share_2019 &gt;= 0.5 (ties-&gt;Post) [P2/DEC-024]; main-text coding sensitivity; collapse = finding</t>
  </si>
  <si>
    <t xml:space="preserve">Cell mean at coding = 1 (post); rma.mv ~0+factor(coding), V rho=0.6 on cluster_id [F56], CR2/Satterthwaite on cluster_id; in-script recut share_2019 &gt;= 0.5 (ties-&gt;Post) [P2/DEC-024]; main-text coding sensitivity; collapse = finding</t>
  </si>
  <si>
    <t xml:space="preserve">post - pre moderator contrast (own formal inference per model [DEC-031a.6]); difference of Fisher-z means; no tanh transform of differences; in-script recut share_2019 &gt;= 0.5 (ties-&gt;Post) [P2/DEC-024]; main-text coding sensitivity; collapse = finding</t>
  </si>
  <si>
    <t xml:space="preserve">Cell mean at coding = 0 (pre); rma.mv ~0+factor(coding), V rho=0.6 on cluster_id [F56], CR2/Satterthwaite on cluster_id; pp_end_lag1; appendix [plan par.6]</t>
  </si>
  <si>
    <t xml:space="preserve">Cell mean at coding = 1 (post); rma.mv ~0+factor(coding), V rho=0.6 on cluster_id [F56], CR2/Satterthwaite on cluster_id; pp_end_lag1; appendix [plan par.6]</t>
  </si>
  <si>
    <t xml:space="preserve">post - pre moderator contrast (own formal inference per model [DEC-031a.6]); difference of Fisher-z means; no tanh transform of differences; pp_end_lag1; appendix [plan par.6]</t>
  </si>
  <si>
    <t xml:space="preserve">Cell mean at coding = 0 (pre); rma.mv ~0+factor(coding), V rho=0.6 on cluster_id [F56], CR2/Satterthwaite on cluster_id; pp_end_lag2; appendix [plan par.6]</t>
  </si>
  <si>
    <t xml:space="preserve">Cell mean at coding = 1 (post); rma.mv ~0+factor(coding), V rho=0.6 on cluster_id [F56], CR2/Satterthwaite on cluster_id; pp_end_lag2; appendix [plan par.6]</t>
  </si>
  <si>
    <t xml:space="preserve">post - pre moderator contrast (own formal inference per model [DEC-031a.6]); difference of Fisher-z means; no tanh transform of differences; pp_end_lag2; appendix [plan par.6]</t>
  </si>
  <si>
    <t xml:space="preserve">Cell mean at coding = 0 (pre); rma.mv ~0+factor(coding), V rho=0.6 on cluster_id [F56], CR2/Satterthwaite on cluster_id; pp_end_lag3; appendix [plan par.6]</t>
  </si>
  <si>
    <t xml:space="preserve">Cell mean at coding = 1 (post); rma.mv ~0+factor(coding), V rho=0.6 on cluster_id [F56], CR2/Satterthwaite on cluster_id; pp_end_lag3; appendix [plan par.6]</t>
  </si>
  <si>
    <t xml:space="preserve">post - pre moderator contrast (own formal inference per model [DEC-031a.6]); difference of Fisher-z means; no tanh transform of differences; pp_end_lag3; appendix [plan par.6]</t>
  </si>
  <si>
    <t xml:space="preserve">clean_cells</t>
  </si>
  <si>
    <t xml:space="preserve">clean_window_cell_pre</t>
  </si>
  <si>
    <t xml:space="preserve">Cell mean at coding = 0 (pre); rma.mv ~0+factor(coding), V rho=0.6 on cluster_id [F56], CR2/Satterthwaite on cluster_id; subset pp_window_class in {"pre-only","post-only"} [P5]; binary clean-post; FULL inference [DEC-031a.5 upgrade fired, design df 12.3]</t>
  </si>
  <si>
    <t xml:space="preserve">clean_window_cell_post</t>
  </si>
  <si>
    <t xml:space="preserve">Cell mean at coding = 1 (post); rma.mv ~0+factor(coding), V rho=0.6 on cluster_id [F56], CR2/Satterthwaite on cluster_id; subset pp_window_class in {"pre-only","post-only"} [P5]; binary clean-post; FULL inference [DEC-031a.5 upgrade fired, design df 12.3]</t>
  </si>
  <si>
    <t xml:space="preserve">clean_window_diff</t>
  </si>
  <si>
    <t xml:space="preserve">post - pre moderator contrast (own formal inference per model [DEC-031a.6]); difference of Fisher-z means; no tanh transform of differences; subset pp_window_class in {"pre-only","post-only"} [P5]; binary clean-post; FULL inference [DEC-031a.5 upgrade fired, design df 12.3]</t>
  </si>
  <si>
    <t xml:space="preserve">B6</t>
  </si>
  <si>
    <t xml:space="preserve">loso_post</t>
  </si>
  <si>
    <t xml:space="preserve">paris_mid refit without study 'Ali et al (2026)' (whole-study drop; 9 defined ES removed); k_es = remaining complete cases on pp_mid_lag0; k_study/k_cluster = remaining sample after drop; difference of Fisher-z means; no tanh transform of differences</t>
  </si>
  <si>
    <t xml:space="preserve">paris_mid refit without study 'Almutairi (2026)' (whole-study drop; 16 defined ES removed); k_es = remaining complete cases on pp_mid_lag0; k_study/k_cluster = remaining sample after drop; difference of Fisher-z means; no tanh transform of differences</t>
  </si>
  <si>
    <t xml:space="preserve">paris_mid refit without study 'Altavilla et al (2024)' (whole-study drop; 82 defined ES removed); k_es = remaining complete cases on pp_mid_lag0; k_study/k_cluster = remaining sample after drop; difference of Fisher-z means; no tanh transform of differences</t>
  </si>
  <si>
    <t xml:space="preserve">paris_mid refit without study 'Boermans et al (2023)' (whole-study drop; 61 defined ES removed); k_es = remaining complete cases on pp_mid_lag0; k_study/k_cluster = remaining sample after drop; difference of Fisher-z means; no tanh transform of differences</t>
  </si>
  <si>
    <t xml:space="preserve">paris_mid refit without study 'Boubaker et al (2026)' (whole-study drop; 16 defined ES removed); k_es = remaining complete cases on pp_mid_lag0; k_study/k_cluster = remaining sample after drop; difference of Fisher-z means; no tanh transform of differences</t>
  </si>
  <si>
    <t xml:space="preserve">paris_mid refit without study 'Brinette et al (2026)' (whole-study drop; 12 defined ES removed); k_es = remaining complete cases on pp_mid_lag0; k_study/k_cluster = remaining sample after drop; difference of Fisher-z means; no tanh transform of differences</t>
  </si>
  <si>
    <t xml:space="preserve">paris_mid refit without study 'Cicchini et al (2026)' (whole-study drop; 20 defined ES removed); k_es = remaining complete cases on pp_mid_lag0; k_study/k_cluster = remaining sample after drop; difference of Fisher-z means; no tanh transform of differences</t>
  </si>
  <si>
    <t xml:space="preserve">paris_mid refit without study 'Du et al (2022)' (whole-study drop; 2 defined ES removed); k_es = remaining complete cases on pp_mid_lag0; k_study/k_cluster = remaining sample after drop; difference of Fisher-z means; no tanh transform of differences</t>
  </si>
  <si>
    <t xml:space="preserve">paris_mid refit without study 'Ferriani (2022)' (whole-study drop; 30 defined ES removed); k_es = remaining complete cases on pp_mid_lag0; k_study/k_cluster = remaining sample after drop; difference of Fisher-z means; no tanh transform of differences</t>
  </si>
  <si>
    <t xml:space="preserve">paris_mid refit without study 'Gonzales Sanches et al (2026)' (whole-study drop; 17 defined ES removed); k_es = remaining complete cases on pp_mid_lag0; k_study/k_cluster = remaining sample after drop; difference of Fisher-z means; no tanh transform of differences</t>
  </si>
  <si>
    <t xml:space="preserve">paris_mid refit without study 'Ho &amp; Wong (2023)' (whole-study drop; 38 defined ES removed); k_es = remaining complete cases on pp_mid_lag0; k_study/k_cluster = remaining sample after drop; difference of Fisher-z means; no tanh transform of differences</t>
  </si>
  <si>
    <t xml:space="preserve">paris_mid refit without study 'Kordschia (2020)' (whole-study drop; 5 defined ES removed); k_es = remaining complete cases on pp_mid_lag0; k_study/k_cluster = remaining sample after drop; difference of Fisher-z means; no tanh transform of differences</t>
  </si>
  <si>
    <t xml:space="preserve">paris_mid refit without study 'Kozak (2021)' (whole-study drop; 21 defined ES removed); k_es = remaining complete cases on pp_mid_lag0; k_study/k_cluster = remaining sample after drop; difference of Fisher-z means; no tanh transform of differences</t>
  </si>
  <si>
    <t xml:space="preserve">paris_mid refit without study 'Li et al (2022)' (whole-study drop; 17 defined ES removed); k_es = remaining complete cases on pp_mid_lag0; k_study/k_cluster = remaining sample after drop; difference of Fisher-z means; no tanh transform of differences</t>
  </si>
  <si>
    <t xml:space="preserve">paris_mid refit without study 'Lin et al (2025)' (whole-study drop; 29 defined ES removed); k_es = remaining complete cases on pp_mid_lag0; k_study/k_cluster = remaining sample after drop; difference of Fisher-z means; no tanh transform of differences</t>
  </si>
  <si>
    <t xml:space="preserve">paris_mid refit without study 'Liu et al (2023)' (whole-study drop; 10 defined ES removed); k_es = remaining complete cases on pp_mid_lag0; k_study/k_cluster = remaining sample after drop; difference of Fisher-z means; no tanh transform of differences</t>
  </si>
  <si>
    <t xml:space="preserve">paris_mid refit without study 'Nasih et al (2024)' (whole-study drop; 5 defined ES removed); k_es = remaining complete cases on pp_mid_lag0; k_study/k_cluster = remaining sample after drop; difference of Fisher-z means; no tanh transform of differences</t>
  </si>
  <si>
    <t xml:space="preserve">paris_mid refit without study 'Owolabi et al (2024)' (whole-study drop; 6 defined ES removed); k_es = remaining complete cases on pp_mid_lag0; k_study/k_cluster = remaining sample after drop; difference of Fisher-z means; no tanh transform of differences</t>
  </si>
  <si>
    <t xml:space="preserve">paris_mid refit without study 'Panjwani et al (2023)' (whole-study drop; 170 defined ES removed); k_es = remaining complete cases on pp_mid_lag0; k_study/k_cluster = remaining sample after drop; difference of Fisher-z means; no tanh transform of differences</t>
  </si>
  <si>
    <t xml:space="preserve">paris_mid refit without study 'Ratajczak &amp; Mikolajewicz (2021)' (whole-study drop; 6 defined ES removed); k_es = remaining complete cases on pp_mid_lag0; k_study/k_cluster = remaining sample after drop; difference of Fisher-z means; no tanh transform of differences</t>
  </si>
  <si>
    <t xml:space="preserve">paris_mid refit without study 'Ririmasse et al (2026)' (whole-study drop; 18 defined ES removed); k_es = remaining complete cases on pp_mid_lag0; k_study/k_cluster = remaining sample after drop; difference of Fisher-z means; no tanh transform of differences</t>
  </si>
  <si>
    <t xml:space="preserve">paris_mid refit without study 'Shi et al (2025)' (whole-study drop; 15 defined ES removed); k_es = remaining complete cases on pp_mid_lag0; k_study/k_cluster = remaining sample after drop; difference of Fisher-z means; no tanh transform of differences</t>
  </si>
  <si>
    <t xml:space="preserve">paris_mid refit without study 'Tan et al (2021)' (whole-study drop; 6 defined ES removed); k_es = remaining complete cases on pp_mid_lag0; k_study/k_cluster = remaining sample after drop; difference of Fisher-z means; no tanh transform of differences</t>
  </si>
  <si>
    <t xml:space="preserve">paris_mid refit without study 'Tan et al (2026)' (whole-study drop; 25 defined ES removed); k_es = remaining complete cases on pp_mid_lag0; k_study/k_cluster = remaining sample after drop; difference of Fisher-z means; no tanh transform of differences</t>
  </si>
  <si>
    <t xml:space="preserve">paris_mid refit without study 'Tang et al (2023)' (whole-study drop; 13 defined ES removed); k_es = remaining complete cases on pp_mid_lag0; k_study/k_cluster = remaining sample after drop; difference of Fisher-z means; no tanh transform of differences</t>
  </si>
  <si>
    <t xml:space="preserve">paris_mid refit without study 'Temiz (2022)' (whole-study drop; 13 defined ES removed); k_es = remaining complete cases on pp_mid_lag0; k_study/k_cluster = remaining sample after drop; difference of Fisher-z means; no tanh transform of differences</t>
  </si>
  <si>
    <t xml:space="preserve">paris_mid refit without study 'Wang &amp; Wijethilake (2026)' (whole-study drop; 8 defined ES removed); k_es = remaining complete cases on pp_mid_lag0; k_study/k_cluster = remaining sample after drop; difference of Fisher-z means; no tanh transform of differences</t>
  </si>
  <si>
    <t xml:space="preserve">paris_mid refit without study 'Wang et al (2022a)' (whole-study drop; 1 defined ES removed); k_es = remaining complete cases on pp_mid_lag0; k_study/k_cluster = remaining sample after drop; difference of Fisher-z means; no tanh transform of differences</t>
  </si>
  <si>
    <t xml:space="preserve">paris_mid refit without study 'Wang et al (2025a)' (whole-study drop; 24 defined ES removed); k_es = remaining complete cases on pp_mid_lag0; k_study/k_cluster = remaining sample after drop; difference of Fisher-z means; no tanh transform of differences</t>
  </si>
  <si>
    <t xml:space="preserve">paris_mid refit without study 'Wang et al (2025b)' (whole-study drop; 16 defined ES removed); k_es = remaining complete cases on pp_mid_lag0; k_study/k_cluster = remaining sample after drop; difference of Fisher-z means; no tanh transform of differences</t>
  </si>
  <si>
    <t xml:space="preserve">paris_mid refit without study 'Xiang &amp; Gong (2026)' (whole-study drop; 12 defined ES removed); k_es = remaining complete cases on pp_mid_lag0; k_study/k_cluster = remaining sample after drop; difference of Fisher-z means; no tanh transform of differences</t>
  </si>
  <si>
    <t xml:space="preserve">loso_post_summary</t>
  </si>
  <si>
    <t xml:space="preserve">post_cell</t>
  </si>
  <si>
    <t xml:space="preserve">range</t>
  </si>
  <si>
    <t xml:space="preserve">loso_post_summary_range</t>
  </si>
  <si>
    <t xml:space="preserve">range = max - min over the 31 LOSO diff estimates (z scale); min diff = 0.002336 (drop Li et al (2022)); max diff = 0.013719 (drop Brinette et al (2026)); full-sample paris_mid diff = 0.010176</t>
  </si>
  <si>
    <t xml:space="preserve">post_dominance</t>
  </si>
  <si>
    <t xml:space="preserve">weight_share</t>
  </si>
  <si>
    <t xml:space="preserve">share</t>
  </si>
  <si>
    <t xml:space="preserve">IV_marginal_approx</t>
  </si>
  <si>
    <t xml:space="preserve">normalized weight share, w = 1/(vi + sum sigma2_B1 = 0.032345) within the post cell (pp_mid_lag0 == 1); marginal approximation, RVE weights are matrix-valued; ES-count share = 0.012658 (9 of 711 post-cell ES)</t>
  </si>
  <si>
    <t xml:space="preserve">normalized weight share, w = 1/(vi + sum sigma2_B1 = 0.032345) within the post cell (pp_mid_lag0 == 1); marginal approximation, RVE weights are matrix-valued; ES-count share = 0.022504 (16 of 711 post-cell ES)</t>
  </si>
  <si>
    <t xml:space="preserve">normalized weight share, w = 1/(vi + sum sigma2_B1 = 0.032345) within the post cell (pp_mid_lag0 == 1); marginal approximation, RVE weights are matrix-valued; ES-count share = 0.115331 (82 of 711 post-cell ES)</t>
  </si>
  <si>
    <t xml:space="preserve">normalized weight share, w = 1/(vi + sum sigma2_B1 = 0.032345) within the post cell (pp_mid_lag0 == 1); marginal approximation, RVE weights are matrix-valued; ES-count share = 0.085795 (61 of 711 post-cell ES)</t>
  </si>
  <si>
    <t xml:space="preserve">normalized weight share, w = 1/(vi + sum sigma2_B1 = 0.032345) within the post cell (pp_mid_lag0 == 1); marginal approximation, RVE weights are matrix-valued; ES-count share = 0.016878 (12 of 711 post-cell ES)</t>
  </si>
  <si>
    <t xml:space="preserve">normalized weight share, w = 1/(vi + sum sigma2_B1 = 0.032345) within the post cell (pp_mid_lag0 == 1); marginal approximation, RVE weights are matrix-valued; ES-count share = 0.028129 (20 of 711 post-cell ES)</t>
  </si>
  <si>
    <t xml:space="preserve">normalized weight share, w = 1/(vi + sum sigma2_B1 = 0.032345) within the post cell (pp_mid_lag0 == 1); marginal approximation, RVE weights are matrix-valued; ES-count share = 0.002813 (2 of 711 post-cell ES)</t>
  </si>
  <si>
    <t xml:space="preserve">normalized weight share, w = 1/(vi + sum sigma2_B1 = 0.032345) within the post cell (pp_mid_lag0 == 1); marginal approximation, RVE weights are matrix-valued; ES-count share = 0.042194 (30 of 711 post-cell ES)</t>
  </si>
  <si>
    <t xml:space="preserve">normalized weight share, w = 1/(vi + sum sigma2_B1 = 0.032345) within the post cell (pp_mid_lag0 == 1); marginal approximation, RVE weights are matrix-valued; ES-count share = 0.023910 (17 of 711 post-cell ES)</t>
  </si>
  <si>
    <t xml:space="preserve">normalized weight share, w = 1/(vi + sum sigma2_B1 = 0.032345) within the post cell (pp_mid_lag0 == 1); marginal approximation, RVE weights are matrix-valued; ES-count share = 0.053446 (38 of 711 post-cell ES)</t>
  </si>
  <si>
    <t xml:space="preserve">normalized weight share, w = 1/(vi + sum sigma2_B1 = 0.032345) within the post cell (pp_mid_lag0 == 1); marginal approximation, RVE weights are matrix-valued; ES-count share = 0.007032 (5 of 711 post-cell ES)</t>
  </si>
  <si>
    <t xml:space="preserve">normalized weight share, w = 1/(vi + sum sigma2_B1 = 0.032345) within the post cell (pp_mid_lag0 == 1); marginal approximation, RVE weights are matrix-valued; ES-count share = 0.029536 (21 of 711 post-cell ES)</t>
  </si>
  <si>
    <t xml:space="preserve">normalized weight share, w = 1/(vi + sum sigma2_B1 = 0.032345) within the post cell (pp_mid_lag0 == 1); marginal approximation, RVE weights are matrix-valued; ES-count share = 0.040788 (29 of 711 post-cell ES)</t>
  </si>
  <si>
    <t xml:space="preserve">normalized weight share, w = 1/(vi + sum sigma2_B1 = 0.032345) within the post cell (pp_mid_lag0 == 1); marginal approximation, RVE weights are matrix-valued; ES-count share = 0.014065 (10 of 711 post-cell ES)</t>
  </si>
  <si>
    <t xml:space="preserve">normalized weight share, w = 1/(vi + sum sigma2_B1 = 0.032345) within the post cell (pp_mid_lag0 == 1); marginal approximation, RVE weights are matrix-valued; ES-count share = 0.008439 (6 of 711 post-cell ES)</t>
  </si>
  <si>
    <t xml:space="preserve">normalized weight share, w = 1/(vi + sum sigma2_B1 = 0.032345) within the post cell (pp_mid_lag0 == 1); marginal approximation, RVE weights are matrix-valued; ES-count share = 0.239100 (170 of 711 post-cell ES)</t>
  </si>
  <si>
    <t xml:space="preserve">normalized weight share, w = 1/(vi + sum sigma2_B1 = 0.032345) within the post cell (pp_mid_lag0 == 1); marginal approximation, RVE weights are matrix-valued; ES-count share = 0.025316 (18 of 711 post-cell ES)</t>
  </si>
  <si>
    <t xml:space="preserve">normalized weight share, w = 1/(vi + sum sigma2_B1 = 0.032345) within the post cell (pp_mid_lag0 == 1); marginal approximation, RVE weights are matrix-valued; ES-count share = 0.021097 (15 of 711 post-cell ES)</t>
  </si>
  <si>
    <t xml:space="preserve">normalized weight share, w = 1/(vi + sum sigma2_B1 = 0.032345) within the post cell (pp_mid_lag0 == 1); marginal approximation, RVE weights are matrix-valued; ES-count share = 0.035162 (25 of 711 post-cell ES)</t>
  </si>
  <si>
    <t xml:space="preserve">normalized weight share, w = 1/(vi + sum sigma2_B1 = 0.032345) within the post cell (pp_mid_lag0 == 1); marginal approximation, RVE weights are matrix-valued; ES-count share = 0.018284 (13 of 711 post-cell ES)</t>
  </si>
  <si>
    <t xml:space="preserve">normalized weight share, w = 1/(vi + sum sigma2_B1 = 0.032345) within the post cell (pp_mid_lag0 == 1); marginal approximation, RVE weights are matrix-valued; ES-count share = 0.011252 (8 of 711 post-cell ES)</t>
  </si>
  <si>
    <t xml:space="preserve">normalized weight share, w = 1/(vi + sum sigma2_B1 = 0.032345) within the post cell (pp_mid_lag0 == 1); marginal approximation, RVE weights are matrix-valued; ES-count share = 0.001406 (1 of 711 post-cell ES)</t>
  </si>
  <si>
    <t xml:space="preserve">normalized weight share, w = 1/(vi + sum sigma2_B1 = 0.032345) within the post cell (pp_mid_lag0 == 1); marginal approximation, RVE weights are matrix-valued; ES-count share = 0.033755 (24 of 711 post-cell ES)</t>
  </si>
  <si>
    <t xml:space="preserve">B7</t>
  </si>
  <si>
    <t xml:space="preserve">disclosure_attenuation_end</t>
  </si>
  <si>
    <t xml:space="preserve">end_post</t>
  </si>
  <si>
    <t xml:space="preserve">descriptive</t>
  </si>
  <si>
    <t xml:space="preserve">share of end-coded post ES (pp_end_lag0 == 1) with share_2016 &lt; 0.5 (majority-pre contamination, recomputed on v12): 1383 of 2094 ES; study-level count: 56 studies</t>
  </si>
  <si>
    <t xml:space="preserve">disclosure_knife_edge</t>
  </si>
  <si>
    <t xml:space="preserve">ES share with share_2016 in [0.45, 0.55]: 79 of 2705 defined ES; study count: 5 studies</t>
  </si>
  <si>
    <t xml:space="preserve">disclosure_panel_drift</t>
  </si>
  <si>
    <t xml:space="preserve">mean(share_2016) at ES level (0.358219) minus mean of study-level means (0.343337); post years contribute more observations than their calendar share</t>
  </si>
  <si>
    <t xml:space="preserve">Manuscript Inputs -- the 10 ms_input rows (formula-derived from 11_Results_Long)</t>
  </si>
  <si>
    <t xml:space="preserve">diff rows are z-scale by convention (no tanh of differences)</t>
  </si>
  <si>
    <t xml:space="preserve">bp-independent; nothing here is PENDING</t>
  </si>
  <si>
    <t xml:space="preserve">spec/term</t>
  </si>
  <si>
    <t xml:space="preserve">95% CI</t>
  </si>
  <si>
    <t xml:space="preserve">k (ES/studies)</t>
  </si>
  <si>
    <t xml:space="preserve">pre-Paris cell mean</t>
  </si>
  <si>
    <t xml:space="preserve">post-Paris cell mean</t>
  </si>
  <si>
    <t xml:space="preserve">THE formal Paris test</t>
  </si>
  <si>
    <t xml:space="preserve">clean pre-only cell</t>
  </si>
  <si>
    <t xml:space="preserve">clean post-only cell</t>
  </si>
  <si>
    <t xml:space="preserve">clean contrast, full inference</t>
  </si>
  <si>
    <t xml:space="preserve">loso_post_range</t>
  </si>
  <si>
    <t xml:space="preserve">max-min of 31 LOSO diffs (z)</t>
  </si>
  <si>
    <t xml:space="preserve">attenuation_end</t>
  </si>
  <si>
    <t xml:space="preserve">end-coding contamination share</t>
  </si>
  <si>
    <t xml:space="preserve">knife_edge</t>
  </si>
  <si>
    <t xml:space="preserve">mass within 0.05 of cut</t>
  </si>
  <si>
    <t xml:space="preserve">panel_drift</t>
  </si>
  <si>
    <t xml:space="preserve">ES- minus study-level mean exposure</t>
  </si>
  <si>
    <t xml:space="preserve">Manuscript text blocks -- Block B coding layer (TB-13..TB-19, continuing T1's TB-01..12)</t>
  </si>
  <si>
    <t xml:space="preserve">Framing-neutral report prose; A-vs-C emphasis (Ablauf 3b, after T8) may adjust tone, not numbers.</t>
  </si>
  <si>
    <t xml:space="preserve">Numbers hardcoded from 11_Results_Long (run 2026-07-14, 17/17) -- regenerate on any re-run.</t>
  </si>
  <si>
    <t xml:space="preserve">ID</t>
  </si>
  <si>
    <t xml:space="preserve">Target</t>
  </si>
  <si>
    <t xml:space="preserve">Status</t>
  </si>
  <si>
    <t xml:space="preserve">Text (EN)</t>
  </si>
  <si>
    <t xml:space="preserve">Source pointers</t>
  </si>
  <si>
    <t xml:space="preserve">Note</t>
  </si>
  <si>
    <t xml:space="preserve">TB-13</t>
  </si>
  <si>
    <t xml:space="preserve">Results 4.x (Paris test)</t>
  </si>
  <si>
    <t xml:space="preserve">READY</t>
  </si>
  <si>
    <t xml:space="preserve">The formal test of the Paris Agreement moderator yields a precise null: the post-minus-pre contrast on the Fisher-z scale is 0.010 (95% CI [-0.028; 0.049], t(15.0) = 0.56, p = 0.582), based on 2,705 effect sizes with defined sample windows. The confidence interval excludes any shift larger than roughly 80% of the pooled effect itself in either direction.</t>
  </si>
  <si>
    <t xml:space="preserve">[11_Results_Long: paris_mid diff]</t>
  </si>
  <si>
    <t xml:space="preserve">the headline B1 sentence</t>
  </si>
  <si>
    <t xml:space="preserve">TB-14</t>
  </si>
  <si>
    <t xml:space="preserve">Results 4.x (coding robustness)</t>
  </si>
  <si>
    <t xml:space="preserve">The null survives every pre-registered coding of Paris exposure: shifting the majority-of-window cut to 2017, 2018, or 2019 leaves the contrast between +0.003 and +0.008 (all p &gt; 0.66); the tie-break variant is indistinguishable (+0.010); and the clean-window comparison -- studies whose samples lie entirely before or entirely after the Agreement -- yields -0.013 (95% CI [-0.049; 0.023], full inference on 929 effect sizes). Only the any-exposure end-coding family shows sign instability, and Section [X] documents why: 66% of the effect sizes it classifies as post-Paris draw the majority of their data from pre-Agreement years.</t>
  </si>
  <si>
    <t xml:space="preserve">[11_Results_Long: B3 rows; disclosure_attenuation_end]</t>
  </si>
  <si>
    <t xml:space="preserve">cross-ref [X] -&gt; coding-defence paragraph</t>
  </si>
  <si>
    <t xml:space="preserve">TB-15</t>
  </si>
  <si>
    <t xml:space="preserve">Results 4.x (LOSO)</t>
  </si>
  <si>
    <t xml:space="preserve">No single post-Paris study drives the result: refitting the moderation model 31 times, each time dropping one post-cell study entirely, moves the contrast within [0.002; 0.014] -- a spread of 0.011, less than a third of the interval half-width -- and no refit approaches significance.</t>
  </si>
  <si>
    <t xml:space="preserve">[11_Results_Long: loso_post rows + summary]</t>
  </si>
  <si>
    <t xml:space="preserve">pairs with TB-19</t>
  </si>
  <si>
    <t xml:space="preserve">TB-16</t>
  </si>
  <si>
    <t xml:space="preserve">Methods / coding defence</t>
  </si>
  <si>
    <t xml:space="preserve">We code exposure by the majority of each estimate's sample window (post if the post-2015 share is at least one half, ties assigned to post). An any-exposure end-of-window coding is reported as an upper-recall bound but is unsuitable as the headline: 66.0% of the effect sizes it labels post-Paris (1,383 of 2,094, from 56 studies) draw the majority of their observations from pre-Agreement years.</t>
  </si>
  <si>
    <t xml:space="preserve">[DEC-024; disclosure_attenuation_end]</t>
  </si>
  <si>
    <t xml:space="preserve">Methods + defence in one</t>
  </si>
  <si>
    <t xml:space="preserve">TB-17</t>
  </si>
  <si>
    <t xml:space="preserve">Methods (threshold robustness)</t>
  </si>
  <si>
    <t xml:space="preserve">The majority cut is not threshold-fragile: only 2.9% of effect sizes (79, from 5 studies) lie within 0.05 of the 0.5 boundary, and all tie-break disagreements between the two rounding conventions occur exactly at the boundary.</t>
  </si>
  <si>
    <t xml:space="preserve">[disclosure_knife_edge; P4]</t>
  </si>
  <si>
    <t xml:space="preserve">one sentence after TB-16</t>
  </si>
  <si>
    <t xml:space="preserve">TB-18</t>
  </si>
  <si>
    <t xml:space="preserve">Methods (sample composition)</t>
  </si>
  <si>
    <t xml:space="preserve">Because panels are unbalanced, later years contribute modestly more observations than their calendar share (effect-size-level mean post-2015 exposure 0.358 versus 0.343 at the study level); we disclose this drift and address time-composition formally in the identification analyses (Section [T8]).</t>
  </si>
  <si>
    <t xml:space="preserve">[disclosure_panel_drift]</t>
  </si>
  <si>
    <t xml:space="preserve">cross-ref [T8]</t>
  </si>
  <si>
    <t xml:space="preserve">TB-19</t>
  </si>
  <si>
    <t xml:space="preserve">Results/Appendix (dominance)</t>
  </si>
  <si>
    <t xml:space="preserve">The post-Paris cell is moderately concentrated -- its largest contributor (Panjwani et al., 2023) accounts for 23.9% of post-cell effect sizes and 22.8% of the information weight, with the top three studies near 44% -- but the leave-one-out analysis shows this concentration is immaterial to the conclusion.</t>
  </si>
  <si>
    <t xml:space="preserve">[post_dominance; loso_post]</t>
  </si>
  <si>
    <t xml:space="preserve">pairs with TB-15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</si>
</sst>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\+0.0000;\-0.0000"/>
    <numFmt numFmtId="167" formatCode="0.0%"/>
    <numFmt numFmtId="168" formatCode="0.0"/>
    <numFmt numFmtId="169" formatCode="0.00E+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7A1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1F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23.85" hidden="false" customHeight="false" outlineLevel="0" collapsed="false">
      <c r="A7" s="4" t="s">
        <v>7</v>
      </c>
      <c r="B7" s="5" t="s">
        <v>8</v>
      </c>
    </row>
    <row r="8" customFormat="false" ht="23.8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 t="s">
        <v>11</v>
      </c>
      <c r="B9" s="5" t="s">
        <v>12</v>
      </c>
    </row>
    <row r="10" customFormat="false" ht="15" hidden="false" customHeight="false" outlineLevel="0" collapsed="false">
      <c r="A10" s="4" t="s">
        <v>13</v>
      </c>
      <c r="B10" s="5" t="s">
        <v>14</v>
      </c>
    </row>
    <row r="11" customFormat="false" ht="15" hidden="false" customHeight="false" outlineLevel="0" collapsed="false">
      <c r="A11" s="4" t="s">
        <v>15</v>
      </c>
      <c r="B11" s="5" t="s">
        <v>16</v>
      </c>
    </row>
    <row r="12" customFormat="false" ht="15" hidden="false" customHeight="false" outlineLevel="0" collapsed="false">
      <c r="A12" s="4" t="s">
        <v>17</v>
      </c>
      <c r="B12" s="5" t="s">
        <v>18</v>
      </c>
    </row>
    <row r="13" customFormat="false" ht="15" hidden="false" customHeight="false" outlineLevel="0" collapsed="false">
      <c r="A13" s="4"/>
      <c r="B13" s="5"/>
    </row>
    <row r="14" customFormat="false" ht="15" hidden="false" customHeight="false" outlineLevel="0" collapsed="false">
      <c r="A14" s="6" t="s">
        <v>19</v>
      </c>
      <c r="B14" s="7" t="s">
        <v>20</v>
      </c>
    </row>
    <row r="15" customFormat="false" ht="15" hidden="false" customHeight="false" outlineLevel="0" collapsed="false">
      <c r="A15" s="4" t="s">
        <v>21</v>
      </c>
      <c r="B15" s="5" t="s">
        <v>22</v>
      </c>
    </row>
    <row r="16" customFormat="false" ht="15" hidden="false" customHeight="false" outlineLevel="0" collapsed="false">
      <c r="A16" s="4" t="s">
        <v>23</v>
      </c>
      <c r="B16" s="5" t="s">
        <v>24</v>
      </c>
    </row>
    <row r="17" customFormat="false" ht="15" hidden="false" customHeight="false" outlineLevel="0" collapsed="false">
      <c r="A17" s="4" t="s">
        <v>25</v>
      </c>
      <c r="B17" s="5" t="s">
        <v>26</v>
      </c>
    </row>
    <row r="18" customFormat="false" ht="15" hidden="false" customHeight="false" outlineLevel="0" collapsed="false">
      <c r="A18" s="4" t="s">
        <v>27</v>
      </c>
      <c r="B18" s="5" t="s">
        <v>28</v>
      </c>
    </row>
    <row r="19" customFormat="false" ht="15" hidden="false" customHeight="false" outlineLevel="0" collapsed="false">
      <c r="A19" s="4" t="s">
        <v>29</v>
      </c>
      <c r="B19" s="5" t="s">
        <v>30</v>
      </c>
    </row>
    <row r="20" customFormat="false" ht="15" hidden="false" customHeight="false" outlineLevel="0" collapsed="false">
      <c r="A20" s="4" t="s">
        <v>31</v>
      </c>
      <c r="B20" s="5" t="s">
        <v>32</v>
      </c>
    </row>
    <row r="21" customFormat="false" ht="15" hidden="false" customHeight="false" outlineLevel="0" collapsed="false">
      <c r="A21" s="4" t="s">
        <v>33</v>
      </c>
      <c r="B21" s="5" t="s">
        <v>34</v>
      </c>
    </row>
    <row r="22" customFormat="false" ht="15" hidden="false" customHeight="false" outlineLevel="0" collapsed="false">
      <c r="A22" s="4" t="s">
        <v>35</v>
      </c>
      <c r="B22" s="5" t="s">
        <v>36</v>
      </c>
    </row>
    <row r="23" customFormat="false" ht="15" hidden="false" customHeight="false" outlineLevel="0" collapsed="false">
      <c r="A23" s="4" t="s">
        <v>37</v>
      </c>
      <c r="B23" s="5" t="s">
        <v>38</v>
      </c>
    </row>
    <row r="24" customFormat="false" ht="15" hidden="false" customHeight="false" outlineLevel="0" collapsed="false">
      <c r="A24" s="4" t="s">
        <v>39</v>
      </c>
      <c r="B24" s="5" t="s">
        <v>40</v>
      </c>
    </row>
    <row r="25" customFormat="false" ht="15" hidden="false" customHeight="false" outlineLevel="0" collapsed="false">
      <c r="A25" s="4" t="s">
        <v>41</v>
      </c>
      <c r="B25" s="5" t="s">
        <v>42</v>
      </c>
    </row>
    <row r="26" customFormat="false" ht="15" hidden="false" customHeight="false" outlineLevel="0" collapsed="false">
      <c r="A26" s="4" t="s">
        <v>43</v>
      </c>
      <c r="B26" s="5" t="s">
        <v>44</v>
      </c>
    </row>
    <row r="27" customFormat="false" ht="15" hidden="false" customHeight="false" outlineLevel="0" collapsed="false">
      <c r="A27" s="4" t="s">
        <v>45</v>
      </c>
      <c r="B27" s="5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0"/>
    <col collapsed="false" customWidth="true" hidden="false" outlineLevel="0" max="3" min="3" style="0" width="44"/>
  </cols>
  <sheetData>
    <row r="1" customFormat="false" ht="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3" customFormat="false" ht="15" hidden="false" customHeight="false" outlineLevel="0" collapsed="false">
      <c r="A3" s="2"/>
    </row>
    <row r="5" customFormat="false" ht="15" hidden="false" customHeight="false" outlineLevel="0" collapsed="false">
      <c r="A5" s="3" t="s">
        <v>49</v>
      </c>
      <c r="B5" s="3" t="s">
        <v>50</v>
      </c>
      <c r="C5" s="3" t="s">
        <v>51</v>
      </c>
    </row>
    <row r="6" customFormat="false" ht="23.85" hidden="false" customHeight="false" outlineLevel="0" collapsed="false">
      <c r="A6" s="4" t="s">
        <v>52</v>
      </c>
      <c r="B6" s="5" t="s">
        <v>53</v>
      </c>
      <c r="C6" s="5" t="s">
        <v>54</v>
      </c>
    </row>
    <row r="7" customFormat="false" ht="15" hidden="false" customHeight="false" outlineLevel="0" collapsed="false">
      <c r="A7" s="4" t="s">
        <v>55</v>
      </c>
      <c r="B7" s="5" t="s">
        <v>56</v>
      </c>
      <c r="C7" s="5" t="s">
        <v>57</v>
      </c>
    </row>
    <row r="8" customFormat="false" ht="23.85" hidden="false" customHeight="false" outlineLevel="0" collapsed="false">
      <c r="A8" s="4" t="s">
        <v>58</v>
      </c>
      <c r="B8" s="5" t="s">
        <v>59</v>
      </c>
      <c r="C8" s="5" t="s">
        <v>60</v>
      </c>
    </row>
    <row r="9" customFormat="false" ht="15" hidden="false" customHeight="false" outlineLevel="0" collapsed="false">
      <c r="A9" s="4" t="s">
        <v>61</v>
      </c>
      <c r="B9" s="5" t="s">
        <v>62</v>
      </c>
      <c r="C9" s="5" t="s">
        <v>63</v>
      </c>
    </row>
    <row r="10" customFormat="false" ht="15" hidden="false" customHeight="false" outlineLevel="0" collapsed="false">
      <c r="A10" s="4" t="s">
        <v>64</v>
      </c>
      <c r="B10" s="5" t="s">
        <v>65</v>
      </c>
      <c r="C10" s="5" t="s">
        <v>66</v>
      </c>
    </row>
    <row r="11" customFormat="false" ht="23.85" hidden="false" customHeight="false" outlineLevel="0" collapsed="false">
      <c r="A11" s="4" t="s">
        <v>67</v>
      </c>
      <c r="B11" s="5" t="s">
        <v>68</v>
      </c>
      <c r="C11" s="5" t="s">
        <v>69</v>
      </c>
    </row>
    <row r="12" customFormat="false" ht="15" hidden="false" customHeight="false" outlineLevel="0" collapsed="false">
      <c r="A12" s="4" t="s">
        <v>70</v>
      </c>
      <c r="B12" s="5" t="s">
        <v>71</v>
      </c>
      <c r="C12" s="5" t="s">
        <v>72</v>
      </c>
    </row>
    <row r="13" customFormat="false" ht="15" hidden="false" customHeight="false" outlineLevel="0" collapsed="false">
      <c r="A13" s="4" t="s">
        <v>73</v>
      </c>
      <c r="B13" s="5" t="s">
        <v>74</v>
      </c>
      <c r="C13" s="5" t="s">
        <v>75</v>
      </c>
    </row>
    <row r="14" customFormat="false" ht="23.85" hidden="false" customHeight="false" outlineLevel="0" collapsed="false">
      <c r="A14" s="4" t="s">
        <v>76</v>
      </c>
      <c r="B14" s="5" t="s">
        <v>77</v>
      </c>
      <c r="C14" s="5" t="s">
        <v>78</v>
      </c>
    </row>
    <row r="15" customFormat="false" ht="23.85" hidden="false" customHeight="false" outlineLevel="0" collapsed="false">
      <c r="A15" s="4" t="s">
        <v>79</v>
      </c>
      <c r="B15" s="5" t="s">
        <v>80</v>
      </c>
      <c r="C15" s="5" t="s">
        <v>81</v>
      </c>
    </row>
    <row r="16" customFormat="false" ht="23.85" hidden="false" customHeight="false" outlineLevel="0" collapsed="false">
      <c r="A16" s="4" t="s">
        <v>82</v>
      </c>
      <c r="B16" s="5" t="s">
        <v>83</v>
      </c>
      <c r="C16" s="5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4"/>
    <col collapsed="false" customWidth="true" hidden="false" outlineLevel="0" max="3" min="3" style="0" width="58"/>
  </cols>
  <sheetData>
    <row r="1" customFormat="false" ht="15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/>
    </row>
    <row r="5" customFormat="false" ht="15" hidden="false" customHeight="false" outlineLevel="0" collapsed="false">
      <c r="A5" s="3" t="s">
        <v>49</v>
      </c>
      <c r="B5" s="3" t="s">
        <v>86</v>
      </c>
      <c r="C5" s="3" t="s">
        <v>87</v>
      </c>
    </row>
    <row r="6" customFormat="false" ht="23.85" hidden="false" customHeight="false" outlineLevel="0" collapsed="false">
      <c r="A6" s="4" t="s">
        <v>88</v>
      </c>
      <c r="B6" s="5" t="s">
        <v>89</v>
      </c>
      <c r="C6" s="5" t="s">
        <v>90</v>
      </c>
    </row>
    <row r="7" customFormat="false" ht="23.85" hidden="false" customHeight="false" outlineLevel="0" collapsed="false">
      <c r="A7" s="4" t="s">
        <v>91</v>
      </c>
      <c r="B7" s="5" t="s">
        <v>92</v>
      </c>
      <c r="C7" s="5" t="s">
        <v>93</v>
      </c>
    </row>
    <row r="8" customFormat="false" ht="15" hidden="false" customHeight="false" outlineLevel="0" collapsed="false">
      <c r="A8" s="4" t="s">
        <v>94</v>
      </c>
      <c r="B8" s="5" t="s">
        <v>95</v>
      </c>
      <c r="C8" s="5" t="s">
        <v>96</v>
      </c>
    </row>
    <row r="9" customFormat="false" ht="15" hidden="false" customHeight="false" outlineLevel="0" collapsed="false">
      <c r="A9" s="4" t="s">
        <v>97</v>
      </c>
      <c r="B9" s="5" t="s">
        <v>98</v>
      </c>
      <c r="C9" s="5" t="s">
        <v>99</v>
      </c>
    </row>
    <row r="10" customFormat="false" ht="15" hidden="false" customHeight="false" outlineLevel="0" collapsed="false">
      <c r="A10" s="4" t="s">
        <v>100</v>
      </c>
      <c r="B10" s="5" t="s">
        <v>101</v>
      </c>
      <c r="C10" s="5" t="s">
        <v>102</v>
      </c>
    </row>
    <row r="11" customFormat="false" ht="15" hidden="false" customHeight="false" outlineLevel="0" collapsed="false">
      <c r="A11" s="4" t="s">
        <v>103</v>
      </c>
      <c r="B11" s="5" t="s">
        <v>104</v>
      </c>
      <c r="C11" s="5" t="s">
        <v>105</v>
      </c>
    </row>
    <row r="12" customFormat="false" ht="15" hidden="false" customHeight="false" outlineLevel="0" collapsed="false">
      <c r="A12" s="4" t="s">
        <v>106</v>
      </c>
      <c r="B12" s="5" t="s">
        <v>107</v>
      </c>
      <c r="C12" s="5" t="s">
        <v>108</v>
      </c>
    </row>
    <row r="13" customFormat="false" ht="15" hidden="false" customHeight="false" outlineLevel="0" collapsed="false">
      <c r="A13" s="4" t="s">
        <v>109</v>
      </c>
      <c r="B13" s="5" t="s">
        <v>110</v>
      </c>
      <c r="C13" s="5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4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" t="s">
        <v>112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/>
    </row>
    <row r="5" customFormat="false" ht="15" hidden="false" customHeight="false" outlineLevel="0" collapsed="false">
      <c r="A5" s="3" t="s">
        <v>49</v>
      </c>
      <c r="B5" s="3" t="s">
        <v>113</v>
      </c>
      <c r="C5" s="3" t="s">
        <v>114</v>
      </c>
    </row>
    <row r="6" customFormat="false" ht="23.85" hidden="false" customHeight="false" outlineLevel="0" collapsed="false">
      <c r="A6" s="4" t="s">
        <v>115</v>
      </c>
      <c r="B6" s="5" t="s">
        <v>116</v>
      </c>
      <c r="C6" s="5" t="s">
        <v>117</v>
      </c>
    </row>
    <row r="7" customFormat="false" ht="15" hidden="false" customHeight="false" outlineLevel="0" collapsed="false">
      <c r="A7" s="4" t="s">
        <v>118</v>
      </c>
      <c r="B7" s="5" t="s">
        <v>119</v>
      </c>
      <c r="C7" s="5" t="s">
        <v>120</v>
      </c>
    </row>
    <row r="8" customFormat="false" ht="15" hidden="false" customHeight="false" outlineLevel="0" collapsed="false">
      <c r="A8" s="4" t="s">
        <v>121</v>
      </c>
      <c r="B8" s="5" t="s">
        <v>122</v>
      </c>
      <c r="C8" s="5" t="s">
        <v>123</v>
      </c>
    </row>
    <row r="9" customFormat="false" ht="15" hidden="false" customHeight="false" outlineLevel="0" collapsed="false">
      <c r="A9" s="4" t="s">
        <v>124</v>
      </c>
      <c r="B9" s="5" t="s">
        <v>125</v>
      </c>
      <c r="C9" s="5" t="s">
        <v>126</v>
      </c>
    </row>
    <row r="10" customFormat="false" ht="15" hidden="false" customHeight="false" outlineLevel="0" collapsed="false">
      <c r="A10" s="4" t="s">
        <v>73</v>
      </c>
      <c r="B10" s="5" t="s">
        <v>127</v>
      </c>
      <c r="C10" s="5" t="s">
        <v>75</v>
      </c>
    </row>
    <row r="11" customFormat="false" ht="15" hidden="false" customHeight="false" outlineLevel="0" collapsed="false">
      <c r="A11" s="4" t="s">
        <v>76</v>
      </c>
      <c r="B11" s="5" t="s">
        <v>128</v>
      </c>
      <c r="C11" s="5" t="s">
        <v>75</v>
      </c>
    </row>
    <row r="12" customFormat="false" ht="23.85" hidden="false" customHeight="false" outlineLevel="0" collapsed="false">
      <c r="A12" s="4" t="s">
        <v>79</v>
      </c>
      <c r="B12" s="5" t="s">
        <v>129</v>
      </c>
      <c r="C12" s="5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6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/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132</v>
      </c>
    </row>
    <row r="6" customFormat="false" ht="15" hidden="false" customHeight="false" outlineLevel="0" collapsed="false">
      <c r="A6" s="4" t="s">
        <v>133</v>
      </c>
      <c r="B6" s="5" t="s">
        <v>134</v>
      </c>
      <c r="C6" s="5" t="s">
        <v>135</v>
      </c>
    </row>
    <row r="7" customFormat="false" ht="15" hidden="false" customHeight="false" outlineLevel="0" collapsed="false">
      <c r="A7" s="4" t="s">
        <v>136</v>
      </c>
      <c r="B7" s="5" t="s">
        <v>137</v>
      </c>
      <c r="C7" s="5" t="s">
        <v>138</v>
      </c>
    </row>
    <row r="8" customFormat="false" ht="15" hidden="false" customHeight="false" outlineLevel="0" collapsed="false">
      <c r="A8" s="4" t="s">
        <v>139</v>
      </c>
      <c r="B8" s="5" t="s">
        <v>140</v>
      </c>
      <c r="C8" s="5" t="s">
        <v>141</v>
      </c>
    </row>
    <row r="9" customFormat="false" ht="15" hidden="false" customHeight="false" outlineLevel="0" collapsed="false">
      <c r="A9" s="4" t="s">
        <v>142</v>
      </c>
      <c r="B9" s="5" t="s">
        <v>143</v>
      </c>
      <c r="C9" s="5" t="s">
        <v>144</v>
      </c>
    </row>
    <row r="10" customFormat="false" ht="15" hidden="false" customHeight="false" outlineLevel="0" collapsed="false">
      <c r="A10" s="4" t="s">
        <v>145</v>
      </c>
      <c r="B10" s="5" t="s">
        <v>146</v>
      </c>
      <c r="C10" s="5" t="s">
        <v>147</v>
      </c>
    </row>
    <row r="11" customFormat="false" ht="23.85" hidden="false" customHeight="false" outlineLevel="0" collapsed="false">
      <c r="A11" s="4" t="s">
        <v>148</v>
      </c>
      <c r="B11" s="5" t="s">
        <v>149</v>
      </c>
      <c r="C11" s="5" t="s">
        <v>150</v>
      </c>
    </row>
    <row r="12" customFormat="false" ht="23.85" hidden="false" customHeight="false" outlineLevel="0" collapsed="false">
      <c r="A12" s="4" t="s">
        <v>151</v>
      </c>
      <c r="B12" s="5" t="s">
        <v>152</v>
      </c>
      <c r="C12" s="5" t="s">
        <v>153</v>
      </c>
    </row>
    <row r="13" customFormat="false" ht="15" hidden="false" customHeight="false" outlineLevel="0" collapsed="false">
      <c r="A13" s="4" t="s">
        <v>154</v>
      </c>
      <c r="B13" s="5" t="s">
        <v>155</v>
      </c>
      <c r="C13" s="5" t="s">
        <v>156</v>
      </c>
    </row>
    <row r="14" customFormat="false" ht="15" hidden="false" customHeight="false" outlineLevel="0" collapsed="false">
      <c r="A14" s="4" t="s">
        <v>157</v>
      </c>
      <c r="B14" s="5" t="s">
        <v>158</v>
      </c>
      <c r="C14" s="5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1" min="2" style="0" width="10"/>
  </cols>
  <sheetData>
    <row r="1" customFormat="false" ht="15" hidden="false" customHeight="false" outlineLevel="0" collapsed="false">
      <c r="A1" s="1" t="s">
        <v>160</v>
      </c>
    </row>
    <row r="2" customFormat="false" ht="15" hidden="false" customHeight="false" outlineLevel="0" collapsed="false">
      <c r="A2" s="2" t="s">
        <v>161</v>
      </c>
    </row>
    <row r="3" customFormat="false" ht="15" hidden="false" customHeight="false" outlineLevel="0" collapsed="false">
      <c r="A3" s="2" t="s">
        <v>162</v>
      </c>
    </row>
    <row r="5" customFormat="false" ht="15" hidden="false" customHeight="false" outlineLevel="0" collapsed="false">
      <c r="A5" s="3" t="s">
        <v>163</v>
      </c>
      <c r="B5" s="3" t="s">
        <v>164</v>
      </c>
      <c r="C5" s="3" t="s">
        <v>165</v>
      </c>
      <c r="D5" s="3" t="s">
        <v>166</v>
      </c>
      <c r="E5" s="3" t="s">
        <v>167</v>
      </c>
      <c r="F5" s="3" t="s">
        <v>168</v>
      </c>
      <c r="G5" s="3" t="s">
        <v>169</v>
      </c>
      <c r="H5" s="3" t="s">
        <v>170</v>
      </c>
      <c r="I5" s="3" t="s">
        <v>171</v>
      </c>
      <c r="J5" s="3" t="s">
        <v>172</v>
      </c>
      <c r="K5" s="3" t="s">
        <v>173</v>
      </c>
    </row>
    <row r="6" customFormat="false" ht="15" hidden="false" customHeight="false" outlineLevel="0" collapsed="false">
      <c r="A6" s="4" t="s">
        <v>174</v>
      </c>
      <c r="B6" s="4" t="n">
        <f aca="false">11_Results_Long!H2</f>
        <v>1994</v>
      </c>
      <c r="C6" s="4" t="n">
        <f aca="false">11_Results_Long!I2</f>
        <v>83</v>
      </c>
      <c r="D6" s="8" t="n">
        <f aca="false">11_Results_Long!K2</f>
        <v>-0.0615991565189955</v>
      </c>
      <c r="E6" s="8" t="n">
        <f aca="false">11_Results_Long!P2</f>
        <v>-0.0976039423484408</v>
      </c>
      <c r="F6" s="8" t="n">
        <f aca="false">11_Results_Long!Q2</f>
        <v>-0.0255943706895502</v>
      </c>
      <c r="G6" s="8" t="n">
        <f aca="false">IF(11_Results_Long!T2="","",11_Results_Long!T2)</f>
        <v>-0.0615213628260252</v>
      </c>
      <c r="H6" s="8" t="n">
        <f aca="false">IF(11_Results_Long!U2="","",11_Results_Long!U2)</f>
        <v>-0.097295176600782</v>
      </c>
      <c r="I6" s="8" t="n">
        <f aca="false">IF(11_Results_Long!V2="","",11_Results_Long!V2)</f>
        <v>-0.0255887834366468</v>
      </c>
      <c r="J6" s="4" t="n">
        <f aca="false">ROUND(11_Results_Long!N2,1)</f>
        <v>68.6</v>
      </c>
      <c r="K6" s="4" t="str">
        <f aca="false">IF(11_Results_Long!O2&lt;0.0001,"&lt; 0.0001",TEXT(11_Results_Long!O2,"0.0000"))</f>
        <v>0.0011</v>
      </c>
    </row>
    <row r="7" customFormat="false" ht="15" hidden="false" customHeight="false" outlineLevel="0" collapsed="false">
      <c r="A7" s="4" t="s">
        <v>175</v>
      </c>
      <c r="B7" s="4" t="n">
        <f aca="false">11_Results_Long!H3</f>
        <v>711</v>
      </c>
      <c r="C7" s="4" t="n">
        <f aca="false">11_Results_Long!I3</f>
        <v>31</v>
      </c>
      <c r="D7" s="8" t="n">
        <f aca="false">11_Results_Long!K3</f>
        <v>-0.051423249808593</v>
      </c>
      <c r="E7" s="8" t="n">
        <f aca="false">11_Results_Long!P3</f>
        <v>-0.0729869232775503</v>
      </c>
      <c r="F7" s="8" t="n">
        <f aca="false">11_Results_Long!Q3</f>
        <v>-0.0298595763396356</v>
      </c>
      <c r="G7" s="8" t="n">
        <f aca="false">IF(11_Results_Long!T3="","",11_Results_Long!T3)</f>
        <v>-0.0513779706673737</v>
      </c>
      <c r="H7" s="8" t="n">
        <f aca="false">IF(11_Results_Long!U3="","",11_Results_Long!U3)</f>
        <v>-0.0728575961854734</v>
      </c>
      <c r="I7" s="8" t="n">
        <f aca="false">IF(11_Results_Long!V3="","",11_Results_Long!V3)</f>
        <v>-0.0298507052940249</v>
      </c>
      <c r="J7" s="4" t="n">
        <f aca="false">ROUND(11_Results_Long!N3,1)</f>
        <v>19.8</v>
      </c>
      <c r="K7" s="4" t="str">
        <f aca="false">IF(11_Results_Long!O3&lt;0.0001,"&lt; 0.0001",TEXT(11_Results_Long!O3,"0.0000"))</f>
        <v>&lt; 0.0001</v>
      </c>
    </row>
    <row r="8" customFormat="false" ht="15" hidden="false" customHeight="false" outlineLevel="0" collapsed="false">
      <c r="A8" s="4" t="s">
        <v>176</v>
      </c>
      <c r="B8" s="4" t="n">
        <f aca="false">11_Results_Long!H4</f>
        <v>2705</v>
      </c>
      <c r="C8" s="4" t="n">
        <f aca="false">11_Results_Long!I4</f>
        <v>113</v>
      </c>
      <c r="D8" s="8" t="n">
        <f aca="false">11_Results_Long!K4</f>
        <v>0.0101759067104026</v>
      </c>
      <c r="E8" s="8" t="n">
        <f aca="false">11_Results_Long!P4</f>
        <v>-0.0284206311144901</v>
      </c>
      <c r="F8" s="8" t="n">
        <f aca="false">11_Results_Long!Q4</f>
        <v>0.0487724445352953</v>
      </c>
      <c r="G8" s="8" t="str">
        <f aca="false">IF(11_Results_Long!T4="","",11_Results_Long!T4)</f>
        <v/>
      </c>
      <c r="H8" s="8" t="str">
        <f aca="false">IF(11_Results_Long!U4="","",11_Results_Long!U4)</f>
        <v/>
      </c>
      <c r="I8" s="8" t="str">
        <f aca="false">IF(11_Results_Long!V4="","",11_Results_Long!V4)</f>
        <v/>
      </c>
      <c r="J8" s="4" t="n">
        <f aca="false">ROUND(11_Results_Long!N4,1)</f>
        <v>15</v>
      </c>
      <c r="K8" s="4" t="str">
        <f aca="false">IF(11_Results_Long!O4&lt;0.0001,"&lt; 0.0001",TEXT(11_Results_Long!O4,"0.0000"))</f>
        <v>0.5824</v>
      </c>
    </row>
    <row r="10" customFormat="false" ht="15" hidden="false" customHeight="false" outlineLevel="0" collapsed="false">
      <c r="A10" s="9" t="s">
        <v>177</v>
      </c>
    </row>
    <row r="11" customFormat="false" ht="57.45" hidden="false" customHeight="false" outlineLevel="0" collapsed="false">
      <c r="A11" s="10" t="s">
        <v>178</v>
      </c>
    </row>
    <row r="12" customFormat="false" ht="102.2" hidden="false" customHeight="false" outlineLevel="0" collapsed="false">
      <c r="A12" s="10" t="s">
        <v>179</v>
      </c>
    </row>
    <row r="13" customFormat="false" ht="102.2" hidden="false" customHeight="false" outlineLevel="0" collapsed="false">
      <c r="A13" s="10" t="s">
        <v>180</v>
      </c>
    </row>
    <row r="14" customFormat="false" ht="113.4" hidden="false" customHeight="false" outlineLevel="0" collapsed="false">
      <c r="A14" s="10" t="s">
        <v>181</v>
      </c>
    </row>
    <row r="16" customFormat="false" ht="15" hidden="false" customHeight="false" outlineLevel="0" collapsed="false">
      <c r="A16" s="3" t="s">
        <v>182</v>
      </c>
      <c r="B16" s="3" t="s">
        <v>183</v>
      </c>
    </row>
    <row r="17" customFormat="false" ht="270.1" hidden="false" customHeight="false" outlineLevel="0" collapsed="false">
      <c r="A17" s="5" t="s">
        <v>184</v>
      </c>
      <c r="B17" s="5" t="s">
        <v>185</v>
      </c>
    </row>
    <row r="18" customFormat="false" ht="326.1" hidden="false" customHeight="false" outlineLevel="0" collapsed="false">
      <c r="A18" s="5" t="s">
        <v>186</v>
      </c>
      <c r="B18" s="5" t="s">
        <v>187</v>
      </c>
    </row>
    <row r="19" customFormat="false" ht="214.15" hidden="false" customHeight="false" outlineLevel="0" collapsed="false">
      <c r="A19" s="5" t="s">
        <v>188</v>
      </c>
      <c r="B19" s="5" t="s">
        <v>189</v>
      </c>
    </row>
    <row r="21" customFormat="false" ht="79.85" hidden="false" customHeight="false" outlineLevel="0" collapsed="false">
      <c r="A21" s="11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9" min="3" style="0" width="10"/>
    <col collapsed="false" customWidth="true" hidden="false" outlineLevel="0" max="10" min="10" style="0" width="20"/>
  </cols>
  <sheetData>
    <row r="1" customFormat="false" ht="15" hidden="false" customHeight="false" outlineLevel="0" collapsed="false">
      <c r="A1" s="1" t="s">
        <v>191</v>
      </c>
    </row>
    <row r="2" customFormat="false" ht="15" hidden="false" customHeight="false" outlineLevel="0" collapsed="false">
      <c r="A2" s="2" t="s">
        <v>192</v>
      </c>
    </row>
    <row r="3" customFormat="false" ht="15" hidden="false" customHeight="false" outlineLevel="0" collapsed="false">
      <c r="A3" s="2" t="s">
        <v>193</v>
      </c>
    </row>
    <row r="5" customFormat="false" ht="15" hidden="false" customHeight="false" outlineLevel="0" collapsed="false">
      <c r="A5" s="3" t="s">
        <v>139</v>
      </c>
      <c r="B5" s="3" t="s">
        <v>194</v>
      </c>
      <c r="C5" s="3" t="s">
        <v>195</v>
      </c>
      <c r="D5" s="3" t="s">
        <v>196</v>
      </c>
      <c r="E5" s="3" t="s">
        <v>197</v>
      </c>
      <c r="F5" s="3" t="s">
        <v>167</v>
      </c>
      <c r="G5" s="3" t="s">
        <v>168</v>
      </c>
      <c r="H5" s="3" t="s">
        <v>172</v>
      </c>
      <c r="I5" s="3" t="s">
        <v>173</v>
      </c>
      <c r="J5" s="3" t="s">
        <v>198</v>
      </c>
    </row>
    <row r="6" customFormat="false" ht="15" hidden="false" customHeight="false" outlineLevel="0" collapsed="false">
      <c r="A6" s="4" t="s">
        <v>199</v>
      </c>
      <c r="B6" s="4" t="s">
        <v>200</v>
      </c>
      <c r="C6" s="4" t="n">
        <f aca="false">11_Results_Long!H2</f>
        <v>1994</v>
      </c>
      <c r="D6" s="4" t="n">
        <f aca="false">11_Results_Long!H3</f>
        <v>711</v>
      </c>
      <c r="E6" s="12" t="n">
        <f aca="false">11_Results_Long!K4</f>
        <v>0.0101759067104026</v>
      </c>
      <c r="F6" s="12" t="n">
        <f aca="false">11_Results_Long!P4</f>
        <v>-0.0284206311144901</v>
      </c>
      <c r="G6" s="12" t="n">
        <f aca="false">11_Results_Long!Q4</f>
        <v>0.0487724445352953</v>
      </c>
      <c r="H6" s="4" t="n">
        <f aca="false">ROUND(11_Results_Long!N4,1)</f>
        <v>15</v>
      </c>
      <c r="I6" s="4" t="str">
        <f aca="false">TEXT(11_Results_Long!O4,"0.000")</f>
        <v>0.582</v>
      </c>
      <c r="J6" s="4" t="s">
        <v>201</v>
      </c>
    </row>
    <row r="7" customFormat="false" ht="15" hidden="false" customHeight="false" outlineLevel="0" collapsed="false">
      <c r="A7" s="4" t="s">
        <v>202</v>
      </c>
      <c r="B7" s="4" t="s">
        <v>203</v>
      </c>
      <c r="C7" s="4" t="n">
        <f aca="false">11_Results_Long!H5</f>
        <v>2073</v>
      </c>
      <c r="D7" s="4" t="n">
        <f aca="false">11_Results_Long!H6</f>
        <v>632</v>
      </c>
      <c r="E7" s="12" t="n">
        <f aca="false">11_Results_Long!K7</f>
        <v>0.00980554090070676</v>
      </c>
      <c r="F7" s="12" t="n">
        <f aca="false">11_Results_Long!P7</f>
        <v>-0.0287720664658283</v>
      </c>
      <c r="G7" s="12" t="n">
        <f aca="false">11_Results_Long!Q7</f>
        <v>0.0483831482672418</v>
      </c>
      <c r="H7" s="4" t="n">
        <f aca="false">ROUND(11_Results_Long!N7,1)</f>
        <v>12.3</v>
      </c>
      <c r="I7" s="4" t="str">
        <f aca="false">TEXT(11_Results_Long!O7,"0.000")</f>
        <v>0.591</v>
      </c>
      <c r="J7" s="4" t="s">
        <v>201</v>
      </c>
    </row>
    <row r="8" customFormat="false" ht="15" hidden="false" customHeight="false" outlineLevel="0" collapsed="false">
      <c r="A8" s="4" t="s">
        <v>204</v>
      </c>
      <c r="B8" s="4" t="s">
        <v>205</v>
      </c>
      <c r="C8" s="4" t="n">
        <f aca="false">11_Results_Long!H8</f>
        <v>611</v>
      </c>
      <c r="D8" s="4" t="n">
        <f aca="false">11_Results_Long!H9</f>
        <v>2094</v>
      </c>
      <c r="E8" s="12" t="n">
        <f aca="false">11_Results_Long!K10</f>
        <v>-0.0194034552449364</v>
      </c>
      <c r="F8" s="12" t="n">
        <f aca="false">11_Results_Long!P10</f>
        <v>-0.0616573866283337</v>
      </c>
      <c r="G8" s="12" t="n">
        <f aca="false">11_Results_Long!Q10</f>
        <v>0.0228504761384608</v>
      </c>
      <c r="H8" s="4" t="n">
        <f aca="false">ROUND(11_Results_Long!N10,1)</f>
        <v>41.6</v>
      </c>
      <c r="I8" s="4" t="str">
        <f aca="false">TEXT(11_Results_Long!O10,"0.000")</f>
        <v>0.359</v>
      </c>
      <c r="J8" s="4" t="s">
        <v>201</v>
      </c>
    </row>
    <row r="9" customFormat="false" ht="15" hidden="false" customHeight="false" outlineLevel="0" collapsed="false">
      <c r="A9" s="4" t="s">
        <v>206</v>
      </c>
      <c r="B9" s="4" t="s">
        <v>207</v>
      </c>
      <c r="C9" s="4" t="n">
        <f aca="false">11_Results_Long!H11</f>
        <v>2082</v>
      </c>
      <c r="D9" s="4" t="n">
        <f aca="false">11_Results_Long!H12</f>
        <v>623</v>
      </c>
      <c r="E9" s="12" t="n">
        <f aca="false">11_Results_Long!K13</f>
        <v>0.00803406938025233</v>
      </c>
      <c r="F9" s="12" t="n">
        <f aca="false">11_Results_Long!P13</f>
        <v>-0.0316498941585884</v>
      </c>
      <c r="G9" s="12" t="n">
        <f aca="false">11_Results_Long!Q13</f>
        <v>0.0477180329190931</v>
      </c>
      <c r="H9" s="4" t="n">
        <f aca="false">ROUND(11_Results_Long!N13,1)</f>
        <v>10.9</v>
      </c>
      <c r="I9" s="4" t="str">
        <f aca="false">TEXT(11_Results_Long!O13,"0.000")</f>
        <v>0.664</v>
      </c>
      <c r="J9" s="4" t="s">
        <v>201</v>
      </c>
    </row>
    <row r="10" customFormat="false" ht="15" hidden="false" customHeight="false" outlineLevel="0" collapsed="false">
      <c r="A10" s="4" t="s">
        <v>208</v>
      </c>
      <c r="B10" s="4" t="s">
        <v>207</v>
      </c>
      <c r="C10" s="4" t="n">
        <f aca="false">11_Results_Long!H14</f>
        <v>2199</v>
      </c>
      <c r="D10" s="4" t="n">
        <f aca="false">11_Results_Long!H15</f>
        <v>506</v>
      </c>
      <c r="E10" s="12" t="n">
        <f aca="false">11_Results_Long!K16</f>
        <v>0.00312304259512057</v>
      </c>
      <c r="F10" s="12" t="n">
        <f aca="false">11_Results_Long!P16</f>
        <v>-0.0434597701736126</v>
      </c>
      <c r="G10" s="12" t="n">
        <f aca="false">11_Results_Long!Q16</f>
        <v>0.0497058553638537</v>
      </c>
      <c r="H10" s="4" t="n">
        <f aca="false">ROUND(11_Results_Long!N16,1)</f>
        <v>18.8</v>
      </c>
      <c r="I10" s="4" t="str">
        <f aca="false">TEXT(11_Results_Long!O16,"0.000")</f>
        <v>0.890</v>
      </c>
      <c r="J10" s="4" t="s">
        <v>201</v>
      </c>
    </row>
    <row r="11" customFormat="false" ht="15" hidden="false" customHeight="false" outlineLevel="0" collapsed="false">
      <c r="A11" s="4" t="s">
        <v>209</v>
      </c>
      <c r="B11" s="4" t="s">
        <v>207</v>
      </c>
      <c r="C11" s="4" t="n">
        <f aca="false">11_Results_Long!H17</f>
        <v>2382</v>
      </c>
      <c r="D11" s="4" t="n">
        <f aca="false">11_Results_Long!H18</f>
        <v>323</v>
      </c>
      <c r="E11" s="12" t="n">
        <f aca="false">11_Results_Long!K19</f>
        <v>0.0042056665621965</v>
      </c>
      <c r="F11" s="12" t="n">
        <f aca="false">11_Results_Long!P19</f>
        <v>-0.0442369541248785</v>
      </c>
      <c r="G11" s="12" t="n">
        <f aca="false">11_Results_Long!Q19</f>
        <v>0.0526482872492715</v>
      </c>
      <c r="H11" s="4" t="n">
        <f aca="false">ROUND(11_Results_Long!N19,1)</f>
        <v>15.4</v>
      </c>
      <c r="I11" s="4" t="str">
        <f aca="false">TEXT(11_Results_Long!O19,"0.000")</f>
        <v>0.856</v>
      </c>
      <c r="J11" s="4" t="s">
        <v>201</v>
      </c>
    </row>
    <row r="12" customFormat="false" ht="15" hidden="false" customHeight="false" outlineLevel="0" collapsed="false">
      <c r="A12" s="4" t="s">
        <v>210</v>
      </c>
      <c r="B12" s="4" t="s">
        <v>211</v>
      </c>
      <c r="C12" s="4" t="n">
        <f aca="false">11_Results_Long!H20</f>
        <v>835</v>
      </c>
      <c r="D12" s="4" t="n">
        <f aca="false">11_Results_Long!H21</f>
        <v>1870</v>
      </c>
      <c r="E12" s="12" t="n">
        <f aca="false">11_Results_Long!K22</f>
        <v>-0.00636445665690057</v>
      </c>
      <c r="F12" s="12" t="n">
        <f aca="false">11_Results_Long!P22</f>
        <v>-0.0497264895452708</v>
      </c>
      <c r="G12" s="12" t="n">
        <f aca="false">11_Results_Long!Q22</f>
        <v>0.0369975762314697</v>
      </c>
      <c r="H12" s="4" t="n">
        <f aca="false">ROUND(11_Results_Long!N22,1)</f>
        <v>17.8</v>
      </c>
      <c r="I12" s="4" t="str">
        <f aca="false">TEXT(11_Results_Long!O22,"0.000")</f>
        <v>0.761</v>
      </c>
      <c r="J12" s="4" t="s">
        <v>212</v>
      </c>
    </row>
    <row r="13" customFormat="false" ht="15" hidden="false" customHeight="false" outlineLevel="0" collapsed="false">
      <c r="A13" s="4" t="s">
        <v>213</v>
      </c>
      <c r="B13" s="4" t="s">
        <v>211</v>
      </c>
      <c r="C13" s="4" t="n">
        <f aca="false">11_Results_Long!H23</f>
        <v>958</v>
      </c>
      <c r="D13" s="4" t="n">
        <f aca="false">11_Results_Long!H24</f>
        <v>1747</v>
      </c>
      <c r="E13" s="12" t="n">
        <f aca="false">11_Results_Long!K25</f>
        <v>0.0397895553527688</v>
      </c>
      <c r="F13" s="12" t="n">
        <f aca="false">11_Results_Long!P25</f>
        <v>-0.0144215940460245</v>
      </c>
      <c r="G13" s="12" t="n">
        <f aca="false">11_Results_Long!Q25</f>
        <v>0.0940007047515621</v>
      </c>
      <c r="H13" s="4" t="n">
        <f aca="false">ROUND(11_Results_Long!N25,1)</f>
        <v>22</v>
      </c>
      <c r="I13" s="4" t="str">
        <f aca="false">TEXT(11_Results_Long!O25,"0.000")</f>
        <v>0.142</v>
      </c>
      <c r="J13" s="4" t="s">
        <v>212</v>
      </c>
    </row>
    <row r="14" customFormat="false" ht="15" hidden="false" customHeight="false" outlineLevel="0" collapsed="false">
      <c r="A14" s="4" t="s">
        <v>214</v>
      </c>
      <c r="B14" s="4" t="s">
        <v>211</v>
      </c>
      <c r="C14" s="4" t="n">
        <f aca="false">11_Results_Long!H26</f>
        <v>1292</v>
      </c>
      <c r="D14" s="4" t="n">
        <f aca="false">11_Results_Long!H27</f>
        <v>1413</v>
      </c>
      <c r="E14" s="12" t="n">
        <f aca="false">11_Results_Long!K28</f>
        <v>0.0213188918890692</v>
      </c>
      <c r="F14" s="12" t="n">
        <f aca="false">11_Results_Long!P28</f>
        <v>-0.0237788111571785</v>
      </c>
      <c r="G14" s="12" t="n">
        <f aca="false">11_Results_Long!Q28</f>
        <v>0.0664165949353169</v>
      </c>
      <c r="H14" s="4" t="n">
        <f aca="false">ROUND(11_Results_Long!N28,1)</f>
        <v>22.3</v>
      </c>
      <c r="I14" s="4" t="str">
        <f aca="false">TEXT(11_Results_Long!O28,"0.000")</f>
        <v>0.338</v>
      </c>
      <c r="J14" s="4" t="s">
        <v>212</v>
      </c>
    </row>
    <row r="15" customFormat="false" ht="15" hidden="false" customHeight="false" outlineLevel="0" collapsed="false">
      <c r="A15" s="4" t="s">
        <v>215</v>
      </c>
      <c r="B15" s="4" t="s">
        <v>216</v>
      </c>
      <c r="C15" s="4" t="n">
        <f aca="false">11_Results_Long!H29</f>
        <v>611</v>
      </c>
      <c r="D15" s="4" t="n">
        <f aca="false">11_Results_Long!H30</f>
        <v>318</v>
      </c>
      <c r="E15" s="12" t="n">
        <f aca="false">11_Results_Long!K31</f>
        <v>-0.0129210003638893</v>
      </c>
      <c r="F15" s="12" t="n">
        <f aca="false">11_Results_Long!P31</f>
        <v>-0.0487348936920739</v>
      </c>
      <c r="G15" s="12" t="n">
        <f aca="false">11_Results_Long!Q31</f>
        <v>0.0228928929642952</v>
      </c>
      <c r="H15" s="4" t="n">
        <f aca="false">ROUND(11_Results_Long!N31,1)</f>
        <v>23.5</v>
      </c>
      <c r="I15" s="4" t="str">
        <f aca="false">TEXT(11_Results_Long!O31,"0.000")</f>
        <v>0.463</v>
      </c>
      <c r="J15" s="4" t="s">
        <v>201</v>
      </c>
    </row>
    <row r="17" customFormat="false" ht="15" hidden="false" customHeight="false" outlineLevel="0" collapsed="false">
      <c r="A17" s="9" t="s">
        <v>177</v>
      </c>
    </row>
    <row r="18" customFormat="false" ht="68.65" hidden="false" customHeight="false" outlineLevel="0" collapsed="false">
      <c r="A18" s="10" t="s">
        <v>217</v>
      </c>
    </row>
    <row r="19" customFormat="false" ht="68.65" hidden="false" customHeight="false" outlineLevel="0" collapsed="false">
      <c r="A19" s="10" t="s">
        <v>218</v>
      </c>
    </row>
    <row r="20" customFormat="false" ht="135.8" hidden="false" customHeight="false" outlineLevel="0" collapsed="false">
      <c r="A20" s="10" t="s">
        <v>219</v>
      </c>
    </row>
    <row r="21" customFormat="false" ht="102.2" hidden="false" customHeight="false" outlineLevel="0" collapsed="false">
      <c r="A21" s="10" t="s">
        <v>220</v>
      </c>
    </row>
    <row r="23" customFormat="false" ht="15" hidden="false" customHeight="false" outlineLevel="0" collapsed="false">
      <c r="A23" s="3" t="s">
        <v>182</v>
      </c>
      <c r="B23" s="3" t="s">
        <v>183</v>
      </c>
    </row>
    <row r="24" customFormat="false" ht="102.2" hidden="false" customHeight="false" outlineLevel="0" collapsed="false">
      <c r="A24" s="5" t="s">
        <v>221</v>
      </c>
      <c r="B24" s="5" t="s">
        <v>222</v>
      </c>
    </row>
    <row r="25" customFormat="false" ht="113.4" hidden="false" customHeight="false" outlineLevel="0" collapsed="false">
      <c r="A25" s="5" t="s">
        <v>223</v>
      </c>
      <c r="B25" s="5" t="s">
        <v>224</v>
      </c>
    </row>
    <row r="27" customFormat="false" ht="91" hidden="false" customHeight="false" outlineLevel="0" collapsed="false">
      <c r="A27" s="11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1"/>
  </cols>
  <sheetData>
    <row r="1" customFormat="false" ht="15" hidden="false" customHeight="false" outlineLevel="0" collapsed="false">
      <c r="A1" s="1" t="s">
        <v>226</v>
      </c>
    </row>
    <row r="2" customFormat="false" ht="15" hidden="false" customHeight="false" outlineLevel="0" collapsed="false">
      <c r="A2" s="2" t="s">
        <v>227</v>
      </c>
    </row>
    <row r="3" customFormat="false" ht="15" hidden="false" customHeight="false" outlineLevel="0" collapsed="false">
      <c r="A3" s="2" t="s">
        <v>228</v>
      </c>
    </row>
    <row r="5" customFormat="false" ht="15" hidden="false" customHeight="false" outlineLevel="0" collapsed="false">
      <c r="A5" s="3" t="s">
        <v>229</v>
      </c>
      <c r="B5" s="3" t="s">
        <v>197</v>
      </c>
      <c r="C5" s="3" t="s">
        <v>167</v>
      </c>
      <c r="D5" s="3" t="s">
        <v>168</v>
      </c>
      <c r="E5" s="3" t="s">
        <v>172</v>
      </c>
      <c r="F5" s="3" t="s">
        <v>173</v>
      </c>
      <c r="G5" s="3" t="s">
        <v>230</v>
      </c>
    </row>
    <row r="6" customFormat="false" ht="15" hidden="false" customHeight="false" outlineLevel="0" collapsed="false">
      <c r="A6" s="4" t="s">
        <v>231</v>
      </c>
      <c r="B6" s="12" t="n">
        <f aca="false">11_Results_Long!K32</f>
        <v>0.00964641430395397</v>
      </c>
      <c r="C6" s="12" t="n">
        <f aca="false">11_Results_Long!P32</f>
        <v>-0.0294212558646519</v>
      </c>
      <c r="D6" s="12" t="n">
        <f aca="false">11_Results_Long!Q32</f>
        <v>0.0487140844725599</v>
      </c>
      <c r="E6" s="4" t="n">
        <f aca="false">ROUND(11_Results_Long!N32,1)</f>
        <v>14.3</v>
      </c>
      <c r="F6" s="4" t="str">
        <f aca="false">TEXT(11_Results_Long!O32,"0.000")</f>
        <v>0.605</v>
      </c>
      <c r="G6" s="4" t="n">
        <f aca="false">11_Results_Long!H32</f>
        <v>2696</v>
      </c>
    </row>
    <row r="7" customFormat="false" ht="15" hidden="false" customHeight="false" outlineLevel="0" collapsed="false">
      <c r="A7" s="4" t="s">
        <v>232</v>
      </c>
      <c r="B7" s="12" t="n">
        <f aca="false">11_Results_Long!K33</f>
        <v>0.0106730226250106</v>
      </c>
      <c r="C7" s="12" t="n">
        <f aca="false">11_Results_Long!P33</f>
        <v>-0.0281996101660449</v>
      </c>
      <c r="D7" s="12" t="n">
        <f aca="false">11_Results_Long!Q33</f>
        <v>0.0495456554160662</v>
      </c>
      <c r="E7" s="4" t="n">
        <f aca="false">ROUND(11_Results_Long!N33,1)</f>
        <v>14.2</v>
      </c>
      <c r="F7" s="4" t="str">
        <f aca="false">TEXT(11_Results_Long!O33,"0.000")</f>
        <v>0.566</v>
      </c>
      <c r="G7" s="4" t="n">
        <f aca="false">11_Results_Long!H33</f>
        <v>2689</v>
      </c>
    </row>
    <row r="8" customFormat="false" ht="15" hidden="false" customHeight="false" outlineLevel="0" collapsed="false">
      <c r="A8" s="4" t="s">
        <v>233</v>
      </c>
      <c r="B8" s="12" t="n">
        <f aca="false">11_Results_Long!K34</f>
        <v>0.00905854538060258</v>
      </c>
      <c r="C8" s="12" t="n">
        <f aca="false">11_Results_Long!P34</f>
        <v>-0.0298723675305843</v>
      </c>
      <c r="D8" s="12" t="n">
        <f aca="false">11_Results_Long!Q34</f>
        <v>0.0479894582917895</v>
      </c>
      <c r="E8" s="4" t="n">
        <f aca="false">ROUND(11_Results_Long!N34,1)</f>
        <v>15</v>
      </c>
      <c r="F8" s="4" t="str">
        <f aca="false">TEXT(11_Results_Long!O34,"0.000")</f>
        <v>0.627</v>
      </c>
      <c r="G8" s="4" t="n">
        <f aca="false">11_Results_Long!H34</f>
        <v>2623</v>
      </c>
    </row>
    <row r="9" customFormat="false" ht="15" hidden="false" customHeight="false" outlineLevel="0" collapsed="false">
      <c r="A9" s="4" t="s">
        <v>234</v>
      </c>
      <c r="B9" s="12" t="n">
        <f aca="false">11_Results_Long!K35</f>
        <v>0.00886870503507645</v>
      </c>
      <c r="C9" s="12" t="n">
        <f aca="false">11_Results_Long!P35</f>
        <v>-0.0301341035880413</v>
      </c>
      <c r="D9" s="12" t="n">
        <f aca="false">11_Results_Long!Q35</f>
        <v>0.0478715136581942</v>
      </c>
      <c r="E9" s="4" t="n">
        <f aca="false">ROUND(11_Results_Long!N35,1)</f>
        <v>14.8</v>
      </c>
      <c r="F9" s="4" t="str">
        <f aca="false">TEXT(11_Results_Long!O35,"0.000")</f>
        <v>0.635</v>
      </c>
      <c r="G9" s="4" t="n">
        <f aca="false">11_Results_Long!H35</f>
        <v>2644</v>
      </c>
    </row>
    <row r="10" customFormat="false" ht="15" hidden="false" customHeight="false" outlineLevel="0" collapsed="false">
      <c r="A10" s="4" t="s">
        <v>235</v>
      </c>
      <c r="B10" s="12" t="n">
        <f aca="false">11_Results_Long!K36</f>
        <v>0.010437519061196</v>
      </c>
      <c r="C10" s="12" t="n">
        <f aca="false">11_Results_Long!P36</f>
        <v>-0.0284751679311248</v>
      </c>
      <c r="D10" s="12" t="n">
        <f aca="false">11_Results_Long!Q36</f>
        <v>0.0493502060535167</v>
      </c>
      <c r="E10" s="4" t="n">
        <f aca="false">ROUND(11_Results_Long!N36,1)</f>
        <v>14.3</v>
      </c>
      <c r="F10" s="4" t="str">
        <f aca="false">TEXT(11_Results_Long!O36,"0.000")</f>
        <v>0.575</v>
      </c>
      <c r="G10" s="4" t="n">
        <f aca="false">11_Results_Long!H36</f>
        <v>2689</v>
      </c>
    </row>
    <row r="11" customFormat="false" ht="15" hidden="false" customHeight="false" outlineLevel="0" collapsed="false">
      <c r="A11" s="4" t="s">
        <v>236</v>
      </c>
      <c r="B11" s="12" t="n">
        <f aca="false">11_Results_Long!K37</f>
        <v>0.0137190761662608</v>
      </c>
      <c r="C11" s="12" t="n">
        <f aca="false">11_Results_Long!P37</f>
        <v>-0.0237867813998588</v>
      </c>
      <c r="D11" s="12" t="n">
        <f aca="false">11_Results_Long!Q37</f>
        <v>0.0512249337323804</v>
      </c>
      <c r="E11" s="4" t="n">
        <f aca="false">ROUND(11_Results_Long!N37,1)</f>
        <v>14.2</v>
      </c>
      <c r="F11" s="4" t="str">
        <f aca="false">TEXT(11_Results_Long!O37,"0.000")</f>
        <v>0.446</v>
      </c>
      <c r="G11" s="4" t="n">
        <f aca="false">11_Results_Long!H37</f>
        <v>2693</v>
      </c>
    </row>
    <row r="12" customFormat="false" ht="15" hidden="false" customHeight="false" outlineLevel="0" collapsed="false">
      <c r="A12" s="4" t="s">
        <v>237</v>
      </c>
      <c r="B12" s="12" t="n">
        <f aca="false">11_Results_Long!K38</f>
        <v>0.00980084891792457</v>
      </c>
      <c r="C12" s="12" t="n">
        <f aca="false">11_Results_Long!P38</f>
        <v>-0.029288260336498</v>
      </c>
      <c r="D12" s="12" t="n">
        <f aca="false">11_Results_Long!Q38</f>
        <v>0.0488899581723472</v>
      </c>
      <c r="E12" s="4" t="n">
        <f aca="false">ROUND(11_Results_Long!N38,1)</f>
        <v>14.1</v>
      </c>
      <c r="F12" s="4" t="str">
        <f aca="false">TEXT(11_Results_Long!O38,"0.000")</f>
        <v>0.599</v>
      </c>
      <c r="G12" s="4" t="n">
        <f aca="false">11_Results_Long!H38</f>
        <v>2685</v>
      </c>
    </row>
    <row r="13" customFormat="false" ht="15" hidden="false" customHeight="false" outlineLevel="0" collapsed="false">
      <c r="A13" s="4" t="s">
        <v>238</v>
      </c>
      <c r="B13" s="12" t="n">
        <f aca="false">11_Results_Long!K39</f>
        <v>0.00856964259847162</v>
      </c>
      <c r="C13" s="12" t="n">
        <f aca="false">11_Results_Long!P39</f>
        <v>-0.0305265178355484</v>
      </c>
      <c r="D13" s="12" t="n">
        <f aca="false">11_Results_Long!Q39</f>
        <v>0.0476658030324916</v>
      </c>
      <c r="E13" s="4" t="n">
        <f aca="false">ROUND(11_Results_Long!N39,1)</f>
        <v>14.4</v>
      </c>
      <c r="F13" s="4" t="str">
        <f aca="false">TEXT(11_Results_Long!O39,"0.000")</f>
        <v>0.646</v>
      </c>
      <c r="G13" s="4" t="n">
        <f aca="false">11_Results_Long!H39</f>
        <v>2703</v>
      </c>
    </row>
    <row r="14" customFormat="false" ht="15" hidden="false" customHeight="false" outlineLevel="0" collapsed="false">
      <c r="A14" s="4" t="s">
        <v>239</v>
      </c>
      <c r="B14" s="12" t="n">
        <f aca="false">11_Results_Long!K40</f>
        <v>0.00854624384390218</v>
      </c>
      <c r="C14" s="12" t="n">
        <f aca="false">11_Results_Long!P40</f>
        <v>-0.0306020443636433</v>
      </c>
      <c r="D14" s="12" t="n">
        <f aca="false">11_Results_Long!Q40</f>
        <v>0.0476945320514477</v>
      </c>
      <c r="E14" s="4" t="n">
        <f aca="false">ROUND(11_Results_Long!N40,1)</f>
        <v>14.3</v>
      </c>
      <c r="F14" s="4" t="str">
        <f aca="false">TEXT(11_Results_Long!O40,"0.000")</f>
        <v>0.647</v>
      </c>
      <c r="G14" s="4" t="n">
        <f aca="false">11_Results_Long!H40</f>
        <v>2675</v>
      </c>
    </row>
    <row r="15" customFormat="false" ht="15" hidden="false" customHeight="false" outlineLevel="0" collapsed="false">
      <c r="A15" s="4" t="s">
        <v>240</v>
      </c>
      <c r="B15" s="12" t="n">
        <f aca="false">11_Results_Long!K41</f>
        <v>0.00995248651369807</v>
      </c>
      <c r="C15" s="12" t="n">
        <f aca="false">11_Results_Long!P41</f>
        <v>-0.0290507341777873</v>
      </c>
      <c r="D15" s="12" t="n">
        <f aca="false">11_Results_Long!Q41</f>
        <v>0.0489557072051835</v>
      </c>
      <c r="E15" s="4" t="n">
        <f aca="false">ROUND(11_Results_Long!N41,1)</f>
        <v>14.3</v>
      </c>
      <c r="F15" s="4" t="str">
        <f aca="false">TEXT(11_Results_Long!O41,"0.000")</f>
        <v>0.593</v>
      </c>
      <c r="G15" s="4" t="n">
        <f aca="false">11_Results_Long!H41</f>
        <v>2688</v>
      </c>
    </row>
    <row r="16" customFormat="false" ht="15" hidden="false" customHeight="false" outlineLevel="0" collapsed="false">
      <c r="A16" s="4" t="s">
        <v>241</v>
      </c>
      <c r="B16" s="12" t="n">
        <f aca="false">11_Results_Long!K42</f>
        <v>0.0090944895555471</v>
      </c>
      <c r="C16" s="12" t="n">
        <f aca="false">11_Results_Long!P42</f>
        <v>-0.0299652910971394</v>
      </c>
      <c r="D16" s="12" t="n">
        <f aca="false">11_Results_Long!Q42</f>
        <v>0.0481542702082336</v>
      </c>
      <c r="E16" s="4" t="n">
        <f aca="false">ROUND(11_Results_Long!N42,1)</f>
        <v>14.5</v>
      </c>
      <c r="F16" s="4" t="str">
        <f aca="false">TEXT(11_Results_Long!O42,"0.000")</f>
        <v>0.626</v>
      </c>
      <c r="G16" s="4" t="n">
        <f aca="false">11_Results_Long!H42</f>
        <v>2667</v>
      </c>
    </row>
    <row r="17" customFormat="false" ht="15" hidden="false" customHeight="false" outlineLevel="0" collapsed="false">
      <c r="A17" s="4" t="s">
        <v>242</v>
      </c>
      <c r="B17" s="12" t="n">
        <f aca="false">11_Results_Long!K43</f>
        <v>0.0124797999767206</v>
      </c>
      <c r="C17" s="12" t="n">
        <f aca="false">11_Results_Long!P43</f>
        <v>-0.0258105981422045</v>
      </c>
      <c r="D17" s="12" t="n">
        <f aca="false">11_Results_Long!Q43</f>
        <v>0.0507701980956457</v>
      </c>
      <c r="E17" s="4" t="n">
        <f aca="false">ROUND(11_Results_Long!N43,1)</f>
        <v>14</v>
      </c>
      <c r="F17" s="4" t="str">
        <f aca="false">TEXT(11_Results_Long!O43,"0.000")</f>
        <v>0.496</v>
      </c>
      <c r="G17" s="4" t="n">
        <f aca="false">11_Results_Long!H43</f>
        <v>2700</v>
      </c>
    </row>
    <row r="18" customFormat="false" ht="15" hidden="false" customHeight="false" outlineLevel="0" collapsed="false">
      <c r="A18" s="4" t="s">
        <v>243</v>
      </c>
      <c r="B18" s="12" t="n">
        <f aca="false">11_Results_Long!K44</f>
        <v>0.0102402176833511</v>
      </c>
      <c r="C18" s="12" t="n">
        <f aca="false">11_Results_Long!P44</f>
        <v>-0.0288024793616017</v>
      </c>
      <c r="D18" s="12" t="n">
        <f aca="false">11_Results_Long!Q44</f>
        <v>0.0492829147283038</v>
      </c>
      <c r="E18" s="4" t="n">
        <f aca="false">ROUND(11_Results_Long!N44,1)</f>
        <v>14</v>
      </c>
      <c r="F18" s="4" t="str">
        <f aca="false">TEXT(11_Results_Long!O44,"0.000")</f>
        <v>0.583</v>
      </c>
      <c r="G18" s="4" t="n">
        <f aca="false">11_Results_Long!H44</f>
        <v>2684</v>
      </c>
    </row>
    <row r="19" customFormat="false" ht="15" hidden="false" customHeight="false" outlineLevel="0" collapsed="false">
      <c r="A19" s="4" t="s">
        <v>244</v>
      </c>
      <c r="B19" s="12" t="n">
        <f aca="false">11_Results_Long!K45</f>
        <v>0.00233579241078983</v>
      </c>
      <c r="C19" s="12" t="n">
        <f aca="false">11_Results_Long!P45</f>
        <v>-0.0414379150926672</v>
      </c>
      <c r="D19" s="12" t="n">
        <f aca="false">11_Results_Long!Q45</f>
        <v>0.0461094999142469</v>
      </c>
      <c r="E19" s="4" t="n">
        <f aca="false">ROUND(11_Results_Long!N45,1)</f>
        <v>51.9</v>
      </c>
      <c r="F19" s="4" t="str">
        <f aca="false">TEXT(11_Results_Long!O45,"0.000")</f>
        <v>0.915</v>
      </c>
      <c r="G19" s="4" t="n">
        <f aca="false">11_Results_Long!H45</f>
        <v>2688</v>
      </c>
    </row>
    <row r="20" customFormat="false" ht="15" hidden="false" customHeight="false" outlineLevel="0" collapsed="false">
      <c r="A20" s="4" t="s">
        <v>245</v>
      </c>
      <c r="B20" s="12" t="n">
        <f aca="false">11_Results_Long!K46</f>
        <v>0.0101029160291405</v>
      </c>
      <c r="C20" s="12" t="n">
        <f aca="false">11_Results_Long!P46</f>
        <v>-0.0288476474845802</v>
      </c>
      <c r="D20" s="12" t="n">
        <f aca="false">11_Results_Long!Q46</f>
        <v>0.0490534795428612</v>
      </c>
      <c r="E20" s="4" t="n">
        <f aca="false">ROUND(11_Results_Long!N46,1)</f>
        <v>14.4</v>
      </c>
      <c r="F20" s="4" t="str">
        <f aca="false">TEXT(11_Results_Long!O46,"0.000")</f>
        <v>0.588</v>
      </c>
      <c r="G20" s="4" t="n">
        <f aca="false">11_Results_Long!H46</f>
        <v>2676</v>
      </c>
    </row>
    <row r="21" customFormat="false" ht="15" hidden="false" customHeight="false" outlineLevel="0" collapsed="false">
      <c r="A21" s="4" t="s">
        <v>246</v>
      </c>
      <c r="B21" s="12" t="n">
        <f aca="false">11_Results_Long!K47</f>
        <v>0.0097609774233954</v>
      </c>
      <c r="C21" s="12" t="n">
        <f aca="false">11_Results_Long!P47</f>
        <v>-0.029287618985256</v>
      </c>
      <c r="D21" s="12" t="n">
        <f aca="false">11_Results_Long!Q47</f>
        <v>0.0488095738320468</v>
      </c>
      <c r="E21" s="4" t="n">
        <f aca="false">ROUND(11_Results_Long!N47,1)</f>
        <v>14.3</v>
      </c>
      <c r="F21" s="4" t="str">
        <f aca="false">TEXT(11_Results_Long!O47,"0.000")</f>
        <v>0.601</v>
      </c>
      <c r="G21" s="4" t="n">
        <f aca="false">11_Results_Long!H47</f>
        <v>2695</v>
      </c>
    </row>
    <row r="22" customFormat="false" ht="15" hidden="false" customHeight="false" outlineLevel="0" collapsed="false">
      <c r="A22" s="4" t="s">
        <v>247</v>
      </c>
      <c r="B22" s="12" t="n">
        <f aca="false">11_Results_Long!K48</f>
        <v>0.0129025573294607</v>
      </c>
      <c r="C22" s="12" t="n">
        <f aca="false">11_Results_Long!P48</f>
        <v>-0.0249936234039999</v>
      </c>
      <c r="D22" s="12" t="n">
        <f aca="false">11_Results_Long!Q48</f>
        <v>0.0507987380629212</v>
      </c>
      <c r="E22" s="4" t="n">
        <f aca="false">ROUND(11_Results_Long!N48,1)</f>
        <v>14.4</v>
      </c>
      <c r="F22" s="4" t="str">
        <f aca="false">TEXT(11_Results_Long!O48,"0.000")</f>
        <v>0.478</v>
      </c>
      <c r="G22" s="4" t="n">
        <f aca="false">11_Results_Long!H48</f>
        <v>2700</v>
      </c>
    </row>
    <row r="23" customFormat="false" ht="15" hidden="false" customHeight="false" outlineLevel="0" collapsed="false">
      <c r="A23" s="4" t="s">
        <v>248</v>
      </c>
      <c r="B23" s="12" t="n">
        <f aca="false">11_Results_Long!K49</f>
        <v>0.00906419608412797</v>
      </c>
      <c r="C23" s="12" t="n">
        <f aca="false">11_Results_Long!P49</f>
        <v>-0.0300629989163492</v>
      </c>
      <c r="D23" s="12" t="n">
        <f aca="false">11_Results_Long!Q49</f>
        <v>0.0481913910846051</v>
      </c>
      <c r="E23" s="4" t="n">
        <f aca="false">ROUND(11_Results_Long!N49,1)</f>
        <v>14.3</v>
      </c>
      <c r="F23" s="4" t="str">
        <f aca="false">TEXT(11_Results_Long!O49,"0.000")</f>
        <v>0.627</v>
      </c>
      <c r="G23" s="4" t="n">
        <f aca="false">11_Results_Long!H49</f>
        <v>2699</v>
      </c>
    </row>
    <row r="24" customFormat="false" ht="15" hidden="false" customHeight="false" outlineLevel="0" collapsed="false">
      <c r="A24" s="4" t="s">
        <v>249</v>
      </c>
      <c r="B24" s="12" t="n">
        <f aca="false">11_Results_Long!K50</f>
        <v>0.0087369956261395</v>
      </c>
      <c r="C24" s="12" t="n">
        <f aca="false">11_Results_Long!P50</f>
        <v>-0.030299319607701</v>
      </c>
      <c r="D24" s="12" t="n">
        <f aca="false">11_Results_Long!Q50</f>
        <v>0.04777331085998</v>
      </c>
      <c r="E24" s="4" t="n">
        <f aca="false">ROUND(11_Results_Long!N50,1)</f>
        <v>14.7</v>
      </c>
      <c r="F24" s="4" t="str">
        <f aca="false">TEXT(11_Results_Long!O50,"0.000")</f>
        <v>0.640</v>
      </c>
      <c r="G24" s="4" t="n">
        <f aca="false">11_Results_Long!H50</f>
        <v>2535</v>
      </c>
    </row>
    <row r="25" customFormat="false" ht="15" hidden="false" customHeight="false" outlineLevel="0" collapsed="false">
      <c r="A25" s="4" t="s">
        <v>250</v>
      </c>
      <c r="B25" s="12" t="n">
        <f aca="false">11_Results_Long!K51</f>
        <v>0.012297102178069</v>
      </c>
      <c r="C25" s="12" t="n">
        <f aca="false">11_Results_Long!P51</f>
        <v>-0.0259222537444838</v>
      </c>
      <c r="D25" s="12" t="n">
        <f aca="false">11_Results_Long!Q51</f>
        <v>0.0505164581006218</v>
      </c>
      <c r="E25" s="4" t="n">
        <f aca="false">ROUND(11_Results_Long!N51,1)</f>
        <v>14.4</v>
      </c>
      <c r="F25" s="4" t="str">
        <f aca="false">TEXT(11_Results_Long!O51,"0.000")</f>
        <v>0.502</v>
      </c>
      <c r="G25" s="4" t="n">
        <f aca="false">11_Results_Long!H51</f>
        <v>2699</v>
      </c>
    </row>
    <row r="26" customFormat="false" ht="15" hidden="false" customHeight="false" outlineLevel="0" collapsed="false">
      <c r="A26" s="4" t="s">
        <v>251</v>
      </c>
      <c r="B26" s="12" t="n">
        <f aca="false">11_Results_Long!K52</f>
        <v>0.00895414180271286</v>
      </c>
      <c r="C26" s="12" t="n">
        <f aca="false">11_Results_Long!P52</f>
        <v>-0.0301644225172367</v>
      </c>
      <c r="D26" s="12" t="n">
        <f aca="false">11_Results_Long!Q52</f>
        <v>0.0480727061226624</v>
      </c>
      <c r="E26" s="4" t="n">
        <f aca="false">ROUND(11_Results_Long!N52,1)</f>
        <v>14.4</v>
      </c>
      <c r="F26" s="4" t="str">
        <f aca="false">TEXT(11_Results_Long!O52,"0.000")</f>
        <v>0.632</v>
      </c>
      <c r="G26" s="4" t="n">
        <f aca="false">11_Results_Long!H52</f>
        <v>2687</v>
      </c>
    </row>
    <row r="27" customFormat="false" ht="15" hidden="false" customHeight="false" outlineLevel="0" collapsed="false">
      <c r="A27" s="4" t="s">
        <v>252</v>
      </c>
      <c r="B27" s="12" t="n">
        <f aca="false">11_Results_Long!K53</f>
        <v>0.00963925986008831</v>
      </c>
      <c r="C27" s="12" t="n">
        <f aca="false">11_Results_Long!P53</f>
        <v>-0.0294176411126667</v>
      </c>
      <c r="D27" s="12" t="n">
        <f aca="false">11_Results_Long!Q53</f>
        <v>0.0486961608328433</v>
      </c>
      <c r="E27" s="4" t="n">
        <f aca="false">ROUND(11_Results_Long!N53,1)</f>
        <v>14.3</v>
      </c>
      <c r="F27" s="4" t="str">
        <f aca="false">TEXT(11_Results_Long!O53,"0.000")</f>
        <v>0.605</v>
      </c>
      <c r="G27" s="4" t="n">
        <f aca="false">11_Results_Long!H53</f>
        <v>2690</v>
      </c>
    </row>
    <row r="28" customFormat="false" ht="15" hidden="false" customHeight="false" outlineLevel="0" collapsed="false">
      <c r="A28" s="4" t="s">
        <v>253</v>
      </c>
      <c r="B28" s="12" t="n">
        <f aca="false">11_Results_Long!K54</f>
        <v>0.0111467771530093</v>
      </c>
      <c r="C28" s="12" t="n">
        <f aca="false">11_Results_Long!P54</f>
        <v>-0.0275654336683929</v>
      </c>
      <c r="D28" s="12" t="n">
        <f aca="false">11_Results_Long!Q54</f>
        <v>0.0498589879744115</v>
      </c>
      <c r="E28" s="4" t="n">
        <f aca="false">ROUND(11_Results_Long!N54,1)</f>
        <v>14.3</v>
      </c>
      <c r="F28" s="4" t="str">
        <f aca="false">TEXT(11_Results_Long!O54,"0.000")</f>
        <v>0.547</v>
      </c>
      <c r="G28" s="4" t="n">
        <f aca="false">11_Results_Long!H54</f>
        <v>2699</v>
      </c>
    </row>
    <row r="29" customFormat="false" ht="15" hidden="false" customHeight="false" outlineLevel="0" collapsed="false">
      <c r="A29" s="4" t="s">
        <v>254</v>
      </c>
      <c r="B29" s="12" t="n">
        <f aca="false">11_Results_Long!K55</f>
        <v>0.00933853383181733</v>
      </c>
      <c r="C29" s="12" t="n">
        <f aca="false">11_Results_Long!P55</f>
        <v>-0.029730698605555</v>
      </c>
      <c r="D29" s="12" t="n">
        <f aca="false">11_Results_Long!Q55</f>
        <v>0.0484077662691897</v>
      </c>
      <c r="E29" s="4" t="n">
        <f aca="false">ROUND(11_Results_Long!N55,1)</f>
        <v>14.4</v>
      </c>
      <c r="F29" s="4" t="str">
        <f aca="false">TEXT(11_Results_Long!O55,"0.000")</f>
        <v>0.617</v>
      </c>
      <c r="G29" s="4" t="n">
        <f aca="false">11_Results_Long!H55</f>
        <v>2680</v>
      </c>
    </row>
    <row r="30" customFormat="false" ht="15" hidden="false" customHeight="false" outlineLevel="0" collapsed="false">
      <c r="A30" s="4" t="s">
        <v>255</v>
      </c>
      <c r="B30" s="12" t="n">
        <f aca="false">11_Results_Long!K56</f>
        <v>0.0121015975326684</v>
      </c>
      <c r="C30" s="12" t="n">
        <f aca="false">11_Results_Long!P56</f>
        <v>-0.0262280023273873</v>
      </c>
      <c r="D30" s="12" t="n">
        <f aca="false">11_Results_Long!Q56</f>
        <v>0.0504311973927241</v>
      </c>
      <c r="E30" s="4" t="n">
        <f aca="false">ROUND(11_Results_Long!N56,1)</f>
        <v>14.3</v>
      </c>
      <c r="F30" s="4" t="str">
        <f aca="false">TEXT(11_Results_Long!O56,"0.000")</f>
        <v>0.510</v>
      </c>
      <c r="G30" s="4" t="n">
        <f aca="false">11_Results_Long!H56</f>
        <v>2692</v>
      </c>
    </row>
    <row r="31" customFormat="false" ht="15" hidden="false" customHeight="false" outlineLevel="0" collapsed="false">
      <c r="A31" s="4" t="s">
        <v>256</v>
      </c>
      <c r="B31" s="12" t="n">
        <f aca="false">11_Results_Long!K57</f>
        <v>0.0102486468662674</v>
      </c>
      <c r="C31" s="12" t="n">
        <f aca="false">11_Results_Long!P57</f>
        <v>-0.0287050589184423</v>
      </c>
      <c r="D31" s="12" t="n">
        <f aca="false">11_Results_Long!Q57</f>
        <v>0.0492023526509771</v>
      </c>
      <c r="E31" s="4" t="n">
        <f aca="false">ROUND(11_Results_Long!N57,1)</f>
        <v>14.3</v>
      </c>
      <c r="F31" s="4" t="str">
        <f aca="false">TEXT(11_Results_Long!O57,"0.000")</f>
        <v>0.582</v>
      </c>
      <c r="G31" s="4" t="n">
        <f aca="false">11_Results_Long!H57</f>
        <v>2692</v>
      </c>
    </row>
    <row r="32" customFormat="false" ht="15" hidden="false" customHeight="false" outlineLevel="0" collapsed="false">
      <c r="A32" s="4" t="s">
        <v>257</v>
      </c>
      <c r="B32" s="12" t="n">
        <f aca="false">11_Results_Long!K58</f>
        <v>0.00965780388360885</v>
      </c>
      <c r="C32" s="12" t="n">
        <f aca="false">11_Results_Long!P58</f>
        <v>-0.0294049694095141</v>
      </c>
      <c r="D32" s="12" t="n">
        <f aca="false">11_Results_Long!Q58</f>
        <v>0.0487205771767318</v>
      </c>
      <c r="E32" s="4" t="n">
        <f aca="false">ROUND(11_Results_Long!N58,1)</f>
        <v>14.2</v>
      </c>
      <c r="F32" s="4" t="str">
        <f aca="false">TEXT(11_Results_Long!O58,"0.000")</f>
        <v>0.605</v>
      </c>
      <c r="G32" s="4" t="n">
        <f aca="false">11_Results_Long!H58</f>
        <v>2697</v>
      </c>
    </row>
    <row r="33" customFormat="false" ht="15" hidden="false" customHeight="false" outlineLevel="0" collapsed="false">
      <c r="A33" s="4" t="s">
        <v>258</v>
      </c>
      <c r="B33" s="12" t="n">
        <f aca="false">11_Results_Long!K59</f>
        <v>0.0100126240884364</v>
      </c>
      <c r="C33" s="12" t="n">
        <f aca="false">11_Results_Long!P59</f>
        <v>-0.0288883960087356</v>
      </c>
      <c r="D33" s="12" t="n">
        <f aca="false">11_Results_Long!Q59</f>
        <v>0.0489136441856085</v>
      </c>
      <c r="E33" s="4" t="n">
        <f aca="false">ROUND(11_Results_Long!N59,1)</f>
        <v>14.4</v>
      </c>
      <c r="F33" s="4" t="str">
        <f aca="false">TEXT(11_Results_Long!O59,"0.000")</f>
        <v>0.590</v>
      </c>
      <c r="G33" s="4" t="n">
        <f aca="false">11_Results_Long!H59</f>
        <v>2704</v>
      </c>
    </row>
    <row r="34" customFormat="false" ht="15" hidden="false" customHeight="false" outlineLevel="0" collapsed="false">
      <c r="A34" s="4" t="s">
        <v>259</v>
      </c>
      <c r="B34" s="12" t="n">
        <f aca="false">11_Results_Long!K60</f>
        <v>0.0104520230738281</v>
      </c>
      <c r="C34" s="12" t="n">
        <f aca="false">11_Results_Long!P60</f>
        <v>-0.0284419417848375</v>
      </c>
      <c r="D34" s="12" t="n">
        <f aca="false">11_Results_Long!Q60</f>
        <v>0.0493459879324936</v>
      </c>
      <c r="E34" s="4" t="n">
        <f aca="false">ROUND(11_Results_Long!N60,1)</f>
        <v>14.3</v>
      </c>
      <c r="F34" s="4" t="str">
        <f aca="false">TEXT(11_Results_Long!O60,"0.000")</f>
        <v>0.574</v>
      </c>
      <c r="G34" s="4" t="n">
        <f aca="false">11_Results_Long!H60</f>
        <v>2681</v>
      </c>
    </row>
    <row r="35" customFormat="false" ht="15" hidden="false" customHeight="false" outlineLevel="0" collapsed="false">
      <c r="A35" s="4" t="s">
        <v>260</v>
      </c>
      <c r="B35" s="12" t="n">
        <f aca="false">11_Results_Long!K61</f>
        <v>0.01364525229249</v>
      </c>
      <c r="C35" s="12" t="n">
        <f aca="false">11_Results_Long!P61</f>
        <v>-0.023791145366767</v>
      </c>
      <c r="D35" s="12" t="n">
        <f aca="false">11_Results_Long!Q61</f>
        <v>0.051081649951747</v>
      </c>
      <c r="E35" s="4" t="n">
        <f aca="false">ROUND(11_Results_Long!N61,1)</f>
        <v>14.5</v>
      </c>
      <c r="F35" s="4" t="str">
        <f aca="false">TEXT(11_Results_Long!O61,"0.000")</f>
        <v>0.448</v>
      </c>
      <c r="G35" s="4" t="n">
        <f aca="false">11_Results_Long!H61</f>
        <v>2689</v>
      </c>
    </row>
    <row r="36" customFormat="false" ht="15" hidden="false" customHeight="false" outlineLevel="0" collapsed="false">
      <c r="A36" s="4" t="s">
        <v>261</v>
      </c>
      <c r="B36" s="12" t="n">
        <f aca="false">11_Results_Long!K62</f>
        <v>0.0116502638876517</v>
      </c>
      <c r="C36" s="12" t="n">
        <f aca="false">11_Results_Long!P62</f>
        <v>-0.026905179445506</v>
      </c>
      <c r="D36" s="12" t="n">
        <f aca="false">11_Results_Long!Q62</f>
        <v>0.0502057072208094</v>
      </c>
      <c r="E36" s="4" t="n">
        <f aca="false">ROUND(11_Results_Long!N62,1)</f>
        <v>14.2</v>
      </c>
      <c r="F36" s="4" t="str">
        <f aca="false">TEXT(11_Results_Long!O62,"0.000")</f>
        <v>0.528</v>
      </c>
      <c r="G36" s="4" t="n">
        <f aca="false">11_Results_Long!H62</f>
        <v>2693</v>
      </c>
    </row>
    <row r="37" customFormat="false" ht="15" hidden="false" customHeight="false" outlineLevel="0" collapsed="false">
      <c r="A37" s="13" t="s">
        <v>262</v>
      </c>
      <c r="B37" s="14" t="n">
        <f aca="false">11_Results_Long!AG63</f>
        <v>0.011383283755471</v>
      </c>
      <c r="C37" s="12"/>
      <c r="D37" s="12"/>
      <c r="E37" s="4"/>
      <c r="F37" s="4"/>
      <c r="G37" s="4"/>
    </row>
    <row r="39" customFormat="false" ht="15" hidden="false" customHeight="false" outlineLevel="0" collapsed="false">
      <c r="A39" s="9" t="s">
        <v>177</v>
      </c>
    </row>
    <row r="40" customFormat="false" ht="35.05" hidden="false" customHeight="false" outlineLevel="0" collapsed="false">
      <c r="A40" s="10" t="s">
        <v>263</v>
      </c>
    </row>
    <row r="41" customFormat="false" ht="57.45" hidden="false" customHeight="false" outlineLevel="0" collapsed="false">
      <c r="A41" s="10" t="s">
        <v>264</v>
      </c>
    </row>
    <row r="42" customFormat="false" ht="35.05" hidden="false" customHeight="false" outlineLevel="0" collapsed="false">
      <c r="A42" s="10" t="s">
        <v>265</v>
      </c>
    </row>
    <row r="44" customFormat="false" ht="35.05" hidden="false" customHeight="false" outlineLevel="0" collapsed="false">
      <c r="A44" s="11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1" t="s">
        <v>267</v>
      </c>
    </row>
    <row r="2" customFormat="false" ht="15" hidden="false" customHeight="false" outlineLevel="0" collapsed="false">
      <c r="A2" s="2" t="s">
        <v>268</v>
      </c>
    </row>
    <row r="3" customFormat="false" ht="15" hidden="false" customHeight="false" outlineLevel="0" collapsed="false">
      <c r="A3" s="2" t="s">
        <v>269</v>
      </c>
    </row>
    <row r="5" customFormat="false" ht="15" hidden="false" customHeight="false" outlineLevel="0" collapsed="false">
      <c r="A5" s="3" t="s">
        <v>270</v>
      </c>
      <c r="B5" s="3" t="s">
        <v>271</v>
      </c>
      <c r="C5" s="3" t="s">
        <v>272</v>
      </c>
      <c r="D5" s="3" t="s">
        <v>273</v>
      </c>
      <c r="E5" s="3" t="s">
        <v>274</v>
      </c>
    </row>
    <row r="6" customFormat="false" ht="35.05" hidden="false" customHeight="false" outlineLevel="0" collapsed="false">
      <c r="A6" s="4" t="s">
        <v>249</v>
      </c>
      <c r="B6" s="15" t="n">
        <f aca="false">11_Results_Long!AG82</f>
        <v>0.228150248425673</v>
      </c>
      <c r="C6" s="4" t="n">
        <f aca="false">11_Results_Long!H82</f>
        <v>170</v>
      </c>
      <c r="D6" s="15" t="n">
        <f aca="false">11_Results_Long!H82/711</f>
        <v>0.239099859353024</v>
      </c>
      <c r="E6" s="5" t="str">
        <f aca="false">11_Results_Long!AJ82</f>
        <v>normalized weight share, w = 1/(vi + sum sigma2_B1 = 0.032345) within the post cell (pp_mid_lag0 == 1); marginal approximation, RVE weights are matrix-valued; ES-count share = 0.239100 (170 of 711 post-cell ES)</v>
      </c>
    </row>
    <row r="7" customFormat="false" ht="35.05" hidden="false" customHeight="false" outlineLevel="0" collapsed="false">
      <c r="A7" s="4" t="s">
        <v>233</v>
      </c>
      <c r="B7" s="15" t="n">
        <f aca="false">11_Results_Long!AG66</f>
        <v>0.119487859427257</v>
      </c>
      <c r="C7" s="4" t="n">
        <f aca="false">11_Results_Long!H66</f>
        <v>82</v>
      </c>
      <c r="D7" s="15" t="n">
        <f aca="false">11_Results_Long!H66/711</f>
        <v>0.115330520393812</v>
      </c>
      <c r="E7" s="5" t="str">
        <f aca="false">11_Results_Long!AJ66</f>
        <v>normalized weight share, w = 1/(vi + sum sigma2_B1 = 0.032345) within the post cell (pp_mid_lag0 == 1); marginal approximation, RVE weights are matrix-valued; ES-count share = 0.115331 (82 of 711 post-cell ES)</v>
      </c>
    </row>
    <row r="8" customFormat="false" ht="35.05" hidden="false" customHeight="false" outlineLevel="0" collapsed="false">
      <c r="A8" s="4" t="s">
        <v>234</v>
      </c>
      <c r="B8" s="15" t="n">
        <f aca="false">11_Results_Long!AG67</f>
        <v>0.0888069922693225</v>
      </c>
      <c r="C8" s="4" t="n">
        <f aca="false">11_Results_Long!H67</f>
        <v>61</v>
      </c>
      <c r="D8" s="15" t="n">
        <f aca="false">11_Results_Long!H67/711</f>
        <v>0.0857946554149086</v>
      </c>
      <c r="E8" s="5" t="str">
        <f aca="false">11_Results_Long!AJ67</f>
        <v>normalized weight share, w = 1/(vi + sum sigma2_B1 = 0.032345) within the post cell (pp_mid_lag0 == 1); marginal approximation, RVE weights are matrix-valued; ES-count share = 0.085795 (61 of 711 post-cell ES)</v>
      </c>
    </row>
    <row r="9" customFormat="false" ht="35.05" hidden="false" customHeight="false" outlineLevel="0" collapsed="false">
      <c r="A9" s="4" t="s">
        <v>241</v>
      </c>
      <c r="B9" s="15" t="n">
        <f aca="false">11_Results_Long!AG74</f>
        <v>0.0542334383278594</v>
      </c>
      <c r="C9" s="4" t="n">
        <f aca="false">11_Results_Long!H74</f>
        <v>38</v>
      </c>
      <c r="D9" s="15" t="n">
        <f aca="false">11_Results_Long!H74/711</f>
        <v>0.0534458509142053</v>
      </c>
      <c r="E9" s="5" t="str">
        <f aca="false">11_Results_Long!AJ74</f>
        <v>normalized weight share, w = 1/(vi + sum sigma2_B1 = 0.032345) within the post cell (pp_mid_lag0 == 1); marginal approximation, RVE weights are matrix-valued; ES-count share = 0.053446 (38 of 711 post-cell ES)</v>
      </c>
    </row>
    <row r="10" customFormat="false" ht="35.05" hidden="false" customHeight="false" outlineLevel="0" collapsed="false">
      <c r="A10" s="4" t="s">
        <v>245</v>
      </c>
      <c r="B10" s="15" t="n">
        <f aca="false">11_Results_Long!AG78</f>
        <v>0.0417347828715921</v>
      </c>
      <c r="C10" s="4" t="n">
        <f aca="false">11_Results_Long!H78</f>
        <v>29</v>
      </c>
      <c r="D10" s="15" t="n">
        <f aca="false">11_Results_Long!H78/711</f>
        <v>0.0407876230661041</v>
      </c>
      <c r="E10" s="5" t="str">
        <f aca="false">11_Results_Long!AJ78</f>
        <v>normalized weight share, w = 1/(vi + sum sigma2_B1 = 0.032345) within the post cell (pp_mid_lag0 == 1); marginal approximation, RVE weights are matrix-valued; ES-count share = 0.040788 (29 of 711 post-cell ES)</v>
      </c>
    </row>
    <row r="11" customFormat="false" ht="35.05" hidden="false" customHeight="false" outlineLevel="0" collapsed="false">
      <c r="A11" s="4" t="s">
        <v>239</v>
      </c>
      <c r="B11" s="15" t="n">
        <f aca="false">11_Results_Long!AG72</f>
        <v>0.0416307456734224</v>
      </c>
      <c r="C11" s="4" t="n">
        <f aca="false">11_Results_Long!H72</f>
        <v>30</v>
      </c>
      <c r="D11" s="15" t="n">
        <f aca="false">11_Results_Long!H72/711</f>
        <v>0.0421940928270042</v>
      </c>
      <c r="E11" s="5" t="str">
        <f aca="false">11_Results_Long!AJ72</f>
        <v>normalized weight share, w = 1/(vi + sum sigma2_B1 = 0.032345) within the post cell (pp_mid_lag0 == 1); marginal approximation, RVE weights are matrix-valued; ES-count share = 0.042194 (30 of 711 post-cell ES)</v>
      </c>
    </row>
    <row r="12" customFormat="false" ht="35.05" hidden="false" customHeight="false" outlineLevel="0" collapsed="false">
      <c r="A12" s="4" t="s">
        <v>254</v>
      </c>
      <c r="B12" s="15" t="n">
        <f aca="false">11_Results_Long!AG87</f>
        <v>0.0363438780860289</v>
      </c>
      <c r="C12" s="4" t="n">
        <f aca="false">11_Results_Long!H87</f>
        <v>25</v>
      </c>
      <c r="D12" s="15" t="n">
        <f aca="false">11_Results_Long!H87/711</f>
        <v>0.0351617440225035</v>
      </c>
      <c r="E12" s="5" t="str">
        <f aca="false">11_Results_Long!AJ87</f>
        <v>normalized weight share, w = 1/(vi + sum sigma2_B1 = 0.032345) within the post cell (pp_mid_lag0 == 1); marginal approximation, RVE weights are matrix-valued; ES-count share = 0.035162 (25 of 711 post-cell ES)</v>
      </c>
    </row>
    <row r="13" customFormat="false" ht="35.05" hidden="false" customHeight="false" outlineLevel="0" collapsed="false">
      <c r="A13" s="4" t="s">
        <v>259</v>
      </c>
      <c r="B13" s="15" t="n">
        <f aca="false">11_Results_Long!AG92</f>
        <v>0.0343309209171955</v>
      </c>
      <c r="C13" s="4" t="n">
        <f aca="false">11_Results_Long!H92</f>
        <v>24</v>
      </c>
      <c r="D13" s="15" t="n">
        <f aca="false">11_Results_Long!H92/711</f>
        <v>0.0337552742616034</v>
      </c>
      <c r="E13" s="5" t="str">
        <f aca="false">11_Results_Long!AJ92</f>
        <v>normalized weight share, w = 1/(vi + sum sigma2_B1 = 0.032345) within the post cell (pp_mid_lag0 == 1); marginal approximation, RVE weights are matrix-valued; ES-count share = 0.033755 (24 of 711 post-cell ES)</v>
      </c>
    </row>
    <row r="14" customFormat="false" ht="35.05" hidden="false" customHeight="false" outlineLevel="0" collapsed="false">
      <c r="A14" s="4" t="s">
        <v>243</v>
      </c>
      <c r="B14" s="15" t="n">
        <f aca="false">11_Results_Long!AG76</f>
        <v>0.0303886773426946</v>
      </c>
      <c r="C14" s="4" t="n">
        <f aca="false">11_Results_Long!H76</f>
        <v>21</v>
      </c>
      <c r="D14" s="15" t="n">
        <f aca="false">11_Results_Long!H76/711</f>
        <v>0.029535864978903</v>
      </c>
      <c r="E14" s="5" t="str">
        <f aca="false">11_Results_Long!AJ76</f>
        <v>normalized weight share, w = 1/(vi + sum sigma2_B1 = 0.032345) within the post cell (pp_mid_lag0 == 1); marginal approximation, RVE weights are matrix-valued; ES-count share = 0.029536 (21 of 711 post-cell ES)</v>
      </c>
    </row>
    <row r="15" customFormat="false" ht="35.05" hidden="false" customHeight="false" outlineLevel="0" collapsed="false">
      <c r="A15" s="4" t="s">
        <v>237</v>
      </c>
      <c r="B15" s="15" t="n">
        <f aca="false">11_Results_Long!AG70</f>
        <v>0.0278646843742896</v>
      </c>
      <c r="C15" s="4" t="n">
        <f aca="false">11_Results_Long!H70</f>
        <v>20</v>
      </c>
      <c r="D15" s="15" t="n">
        <f aca="false">11_Results_Long!H70/711</f>
        <v>0.0281293952180028</v>
      </c>
      <c r="E15" s="5" t="str">
        <f aca="false">11_Results_Long!AJ70</f>
        <v>normalized weight share, w = 1/(vi + sum sigma2_B1 = 0.032345) within the post cell (pp_mid_lag0 == 1); marginal approximation, RVE weights are matrix-valued; ES-count share = 0.028129 (20 of 711 post-cell ES)</v>
      </c>
    </row>
    <row r="16" customFormat="false" ht="35.05" hidden="false" customHeight="false" outlineLevel="0" collapsed="false">
      <c r="A16" s="4" t="s">
        <v>251</v>
      </c>
      <c r="B16" s="15" t="n">
        <f aca="false">11_Results_Long!AG84</f>
        <v>0.0258483405090508</v>
      </c>
      <c r="C16" s="4" t="n">
        <f aca="false">11_Results_Long!H84</f>
        <v>18</v>
      </c>
      <c r="D16" s="15" t="n">
        <f aca="false">11_Results_Long!H84/711</f>
        <v>0.0253164556962025</v>
      </c>
      <c r="E16" s="5" t="str">
        <f aca="false">11_Results_Long!AJ84</f>
        <v>normalized weight share, w = 1/(vi + sum sigma2_B1 = 0.032345) within the post cell (pp_mid_lag0 == 1); marginal approximation, RVE weights are matrix-valued; ES-count share = 0.025316 (18 of 711 post-cell ES)</v>
      </c>
    </row>
    <row r="17" customFormat="false" ht="35.05" hidden="false" customHeight="false" outlineLevel="0" collapsed="false">
      <c r="A17" s="4" t="s">
        <v>240</v>
      </c>
      <c r="B17" s="15" t="n">
        <f aca="false">11_Results_Long!AG73</f>
        <v>0.0246716368484043</v>
      </c>
      <c r="C17" s="4" t="n">
        <f aca="false">11_Results_Long!H73</f>
        <v>17</v>
      </c>
      <c r="D17" s="15" t="n">
        <f aca="false">11_Results_Long!H73/711</f>
        <v>0.0239099859353024</v>
      </c>
      <c r="E17" s="5" t="str">
        <f aca="false">11_Results_Long!AJ73</f>
        <v>normalized weight share, w = 1/(vi + sum sigma2_B1 = 0.032345) within the post cell (pp_mid_lag0 == 1); marginal approximation, RVE weights are matrix-valued; ES-count share = 0.023910 (17 of 711 post-cell ES)</v>
      </c>
    </row>
    <row r="18" customFormat="false" ht="35.05" hidden="false" customHeight="false" outlineLevel="0" collapsed="false">
      <c r="A18" s="4" t="s">
        <v>235</v>
      </c>
      <c r="B18" s="15" t="n">
        <f aca="false">11_Results_Long!AG68</f>
        <v>0.0229084303301104</v>
      </c>
      <c r="C18" s="4" t="n">
        <f aca="false">11_Results_Long!H68</f>
        <v>16</v>
      </c>
      <c r="D18" s="15" t="n">
        <f aca="false">11_Results_Long!H68/711</f>
        <v>0.0225035161744023</v>
      </c>
      <c r="E18" s="5" t="str">
        <f aca="false">11_Results_Long!AJ68</f>
        <v>normalized weight share, w = 1/(vi + sum sigma2_B1 = 0.032345) within the post cell (pp_mid_lag0 == 1); marginal approximation, RVE weights are matrix-valued; ES-count share = 0.022504 (16 of 711 post-cell ES)</v>
      </c>
    </row>
    <row r="19" customFormat="false" ht="35.05" hidden="false" customHeight="false" outlineLevel="0" collapsed="false">
      <c r="A19" s="4" t="s">
        <v>232</v>
      </c>
      <c r="B19" s="15" t="n">
        <f aca="false">11_Results_Long!AG65</f>
        <v>0.0223001242751935</v>
      </c>
      <c r="C19" s="4" t="n">
        <f aca="false">11_Results_Long!H65</f>
        <v>16</v>
      </c>
      <c r="D19" s="15" t="n">
        <f aca="false">11_Results_Long!H65/711</f>
        <v>0.0225035161744023</v>
      </c>
      <c r="E19" s="5" t="str">
        <f aca="false">11_Results_Long!AJ65</f>
        <v>normalized weight share, w = 1/(vi + sum sigma2_B1 = 0.032345) within the post cell (pp_mid_lag0 == 1); marginal approximation, RVE weights are matrix-valued; ES-count share = 0.022504 (16 of 711 post-cell ES)</v>
      </c>
    </row>
    <row r="20" customFormat="false" ht="35.05" hidden="false" customHeight="false" outlineLevel="0" collapsed="false">
      <c r="A20" s="4" t="s">
        <v>252</v>
      </c>
      <c r="B20" s="15" t="n">
        <f aca="false">11_Results_Long!AG85</f>
        <v>0.0214808989454071</v>
      </c>
      <c r="C20" s="4" t="n">
        <f aca="false">11_Results_Long!H85</f>
        <v>15</v>
      </c>
      <c r="D20" s="15" t="n">
        <f aca="false">11_Results_Long!H85/711</f>
        <v>0.0210970464135021</v>
      </c>
      <c r="E20" s="5" t="str">
        <f aca="false">11_Results_Long!AJ85</f>
        <v>normalized weight share, w = 1/(vi + sum sigma2_B1 = 0.032345) within the post cell (pp_mid_lag0 == 1); marginal approximation, RVE weights are matrix-valued; ES-count share = 0.021097 (15 of 711 post-cell ES)</v>
      </c>
    </row>
    <row r="21" customFormat="false" ht="35.05" hidden="false" customHeight="false" outlineLevel="0" collapsed="false">
      <c r="A21" s="4" t="s">
        <v>260</v>
      </c>
      <c r="B21" s="15" t="n">
        <f aca="false">11_Results_Long!AG93</f>
        <v>0.0211757083915399</v>
      </c>
      <c r="C21" s="4" t="n">
        <f aca="false">11_Results_Long!H93</f>
        <v>16</v>
      </c>
      <c r="D21" s="15" t="n">
        <f aca="false">11_Results_Long!H93/711</f>
        <v>0.0225035161744023</v>
      </c>
      <c r="E21" s="5" t="str">
        <f aca="false">11_Results_Long!AJ93</f>
        <v>normalized weight share, w = 1/(vi + sum sigma2_B1 = 0.032345) within the post cell (pp_mid_lag0 == 1); marginal approximation, RVE weights are matrix-valued; ES-count share = 0.022504 (16 of 711 post-cell ES)</v>
      </c>
    </row>
    <row r="22" customFormat="false" ht="35.05" hidden="false" customHeight="false" outlineLevel="0" collapsed="false">
      <c r="A22" s="4" t="s">
        <v>256</v>
      </c>
      <c r="B22" s="15" t="n">
        <f aca="false">11_Results_Long!AG89</f>
        <v>0.0188243183857742</v>
      </c>
      <c r="C22" s="4" t="n">
        <f aca="false">11_Results_Long!H89</f>
        <v>13</v>
      </c>
      <c r="D22" s="15" t="n">
        <f aca="false">11_Results_Long!H89/711</f>
        <v>0.0182841068917018</v>
      </c>
      <c r="E22" s="5" t="str">
        <f aca="false">11_Results_Long!AJ89</f>
        <v>normalized weight share, w = 1/(vi + sum sigma2_B1 = 0.032345) within the post cell (pp_mid_lag0 == 1); marginal approximation, RVE weights are matrix-valued; ES-count share = 0.018284 (13 of 711 post-cell ES)</v>
      </c>
    </row>
    <row r="23" customFormat="false" ht="35.05" hidden="false" customHeight="false" outlineLevel="0" collapsed="false">
      <c r="A23" s="4" t="s">
        <v>255</v>
      </c>
      <c r="B23" s="15" t="n">
        <f aca="false">11_Results_Long!AG88</f>
        <v>0.0174805537455186</v>
      </c>
      <c r="C23" s="4" t="n">
        <f aca="false">11_Results_Long!H88</f>
        <v>13</v>
      </c>
      <c r="D23" s="15" t="n">
        <f aca="false">11_Results_Long!H88/711</f>
        <v>0.0182841068917018</v>
      </c>
      <c r="E23" s="5" t="str">
        <f aca="false">11_Results_Long!AJ88</f>
        <v>normalized weight share, w = 1/(vi + sum sigma2_B1 = 0.032345) within the post cell (pp_mid_lag0 == 1); marginal approximation, RVE weights are matrix-valued; ES-count share = 0.018284 (13 of 711 post-cell ES)</v>
      </c>
    </row>
    <row r="24" customFormat="false" ht="35.05" hidden="false" customHeight="false" outlineLevel="0" collapsed="false">
      <c r="A24" s="4" t="s">
        <v>261</v>
      </c>
      <c r="B24" s="15" t="n">
        <f aca="false">11_Results_Long!AG94</f>
        <v>0.0173366977642012</v>
      </c>
      <c r="C24" s="4" t="n">
        <f aca="false">11_Results_Long!H94</f>
        <v>12</v>
      </c>
      <c r="D24" s="15" t="n">
        <f aca="false">11_Results_Long!H94/711</f>
        <v>0.0168776371308017</v>
      </c>
      <c r="E24" s="5" t="str">
        <f aca="false">11_Results_Long!AJ94</f>
        <v>normalized weight share, w = 1/(vi + sum sigma2_B1 = 0.032345) within the post cell (pp_mid_lag0 == 1); marginal approximation, RVE weights are matrix-valued; ES-count share = 0.016878 (12 of 711 post-cell ES)</v>
      </c>
    </row>
    <row r="25" customFormat="false" ht="35.05" hidden="false" customHeight="false" outlineLevel="0" collapsed="false">
      <c r="A25" s="4" t="s">
        <v>236</v>
      </c>
      <c r="B25" s="15" t="n">
        <f aca="false">11_Results_Long!AG69</f>
        <v>0.0165357529870949</v>
      </c>
      <c r="C25" s="4" t="n">
        <f aca="false">11_Results_Long!H69</f>
        <v>12</v>
      </c>
      <c r="D25" s="15" t="n">
        <f aca="false">11_Results_Long!H69/711</f>
        <v>0.0168776371308017</v>
      </c>
      <c r="E25" s="5" t="str">
        <f aca="false">11_Results_Long!AJ69</f>
        <v>normalized weight share, w = 1/(vi + sum sigma2_B1 = 0.032345) within the post cell (pp_mid_lag0 == 1); marginal approximation, RVE weights are matrix-valued; ES-count share = 0.016878 (12 of 711 post-cell ES)</v>
      </c>
    </row>
    <row r="26" customFormat="false" ht="35.05" hidden="false" customHeight="false" outlineLevel="0" collapsed="false">
      <c r="A26" s="4" t="s">
        <v>246</v>
      </c>
      <c r="B26" s="15" t="n">
        <f aca="false">11_Results_Long!AG79</f>
        <v>0.0145099996461166</v>
      </c>
      <c r="C26" s="4" t="n">
        <f aca="false">11_Results_Long!H79</f>
        <v>10</v>
      </c>
      <c r="D26" s="15" t="n">
        <f aca="false">11_Results_Long!H79/711</f>
        <v>0.0140646976090014</v>
      </c>
      <c r="E26" s="5" t="str">
        <f aca="false">11_Results_Long!AJ79</f>
        <v>normalized weight share, w = 1/(vi + sum sigma2_B1 = 0.032345) within the post cell (pp_mid_lag0 == 1); marginal approximation, RVE weights are matrix-valued; ES-count share = 0.014065 (10 of 711 post-cell ES)</v>
      </c>
    </row>
    <row r="27" customFormat="false" ht="35.05" hidden="false" customHeight="false" outlineLevel="0" collapsed="false">
      <c r="A27" s="4" t="s">
        <v>231</v>
      </c>
      <c r="B27" s="15" t="n">
        <f aca="false">11_Results_Long!AG64</f>
        <v>0.0130664086685145</v>
      </c>
      <c r="C27" s="4" t="n">
        <f aca="false">11_Results_Long!H64</f>
        <v>9</v>
      </c>
      <c r="D27" s="15" t="n">
        <f aca="false">11_Results_Long!H64/711</f>
        <v>0.0126582278481013</v>
      </c>
      <c r="E27" s="5" t="str">
        <f aca="false">11_Results_Long!AJ64</f>
        <v>normalized weight share, w = 1/(vi + sum sigma2_B1 = 0.032345) within the post cell (pp_mid_lag0 == 1); marginal approximation, RVE weights are matrix-valued; ES-count share = 0.012658 (9 of 711 post-cell ES)</v>
      </c>
    </row>
    <row r="28" customFormat="false" ht="35.05" hidden="false" customHeight="false" outlineLevel="0" collapsed="false">
      <c r="A28" s="4" t="s">
        <v>257</v>
      </c>
      <c r="B28" s="15" t="n">
        <f aca="false">11_Results_Long!AG90</f>
        <v>0.0104174078235937</v>
      </c>
      <c r="C28" s="4" t="n">
        <f aca="false">11_Results_Long!H90</f>
        <v>8</v>
      </c>
      <c r="D28" s="15" t="n">
        <f aca="false">11_Results_Long!H90/711</f>
        <v>0.0112517580872011</v>
      </c>
      <c r="E28" s="5" t="str">
        <f aca="false">11_Results_Long!AJ90</f>
        <v>normalized weight share, w = 1/(vi + sum sigma2_B1 = 0.032345) within the post cell (pp_mid_lag0 == 1); marginal approximation, RVE weights are matrix-valued; ES-count share = 0.011252 (8 of 711 post-cell ES)</v>
      </c>
    </row>
    <row r="29" customFormat="false" ht="35.05" hidden="false" customHeight="false" outlineLevel="0" collapsed="false">
      <c r="A29" s="4" t="s">
        <v>248</v>
      </c>
      <c r="B29" s="15" t="n">
        <f aca="false">11_Results_Long!AG81</f>
        <v>0.00869433603891157</v>
      </c>
      <c r="C29" s="4" t="n">
        <f aca="false">11_Results_Long!H81</f>
        <v>6</v>
      </c>
      <c r="D29" s="15" t="n">
        <f aca="false">11_Results_Long!H81/711</f>
        <v>0.00843881856540084</v>
      </c>
      <c r="E29" s="5" t="str">
        <f aca="false">11_Results_Long!AJ81</f>
        <v>normalized weight share, w = 1/(vi + sum sigma2_B1 = 0.032345) within the post cell (pp_mid_lag0 == 1); marginal approximation, RVE weights are matrix-valued; ES-count share = 0.008439 (6 of 711 post-cell ES)</v>
      </c>
    </row>
    <row r="30" customFormat="false" ht="35.05" hidden="false" customHeight="false" outlineLevel="0" collapsed="false">
      <c r="A30" s="4" t="s">
        <v>253</v>
      </c>
      <c r="B30" s="15" t="n">
        <f aca="false">11_Results_Long!AG86</f>
        <v>0.00860246905976077</v>
      </c>
      <c r="C30" s="4" t="n">
        <f aca="false">11_Results_Long!H86</f>
        <v>6</v>
      </c>
      <c r="D30" s="15" t="n">
        <f aca="false">11_Results_Long!H86/711</f>
        <v>0.00843881856540084</v>
      </c>
      <c r="E30" s="5" t="str">
        <f aca="false">11_Results_Long!AJ86</f>
        <v>normalized weight share, w = 1/(vi + sum sigma2_B1 = 0.032345) within the post cell (pp_mid_lag0 == 1); marginal approximation, RVE weights are matrix-valued; ES-count share = 0.008439 (6 of 711 post-cell ES)</v>
      </c>
    </row>
    <row r="31" customFormat="false" ht="35.05" hidden="false" customHeight="false" outlineLevel="0" collapsed="false">
      <c r="A31" s="4" t="s">
        <v>250</v>
      </c>
      <c r="B31" s="15" t="n">
        <f aca="false">11_Results_Long!AG83</f>
        <v>0.00791955326292107</v>
      </c>
      <c r="C31" s="4" t="n">
        <f aca="false">11_Results_Long!H83</f>
        <v>6</v>
      </c>
      <c r="D31" s="15" t="n">
        <f aca="false">11_Results_Long!H83/711</f>
        <v>0.00843881856540084</v>
      </c>
      <c r="E31" s="5" t="str">
        <f aca="false">11_Results_Long!AJ83</f>
        <v>normalized weight share, w = 1/(vi + sum sigma2_B1 = 0.032345) within the post cell (pp_mid_lag0 == 1); marginal approximation, RVE weights are matrix-valued; ES-count share = 0.008439 (6 of 711 post-cell ES)</v>
      </c>
    </row>
    <row r="32" customFormat="false" ht="35.05" hidden="false" customHeight="false" outlineLevel="0" collapsed="false">
      <c r="A32" s="4" t="s">
        <v>244</v>
      </c>
      <c r="B32" s="15" t="n">
        <f aca="false">11_Results_Long!AG77</f>
        <v>0.00724349383244217</v>
      </c>
      <c r="C32" s="4" t="n">
        <f aca="false">11_Results_Long!H77</f>
        <v>5</v>
      </c>
      <c r="D32" s="15" t="n">
        <f aca="false">11_Results_Long!H77/711</f>
        <v>0.0070323488045007</v>
      </c>
      <c r="E32" s="5" t="str">
        <f aca="false">11_Results_Long!AJ77</f>
        <v>normalized weight share, w = 1/(vi + sum sigma2_B1 = 0.032345) within the post cell (pp_mid_lag0 == 1); marginal approximation, RVE weights are matrix-valued; ES-count share = 0.007032 (5 of 711 post-cell ES)</v>
      </c>
    </row>
    <row r="33" customFormat="false" ht="35.05" hidden="false" customHeight="false" outlineLevel="0" collapsed="false">
      <c r="A33" s="4" t="s">
        <v>242</v>
      </c>
      <c r="B33" s="15" t="n">
        <f aca="false">11_Results_Long!AG75</f>
        <v>0.00723535849084786</v>
      </c>
      <c r="C33" s="4" t="n">
        <f aca="false">11_Results_Long!H75</f>
        <v>5</v>
      </c>
      <c r="D33" s="15" t="n">
        <f aca="false">11_Results_Long!H75/711</f>
        <v>0.0070323488045007</v>
      </c>
      <c r="E33" s="5" t="str">
        <f aca="false">11_Results_Long!AJ75</f>
        <v>normalized weight share, w = 1/(vi + sum sigma2_B1 = 0.032345) within the post cell (pp_mid_lag0 == 1); marginal approximation, RVE weights are matrix-valued; ES-count share = 0.007032 (5 of 711 post-cell ES)</v>
      </c>
    </row>
    <row r="34" customFormat="false" ht="35.05" hidden="false" customHeight="false" outlineLevel="0" collapsed="false">
      <c r="A34" s="4" t="s">
        <v>247</v>
      </c>
      <c r="B34" s="15" t="n">
        <f aca="false">11_Results_Long!AG80</f>
        <v>0.00643688227242323</v>
      </c>
      <c r="C34" s="4" t="n">
        <f aca="false">11_Results_Long!H80</f>
        <v>5</v>
      </c>
      <c r="D34" s="15" t="n">
        <f aca="false">11_Results_Long!H80/711</f>
        <v>0.0070323488045007</v>
      </c>
      <c r="E34" s="5" t="str">
        <f aca="false">11_Results_Long!AJ80</f>
        <v>normalized weight share, w = 1/(vi + sum sigma2_B1 = 0.032345) within the post cell (pp_mid_lag0 == 1); marginal approximation, RVE weights are matrix-valued; ES-count share = 0.007032 (5 of 711 post-cell ES)</v>
      </c>
    </row>
    <row r="35" customFormat="false" ht="35.05" hidden="false" customHeight="false" outlineLevel="0" collapsed="false">
      <c r="A35" s="4" t="s">
        <v>238</v>
      </c>
      <c r="B35" s="15" t="n">
        <f aca="false">11_Results_Long!AG71</f>
        <v>0.00289532833356057</v>
      </c>
      <c r="C35" s="4" t="n">
        <f aca="false">11_Results_Long!H71</f>
        <v>2</v>
      </c>
      <c r="D35" s="15" t="n">
        <f aca="false">11_Results_Long!H71/711</f>
        <v>0.00281293952180028</v>
      </c>
      <c r="E35" s="5" t="str">
        <f aca="false">11_Results_Long!AJ71</f>
        <v>normalized weight share, w = 1/(vi + sum sigma2_B1 = 0.032345) within the post cell (pp_mid_lag0 == 1); marginal approximation, RVE weights are matrix-valued; ES-count share = 0.002813 (2 of 711 post-cell ES)</v>
      </c>
    </row>
    <row r="36" customFormat="false" ht="35.05" hidden="false" customHeight="false" outlineLevel="0" collapsed="false">
      <c r="A36" s="4" t="s">
        <v>258</v>
      </c>
      <c r="B36" s="15" t="n">
        <f aca="false">11_Results_Long!AG91</f>
        <v>0.00144407267327855</v>
      </c>
      <c r="C36" s="4" t="n">
        <f aca="false">11_Results_Long!H91</f>
        <v>1</v>
      </c>
      <c r="D36" s="15" t="n">
        <f aca="false">11_Results_Long!H91/711</f>
        <v>0.00140646976090014</v>
      </c>
      <c r="E36" s="5" t="str">
        <f aca="false">11_Results_Long!AJ91</f>
        <v>normalized weight share, w = 1/(vi + sum sigma2_B1 = 0.032345) within the post cell (pp_mid_lag0 == 1); marginal approximation, RVE weights are matrix-valued; ES-count share = 0.001406 (1 of 711 post-cell ES)</v>
      </c>
    </row>
    <row r="38" customFormat="false" ht="15" hidden="false" customHeight="false" outlineLevel="0" collapsed="false">
      <c r="A38" s="9" t="s">
        <v>177</v>
      </c>
    </row>
    <row r="39" customFormat="false" ht="57.45" hidden="false" customHeight="false" outlineLevel="0" collapsed="false">
      <c r="A39" s="10" t="s">
        <v>275</v>
      </c>
    </row>
    <row r="40" customFormat="false" ht="57.45" hidden="false" customHeight="false" outlineLevel="0" collapsed="false">
      <c r="A40" s="10" t="s">
        <v>276</v>
      </c>
    </row>
    <row r="42" customFormat="false" ht="46.25" hidden="false" customHeight="false" outlineLevel="0" collapsed="false">
      <c r="A42" s="11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278</v>
      </c>
    </row>
    <row r="2" customFormat="false" ht="15" hidden="false" customHeight="false" outlineLevel="0" collapsed="false">
      <c r="A2" s="2" t="s">
        <v>279</v>
      </c>
    </row>
    <row r="3" customFormat="false" ht="15" hidden="false" customHeight="false" outlineLevel="0" collapsed="false">
      <c r="A3" s="2"/>
    </row>
    <row r="5" customFormat="false" ht="15" hidden="false" customHeight="false" outlineLevel="0" collapsed="false">
      <c r="A5" s="3" t="s">
        <v>280</v>
      </c>
      <c r="B5" s="3" t="s">
        <v>281</v>
      </c>
      <c r="C5" s="3" t="s">
        <v>282</v>
      </c>
    </row>
    <row r="6" customFormat="false" ht="23.85" hidden="false" customHeight="false" outlineLevel="0" collapsed="false">
      <c r="A6" s="4" t="s">
        <v>283</v>
      </c>
      <c r="B6" s="8" t="n">
        <f aca="false">11_Results_Long!AG95</f>
        <v>0.660458452722063</v>
      </c>
      <c r="C6" s="5" t="s">
        <v>284</v>
      </c>
    </row>
    <row r="7" customFormat="false" ht="23.85" hidden="false" customHeight="false" outlineLevel="0" collapsed="false">
      <c r="A7" s="4" t="s">
        <v>285</v>
      </c>
      <c r="B7" s="8" t="n">
        <f aca="false">11_Results_Long!AG96</f>
        <v>0.0292051756007394</v>
      </c>
      <c r="C7" s="5" t="s">
        <v>286</v>
      </c>
    </row>
    <row r="8" customFormat="false" ht="15" hidden="false" customHeight="false" outlineLevel="0" collapsed="false">
      <c r="A8" s="4" t="s">
        <v>287</v>
      </c>
      <c r="B8" s="8" t="n">
        <f aca="false">11_Results_Long!AG97</f>
        <v>0.0148817425617523</v>
      </c>
      <c r="C8" s="5" t="s">
        <v>288</v>
      </c>
    </row>
    <row r="10" customFormat="false" ht="68.65" hidden="false" customHeight="false" outlineLevel="0" collapsed="false">
      <c r="A10" s="11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35" min="7" style="0" width="10"/>
    <col collapsed="false" customWidth="true" hidden="false" outlineLevel="0" max="36" min="36" style="0" width="110"/>
  </cols>
  <sheetData>
    <row r="1" customFormat="false" ht="15" hidden="false" customHeight="false" outlineLevel="0" collapsed="false">
      <c r="A1" s="3" t="s">
        <v>290</v>
      </c>
      <c r="B1" s="3" t="s">
        <v>291</v>
      </c>
      <c r="C1" s="3" t="s">
        <v>292</v>
      </c>
      <c r="D1" s="3" t="s">
        <v>163</v>
      </c>
      <c r="E1" s="3" t="s">
        <v>293</v>
      </c>
      <c r="F1" s="3" t="s">
        <v>294</v>
      </c>
      <c r="G1" s="3" t="s">
        <v>295</v>
      </c>
      <c r="H1" s="3" t="s">
        <v>296</v>
      </c>
      <c r="I1" s="3" t="s">
        <v>297</v>
      </c>
      <c r="J1" s="3" t="s">
        <v>298</v>
      </c>
      <c r="K1" s="3" t="s">
        <v>299</v>
      </c>
      <c r="L1" s="3" t="s">
        <v>300</v>
      </c>
      <c r="M1" s="3" t="s">
        <v>301</v>
      </c>
      <c r="N1" s="3" t="s">
        <v>172</v>
      </c>
      <c r="O1" s="3" t="s">
        <v>173</v>
      </c>
      <c r="P1" s="3" t="s">
        <v>302</v>
      </c>
      <c r="Q1" s="3" t="s">
        <v>303</v>
      </c>
      <c r="R1" s="3" t="s">
        <v>304</v>
      </c>
      <c r="S1" s="3" t="s">
        <v>305</v>
      </c>
      <c r="T1" s="3" t="s">
        <v>306</v>
      </c>
      <c r="U1" s="3" t="s">
        <v>307</v>
      </c>
      <c r="V1" s="3" t="s">
        <v>308</v>
      </c>
      <c r="W1" s="3" t="s">
        <v>309</v>
      </c>
      <c r="X1" s="3" t="s">
        <v>310</v>
      </c>
      <c r="Y1" s="3" t="s">
        <v>311</v>
      </c>
      <c r="Z1" s="3" t="s">
        <v>312</v>
      </c>
      <c r="AA1" s="3" t="s">
        <v>313</v>
      </c>
      <c r="AB1" s="3" t="s">
        <v>314</v>
      </c>
      <c r="AC1" s="3" t="s">
        <v>315</v>
      </c>
      <c r="AD1" s="3" t="s">
        <v>316</v>
      </c>
      <c r="AE1" s="3" t="s">
        <v>317</v>
      </c>
      <c r="AF1" s="3" t="s">
        <v>318</v>
      </c>
      <c r="AG1" s="3" t="s">
        <v>281</v>
      </c>
      <c r="AH1" s="3" t="s">
        <v>319</v>
      </c>
      <c r="AI1" s="3" t="s">
        <v>320</v>
      </c>
      <c r="AJ1" s="3" t="s">
        <v>274</v>
      </c>
    </row>
    <row r="2" customFormat="false" ht="15" hidden="false" customHeight="false" outlineLevel="0" collapsed="false">
      <c r="A2" s="4" t="s">
        <v>321</v>
      </c>
      <c r="B2" s="4" t="s">
        <v>199</v>
      </c>
      <c r="C2" s="4" t="s">
        <v>322</v>
      </c>
      <c r="D2" s="4" t="s">
        <v>174</v>
      </c>
      <c r="E2" s="4" t="s">
        <v>323</v>
      </c>
      <c r="F2" s="4" t="s">
        <v>324</v>
      </c>
      <c r="G2" s="4" t="n">
        <v>0.6</v>
      </c>
      <c r="H2" s="4" t="n">
        <v>1994</v>
      </c>
      <c r="I2" s="4" t="n">
        <v>83</v>
      </c>
      <c r="J2" s="4" t="n">
        <v>82</v>
      </c>
      <c r="K2" s="8" t="n">
        <v>-0.0615991565189955</v>
      </c>
      <c r="L2" s="8" t="n">
        <v>0.0180461144532684</v>
      </c>
      <c r="M2" s="8" t="n">
        <v>-3.41343044667652</v>
      </c>
      <c r="N2" s="16" t="n">
        <v>68.5971129071262</v>
      </c>
      <c r="O2" s="8" t="n">
        <v>0.00108046964427755</v>
      </c>
      <c r="P2" s="8" t="n">
        <v>-0.0976039423484408</v>
      </c>
      <c r="Q2" s="8" t="n">
        <v>-0.0255943706895502</v>
      </c>
      <c r="R2" s="8"/>
      <c r="S2" s="8"/>
      <c r="T2" s="8" t="n">
        <v>-0.0615213628260252</v>
      </c>
      <c r="U2" s="8" t="n">
        <v>-0.097295176600782</v>
      </c>
      <c r="V2" s="8" t="n">
        <v>-0.0255887834366468</v>
      </c>
      <c r="W2" s="8"/>
      <c r="X2" s="8"/>
      <c r="Y2" s="17" t="n">
        <v>0.0204666038894258</v>
      </c>
      <c r="Z2" s="17" t="n">
        <v>1.86472794854943E-009</v>
      </c>
      <c r="AA2" s="17" t="n">
        <v>0.011878550872389</v>
      </c>
      <c r="AB2" s="17"/>
      <c r="AC2" s="17"/>
      <c r="AD2" s="17"/>
      <c r="AE2" s="17"/>
      <c r="AF2" s="4"/>
      <c r="AG2" s="8"/>
      <c r="AH2" s="4" t="s">
        <v>325</v>
      </c>
      <c r="AI2" s="4" t="s">
        <v>326</v>
      </c>
      <c r="AJ2" s="4" t="s">
        <v>327</v>
      </c>
    </row>
    <row r="3" customFormat="false" ht="15" hidden="false" customHeight="false" outlineLevel="0" collapsed="false">
      <c r="A3" s="4" t="s">
        <v>321</v>
      </c>
      <c r="B3" s="4" t="s">
        <v>199</v>
      </c>
      <c r="C3" s="4" t="s">
        <v>322</v>
      </c>
      <c r="D3" s="4" t="s">
        <v>175</v>
      </c>
      <c r="E3" s="4" t="s">
        <v>323</v>
      </c>
      <c r="F3" s="4" t="s">
        <v>324</v>
      </c>
      <c r="G3" s="4" t="n">
        <v>0.6</v>
      </c>
      <c r="H3" s="4" t="n">
        <v>711</v>
      </c>
      <c r="I3" s="4" t="n">
        <v>31</v>
      </c>
      <c r="J3" s="4" t="n">
        <v>31</v>
      </c>
      <c r="K3" s="8" t="n">
        <v>-0.051423249808593</v>
      </c>
      <c r="L3" s="8" t="n">
        <v>0.0103293523654357</v>
      </c>
      <c r="M3" s="8" t="n">
        <v>-4.97836146830142</v>
      </c>
      <c r="N3" s="16" t="n">
        <v>19.7567151023143</v>
      </c>
      <c r="O3" s="8" t="n">
        <v>7.47529519688623E-005</v>
      </c>
      <c r="P3" s="8" t="n">
        <v>-0.0729869232775503</v>
      </c>
      <c r="Q3" s="8" t="n">
        <v>-0.0298595763396356</v>
      </c>
      <c r="R3" s="8"/>
      <c r="S3" s="8"/>
      <c r="T3" s="8" t="n">
        <v>-0.0513779706673737</v>
      </c>
      <c r="U3" s="8" t="n">
        <v>-0.0728575961854734</v>
      </c>
      <c r="V3" s="8" t="n">
        <v>-0.0298507052940249</v>
      </c>
      <c r="W3" s="8"/>
      <c r="X3" s="8"/>
      <c r="Y3" s="17" t="n">
        <v>0.0204666038894258</v>
      </c>
      <c r="Z3" s="17" t="n">
        <v>1.86472794854943E-009</v>
      </c>
      <c r="AA3" s="17" t="n">
        <v>0.011878550872389</v>
      </c>
      <c r="AB3" s="17"/>
      <c r="AC3" s="17"/>
      <c r="AD3" s="17"/>
      <c r="AE3" s="17"/>
      <c r="AF3" s="4"/>
      <c r="AG3" s="8"/>
      <c r="AH3" s="4" t="s">
        <v>325</v>
      </c>
      <c r="AI3" s="4" t="s">
        <v>328</v>
      </c>
      <c r="AJ3" s="4" t="s">
        <v>329</v>
      </c>
    </row>
    <row r="4" customFormat="false" ht="15" hidden="false" customHeight="false" outlineLevel="0" collapsed="false">
      <c r="A4" s="4" t="s">
        <v>321</v>
      </c>
      <c r="B4" s="4" t="s">
        <v>199</v>
      </c>
      <c r="C4" s="4" t="s">
        <v>322</v>
      </c>
      <c r="D4" s="4" t="s">
        <v>330</v>
      </c>
      <c r="E4" s="4" t="s">
        <v>323</v>
      </c>
      <c r="F4" s="4" t="s">
        <v>324</v>
      </c>
      <c r="G4" s="4" t="n">
        <v>0.6</v>
      </c>
      <c r="H4" s="4" t="n">
        <v>2705</v>
      </c>
      <c r="I4" s="4" t="n">
        <v>113</v>
      </c>
      <c r="J4" s="4" t="n">
        <v>112</v>
      </c>
      <c r="K4" s="8" t="n">
        <v>0.0101759067104026</v>
      </c>
      <c r="L4" s="8" t="n">
        <v>0.0181072824212575</v>
      </c>
      <c r="M4" s="8" t="n">
        <v>0.561978682038798</v>
      </c>
      <c r="N4" s="16" t="n">
        <v>14.9920663728925</v>
      </c>
      <c r="O4" s="8" t="n">
        <v>0.582435725630516</v>
      </c>
      <c r="P4" s="8" t="n">
        <v>-0.0284206311144901</v>
      </c>
      <c r="Q4" s="8" t="n">
        <v>0.0487724445352953</v>
      </c>
      <c r="R4" s="8"/>
      <c r="S4" s="8"/>
      <c r="T4" s="8"/>
      <c r="U4" s="8"/>
      <c r="V4" s="8"/>
      <c r="W4" s="8"/>
      <c r="X4" s="8"/>
      <c r="Y4" s="17" t="n">
        <v>0.0204666038894258</v>
      </c>
      <c r="Z4" s="17" t="n">
        <v>1.86472794854943E-009</v>
      </c>
      <c r="AA4" s="17" t="n">
        <v>0.011878550872389</v>
      </c>
      <c r="AB4" s="17"/>
      <c r="AC4" s="17"/>
      <c r="AD4" s="17"/>
      <c r="AE4" s="17"/>
      <c r="AF4" s="4"/>
      <c r="AG4" s="8"/>
      <c r="AH4" s="4" t="s">
        <v>325</v>
      </c>
      <c r="AI4" s="4" t="s">
        <v>331</v>
      </c>
      <c r="AJ4" s="4" t="s">
        <v>332</v>
      </c>
    </row>
    <row r="5" customFormat="false" ht="15" hidden="false" customHeight="false" outlineLevel="0" collapsed="false">
      <c r="A5" s="4" t="s">
        <v>333</v>
      </c>
      <c r="B5" s="4" t="s">
        <v>202</v>
      </c>
      <c r="C5" s="4" t="s">
        <v>322</v>
      </c>
      <c r="D5" s="4" t="s">
        <v>174</v>
      </c>
      <c r="E5" s="4" t="s">
        <v>323</v>
      </c>
      <c r="F5" s="4" t="s">
        <v>324</v>
      </c>
      <c r="G5" s="4" t="n">
        <v>0.6</v>
      </c>
      <c r="H5" s="4" t="n">
        <v>2073</v>
      </c>
      <c r="I5" s="4" t="n">
        <v>88</v>
      </c>
      <c r="J5" s="4" t="n">
        <v>87</v>
      </c>
      <c r="K5" s="8" t="n">
        <v>-0.0610454293215054</v>
      </c>
      <c r="L5" s="8" t="n">
        <v>0.0171159385624847</v>
      </c>
      <c r="M5" s="8" t="n">
        <v>-3.56658380717181</v>
      </c>
      <c r="N5" s="16" t="n">
        <v>75.0852727594776</v>
      </c>
      <c r="O5" s="8" t="n">
        <v>0.000633760487671207</v>
      </c>
      <c r="P5" s="8" t="n">
        <v>-0.0951414927104572</v>
      </c>
      <c r="Q5" s="8" t="n">
        <v>-0.0269493659325537</v>
      </c>
      <c r="R5" s="8"/>
      <c r="S5" s="8"/>
      <c r="T5" s="8" t="n">
        <v>-0.0609697126823082</v>
      </c>
      <c r="U5" s="8" t="n">
        <v>-0.0948554577888118</v>
      </c>
      <c r="V5" s="8" t="n">
        <v>-0.0269428436703677</v>
      </c>
      <c r="W5" s="8"/>
      <c r="X5" s="8"/>
      <c r="Y5" s="17" t="n">
        <v>0.0204607447218486</v>
      </c>
      <c r="Z5" s="17" t="n">
        <v>4.91539263021507E-010</v>
      </c>
      <c r="AA5" s="17" t="n">
        <v>0.011878769829278</v>
      </c>
      <c r="AB5" s="17"/>
      <c r="AC5" s="17"/>
      <c r="AD5" s="17"/>
      <c r="AE5" s="17"/>
      <c r="AF5" s="4"/>
      <c r="AG5" s="8"/>
      <c r="AH5" s="4" t="s">
        <v>334</v>
      </c>
      <c r="AI5" s="4"/>
      <c r="AJ5" s="4" t="s">
        <v>335</v>
      </c>
    </row>
    <row r="6" customFormat="false" ht="15" hidden="false" customHeight="false" outlineLevel="0" collapsed="false">
      <c r="A6" s="4" t="s">
        <v>333</v>
      </c>
      <c r="B6" s="4" t="s">
        <v>202</v>
      </c>
      <c r="C6" s="4" t="s">
        <v>322</v>
      </c>
      <c r="D6" s="4" t="s">
        <v>175</v>
      </c>
      <c r="E6" s="4" t="s">
        <v>323</v>
      </c>
      <c r="F6" s="4" t="s">
        <v>324</v>
      </c>
      <c r="G6" s="4" t="n">
        <v>0.6</v>
      </c>
      <c r="H6" s="4" t="n">
        <v>632</v>
      </c>
      <c r="I6" s="4" t="n">
        <v>26</v>
      </c>
      <c r="J6" s="4" t="n">
        <v>26</v>
      </c>
      <c r="K6" s="8" t="n">
        <v>-0.0512398884207987</v>
      </c>
      <c r="L6" s="8" t="n">
        <v>0.0113956903215929</v>
      </c>
      <c r="M6" s="8" t="n">
        <v>-4.49642689251637</v>
      </c>
      <c r="N6" s="16" t="n">
        <v>15.6330480305914</v>
      </c>
      <c r="O6" s="8" t="n">
        <v>0.000386699645032957</v>
      </c>
      <c r="P6" s="8" t="n">
        <v>-0.0754438405903557</v>
      </c>
      <c r="Q6" s="8" t="n">
        <v>-0.0270359362512417</v>
      </c>
      <c r="R6" s="8"/>
      <c r="S6" s="8"/>
      <c r="T6" s="8" t="n">
        <v>-0.0511950915770714</v>
      </c>
      <c r="U6" s="8" t="n">
        <v>-0.0753010293142456</v>
      </c>
      <c r="V6" s="8" t="n">
        <v>-0.0270293509442148</v>
      </c>
      <c r="W6" s="8"/>
      <c r="X6" s="8"/>
      <c r="Y6" s="17" t="n">
        <v>0.0204607447218486</v>
      </c>
      <c r="Z6" s="17" t="n">
        <v>4.91539263021507E-010</v>
      </c>
      <c r="AA6" s="17" t="n">
        <v>0.011878769829278</v>
      </c>
      <c r="AB6" s="17"/>
      <c r="AC6" s="17"/>
      <c r="AD6" s="17"/>
      <c r="AE6" s="17"/>
      <c r="AF6" s="4"/>
      <c r="AG6" s="8"/>
      <c r="AH6" s="4" t="s">
        <v>334</v>
      </c>
      <c r="AI6" s="4"/>
      <c r="AJ6" s="4" t="s">
        <v>336</v>
      </c>
    </row>
    <row r="7" customFormat="false" ht="15" hidden="false" customHeight="false" outlineLevel="0" collapsed="false">
      <c r="A7" s="4" t="s">
        <v>333</v>
      </c>
      <c r="B7" s="4" t="s">
        <v>202</v>
      </c>
      <c r="C7" s="4" t="s">
        <v>322</v>
      </c>
      <c r="D7" s="4" t="s">
        <v>330</v>
      </c>
      <c r="E7" s="4" t="s">
        <v>323</v>
      </c>
      <c r="F7" s="4" t="s">
        <v>324</v>
      </c>
      <c r="G7" s="4" t="n">
        <v>0.6</v>
      </c>
      <c r="H7" s="4" t="n">
        <v>2705</v>
      </c>
      <c r="I7" s="4" t="n">
        <v>113</v>
      </c>
      <c r="J7" s="4" t="n">
        <v>112</v>
      </c>
      <c r="K7" s="8" t="n">
        <v>0.00980554090070676</v>
      </c>
      <c r="L7" s="8" t="n">
        <v>0.0177480274878596</v>
      </c>
      <c r="M7" s="8" t="n">
        <v>0.552486235859966</v>
      </c>
      <c r="N7" s="16" t="n">
        <v>12.2637097789956</v>
      </c>
      <c r="O7" s="8" t="n">
        <v>0.59054305378376</v>
      </c>
      <c r="P7" s="8" t="n">
        <v>-0.0287720664658283</v>
      </c>
      <c r="Q7" s="8" t="n">
        <v>0.0483831482672418</v>
      </c>
      <c r="R7" s="8"/>
      <c r="S7" s="8"/>
      <c r="T7" s="8"/>
      <c r="U7" s="8"/>
      <c r="V7" s="8"/>
      <c r="W7" s="8"/>
      <c r="X7" s="8"/>
      <c r="Y7" s="17" t="n">
        <v>0.0204607447218486</v>
      </c>
      <c r="Z7" s="17" t="n">
        <v>4.91539263021507E-010</v>
      </c>
      <c r="AA7" s="17" t="n">
        <v>0.011878769829278</v>
      </c>
      <c r="AB7" s="17"/>
      <c r="AC7" s="17"/>
      <c r="AD7" s="17"/>
      <c r="AE7" s="17"/>
      <c r="AF7" s="4"/>
      <c r="AG7" s="8"/>
      <c r="AH7" s="4" t="s">
        <v>334</v>
      </c>
      <c r="AI7" s="4"/>
      <c r="AJ7" s="4" t="s">
        <v>337</v>
      </c>
    </row>
    <row r="8" customFormat="false" ht="15" hidden="false" customHeight="false" outlineLevel="0" collapsed="false">
      <c r="A8" s="4" t="s">
        <v>333</v>
      </c>
      <c r="B8" s="4" t="s">
        <v>204</v>
      </c>
      <c r="C8" s="4" t="s">
        <v>322</v>
      </c>
      <c r="D8" s="4" t="s">
        <v>174</v>
      </c>
      <c r="E8" s="4" t="s">
        <v>323</v>
      </c>
      <c r="F8" s="4" t="s">
        <v>324</v>
      </c>
      <c r="G8" s="4" t="n">
        <v>0.6</v>
      </c>
      <c r="H8" s="4" t="n">
        <v>611</v>
      </c>
      <c r="I8" s="4" t="n">
        <v>27</v>
      </c>
      <c r="J8" s="4" t="n">
        <v>27</v>
      </c>
      <c r="K8" s="8" t="n">
        <v>-0.0438447093475734</v>
      </c>
      <c r="L8" s="8" t="n">
        <v>0.0105704048908513</v>
      </c>
      <c r="M8" s="8" t="n">
        <v>-4.14787416379111</v>
      </c>
      <c r="N8" s="16" t="n">
        <v>25.4126768439086</v>
      </c>
      <c r="O8" s="8" t="n">
        <v>0.000329640940965235</v>
      </c>
      <c r="P8" s="8" t="n">
        <v>-0.0655969539971294</v>
      </c>
      <c r="Q8" s="8" t="n">
        <v>-0.0220924646980175</v>
      </c>
      <c r="R8" s="8"/>
      <c r="S8" s="8"/>
      <c r="T8" s="8" t="n">
        <v>-0.043816635850523</v>
      </c>
      <c r="U8" s="8" t="n">
        <v>-0.0655030286254501</v>
      </c>
      <c r="V8" s="8" t="n">
        <v>-0.0220888711249875</v>
      </c>
      <c r="W8" s="8"/>
      <c r="X8" s="8"/>
      <c r="Y8" s="17" t="n">
        <v>0.0204494881775962</v>
      </c>
      <c r="Z8" s="17" t="n">
        <v>2.02040936869797E-009</v>
      </c>
      <c r="AA8" s="17" t="n">
        <v>0.011877985361228</v>
      </c>
      <c r="AB8" s="17"/>
      <c r="AC8" s="17"/>
      <c r="AD8" s="17"/>
      <c r="AE8" s="17"/>
      <c r="AF8" s="4"/>
      <c r="AG8" s="8"/>
      <c r="AH8" s="4" t="s">
        <v>334</v>
      </c>
      <c r="AI8" s="4"/>
      <c r="AJ8" s="4" t="s">
        <v>338</v>
      </c>
    </row>
    <row r="9" customFormat="false" ht="15" hidden="false" customHeight="false" outlineLevel="0" collapsed="false">
      <c r="A9" s="4" t="s">
        <v>333</v>
      </c>
      <c r="B9" s="4" t="s">
        <v>204</v>
      </c>
      <c r="C9" s="4" t="s">
        <v>322</v>
      </c>
      <c r="D9" s="4" t="s">
        <v>175</v>
      </c>
      <c r="E9" s="4" t="s">
        <v>323</v>
      </c>
      <c r="F9" s="4" t="s">
        <v>324</v>
      </c>
      <c r="G9" s="4" t="n">
        <v>0.6</v>
      </c>
      <c r="H9" s="4" t="n">
        <v>2094</v>
      </c>
      <c r="I9" s="4" t="n">
        <v>86</v>
      </c>
      <c r="J9" s="4" t="n">
        <v>85</v>
      </c>
      <c r="K9" s="8" t="n">
        <v>-0.0632481645925098</v>
      </c>
      <c r="L9" s="8" t="n">
        <v>0.0180666745030375</v>
      </c>
      <c r="M9" s="8" t="n">
        <v>-3.50081939993307</v>
      </c>
      <c r="N9" s="16" t="n">
        <v>83.4849103305297</v>
      </c>
      <c r="O9" s="8" t="n">
        <v>0.000747196833297005</v>
      </c>
      <c r="P9" s="8" t="n">
        <v>-0.0991789671026683</v>
      </c>
      <c r="Q9" s="8" t="n">
        <v>-0.0273173620823514</v>
      </c>
      <c r="R9" s="8"/>
      <c r="S9" s="8"/>
      <c r="T9" s="8" t="n">
        <v>-0.0631639614757971</v>
      </c>
      <c r="U9" s="8" t="n">
        <v>-0.0988550512885737</v>
      </c>
      <c r="V9" s="8" t="n">
        <v>-0.0273105690230231</v>
      </c>
      <c r="W9" s="8"/>
      <c r="X9" s="8"/>
      <c r="Y9" s="17" t="n">
        <v>0.0204494881775962</v>
      </c>
      <c r="Z9" s="17" t="n">
        <v>2.02040936869797E-009</v>
      </c>
      <c r="AA9" s="17" t="n">
        <v>0.011877985361228</v>
      </c>
      <c r="AB9" s="17"/>
      <c r="AC9" s="17"/>
      <c r="AD9" s="17"/>
      <c r="AE9" s="17"/>
      <c r="AF9" s="4"/>
      <c r="AG9" s="8"/>
      <c r="AH9" s="4" t="s">
        <v>334</v>
      </c>
      <c r="AI9" s="4"/>
      <c r="AJ9" s="4" t="s">
        <v>339</v>
      </c>
    </row>
    <row r="10" customFormat="false" ht="15" hidden="false" customHeight="false" outlineLevel="0" collapsed="false">
      <c r="A10" s="4" t="s">
        <v>333</v>
      </c>
      <c r="B10" s="4" t="s">
        <v>204</v>
      </c>
      <c r="C10" s="4" t="s">
        <v>322</v>
      </c>
      <c r="D10" s="4" t="s">
        <v>330</v>
      </c>
      <c r="E10" s="4" t="s">
        <v>323</v>
      </c>
      <c r="F10" s="4" t="s">
        <v>324</v>
      </c>
      <c r="G10" s="4" t="n">
        <v>0.6</v>
      </c>
      <c r="H10" s="4" t="n">
        <v>2705</v>
      </c>
      <c r="I10" s="4" t="n">
        <v>113</v>
      </c>
      <c r="J10" s="4" t="n">
        <v>112</v>
      </c>
      <c r="K10" s="8" t="n">
        <v>-0.0194034552449364</v>
      </c>
      <c r="L10" s="8" t="n">
        <v>0.0209317506949428</v>
      </c>
      <c r="M10" s="8" t="n">
        <v>-0.926986735496728</v>
      </c>
      <c r="N10" s="16" t="n">
        <v>41.6029095187179</v>
      </c>
      <c r="O10" s="8" t="n">
        <v>0.35928021253577</v>
      </c>
      <c r="P10" s="8" t="n">
        <v>-0.0616573866283337</v>
      </c>
      <c r="Q10" s="8" t="n">
        <v>0.0228504761384608</v>
      </c>
      <c r="R10" s="8"/>
      <c r="S10" s="8"/>
      <c r="T10" s="8"/>
      <c r="U10" s="8"/>
      <c r="V10" s="8"/>
      <c r="W10" s="8"/>
      <c r="X10" s="8"/>
      <c r="Y10" s="17" t="n">
        <v>0.0204494881775962</v>
      </c>
      <c r="Z10" s="17" t="n">
        <v>2.02040936869797E-009</v>
      </c>
      <c r="AA10" s="17" t="n">
        <v>0.011877985361228</v>
      </c>
      <c r="AB10" s="17"/>
      <c r="AC10" s="17"/>
      <c r="AD10" s="17"/>
      <c r="AE10" s="17"/>
      <c r="AF10" s="4"/>
      <c r="AG10" s="8"/>
      <c r="AH10" s="4" t="s">
        <v>334</v>
      </c>
      <c r="AI10" s="4"/>
      <c r="AJ10" s="4" t="s">
        <v>340</v>
      </c>
    </row>
    <row r="11" customFormat="false" ht="15" hidden="false" customHeight="false" outlineLevel="0" collapsed="false">
      <c r="A11" s="4" t="s">
        <v>333</v>
      </c>
      <c r="B11" s="4" t="s">
        <v>206</v>
      </c>
      <c r="C11" s="4" t="s">
        <v>322</v>
      </c>
      <c r="D11" s="4" t="s">
        <v>174</v>
      </c>
      <c r="E11" s="4" t="s">
        <v>323</v>
      </c>
      <c r="F11" s="4" t="s">
        <v>324</v>
      </c>
      <c r="G11" s="4" t="n">
        <v>0.6</v>
      </c>
      <c r="H11" s="4" t="n">
        <v>2082</v>
      </c>
      <c r="I11" s="4" t="n">
        <v>91</v>
      </c>
      <c r="J11" s="4" t="n">
        <v>90</v>
      </c>
      <c r="K11" s="8" t="n">
        <v>-0.0604594880128316</v>
      </c>
      <c r="L11" s="8" t="n">
        <v>0.0167019734348267</v>
      </c>
      <c r="M11" s="8" t="n">
        <v>-3.61990086074274</v>
      </c>
      <c r="N11" s="16" t="n">
        <v>78.7655514152521</v>
      </c>
      <c r="O11" s="8" t="n">
        <v>0.000519160678407966</v>
      </c>
      <c r="P11" s="8" t="n">
        <v>-0.0937054732150305</v>
      </c>
      <c r="Q11" s="8" t="n">
        <v>-0.0272135028106327</v>
      </c>
      <c r="R11" s="8"/>
      <c r="S11" s="8"/>
      <c r="T11" s="8" t="n">
        <v>-0.0603859287080153</v>
      </c>
      <c r="U11" s="8" t="n">
        <v>-0.0934321660675824</v>
      </c>
      <c r="V11" s="8" t="n">
        <v>-0.0272067869225263</v>
      </c>
      <c r="W11" s="8"/>
      <c r="X11" s="8"/>
      <c r="Y11" s="17" t="n">
        <v>0.0204557732304027</v>
      </c>
      <c r="Z11" s="17" t="n">
        <v>2.75377029366802E-009</v>
      </c>
      <c r="AA11" s="17" t="n">
        <v>0.0118790830586157</v>
      </c>
      <c r="AB11" s="17"/>
      <c r="AC11" s="17"/>
      <c r="AD11" s="17"/>
      <c r="AE11" s="17"/>
      <c r="AF11" s="4"/>
      <c r="AG11" s="8"/>
      <c r="AH11" s="4" t="s">
        <v>334</v>
      </c>
      <c r="AI11" s="4"/>
      <c r="AJ11" s="4" t="s">
        <v>341</v>
      </c>
    </row>
    <row r="12" customFormat="false" ht="15" hidden="false" customHeight="false" outlineLevel="0" collapsed="false">
      <c r="A12" s="4" t="s">
        <v>333</v>
      </c>
      <c r="B12" s="4" t="s">
        <v>206</v>
      </c>
      <c r="C12" s="4" t="s">
        <v>322</v>
      </c>
      <c r="D12" s="4" t="s">
        <v>175</v>
      </c>
      <c r="E12" s="4" t="s">
        <v>323</v>
      </c>
      <c r="F12" s="4" t="s">
        <v>324</v>
      </c>
      <c r="G12" s="4" t="n">
        <v>0.6</v>
      </c>
      <c r="H12" s="4" t="n">
        <v>623</v>
      </c>
      <c r="I12" s="4" t="n">
        <v>23</v>
      </c>
      <c r="J12" s="4" t="n">
        <v>23</v>
      </c>
      <c r="K12" s="8" t="n">
        <v>-0.0524254186325793</v>
      </c>
      <c r="L12" s="8" t="n">
        <v>0.0123776827772632</v>
      </c>
      <c r="M12" s="8" t="n">
        <v>-4.23547925536439</v>
      </c>
      <c r="N12" s="16" t="n">
        <v>13.5846734047062</v>
      </c>
      <c r="O12" s="8" t="n">
        <v>0.0008859434356824</v>
      </c>
      <c r="P12" s="8" t="n">
        <v>-0.0790492554597869</v>
      </c>
      <c r="Q12" s="8" t="n">
        <v>-0.0258015818053716</v>
      </c>
      <c r="R12" s="8"/>
      <c r="S12" s="8"/>
      <c r="T12" s="8" t="n">
        <v>-0.0523774422736568</v>
      </c>
      <c r="U12" s="8" t="n">
        <v>-0.0788850120479085</v>
      </c>
      <c r="V12" s="8" t="n">
        <v>-0.0257958577726342</v>
      </c>
      <c r="W12" s="8"/>
      <c r="X12" s="8"/>
      <c r="Y12" s="17" t="n">
        <v>0.0204557732304027</v>
      </c>
      <c r="Z12" s="17" t="n">
        <v>2.75377029366802E-009</v>
      </c>
      <c r="AA12" s="17" t="n">
        <v>0.0118790830586157</v>
      </c>
      <c r="AB12" s="17"/>
      <c r="AC12" s="17"/>
      <c r="AD12" s="17"/>
      <c r="AE12" s="17"/>
      <c r="AF12" s="4"/>
      <c r="AG12" s="8"/>
      <c r="AH12" s="4" t="s">
        <v>334</v>
      </c>
      <c r="AI12" s="4"/>
      <c r="AJ12" s="4" t="s">
        <v>342</v>
      </c>
    </row>
    <row r="13" customFormat="false" ht="15" hidden="false" customHeight="false" outlineLevel="0" collapsed="false">
      <c r="A13" s="4" t="s">
        <v>333</v>
      </c>
      <c r="B13" s="4" t="s">
        <v>206</v>
      </c>
      <c r="C13" s="4" t="s">
        <v>322</v>
      </c>
      <c r="D13" s="4" t="s">
        <v>330</v>
      </c>
      <c r="E13" s="4" t="s">
        <v>323</v>
      </c>
      <c r="F13" s="4" t="s">
        <v>324</v>
      </c>
      <c r="G13" s="4" t="n">
        <v>0.6</v>
      </c>
      <c r="H13" s="4" t="n">
        <v>2705</v>
      </c>
      <c r="I13" s="4" t="n">
        <v>113</v>
      </c>
      <c r="J13" s="4" t="n">
        <v>112</v>
      </c>
      <c r="K13" s="8" t="n">
        <v>0.00803406938025233</v>
      </c>
      <c r="L13" s="8" t="n">
        <v>0.01800013275341</v>
      </c>
      <c r="M13" s="8" t="n">
        <v>0.446333895994757</v>
      </c>
      <c r="N13" s="16" t="n">
        <v>10.8521828308988</v>
      </c>
      <c r="O13" s="8" t="n">
        <v>0.664130799693444</v>
      </c>
      <c r="P13" s="8" t="n">
        <v>-0.0316498941585884</v>
      </c>
      <c r="Q13" s="8" t="n">
        <v>0.0477180329190931</v>
      </c>
      <c r="R13" s="8"/>
      <c r="S13" s="8"/>
      <c r="T13" s="8"/>
      <c r="U13" s="8"/>
      <c r="V13" s="8"/>
      <c r="W13" s="8"/>
      <c r="X13" s="8"/>
      <c r="Y13" s="17" t="n">
        <v>0.0204557732304027</v>
      </c>
      <c r="Z13" s="17" t="n">
        <v>2.75377029366802E-009</v>
      </c>
      <c r="AA13" s="17" t="n">
        <v>0.0118790830586157</v>
      </c>
      <c r="AB13" s="17"/>
      <c r="AC13" s="17"/>
      <c r="AD13" s="17"/>
      <c r="AE13" s="17"/>
      <c r="AF13" s="4"/>
      <c r="AG13" s="8"/>
      <c r="AH13" s="4" t="s">
        <v>334</v>
      </c>
      <c r="AI13" s="4"/>
      <c r="AJ13" s="4" t="s">
        <v>343</v>
      </c>
    </row>
    <row r="14" customFormat="false" ht="15" hidden="false" customHeight="false" outlineLevel="0" collapsed="false">
      <c r="A14" s="4" t="s">
        <v>333</v>
      </c>
      <c r="B14" s="4" t="s">
        <v>208</v>
      </c>
      <c r="C14" s="4" t="s">
        <v>322</v>
      </c>
      <c r="D14" s="4" t="s">
        <v>174</v>
      </c>
      <c r="E14" s="4" t="s">
        <v>323</v>
      </c>
      <c r="F14" s="4" t="s">
        <v>324</v>
      </c>
      <c r="G14" s="4" t="n">
        <v>0.6</v>
      </c>
      <c r="H14" s="4" t="n">
        <v>2199</v>
      </c>
      <c r="I14" s="4" t="n">
        <v>98</v>
      </c>
      <c r="J14" s="4" t="n">
        <v>97</v>
      </c>
      <c r="K14" s="8" t="n">
        <v>-0.0592525986406902</v>
      </c>
      <c r="L14" s="8" t="n">
        <v>0.016254743291847</v>
      </c>
      <c r="M14" s="8" t="n">
        <v>-3.64524973276015</v>
      </c>
      <c r="N14" s="16" t="n">
        <v>94.8863751402465</v>
      </c>
      <c r="O14" s="8" t="n">
        <v>0.000435949701207051</v>
      </c>
      <c r="P14" s="8" t="n">
        <v>-0.0915228424911087</v>
      </c>
      <c r="Q14" s="8" t="n">
        <v>-0.0269823547902717</v>
      </c>
      <c r="R14" s="8"/>
      <c r="S14" s="8"/>
      <c r="T14" s="8" t="n">
        <v>-0.0591833531513757</v>
      </c>
      <c r="U14" s="8" t="n">
        <v>-0.0912681509038616</v>
      </c>
      <c r="V14" s="8" t="n">
        <v>-0.0269758085516072</v>
      </c>
      <c r="W14" s="8"/>
      <c r="X14" s="8"/>
      <c r="Y14" s="17" t="n">
        <v>0.0205096434783448</v>
      </c>
      <c r="Z14" s="17" t="n">
        <v>2.03819679457842E-009</v>
      </c>
      <c r="AA14" s="17" t="n">
        <v>0.011878094579736</v>
      </c>
      <c r="AB14" s="17"/>
      <c r="AC14" s="17"/>
      <c r="AD14" s="17"/>
      <c r="AE14" s="17"/>
      <c r="AF14" s="4"/>
      <c r="AG14" s="8"/>
      <c r="AH14" s="4" t="s">
        <v>334</v>
      </c>
      <c r="AI14" s="4"/>
      <c r="AJ14" s="4" t="s">
        <v>344</v>
      </c>
    </row>
    <row r="15" customFormat="false" ht="15" hidden="false" customHeight="false" outlineLevel="0" collapsed="false">
      <c r="A15" s="4" t="s">
        <v>333</v>
      </c>
      <c r="B15" s="4" t="s">
        <v>208</v>
      </c>
      <c r="C15" s="4" t="s">
        <v>322</v>
      </c>
      <c r="D15" s="4" t="s">
        <v>175</v>
      </c>
      <c r="E15" s="4" t="s">
        <v>323</v>
      </c>
      <c r="F15" s="4" t="s">
        <v>324</v>
      </c>
      <c r="G15" s="4" t="n">
        <v>0.6</v>
      </c>
      <c r="H15" s="4" t="n">
        <v>506</v>
      </c>
      <c r="I15" s="4" t="n">
        <v>15</v>
      </c>
      <c r="J15" s="4" t="n">
        <v>15</v>
      </c>
      <c r="K15" s="8" t="n">
        <v>-0.0561295560455696</v>
      </c>
      <c r="L15" s="8" t="n">
        <v>0.0151764219719727</v>
      </c>
      <c r="M15" s="8" t="n">
        <v>-3.69847096695307</v>
      </c>
      <c r="N15" s="16" t="n">
        <v>13.9748564483177</v>
      </c>
      <c r="O15" s="8" t="n">
        <v>0.00239117032206988</v>
      </c>
      <c r="P15" s="8" t="n">
        <v>-0.0886852390058153</v>
      </c>
      <c r="Q15" s="8" t="n">
        <v>-0.0235738730853239</v>
      </c>
      <c r="R15" s="8"/>
      <c r="S15" s="8"/>
      <c r="T15" s="8" t="n">
        <v>-0.0560706843401197</v>
      </c>
      <c r="U15" s="8" t="n">
        <v>-0.0884534629007158</v>
      </c>
      <c r="V15" s="8" t="n">
        <v>-0.0235695071727003</v>
      </c>
      <c r="W15" s="8"/>
      <c r="X15" s="8"/>
      <c r="Y15" s="17" t="n">
        <v>0.0205096434783448</v>
      </c>
      <c r="Z15" s="17" t="n">
        <v>2.03819679457842E-009</v>
      </c>
      <c r="AA15" s="17" t="n">
        <v>0.011878094579736</v>
      </c>
      <c r="AB15" s="17"/>
      <c r="AC15" s="17"/>
      <c r="AD15" s="17"/>
      <c r="AE15" s="17"/>
      <c r="AF15" s="4"/>
      <c r="AG15" s="8"/>
      <c r="AH15" s="4" t="s">
        <v>334</v>
      </c>
      <c r="AI15" s="4"/>
      <c r="AJ15" s="4" t="s">
        <v>345</v>
      </c>
    </row>
    <row r="16" customFormat="false" ht="15" hidden="false" customHeight="false" outlineLevel="0" collapsed="false">
      <c r="A16" s="4" t="s">
        <v>333</v>
      </c>
      <c r="B16" s="4" t="s">
        <v>208</v>
      </c>
      <c r="C16" s="4" t="s">
        <v>322</v>
      </c>
      <c r="D16" s="4" t="s">
        <v>330</v>
      </c>
      <c r="E16" s="4" t="s">
        <v>323</v>
      </c>
      <c r="F16" s="4" t="s">
        <v>324</v>
      </c>
      <c r="G16" s="4" t="n">
        <v>0.6</v>
      </c>
      <c r="H16" s="4" t="n">
        <v>2705</v>
      </c>
      <c r="I16" s="4" t="n">
        <v>113</v>
      </c>
      <c r="J16" s="4" t="n">
        <v>112</v>
      </c>
      <c r="K16" s="8" t="n">
        <v>0.00312304259512057</v>
      </c>
      <c r="L16" s="8" t="n">
        <v>0.0222382657452244</v>
      </c>
      <c r="M16" s="8" t="n">
        <v>0.140435528152245</v>
      </c>
      <c r="N16" s="16" t="n">
        <v>18.7761441211637</v>
      </c>
      <c r="O16" s="8" t="n">
        <v>0.889811509138402</v>
      </c>
      <c r="P16" s="8" t="n">
        <v>-0.0434597701736126</v>
      </c>
      <c r="Q16" s="8" t="n">
        <v>0.0497058553638537</v>
      </c>
      <c r="R16" s="8"/>
      <c r="S16" s="8"/>
      <c r="T16" s="8"/>
      <c r="U16" s="8"/>
      <c r="V16" s="8"/>
      <c r="W16" s="8"/>
      <c r="X16" s="8"/>
      <c r="Y16" s="17" t="n">
        <v>0.0205096434783448</v>
      </c>
      <c r="Z16" s="17" t="n">
        <v>2.03819679457842E-009</v>
      </c>
      <c r="AA16" s="17" t="n">
        <v>0.011878094579736</v>
      </c>
      <c r="AB16" s="17"/>
      <c r="AC16" s="17"/>
      <c r="AD16" s="17"/>
      <c r="AE16" s="17"/>
      <c r="AF16" s="4"/>
      <c r="AG16" s="8"/>
      <c r="AH16" s="4" t="s">
        <v>334</v>
      </c>
      <c r="AI16" s="4"/>
      <c r="AJ16" s="4" t="s">
        <v>346</v>
      </c>
    </row>
    <row r="17" customFormat="false" ht="15" hidden="false" customHeight="false" outlineLevel="0" collapsed="false">
      <c r="A17" s="4" t="s">
        <v>333</v>
      </c>
      <c r="B17" s="4" t="s">
        <v>209</v>
      </c>
      <c r="C17" s="4" t="s">
        <v>322</v>
      </c>
      <c r="D17" s="4" t="s">
        <v>174</v>
      </c>
      <c r="E17" s="4" t="s">
        <v>323</v>
      </c>
      <c r="F17" s="4" t="s">
        <v>324</v>
      </c>
      <c r="G17" s="4" t="n">
        <v>0.6</v>
      </c>
      <c r="H17" s="4" t="n">
        <v>2382</v>
      </c>
      <c r="I17" s="4" t="n">
        <v>100</v>
      </c>
      <c r="J17" s="4" t="n">
        <v>99</v>
      </c>
      <c r="K17" s="8" t="n">
        <v>-0.0593246168244716</v>
      </c>
      <c r="L17" s="8" t="n">
        <v>0.0159334994137571</v>
      </c>
      <c r="M17" s="8" t="n">
        <v>-3.72326350188021</v>
      </c>
      <c r="N17" s="16" t="n">
        <v>96.8790788153807</v>
      </c>
      <c r="O17" s="8" t="n">
        <v>0.000330269042014197</v>
      </c>
      <c r="P17" s="8" t="n">
        <v>-0.0909487010337274</v>
      </c>
      <c r="Q17" s="8" t="n">
        <v>-0.0277005326152157</v>
      </c>
      <c r="R17" s="8"/>
      <c r="S17" s="8"/>
      <c r="T17" s="8" t="n">
        <v>-0.0592551187732674</v>
      </c>
      <c r="U17" s="8" t="n">
        <v>-0.0906987621993886</v>
      </c>
      <c r="V17" s="8" t="n">
        <v>-0.0276934497361288</v>
      </c>
      <c r="W17" s="8"/>
      <c r="X17" s="8"/>
      <c r="Y17" s="17" t="n">
        <v>0.0205092329530316</v>
      </c>
      <c r="Z17" s="17" t="n">
        <v>1.2185734250331E-009</v>
      </c>
      <c r="AA17" s="17" t="n">
        <v>0.0118780847374474</v>
      </c>
      <c r="AB17" s="17"/>
      <c r="AC17" s="17"/>
      <c r="AD17" s="17"/>
      <c r="AE17" s="17"/>
      <c r="AF17" s="4"/>
      <c r="AG17" s="8"/>
      <c r="AH17" s="4" t="s">
        <v>334</v>
      </c>
      <c r="AI17" s="4"/>
      <c r="AJ17" s="4" t="s">
        <v>347</v>
      </c>
    </row>
    <row r="18" customFormat="false" ht="15" hidden="false" customHeight="false" outlineLevel="0" collapsed="false">
      <c r="A18" s="4" t="s">
        <v>333</v>
      </c>
      <c r="B18" s="4" t="s">
        <v>209</v>
      </c>
      <c r="C18" s="4" t="s">
        <v>322</v>
      </c>
      <c r="D18" s="4" t="s">
        <v>175</v>
      </c>
      <c r="E18" s="4" t="s">
        <v>323</v>
      </c>
      <c r="F18" s="4" t="s">
        <v>324</v>
      </c>
      <c r="G18" s="4" t="n">
        <v>0.6</v>
      </c>
      <c r="H18" s="4" t="n">
        <v>323</v>
      </c>
      <c r="I18" s="4" t="n">
        <v>13</v>
      </c>
      <c r="J18" s="4" t="n">
        <v>13</v>
      </c>
      <c r="K18" s="8" t="n">
        <v>-0.0551189502622751</v>
      </c>
      <c r="L18" s="8" t="n">
        <v>0.016286649648878</v>
      </c>
      <c r="M18" s="8" t="n">
        <v>-3.3843025699317</v>
      </c>
      <c r="N18" s="16" t="n">
        <v>11.9791944177947</v>
      </c>
      <c r="O18" s="8" t="n">
        <v>0.0054372927591515</v>
      </c>
      <c r="P18" s="8" t="n">
        <v>-0.0906113481969028</v>
      </c>
      <c r="Q18" s="8" t="n">
        <v>-0.0196265523276474</v>
      </c>
      <c r="R18" s="8"/>
      <c r="S18" s="8"/>
      <c r="T18" s="8" t="n">
        <v>-0.0550631990756957</v>
      </c>
      <c r="U18" s="8" t="n">
        <v>-0.0903641742916993</v>
      </c>
      <c r="V18" s="8" t="n">
        <v>-0.0196240326563789</v>
      </c>
      <c r="W18" s="8"/>
      <c r="X18" s="8"/>
      <c r="Y18" s="17" t="n">
        <v>0.0205092329530316</v>
      </c>
      <c r="Z18" s="17" t="n">
        <v>1.2185734250331E-009</v>
      </c>
      <c r="AA18" s="17" t="n">
        <v>0.0118780847374474</v>
      </c>
      <c r="AB18" s="17"/>
      <c r="AC18" s="17"/>
      <c r="AD18" s="17"/>
      <c r="AE18" s="17"/>
      <c r="AF18" s="4"/>
      <c r="AG18" s="8"/>
      <c r="AH18" s="4" t="s">
        <v>334</v>
      </c>
      <c r="AI18" s="4"/>
      <c r="AJ18" s="4" t="s">
        <v>348</v>
      </c>
    </row>
    <row r="19" customFormat="false" ht="15" hidden="false" customHeight="false" outlineLevel="0" collapsed="false">
      <c r="A19" s="4" t="s">
        <v>333</v>
      </c>
      <c r="B19" s="4" t="s">
        <v>209</v>
      </c>
      <c r="C19" s="4" t="s">
        <v>322</v>
      </c>
      <c r="D19" s="4" t="s">
        <v>330</v>
      </c>
      <c r="E19" s="4" t="s">
        <v>323</v>
      </c>
      <c r="F19" s="4" t="s">
        <v>324</v>
      </c>
      <c r="G19" s="4" t="n">
        <v>0.6</v>
      </c>
      <c r="H19" s="4" t="n">
        <v>2705</v>
      </c>
      <c r="I19" s="4" t="n">
        <v>113</v>
      </c>
      <c r="J19" s="4" t="n">
        <v>112</v>
      </c>
      <c r="K19" s="8" t="n">
        <v>0.0042056665621965</v>
      </c>
      <c r="L19" s="8" t="n">
        <v>0.0227844543571598</v>
      </c>
      <c r="M19" s="8" t="n">
        <v>0.184584914620741</v>
      </c>
      <c r="N19" s="16" t="n">
        <v>15.4439041670781</v>
      </c>
      <c r="O19" s="8" t="n">
        <v>0.855956667967861</v>
      </c>
      <c r="P19" s="8" t="n">
        <v>-0.0442369541248785</v>
      </c>
      <c r="Q19" s="8" t="n">
        <v>0.0526482872492715</v>
      </c>
      <c r="R19" s="8"/>
      <c r="S19" s="8"/>
      <c r="T19" s="8"/>
      <c r="U19" s="8"/>
      <c r="V19" s="8"/>
      <c r="W19" s="8"/>
      <c r="X19" s="8"/>
      <c r="Y19" s="17" t="n">
        <v>0.0205092329530316</v>
      </c>
      <c r="Z19" s="17" t="n">
        <v>1.2185734250331E-009</v>
      </c>
      <c r="AA19" s="17" t="n">
        <v>0.0118780847374474</v>
      </c>
      <c r="AB19" s="17"/>
      <c r="AC19" s="17"/>
      <c r="AD19" s="17"/>
      <c r="AE19" s="17"/>
      <c r="AF19" s="4"/>
      <c r="AG19" s="8"/>
      <c r="AH19" s="4" t="s">
        <v>334</v>
      </c>
      <c r="AI19" s="4"/>
      <c r="AJ19" s="4" t="s">
        <v>349</v>
      </c>
    </row>
    <row r="20" customFormat="false" ht="15" hidden="false" customHeight="false" outlineLevel="0" collapsed="false">
      <c r="A20" s="4" t="s">
        <v>333</v>
      </c>
      <c r="B20" s="4" t="s">
        <v>210</v>
      </c>
      <c r="C20" s="4" t="s">
        <v>322</v>
      </c>
      <c r="D20" s="4" t="s">
        <v>174</v>
      </c>
      <c r="E20" s="4" t="s">
        <v>323</v>
      </c>
      <c r="F20" s="4" t="s">
        <v>324</v>
      </c>
      <c r="G20" s="4" t="n">
        <v>0.6</v>
      </c>
      <c r="H20" s="4" t="n">
        <v>835</v>
      </c>
      <c r="I20" s="4" t="n">
        <v>39</v>
      </c>
      <c r="J20" s="4" t="n">
        <v>39</v>
      </c>
      <c r="K20" s="8" t="n">
        <v>-0.0545665157054319</v>
      </c>
      <c r="L20" s="8" t="n">
        <v>0.010733065276516</v>
      </c>
      <c r="M20" s="8" t="n">
        <v>-5.08396383508668</v>
      </c>
      <c r="N20" s="16" t="n">
        <v>24.3700158153068</v>
      </c>
      <c r="O20" s="8" t="n">
        <v>3.22004879767895E-005</v>
      </c>
      <c r="P20" s="8" t="n">
        <v>-0.0767006885846797</v>
      </c>
      <c r="Q20" s="8" t="n">
        <v>-0.032432342826184</v>
      </c>
      <c r="R20" s="8"/>
      <c r="S20" s="8"/>
      <c r="T20" s="8" t="n">
        <v>-0.05451242277813</v>
      </c>
      <c r="U20" s="8" t="n">
        <v>-0.0765506317497008</v>
      </c>
      <c r="V20" s="8" t="n">
        <v>-0.0324209762144707</v>
      </c>
      <c r="W20" s="8"/>
      <c r="X20" s="8"/>
      <c r="Y20" s="17" t="n">
        <v>0.020396787831378</v>
      </c>
      <c r="Z20" s="17" t="n">
        <v>3.01920394432889E-009</v>
      </c>
      <c r="AA20" s="17" t="n">
        <v>0.0118806026219398</v>
      </c>
      <c r="AB20" s="17"/>
      <c r="AC20" s="17"/>
      <c r="AD20" s="17"/>
      <c r="AE20" s="17"/>
      <c r="AF20" s="4"/>
      <c r="AG20" s="8"/>
      <c r="AH20" s="4" t="s">
        <v>334</v>
      </c>
      <c r="AI20" s="4"/>
      <c r="AJ20" s="4" t="s">
        <v>350</v>
      </c>
    </row>
    <row r="21" customFormat="false" ht="15" hidden="false" customHeight="false" outlineLevel="0" collapsed="false">
      <c r="A21" s="4" t="s">
        <v>333</v>
      </c>
      <c r="B21" s="4" t="s">
        <v>210</v>
      </c>
      <c r="C21" s="4" t="s">
        <v>322</v>
      </c>
      <c r="D21" s="4" t="s">
        <v>175</v>
      </c>
      <c r="E21" s="4" t="s">
        <v>323</v>
      </c>
      <c r="F21" s="4" t="s">
        <v>324</v>
      </c>
      <c r="G21" s="4" t="n">
        <v>0.6</v>
      </c>
      <c r="H21" s="4" t="n">
        <v>1870</v>
      </c>
      <c r="I21" s="4" t="n">
        <v>75</v>
      </c>
      <c r="J21" s="4" t="n">
        <v>74</v>
      </c>
      <c r="K21" s="8" t="n">
        <v>-0.0609309723623324</v>
      </c>
      <c r="L21" s="8" t="n">
        <v>0.019614427418317</v>
      </c>
      <c r="M21" s="8" t="n">
        <v>-3.10643645429241</v>
      </c>
      <c r="N21" s="16" t="n">
        <v>62.3468844809285</v>
      </c>
      <c r="O21" s="8" t="n">
        <v>0.00284945790559864</v>
      </c>
      <c r="P21" s="8" t="n">
        <v>-0.100135315146144</v>
      </c>
      <c r="Q21" s="8" t="n">
        <v>-0.0217266295785208</v>
      </c>
      <c r="R21" s="8"/>
      <c r="S21" s="8"/>
      <c r="T21" s="8" t="n">
        <v>-0.0608556803993949</v>
      </c>
      <c r="U21" s="8" t="n">
        <v>-0.0998019637821894</v>
      </c>
      <c r="V21" s="8" t="n">
        <v>-0.0217232115645738</v>
      </c>
      <c r="W21" s="8"/>
      <c r="X21" s="8"/>
      <c r="Y21" s="17" t="n">
        <v>0.020396787831378</v>
      </c>
      <c r="Z21" s="17" t="n">
        <v>3.01920394432889E-009</v>
      </c>
      <c r="AA21" s="17" t="n">
        <v>0.0118806026219398</v>
      </c>
      <c r="AB21" s="17"/>
      <c r="AC21" s="17"/>
      <c r="AD21" s="17"/>
      <c r="AE21" s="17"/>
      <c r="AF21" s="4"/>
      <c r="AG21" s="8"/>
      <c r="AH21" s="4" t="s">
        <v>334</v>
      </c>
      <c r="AI21" s="4"/>
      <c r="AJ21" s="4" t="s">
        <v>351</v>
      </c>
    </row>
    <row r="22" customFormat="false" ht="15" hidden="false" customHeight="false" outlineLevel="0" collapsed="false">
      <c r="A22" s="4" t="s">
        <v>333</v>
      </c>
      <c r="B22" s="4" t="s">
        <v>210</v>
      </c>
      <c r="C22" s="4" t="s">
        <v>322</v>
      </c>
      <c r="D22" s="4" t="s">
        <v>330</v>
      </c>
      <c r="E22" s="4" t="s">
        <v>323</v>
      </c>
      <c r="F22" s="4" t="s">
        <v>324</v>
      </c>
      <c r="G22" s="4" t="n">
        <v>0.6</v>
      </c>
      <c r="H22" s="4" t="n">
        <v>2705</v>
      </c>
      <c r="I22" s="4" t="n">
        <v>113</v>
      </c>
      <c r="J22" s="4" t="n">
        <v>112</v>
      </c>
      <c r="K22" s="8" t="n">
        <v>-0.00636445665690057</v>
      </c>
      <c r="L22" s="8" t="n">
        <v>0.0206191866471172</v>
      </c>
      <c r="M22" s="8" t="n">
        <v>-0.308666717355235</v>
      </c>
      <c r="N22" s="16" t="n">
        <v>17.7558878107286</v>
      </c>
      <c r="O22" s="8" t="n">
        <v>0.7611672683926</v>
      </c>
      <c r="P22" s="8" t="n">
        <v>-0.0497264895452708</v>
      </c>
      <c r="Q22" s="8" t="n">
        <v>0.0369975762314697</v>
      </c>
      <c r="R22" s="8"/>
      <c r="S22" s="8"/>
      <c r="T22" s="8"/>
      <c r="U22" s="8"/>
      <c r="V22" s="8"/>
      <c r="W22" s="8"/>
      <c r="X22" s="8"/>
      <c r="Y22" s="17" t="n">
        <v>0.020396787831378</v>
      </c>
      <c r="Z22" s="17" t="n">
        <v>3.01920394432889E-009</v>
      </c>
      <c r="AA22" s="17" t="n">
        <v>0.0118806026219398</v>
      </c>
      <c r="AB22" s="17"/>
      <c r="AC22" s="17"/>
      <c r="AD22" s="17"/>
      <c r="AE22" s="17"/>
      <c r="AF22" s="4"/>
      <c r="AG22" s="8"/>
      <c r="AH22" s="4" t="s">
        <v>334</v>
      </c>
      <c r="AI22" s="4"/>
      <c r="AJ22" s="4" t="s">
        <v>352</v>
      </c>
    </row>
    <row r="23" customFormat="false" ht="15" hidden="false" customHeight="false" outlineLevel="0" collapsed="false">
      <c r="A23" s="4" t="s">
        <v>333</v>
      </c>
      <c r="B23" s="4" t="s">
        <v>213</v>
      </c>
      <c r="C23" s="4" t="s">
        <v>322</v>
      </c>
      <c r="D23" s="4" t="s">
        <v>174</v>
      </c>
      <c r="E23" s="4" t="s">
        <v>323</v>
      </c>
      <c r="F23" s="4" t="s">
        <v>324</v>
      </c>
      <c r="G23" s="4" t="n">
        <v>0.6</v>
      </c>
      <c r="H23" s="4" t="n">
        <v>958</v>
      </c>
      <c r="I23" s="4" t="n">
        <v>50</v>
      </c>
      <c r="J23" s="4" t="n">
        <v>50</v>
      </c>
      <c r="K23" s="8" t="n">
        <v>-0.0815676228208538</v>
      </c>
      <c r="L23" s="8" t="n">
        <v>0.0278117675588998</v>
      </c>
      <c r="M23" s="8" t="n">
        <v>-2.9328456973513</v>
      </c>
      <c r="N23" s="16" t="n">
        <v>34.1463046104557</v>
      </c>
      <c r="O23" s="8" t="n">
        <v>0.00596086115219398</v>
      </c>
      <c r="P23" s="8" t="n">
        <v>-0.138079016012127</v>
      </c>
      <c r="Q23" s="8" t="n">
        <v>-0.0250562296295806</v>
      </c>
      <c r="R23" s="8"/>
      <c r="S23" s="8"/>
      <c r="T23" s="8" t="n">
        <v>-0.0813872056197602</v>
      </c>
      <c r="U23" s="8" t="n">
        <v>-0.137208127446926</v>
      </c>
      <c r="V23" s="8" t="n">
        <v>-0.0250509873900832</v>
      </c>
      <c r="W23" s="8"/>
      <c r="X23" s="8"/>
      <c r="Y23" s="17" t="n">
        <v>0.0199754467270808</v>
      </c>
      <c r="Z23" s="17" t="n">
        <v>3.19857523329889E-009</v>
      </c>
      <c r="AA23" s="17" t="n">
        <v>0.0118795586144005</v>
      </c>
      <c r="AB23" s="17"/>
      <c r="AC23" s="17"/>
      <c r="AD23" s="17"/>
      <c r="AE23" s="17"/>
      <c r="AF23" s="4"/>
      <c r="AG23" s="8"/>
      <c r="AH23" s="4" t="s">
        <v>334</v>
      </c>
      <c r="AI23" s="4"/>
      <c r="AJ23" s="4" t="s">
        <v>353</v>
      </c>
    </row>
    <row r="24" customFormat="false" ht="15" hidden="false" customHeight="false" outlineLevel="0" collapsed="false">
      <c r="A24" s="4" t="s">
        <v>333</v>
      </c>
      <c r="B24" s="4" t="s">
        <v>213</v>
      </c>
      <c r="C24" s="4" t="s">
        <v>322</v>
      </c>
      <c r="D24" s="4" t="s">
        <v>175</v>
      </c>
      <c r="E24" s="4" t="s">
        <v>323</v>
      </c>
      <c r="F24" s="4" t="s">
        <v>324</v>
      </c>
      <c r="G24" s="4" t="n">
        <v>0.6</v>
      </c>
      <c r="H24" s="4" t="n">
        <v>1747</v>
      </c>
      <c r="I24" s="4" t="n">
        <v>64</v>
      </c>
      <c r="J24" s="4" t="n">
        <v>63</v>
      </c>
      <c r="K24" s="8" t="n">
        <v>-0.041778067468085</v>
      </c>
      <c r="L24" s="8" t="n">
        <v>0.00773813336249229</v>
      </c>
      <c r="M24" s="8" t="n">
        <v>-5.39898519591154</v>
      </c>
      <c r="N24" s="16" t="n">
        <v>51.0151795595056</v>
      </c>
      <c r="O24" s="8" t="n">
        <v>1.76049309022207E-006</v>
      </c>
      <c r="P24" s="8" t="n">
        <v>-0.0573129061873938</v>
      </c>
      <c r="Q24" s="8" t="n">
        <v>-0.0262432287487762</v>
      </c>
      <c r="R24" s="8"/>
      <c r="S24" s="8"/>
      <c r="T24" s="8" t="n">
        <v>-0.041753777850011</v>
      </c>
      <c r="U24" s="8" t="n">
        <v>-0.0572502353065569</v>
      </c>
      <c r="V24" s="8" t="n">
        <v>-0.0262372057757333</v>
      </c>
      <c r="W24" s="8"/>
      <c r="X24" s="8"/>
      <c r="Y24" s="17" t="n">
        <v>0.0199754467270808</v>
      </c>
      <c r="Z24" s="17" t="n">
        <v>3.19857523329889E-009</v>
      </c>
      <c r="AA24" s="17" t="n">
        <v>0.0118795586144005</v>
      </c>
      <c r="AB24" s="17"/>
      <c r="AC24" s="17"/>
      <c r="AD24" s="17"/>
      <c r="AE24" s="17"/>
      <c r="AF24" s="4"/>
      <c r="AG24" s="8"/>
      <c r="AH24" s="4" t="s">
        <v>334</v>
      </c>
      <c r="AI24" s="4"/>
      <c r="AJ24" s="4" t="s">
        <v>354</v>
      </c>
    </row>
    <row r="25" customFormat="false" ht="15" hidden="false" customHeight="false" outlineLevel="0" collapsed="false">
      <c r="A25" s="4" t="s">
        <v>333</v>
      </c>
      <c r="B25" s="4" t="s">
        <v>213</v>
      </c>
      <c r="C25" s="4" t="s">
        <v>322</v>
      </c>
      <c r="D25" s="4" t="s">
        <v>330</v>
      </c>
      <c r="E25" s="4" t="s">
        <v>323</v>
      </c>
      <c r="F25" s="4" t="s">
        <v>324</v>
      </c>
      <c r="G25" s="4" t="n">
        <v>0.6</v>
      </c>
      <c r="H25" s="4" t="n">
        <v>2705</v>
      </c>
      <c r="I25" s="4" t="n">
        <v>113</v>
      </c>
      <c r="J25" s="4" t="n">
        <v>112</v>
      </c>
      <c r="K25" s="8" t="n">
        <v>0.0397895553527688</v>
      </c>
      <c r="L25" s="8" t="n">
        <v>0.0261407975073431</v>
      </c>
      <c r="M25" s="8" t="n">
        <v>1.52212476844257</v>
      </c>
      <c r="N25" s="16" t="n">
        <v>22.0108300678987</v>
      </c>
      <c r="O25" s="8" t="n">
        <v>0.14221586082545</v>
      </c>
      <c r="P25" s="8" t="n">
        <v>-0.0144215940460245</v>
      </c>
      <c r="Q25" s="8" t="n">
        <v>0.0940007047515621</v>
      </c>
      <c r="R25" s="8"/>
      <c r="S25" s="8"/>
      <c r="T25" s="8"/>
      <c r="U25" s="8"/>
      <c r="V25" s="8"/>
      <c r="W25" s="8"/>
      <c r="X25" s="8"/>
      <c r="Y25" s="17" t="n">
        <v>0.0199754467270808</v>
      </c>
      <c r="Z25" s="17" t="n">
        <v>3.19857523329889E-009</v>
      </c>
      <c r="AA25" s="17" t="n">
        <v>0.0118795586144005</v>
      </c>
      <c r="AB25" s="17"/>
      <c r="AC25" s="17"/>
      <c r="AD25" s="17"/>
      <c r="AE25" s="17"/>
      <c r="AF25" s="4"/>
      <c r="AG25" s="8"/>
      <c r="AH25" s="4" t="s">
        <v>334</v>
      </c>
      <c r="AI25" s="4"/>
      <c r="AJ25" s="4" t="s">
        <v>355</v>
      </c>
    </row>
    <row r="26" customFormat="false" ht="15" hidden="false" customHeight="false" outlineLevel="0" collapsed="false">
      <c r="A26" s="4" t="s">
        <v>333</v>
      </c>
      <c r="B26" s="4" t="s">
        <v>214</v>
      </c>
      <c r="C26" s="4" t="s">
        <v>322</v>
      </c>
      <c r="D26" s="4" t="s">
        <v>174</v>
      </c>
      <c r="E26" s="4" t="s">
        <v>323</v>
      </c>
      <c r="F26" s="4" t="s">
        <v>324</v>
      </c>
      <c r="G26" s="4" t="n">
        <v>0.6</v>
      </c>
      <c r="H26" s="4" t="n">
        <v>1292</v>
      </c>
      <c r="I26" s="4" t="n">
        <v>63</v>
      </c>
      <c r="J26" s="4" t="n">
        <v>63</v>
      </c>
      <c r="K26" s="8" t="n">
        <v>-0.068530390773203</v>
      </c>
      <c r="L26" s="8" t="n">
        <v>0.0227170068273654</v>
      </c>
      <c r="M26" s="8" t="n">
        <v>-3.01669983611793</v>
      </c>
      <c r="N26" s="16" t="n">
        <v>46.618257456048</v>
      </c>
      <c r="O26" s="8" t="n">
        <v>0.00412988026404482</v>
      </c>
      <c r="P26" s="8" t="n">
        <v>-0.114240994452634</v>
      </c>
      <c r="Q26" s="8" t="n">
        <v>-0.0228197870937724</v>
      </c>
      <c r="R26" s="8"/>
      <c r="S26" s="8"/>
      <c r="T26" s="8" t="n">
        <v>-0.0684233095551028</v>
      </c>
      <c r="U26" s="8" t="n">
        <v>-0.113746588699568</v>
      </c>
      <c r="V26" s="8" t="n">
        <v>-0.0228158268396274</v>
      </c>
      <c r="W26" s="8"/>
      <c r="X26" s="8"/>
      <c r="Y26" s="17" t="n">
        <v>0.0203816323891591</v>
      </c>
      <c r="Z26" s="17" t="n">
        <v>1.9524079390416E-009</v>
      </c>
      <c r="AA26" s="17" t="n">
        <v>0.0118777598077872</v>
      </c>
      <c r="AB26" s="17"/>
      <c r="AC26" s="17"/>
      <c r="AD26" s="17"/>
      <c r="AE26" s="17"/>
      <c r="AF26" s="4"/>
      <c r="AG26" s="8"/>
      <c r="AH26" s="4" t="s">
        <v>334</v>
      </c>
      <c r="AI26" s="4"/>
      <c r="AJ26" s="4" t="s">
        <v>356</v>
      </c>
    </row>
    <row r="27" customFormat="false" ht="15" hidden="false" customHeight="false" outlineLevel="0" collapsed="false">
      <c r="A27" s="4" t="s">
        <v>333</v>
      </c>
      <c r="B27" s="4" t="s">
        <v>214</v>
      </c>
      <c r="C27" s="4" t="s">
        <v>322</v>
      </c>
      <c r="D27" s="4" t="s">
        <v>175</v>
      </c>
      <c r="E27" s="4" t="s">
        <v>323</v>
      </c>
      <c r="F27" s="4" t="s">
        <v>324</v>
      </c>
      <c r="G27" s="4" t="n">
        <v>0.6</v>
      </c>
      <c r="H27" s="4" t="n">
        <v>1413</v>
      </c>
      <c r="I27" s="4" t="n">
        <v>51</v>
      </c>
      <c r="J27" s="4" t="n">
        <v>50</v>
      </c>
      <c r="K27" s="8" t="n">
        <v>-0.0472114988841337</v>
      </c>
      <c r="L27" s="8" t="n">
        <v>0.00902402662675733</v>
      </c>
      <c r="M27" s="8" t="n">
        <v>-5.23175527254606</v>
      </c>
      <c r="N27" s="16" t="n">
        <v>37.6771907254197</v>
      </c>
      <c r="O27" s="8" t="n">
        <v>6.56546469956255E-006</v>
      </c>
      <c r="P27" s="8" t="n">
        <v>-0.0654848270859678</v>
      </c>
      <c r="Q27" s="8" t="n">
        <v>-0.0289381706822997</v>
      </c>
      <c r="R27" s="8"/>
      <c r="S27" s="8"/>
      <c r="T27" s="8" t="n">
        <v>-0.0471764531562816</v>
      </c>
      <c r="U27" s="8" t="n">
        <v>-0.0653913819917187</v>
      </c>
      <c r="V27" s="8" t="n">
        <v>-0.0289300956081782</v>
      </c>
      <c r="W27" s="8"/>
      <c r="X27" s="8"/>
      <c r="Y27" s="17" t="n">
        <v>0.0203816323891591</v>
      </c>
      <c r="Z27" s="17" t="n">
        <v>1.9524079390416E-009</v>
      </c>
      <c r="AA27" s="17" t="n">
        <v>0.0118777598077872</v>
      </c>
      <c r="AB27" s="17"/>
      <c r="AC27" s="17"/>
      <c r="AD27" s="17"/>
      <c r="AE27" s="17"/>
      <c r="AF27" s="4"/>
      <c r="AG27" s="8"/>
      <c r="AH27" s="4" t="s">
        <v>334</v>
      </c>
      <c r="AI27" s="4"/>
      <c r="AJ27" s="4" t="s">
        <v>357</v>
      </c>
    </row>
    <row r="28" customFormat="false" ht="15" hidden="false" customHeight="false" outlineLevel="0" collapsed="false">
      <c r="A28" s="4" t="s">
        <v>333</v>
      </c>
      <c r="B28" s="4" t="s">
        <v>214</v>
      </c>
      <c r="C28" s="4" t="s">
        <v>322</v>
      </c>
      <c r="D28" s="4" t="s">
        <v>330</v>
      </c>
      <c r="E28" s="4" t="s">
        <v>323</v>
      </c>
      <c r="F28" s="4" t="s">
        <v>324</v>
      </c>
      <c r="G28" s="4" t="n">
        <v>0.6</v>
      </c>
      <c r="H28" s="4" t="n">
        <v>2705</v>
      </c>
      <c r="I28" s="4" t="n">
        <v>113</v>
      </c>
      <c r="J28" s="4" t="n">
        <v>112</v>
      </c>
      <c r="K28" s="8" t="n">
        <v>0.0213188918890692</v>
      </c>
      <c r="L28" s="8" t="n">
        <v>0.0217628822200088</v>
      </c>
      <c r="M28" s="8" t="n">
        <v>0.979598734834334</v>
      </c>
      <c r="N28" s="16" t="n">
        <v>22.3049715472071</v>
      </c>
      <c r="O28" s="8" t="n">
        <v>0.337790635985211</v>
      </c>
      <c r="P28" s="8" t="n">
        <v>-0.0237788111571785</v>
      </c>
      <c r="Q28" s="8" t="n">
        <v>0.0664165949353169</v>
      </c>
      <c r="R28" s="8"/>
      <c r="S28" s="8"/>
      <c r="T28" s="8"/>
      <c r="U28" s="8"/>
      <c r="V28" s="8"/>
      <c r="W28" s="8"/>
      <c r="X28" s="8"/>
      <c r="Y28" s="17" t="n">
        <v>0.0203816323891591</v>
      </c>
      <c r="Z28" s="17" t="n">
        <v>1.9524079390416E-009</v>
      </c>
      <c r="AA28" s="17" t="n">
        <v>0.0118777598077872</v>
      </c>
      <c r="AB28" s="17"/>
      <c r="AC28" s="17"/>
      <c r="AD28" s="17"/>
      <c r="AE28" s="17"/>
      <c r="AF28" s="4"/>
      <c r="AG28" s="8"/>
      <c r="AH28" s="4" t="s">
        <v>334</v>
      </c>
      <c r="AI28" s="4"/>
      <c r="AJ28" s="4" t="s">
        <v>358</v>
      </c>
    </row>
    <row r="29" customFormat="false" ht="15" hidden="false" customHeight="false" outlineLevel="0" collapsed="false">
      <c r="A29" s="4" t="s">
        <v>333</v>
      </c>
      <c r="B29" s="4" t="s">
        <v>215</v>
      </c>
      <c r="C29" s="4" t="s">
        <v>359</v>
      </c>
      <c r="D29" s="4" t="s">
        <v>174</v>
      </c>
      <c r="E29" s="4" t="s">
        <v>323</v>
      </c>
      <c r="F29" s="4" t="s">
        <v>324</v>
      </c>
      <c r="G29" s="4" t="n">
        <v>0.6</v>
      </c>
      <c r="H29" s="4" t="n">
        <v>611</v>
      </c>
      <c r="I29" s="4" t="n">
        <v>27</v>
      </c>
      <c r="J29" s="4" t="n">
        <v>27</v>
      </c>
      <c r="K29" s="8" t="n">
        <v>-0.0416445185421806</v>
      </c>
      <c r="L29" s="8" t="n">
        <v>0.00869745121700246</v>
      </c>
      <c r="M29" s="8" t="n">
        <v>-4.78812901655265</v>
      </c>
      <c r="N29" s="16" t="n">
        <v>20.7414327175106</v>
      </c>
      <c r="O29" s="8" t="n">
        <v>0.000102140893120616</v>
      </c>
      <c r="P29" s="8" t="n">
        <v>-0.0597455978352889</v>
      </c>
      <c r="Q29" s="8" t="n">
        <v>-0.0235434392490724</v>
      </c>
      <c r="R29" s="8"/>
      <c r="S29" s="8"/>
      <c r="T29" s="8" t="n">
        <v>-0.0416204610077562</v>
      </c>
      <c r="U29" s="8" t="n">
        <v>-0.0596746111594311</v>
      </c>
      <c r="V29" s="8" t="n">
        <v>-0.0235390902212953</v>
      </c>
      <c r="W29" s="8"/>
      <c r="X29" s="8"/>
      <c r="Y29" s="17" t="n">
        <v>0.000635784555693149</v>
      </c>
      <c r="Z29" s="17" t="n">
        <v>0.000635784341765791</v>
      </c>
      <c r="AA29" s="17" t="n">
        <v>0.00664181864403302</v>
      </c>
      <c r="AB29" s="17"/>
      <c r="AC29" s="17"/>
      <c r="AD29" s="17"/>
      <c r="AE29" s="17"/>
      <c r="AF29" s="4"/>
      <c r="AG29" s="8"/>
      <c r="AH29" s="4" t="s">
        <v>325</v>
      </c>
      <c r="AI29" s="4" t="s">
        <v>360</v>
      </c>
      <c r="AJ29" s="4" t="s">
        <v>361</v>
      </c>
    </row>
    <row r="30" customFormat="false" ht="15" hidden="false" customHeight="false" outlineLevel="0" collapsed="false">
      <c r="A30" s="4" t="s">
        <v>333</v>
      </c>
      <c r="B30" s="4" t="s">
        <v>215</v>
      </c>
      <c r="C30" s="4" t="s">
        <v>359</v>
      </c>
      <c r="D30" s="4" t="s">
        <v>175</v>
      </c>
      <c r="E30" s="4" t="s">
        <v>323</v>
      </c>
      <c r="F30" s="4" t="s">
        <v>324</v>
      </c>
      <c r="G30" s="4" t="n">
        <v>0.6</v>
      </c>
      <c r="H30" s="4" t="n">
        <v>318</v>
      </c>
      <c r="I30" s="4" t="n">
        <v>13</v>
      </c>
      <c r="J30" s="4" t="n">
        <v>13</v>
      </c>
      <c r="K30" s="8" t="n">
        <v>-0.0545655189060699</v>
      </c>
      <c r="L30" s="8" t="n">
        <v>0.0149917376241243</v>
      </c>
      <c r="M30" s="8" t="n">
        <v>-3.63970610173063</v>
      </c>
      <c r="N30" s="16" t="n">
        <v>10.815944714446</v>
      </c>
      <c r="O30" s="8" t="n">
        <v>0.00399676597150897</v>
      </c>
      <c r="P30" s="8" t="n">
        <v>-0.0876307474079234</v>
      </c>
      <c r="Q30" s="8" t="n">
        <v>-0.0215002904042165</v>
      </c>
      <c r="R30" s="8"/>
      <c r="S30" s="8"/>
      <c r="T30" s="8" t="n">
        <v>-0.0545114289408073</v>
      </c>
      <c r="U30" s="8" t="n">
        <v>-0.0874071244532544</v>
      </c>
      <c r="V30" s="8" t="n">
        <v>-0.0214969780907706</v>
      </c>
      <c r="W30" s="8"/>
      <c r="X30" s="8"/>
      <c r="Y30" s="17" t="n">
        <v>0.000635784555693149</v>
      </c>
      <c r="Z30" s="17" t="n">
        <v>0.000635784341765791</v>
      </c>
      <c r="AA30" s="17" t="n">
        <v>0.00664181864403302</v>
      </c>
      <c r="AB30" s="17"/>
      <c r="AC30" s="17"/>
      <c r="AD30" s="17"/>
      <c r="AE30" s="17"/>
      <c r="AF30" s="4"/>
      <c r="AG30" s="8"/>
      <c r="AH30" s="4" t="s">
        <v>325</v>
      </c>
      <c r="AI30" s="4" t="s">
        <v>362</v>
      </c>
      <c r="AJ30" s="4" t="s">
        <v>363</v>
      </c>
    </row>
    <row r="31" customFormat="false" ht="15" hidden="false" customHeight="false" outlineLevel="0" collapsed="false">
      <c r="A31" s="4" t="s">
        <v>333</v>
      </c>
      <c r="B31" s="4" t="s">
        <v>215</v>
      </c>
      <c r="C31" s="4" t="s">
        <v>359</v>
      </c>
      <c r="D31" s="4" t="s">
        <v>330</v>
      </c>
      <c r="E31" s="4" t="s">
        <v>323</v>
      </c>
      <c r="F31" s="4" t="s">
        <v>324</v>
      </c>
      <c r="G31" s="4" t="n">
        <v>0.6</v>
      </c>
      <c r="H31" s="4" t="n">
        <v>929</v>
      </c>
      <c r="I31" s="4" t="n">
        <v>40</v>
      </c>
      <c r="J31" s="4" t="n">
        <v>40</v>
      </c>
      <c r="K31" s="8" t="n">
        <v>-0.0129210003638893</v>
      </c>
      <c r="L31" s="8" t="n">
        <v>0.0173319893452172</v>
      </c>
      <c r="M31" s="8" t="n">
        <v>-0.7455001331082</v>
      </c>
      <c r="N31" s="16" t="n">
        <v>23.4744834169779</v>
      </c>
      <c r="O31" s="8" t="n">
        <v>0.46336936745305</v>
      </c>
      <c r="P31" s="8" t="n">
        <v>-0.0487348936920739</v>
      </c>
      <c r="Q31" s="8" t="n">
        <v>0.0228928929642952</v>
      </c>
      <c r="R31" s="8"/>
      <c r="S31" s="8"/>
      <c r="T31" s="8"/>
      <c r="U31" s="8"/>
      <c r="V31" s="8"/>
      <c r="W31" s="8"/>
      <c r="X31" s="8"/>
      <c r="Y31" s="17" t="n">
        <v>0.000635784555693149</v>
      </c>
      <c r="Z31" s="17" t="n">
        <v>0.000635784341765791</v>
      </c>
      <c r="AA31" s="17" t="n">
        <v>0.00664181864403302</v>
      </c>
      <c r="AB31" s="17"/>
      <c r="AC31" s="17"/>
      <c r="AD31" s="17"/>
      <c r="AE31" s="17"/>
      <c r="AF31" s="4"/>
      <c r="AG31" s="8"/>
      <c r="AH31" s="4" t="s">
        <v>325</v>
      </c>
      <c r="AI31" s="4" t="s">
        <v>364</v>
      </c>
      <c r="AJ31" s="4" t="s">
        <v>365</v>
      </c>
    </row>
    <row r="32" customFormat="false" ht="15" hidden="false" customHeight="false" outlineLevel="0" collapsed="false">
      <c r="A32" s="4" t="s">
        <v>366</v>
      </c>
      <c r="B32" s="4" t="s">
        <v>367</v>
      </c>
      <c r="C32" s="4" t="s">
        <v>231</v>
      </c>
      <c r="D32" s="4" t="s">
        <v>330</v>
      </c>
      <c r="E32" s="4" t="s">
        <v>323</v>
      </c>
      <c r="F32" s="4" t="s">
        <v>324</v>
      </c>
      <c r="G32" s="4" t="n">
        <v>0.6</v>
      </c>
      <c r="H32" s="4" t="n">
        <v>2696</v>
      </c>
      <c r="I32" s="4" t="n">
        <v>114</v>
      </c>
      <c r="J32" s="4" t="n">
        <v>113</v>
      </c>
      <c r="K32" s="8" t="n">
        <v>0.00964641430395397</v>
      </c>
      <c r="L32" s="8" t="n">
        <v>0.0182475265379117</v>
      </c>
      <c r="M32" s="8" t="n">
        <v>0.528642294828958</v>
      </c>
      <c r="N32" s="16" t="n">
        <v>14.2700965019855</v>
      </c>
      <c r="O32" s="8" t="n">
        <v>0.605178883784763</v>
      </c>
      <c r="P32" s="8" t="n">
        <v>-0.0294212558646519</v>
      </c>
      <c r="Q32" s="8" t="n">
        <v>0.0487140844725599</v>
      </c>
      <c r="R32" s="8"/>
      <c r="S32" s="8"/>
      <c r="T32" s="8"/>
      <c r="U32" s="8"/>
      <c r="V32" s="8"/>
      <c r="W32" s="8"/>
      <c r="X32" s="8"/>
      <c r="Y32" s="17" t="n">
        <v>0.0207193412811045</v>
      </c>
      <c r="Z32" s="17" t="n">
        <v>2.99809205357617E-009</v>
      </c>
      <c r="AA32" s="17" t="n">
        <v>0.0119150394599766</v>
      </c>
      <c r="AB32" s="17"/>
      <c r="AC32" s="17"/>
      <c r="AD32" s="17"/>
      <c r="AE32" s="17"/>
      <c r="AF32" s="4"/>
      <c r="AG32" s="8"/>
      <c r="AH32" s="4" t="s">
        <v>334</v>
      </c>
      <c r="AI32" s="4"/>
      <c r="AJ32" s="4" t="s">
        <v>368</v>
      </c>
    </row>
    <row r="33" customFormat="false" ht="15" hidden="false" customHeight="false" outlineLevel="0" collapsed="false">
      <c r="A33" s="4" t="s">
        <v>366</v>
      </c>
      <c r="B33" s="4" t="s">
        <v>367</v>
      </c>
      <c r="C33" s="4" t="s">
        <v>232</v>
      </c>
      <c r="D33" s="4" t="s">
        <v>330</v>
      </c>
      <c r="E33" s="4" t="s">
        <v>323</v>
      </c>
      <c r="F33" s="4" t="s">
        <v>324</v>
      </c>
      <c r="G33" s="4" t="n">
        <v>0.6</v>
      </c>
      <c r="H33" s="4" t="n">
        <v>2689</v>
      </c>
      <c r="I33" s="4" t="n">
        <v>114</v>
      </c>
      <c r="J33" s="4" t="n">
        <v>113</v>
      </c>
      <c r="K33" s="8" t="n">
        <v>0.0106730226250106</v>
      </c>
      <c r="L33" s="8" t="n">
        <v>0.0181510136318503</v>
      </c>
      <c r="M33" s="8" t="n">
        <v>0.588012484673708</v>
      </c>
      <c r="N33" s="16" t="n">
        <v>14.2239284817043</v>
      </c>
      <c r="O33" s="8" t="n">
        <v>0.565743591632635</v>
      </c>
      <c r="P33" s="8" t="n">
        <v>-0.0281996101660449</v>
      </c>
      <c r="Q33" s="8" t="n">
        <v>0.0495456554160662</v>
      </c>
      <c r="R33" s="8"/>
      <c r="S33" s="8"/>
      <c r="T33" s="8"/>
      <c r="U33" s="8"/>
      <c r="V33" s="8"/>
      <c r="W33" s="8"/>
      <c r="X33" s="8"/>
      <c r="Y33" s="17" t="n">
        <v>0.0207450955812245</v>
      </c>
      <c r="Z33" s="17" t="n">
        <v>3.13535846323454E-009</v>
      </c>
      <c r="AA33" s="17" t="n">
        <v>0.0118933361820655</v>
      </c>
      <c r="AB33" s="17"/>
      <c r="AC33" s="17"/>
      <c r="AD33" s="17"/>
      <c r="AE33" s="17"/>
      <c r="AF33" s="4"/>
      <c r="AG33" s="8"/>
      <c r="AH33" s="4" t="s">
        <v>334</v>
      </c>
      <c r="AI33" s="4"/>
      <c r="AJ33" s="4" t="s">
        <v>369</v>
      </c>
    </row>
    <row r="34" customFormat="false" ht="15" hidden="false" customHeight="false" outlineLevel="0" collapsed="false">
      <c r="A34" s="4" t="s">
        <v>366</v>
      </c>
      <c r="B34" s="4" t="s">
        <v>367</v>
      </c>
      <c r="C34" s="4" t="s">
        <v>233</v>
      </c>
      <c r="D34" s="4" t="s">
        <v>330</v>
      </c>
      <c r="E34" s="4" t="s">
        <v>323</v>
      </c>
      <c r="F34" s="4" t="s">
        <v>324</v>
      </c>
      <c r="G34" s="4" t="n">
        <v>0.6</v>
      </c>
      <c r="H34" s="4" t="n">
        <v>2623</v>
      </c>
      <c r="I34" s="4" t="n">
        <v>114</v>
      </c>
      <c r="J34" s="4" t="n">
        <v>113</v>
      </c>
      <c r="K34" s="8" t="n">
        <v>0.00905854538060258</v>
      </c>
      <c r="L34" s="8" t="n">
        <v>0.0182653659691807</v>
      </c>
      <c r="M34" s="8" t="n">
        <v>0.495941083024951</v>
      </c>
      <c r="N34" s="16" t="n">
        <v>15.003509240506</v>
      </c>
      <c r="O34" s="8" t="n">
        <v>0.627121959413262</v>
      </c>
      <c r="P34" s="8" t="n">
        <v>-0.0298723675305843</v>
      </c>
      <c r="Q34" s="8" t="n">
        <v>0.0479894582917895</v>
      </c>
      <c r="R34" s="8"/>
      <c r="S34" s="8"/>
      <c r="T34" s="8"/>
      <c r="U34" s="8"/>
      <c r="V34" s="8"/>
      <c r="W34" s="8"/>
      <c r="X34" s="8"/>
      <c r="Y34" s="17" t="n">
        <v>0.0203795338667781</v>
      </c>
      <c r="Z34" s="17" t="n">
        <v>1.71182450629567E-009</v>
      </c>
      <c r="AA34" s="17" t="n">
        <v>0.0122908255027417</v>
      </c>
      <c r="AB34" s="17"/>
      <c r="AC34" s="17"/>
      <c r="AD34" s="17"/>
      <c r="AE34" s="17"/>
      <c r="AF34" s="4"/>
      <c r="AG34" s="8"/>
      <c r="AH34" s="4" t="s">
        <v>334</v>
      </c>
      <c r="AI34" s="4"/>
      <c r="AJ34" s="4" t="s">
        <v>370</v>
      </c>
    </row>
    <row r="35" customFormat="false" ht="15" hidden="false" customHeight="false" outlineLevel="0" collapsed="false">
      <c r="A35" s="4" t="s">
        <v>366</v>
      </c>
      <c r="B35" s="4" t="s">
        <v>367</v>
      </c>
      <c r="C35" s="4" t="s">
        <v>234</v>
      </c>
      <c r="D35" s="4" t="s">
        <v>330</v>
      </c>
      <c r="E35" s="4" t="s">
        <v>323</v>
      </c>
      <c r="F35" s="4" t="s">
        <v>324</v>
      </c>
      <c r="G35" s="4" t="n">
        <v>0.6</v>
      </c>
      <c r="H35" s="4" t="n">
        <v>2644</v>
      </c>
      <c r="I35" s="4" t="n">
        <v>114</v>
      </c>
      <c r="J35" s="4" t="n">
        <v>113</v>
      </c>
      <c r="K35" s="8" t="n">
        <v>0.00886870503507645</v>
      </c>
      <c r="L35" s="8" t="n">
        <v>0.0182779972036671</v>
      </c>
      <c r="M35" s="8" t="n">
        <v>0.485212079652639</v>
      </c>
      <c r="N35" s="16" t="n">
        <v>14.8074077866491</v>
      </c>
      <c r="O35" s="8" t="n">
        <v>0.634626227765304</v>
      </c>
      <c r="P35" s="8" t="n">
        <v>-0.0301341035880413</v>
      </c>
      <c r="Q35" s="8" t="n">
        <v>0.0478715136581942</v>
      </c>
      <c r="R35" s="8"/>
      <c r="S35" s="8"/>
      <c r="T35" s="8"/>
      <c r="U35" s="8"/>
      <c r="V35" s="8"/>
      <c r="W35" s="8"/>
      <c r="X35" s="8"/>
      <c r="Y35" s="17" t="n">
        <v>0.0204606097605429</v>
      </c>
      <c r="Z35" s="17" t="n">
        <v>2.6829572113525E-009</v>
      </c>
      <c r="AA35" s="17" t="n">
        <v>0.0121905647692918</v>
      </c>
      <c r="AB35" s="17"/>
      <c r="AC35" s="17"/>
      <c r="AD35" s="17"/>
      <c r="AE35" s="17"/>
      <c r="AF35" s="4"/>
      <c r="AG35" s="8"/>
      <c r="AH35" s="4" t="s">
        <v>334</v>
      </c>
      <c r="AI35" s="4"/>
      <c r="AJ35" s="4" t="s">
        <v>371</v>
      </c>
    </row>
    <row r="36" customFormat="false" ht="15" hidden="false" customHeight="false" outlineLevel="0" collapsed="false">
      <c r="A36" s="4" t="s">
        <v>366</v>
      </c>
      <c r="B36" s="4" t="s">
        <v>367</v>
      </c>
      <c r="C36" s="4" t="s">
        <v>235</v>
      </c>
      <c r="D36" s="4" t="s">
        <v>330</v>
      </c>
      <c r="E36" s="4" t="s">
        <v>323</v>
      </c>
      <c r="F36" s="4" t="s">
        <v>324</v>
      </c>
      <c r="G36" s="4" t="n">
        <v>0.6</v>
      </c>
      <c r="H36" s="4" t="n">
        <v>2689</v>
      </c>
      <c r="I36" s="4" t="n">
        <v>114</v>
      </c>
      <c r="J36" s="4" t="n">
        <v>113</v>
      </c>
      <c r="K36" s="8" t="n">
        <v>0.010437519061196</v>
      </c>
      <c r="L36" s="8" t="n">
        <v>0.0181770453778988</v>
      </c>
      <c r="M36" s="8" t="n">
        <v>0.574214282035449</v>
      </c>
      <c r="N36" s="16" t="n">
        <v>14.2864120587336</v>
      </c>
      <c r="O36" s="8" t="n">
        <v>0.574753154873958</v>
      </c>
      <c r="P36" s="8" t="n">
        <v>-0.0284751679311248</v>
      </c>
      <c r="Q36" s="8" t="n">
        <v>0.0493502060535167</v>
      </c>
      <c r="R36" s="8"/>
      <c r="S36" s="8"/>
      <c r="T36" s="8"/>
      <c r="U36" s="8"/>
      <c r="V36" s="8"/>
      <c r="W36" s="8"/>
      <c r="X36" s="8"/>
      <c r="Y36" s="17" t="n">
        <v>0.0207169934285854</v>
      </c>
      <c r="Z36" s="17" t="n">
        <v>1.37317452425483E-009</v>
      </c>
      <c r="AA36" s="17" t="n">
        <v>0.0119308338421584</v>
      </c>
      <c r="AB36" s="17"/>
      <c r="AC36" s="17"/>
      <c r="AD36" s="17"/>
      <c r="AE36" s="17"/>
      <c r="AF36" s="4"/>
      <c r="AG36" s="8"/>
      <c r="AH36" s="4" t="s">
        <v>334</v>
      </c>
      <c r="AI36" s="4"/>
      <c r="AJ36" s="4" t="s">
        <v>372</v>
      </c>
    </row>
    <row r="37" customFormat="false" ht="15" hidden="false" customHeight="false" outlineLevel="0" collapsed="false">
      <c r="A37" s="4" t="s">
        <v>366</v>
      </c>
      <c r="B37" s="4" t="s">
        <v>367</v>
      </c>
      <c r="C37" s="4" t="s">
        <v>236</v>
      </c>
      <c r="D37" s="4" t="s">
        <v>330</v>
      </c>
      <c r="E37" s="4" t="s">
        <v>323</v>
      </c>
      <c r="F37" s="4" t="s">
        <v>324</v>
      </c>
      <c r="G37" s="4" t="n">
        <v>0.6</v>
      </c>
      <c r="H37" s="4" t="n">
        <v>2693</v>
      </c>
      <c r="I37" s="4" t="n">
        <v>114</v>
      </c>
      <c r="J37" s="4" t="n">
        <v>113</v>
      </c>
      <c r="K37" s="8" t="n">
        <v>0.0137190761662608</v>
      </c>
      <c r="L37" s="8" t="n">
        <v>0.0175132193788504</v>
      </c>
      <c r="M37" s="8" t="n">
        <v>0.783355468202974</v>
      </c>
      <c r="N37" s="16" t="n">
        <v>14.2274668067158</v>
      </c>
      <c r="O37" s="8" t="n">
        <v>0.446263374588861</v>
      </c>
      <c r="P37" s="8" t="n">
        <v>-0.0237867813998588</v>
      </c>
      <c r="Q37" s="8" t="n">
        <v>0.0512249337323804</v>
      </c>
      <c r="R37" s="8"/>
      <c r="S37" s="8"/>
      <c r="T37" s="8"/>
      <c r="U37" s="8"/>
      <c r="V37" s="8"/>
      <c r="W37" s="8"/>
      <c r="X37" s="8"/>
      <c r="Y37" s="17" t="n">
        <v>0.0206006819182834</v>
      </c>
      <c r="Z37" s="17" t="n">
        <v>1.92987928869411E-009</v>
      </c>
      <c r="AA37" s="17" t="n">
        <v>0.0118051803479331</v>
      </c>
      <c r="AB37" s="17"/>
      <c r="AC37" s="17"/>
      <c r="AD37" s="17"/>
      <c r="AE37" s="17"/>
      <c r="AF37" s="4"/>
      <c r="AG37" s="8"/>
      <c r="AH37" s="4" t="s">
        <v>334</v>
      </c>
      <c r="AI37" s="4"/>
      <c r="AJ37" s="4" t="s">
        <v>373</v>
      </c>
    </row>
    <row r="38" customFormat="false" ht="15" hidden="false" customHeight="false" outlineLevel="0" collapsed="false">
      <c r="A38" s="4" t="s">
        <v>366</v>
      </c>
      <c r="B38" s="4" t="s">
        <v>367</v>
      </c>
      <c r="C38" s="4" t="s">
        <v>237</v>
      </c>
      <c r="D38" s="4" t="s">
        <v>330</v>
      </c>
      <c r="E38" s="4" t="s">
        <v>323</v>
      </c>
      <c r="F38" s="4" t="s">
        <v>324</v>
      </c>
      <c r="G38" s="4" t="n">
        <v>0.6</v>
      </c>
      <c r="H38" s="4" t="n">
        <v>2685</v>
      </c>
      <c r="I38" s="4" t="n">
        <v>114</v>
      </c>
      <c r="J38" s="4" t="n">
        <v>113</v>
      </c>
      <c r="K38" s="8" t="n">
        <v>0.00980084891792457</v>
      </c>
      <c r="L38" s="8" t="n">
        <v>0.0182419559036406</v>
      </c>
      <c r="M38" s="8" t="n">
        <v>0.537269631046996</v>
      </c>
      <c r="N38" s="16" t="n">
        <v>14.1387677576556</v>
      </c>
      <c r="O38" s="8" t="n">
        <v>0.59943564112875</v>
      </c>
      <c r="P38" s="8" t="n">
        <v>-0.029288260336498</v>
      </c>
      <c r="Q38" s="8" t="n">
        <v>0.0488899581723472</v>
      </c>
      <c r="R38" s="8"/>
      <c r="S38" s="8"/>
      <c r="T38" s="8"/>
      <c r="U38" s="8"/>
      <c r="V38" s="8"/>
      <c r="W38" s="8"/>
      <c r="X38" s="8"/>
      <c r="Y38" s="17" t="n">
        <v>0.0207811245161812</v>
      </c>
      <c r="Z38" s="17" t="n">
        <v>2.07094484741586E-009</v>
      </c>
      <c r="AA38" s="17" t="n">
        <v>0.011854627370845</v>
      </c>
      <c r="AB38" s="17"/>
      <c r="AC38" s="17"/>
      <c r="AD38" s="17"/>
      <c r="AE38" s="17"/>
      <c r="AF38" s="4"/>
      <c r="AG38" s="8"/>
      <c r="AH38" s="4" t="s">
        <v>334</v>
      </c>
      <c r="AI38" s="4"/>
      <c r="AJ38" s="4" t="s">
        <v>374</v>
      </c>
    </row>
    <row r="39" customFormat="false" ht="15" hidden="false" customHeight="false" outlineLevel="0" collapsed="false">
      <c r="A39" s="4" t="s">
        <v>366</v>
      </c>
      <c r="B39" s="4" t="s">
        <v>367</v>
      </c>
      <c r="C39" s="4" t="s">
        <v>238</v>
      </c>
      <c r="D39" s="4" t="s">
        <v>330</v>
      </c>
      <c r="E39" s="4" t="s">
        <v>323</v>
      </c>
      <c r="F39" s="4" t="s">
        <v>324</v>
      </c>
      <c r="G39" s="4" t="n">
        <v>0.6</v>
      </c>
      <c r="H39" s="4" t="n">
        <v>2703</v>
      </c>
      <c r="I39" s="4" t="n">
        <v>114</v>
      </c>
      <c r="J39" s="4" t="n">
        <v>113</v>
      </c>
      <c r="K39" s="8" t="n">
        <v>0.00856964259847162</v>
      </c>
      <c r="L39" s="8" t="n">
        <v>0.0182723116450526</v>
      </c>
      <c r="M39" s="8" t="n">
        <v>0.468996083524656</v>
      </c>
      <c r="N39" s="16" t="n">
        <v>14.3683638852487</v>
      </c>
      <c r="O39" s="8" t="n">
        <v>0.646109333215785</v>
      </c>
      <c r="P39" s="8" t="n">
        <v>-0.0305265178355484</v>
      </c>
      <c r="Q39" s="8" t="n">
        <v>0.0476658030324916</v>
      </c>
      <c r="R39" s="8"/>
      <c r="S39" s="8"/>
      <c r="T39" s="8"/>
      <c r="U39" s="8"/>
      <c r="V39" s="8"/>
      <c r="W39" s="8"/>
      <c r="X39" s="8"/>
      <c r="Y39" s="17" t="n">
        <v>0.0206477647942095</v>
      </c>
      <c r="Z39" s="17" t="n">
        <v>2.5193400377806E-009</v>
      </c>
      <c r="AA39" s="17" t="n">
        <v>0.0118829546177651</v>
      </c>
      <c r="AB39" s="17"/>
      <c r="AC39" s="17"/>
      <c r="AD39" s="17"/>
      <c r="AE39" s="17"/>
      <c r="AF39" s="4"/>
      <c r="AG39" s="8"/>
      <c r="AH39" s="4" t="s">
        <v>334</v>
      </c>
      <c r="AI39" s="4"/>
      <c r="AJ39" s="4" t="s">
        <v>375</v>
      </c>
    </row>
    <row r="40" customFormat="false" ht="15" hidden="false" customHeight="false" outlineLevel="0" collapsed="false">
      <c r="A40" s="4" t="s">
        <v>366</v>
      </c>
      <c r="B40" s="4" t="s">
        <v>367</v>
      </c>
      <c r="C40" s="4" t="s">
        <v>239</v>
      </c>
      <c r="D40" s="4" t="s">
        <v>330</v>
      </c>
      <c r="E40" s="4" t="s">
        <v>323</v>
      </c>
      <c r="F40" s="4" t="s">
        <v>324</v>
      </c>
      <c r="G40" s="4" t="n">
        <v>0.6</v>
      </c>
      <c r="H40" s="4" t="n">
        <v>2675</v>
      </c>
      <c r="I40" s="4" t="n">
        <v>114</v>
      </c>
      <c r="J40" s="4" t="n">
        <v>113</v>
      </c>
      <c r="K40" s="8" t="n">
        <v>0.00854624384390218</v>
      </c>
      <c r="L40" s="8" t="n">
        <v>0.0182892557931623</v>
      </c>
      <c r="M40" s="8" t="n">
        <v>0.467282208776221</v>
      </c>
      <c r="N40" s="16" t="n">
        <v>14.3047809836866</v>
      </c>
      <c r="O40" s="8" t="n">
        <v>0.647336445661188</v>
      </c>
      <c r="P40" s="8" t="n">
        <v>-0.0306020443636433</v>
      </c>
      <c r="Q40" s="8" t="n">
        <v>0.0476945320514477</v>
      </c>
      <c r="R40" s="8"/>
      <c r="S40" s="8"/>
      <c r="T40" s="8"/>
      <c r="U40" s="8"/>
      <c r="V40" s="8"/>
      <c r="W40" s="8"/>
      <c r="X40" s="8"/>
      <c r="Y40" s="17" t="n">
        <v>0.0206698754258748</v>
      </c>
      <c r="Z40" s="17" t="n">
        <v>3.05917273525895E-009</v>
      </c>
      <c r="AA40" s="17" t="n">
        <v>0.0119134628962754</v>
      </c>
      <c r="AB40" s="17"/>
      <c r="AC40" s="17"/>
      <c r="AD40" s="17"/>
      <c r="AE40" s="17"/>
      <c r="AF40" s="4"/>
      <c r="AG40" s="8"/>
      <c r="AH40" s="4" t="s">
        <v>334</v>
      </c>
      <c r="AI40" s="4"/>
      <c r="AJ40" s="4" t="s">
        <v>376</v>
      </c>
    </row>
    <row r="41" customFormat="false" ht="15" hidden="false" customHeight="false" outlineLevel="0" collapsed="false">
      <c r="A41" s="4" t="s">
        <v>366</v>
      </c>
      <c r="B41" s="4" t="s">
        <v>367</v>
      </c>
      <c r="C41" s="4" t="s">
        <v>240</v>
      </c>
      <c r="D41" s="4" t="s">
        <v>330</v>
      </c>
      <c r="E41" s="4" t="s">
        <v>323</v>
      </c>
      <c r="F41" s="4" t="s">
        <v>324</v>
      </c>
      <c r="G41" s="4" t="n">
        <v>0.6</v>
      </c>
      <c r="H41" s="4" t="n">
        <v>2688</v>
      </c>
      <c r="I41" s="4" t="n">
        <v>114</v>
      </c>
      <c r="J41" s="4" t="n">
        <v>113</v>
      </c>
      <c r="K41" s="8" t="n">
        <v>0.00995248651369807</v>
      </c>
      <c r="L41" s="8" t="n">
        <v>0.018224344047225</v>
      </c>
      <c r="M41" s="8" t="n">
        <v>0.546109450518936</v>
      </c>
      <c r="N41" s="16" t="n">
        <v>14.3293240209304</v>
      </c>
      <c r="O41" s="8" t="n">
        <v>0.593392079443671</v>
      </c>
      <c r="P41" s="8" t="n">
        <v>-0.0290507341777873</v>
      </c>
      <c r="Q41" s="8" t="n">
        <v>0.0489557072051835</v>
      </c>
      <c r="R41" s="8"/>
      <c r="S41" s="8"/>
      <c r="T41" s="8"/>
      <c r="U41" s="8"/>
      <c r="V41" s="8"/>
      <c r="W41" s="8"/>
      <c r="X41" s="8"/>
      <c r="Y41" s="17" t="n">
        <v>0.0206956252724103</v>
      </c>
      <c r="Z41" s="17" t="n">
        <v>2.66450968946862E-009</v>
      </c>
      <c r="AA41" s="17" t="n">
        <v>0.0119564762912912</v>
      </c>
      <c r="AB41" s="17"/>
      <c r="AC41" s="17"/>
      <c r="AD41" s="17"/>
      <c r="AE41" s="17"/>
      <c r="AF41" s="4"/>
      <c r="AG41" s="8"/>
      <c r="AH41" s="4" t="s">
        <v>334</v>
      </c>
      <c r="AI41" s="4"/>
      <c r="AJ41" s="4" t="s">
        <v>377</v>
      </c>
    </row>
    <row r="42" customFormat="false" ht="15" hidden="false" customHeight="false" outlineLevel="0" collapsed="false">
      <c r="A42" s="4" t="s">
        <v>366</v>
      </c>
      <c r="B42" s="4" t="s">
        <v>367</v>
      </c>
      <c r="C42" s="4" t="s">
        <v>241</v>
      </c>
      <c r="D42" s="4" t="s">
        <v>330</v>
      </c>
      <c r="E42" s="4" t="s">
        <v>323</v>
      </c>
      <c r="F42" s="4" t="s">
        <v>324</v>
      </c>
      <c r="G42" s="4" t="n">
        <v>0.6</v>
      </c>
      <c r="H42" s="4" t="n">
        <v>2667</v>
      </c>
      <c r="I42" s="4" t="n">
        <v>114</v>
      </c>
      <c r="J42" s="4" t="n">
        <v>113</v>
      </c>
      <c r="K42" s="8" t="n">
        <v>0.0090944895555471</v>
      </c>
      <c r="L42" s="8" t="n">
        <v>0.0182740681318679</v>
      </c>
      <c r="M42" s="8" t="n">
        <v>0.497671864300831</v>
      </c>
      <c r="N42" s="16" t="n">
        <v>14.5320489833738</v>
      </c>
      <c r="O42" s="8" t="n">
        <v>0.626161319449899</v>
      </c>
      <c r="P42" s="8" t="n">
        <v>-0.0299652910971394</v>
      </c>
      <c r="Q42" s="8" t="n">
        <v>0.0481542702082336</v>
      </c>
      <c r="R42" s="8"/>
      <c r="S42" s="8"/>
      <c r="T42" s="8"/>
      <c r="U42" s="8"/>
      <c r="V42" s="8"/>
      <c r="W42" s="8"/>
      <c r="X42" s="8"/>
      <c r="Y42" s="17" t="n">
        <v>0.0205888239878567</v>
      </c>
      <c r="Z42" s="17" t="n">
        <v>1.45571061346201E-009</v>
      </c>
      <c r="AA42" s="17" t="n">
        <v>0.0120513989927618</v>
      </c>
      <c r="AB42" s="17"/>
      <c r="AC42" s="17"/>
      <c r="AD42" s="17"/>
      <c r="AE42" s="17"/>
      <c r="AF42" s="4"/>
      <c r="AG42" s="8"/>
      <c r="AH42" s="4" t="s">
        <v>334</v>
      </c>
      <c r="AI42" s="4"/>
      <c r="AJ42" s="4" t="s">
        <v>378</v>
      </c>
    </row>
    <row r="43" customFormat="false" ht="15" hidden="false" customHeight="false" outlineLevel="0" collapsed="false">
      <c r="A43" s="4" t="s">
        <v>366</v>
      </c>
      <c r="B43" s="4" t="s">
        <v>367</v>
      </c>
      <c r="C43" s="4" t="s">
        <v>242</v>
      </c>
      <c r="D43" s="4" t="s">
        <v>330</v>
      </c>
      <c r="E43" s="4" t="s">
        <v>323</v>
      </c>
      <c r="F43" s="4" t="s">
        <v>324</v>
      </c>
      <c r="G43" s="4" t="n">
        <v>0.6</v>
      </c>
      <c r="H43" s="4" t="n">
        <v>2700</v>
      </c>
      <c r="I43" s="4" t="n">
        <v>114</v>
      </c>
      <c r="J43" s="4" t="n">
        <v>113</v>
      </c>
      <c r="K43" s="8" t="n">
        <v>0.0124797999767206</v>
      </c>
      <c r="L43" s="8" t="n">
        <v>0.0178530065508651</v>
      </c>
      <c r="M43" s="8" t="n">
        <v>0.699030717384457</v>
      </c>
      <c r="N43" s="16" t="n">
        <v>14.0019203282097</v>
      </c>
      <c r="O43" s="8" t="n">
        <v>0.495981272375817</v>
      </c>
      <c r="P43" s="8" t="n">
        <v>-0.0258105981422045</v>
      </c>
      <c r="Q43" s="8" t="n">
        <v>0.0507701980956457</v>
      </c>
      <c r="R43" s="8"/>
      <c r="S43" s="8"/>
      <c r="T43" s="8"/>
      <c r="U43" s="8"/>
      <c r="V43" s="8"/>
      <c r="W43" s="8"/>
      <c r="X43" s="8"/>
      <c r="Y43" s="17" t="n">
        <v>0.0207981917567845</v>
      </c>
      <c r="Z43" s="17" t="n">
        <v>2.74283949759439E-009</v>
      </c>
      <c r="AA43" s="17" t="n">
        <v>0.011740021752747</v>
      </c>
      <c r="AB43" s="17"/>
      <c r="AC43" s="17"/>
      <c r="AD43" s="17"/>
      <c r="AE43" s="17"/>
      <c r="AF43" s="4"/>
      <c r="AG43" s="8"/>
      <c r="AH43" s="4" t="s">
        <v>334</v>
      </c>
      <c r="AI43" s="4"/>
      <c r="AJ43" s="4" t="s">
        <v>379</v>
      </c>
    </row>
    <row r="44" customFormat="false" ht="15" hidden="false" customHeight="false" outlineLevel="0" collapsed="false">
      <c r="A44" s="4" t="s">
        <v>366</v>
      </c>
      <c r="B44" s="4" t="s">
        <v>367</v>
      </c>
      <c r="C44" s="4" t="s">
        <v>243</v>
      </c>
      <c r="D44" s="4" t="s">
        <v>330</v>
      </c>
      <c r="E44" s="4" t="s">
        <v>323</v>
      </c>
      <c r="F44" s="4" t="s">
        <v>324</v>
      </c>
      <c r="G44" s="4" t="n">
        <v>0.6</v>
      </c>
      <c r="H44" s="4" t="n">
        <v>2684</v>
      </c>
      <c r="I44" s="4" t="n">
        <v>114</v>
      </c>
      <c r="J44" s="4" t="n">
        <v>113</v>
      </c>
      <c r="K44" s="8" t="n">
        <v>0.0102402176833511</v>
      </c>
      <c r="L44" s="8" t="n">
        <v>0.0182089972428658</v>
      </c>
      <c r="M44" s="8" t="n">
        <v>0.562371312751073</v>
      </c>
      <c r="N44" s="16" t="n">
        <v>14.04493027357</v>
      </c>
      <c r="O44" s="8" t="n">
        <v>0.582728227477424</v>
      </c>
      <c r="P44" s="8" t="n">
        <v>-0.0288024793616017</v>
      </c>
      <c r="Q44" s="8" t="n">
        <v>0.0492829147283038</v>
      </c>
      <c r="R44" s="8"/>
      <c r="S44" s="8"/>
      <c r="T44" s="8"/>
      <c r="U44" s="8"/>
      <c r="V44" s="8"/>
      <c r="W44" s="8"/>
      <c r="X44" s="8"/>
      <c r="Y44" s="17" t="n">
        <v>0.020827948065888</v>
      </c>
      <c r="Z44" s="17" t="n">
        <v>1.75703123837539E-009</v>
      </c>
      <c r="AA44" s="17" t="n">
        <v>0.0118172718629937</v>
      </c>
      <c r="AB44" s="17"/>
      <c r="AC44" s="17"/>
      <c r="AD44" s="17"/>
      <c r="AE44" s="17"/>
      <c r="AF44" s="4"/>
      <c r="AG44" s="8"/>
      <c r="AH44" s="4" t="s">
        <v>334</v>
      </c>
      <c r="AI44" s="4"/>
      <c r="AJ44" s="4" t="s">
        <v>380</v>
      </c>
    </row>
    <row r="45" customFormat="false" ht="15" hidden="false" customHeight="false" outlineLevel="0" collapsed="false">
      <c r="A45" s="4" t="s">
        <v>366</v>
      </c>
      <c r="B45" s="4" t="s">
        <v>367</v>
      </c>
      <c r="C45" s="4" t="s">
        <v>244</v>
      </c>
      <c r="D45" s="4" t="s">
        <v>330</v>
      </c>
      <c r="E45" s="4" t="s">
        <v>323</v>
      </c>
      <c r="F45" s="4" t="s">
        <v>324</v>
      </c>
      <c r="G45" s="4" t="n">
        <v>0.6</v>
      </c>
      <c r="H45" s="4" t="n">
        <v>2688</v>
      </c>
      <c r="I45" s="4" t="n">
        <v>114</v>
      </c>
      <c r="J45" s="4" t="n">
        <v>113</v>
      </c>
      <c r="K45" s="8" t="n">
        <v>0.00233579241078983</v>
      </c>
      <c r="L45" s="8" t="n">
        <v>0.0218133415052258</v>
      </c>
      <c r="M45" s="8" t="n">
        <v>0.107080907811866</v>
      </c>
      <c r="N45" s="16" t="n">
        <v>51.8986135479051</v>
      </c>
      <c r="O45" s="8" t="n">
        <v>0.915137667396229</v>
      </c>
      <c r="P45" s="8" t="n">
        <v>-0.0414379150926672</v>
      </c>
      <c r="Q45" s="8" t="n">
        <v>0.0461094999142469</v>
      </c>
      <c r="R45" s="8"/>
      <c r="S45" s="8"/>
      <c r="T45" s="8"/>
      <c r="U45" s="8"/>
      <c r="V45" s="8"/>
      <c r="W45" s="8"/>
      <c r="X45" s="8"/>
      <c r="Y45" s="17" t="n">
        <v>0.0207433101007676</v>
      </c>
      <c r="Z45" s="17" t="n">
        <v>2.06897926078252E-009</v>
      </c>
      <c r="AA45" s="17" t="n">
        <v>0.0119487056855199</v>
      </c>
      <c r="AB45" s="17"/>
      <c r="AC45" s="17"/>
      <c r="AD45" s="17"/>
      <c r="AE45" s="17"/>
      <c r="AF45" s="4"/>
      <c r="AG45" s="8"/>
      <c r="AH45" s="4" t="s">
        <v>334</v>
      </c>
      <c r="AI45" s="4"/>
      <c r="AJ45" s="4" t="s">
        <v>381</v>
      </c>
    </row>
    <row r="46" customFormat="false" ht="15" hidden="false" customHeight="false" outlineLevel="0" collapsed="false">
      <c r="A46" s="4" t="s">
        <v>366</v>
      </c>
      <c r="B46" s="4" t="s">
        <v>367</v>
      </c>
      <c r="C46" s="4" t="s">
        <v>245</v>
      </c>
      <c r="D46" s="4" t="s">
        <v>330</v>
      </c>
      <c r="E46" s="4" t="s">
        <v>323</v>
      </c>
      <c r="F46" s="4" t="s">
        <v>324</v>
      </c>
      <c r="G46" s="4" t="n">
        <v>0.6</v>
      </c>
      <c r="H46" s="4" t="n">
        <v>2676</v>
      </c>
      <c r="I46" s="4" t="n">
        <v>114</v>
      </c>
      <c r="J46" s="4" t="n">
        <v>113</v>
      </c>
      <c r="K46" s="8" t="n">
        <v>0.0101029160291405</v>
      </c>
      <c r="L46" s="8" t="n">
        <v>0.0182084488854804</v>
      </c>
      <c r="M46" s="8" t="n">
        <v>0.554847702441951</v>
      </c>
      <c r="N46" s="16" t="n">
        <v>14.4046608368859</v>
      </c>
      <c r="O46" s="8" t="n">
        <v>0.5875116465391</v>
      </c>
      <c r="P46" s="8" t="n">
        <v>-0.0288476474845802</v>
      </c>
      <c r="Q46" s="8" t="n">
        <v>0.0490534795428612</v>
      </c>
      <c r="R46" s="8"/>
      <c r="S46" s="8"/>
      <c r="T46" s="8"/>
      <c r="U46" s="8"/>
      <c r="V46" s="8"/>
      <c r="W46" s="8"/>
      <c r="X46" s="8"/>
      <c r="Y46" s="17" t="n">
        <v>0.020661956094985</v>
      </c>
      <c r="Z46" s="17" t="n">
        <v>1.48730081407523E-009</v>
      </c>
      <c r="AA46" s="17" t="n">
        <v>0.0119968466313434</v>
      </c>
      <c r="AB46" s="17"/>
      <c r="AC46" s="17"/>
      <c r="AD46" s="17"/>
      <c r="AE46" s="17"/>
      <c r="AF46" s="4"/>
      <c r="AG46" s="8"/>
      <c r="AH46" s="4" t="s">
        <v>334</v>
      </c>
      <c r="AI46" s="4"/>
      <c r="AJ46" s="4" t="s">
        <v>382</v>
      </c>
    </row>
    <row r="47" customFormat="false" ht="15" hidden="false" customHeight="false" outlineLevel="0" collapsed="false">
      <c r="A47" s="4" t="s">
        <v>366</v>
      </c>
      <c r="B47" s="4" t="s">
        <v>367</v>
      </c>
      <c r="C47" s="4" t="s">
        <v>246</v>
      </c>
      <c r="D47" s="4" t="s">
        <v>330</v>
      </c>
      <c r="E47" s="4" t="s">
        <v>323</v>
      </c>
      <c r="F47" s="4" t="s">
        <v>324</v>
      </c>
      <c r="G47" s="4" t="n">
        <v>0.6</v>
      </c>
      <c r="H47" s="4" t="n">
        <v>2695</v>
      </c>
      <c r="I47" s="4" t="n">
        <v>114</v>
      </c>
      <c r="J47" s="4" t="n">
        <v>113</v>
      </c>
      <c r="K47" s="8" t="n">
        <v>0.0097609774233954</v>
      </c>
      <c r="L47" s="8" t="n">
        <v>0.0182395859016184</v>
      </c>
      <c r="M47" s="8" t="n">
        <v>0.535153455568818</v>
      </c>
      <c r="N47" s="16" t="n">
        <v>14.2783443750724</v>
      </c>
      <c r="O47" s="8" t="n">
        <v>0.600779784374715</v>
      </c>
      <c r="P47" s="8" t="n">
        <v>-0.029287618985256</v>
      </c>
      <c r="Q47" s="8" t="n">
        <v>0.0488095738320468</v>
      </c>
      <c r="R47" s="8"/>
      <c r="S47" s="8"/>
      <c r="T47" s="8"/>
      <c r="U47" s="8"/>
      <c r="V47" s="8"/>
      <c r="W47" s="8"/>
      <c r="X47" s="8"/>
      <c r="Y47" s="17" t="n">
        <v>0.0207172480625129</v>
      </c>
      <c r="Z47" s="17" t="n">
        <v>2.89240953052487E-009</v>
      </c>
      <c r="AA47" s="17" t="n">
        <v>0.0119221121143272</v>
      </c>
      <c r="AB47" s="17"/>
      <c r="AC47" s="17"/>
      <c r="AD47" s="17"/>
      <c r="AE47" s="17"/>
      <c r="AF47" s="4"/>
      <c r="AG47" s="8"/>
      <c r="AH47" s="4" t="s">
        <v>334</v>
      </c>
      <c r="AI47" s="4"/>
      <c r="AJ47" s="4" t="s">
        <v>383</v>
      </c>
    </row>
    <row r="48" customFormat="false" ht="15" hidden="false" customHeight="false" outlineLevel="0" collapsed="false">
      <c r="A48" s="4" t="s">
        <v>366</v>
      </c>
      <c r="B48" s="4" t="s">
        <v>367</v>
      </c>
      <c r="C48" s="4" t="s">
        <v>247</v>
      </c>
      <c r="D48" s="4" t="s">
        <v>330</v>
      </c>
      <c r="E48" s="4" t="s">
        <v>323</v>
      </c>
      <c r="F48" s="4" t="s">
        <v>324</v>
      </c>
      <c r="G48" s="4" t="n">
        <v>0.6</v>
      </c>
      <c r="H48" s="4" t="n">
        <v>2700</v>
      </c>
      <c r="I48" s="4" t="n">
        <v>114</v>
      </c>
      <c r="J48" s="4" t="n">
        <v>113</v>
      </c>
      <c r="K48" s="8" t="n">
        <v>0.0129025573294607</v>
      </c>
      <c r="L48" s="8" t="n">
        <v>0.01771652190202</v>
      </c>
      <c r="M48" s="8" t="n">
        <v>0.728278236598435</v>
      </c>
      <c r="N48" s="16" t="n">
        <v>14.4133491527782</v>
      </c>
      <c r="O48" s="8" t="n">
        <v>0.478109393683615</v>
      </c>
      <c r="P48" s="8" t="n">
        <v>-0.0249936234039999</v>
      </c>
      <c r="Q48" s="8" t="n">
        <v>0.0507987380629212</v>
      </c>
      <c r="R48" s="8"/>
      <c r="S48" s="8"/>
      <c r="T48" s="8"/>
      <c r="U48" s="8"/>
      <c r="V48" s="8"/>
      <c r="W48" s="8"/>
      <c r="X48" s="8"/>
      <c r="Y48" s="17" t="n">
        <v>0.0205773374930765</v>
      </c>
      <c r="Z48" s="17" t="n">
        <v>3.07213883231501E-009</v>
      </c>
      <c r="AA48" s="17" t="n">
        <v>0.0118908116595305</v>
      </c>
      <c r="AB48" s="17"/>
      <c r="AC48" s="17"/>
      <c r="AD48" s="17"/>
      <c r="AE48" s="17"/>
      <c r="AF48" s="4"/>
      <c r="AG48" s="8"/>
      <c r="AH48" s="4" t="s">
        <v>334</v>
      </c>
      <c r="AI48" s="4"/>
      <c r="AJ48" s="4" t="s">
        <v>384</v>
      </c>
    </row>
    <row r="49" customFormat="false" ht="15" hidden="false" customHeight="false" outlineLevel="0" collapsed="false">
      <c r="A49" s="4" t="s">
        <v>366</v>
      </c>
      <c r="B49" s="4" t="s">
        <v>367</v>
      </c>
      <c r="C49" s="4" t="s">
        <v>248</v>
      </c>
      <c r="D49" s="4" t="s">
        <v>330</v>
      </c>
      <c r="E49" s="4" t="s">
        <v>323</v>
      </c>
      <c r="F49" s="4" t="s">
        <v>324</v>
      </c>
      <c r="G49" s="4" t="n">
        <v>0.6</v>
      </c>
      <c r="H49" s="4" t="n">
        <v>2699</v>
      </c>
      <c r="I49" s="4" t="n">
        <v>114</v>
      </c>
      <c r="J49" s="4" t="n">
        <v>113</v>
      </c>
      <c r="K49" s="8" t="n">
        <v>0.00906419608412797</v>
      </c>
      <c r="L49" s="8" t="n">
        <v>0.0182752375483911</v>
      </c>
      <c r="M49" s="8" t="n">
        <v>0.49598239476378</v>
      </c>
      <c r="N49" s="16" t="n">
        <v>14.269318762132</v>
      </c>
      <c r="O49" s="8" t="n">
        <v>0.627458795044532</v>
      </c>
      <c r="P49" s="8" t="n">
        <v>-0.0300629989163492</v>
      </c>
      <c r="Q49" s="8" t="n">
        <v>0.0481913910846051</v>
      </c>
      <c r="R49" s="8"/>
      <c r="S49" s="8"/>
      <c r="T49" s="8"/>
      <c r="U49" s="8"/>
      <c r="V49" s="8"/>
      <c r="W49" s="8"/>
      <c r="X49" s="8"/>
      <c r="Y49" s="17" t="n">
        <v>0.0207061047359772</v>
      </c>
      <c r="Z49" s="17" t="n">
        <v>1.78704766583033E-010</v>
      </c>
      <c r="AA49" s="17" t="n">
        <v>0.0118959705681685</v>
      </c>
      <c r="AB49" s="17"/>
      <c r="AC49" s="17"/>
      <c r="AD49" s="17"/>
      <c r="AE49" s="17"/>
      <c r="AF49" s="4"/>
      <c r="AG49" s="8"/>
      <c r="AH49" s="4" t="s">
        <v>334</v>
      </c>
      <c r="AI49" s="4"/>
      <c r="AJ49" s="4" t="s">
        <v>385</v>
      </c>
    </row>
    <row r="50" customFormat="false" ht="15" hidden="false" customHeight="false" outlineLevel="0" collapsed="false">
      <c r="A50" s="4" t="s">
        <v>366</v>
      </c>
      <c r="B50" s="4" t="s">
        <v>367</v>
      </c>
      <c r="C50" s="4" t="s">
        <v>249</v>
      </c>
      <c r="D50" s="4" t="s">
        <v>330</v>
      </c>
      <c r="E50" s="4" t="s">
        <v>323</v>
      </c>
      <c r="F50" s="4" t="s">
        <v>324</v>
      </c>
      <c r="G50" s="4" t="n">
        <v>0.6</v>
      </c>
      <c r="H50" s="4" t="n">
        <v>2535</v>
      </c>
      <c r="I50" s="4" t="n">
        <v>114</v>
      </c>
      <c r="J50" s="4" t="n">
        <v>113</v>
      </c>
      <c r="K50" s="8" t="n">
        <v>0.0087369956261395</v>
      </c>
      <c r="L50" s="8" t="n">
        <v>0.0182840164901798</v>
      </c>
      <c r="M50" s="8" t="n">
        <v>0.477848815703708</v>
      </c>
      <c r="N50" s="16" t="n">
        <v>14.7191867467157</v>
      </c>
      <c r="O50" s="8" t="n">
        <v>0.639776715689012</v>
      </c>
      <c r="P50" s="8" t="n">
        <v>-0.030299319607701</v>
      </c>
      <c r="Q50" s="8" t="n">
        <v>0.04777331085998</v>
      </c>
      <c r="R50" s="8"/>
      <c r="S50" s="8"/>
      <c r="T50" s="8"/>
      <c r="U50" s="8"/>
      <c r="V50" s="8"/>
      <c r="W50" s="8"/>
      <c r="X50" s="8"/>
      <c r="Y50" s="17" t="n">
        <v>0.0204950333014738</v>
      </c>
      <c r="Z50" s="17" t="n">
        <v>2.53604870433353E-009</v>
      </c>
      <c r="AA50" s="17" t="n">
        <v>0.0121442492906438</v>
      </c>
      <c r="AB50" s="17"/>
      <c r="AC50" s="17"/>
      <c r="AD50" s="17"/>
      <c r="AE50" s="17"/>
      <c r="AF50" s="4"/>
      <c r="AG50" s="8"/>
      <c r="AH50" s="4" t="s">
        <v>334</v>
      </c>
      <c r="AI50" s="4"/>
      <c r="AJ50" s="4" t="s">
        <v>386</v>
      </c>
    </row>
    <row r="51" customFormat="false" ht="15" hidden="false" customHeight="false" outlineLevel="0" collapsed="false">
      <c r="A51" s="4" t="s">
        <v>366</v>
      </c>
      <c r="B51" s="4" t="s">
        <v>367</v>
      </c>
      <c r="C51" s="4" t="s">
        <v>250</v>
      </c>
      <c r="D51" s="4" t="s">
        <v>330</v>
      </c>
      <c r="E51" s="4" t="s">
        <v>323</v>
      </c>
      <c r="F51" s="4" t="s">
        <v>324</v>
      </c>
      <c r="G51" s="4" t="n">
        <v>0.6</v>
      </c>
      <c r="H51" s="4" t="n">
        <v>2699</v>
      </c>
      <c r="I51" s="4" t="n">
        <v>114</v>
      </c>
      <c r="J51" s="4" t="n">
        <v>113</v>
      </c>
      <c r="K51" s="8" t="n">
        <v>0.012297102178069</v>
      </c>
      <c r="L51" s="8" t="n">
        <v>0.0178621277622607</v>
      </c>
      <c r="M51" s="8" t="n">
        <v>0.688445539173138</v>
      </c>
      <c r="N51" s="16" t="n">
        <v>14.3648982894812</v>
      </c>
      <c r="O51" s="8" t="n">
        <v>0.502139814190304</v>
      </c>
      <c r="P51" s="8" t="n">
        <v>-0.0259222537444838</v>
      </c>
      <c r="Q51" s="8" t="n">
        <v>0.0505164581006218</v>
      </c>
      <c r="R51" s="8"/>
      <c r="S51" s="8"/>
      <c r="T51" s="8"/>
      <c r="U51" s="8"/>
      <c r="V51" s="8"/>
      <c r="W51" s="8"/>
      <c r="X51" s="8"/>
      <c r="Y51" s="17" t="n">
        <v>0.0206348721015382</v>
      </c>
      <c r="Z51" s="17" t="n">
        <v>1.35696932678966E-009</v>
      </c>
      <c r="AA51" s="17" t="n">
        <v>0.0118966495211891</v>
      </c>
      <c r="AB51" s="17"/>
      <c r="AC51" s="17"/>
      <c r="AD51" s="17"/>
      <c r="AE51" s="17"/>
      <c r="AF51" s="4"/>
      <c r="AG51" s="8"/>
      <c r="AH51" s="4" t="s">
        <v>334</v>
      </c>
      <c r="AI51" s="4"/>
      <c r="AJ51" s="4" t="s">
        <v>387</v>
      </c>
    </row>
    <row r="52" customFormat="false" ht="15" hidden="false" customHeight="false" outlineLevel="0" collapsed="false">
      <c r="A52" s="4" t="s">
        <v>366</v>
      </c>
      <c r="B52" s="4" t="s">
        <v>367</v>
      </c>
      <c r="C52" s="4" t="s">
        <v>251</v>
      </c>
      <c r="D52" s="4" t="s">
        <v>330</v>
      </c>
      <c r="E52" s="4" t="s">
        <v>323</v>
      </c>
      <c r="F52" s="4" t="s">
        <v>324</v>
      </c>
      <c r="G52" s="4" t="n">
        <v>0.6</v>
      </c>
      <c r="H52" s="4" t="n">
        <v>2687</v>
      </c>
      <c r="I52" s="4" t="n">
        <v>114</v>
      </c>
      <c r="J52" s="4" t="n">
        <v>113</v>
      </c>
      <c r="K52" s="8" t="n">
        <v>0.00895414180271286</v>
      </c>
      <c r="L52" s="8" t="n">
        <v>0.0182818655353081</v>
      </c>
      <c r="M52" s="8" t="n">
        <v>0.489782718586326</v>
      </c>
      <c r="N52" s="16" t="n">
        <v>14.3604684484996</v>
      </c>
      <c r="O52" s="8" t="n">
        <v>0.631685101418743</v>
      </c>
      <c r="P52" s="8" t="n">
        <v>-0.0301644225172367</v>
      </c>
      <c r="Q52" s="8" t="n">
        <v>0.0480727061226624</v>
      </c>
      <c r="R52" s="8"/>
      <c r="S52" s="8"/>
      <c r="T52" s="8"/>
      <c r="U52" s="8"/>
      <c r="V52" s="8"/>
      <c r="W52" s="8"/>
      <c r="X52" s="8"/>
      <c r="Y52" s="17" t="n">
        <v>0.0206608461385264</v>
      </c>
      <c r="Z52" s="17" t="n">
        <v>2.84991227300045E-009</v>
      </c>
      <c r="AA52" s="17" t="n">
        <v>0.0119582703714517</v>
      </c>
      <c r="AB52" s="17"/>
      <c r="AC52" s="17"/>
      <c r="AD52" s="17"/>
      <c r="AE52" s="17"/>
      <c r="AF52" s="4"/>
      <c r="AG52" s="8"/>
      <c r="AH52" s="4" t="s">
        <v>334</v>
      </c>
      <c r="AI52" s="4"/>
      <c r="AJ52" s="4" t="s">
        <v>388</v>
      </c>
    </row>
    <row r="53" customFormat="false" ht="15" hidden="false" customHeight="false" outlineLevel="0" collapsed="false">
      <c r="A53" s="4" t="s">
        <v>366</v>
      </c>
      <c r="B53" s="4" t="s">
        <v>367</v>
      </c>
      <c r="C53" s="4" t="s">
        <v>252</v>
      </c>
      <c r="D53" s="4" t="s">
        <v>330</v>
      </c>
      <c r="E53" s="4" t="s">
        <v>323</v>
      </c>
      <c r="F53" s="4" t="s">
        <v>324</v>
      </c>
      <c r="G53" s="4" t="n">
        <v>0.6</v>
      </c>
      <c r="H53" s="4" t="n">
        <v>2690</v>
      </c>
      <c r="I53" s="4" t="n">
        <v>114</v>
      </c>
      <c r="J53" s="4" t="n">
        <v>113</v>
      </c>
      <c r="K53" s="8" t="n">
        <v>0.00963925986008831</v>
      </c>
      <c r="L53" s="8" t="n">
        <v>0.0182477968694097</v>
      </c>
      <c r="M53" s="8" t="n">
        <v>0.528242391619747</v>
      </c>
      <c r="N53" s="16" t="n">
        <v>14.3153538461729</v>
      </c>
      <c r="O53" s="8" t="n">
        <v>0.605423951832893</v>
      </c>
      <c r="P53" s="8" t="n">
        <v>-0.0294176411126667</v>
      </c>
      <c r="Q53" s="8" t="n">
        <v>0.0486961608328433</v>
      </c>
      <c r="R53" s="8"/>
      <c r="S53" s="8"/>
      <c r="T53" s="8"/>
      <c r="U53" s="8"/>
      <c r="V53" s="8"/>
      <c r="W53" s="8"/>
      <c r="X53" s="8"/>
      <c r="Y53" s="17" t="n">
        <v>0.0206983945156524</v>
      </c>
      <c r="Z53" s="17" t="n">
        <v>1.8432288587172E-009</v>
      </c>
      <c r="AA53" s="17" t="n">
        <v>0.0119425387078163</v>
      </c>
      <c r="AB53" s="17"/>
      <c r="AC53" s="17"/>
      <c r="AD53" s="17"/>
      <c r="AE53" s="17"/>
      <c r="AF53" s="4"/>
      <c r="AG53" s="8"/>
      <c r="AH53" s="4" t="s">
        <v>334</v>
      </c>
      <c r="AI53" s="4"/>
      <c r="AJ53" s="4" t="s">
        <v>389</v>
      </c>
    </row>
    <row r="54" customFormat="false" ht="15" hidden="false" customHeight="false" outlineLevel="0" collapsed="false">
      <c r="A54" s="4" t="s">
        <v>366</v>
      </c>
      <c r="B54" s="4" t="s">
        <v>367</v>
      </c>
      <c r="C54" s="4" t="s">
        <v>253</v>
      </c>
      <c r="D54" s="4" t="s">
        <v>330</v>
      </c>
      <c r="E54" s="4" t="s">
        <v>323</v>
      </c>
      <c r="F54" s="4" t="s">
        <v>324</v>
      </c>
      <c r="G54" s="4" t="n">
        <v>0.6</v>
      </c>
      <c r="H54" s="4" t="n">
        <v>2699</v>
      </c>
      <c r="I54" s="4" t="n">
        <v>114</v>
      </c>
      <c r="J54" s="4" t="n">
        <v>113</v>
      </c>
      <c r="K54" s="8" t="n">
        <v>0.0111467771530093</v>
      </c>
      <c r="L54" s="8" t="n">
        <v>0.0180816325548188</v>
      </c>
      <c r="M54" s="8" t="n">
        <v>0.616469620163732</v>
      </c>
      <c r="N54" s="16" t="n">
        <v>14.2712313600132</v>
      </c>
      <c r="O54" s="8" t="n">
        <v>0.547293109405967</v>
      </c>
      <c r="P54" s="8" t="n">
        <v>-0.0275654336683929</v>
      </c>
      <c r="Q54" s="8" t="n">
        <v>0.0498589879744115</v>
      </c>
      <c r="R54" s="8"/>
      <c r="S54" s="8"/>
      <c r="T54" s="8"/>
      <c r="U54" s="8"/>
      <c r="V54" s="8"/>
      <c r="W54" s="8"/>
      <c r="X54" s="8"/>
      <c r="Y54" s="17" t="n">
        <v>0.0207172399487048</v>
      </c>
      <c r="Z54" s="17" t="n">
        <v>2.19741349813921E-009</v>
      </c>
      <c r="AA54" s="17" t="n">
        <v>0.0119008971929898</v>
      </c>
      <c r="AB54" s="17"/>
      <c r="AC54" s="17"/>
      <c r="AD54" s="17"/>
      <c r="AE54" s="17"/>
      <c r="AF54" s="4"/>
      <c r="AG54" s="8"/>
      <c r="AH54" s="4" t="s">
        <v>334</v>
      </c>
      <c r="AI54" s="4"/>
      <c r="AJ54" s="4" t="s">
        <v>390</v>
      </c>
    </row>
    <row r="55" customFormat="false" ht="15" hidden="false" customHeight="false" outlineLevel="0" collapsed="false">
      <c r="A55" s="4" t="s">
        <v>366</v>
      </c>
      <c r="B55" s="4" t="s">
        <v>367</v>
      </c>
      <c r="C55" s="4" t="s">
        <v>254</v>
      </c>
      <c r="D55" s="4" t="s">
        <v>330</v>
      </c>
      <c r="E55" s="4" t="s">
        <v>323</v>
      </c>
      <c r="F55" s="4" t="s">
        <v>324</v>
      </c>
      <c r="G55" s="4" t="n">
        <v>0.6</v>
      </c>
      <c r="H55" s="4" t="n">
        <v>2680</v>
      </c>
      <c r="I55" s="4" t="n">
        <v>114</v>
      </c>
      <c r="J55" s="4" t="n">
        <v>113</v>
      </c>
      <c r="K55" s="8" t="n">
        <v>0.00933853383181733</v>
      </c>
      <c r="L55" s="8" t="n">
        <v>0.0182655129448581</v>
      </c>
      <c r="M55" s="8" t="n">
        <v>0.511265895461546</v>
      </c>
      <c r="N55" s="16" t="n">
        <v>14.4184510185171</v>
      </c>
      <c r="O55" s="8" t="n">
        <v>0.616904278828401</v>
      </c>
      <c r="P55" s="8" t="n">
        <v>-0.029730698605555</v>
      </c>
      <c r="Q55" s="8" t="n">
        <v>0.0484077662691897</v>
      </c>
      <c r="R55" s="8"/>
      <c r="S55" s="8"/>
      <c r="T55" s="8"/>
      <c r="U55" s="8"/>
      <c r="V55" s="8"/>
      <c r="W55" s="8"/>
      <c r="X55" s="8"/>
      <c r="Y55" s="17" t="n">
        <v>0.0206454549904336</v>
      </c>
      <c r="Z55" s="17" t="n">
        <v>2.72768368331607E-009</v>
      </c>
      <c r="AA55" s="17" t="n">
        <v>0.0119997268240228</v>
      </c>
      <c r="AB55" s="17"/>
      <c r="AC55" s="17"/>
      <c r="AD55" s="17"/>
      <c r="AE55" s="17"/>
      <c r="AF55" s="4"/>
      <c r="AG55" s="8"/>
      <c r="AH55" s="4" t="s">
        <v>334</v>
      </c>
      <c r="AI55" s="4"/>
      <c r="AJ55" s="4" t="s">
        <v>391</v>
      </c>
    </row>
    <row r="56" customFormat="false" ht="15" hidden="false" customHeight="false" outlineLevel="0" collapsed="false">
      <c r="A56" s="4" t="s">
        <v>366</v>
      </c>
      <c r="B56" s="4" t="s">
        <v>367</v>
      </c>
      <c r="C56" s="4" t="s">
        <v>255</v>
      </c>
      <c r="D56" s="4" t="s">
        <v>330</v>
      </c>
      <c r="E56" s="4" t="s">
        <v>323</v>
      </c>
      <c r="F56" s="4" t="s">
        <v>324</v>
      </c>
      <c r="G56" s="4" t="n">
        <v>0.6</v>
      </c>
      <c r="H56" s="4" t="n">
        <v>2692</v>
      </c>
      <c r="I56" s="4" t="n">
        <v>114</v>
      </c>
      <c r="J56" s="4" t="n">
        <v>113</v>
      </c>
      <c r="K56" s="8" t="n">
        <v>0.0121015975326684</v>
      </c>
      <c r="L56" s="8" t="n">
        <v>0.0179089230362567</v>
      </c>
      <c r="M56" s="8" t="n">
        <v>0.675730054128252</v>
      </c>
      <c r="N56" s="16" t="n">
        <v>14.3234661124731</v>
      </c>
      <c r="O56" s="8" t="n">
        <v>0.509975428990075</v>
      </c>
      <c r="P56" s="8" t="n">
        <v>-0.0262280023273873</v>
      </c>
      <c r="Q56" s="8" t="n">
        <v>0.0504311973927241</v>
      </c>
      <c r="R56" s="8"/>
      <c r="S56" s="8"/>
      <c r="T56" s="8"/>
      <c r="U56" s="8"/>
      <c r="V56" s="8"/>
      <c r="W56" s="8"/>
      <c r="X56" s="8"/>
      <c r="Y56" s="17" t="n">
        <v>0.0206605698274046</v>
      </c>
      <c r="Z56" s="17" t="n">
        <v>3.16526328841281E-009</v>
      </c>
      <c r="AA56" s="17" t="n">
        <v>0.0119086606086595</v>
      </c>
      <c r="AB56" s="17"/>
      <c r="AC56" s="17"/>
      <c r="AD56" s="17"/>
      <c r="AE56" s="17"/>
      <c r="AF56" s="4"/>
      <c r="AG56" s="8"/>
      <c r="AH56" s="4" t="s">
        <v>334</v>
      </c>
      <c r="AI56" s="4"/>
      <c r="AJ56" s="4" t="s">
        <v>392</v>
      </c>
    </row>
    <row r="57" customFormat="false" ht="15" hidden="false" customHeight="false" outlineLevel="0" collapsed="false">
      <c r="A57" s="4" t="s">
        <v>366</v>
      </c>
      <c r="B57" s="4" t="s">
        <v>367</v>
      </c>
      <c r="C57" s="4" t="s">
        <v>256</v>
      </c>
      <c r="D57" s="4" t="s">
        <v>330</v>
      </c>
      <c r="E57" s="4" t="s">
        <v>323</v>
      </c>
      <c r="F57" s="4" t="s">
        <v>324</v>
      </c>
      <c r="G57" s="4" t="n">
        <v>0.6</v>
      </c>
      <c r="H57" s="4" t="n">
        <v>2692</v>
      </c>
      <c r="I57" s="4" t="n">
        <v>114</v>
      </c>
      <c r="J57" s="4" t="n">
        <v>113</v>
      </c>
      <c r="K57" s="8" t="n">
        <v>0.0102486468662674</v>
      </c>
      <c r="L57" s="8" t="n">
        <v>0.0181970464014636</v>
      </c>
      <c r="M57" s="8" t="n">
        <v>0.563203865075768</v>
      </c>
      <c r="N57" s="16" t="n">
        <v>14.293602167274</v>
      </c>
      <c r="O57" s="8" t="n">
        <v>0.582023916917652</v>
      </c>
      <c r="P57" s="8" t="n">
        <v>-0.0287050589184423</v>
      </c>
      <c r="Q57" s="8" t="n">
        <v>0.0492023526509771</v>
      </c>
      <c r="R57" s="8"/>
      <c r="S57" s="8"/>
      <c r="T57" s="8"/>
      <c r="U57" s="8"/>
      <c r="V57" s="8"/>
      <c r="W57" s="8"/>
      <c r="X57" s="8"/>
      <c r="Y57" s="17" t="n">
        <v>0.020713775761207</v>
      </c>
      <c r="Z57" s="17" t="n">
        <v>2.46546067837642E-009</v>
      </c>
      <c r="AA57" s="17" t="n">
        <v>0.0119354184260657</v>
      </c>
      <c r="AB57" s="17"/>
      <c r="AC57" s="17"/>
      <c r="AD57" s="17"/>
      <c r="AE57" s="17"/>
      <c r="AF57" s="4"/>
      <c r="AG57" s="8"/>
      <c r="AH57" s="4" t="s">
        <v>334</v>
      </c>
      <c r="AI57" s="4"/>
      <c r="AJ57" s="4" t="s">
        <v>393</v>
      </c>
    </row>
    <row r="58" customFormat="false" ht="15" hidden="false" customHeight="false" outlineLevel="0" collapsed="false">
      <c r="A58" s="4" t="s">
        <v>366</v>
      </c>
      <c r="B58" s="4" t="s">
        <v>367</v>
      </c>
      <c r="C58" s="4" t="s">
        <v>257</v>
      </c>
      <c r="D58" s="4" t="s">
        <v>330</v>
      </c>
      <c r="E58" s="4" t="s">
        <v>323</v>
      </c>
      <c r="F58" s="4" t="s">
        <v>324</v>
      </c>
      <c r="G58" s="4" t="n">
        <v>0.6</v>
      </c>
      <c r="H58" s="4" t="n">
        <v>2697</v>
      </c>
      <c r="I58" s="4" t="n">
        <v>114</v>
      </c>
      <c r="J58" s="4" t="n">
        <v>113</v>
      </c>
      <c r="K58" s="8" t="n">
        <v>0.00965780388360885</v>
      </c>
      <c r="L58" s="8" t="n">
        <v>0.0182405954305025</v>
      </c>
      <c r="M58" s="8" t="n">
        <v>0.529467577985901</v>
      </c>
      <c r="N58" s="16" t="n">
        <v>14.2306831738077</v>
      </c>
      <c r="O58" s="8" t="n">
        <v>0.604643278229168</v>
      </c>
      <c r="P58" s="8" t="n">
        <v>-0.0294049694095141</v>
      </c>
      <c r="Q58" s="8" t="n">
        <v>0.0487205771767318</v>
      </c>
      <c r="R58" s="8"/>
      <c r="S58" s="8"/>
      <c r="T58" s="8"/>
      <c r="U58" s="8"/>
      <c r="V58" s="8"/>
      <c r="W58" s="8"/>
      <c r="X58" s="8"/>
      <c r="Y58" s="17" t="n">
        <v>0.0207399848204337</v>
      </c>
      <c r="Z58" s="17" t="n">
        <v>2.13544349974923E-009</v>
      </c>
      <c r="AA58" s="17" t="n">
        <v>0.0118633592934704</v>
      </c>
      <c r="AB58" s="17"/>
      <c r="AC58" s="17"/>
      <c r="AD58" s="17"/>
      <c r="AE58" s="17"/>
      <c r="AF58" s="4"/>
      <c r="AG58" s="8"/>
      <c r="AH58" s="4" t="s">
        <v>334</v>
      </c>
      <c r="AI58" s="4"/>
      <c r="AJ58" s="4" t="s">
        <v>394</v>
      </c>
    </row>
    <row r="59" customFormat="false" ht="15" hidden="false" customHeight="false" outlineLevel="0" collapsed="false">
      <c r="A59" s="4" t="s">
        <v>366</v>
      </c>
      <c r="B59" s="4" t="s">
        <v>367</v>
      </c>
      <c r="C59" s="4" t="s">
        <v>258</v>
      </c>
      <c r="D59" s="4" t="s">
        <v>330</v>
      </c>
      <c r="E59" s="4" t="s">
        <v>323</v>
      </c>
      <c r="F59" s="4" t="s">
        <v>324</v>
      </c>
      <c r="G59" s="4" t="n">
        <v>0.6</v>
      </c>
      <c r="H59" s="4" t="n">
        <v>2704</v>
      </c>
      <c r="I59" s="4" t="n">
        <v>114</v>
      </c>
      <c r="J59" s="4" t="n">
        <v>113</v>
      </c>
      <c r="K59" s="8" t="n">
        <v>0.0100126240884364</v>
      </c>
      <c r="L59" s="8" t="n">
        <v>0.018188153423477</v>
      </c>
      <c r="M59" s="8" t="n">
        <v>0.550502508710548</v>
      </c>
      <c r="N59" s="16" t="n">
        <v>14.429647492829</v>
      </c>
      <c r="O59" s="8" t="n">
        <v>0.590396080149786</v>
      </c>
      <c r="P59" s="8" t="n">
        <v>-0.0288883960087356</v>
      </c>
      <c r="Q59" s="8" t="n">
        <v>0.0489136441856085</v>
      </c>
      <c r="R59" s="8"/>
      <c r="S59" s="8"/>
      <c r="T59" s="8"/>
      <c r="U59" s="8"/>
      <c r="V59" s="8"/>
      <c r="W59" s="8"/>
      <c r="X59" s="8"/>
      <c r="Y59" s="17" t="n">
        <v>0.0206645627652271</v>
      </c>
      <c r="Z59" s="17" t="n">
        <v>1.61420123424616E-009</v>
      </c>
      <c r="AA59" s="17" t="n">
        <v>0.0118786687216326</v>
      </c>
      <c r="AB59" s="17"/>
      <c r="AC59" s="17"/>
      <c r="AD59" s="17"/>
      <c r="AE59" s="17"/>
      <c r="AF59" s="4"/>
      <c r="AG59" s="8"/>
      <c r="AH59" s="4" t="s">
        <v>334</v>
      </c>
      <c r="AI59" s="4"/>
      <c r="AJ59" s="4" t="s">
        <v>395</v>
      </c>
    </row>
    <row r="60" customFormat="false" ht="15" hidden="false" customHeight="false" outlineLevel="0" collapsed="false">
      <c r="A60" s="4" t="s">
        <v>366</v>
      </c>
      <c r="B60" s="4" t="s">
        <v>367</v>
      </c>
      <c r="C60" s="4" t="s">
        <v>259</v>
      </c>
      <c r="D60" s="4" t="s">
        <v>330</v>
      </c>
      <c r="E60" s="4" t="s">
        <v>323</v>
      </c>
      <c r="F60" s="4" t="s">
        <v>324</v>
      </c>
      <c r="G60" s="4" t="n">
        <v>0.6</v>
      </c>
      <c r="H60" s="4" t="n">
        <v>2681</v>
      </c>
      <c r="I60" s="4" t="n">
        <v>114</v>
      </c>
      <c r="J60" s="4" t="n">
        <v>113</v>
      </c>
      <c r="K60" s="8" t="n">
        <v>0.0104520230738281</v>
      </c>
      <c r="L60" s="8" t="n">
        <v>0.0181743201248214</v>
      </c>
      <c r="M60" s="8" t="n">
        <v>0.575098435707278</v>
      </c>
      <c r="N60" s="16" t="n">
        <v>14.3381725217402</v>
      </c>
      <c r="O60" s="8" t="n">
        <v>0.574139144087363</v>
      </c>
      <c r="P60" s="8" t="n">
        <v>-0.0284419417848375</v>
      </c>
      <c r="Q60" s="8" t="n">
        <v>0.0493459879324936</v>
      </c>
      <c r="R60" s="8"/>
      <c r="S60" s="8"/>
      <c r="T60" s="8"/>
      <c r="U60" s="8"/>
      <c r="V60" s="8"/>
      <c r="W60" s="8"/>
      <c r="X60" s="8"/>
      <c r="Y60" s="17" t="n">
        <v>0.0206925457531842</v>
      </c>
      <c r="Z60" s="17" t="n">
        <v>3.10590317443348E-009</v>
      </c>
      <c r="AA60" s="17" t="n">
        <v>0.0119618796948904</v>
      </c>
      <c r="AB60" s="17"/>
      <c r="AC60" s="17"/>
      <c r="AD60" s="17"/>
      <c r="AE60" s="17"/>
      <c r="AF60" s="4"/>
      <c r="AG60" s="8"/>
      <c r="AH60" s="4" t="s">
        <v>334</v>
      </c>
      <c r="AI60" s="4"/>
      <c r="AJ60" s="4" t="s">
        <v>396</v>
      </c>
    </row>
    <row r="61" customFormat="false" ht="15" hidden="false" customHeight="false" outlineLevel="0" collapsed="false">
      <c r="A61" s="4" t="s">
        <v>366</v>
      </c>
      <c r="B61" s="4" t="s">
        <v>367</v>
      </c>
      <c r="C61" s="4" t="s">
        <v>260</v>
      </c>
      <c r="D61" s="4" t="s">
        <v>330</v>
      </c>
      <c r="E61" s="4" t="s">
        <v>323</v>
      </c>
      <c r="F61" s="4" t="s">
        <v>324</v>
      </c>
      <c r="G61" s="4" t="n">
        <v>0.6</v>
      </c>
      <c r="H61" s="4" t="n">
        <v>2689</v>
      </c>
      <c r="I61" s="4" t="n">
        <v>114</v>
      </c>
      <c r="J61" s="4" t="n">
        <v>113</v>
      </c>
      <c r="K61" s="8" t="n">
        <v>0.01364525229249</v>
      </c>
      <c r="L61" s="8" t="n">
        <v>0.0175088254554097</v>
      </c>
      <c r="M61" s="8" t="n">
        <v>0.779335674299846</v>
      </c>
      <c r="N61" s="16" t="n">
        <v>14.4793452729645</v>
      </c>
      <c r="O61" s="8" t="n">
        <v>0.448333327099179</v>
      </c>
      <c r="P61" s="8" t="n">
        <v>-0.023791145366767</v>
      </c>
      <c r="Q61" s="8" t="n">
        <v>0.051081649951747</v>
      </c>
      <c r="R61" s="8"/>
      <c r="S61" s="8"/>
      <c r="T61" s="8"/>
      <c r="U61" s="8"/>
      <c r="V61" s="8"/>
      <c r="W61" s="8"/>
      <c r="X61" s="8"/>
      <c r="Y61" s="17" t="n">
        <v>0.0204832530427878</v>
      </c>
      <c r="Z61" s="17" t="n">
        <v>1.76515191506389E-009</v>
      </c>
      <c r="AA61" s="17" t="n">
        <v>0.0119200881927693</v>
      </c>
      <c r="AB61" s="17"/>
      <c r="AC61" s="17"/>
      <c r="AD61" s="17"/>
      <c r="AE61" s="17"/>
      <c r="AF61" s="4"/>
      <c r="AG61" s="8"/>
      <c r="AH61" s="4" t="s">
        <v>334</v>
      </c>
      <c r="AI61" s="4"/>
      <c r="AJ61" s="4" t="s">
        <v>397</v>
      </c>
    </row>
    <row r="62" customFormat="false" ht="15" hidden="false" customHeight="false" outlineLevel="0" collapsed="false">
      <c r="A62" s="4" t="s">
        <v>366</v>
      </c>
      <c r="B62" s="4" t="s">
        <v>367</v>
      </c>
      <c r="C62" s="4" t="s">
        <v>261</v>
      </c>
      <c r="D62" s="4" t="s">
        <v>330</v>
      </c>
      <c r="E62" s="4" t="s">
        <v>323</v>
      </c>
      <c r="F62" s="4" t="s">
        <v>324</v>
      </c>
      <c r="G62" s="4" t="n">
        <v>0.6</v>
      </c>
      <c r="H62" s="4" t="n">
        <v>2693</v>
      </c>
      <c r="I62" s="4" t="n">
        <v>114</v>
      </c>
      <c r="J62" s="4" t="n">
        <v>113</v>
      </c>
      <c r="K62" s="8" t="n">
        <v>0.0116502638876517</v>
      </c>
      <c r="L62" s="8" t="n">
        <v>0.0180041812769449</v>
      </c>
      <c r="M62" s="8" t="n">
        <v>0.647086568861108</v>
      </c>
      <c r="N62" s="16" t="n">
        <v>14.2348571119826</v>
      </c>
      <c r="O62" s="8" t="n">
        <v>0.527873543524645</v>
      </c>
      <c r="P62" s="8" t="n">
        <v>-0.026905179445506</v>
      </c>
      <c r="Q62" s="8" t="n">
        <v>0.0502057072208094</v>
      </c>
      <c r="R62" s="8"/>
      <c r="S62" s="8"/>
      <c r="T62" s="8"/>
      <c r="U62" s="8"/>
      <c r="V62" s="8"/>
      <c r="W62" s="8"/>
      <c r="X62" s="8"/>
      <c r="Y62" s="17" t="n">
        <v>0.0207189581628279</v>
      </c>
      <c r="Z62" s="17" t="n">
        <v>2.87716976279998E-009</v>
      </c>
      <c r="AA62" s="17" t="n">
        <v>0.0118919896826509</v>
      </c>
      <c r="AB62" s="17"/>
      <c r="AC62" s="17"/>
      <c r="AD62" s="17"/>
      <c r="AE62" s="17"/>
      <c r="AF62" s="4"/>
      <c r="AG62" s="8"/>
      <c r="AH62" s="4" t="s">
        <v>334</v>
      </c>
      <c r="AI62" s="4"/>
      <c r="AJ62" s="4" t="s">
        <v>398</v>
      </c>
    </row>
    <row r="63" customFormat="false" ht="15" hidden="false" customHeight="false" outlineLevel="0" collapsed="false">
      <c r="A63" s="4" t="s">
        <v>366</v>
      </c>
      <c r="B63" s="4" t="s">
        <v>399</v>
      </c>
      <c r="C63" s="4" t="s">
        <v>400</v>
      </c>
      <c r="D63" s="4" t="s">
        <v>401</v>
      </c>
      <c r="E63" s="4" t="s">
        <v>323</v>
      </c>
      <c r="F63" s="4" t="s">
        <v>324</v>
      </c>
      <c r="G63" s="4" t="n">
        <v>0.6</v>
      </c>
      <c r="H63" s="4"/>
      <c r="I63" s="4"/>
      <c r="J63" s="4"/>
      <c r="K63" s="8"/>
      <c r="L63" s="8"/>
      <c r="M63" s="8"/>
      <c r="N63" s="16"/>
      <c r="O63" s="8"/>
      <c r="P63" s="8"/>
      <c r="Q63" s="8"/>
      <c r="R63" s="8"/>
      <c r="S63" s="8"/>
      <c r="T63" s="8"/>
      <c r="U63" s="8"/>
      <c r="V63" s="8"/>
      <c r="W63" s="8"/>
      <c r="X63" s="8"/>
      <c r="Y63" s="17"/>
      <c r="Z63" s="17"/>
      <c r="AA63" s="17"/>
      <c r="AB63" s="17"/>
      <c r="AC63" s="17"/>
      <c r="AD63" s="17"/>
      <c r="AE63" s="17"/>
      <c r="AF63" s="4"/>
      <c r="AG63" s="8" t="n">
        <v>0.011383283755471</v>
      </c>
      <c r="AH63" s="4" t="s">
        <v>325</v>
      </c>
      <c r="AI63" s="4" t="s">
        <v>402</v>
      </c>
      <c r="AJ63" s="4" t="s">
        <v>403</v>
      </c>
    </row>
    <row r="64" customFormat="false" ht="15" hidden="false" customHeight="false" outlineLevel="0" collapsed="false">
      <c r="A64" s="4" t="s">
        <v>366</v>
      </c>
      <c r="B64" s="4" t="s">
        <v>404</v>
      </c>
      <c r="C64" s="4" t="s">
        <v>231</v>
      </c>
      <c r="D64" s="4" t="s">
        <v>405</v>
      </c>
      <c r="E64" s="4" t="s">
        <v>406</v>
      </c>
      <c r="F64" s="4" t="s">
        <v>407</v>
      </c>
      <c r="G64" s="4" t="n">
        <v>0.6</v>
      </c>
      <c r="H64" s="4" t="n">
        <v>9</v>
      </c>
      <c r="I64" s="4" t="n">
        <v>1</v>
      </c>
      <c r="J64" s="4"/>
      <c r="K64" s="8"/>
      <c r="L64" s="8"/>
      <c r="M64" s="8"/>
      <c r="N64" s="16"/>
      <c r="O64" s="8"/>
      <c r="P64" s="8"/>
      <c r="Q64" s="8"/>
      <c r="R64" s="8"/>
      <c r="S64" s="8"/>
      <c r="T64" s="8"/>
      <c r="U64" s="8"/>
      <c r="V64" s="8"/>
      <c r="W64" s="8"/>
      <c r="X64" s="8"/>
      <c r="Y64" s="17"/>
      <c r="Z64" s="17"/>
      <c r="AA64" s="17"/>
      <c r="AB64" s="17"/>
      <c r="AC64" s="17"/>
      <c r="AD64" s="17"/>
      <c r="AE64" s="17"/>
      <c r="AF64" s="4"/>
      <c r="AG64" s="8" t="n">
        <v>0.0130664086685145</v>
      </c>
      <c r="AH64" s="4" t="s">
        <v>334</v>
      </c>
      <c r="AI64" s="4"/>
      <c r="AJ64" s="4" t="s">
        <v>408</v>
      </c>
    </row>
    <row r="65" customFormat="false" ht="15" hidden="false" customHeight="false" outlineLevel="0" collapsed="false">
      <c r="A65" s="4" t="s">
        <v>366</v>
      </c>
      <c r="B65" s="4" t="s">
        <v>404</v>
      </c>
      <c r="C65" s="4" t="s">
        <v>232</v>
      </c>
      <c r="D65" s="4" t="s">
        <v>405</v>
      </c>
      <c r="E65" s="4" t="s">
        <v>406</v>
      </c>
      <c r="F65" s="4" t="s">
        <v>407</v>
      </c>
      <c r="G65" s="4" t="n">
        <v>0.6</v>
      </c>
      <c r="H65" s="4" t="n">
        <v>16</v>
      </c>
      <c r="I65" s="4" t="n">
        <v>1</v>
      </c>
      <c r="J65" s="4"/>
      <c r="K65" s="8"/>
      <c r="L65" s="8"/>
      <c r="M65" s="8"/>
      <c r="N65" s="16"/>
      <c r="O65" s="8"/>
      <c r="P65" s="8"/>
      <c r="Q65" s="8"/>
      <c r="R65" s="8"/>
      <c r="S65" s="8"/>
      <c r="T65" s="8"/>
      <c r="U65" s="8"/>
      <c r="V65" s="8"/>
      <c r="W65" s="8"/>
      <c r="X65" s="8"/>
      <c r="Y65" s="17"/>
      <c r="Z65" s="17"/>
      <c r="AA65" s="17"/>
      <c r="AB65" s="17"/>
      <c r="AC65" s="17"/>
      <c r="AD65" s="17"/>
      <c r="AE65" s="17"/>
      <c r="AF65" s="4"/>
      <c r="AG65" s="8" t="n">
        <v>0.0223001242751935</v>
      </c>
      <c r="AH65" s="4" t="s">
        <v>334</v>
      </c>
      <c r="AI65" s="4"/>
      <c r="AJ65" s="4" t="s">
        <v>409</v>
      </c>
    </row>
    <row r="66" customFormat="false" ht="15" hidden="false" customHeight="false" outlineLevel="0" collapsed="false">
      <c r="A66" s="4" t="s">
        <v>366</v>
      </c>
      <c r="B66" s="4" t="s">
        <v>404</v>
      </c>
      <c r="C66" s="4" t="s">
        <v>233</v>
      </c>
      <c r="D66" s="4" t="s">
        <v>405</v>
      </c>
      <c r="E66" s="4" t="s">
        <v>406</v>
      </c>
      <c r="F66" s="4" t="s">
        <v>407</v>
      </c>
      <c r="G66" s="4" t="n">
        <v>0.6</v>
      </c>
      <c r="H66" s="4" t="n">
        <v>82</v>
      </c>
      <c r="I66" s="4" t="n">
        <v>1</v>
      </c>
      <c r="J66" s="4"/>
      <c r="K66" s="8"/>
      <c r="L66" s="8"/>
      <c r="M66" s="8"/>
      <c r="N66" s="16"/>
      <c r="O66" s="8"/>
      <c r="P66" s="8"/>
      <c r="Q66" s="8"/>
      <c r="R66" s="8"/>
      <c r="S66" s="8"/>
      <c r="T66" s="8"/>
      <c r="U66" s="8"/>
      <c r="V66" s="8"/>
      <c r="W66" s="8"/>
      <c r="X66" s="8"/>
      <c r="Y66" s="17"/>
      <c r="Z66" s="17"/>
      <c r="AA66" s="17"/>
      <c r="AB66" s="17"/>
      <c r="AC66" s="17"/>
      <c r="AD66" s="17"/>
      <c r="AE66" s="17"/>
      <c r="AF66" s="4"/>
      <c r="AG66" s="8" t="n">
        <v>0.119487859427257</v>
      </c>
      <c r="AH66" s="4" t="s">
        <v>334</v>
      </c>
      <c r="AI66" s="4"/>
      <c r="AJ66" s="4" t="s">
        <v>410</v>
      </c>
    </row>
    <row r="67" customFormat="false" ht="15" hidden="false" customHeight="false" outlineLevel="0" collapsed="false">
      <c r="A67" s="4" t="s">
        <v>366</v>
      </c>
      <c r="B67" s="4" t="s">
        <v>404</v>
      </c>
      <c r="C67" s="4" t="s">
        <v>234</v>
      </c>
      <c r="D67" s="4" t="s">
        <v>405</v>
      </c>
      <c r="E67" s="4" t="s">
        <v>406</v>
      </c>
      <c r="F67" s="4" t="s">
        <v>407</v>
      </c>
      <c r="G67" s="4" t="n">
        <v>0.6</v>
      </c>
      <c r="H67" s="4" t="n">
        <v>61</v>
      </c>
      <c r="I67" s="4" t="n">
        <v>1</v>
      </c>
      <c r="J67" s="4"/>
      <c r="K67" s="8"/>
      <c r="L67" s="8"/>
      <c r="M67" s="8"/>
      <c r="N67" s="16"/>
      <c r="O67" s="8"/>
      <c r="P67" s="8"/>
      <c r="Q67" s="8"/>
      <c r="R67" s="8"/>
      <c r="S67" s="8"/>
      <c r="T67" s="8"/>
      <c r="U67" s="8"/>
      <c r="V67" s="8"/>
      <c r="W67" s="8"/>
      <c r="X67" s="8"/>
      <c r="Y67" s="17"/>
      <c r="Z67" s="17"/>
      <c r="AA67" s="17"/>
      <c r="AB67" s="17"/>
      <c r="AC67" s="17"/>
      <c r="AD67" s="17"/>
      <c r="AE67" s="17"/>
      <c r="AF67" s="4"/>
      <c r="AG67" s="8" t="n">
        <v>0.0888069922693225</v>
      </c>
      <c r="AH67" s="4" t="s">
        <v>334</v>
      </c>
      <c r="AI67" s="4"/>
      <c r="AJ67" s="4" t="s">
        <v>411</v>
      </c>
    </row>
    <row r="68" customFormat="false" ht="15" hidden="false" customHeight="false" outlineLevel="0" collapsed="false">
      <c r="A68" s="4" t="s">
        <v>366</v>
      </c>
      <c r="B68" s="4" t="s">
        <v>404</v>
      </c>
      <c r="C68" s="4" t="s">
        <v>235</v>
      </c>
      <c r="D68" s="4" t="s">
        <v>405</v>
      </c>
      <c r="E68" s="4" t="s">
        <v>406</v>
      </c>
      <c r="F68" s="4" t="s">
        <v>407</v>
      </c>
      <c r="G68" s="4" t="n">
        <v>0.6</v>
      </c>
      <c r="H68" s="4" t="n">
        <v>16</v>
      </c>
      <c r="I68" s="4" t="n">
        <v>1</v>
      </c>
      <c r="J68" s="4"/>
      <c r="K68" s="8"/>
      <c r="L68" s="8"/>
      <c r="M68" s="8"/>
      <c r="N68" s="16"/>
      <c r="O68" s="8"/>
      <c r="P68" s="8"/>
      <c r="Q68" s="8"/>
      <c r="R68" s="8"/>
      <c r="S68" s="8"/>
      <c r="T68" s="8"/>
      <c r="U68" s="8"/>
      <c r="V68" s="8"/>
      <c r="W68" s="8"/>
      <c r="X68" s="8"/>
      <c r="Y68" s="17"/>
      <c r="Z68" s="17"/>
      <c r="AA68" s="17"/>
      <c r="AB68" s="17"/>
      <c r="AC68" s="17"/>
      <c r="AD68" s="17"/>
      <c r="AE68" s="17"/>
      <c r="AF68" s="4"/>
      <c r="AG68" s="8" t="n">
        <v>0.0229084303301104</v>
      </c>
      <c r="AH68" s="4" t="s">
        <v>334</v>
      </c>
      <c r="AI68" s="4"/>
      <c r="AJ68" s="4" t="s">
        <v>409</v>
      </c>
    </row>
    <row r="69" customFormat="false" ht="15" hidden="false" customHeight="false" outlineLevel="0" collapsed="false">
      <c r="A69" s="4" t="s">
        <v>366</v>
      </c>
      <c r="B69" s="4" t="s">
        <v>404</v>
      </c>
      <c r="C69" s="4" t="s">
        <v>236</v>
      </c>
      <c r="D69" s="4" t="s">
        <v>405</v>
      </c>
      <c r="E69" s="4" t="s">
        <v>406</v>
      </c>
      <c r="F69" s="4" t="s">
        <v>407</v>
      </c>
      <c r="G69" s="4" t="n">
        <v>0.6</v>
      </c>
      <c r="H69" s="4" t="n">
        <v>12</v>
      </c>
      <c r="I69" s="4" t="n">
        <v>1</v>
      </c>
      <c r="J69" s="4"/>
      <c r="K69" s="8"/>
      <c r="L69" s="8"/>
      <c r="M69" s="8"/>
      <c r="N69" s="16"/>
      <c r="O69" s="8"/>
      <c r="P69" s="8"/>
      <c r="Q69" s="8"/>
      <c r="R69" s="8"/>
      <c r="S69" s="8"/>
      <c r="T69" s="8"/>
      <c r="U69" s="8"/>
      <c r="V69" s="8"/>
      <c r="W69" s="8"/>
      <c r="X69" s="8"/>
      <c r="Y69" s="17"/>
      <c r="Z69" s="17"/>
      <c r="AA69" s="17"/>
      <c r="AB69" s="17"/>
      <c r="AC69" s="17"/>
      <c r="AD69" s="17"/>
      <c r="AE69" s="17"/>
      <c r="AF69" s="4"/>
      <c r="AG69" s="8" t="n">
        <v>0.0165357529870949</v>
      </c>
      <c r="AH69" s="4" t="s">
        <v>334</v>
      </c>
      <c r="AI69" s="4"/>
      <c r="AJ69" s="4" t="s">
        <v>412</v>
      </c>
    </row>
    <row r="70" customFormat="false" ht="15" hidden="false" customHeight="false" outlineLevel="0" collapsed="false">
      <c r="A70" s="4" t="s">
        <v>366</v>
      </c>
      <c r="B70" s="4" t="s">
        <v>404</v>
      </c>
      <c r="C70" s="4" t="s">
        <v>237</v>
      </c>
      <c r="D70" s="4" t="s">
        <v>405</v>
      </c>
      <c r="E70" s="4" t="s">
        <v>406</v>
      </c>
      <c r="F70" s="4" t="s">
        <v>407</v>
      </c>
      <c r="G70" s="4" t="n">
        <v>0.6</v>
      </c>
      <c r="H70" s="4" t="n">
        <v>20</v>
      </c>
      <c r="I70" s="4" t="n">
        <v>1</v>
      </c>
      <c r="J70" s="4"/>
      <c r="K70" s="8"/>
      <c r="L70" s="8"/>
      <c r="M70" s="8"/>
      <c r="N70" s="16"/>
      <c r="O70" s="8"/>
      <c r="P70" s="8"/>
      <c r="Q70" s="8"/>
      <c r="R70" s="8"/>
      <c r="S70" s="8"/>
      <c r="T70" s="8"/>
      <c r="U70" s="8"/>
      <c r="V70" s="8"/>
      <c r="W70" s="8"/>
      <c r="X70" s="8"/>
      <c r="Y70" s="17"/>
      <c r="Z70" s="17"/>
      <c r="AA70" s="17"/>
      <c r="AB70" s="17"/>
      <c r="AC70" s="17"/>
      <c r="AD70" s="17"/>
      <c r="AE70" s="17"/>
      <c r="AF70" s="4"/>
      <c r="AG70" s="8" t="n">
        <v>0.0278646843742896</v>
      </c>
      <c r="AH70" s="4" t="s">
        <v>334</v>
      </c>
      <c r="AI70" s="4"/>
      <c r="AJ70" s="4" t="s">
        <v>413</v>
      </c>
    </row>
    <row r="71" customFormat="false" ht="15" hidden="false" customHeight="false" outlineLevel="0" collapsed="false">
      <c r="A71" s="4" t="s">
        <v>366</v>
      </c>
      <c r="B71" s="4" t="s">
        <v>404</v>
      </c>
      <c r="C71" s="4" t="s">
        <v>238</v>
      </c>
      <c r="D71" s="4" t="s">
        <v>405</v>
      </c>
      <c r="E71" s="4" t="s">
        <v>406</v>
      </c>
      <c r="F71" s="4" t="s">
        <v>407</v>
      </c>
      <c r="G71" s="4" t="n">
        <v>0.6</v>
      </c>
      <c r="H71" s="4" t="n">
        <v>2</v>
      </c>
      <c r="I71" s="4" t="n">
        <v>1</v>
      </c>
      <c r="J71" s="4"/>
      <c r="K71" s="8"/>
      <c r="L71" s="8"/>
      <c r="M71" s="8"/>
      <c r="N71" s="16"/>
      <c r="O71" s="8"/>
      <c r="P71" s="8"/>
      <c r="Q71" s="8"/>
      <c r="R71" s="8"/>
      <c r="S71" s="8"/>
      <c r="T71" s="8"/>
      <c r="U71" s="8"/>
      <c r="V71" s="8"/>
      <c r="W71" s="8"/>
      <c r="X71" s="8"/>
      <c r="Y71" s="17"/>
      <c r="Z71" s="17"/>
      <c r="AA71" s="17"/>
      <c r="AB71" s="17"/>
      <c r="AC71" s="17"/>
      <c r="AD71" s="17"/>
      <c r="AE71" s="17"/>
      <c r="AF71" s="4"/>
      <c r="AG71" s="8" t="n">
        <v>0.00289532833356057</v>
      </c>
      <c r="AH71" s="4" t="s">
        <v>334</v>
      </c>
      <c r="AI71" s="4"/>
      <c r="AJ71" s="4" t="s">
        <v>414</v>
      </c>
    </row>
    <row r="72" customFormat="false" ht="15" hidden="false" customHeight="false" outlineLevel="0" collapsed="false">
      <c r="A72" s="4" t="s">
        <v>366</v>
      </c>
      <c r="B72" s="4" t="s">
        <v>404</v>
      </c>
      <c r="C72" s="4" t="s">
        <v>239</v>
      </c>
      <c r="D72" s="4" t="s">
        <v>405</v>
      </c>
      <c r="E72" s="4" t="s">
        <v>406</v>
      </c>
      <c r="F72" s="4" t="s">
        <v>407</v>
      </c>
      <c r="G72" s="4" t="n">
        <v>0.6</v>
      </c>
      <c r="H72" s="4" t="n">
        <v>30</v>
      </c>
      <c r="I72" s="4" t="n">
        <v>1</v>
      </c>
      <c r="J72" s="4"/>
      <c r="K72" s="8"/>
      <c r="L72" s="8"/>
      <c r="M72" s="8"/>
      <c r="N72" s="16"/>
      <c r="O72" s="8"/>
      <c r="P72" s="8"/>
      <c r="Q72" s="8"/>
      <c r="R72" s="8"/>
      <c r="S72" s="8"/>
      <c r="T72" s="8"/>
      <c r="U72" s="8"/>
      <c r="V72" s="8"/>
      <c r="W72" s="8"/>
      <c r="X72" s="8"/>
      <c r="Y72" s="17"/>
      <c r="Z72" s="17"/>
      <c r="AA72" s="17"/>
      <c r="AB72" s="17"/>
      <c r="AC72" s="17"/>
      <c r="AD72" s="17"/>
      <c r="AE72" s="17"/>
      <c r="AF72" s="4"/>
      <c r="AG72" s="8" t="n">
        <v>0.0416307456734224</v>
      </c>
      <c r="AH72" s="4" t="s">
        <v>334</v>
      </c>
      <c r="AI72" s="4"/>
      <c r="AJ72" s="4" t="s">
        <v>415</v>
      </c>
    </row>
    <row r="73" customFormat="false" ht="15" hidden="false" customHeight="false" outlineLevel="0" collapsed="false">
      <c r="A73" s="4" t="s">
        <v>366</v>
      </c>
      <c r="B73" s="4" t="s">
        <v>404</v>
      </c>
      <c r="C73" s="4" t="s">
        <v>240</v>
      </c>
      <c r="D73" s="4" t="s">
        <v>405</v>
      </c>
      <c r="E73" s="4" t="s">
        <v>406</v>
      </c>
      <c r="F73" s="4" t="s">
        <v>407</v>
      </c>
      <c r="G73" s="4" t="n">
        <v>0.6</v>
      </c>
      <c r="H73" s="4" t="n">
        <v>17</v>
      </c>
      <c r="I73" s="4" t="n">
        <v>1</v>
      </c>
      <c r="J73" s="4"/>
      <c r="K73" s="8"/>
      <c r="L73" s="8"/>
      <c r="M73" s="8"/>
      <c r="N73" s="16"/>
      <c r="O73" s="8"/>
      <c r="P73" s="8"/>
      <c r="Q73" s="8"/>
      <c r="R73" s="8"/>
      <c r="S73" s="8"/>
      <c r="T73" s="8"/>
      <c r="U73" s="8"/>
      <c r="V73" s="8"/>
      <c r="W73" s="8"/>
      <c r="X73" s="8"/>
      <c r="Y73" s="17"/>
      <c r="Z73" s="17"/>
      <c r="AA73" s="17"/>
      <c r="AB73" s="17"/>
      <c r="AC73" s="17"/>
      <c r="AD73" s="17"/>
      <c r="AE73" s="17"/>
      <c r="AF73" s="4"/>
      <c r="AG73" s="8" t="n">
        <v>0.0246716368484043</v>
      </c>
      <c r="AH73" s="4" t="s">
        <v>334</v>
      </c>
      <c r="AI73" s="4"/>
      <c r="AJ73" s="4" t="s">
        <v>416</v>
      </c>
    </row>
    <row r="74" customFormat="false" ht="15" hidden="false" customHeight="false" outlineLevel="0" collapsed="false">
      <c r="A74" s="4" t="s">
        <v>366</v>
      </c>
      <c r="B74" s="4" t="s">
        <v>404</v>
      </c>
      <c r="C74" s="4" t="s">
        <v>241</v>
      </c>
      <c r="D74" s="4" t="s">
        <v>405</v>
      </c>
      <c r="E74" s="4" t="s">
        <v>406</v>
      </c>
      <c r="F74" s="4" t="s">
        <v>407</v>
      </c>
      <c r="G74" s="4" t="n">
        <v>0.6</v>
      </c>
      <c r="H74" s="4" t="n">
        <v>38</v>
      </c>
      <c r="I74" s="4" t="n">
        <v>1</v>
      </c>
      <c r="J74" s="4"/>
      <c r="K74" s="8"/>
      <c r="L74" s="8"/>
      <c r="M74" s="8"/>
      <c r="N74" s="16"/>
      <c r="O74" s="8"/>
      <c r="P74" s="8"/>
      <c r="Q74" s="8"/>
      <c r="R74" s="8"/>
      <c r="S74" s="8"/>
      <c r="T74" s="8"/>
      <c r="U74" s="8"/>
      <c r="V74" s="8"/>
      <c r="W74" s="8"/>
      <c r="X74" s="8"/>
      <c r="Y74" s="17"/>
      <c r="Z74" s="17"/>
      <c r="AA74" s="17"/>
      <c r="AB74" s="17"/>
      <c r="AC74" s="17"/>
      <c r="AD74" s="17"/>
      <c r="AE74" s="17"/>
      <c r="AF74" s="4"/>
      <c r="AG74" s="8" t="n">
        <v>0.0542334383278594</v>
      </c>
      <c r="AH74" s="4" t="s">
        <v>334</v>
      </c>
      <c r="AI74" s="4"/>
      <c r="AJ74" s="4" t="s">
        <v>417</v>
      </c>
    </row>
    <row r="75" customFormat="false" ht="15" hidden="false" customHeight="false" outlineLevel="0" collapsed="false">
      <c r="A75" s="4" t="s">
        <v>366</v>
      </c>
      <c r="B75" s="4" t="s">
        <v>404</v>
      </c>
      <c r="C75" s="4" t="s">
        <v>242</v>
      </c>
      <c r="D75" s="4" t="s">
        <v>405</v>
      </c>
      <c r="E75" s="4" t="s">
        <v>406</v>
      </c>
      <c r="F75" s="4" t="s">
        <v>407</v>
      </c>
      <c r="G75" s="4" t="n">
        <v>0.6</v>
      </c>
      <c r="H75" s="4" t="n">
        <v>5</v>
      </c>
      <c r="I75" s="4" t="n">
        <v>1</v>
      </c>
      <c r="J75" s="4"/>
      <c r="K75" s="8"/>
      <c r="L75" s="8"/>
      <c r="M75" s="8"/>
      <c r="N75" s="16"/>
      <c r="O75" s="8"/>
      <c r="P75" s="8"/>
      <c r="Q75" s="8"/>
      <c r="R75" s="8"/>
      <c r="S75" s="8"/>
      <c r="T75" s="8"/>
      <c r="U75" s="8"/>
      <c r="V75" s="8"/>
      <c r="W75" s="8"/>
      <c r="X75" s="8"/>
      <c r="Y75" s="17"/>
      <c r="Z75" s="17"/>
      <c r="AA75" s="17"/>
      <c r="AB75" s="17"/>
      <c r="AC75" s="17"/>
      <c r="AD75" s="17"/>
      <c r="AE75" s="17"/>
      <c r="AF75" s="4"/>
      <c r="AG75" s="8" t="n">
        <v>0.00723535849084786</v>
      </c>
      <c r="AH75" s="4" t="s">
        <v>334</v>
      </c>
      <c r="AI75" s="4"/>
      <c r="AJ75" s="4" t="s">
        <v>418</v>
      </c>
    </row>
    <row r="76" customFormat="false" ht="15" hidden="false" customHeight="false" outlineLevel="0" collapsed="false">
      <c r="A76" s="4" t="s">
        <v>366</v>
      </c>
      <c r="B76" s="4" t="s">
        <v>404</v>
      </c>
      <c r="C76" s="4" t="s">
        <v>243</v>
      </c>
      <c r="D76" s="4" t="s">
        <v>405</v>
      </c>
      <c r="E76" s="4" t="s">
        <v>406</v>
      </c>
      <c r="F76" s="4" t="s">
        <v>407</v>
      </c>
      <c r="G76" s="4" t="n">
        <v>0.6</v>
      </c>
      <c r="H76" s="4" t="n">
        <v>21</v>
      </c>
      <c r="I76" s="4" t="n">
        <v>1</v>
      </c>
      <c r="J76" s="4"/>
      <c r="K76" s="8"/>
      <c r="L76" s="8"/>
      <c r="M76" s="8"/>
      <c r="N76" s="16"/>
      <c r="O76" s="8"/>
      <c r="P76" s="8"/>
      <c r="Q76" s="8"/>
      <c r="R76" s="8"/>
      <c r="S76" s="8"/>
      <c r="T76" s="8"/>
      <c r="U76" s="8"/>
      <c r="V76" s="8"/>
      <c r="W76" s="8"/>
      <c r="X76" s="8"/>
      <c r="Y76" s="17"/>
      <c r="Z76" s="17"/>
      <c r="AA76" s="17"/>
      <c r="AB76" s="17"/>
      <c r="AC76" s="17"/>
      <c r="AD76" s="17"/>
      <c r="AE76" s="17"/>
      <c r="AF76" s="4"/>
      <c r="AG76" s="8" t="n">
        <v>0.0303886773426946</v>
      </c>
      <c r="AH76" s="4" t="s">
        <v>334</v>
      </c>
      <c r="AI76" s="4"/>
      <c r="AJ76" s="4" t="s">
        <v>419</v>
      </c>
    </row>
    <row r="77" customFormat="false" ht="15" hidden="false" customHeight="false" outlineLevel="0" collapsed="false">
      <c r="A77" s="4" t="s">
        <v>366</v>
      </c>
      <c r="B77" s="4" t="s">
        <v>404</v>
      </c>
      <c r="C77" s="4" t="s">
        <v>244</v>
      </c>
      <c r="D77" s="4" t="s">
        <v>405</v>
      </c>
      <c r="E77" s="4" t="s">
        <v>406</v>
      </c>
      <c r="F77" s="4" t="s">
        <v>407</v>
      </c>
      <c r="G77" s="4" t="n">
        <v>0.6</v>
      </c>
      <c r="H77" s="4" t="n">
        <v>5</v>
      </c>
      <c r="I77" s="4" t="n">
        <v>1</v>
      </c>
      <c r="J77" s="4"/>
      <c r="K77" s="8"/>
      <c r="L77" s="8"/>
      <c r="M77" s="8"/>
      <c r="N77" s="16"/>
      <c r="O77" s="8"/>
      <c r="P77" s="8"/>
      <c r="Q77" s="8"/>
      <c r="R77" s="8"/>
      <c r="S77" s="8"/>
      <c r="T77" s="8"/>
      <c r="U77" s="8"/>
      <c r="V77" s="8"/>
      <c r="W77" s="8"/>
      <c r="X77" s="8"/>
      <c r="Y77" s="17"/>
      <c r="Z77" s="17"/>
      <c r="AA77" s="17"/>
      <c r="AB77" s="17"/>
      <c r="AC77" s="17"/>
      <c r="AD77" s="17"/>
      <c r="AE77" s="17"/>
      <c r="AF77" s="4"/>
      <c r="AG77" s="8" t="n">
        <v>0.00724349383244217</v>
      </c>
      <c r="AH77" s="4" t="s">
        <v>334</v>
      </c>
      <c r="AI77" s="4"/>
      <c r="AJ77" s="4" t="s">
        <v>418</v>
      </c>
    </row>
    <row r="78" customFormat="false" ht="15" hidden="false" customHeight="false" outlineLevel="0" collapsed="false">
      <c r="A78" s="4" t="s">
        <v>366</v>
      </c>
      <c r="B78" s="4" t="s">
        <v>404</v>
      </c>
      <c r="C78" s="4" t="s">
        <v>245</v>
      </c>
      <c r="D78" s="4" t="s">
        <v>405</v>
      </c>
      <c r="E78" s="4" t="s">
        <v>406</v>
      </c>
      <c r="F78" s="4" t="s">
        <v>407</v>
      </c>
      <c r="G78" s="4" t="n">
        <v>0.6</v>
      </c>
      <c r="H78" s="4" t="n">
        <v>29</v>
      </c>
      <c r="I78" s="4" t="n">
        <v>1</v>
      </c>
      <c r="J78" s="4"/>
      <c r="K78" s="8"/>
      <c r="L78" s="8"/>
      <c r="M78" s="8"/>
      <c r="N78" s="16"/>
      <c r="O78" s="8"/>
      <c r="P78" s="8"/>
      <c r="Q78" s="8"/>
      <c r="R78" s="8"/>
      <c r="S78" s="8"/>
      <c r="T78" s="8"/>
      <c r="U78" s="8"/>
      <c r="V78" s="8"/>
      <c r="W78" s="8"/>
      <c r="X78" s="8"/>
      <c r="Y78" s="17"/>
      <c r="Z78" s="17"/>
      <c r="AA78" s="17"/>
      <c r="AB78" s="17"/>
      <c r="AC78" s="17"/>
      <c r="AD78" s="17"/>
      <c r="AE78" s="17"/>
      <c r="AF78" s="4"/>
      <c r="AG78" s="8" t="n">
        <v>0.0417347828715921</v>
      </c>
      <c r="AH78" s="4" t="s">
        <v>334</v>
      </c>
      <c r="AI78" s="4"/>
      <c r="AJ78" s="4" t="s">
        <v>420</v>
      </c>
    </row>
    <row r="79" customFormat="false" ht="15" hidden="false" customHeight="false" outlineLevel="0" collapsed="false">
      <c r="A79" s="4" t="s">
        <v>366</v>
      </c>
      <c r="B79" s="4" t="s">
        <v>404</v>
      </c>
      <c r="C79" s="4" t="s">
        <v>246</v>
      </c>
      <c r="D79" s="4" t="s">
        <v>405</v>
      </c>
      <c r="E79" s="4" t="s">
        <v>406</v>
      </c>
      <c r="F79" s="4" t="s">
        <v>407</v>
      </c>
      <c r="G79" s="4" t="n">
        <v>0.6</v>
      </c>
      <c r="H79" s="4" t="n">
        <v>10</v>
      </c>
      <c r="I79" s="4" t="n">
        <v>1</v>
      </c>
      <c r="J79" s="4"/>
      <c r="K79" s="8"/>
      <c r="L79" s="8"/>
      <c r="M79" s="8"/>
      <c r="N79" s="16"/>
      <c r="O79" s="8"/>
      <c r="P79" s="8"/>
      <c r="Q79" s="8"/>
      <c r="R79" s="8"/>
      <c r="S79" s="8"/>
      <c r="T79" s="8"/>
      <c r="U79" s="8"/>
      <c r="V79" s="8"/>
      <c r="W79" s="8"/>
      <c r="X79" s="8"/>
      <c r="Y79" s="17"/>
      <c r="Z79" s="17"/>
      <c r="AA79" s="17"/>
      <c r="AB79" s="17"/>
      <c r="AC79" s="17"/>
      <c r="AD79" s="17"/>
      <c r="AE79" s="17"/>
      <c r="AF79" s="4"/>
      <c r="AG79" s="8" t="n">
        <v>0.0145099996461166</v>
      </c>
      <c r="AH79" s="4" t="s">
        <v>334</v>
      </c>
      <c r="AI79" s="4"/>
      <c r="AJ79" s="4" t="s">
        <v>421</v>
      </c>
    </row>
    <row r="80" customFormat="false" ht="15" hidden="false" customHeight="false" outlineLevel="0" collapsed="false">
      <c r="A80" s="4" t="s">
        <v>366</v>
      </c>
      <c r="B80" s="4" t="s">
        <v>404</v>
      </c>
      <c r="C80" s="4" t="s">
        <v>247</v>
      </c>
      <c r="D80" s="4" t="s">
        <v>405</v>
      </c>
      <c r="E80" s="4" t="s">
        <v>406</v>
      </c>
      <c r="F80" s="4" t="s">
        <v>407</v>
      </c>
      <c r="G80" s="4" t="n">
        <v>0.6</v>
      </c>
      <c r="H80" s="4" t="n">
        <v>5</v>
      </c>
      <c r="I80" s="4" t="n">
        <v>1</v>
      </c>
      <c r="J80" s="4"/>
      <c r="K80" s="8"/>
      <c r="L80" s="8"/>
      <c r="M80" s="8"/>
      <c r="N80" s="16"/>
      <c r="O80" s="8"/>
      <c r="P80" s="8"/>
      <c r="Q80" s="8"/>
      <c r="R80" s="8"/>
      <c r="S80" s="8"/>
      <c r="T80" s="8"/>
      <c r="U80" s="8"/>
      <c r="V80" s="8"/>
      <c r="W80" s="8"/>
      <c r="X80" s="8"/>
      <c r="Y80" s="17"/>
      <c r="Z80" s="17"/>
      <c r="AA80" s="17"/>
      <c r="AB80" s="17"/>
      <c r="AC80" s="17"/>
      <c r="AD80" s="17"/>
      <c r="AE80" s="17"/>
      <c r="AF80" s="4"/>
      <c r="AG80" s="8" t="n">
        <v>0.00643688227242323</v>
      </c>
      <c r="AH80" s="4" t="s">
        <v>334</v>
      </c>
      <c r="AI80" s="4"/>
      <c r="AJ80" s="4" t="s">
        <v>418</v>
      </c>
    </row>
    <row r="81" customFormat="false" ht="15" hidden="false" customHeight="false" outlineLevel="0" collapsed="false">
      <c r="A81" s="4" t="s">
        <v>366</v>
      </c>
      <c r="B81" s="4" t="s">
        <v>404</v>
      </c>
      <c r="C81" s="4" t="s">
        <v>248</v>
      </c>
      <c r="D81" s="4" t="s">
        <v>405</v>
      </c>
      <c r="E81" s="4" t="s">
        <v>406</v>
      </c>
      <c r="F81" s="4" t="s">
        <v>407</v>
      </c>
      <c r="G81" s="4" t="n">
        <v>0.6</v>
      </c>
      <c r="H81" s="4" t="n">
        <v>6</v>
      </c>
      <c r="I81" s="4" t="n">
        <v>1</v>
      </c>
      <c r="J81" s="4"/>
      <c r="K81" s="8"/>
      <c r="L81" s="8"/>
      <c r="M81" s="8"/>
      <c r="N81" s="16"/>
      <c r="O81" s="8"/>
      <c r="P81" s="8"/>
      <c r="Q81" s="8"/>
      <c r="R81" s="8"/>
      <c r="S81" s="8"/>
      <c r="T81" s="8"/>
      <c r="U81" s="8"/>
      <c r="V81" s="8"/>
      <c r="W81" s="8"/>
      <c r="X81" s="8"/>
      <c r="Y81" s="17"/>
      <c r="Z81" s="17"/>
      <c r="AA81" s="17"/>
      <c r="AB81" s="17"/>
      <c r="AC81" s="17"/>
      <c r="AD81" s="17"/>
      <c r="AE81" s="17"/>
      <c r="AF81" s="4"/>
      <c r="AG81" s="8" t="n">
        <v>0.00869433603891157</v>
      </c>
      <c r="AH81" s="4" t="s">
        <v>334</v>
      </c>
      <c r="AI81" s="4"/>
      <c r="AJ81" s="4" t="s">
        <v>422</v>
      </c>
    </row>
    <row r="82" customFormat="false" ht="15" hidden="false" customHeight="false" outlineLevel="0" collapsed="false">
      <c r="A82" s="4" t="s">
        <v>366</v>
      </c>
      <c r="B82" s="4" t="s">
        <v>404</v>
      </c>
      <c r="C82" s="4" t="s">
        <v>249</v>
      </c>
      <c r="D82" s="4" t="s">
        <v>405</v>
      </c>
      <c r="E82" s="4" t="s">
        <v>406</v>
      </c>
      <c r="F82" s="4" t="s">
        <v>407</v>
      </c>
      <c r="G82" s="4" t="n">
        <v>0.6</v>
      </c>
      <c r="H82" s="4" t="n">
        <v>170</v>
      </c>
      <c r="I82" s="4" t="n">
        <v>1</v>
      </c>
      <c r="J82" s="4"/>
      <c r="K82" s="8"/>
      <c r="L82" s="8"/>
      <c r="M82" s="8"/>
      <c r="N82" s="16"/>
      <c r="O82" s="8"/>
      <c r="P82" s="8"/>
      <c r="Q82" s="8"/>
      <c r="R82" s="8"/>
      <c r="S82" s="8"/>
      <c r="T82" s="8"/>
      <c r="U82" s="8"/>
      <c r="V82" s="8"/>
      <c r="W82" s="8"/>
      <c r="X82" s="8"/>
      <c r="Y82" s="17"/>
      <c r="Z82" s="17"/>
      <c r="AA82" s="17"/>
      <c r="AB82" s="17"/>
      <c r="AC82" s="17"/>
      <c r="AD82" s="17"/>
      <c r="AE82" s="17"/>
      <c r="AF82" s="4"/>
      <c r="AG82" s="8" t="n">
        <v>0.228150248425673</v>
      </c>
      <c r="AH82" s="4" t="s">
        <v>334</v>
      </c>
      <c r="AI82" s="4"/>
      <c r="AJ82" s="4" t="s">
        <v>423</v>
      </c>
    </row>
    <row r="83" customFormat="false" ht="15" hidden="false" customHeight="false" outlineLevel="0" collapsed="false">
      <c r="A83" s="4" t="s">
        <v>366</v>
      </c>
      <c r="B83" s="4" t="s">
        <v>404</v>
      </c>
      <c r="C83" s="4" t="s">
        <v>250</v>
      </c>
      <c r="D83" s="4" t="s">
        <v>405</v>
      </c>
      <c r="E83" s="4" t="s">
        <v>406</v>
      </c>
      <c r="F83" s="4" t="s">
        <v>407</v>
      </c>
      <c r="G83" s="4" t="n">
        <v>0.6</v>
      </c>
      <c r="H83" s="4" t="n">
        <v>6</v>
      </c>
      <c r="I83" s="4" t="n">
        <v>1</v>
      </c>
      <c r="J83" s="4"/>
      <c r="K83" s="8"/>
      <c r="L83" s="8"/>
      <c r="M83" s="8"/>
      <c r="N83" s="16"/>
      <c r="O83" s="8"/>
      <c r="P83" s="8"/>
      <c r="Q83" s="8"/>
      <c r="R83" s="8"/>
      <c r="S83" s="8"/>
      <c r="T83" s="8"/>
      <c r="U83" s="8"/>
      <c r="V83" s="8"/>
      <c r="W83" s="8"/>
      <c r="X83" s="8"/>
      <c r="Y83" s="17"/>
      <c r="Z83" s="17"/>
      <c r="AA83" s="17"/>
      <c r="AB83" s="17"/>
      <c r="AC83" s="17"/>
      <c r="AD83" s="17"/>
      <c r="AE83" s="17"/>
      <c r="AF83" s="4"/>
      <c r="AG83" s="8" t="n">
        <v>0.00791955326292107</v>
      </c>
      <c r="AH83" s="4" t="s">
        <v>334</v>
      </c>
      <c r="AI83" s="4"/>
      <c r="AJ83" s="4" t="s">
        <v>422</v>
      </c>
    </row>
    <row r="84" customFormat="false" ht="15" hidden="false" customHeight="false" outlineLevel="0" collapsed="false">
      <c r="A84" s="4" t="s">
        <v>366</v>
      </c>
      <c r="B84" s="4" t="s">
        <v>404</v>
      </c>
      <c r="C84" s="4" t="s">
        <v>251</v>
      </c>
      <c r="D84" s="4" t="s">
        <v>405</v>
      </c>
      <c r="E84" s="4" t="s">
        <v>406</v>
      </c>
      <c r="F84" s="4" t="s">
        <v>407</v>
      </c>
      <c r="G84" s="4" t="n">
        <v>0.6</v>
      </c>
      <c r="H84" s="4" t="n">
        <v>18</v>
      </c>
      <c r="I84" s="4" t="n">
        <v>1</v>
      </c>
      <c r="J84" s="4"/>
      <c r="K84" s="8"/>
      <c r="L84" s="8"/>
      <c r="M84" s="8"/>
      <c r="N84" s="16"/>
      <c r="O84" s="8"/>
      <c r="P84" s="8"/>
      <c r="Q84" s="8"/>
      <c r="R84" s="8"/>
      <c r="S84" s="8"/>
      <c r="T84" s="8"/>
      <c r="U84" s="8"/>
      <c r="V84" s="8"/>
      <c r="W84" s="8"/>
      <c r="X84" s="8"/>
      <c r="Y84" s="17"/>
      <c r="Z84" s="17"/>
      <c r="AA84" s="17"/>
      <c r="AB84" s="17"/>
      <c r="AC84" s="17"/>
      <c r="AD84" s="17"/>
      <c r="AE84" s="17"/>
      <c r="AF84" s="4"/>
      <c r="AG84" s="8" t="n">
        <v>0.0258483405090508</v>
      </c>
      <c r="AH84" s="4" t="s">
        <v>334</v>
      </c>
      <c r="AI84" s="4"/>
      <c r="AJ84" s="4" t="s">
        <v>424</v>
      </c>
    </row>
    <row r="85" customFormat="false" ht="15" hidden="false" customHeight="false" outlineLevel="0" collapsed="false">
      <c r="A85" s="4" t="s">
        <v>366</v>
      </c>
      <c r="B85" s="4" t="s">
        <v>404</v>
      </c>
      <c r="C85" s="4" t="s">
        <v>252</v>
      </c>
      <c r="D85" s="4" t="s">
        <v>405</v>
      </c>
      <c r="E85" s="4" t="s">
        <v>406</v>
      </c>
      <c r="F85" s="4" t="s">
        <v>407</v>
      </c>
      <c r="G85" s="4" t="n">
        <v>0.6</v>
      </c>
      <c r="H85" s="4" t="n">
        <v>15</v>
      </c>
      <c r="I85" s="4" t="n">
        <v>1</v>
      </c>
      <c r="J85" s="4"/>
      <c r="K85" s="8"/>
      <c r="L85" s="8"/>
      <c r="M85" s="8"/>
      <c r="N85" s="16"/>
      <c r="O85" s="8"/>
      <c r="P85" s="8"/>
      <c r="Q85" s="8"/>
      <c r="R85" s="8"/>
      <c r="S85" s="8"/>
      <c r="T85" s="8"/>
      <c r="U85" s="8"/>
      <c r="V85" s="8"/>
      <c r="W85" s="8"/>
      <c r="X85" s="8"/>
      <c r="Y85" s="17"/>
      <c r="Z85" s="17"/>
      <c r="AA85" s="17"/>
      <c r="AB85" s="17"/>
      <c r="AC85" s="17"/>
      <c r="AD85" s="17"/>
      <c r="AE85" s="17"/>
      <c r="AF85" s="4"/>
      <c r="AG85" s="8" t="n">
        <v>0.0214808989454071</v>
      </c>
      <c r="AH85" s="4" t="s">
        <v>334</v>
      </c>
      <c r="AI85" s="4"/>
      <c r="AJ85" s="4" t="s">
        <v>425</v>
      </c>
    </row>
    <row r="86" customFormat="false" ht="15" hidden="false" customHeight="false" outlineLevel="0" collapsed="false">
      <c r="A86" s="4" t="s">
        <v>366</v>
      </c>
      <c r="B86" s="4" t="s">
        <v>404</v>
      </c>
      <c r="C86" s="4" t="s">
        <v>253</v>
      </c>
      <c r="D86" s="4" t="s">
        <v>405</v>
      </c>
      <c r="E86" s="4" t="s">
        <v>406</v>
      </c>
      <c r="F86" s="4" t="s">
        <v>407</v>
      </c>
      <c r="G86" s="4" t="n">
        <v>0.6</v>
      </c>
      <c r="H86" s="4" t="n">
        <v>6</v>
      </c>
      <c r="I86" s="4" t="n">
        <v>1</v>
      </c>
      <c r="J86" s="4"/>
      <c r="K86" s="8"/>
      <c r="L86" s="8"/>
      <c r="M86" s="8"/>
      <c r="N86" s="16"/>
      <c r="O86" s="8"/>
      <c r="P86" s="8"/>
      <c r="Q86" s="8"/>
      <c r="R86" s="8"/>
      <c r="S86" s="8"/>
      <c r="T86" s="8"/>
      <c r="U86" s="8"/>
      <c r="V86" s="8"/>
      <c r="W86" s="8"/>
      <c r="X86" s="8"/>
      <c r="Y86" s="17"/>
      <c r="Z86" s="17"/>
      <c r="AA86" s="17"/>
      <c r="AB86" s="17"/>
      <c r="AC86" s="17"/>
      <c r="AD86" s="17"/>
      <c r="AE86" s="17"/>
      <c r="AF86" s="4"/>
      <c r="AG86" s="8" t="n">
        <v>0.00860246905976077</v>
      </c>
      <c r="AH86" s="4" t="s">
        <v>334</v>
      </c>
      <c r="AI86" s="4"/>
      <c r="AJ86" s="4" t="s">
        <v>422</v>
      </c>
    </row>
    <row r="87" customFormat="false" ht="15" hidden="false" customHeight="false" outlineLevel="0" collapsed="false">
      <c r="A87" s="4" t="s">
        <v>366</v>
      </c>
      <c r="B87" s="4" t="s">
        <v>404</v>
      </c>
      <c r="C87" s="4" t="s">
        <v>254</v>
      </c>
      <c r="D87" s="4" t="s">
        <v>405</v>
      </c>
      <c r="E87" s="4" t="s">
        <v>406</v>
      </c>
      <c r="F87" s="4" t="s">
        <v>407</v>
      </c>
      <c r="G87" s="4" t="n">
        <v>0.6</v>
      </c>
      <c r="H87" s="4" t="n">
        <v>25</v>
      </c>
      <c r="I87" s="4" t="n">
        <v>1</v>
      </c>
      <c r="J87" s="4"/>
      <c r="K87" s="8"/>
      <c r="L87" s="8"/>
      <c r="M87" s="8"/>
      <c r="N87" s="16"/>
      <c r="O87" s="8"/>
      <c r="P87" s="8"/>
      <c r="Q87" s="8"/>
      <c r="R87" s="8"/>
      <c r="S87" s="8"/>
      <c r="T87" s="8"/>
      <c r="U87" s="8"/>
      <c r="V87" s="8"/>
      <c r="W87" s="8"/>
      <c r="X87" s="8"/>
      <c r="Y87" s="17"/>
      <c r="Z87" s="17"/>
      <c r="AA87" s="17"/>
      <c r="AB87" s="17"/>
      <c r="AC87" s="17"/>
      <c r="AD87" s="17"/>
      <c r="AE87" s="17"/>
      <c r="AF87" s="4"/>
      <c r="AG87" s="8" t="n">
        <v>0.0363438780860289</v>
      </c>
      <c r="AH87" s="4" t="s">
        <v>334</v>
      </c>
      <c r="AI87" s="4"/>
      <c r="AJ87" s="4" t="s">
        <v>426</v>
      </c>
    </row>
    <row r="88" customFormat="false" ht="15" hidden="false" customHeight="false" outlineLevel="0" collapsed="false">
      <c r="A88" s="4" t="s">
        <v>366</v>
      </c>
      <c r="B88" s="4" t="s">
        <v>404</v>
      </c>
      <c r="C88" s="4" t="s">
        <v>255</v>
      </c>
      <c r="D88" s="4" t="s">
        <v>405</v>
      </c>
      <c r="E88" s="4" t="s">
        <v>406</v>
      </c>
      <c r="F88" s="4" t="s">
        <v>407</v>
      </c>
      <c r="G88" s="4" t="n">
        <v>0.6</v>
      </c>
      <c r="H88" s="4" t="n">
        <v>13</v>
      </c>
      <c r="I88" s="4" t="n">
        <v>1</v>
      </c>
      <c r="J88" s="4"/>
      <c r="K88" s="8"/>
      <c r="L88" s="8"/>
      <c r="M88" s="8"/>
      <c r="N88" s="16"/>
      <c r="O88" s="8"/>
      <c r="P88" s="8"/>
      <c r="Q88" s="8"/>
      <c r="R88" s="8"/>
      <c r="S88" s="8"/>
      <c r="T88" s="8"/>
      <c r="U88" s="8"/>
      <c r="V88" s="8"/>
      <c r="W88" s="8"/>
      <c r="X88" s="8"/>
      <c r="Y88" s="17"/>
      <c r="Z88" s="17"/>
      <c r="AA88" s="17"/>
      <c r="AB88" s="17"/>
      <c r="AC88" s="17"/>
      <c r="AD88" s="17"/>
      <c r="AE88" s="17"/>
      <c r="AF88" s="4"/>
      <c r="AG88" s="8" t="n">
        <v>0.0174805537455186</v>
      </c>
      <c r="AH88" s="4" t="s">
        <v>334</v>
      </c>
      <c r="AI88" s="4"/>
      <c r="AJ88" s="4" t="s">
        <v>427</v>
      </c>
    </row>
    <row r="89" customFormat="false" ht="15" hidden="false" customHeight="false" outlineLevel="0" collapsed="false">
      <c r="A89" s="4" t="s">
        <v>366</v>
      </c>
      <c r="B89" s="4" t="s">
        <v>404</v>
      </c>
      <c r="C89" s="4" t="s">
        <v>256</v>
      </c>
      <c r="D89" s="4" t="s">
        <v>405</v>
      </c>
      <c r="E89" s="4" t="s">
        <v>406</v>
      </c>
      <c r="F89" s="4" t="s">
        <v>407</v>
      </c>
      <c r="G89" s="4" t="n">
        <v>0.6</v>
      </c>
      <c r="H89" s="4" t="n">
        <v>13</v>
      </c>
      <c r="I89" s="4" t="n">
        <v>1</v>
      </c>
      <c r="J89" s="4"/>
      <c r="K89" s="8"/>
      <c r="L89" s="8"/>
      <c r="M89" s="8"/>
      <c r="N89" s="16"/>
      <c r="O89" s="8"/>
      <c r="P89" s="8"/>
      <c r="Q89" s="8"/>
      <c r="R89" s="8"/>
      <c r="S89" s="8"/>
      <c r="T89" s="8"/>
      <c r="U89" s="8"/>
      <c r="V89" s="8"/>
      <c r="W89" s="8"/>
      <c r="X89" s="8"/>
      <c r="Y89" s="17"/>
      <c r="Z89" s="17"/>
      <c r="AA89" s="17"/>
      <c r="AB89" s="17"/>
      <c r="AC89" s="17"/>
      <c r="AD89" s="17"/>
      <c r="AE89" s="17"/>
      <c r="AF89" s="4"/>
      <c r="AG89" s="8" t="n">
        <v>0.0188243183857742</v>
      </c>
      <c r="AH89" s="4" t="s">
        <v>334</v>
      </c>
      <c r="AI89" s="4"/>
      <c r="AJ89" s="4" t="s">
        <v>427</v>
      </c>
    </row>
    <row r="90" customFormat="false" ht="15" hidden="false" customHeight="false" outlineLevel="0" collapsed="false">
      <c r="A90" s="4" t="s">
        <v>366</v>
      </c>
      <c r="B90" s="4" t="s">
        <v>404</v>
      </c>
      <c r="C90" s="4" t="s">
        <v>257</v>
      </c>
      <c r="D90" s="4" t="s">
        <v>405</v>
      </c>
      <c r="E90" s="4" t="s">
        <v>406</v>
      </c>
      <c r="F90" s="4" t="s">
        <v>407</v>
      </c>
      <c r="G90" s="4" t="n">
        <v>0.6</v>
      </c>
      <c r="H90" s="4" t="n">
        <v>8</v>
      </c>
      <c r="I90" s="4" t="n">
        <v>1</v>
      </c>
      <c r="J90" s="4"/>
      <c r="K90" s="8"/>
      <c r="L90" s="8"/>
      <c r="M90" s="8"/>
      <c r="N90" s="16"/>
      <c r="O90" s="8"/>
      <c r="P90" s="8"/>
      <c r="Q90" s="8"/>
      <c r="R90" s="8"/>
      <c r="S90" s="8"/>
      <c r="T90" s="8"/>
      <c r="U90" s="8"/>
      <c r="V90" s="8"/>
      <c r="W90" s="8"/>
      <c r="X90" s="8"/>
      <c r="Y90" s="17"/>
      <c r="Z90" s="17"/>
      <c r="AA90" s="17"/>
      <c r="AB90" s="17"/>
      <c r="AC90" s="17"/>
      <c r="AD90" s="17"/>
      <c r="AE90" s="17"/>
      <c r="AF90" s="4"/>
      <c r="AG90" s="8" t="n">
        <v>0.0104174078235937</v>
      </c>
      <c r="AH90" s="4" t="s">
        <v>334</v>
      </c>
      <c r="AI90" s="4"/>
      <c r="AJ90" s="4" t="s">
        <v>428</v>
      </c>
    </row>
    <row r="91" customFormat="false" ht="15" hidden="false" customHeight="false" outlineLevel="0" collapsed="false">
      <c r="A91" s="4" t="s">
        <v>366</v>
      </c>
      <c r="B91" s="4" t="s">
        <v>404</v>
      </c>
      <c r="C91" s="4" t="s">
        <v>258</v>
      </c>
      <c r="D91" s="4" t="s">
        <v>405</v>
      </c>
      <c r="E91" s="4" t="s">
        <v>406</v>
      </c>
      <c r="F91" s="4" t="s">
        <v>407</v>
      </c>
      <c r="G91" s="4" t="n">
        <v>0.6</v>
      </c>
      <c r="H91" s="4" t="n">
        <v>1</v>
      </c>
      <c r="I91" s="4" t="n">
        <v>1</v>
      </c>
      <c r="J91" s="4"/>
      <c r="K91" s="8"/>
      <c r="L91" s="8"/>
      <c r="M91" s="8"/>
      <c r="N91" s="16"/>
      <c r="O91" s="8"/>
      <c r="P91" s="8"/>
      <c r="Q91" s="8"/>
      <c r="R91" s="8"/>
      <c r="S91" s="8"/>
      <c r="T91" s="8"/>
      <c r="U91" s="8"/>
      <c r="V91" s="8"/>
      <c r="W91" s="8"/>
      <c r="X91" s="8"/>
      <c r="Y91" s="17"/>
      <c r="Z91" s="17"/>
      <c r="AA91" s="17"/>
      <c r="AB91" s="17"/>
      <c r="AC91" s="17"/>
      <c r="AD91" s="17"/>
      <c r="AE91" s="17"/>
      <c r="AF91" s="4"/>
      <c r="AG91" s="8" t="n">
        <v>0.00144407267327855</v>
      </c>
      <c r="AH91" s="4" t="s">
        <v>334</v>
      </c>
      <c r="AI91" s="4"/>
      <c r="AJ91" s="4" t="s">
        <v>429</v>
      </c>
    </row>
    <row r="92" customFormat="false" ht="15" hidden="false" customHeight="false" outlineLevel="0" collapsed="false">
      <c r="A92" s="4" t="s">
        <v>366</v>
      </c>
      <c r="B92" s="4" t="s">
        <v>404</v>
      </c>
      <c r="C92" s="4" t="s">
        <v>259</v>
      </c>
      <c r="D92" s="4" t="s">
        <v>405</v>
      </c>
      <c r="E92" s="4" t="s">
        <v>406</v>
      </c>
      <c r="F92" s="4" t="s">
        <v>407</v>
      </c>
      <c r="G92" s="4" t="n">
        <v>0.6</v>
      </c>
      <c r="H92" s="4" t="n">
        <v>24</v>
      </c>
      <c r="I92" s="4" t="n">
        <v>1</v>
      </c>
      <c r="J92" s="4"/>
      <c r="K92" s="8"/>
      <c r="L92" s="8"/>
      <c r="M92" s="8"/>
      <c r="N92" s="16"/>
      <c r="O92" s="8"/>
      <c r="P92" s="8"/>
      <c r="Q92" s="8"/>
      <c r="R92" s="8"/>
      <c r="S92" s="8"/>
      <c r="T92" s="8"/>
      <c r="U92" s="8"/>
      <c r="V92" s="8"/>
      <c r="W92" s="8"/>
      <c r="X92" s="8"/>
      <c r="Y92" s="17"/>
      <c r="Z92" s="17"/>
      <c r="AA92" s="17"/>
      <c r="AB92" s="17"/>
      <c r="AC92" s="17"/>
      <c r="AD92" s="17"/>
      <c r="AE92" s="17"/>
      <c r="AF92" s="4"/>
      <c r="AG92" s="8" t="n">
        <v>0.0343309209171955</v>
      </c>
      <c r="AH92" s="4" t="s">
        <v>334</v>
      </c>
      <c r="AI92" s="4"/>
      <c r="AJ92" s="4" t="s">
        <v>430</v>
      </c>
    </row>
    <row r="93" customFormat="false" ht="15" hidden="false" customHeight="false" outlineLevel="0" collapsed="false">
      <c r="A93" s="4" t="s">
        <v>366</v>
      </c>
      <c r="B93" s="4" t="s">
        <v>404</v>
      </c>
      <c r="C93" s="4" t="s">
        <v>260</v>
      </c>
      <c r="D93" s="4" t="s">
        <v>405</v>
      </c>
      <c r="E93" s="4" t="s">
        <v>406</v>
      </c>
      <c r="F93" s="4" t="s">
        <v>407</v>
      </c>
      <c r="G93" s="4" t="n">
        <v>0.6</v>
      </c>
      <c r="H93" s="4" t="n">
        <v>16</v>
      </c>
      <c r="I93" s="4" t="n">
        <v>1</v>
      </c>
      <c r="J93" s="4"/>
      <c r="K93" s="8"/>
      <c r="L93" s="8"/>
      <c r="M93" s="8"/>
      <c r="N93" s="16"/>
      <c r="O93" s="8"/>
      <c r="P93" s="8"/>
      <c r="Q93" s="8"/>
      <c r="R93" s="8"/>
      <c r="S93" s="8"/>
      <c r="T93" s="8"/>
      <c r="U93" s="8"/>
      <c r="V93" s="8"/>
      <c r="W93" s="8"/>
      <c r="X93" s="8"/>
      <c r="Y93" s="17"/>
      <c r="Z93" s="17"/>
      <c r="AA93" s="17"/>
      <c r="AB93" s="17"/>
      <c r="AC93" s="17"/>
      <c r="AD93" s="17"/>
      <c r="AE93" s="17"/>
      <c r="AF93" s="4"/>
      <c r="AG93" s="8" t="n">
        <v>0.0211757083915399</v>
      </c>
      <c r="AH93" s="4" t="s">
        <v>334</v>
      </c>
      <c r="AI93" s="4"/>
      <c r="AJ93" s="4" t="s">
        <v>409</v>
      </c>
    </row>
    <row r="94" customFormat="false" ht="15" hidden="false" customHeight="false" outlineLevel="0" collapsed="false">
      <c r="A94" s="4" t="s">
        <v>366</v>
      </c>
      <c r="B94" s="4" t="s">
        <v>404</v>
      </c>
      <c r="C94" s="4" t="s">
        <v>261</v>
      </c>
      <c r="D94" s="4" t="s">
        <v>405</v>
      </c>
      <c r="E94" s="4" t="s">
        <v>406</v>
      </c>
      <c r="F94" s="4" t="s">
        <v>407</v>
      </c>
      <c r="G94" s="4" t="n">
        <v>0.6</v>
      </c>
      <c r="H94" s="4" t="n">
        <v>12</v>
      </c>
      <c r="I94" s="4" t="n">
        <v>1</v>
      </c>
      <c r="J94" s="4"/>
      <c r="K94" s="8"/>
      <c r="L94" s="8"/>
      <c r="M94" s="8"/>
      <c r="N94" s="16"/>
      <c r="O94" s="8"/>
      <c r="P94" s="8"/>
      <c r="Q94" s="8"/>
      <c r="R94" s="8"/>
      <c r="S94" s="8"/>
      <c r="T94" s="8"/>
      <c r="U94" s="8"/>
      <c r="V94" s="8"/>
      <c r="W94" s="8"/>
      <c r="X94" s="8"/>
      <c r="Y94" s="17"/>
      <c r="Z94" s="17"/>
      <c r="AA94" s="17"/>
      <c r="AB94" s="17"/>
      <c r="AC94" s="17"/>
      <c r="AD94" s="17"/>
      <c r="AE94" s="17"/>
      <c r="AF94" s="4"/>
      <c r="AG94" s="8" t="n">
        <v>0.0173366977642012</v>
      </c>
      <c r="AH94" s="4" t="s">
        <v>334</v>
      </c>
      <c r="AI94" s="4"/>
      <c r="AJ94" s="4" t="s">
        <v>412</v>
      </c>
    </row>
    <row r="95" customFormat="false" ht="15" hidden="false" customHeight="false" outlineLevel="0" collapsed="false">
      <c r="A95" s="4" t="s">
        <v>431</v>
      </c>
      <c r="B95" s="4" t="s">
        <v>432</v>
      </c>
      <c r="C95" s="4" t="s">
        <v>433</v>
      </c>
      <c r="D95" s="4" t="s">
        <v>281</v>
      </c>
      <c r="E95" s="4" t="s">
        <v>406</v>
      </c>
      <c r="F95" s="4" t="s">
        <v>434</v>
      </c>
      <c r="G95" s="4"/>
      <c r="H95" s="4" t="n">
        <v>2094</v>
      </c>
      <c r="I95" s="4" t="n">
        <v>86</v>
      </c>
      <c r="J95" s="4"/>
      <c r="K95" s="8"/>
      <c r="L95" s="8"/>
      <c r="M95" s="8"/>
      <c r="N95" s="16"/>
      <c r="O95" s="8"/>
      <c r="P95" s="8"/>
      <c r="Q95" s="8"/>
      <c r="R95" s="8"/>
      <c r="S95" s="8"/>
      <c r="T95" s="8"/>
      <c r="U95" s="8"/>
      <c r="V95" s="8"/>
      <c r="W95" s="8"/>
      <c r="X95" s="8"/>
      <c r="Y95" s="17"/>
      <c r="Z95" s="17"/>
      <c r="AA95" s="17"/>
      <c r="AB95" s="17"/>
      <c r="AC95" s="17"/>
      <c r="AD95" s="17"/>
      <c r="AE95" s="17"/>
      <c r="AF95" s="4"/>
      <c r="AG95" s="8" t="n">
        <v>0.660458452722063</v>
      </c>
      <c r="AH95" s="4" t="s">
        <v>325</v>
      </c>
      <c r="AI95" s="4" t="s">
        <v>432</v>
      </c>
      <c r="AJ95" s="4" t="s">
        <v>435</v>
      </c>
    </row>
    <row r="96" customFormat="false" ht="15" hidden="false" customHeight="false" outlineLevel="0" collapsed="false">
      <c r="A96" s="4" t="s">
        <v>431</v>
      </c>
      <c r="B96" s="4" t="s">
        <v>436</v>
      </c>
      <c r="C96" s="4" t="s">
        <v>322</v>
      </c>
      <c r="D96" s="4" t="s">
        <v>281</v>
      </c>
      <c r="E96" s="4" t="s">
        <v>406</v>
      </c>
      <c r="F96" s="4" t="s">
        <v>434</v>
      </c>
      <c r="G96" s="4"/>
      <c r="H96" s="4" t="n">
        <v>2705</v>
      </c>
      <c r="I96" s="4" t="n">
        <v>113</v>
      </c>
      <c r="J96" s="4"/>
      <c r="K96" s="8"/>
      <c r="L96" s="8"/>
      <c r="M96" s="8"/>
      <c r="N96" s="16"/>
      <c r="O96" s="8"/>
      <c r="P96" s="8"/>
      <c r="Q96" s="8"/>
      <c r="R96" s="8"/>
      <c r="S96" s="8"/>
      <c r="T96" s="8"/>
      <c r="U96" s="8"/>
      <c r="V96" s="8"/>
      <c r="W96" s="8"/>
      <c r="X96" s="8"/>
      <c r="Y96" s="17"/>
      <c r="Z96" s="17"/>
      <c r="AA96" s="17"/>
      <c r="AB96" s="17"/>
      <c r="AC96" s="17"/>
      <c r="AD96" s="17"/>
      <c r="AE96" s="17"/>
      <c r="AF96" s="4"/>
      <c r="AG96" s="8" t="n">
        <v>0.0292051756007394</v>
      </c>
      <c r="AH96" s="4" t="s">
        <v>325</v>
      </c>
      <c r="AI96" s="4" t="s">
        <v>436</v>
      </c>
      <c r="AJ96" s="4" t="s">
        <v>437</v>
      </c>
    </row>
    <row r="97" customFormat="false" ht="15" hidden="false" customHeight="false" outlineLevel="0" collapsed="false">
      <c r="A97" s="4" t="s">
        <v>431</v>
      </c>
      <c r="B97" s="4" t="s">
        <v>438</v>
      </c>
      <c r="C97" s="4" t="s">
        <v>322</v>
      </c>
      <c r="D97" s="4" t="s">
        <v>281</v>
      </c>
      <c r="E97" s="4" t="s">
        <v>406</v>
      </c>
      <c r="F97" s="4" t="s">
        <v>434</v>
      </c>
      <c r="G97" s="4"/>
      <c r="H97" s="4" t="n">
        <v>2705</v>
      </c>
      <c r="I97" s="4" t="n">
        <v>113</v>
      </c>
      <c r="J97" s="4"/>
      <c r="K97" s="8"/>
      <c r="L97" s="8"/>
      <c r="M97" s="8"/>
      <c r="N97" s="16"/>
      <c r="O97" s="8"/>
      <c r="P97" s="8"/>
      <c r="Q97" s="8"/>
      <c r="R97" s="8"/>
      <c r="S97" s="8"/>
      <c r="T97" s="8"/>
      <c r="U97" s="8"/>
      <c r="V97" s="8"/>
      <c r="W97" s="8"/>
      <c r="X97" s="8"/>
      <c r="Y97" s="17"/>
      <c r="Z97" s="17"/>
      <c r="AA97" s="17"/>
      <c r="AB97" s="17"/>
      <c r="AC97" s="17"/>
      <c r="AD97" s="17"/>
      <c r="AE97" s="17"/>
      <c r="AF97" s="4"/>
      <c r="AG97" s="8" t="n">
        <v>0.0148817425617523</v>
      </c>
      <c r="AH97" s="4" t="s">
        <v>325</v>
      </c>
      <c r="AI97" s="4" t="s">
        <v>438</v>
      </c>
      <c r="AJ97" s="4" t="s">
        <v>439</v>
      </c>
    </row>
  </sheetData>
  <autoFilter ref="A1:AJ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6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1" t="s">
        <v>440</v>
      </c>
    </row>
    <row r="2" customFormat="false" ht="15" hidden="false" customHeight="false" outlineLevel="0" collapsed="false">
      <c r="A2" s="2" t="s">
        <v>441</v>
      </c>
    </row>
    <row r="3" customFormat="false" ht="15" hidden="false" customHeight="false" outlineLevel="0" collapsed="false">
      <c r="A3" s="2" t="s">
        <v>442</v>
      </c>
    </row>
    <row r="5" customFormat="false" ht="15" hidden="false" customHeight="false" outlineLevel="0" collapsed="false">
      <c r="A5" s="3" t="s">
        <v>320</v>
      </c>
      <c r="B5" s="3" t="s">
        <v>443</v>
      </c>
      <c r="C5" s="3" t="s">
        <v>281</v>
      </c>
      <c r="D5" s="3" t="s">
        <v>444</v>
      </c>
      <c r="E5" s="3" t="s">
        <v>172</v>
      </c>
      <c r="F5" s="3" t="s">
        <v>173</v>
      </c>
      <c r="G5" s="3" t="s">
        <v>445</v>
      </c>
      <c r="H5" s="3" t="s">
        <v>274</v>
      </c>
    </row>
    <row r="6" customFormat="false" ht="15" hidden="false" customHeight="false" outlineLevel="0" collapsed="false">
      <c r="A6" s="4" t="s">
        <v>326</v>
      </c>
      <c r="B6" s="4" t="str">
        <f aca="false">11_Results_Long!B2&amp;" / "&amp;11_Results_Long!D2</f>
        <v>paris_mid / cell_pre</v>
      </c>
      <c r="C6" s="4" t="str">
        <f aca="false">TEXT(11_Results_Long!T2,"0.000")</f>
        <v>-0.062</v>
      </c>
      <c r="D6" s="4" t="str">
        <f aca="false">"["&amp;TEXT(11_Results_Long!U2,"0.000")&amp;"; "&amp;TEXT(11_Results_Long!V2,"0.000")&amp;"]"</f>
        <v>[-0.097; -0.026]</v>
      </c>
      <c r="E6" s="4" t="n">
        <f aca="false">ROUND(11_Results_Long!N2,1)</f>
        <v>68.6</v>
      </c>
      <c r="F6" s="4" t="str">
        <f aca="false">IF(11_Results_Long!O2&lt;0.0001,"&lt; 0.0001",TEXT(11_Results_Long!O2,"0.0000"))</f>
        <v>0.0011</v>
      </c>
      <c r="G6" s="4" t="str">
        <f aca="false">11_Results_Long!H2&amp;" / "&amp;11_Results_Long!I2</f>
        <v>1994 / 83</v>
      </c>
      <c r="H6" s="5" t="s">
        <v>446</v>
      </c>
    </row>
    <row r="7" customFormat="false" ht="15" hidden="false" customHeight="false" outlineLevel="0" collapsed="false">
      <c r="A7" s="4" t="s">
        <v>328</v>
      </c>
      <c r="B7" s="4" t="str">
        <f aca="false">11_Results_Long!B3&amp;" / "&amp;11_Results_Long!D3</f>
        <v>paris_mid / cell_post</v>
      </c>
      <c r="C7" s="4" t="str">
        <f aca="false">TEXT(11_Results_Long!T3,"0.000")</f>
        <v>-0.051</v>
      </c>
      <c r="D7" s="4" t="str">
        <f aca="false">"["&amp;TEXT(11_Results_Long!U3,"0.000")&amp;"; "&amp;TEXT(11_Results_Long!V3,"0.000")&amp;"]"</f>
        <v>[-0.073; -0.030]</v>
      </c>
      <c r="E7" s="4" t="n">
        <f aca="false">ROUND(11_Results_Long!N3,1)</f>
        <v>19.8</v>
      </c>
      <c r="F7" s="4" t="str">
        <f aca="false">IF(11_Results_Long!O3&lt;0.0001,"&lt; 0.0001",TEXT(11_Results_Long!O3,"0.0000"))</f>
        <v>&lt; 0.0001</v>
      </c>
      <c r="G7" s="4" t="str">
        <f aca="false">11_Results_Long!H3&amp;" / "&amp;11_Results_Long!I3</f>
        <v>711 / 31</v>
      </c>
      <c r="H7" s="5" t="s">
        <v>447</v>
      </c>
    </row>
    <row r="8" customFormat="false" ht="15" hidden="false" customHeight="false" outlineLevel="0" collapsed="false">
      <c r="A8" s="4" t="s">
        <v>331</v>
      </c>
      <c r="B8" s="4" t="str">
        <f aca="false">11_Results_Long!B4&amp;" / "&amp;11_Results_Long!D4</f>
        <v>paris_mid / diff</v>
      </c>
      <c r="C8" s="4" t="str">
        <f aca="false">TEXT(11_Results_Long!K4,"+0.000;-0.000")&amp;" z"</f>
        <v>+0.010 z</v>
      </c>
      <c r="D8" s="4" t="str">
        <f aca="false">"["&amp;TEXT(11_Results_Long!P4,"+0.000;-0.000")&amp;"; "&amp;TEXT(11_Results_Long!Q4,"+0.000;-0.000")&amp;"] z"</f>
        <v>[-0.028; +0.049] z</v>
      </c>
      <c r="E8" s="4" t="n">
        <f aca="false">ROUND(11_Results_Long!N4,1)</f>
        <v>15</v>
      </c>
      <c r="F8" s="4" t="str">
        <f aca="false">IF(11_Results_Long!O4&lt;0.0001,"&lt; 0.0001",TEXT(11_Results_Long!O4,"0.0000"))</f>
        <v>0.5824</v>
      </c>
      <c r="G8" s="4" t="str">
        <f aca="false">11_Results_Long!H4&amp;" / "&amp;11_Results_Long!I4</f>
        <v>2705 / 113</v>
      </c>
      <c r="H8" s="5" t="s">
        <v>448</v>
      </c>
    </row>
    <row r="9" customFormat="false" ht="15" hidden="false" customHeight="false" outlineLevel="0" collapsed="false">
      <c r="A9" s="4" t="s">
        <v>360</v>
      </c>
      <c r="B9" s="4" t="str">
        <f aca="false">11_Results_Long!B29&amp;" / "&amp;11_Results_Long!D29</f>
        <v>clean_window / cell_pre</v>
      </c>
      <c r="C9" s="4" t="str">
        <f aca="false">TEXT(11_Results_Long!T29,"0.000")</f>
        <v>-0.042</v>
      </c>
      <c r="D9" s="4" t="str">
        <f aca="false">"["&amp;TEXT(11_Results_Long!U29,"0.000")&amp;"; "&amp;TEXT(11_Results_Long!V29,"0.000")&amp;"]"</f>
        <v>[-0.060; -0.024]</v>
      </c>
      <c r="E9" s="4" t="n">
        <f aca="false">ROUND(11_Results_Long!N29,1)</f>
        <v>20.7</v>
      </c>
      <c r="F9" s="4" t="str">
        <f aca="false">IF(11_Results_Long!O29&lt;0.0001,"&lt; 0.0001",TEXT(11_Results_Long!O29,"0.0000"))</f>
        <v>0.0001</v>
      </c>
      <c r="G9" s="4" t="str">
        <f aca="false">11_Results_Long!H29&amp;" / "&amp;11_Results_Long!I29</f>
        <v>611 / 27</v>
      </c>
      <c r="H9" s="5" t="s">
        <v>449</v>
      </c>
    </row>
    <row r="10" customFormat="false" ht="15" hidden="false" customHeight="false" outlineLevel="0" collapsed="false">
      <c r="A10" s="4" t="s">
        <v>362</v>
      </c>
      <c r="B10" s="4" t="str">
        <f aca="false">11_Results_Long!B30&amp;" / "&amp;11_Results_Long!D30</f>
        <v>clean_window / cell_post</v>
      </c>
      <c r="C10" s="4" t="str">
        <f aca="false">TEXT(11_Results_Long!T30,"0.000")</f>
        <v>-0.055</v>
      </c>
      <c r="D10" s="4" t="str">
        <f aca="false">"["&amp;TEXT(11_Results_Long!U30,"0.000")&amp;"; "&amp;TEXT(11_Results_Long!V30,"0.000")&amp;"]"</f>
        <v>[-0.087; -0.021]</v>
      </c>
      <c r="E10" s="4" t="n">
        <f aca="false">ROUND(11_Results_Long!N30,1)</f>
        <v>10.8</v>
      </c>
      <c r="F10" s="4" t="str">
        <f aca="false">IF(11_Results_Long!O30&lt;0.0001,"&lt; 0.0001",TEXT(11_Results_Long!O30,"0.0000"))</f>
        <v>0.0040</v>
      </c>
      <c r="G10" s="4" t="str">
        <f aca="false">11_Results_Long!H30&amp;" / "&amp;11_Results_Long!I30</f>
        <v>318 / 13</v>
      </c>
      <c r="H10" s="5" t="s">
        <v>450</v>
      </c>
    </row>
    <row r="11" customFormat="false" ht="15" hidden="false" customHeight="false" outlineLevel="0" collapsed="false">
      <c r="A11" s="4" t="s">
        <v>364</v>
      </c>
      <c r="B11" s="4" t="str">
        <f aca="false">11_Results_Long!B31&amp;" / "&amp;11_Results_Long!D31</f>
        <v>clean_window / diff</v>
      </c>
      <c r="C11" s="4" t="str">
        <f aca="false">TEXT(11_Results_Long!K31,"+0.000;-0.000")&amp;" z"</f>
        <v>-0.013 z</v>
      </c>
      <c r="D11" s="4" t="str">
        <f aca="false">"["&amp;TEXT(11_Results_Long!P31,"+0.000;-0.000")&amp;"; "&amp;TEXT(11_Results_Long!Q31,"+0.000;-0.000")&amp;"] z"</f>
        <v>[-0.049; +0.023] z</v>
      </c>
      <c r="E11" s="4" t="n">
        <f aca="false">ROUND(11_Results_Long!N31,1)</f>
        <v>23.5</v>
      </c>
      <c r="F11" s="4" t="str">
        <f aca="false">IF(11_Results_Long!O31&lt;0.0001,"&lt; 0.0001",TEXT(11_Results_Long!O31,"0.0000"))</f>
        <v>0.4634</v>
      </c>
      <c r="G11" s="4" t="str">
        <f aca="false">11_Results_Long!H31&amp;" / "&amp;11_Results_Long!I31</f>
        <v>929 / 40</v>
      </c>
      <c r="H11" s="5" t="s">
        <v>451</v>
      </c>
    </row>
    <row r="12" customFormat="false" ht="15" hidden="false" customHeight="false" outlineLevel="0" collapsed="false">
      <c r="A12" s="4" t="s">
        <v>452</v>
      </c>
      <c r="B12" s="4" t="str">
        <f aca="false">11_Results_Long!B63&amp;" / "&amp;11_Results_Long!D63</f>
        <v>loso_post_summary / range</v>
      </c>
      <c r="C12" s="4" t="str">
        <f aca="false">TEXT(11_Results_Long!AG63,"0.0000")</f>
        <v>0.0114</v>
      </c>
      <c r="D12" s="4"/>
      <c r="E12" s="4"/>
      <c r="F12" s="4"/>
      <c r="G12" s="4"/>
      <c r="H12" s="5" t="s">
        <v>453</v>
      </c>
    </row>
    <row r="13" customFormat="false" ht="15" hidden="false" customHeight="false" outlineLevel="0" collapsed="false">
      <c r="A13" s="4" t="s">
        <v>454</v>
      </c>
      <c r="B13" s="4" t="str">
        <f aca="false">11_Results_Long!B95&amp;" / "&amp;11_Results_Long!D95</f>
        <v>disclosure_attenuation_end / value</v>
      </c>
      <c r="C13" s="4" t="str">
        <f aca="false">TEXT(11_Results_Long!AG95,"0.0000")</f>
        <v>0.6605</v>
      </c>
      <c r="D13" s="4"/>
      <c r="E13" s="4"/>
      <c r="F13" s="4"/>
      <c r="G13" s="4"/>
      <c r="H13" s="5" t="s">
        <v>455</v>
      </c>
    </row>
    <row r="14" customFormat="false" ht="15" hidden="false" customHeight="false" outlineLevel="0" collapsed="false">
      <c r="A14" s="4" t="s">
        <v>456</v>
      </c>
      <c r="B14" s="4" t="str">
        <f aca="false">11_Results_Long!B96&amp;" / "&amp;11_Results_Long!D96</f>
        <v>disclosure_knife_edge / value</v>
      </c>
      <c r="C14" s="4" t="str">
        <f aca="false">TEXT(11_Results_Long!AG96,"0.0000")</f>
        <v>0.0292</v>
      </c>
      <c r="D14" s="4"/>
      <c r="E14" s="4"/>
      <c r="F14" s="4"/>
      <c r="G14" s="4"/>
      <c r="H14" s="5" t="s">
        <v>457</v>
      </c>
    </row>
    <row r="15" customFormat="false" ht="15" hidden="false" customHeight="false" outlineLevel="0" collapsed="false">
      <c r="A15" s="4" t="s">
        <v>458</v>
      </c>
      <c r="B15" s="4" t="str">
        <f aca="false">11_Results_Long!B97&amp;" / "&amp;11_Results_Long!D97</f>
        <v>disclosure_panel_drift / value</v>
      </c>
      <c r="C15" s="4" t="str">
        <f aca="false">TEXT(11_Results_Long!AG97,"0.0000")</f>
        <v>0.0149</v>
      </c>
      <c r="D15" s="4"/>
      <c r="E15" s="4"/>
      <c r="F15" s="4"/>
      <c r="G15" s="4"/>
      <c r="H15" s="5" t="s">
        <v>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10"/>
    <col collapsed="false" customWidth="true" hidden="false" outlineLevel="0" max="5" min="5" style="0" width="32"/>
    <col collapsed="false" customWidth="true" hidden="false" outlineLevel="0" max="6" min="6" style="0" width="34"/>
  </cols>
  <sheetData>
    <row r="1" customFormat="false" ht="15" hidden="false" customHeight="false" outlineLevel="0" collapsed="false">
      <c r="A1" s="1" t="s">
        <v>460</v>
      </c>
    </row>
    <row r="2" customFormat="false" ht="15" hidden="false" customHeight="false" outlineLevel="0" collapsed="false">
      <c r="A2" s="2" t="s">
        <v>461</v>
      </c>
    </row>
    <row r="3" customFormat="false" ht="15" hidden="false" customHeight="false" outlineLevel="0" collapsed="false">
      <c r="A3" s="2" t="s">
        <v>462</v>
      </c>
    </row>
    <row r="5" customFormat="false" ht="15" hidden="false" customHeight="false" outlineLevel="0" collapsed="false">
      <c r="A5" s="3" t="s">
        <v>463</v>
      </c>
      <c r="B5" s="3" t="s">
        <v>464</v>
      </c>
      <c r="C5" s="3" t="s">
        <v>465</v>
      </c>
      <c r="D5" s="3" t="s">
        <v>466</v>
      </c>
      <c r="E5" s="3" t="s">
        <v>467</v>
      </c>
      <c r="F5" s="3" t="s">
        <v>468</v>
      </c>
    </row>
    <row r="6" customFormat="false" ht="67.5" hidden="false" customHeight="true" outlineLevel="0" collapsed="false">
      <c r="A6" s="4" t="s">
        <v>469</v>
      </c>
      <c r="B6" s="4" t="s">
        <v>470</v>
      </c>
      <c r="C6" s="18" t="s">
        <v>471</v>
      </c>
      <c r="D6" s="5" t="s">
        <v>472</v>
      </c>
      <c r="E6" s="5" t="s">
        <v>473</v>
      </c>
      <c r="F6" s="5" t="s">
        <v>474</v>
      </c>
    </row>
    <row r="7" customFormat="false" ht="67.5" hidden="false" customHeight="true" outlineLevel="0" collapsed="false">
      <c r="A7" s="4" t="s">
        <v>475</v>
      </c>
      <c r="B7" s="4" t="s">
        <v>476</v>
      </c>
      <c r="C7" s="18" t="s">
        <v>471</v>
      </c>
      <c r="D7" s="5" t="s">
        <v>477</v>
      </c>
      <c r="E7" s="5" t="s">
        <v>478</v>
      </c>
      <c r="F7" s="5" t="s">
        <v>479</v>
      </c>
    </row>
    <row r="8" customFormat="false" ht="67.5" hidden="false" customHeight="true" outlineLevel="0" collapsed="false">
      <c r="A8" s="4" t="s">
        <v>480</v>
      </c>
      <c r="B8" s="4" t="s">
        <v>481</v>
      </c>
      <c r="C8" s="18" t="s">
        <v>471</v>
      </c>
      <c r="D8" s="5" t="s">
        <v>482</v>
      </c>
      <c r="E8" s="5" t="s">
        <v>483</v>
      </c>
      <c r="F8" s="5" t="s">
        <v>484</v>
      </c>
    </row>
    <row r="9" customFormat="false" ht="67.5" hidden="false" customHeight="true" outlineLevel="0" collapsed="false">
      <c r="A9" s="4" t="s">
        <v>485</v>
      </c>
      <c r="B9" s="4" t="s">
        <v>486</v>
      </c>
      <c r="C9" s="18" t="s">
        <v>471</v>
      </c>
      <c r="D9" s="5" t="s">
        <v>487</v>
      </c>
      <c r="E9" s="5" t="s">
        <v>488</v>
      </c>
      <c r="F9" s="5" t="s">
        <v>489</v>
      </c>
    </row>
    <row r="10" customFormat="false" ht="67.5" hidden="false" customHeight="true" outlineLevel="0" collapsed="false">
      <c r="A10" s="4" t="s">
        <v>490</v>
      </c>
      <c r="B10" s="4" t="s">
        <v>491</v>
      </c>
      <c r="C10" s="18" t="s">
        <v>471</v>
      </c>
      <c r="D10" s="5" t="s">
        <v>492</v>
      </c>
      <c r="E10" s="5" t="s">
        <v>493</v>
      </c>
      <c r="F10" s="5" t="s">
        <v>494</v>
      </c>
    </row>
    <row r="11" customFormat="false" ht="67.5" hidden="false" customHeight="true" outlineLevel="0" collapsed="false">
      <c r="A11" s="4" t="s">
        <v>495</v>
      </c>
      <c r="B11" s="4" t="s">
        <v>496</v>
      </c>
      <c r="C11" s="18" t="s">
        <v>471</v>
      </c>
      <c r="D11" s="5" t="s">
        <v>497</v>
      </c>
      <c r="E11" s="5" t="s">
        <v>498</v>
      </c>
      <c r="F11" s="5" t="s">
        <v>499</v>
      </c>
    </row>
    <row r="12" customFormat="false" ht="67.5" hidden="false" customHeight="true" outlineLevel="0" collapsed="false">
      <c r="A12" s="4" t="s">
        <v>500</v>
      </c>
      <c r="B12" s="4" t="s">
        <v>501</v>
      </c>
      <c r="C12" s="18" t="s">
        <v>471</v>
      </c>
      <c r="D12" s="5" t="s">
        <v>502</v>
      </c>
      <c r="E12" s="5" t="s">
        <v>503</v>
      </c>
      <c r="F12" s="5" t="s">
        <v>504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2026-07-14T18:10:12Z</dcterms:created>
  <dc:creator>openpyxl</dc:creator>
  <dc:description/>
  <dc:language>en-US</dc:language>
  <cp:lastModifiedBy/>
  <dcterms:modified xsi:type="dcterms:W3CDTF">2026-07-14T18:10:12Z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