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ADME" sheetId="1" state="visible" r:id="rId3"/>
    <sheet name="2_Methodology" sheetId="2" state="visible" r:id="rId4"/>
    <sheet name="3_Interpretation_Guide" sheetId="3" state="visible" r:id="rId5"/>
    <sheet name="4_Formula_Reference" sheetId="4" state="visible" r:id="rId6"/>
    <sheet name="5_Data_Provenance" sheetId="5" state="visible" r:id="rId7"/>
    <sheet name="6_D1_FAT_PET_PEESE" sheetId="6" state="visible" r:id="rId8"/>
    <sheet name="7_D2_Selection_Models" sheetId="7" state="visible" r:id="rId9"/>
    <sheet name="8_D4_Period_Split" sheetId="8" state="visible" r:id="rId10"/>
    <sheet name="9_D5_Grey_Literature" sheetId="9" state="visible" r:id="rId11"/>
    <sheet name="10_D6_Triangulation" sheetId="10" state="visible" r:id="rId12"/>
    <sheet name="Results_Long" sheetId="11" state="visible" r:id="rId13"/>
    <sheet name="Manuscript_Inputs" sheetId="12" state="visible" r:id="rId14"/>
    <sheet name="Manuscript_Text_Blocks" sheetId="13" state="visible" r:id="rId15"/>
  </sheets>
  <definedNames>
    <definedName function="false" hidden="true" localSheetId="10" name="_xlnm._FilterDatabase" vbProcedure="false">Results_Long!$A$1:$AJ$54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<sst xmlns="http://schemas.openxmlformats.org/spreadsheetml/2006/main" count="853" uniqueCount="491">
  <si>
    <t xml:space="preserve">FOMA CER–COD–Paris — T5 results workbook (Block D: publication-bias battery D1/D2/D4/D5 + D6 draft)</t>
  </si>
  <si>
    <t xml:space="preserve">Template: docs/results_workbook_template.md (binding) · Output schema: T2 36-column</t>
  </si>
  <si>
    <t xml:space="preserve">Run 2026-07-19 13:37:05 CEST · Verifier R/05_verify_outputs.R: 27/27 PASS · Run basis @ 6bf40b1</t>
  </si>
  <si>
    <t xml:space="preserve">Item</t>
  </si>
  <si>
    <t xml:space="preserve">Value</t>
  </si>
  <si>
    <t xml:space="preserve">Version</t>
  </si>
  <si>
    <t xml:space="preserve">v1 (2026-07-19, post-run build)</t>
  </si>
  <si>
    <t xml:space="preserve">Method (one line)</t>
  </si>
  <si>
    <t xml:space="preserve">Publication-bias battery on the 3L-RVE spine (PET/PEESE, CR2/Satterthwaite) and on one-effect-per-cluster aggregates (3PSM, p-uniform*), plus grey-literature panel; pre/post-Paris split per DEC-031a.5.</t>
  </si>
  <si>
    <t xml:space="preserve">Scope</t>
  </si>
  <si>
    <t xml:space="preserve">D1 FAT-PET-PEESE (full set) · D2 selection models (full aggregates) · D4 pre/post split (both engines) · D5 grey-literature panel · D6 triangulation FINAL (RoBMA line cited from TH-b/H2a per the resolved gate [DEC-047]); D3 executes in the H-session [DEC-031g].</t>
  </si>
  <si>
    <t xml:space="preserve">Repository</t>
  </si>
  <si>
    <t xml:space="preserve">rwitte-wu-research/FOMA-CER-COD-Paris (main)</t>
  </si>
  <si>
    <t xml:space="preserve">Computational stack</t>
  </si>
  <si>
    <t xml:space="preserve">R 4.6.1 · metafor 5.0-1 · clubSandwich 0.7.0 · puniform 0.2.8 · renv lockfile (F64)</t>
  </si>
  <si>
    <t xml:space="preserve">Scripts</t>
  </si>
  <si>
    <t xml:space="preserve">R/05_bias.R (run) · R/05_verify_outputs.R (paired verifier, O1–O27)</t>
  </si>
  <si>
    <t xml:space="preserve">Decision basis</t>
  </si>
  <si>
    <t xml:space="preserve">DEC-031g (execution pins P-T5-1..5, F63/F64/F65) · DEC-031f/A.11 (ladder) · DEC-031a.4/.5 · DEC-016 · DEC-010 · DEC-042a/b · plan §8 + A.12</t>
  </si>
  <si>
    <t xml:space="preserve">Result framing</t>
  </si>
  <si>
    <t xml:space="preserve">Language per the resolved gate [DEC-044 → DEC-047]; Tier-2 register for the pooled effect (claim wording fixed by DEC-047).</t>
  </si>
  <si>
    <t xml:space="preserve">TAB-INDEX</t>
  </si>
  <si>
    <t xml:space="preserve">Content</t>
  </si>
  <si>
    <t xml:space="preserve">1_README</t>
  </si>
  <si>
    <t xml:space="preserve">This tab</t>
  </si>
  <si>
    <t xml:space="preserve">2_Methodology</t>
  </si>
  <si>
    <t xml:space="preserve">Quantity | Formula / Construction | Reference</t>
  </si>
  <si>
    <t xml:space="preserve">3_Interpretation_Guide</t>
  </si>
  <si>
    <t xml:space="preserve">How to read each quantity; decision rules</t>
  </si>
  <si>
    <t xml:space="preserve">4_Formula_Reference</t>
  </si>
  <si>
    <t xml:space="preserve">Exact R calls as implemented</t>
  </si>
  <si>
    <t xml:space="preserve">5_Data_Provenance</t>
  </si>
  <si>
    <t xml:space="preserve">Domains, md5, pins, verifier details, warnings</t>
  </si>
  <si>
    <t xml:space="preserve">6_D1_FAT_PET_PEESE</t>
  </si>
  <si>
    <t xml:space="preserve">Full-set funnel-asymmetry regression battery</t>
  </si>
  <si>
    <t xml:space="preserve">7_D2_Selection_Models</t>
  </si>
  <si>
    <t xml:space="preserve">3PSM + p-uniform* on 114 cluster aggregates + T1/A5 anchor</t>
  </si>
  <si>
    <t xml:space="preserve">8_D4_Period_Split</t>
  </si>
  <si>
    <t xml:space="preserve">Pre/post-Paris: PET-PEESE + selection models per period</t>
  </si>
  <si>
    <t xml:space="preserve">9_D5_Grey_Literature</t>
  </si>
  <si>
    <t xml:space="preserve">q_status panel: published vs not published</t>
  </si>
  <si>
    <t xml:space="preserve">10_D6_Triangulation</t>
  </si>
  <si>
    <t xml:space="preserve">Cross-method convergence table — FINAL; RoBMA row cited from TH-b/H2a (single home) [DEC-047]</t>
  </si>
  <si>
    <t xml:space="preserve">Results_Long</t>
  </si>
  <si>
    <t xml:space="preserve">Verbatim run CSV (single formula source)</t>
  </si>
  <si>
    <t xml:space="preserve">Manuscript_Inputs</t>
  </si>
  <si>
    <t xml:space="preserve">ms_input rows, formula-derived paste-ready strings</t>
  </si>
  <si>
    <t xml:space="preserve">Manuscript_Text_Blocks</t>
  </si>
  <si>
    <t xml:space="preserve">TB-30..TB-35 (continues from T8 = TB-28; TB-29 never assigned — documented gap)</t>
  </si>
  <si>
    <t xml:space="preserve">T5 methodology — construction of every reported quantity</t>
  </si>
  <si>
    <t xml:space="preserve">Source pointers in project notation ([DEC-nnn], [F-nn], [plan §x], literature).</t>
  </si>
  <si>
    <t xml:space="preserve">Spine: rma.mv REML · V = impute_covariance_matrix(vi, cluster_id, r = 0.6) · random = ~1|cluster_id/study/esid · CR2 + Satterthwaite on cluster_id [D31.1/A.2].</t>
  </si>
  <si>
    <t xml:space="preserve">Quantity</t>
  </si>
  <si>
    <t xml:space="preserve">Formula / Construction</t>
  </si>
  <si>
    <t xml:space="preserve">Reference</t>
  </si>
  <si>
    <t xml:space="preserve">PET (intercept) / FAT (slope)</t>
  </si>
  <si>
    <t xml:space="preserve">Spine + mods = ~ sez, sez = sqrt(vi) derived in-script; intercept = selection-adjusted mean at SE→0; slope = Egger-type small-study test; two-sided CR2/Satterthwaite p.</t>
  </si>
  <si>
    <t xml:space="preserve">[DEC-010][DEC-031g P-T5-2][plan §8.1][Stanley &amp; Doucouliagos 2013][Egger et al. 1997]</t>
  </si>
  <si>
    <t xml:space="preserve">PEESE (intercept)</t>
  </si>
  <si>
    <t xml:space="preserve">Spine + mods = ~ I(sez^2) (≡ vi); quadratic small-study approximation.</t>
  </si>
  <si>
    <t xml:space="preserve">[DEC-010][Stanley &amp; Doucouliagos 2013]</t>
  </si>
  <si>
    <t xml:space="preserve">PET→PEESE rule flag</t>
  </si>
  <si>
    <t xml:space="preserve">value = 1{PET intercept p &lt; .05, two-sided, CR2/Satterthwaite}; both models always reported; rule identical in every subgroup.</t>
  </si>
  <si>
    <t xml:space="preserve">[DEC-010][DEC-031g P-T5-1]</t>
  </si>
  <si>
    <t xml:space="preserve">One-per-cluster aggregates</t>
  </si>
  <si>
    <t xml:space="preserve">metafor aggregate.escalc, cluster = cluster_id, struct = "CS", rho = 0.6 → k = 114 (full) / 82 (pre) / 31 (post).</t>
  </si>
  <si>
    <t xml:space="preserve">[DEC-031g/F65][Borenstein et al. 2009][T1/A5 convention]</t>
  </si>
  <si>
    <t xml:space="preserve">3PSM {mu, tau2, delta}</t>
  </si>
  <si>
    <t xml:space="preserve">rma(yi, vi, method="ML") → selmodel(type="stepfun", steps=0.025, alternative="less"); delta = relative publication probability of one-sided p &gt; .025 results; LRT vs delta = 1.</t>
  </si>
  <si>
    <t xml:space="preserve">[DEC-016][DEC-031g/F63][Vevea &amp; Hedges 1995][Carter et al. 2019]</t>
  </si>
  <si>
    <t xml:space="preserve">p-uniform*</t>
  </si>
  <si>
    <t xml:space="preserve">puni_star(yi, vi, side="left", method="ML"); estimate, CI, L.0 test, tau2.</t>
  </si>
  <si>
    <t xml:space="preserve">[DEC-016][van Aert &amp; van Assen][DEC-031g P-T5-2]</t>
  </si>
  <si>
    <t xml:space="preserve">Grey-literature panel</t>
  </si>
  <si>
    <t xml:space="preserve">Spine cell-means zi ~ 0 + q_status (levels 0_published / 1_not published); contrast (−1, +1); between-group Wald HTZ.</t>
  </si>
  <si>
    <t xml:space="preserve">[DEC-031a.1][DEC-031g Q2/F60-pattern pins]</t>
  </si>
  <si>
    <t xml:space="preserve">Convergence protocol</t>
  </si>
  <si>
    <t xml:space="preserve">Continuous-regressor fits: ladder nlminb → optim/BFGS → optim/Nelder-Mead, first metafor-certified wins; fallback rows note-flagged; one BFGS control re-fit |Δβ| &lt; 1e-5 (R6); factor-only cell-means default.</t>
  </si>
  <si>
    <t xml:space="preserve">[DEC-031f][plan A.11]</t>
  </si>
  <si>
    <t xml:space="preserve">Off-spine failure handling</t>
  </si>
  <si>
    <t xml:space="preserve">Pinned non-convergence signatures {converg, opposite sign} → not_estimable rows; any other condition = S5 stop.</t>
  </si>
  <si>
    <t xml:space="preserve">[DEC-031g P-T5-4]</t>
  </si>
  <si>
    <t xml:space="preserve">SESOI bands (read-out only)</t>
  </si>
  <si>
    <t xml:space="preserve">|r| = 0.070 primary (F27v2), |Δr| = 0.05 secondary — verdict read-outs per the resolved gate [DEC-044/DEC-047].</t>
  </si>
  <si>
    <t xml:space="preserve">[DEC-031 Block E]</t>
  </si>
  <si>
    <t xml:space="preserve">How to read the T5 quantities</t>
  </si>
  <si>
    <t xml:space="preserve">Decision rules with citations; claim-carrying verdicts per the resolved gate [DEC-044/DEC-047].</t>
  </si>
  <si>
    <t xml:space="preserve">df convention: Satterthwaite; Tipton df ≥ 4 for full inference [Tipton &amp; Pustejovsky 2015].</t>
  </si>
  <si>
    <t xml:space="preserve">Meaning</t>
  </si>
  <si>
    <t xml:space="preserve">Decision rule</t>
  </si>
  <si>
    <t xml:space="preserve">FAT slope</t>
  </si>
  <si>
    <t xml:space="preserve">Association between effect size and its SE; negative = smaller studies report more negative effects.</t>
  </si>
  <si>
    <t xml:space="preserve">Two-sided p &lt; .05 flags small-study asymmetry; direction pinned a priori (negative) [P-T5-2].</t>
  </si>
  <si>
    <t xml:space="preserve">PET intercept</t>
  </si>
  <si>
    <t xml:space="preserve">Regression-corrected mean at SE→0 (linear).</t>
  </si>
  <si>
    <t xml:space="preserve">p &lt; .05 (two-sided, CR2/Satt) → rule selects PEESE as the claim-carrying corrected estimate [DEC-010].</t>
  </si>
  <si>
    <t xml:space="preserve">PEESE intercept</t>
  </si>
  <si>
    <t xml:space="preserve">Regression-corrected mean (quadratic); preferred when a genuine nonzero effect is plausible.</t>
  </si>
  <si>
    <t xml:space="preserve">Claim-carrying when the rule fires; reported alongside PET regardless [P-T5-1].</t>
  </si>
  <si>
    <t xml:space="preserve">3PSM delta</t>
  </si>
  <si>
    <t xml:space="preserve">Relative publication probability of nonsignificant (one-sided p &gt; .025) results; 1 = no selection.</t>
  </si>
  <si>
    <t xml:space="preserve">LRT vs delta = 1, alpha .05; delta &lt; 1 indicates selection against nonsignificant results.</t>
  </si>
  <si>
    <t xml:space="preserve">3PSM / p-uniform* mu</t>
  </si>
  <si>
    <t xml:space="preserve">Selection-adjusted mean effects (z scale) under two distinct selection mechanisms.</t>
  </si>
  <si>
    <t xml:space="preserve">Read jointly (concordance check); z-tests, no cluster df (aggregate level).</t>
  </si>
  <si>
    <t xml:space="preserve">Grey contrast (NP − P)</t>
  </si>
  <si>
    <t xml:space="preserve">Direct selection check: not-published minus published mean.</t>
  </si>
  <si>
    <t xml:space="preserve">Read against SESOI band; inference full (both cells ≥ 3 clusters [DEC-031g pin]).</t>
  </si>
  <si>
    <t xml:space="preserve">Realized df</t>
  </si>
  <si>
    <t xml:space="preserve">CR2/Satterthwaite df per coefficient; small df flag disclosed, not suppressed.</t>
  </si>
  <si>
    <t xml:space="preserve">df ≥ 4 full inference; smaller = descriptive read [Tipton &amp; Pustejovsky 2015].</t>
  </si>
  <si>
    <t xml:space="preserve">Verdict lines</t>
  </si>
  <si>
    <t xml:space="preserve">Mechanical statements of estimates vs pre-registered rules.</t>
  </si>
  <si>
    <t xml:space="preserve">A-vs-C framing resolved → A [DEC-044]; wording register per DEC-047.</t>
  </si>
  <si>
    <t xml:space="preserve">Exact R calls as implemented (R/05_bias.R @ 6bf40b1)</t>
  </si>
  <si>
    <t xml:space="preserve">Frozen constants: RHO 0.6 · STEPS_3PSM 0.025 · SEL_ALT "less" · PUNI_SIDE "left" · ALPHA_RULE .05 · TOL_R6 1e-5.</t>
  </si>
  <si>
    <t xml:space="preserve">Verifier re-fit (anchor): independent duplicate of the aggregation + rma.uni call [DEC-031g/F65].</t>
  </si>
  <si>
    <t xml:space="preserve">R call</t>
  </si>
  <si>
    <t xml:space="preserve">Script section</t>
  </si>
  <si>
    <t xml:space="preserve">Spine fit (ladder)</t>
  </si>
  <si>
    <t xml:space="preserve">rma.mv(yi=zi, V=impute_covariance_matrix(vi, cluster_id, r=0.6), mods=fml, random=~1|cluster_id/study/esid, sparse=TRUE, method="REML", control=list(optimizer=...))</t>
  </si>
  <si>
    <t xml:space="preserve">fit3l(), §2</t>
  </si>
  <si>
    <t xml:space="preserve">CR2 tests / CIs</t>
  </si>
  <si>
    <t xml:space="preserve">coef_test(m, vcov=vcovCR(m, cluster, "CR2"), test="Satterthwaite"); conf_int(...); linear_contrast(...); Wald_test(..., constrain_equal(1:2), test="HTZ")</t>
  </si>
  <si>
    <t xml:space="preserve">§5 / §7</t>
  </si>
  <si>
    <t xml:space="preserve">Aggregates</t>
  </si>
  <si>
    <t xml:space="preserve">escalc(measure="GEN", yi, vi) |&gt; aggregate(cluster=cluster_id, struct="CS", rho=0.6)</t>
  </si>
  <si>
    <t xml:space="preserve">make_agg(), §4</t>
  </si>
  <si>
    <t xml:space="preserve">3PSM</t>
  </si>
  <si>
    <t xml:space="preserve">rma(yi, vi, method="ML") |&gt; selmodel(type="stepfun", steps=0.025, alternative="less")</t>
  </si>
  <si>
    <t xml:space="preserve">selection_block(), §6</t>
  </si>
  <si>
    <t xml:space="preserve">puni_star(yi=agg$yi, vi=agg$vi, side="left", method="ML")</t>
  </si>
  <si>
    <t xml:space="preserve">T1/A5 anchor</t>
  </si>
  <si>
    <t xml:space="preserve">rma(yi, vi, data=agg, method="REML", test="knha")  — df = k − 1 = 113</t>
  </si>
  <si>
    <t xml:space="preserve">R6 control fit</t>
  </si>
  <si>
    <t xml:space="preserve">re-fit first nlminb spine fit under control=list(optimizer="optim", optmethod="BFGS"); assert max|Δβ| &lt; 1e-5</t>
  </si>
  <si>
    <t xml:space="preserve">§5</t>
  </si>
  <si>
    <t xml:space="preserve">Data provenance and run certification — T5</t>
  </si>
  <si>
    <t xml:space="preserve">All domain quantities re-derived and verifier-asserted; design constants pinned ex ante (result-blind).</t>
  </si>
  <si>
    <t xml:space="preserve">Spot verification (post-recalc): 6_D1 est_z(PET intercept) = -0.0432 · 7_D2 est_z(mu_3psm) = +0.0117 · 9_D5 p(contrast) = 0.9279.</t>
  </si>
  <si>
    <t xml:space="preserve">Source</t>
  </si>
  <si>
    <t xml:space="preserve">Estimation set (D1/D2/D5)</t>
  </si>
  <si>
    <t xml:space="preserve">2,713 ES / 115 studies / 114 clusters</t>
  </si>
  <si>
    <t xml:space="preserve">[DEC-042a]; verifier O9</t>
  </si>
  <si>
    <t xml:space="preserve">Period cells (D4)</t>
  </si>
  <si>
    <t xml:space="preserve">pre 1,994 ES / 83 studies / 82 clusters · post 711 / 31 / 31 · NA 8 ES / 2 studies (listwise from period cells only)</t>
  </si>
  <si>
    <t xml:space="preserve">[DEC-042b]; run_meta; O9</t>
  </si>
  <si>
    <t xml:space="preserve">full 114 · pre 82 · post 31 (one-effect-per-cluster, CS rho = 0.6)</t>
  </si>
  <si>
    <t xml:space="preserve">[DEC-031g/F65]; O9/O14</t>
  </si>
  <si>
    <t xml:space="preserve">q_status cells (pinned ex ante)</t>
  </si>
  <si>
    <t xml:space="preserve">0_published = 2,033 / 101 / 100 · 1_not published = 680 / 14 / 14; corpus raw 106/14, usable 103/14 (q_VHB raw 76/30/14, usable 74/29/14)</t>
  </si>
  <si>
    <t xml:space="preserve">[DEC-031g F60-pattern]; O10/O11</t>
  </si>
  <si>
    <t xml:space="preserve">Input contract</t>
  </si>
  <si>
    <t xml:space="preserve">output/dat_prep.rds md5 = 6702ef3dc45fe0b693b13f50ebd1576b (hard assert); pr$n = 2713; seed = 20260710</t>
  </si>
  <si>
    <t xml:space="preserve">R/05_bias.R §1; O8</t>
  </si>
  <si>
    <t xml:space="preserve">Run stamp</t>
  </si>
  <si>
    <t xml:space="preserve">2026-07-19 13:37:05 CEST · R 4.6.1 (Windows 11) · run basis @ 6bf40b1</t>
  </si>
  <si>
    <t xml:space="preserve">output/T5_run_meta.txt</t>
  </si>
  <si>
    <t xml:space="preserve">Verifier</t>
  </si>
  <si>
    <t xml:space="preserve">27/27 PASS, exit 0; anchor row value-located in T1_results.csv: 'A5 || one_effect_per_cluster'; frozen-constant canary 1e-9; independent re-fit 1e-6, df 113</t>
  </si>
  <si>
    <t xml:space="preserve">R/05_verify_outputs.R; CC report 2026-07-19</t>
  </si>
  <si>
    <t xml:space="preserve">Convergence</t>
  </si>
  <si>
    <t xml:space="preserve">7 certificates, all nlminb ladder rung 1/3 (no fallbacks); R6 control fit PASS, max|Δβ| = 5.665e-06</t>
  </si>
  <si>
    <t xml:space="preserve">run_meta [DEC-031f]</t>
  </si>
  <si>
    <t xml:space="preserve">Direction pins</t>
  </si>
  <si>
    <t xml:space="preserve">selmodel alternative = "less" ≡ puni_star side = "left" (selection favors significant negative effects)</t>
  </si>
  <si>
    <t xml:space="preserve">[DEC-031g P-T5-2]; O16</t>
  </si>
  <si>
    <t xml:space="preserve">Known warnings</t>
  </si>
  <si>
    <t xml:space="preserve">clubSandwich deprecation of impute_covariance_matrix() (→ vcalc()): identical committed T8/T1 spine call, metafor-certified fits; migration = on-demand register candidate, no action in T5</t>
  </si>
  <si>
    <t xml:space="preserve">CC transcript</t>
  </si>
  <si>
    <t xml:space="preserve">Absences (asserted)</t>
  </si>
  <si>
    <t xml:space="preserve">no D3/RoBMA rows (→ H2) · no bp rows [P-T5-5] · no trim-and-fill [DEC-031a.4] · no not_estimable rows this run</t>
  </si>
  <si>
    <t xml:space="preserve">O25/O20</t>
  </si>
  <si>
    <t xml:space="preserve">D1 — FAT-PET-PEESE on the full estimation set (2,713 ES / 115 studies / 114 clusters)</t>
  </si>
  <si>
    <t xml:space="preserve">Spine + mods ~sez (PET/FAT) and ~I(sez^2) (PEESE); CR2/Satterthwaite; ladder-certified (nlminb, rung 1).</t>
  </si>
  <si>
    <t xml:space="preserve">Rule [P-T5-1]: PET intercept p &lt; .05 → PEESE carries the corrected-estimate claim; both reported.</t>
  </si>
  <si>
    <t xml:space="preserve">Term</t>
  </si>
  <si>
    <t xml:space="preserve">k (ES/St/Cl)</t>
  </si>
  <si>
    <t xml:space="preserve">est_z</t>
  </si>
  <si>
    <t xml:space="preserve">ci_lb_z</t>
  </si>
  <si>
    <t xml:space="preserve">ci_ub_z</t>
  </si>
  <si>
    <t xml:space="preserve">est_r</t>
  </si>
  <si>
    <t xml:space="preserve">ci_lb_r</t>
  </si>
  <si>
    <t xml:space="preserve">ci_ub_r</t>
  </si>
  <si>
    <t xml:space="preserve">df</t>
  </si>
  <si>
    <t xml:space="preserve">p</t>
  </si>
  <si>
    <t xml:space="preserve">PET intercept (corrected mean)</t>
  </si>
  <si>
    <t xml:space="preserve">FAT slope (sez)</t>
  </si>
  <si>
    <t xml:space="preserve">z-only</t>
  </si>
  <si>
    <t xml:space="preserve">PEESE intercept (corrected mean)</t>
  </si>
  <si>
    <t xml:space="preserve">PEESE slope (sez^2)</t>
  </si>
  <si>
    <t xml:space="preserve">Rule flag (1 = PEESE claim-carrying)</t>
  </si>
  <si>
    <t xml:space="preserve">Interpretation</t>
  </si>
  <si>
    <t xml:space="preserve">Mechanical read: the PET intercept is significant at the pre-registered two-sided .05 (CR2/Satterthwaite), so the alignment rule selects PEESE as the claim-carrying corrected estimate; PET remains reported side by side [DEC-010]. The FAT slope is negative with p at the .05 boundary — small-study asymmetry evidence sits exactly at the conventional threshold (see Q&amp;A).</t>
  </si>
  <si>
    <t xml:space="preserve">Corrected estimates (PET, PEESE) are smaller in magnitude than the unadjusted pooled mean (T1 headline r = −0,059; D2 tab, unadjusted aggregate −0,062) and retain the negative sign. Assessment against the SESOI band follows the resolved gate [DEC-044/DEC-047].</t>
  </si>
  <si>
    <t xml:space="preserve">Question</t>
  </si>
  <si>
    <t xml:space="preserve">Answer</t>
  </si>
  <si>
    <t xml:space="preserve">The FAT p-value is exactly 0.050 — is asymmetry 'significant'?</t>
  </si>
  <si>
    <t xml:space="preserve">The two-sided CR2/Satterthwaite p rounds to 0.0500 with the CI upper bound at +0.0001; the test sits on the boundary. No dichotomous claim is made; the corrected estimates (PET/PEESE) are the operative quantities [DEC-010], and the selection-model evidence (D2: LRT p = .025) is read jointly in D6.</t>
  </si>
  <si>
    <t xml:space="preserve">Why is PEESE claim-carrying if FAT is only borderline?</t>
  </si>
  <si>
    <t xml:space="preserve">The pre-registered rule conditions on the PET intercept (p = .011), not on FAT [DEC-010; P-T5-1]. The rule is mechanical and identical in every subgroup; no post hoc selection.</t>
  </si>
  <si>
    <t xml:space="preserve">The PEESE sez^2 slope has df = 6.4 — inference concern?</t>
  </si>
  <si>
    <t xml:space="preserve">The realized Satterthwaite df on the quadratic term is small and disclosed; the claim cell is the PEESE intercept (df = 109.9). Slope rows are diagnostic, not claim-carrying.</t>
  </si>
  <si>
    <t xml:space="preserve">D2 — Selection models on one-effect-per-cluster aggregates (k = 114 from 2,713 ES)</t>
  </si>
  <si>
    <t xml:space="preserve">Base rma(ML) → 3PSM (stepfun, steps .025, alternative "less") · p-uniform* (side "left", ML) · T1/A5 anchor (REML, KnHa).</t>
  </si>
  <si>
    <t xml:space="preserve">Aggregation: metafor aggregate.escalc, struct "CS", rho 0.6 [DEC-031g/F63/F65].</t>
  </si>
  <si>
    <t xml:space="preserve">Unadjusted RE/ML mean (base model)</t>
  </si>
  <si>
    <t xml:space="preserve">3PSM adjusted mean</t>
  </si>
  <si>
    <t xml:space="preserve">p-uniform* adjusted mean</t>
  </si>
  <si>
    <t xml:space="preserve">T1/A5 anchor (REML, KnHa)</t>
  </si>
  <si>
    <t xml:space="preserve">Scalar</t>
  </si>
  <si>
    <t xml:space="preserve">Note</t>
  </si>
  <si>
    <t xml:space="preserve">tau2 unadjusted</t>
  </si>
  <si>
    <t xml:space="preserve">tau2 3PSM</t>
  </si>
  <si>
    <t xml:space="preserve">delta (3PSM)</t>
  </si>
  <si>
    <t xml:space="preserve">tau2 p-uniform*</t>
  </si>
  <si>
    <t xml:space="preserve">LRT delta = 1 (3PSM)</t>
  </si>
  <si>
    <t xml:space="preserve">Both selection models shift the adjusted mean from the unadjusted −0,062 to approximately +0,01 (z scale) with confidence intervals spanning zero; the two mechanisms agree to the third decimal. The 3PSM weight delta = 0,49 with LRT p = ,025 indicates selection against nonsignificant results in the aggregate corpus. tau2 is essentially unchanged across models (~0,067–0,069).</t>
  </si>
  <si>
    <t xml:space="preserve">The anchor row replicates the committed T1/A5 one-per-cluster estimate (df = 113) — verifier O13–O15 confirm identity at 1e-6 against the frozen full-precision constants. Cross-method assessment: D6 / TB-35, per the resolved gate [DEC-044/DEC-047].</t>
  </si>
  <si>
    <t xml:space="preserve">Why z-tests (no df) on the selection-model rows?</t>
  </si>
  <si>
    <t xml:space="preserve">selmodel and puni_star inference is Wald-z / likelihood-based at the aggregate level; cluster-robust df do not apply. The df column is intentionally empty [schema convention].</t>
  </si>
  <si>
    <t xml:space="preserve">3PSM and p-uniform* nearly coincide — expected?</t>
  </si>
  <si>
    <t xml:space="preserve">Both model one-sided selection at the .025 cutpoint in the pinned direction; concordance under a common mechanism is informative but not guaranteed. It is reported as a robustness observation, not pooled.</t>
  </si>
  <si>
    <t xml:space="preserve">Do the regression-based (D1) and selection-based (D2) corrections disagree?</t>
  </si>
  <si>
    <t xml:space="preserve">PET/PEESE retain a small negative corrected mean; 3PSM/p-uniform* move to ~0 with wide CIs. Method divergence of this kind is documented in Carter et al. (2019); the joint reading is staged in D6 and finalized in TB-35 per the resolved gate [DEC-044/DEC-047].</t>
  </si>
  <si>
    <t xml:space="preserve">D4 — Pre/post-Paris publication-bias split (period domain 2,705; pre 1,994/83/82 · post 711/31/31)</t>
  </si>
  <si>
    <t xml:space="preserve">FAT-PET-PEESE per period (spine, ladder-certified) + selection models per period (upgrade FIRED [DEC-031a.5]: post cell 31 ≥ 20 studies).</t>
  </si>
  <si>
    <t xml:space="preserve">Identical rule and direction pins in both cells [P-T5-1/2]; appendix panel per plan §8.</t>
  </si>
  <si>
    <t xml:space="preserve">Pre-Paris cell (subset defined_pre)</t>
  </si>
  <si>
    <t xml:space="preserve">PET intercept (pre)</t>
  </si>
  <si>
    <t xml:space="preserve">FAT slope (pre)</t>
  </si>
  <si>
    <t xml:space="preserve">PEESE intercept (pre)</t>
  </si>
  <si>
    <t xml:space="preserve">PEESE slope sez^2 (pre)</t>
  </si>
  <si>
    <t xml:space="preserve">Unadjusted RE/ML mean (pre agg, k=82)</t>
  </si>
  <si>
    <t xml:space="preserve">3PSM adjusted mean (pre)</t>
  </si>
  <si>
    <t xml:space="preserve">p-uniform* adjusted mean (pre)</t>
  </si>
  <si>
    <t xml:space="preserve">Post-Paris cell (subset defined_post)</t>
  </si>
  <si>
    <t xml:space="preserve">PET intercept (post)</t>
  </si>
  <si>
    <t xml:space="preserve">FAT slope (post)</t>
  </si>
  <si>
    <t xml:space="preserve">PEESE intercept (post)</t>
  </si>
  <si>
    <t xml:space="preserve">PEESE slope sez^2 (post)</t>
  </si>
  <si>
    <t xml:space="preserve">Unadjusted RE/ML mean (post agg, k=31)</t>
  </si>
  <si>
    <t xml:space="preserve">3PSM adjusted mean (post)</t>
  </si>
  <si>
    <t xml:space="preserve">p-uniform* adjusted mean (post)</t>
  </si>
  <si>
    <t xml:space="preserve">Scalar (per period)</t>
  </si>
  <si>
    <t xml:space="preserve">pre</t>
  </si>
  <si>
    <t xml:space="preserve">post</t>
  </si>
  <si>
    <t xml:space="preserve">LRT p (3PSM)</t>
  </si>
  <si>
    <t xml:space="preserve">Rule flag (1 = PEESE)</t>
  </si>
  <si>
    <t xml:space="preserve">The rule selects PEESE in both cells (PET p = ,0497 pre · ,0098 post). FAT: no significant asymmetry pre (p = ,162); pronounced negative asymmetry post (slope −1,24, p = ,0047). Selection models attenuate toward zero in both periods (pre −0,022, post −0,006), with the 3PSM LRT nonsignificant pre (p = ,309) and marginal post (p = ,080). Realized df on the post sez^2 slope is 2,0 — disclosed; slope rows are diagnostic only.</t>
  </si>
  <si>
    <t xml:space="preserve">Pre-cell PET p = 0.0497 — knife-edge rule firing?</t>
  </si>
  <si>
    <t xml:space="preserve">Yes, and disclosed: the rule fires by 0.0003. Both PET and PEESE are reported either way [P-T5-1]; the knife-edge is flagged for the D6 joint reading rather than resolved by relabeling.</t>
  </si>
  <si>
    <t xml:space="preserve">Post cell has only 31 studies / 31 clusters — are selection models admissible?</t>
  </si>
  <si>
    <t xml:space="preserve">The pre-registered upgrade fired at the ≥ 20-study threshold [DEC-031a.5]; k = 31 aggregates meets the van Aert &amp; van Assen minimum. Wide CIs are expected and shown.</t>
  </si>
  <si>
    <t xml:space="preserve">Can pre/post bias parameters be compared inferentially?</t>
  </si>
  <si>
    <t xml:space="preserve">No formal pre-vs-post test of bias parameters is pre-registered; the split is an appendix disclosure panel [plan §8]. Differences are described, not tested.</t>
  </si>
  <si>
    <t xml:space="preserve">D5 — Grey-literature panel (q_status), full estimation set 2,713 / 115 / 114</t>
  </si>
  <si>
    <t xml:space="preserve">Spine cell-means zi ~ 0 + q_status; CR2/Satterthwaite; contrast (−1, +1); between-group Wald HTZ.</t>
  </si>
  <si>
    <t xml:space="preserve">Cells pinned ex ante [DEC-031g F60-pattern]: 0_published = 2,033/101/100 · 1_not published = 680/14/14 (≥ 3 clusters → full inference).</t>
  </si>
  <si>
    <t xml:space="preserve">Cell mean: published</t>
  </si>
  <si>
    <t xml:space="preserve">Cell mean: not published (WP/grey)</t>
  </si>
  <si>
    <t xml:space="preserve">Contrast NP − P (z-only)</t>
  </si>
  <si>
    <t xml:space="preserve">Wald between groups (HTZ)</t>
  </si>
  <si>
    <t xml:space="preserve">Published and not-published cells are nearly identical (−0,059 vs −0,057, z scale); the contrast is +0,0025 with a CI of [−0,054; +0,059] and p = ,928 — a precise null on the direct selection check, with full inference (Satterthwaite df = 17,1). This panel complements the model-based corrections: within the retrieved corpus, publication status does not stratify effect size.</t>
  </si>
  <si>
    <t xml:space="preserve">Scope note: the panel conditions on retrieval — it speaks to published-vs-grey differences inside the corpus, not to unretrieved studies; the model-based estimators (D1/D2) address the latter. Joint reading: D6 / TB-35, per the resolved gate [DEC-044/DEC-047].</t>
  </si>
  <si>
    <t xml:space="preserve">Only 14 not-published studies — is the null informative?</t>
  </si>
  <si>
    <t xml:space="preserve">The CI [−0,054; +0,059] is the informativeness statement: it excludes |Δz| beyond ~0,06, inside the secondary SESOI band edge (0,05) on one side. The cell exceeds the 3-cluster inference floor [DEC-031g]; df = 17,1 supports full inference.</t>
  </si>
  <si>
    <t xml:space="preserve">Does a null grey-literature contrast contradict the 3PSM selection signal (LRT p = .025)?</t>
  </si>
  <si>
    <t xml:space="preserve">Not mechanically: D5 compares retrieved published vs retrieved grey; 3PSM models selection relative to the significance threshold irrespective of outlet. Both facts enter the D6 triangulation.</t>
  </si>
  <si>
    <t xml:space="preserve">D6 — Triangulation across bias methods — STATUS: FINAL (post-gate sync 2026-07-29)</t>
  </si>
  <si>
    <t xml:space="preserve">Fed the A-vs-C framing decision → resolved A [DEC-044]; finalized after TH-b delivered the RoBMA line; end version references DEC-047 [DEC-031g].</t>
  </si>
  <si>
    <t xml:space="preserve">Mechanical convergence table; no claim-carrying language in this tab.</t>
  </si>
  <si>
    <t xml:space="preserve">FINAL — RoBMA row cited from TH-b/H2a (single home); wording per the resolved gate [DEC-044/DEC-047]</t>
  </si>
  <si>
    <t xml:space="preserve">Method</t>
  </si>
  <si>
    <t xml:space="preserve">Status / note</t>
  </si>
  <si>
    <t xml:space="preserve">Unadjusted 3L-RVE headline (T1, r-scale −0,059)</t>
  </si>
  <si>
    <t xml:space="preserve">reference [T1 @ ce5d80b]</t>
  </si>
  <si>
    <t xml:space="preserve">Unadjusted RE/ML on aggregates</t>
  </si>
  <si>
    <t xml:space="preserve">base model</t>
  </si>
  <si>
    <t xml:space="preserve">PET (regression-corrected)</t>
  </si>
  <si>
    <t xml:space="preserve">rule: not claim-carrying (PEESE selected)</t>
  </si>
  <si>
    <t xml:space="preserve">PEESE (regression-corrected)</t>
  </si>
  <si>
    <t xml:space="preserve">claim-carrying per rule [P-T5-1]</t>
  </si>
  <si>
    <t xml:space="preserve">3PSM (selection-adjusted)</t>
  </si>
  <si>
    <t xml:space="preserve">delta = 0,49; LRT p = ,025</t>
  </si>
  <si>
    <t xml:space="preserve">p-uniform* (selection-adjusted)</t>
  </si>
  <si>
    <t xml:space="preserve">concordant with 3PSM</t>
  </si>
  <si>
    <t xml:space="preserve">Grey-literature contrast (NP − P)</t>
  </si>
  <si>
    <t xml:space="preserve">direct check: precise null</t>
  </si>
  <si>
    <t xml:space="preserve">RoBMA (Bayesian model averaging)</t>
  </si>
  <si>
    <t xml:space="preserve">per TH-b/H2a [single home; DEC-047]: model-averaged mean spike-bounded between −0.009 and +0.008 (95% CIs); BF01(effect) = 7.03 / 2.38 / 1.69; bias-block BF10 = 94.7 / 11.1 / 16.8; priors per DEC-031b</t>
  </si>
  <si>
    <t xml:space="preserve">Synthesis (mechanical; final per DEC-047)</t>
  </si>
  <si>
    <t xml:space="preserve">Regression-based corrections (PET/PEESE) retain a small negative mean (−0,04 to −0,06 z); selection-model corrections (3PSM, p-uniform*) move to ~0 with CIs spanning zero; the direct grey-literature check is a precise null; the 3PSM LRT indicates selection against nonsignificant results. All corrected point estimates lie inside the primary SESOI band (|r| = 0,070). RoBMA (cited from TH-b/H2a) brackets the model-averaged mean between −0.009 and +0.008 with strong selection-component inclusion — a prior-sensitivity complement, not a null verdict. The joint characterization is TB-35, per the resolved gate [DEC-044/DEC-047].</t>
  </si>
  <si>
    <t xml:space="preserve">VERDICT — Mechanical outcome: corrected estimates split by estimator family (regression −0.04 to −0.06 z vs selection ≈ 0), all inside the primary SESOI band (|r| = 0.070); RoBMA complements without a null verdict; wording per the resolved gate [DEC-044/DEC-047].</t>
  </si>
  <si>
    <t xml:space="preserve">analysis_id</t>
  </si>
  <si>
    <t xml:space="preserve">spec</t>
  </si>
  <si>
    <t xml:space="preserve">subset</t>
  </si>
  <si>
    <t xml:space="preserve">term</t>
  </si>
  <si>
    <t xml:space="preserve">metric</t>
  </si>
  <si>
    <t xml:space="preserve">estimator</t>
  </si>
  <si>
    <t xml:space="preserve">rho</t>
  </si>
  <si>
    <t xml:space="preserve">k_es</t>
  </si>
  <si>
    <t xml:space="preserve">k_study</t>
  </si>
  <si>
    <t xml:space="preserve">k_cluster</t>
  </si>
  <si>
    <t xml:space="preserve">se_z</t>
  </si>
  <si>
    <t xml:space="preserve">t_stat</t>
  </si>
  <si>
    <t xml:space="preserve">pi_lb_z</t>
  </si>
  <si>
    <t xml:space="preserve">pi_ub_z</t>
  </si>
  <si>
    <t xml:space="preserve">pi_lb_r</t>
  </si>
  <si>
    <t xml:space="preserve">pi_ub_r</t>
  </si>
  <si>
    <t xml:space="preserve">sigma2_cluster</t>
  </si>
  <si>
    <t xml:space="preserve">sigma2_study</t>
  </si>
  <si>
    <t xml:space="preserve">sigma2_esid</t>
  </si>
  <si>
    <t xml:space="preserve">pct_cluster</t>
  </si>
  <si>
    <t xml:space="preserve">pct_study</t>
  </si>
  <si>
    <t xml:space="preserve">pct_esid</t>
  </si>
  <si>
    <t xml:space="preserve">pct_sampling</t>
  </si>
  <si>
    <t xml:space="preserve">typical_v</t>
  </si>
  <si>
    <t xml:space="preserve">value</t>
  </si>
  <si>
    <t xml:space="preserve">ms_input</t>
  </si>
  <si>
    <t xml:space="preserve">ms_label</t>
  </si>
  <si>
    <t xml:space="preserve">note</t>
  </si>
  <si>
    <t xml:space="preserve">D1</t>
  </si>
  <si>
    <t xml:space="preserve">pet</t>
  </si>
  <si>
    <t xml:space="preserve">full</t>
  </si>
  <si>
    <t xml:space="preserve">intercept</t>
  </si>
  <si>
    <t xml:space="preserve">Fisher_z</t>
  </si>
  <si>
    <t xml:space="preserve">3LMA-RVE_CR2</t>
  </si>
  <si>
    <t xml:space="preserve">pet_full</t>
  </si>
  <si>
    <t xml:space="preserve">rma.mv mods=~ sez (sez = sqrt(vi), in-script [P-T5-2]); random ~1|cluster_id/study/esid; V blocks within cluster_id, rho=0.6; CR2/Satterthwaite on cluster_id [D31.1/A.2]; domain 2,713/115/114 [DEC-042a]; intercept = PET estimate of the selection-adjusted mean, slope = FAT (Egger-type small-study test) [DEC-010; plan Section 8.1]</t>
  </si>
  <si>
    <t xml:space="preserve">sez</t>
  </si>
  <si>
    <t xml:space="preserve">fat_full</t>
  </si>
  <si>
    <t xml:space="preserve">peese</t>
  </si>
  <si>
    <t xml:space="preserve">peese_full</t>
  </si>
  <si>
    <t xml:space="preserve">rma.mv mods=~ I(sez^2) (== vi [P-T5-2]); random ~1|cluster_id/study/esid; V blocks within cluster_id, rho=0.6; CR2/Satterthwaite on cluster_id [D31.1/A.2]; domain 2,713/115/114 [DEC-042a]; intercept = PEESE estimate; computed and reported unconditionally, side by side [DEC-010; P-T5-1]</t>
  </si>
  <si>
    <t xml:space="preserve">sez_sq</t>
  </si>
  <si>
    <t xml:space="preserve">rule</t>
  </si>
  <si>
    <t xml:space="preserve">pet_peese_rule</t>
  </si>
  <si>
    <t xml:space="preserve">flag</t>
  </si>
  <si>
    <t xml:space="preserve">pet_peese_rule_full</t>
  </si>
  <si>
    <t xml:space="preserve">conditional PET-&gt;PEESE alignment [DEC-010; DEC-031g P-T5-1]: value 1 = PEESE carries the corrected-estimate claim (PET intercept p = 0.010620 &lt; 0.05, two-sided, CR2/Satterthwaite), value 0 = PET carries it; both models reported side by side regardless; identical rule in every subgroup</t>
  </si>
  <si>
    <t xml:space="preserve">D4</t>
  </si>
  <si>
    <t xml:space="preserve">pet_pre</t>
  </si>
  <si>
    <t xml:space="preserve">defined_pre</t>
  </si>
  <si>
    <t xml:space="preserve">rma.mv mods=~ sez (sez = sqrt(vi), in-script [P-T5-2]); random ~1|cluster_id/study/esid; V blocks within cluster_id, rho=0.6; CR2/Satterthwaite on cluster_id [D31.1/A.2]; domain pre cell 1,994/83/82 [DEC-042b]; intercept = PET estimate of the selection-adjusted mean, slope = FAT (Egger-type small-study test) [DEC-010; plan Section 8.1]</t>
  </si>
  <si>
    <t xml:space="preserve">peese_pre</t>
  </si>
  <si>
    <t xml:space="preserve">rma.mv mods=~ I(sez^2) (== vi [P-T5-2]); random ~1|cluster_id/study/esid; V blocks within cluster_id, rho=0.6; CR2/Satterthwaite on cluster_id [D31.1/A.2]; domain pre cell 1,994/83/82 [DEC-042b]; intercept = PEESE estimate; computed and reported unconditionally, side by side [DEC-010; P-T5-1]</t>
  </si>
  <si>
    <t xml:space="preserve">rule_pre</t>
  </si>
  <si>
    <t xml:space="preserve">conditional PET-&gt;PEESE alignment [DEC-010; DEC-031g P-T5-1]: value 1 = PEESE carries the corrected-estimate claim (PET intercept p = 0.049729 &lt; 0.05, two-sided, CR2/Satterthwaite), value 0 = PET carries it; both models reported side by side regardless; identical rule in every subgroup</t>
  </si>
  <si>
    <t xml:space="preserve">pet_post</t>
  </si>
  <si>
    <t xml:space="preserve">defined_post</t>
  </si>
  <si>
    <t xml:space="preserve">rma.mv mods=~ sez (sez = sqrt(vi), in-script [P-T5-2]); random ~1|cluster_id/study/esid; V blocks within cluster_id, rho=0.6; CR2/Satterthwaite on cluster_id [D31.1/A.2]; domain post cell 711/31/31 [DEC-042b]; intercept = PET estimate of the selection-adjusted mean, slope = FAT (Egger-type small-study test) [DEC-010; plan Section 8.1]</t>
  </si>
  <si>
    <t xml:space="preserve">peese_post</t>
  </si>
  <si>
    <t xml:space="preserve">rma.mv mods=~ I(sez^2) (== vi [P-T5-2]); random ~1|cluster_id/study/esid; V blocks within cluster_id, rho=0.6; CR2/Satterthwaite on cluster_id [D31.1/A.2]; domain post cell 711/31/31 [DEC-042b]; intercept = PEESE estimate; computed and reported unconditionally, side by side [DEC-010; P-T5-1]</t>
  </si>
  <si>
    <t xml:space="preserve">rule_post</t>
  </si>
  <si>
    <t xml:space="preserve">conditional PET-&gt;PEESE alignment [DEC-010; DEC-031g P-T5-1]: value 1 = PEESE carries the corrected-estimate claim (PET intercept p = 0.009835 &lt; 0.05, two-sided, CR2/Satterthwaite), value 0 = PET carries it; both models reported side by side regardless; identical rule in every subgroup</t>
  </si>
  <si>
    <t xml:space="preserve">D2</t>
  </si>
  <si>
    <t xml:space="preserve">selection_full</t>
  </si>
  <si>
    <t xml:space="preserve">mu_unadjusted_ML</t>
  </si>
  <si>
    <t xml:space="preserve">RE_ML_cluster_agg</t>
  </si>
  <si>
    <t xml:space="preserve">one-effect-per-cluster aggregates: metafor aggregate.escalc, struct="CS", rho=0.6 (T1/A5 convention [DEC-031g/F65]); domain 2,713/115/114 [DEC-042a]; k = 114 aggregates from 2713 ES; rma.uni method="ML" (selmodel base [DEC-031g/F63]); z-test</t>
  </si>
  <si>
    <t xml:space="preserve">tau2_unadjusted</t>
  </si>
  <si>
    <t xml:space="preserve">tau2</t>
  </si>
  <si>
    <t xml:space="preserve">one-effect-per-cluster aggregates: metafor aggregate.escalc, struct="CS", rho=0.6 (T1/A5 convention [DEC-031g/F65]); domain 2,713/115/114 [DEC-042a]; k = 114 aggregates from 2713 ES; between-aggregate tau2, ML</t>
  </si>
  <si>
    <t xml:space="preserve">mu_3psm</t>
  </si>
  <si>
    <t xml:space="preserve">selmodel_3PSM_ML</t>
  </si>
  <si>
    <t xml:space="preserve">mu_3psm_full</t>
  </si>
  <si>
    <t xml:space="preserve">one-effect-per-cluster aggregates: metafor aggregate.escalc, struct="CS", rho=0.6 (T1/A5 convention [DEC-031g/F65]); domain 2,713/115/114 [DEC-042a]; k = 114 aggregates from 2713 ES; selmodel(type="stepfun", steps=0.025, alternative="less") on the ML base -&gt; 3PSM {mu, tau2, delta} [DEC-016; DEC-031g/F63; P-T5-2: selection favors significant negative effects]</t>
  </si>
  <si>
    <t xml:space="preserve">tau2_3psm</t>
  </si>
  <si>
    <t xml:space="preserve">delta_3psm</t>
  </si>
  <si>
    <t xml:space="preserve">delta</t>
  </si>
  <si>
    <t xml:space="preserve">one-effect-per-cluster aggregates: metafor aggregate.escalc, struct="CS", rho=0.6 (T1/A5 convention [DEC-031g/F65]); domain 2,713/115/114 [DEC-042a]; k = 114 aggregates from 2713 ES; selmodel(type="stepfun", steps=0.025, alternative="less") on the ML base -&gt; 3PSM {mu, tau2, delta} [DEC-016; DEC-031g/F63; P-T5-2: selection favors significant negative effects]; relative publication probability of one-sided p &gt; 0.025 results (reference interval weight = 1)</t>
  </si>
  <si>
    <t xml:space="preserve">lrt_3psm</t>
  </si>
  <si>
    <t xml:space="preserve">LRT_test</t>
  </si>
  <si>
    <t xml:space="preserve">one-effect-per-cluster aggregates: metafor aggregate.escalc, struct="CS", rho=0.6 (T1/A5 convention [DEC-031g/F65]); domain 2,713/115/114 [DEC-042a]; k = 114 aggregates from 2713 ES; selmodel(type="stepfun", steps=0.025, alternative="less") on the ML base -&gt; 3PSM {mu, tau2, delta} [DEC-016; DEC-031g/F63; P-T5-2: selection favors significant negative effects]; LRT of H0: delta = 1 (no selection); chi-square stat in t_stat, df in df</t>
  </si>
  <si>
    <t xml:space="preserve">mu_punistar</t>
  </si>
  <si>
    <t xml:space="preserve">puni_star_ML</t>
  </si>
  <si>
    <t xml:space="preserve">mu_punistar_full</t>
  </si>
  <si>
    <t xml:space="preserve">one-effect-per-cluster aggregates: metafor aggregate.escalc, struct="CS", rho=0.6 (T1/A5 convention [DEC-031g/F65]); domain 2,713/115/114 [DEC-042a]; k = 114 aggregates from 2713 ES; puni_star(side="left", method="ML") [DEC-016; van Aert &amp; van Assen; P-T5-2 direction pin, jointly with selmodel alternative="less"]; test statistic (L.0) in t_stat; SE not part of the p-uniform* output</t>
  </si>
  <si>
    <t xml:space="preserve">tau2_punistar</t>
  </si>
  <si>
    <t xml:space="preserve">one-effect-per-cluster aggregates: metafor aggregate.escalc, struct="CS", rho=0.6 (T1/A5 convention [DEC-031g/F65]); domain 2,713/115/114 [DEC-042a]; k = 114 aggregates from 2713 ES; puni_star(side="left", method="ML") [DEC-016; van Aert &amp; van Assen; P-T5-2 direction pin, jointly with selmodel alternative="less"]</t>
  </si>
  <si>
    <t xml:space="preserve">mu_anchor_reml_knha</t>
  </si>
  <si>
    <t xml:space="preserve">RE_REML_knha_cluster_agg</t>
  </si>
  <si>
    <t xml:space="preserve">one-effect-per-cluster aggregates: metafor aggregate.escalc, struct="CS", rho=0.6 (T1/A5 convention [DEC-031g/F65]); domain 2,713/115/114 [DEC-042a]; k = 114 aggregates from 2713 ES; rma.uni method="REML", test="knha" == T1/A5 one-per-cluster identity anchor [DEC-031g/F65]; verifier re-fits independently and checks against committed output/T1_results.csv</t>
  </si>
  <si>
    <t xml:space="preserve">selection_pre</t>
  </si>
  <si>
    <t xml:space="preserve">one-effect-per-cluster aggregates: metafor aggregate.escalc, struct="CS", rho=0.6 (T1/A5 convention [DEC-031g/F65]); domain pre cell 1,994/83/82 [DEC-042b]; k = 82 aggregates from 1994 ES; rma.uni method="ML" (selmodel base [DEC-031g/F63]); z-test</t>
  </si>
  <si>
    <t xml:space="preserve">one-effect-per-cluster aggregates: metafor aggregate.escalc, struct="CS", rho=0.6 (T1/A5 convention [DEC-031g/F65]); domain pre cell 1,994/83/82 [DEC-042b]; k = 82 aggregates from 1994 ES; between-aggregate tau2, ML</t>
  </si>
  <si>
    <t xml:space="preserve">one-effect-per-cluster aggregates: metafor aggregate.escalc, struct="CS", rho=0.6 (T1/A5 convention [DEC-031g/F65]); domain pre cell 1,994/83/82 [DEC-042b]; k = 82 aggregates from 1994 ES; selmodel(type="stepfun", steps=0.025, alternative="less") on the ML base -&gt; 3PSM {mu, tau2, delta} [DEC-016; DEC-031g/F63; P-T5-2: selection favors significant negative effects]</t>
  </si>
  <si>
    <t xml:space="preserve">one-effect-per-cluster aggregates: metafor aggregate.escalc, struct="CS", rho=0.6 (T1/A5 convention [DEC-031g/F65]); domain pre cell 1,994/83/82 [DEC-042b]; k = 82 aggregates from 1994 ES; selmodel(type="stepfun", steps=0.025, alternative="less") on the ML base -&gt; 3PSM {mu, tau2, delta} [DEC-016; DEC-031g/F63; P-T5-2: selection favors significant negative effects]; relative publication probability of one-sided p &gt; 0.025 results (reference interval weight = 1)</t>
  </si>
  <si>
    <t xml:space="preserve">one-effect-per-cluster aggregates: metafor aggregate.escalc, struct="CS", rho=0.6 (T1/A5 convention [DEC-031g/F65]); domain pre cell 1,994/83/82 [DEC-042b]; k = 82 aggregates from 1994 ES; selmodel(type="stepfun", steps=0.025, alternative="less") on the ML base -&gt; 3PSM {mu, tau2, delta} [DEC-016; DEC-031g/F63; P-T5-2: selection favors significant negative effects]; LRT of H0: delta = 1 (no selection); chi-square stat in t_stat, df in df</t>
  </si>
  <si>
    <t xml:space="preserve">one-effect-per-cluster aggregates: metafor aggregate.escalc, struct="CS", rho=0.6 (T1/A5 convention [DEC-031g/F65]); domain pre cell 1,994/83/82 [DEC-042b]; k = 82 aggregates from 1994 ES; puni_star(side="left", method="ML") [DEC-016; van Aert &amp; van Assen; P-T5-2 direction pin, jointly with selmodel alternative="less"]; test statistic (L.0) in t_stat; SE not part of the p-uniform* output</t>
  </si>
  <si>
    <t xml:space="preserve">one-effect-per-cluster aggregates: metafor aggregate.escalc, struct="CS", rho=0.6 (T1/A5 convention [DEC-031g/F65]); domain pre cell 1,994/83/82 [DEC-042b]; k = 82 aggregates from 1994 ES; puni_star(side="left", method="ML") [DEC-016; van Aert &amp; van Assen; P-T5-2 direction pin, jointly with selmodel alternative="less"]</t>
  </si>
  <si>
    <t xml:space="preserve">selection_post</t>
  </si>
  <si>
    <t xml:space="preserve">one-effect-per-cluster aggregates: metafor aggregate.escalc, struct="CS", rho=0.6 (T1/A5 convention [DEC-031g/F65]); domain post cell 711/31/31 [DEC-042b; upgrade FIRED per DEC-031a.5: post cell 31 &gt;= 20 studies]; k = 31 aggregates from 711 ES; rma.uni method="ML" (selmodel base [DEC-031g/F63]); z-test</t>
  </si>
  <si>
    <t xml:space="preserve">one-effect-per-cluster aggregates: metafor aggregate.escalc, struct="CS", rho=0.6 (T1/A5 convention [DEC-031g/F65]); domain post cell 711/31/31 [DEC-042b; upgrade FIRED per DEC-031a.5: post cell 31 &gt;= 20 studies]; k = 31 aggregates from 711 ES; between-aggregate tau2, ML</t>
  </si>
  <si>
    <t xml:space="preserve">one-effect-per-cluster aggregates: metafor aggregate.escalc, struct="CS", rho=0.6 (T1/A5 convention [DEC-031g/F65]); domain post cell 711/31/31 [DEC-042b; upgrade FIRED per DEC-031a.5: post cell 31 &gt;= 20 studies]; k = 31 aggregates from 711 ES; selmodel(type="stepfun", steps=0.025, alternative="less") on the ML base -&gt; 3PSM {mu, tau2, delta} [DEC-016; DEC-031g/F63; P-T5-2: selection favors significant negative effects]</t>
  </si>
  <si>
    <t xml:space="preserve">one-effect-per-cluster aggregates: metafor aggregate.escalc, struct="CS", rho=0.6 (T1/A5 convention [DEC-031g/F65]); domain post cell 711/31/31 [DEC-042b; upgrade FIRED per DEC-031a.5: post cell 31 &gt;= 20 studies]; k = 31 aggregates from 711 ES; selmodel(type="stepfun", steps=0.025, alternative="less") on the ML base -&gt; 3PSM {mu, tau2, delta} [DEC-016; DEC-031g/F63; P-T5-2: selection favors significant negative effects]; relative publication probability of one-sided p &gt; 0.025 results (reference interval weight = 1)</t>
  </si>
  <si>
    <t xml:space="preserve">one-effect-per-cluster aggregates: metafor aggregate.escalc, struct="CS", rho=0.6 (T1/A5 convention [DEC-031g/F65]); domain post cell 711/31/31 [DEC-042b; upgrade FIRED per DEC-031a.5: post cell 31 &gt;= 20 studies]; k = 31 aggregates from 711 ES; selmodel(type="stepfun", steps=0.025, alternative="less") on the ML base -&gt; 3PSM {mu, tau2, delta} [DEC-016; DEC-031g/F63; P-T5-2: selection favors significant negative effects]; LRT of H0: delta = 1 (no selection); chi-square stat in t_stat, df in df</t>
  </si>
  <si>
    <t xml:space="preserve">one-effect-per-cluster aggregates: metafor aggregate.escalc, struct="CS", rho=0.6 (T1/A5 convention [DEC-031g/F65]); domain post cell 711/31/31 [DEC-042b; upgrade FIRED per DEC-031a.5: post cell 31 &gt;= 20 studies]; k = 31 aggregates from 711 ES; puni_star(side="left", method="ML") [DEC-016; van Aert &amp; van Assen; P-T5-2 direction pin, jointly with selmodel alternative="less"]; test statistic (L.0) in t_stat; SE not part of the p-uniform* output</t>
  </si>
  <si>
    <t xml:space="preserve">one-effect-per-cluster aggregates: metafor aggregate.escalc, struct="CS", rho=0.6 (T1/A5 convention [DEC-031g/F65]); domain post cell 711/31/31 [DEC-042b; upgrade FIRED per DEC-031a.5: post cell 31 &gt;= 20 studies]; k = 31 aggregates from 711 ES; puni_star(side="left", method="ML") [DEC-016; van Aert &amp; van Assen; P-T5-2 direction pin, jointly with selmodel alternative="less"]</t>
  </si>
  <si>
    <t xml:space="preserve">D5</t>
  </si>
  <si>
    <t xml:space="preserve">grey_panel</t>
  </si>
  <si>
    <t xml:space="preserve">cell_published</t>
  </si>
  <si>
    <t xml:space="preserve">rma.mv mods=~ 0 + qs (cell-means [DEC-031f R1]; q_status); random ~1|cluster_id/study/esid; V blocks within cluster_id, rho=0.6; CR2/Satterthwaite on cluster_id [D31.1/A.2]; domain 2,713/115/114 [DEC-042a]; grey-literature selection panel, main-effects only [DEC-031a.1; DEC-031g Q2]; Paris-interaction variant in the on-demand register; cell inventory pinned ex ante (F60 pattern [DEC-031g]); published cell; pinned: 2033 ES / 101 studies / 100 clusters [DEC-031g]</t>
  </si>
  <si>
    <t xml:space="preserve">cell_not_published</t>
  </si>
  <si>
    <t xml:space="preserve">rma.mv mods=~ 0 + qs (cell-means [DEC-031f R1]; q_status); random ~1|cluster_id/study/esid; V blocks within cluster_id, rho=0.6; CR2/Satterthwaite on cluster_id [D31.1/A.2]; domain 2,713/115/114 [DEC-042a]; grey-literature selection panel, main-effects only [DEC-031a.1; DEC-031g Q2]; Paris-interaction variant in the on-demand register; cell inventory pinned ex ante (F60 pattern [DEC-031g]); not-published (WP/grey) cell; pinned: 680 ES / 14 studies / 14 clusters [DEC-031g]; &gt;= 3 clusters -&gt; full inference (descriptive-only rule does not fire)</t>
  </si>
  <si>
    <t xml:space="preserve">contrast_np_minus_p</t>
  </si>
  <si>
    <t xml:space="preserve">grey_contrast</t>
  </si>
  <si>
    <t xml:space="preserve">rma.mv mods=~ 0 + qs (cell-means [DEC-031f R1]; q_status); random ~1|cluster_id/study/esid; V blocks within cluster_id, rho=0.6; CR2/Satterthwaite on cluster_id [D31.1/A.2]; domain 2,713/115/114 [DEC-042a]; grey-literature selection panel, main-effects only [DEC-031a.1; DEC-031g Q2]; Paris-interaction variant in the on-demand register; cell inventory pinned ex ante (F60 pattern [DEC-031g]); not-published minus published contrast (-1, +1); difference of Fisher-z means; no tanh transform of differences</t>
  </si>
  <si>
    <t xml:space="preserve">wald_between_groups</t>
  </si>
  <si>
    <t xml:space="preserve">F_test</t>
  </si>
  <si>
    <t xml:space="preserve">rma.mv mods=~ 0 + qs (cell-means [DEC-031f R1]; q_status); random ~1|cluster_id/study/esid; V blocks within cluster_id, rho=0.6; CR2/Satterthwaite on cluster_id [D31.1/A.2]; domain 2,713/115/114 [DEC-042a]; grey-literature selection panel, main-effects only [DEC-031a.1; DEC-031g Q2]; Paris-interaction variant in the on-demand register; cell inventory pinned ex ante (F60 pattern [DEC-031g]); H0: cell means equal; HTZ; num_df = 1</t>
  </si>
  <si>
    <t xml:space="preserve">T5_design</t>
  </si>
  <si>
    <t xml:space="preserve">design</t>
  </si>
  <si>
    <t xml:space="preserve">subset_estimation</t>
  </si>
  <si>
    <t xml:space="preserve">count</t>
  </si>
  <si>
    <t xml:space="preserve">descriptive</t>
  </si>
  <si>
    <t xml:space="preserve">2,713 ES / 115 studies / 114 clusters [DEC-042a]; D1/D2/D5 domain; run date in T5_run_meta.txt</t>
  </si>
  <si>
    <t xml:space="preserve">period_pre</t>
  </si>
  <si>
    <t xml:space="preserve">1,994 ES / 83 studies / 82 clusters (pre cell) [DEC-042b]</t>
  </si>
  <si>
    <t xml:space="preserve">period_post</t>
  </si>
  <si>
    <t xml:space="preserve">711 ES / 31 studies / 31 clusters (post cell) [DEC-042b; v12 design constant]</t>
  </si>
  <si>
    <t xml:space="preserve">period_na</t>
  </si>
  <si>
    <t xml:space="preserve">8 ES / 2 studies without recoverable windows; listwise from period cells only [DEC-042b]</t>
  </si>
  <si>
    <t xml:space="preserve">agg_k_full</t>
  </si>
  <si>
    <t xml:space="preserve">one-effect-per-cluster aggregates: metafor aggregate.escalc, struct="CS", rho=0.6 (T1/A5 convention [DEC-031g/F65]); full estimation set -&gt; 114 aggregates</t>
  </si>
  <si>
    <t xml:space="preserve">agg_k_pre</t>
  </si>
  <si>
    <t xml:space="preserve">one-effect-per-cluster aggregates, pre cell (derived; disclosed, not pinned)</t>
  </si>
  <si>
    <t xml:space="preserve">agg_k_post</t>
  </si>
  <si>
    <t xml:space="preserve">one-effect-per-cluster aggregates, post cell (= 31, pinned via post-cell clusters)</t>
  </si>
  <si>
    <t xml:space="preserve">qs_cell_published</t>
  </si>
  <si>
    <t xml:space="preserve">q_status = "0_published": 2033 ES / 101 studies / 100 clusters [DEC-031g pin; F60 pattern]</t>
  </si>
  <si>
    <t xml:space="preserve">qs_cell_not_published</t>
  </si>
  <si>
    <t xml:space="preserve">q_status = "1_not published": 680 ES / 14 studies / 14 clusters [DEC-031g pin; F60 pattern]; the single multi-study cluster lies inside the published cell</t>
  </si>
  <si>
    <t xml:space="preserve">Manuscript inputs — ms_input = TRUE rows (9), every cell formula-derived from Results_Long</t>
  </si>
  <si>
    <t xml:space="preserve">Paste-ready EN strings; locale-independent arithmetic string construction (no TEXT format codes) — identical output under any Excel/LibreOffice locale.</t>
  </si>
  <si>
    <t xml:space="preserve">p-values: IF(p&lt;0.0001, "&lt; 0.0001", ...) per template.</t>
  </si>
  <si>
    <t xml:space="preserve">Key</t>
  </si>
  <si>
    <t xml:space="preserve">Estimate string (z)</t>
  </si>
  <si>
    <t xml:space="preserve">Estimate string (r)</t>
  </si>
  <si>
    <t xml:space="preserve">p string</t>
  </si>
  <si>
    <t xml:space="preserve">k string</t>
  </si>
  <si>
    <t xml:space="preserve">D1 || pet || intercept</t>
  </si>
  <si>
    <t xml:space="preserve">D1 || pet || sez</t>
  </si>
  <si>
    <t xml:space="preserve">z-only (difference/slope)</t>
  </si>
  <si>
    <t xml:space="preserve">D1 || peese || intercept</t>
  </si>
  <si>
    <t xml:space="preserve">D1 || rule || pet_peese_rule</t>
  </si>
  <si>
    <t xml:space="preserve">D4 || pet_pre || intercept</t>
  </si>
  <si>
    <t xml:space="preserve">D4 || pet_post || intercept</t>
  </si>
  <si>
    <t xml:space="preserve">D2 || selection_full || mu_3psm</t>
  </si>
  <si>
    <t xml:space="preserve">D2 || selection_full || mu_punistar</t>
  </si>
  <si>
    <t xml:space="preserve">D5 || grey_panel || contrast_np_minus_p</t>
  </si>
  <si>
    <t xml:space="preserve">Manuscript text blocks — TB-30..TB-35 (numbering continues from T8 = TB-28; TB-29 was never assigned — documented gap, append-only, no renumbering)</t>
  </si>
  <si>
    <t xml:space="preserve">Numbers HARDCODED from output/T5_results.csv (run 2026-07-19, verifier 27/27, run basis @ 6bf40b1) — regenerate on any re-run; the formula-live layer is Manuscript_Inputs.</t>
  </si>
  <si>
    <t xml:space="preserve">Language per the resolved gate [DEC-044 → DEC-047].</t>
  </si>
  <si>
    <t xml:space="preserve">ID</t>
  </si>
  <si>
    <t xml:space="preserve">Target section</t>
  </si>
  <si>
    <t xml:space="preserve">Status</t>
  </si>
  <si>
    <t xml:space="preserve">Text (EN)</t>
  </si>
  <si>
    <t xml:space="preserve">Source pointers</t>
  </si>
  <si>
    <t xml:space="preserve">TB-30</t>
  </si>
  <si>
    <t xml:space="preserve">Methods — Publication bias</t>
  </si>
  <si>
    <t xml:space="preserve">READY</t>
  </si>
  <si>
    <t xml:space="preserve">We probe publication and small-study bias with a pre-registered battery. On the full estimation set (2,713 effect sizes; 115 studies; 114 clusters) we estimate FAT-PET-PEESE on the three-level RVE spine (CR2 with Satterthwaite degrees of freedom), with the standard error (PET) and its square (PEESE) as precision regressors; following Stanley and Doucouliagos (2013), PEESE supplies the corrected estimate when the PET intercept is significant (two-sided alpha = .05), with both estimates reported throughout. Selection models — a three-parameter selection model (one cutpoint at one-sided p = .025, selection favoring significant negative effects) and p-uniform* — are fitted to one-effect-per-cluster aggregates (compound-symmetry aggregation, rho = .6; k = 114). We repeat both engines within the pre- and post-Paris subsamples and add a direct grey-literature check comparing published and unpublished studies on the spine. Robust Bayesian model averaging (RoBMA) complements these estimators in the Bayesian analyses.</t>
  </si>
  <si>
    <t xml:space="preserve">[DEC-031g; DEC-016; DEC-010; DEC-031a.5; plan §8/A.12]</t>
  </si>
  <si>
    <t xml:space="preserve">Framing-neutral; RoBMA sentence anticipates H2.</t>
  </si>
  <si>
    <t xml:space="preserve">TB-31</t>
  </si>
  <si>
    <t xml:space="preserve">Results — Small-study asymmetry (FAT-PET-PEESE)</t>
  </si>
  <si>
    <t xml:space="preserve">The funnel-asymmetry test on the full set yields a negative slope of −0.642 (p = .0500), sitting exactly at the conventional threshold. The PET intercept is −0.043 [−0.076; −0.010] (z scale; p = .011); per the pre-registered rule, PEESE carries the corrected estimate: −0.055 [−0.084; −0.027] (r = −0.055), somewhat attenuated relative to the unadjusted pooled mean but retaining its sign.</t>
  </si>
  <si>
    <t xml:space="preserve">[6_D1; Manuscript_Inputs pet_full/fat_full/peese_full]</t>
  </si>
  <si>
    <t xml:space="preserve">Numbers hardcoded; regenerate on re-run.</t>
  </si>
  <si>
    <t xml:space="preserve">TB-32</t>
  </si>
  <si>
    <t xml:space="preserve">Results — Selection models</t>
  </si>
  <si>
    <t xml:space="preserve">Selection-model corrections shift the estimate further: the three-parameter selection model yields an adjusted mean of +0.012 [−0.071; +0.094] with a selection weight of delta = 0.49 (likelihood-ratio test against no selection: p = .025), and p-uniform* is nearly identical at +0.012 [−0.069; +0.098]. Between-aggregate heterogeneity is essentially unchanged (tau-squared approximately 0.069).</t>
  </si>
  <si>
    <t xml:space="preserve">[7_D2; Manuscript_Inputs mu_3psm_full/mu_punistar_full]</t>
  </si>
  <si>
    <t xml:space="preserve">Concordance stated mechanically; joint reading in TB-35 per the resolved gate [DEC-047].</t>
  </si>
  <si>
    <t xml:space="preserve">TB-33</t>
  </si>
  <si>
    <t xml:space="preserve">Results — Pre/post-Paris split (Appendix)</t>
  </si>
  <si>
    <t xml:space="preserve">Within periods, the alignment rule again selects PEESE (pre: −0.058 [−0.098; −0.018], PET p = .0497; post: −0.045 [−0.061; −0.028], PET p = .0098). Funnel asymmetry is not significant pre-Paris (p = .162) but pronounced post-Paris (slope −1.24, p = .0047). Selection models attenuate toward zero in both periods (3PSM: −0.022 pre, −0.006 post; LRT p = .309 and .080).</t>
  </si>
  <si>
    <t xml:space="preserve">[8_D4]</t>
  </si>
  <si>
    <t xml:space="preserve">Appendix panel per plan §8; no pre-vs-post inferential test (not pre-registered).</t>
  </si>
  <si>
    <t xml:space="preserve">TB-34</t>
  </si>
  <si>
    <t xml:space="preserve">Results — Grey literature</t>
  </si>
  <si>
    <t xml:space="preserve">A direct comparison of published and unpublished studies on the modeling spine shows virtually identical cell means (−0.059 vs −0.057, z scale); the contrast is +0.002 [−0.054; +0.059] (p = .928; Satterthwaite df = 17.1) — a precise null on the direct selection check within the retrieved corpus.</t>
  </si>
  <si>
    <t xml:space="preserve">[9_D5; Manuscript_Inputs grey_contrast]</t>
  </si>
  <si>
    <t xml:space="preserve">Scope note in tab 9 (conditions on retrieval).</t>
  </si>
  <si>
    <t xml:space="preserve">TB-35</t>
  </si>
  <si>
    <t xml:space="preserve">Discussion — Bias-corrected inference (triangulation)</t>
  </si>
  <si>
    <t xml:space="preserve">The bias battery triangulates rather than converging on a single corrected value, and the divergence is itself informative. Regression-based corrections retain a small negative mean (PET −0.043 [−0.076; −0.010]; PEESE, selected by the pre-registered alignment rule, −0.055 [−0.084; −0.027]), whereas selection-model corrections move to approximately zero with intervals spanning it (3PSM +0.012 [−0.071; +0.094]; p-uniform* +0.012 [−0.069; +0.098]), the likelihood-ratio test registering selection against nonsignificant results (p = .025); the direct grey-literature contrast is a precise null (+0.002 [−0.054; +0.059], p = .928). Robust Bayesian model averaging, which weights these mechanisms rather than choosing among them, brackets the model-averaged mean between −0.009 and +0.008 (spike-bounded 95% credible intervals), with strong inclusion support for the selection component (bias-block BF10 = 94.7 / 11.1 / 16.8) and level Bayes factors that remain prior-dependent (BF01 = 7.03 / 2.38 / 1.69), shown as a prior-sensitivity complement with the mixture mechanics disclosed rather than as a null verdict. Divergence of exactly this pattern between regression- and selection-based estimators is a documented property of the estimator families rather than a defect of the corpus (Carter et al., 2019). The substantive consequence is one-directional: every corrected point estimate lies inside the primary SESOI band (|r| = 0.070), so bias correction — under any mechanism — leaves the headline characterization of the pooled association as statistically detectable but economically negligible intact, and none of the corrections produces a conventionally meaningful effect.</t>
  </si>
  <si>
    <t xml:space="preserve">[10_D6; TH-b/H2a (single home); DEC-031g; DEC-047]</t>
  </si>
  <si>
    <t xml:space="preserve">Finalized 2026-07-29 (post-gate sync); RoBMA values cited from TH-b/H2a (single home).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</si>
</sst>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+0.0000;\-0.0000"/>
    <numFmt numFmtId="166" formatCode="0.0"/>
    <numFmt numFmtId="167" formatCode="0.0000"/>
    <numFmt numFmtId="168" formatCode="0"/>
    <numFmt numFmtId="169" formatCode="0.00E+00"/>
    <numFmt numFmtId="170" formatCode="0.000"/>
    <numFmt numFmtId="171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96"/>
  </cols>
  <sheetData>
    <row r="1" customFormat="false" ht="1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3"/>
    </row>
    <row r="3" customFormat="false" ht="15" hidden="false" customHeight="true" outlineLevel="0" collapsed="false">
      <c r="A3" s="3" t="s">
        <v>2</v>
      </c>
      <c r="B3" s="3"/>
    </row>
    <row r="5" customFormat="false" ht="15" hidden="false" customHeight="true" outlineLevel="0" collapsed="false">
      <c r="A5" s="4" t="s">
        <v>3</v>
      </c>
      <c r="B5" s="4" t="s">
        <v>4</v>
      </c>
    </row>
    <row r="6" customFormat="false" ht="27.75" hidden="false" customHeight="true" outlineLevel="0" collapsed="false">
      <c r="A6" s="5" t="s">
        <v>5</v>
      </c>
      <c r="B6" s="6" t="s">
        <v>6</v>
      </c>
    </row>
    <row r="7" customFormat="false" ht="27.75" hidden="false" customHeight="true" outlineLevel="0" collapsed="false">
      <c r="A7" s="5" t="s">
        <v>7</v>
      </c>
      <c r="B7" s="6" t="s">
        <v>8</v>
      </c>
    </row>
    <row r="8" customFormat="false" ht="27.75" hidden="false" customHeight="true" outlineLevel="0" collapsed="false">
      <c r="A8" s="5" t="s">
        <v>9</v>
      </c>
      <c r="B8" s="6" t="s">
        <v>10</v>
      </c>
    </row>
    <row r="9" customFormat="false" ht="27.75" hidden="false" customHeight="true" outlineLevel="0" collapsed="false">
      <c r="A9" s="5" t="s">
        <v>11</v>
      </c>
      <c r="B9" s="6" t="s">
        <v>12</v>
      </c>
    </row>
    <row r="10" customFormat="false" ht="27.75" hidden="false" customHeight="true" outlineLevel="0" collapsed="false">
      <c r="A10" s="5" t="s">
        <v>13</v>
      </c>
      <c r="B10" s="6" t="s">
        <v>14</v>
      </c>
    </row>
    <row r="11" customFormat="false" ht="27.75" hidden="false" customHeight="true" outlineLevel="0" collapsed="false">
      <c r="A11" s="5" t="s">
        <v>15</v>
      </c>
      <c r="B11" s="6" t="s">
        <v>16</v>
      </c>
    </row>
    <row r="12" customFormat="false" ht="27.75" hidden="false" customHeight="true" outlineLevel="0" collapsed="false">
      <c r="A12" s="5" t="s">
        <v>17</v>
      </c>
      <c r="B12" s="6" t="s">
        <v>18</v>
      </c>
    </row>
    <row r="13" customFormat="false" ht="27.75" hidden="false" customHeight="true" outlineLevel="0" collapsed="false">
      <c r="A13" s="5" t="s">
        <v>19</v>
      </c>
      <c r="B13" s="6" t="s">
        <v>20</v>
      </c>
    </row>
    <row r="15" customFormat="false" ht="15" hidden="false" customHeight="true" outlineLevel="0" collapsed="false">
      <c r="A15" s="4" t="s">
        <v>21</v>
      </c>
      <c r="B15" s="4" t="s">
        <v>22</v>
      </c>
    </row>
    <row r="16" customFormat="false" ht="15" hidden="false" customHeight="true" outlineLevel="0" collapsed="false">
      <c r="A16" s="5" t="s">
        <v>23</v>
      </c>
      <c r="B16" s="5" t="s">
        <v>24</v>
      </c>
    </row>
    <row r="17" customFormat="false" ht="15" hidden="false" customHeight="true" outlineLevel="0" collapsed="false">
      <c r="A17" s="5" t="s">
        <v>25</v>
      </c>
      <c r="B17" s="5" t="s">
        <v>26</v>
      </c>
    </row>
    <row r="18" customFormat="false" ht="15" hidden="false" customHeight="true" outlineLevel="0" collapsed="false">
      <c r="A18" s="5" t="s">
        <v>27</v>
      </c>
      <c r="B18" s="5" t="s">
        <v>28</v>
      </c>
    </row>
    <row r="19" customFormat="false" ht="15" hidden="false" customHeight="true" outlineLevel="0" collapsed="false">
      <c r="A19" s="5" t="s">
        <v>29</v>
      </c>
      <c r="B19" s="5" t="s">
        <v>30</v>
      </c>
    </row>
    <row r="20" customFormat="false" ht="15" hidden="false" customHeight="true" outlineLevel="0" collapsed="false">
      <c r="A20" s="5" t="s">
        <v>31</v>
      </c>
      <c r="B20" s="5" t="s">
        <v>32</v>
      </c>
    </row>
    <row r="21" customFormat="false" ht="15" hidden="false" customHeight="true" outlineLevel="0" collapsed="false">
      <c r="A21" s="5" t="s">
        <v>33</v>
      </c>
      <c r="B21" s="5" t="s">
        <v>34</v>
      </c>
    </row>
    <row r="22" customFormat="false" ht="15" hidden="false" customHeight="true" outlineLevel="0" collapsed="false">
      <c r="A22" s="5" t="s">
        <v>35</v>
      </c>
      <c r="B22" s="5" t="s">
        <v>36</v>
      </c>
    </row>
    <row r="23" customFormat="false" ht="15" hidden="false" customHeight="true" outlineLevel="0" collapsed="false">
      <c r="A23" s="5" t="s">
        <v>37</v>
      </c>
      <c r="B23" s="5" t="s">
        <v>38</v>
      </c>
    </row>
    <row r="24" customFormat="false" ht="15" hidden="false" customHeight="true" outlineLevel="0" collapsed="false">
      <c r="A24" s="5" t="s">
        <v>39</v>
      </c>
      <c r="B24" s="5" t="s">
        <v>40</v>
      </c>
    </row>
    <row r="25" customFormat="false" ht="15" hidden="false" customHeight="true" outlineLevel="0" collapsed="false">
      <c r="A25" s="5" t="s">
        <v>41</v>
      </c>
      <c r="B25" s="5" t="s">
        <v>42</v>
      </c>
    </row>
    <row r="26" customFormat="false" ht="15" hidden="false" customHeight="true" outlineLevel="0" collapsed="false">
      <c r="A26" s="5" t="s">
        <v>43</v>
      </c>
      <c r="B26" s="5" t="s">
        <v>44</v>
      </c>
    </row>
    <row r="27" customFormat="false" ht="15" hidden="false" customHeight="true" outlineLevel="0" collapsed="false">
      <c r="A27" s="5" t="s">
        <v>45</v>
      </c>
      <c r="B27" s="5" t="s">
        <v>46</v>
      </c>
    </row>
    <row r="28" customFormat="false" ht="15" hidden="false" customHeight="true" outlineLevel="0" collapsed="false">
      <c r="A28" s="5" t="s">
        <v>47</v>
      </c>
      <c r="B28" s="5" t="s">
        <v>48</v>
      </c>
    </row>
  </sheetData>
  <mergeCells count="3">
    <mergeCell ref="A1:B1"/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78"/>
    <col collapsed="false" customWidth="true" hidden="false" outlineLevel="0" max="3" min="3" style="1" width="40"/>
  </cols>
  <sheetData>
    <row r="1" customFormat="false" ht="15" hidden="false" customHeight="true" outlineLevel="0" collapsed="false">
      <c r="A1" s="2" t="s">
        <v>49</v>
      </c>
      <c r="B1" s="2"/>
      <c r="C1" s="2"/>
    </row>
    <row r="2" customFormat="false" ht="15" hidden="false" customHeight="true" outlineLevel="0" collapsed="false">
      <c r="A2" s="3" t="s">
        <v>50</v>
      </c>
      <c r="B2" s="3"/>
      <c r="C2" s="3"/>
    </row>
    <row r="3" customFormat="false" ht="15" hidden="false" customHeight="true" outlineLevel="0" collapsed="false">
      <c r="A3" s="3" t="s">
        <v>51</v>
      </c>
      <c r="B3" s="3"/>
      <c r="C3" s="3"/>
    </row>
    <row r="5" customFormat="false" ht="15" hidden="false" customHeight="true" outlineLevel="0" collapsed="false">
      <c r="A5" s="4" t="s">
        <v>52</v>
      </c>
      <c r="B5" s="4" t="s">
        <v>53</v>
      </c>
      <c r="C5" s="4" t="s">
        <v>54</v>
      </c>
    </row>
    <row r="6" customFormat="false" ht="39.75" hidden="false" customHeight="true" outlineLevel="0" collapsed="false">
      <c r="A6" s="6" t="s">
        <v>55</v>
      </c>
      <c r="B6" s="6" t="s">
        <v>56</v>
      </c>
      <c r="C6" s="6" t="s">
        <v>57</v>
      </c>
    </row>
    <row r="7" customFormat="false" ht="39.75" hidden="false" customHeight="true" outlineLevel="0" collapsed="false">
      <c r="A7" s="6" t="s">
        <v>58</v>
      </c>
      <c r="B7" s="6" t="s">
        <v>59</v>
      </c>
      <c r="C7" s="6" t="s">
        <v>60</v>
      </c>
    </row>
    <row r="8" customFormat="false" ht="39.75" hidden="false" customHeight="true" outlineLevel="0" collapsed="false">
      <c r="A8" s="6" t="s">
        <v>61</v>
      </c>
      <c r="B8" s="6" t="s">
        <v>62</v>
      </c>
      <c r="C8" s="6" t="s">
        <v>63</v>
      </c>
    </row>
    <row r="9" customFormat="false" ht="39.75" hidden="false" customHeight="true" outlineLevel="0" collapsed="false">
      <c r="A9" s="6" t="s">
        <v>64</v>
      </c>
      <c r="B9" s="6" t="s">
        <v>65</v>
      </c>
      <c r="C9" s="6" t="s">
        <v>66</v>
      </c>
    </row>
    <row r="10" customFormat="false" ht="39.75" hidden="false" customHeight="true" outlineLevel="0" collapsed="false">
      <c r="A10" s="6" t="s">
        <v>67</v>
      </c>
      <c r="B10" s="6" t="s">
        <v>68</v>
      </c>
      <c r="C10" s="6" t="s">
        <v>69</v>
      </c>
    </row>
    <row r="11" customFormat="false" ht="39.75" hidden="false" customHeight="true" outlineLevel="0" collapsed="false">
      <c r="A11" s="6" t="s">
        <v>70</v>
      </c>
      <c r="B11" s="6" t="s">
        <v>71</v>
      </c>
      <c r="C11" s="6" t="s">
        <v>72</v>
      </c>
    </row>
    <row r="12" customFormat="false" ht="39.75" hidden="false" customHeight="true" outlineLevel="0" collapsed="false">
      <c r="A12" s="6" t="s">
        <v>73</v>
      </c>
      <c r="B12" s="6" t="s">
        <v>74</v>
      </c>
      <c r="C12" s="6" t="s">
        <v>75</v>
      </c>
    </row>
    <row r="13" customFormat="false" ht="39.75" hidden="false" customHeight="true" outlineLevel="0" collapsed="false">
      <c r="A13" s="6" t="s">
        <v>76</v>
      </c>
      <c r="B13" s="6" t="s">
        <v>77</v>
      </c>
      <c r="C13" s="6" t="s">
        <v>78</v>
      </c>
    </row>
    <row r="14" customFormat="false" ht="39.75" hidden="false" customHeight="true" outlineLevel="0" collapsed="false">
      <c r="A14" s="6" t="s">
        <v>79</v>
      </c>
      <c r="B14" s="6" t="s">
        <v>80</v>
      </c>
      <c r="C14" s="6" t="s">
        <v>81</v>
      </c>
    </row>
    <row r="15" customFormat="false" ht="39.75" hidden="false" customHeight="true" outlineLevel="0" collapsed="false">
      <c r="A15" s="6" t="s">
        <v>82</v>
      </c>
      <c r="B15" s="6" t="s">
        <v>83</v>
      </c>
      <c r="C15" s="6" t="s">
        <v>84</v>
      </c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2" t="s">
        <v>85</v>
      </c>
      <c r="B1" s="2"/>
      <c r="C1" s="2"/>
    </row>
    <row r="2" customFormat="false" ht="15" hidden="false" customHeight="true" outlineLevel="0" collapsed="false">
      <c r="A2" s="3" t="s">
        <v>86</v>
      </c>
      <c r="B2" s="3"/>
      <c r="C2" s="3"/>
    </row>
    <row r="3" customFormat="false" ht="15" hidden="false" customHeight="true" outlineLevel="0" collapsed="false">
      <c r="A3" s="3" t="s">
        <v>87</v>
      </c>
      <c r="B3" s="3"/>
      <c r="C3" s="3"/>
    </row>
    <row r="5" customFormat="false" ht="15" hidden="false" customHeight="true" outlineLevel="0" collapsed="false">
      <c r="A5" s="4" t="s">
        <v>52</v>
      </c>
      <c r="B5" s="4" t="s">
        <v>88</v>
      </c>
      <c r="C5" s="4" t="s">
        <v>89</v>
      </c>
    </row>
    <row r="6" customFormat="false" ht="31.5" hidden="false" customHeight="true" outlineLevel="0" collapsed="false">
      <c r="A6" s="6" t="s">
        <v>90</v>
      </c>
      <c r="B6" s="6" t="s">
        <v>91</v>
      </c>
      <c r="C6" s="6" t="s">
        <v>92</v>
      </c>
    </row>
    <row r="7" customFormat="false" ht="31.5" hidden="false" customHeight="true" outlineLevel="0" collapsed="false">
      <c r="A7" s="6" t="s">
        <v>93</v>
      </c>
      <c r="B7" s="6" t="s">
        <v>94</v>
      </c>
      <c r="C7" s="6" t="s">
        <v>95</v>
      </c>
    </row>
    <row r="8" customFormat="false" ht="31.5" hidden="false" customHeight="true" outlineLevel="0" collapsed="false">
      <c r="A8" s="6" t="s">
        <v>96</v>
      </c>
      <c r="B8" s="6" t="s">
        <v>97</v>
      </c>
      <c r="C8" s="6" t="s">
        <v>98</v>
      </c>
    </row>
    <row r="9" customFormat="false" ht="31.5" hidden="false" customHeight="true" outlineLevel="0" collapsed="false">
      <c r="A9" s="6" t="s">
        <v>99</v>
      </c>
      <c r="B9" s="6" t="s">
        <v>100</v>
      </c>
      <c r="C9" s="6" t="s">
        <v>101</v>
      </c>
    </row>
    <row r="10" customFormat="false" ht="31.5" hidden="false" customHeight="true" outlineLevel="0" collapsed="false">
      <c r="A10" s="6" t="s">
        <v>102</v>
      </c>
      <c r="B10" s="6" t="s">
        <v>103</v>
      </c>
      <c r="C10" s="6" t="s">
        <v>104</v>
      </c>
    </row>
    <row r="11" customFormat="false" ht="31.5" hidden="false" customHeight="true" outlineLevel="0" collapsed="false">
      <c r="A11" s="6" t="s">
        <v>105</v>
      </c>
      <c r="B11" s="6" t="s">
        <v>106</v>
      </c>
      <c r="C11" s="6" t="s">
        <v>107</v>
      </c>
    </row>
    <row r="12" customFormat="false" ht="31.5" hidden="false" customHeight="true" outlineLevel="0" collapsed="false">
      <c r="A12" s="6" t="s">
        <v>108</v>
      </c>
      <c r="B12" s="6" t="s">
        <v>109</v>
      </c>
      <c r="C12" s="6" t="s">
        <v>110</v>
      </c>
    </row>
    <row r="13" customFormat="false" ht="31.5" hidden="false" customHeight="true" outlineLevel="0" collapsed="false">
      <c r="A13" s="6" t="s">
        <v>111</v>
      </c>
      <c r="B13" s="6" t="s">
        <v>112</v>
      </c>
      <c r="C13" s="6" t="s">
        <v>113</v>
      </c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4"/>
    <col collapsed="false" customWidth="true" hidden="false" outlineLevel="0" max="3" min="3" style="1" width="38"/>
  </cols>
  <sheetData>
    <row r="1" customFormat="false" ht="15" hidden="false" customHeight="true" outlineLevel="0" collapsed="false">
      <c r="A1" s="2" t="s">
        <v>114</v>
      </c>
      <c r="B1" s="2"/>
      <c r="C1" s="2"/>
    </row>
    <row r="2" customFormat="false" ht="15" hidden="false" customHeight="true" outlineLevel="0" collapsed="false">
      <c r="A2" s="3" t="s">
        <v>115</v>
      </c>
      <c r="B2" s="3"/>
      <c r="C2" s="3"/>
    </row>
    <row r="3" customFormat="false" ht="15" hidden="false" customHeight="true" outlineLevel="0" collapsed="false">
      <c r="A3" s="3" t="s">
        <v>116</v>
      </c>
      <c r="B3" s="3"/>
      <c r="C3" s="3"/>
    </row>
    <row r="5" customFormat="false" ht="15" hidden="false" customHeight="true" outlineLevel="0" collapsed="false">
      <c r="A5" s="4" t="s">
        <v>52</v>
      </c>
      <c r="B5" s="4" t="s">
        <v>117</v>
      </c>
      <c r="C5" s="4" t="s">
        <v>118</v>
      </c>
    </row>
    <row r="6" customFormat="false" ht="39.75" hidden="false" customHeight="true" outlineLevel="0" collapsed="false">
      <c r="A6" s="6" t="s">
        <v>119</v>
      </c>
      <c r="B6" s="6" t="s">
        <v>120</v>
      </c>
      <c r="C6" s="6" t="s">
        <v>121</v>
      </c>
    </row>
    <row r="7" customFormat="false" ht="39.75" hidden="false" customHeight="true" outlineLevel="0" collapsed="false">
      <c r="A7" s="6" t="s">
        <v>122</v>
      </c>
      <c r="B7" s="6" t="s">
        <v>123</v>
      </c>
      <c r="C7" s="6" t="s">
        <v>124</v>
      </c>
    </row>
    <row r="8" customFormat="false" ht="39.75" hidden="false" customHeight="true" outlineLevel="0" collapsed="false">
      <c r="A8" s="6" t="s">
        <v>125</v>
      </c>
      <c r="B8" s="6" t="s">
        <v>126</v>
      </c>
      <c r="C8" s="6" t="s">
        <v>127</v>
      </c>
    </row>
    <row r="9" customFormat="false" ht="39.75" hidden="false" customHeight="true" outlineLevel="0" collapsed="false">
      <c r="A9" s="6" t="s">
        <v>128</v>
      </c>
      <c r="B9" s="6" t="s">
        <v>129</v>
      </c>
      <c r="C9" s="6" t="s">
        <v>130</v>
      </c>
    </row>
    <row r="10" customFormat="false" ht="39.75" hidden="false" customHeight="true" outlineLevel="0" collapsed="false">
      <c r="A10" s="6" t="s">
        <v>70</v>
      </c>
      <c r="B10" s="6" t="s">
        <v>131</v>
      </c>
      <c r="C10" s="6" t="s">
        <v>130</v>
      </c>
    </row>
    <row r="11" customFormat="false" ht="39.75" hidden="false" customHeight="true" outlineLevel="0" collapsed="false">
      <c r="A11" s="6" t="s">
        <v>132</v>
      </c>
      <c r="B11" s="6" t="s">
        <v>133</v>
      </c>
      <c r="C11" s="6" t="s">
        <v>130</v>
      </c>
    </row>
    <row r="12" customFormat="false" ht="39.75" hidden="false" customHeight="true" outlineLevel="0" collapsed="false">
      <c r="A12" s="6" t="s">
        <v>134</v>
      </c>
      <c r="B12" s="6" t="s">
        <v>135</v>
      </c>
      <c r="C12" s="6" t="s">
        <v>136</v>
      </c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72"/>
    <col collapsed="false" customWidth="true" hidden="false" outlineLevel="0" max="3" min="3" style="1" width="40"/>
  </cols>
  <sheetData>
    <row r="1" customFormat="false" ht="15" hidden="false" customHeight="true" outlineLevel="0" collapsed="false">
      <c r="A1" s="2" t="s">
        <v>137</v>
      </c>
      <c r="B1" s="2"/>
      <c r="C1" s="2"/>
    </row>
    <row r="2" customFormat="false" ht="15" hidden="false" customHeight="true" outlineLevel="0" collapsed="false">
      <c r="A2" s="3" t="s">
        <v>138</v>
      </c>
      <c r="B2" s="3"/>
      <c r="C2" s="3"/>
    </row>
    <row r="3" customFormat="false" ht="15" hidden="false" customHeight="true" outlineLevel="0" collapsed="false">
      <c r="A3" s="3" t="s">
        <v>139</v>
      </c>
      <c r="B3" s="3"/>
      <c r="C3" s="3"/>
    </row>
    <row r="5" customFormat="false" ht="15" hidden="false" customHeight="true" outlineLevel="0" collapsed="false">
      <c r="A5" s="4" t="s">
        <v>3</v>
      </c>
      <c r="B5" s="4" t="s">
        <v>4</v>
      </c>
      <c r="C5" s="4" t="s">
        <v>140</v>
      </c>
    </row>
    <row r="6" customFormat="false" ht="33.75" hidden="false" customHeight="true" outlineLevel="0" collapsed="false">
      <c r="A6" s="6" t="s">
        <v>141</v>
      </c>
      <c r="B6" s="6" t="s">
        <v>142</v>
      </c>
      <c r="C6" s="6" t="s">
        <v>143</v>
      </c>
    </row>
    <row r="7" customFormat="false" ht="33.75" hidden="false" customHeight="true" outlineLevel="0" collapsed="false">
      <c r="A7" s="6" t="s">
        <v>144</v>
      </c>
      <c r="B7" s="6" t="s">
        <v>145</v>
      </c>
      <c r="C7" s="6" t="s">
        <v>146</v>
      </c>
    </row>
    <row r="8" customFormat="false" ht="33.75" hidden="false" customHeight="true" outlineLevel="0" collapsed="false">
      <c r="A8" s="6" t="s">
        <v>125</v>
      </c>
      <c r="B8" s="6" t="s">
        <v>147</v>
      </c>
      <c r="C8" s="6" t="s">
        <v>148</v>
      </c>
    </row>
    <row r="9" customFormat="false" ht="33.75" hidden="false" customHeight="true" outlineLevel="0" collapsed="false">
      <c r="A9" s="6" t="s">
        <v>149</v>
      </c>
      <c r="B9" s="6" t="s">
        <v>150</v>
      </c>
      <c r="C9" s="6" t="s">
        <v>151</v>
      </c>
    </row>
    <row r="10" customFormat="false" ht="33.75" hidden="false" customHeight="true" outlineLevel="0" collapsed="false">
      <c r="A10" s="6" t="s">
        <v>152</v>
      </c>
      <c r="B10" s="6" t="s">
        <v>153</v>
      </c>
      <c r="C10" s="6" t="s">
        <v>154</v>
      </c>
    </row>
    <row r="11" customFormat="false" ht="33.75" hidden="false" customHeight="true" outlineLevel="0" collapsed="false">
      <c r="A11" s="6" t="s">
        <v>155</v>
      </c>
      <c r="B11" s="6" t="s">
        <v>156</v>
      </c>
      <c r="C11" s="6" t="s">
        <v>157</v>
      </c>
    </row>
    <row r="12" customFormat="false" ht="33.75" hidden="false" customHeight="true" outlineLevel="0" collapsed="false">
      <c r="A12" s="6" t="s">
        <v>158</v>
      </c>
      <c r="B12" s="6" t="s">
        <v>159</v>
      </c>
      <c r="C12" s="6" t="s">
        <v>160</v>
      </c>
    </row>
    <row r="13" customFormat="false" ht="33.75" hidden="false" customHeight="true" outlineLevel="0" collapsed="false">
      <c r="A13" s="6" t="s">
        <v>161</v>
      </c>
      <c r="B13" s="6" t="s">
        <v>162</v>
      </c>
      <c r="C13" s="6" t="s">
        <v>163</v>
      </c>
    </row>
    <row r="14" customFormat="false" ht="33.75" hidden="false" customHeight="true" outlineLevel="0" collapsed="false">
      <c r="A14" s="6" t="s">
        <v>164</v>
      </c>
      <c r="B14" s="6" t="s">
        <v>165</v>
      </c>
      <c r="C14" s="6" t="s">
        <v>166</v>
      </c>
    </row>
    <row r="15" customFormat="false" ht="33.75" hidden="false" customHeight="true" outlineLevel="0" collapsed="false">
      <c r="A15" s="6" t="s">
        <v>167</v>
      </c>
      <c r="B15" s="6" t="s">
        <v>168</v>
      </c>
      <c r="C15" s="6" t="s">
        <v>169</v>
      </c>
    </row>
    <row r="16" customFormat="false" ht="33.75" hidden="false" customHeight="true" outlineLevel="0" collapsed="false">
      <c r="A16" s="6" t="s">
        <v>170</v>
      </c>
      <c r="B16" s="6" t="s">
        <v>171</v>
      </c>
      <c r="C16" s="6" t="s">
        <v>172</v>
      </c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8" min="3" style="1" width="11"/>
    <col collapsed="false" customWidth="true" hidden="false" outlineLevel="0" max="9" min="9" style="1" width="8"/>
    <col collapsed="false" customWidth="true" hidden="false" outlineLevel="0" max="10" min="10" style="1" width="10"/>
  </cols>
  <sheetData>
    <row r="1" customFormat="false" ht="15" hidden="false" customHeight="true" outlineLevel="0" collapsed="false">
      <c r="A1" s="2" t="s">
        <v>173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174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3" t="s">
        <v>175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15" hidden="false" customHeight="true" outlineLevel="0" collapsed="false">
      <c r="A5" s="4" t="s">
        <v>176</v>
      </c>
      <c r="B5" s="4" t="s">
        <v>177</v>
      </c>
      <c r="C5" s="4" t="s">
        <v>178</v>
      </c>
      <c r="D5" s="4" t="s">
        <v>179</v>
      </c>
      <c r="E5" s="4" t="s">
        <v>180</v>
      </c>
      <c r="F5" s="4" t="s">
        <v>181</v>
      </c>
      <c r="G5" s="4" t="s">
        <v>182</v>
      </c>
      <c r="H5" s="4" t="s">
        <v>183</v>
      </c>
      <c r="I5" s="4" t="s">
        <v>184</v>
      </c>
      <c r="J5" s="4" t="s">
        <v>185</v>
      </c>
    </row>
    <row r="6" customFormat="false" ht="15" hidden="false" customHeight="true" outlineLevel="0" collapsed="false">
      <c r="A6" s="5" t="s">
        <v>186</v>
      </c>
      <c r="B6" s="5" t="str">
        <f aca="false">Results_Long!H2&amp;" / "&amp;Results_Long!I2&amp;" / "&amp;Results_Long!J2</f>
        <v>2713 / 115 / 114</v>
      </c>
      <c r="C6" s="7" t="n">
        <f aca="false">Results_Long!K2</f>
        <v>-0.0431579430601927</v>
      </c>
      <c r="D6" s="7" t="n">
        <f aca="false">Results_Long!P2</f>
        <v>-0.076041493943883</v>
      </c>
      <c r="E6" s="7" t="n">
        <f aca="false">Results_Long!Q2</f>
        <v>-0.0102743921765023</v>
      </c>
      <c r="F6" s="7" t="n">
        <f aca="false">Results_Long!T2</f>
        <v>-0.0431311675648736</v>
      </c>
      <c r="G6" s="7" t="n">
        <f aca="false">Results_Long!U2</f>
        <v>-0.0758952670130507</v>
      </c>
      <c r="H6" s="7" t="n">
        <f aca="false">Results_Long!V2</f>
        <v>-0.0102740306594194</v>
      </c>
      <c r="I6" s="8" t="n">
        <f aca="false">Results_Long!N2</f>
        <v>100.327980962336</v>
      </c>
      <c r="J6" s="9" t="n">
        <f aca="false">Results_Long!O2</f>
        <v>0.0106197179301084</v>
      </c>
    </row>
    <row r="7" customFormat="false" ht="15" hidden="false" customHeight="true" outlineLevel="0" collapsed="false">
      <c r="A7" s="5" t="s">
        <v>187</v>
      </c>
      <c r="B7" s="5" t="str">
        <f aca="false">Results_Long!H3&amp;" / "&amp;Results_Long!I3&amp;" / "&amp;Results_Long!J3</f>
        <v>2713 / 115 / 114</v>
      </c>
      <c r="C7" s="7" t="n">
        <f aca="false">Results_Long!K3</f>
        <v>-0.642214389107309</v>
      </c>
      <c r="D7" s="7" t="n">
        <f aca="false">Results_Long!P3</f>
        <v>-1.28452686382888</v>
      </c>
      <c r="E7" s="7" t="n">
        <f aca="false">Results_Long!Q3</f>
        <v>9.80856142624997E-005</v>
      </c>
      <c r="F7" s="7" t="s">
        <v>188</v>
      </c>
      <c r="G7" s="7"/>
      <c r="H7" s="7"/>
      <c r="I7" s="8" t="n">
        <f aca="false">Results_Long!N3</f>
        <v>35.3011120989995</v>
      </c>
      <c r="J7" s="9" t="n">
        <f aca="false">Results_Long!O3</f>
        <v>0.0500331378702088</v>
      </c>
    </row>
    <row r="8" customFormat="false" ht="15" hidden="false" customHeight="true" outlineLevel="0" collapsed="false">
      <c r="A8" s="5" t="s">
        <v>189</v>
      </c>
      <c r="B8" s="5" t="str">
        <f aca="false">Results_Long!H4&amp;" / "&amp;Results_Long!I4&amp;" / "&amp;Results_Long!J4</f>
        <v>2713 / 115 / 114</v>
      </c>
      <c r="C8" s="7" t="n">
        <f aca="false">Results_Long!K4</f>
        <v>-0.0551989030921712</v>
      </c>
      <c r="D8" s="7" t="n">
        <f aca="false">Results_Long!P4</f>
        <v>-0.0836192718493391</v>
      </c>
      <c r="E8" s="7" t="n">
        <f aca="false">Results_Long!Q4</f>
        <v>-0.0267785343350033</v>
      </c>
      <c r="F8" s="7" t="n">
        <f aca="false">Results_Long!T4</f>
        <v>-0.055142909141048</v>
      </c>
      <c r="G8" s="7" t="n">
        <f aca="false">Results_Long!U4</f>
        <v>-0.0834249216641385</v>
      </c>
      <c r="H8" s="7" t="n">
        <f aca="false">Results_Long!V4</f>
        <v>-0.0267721352982913</v>
      </c>
      <c r="I8" s="8" t="n">
        <f aca="false">Results_Long!N4</f>
        <v>109.904402640103</v>
      </c>
      <c r="J8" s="9" t="n">
        <f aca="false">Results_Long!O4</f>
        <v>0.00019947958813446</v>
      </c>
    </row>
    <row r="9" customFormat="false" ht="15" hidden="false" customHeight="true" outlineLevel="0" collapsed="false">
      <c r="A9" s="5" t="s">
        <v>190</v>
      </c>
      <c r="B9" s="5" t="str">
        <f aca="false">Results_Long!H5&amp;" / "&amp;Results_Long!I5&amp;" / "&amp;Results_Long!J5</f>
        <v>2713 / 115 / 114</v>
      </c>
      <c r="C9" s="7" t="n">
        <f aca="false">Results_Long!K5</f>
        <v>-3.87041879611485</v>
      </c>
      <c r="D9" s="7" t="n">
        <f aca="false">Results_Long!P5</f>
        <v>-10.6940855487755</v>
      </c>
      <c r="E9" s="7" t="n">
        <f aca="false">Results_Long!Q5</f>
        <v>2.95324795654579</v>
      </c>
      <c r="F9" s="7" t="s">
        <v>188</v>
      </c>
      <c r="G9" s="7"/>
      <c r="H9" s="7"/>
      <c r="I9" s="8" t="n">
        <f aca="false">Results_Long!N5</f>
        <v>6.39134162828664</v>
      </c>
      <c r="J9" s="9" t="n">
        <f aca="false">Results_Long!O5</f>
        <v>0.217590259836502</v>
      </c>
    </row>
    <row r="11" customFormat="false" ht="57" hidden="false" customHeight="true" outlineLevel="0" collapsed="false">
      <c r="A11" s="5" t="s">
        <v>191</v>
      </c>
      <c r="B11" s="10" t="n">
        <f aca="false">Results_Long!AG6</f>
        <v>1</v>
      </c>
      <c r="C11" s="6" t="str">
        <f aca="false">"PET intercept p = "&amp;(IF(Results_Long!O2&lt;0,"-","")&amp;INT(ABS(ROUND(Results_Long!O2,4)))&amp;"."&amp;RIGHT("0000"&amp;ROUND(MOD(ABS(ROUND(Results_Long!O2,4)),1)*10000,0),4))&amp;" &lt; 0.05 -&gt; PEESE"</f>
        <v>PET intercept p = 0.0106 &lt; 0.05 -&gt; PEESE</v>
      </c>
    </row>
    <row r="13" customFormat="false" ht="15" hidden="false" customHeight="true" outlineLevel="0" collapsed="false">
      <c r="A13" s="11" t="s">
        <v>192</v>
      </c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34.5" hidden="false" customHeight="true" outlineLevel="0" collapsed="false">
      <c r="A14" s="12" t="s">
        <v>193</v>
      </c>
      <c r="B14" s="12"/>
      <c r="C14" s="12"/>
      <c r="D14" s="12"/>
      <c r="E14" s="12"/>
      <c r="F14" s="12"/>
      <c r="G14" s="12"/>
      <c r="H14" s="12"/>
      <c r="I14" s="12"/>
      <c r="J14" s="12"/>
    </row>
    <row r="15" customFormat="false" ht="23.25" hidden="false" customHeight="true" outlineLevel="0" collapsed="false">
      <c r="A15" s="12" t="s">
        <v>194</v>
      </c>
      <c r="B15" s="12"/>
      <c r="C15" s="12"/>
      <c r="D15" s="12"/>
      <c r="E15" s="12"/>
      <c r="F15" s="12"/>
      <c r="G15" s="12"/>
      <c r="H15" s="12"/>
      <c r="I15" s="12"/>
      <c r="J15" s="12"/>
    </row>
    <row r="17" customFormat="false" ht="15" hidden="false" customHeight="true" outlineLevel="0" collapsed="false">
      <c r="A17" s="4" t="s">
        <v>195</v>
      </c>
      <c r="B17" s="4" t="s">
        <v>196</v>
      </c>
    </row>
    <row r="18" customFormat="false" ht="25.5" hidden="false" customHeight="true" outlineLevel="0" collapsed="false">
      <c r="A18" s="6" t="s">
        <v>197</v>
      </c>
      <c r="B18" s="6" t="s">
        <v>198</v>
      </c>
    </row>
    <row r="19" customFormat="false" ht="25.5" hidden="false" customHeight="true" outlineLevel="0" collapsed="false">
      <c r="A19" s="6" t="s">
        <v>199</v>
      </c>
      <c r="B19" s="6" t="s">
        <v>200</v>
      </c>
    </row>
    <row r="20" customFormat="false" ht="25.5" hidden="false" customHeight="true" outlineLevel="0" collapsed="false">
      <c r="A20" s="6" t="s">
        <v>201</v>
      </c>
      <c r="B20" s="6" t="s">
        <v>202</v>
      </c>
    </row>
    <row r="22" customFormat="false" ht="15" hidden="false" customHeight="true" outlineLevel="0" collapsed="false">
      <c r="A22" s="11" t="str">
        <f aca="false">CONCATENATE("VERDICT (mechanical): Rule selects PEESE — corrected mean z = ",(IF(Results_Long!K4&lt;0,"-","+")&amp;INT(ABS(ROUND(Results_Long!K4,4)))&amp;"."&amp;RIGHT("0000"&amp;ROUND(MOD(ABS(ROUND(Results_Long!K4,4)),1)*10000,0),4))," [",(IF(Results_Long!P4&lt;0,"-","+")&amp;INT(ABS(ROUND(Results_Long!P4,4)))&amp;"."&amp;RIGHT("0000"&amp;ROUND(MOD(ABS(ROUND(Results_Long!P4,4)),1)*10000,0),4)),"; ",(IF(Results_Long!Q4&lt;0,"-","+")&amp;INT(ABS(ROUND(Results_Long!Q4,4)))&amp;"."&amp;RIGHT("0000"&amp;ROUND(MOD(ABS(ROUND(Results_Long!Q4,4)),1)*10000,0),4)),"]; FAT p = ",(IF(Results_Long!O3&lt;0,"-","")&amp;INT(ABS(ROUND(Results_Long!O3,4)))&amp;"."&amp;RIGHT("0000"&amp;ROUND(MOD(ABS(ROUND(Results_Long!O3,4)),1)*10000,0),4)),". Assessment: wording per the resolved gate [DEC-044/DEC-047].")</f>
        <v>VERDICT (mechanical): Rule selects PEESE — corrected mean z = -0.0552 [-0.0836; -0.0268]; FAT p = 0.0500. Assessment: wording per the resolved gate [DEC-044/DEC-047].</v>
      </c>
      <c r="B22" s="11"/>
      <c r="C22" s="11"/>
      <c r="D22" s="11"/>
      <c r="E22" s="11"/>
      <c r="F22" s="11"/>
      <c r="G22" s="11"/>
      <c r="H22" s="11"/>
      <c r="I22" s="11"/>
      <c r="J22" s="11"/>
    </row>
  </sheetData>
  <mergeCells count="7">
    <mergeCell ref="A1:J1"/>
    <mergeCell ref="A2:J2"/>
    <mergeCell ref="A3:J3"/>
    <mergeCell ref="A13:J13"/>
    <mergeCell ref="A14:J14"/>
    <mergeCell ref="A15:J15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8" min="3" style="1" width="11"/>
    <col collapsed="false" customWidth="true" hidden="false" outlineLevel="0" max="9" min="9" style="1" width="8"/>
    <col collapsed="false" customWidth="true" hidden="false" outlineLevel="0" max="10" min="10" style="1" width="10"/>
  </cols>
  <sheetData>
    <row r="1" customFormat="false" ht="15" hidden="false" customHeight="true" outlineLevel="0" collapsed="false">
      <c r="A1" s="2" t="s">
        <v>203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204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3" t="s">
        <v>205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15" hidden="false" customHeight="true" outlineLevel="0" collapsed="false">
      <c r="A5" s="4" t="s">
        <v>176</v>
      </c>
      <c r="B5" s="4" t="s">
        <v>177</v>
      </c>
      <c r="C5" s="4" t="s">
        <v>178</v>
      </c>
      <c r="D5" s="4" t="s">
        <v>179</v>
      </c>
      <c r="E5" s="4" t="s">
        <v>180</v>
      </c>
      <c r="F5" s="4" t="s">
        <v>181</v>
      </c>
      <c r="G5" s="4" t="s">
        <v>182</v>
      </c>
      <c r="H5" s="4" t="s">
        <v>183</v>
      </c>
      <c r="I5" s="4" t="s">
        <v>184</v>
      </c>
      <c r="J5" s="4" t="s">
        <v>185</v>
      </c>
    </row>
    <row r="6" customFormat="false" ht="15" hidden="false" customHeight="true" outlineLevel="0" collapsed="false">
      <c r="A6" s="5" t="s">
        <v>206</v>
      </c>
      <c r="B6" s="5" t="str">
        <f aca="false">Results_Long!H17&amp;" / "&amp;Results_Long!I17&amp;" / "&amp;Results_Long!J17</f>
        <v>2713 / 115 / 114</v>
      </c>
      <c r="C6" s="7" t="n">
        <f aca="false">Results_Long!K17</f>
        <v>-0.0616600348248416</v>
      </c>
      <c r="D6" s="7" t="n">
        <f aca="false">Results_Long!P17</f>
        <v>-0.10914692393813</v>
      </c>
      <c r="E6" s="7" t="n">
        <f aca="false">Results_Long!Q17</f>
        <v>-0.0141731457115531</v>
      </c>
      <c r="F6" s="7" t="n">
        <f aca="false">Results_Long!T17</f>
        <v>-0.0615820104876861</v>
      </c>
      <c r="G6" s="7" t="n">
        <f aca="false">Results_Long!U17</f>
        <v>-0.108715555098534</v>
      </c>
      <c r="H6" s="7" t="n">
        <f aca="false">Results_Long!V17</f>
        <v>-0.0141721967631337</v>
      </c>
      <c r="I6" s="8" t="n">
        <f aca="false">Results_Long!N17</f>
        <v>0</v>
      </c>
      <c r="J6" s="9" t="n">
        <f aca="false">Results_Long!O17</f>
        <v>0.0109295435847117</v>
      </c>
    </row>
    <row r="7" customFormat="false" ht="15" hidden="false" customHeight="true" outlineLevel="0" collapsed="false">
      <c r="A7" s="5" t="s">
        <v>207</v>
      </c>
      <c r="B7" s="5" t="str">
        <f aca="false">Results_Long!H19&amp;" / "&amp;Results_Long!I19&amp;" / "&amp;Results_Long!J19</f>
        <v>2713 / 115 / 114</v>
      </c>
      <c r="C7" s="7" t="n">
        <f aca="false">Results_Long!K19</f>
        <v>0.0116898513182097</v>
      </c>
      <c r="D7" s="7" t="n">
        <f aca="false">Results_Long!P19</f>
        <v>-0.0707993723699998</v>
      </c>
      <c r="E7" s="7" t="n">
        <f aca="false">Results_Long!Q19</f>
        <v>0.0941790750064191</v>
      </c>
      <c r="F7" s="7" t="n">
        <f aca="false">Results_Long!T19</f>
        <v>0.0116893188643625</v>
      </c>
      <c r="G7" s="7" t="n">
        <f aca="false">Results_Long!U19</f>
        <v>-0.070681313916021</v>
      </c>
      <c r="H7" s="7" t="n">
        <f aca="false">Results_Long!V19</f>
        <v>0.0939016127111995</v>
      </c>
      <c r="I7" s="8" t="n">
        <f aca="false">Results_Long!N19</f>
        <v>0</v>
      </c>
      <c r="J7" s="9" t="n">
        <f aca="false">Results_Long!O19</f>
        <v>0.78120143069927</v>
      </c>
    </row>
    <row r="8" customFormat="false" ht="15" hidden="false" customHeight="true" outlineLevel="0" collapsed="false">
      <c r="A8" s="5" t="s">
        <v>208</v>
      </c>
      <c r="B8" s="5" t="str">
        <f aca="false">Results_Long!H23&amp;" / "&amp;Results_Long!I23&amp;" / "&amp;Results_Long!J23</f>
        <v>2713 / 115 / 114</v>
      </c>
      <c r="C8" s="7" t="n">
        <f aca="false">Results_Long!K23</f>
        <v>0.0118401856060274</v>
      </c>
      <c r="D8" s="7" t="n">
        <f aca="false">Results_Long!P23</f>
        <v>-0.0685846353910595</v>
      </c>
      <c r="E8" s="7" t="n">
        <f aca="false">Results_Long!Q23</f>
        <v>0.0978022609818605</v>
      </c>
      <c r="F8" s="7" t="n">
        <f aca="false">Results_Long!T23</f>
        <v>0.0118396323451977</v>
      </c>
      <c r="G8" s="7" t="n">
        <f aca="false">Results_Long!U23</f>
        <v>-0.0684773000128145</v>
      </c>
      <c r="H8" s="7" t="n">
        <f aca="false">Results_Long!V23</f>
        <v>0.0974916140874063</v>
      </c>
      <c r="I8" s="8" t="n">
        <f aca="false">Results_Long!N23</f>
        <v>0</v>
      </c>
      <c r="J8" s="9" t="n">
        <f aca="false">Results_Long!O23</f>
        <v>0.77760619281116</v>
      </c>
    </row>
    <row r="9" customFormat="false" ht="15" hidden="false" customHeight="true" outlineLevel="0" collapsed="false">
      <c r="A9" s="5" t="s">
        <v>209</v>
      </c>
      <c r="B9" s="5" t="str">
        <f aca="false">Results_Long!H25&amp;" / "&amp;Results_Long!I25&amp;" / "&amp;Results_Long!J25</f>
        <v>2713 / 115 / 114</v>
      </c>
      <c r="C9" s="7" t="n">
        <f aca="false">Results_Long!K25</f>
        <v>-0.0616608386540629</v>
      </c>
      <c r="D9" s="7" t="n">
        <f aca="false">Results_Long!P25</f>
        <v>-0.109864264918875</v>
      </c>
      <c r="E9" s="7" t="n">
        <f aca="false">Results_Long!Q25</f>
        <v>-0.0134574123892513</v>
      </c>
      <c r="F9" s="7" t="n">
        <f aca="false">Results_Long!T25</f>
        <v>-0.0615828112684708</v>
      </c>
      <c r="G9" s="7" t="n">
        <f aca="false">Results_Long!U25</f>
        <v>-0.109424362375925</v>
      </c>
      <c r="H9" s="7" t="n">
        <f aca="false">Results_Long!V25</f>
        <v>-0.0134566000602298</v>
      </c>
      <c r="I9" s="8" t="n">
        <f aca="false">Results_Long!N25</f>
        <v>113</v>
      </c>
      <c r="J9" s="9" t="n">
        <f aca="false">Results_Long!O25</f>
        <v>0.0126367644358383</v>
      </c>
    </row>
    <row r="11" customFormat="false" ht="15" hidden="false" customHeight="true" outlineLevel="0" collapsed="false">
      <c r="A11" s="4" t="s">
        <v>210</v>
      </c>
      <c r="B11" s="4" t="s">
        <v>4</v>
      </c>
      <c r="C11" s="4" t="s">
        <v>211</v>
      </c>
    </row>
    <row r="12" customFormat="false" ht="15" hidden="false" customHeight="true" outlineLevel="0" collapsed="false">
      <c r="A12" s="5" t="s">
        <v>212</v>
      </c>
      <c r="B12" s="13" t="n">
        <f aca="false">Results_Long!AG18</f>
        <v>0.066435910672777</v>
      </c>
      <c r="C12" s="5"/>
    </row>
    <row r="13" customFormat="false" ht="15" hidden="false" customHeight="true" outlineLevel="0" collapsed="false">
      <c r="A13" s="5" t="s">
        <v>213</v>
      </c>
      <c r="B13" s="13" t="n">
        <f aca="false">Results_Long!AG20</f>
        <v>0.0689224426195439</v>
      </c>
      <c r="C13" s="5"/>
    </row>
    <row r="14" customFormat="false" ht="15" hidden="false" customHeight="true" outlineLevel="0" collapsed="false">
      <c r="A14" s="5" t="s">
        <v>214</v>
      </c>
      <c r="B14" s="14" t="n">
        <f aca="false">Results_Long!AG21</f>
        <v>0.491443610054737</v>
      </c>
      <c r="C14" s="5"/>
    </row>
    <row r="15" customFormat="false" ht="15" hidden="false" customHeight="true" outlineLevel="0" collapsed="false">
      <c r="A15" s="5" t="s">
        <v>215</v>
      </c>
      <c r="B15" s="13" t="n">
        <f aca="false">Results_Long!AG24</f>
        <v>0.0690456229009019</v>
      </c>
      <c r="C15" s="5"/>
    </row>
    <row r="16" customFormat="false" ht="15" hidden="false" customHeight="true" outlineLevel="0" collapsed="false">
      <c r="A16" s="5" t="s">
        <v>216</v>
      </c>
      <c r="B16" s="14" t="n">
        <f aca="false">Results_Long!M22</f>
        <v>5.0525159410533</v>
      </c>
      <c r="C16" s="5" t="str">
        <f aca="false">"chi-square, df = 1, p = "&amp;(IF(Results_Long!O22&lt;0,"-","")&amp;INT(ABS(ROUND(Results_Long!O22,4)))&amp;"."&amp;RIGHT("0000"&amp;ROUND(MOD(ABS(ROUND(Results_Long!O22,4)),1)*10000,0),4))</f>
        <v>chi-square, df = 1, p = 0.0246</v>
      </c>
    </row>
    <row r="18" customFormat="false" ht="15" hidden="false" customHeight="true" outlineLevel="0" collapsed="false">
      <c r="A18" s="11" t="s">
        <v>192</v>
      </c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34.5" hidden="false" customHeight="true" outlineLevel="0" collapsed="false">
      <c r="A19" s="12" t="s">
        <v>217</v>
      </c>
      <c r="B19" s="12"/>
      <c r="C19" s="12"/>
      <c r="D19" s="12"/>
      <c r="E19" s="12"/>
      <c r="F19" s="12"/>
      <c r="G19" s="12"/>
      <c r="H19" s="12"/>
      <c r="I19" s="12"/>
      <c r="J19" s="12"/>
    </row>
    <row r="20" customFormat="false" ht="23.25" hidden="false" customHeight="true" outlineLevel="0" collapsed="false">
      <c r="A20" s="12" t="s">
        <v>218</v>
      </c>
      <c r="B20" s="12"/>
      <c r="C20" s="12"/>
      <c r="D20" s="12"/>
      <c r="E20" s="12"/>
      <c r="F20" s="12"/>
      <c r="G20" s="12"/>
      <c r="H20" s="12"/>
      <c r="I20" s="12"/>
      <c r="J20" s="12"/>
    </row>
    <row r="22" customFormat="false" ht="15" hidden="false" customHeight="true" outlineLevel="0" collapsed="false">
      <c r="A22" s="4" t="s">
        <v>195</v>
      </c>
      <c r="B22" s="4" t="s">
        <v>196</v>
      </c>
    </row>
    <row r="23" customFormat="false" ht="25.5" hidden="false" customHeight="true" outlineLevel="0" collapsed="false">
      <c r="A23" s="6" t="s">
        <v>219</v>
      </c>
      <c r="B23" s="6" t="s">
        <v>220</v>
      </c>
    </row>
    <row r="24" customFormat="false" ht="25.5" hidden="false" customHeight="true" outlineLevel="0" collapsed="false">
      <c r="A24" s="6" t="s">
        <v>221</v>
      </c>
      <c r="B24" s="6" t="s">
        <v>222</v>
      </c>
    </row>
    <row r="25" customFormat="false" ht="25.5" hidden="false" customHeight="true" outlineLevel="0" collapsed="false">
      <c r="A25" s="6" t="s">
        <v>223</v>
      </c>
      <c r="B25" s="6" t="s">
        <v>224</v>
      </c>
    </row>
    <row r="27" customFormat="false" ht="15" hidden="false" customHeight="true" outlineLevel="0" collapsed="false">
      <c r="A27" s="11" t="str">
        <f aca="false">CONCATENATE("VERDICT (mechanical): 3PSM mu = ",(IF(Results_Long!K19&lt;0,"-","+")&amp;INT(ABS(ROUND(Results_Long!K19,4)))&amp;"."&amp;RIGHT("0000"&amp;ROUND(MOD(ABS(ROUND(Results_Long!K19,4)),1)*10000,0),4))," [",(IF(Results_Long!P19&lt;0,"-","+")&amp;INT(ABS(ROUND(Results_Long!P19,4)))&amp;"."&amp;RIGHT("0000"&amp;ROUND(MOD(ABS(ROUND(Results_Long!P19,4)),1)*10000,0),4)),"; ",(IF(Results_Long!Q19&lt;0,"-","+")&amp;INT(ABS(ROUND(Results_Long!Q19,4)))&amp;"."&amp;RIGHT("0000"&amp;ROUND(MOD(ABS(ROUND(Results_Long!Q19,4)),1)*10000,0),4)),"], LRT p = ",(IF(Results_Long!O22&lt;0,"-","")&amp;INT(ABS(ROUND(Results_Long!O22,4)))&amp;"."&amp;RIGHT("0000"&amp;ROUND(MOD(ABS(ROUND(Results_Long!O22,4)),1)*10000,0),4)),"; p-uniform* concordant. Assessment: wording per the resolved gate [DEC-044/DEC-047].")</f>
        <v>VERDICT (mechanical): 3PSM mu = +0.0117 [-0.0708; +0.0942], LRT p = 0.0246; p-uniform* concordant. Assessment: wording per the resolved gate [DEC-044/DEC-047].</v>
      </c>
      <c r="B27" s="11"/>
      <c r="C27" s="11"/>
      <c r="D27" s="11"/>
      <c r="E27" s="11"/>
      <c r="F27" s="11"/>
      <c r="G27" s="11"/>
      <c r="H27" s="11"/>
      <c r="I27" s="11"/>
      <c r="J27" s="11"/>
    </row>
  </sheetData>
  <mergeCells count="7">
    <mergeCell ref="A1:J1"/>
    <mergeCell ref="A2:J2"/>
    <mergeCell ref="A3:J3"/>
    <mergeCell ref="A18:J18"/>
    <mergeCell ref="A19:J19"/>
    <mergeCell ref="A20:J20"/>
    <mergeCell ref="A27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8" min="3" style="1" width="11"/>
    <col collapsed="false" customWidth="true" hidden="false" outlineLevel="0" max="9" min="9" style="1" width="8"/>
    <col collapsed="false" customWidth="true" hidden="false" outlineLevel="0" max="10" min="10" style="1" width="10"/>
  </cols>
  <sheetData>
    <row r="1" customFormat="false" ht="15" hidden="false" customHeight="true" outlineLevel="0" collapsed="false">
      <c r="A1" s="2" t="s">
        <v>225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226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3" t="s">
        <v>227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15" hidden="false" customHeight="true" outlineLevel="0" collapsed="false">
      <c r="A5" s="11" t="s">
        <v>228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15" hidden="false" customHeight="true" outlineLevel="0" collapsed="false">
      <c r="A6" s="4" t="s">
        <v>176</v>
      </c>
      <c r="B6" s="4" t="s">
        <v>177</v>
      </c>
      <c r="C6" s="4" t="s">
        <v>178</v>
      </c>
      <c r="D6" s="4" t="s">
        <v>179</v>
      </c>
      <c r="E6" s="4" t="s">
        <v>180</v>
      </c>
      <c r="F6" s="4" t="s">
        <v>181</v>
      </c>
      <c r="G6" s="4" t="s">
        <v>182</v>
      </c>
      <c r="H6" s="4" t="s">
        <v>183</v>
      </c>
      <c r="I6" s="4" t="s">
        <v>184</v>
      </c>
      <c r="J6" s="4" t="s">
        <v>185</v>
      </c>
    </row>
    <row r="7" customFormat="false" ht="15" hidden="false" customHeight="true" outlineLevel="0" collapsed="false">
      <c r="A7" s="5" t="s">
        <v>229</v>
      </c>
      <c r="B7" s="5" t="str">
        <f aca="false">Results_Long!H7&amp;" / "&amp;Results_Long!I7&amp;" / "&amp;Results_Long!J7</f>
        <v>1994 / 83 / 82</v>
      </c>
      <c r="C7" s="7" t="n">
        <f aca="false">Results_Long!K7</f>
        <v>-0.0457079234932816</v>
      </c>
      <c r="D7" s="7" t="n">
        <f aca="false">Results_Long!P7</f>
        <v>-0.0913602186664482</v>
      </c>
      <c r="E7" s="7" t="n">
        <f aca="false">Results_Long!Q7</f>
        <v>-5.56283201149921E-005</v>
      </c>
      <c r="F7" s="7" t="n">
        <f aca="false">Results_Long!T7</f>
        <v>-0.0456761188563586</v>
      </c>
      <c r="G7" s="7" t="n">
        <f aca="false">Results_Long!U7</f>
        <v>-0.0911068793231609</v>
      </c>
      <c r="H7" s="7" t="n">
        <f aca="false">Results_Long!V7</f>
        <v>-5.56283200576113E-005</v>
      </c>
      <c r="I7" s="8" t="n">
        <f aca="false">Results_Long!N7</f>
        <v>75.0686847002514</v>
      </c>
      <c r="J7" s="9" t="n">
        <f aca="false">Results_Long!O7</f>
        <v>0.049728529071877</v>
      </c>
    </row>
    <row r="8" customFormat="false" ht="15" hidden="false" customHeight="true" outlineLevel="0" collapsed="false">
      <c r="A8" s="5" t="s">
        <v>230</v>
      </c>
      <c r="B8" s="5" t="str">
        <f aca="false">Results_Long!H8&amp;" / "&amp;Results_Long!I8&amp;" / "&amp;Results_Long!J8</f>
        <v>1994 / 83 / 82</v>
      </c>
      <c r="C8" s="7" t="n">
        <f aca="false">Results_Long!K8</f>
        <v>-0.589581906891172</v>
      </c>
      <c r="D8" s="7" t="n">
        <f aca="false">Results_Long!P8</f>
        <v>-1.43025311705266</v>
      </c>
      <c r="E8" s="7" t="n">
        <f aca="false">Results_Long!Q8</f>
        <v>0.251089303270314</v>
      </c>
      <c r="F8" s="7" t="s">
        <v>188</v>
      </c>
      <c r="G8" s="7"/>
      <c r="H8" s="7"/>
      <c r="I8" s="8" t="n">
        <f aca="false">Results_Long!N8</f>
        <v>29.2239343040901</v>
      </c>
      <c r="J8" s="9" t="n">
        <f aca="false">Results_Long!O8</f>
        <v>0.162217960960178</v>
      </c>
    </row>
    <row r="9" customFormat="false" ht="15" hidden="false" customHeight="true" outlineLevel="0" collapsed="false">
      <c r="A9" s="5" t="s">
        <v>231</v>
      </c>
      <c r="B9" s="5" t="str">
        <f aca="false">Results_Long!H9&amp;" / "&amp;Results_Long!I9&amp;" / "&amp;Results_Long!J9</f>
        <v>1994 / 83 / 82</v>
      </c>
      <c r="C9" s="7" t="n">
        <f aca="false">Results_Long!K9</f>
        <v>-0.0578448618662273</v>
      </c>
      <c r="D9" s="7" t="n">
        <f aca="false">Results_Long!P9</f>
        <v>-0.097907632064487</v>
      </c>
      <c r="E9" s="7" t="n">
        <f aca="false">Results_Long!Q9</f>
        <v>-0.0177820916679677</v>
      </c>
      <c r="F9" s="7" t="n">
        <f aca="false">Results_Long!T9</f>
        <v>-0.0577804312561633</v>
      </c>
      <c r="G9" s="7" t="n">
        <f aca="false">Results_Long!U9</f>
        <v>-0.0975959825859368</v>
      </c>
      <c r="H9" s="7" t="n">
        <f aca="false">Results_Long!V9</f>
        <v>-0.0177802176560303</v>
      </c>
      <c r="I9" s="8" t="n">
        <f aca="false">Results_Long!N9</f>
        <v>79.2654702962969</v>
      </c>
      <c r="J9" s="9" t="n">
        <f aca="false">Results_Long!O9</f>
        <v>0.00520417528489042</v>
      </c>
    </row>
    <row r="10" customFormat="false" ht="15" hidden="false" customHeight="true" outlineLevel="0" collapsed="false">
      <c r="A10" s="5" t="s">
        <v>232</v>
      </c>
      <c r="B10" s="5" t="str">
        <f aca="false">Results_Long!H10&amp;" / "&amp;Results_Long!I10&amp;" / "&amp;Results_Long!J10</f>
        <v>1994 / 83 / 82</v>
      </c>
      <c r="C10" s="7" t="n">
        <f aca="false">Results_Long!K10</f>
        <v>-2.52009445151435</v>
      </c>
      <c r="D10" s="7" t="n">
        <f aca="false">Results_Long!P10</f>
        <v>-12.8351096316644</v>
      </c>
      <c r="E10" s="7" t="n">
        <f aca="false">Results_Long!Q10</f>
        <v>7.79492072863572</v>
      </c>
      <c r="F10" s="7" t="s">
        <v>188</v>
      </c>
      <c r="G10" s="7"/>
      <c r="H10" s="7"/>
      <c r="I10" s="8" t="n">
        <f aca="false">Results_Long!N10</f>
        <v>4.96672944662613</v>
      </c>
      <c r="J10" s="9" t="n">
        <f aca="false">Results_Long!O10</f>
        <v>0.556962363043772</v>
      </c>
    </row>
    <row r="11" customFormat="false" ht="15" hidden="false" customHeight="true" outlineLevel="0" collapsed="false">
      <c r="A11" s="5" t="s">
        <v>233</v>
      </c>
      <c r="B11" s="5" t="str">
        <f aca="false">Results_Long!H26&amp;" / "&amp;Results_Long!I26&amp;" / "&amp;Results_Long!J26</f>
        <v>1994 / 83 / 82</v>
      </c>
      <c r="C11" s="7" t="n">
        <f aca="false">Results_Long!K26</f>
        <v>-0.0666813167955588</v>
      </c>
      <c r="D11" s="7" t="n">
        <f aca="false">Results_Long!P26</f>
        <v>-0.131457323220361</v>
      </c>
      <c r="E11" s="7" t="n">
        <f aca="false">Results_Long!Q26</f>
        <v>-0.00190531037075718</v>
      </c>
      <c r="F11" s="7" t="n">
        <f aca="false">Results_Long!T26</f>
        <v>-0.0665826616976845</v>
      </c>
      <c r="G11" s="7" t="n">
        <f aca="false">Results_Long!U26</f>
        <v>-0.130705281990808</v>
      </c>
      <c r="H11" s="7" t="n">
        <f aca="false">Results_Long!V26</f>
        <v>-0.00190530806520313</v>
      </c>
      <c r="I11" s="8" t="n">
        <f aca="false">Results_Long!N26</f>
        <v>0</v>
      </c>
      <c r="J11" s="9" t="n">
        <f aca="false">Results_Long!O26</f>
        <v>0.04363147455807</v>
      </c>
    </row>
    <row r="12" customFormat="false" ht="15" hidden="false" customHeight="true" outlineLevel="0" collapsed="false">
      <c r="A12" s="5" t="s">
        <v>234</v>
      </c>
      <c r="B12" s="5" t="str">
        <f aca="false">Results_Long!H28&amp;" / "&amp;Results_Long!I28&amp;" / "&amp;Results_Long!J28</f>
        <v>1994 / 83 / 82</v>
      </c>
      <c r="C12" s="7" t="n">
        <f aca="false">Results_Long!K28</f>
        <v>-0.0218737584432693</v>
      </c>
      <c r="D12" s="7" t="n">
        <f aca="false">Results_Long!P28</f>
        <v>-0.131519546006025</v>
      </c>
      <c r="E12" s="7" t="n">
        <f aca="false">Results_Long!Q28</f>
        <v>0.0877720291194865</v>
      </c>
      <c r="F12" s="7" t="n">
        <f aca="false">Results_Long!T28</f>
        <v>-0.021870270528439</v>
      </c>
      <c r="G12" s="7" t="n">
        <f aca="false">Results_Long!U28</f>
        <v>-0.130766441272967</v>
      </c>
      <c r="H12" s="7" t="n">
        <f aca="false">Results_Long!V28</f>
        <v>0.0875473250395037</v>
      </c>
      <c r="I12" s="8" t="n">
        <f aca="false">Results_Long!N28</f>
        <v>0</v>
      </c>
      <c r="J12" s="9" t="n">
        <f aca="false">Results_Long!O28</f>
        <v>0.695795376456108</v>
      </c>
    </row>
    <row r="13" customFormat="false" ht="15" hidden="false" customHeight="true" outlineLevel="0" collapsed="false">
      <c r="A13" s="5" t="s">
        <v>235</v>
      </c>
      <c r="B13" s="5" t="str">
        <f aca="false">Results_Long!H32&amp;" / "&amp;Results_Long!I32&amp;" / "&amp;Results_Long!J32</f>
        <v>1994 / 83 / 82</v>
      </c>
      <c r="C13" s="7" t="n">
        <f aca="false">Results_Long!K32</f>
        <v>-0.0216399397115525</v>
      </c>
      <c r="D13" s="7" t="n">
        <f aca="false">Results_Long!P32</f>
        <v>-0.129092492308433</v>
      </c>
      <c r="E13" s="7" t="n">
        <f aca="false">Results_Long!Q32</f>
        <v>0.0927186021013579</v>
      </c>
      <c r="F13" s="7" t="n">
        <f aca="false">Results_Long!T32</f>
        <v>-0.0216365624434144</v>
      </c>
      <c r="G13" s="7" t="n">
        <f aca="false">Results_Long!U32</f>
        <v>-0.128380137186195</v>
      </c>
      <c r="H13" s="7" t="n">
        <f aca="false">Results_Long!V32</f>
        <v>0.0924538200227547</v>
      </c>
      <c r="I13" s="8" t="n">
        <f aca="false">Results_Long!N32</f>
        <v>0</v>
      </c>
      <c r="J13" s="9" t="n">
        <f aca="false">Results_Long!O32</f>
        <v>0.700956387635395</v>
      </c>
    </row>
    <row r="15" customFormat="false" ht="15" hidden="false" customHeight="true" outlineLevel="0" collapsed="false">
      <c r="A15" s="11" t="s">
        <v>236</v>
      </c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15" hidden="false" customHeight="true" outlineLevel="0" collapsed="false">
      <c r="A16" s="4" t="s">
        <v>176</v>
      </c>
      <c r="B16" s="4" t="s">
        <v>177</v>
      </c>
      <c r="C16" s="4" t="s">
        <v>178</v>
      </c>
      <c r="D16" s="4" t="s">
        <v>179</v>
      </c>
      <c r="E16" s="4" t="s">
        <v>180</v>
      </c>
      <c r="F16" s="4" t="s">
        <v>181</v>
      </c>
      <c r="G16" s="4" t="s">
        <v>182</v>
      </c>
      <c r="H16" s="4" t="s">
        <v>183</v>
      </c>
      <c r="I16" s="4" t="s">
        <v>184</v>
      </c>
      <c r="J16" s="4" t="s">
        <v>185</v>
      </c>
    </row>
    <row r="17" customFormat="false" ht="15" hidden="false" customHeight="true" outlineLevel="0" collapsed="false">
      <c r="A17" s="5" t="s">
        <v>237</v>
      </c>
      <c r="B17" s="5" t="str">
        <f aca="false">Results_Long!H12&amp;" / "&amp;Results_Long!I12&amp;" / "&amp;Results_Long!J12</f>
        <v>711 / 31 / 31</v>
      </c>
      <c r="C17" s="7" t="n">
        <f aca="false">Results_Long!K12</f>
        <v>-0.0245019196797718</v>
      </c>
      <c r="D17" s="7" t="n">
        <f aca="false">Results_Long!P12</f>
        <v>-0.0422109331746333</v>
      </c>
      <c r="E17" s="7" t="n">
        <f aca="false">Results_Long!Q12</f>
        <v>-0.00679290618491026</v>
      </c>
      <c r="F17" s="7" t="n">
        <f aca="false">Results_Long!T12</f>
        <v>-0.0244970176628824</v>
      </c>
      <c r="G17" s="7" t="n">
        <f aca="false">Results_Long!U12</f>
        <v>-0.0421858810712988</v>
      </c>
      <c r="H17" s="7" t="n">
        <f aca="false">Results_Long!V12</f>
        <v>-0.00679280170384798</v>
      </c>
      <c r="I17" s="8" t="n">
        <f aca="false">Results_Long!N12</f>
        <v>15.559825594153</v>
      </c>
      <c r="J17" s="9" t="n">
        <f aca="false">Results_Long!O12</f>
        <v>0.00983483283786867</v>
      </c>
    </row>
    <row r="18" customFormat="false" ht="15" hidden="false" customHeight="true" outlineLevel="0" collapsed="false">
      <c r="A18" s="5" t="s">
        <v>238</v>
      </c>
      <c r="B18" s="5" t="str">
        <f aca="false">Results_Long!H13&amp;" / "&amp;Results_Long!I13&amp;" / "&amp;Results_Long!J13</f>
        <v>711 / 31 / 31</v>
      </c>
      <c r="C18" s="7" t="n">
        <f aca="false">Results_Long!K13</f>
        <v>-1.23757861978053</v>
      </c>
      <c r="D18" s="7" t="n">
        <f aca="false">Results_Long!P13</f>
        <v>-2.01526551683469</v>
      </c>
      <c r="E18" s="7" t="n">
        <f aca="false">Results_Long!Q13</f>
        <v>-0.459891722726372</v>
      </c>
      <c r="F18" s="7" t="s">
        <v>188</v>
      </c>
      <c r="G18" s="7"/>
      <c r="H18" s="7"/>
      <c r="I18" s="8" t="n">
        <f aca="false">Results_Long!N13</f>
        <v>11.8294040128865</v>
      </c>
      <c r="J18" s="9" t="n">
        <f aca="false">Results_Long!O13</f>
        <v>0.00470061898615171</v>
      </c>
    </row>
    <row r="19" customFormat="false" ht="15" hidden="false" customHeight="true" outlineLevel="0" collapsed="false">
      <c r="A19" s="5" t="s">
        <v>239</v>
      </c>
      <c r="B19" s="5" t="str">
        <f aca="false">Results_Long!H14&amp;" / "&amp;Results_Long!I14&amp;" / "&amp;Results_Long!J14</f>
        <v>711 / 31 / 31</v>
      </c>
      <c r="C19" s="7" t="n">
        <f aca="false">Results_Long!K14</f>
        <v>-0.0445903868611066</v>
      </c>
      <c r="D19" s="7" t="n">
        <f aca="false">Results_Long!P14</f>
        <v>-0.0607590903986088</v>
      </c>
      <c r="E19" s="7" t="n">
        <f aca="false">Results_Long!Q14</f>
        <v>-0.0284216833236043</v>
      </c>
      <c r="F19" s="7" t="n">
        <f aca="false">Results_Long!T14</f>
        <v>-0.0445608572856603</v>
      </c>
      <c r="G19" s="7" t="n">
        <f aca="false">Results_Long!U14</f>
        <v>-0.0606844331961558</v>
      </c>
      <c r="H19" s="7" t="n">
        <f aca="false">Results_Long!V14</f>
        <v>-0.0284140328586645</v>
      </c>
      <c r="I19" s="8" t="n">
        <f aca="false">Results_Long!N14</f>
        <v>25.3960700815419</v>
      </c>
      <c r="J19" s="9" t="n">
        <f aca="false">Results_Long!O14</f>
        <v>6.20995033662385E-006</v>
      </c>
    </row>
    <row r="20" customFormat="false" ht="15" hidden="false" customHeight="true" outlineLevel="0" collapsed="false">
      <c r="A20" s="5" t="s">
        <v>240</v>
      </c>
      <c r="B20" s="5" t="str">
        <f aca="false">Results_Long!H15&amp;" / "&amp;Results_Long!I15&amp;" / "&amp;Results_Long!J15</f>
        <v>711 / 31 / 31</v>
      </c>
      <c r="C20" s="7" t="n">
        <f aca="false">Results_Long!K15</f>
        <v>-8.47352429509742</v>
      </c>
      <c r="D20" s="7" t="n">
        <f aca="false">Results_Long!P15</f>
        <v>-24.7835740358546</v>
      </c>
      <c r="E20" s="7" t="n">
        <f aca="false">Results_Long!Q15</f>
        <v>7.83652544565973</v>
      </c>
      <c r="F20" s="7" t="s">
        <v>188</v>
      </c>
      <c r="G20" s="7"/>
      <c r="H20" s="7"/>
      <c r="I20" s="8" t="n">
        <f aca="false">Results_Long!N15</f>
        <v>1.96526013800942</v>
      </c>
      <c r="J20" s="9" t="n">
        <f aca="false">Results_Long!O15</f>
        <v>0.15309131196993</v>
      </c>
    </row>
    <row r="21" customFormat="false" ht="15" hidden="false" customHeight="true" outlineLevel="0" collapsed="false">
      <c r="A21" s="5" t="s">
        <v>241</v>
      </c>
      <c r="B21" s="5" t="str">
        <f aca="false">Results_Long!H34&amp;" / "&amp;Results_Long!I34&amp;" / "&amp;Results_Long!J34</f>
        <v>711 / 31 / 31</v>
      </c>
      <c r="C21" s="7" t="n">
        <f aca="false">Results_Long!K34</f>
        <v>-0.0459074011439093</v>
      </c>
      <c r="D21" s="7" t="n">
        <f aca="false">Results_Long!P34</f>
        <v>-0.0787711735557306</v>
      </c>
      <c r="E21" s="7" t="n">
        <f aca="false">Results_Long!Q34</f>
        <v>-0.0130436287320879</v>
      </c>
      <c r="F21" s="7" t="n">
        <f aca="false">Results_Long!T34</f>
        <v>-0.0458751785188556</v>
      </c>
      <c r="G21" s="7" t="n">
        <f aca="false">Results_Long!U34</f>
        <v>-0.0786086545492822</v>
      </c>
      <c r="H21" s="7" t="n">
        <f aca="false">Results_Long!V34</f>
        <v>-0.0130428890510647</v>
      </c>
      <c r="I21" s="8" t="n">
        <f aca="false">Results_Long!N34</f>
        <v>0</v>
      </c>
      <c r="J21" s="9" t="n">
        <f aca="false">Results_Long!O34</f>
        <v>0.00618378496661631</v>
      </c>
    </row>
    <row r="22" customFormat="false" ht="15" hidden="false" customHeight="true" outlineLevel="0" collapsed="false">
      <c r="A22" s="5" t="s">
        <v>242</v>
      </c>
      <c r="B22" s="5" t="str">
        <f aca="false">Results_Long!H36&amp;" / "&amp;Results_Long!I36&amp;" / "&amp;Results_Long!J36</f>
        <v>711 / 31 / 31</v>
      </c>
      <c r="C22" s="7" t="n">
        <f aca="false">Results_Long!K36</f>
        <v>-0.00605909983978511</v>
      </c>
      <c r="D22" s="7" t="n">
        <f aca="false">Results_Long!P36</f>
        <v>-0.0662529424838018</v>
      </c>
      <c r="E22" s="7" t="n">
        <f aca="false">Results_Long!Q36</f>
        <v>0.0541347428042316</v>
      </c>
      <c r="F22" s="7" t="n">
        <f aca="false">Results_Long!T36</f>
        <v>-0.00605902569225419</v>
      </c>
      <c r="G22" s="7" t="n">
        <f aca="false">Results_Long!U36</f>
        <v>-0.0661561743383907</v>
      </c>
      <c r="H22" s="7" t="n">
        <f aca="false">Results_Long!V36</f>
        <v>0.0540819228291931</v>
      </c>
      <c r="I22" s="8" t="n">
        <f aca="false">Results_Long!N36</f>
        <v>0</v>
      </c>
      <c r="J22" s="9" t="n">
        <f aca="false">Results_Long!O36</f>
        <v>0.843600939154074</v>
      </c>
    </row>
    <row r="23" customFormat="false" ht="15" hidden="false" customHeight="true" outlineLevel="0" collapsed="false">
      <c r="A23" s="5" t="s">
        <v>243</v>
      </c>
      <c r="B23" s="5" t="str">
        <f aca="false">Results_Long!H40&amp;" / "&amp;Results_Long!I40&amp;" / "&amp;Results_Long!J40</f>
        <v>711 / 31 / 31</v>
      </c>
      <c r="C23" s="7" t="n">
        <f aca="false">Results_Long!K40</f>
        <v>-0.00808916419588873</v>
      </c>
      <c r="D23" s="7" t="n">
        <f aca="false">Results_Long!P40</f>
        <v>-0.0635858092458317</v>
      </c>
      <c r="E23" s="7" t="n">
        <f aca="false">Results_Long!Q40</f>
        <v>0.0597631322508727</v>
      </c>
      <c r="F23" s="7" t="n">
        <f aca="false">Results_Long!T40</f>
        <v>-0.00808898776349311</v>
      </c>
      <c r="G23" s="7" t="n">
        <f aca="false">Results_Long!U40</f>
        <v>-0.0635002518481273</v>
      </c>
      <c r="H23" s="7" t="n">
        <f aca="false">Results_Long!V40</f>
        <v>0.0596920831156389</v>
      </c>
      <c r="I23" s="8" t="n">
        <f aca="false">Results_Long!N40</f>
        <v>0</v>
      </c>
      <c r="J23" s="9" t="n">
        <f aca="false">Results_Long!O40</f>
        <v>0.793185525819658</v>
      </c>
    </row>
    <row r="25" customFormat="false" ht="15" hidden="false" customHeight="true" outlineLevel="0" collapsed="false">
      <c r="A25" s="4" t="s">
        <v>244</v>
      </c>
      <c r="B25" s="4" t="s">
        <v>245</v>
      </c>
      <c r="C25" s="4" t="s">
        <v>246</v>
      </c>
    </row>
    <row r="26" customFormat="false" ht="15" hidden="false" customHeight="true" outlineLevel="0" collapsed="false">
      <c r="A26" s="5" t="s">
        <v>214</v>
      </c>
      <c r="B26" s="14" t="n">
        <f aca="false">Results_Long!AG30</f>
        <v>0.685715302279003</v>
      </c>
      <c r="C26" s="14" t="n">
        <f aca="false">Results_Long!AG38</f>
        <v>0.338039455365706</v>
      </c>
    </row>
    <row r="27" customFormat="false" ht="15" hidden="false" customHeight="true" outlineLevel="0" collapsed="false">
      <c r="A27" s="5" t="s">
        <v>247</v>
      </c>
      <c r="B27" s="9" t="n">
        <f aca="false">Results_Long!O31</f>
        <v>0.308459222754111</v>
      </c>
      <c r="C27" s="9" t="n">
        <f aca="false">Results_Long!O39</f>
        <v>0.0799215468834531</v>
      </c>
    </row>
    <row r="28" customFormat="false" ht="15" hidden="false" customHeight="true" outlineLevel="0" collapsed="false">
      <c r="A28" s="5" t="s">
        <v>213</v>
      </c>
      <c r="B28" s="13" t="n">
        <f aca="false">Results_Long!AG29</f>
        <v>0.0908467434117216</v>
      </c>
      <c r="C28" s="13" t="n">
        <f aca="false">Results_Long!AG37</f>
        <v>0.00918623178970651</v>
      </c>
    </row>
    <row r="29" customFormat="false" ht="15" hidden="false" customHeight="true" outlineLevel="0" collapsed="false">
      <c r="A29" s="5" t="s">
        <v>248</v>
      </c>
      <c r="B29" s="10" t="n">
        <f aca="false">Results_Long!AG11</f>
        <v>1</v>
      </c>
      <c r="C29" s="10" t="n">
        <f aca="false">Results_Long!AG16</f>
        <v>1</v>
      </c>
    </row>
    <row r="31" customFormat="false" ht="15" hidden="false" customHeight="true" outlineLevel="0" collapsed="false">
      <c r="A31" s="11" t="s">
        <v>192</v>
      </c>
      <c r="B31" s="11"/>
      <c r="C31" s="11"/>
      <c r="D31" s="11"/>
      <c r="E31" s="11"/>
      <c r="F31" s="11"/>
      <c r="G31" s="11"/>
      <c r="H31" s="11"/>
      <c r="I31" s="11"/>
      <c r="J31" s="11"/>
    </row>
    <row r="32" customFormat="false" ht="34.5" hidden="false" customHeight="true" outlineLevel="0" collapsed="false">
      <c r="A32" s="12" t="s">
        <v>249</v>
      </c>
      <c r="B32" s="12"/>
      <c r="C32" s="12"/>
      <c r="D32" s="12"/>
      <c r="E32" s="12"/>
      <c r="F32" s="12"/>
      <c r="G32" s="12"/>
      <c r="H32" s="12"/>
      <c r="I32" s="12"/>
      <c r="J32" s="12"/>
    </row>
    <row r="34" customFormat="false" ht="15" hidden="false" customHeight="true" outlineLevel="0" collapsed="false">
      <c r="A34" s="4" t="s">
        <v>195</v>
      </c>
      <c r="B34" s="4" t="s">
        <v>196</v>
      </c>
    </row>
    <row r="35" customFormat="false" ht="25.5" hidden="false" customHeight="true" outlineLevel="0" collapsed="false">
      <c r="A35" s="6" t="s">
        <v>250</v>
      </c>
      <c r="B35" s="6" t="s">
        <v>251</v>
      </c>
    </row>
    <row r="36" customFormat="false" ht="25.5" hidden="false" customHeight="true" outlineLevel="0" collapsed="false">
      <c r="A36" s="6" t="s">
        <v>252</v>
      </c>
      <c r="B36" s="6" t="s">
        <v>253</v>
      </c>
    </row>
    <row r="37" customFormat="false" ht="25.5" hidden="false" customHeight="true" outlineLevel="0" collapsed="false">
      <c r="A37" s="6" t="s">
        <v>254</v>
      </c>
      <c r="B37" s="6" t="s">
        <v>255</v>
      </c>
    </row>
    <row r="39" customFormat="false" ht="15" hidden="false" customHeight="true" outlineLevel="0" collapsed="false">
      <c r="A39" s="11" t="str">
        <f aca="false">CONCATENATE("VERDICT (mechanical): Rule → PEESE in both periods (pre ",(IF(Results_Long!K9&lt;0,"-","+")&amp;INT(ABS(ROUND(Results_Long!K9,4)))&amp;"."&amp;RIGHT("0000"&amp;ROUND(MOD(ABS(ROUND(Results_Long!K9,4)),1)*10000,0),4))," · post ",(IF(Results_Long!K14&lt;0,"-","+")&amp;INT(ABS(ROUND(Results_Long!K14,4)))&amp;"."&amp;RIGHT("0000"&amp;ROUND(MOD(ABS(ROUND(Results_Long!K14,4)),1)*10000,0),4)),"); FAT significant post only (p = ",(IF(Results_Long!O13&lt;0,"-","")&amp;INT(ABS(ROUND(Results_Long!O13,4)))&amp;"."&amp;RIGHT("0000"&amp;ROUND(MOD(ABS(ROUND(Results_Long!O13,4)),1)*10000,0),4)),"). Assessment: wording per the resolved gate [DEC-044/DEC-047].")</f>
        <v>VERDICT (mechanical): Rule → PEESE in both periods (pre -0.0578 · post -0.0446); FAT significant post only (p = 0.0047). Assessment: wording per the resolved gate [DEC-044/DEC-047].</v>
      </c>
      <c r="B39" s="11"/>
      <c r="C39" s="11"/>
      <c r="D39" s="11"/>
      <c r="E39" s="11"/>
      <c r="F39" s="11"/>
      <c r="G39" s="11"/>
      <c r="H39" s="11"/>
      <c r="I39" s="11"/>
      <c r="J39" s="11"/>
    </row>
  </sheetData>
  <mergeCells count="8">
    <mergeCell ref="A1:J1"/>
    <mergeCell ref="A2:J2"/>
    <mergeCell ref="A3:J3"/>
    <mergeCell ref="A5:J5"/>
    <mergeCell ref="A15:J15"/>
    <mergeCell ref="A31:J31"/>
    <mergeCell ref="A32:J32"/>
    <mergeCell ref="A39:J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8" min="3" style="1" width="11"/>
    <col collapsed="false" customWidth="true" hidden="false" outlineLevel="0" max="9" min="9" style="1" width="8"/>
    <col collapsed="false" customWidth="true" hidden="false" outlineLevel="0" max="10" min="10" style="1" width="10"/>
  </cols>
  <sheetData>
    <row r="1" customFormat="false" ht="15" hidden="false" customHeight="true" outlineLevel="0" collapsed="false">
      <c r="A1" s="2" t="s">
        <v>256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257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3" t="s">
        <v>258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15" hidden="false" customHeight="true" outlineLevel="0" collapsed="false">
      <c r="A5" s="4" t="s">
        <v>176</v>
      </c>
      <c r="B5" s="4" t="s">
        <v>177</v>
      </c>
      <c r="C5" s="4" t="s">
        <v>178</v>
      </c>
      <c r="D5" s="4" t="s">
        <v>179</v>
      </c>
      <c r="E5" s="4" t="s">
        <v>180</v>
      </c>
      <c r="F5" s="4" t="s">
        <v>181</v>
      </c>
      <c r="G5" s="4" t="s">
        <v>182</v>
      </c>
      <c r="H5" s="4" t="s">
        <v>183</v>
      </c>
      <c r="I5" s="4" t="s">
        <v>184</v>
      </c>
      <c r="J5" s="4" t="s">
        <v>185</v>
      </c>
    </row>
    <row r="6" customFormat="false" ht="15" hidden="false" customHeight="true" outlineLevel="0" collapsed="false">
      <c r="A6" s="5" t="s">
        <v>259</v>
      </c>
      <c r="B6" s="5" t="str">
        <f aca="false">Results_Long!H42&amp;" / "&amp;Results_Long!I42&amp;" / "&amp;Results_Long!J42</f>
        <v>2713 / 115 / 114</v>
      </c>
      <c r="C6" s="7" t="n">
        <f aca="false">Results_Long!K42</f>
        <v>-0.0590102518472975</v>
      </c>
      <c r="D6" s="7" t="n">
        <f aca="false">Results_Long!P42</f>
        <v>-0.0900920421325697</v>
      </c>
      <c r="E6" s="7" t="n">
        <f aca="false">Results_Long!Q42</f>
        <v>-0.0279284615620254</v>
      </c>
      <c r="F6" s="7" t="n">
        <f aca="false">Results_Long!T42</f>
        <v>-0.0589418517595526</v>
      </c>
      <c r="G6" s="7" t="n">
        <f aca="false">Results_Long!U42</f>
        <v>-0.0898490845914462</v>
      </c>
      <c r="H6" s="7" t="n">
        <f aca="false">Results_Long!V42</f>
        <v>-0.0279212024364883</v>
      </c>
      <c r="I6" s="8" t="n">
        <f aca="false">Results_Long!N42</f>
        <v>97.7607573397219</v>
      </c>
      <c r="J6" s="9" t="n">
        <f aca="false">Results_Long!O42</f>
        <v>0.000281712850604012</v>
      </c>
    </row>
    <row r="7" customFormat="false" ht="15" hidden="false" customHeight="true" outlineLevel="0" collapsed="false">
      <c r="A7" s="5" t="s">
        <v>260</v>
      </c>
      <c r="B7" s="5" t="str">
        <f aca="false">Results_Long!H43&amp;" / "&amp;Results_Long!I43&amp;" / "&amp;Results_Long!J43</f>
        <v>2713 / 115 / 114</v>
      </c>
      <c r="C7" s="7" t="n">
        <f aca="false">Results_Long!K43</f>
        <v>-0.0565399889804912</v>
      </c>
      <c r="D7" s="7" t="n">
        <f aca="false">Results_Long!P43</f>
        <v>-0.103818330524375</v>
      </c>
      <c r="E7" s="7" t="n">
        <f aca="false">Results_Long!Q43</f>
        <v>-0.00926164743660708</v>
      </c>
      <c r="F7" s="7" t="n">
        <f aca="false">Results_Long!T43</f>
        <v>-0.0564798174675958</v>
      </c>
      <c r="G7" s="7" t="n">
        <f aca="false">Results_Long!U43</f>
        <v>-0.103446938464178</v>
      </c>
      <c r="H7" s="7" t="n">
        <f aca="false">Results_Long!V43</f>
        <v>-0.00926138263014538</v>
      </c>
      <c r="I7" s="8" t="n">
        <f aca="false">Results_Long!N43</f>
        <v>12.9876948314167</v>
      </c>
      <c r="J7" s="9" t="n">
        <f aca="false">Results_Long!O43</f>
        <v>0.0227054271641443</v>
      </c>
    </row>
    <row r="8" customFormat="false" ht="15" hidden="false" customHeight="true" outlineLevel="0" collapsed="false">
      <c r="A8" s="5" t="s">
        <v>261</v>
      </c>
      <c r="B8" s="5" t="str">
        <f aca="false">Results_Long!H44&amp;" / "&amp;Results_Long!I44&amp;" / "&amp;Results_Long!J44</f>
        <v>2713 / 115 / 114</v>
      </c>
      <c r="C8" s="7" t="n">
        <f aca="false">Results_Long!K44</f>
        <v>0.00247026286680631</v>
      </c>
      <c r="D8" s="7" t="n">
        <f aca="false">Results_Long!P44</f>
        <v>-0.0542679927070935</v>
      </c>
      <c r="E8" s="7" t="n">
        <f aca="false">Results_Long!Q44</f>
        <v>0.0592085184407062</v>
      </c>
      <c r="F8" s="7" t="s">
        <v>188</v>
      </c>
      <c r="G8" s="7"/>
      <c r="H8" s="7"/>
      <c r="I8" s="8" t="n">
        <f aca="false">Results_Long!N44</f>
        <v>17.144110359856</v>
      </c>
      <c r="J8" s="9" t="n">
        <f aca="false">Results_Long!O44</f>
        <v>0.92792257623666</v>
      </c>
    </row>
    <row r="10" customFormat="false" ht="34.5" hidden="false" customHeight="true" outlineLevel="0" collapsed="false">
      <c r="A10" s="5" t="s">
        <v>262</v>
      </c>
      <c r="B10" s="14" t="n">
        <f aca="false">Results_Long!M45</f>
        <v>0.00842689044209377</v>
      </c>
      <c r="C10" s="6" t="str">
        <f aca="false">"F; df = "&amp;(IF(Results_Long!N45&lt;0,"-","")&amp;INT(ABS(ROUND(Results_Long!N45,1)))&amp;"."&amp;RIGHT("0"&amp;ROUND(MOD(ABS(ROUND(Results_Long!N45,1)),1)*10,0),1))&amp;"; p = "&amp;(IF(Results_Long!O45&lt;0,"-","")&amp;INT(ABS(ROUND(Results_Long!O45,4)))&amp;"."&amp;RIGHT("0000"&amp;ROUND(MOD(ABS(ROUND(Results_Long!O45,4)),1)*10000,0),4))&amp;"; num_df = 1"</f>
        <v>F; df = 17.1; p = 0.9279; num_df = 1</v>
      </c>
    </row>
    <row r="12" customFormat="false" ht="15" hidden="false" customHeight="true" outlineLevel="0" collapsed="false">
      <c r="A12" s="11" t="s">
        <v>192</v>
      </c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34.5" hidden="false" customHeight="true" outlineLevel="0" collapsed="false">
      <c r="A13" s="12" t="s">
        <v>263</v>
      </c>
      <c r="B13" s="12"/>
      <c r="C13" s="12"/>
      <c r="D13" s="12"/>
      <c r="E13" s="12"/>
      <c r="F13" s="12"/>
      <c r="G13" s="12"/>
      <c r="H13" s="12"/>
      <c r="I13" s="12"/>
      <c r="J13" s="12"/>
    </row>
    <row r="14" customFormat="false" ht="23.25" hidden="false" customHeight="true" outlineLevel="0" collapsed="false">
      <c r="A14" s="12" t="s">
        <v>264</v>
      </c>
      <c r="B14" s="12"/>
      <c r="C14" s="12"/>
      <c r="D14" s="12"/>
      <c r="E14" s="12"/>
      <c r="F14" s="12"/>
      <c r="G14" s="12"/>
      <c r="H14" s="12"/>
      <c r="I14" s="12"/>
      <c r="J14" s="12"/>
    </row>
    <row r="16" customFormat="false" ht="15" hidden="false" customHeight="true" outlineLevel="0" collapsed="false">
      <c r="A16" s="4" t="s">
        <v>195</v>
      </c>
      <c r="B16" s="4" t="s">
        <v>196</v>
      </c>
    </row>
    <row r="17" customFormat="false" ht="25.5" hidden="false" customHeight="true" outlineLevel="0" collapsed="false">
      <c r="A17" s="6" t="s">
        <v>265</v>
      </c>
      <c r="B17" s="6" t="s">
        <v>266</v>
      </c>
    </row>
    <row r="18" customFormat="false" ht="25.5" hidden="false" customHeight="true" outlineLevel="0" collapsed="false">
      <c r="A18" s="6" t="s">
        <v>267</v>
      </c>
      <c r="B18" s="6" t="s">
        <v>268</v>
      </c>
    </row>
    <row r="20" customFormat="false" ht="15" hidden="false" customHeight="true" outlineLevel="0" collapsed="false">
      <c r="A20" s="11" t="str">
        <f aca="false">CONCATENATE("VERDICT (mechanical): Grey contrast = ",(IF(Results_Long!K44&lt;0,"-","+")&amp;INT(ABS(ROUND(Results_Long!K44,4)))&amp;"."&amp;RIGHT("0000"&amp;ROUND(MOD(ABS(ROUND(Results_Long!K44,4)),1)*10000,0),4))," [",(IF(Results_Long!P44&lt;0,"-","+")&amp;INT(ABS(ROUND(Results_Long!P44,4)))&amp;"."&amp;RIGHT("0000"&amp;ROUND(MOD(ABS(ROUND(Results_Long!P44,4)),1)*10000,0),4)),"; ",(IF(Results_Long!Q44&lt;0,"-","+")&amp;INT(ABS(ROUND(Results_Long!Q44,4)))&amp;"."&amp;RIGHT("0000"&amp;ROUND(MOD(ABS(ROUND(Results_Long!Q44,4)),1)*10000,0),4)),"], p = ",(IF(Results_Long!O44&lt;0,"-","")&amp;INT(ABS(ROUND(Results_Long!O44,4)))&amp;"."&amp;RIGHT("0000"&amp;ROUND(MOD(ABS(ROUND(Results_Long!O44,4)),1)*10000,0),4))," — precise null on the direct check. Assessment: wording per the resolved gate [DEC-044/DEC-047].")</f>
        <v>VERDICT (mechanical): Grey contrast = +0.0025 [-0.0543; +0.0592], p = 0.9279 — precise null on the direct check. Assessment: wording per the resolved gate [DEC-044/DEC-047].</v>
      </c>
      <c r="B20" s="11"/>
      <c r="C20" s="11"/>
      <c r="D20" s="11"/>
      <c r="E20" s="11"/>
      <c r="F20" s="11"/>
      <c r="G20" s="11"/>
      <c r="H20" s="11"/>
      <c r="I20" s="11"/>
      <c r="J20" s="11"/>
    </row>
  </sheetData>
  <mergeCells count="7">
    <mergeCell ref="A1:J1"/>
    <mergeCell ref="A2:J2"/>
    <mergeCell ref="A3:J3"/>
    <mergeCell ref="A12:J12"/>
    <mergeCell ref="A13:J13"/>
    <mergeCell ref="A14:J14"/>
    <mergeCell ref="A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3"/>
    <col collapsed="false" customWidth="true" hidden="false" outlineLevel="0" max="5" min="5" style="1" width="26"/>
  </cols>
  <sheetData>
    <row r="1" customFormat="false" ht="15" hidden="false" customHeight="true" outlineLevel="0" collapsed="false">
      <c r="A1" s="2" t="s">
        <v>269</v>
      </c>
      <c r="B1" s="2"/>
      <c r="C1" s="2"/>
      <c r="D1" s="2"/>
      <c r="E1" s="2"/>
    </row>
    <row r="2" customFormat="false" ht="15" hidden="false" customHeight="true" outlineLevel="0" collapsed="false">
      <c r="A2" s="3" t="s">
        <v>270</v>
      </c>
      <c r="B2" s="3"/>
      <c r="C2" s="3"/>
      <c r="D2" s="3"/>
      <c r="E2" s="3"/>
    </row>
    <row r="3" customFormat="false" ht="15" hidden="false" customHeight="true" outlineLevel="0" collapsed="false">
      <c r="A3" s="3" t="s">
        <v>271</v>
      </c>
      <c r="B3" s="3"/>
      <c r="C3" s="3"/>
      <c r="D3" s="3"/>
      <c r="E3" s="3"/>
    </row>
    <row r="5" customFormat="false" ht="15" hidden="false" customHeight="true" outlineLevel="0" collapsed="false">
      <c r="A5" s="15" t="s">
        <v>272</v>
      </c>
      <c r="B5" s="15"/>
      <c r="C5" s="15"/>
      <c r="D5" s="15"/>
      <c r="E5" s="15"/>
    </row>
    <row r="7" customFormat="false" ht="15" hidden="false" customHeight="true" outlineLevel="0" collapsed="false">
      <c r="A7" s="4" t="s">
        <v>273</v>
      </c>
      <c r="B7" s="4" t="s">
        <v>178</v>
      </c>
      <c r="C7" s="4" t="s">
        <v>179</v>
      </c>
      <c r="D7" s="4" t="s">
        <v>180</v>
      </c>
      <c r="E7" s="4" t="s">
        <v>274</v>
      </c>
    </row>
    <row r="8" customFormat="false" ht="23.25" hidden="false" customHeight="true" outlineLevel="0" collapsed="false">
      <c r="A8" s="6" t="s">
        <v>275</v>
      </c>
      <c r="B8" s="5"/>
      <c r="C8" s="5"/>
      <c r="D8" s="5"/>
      <c r="E8" s="6" t="s">
        <v>276</v>
      </c>
    </row>
    <row r="9" customFormat="false" ht="15" hidden="false" customHeight="true" outlineLevel="0" collapsed="false">
      <c r="A9" s="6" t="s">
        <v>277</v>
      </c>
      <c r="B9" s="7" t="n">
        <f aca="false">Results_Long!K17</f>
        <v>-0.0616600348248416</v>
      </c>
      <c r="C9" s="7" t="n">
        <f aca="false">Results_Long!P17</f>
        <v>-0.10914692393813</v>
      </c>
      <c r="D9" s="7" t="n">
        <f aca="false">Results_Long!Q17</f>
        <v>-0.0141731457115531</v>
      </c>
      <c r="E9" s="6" t="s">
        <v>278</v>
      </c>
    </row>
    <row r="10" customFormat="false" ht="23.25" hidden="false" customHeight="true" outlineLevel="0" collapsed="false">
      <c r="A10" s="6" t="s">
        <v>279</v>
      </c>
      <c r="B10" s="7" t="n">
        <f aca="false">Results_Long!K2</f>
        <v>-0.0431579430601927</v>
      </c>
      <c r="C10" s="7" t="n">
        <f aca="false">Results_Long!P2</f>
        <v>-0.076041493943883</v>
      </c>
      <c r="D10" s="7" t="n">
        <f aca="false">Results_Long!Q2</f>
        <v>-0.0102743921765023</v>
      </c>
      <c r="E10" s="6" t="s">
        <v>280</v>
      </c>
    </row>
    <row r="11" customFormat="false" ht="15" hidden="false" customHeight="true" outlineLevel="0" collapsed="false">
      <c r="A11" s="6" t="s">
        <v>281</v>
      </c>
      <c r="B11" s="7" t="n">
        <f aca="false">Results_Long!K4</f>
        <v>-0.0551989030921712</v>
      </c>
      <c r="C11" s="7" t="n">
        <f aca="false">Results_Long!P4</f>
        <v>-0.0836192718493391</v>
      </c>
      <c r="D11" s="7" t="n">
        <f aca="false">Results_Long!Q4</f>
        <v>-0.0267785343350033</v>
      </c>
      <c r="E11" s="6" t="s">
        <v>282</v>
      </c>
    </row>
    <row r="12" customFormat="false" ht="15" hidden="false" customHeight="true" outlineLevel="0" collapsed="false">
      <c r="A12" s="6" t="s">
        <v>283</v>
      </c>
      <c r="B12" s="7" t="n">
        <f aca="false">Results_Long!K19</f>
        <v>0.0116898513182097</v>
      </c>
      <c r="C12" s="7" t="n">
        <f aca="false">Results_Long!P19</f>
        <v>-0.0707993723699998</v>
      </c>
      <c r="D12" s="7" t="n">
        <f aca="false">Results_Long!Q19</f>
        <v>0.0941790750064191</v>
      </c>
      <c r="E12" s="6" t="s">
        <v>284</v>
      </c>
    </row>
    <row r="13" customFormat="false" ht="15" hidden="false" customHeight="true" outlineLevel="0" collapsed="false">
      <c r="A13" s="6" t="s">
        <v>285</v>
      </c>
      <c r="B13" s="7" t="n">
        <f aca="false">Results_Long!K23</f>
        <v>0.0118401856060274</v>
      </c>
      <c r="C13" s="7" t="n">
        <f aca="false">Results_Long!P23</f>
        <v>-0.0685846353910595</v>
      </c>
      <c r="D13" s="7" t="n">
        <f aca="false">Results_Long!Q23</f>
        <v>0.0978022609818605</v>
      </c>
      <c r="E13" s="6" t="s">
        <v>286</v>
      </c>
    </row>
    <row r="14" customFormat="false" ht="15" hidden="false" customHeight="true" outlineLevel="0" collapsed="false">
      <c r="A14" s="6" t="s">
        <v>287</v>
      </c>
      <c r="B14" s="7" t="n">
        <f aca="false">Results_Long!K44</f>
        <v>0.00247026286680631</v>
      </c>
      <c r="C14" s="7" t="n">
        <f aca="false">Results_Long!P44</f>
        <v>-0.0542679927070935</v>
      </c>
      <c r="D14" s="7" t="n">
        <f aca="false">Results_Long!Q44</f>
        <v>0.0592085184407062</v>
      </c>
      <c r="E14" s="6" t="s">
        <v>288</v>
      </c>
    </row>
    <row r="15" customFormat="false" ht="34.5" hidden="false" customHeight="true" outlineLevel="0" collapsed="false">
      <c r="A15" s="16" t="s">
        <v>289</v>
      </c>
      <c r="B15" s="17"/>
      <c r="C15" s="17"/>
      <c r="D15" s="17"/>
      <c r="E15" s="16" t="s">
        <v>290</v>
      </c>
    </row>
    <row r="17" customFormat="false" ht="15" hidden="false" customHeight="true" outlineLevel="0" collapsed="false">
      <c r="A17" s="11" t="s">
        <v>291</v>
      </c>
      <c r="B17" s="11"/>
      <c r="C17" s="11"/>
      <c r="D17" s="11"/>
      <c r="E17" s="11"/>
    </row>
    <row r="18" customFormat="false" ht="57" hidden="false" customHeight="true" outlineLevel="0" collapsed="false">
      <c r="A18" s="12" t="s">
        <v>292</v>
      </c>
      <c r="B18" s="12"/>
      <c r="C18" s="12"/>
      <c r="D18" s="12"/>
      <c r="E18" s="12"/>
    </row>
    <row r="20" customFormat="false" ht="15" hidden="false" customHeight="true" outlineLevel="0" collapsed="false">
      <c r="A20" s="11" t="s">
        <v>293</v>
      </c>
      <c r="B20" s="11"/>
      <c r="C20" s="11"/>
      <c r="D20" s="11"/>
      <c r="E20" s="11"/>
    </row>
  </sheetData>
  <mergeCells count="7">
    <mergeCell ref="A1:E1"/>
    <mergeCell ref="A2:E2"/>
    <mergeCell ref="A3:E3"/>
    <mergeCell ref="A5:E5"/>
    <mergeCell ref="A17:E17"/>
    <mergeCell ref="A18:E18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9"/>
    <col collapsed="false" customWidth="true" hidden="false" outlineLevel="0" max="6" min="6" style="1" width="20"/>
    <col collapsed="false" customWidth="true" hidden="false" outlineLevel="0" max="7" min="7" style="1" width="5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0" min="10" style="1" width="9"/>
    <col collapsed="false" customWidth="true" hidden="false" outlineLevel="0" max="36" min="11" style="1" width="12"/>
  </cols>
  <sheetData>
    <row r="1" customFormat="false" ht="15" hidden="false" customHeight="true" outlineLevel="0" collapsed="false">
      <c r="A1" s="4" t="s">
        <v>294</v>
      </c>
      <c r="B1" s="4" t="s">
        <v>295</v>
      </c>
      <c r="C1" s="4" t="s">
        <v>296</v>
      </c>
      <c r="D1" s="4" t="s">
        <v>297</v>
      </c>
      <c r="E1" s="4" t="s">
        <v>298</v>
      </c>
      <c r="F1" s="4" t="s">
        <v>299</v>
      </c>
      <c r="G1" s="4" t="s">
        <v>300</v>
      </c>
      <c r="H1" s="4" t="s">
        <v>301</v>
      </c>
      <c r="I1" s="4" t="s">
        <v>302</v>
      </c>
      <c r="J1" s="4" t="s">
        <v>303</v>
      </c>
      <c r="K1" s="4" t="s">
        <v>178</v>
      </c>
      <c r="L1" s="4" t="s">
        <v>304</v>
      </c>
      <c r="M1" s="4" t="s">
        <v>305</v>
      </c>
      <c r="N1" s="4" t="s">
        <v>184</v>
      </c>
      <c r="O1" s="4" t="s">
        <v>185</v>
      </c>
      <c r="P1" s="4" t="s">
        <v>179</v>
      </c>
      <c r="Q1" s="4" t="s">
        <v>180</v>
      </c>
      <c r="R1" s="4" t="s">
        <v>306</v>
      </c>
      <c r="S1" s="4" t="s">
        <v>307</v>
      </c>
      <c r="T1" s="4" t="s">
        <v>181</v>
      </c>
      <c r="U1" s="4" t="s">
        <v>182</v>
      </c>
      <c r="V1" s="4" t="s">
        <v>183</v>
      </c>
      <c r="W1" s="4" t="s">
        <v>308</v>
      </c>
      <c r="X1" s="4" t="s">
        <v>309</v>
      </c>
      <c r="Y1" s="4" t="s">
        <v>310</v>
      </c>
      <c r="Z1" s="4" t="s">
        <v>311</v>
      </c>
      <c r="AA1" s="4" t="s">
        <v>312</v>
      </c>
      <c r="AB1" s="4" t="s">
        <v>313</v>
      </c>
      <c r="AC1" s="4" t="s">
        <v>314</v>
      </c>
      <c r="AD1" s="4" t="s">
        <v>315</v>
      </c>
      <c r="AE1" s="4" t="s">
        <v>316</v>
      </c>
      <c r="AF1" s="4" t="s">
        <v>317</v>
      </c>
      <c r="AG1" s="4" t="s">
        <v>318</v>
      </c>
      <c r="AH1" s="4" t="s">
        <v>319</v>
      </c>
      <c r="AI1" s="4" t="s">
        <v>320</v>
      </c>
      <c r="AJ1" s="4" t="s">
        <v>321</v>
      </c>
    </row>
    <row r="2" customFormat="false" ht="15" hidden="false" customHeight="true" outlineLevel="0" collapsed="false">
      <c r="A2" s="18" t="s">
        <v>322</v>
      </c>
      <c r="B2" s="18" t="s">
        <v>323</v>
      </c>
      <c r="C2" s="18" t="s">
        <v>324</v>
      </c>
      <c r="D2" s="18" t="s">
        <v>325</v>
      </c>
      <c r="E2" s="18" t="s">
        <v>326</v>
      </c>
      <c r="F2" s="18" t="s">
        <v>327</v>
      </c>
      <c r="G2" s="18" t="n">
        <v>0.6</v>
      </c>
      <c r="H2" s="18" t="n">
        <v>2713</v>
      </c>
      <c r="I2" s="18" t="n">
        <v>115</v>
      </c>
      <c r="J2" s="18" t="n">
        <v>114</v>
      </c>
      <c r="K2" s="18" t="n">
        <v>-0.0431579430601927</v>
      </c>
      <c r="L2" s="18" t="n">
        <v>0.0165752718582364</v>
      </c>
      <c r="M2" s="18" t="n">
        <v>-2.60375476368112</v>
      </c>
      <c r="N2" s="18" t="n">
        <v>100.327980962336</v>
      </c>
      <c r="O2" s="18" t="n">
        <v>0.0106197179301084</v>
      </c>
      <c r="P2" s="18" t="n">
        <v>-0.076041493943883</v>
      </c>
      <c r="Q2" s="18" t="n">
        <v>-0.0102743921765023</v>
      </c>
      <c r="R2" s="18"/>
      <c r="S2" s="18"/>
      <c r="T2" s="18" t="n">
        <v>-0.0431311675648736</v>
      </c>
      <c r="U2" s="18" t="n">
        <v>-0.0758952670130507</v>
      </c>
      <c r="V2" s="18" t="n">
        <v>-0.0102740306594194</v>
      </c>
      <c r="W2" s="18"/>
      <c r="X2" s="18"/>
      <c r="Y2" s="18" t="n">
        <v>0.0193283043882474</v>
      </c>
      <c r="Z2" s="18" t="n">
        <v>1.45049533944469E-009</v>
      </c>
      <c r="AA2" s="18" t="n">
        <v>0.0118671551239875</v>
      </c>
      <c r="AB2" s="18"/>
      <c r="AC2" s="18"/>
      <c r="AD2" s="18"/>
      <c r="AE2" s="18"/>
      <c r="AF2" s="18"/>
      <c r="AG2" s="18"/>
      <c r="AH2" s="19" t="b">
        <f aca="false">TRUE()</f>
        <v>1</v>
      </c>
      <c r="AI2" s="18" t="s">
        <v>328</v>
      </c>
      <c r="AJ2" s="18" t="s">
        <v>329</v>
      </c>
    </row>
    <row r="3" customFormat="false" ht="15" hidden="false" customHeight="true" outlineLevel="0" collapsed="false">
      <c r="A3" s="18" t="s">
        <v>322</v>
      </c>
      <c r="B3" s="18" t="s">
        <v>323</v>
      </c>
      <c r="C3" s="18" t="s">
        <v>324</v>
      </c>
      <c r="D3" s="18" t="s">
        <v>330</v>
      </c>
      <c r="E3" s="18" t="s">
        <v>326</v>
      </c>
      <c r="F3" s="18" t="s">
        <v>327</v>
      </c>
      <c r="G3" s="18" t="n">
        <v>0.6</v>
      </c>
      <c r="H3" s="18" t="n">
        <v>2713</v>
      </c>
      <c r="I3" s="18" t="n">
        <v>115</v>
      </c>
      <c r="J3" s="18" t="n">
        <v>114</v>
      </c>
      <c r="K3" s="18" t="n">
        <v>-0.642214389107309</v>
      </c>
      <c r="L3" s="18" t="n">
        <v>0.316489739170929</v>
      </c>
      <c r="M3" s="18" t="n">
        <v>-2.02917917904587</v>
      </c>
      <c r="N3" s="18" t="n">
        <v>35.3011120989995</v>
      </c>
      <c r="O3" s="18" t="n">
        <v>0.0500331378702088</v>
      </c>
      <c r="P3" s="18" t="n">
        <v>-1.28452686382888</v>
      </c>
      <c r="Q3" s="18" t="n">
        <v>9.80856142624997E-005</v>
      </c>
      <c r="R3" s="18"/>
      <c r="S3" s="18"/>
      <c r="T3" s="18"/>
      <c r="U3" s="18"/>
      <c r="V3" s="18"/>
      <c r="W3" s="18"/>
      <c r="X3" s="18"/>
      <c r="Y3" s="18" t="n">
        <v>0.0193283043882474</v>
      </c>
      <c r="Z3" s="18" t="n">
        <v>1.45049533944469E-009</v>
      </c>
      <c r="AA3" s="18" t="n">
        <v>0.0118671551239875</v>
      </c>
      <c r="AB3" s="18"/>
      <c r="AC3" s="18"/>
      <c r="AD3" s="18"/>
      <c r="AE3" s="18"/>
      <c r="AF3" s="18"/>
      <c r="AG3" s="18"/>
      <c r="AH3" s="19" t="b">
        <f aca="false">TRUE()</f>
        <v>1</v>
      </c>
      <c r="AI3" s="18" t="s">
        <v>331</v>
      </c>
      <c r="AJ3" s="18" t="s">
        <v>329</v>
      </c>
    </row>
    <row r="4" customFormat="false" ht="15" hidden="false" customHeight="true" outlineLevel="0" collapsed="false">
      <c r="A4" s="18" t="s">
        <v>322</v>
      </c>
      <c r="B4" s="18" t="s">
        <v>332</v>
      </c>
      <c r="C4" s="18" t="s">
        <v>324</v>
      </c>
      <c r="D4" s="18" t="s">
        <v>325</v>
      </c>
      <c r="E4" s="18" t="s">
        <v>326</v>
      </c>
      <c r="F4" s="18" t="s">
        <v>327</v>
      </c>
      <c r="G4" s="18" t="n">
        <v>0.6</v>
      </c>
      <c r="H4" s="18" t="n">
        <v>2713</v>
      </c>
      <c r="I4" s="18" t="n">
        <v>115</v>
      </c>
      <c r="J4" s="18" t="n">
        <v>114</v>
      </c>
      <c r="K4" s="18" t="n">
        <v>-0.0551989030921712</v>
      </c>
      <c r="L4" s="18" t="n">
        <v>0.0143407971188147</v>
      </c>
      <c r="M4" s="18" t="n">
        <v>-3.84908193281334</v>
      </c>
      <c r="N4" s="18" t="n">
        <v>109.904402640103</v>
      </c>
      <c r="O4" s="18" t="n">
        <v>0.00019947958813446</v>
      </c>
      <c r="P4" s="18" t="n">
        <v>-0.0836192718493391</v>
      </c>
      <c r="Q4" s="18" t="n">
        <v>-0.0267785343350033</v>
      </c>
      <c r="R4" s="18"/>
      <c r="S4" s="18"/>
      <c r="T4" s="18" t="n">
        <v>-0.055142909141048</v>
      </c>
      <c r="U4" s="18" t="n">
        <v>-0.0834249216641385</v>
      </c>
      <c r="V4" s="18" t="n">
        <v>-0.0267721352982913</v>
      </c>
      <c r="W4" s="18"/>
      <c r="X4" s="18"/>
      <c r="Y4" s="18" t="n">
        <v>0.0196470418747434</v>
      </c>
      <c r="Z4" s="18" t="n">
        <v>2.9652893690706E-009</v>
      </c>
      <c r="AA4" s="18" t="n">
        <v>0.0118678795891937</v>
      </c>
      <c r="AB4" s="18"/>
      <c r="AC4" s="18"/>
      <c r="AD4" s="18"/>
      <c r="AE4" s="18"/>
      <c r="AF4" s="18"/>
      <c r="AG4" s="18"/>
      <c r="AH4" s="19" t="b">
        <f aca="false">TRUE()</f>
        <v>1</v>
      </c>
      <c r="AI4" s="18" t="s">
        <v>333</v>
      </c>
      <c r="AJ4" s="18" t="s">
        <v>334</v>
      </c>
    </row>
    <row r="5" customFormat="false" ht="15" hidden="false" customHeight="true" outlineLevel="0" collapsed="false">
      <c r="A5" s="18" t="s">
        <v>322</v>
      </c>
      <c r="B5" s="18" t="s">
        <v>332</v>
      </c>
      <c r="C5" s="18" t="s">
        <v>324</v>
      </c>
      <c r="D5" s="18" t="s">
        <v>335</v>
      </c>
      <c r="E5" s="18" t="s">
        <v>326</v>
      </c>
      <c r="F5" s="18" t="s">
        <v>327</v>
      </c>
      <c r="G5" s="18" t="n">
        <v>0.6</v>
      </c>
      <c r="H5" s="18" t="n">
        <v>2713</v>
      </c>
      <c r="I5" s="18" t="n">
        <v>115</v>
      </c>
      <c r="J5" s="18" t="n">
        <v>114</v>
      </c>
      <c r="K5" s="18" t="n">
        <v>-3.87041879611485</v>
      </c>
      <c r="L5" s="18" t="n">
        <v>2.83016530628596</v>
      </c>
      <c r="M5" s="18" t="n">
        <v>-1.36755926854111</v>
      </c>
      <c r="N5" s="18" t="n">
        <v>6.39134162828664</v>
      </c>
      <c r="O5" s="18" t="n">
        <v>0.217590259836502</v>
      </c>
      <c r="P5" s="18" t="n">
        <v>-10.6940855487755</v>
      </c>
      <c r="Q5" s="18" t="n">
        <v>2.95324795654579</v>
      </c>
      <c r="R5" s="18"/>
      <c r="S5" s="18"/>
      <c r="T5" s="18"/>
      <c r="U5" s="18"/>
      <c r="V5" s="18"/>
      <c r="W5" s="18"/>
      <c r="X5" s="18"/>
      <c r="Y5" s="18" t="n">
        <v>0.0196470418747434</v>
      </c>
      <c r="Z5" s="18" t="n">
        <v>2.9652893690706E-009</v>
      </c>
      <c r="AA5" s="18" t="n">
        <v>0.0118678795891937</v>
      </c>
      <c r="AB5" s="18"/>
      <c r="AC5" s="18"/>
      <c r="AD5" s="18"/>
      <c r="AE5" s="18"/>
      <c r="AF5" s="18"/>
      <c r="AG5" s="18"/>
      <c r="AH5" s="19" t="b">
        <f aca="false">FALSE()</f>
        <v>0</v>
      </c>
      <c r="AI5" s="18"/>
      <c r="AJ5" s="18" t="s">
        <v>334</v>
      </c>
    </row>
    <row r="6" customFormat="false" ht="15" hidden="false" customHeight="true" outlineLevel="0" collapsed="false">
      <c r="A6" s="18" t="s">
        <v>322</v>
      </c>
      <c r="B6" s="18" t="s">
        <v>336</v>
      </c>
      <c r="C6" s="18" t="s">
        <v>324</v>
      </c>
      <c r="D6" s="18" t="s">
        <v>337</v>
      </c>
      <c r="E6" s="18" t="s">
        <v>338</v>
      </c>
      <c r="F6" s="18" t="s">
        <v>336</v>
      </c>
      <c r="G6" s="18"/>
      <c r="H6" s="18" t="n">
        <v>2713</v>
      </c>
      <c r="I6" s="18" t="n">
        <v>115</v>
      </c>
      <c r="J6" s="18" t="n">
        <v>114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 t="n">
        <v>1</v>
      </c>
      <c r="AH6" s="19" t="b">
        <f aca="false">TRUE()</f>
        <v>1</v>
      </c>
      <c r="AI6" s="18" t="s">
        <v>339</v>
      </c>
      <c r="AJ6" s="18" t="s">
        <v>340</v>
      </c>
    </row>
    <row r="7" customFormat="false" ht="15" hidden="false" customHeight="true" outlineLevel="0" collapsed="false">
      <c r="A7" s="18" t="s">
        <v>341</v>
      </c>
      <c r="B7" s="18" t="s">
        <v>342</v>
      </c>
      <c r="C7" s="18" t="s">
        <v>343</v>
      </c>
      <c r="D7" s="18" t="s">
        <v>325</v>
      </c>
      <c r="E7" s="18" t="s">
        <v>326</v>
      </c>
      <c r="F7" s="18" t="s">
        <v>327</v>
      </c>
      <c r="G7" s="18" t="n">
        <v>0.6</v>
      </c>
      <c r="H7" s="18" t="n">
        <v>1994</v>
      </c>
      <c r="I7" s="18" t="n">
        <v>83</v>
      </c>
      <c r="J7" s="18" t="n">
        <v>82</v>
      </c>
      <c r="K7" s="18" t="n">
        <v>-0.0457079234932816</v>
      </c>
      <c r="L7" s="18" t="n">
        <v>0.0229169873270956</v>
      </c>
      <c r="M7" s="18" t="n">
        <v>-1.99449966266898</v>
      </c>
      <c r="N7" s="18" t="n">
        <v>75.0686847002514</v>
      </c>
      <c r="O7" s="18" t="n">
        <v>0.049728529071877</v>
      </c>
      <c r="P7" s="18" t="n">
        <v>-0.0913602186664482</v>
      </c>
      <c r="Q7" s="18" t="n">
        <v>-5.56283201149921E-005</v>
      </c>
      <c r="R7" s="18"/>
      <c r="S7" s="18"/>
      <c r="T7" s="18" t="n">
        <v>-0.0456761188563586</v>
      </c>
      <c r="U7" s="18" t="n">
        <v>-0.0911068793231609</v>
      </c>
      <c r="V7" s="18" t="n">
        <v>-5.56283200576113E-005</v>
      </c>
      <c r="W7" s="18"/>
      <c r="X7" s="18"/>
      <c r="Y7" s="18" t="n">
        <v>0.0278972210564622</v>
      </c>
      <c r="Z7" s="18" t="n">
        <v>1.65748200685487E-009</v>
      </c>
      <c r="AA7" s="18" t="n">
        <v>0.0142433153365329</v>
      </c>
      <c r="AB7" s="18"/>
      <c r="AC7" s="18"/>
      <c r="AD7" s="18"/>
      <c r="AE7" s="18"/>
      <c r="AF7" s="18"/>
      <c r="AG7" s="18"/>
      <c r="AH7" s="19" t="b">
        <f aca="false">TRUE()</f>
        <v>1</v>
      </c>
      <c r="AI7" s="18" t="s">
        <v>342</v>
      </c>
      <c r="AJ7" s="18" t="s">
        <v>344</v>
      </c>
    </row>
    <row r="8" customFormat="false" ht="15" hidden="false" customHeight="true" outlineLevel="0" collapsed="false">
      <c r="A8" s="18" t="s">
        <v>341</v>
      </c>
      <c r="B8" s="18" t="s">
        <v>342</v>
      </c>
      <c r="C8" s="18" t="s">
        <v>343</v>
      </c>
      <c r="D8" s="18" t="s">
        <v>330</v>
      </c>
      <c r="E8" s="18" t="s">
        <v>326</v>
      </c>
      <c r="F8" s="18" t="s">
        <v>327</v>
      </c>
      <c r="G8" s="18" t="n">
        <v>0.6</v>
      </c>
      <c r="H8" s="18" t="n">
        <v>1994</v>
      </c>
      <c r="I8" s="18" t="n">
        <v>83</v>
      </c>
      <c r="J8" s="18" t="n">
        <v>82</v>
      </c>
      <c r="K8" s="18" t="n">
        <v>-0.589581906891172</v>
      </c>
      <c r="L8" s="18" t="n">
        <v>0.411176822827616</v>
      </c>
      <c r="M8" s="18" t="n">
        <v>-1.43388896007485</v>
      </c>
      <c r="N8" s="18" t="n">
        <v>29.2239343040901</v>
      </c>
      <c r="O8" s="18" t="n">
        <v>0.162217960960178</v>
      </c>
      <c r="P8" s="18" t="n">
        <v>-1.43025311705266</v>
      </c>
      <c r="Q8" s="18" t="n">
        <v>0.251089303270314</v>
      </c>
      <c r="R8" s="18"/>
      <c r="S8" s="18"/>
      <c r="T8" s="18"/>
      <c r="U8" s="18"/>
      <c r="V8" s="18"/>
      <c r="W8" s="18"/>
      <c r="X8" s="18"/>
      <c r="Y8" s="18" t="n">
        <v>0.0278972210564622</v>
      </c>
      <c r="Z8" s="18" t="n">
        <v>1.65748200685487E-009</v>
      </c>
      <c r="AA8" s="18" t="n">
        <v>0.0142433153365329</v>
      </c>
      <c r="AB8" s="18"/>
      <c r="AC8" s="18"/>
      <c r="AD8" s="18"/>
      <c r="AE8" s="18"/>
      <c r="AF8" s="18"/>
      <c r="AG8" s="18"/>
      <c r="AH8" s="19" t="b">
        <f aca="false">FALSE()</f>
        <v>0</v>
      </c>
      <c r="AI8" s="18"/>
      <c r="AJ8" s="18" t="s">
        <v>344</v>
      </c>
    </row>
    <row r="9" customFormat="false" ht="15" hidden="false" customHeight="true" outlineLevel="0" collapsed="false">
      <c r="A9" s="18" t="s">
        <v>341</v>
      </c>
      <c r="B9" s="18" t="s">
        <v>345</v>
      </c>
      <c r="C9" s="18" t="s">
        <v>343</v>
      </c>
      <c r="D9" s="18" t="s">
        <v>325</v>
      </c>
      <c r="E9" s="18" t="s">
        <v>326</v>
      </c>
      <c r="F9" s="18" t="s">
        <v>327</v>
      </c>
      <c r="G9" s="18" t="n">
        <v>0.6</v>
      </c>
      <c r="H9" s="18" t="n">
        <v>1994</v>
      </c>
      <c r="I9" s="18" t="n">
        <v>83</v>
      </c>
      <c r="J9" s="18" t="n">
        <v>82</v>
      </c>
      <c r="K9" s="18" t="n">
        <v>-0.0578448618662273</v>
      </c>
      <c r="L9" s="18" t="n">
        <v>0.0201285398910764</v>
      </c>
      <c r="M9" s="18" t="n">
        <v>-2.87377336752934</v>
      </c>
      <c r="N9" s="18" t="n">
        <v>79.2654702962969</v>
      </c>
      <c r="O9" s="18" t="n">
        <v>0.00520417528489042</v>
      </c>
      <c r="P9" s="18" t="n">
        <v>-0.097907632064487</v>
      </c>
      <c r="Q9" s="18" t="n">
        <v>-0.0177820916679677</v>
      </c>
      <c r="R9" s="18"/>
      <c r="S9" s="18"/>
      <c r="T9" s="18" t="n">
        <v>-0.0577804312561633</v>
      </c>
      <c r="U9" s="18" t="n">
        <v>-0.0975959825859368</v>
      </c>
      <c r="V9" s="18" t="n">
        <v>-0.0177802176560303</v>
      </c>
      <c r="W9" s="18"/>
      <c r="X9" s="18"/>
      <c r="Y9" s="18" t="n">
        <v>0.0281554958916171</v>
      </c>
      <c r="Z9" s="18" t="n">
        <v>1.76846287835167E-009</v>
      </c>
      <c r="AA9" s="18" t="n">
        <v>0.0142534425783462</v>
      </c>
      <c r="AB9" s="18"/>
      <c r="AC9" s="18"/>
      <c r="AD9" s="18"/>
      <c r="AE9" s="18"/>
      <c r="AF9" s="18"/>
      <c r="AG9" s="18"/>
      <c r="AH9" s="19" t="b">
        <f aca="false">FALSE()</f>
        <v>0</v>
      </c>
      <c r="AI9" s="18"/>
      <c r="AJ9" s="18" t="s">
        <v>346</v>
      </c>
    </row>
    <row r="10" customFormat="false" ht="15" hidden="false" customHeight="true" outlineLevel="0" collapsed="false">
      <c r="A10" s="18" t="s">
        <v>341</v>
      </c>
      <c r="B10" s="18" t="s">
        <v>345</v>
      </c>
      <c r="C10" s="18" t="s">
        <v>343</v>
      </c>
      <c r="D10" s="18" t="s">
        <v>335</v>
      </c>
      <c r="E10" s="18" t="s">
        <v>326</v>
      </c>
      <c r="F10" s="18" t="s">
        <v>327</v>
      </c>
      <c r="G10" s="18" t="n">
        <v>0.6</v>
      </c>
      <c r="H10" s="18" t="n">
        <v>1994</v>
      </c>
      <c r="I10" s="18" t="n">
        <v>83</v>
      </c>
      <c r="J10" s="18" t="n">
        <v>82</v>
      </c>
      <c r="K10" s="18" t="n">
        <v>-2.52009445151435</v>
      </c>
      <c r="L10" s="18" t="n">
        <v>4.00463407273868</v>
      </c>
      <c r="M10" s="18" t="n">
        <v>-0.629294563683046</v>
      </c>
      <c r="N10" s="18" t="n">
        <v>4.96672944662613</v>
      </c>
      <c r="O10" s="18" t="n">
        <v>0.556962363043772</v>
      </c>
      <c r="P10" s="18" t="n">
        <v>-12.8351096316644</v>
      </c>
      <c r="Q10" s="18" t="n">
        <v>7.79492072863572</v>
      </c>
      <c r="R10" s="18"/>
      <c r="S10" s="18"/>
      <c r="T10" s="18"/>
      <c r="U10" s="18"/>
      <c r="V10" s="18"/>
      <c r="W10" s="18"/>
      <c r="X10" s="18"/>
      <c r="Y10" s="18" t="n">
        <v>0.0281554958916171</v>
      </c>
      <c r="Z10" s="18" t="n">
        <v>1.76846287835167E-009</v>
      </c>
      <c r="AA10" s="18" t="n">
        <v>0.0142534425783462</v>
      </c>
      <c r="AB10" s="18"/>
      <c r="AC10" s="18"/>
      <c r="AD10" s="18"/>
      <c r="AE10" s="18"/>
      <c r="AF10" s="18"/>
      <c r="AG10" s="18"/>
      <c r="AH10" s="19" t="b">
        <f aca="false">FALSE()</f>
        <v>0</v>
      </c>
      <c r="AI10" s="18"/>
      <c r="AJ10" s="18" t="s">
        <v>346</v>
      </c>
    </row>
    <row r="11" customFormat="false" ht="15" hidden="false" customHeight="true" outlineLevel="0" collapsed="false">
      <c r="A11" s="18" t="s">
        <v>341</v>
      </c>
      <c r="B11" s="18" t="s">
        <v>347</v>
      </c>
      <c r="C11" s="18" t="s">
        <v>343</v>
      </c>
      <c r="D11" s="18" t="s">
        <v>337</v>
      </c>
      <c r="E11" s="18" t="s">
        <v>338</v>
      </c>
      <c r="F11" s="18" t="s">
        <v>336</v>
      </c>
      <c r="G11" s="18"/>
      <c r="H11" s="18" t="n">
        <v>1994</v>
      </c>
      <c r="I11" s="18" t="n">
        <v>83</v>
      </c>
      <c r="J11" s="18" t="n">
        <v>82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 t="n">
        <v>1</v>
      </c>
      <c r="AH11" s="19" t="b">
        <f aca="false">FALSE()</f>
        <v>0</v>
      </c>
      <c r="AI11" s="18"/>
      <c r="AJ11" s="18" t="s">
        <v>348</v>
      </c>
    </row>
    <row r="12" customFormat="false" ht="15" hidden="false" customHeight="true" outlineLevel="0" collapsed="false">
      <c r="A12" s="18" t="s">
        <v>341</v>
      </c>
      <c r="B12" s="18" t="s">
        <v>349</v>
      </c>
      <c r="C12" s="18" t="s">
        <v>350</v>
      </c>
      <c r="D12" s="18" t="s">
        <v>325</v>
      </c>
      <c r="E12" s="18" t="s">
        <v>326</v>
      </c>
      <c r="F12" s="18" t="s">
        <v>327</v>
      </c>
      <c r="G12" s="18" t="n">
        <v>0.6</v>
      </c>
      <c r="H12" s="18" t="n">
        <v>711</v>
      </c>
      <c r="I12" s="18" t="n">
        <v>31</v>
      </c>
      <c r="J12" s="18" t="n">
        <v>31</v>
      </c>
      <c r="K12" s="18" t="n">
        <v>-0.0245019196797718</v>
      </c>
      <c r="L12" s="18" t="n">
        <v>0.00833447818520973</v>
      </c>
      <c r="M12" s="18" t="n">
        <v>-2.93982648166896</v>
      </c>
      <c r="N12" s="18" t="n">
        <v>15.559825594153</v>
      </c>
      <c r="O12" s="18" t="n">
        <v>0.00983483283786867</v>
      </c>
      <c r="P12" s="18" t="n">
        <v>-0.0422109331746333</v>
      </c>
      <c r="Q12" s="18" t="n">
        <v>-0.00679290618491026</v>
      </c>
      <c r="R12" s="18"/>
      <c r="S12" s="18"/>
      <c r="T12" s="18" t="n">
        <v>-0.0244970176628824</v>
      </c>
      <c r="U12" s="18" t="n">
        <v>-0.0421858810712988</v>
      </c>
      <c r="V12" s="18" t="n">
        <v>-0.00679280170384798</v>
      </c>
      <c r="W12" s="18"/>
      <c r="X12" s="18"/>
      <c r="Y12" s="18" t="n">
        <v>0.000336341026184225</v>
      </c>
      <c r="Z12" s="18" t="n">
        <v>0.000336340845421139</v>
      </c>
      <c r="AA12" s="18" t="n">
        <v>0.00475033766249101</v>
      </c>
      <c r="AB12" s="18"/>
      <c r="AC12" s="18"/>
      <c r="AD12" s="18"/>
      <c r="AE12" s="18"/>
      <c r="AF12" s="18"/>
      <c r="AG12" s="18"/>
      <c r="AH12" s="19" t="b">
        <f aca="false">TRUE()</f>
        <v>1</v>
      </c>
      <c r="AI12" s="18" t="s">
        <v>349</v>
      </c>
      <c r="AJ12" s="18" t="s">
        <v>351</v>
      </c>
    </row>
    <row r="13" customFormat="false" ht="15" hidden="false" customHeight="true" outlineLevel="0" collapsed="false">
      <c r="A13" s="18" t="s">
        <v>341</v>
      </c>
      <c r="B13" s="18" t="s">
        <v>349</v>
      </c>
      <c r="C13" s="18" t="s">
        <v>350</v>
      </c>
      <c r="D13" s="18" t="s">
        <v>330</v>
      </c>
      <c r="E13" s="18" t="s">
        <v>326</v>
      </c>
      <c r="F13" s="18" t="s">
        <v>327</v>
      </c>
      <c r="G13" s="18" t="n">
        <v>0.6</v>
      </c>
      <c r="H13" s="18" t="n">
        <v>711</v>
      </c>
      <c r="I13" s="18" t="n">
        <v>31</v>
      </c>
      <c r="J13" s="18" t="n">
        <v>31</v>
      </c>
      <c r="K13" s="18" t="n">
        <v>-1.23757861978053</v>
      </c>
      <c r="L13" s="18" t="n">
        <v>0.356360663827747</v>
      </c>
      <c r="M13" s="18" t="n">
        <v>-3.47282611522672</v>
      </c>
      <c r="N13" s="18" t="n">
        <v>11.8294040128865</v>
      </c>
      <c r="O13" s="18" t="n">
        <v>0.00470061898615171</v>
      </c>
      <c r="P13" s="18" t="n">
        <v>-2.01526551683469</v>
      </c>
      <c r="Q13" s="18" t="n">
        <v>-0.459891722726372</v>
      </c>
      <c r="R13" s="18"/>
      <c r="S13" s="18"/>
      <c r="T13" s="18"/>
      <c r="U13" s="18"/>
      <c r="V13" s="18"/>
      <c r="W13" s="18"/>
      <c r="X13" s="18"/>
      <c r="Y13" s="18" t="n">
        <v>0.000336341026184225</v>
      </c>
      <c r="Z13" s="18" t="n">
        <v>0.000336340845421139</v>
      </c>
      <c r="AA13" s="18" t="n">
        <v>0.00475033766249101</v>
      </c>
      <c r="AB13" s="18"/>
      <c r="AC13" s="18"/>
      <c r="AD13" s="18"/>
      <c r="AE13" s="18"/>
      <c r="AF13" s="18"/>
      <c r="AG13" s="18"/>
      <c r="AH13" s="19" t="b">
        <f aca="false">FALSE()</f>
        <v>0</v>
      </c>
      <c r="AI13" s="18"/>
      <c r="AJ13" s="18" t="s">
        <v>351</v>
      </c>
    </row>
    <row r="14" customFormat="false" ht="15" hidden="false" customHeight="true" outlineLevel="0" collapsed="false">
      <c r="A14" s="18" t="s">
        <v>341</v>
      </c>
      <c r="B14" s="18" t="s">
        <v>352</v>
      </c>
      <c r="C14" s="18" t="s">
        <v>350</v>
      </c>
      <c r="D14" s="18" t="s">
        <v>325</v>
      </c>
      <c r="E14" s="18" t="s">
        <v>326</v>
      </c>
      <c r="F14" s="18" t="s">
        <v>327</v>
      </c>
      <c r="G14" s="18" t="n">
        <v>0.6</v>
      </c>
      <c r="H14" s="18" t="n">
        <v>711</v>
      </c>
      <c r="I14" s="18" t="n">
        <v>31</v>
      </c>
      <c r="J14" s="18" t="n">
        <v>31</v>
      </c>
      <c r="K14" s="18" t="n">
        <v>-0.0445903868611066</v>
      </c>
      <c r="L14" s="18" t="n">
        <v>0.00785685224778432</v>
      </c>
      <c r="M14" s="18" t="n">
        <v>-5.67535005812045</v>
      </c>
      <c r="N14" s="18" t="n">
        <v>25.3960700815419</v>
      </c>
      <c r="O14" s="18" t="n">
        <v>6.20995033662385E-006</v>
      </c>
      <c r="P14" s="18" t="n">
        <v>-0.0607590903986088</v>
      </c>
      <c r="Q14" s="18" t="n">
        <v>-0.0284216833236043</v>
      </c>
      <c r="R14" s="18"/>
      <c r="S14" s="18"/>
      <c r="T14" s="18" t="n">
        <v>-0.0445608572856603</v>
      </c>
      <c r="U14" s="18" t="n">
        <v>-0.0606844331961558</v>
      </c>
      <c r="V14" s="18" t="n">
        <v>-0.0284140328586645</v>
      </c>
      <c r="W14" s="18"/>
      <c r="X14" s="18"/>
      <c r="Y14" s="18" t="n">
        <v>0.000537814506302013</v>
      </c>
      <c r="Z14" s="18" t="n">
        <v>0.000537814506073955</v>
      </c>
      <c r="AA14" s="18" t="n">
        <v>0.00472247183210315</v>
      </c>
      <c r="AB14" s="18"/>
      <c r="AC14" s="18"/>
      <c r="AD14" s="18"/>
      <c r="AE14" s="18"/>
      <c r="AF14" s="18"/>
      <c r="AG14" s="18"/>
      <c r="AH14" s="19" t="b">
        <f aca="false">FALSE()</f>
        <v>0</v>
      </c>
      <c r="AI14" s="18"/>
      <c r="AJ14" s="18" t="s">
        <v>353</v>
      </c>
    </row>
    <row r="15" customFormat="false" ht="15" hidden="false" customHeight="true" outlineLevel="0" collapsed="false">
      <c r="A15" s="18" t="s">
        <v>341</v>
      </c>
      <c r="B15" s="18" t="s">
        <v>352</v>
      </c>
      <c r="C15" s="18" t="s">
        <v>350</v>
      </c>
      <c r="D15" s="18" t="s">
        <v>335</v>
      </c>
      <c r="E15" s="18" t="s">
        <v>326</v>
      </c>
      <c r="F15" s="18" t="s">
        <v>327</v>
      </c>
      <c r="G15" s="18" t="n">
        <v>0.6</v>
      </c>
      <c r="H15" s="18" t="n">
        <v>711</v>
      </c>
      <c r="I15" s="18" t="n">
        <v>31</v>
      </c>
      <c r="J15" s="18" t="n">
        <v>31</v>
      </c>
      <c r="K15" s="18" t="n">
        <v>-8.47352429509742</v>
      </c>
      <c r="L15" s="18" t="n">
        <v>3.72684726020396</v>
      </c>
      <c r="M15" s="18" t="n">
        <v>-2.27364410277273</v>
      </c>
      <c r="N15" s="18" t="n">
        <v>1.96526013800942</v>
      </c>
      <c r="O15" s="18" t="n">
        <v>0.15309131196993</v>
      </c>
      <c r="P15" s="18" t="n">
        <v>-24.7835740358546</v>
      </c>
      <c r="Q15" s="18" t="n">
        <v>7.83652544565973</v>
      </c>
      <c r="R15" s="18"/>
      <c r="S15" s="18"/>
      <c r="T15" s="18"/>
      <c r="U15" s="18"/>
      <c r="V15" s="18"/>
      <c r="W15" s="18"/>
      <c r="X15" s="18"/>
      <c r="Y15" s="18" t="n">
        <v>0.000537814506302013</v>
      </c>
      <c r="Z15" s="18" t="n">
        <v>0.000537814506073955</v>
      </c>
      <c r="AA15" s="18" t="n">
        <v>0.00472247183210315</v>
      </c>
      <c r="AB15" s="18"/>
      <c r="AC15" s="18"/>
      <c r="AD15" s="18"/>
      <c r="AE15" s="18"/>
      <c r="AF15" s="18"/>
      <c r="AG15" s="18"/>
      <c r="AH15" s="19" t="b">
        <f aca="false">FALSE()</f>
        <v>0</v>
      </c>
      <c r="AI15" s="18"/>
      <c r="AJ15" s="18" t="s">
        <v>353</v>
      </c>
    </row>
    <row r="16" customFormat="false" ht="15" hidden="false" customHeight="true" outlineLevel="0" collapsed="false">
      <c r="A16" s="18" t="s">
        <v>341</v>
      </c>
      <c r="B16" s="18" t="s">
        <v>354</v>
      </c>
      <c r="C16" s="18" t="s">
        <v>350</v>
      </c>
      <c r="D16" s="18" t="s">
        <v>337</v>
      </c>
      <c r="E16" s="18" t="s">
        <v>338</v>
      </c>
      <c r="F16" s="18" t="s">
        <v>336</v>
      </c>
      <c r="G16" s="18"/>
      <c r="H16" s="18" t="n">
        <v>711</v>
      </c>
      <c r="I16" s="18" t="n">
        <v>31</v>
      </c>
      <c r="J16" s="18" t="n">
        <v>31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 t="n">
        <v>1</v>
      </c>
      <c r="AH16" s="19" t="b">
        <f aca="false">FALSE()</f>
        <v>0</v>
      </c>
      <c r="AI16" s="18"/>
      <c r="AJ16" s="18" t="s">
        <v>355</v>
      </c>
    </row>
    <row r="17" customFormat="false" ht="15" hidden="false" customHeight="true" outlineLevel="0" collapsed="false">
      <c r="A17" s="18" t="s">
        <v>356</v>
      </c>
      <c r="B17" s="18" t="s">
        <v>357</v>
      </c>
      <c r="C17" s="18" t="s">
        <v>324</v>
      </c>
      <c r="D17" s="18" t="s">
        <v>358</v>
      </c>
      <c r="E17" s="18" t="s">
        <v>326</v>
      </c>
      <c r="F17" s="18" t="s">
        <v>359</v>
      </c>
      <c r="G17" s="18" t="n">
        <v>0.6</v>
      </c>
      <c r="H17" s="18" t="n">
        <v>2713</v>
      </c>
      <c r="I17" s="18" t="n">
        <v>115</v>
      </c>
      <c r="J17" s="18" t="n">
        <v>114</v>
      </c>
      <c r="K17" s="18" t="n">
        <v>-0.0616600348248416</v>
      </c>
      <c r="L17" s="18" t="n">
        <v>0.0242284498530887</v>
      </c>
      <c r="M17" s="18" t="n">
        <v>-2.54494345278888</v>
      </c>
      <c r="N17" s="18"/>
      <c r="O17" s="18" t="n">
        <v>0.0109295435847117</v>
      </c>
      <c r="P17" s="18" t="n">
        <v>-0.10914692393813</v>
      </c>
      <c r="Q17" s="18" t="n">
        <v>-0.0141731457115531</v>
      </c>
      <c r="R17" s="18"/>
      <c r="S17" s="18"/>
      <c r="T17" s="18" t="n">
        <v>-0.0615820104876861</v>
      </c>
      <c r="U17" s="18" t="n">
        <v>-0.108715555098534</v>
      </c>
      <c r="V17" s="18" t="n">
        <v>-0.0141721967631337</v>
      </c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9" t="b">
        <f aca="false">FALSE()</f>
        <v>0</v>
      </c>
      <c r="AI17" s="18"/>
      <c r="AJ17" s="18" t="s">
        <v>360</v>
      </c>
    </row>
    <row r="18" customFormat="false" ht="15" hidden="false" customHeight="true" outlineLevel="0" collapsed="false">
      <c r="A18" s="18" t="s">
        <v>356</v>
      </c>
      <c r="B18" s="18" t="s">
        <v>357</v>
      </c>
      <c r="C18" s="18" t="s">
        <v>324</v>
      </c>
      <c r="D18" s="18" t="s">
        <v>361</v>
      </c>
      <c r="E18" s="18" t="s">
        <v>362</v>
      </c>
      <c r="F18" s="18" t="s">
        <v>359</v>
      </c>
      <c r="G18" s="18" t="n">
        <v>0.6</v>
      </c>
      <c r="H18" s="18" t="n">
        <v>2713</v>
      </c>
      <c r="I18" s="18" t="n">
        <v>115</v>
      </c>
      <c r="J18" s="18" t="n">
        <v>114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 t="n">
        <v>0.066435910672777</v>
      </c>
      <c r="AH18" s="19" t="b">
        <f aca="false">FALSE()</f>
        <v>0</v>
      </c>
      <c r="AI18" s="18"/>
      <c r="AJ18" s="18" t="s">
        <v>363</v>
      </c>
    </row>
    <row r="19" customFormat="false" ht="15" hidden="false" customHeight="true" outlineLevel="0" collapsed="false">
      <c r="A19" s="18" t="s">
        <v>356</v>
      </c>
      <c r="B19" s="18" t="s">
        <v>357</v>
      </c>
      <c r="C19" s="18" t="s">
        <v>324</v>
      </c>
      <c r="D19" s="18" t="s">
        <v>364</v>
      </c>
      <c r="E19" s="18" t="s">
        <v>326</v>
      </c>
      <c r="F19" s="18" t="s">
        <v>365</v>
      </c>
      <c r="G19" s="18" t="n">
        <v>0.6</v>
      </c>
      <c r="H19" s="18" t="n">
        <v>2713</v>
      </c>
      <c r="I19" s="18" t="n">
        <v>115</v>
      </c>
      <c r="J19" s="18" t="n">
        <v>114</v>
      </c>
      <c r="K19" s="18" t="n">
        <v>0.0116898513182097</v>
      </c>
      <c r="L19" s="18" t="n">
        <v>0.0420871119769924</v>
      </c>
      <c r="M19" s="18" t="n">
        <v>0.277753705804288</v>
      </c>
      <c r="N19" s="18"/>
      <c r="O19" s="18" t="n">
        <v>0.78120143069927</v>
      </c>
      <c r="P19" s="18" t="n">
        <v>-0.0707993723699998</v>
      </c>
      <c r="Q19" s="18" t="n">
        <v>0.0941790750064191</v>
      </c>
      <c r="R19" s="18"/>
      <c r="S19" s="18"/>
      <c r="T19" s="18" t="n">
        <v>0.0116893188643625</v>
      </c>
      <c r="U19" s="18" t="n">
        <v>-0.070681313916021</v>
      </c>
      <c r="V19" s="18" t="n">
        <v>0.0939016127111995</v>
      </c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9" t="b">
        <f aca="false">TRUE()</f>
        <v>1</v>
      </c>
      <c r="AI19" s="18" t="s">
        <v>366</v>
      </c>
      <c r="AJ19" s="18" t="s">
        <v>367</v>
      </c>
    </row>
    <row r="20" customFormat="false" ht="15" hidden="false" customHeight="true" outlineLevel="0" collapsed="false">
      <c r="A20" s="18" t="s">
        <v>356</v>
      </c>
      <c r="B20" s="18" t="s">
        <v>357</v>
      </c>
      <c r="C20" s="18" t="s">
        <v>324</v>
      </c>
      <c r="D20" s="18" t="s">
        <v>368</v>
      </c>
      <c r="E20" s="18" t="s">
        <v>362</v>
      </c>
      <c r="F20" s="18" t="s">
        <v>365</v>
      </c>
      <c r="G20" s="18" t="n">
        <v>0.6</v>
      </c>
      <c r="H20" s="18" t="n">
        <v>2713</v>
      </c>
      <c r="I20" s="18" t="n">
        <v>115</v>
      </c>
      <c r="J20" s="18" t="n">
        <v>114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 t="n">
        <v>0.0689224426195439</v>
      </c>
      <c r="AH20" s="19" t="b">
        <f aca="false">FALSE()</f>
        <v>0</v>
      </c>
      <c r="AI20" s="18"/>
      <c r="AJ20" s="18" t="s">
        <v>367</v>
      </c>
    </row>
    <row r="21" customFormat="false" ht="15" hidden="false" customHeight="true" outlineLevel="0" collapsed="false">
      <c r="A21" s="18" t="s">
        <v>356</v>
      </c>
      <c r="B21" s="18" t="s">
        <v>357</v>
      </c>
      <c r="C21" s="18" t="s">
        <v>324</v>
      </c>
      <c r="D21" s="18" t="s">
        <v>369</v>
      </c>
      <c r="E21" s="18" t="s">
        <v>370</v>
      </c>
      <c r="F21" s="18" t="s">
        <v>365</v>
      </c>
      <c r="G21" s="18" t="n">
        <v>0.6</v>
      </c>
      <c r="H21" s="18" t="n">
        <v>2713</v>
      </c>
      <c r="I21" s="18" t="n">
        <v>115</v>
      </c>
      <c r="J21" s="18" t="n">
        <v>114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 t="n">
        <v>0.491443610054737</v>
      </c>
      <c r="AH21" s="19" t="b">
        <f aca="false">FALSE()</f>
        <v>0</v>
      </c>
      <c r="AI21" s="18"/>
      <c r="AJ21" s="18" t="s">
        <v>371</v>
      </c>
    </row>
    <row r="22" customFormat="false" ht="15" hidden="false" customHeight="true" outlineLevel="0" collapsed="false">
      <c r="A22" s="18" t="s">
        <v>356</v>
      </c>
      <c r="B22" s="18" t="s">
        <v>357</v>
      </c>
      <c r="C22" s="18" t="s">
        <v>324</v>
      </c>
      <c r="D22" s="18" t="s">
        <v>372</v>
      </c>
      <c r="E22" s="18" t="s">
        <v>373</v>
      </c>
      <c r="F22" s="18" t="s">
        <v>365</v>
      </c>
      <c r="G22" s="18" t="n">
        <v>0.6</v>
      </c>
      <c r="H22" s="18" t="n">
        <v>2713</v>
      </c>
      <c r="I22" s="18" t="n">
        <v>115</v>
      </c>
      <c r="J22" s="18" t="n">
        <v>114</v>
      </c>
      <c r="K22" s="18"/>
      <c r="L22" s="18"/>
      <c r="M22" s="18" t="n">
        <v>5.0525159410533</v>
      </c>
      <c r="N22" s="18" t="n">
        <v>1</v>
      </c>
      <c r="O22" s="18" t="n">
        <v>0.0245902074219406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 t="b">
        <f aca="false">FALSE()</f>
        <v>0</v>
      </c>
      <c r="AI22" s="18"/>
      <c r="AJ22" s="18" t="s">
        <v>374</v>
      </c>
    </row>
    <row r="23" customFormat="false" ht="15" hidden="false" customHeight="true" outlineLevel="0" collapsed="false">
      <c r="A23" s="18" t="s">
        <v>356</v>
      </c>
      <c r="B23" s="18" t="s">
        <v>357</v>
      </c>
      <c r="C23" s="18" t="s">
        <v>324</v>
      </c>
      <c r="D23" s="18" t="s">
        <v>375</v>
      </c>
      <c r="E23" s="18" t="s">
        <v>326</v>
      </c>
      <c r="F23" s="18" t="s">
        <v>376</v>
      </c>
      <c r="G23" s="18" t="n">
        <v>0.6</v>
      </c>
      <c r="H23" s="18" t="n">
        <v>2713</v>
      </c>
      <c r="I23" s="18" t="n">
        <v>115</v>
      </c>
      <c r="J23" s="18" t="n">
        <v>114</v>
      </c>
      <c r="K23" s="18" t="n">
        <v>0.0118401856060274</v>
      </c>
      <c r="L23" s="18"/>
      <c r="M23" s="18" t="n">
        <v>0.07977232011865</v>
      </c>
      <c r="N23" s="18"/>
      <c r="O23" s="18" t="n">
        <v>0.77760619281116</v>
      </c>
      <c r="P23" s="18" t="n">
        <v>-0.0685846353910595</v>
      </c>
      <c r="Q23" s="18" t="n">
        <v>0.0978022609818605</v>
      </c>
      <c r="R23" s="18"/>
      <c r="S23" s="18"/>
      <c r="T23" s="18" t="n">
        <v>0.0118396323451977</v>
      </c>
      <c r="U23" s="18" t="n">
        <v>-0.0684773000128145</v>
      </c>
      <c r="V23" s="18" t="n">
        <v>0.0974916140874063</v>
      </c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 t="b">
        <f aca="false">TRUE()</f>
        <v>1</v>
      </c>
      <c r="AI23" s="18" t="s">
        <v>377</v>
      </c>
      <c r="AJ23" s="18" t="s">
        <v>378</v>
      </c>
    </row>
    <row r="24" customFormat="false" ht="15" hidden="false" customHeight="true" outlineLevel="0" collapsed="false">
      <c r="A24" s="18" t="s">
        <v>356</v>
      </c>
      <c r="B24" s="18" t="s">
        <v>357</v>
      </c>
      <c r="C24" s="18" t="s">
        <v>324</v>
      </c>
      <c r="D24" s="18" t="s">
        <v>379</v>
      </c>
      <c r="E24" s="18" t="s">
        <v>362</v>
      </c>
      <c r="F24" s="18" t="s">
        <v>376</v>
      </c>
      <c r="G24" s="18" t="n">
        <v>0.6</v>
      </c>
      <c r="H24" s="18" t="n">
        <v>2713</v>
      </c>
      <c r="I24" s="18" t="n">
        <v>115</v>
      </c>
      <c r="J24" s="18" t="n">
        <v>114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 t="n">
        <v>0.0690456229009019</v>
      </c>
      <c r="AH24" s="19" t="b">
        <f aca="false">FALSE()</f>
        <v>0</v>
      </c>
      <c r="AI24" s="18"/>
      <c r="AJ24" s="18" t="s">
        <v>380</v>
      </c>
    </row>
    <row r="25" customFormat="false" ht="15" hidden="false" customHeight="true" outlineLevel="0" collapsed="false">
      <c r="A25" s="18" t="s">
        <v>356</v>
      </c>
      <c r="B25" s="18" t="s">
        <v>357</v>
      </c>
      <c r="C25" s="18" t="s">
        <v>324</v>
      </c>
      <c r="D25" s="18" t="s">
        <v>381</v>
      </c>
      <c r="E25" s="18" t="s">
        <v>326</v>
      </c>
      <c r="F25" s="18" t="s">
        <v>382</v>
      </c>
      <c r="G25" s="18" t="n">
        <v>0.6</v>
      </c>
      <c r="H25" s="18" t="n">
        <v>2713</v>
      </c>
      <c r="I25" s="18" t="n">
        <v>115</v>
      </c>
      <c r="J25" s="18" t="n">
        <v>114</v>
      </c>
      <c r="K25" s="18" t="n">
        <v>-0.0616608386540629</v>
      </c>
      <c r="L25" s="18" t="n">
        <v>0.0243306602731784</v>
      </c>
      <c r="M25" s="18" t="n">
        <v>-2.53428546376263</v>
      </c>
      <c r="N25" s="18" t="n">
        <v>113</v>
      </c>
      <c r="O25" s="18" t="n">
        <v>0.0126367644358383</v>
      </c>
      <c r="P25" s="18" t="n">
        <v>-0.109864264918875</v>
      </c>
      <c r="Q25" s="18" t="n">
        <v>-0.0134574123892513</v>
      </c>
      <c r="R25" s="18"/>
      <c r="S25" s="18"/>
      <c r="T25" s="18" t="n">
        <v>-0.0615828112684708</v>
      </c>
      <c r="U25" s="18" t="n">
        <v>-0.109424362375925</v>
      </c>
      <c r="V25" s="18" t="n">
        <v>-0.0134566000602298</v>
      </c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 t="b">
        <f aca="false">FALSE()</f>
        <v>0</v>
      </c>
      <c r="AI25" s="18"/>
      <c r="AJ25" s="18" t="s">
        <v>383</v>
      </c>
    </row>
    <row r="26" customFormat="false" ht="15" hidden="false" customHeight="true" outlineLevel="0" collapsed="false">
      <c r="A26" s="18" t="s">
        <v>341</v>
      </c>
      <c r="B26" s="18" t="s">
        <v>384</v>
      </c>
      <c r="C26" s="18" t="s">
        <v>343</v>
      </c>
      <c r="D26" s="18" t="s">
        <v>358</v>
      </c>
      <c r="E26" s="18" t="s">
        <v>326</v>
      </c>
      <c r="F26" s="18" t="s">
        <v>359</v>
      </c>
      <c r="G26" s="18" t="n">
        <v>0.6</v>
      </c>
      <c r="H26" s="18" t="n">
        <v>1994</v>
      </c>
      <c r="I26" s="18" t="n">
        <v>83</v>
      </c>
      <c r="J26" s="18" t="n">
        <v>82</v>
      </c>
      <c r="K26" s="18" t="n">
        <v>-0.0666813167955588</v>
      </c>
      <c r="L26" s="18" t="n">
        <v>0.0330495901637717</v>
      </c>
      <c r="M26" s="18" t="n">
        <v>-2.01761402986031</v>
      </c>
      <c r="N26" s="18"/>
      <c r="O26" s="18" t="n">
        <v>0.04363147455807</v>
      </c>
      <c r="P26" s="18" t="n">
        <v>-0.131457323220361</v>
      </c>
      <c r="Q26" s="18" t="n">
        <v>-0.00190531037075718</v>
      </c>
      <c r="R26" s="18"/>
      <c r="S26" s="18"/>
      <c r="T26" s="18" t="n">
        <v>-0.0665826616976845</v>
      </c>
      <c r="U26" s="18" t="n">
        <v>-0.130705281990808</v>
      </c>
      <c r="V26" s="18" t="n">
        <v>-0.00190530806520313</v>
      </c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 t="b">
        <f aca="false">FALSE()</f>
        <v>0</v>
      </c>
      <c r="AI26" s="18"/>
      <c r="AJ26" s="18" t="s">
        <v>385</v>
      </c>
    </row>
    <row r="27" customFormat="false" ht="15" hidden="false" customHeight="true" outlineLevel="0" collapsed="false">
      <c r="A27" s="18" t="s">
        <v>341</v>
      </c>
      <c r="B27" s="18" t="s">
        <v>384</v>
      </c>
      <c r="C27" s="18" t="s">
        <v>343</v>
      </c>
      <c r="D27" s="18" t="s">
        <v>361</v>
      </c>
      <c r="E27" s="18" t="s">
        <v>362</v>
      </c>
      <c r="F27" s="18" t="s">
        <v>359</v>
      </c>
      <c r="G27" s="18" t="n">
        <v>0.6</v>
      </c>
      <c r="H27" s="18" t="n">
        <v>1994</v>
      </c>
      <c r="I27" s="18" t="n">
        <v>83</v>
      </c>
      <c r="J27" s="18" t="n">
        <v>82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 t="n">
        <v>0.0890760917270176</v>
      </c>
      <c r="AH27" s="19" t="b">
        <f aca="false">FALSE()</f>
        <v>0</v>
      </c>
      <c r="AI27" s="18"/>
      <c r="AJ27" s="18" t="s">
        <v>386</v>
      </c>
    </row>
    <row r="28" customFormat="false" ht="15" hidden="false" customHeight="true" outlineLevel="0" collapsed="false">
      <c r="A28" s="18" t="s">
        <v>341</v>
      </c>
      <c r="B28" s="18" t="s">
        <v>384</v>
      </c>
      <c r="C28" s="18" t="s">
        <v>343</v>
      </c>
      <c r="D28" s="18" t="s">
        <v>364</v>
      </c>
      <c r="E28" s="18" t="s">
        <v>326</v>
      </c>
      <c r="F28" s="18" t="s">
        <v>365</v>
      </c>
      <c r="G28" s="18" t="n">
        <v>0.6</v>
      </c>
      <c r="H28" s="18" t="n">
        <v>1994</v>
      </c>
      <c r="I28" s="18" t="n">
        <v>83</v>
      </c>
      <c r="J28" s="18" t="n">
        <v>82</v>
      </c>
      <c r="K28" s="18" t="n">
        <v>-0.0218737584432693</v>
      </c>
      <c r="L28" s="18" t="n">
        <v>0.0559427563096199</v>
      </c>
      <c r="M28" s="18" t="n">
        <v>-0.391002515539405</v>
      </c>
      <c r="N28" s="18"/>
      <c r="O28" s="18" t="n">
        <v>0.695795376456108</v>
      </c>
      <c r="P28" s="18" t="n">
        <v>-0.131519546006025</v>
      </c>
      <c r="Q28" s="18" t="n">
        <v>0.0877720291194865</v>
      </c>
      <c r="R28" s="18"/>
      <c r="S28" s="18"/>
      <c r="T28" s="18" t="n">
        <v>-0.021870270528439</v>
      </c>
      <c r="U28" s="18" t="n">
        <v>-0.130766441272967</v>
      </c>
      <c r="V28" s="18" t="n">
        <v>0.0875473250395037</v>
      </c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 t="b">
        <f aca="false">FALSE()</f>
        <v>0</v>
      </c>
      <c r="AI28" s="18"/>
      <c r="AJ28" s="18" t="s">
        <v>387</v>
      </c>
    </row>
    <row r="29" customFormat="false" ht="15" hidden="false" customHeight="true" outlineLevel="0" collapsed="false">
      <c r="A29" s="18" t="s">
        <v>341</v>
      </c>
      <c r="B29" s="18" t="s">
        <v>384</v>
      </c>
      <c r="C29" s="18" t="s">
        <v>343</v>
      </c>
      <c r="D29" s="18" t="s">
        <v>368</v>
      </c>
      <c r="E29" s="18" t="s">
        <v>362</v>
      </c>
      <c r="F29" s="18" t="s">
        <v>365</v>
      </c>
      <c r="G29" s="18" t="n">
        <v>0.6</v>
      </c>
      <c r="H29" s="18" t="n">
        <v>1994</v>
      </c>
      <c r="I29" s="18" t="n">
        <v>83</v>
      </c>
      <c r="J29" s="18" t="n">
        <v>82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 t="n">
        <v>0.0908467434117216</v>
      </c>
      <c r="AH29" s="19" t="b">
        <f aca="false">FALSE()</f>
        <v>0</v>
      </c>
      <c r="AI29" s="18"/>
      <c r="AJ29" s="18" t="s">
        <v>387</v>
      </c>
    </row>
    <row r="30" customFormat="false" ht="15" hidden="false" customHeight="true" outlineLevel="0" collapsed="false">
      <c r="A30" s="18" t="s">
        <v>341</v>
      </c>
      <c r="B30" s="18" t="s">
        <v>384</v>
      </c>
      <c r="C30" s="18" t="s">
        <v>343</v>
      </c>
      <c r="D30" s="18" t="s">
        <v>369</v>
      </c>
      <c r="E30" s="18" t="s">
        <v>370</v>
      </c>
      <c r="F30" s="18" t="s">
        <v>365</v>
      </c>
      <c r="G30" s="18" t="n">
        <v>0.6</v>
      </c>
      <c r="H30" s="18" t="n">
        <v>1994</v>
      </c>
      <c r="I30" s="18" t="n">
        <v>83</v>
      </c>
      <c r="J30" s="18" t="n">
        <v>82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 t="n">
        <v>0.685715302279003</v>
      </c>
      <c r="AH30" s="19" t="b">
        <f aca="false">FALSE()</f>
        <v>0</v>
      </c>
      <c r="AI30" s="18"/>
      <c r="AJ30" s="18" t="s">
        <v>388</v>
      </c>
    </row>
    <row r="31" customFormat="false" ht="15" hidden="false" customHeight="true" outlineLevel="0" collapsed="false">
      <c r="A31" s="18" t="s">
        <v>341</v>
      </c>
      <c r="B31" s="18" t="s">
        <v>384</v>
      </c>
      <c r="C31" s="18" t="s">
        <v>343</v>
      </c>
      <c r="D31" s="18" t="s">
        <v>372</v>
      </c>
      <c r="E31" s="18" t="s">
        <v>373</v>
      </c>
      <c r="F31" s="18" t="s">
        <v>365</v>
      </c>
      <c r="G31" s="18" t="n">
        <v>0.6</v>
      </c>
      <c r="H31" s="18" t="n">
        <v>1994</v>
      </c>
      <c r="I31" s="18" t="n">
        <v>83</v>
      </c>
      <c r="J31" s="18" t="n">
        <v>82</v>
      </c>
      <c r="K31" s="18"/>
      <c r="L31" s="18"/>
      <c r="M31" s="18" t="n">
        <v>1.03726153508706</v>
      </c>
      <c r="N31" s="18" t="n">
        <v>1</v>
      </c>
      <c r="O31" s="18" t="n">
        <v>0.308459222754111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 t="b">
        <f aca="false">FALSE()</f>
        <v>0</v>
      </c>
      <c r="AI31" s="18"/>
      <c r="AJ31" s="18" t="s">
        <v>389</v>
      </c>
    </row>
    <row r="32" customFormat="false" ht="15" hidden="false" customHeight="true" outlineLevel="0" collapsed="false">
      <c r="A32" s="18" t="s">
        <v>341</v>
      </c>
      <c r="B32" s="18" t="s">
        <v>384</v>
      </c>
      <c r="C32" s="18" t="s">
        <v>343</v>
      </c>
      <c r="D32" s="18" t="s">
        <v>375</v>
      </c>
      <c r="E32" s="18" t="s">
        <v>326</v>
      </c>
      <c r="F32" s="18" t="s">
        <v>376</v>
      </c>
      <c r="G32" s="18" t="n">
        <v>0.6</v>
      </c>
      <c r="H32" s="18" t="n">
        <v>1994</v>
      </c>
      <c r="I32" s="18" t="n">
        <v>83</v>
      </c>
      <c r="J32" s="18" t="n">
        <v>82</v>
      </c>
      <c r="K32" s="18" t="n">
        <v>-0.0216399397115525</v>
      </c>
      <c r="L32" s="18"/>
      <c r="M32" s="18" t="n">
        <v>0.147478859300946</v>
      </c>
      <c r="N32" s="18"/>
      <c r="O32" s="18" t="n">
        <v>0.700956387635395</v>
      </c>
      <c r="P32" s="18" t="n">
        <v>-0.129092492308433</v>
      </c>
      <c r="Q32" s="18" t="n">
        <v>0.0927186021013579</v>
      </c>
      <c r="R32" s="18"/>
      <c r="S32" s="18"/>
      <c r="T32" s="18" t="n">
        <v>-0.0216365624434144</v>
      </c>
      <c r="U32" s="18" t="n">
        <v>-0.128380137186195</v>
      </c>
      <c r="V32" s="18" t="n">
        <v>0.0924538200227547</v>
      </c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 t="b">
        <f aca="false">FALSE()</f>
        <v>0</v>
      </c>
      <c r="AI32" s="18"/>
      <c r="AJ32" s="18" t="s">
        <v>390</v>
      </c>
    </row>
    <row r="33" customFormat="false" ht="15" hidden="false" customHeight="true" outlineLevel="0" collapsed="false">
      <c r="A33" s="18" t="s">
        <v>341</v>
      </c>
      <c r="B33" s="18" t="s">
        <v>384</v>
      </c>
      <c r="C33" s="18" t="s">
        <v>343</v>
      </c>
      <c r="D33" s="18" t="s">
        <v>379</v>
      </c>
      <c r="E33" s="18" t="s">
        <v>362</v>
      </c>
      <c r="F33" s="18" t="s">
        <v>376</v>
      </c>
      <c r="G33" s="18" t="n">
        <v>0.6</v>
      </c>
      <c r="H33" s="18" t="n">
        <v>1994</v>
      </c>
      <c r="I33" s="18" t="n">
        <v>83</v>
      </c>
      <c r="J33" s="18" t="n">
        <v>82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 t="n">
        <v>0.0911191110004952</v>
      </c>
      <c r="AH33" s="19" t="b">
        <f aca="false">FALSE()</f>
        <v>0</v>
      </c>
      <c r="AI33" s="18"/>
      <c r="AJ33" s="18" t="s">
        <v>391</v>
      </c>
    </row>
    <row r="34" customFormat="false" ht="15" hidden="false" customHeight="true" outlineLevel="0" collapsed="false">
      <c r="A34" s="18" t="s">
        <v>341</v>
      </c>
      <c r="B34" s="18" t="s">
        <v>392</v>
      </c>
      <c r="C34" s="18" t="s">
        <v>350</v>
      </c>
      <c r="D34" s="18" t="s">
        <v>358</v>
      </c>
      <c r="E34" s="18" t="s">
        <v>326</v>
      </c>
      <c r="F34" s="18" t="s">
        <v>359</v>
      </c>
      <c r="G34" s="18" t="n">
        <v>0.6</v>
      </c>
      <c r="H34" s="18" t="n">
        <v>711</v>
      </c>
      <c r="I34" s="18" t="n">
        <v>31</v>
      </c>
      <c r="J34" s="18" t="n">
        <v>31</v>
      </c>
      <c r="K34" s="18" t="n">
        <v>-0.0459074011439093</v>
      </c>
      <c r="L34" s="18" t="n">
        <v>0.0167675389298204</v>
      </c>
      <c r="M34" s="18" t="n">
        <v>-2.73787353863033</v>
      </c>
      <c r="N34" s="18"/>
      <c r="O34" s="18" t="n">
        <v>0.00618378496661631</v>
      </c>
      <c r="P34" s="18" t="n">
        <v>-0.0787711735557306</v>
      </c>
      <c r="Q34" s="18" t="n">
        <v>-0.0130436287320879</v>
      </c>
      <c r="R34" s="18"/>
      <c r="S34" s="18"/>
      <c r="T34" s="18" t="n">
        <v>-0.0458751785188556</v>
      </c>
      <c r="U34" s="18" t="n">
        <v>-0.0786086545492822</v>
      </c>
      <c r="V34" s="18" t="n">
        <v>-0.0130428890510647</v>
      </c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 t="b">
        <f aca="false">FALSE()</f>
        <v>0</v>
      </c>
      <c r="AI34" s="18"/>
      <c r="AJ34" s="18" t="s">
        <v>393</v>
      </c>
    </row>
    <row r="35" customFormat="false" ht="15" hidden="false" customHeight="true" outlineLevel="0" collapsed="false">
      <c r="A35" s="18" t="s">
        <v>341</v>
      </c>
      <c r="B35" s="18" t="s">
        <v>392</v>
      </c>
      <c r="C35" s="18" t="s">
        <v>350</v>
      </c>
      <c r="D35" s="18" t="s">
        <v>361</v>
      </c>
      <c r="E35" s="18" t="s">
        <v>362</v>
      </c>
      <c r="F35" s="18" t="s">
        <v>359</v>
      </c>
      <c r="G35" s="18" t="n">
        <v>0.6</v>
      </c>
      <c r="H35" s="18" t="n">
        <v>711</v>
      </c>
      <c r="I35" s="18" t="n">
        <v>31</v>
      </c>
      <c r="J35" s="18" t="n">
        <v>31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 t="n">
        <v>0.00843060515378422</v>
      </c>
      <c r="AH35" s="19" t="b">
        <f aca="false">FALSE()</f>
        <v>0</v>
      </c>
      <c r="AI35" s="18"/>
      <c r="AJ35" s="18" t="s">
        <v>394</v>
      </c>
    </row>
    <row r="36" customFormat="false" ht="15" hidden="false" customHeight="true" outlineLevel="0" collapsed="false">
      <c r="A36" s="18" t="s">
        <v>341</v>
      </c>
      <c r="B36" s="18" t="s">
        <v>392</v>
      </c>
      <c r="C36" s="18" t="s">
        <v>350</v>
      </c>
      <c r="D36" s="18" t="s">
        <v>364</v>
      </c>
      <c r="E36" s="18" t="s">
        <v>326</v>
      </c>
      <c r="F36" s="18" t="s">
        <v>365</v>
      </c>
      <c r="G36" s="18" t="n">
        <v>0.6</v>
      </c>
      <c r="H36" s="18" t="n">
        <v>711</v>
      </c>
      <c r="I36" s="18" t="n">
        <v>31</v>
      </c>
      <c r="J36" s="18" t="n">
        <v>31</v>
      </c>
      <c r="K36" s="18" t="n">
        <v>-0.00605909983978511</v>
      </c>
      <c r="L36" s="18" t="n">
        <v>0.0307117085409824</v>
      </c>
      <c r="M36" s="18" t="n">
        <v>-0.19728957220663</v>
      </c>
      <c r="N36" s="18"/>
      <c r="O36" s="18" t="n">
        <v>0.843600939154074</v>
      </c>
      <c r="P36" s="18" t="n">
        <v>-0.0662529424838018</v>
      </c>
      <c r="Q36" s="18" t="n">
        <v>0.0541347428042316</v>
      </c>
      <c r="R36" s="18"/>
      <c r="S36" s="18"/>
      <c r="T36" s="18" t="n">
        <v>-0.00605902569225419</v>
      </c>
      <c r="U36" s="18" t="n">
        <v>-0.0661561743383907</v>
      </c>
      <c r="V36" s="18" t="n">
        <v>0.0540819228291931</v>
      </c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 t="b">
        <f aca="false">FALSE()</f>
        <v>0</v>
      </c>
      <c r="AI36" s="18"/>
      <c r="AJ36" s="18" t="s">
        <v>395</v>
      </c>
    </row>
    <row r="37" customFormat="false" ht="15" hidden="false" customHeight="true" outlineLevel="0" collapsed="false">
      <c r="A37" s="18" t="s">
        <v>341</v>
      </c>
      <c r="B37" s="18" t="s">
        <v>392</v>
      </c>
      <c r="C37" s="18" t="s">
        <v>350</v>
      </c>
      <c r="D37" s="18" t="s">
        <v>368</v>
      </c>
      <c r="E37" s="18" t="s">
        <v>362</v>
      </c>
      <c r="F37" s="18" t="s">
        <v>365</v>
      </c>
      <c r="G37" s="18" t="n">
        <v>0.6</v>
      </c>
      <c r="H37" s="18" t="n">
        <v>711</v>
      </c>
      <c r="I37" s="18" t="n">
        <v>31</v>
      </c>
      <c r="J37" s="18" t="n">
        <v>31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 t="n">
        <v>0.00918623178970651</v>
      </c>
      <c r="AH37" s="19" t="b">
        <f aca="false">FALSE()</f>
        <v>0</v>
      </c>
      <c r="AI37" s="18"/>
      <c r="AJ37" s="18" t="s">
        <v>395</v>
      </c>
    </row>
    <row r="38" customFormat="false" ht="15" hidden="false" customHeight="true" outlineLevel="0" collapsed="false">
      <c r="A38" s="18" t="s">
        <v>341</v>
      </c>
      <c r="B38" s="18" t="s">
        <v>392</v>
      </c>
      <c r="C38" s="18" t="s">
        <v>350</v>
      </c>
      <c r="D38" s="18" t="s">
        <v>369</v>
      </c>
      <c r="E38" s="18" t="s">
        <v>370</v>
      </c>
      <c r="F38" s="18" t="s">
        <v>365</v>
      </c>
      <c r="G38" s="18" t="n">
        <v>0.6</v>
      </c>
      <c r="H38" s="18" t="n">
        <v>711</v>
      </c>
      <c r="I38" s="18" t="n">
        <v>31</v>
      </c>
      <c r="J38" s="18" t="n">
        <v>31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 t="n">
        <v>0.338039455365706</v>
      </c>
      <c r="AH38" s="19" t="b">
        <f aca="false">FALSE()</f>
        <v>0</v>
      </c>
      <c r="AI38" s="18"/>
      <c r="AJ38" s="18" t="s">
        <v>396</v>
      </c>
    </row>
    <row r="39" customFormat="false" ht="15" hidden="false" customHeight="true" outlineLevel="0" collapsed="false">
      <c r="A39" s="18" t="s">
        <v>341</v>
      </c>
      <c r="B39" s="18" t="s">
        <v>392</v>
      </c>
      <c r="C39" s="18" t="s">
        <v>350</v>
      </c>
      <c r="D39" s="18" t="s">
        <v>372</v>
      </c>
      <c r="E39" s="18" t="s">
        <v>373</v>
      </c>
      <c r="F39" s="18" t="s">
        <v>365</v>
      </c>
      <c r="G39" s="18" t="n">
        <v>0.6</v>
      </c>
      <c r="H39" s="18" t="n">
        <v>711</v>
      </c>
      <c r="I39" s="18" t="n">
        <v>31</v>
      </c>
      <c r="J39" s="18" t="n">
        <v>31</v>
      </c>
      <c r="K39" s="18"/>
      <c r="L39" s="18"/>
      <c r="M39" s="18" t="n">
        <v>3.06649639793624</v>
      </c>
      <c r="N39" s="18" t="n">
        <v>1</v>
      </c>
      <c r="O39" s="18" t="n">
        <v>0.0799215468834531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9" t="b">
        <f aca="false">FALSE()</f>
        <v>0</v>
      </c>
      <c r="AI39" s="18"/>
      <c r="AJ39" s="18" t="s">
        <v>397</v>
      </c>
    </row>
    <row r="40" customFormat="false" ht="15" hidden="false" customHeight="true" outlineLevel="0" collapsed="false">
      <c r="A40" s="18" t="s">
        <v>341</v>
      </c>
      <c r="B40" s="18" t="s">
        <v>392</v>
      </c>
      <c r="C40" s="18" t="s">
        <v>350</v>
      </c>
      <c r="D40" s="18" t="s">
        <v>375</v>
      </c>
      <c r="E40" s="18" t="s">
        <v>326</v>
      </c>
      <c r="F40" s="18" t="s">
        <v>376</v>
      </c>
      <c r="G40" s="18" t="n">
        <v>0.6</v>
      </c>
      <c r="H40" s="18" t="n">
        <v>711</v>
      </c>
      <c r="I40" s="18" t="n">
        <v>31</v>
      </c>
      <c r="J40" s="18" t="n">
        <v>31</v>
      </c>
      <c r="K40" s="18" t="n">
        <v>-0.00808916419588873</v>
      </c>
      <c r="L40" s="18"/>
      <c r="M40" s="18" t="n">
        <v>0.0687364112767028</v>
      </c>
      <c r="N40" s="18"/>
      <c r="O40" s="18" t="n">
        <v>0.793185525819658</v>
      </c>
      <c r="P40" s="18" t="n">
        <v>-0.0635858092458317</v>
      </c>
      <c r="Q40" s="18" t="n">
        <v>0.0597631322508727</v>
      </c>
      <c r="R40" s="18"/>
      <c r="S40" s="18"/>
      <c r="T40" s="18" t="n">
        <v>-0.00808898776349311</v>
      </c>
      <c r="U40" s="18" t="n">
        <v>-0.0635002518481273</v>
      </c>
      <c r="V40" s="18" t="n">
        <v>0.0596920831156389</v>
      </c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9" t="b">
        <f aca="false">FALSE()</f>
        <v>0</v>
      </c>
      <c r="AI40" s="18"/>
      <c r="AJ40" s="18" t="s">
        <v>398</v>
      </c>
    </row>
    <row r="41" customFormat="false" ht="15" hidden="false" customHeight="true" outlineLevel="0" collapsed="false">
      <c r="A41" s="18" t="s">
        <v>341</v>
      </c>
      <c r="B41" s="18" t="s">
        <v>392</v>
      </c>
      <c r="C41" s="18" t="s">
        <v>350</v>
      </c>
      <c r="D41" s="18" t="s">
        <v>379</v>
      </c>
      <c r="E41" s="18" t="s">
        <v>362</v>
      </c>
      <c r="F41" s="18" t="s">
        <v>376</v>
      </c>
      <c r="G41" s="18" t="n">
        <v>0.6</v>
      </c>
      <c r="H41" s="18" t="n">
        <v>711</v>
      </c>
      <c r="I41" s="18" t="n">
        <v>31</v>
      </c>
      <c r="J41" s="18" t="n">
        <v>31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 t="n">
        <v>0.00874794608046397</v>
      </c>
      <c r="AH41" s="19" t="b">
        <f aca="false">FALSE()</f>
        <v>0</v>
      </c>
      <c r="AI41" s="18"/>
      <c r="AJ41" s="18" t="s">
        <v>399</v>
      </c>
    </row>
    <row r="42" customFormat="false" ht="15" hidden="false" customHeight="true" outlineLevel="0" collapsed="false">
      <c r="A42" s="18" t="s">
        <v>400</v>
      </c>
      <c r="B42" s="18" t="s">
        <v>401</v>
      </c>
      <c r="C42" s="18" t="s">
        <v>324</v>
      </c>
      <c r="D42" s="18" t="s">
        <v>402</v>
      </c>
      <c r="E42" s="18" t="s">
        <v>326</v>
      </c>
      <c r="F42" s="18" t="s">
        <v>327</v>
      </c>
      <c r="G42" s="18" t="n">
        <v>0.6</v>
      </c>
      <c r="H42" s="18" t="n">
        <v>2713</v>
      </c>
      <c r="I42" s="18" t="n">
        <v>115</v>
      </c>
      <c r="J42" s="18" t="n">
        <v>114</v>
      </c>
      <c r="K42" s="18" t="n">
        <v>-0.0590102518472975</v>
      </c>
      <c r="L42" s="18" t="n">
        <v>0.0156620555950337</v>
      </c>
      <c r="M42" s="18" t="n">
        <v>-3.76772074963194</v>
      </c>
      <c r="N42" s="18" t="n">
        <v>97.7607573397219</v>
      </c>
      <c r="O42" s="18" t="n">
        <v>0.000281712850604012</v>
      </c>
      <c r="P42" s="18" t="n">
        <v>-0.0900920421325697</v>
      </c>
      <c r="Q42" s="18" t="n">
        <v>-0.0279284615620254</v>
      </c>
      <c r="R42" s="18"/>
      <c r="S42" s="18"/>
      <c r="T42" s="18" t="n">
        <v>-0.0589418517595526</v>
      </c>
      <c r="U42" s="18" t="n">
        <v>-0.0898490845914462</v>
      </c>
      <c r="V42" s="18" t="n">
        <v>-0.0279212024364883</v>
      </c>
      <c r="W42" s="18"/>
      <c r="X42" s="18"/>
      <c r="Y42" s="18" t="n">
        <v>0.0200386049016813</v>
      </c>
      <c r="Z42" s="18" t="n">
        <v>2.47316189718862E-009</v>
      </c>
      <c r="AA42" s="18" t="n">
        <v>0.0118805929221877</v>
      </c>
      <c r="AB42" s="18"/>
      <c r="AC42" s="18"/>
      <c r="AD42" s="18"/>
      <c r="AE42" s="18"/>
      <c r="AF42" s="18"/>
      <c r="AG42" s="18"/>
      <c r="AH42" s="19" t="b">
        <f aca="false">FALSE()</f>
        <v>0</v>
      </c>
      <c r="AI42" s="18"/>
      <c r="AJ42" s="18" t="s">
        <v>403</v>
      </c>
    </row>
    <row r="43" customFormat="false" ht="15" hidden="false" customHeight="true" outlineLevel="0" collapsed="false">
      <c r="A43" s="18" t="s">
        <v>400</v>
      </c>
      <c r="B43" s="18" t="s">
        <v>401</v>
      </c>
      <c r="C43" s="18" t="s">
        <v>324</v>
      </c>
      <c r="D43" s="18" t="s">
        <v>404</v>
      </c>
      <c r="E43" s="18" t="s">
        <v>326</v>
      </c>
      <c r="F43" s="18" t="s">
        <v>327</v>
      </c>
      <c r="G43" s="18" t="n">
        <v>0.6</v>
      </c>
      <c r="H43" s="18" t="n">
        <v>2713</v>
      </c>
      <c r="I43" s="18" t="n">
        <v>115</v>
      </c>
      <c r="J43" s="18" t="n">
        <v>114</v>
      </c>
      <c r="K43" s="18" t="n">
        <v>-0.0565399889804912</v>
      </c>
      <c r="L43" s="18" t="n">
        <v>0.0218822782924708</v>
      </c>
      <c r="M43" s="18" t="n">
        <v>-2.5838255150948</v>
      </c>
      <c r="N43" s="18" t="n">
        <v>12.9876948314167</v>
      </c>
      <c r="O43" s="18" t="n">
        <v>0.0227054271641443</v>
      </c>
      <c r="P43" s="18" t="n">
        <v>-0.103818330524375</v>
      </c>
      <c r="Q43" s="18" t="n">
        <v>-0.00926164743660708</v>
      </c>
      <c r="R43" s="18"/>
      <c r="S43" s="18"/>
      <c r="T43" s="18" t="n">
        <v>-0.0564798174675958</v>
      </c>
      <c r="U43" s="18" t="n">
        <v>-0.103446938464178</v>
      </c>
      <c r="V43" s="18" t="n">
        <v>-0.00926138263014538</v>
      </c>
      <c r="W43" s="18"/>
      <c r="X43" s="18"/>
      <c r="Y43" s="18" t="n">
        <v>0.0200386049016813</v>
      </c>
      <c r="Z43" s="18" t="n">
        <v>2.47316189718862E-009</v>
      </c>
      <c r="AA43" s="18" t="n">
        <v>0.0118805929221877</v>
      </c>
      <c r="AB43" s="18"/>
      <c r="AC43" s="18"/>
      <c r="AD43" s="18"/>
      <c r="AE43" s="18"/>
      <c r="AF43" s="18"/>
      <c r="AG43" s="18"/>
      <c r="AH43" s="19" t="b">
        <f aca="false">FALSE()</f>
        <v>0</v>
      </c>
      <c r="AI43" s="18"/>
      <c r="AJ43" s="18" t="s">
        <v>405</v>
      </c>
    </row>
    <row r="44" customFormat="false" ht="15" hidden="false" customHeight="true" outlineLevel="0" collapsed="false">
      <c r="A44" s="18" t="s">
        <v>400</v>
      </c>
      <c r="B44" s="18" t="s">
        <v>401</v>
      </c>
      <c r="C44" s="18" t="s">
        <v>324</v>
      </c>
      <c r="D44" s="18" t="s">
        <v>406</v>
      </c>
      <c r="E44" s="18" t="s">
        <v>326</v>
      </c>
      <c r="F44" s="18" t="s">
        <v>327</v>
      </c>
      <c r="G44" s="18" t="n">
        <v>0.6</v>
      </c>
      <c r="H44" s="18" t="n">
        <v>2713</v>
      </c>
      <c r="I44" s="18" t="n">
        <v>115</v>
      </c>
      <c r="J44" s="18" t="n">
        <v>114</v>
      </c>
      <c r="K44" s="18" t="n">
        <v>0.00247026286680631</v>
      </c>
      <c r="L44" s="18" t="n">
        <v>0.0269097396630118</v>
      </c>
      <c r="M44" s="18" t="n">
        <v>0.0917980960700916</v>
      </c>
      <c r="N44" s="18" t="n">
        <v>17.144110359856</v>
      </c>
      <c r="O44" s="18" t="n">
        <v>0.92792257623666</v>
      </c>
      <c r="P44" s="18" t="n">
        <v>-0.0542679927070935</v>
      </c>
      <c r="Q44" s="18" t="n">
        <v>0.0592085184407062</v>
      </c>
      <c r="R44" s="18"/>
      <c r="S44" s="18"/>
      <c r="T44" s="18"/>
      <c r="U44" s="18"/>
      <c r="V44" s="18"/>
      <c r="W44" s="18"/>
      <c r="X44" s="18"/>
      <c r="Y44" s="18" t="n">
        <v>0.0200386049016813</v>
      </c>
      <c r="Z44" s="18" t="n">
        <v>2.47316189718862E-009</v>
      </c>
      <c r="AA44" s="18" t="n">
        <v>0.0118805929221877</v>
      </c>
      <c r="AB44" s="18"/>
      <c r="AC44" s="18"/>
      <c r="AD44" s="18"/>
      <c r="AE44" s="18"/>
      <c r="AF44" s="18"/>
      <c r="AG44" s="18"/>
      <c r="AH44" s="19" t="b">
        <f aca="false">TRUE()</f>
        <v>1</v>
      </c>
      <c r="AI44" s="18" t="s">
        <v>407</v>
      </c>
      <c r="AJ44" s="18" t="s">
        <v>408</v>
      </c>
    </row>
    <row r="45" customFormat="false" ht="15" hidden="false" customHeight="true" outlineLevel="0" collapsed="false">
      <c r="A45" s="18" t="s">
        <v>400</v>
      </c>
      <c r="B45" s="18" t="s">
        <v>401</v>
      </c>
      <c r="C45" s="18" t="s">
        <v>324</v>
      </c>
      <c r="D45" s="18" t="s">
        <v>409</v>
      </c>
      <c r="E45" s="18" t="s">
        <v>410</v>
      </c>
      <c r="F45" s="18" t="s">
        <v>327</v>
      </c>
      <c r="G45" s="18" t="n">
        <v>0.6</v>
      </c>
      <c r="H45" s="18" t="n">
        <v>2713</v>
      </c>
      <c r="I45" s="18" t="n">
        <v>115</v>
      </c>
      <c r="J45" s="18" t="n">
        <v>114</v>
      </c>
      <c r="K45" s="18"/>
      <c r="L45" s="18"/>
      <c r="M45" s="18" t="n">
        <v>0.00842689044209377</v>
      </c>
      <c r="N45" s="18" t="n">
        <v>17.144110359856</v>
      </c>
      <c r="O45" s="18" t="n">
        <v>0.92792257623666</v>
      </c>
      <c r="P45" s="18"/>
      <c r="Q45" s="18"/>
      <c r="R45" s="18"/>
      <c r="S45" s="18"/>
      <c r="T45" s="18"/>
      <c r="U45" s="18"/>
      <c r="V45" s="18"/>
      <c r="W45" s="18"/>
      <c r="X45" s="18"/>
      <c r="Y45" s="18" t="n">
        <v>0.0200386049016813</v>
      </c>
      <c r="Z45" s="18" t="n">
        <v>2.47316189718862E-009</v>
      </c>
      <c r="AA45" s="18" t="n">
        <v>0.0118805929221877</v>
      </c>
      <c r="AB45" s="18"/>
      <c r="AC45" s="18"/>
      <c r="AD45" s="18"/>
      <c r="AE45" s="18"/>
      <c r="AF45" s="18"/>
      <c r="AG45" s="18"/>
      <c r="AH45" s="19" t="b">
        <f aca="false">FALSE()</f>
        <v>0</v>
      </c>
      <c r="AI45" s="18"/>
      <c r="AJ45" s="18" t="s">
        <v>411</v>
      </c>
    </row>
    <row r="46" customFormat="false" ht="15" hidden="false" customHeight="true" outlineLevel="0" collapsed="false">
      <c r="A46" s="18" t="s">
        <v>412</v>
      </c>
      <c r="B46" s="18" t="s">
        <v>413</v>
      </c>
      <c r="C46" s="18" t="s">
        <v>324</v>
      </c>
      <c r="D46" s="18" t="s">
        <v>414</v>
      </c>
      <c r="E46" s="18" t="s">
        <v>415</v>
      </c>
      <c r="F46" s="18" t="s">
        <v>416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 t="n">
        <v>2713</v>
      </c>
      <c r="AH46" s="19" t="b">
        <f aca="false">FALSE()</f>
        <v>0</v>
      </c>
      <c r="AI46" s="18"/>
      <c r="AJ46" s="18" t="s">
        <v>417</v>
      </c>
    </row>
    <row r="47" customFormat="false" ht="15" hidden="false" customHeight="true" outlineLevel="0" collapsed="false">
      <c r="A47" s="18" t="s">
        <v>412</v>
      </c>
      <c r="B47" s="18" t="s">
        <v>413</v>
      </c>
      <c r="C47" s="18" t="s">
        <v>324</v>
      </c>
      <c r="D47" s="18" t="s">
        <v>418</v>
      </c>
      <c r="E47" s="18" t="s">
        <v>415</v>
      </c>
      <c r="F47" s="18" t="s">
        <v>416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 t="n">
        <v>1994</v>
      </c>
      <c r="AH47" s="19" t="b">
        <f aca="false">FALSE()</f>
        <v>0</v>
      </c>
      <c r="AI47" s="18"/>
      <c r="AJ47" s="18" t="s">
        <v>419</v>
      </c>
    </row>
    <row r="48" customFormat="false" ht="15" hidden="false" customHeight="true" outlineLevel="0" collapsed="false">
      <c r="A48" s="18" t="s">
        <v>412</v>
      </c>
      <c r="B48" s="18" t="s">
        <v>413</v>
      </c>
      <c r="C48" s="18" t="s">
        <v>324</v>
      </c>
      <c r="D48" s="18" t="s">
        <v>420</v>
      </c>
      <c r="E48" s="18" t="s">
        <v>415</v>
      </c>
      <c r="F48" s="18" t="s">
        <v>416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 t="n">
        <v>711</v>
      </c>
      <c r="AH48" s="19" t="b">
        <f aca="false">FALSE()</f>
        <v>0</v>
      </c>
      <c r="AI48" s="18"/>
      <c r="AJ48" s="18" t="s">
        <v>421</v>
      </c>
    </row>
    <row r="49" customFormat="false" ht="15" hidden="false" customHeight="true" outlineLevel="0" collapsed="false">
      <c r="A49" s="18" t="s">
        <v>412</v>
      </c>
      <c r="B49" s="18" t="s">
        <v>413</v>
      </c>
      <c r="C49" s="18" t="s">
        <v>324</v>
      </c>
      <c r="D49" s="18" t="s">
        <v>422</v>
      </c>
      <c r="E49" s="18" t="s">
        <v>415</v>
      </c>
      <c r="F49" s="18" t="s">
        <v>416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 t="n">
        <v>8</v>
      </c>
      <c r="AH49" s="19" t="b">
        <f aca="false">FALSE()</f>
        <v>0</v>
      </c>
      <c r="AI49" s="18"/>
      <c r="AJ49" s="18" t="s">
        <v>423</v>
      </c>
    </row>
    <row r="50" customFormat="false" ht="15" hidden="false" customHeight="true" outlineLevel="0" collapsed="false">
      <c r="A50" s="18" t="s">
        <v>412</v>
      </c>
      <c r="B50" s="18" t="s">
        <v>413</v>
      </c>
      <c r="C50" s="18" t="s">
        <v>324</v>
      </c>
      <c r="D50" s="18" t="s">
        <v>424</v>
      </c>
      <c r="E50" s="18" t="s">
        <v>415</v>
      </c>
      <c r="F50" s="18" t="s">
        <v>416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 t="n">
        <v>114</v>
      </c>
      <c r="AH50" s="19" t="b">
        <f aca="false">FALSE()</f>
        <v>0</v>
      </c>
      <c r="AI50" s="18"/>
      <c r="AJ50" s="18" t="s">
        <v>425</v>
      </c>
    </row>
    <row r="51" customFormat="false" ht="15" hidden="false" customHeight="true" outlineLevel="0" collapsed="false">
      <c r="A51" s="18" t="s">
        <v>412</v>
      </c>
      <c r="B51" s="18" t="s">
        <v>413</v>
      </c>
      <c r="C51" s="18" t="s">
        <v>324</v>
      </c>
      <c r="D51" s="18" t="s">
        <v>426</v>
      </c>
      <c r="E51" s="18" t="s">
        <v>415</v>
      </c>
      <c r="F51" s="18" t="s">
        <v>416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 t="n">
        <v>82</v>
      </c>
      <c r="AH51" s="19" t="b">
        <f aca="false">FALSE()</f>
        <v>0</v>
      </c>
      <c r="AI51" s="18"/>
      <c r="AJ51" s="18" t="s">
        <v>427</v>
      </c>
    </row>
    <row r="52" customFormat="false" ht="15" hidden="false" customHeight="true" outlineLevel="0" collapsed="false">
      <c r="A52" s="18" t="s">
        <v>412</v>
      </c>
      <c r="B52" s="18" t="s">
        <v>413</v>
      </c>
      <c r="C52" s="18" t="s">
        <v>324</v>
      </c>
      <c r="D52" s="18" t="s">
        <v>428</v>
      </c>
      <c r="E52" s="18" t="s">
        <v>415</v>
      </c>
      <c r="F52" s="18" t="s">
        <v>416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 t="n">
        <v>31</v>
      </c>
      <c r="AH52" s="19" t="b">
        <f aca="false">FALSE()</f>
        <v>0</v>
      </c>
      <c r="AI52" s="18"/>
      <c r="AJ52" s="18" t="s">
        <v>429</v>
      </c>
    </row>
    <row r="53" customFormat="false" ht="15" hidden="false" customHeight="true" outlineLevel="0" collapsed="false">
      <c r="A53" s="18" t="s">
        <v>412</v>
      </c>
      <c r="B53" s="18" t="s">
        <v>413</v>
      </c>
      <c r="C53" s="18" t="s">
        <v>324</v>
      </c>
      <c r="D53" s="18" t="s">
        <v>430</v>
      </c>
      <c r="E53" s="18" t="s">
        <v>415</v>
      </c>
      <c r="F53" s="18" t="s">
        <v>416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 t="n">
        <v>2033</v>
      </c>
      <c r="AH53" s="19" t="b">
        <f aca="false">FALSE()</f>
        <v>0</v>
      </c>
      <c r="AI53" s="18"/>
      <c r="AJ53" s="18" t="s">
        <v>431</v>
      </c>
    </row>
    <row r="54" customFormat="false" ht="15" hidden="false" customHeight="true" outlineLevel="0" collapsed="false">
      <c r="A54" s="18" t="s">
        <v>412</v>
      </c>
      <c r="B54" s="18" t="s">
        <v>413</v>
      </c>
      <c r="C54" s="18" t="s">
        <v>324</v>
      </c>
      <c r="D54" s="18" t="s">
        <v>432</v>
      </c>
      <c r="E54" s="18" t="s">
        <v>415</v>
      </c>
      <c r="F54" s="18" t="s">
        <v>416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 t="n">
        <v>680</v>
      </c>
      <c r="AH54" s="19" t="b">
        <f aca="false">FALSE()</f>
        <v>0</v>
      </c>
      <c r="AI54" s="18"/>
      <c r="AJ54" s="18" t="s">
        <v>433</v>
      </c>
    </row>
  </sheetData>
  <autoFilter ref="A1:AJ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26"/>
    <col collapsed="false" customWidth="true" hidden="false" outlineLevel="0" max="5" min="5" style="1" width="14"/>
    <col collapsed="false" customWidth="true" hidden="false" outlineLevel="0" max="6" min="6" style="1" width="24"/>
  </cols>
  <sheetData>
    <row r="1" customFormat="false" ht="15" hidden="false" customHeight="true" outlineLevel="0" collapsed="false">
      <c r="A1" s="2" t="s">
        <v>434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435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3" t="s">
        <v>436</v>
      </c>
      <c r="B3" s="3"/>
      <c r="C3" s="3"/>
      <c r="D3" s="3"/>
      <c r="E3" s="3"/>
      <c r="F3" s="3"/>
    </row>
    <row r="5" customFormat="false" ht="15" hidden="false" customHeight="true" outlineLevel="0" collapsed="false">
      <c r="A5" s="4" t="s">
        <v>320</v>
      </c>
      <c r="B5" s="4" t="s">
        <v>437</v>
      </c>
      <c r="C5" s="4" t="s">
        <v>438</v>
      </c>
      <c r="D5" s="4" t="s">
        <v>439</v>
      </c>
      <c r="E5" s="4" t="s">
        <v>440</v>
      </c>
      <c r="F5" s="4" t="s">
        <v>441</v>
      </c>
    </row>
    <row r="6" customFormat="false" ht="24" hidden="false" customHeight="true" outlineLevel="0" collapsed="false">
      <c r="A6" s="5" t="s">
        <v>328</v>
      </c>
      <c r="B6" s="5" t="s">
        <v>442</v>
      </c>
      <c r="C6" s="6" t="str">
        <f aca="false">"z = "&amp;(IF(Results_Long!K2&lt;0,"-","+")&amp;INT(ABS(ROUND(Results_Long!K2,4)))&amp;"."&amp;RIGHT("0000"&amp;ROUND(MOD(ABS(ROUND(Results_Long!K2,4)),1)*10000,0),4))&amp;" ["&amp;(IF(Results_Long!P2&lt;0,"-","+")&amp;INT(ABS(ROUND(Results_Long!P2,4)))&amp;"."&amp;RIGHT("0000"&amp;ROUND(MOD(ABS(ROUND(Results_Long!P2,4)),1)*10000,0),4))&amp;"; "&amp;(IF(Results_Long!Q2&lt;0,"-","+")&amp;INT(ABS(ROUND(Results_Long!Q2,4)))&amp;"."&amp;RIGHT("0000"&amp;ROUND(MOD(ABS(ROUND(Results_Long!Q2,4)),1)*10000,0),4))&amp;"]"</f>
        <v>z = -0.0432 [-0.0760; -0.0103]</v>
      </c>
      <c r="D6" s="6" t="str">
        <f aca="false">"r = "&amp;(IF(Results_Long!T2&lt;0,"-","+")&amp;INT(ABS(ROUND(Results_Long!T2,4)))&amp;"."&amp;RIGHT("0000"&amp;ROUND(MOD(ABS(ROUND(Results_Long!T2,4)),1)*10000,0),4))&amp;" ["&amp;(IF(Results_Long!U2&lt;0,"-","+")&amp;INT(ABS(ROUND(Results_Long!U2,4)))&amp;"."&amp;RIGHT("0000"&amp;ROUND(MOD(ABS(ROUND(Results_Long!U2,4)),1)*10000,0),4))&amp;"; "&amp;(IF(Results_Long!V2&lt;0,"-","+")&amp;INT(ABS(ROUND(Results_Long!V2,4)))&amp;"."&amp;RIGHT("0000"&amp;ROUND(MOD(ABS(ROUND(Results_Long!V2,4)),1)*10000,0),4))&amp;"]"</f>
        <v>r = -0.0431 [-0.0759; -0.0103]</v>
      </c>
      <c r="E6" s="5" t="str">
        <f aca="false">IF(Results_Long!O2&lt;0.0001,"p &lt; 0.0001","p = "&amp;(IF(Results_Long!O2&lt;0,"-","")&amp;INT(ABS(ROUND(Results_Long!O2,4)))&amp;"."&amp;RIGHT("0000"&amp;ROUND(MOD(ABS(ROUND(Results_Long!O2,4)),1)*10000,0),4)))</f>
        <v>p = 0.0106</v>
      </c>
      <c r="F6" s="5" t="str">
        <f aca="false">"k = "&amp;Results_Long!H2&amp;" ES / "&amp;Results_Long!I2&amp;" studies / "&amp;Results_Long!J2&amp;" clusters"</f>
        <v>k = 2713 ES / 115 studies / 114 clusters</v>
      </c>
    </row>
    <row r="7" customFormat="false" ht="24" hidden="false" customHeight="true" outlineLevel="0" collapsed="false">
      <c r="A7" s="5" t="s">
        <v>331</v>
      </c>
      <c r="B7" s="5" t="s">
        <v>443</v>
      </c>
      <c r="C7" s="6" t="str">
        <f aca="false">"z = "&amp;(IF(Results_Long!K3&lt;0,"-","+")&amp;INT(ABS(ROUND(Results_Long!K3,4)))&amp;"."&amp;RIGHT("0000"&amp;ROUND(MOD(ABS(ROUND(Results_Long!K3,4)),1)*10000,0),4))&amp;" ["&amp;(IF(Results_Long!P3&lt;0,"-","+")&amp;INT(ABS(ROUND(Results_Long!P3,4)))&amp;"."&amp;RIGHT("0000"&amp;ROUND(MOD(ABS(ROUND(Results_Long!P3,4)),1)*10000,0),4))&amp;"; "&amp;(IF(Results_Long!Q3&lt;0,"-","+")&amp;INT(ABS(ROUND(Results_Long!Q3,4)))&amp;"."&amp;RIGHT("0000"&amp;ROUND(MOD(ABS(ROUND(Results_Long!Q3,4)),1)*10000,0),4))&amp;"]"</f>
        <v>z = -0.6422 [-1.2845; +0.0001]</v>
      </c>
      <c r="D7" s="6" t="s">
        <v>444</v>
      </c>
      <c r="E7" s="5" t="str">
        <f aca="false">IF(Results_Long!O3&lt;0.0001,"p &lt; 0.0001","p = "&amp;(IF(Results_Long!O3&lt;0,"-","")&amp;INT(ABS(ROUND(Results_Long!O3,4)))&amp;"."&amp;RIGHT("0000"&amp;ROUND(MOD(ABS(ROUND(Results_Long!O3,4)),1)*10000,0),4)))</f>
        <v>p = 0.0500</v>
      </c>
      <c r="F7" s="5" t="str">
        <f aca="false">"k = "&amp;Results_Long!H3&amp;" ES / "&amp;Results_Long!I3&amp;" studies / "&amp;Results_Long!J3&amp;" clusters"</f>
        <v>k = 2713 ES / 115 studies / 114 clusters</v>
      </c>
    </row>
    <row r="8" customFormat="false" ht="24" hidden="false" customHeight="true" outlineLevel="0" collapsed="false">
      <c r="A8" s="5" t="s">
        <v>333</v>
      </c>
      <c r="B8" s="5" t="s">
        <v>445</v>
      </c>
      <c r="C8" s="6" t="str">
        <f aca="false">"z = "&amp;(IF(Results_Long!K4&lt;0,"-","+")&amp;INT(ABS(ROUND(Results_Long!K4,4)))&amp;"."&amp;RIGHT("0000"&amp;ROUND(MOD(ABS(ROUND(Results_Long!K4,4)),1)*10000,0),4))&amp;" ["&amp;(IF(Results_Long!P4&lt;0,"-","+")&amp;INT(ABS(ROUND(Results_Long!P4,4)))&amp;"."&amp;RIGHT("0000"&amp;ROUND(MOD(ABS(ROUND(Results_Long!P4,4)),1)*10000,0),4))&amp;"; "&amp;(IF(Results_Long!Q4&lt;0,"-","+")&amp;INT(ABS(ROUND(Results_Long!Q4,4)))&amp;"."&amp;RIGHT("0000"&amp;ROUND(MOD(ABS(ROUND(Results_Long!Q4,4)),1)*10000,0),4))&amp;"]"</f>
        <v>z = -0.0552 [-0.0836; -0.0268]</v>
      </c>
      <c r="D8" s="6" t="str">
        <f aca="false">"r = "&amp;(IF(Results_Long!T4&lt;0,"-","+")&amp;INT(ABS(ROUND(Results_Long!T4,4)))&amp;"."&amp;RIGHT("0000"&amp;ROUND(MOD(ABS(ROUND(Results_Long!T4,4)),1)*10000,0),4))&amp;" ["&amp;(IF(Results_Long!U4&lt;0,"-","+")&amp;INT(ABS(ROUND(Results_Long!U4,4)))&amp;"."&amp;RIGHT("0000"&amp;ROUND(MOD(ABS(ROUND(Results_Long!U4,4)),1)*10000,0),4))&amp;"; "&amp;(IF(Results_Long!V4&lt;0,"-","+")&amp;INT(ABS(ROUND(Results_Long!V4,4)))&amp;"."&amp;RIGHT("0000"&amp;ROUND(MOD(ABS(ROUND(Results_Long!V4,4)),1)*10000,0),4))&amp;"]"</f>
        <v>r = -0.0551 [-0.0834; -0.0268]</v>
      </c>
      <c r="E8" s="5" t="str">
        <f aca="false">IF(Results_Long!O4&lt;0.0001,"p &lt; 0.0001","p = "&amp;(IF(Results_Long!O4&lt;0,"-","")&amp;INT(ABS(ROUND(Results_Long!O4,4)))&amp;"."&amp;RIGHT("0000"&amp;ROUND(MOD(ABS(ROUND(Results_Long!O4,4)),1)*10000,0),4)))</f>
        <v>p = 0.0002</v>
      </c>
      <c r="F8" s="5" t="str">
        <f aca="false">"k = "&amp;Results_Long!H4&amp;" ES / "&amp;Results_Long!I4&amp;" studies / "&amp;Results_Long!J4&amp;" clusters"</f>
        <v>k = 2713 ES / 115 studies / 114 clusters</v>
      </c>
    </row>
    <row r="9" customFormat="false" ht="24" hidden="false" customHeight="true" outlineLevel="0" collapsed="false">
      <c r="A9" s="5" t="s">
        <v>339</v>
      </c>
      <c r="B9" s="5" t="s">
        <v>446</v>
      </c>
      <c r="C9" s="6" t="str">
        <f aca="false">"rule flag = "&amp;Results_Long!AG6&amp;" (1 = PEESE claim-carrying)"</f>
        <v>rule flag = 1 (1 = PEESE claim-carrying)</v>
      </c>
      <c r="D9" s="6"/>
      <c r="E9" s="5"/>
      <c r="F9" s="5"/>
    </row>
    <row r="10" customFormat="false" ht="24" hidden="false" customHeight="true" outlineLevel="0" collapsed="false">
      <c r="A10" s="5" t="s">
        <v>342</v>
      </c>
      <c r="B10" s="5" t="s">
        <v>447</v>
      </c>
      <c r="C10" s="6" t="str">
        <f aca="false">"z = "&amp;(IF(Results_Long!K7&lt;0,"-","+")&amp;INT(ABS(ROUND(Results_Long!K7,4)))&amp;"."&amp;RIGHT("0000"&amp;ROUND(MOD(ABS(ROUND(Results_Long!K7,4)),1)*10000,0),4))&amp;" ["&amp;(IF(Results_Long!P7&lt;0,"-","+")&amp;INT(ABS(ROUND(Results_Long!P7,4)))&amp;"."&amp;RIGHT("0000"&amp;ROUND(MOD(ABS(ROUND(Results_Long!P7,4)),1)*10000,0),4))&amp;"; "&amp;(IF(Results_Long!Q7&lt;0,"-","+")&amp;INT(ABS(ROUND(Results_Long!Q7,4)))&amp;"."&amp;RIGHT("0000"&amp;ROUND(MOD(ABS(ROUND(Results_Long!Q7,4)),1)*10000,0),4))&amp;"]"</f>
        <v>z = -0.0457 [-0.0914; -0.0001]</v>
      </c>
      <c r="D10" s="6" t="str">
        <f aca="false">"r = "&amp;(IF(Results_Long!T7&lt;0,"-","+")&amp;INT(ABS(ROUND(Results_Long!T7,4)))&amp;"."&amp;RIGHT("0000"&amp;ROUND(MOD(ABS(ROUND(Results_Long!T7,4)),1)*10000,0),4))&amp;" ["&amp;(IF(Results_Long!U7&lt;0,"-","+")&amp;INT(ABS(ROUND(Results_Long!U7,4)))&amp;"."&amp;RIGHT("0000"&amp;ROUND(MOD(ABS(ROUND(Results_Long!U7,4)),1)*10000,0),4))&amp;"; "&amp;(IF(Results_Long!V7&lt;0,"-","+")&amp;INT(ABS(ROUND(Results_Long!V7,4)))&amp;"."&amp;RIGHT("0000"&amp;ROUND(MOD(ABS(ROUND(Results_Long!V7,4)),1)*10000,0),4))&amp;"]"</f>
        <v>r = -0.0457 [-0.0911; -0.0001]</v>
      </c>
      <c r="E10" s="5" t="str">
        <f aca="false">IF(Results_Long!O7&lt;0.0001,"p &lt; 0.0001","p = "&amp;(IF(Results_Long!O7&lt;0,"-","")&amp;INT(ABS(ROUND(Results_Long!O7,4)))&amp;"."&amp;RIGHT("0000"&amp;ROUND(MOD(ABS(ROUND(Results_Long!O7,4)),1)*10000,0),4)))</f>
        <v>p = 0.0497</v>
      </c>
      <c r="F10" s="5" t="str">
        <f aca="false">"k = "&amp;Results_Long!H7&amp;" ES / "&amp;Results_Long!I7&amp;" studies / "&amp;Results_Long!J7&amp;" clusters"</f>
        <v>k = 1994 ES / 83 studies / 82 clusters</v>
      </c>
    </row>
    <row r="11" customFormat="false" ht="24" hidden="false" customHeight="true" outlineLevel="0" collapsed="false">
      <c r="A11" s="5" t="s">
        <v>349</v>
      </c>
      <c r="B11" s="5" t="s">
        <v>448</v>
      </c>
      <c r="C11" s="6" t="str">
        <f aca="false">"z = "&amp;(IF(Results_Long!K12&lt;0,"-","+")&amp;INT(ABS(ROUND(Results_Long!K12,4)))&amp;"."&amp;RIGHT("0000"&amp;ROUND(MOD(ABS(ROUND(Results_Long!K12,4)),1)*10000,0),4))&amp;" ["&amp;(IF(Results_Long!P12&lt;0,"-","+")&amp;INT(ABS(ROUND(Results_Long!P12,4)))&amp;"."&amp;RIGHT("0000"&amp;ROUND(MOD(ABS(ROUND(Results_Long!P12,4)),1)*10000,0),4))&amp;"; "&amp;(IF(Results_Long!Q12&lt;0,"-","+")&amp;INT(ABS(ROUND(Results_Long!Q12,4)))&amp;"."&amp;RIGHT("0000"&amp;ROUND(MOD(ABS(ROUND(Results_Long!Q12,4)),1)*10000,0),4))&amp;"]"</f>
        <v>z = -0.0245 [-0.0422; -0.0068]</v>
      </c>
      <c r="D11" s="6" t="str">
        <f aca="false">"r = "&amp;(IF(Results_Long!T12&lt;0,"-","+")&amp;INT(ABS(ROUND(Results_Long!T12,4)))&amp;"."&amp;RIGHT("0000"&amp;ROUND(MOD(ABS(ROUND(Results_Long!T12,4)),1)*10000,0),4))&amp;" ["&amp;(IF(Results_Long!U12&lt;0,"-","+")&amp;INT(ABS(ROUND(Results_Long!U12,4)))&amp;"."&amp;RIGHT("0000"&amp;ROUND(MOD(ABS(ROUND(Results_Long!U12,4)),1)*10000,0),4))&amp;"; "&amp;(IF(Results_Long!V12&lt;0,"-","+")&amp;INT(ABS(ROUND(Results_Long!V12,4)))&amp;"."&amp;RIGHT("0000"&amp;ROUND(MOD(ABS(ROUND(Results_Long!V12,4)),1)*10000,0),4))&amp;"]"</f>
        <v>r = -0.0245 [-0.0422; -0.0068]</v>
      </c>
      <c r="E11" s="5" t="str">
        <f aca="false">IF(Results_Long!O12&lt;0.0001,"p &lt; 0.0001","p = "&amp;(IF(Results_Long!O12&lt;0,"-","")&amp;INT(ABS(ROUND(Results_Long!O12,4)))&amp;"."&amp;RIGHT("0000"&amp;ROUND(MOD(ABS(ROUND(Results_Long!O12,4)),1)*10000,0),4)))</f>
        <v>p = 0.0098</v>
      </c>
      <c r="F11" s="5" t="str">
        <f aca="false">"k = "&amp;Results_Long!H12&amp;" ES / "&amp;Results_Long!I12&amp;" studies / "&amp;Results_Long!J12&amp;" clusters"</f>
        <v>k = 711 ES / 31 studies / 31 clusters</v>
      </c>
    </row>
    <row r="12" customFormat="false" ht="24" hidden="false" customHeight="true" outlineLevel="0" collapsed="false">
      <c r="A12" s="5" t="s">
        <v>366</v>
      </c>
      <c r="B12" s="5" t="s">
        <v>449</v>
      </c>
      <c r="C12" s="6" t="str">
        <f aca="false">"z = "&amp;(IF(Results_Long!K19&lt;0,"-","+")&amp;INT(ABS(ROUND(Results_Long!K19,4)))&amp;"."&amp;RIGHT("0000"&amp;ROUND(MOD(ABS(ROUND(Results_Long!K19,4)),1)*10000,0),4))&amp;" ["&amp;(IF(Results_Long!P19&lt;0,"-","+")&amp;INT(ABS(ROUND(Results_Long!P19,4)))&amp;"."&amp;RIGHT("0000"&amp;ROUND(MOD(ABS(ROUND(Results_Long!P19,4)),1)*10000,0),4))&amp;"; "&amp;(IF(Results_Long!Q19&lt;0,"-","+")&amp;INT(ABS(ROUND(Results_Long!Q19,4)))&amp;"."&amp;RIGHT("0000"&amp;ROUND(MOD(ABS(ROUND(Results_Long!Q19,4)),1)*10000,0),4))&amp;"]"</f>
        <v>z = +0.0117 [-0.0708; +0.0942]</v>
      </c>
      <c r="D12" s="6" t="str">
        <f aca="false">"r = "&amp;(IF(Results_Long!T19&lt;0,"-","+")&amp;INT(ABS(ROUND(Results_Long!T19,4)))&amp;"."&amp;RIGHT("0000"&amp;ROUND(MOD(ABS(ROUND(Results_Long!T19,4)),1)*10000,0),4))&amp;" ["&amp;(IF(Results_Long!U19&lt;0,"-","+")&amp;INT(ABS(ROUND(Results_Long!U19,4)))&amp;"."&amp;RIGHT("0000"&amp;ROUND(MOD(ABS(ROUND(Results_Long!U19,4)),1)*10000,0),4))&amp;"; "&amp;(IF(Results_Long!V19&lt;0,"-","+")&amp;INT(ABS(ROUND(Results_Long!V19,4)))&amp;"."&amp;RIGHT("0000"&amp;ROUND(MOD(ABS(ROUND(Results_Long!V19,4)),1)*10000,0),4))&amp;"]"</f>
        <v>r = +0.0117 [-0.0707; +0.0939]</v>
      </c>
      <c r="E12" s="5" t="str">
        <f aca="false">IF(Results_Long!O19&lt;0.0001,"p &lt; 0.0001","p = "&amp;(IF(Results_Long!O19&lt;0,"-","")&amp;INT(ABS(ROUND(Results_Long!O19,4)))&amp;"."&amp;RIGHT("0000"&amp;ROUND(MOD(ABS(ROUND(Results_Long!O19,4)),1)*10000,0),4)))</f>
        <v>p = 0.7812</v>
      </c>
      <c r="F12" s="5" t="str">
        <f aca="false">"k = "&amp;Results_Long!H19&amp;" ES / "&amp;Results_Long!I19&amp;" studies / "&amp;Results_Long!J19&amp;" clusters"</f>
        <v>k = 2713 ES / 115 studies / 114 clusters</v>
      </c>
    </row>
    <row r="13" customFormat="false" ht="24" hidden="false" customHeight="true" outlineLevel="0" collapsed="false">
      <c r="A13" s="5" t="s">
        <v>377</v>
      </c>
      <c r="B13" s="5" t="s">
        <v>450</v>
      </c>
      <c r="C13" s="6" t="str">
        <f aca="false">"z = "&amp;(IF(Results_Long!K23&lt;0,"-","+")&amp;INT(ABS(ROUND(Results_Long!K23,4)))&amp;"."&amp;RIGHT("0000"&amp;ROUND(MOD(ABS(ROUND(Results_Long!K23,4)),1)*10000,0),4))&amp;" ["&amp;(IF(Results_Long!P23&lt;0,"-","+")&amp;INT(ABS(ROUND(Results_Long!P23,4)))&amp;"."&amp;RIGHT("0000"&amp;ROUND(MOD(ABS(ROUND(Results_Long!P23,4)),1)*10000,0),4))&amp;"; "&amp;(IF(Results_Long!Q23&lt;0,"-","+")&amp;INT(ABS(ROUND(Results_Long!Q23,4)))&amp;"."&amp;RIGHT("0000"&amp;ROUND(MOD(ABS(ROUND(Results_Long!Q23,4)),1)*10000,0),4))&amp;"]"</f>
        <v>z = +0.0118 [-0.0686; +0.0978]</v>
      </c>
      <c r="D13" s="6" t="str">
        <f aca="false">"r = "&amp;(IF(Results_Long!T23&lt;0,"-","+")&amp;INT(ABS(ROUND(Results_Long!T23,4)))&amp;"."&amp;RIGHT("0000"&amp;ROUND(MOD(ABS(ROUND(Results_Long!T23,4)),1)*10000,0),4))&amp;" ["&amp;(IF(Results_Long!U23&lt;0,"-","+")&amp;INT(ABS(ROUND(Results_Long!U23,4)))&amp;"."&amp;RIGHT("0000"&amp;ROUND(MOD(ABS(ROUND(Results_Long!U23,4)),1)*10000,0),4))&amp;"; "&amp;(IF(Results_Long!V23&lt;0,"-","+")&amp;INT(ABS(ROUND(Results_Long!V23,4)))&amp;"."&amp;RIGHT("0000"&amp;ROUND(MOD(ABS(ROUND(Results_Long!V23,4)),1)*10000,0),4))&amp;"]"</f>
        <v>r = +0.0118 [-0.0685; +0.0975]</v>
      </c>
      <c r="E13" s="5" t="str">
        <f aca="false">IF(Results_Long!O23&lt;0.0001,"p &lt; 0.0001","p = "&amp;(IF(Results_Long!O23&lt;0,"-","")&amp;INT(ABS(ROUND(Results_Long!O23,4)))&amp;"."&amp;RIGHT("0000"&amp;ROUND(MOD(ABS(ROUND(Results_Long!O23,4)),1)*10000,0),4)))</f>
        <v>p = 0.7776</v>
      </c>
      <c r="F13" s="5" t="str">
        <f aca="false">"k = "&amp;Results_Long!H23&amp;" ES / "&amp;Results_Long!I23&amp;" studies / "&amp;Results_Long!J23&amp;" clusters"</f>
        <v>k = 2713 ES / 115 studies / 114 clusters</v>
      </c>
    </row>
    <row r="14" customFormat="false" ht="24" hidden="false" customHeight="true" outlineLevel="0" collapsed="false">
      <c r="A14" s="5" t="s">
        <v>407</v>
      </c>
      <c r="B14" s="5" t="s">
        <v>451</v>
      </c>
      <c r="C14" s="6" t="str">
        <f aca="false">"z = "&amp;(IF(Results_Long!K44&lt;0,"-","+")&amp;INT(ABS(ROUND(Results_Long!K44,4)))&amp;"."&amp;RIGHT("0000"&amp;ROUND(MOD(ABS(ROUND(Results_Long!K44,4)),1)*10000,0),4))&amp;" ["&amp;(IF(Results_Long!P44&lt;0,"-","+")&amp;INT(ABS(ROUND(Results_Long!P44,4)))&amp;"."&amp;RIGHT("0000"&amp;ROUND(MOD(ABS(ROUND(Results_Long!P44,4)),1)*10000,0),4))&amp;"; "&amp;(IF(Results_Long!Q44&lt;0,"-","+")&amp;INT(ABS(ROUND(Results_Long!Q44,4)))&amp;"."&amp;RIGHT("0000"&amp;ROUND(MOD(ABS(ROUND(Results_Long!Q44,4)),1)*10000,0),4))&amp;"]"</f>
        <v>z = +0.0025 [-0.0543; +0.0592]</v>
      </c>
      <c r="D14" s="6" t="s">
        <v>444</v>
      </c>
      <c r="E14" s="5" t="str">
        <f aca="false">IF(Results_Long!O44&lt;0.0001,"p &lt; 0.0001","p = "&amp;(IF(Results_Long!O44&lt;0,"-","")&amp;INT(ABS(ROUND(Results_Long!O44,4)))&amp;"."&amp;RIGHT("0000"&amp;ROUND(MOD(ABS(ROUND(Results_Long!O44,4)),1)*10000,0),4)))</f>
        <v>p = 0.9279</v>
      </c>
      <c r="F14" s="5" t="str">
        <f aca="false">"k = "&amp;Results_Long!H44&amp;" ES / "&amp;Results_Long!I44&amp;" studies / "&amp;Results_Long!J44&amp;" clusters"</f>
        <v>k = 2713 ES / 115 studies / 114 clusters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92"/>
    <col collapsed="false" customWidth="true" hidden="false" outlineLevel="0" max="6" min="5" style="1" width="30"/>
  </cols>
  <sheetData>
    <row r="1" customFormat="false" ht="15" hidden="false" customHeight="true" outlineLevel="0" collapsed="false">
      <c r="A1" s="2" t="s">
        <v>452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453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3" t="s">
        <v>454</v>
      </c>
      <c r="B3" s="3"/>
      <c r="C3" s="3"/>
      <c r="D3" s="3"/>
      <c r="E3" s="3"/>
      <c r="F3" s="3"/>
    </row>
    <row r="5" customFormat="false" ht="15" hidden="false" customHeight="true" outlineLevel="0" collapsed="false">
      <c r="A5" s="4" t="s">
        <v>455</v>
      </c>
      <c r="B5" s="4" t="s">
        <v>456</v>
      </c>
      <c r="C5" s="4" t="s">
        <v>457</v>
      </c>
      <c r="D5" s="4" t="s">
        <v>458</v>
      </c>
      <c r="E5" s="4" t="s">
        <v>459</v>
      </c>
      <c r="F5" s="4" t="s">
        <v>211</v>
      </c>
    </row>
    <row r="6" customFormat="false" ht="109.5" hidden="false" customHeight="true" outlineLevel="0" collapsed="false">
      <c r="A6" s="5" t="s">
        <v>460</v>
      </c>
      <c r="B6" s="6" t="s">
        <v>461</v>
      </c>
      <c r="C6" s="20" t="s">
        <v>462</v>
      </c>
      <c r="D6" s="6" t="s">
        <v>463</v>
      </c>
      <c r="E6" s="6" t="s">
        <v>464</v>
      </c>
      <c r="F6" s="6" t="s">
        <v>465</v>
      </c>
    </row>
    <row r="7" customFormat="false" ht="60" hidden="false" customHeight="true" outlineLevel="0" collapsed="false">
      <c r="A7" s="5" t="s">
        <v>466</v>
      </c>
      <c r="B7" s="6" t="s">
        <v>467</v>
      </c>
      <c r="C7" s="20" t="s">
        <v>462</v>
      </c>
      <c r="D7" s="6" t="s">
        <v>468</v>
      </c>
      <c r="E7" s="6" t="s">
        <v>469</v>
      </c>
      <c r="F7" s="6" t="s">
        <v>470</v>
      </c>
    </row>
    <row r="8" customFormat="false" ht="60" hidden="false" customHeight="true" outlineLevel="0" collapsed="false">
      <c r="A8" s="5" t="s">
        <v>471</v>
      </c>
      <c r="B8" s="6" t="s">
        <v>472</v>
      </c>
      <c r="C8" s="20" t="s">
        <v>462</v>
      </c>
      <c r="D8" s="6" t="s">
        <v>473</v>
      </c>
      <c r="E8" s="6" t="s">
        <v>474</v>
      </c>
      <c r="F8" s="6" t="s">
        <v>475</v>
      </c>
    </row>
    <row r="9" customFormat="false" ht="60" hidden="false" customHeight="true" outlineLevel="0" collapsed="false">
      <c r="A9" s="5" t="s">
        <v>476</v>
      </c>
      <c r="B9" s="6" t="s">
        <v>477</v>
      </c>
      <c r="C9" s="20" t="s">
        <v>462</v>
      </c>
      <c r="D9" s="6" t="s">
        <v>478</v>
      </c>
      <c r="E9" s="6" t="s">
        <v>479</v>
      </c>
      <c r="F9" s="6" t="s">
        <v>480</v>
      </c>
    </row>
    <row r="10" customFormat="false" ht="60" hidden="false" customHeight="true" outlineLevel="0" collapsed="false">
      <c r="A10" s="5" t="s">
        <v>481</v>
      </c>
      <c r="B10" s="6" t="s">
        <v>482</v>
      </c>
      <c r="C10" s="20" t="s">
        <v>462</v>
      </c>
      <c r="D10" s="6" t="s">
        <v>483</v>
      </c>
      <c r="E10" s="6" t="s">
        <v>484</v>
      </c>
      <c r="F10" s="6" t="s">
        <v>485</v>
      </c>
    </row>
    <row r="11" customFormat="false" ht="60" hidden="false" customHeight="true" outlineLevel="0" collapsed="false">
      <c r="A11" s="5" t="s">
        <v>486</v>
      </c>
      <c r="B11" s="6" t="s">
        <v>487</v>
      </c>
      <c r="C11" s="16" t="s">
        <v>462</v>
      </c>
      <c r="D11" s="6" t="s">
        <v>488</v>
      </c>
      <c r="E11" s="6" t="s">
        <v>489</v>
      </c>
      <c r="F11" s="6" t="s">
        <v>490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2026-07-19T12:07:48Z</dcterms:created>
  <dc:creator>openpyxl</dc:creator>
  <dc:description/>
  <dc:language>en-US</dc:language>
  <cp:lastModifiedBy/>
  <dcterms:modified xsi:type="dcterms:W3CDTF">2026-07-29T10:01:58Z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