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README" sheetId="1" state="visible" r:id="rId1"/>
    <sheet xmlns:r="http://schemas.openxmlformats.org/officeDocument/2006/relationships" name="2_Methodology" sheetId="2" state="visible" r:id="rId2"/>
    <sheet xmlns:r="http://schemas.openxmlformats.org/officeDocument/2006/relationships" name="3_Interpretation_Guide" sheetId="3" state="visible" r:id="rId3"/>
    <sheet xmlns:r="http://schemas.openxmlformats.org/officeDocument/2006/relationships" name="4_Formula_Reference" sheetId="4" state="visible" r:id="rId4"/>
    <sheet xmlns:r="http://schemas.openxmlformats.org/officeDocument/2006/relationships" name="5_Data_Provenance" sheetId="5" state="visible" r:id="rId5"/>
    <sheet xmlns:r="http://schemas.openxmlformats.org/officeDocument/2006/relationships" name="6_H2a_Level" sheetId="6" state="visible" r:id="rId6"/>
    <sheet xmlns:r="http://schemas.openxmlformats.org/officeDocument/2006/relationships" name="7_H2b_Moderation" sheetId="7" state="visible" r:id="rId7"/>
    <sheet xmlns:r="http://schemas.openxmlformats.org/officeDocument/2006/relationships" name="Results_Long" sheetId="8" state="visible" r:id="rId8"/>
    <sheet xmlns:r="http://schemas.openxmlformats.org/officeDocument/2006/relationships" name="Manuscript_Inputs" sheetId="9" state="visible" r:id="rId9"/>
    <sheet xmlns:r="http://schemas.openxmlformats.org/officeDocument/2006/relationships" name="Manuscript_Text_Blocks" sheetId="10" state="visible" r:id="rId10"/>
  </sheets>
  <definedNames>
    <definedName name="_xlnm._FilterDatabase" localSheetId="7" hidden="1">'Results_Long'!$A$1:$AK$31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00"/>
    <numFmt numFmtId="167" formatCode="+0.0000;-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bottom style="thin">
        <color rgb="00D9D9D9"/>
      </bottom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2" pivotButton="0" quotePrefix="0" xfId="0"/>
    <xf numFmtId="0" fontId="4" fillId="0" borderId="1" applyAlignment="1" pivotButton="0" quotePrefix="0" xfId="0">
      <alignment vertical="top" wrapText="1"/>
    </xf>
    <xf numFmtId="167" fontId="2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FOMA CER–COD–Paris · Run TH-b (Bayes battery H2a/H2b) — results workbook</t>
        </is>
      </c>
    </row>
    <row r="2">
      <c r="A2" s="2" t="inlineStr">
        <is>
          <t>Template: docs/results_workbook_template.md (10-tab cut per author ruling B-Q4, 2026-07-26)</t>
        </is>
      </c>
    </row>
    <row r="3">
      <c r="A3" s="2" t="inlineStr">
        <is>
          <t>Run 2026-07-27 16:22:52 CEST · verifier R/07_verify_outputs.R O0–O14 ALL PASS (exit 0)</t>
        </is>
      </c>
    </row>
    <row r="5">
      <c r="A5" s="3" t="inlineStr">
        <is>
          <t>Item</t>
        </is>
      </c>
      <c r="B5" s="3" t="inlineStr">
        <is>
          <t>Value</t>
        </is>
      </c>
    </row>
    <row r="6">
      <c r="A6" s="4" t="inlineStr">
        <is>
          <t>Version</t>
        </is>
      </c>
      <c r="B6" s="5" t="inlineStr">
        <is>
          <t>TH-b v1 (canonical run 3; runs 1–2 halted by design — ERROR_LOG #17/#18)</t>
        </is>
      </c>
    </row>
    <row r="7">
      <c r="A7" s="4" t="inlineStr">
        <is>
          <t>Method</t>
        </is>
      </c>
      <c r="B7" s="5" t="inlineStr">
        <is>
          <t>Robust Bayesian model-averaged meta-analysis (RoBMA 3.6.1): H2a pooled level (36-model space), H2b Paris-period moderation via RoBMA.reg (72-model space)</t>
        </is>
      </c>
    </row>
    <row r="8">
      <c r="A8" s="4" t="inlineStr">
        <is>
          <t>Scope</t>
        </is>
      </c>
      <c r="B8" s="5" t="inlineStr">
        <is>
          <t>H2a: k = 114 one-effect-per-cluster aggregates, 3 effect-prior sets. H2b: 113 cluster×period aggregate rows (82 pre + 31 post), 3 moderation-prior sets. Single-home: level cells → T2/B1; frequentist selection models → T5; this run carries the Bayes gate inputs [DEC-044/045].</t>
        </is>
      </c>
    </row>
    <row r="9">
      <c r="A9" s="4" t="inlineStr">
        <is>
          <t>Repo / anchors</t>
        </is>
      </c>
      <c r="B9" s="5" t="inlineStr">
        <is>
          <t>rwitte-wu-research/FOMA-CER-COD-Paris · Block-1 a4719ed → fix 1b6eab8 (#17) → fix 4cf8fe6 (#18); outputs committed with Block 2</t>
        </is>
      </c>
    </row>
    <row r="10">
      <c r="A10" s="4" t="inlineStr">
        <is>
          <t>Computational stack</t>
        </is>
      </c>
      <c r="B10" s="5" t="inlineStr">
        <is>
          <t>R 4.6.1 · RoBMA 3.6.1 · BayesTools 0.2.23 · rjags 4-17 · JAGS 4.3.2 · seed 20260710 · sequential chains + single-thread Rblas [DEC-046]</t>
        </is>
      </c>
    </row>
    <row r="11">
      <c r="A11" s="4" t="inlineStr">
        <is>
          <t>Scripts</t>
        </is>
      </c>
      <c r="B11" s="5" t="inlineStr">
        <is>
          <t>R/07_robma.R + paired verifier R/07_verify_outputs.R (foundational pair, pre-execution diff review B-Q1)</t>
        </is>
      </c>
    </row>
    <row r="12">
      <c r="A12" s="4" t="inlineStr">
        <is>
          <t>Decision basis</t>
        </is>
      </c>
      <c r="B12" s="5" t="inlineStr">
        <is>
          <t>DEC-031b (prior sets; COE companion = only admissible external prior source) · DEC-042a/b (domains) · DEC-044 (framing gate) · DEC-045 (H2a/H2b pins) · DEC-046 (F66 closure: version + y/se scale-path pins)</t>
        </is>
      </c>
    </row>
    <row r="13">
      <c r="A13" s="4" t="inlineStr">
        <is>
          <t>Recalc</t>
        </is>
      </c>
      <c r="B13" s="5" t="inlineStr">
        <is>
          <t>Container recalc pass executed (LibreOffice headless) + spot verification vs CSV; re-calculate on open (Ctrl+Alt+F9) after any edit</t>
        </is>
      </c>
    </row>
    <row r="14">
      <c r="A14" s="4" t="inlineStr">
        <is>
          <t>Framing status</t>
        </is>
      </c>
      <c r="B14" s="5" t="inlineStr">
        <is>
          <t>NONE. Mechanical values and pinned band labels only; adjudication deferred to the documented gate-resolution step [DEC-044].</t>
        </is>
      </c>
    </row>
    <row r="16">
      <c r="A16" s="3" t="inlineStr">
        <is>
          <t>TAB-INDEX</t>
        </is>
      </c>
      <c r="B16" s="3" t="inlineStr"/>
    </row>
    <row r="17">
      <c r="A17" s="4" t="inlineStr">
        <is>
          <t>1_README</t>
        </is>
      </c>
      <c r="B17" s="6" t="inlineStr">
        <is>
          <t>this tab</t>
        </is>
      </c>
    </row>
    <row r="18">
      <c r="A18" s="4" t="inlineStr">
        <is>
          <t>2_Methodology</t>
        </is>
      </c>
      <c r="B18" s="6" t="inlineStr">
        <is>
          <t>model space, priors (full precision), pins</t>
        </is>
      </c>
    </row>
    <row r="19">
      <c r="A19" s="4" t="inlineStr">
        <is>
          <t>3_Interpretation_Guide</t>
        </is>
      </c>
      <c r="B19" s="6" t="inlineStr">
        <is>
          <t>BF01 semantics, band ladder, saturation, mixture quantiles</t>
        </is>
      </c>
    </row>
    <row r="20">
      <c r="A20" s="4" t="inlineStr">
        <is>
          <t>4_Formula_Reference</t>
        </is>
      </c>
      <c r="B20" s="6" t="inlineStr">
        <is>
          <t>derivation map into Results_Long</t>
        </is>
      </c>
    </row>
    <row r="21">
      <c r="A21" s="4" t="inlineStr">
        <is>
          <t>5_Data_Provenance</t>
        </is>
      </c>
      <c r="B21" s="6" t="inlineStr">
        <is>
          <t>contract, structure, timings/κ, diagnostics, run history</t>
        </is>
      </c>
    </row>
    <row r="22">
      <c r="A22" s="4" t="inlineStr">
        <is>
          <t>6_H2a_Level</t>
        </is>
      </c>
      <c r="B22" s="6" t="inlineStr">
        <is>
          <t>pooled-level panel + Q&amp;A + verdict</t>
        </is>
      </c>
    </row>
    <row r="23">
      <c r="A23" s="4" t="inlineStr">
        <is>
          <t>7_H2b_Moderation</t>
        </is>
      </c>
      <c r="B23" s="6" t="inlineStr">
        <is>
          <t>moderation panel + Q&amp;A + verdict</t>
        </is>
      </c>
    </row>
    <row r="24">
      <c r="A24" s="4" t="inlineStr">
        <is>
          <t>Results_Long</t>
        </is>
      </c>
      <c r="B24" s="6" t="inlineStr">
        <is>
          <t>verbatim run CSV — single formula source</t>
        </is>
      </c>
    </row>
    <row r="25">
      <c r="A25" s="4" t="inlineStr">
        <is>
          <t>Manuscript_Inputs</t>
        </is>
      </c>
      <c r="B25" s="6" t="inlineStr">
        <is>
          <t>ms_input rows, formula-derived paste strings</t>
        </is>
      </c>
    </row>
    <row r="26">
      <c r="A26" s="4" t="inlineStr">
        <is>
          <t>Manuscript_Text_Blocks</t>
        </is>
      </c>
      <c r="B26" s="6" t="inlineStr">
        <is>
          <t>TB-52…TB-56 (numbers hardcoded, provenance header)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Methodology — TH-b Bayes battery</t>
        </is>
      </c>
    </row>
    <row r="2">
      <c r="A2" s="2" t="inlineStr">
        <is>
          <t>Authority: DEC-045 (spec) · DEC-046 (stack + scale path) · DEC-031b (priors)</t>
        </is>
      </c>
    </row>
    <row r="3">
      <c r="A3" s="2" t="inlineStr">
        <is>
          <t>All priors act verbatim on the Fisher-z scale (y/se route; transformation = prior_scale = "none").</t>
        </is>
      </c>
    </row>
    <row r="5">
      <c r="A5" s="3" t="inlineStr">
        <is>
          <t>Item</t>
        </is>
      </c>
      <c r="B5" s="3" t="inlineStr">
        <is>
          <t>Specification</t>
        </is>
      </c>
    </row>
    <row r="6">
      <c r="A6" s="7" t="inlineStr">
        <is>
          <t>Model space H2a</t>
        </is>
      </c>
      <c r="B6" s="5" t="inlineStr">
        <is>
          <t>36 models: {Spike(0), effect prior} × {Spike(0), InvGamma(1, 0.15)} × 9 publication-selection components (6 weight functions, PET ~ Cauchy(0,1)[0,∞], PEESE ~ Cauchy(0,5)[0,∞], none). Package construction echoed verbatim in TH_b_run_meta.txt FITMETA blocks.</t>
        </is>
      </c>
    </row>
    <row r="7">
      <c r="A7" s="7" t="inlineStr">
        <is>
          <t>Model space H2b</t>
        </is>
      </c>
      <c r="B7" s="5" t="inlineStr">
        <is>
          <t>72 models: the 36-model space crossed with period-moderator inclusion/exclusion; RoBMA.reg(~ period, test_predictors = "period"); factor levels c("pre","post"), reference = pre.</t>
        </is>
      </c>
    </row>
    <row r="8">
      <c r="A8" s="7" t="inlineStr">
        <is>
          <t>Input</t>
        </is>
      </c>
      <c r="B8" s="5" t="inlineStr">
        <is>
          <t>One-effect-per-cluster aggregates (metafor aggregate.escalc, struct = "CS", rho = 0.6; T1/A5 convention [DEC-031g/F65]); H2a k = 114; H2b 113 cluster×period rows (per-cell D2 aggregation; Li et al (2022) = single both-period cluster, disclosed).</t>
        </is>
      </c>
    </row>
    <row r="9">
      <c r="A9" s="7" t="inlineStr">
        <is>
          <t>Orientation</t>
        </is>
      </c>
      <c r="B9" s="5" t="inlineStr">
        <is>
          <t>effect_direction = "negative" for all fits (P-T5-2 transfer [DEC-046]); estimates reported on the original scale.</t>
        </is>
      </c>
    </row>
    <row r="10">
      <c r="A10" s="7" t="inlineStr">
        <is>
          <t>H2a effect priors</t>
        </is>
      </c>
      <c r="B10" s="5" t="inlineStr">
        <is>
          <t>psma_default: package defaults (effect slab Normal(0, 1) on z — evidenced in FITMETA) · coe_informed: Normal(−0.041, 0.0211734694) with σ = 0.083/3.92 [DEC-031b provenance arithmetic] · coe_wide: Normal(−0.041, 0.0423469388) = 2σ.</t>
        </is>
      </c>
    </row>
    <row r="11">
      <c r="A11" s="7" t="inlineStr">
        <is>
          <t>H2b period priors</t>
        </is>
      </c>
      <c r="B11" s="5" t="inlineStr">
        <is>
          <t>contrast_informed: treatment-contrast Normal(0, 0.025) [secondary SESOI ±0.05 ≈ ±2σ, DEC-045] (PRIMARY) · contrast_wide: Normal(0, 0.050) · factor_default: package default = mean-difference contrast mNormal(0, 0.25) (evidenced in FITMETA; no memory-hardcoding). H2b level/heterogeneity/bias priors = package defaults; level inference single-homed in H2a.</t>
        </is>
      </c>
    </row>
    <row r="12">
      <c r="A12" s="7" t="inlineStr">
        <is>
          <t>Prior print-rounding note</t>
        </is>
      </c>
      <c r="B12" s="5" t="inlineStr">
        <is>
          <t>FITMETA prior echoes are BayesTools 2-dp print renderings ("Normal(-0.04, 0.02)", "Normal(0, 0.03)"); the calls used the full-precision constants in the run_meta constants line, asserted by verifier O8b. The print string is display, not the call.</t>
        </is>
      </c>
    </row>
    <row r="13">
      <c r="A13" s="7" t="inlineStr">
        <is>
          <t>MCMC</t>
        </is>
      </c>
      <c r="B13" s="5" t="inlineStr">
        <is>
          <t>3.x defaults: 3 chains × 5,000 samples, 2,000 burn-in, 500 adapt, autofit = TRUE; seed 20260710; parallel = FALSE.</t>
        </is>
      </c>
    </row>
    <row r="14">
      <c r="A14" s="7" t="inlineStr">
        <is>
          <t>Guards</t>
        </is>
      </c>
      <c r="B14" s="5" t="inlineStr">
        <is>
          <t>[R7-PRE] 3-probe smoke test (level, regression, saturation) before canonical fits; not-estimable signature list {converg, r-hat, rhat, effective sample size, bridge sampl, node inconsistent, unable to initialize}; saturated BF pairs Inf/0 legitimate [#18].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Interpretation guide (mechanical semantics only)</t>
        </is>
      </c>
    </row>
    <row r="2">
      <c r="A2" s="2" t="inlineStr">
        <is>
          <t>BF01 = 1/BF10 = evidence FOR the null of the named component (inclusion Bayes factor inverted).</t>
        </is>
      </c>
    </row>
    <row r="3">
      <c r="A3" s="2" t="inlineStr">
        <is>
          <t>Band labels are pinned mechanical labels — adjudication is deferred [DEC-044].</t>
        </is>
      </c>
    </row>
    <row r="5">
      <c r="A5" s="3" t="inlineStr">
        <is>
          <t>Concept</t>
        </is>
      </c>
      <c r="B5" s="3" t="inlineStr">
        <is>
          <t>Mechanical reading</t>
        </is>
      </c>
    </row>
    <row r="6">
      <c r="A6" s="7" t="inlineStr">
        <is>
          <t>BF01 band ladder (pinned)</t>
        </is>
      </c>
      <c r="B6" s="5" t="inlineStr">
        <is>
          <t>1–3 anecdotal · 3–10 moderate · 10–30 strong · &gt;30 very strong. Gate mapping [E3/DEC-045]: BF01 ≥ 3 = "full" register input; 1–3 = equivalence-register input. Values &lt; 1 favour component inclusion — read via BF10 = 1/BF01 with the same ladder.</t>
        </is>
      </c>
    </row>
    <row r="7">
      <c r="A7" s="7" t="inlineStr">
        <is>
          <t>Saturation (Inf/0)</t>
        </is>
      </c>
      <c r="B7" s="5" t="inlineStr">
        <is>
          <t>A saturated pair (BF10 = Inf, BF01 = 0) means the posterior inclusion probability hit the floating-point boundary — evidence beyond double-precision resolution, not an error [#18]. Here: heterogeneity in all three H2a sets.</t>
        </is>
      </c>
    </row>
    <row r="8">
      <c r="A8" s="7" t="inlineStr">
        <is>
          <t>Mixture quantiles / exact-zero CI bounds</t>
        </is>
      </c>
      <c r="B8" s="5" t="inlineStr">
        <is>
          <t>Model-averaged intervals mix the Spike(0) mass with the slab posterior. With BF01(effect) = 7.03, the posterior spike mass is BF01/(1+BF01) ≈ 87.5%, so the 2.5% or 97.5% quantile can sit exactly at 0. An exact-zero bound is mixture arithmetic, not truncation.</t>
        </is>
      </c>
    </row>
    <row r="9">
      <c r="A9" s="7" t="inlineStr">
        <is>
          <t>Why default μ can differ in sign</t>
        </is>
      </c>
      <c r="B9" s="5" t="inlineStr">
        <is>
          <t>Under the diffuse default slab Normal(0, 1), the slab posterior is dominated by the strongly included publication-selection components (BF10_bias = 94.7), whose corrected location differs from the unadjusted pooled value. The COE-informed set anchors the calibrated magnitude; prior sensitivity across sets is reported mechanically.</t>
        </is>
      </c>
    </row>
    <row r="10">
      <c r="A10" s="7" t="inlineStr">
        <is>
          <t>Contrast rows</t>
        </is>
      </c>
      <c r="B10" s="5" t="inlineStr">
        <is>
          <t>Differences of Fisher-z are reported z-only by convention (no tanh of differences); est_r = NA on z_diff rows.</t>
        </is>
      </c>
    </row>
    <row r="11">
      <c r="A11" s="7" t="inlineStr">
        <is>
          <t>Single-home map</t>
        </is>
      </c>
      <c r="B11" s="5" t="inlineStr">
        <is>
          <t>Level pre/post cells → T2/B1 · frequentist selection models (FAT-PET-PEESE, selection) → T5/Block D · Paris×exposure interactions → their one designated location · this workbook → Bayes gate inputs only.</t>
        </is>
      </c>
    </row>
    <row r="12">
      <c r="A12" s="7" t="inlineStr">
        <is>
          <t>Framing gate</t>
        </is>
      </c>
      <c r="B12" s="5" t="inlineStr">
        <is>
          <t>Verbatim: results are mechanical values with pinned labels; wording tier (evidence-of-absence vs equivalence register) is decided at the documented gate-resolution step [DEC-044] — nothing in this workbook pre-empts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Formula reference</t>
        </is>
      </c>
    </row>
    <row r="2">
      <c r="A2" s="2" t="inlineStr">
        <is>
          <t>Every derived cell resolves into Results_Long via INDEX/MATCH on the 4-key helper column AK.</t>
        </is>
      </c>
    </row>
    <row r="3">
      <c r="A3" s="2" t="inlineStr">
        <is>
          <t>Key = analysis_id|spec|subset|term. No XLOOKUP/FILTER (LibreOffice recalc); no TEXT() format codes (locale-neutral refinement vs template).</t>
        </is>
      </c>
    </row>
    <row r="5">
      <c r="A5" s="3" t="inlineStr">
        <is>
          <t>Derived quantity</t>
        </is>
      </c>
      <c r="B5" s="3" t="inlineStr">
        <is>
          <t>Formula pattern</t>
        </is>
      </c>
    </row>
    <row r="6">
      <c r="A6" s="7" t="inlineStr">
        <is>
          <t>Panel numbers (tabs 6/7)</t>
        </is>
      </c>
      <c r="B6" s="5">
        <f>INDEX(Results_Long!&lt;col&gt;,MATCH("&lt;4-key&gt;",Results_Long!AK:AK,0)) — columns est_z/ci_lb_z/ci_ub_z/est_r/ci_lb_r/ci_ub_r/value.</f>
        <v/>
      </c>
    </row>
    <row r="7">
      <c r="A7" s="7" t="inlineStr">
        <is>
          <t>est_r on μ rows</t>
        </is>
      </c>
      <c r="B7" s="5" t="inlineStr">
        <is>
          <t>est_r = TANH(est_z), written by the run script; workbook re-displays, never recomputes.</t>
        </is>
      </c>
    </row>
    <row r="8">
      <c r="A8" s="7" t="inlineStr">
        <is>
          <t>BF10 from BF01</t>
        </is>
      </c>
      <c r="B8" s="5">
        <f>1/&lt;BF01 cell&gt;; saturated: BF01 = 0 ⇒ BF10 = Inf (displayed "saturated").</f>
        <v/>
      </c>
    </row>
    <row r="9">
      <c r="A9" s="7" t="inlineStr">
        <is>
          <t>Posterior spike mass</t>
        </is>
      </c>
      <c r="B9" s="5">
        <f> BF01/(1+BF01) on component rows (equal prior odds; mechanical).</f>
        <v/>
      </c>
    </row>
    <row r="10">
      <c r="A10" s="7" t="inlineStr">
        <is>
          <t>Manuscript_Inputs strings</t>
        </is>
      </c>
      <c r="B10" s="5" t="inlineStr">
        <is>
          <t>Assembled arithmetically: sign &amp; INT part &amp; "." &amp; zero-padded fraction (ROUND/INT/REPT/RIGHT + &amp;). Locale-neutral by construction; deviation from template TEXT() per the locale-neutral refinement, disclosed.</t>
        </is>
      </c>
    </row>
    <row r="11">
      <c r="A11" s="7" t="inlineStr">
        <is>
          <t>Band labels</t>
        </is>
      </c>
      <c r="B11" s="5">
        <f>IF(BF01=0,"saturated",IF(BF01&lt;1,"favours inclusion (read BF10)",IF(BF01&lt;3,"anecdotal",IF(BF01&lt;10,"moderate",IF(BF01&lt;30,"strong","very strong")))))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26" customWidth="1" min="3" max="3"/>
  </cols>
  <sheetData>
    <row r="1">
      <c r="A1" s="1" t="inlineStr">
        <is>
          <t>Data provenance &amp; run record</t>
        </is>
      </c>
    </row>
    <row r="2">
      <c r="A2" s="2" t="inlineStr">
        <is>
          <t>Run 3 of 3 (runs 1–2: designed halts, ERROR_LOG #17/#18; no outputs, tree clean).</t>
        </is>
      </c>
    </row>
    <row r="3">
      <c r="A3" s="2" t="inlineStr">
        <is>
          <t>Executor: Claude Code per docs/cc_prompt_THb.md; author-sanctioned deviations disclosed below.</t>
        </is>
      </c>
    </row>
    <row r="5">
      <c r="A5" s="3" t="inlineStr">
        <is>
          <t>Item</t>
        </is>
      </c>
      <c r="B5" s="3" t="inlineStr">
        <is>
          <t>Value</t>
        </is>
      </c>
      <c r="C5" s="3" t="inlineStr">
        <is>
          <t>Source</t>
        </is>
      </c>
    </row>
    <row r="6">
      <c r="A6" s="7" t="inlineStr">
        <is>
          <t>Estimation set / domains</t>
        </is>
      </c>
      <c r="B6" s="5" t="inlineStr">
        <is>
          <t>2,713 ES / 115 studies / 114 clusters [DEC-042a]; period domain 2,705 / 113 / 112 [DEC-042b]; 8 ES / 2 studies NA-window</t>
        </is>
      </c>
      <c r="C6" s="5" t="inlineStr">
        <is>
          <t>TH_b_run_meta.txt</t>
        </is>
      </c>
    </row>
    <row r="7">
      <c r="A7" s="7" t="inlineStr">
        <is>
          <t>dat_prep contract</t>
        </is>
      </c>
      <c r="B7" s="5" t="inlineStr">
        <is>
          <t>md5 6702ef3dc45fe0b693b13f50ebd1576b == pin; n 2,713; seed 20260710</t>
        </is>
      </c>
      <c r="C7" s="5" t="inlineStr">
        <is>
          <t>verifier O6a/O6b</t>
        </is>
      </c>
    </row>
    <row r="8">
      <c r="A8" s="7" t="inlineStr">
        <is>
          <t>H2b structure</t>
        </is>
      </c>
      <c r="B8" s="5" t="inlineStr">
        <is>
          <t>113 rows = 82 pre + 31 post; 112 unique clusters; both-period n = 1: Li et al (2022)</t>
        </is>
      </c>
      <c r="C8" s="5" t="inlineStr">
        <is>
          <t>verifier O7/O7b</t>
        </is>
      </c>
    </row>
    <row r="9">
      <c r="A9" s="7" t="inlineStr">
        <is>
          <t>F65 identity</t>
        </is>
      </c>
      <c r="B9" s="5" t="inlineStr">
        <is>
          <t>T1/A5 anchor located BY VALUE (1e-9), refit identity ≤ 1e-6, df = 113, display canary −0.062</t>
        </is>
      </c>
      <c r="C9" s="5" t="inlineStr">
        <is>
          <t>verifier O6c–O6e</t>
        </is>
      </c>
    </row>
    <row r="10">
      <c r="A10" s="7" t="inlineStr">
        <is>
          <t>Run timestamp / wall clock</t>
        </is>
      </c>
      <c r="B10" s="5" t="inlineStr">
        <is>
          <t>launch 11:43:33 → exit 16:22:52 = 4 h 39 min (Step 1); verifier exit 0</t>
        </is>
      </c>
      <c r="C10" s="5" t="inlineStr">
        <is>
          <t>CC report</t>
        </is>
      </c>
    </row>
    <row r="11">
      <c r="A11" s="7" t="inlineStr">
        <is>
          <t>Verifier line</t>
        </is>
      </c>
      <c r="B11" s="5" t="inlineStr">
        <is>
          <t>O0–O14 ALL PASS; 12 BFPAIR lines consistent (finite product ≡ 1; saturated pairs exact); 0 not_estimable rows — all 30 rows from real estimates</t>
        </is>
      </c>
      <c r="C11" s="5" t="inlineStr">
        <is>
          <t>R/07_verify_outputs.R</t>
        </is>
      </c>
    </row>
    <row r="12">
      <c r="A12" s="7" t="inlineStr">
        <is>
          <t>Per-fit timings (TFIT, s)</t>
        </is>
      </c>
      <c r="B12" s="5" t="inlineStr">
        <is>
          <t>h2a: 2057.2 / 2014.8 / 1288.7 · h2b: 3024.8 / 3848.7 / 4126.9 · sum 16,361.1 s = 4.54 h</t>
        </is>
      </c>
      <c r="C12" s="5" t="inlineStr">
        <is>
          <t>TH_b_run_meta.txt</t>
        </is>
      </c>
    </row>
    <row r="13">
      <c r="A13" s="7" t="inlineStr">
        <is>
          <t>Projection vs actual</t>
        </is>
      </c>
      <c r="B13" s="5" t="inlineStr">
        <is>
          <t>T = 3t + 3κt = 18,530 s (κ = 2.5) vs 16,361 s actual (88%); κ_emp = 1.71 / 2.18 / 2.34 (mean 2.08, max 2.34) — pin conservative, GO margin validated</t>
        </is>
      </c>
      <c r="C13" s="5" t="inlineStr">
        <is>
          <t>DEC-046 · TFIT</t>
        </is>
      </c>
    </row>
    <row r="14">
      <c r="A14" s="7" t="inlineStr">
        <is>
          <t>t-variance note</t>
        </is>
      </c>
      <c r="B14" s="5" t="inlineStr">
        <is>
          <t>fit 1 = 2,057 s vs t_RoBMA = 1,764.8 s (+16.6%) at identical spec/seed — system-load band; coe_wide 27% below reference (plausible autofit early termination)</t>
        </is>
      </c>
      <c r="C14" s="5" t="inlineStr">
        <is>
          <t>TFIT vs DEC-046</t>
        </is>
      </c>
    </row>
    <row r="15">
      <c r="A15" s="7" t="inlineStr">
        <is>
          <t>Diagnostics — h2b_factor_default</t>
        </is>
      </c>
      <c r="B15" s="5" t="inlineStr">
        <is>
          <t>23 warnings: 16× adaptation not completed (500 it), Model 56 R-hat 1.174, ESS down to 98; listed signatures = metadata per design (fit returned, extraction clean). PRIMARY H2b fit (contrast_informed) carried 1 benign warning only</t>
        </is>
      </c>
      <c r="C15" s="5" t="inlineStr">
        <is>
          <t>FITMETA</t>
        </is>
      </c>
    </row>
    <row r="16">
      <c r="A16" s="7" t="inlineStr">
        <is>
          <t>Saturation record</t>
        </is>
      </c>
      <c r="B16" s="5" t="inlineStr">
        <is>
          <t>heterogeneity BF pairs Inf/0 in all three H2a sets — legitimate per #18 policy; run-2 halt evidence: thb_console_run2.log</t>
        </is>
      </c>
      <c r="C16" s="5" t="inlineStr">
        <is>
          <t>BFPAIR · #18</t>
        </is>
      </c>
    </row>
    <row r="17">
      <c r="A17" s="7" t="inlineStr">
        <is>
          <t>Executor deviations (sanctioned)</t>
        </is>
      </c>
      <c r="B17" s="5" t="inlineStr">
        <is>
          <t>console tee runs 1–3 (thb_console*.log, outside repo); passive 15 s log watcher (read-only, report-only); milestone-(b) briefing referenced console TFIT lines that by design appear only in run_meta — functional equivalent (fit-start lines) used</t>
        </is>
      </c>
      <c r="C17" s="5" t="inlineStr">
        <is>
          <t>DEC-046 family</t>
        </is>
      </c>
    </row>
    <row r="18">
      <c r="A18" s="7" t="inlineStr">
        <is>
          <t>Commit anchors</t>
        </is>
      </c>
      <c r="B18" s="5" t="inlineStr">
        <is>
          <t>package a4719ed → #17 fix 1b6eab8 → #18 fix 4cf8fe6; outputs committed in Block 2</t>
        </is>
      </c>
      <c r="C18" s="5" t="inlineStr">
        <is>
          <t>git log</t>
        </is>
      </c>
    </row>
    <row r="19">
      <c r="A19" s="7" t="inlineStr">
        <is>
          <t>Result-blind ledger</t>
        </is>
      </c>
      <c r="B19" s="5" t="inlineStr">
        <is>
          <t>pre-acceptance leak limited to run-2 halt value (BF10_het fit 1 = Inf, non-gate); gate quantities first read at this workbook build [DEC-044]</t>
        </is>
      </c>
      <c r="C19" s="5" t="inlineStr">
        <is>
          <t>#18 · this build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26" customWidth="1" min="10" max="10"/>
    <col width="13" customWidth="1" min="11" max="11"/>
    <col width="30" customWidth="1" min="12" max="12"/>
    <col width="13" customWidth="1" min="13" max="13"/>
    <col width="11" customWidth="1" min="14" max="14"/>
    <col width="26" customWidth="1" min="15" max="15"/>
  </cols>
  <sheetData>
    <row r="1">
      <c r="A1" s="1" t="inlineStr">
        <is>
          <t>H2a — pooled level (RoBMA model averaging, k = 114 aggregates)</t>
        </is>
      </c>
    </row>
    <row r="2">
      <c r="A2" s="2" t="inlineStr">
        <is>
          <t>Estimates: model-averaged posterior mean, 95% central CI (mixture quantiles — exact-zero bounds are spike arithmetic).</t>
        </is>
      </c>
    </row>
    <row r="3">
      <c r="A3" s="2" t="inlineStr">
        <is>
          <t>Reference: DEC-031b prior ladder; PSMA defaults = primary.</t>
        </is>
      </c>
    </row>
    <row r="5">
      <c r="A5" s="3" t="inlineStr">
        <is>
          <t>Spec</t>
        </is>
      </c>
      <c r="B5" s="3" t="inlineStr">
        <is>
          <t>k</t>
        </is>
      </c>
      <c r="C5" s="3" t="inlineStr">
        <is>
          <t>est_z</t>
        </is>
      </c>
      <c r="D5" s="3" t="inlineStr">
        <is>
          <t>CI_lb_z</t>
        </is>
      </c>
      <c r="E5" s="3" t="inlineStr">
        <is>
          <t>CI_ub_z</t>
        </is>
      </c>
      <c r="F5" s="3" t="inlineStr">
        <is>
          <t>est_r</t>
        </is>
      </c>
      <c r="G5" s="3" t="inlineStr">
        <is>
          <t>CI_lb_r</t>
        </is>
      </c>
      <c r="H5" s="3" t="inlineStr">
        <is>
          <t>CI_ub_r</t>
        </is>
      </c>
      <c r="I5" s="3" t="inlineStr">
        <is>
          <t>BF01_effect</t>
        </is>
      </c>
      <c r="J5" s="3" t="inlineStr">
        <is>
          <t>band (effect)</t>
        </is>
      </c>
      <c r="K5" s="3" t="inlineStr">
        <is>
          <t>BF01_bias</t>
        </is>
      </c>
      <c r="L5" s="3" t="inlineStr">
        <is>
          <t>bias reading</t>
        </is>
      </c>
      <c r="M5" s="3" t="inlineStr">
        <is>
          <t>P(spike)</t>
        </is>
      </c>
      <c r="N5" s="3" t="inlineStr">
        <is>
          <t>tau</t>
        </is>
      </c>
      <c r="O5" s="3" t="inlineStr">
        <is>
          <t>tau 95% CI</t>
        </is>
      </c>
    </row>
    <row r="6">
      <c r="A6" s="8" t="inlineStr">
        <is>
          <t>PSMA defaults (primary)</t>
        </is>
      </c>
      <c r="B6" s="6" t="n">
        <v>114</v>
      </c>
      <c r="C6" s="9">
        <f>INDEX('Results_Long'!K:K,MATCH("H2a|psma_default|full|mu_avg",'Results_Long'!AK:AK,0))</f>
        <v/>
      </c>
      <c r="D6" s="9">
        <f>INDEX('Results_Long'!P:P,MATCH("H2a|psma_default|full|mu_avg",'Results_Long'!AK:AK,0))</f>
        <v/>
      </c>
      <c r="E6" s="9">
        <f>INDEX('Results_Long'!Q:Q,MATCH("H2a|psma_default|full|mu_avg",'Results_Long'!AK:AK,0))</f>
        <v/>
      </c>
      <c r="F6" s="9">
        <f>INDEX('Results_Long'!T:T,MATCH("H2a|psma_default|full|mu_avg",'Results_Long'!AK:AK,0))</f>
        <v/>
      </c>
      <c r="G6" s="9">
        <f>INDEX('Results_Long'!U:U,MATCH("H2a|psma_default|full|mu_avg",'Results_Long'!AK:AK,0))</f>
        <v/>
      </c>
      <c r="H6" s="9">
        <f>INDEX('Results_Long'!V:V,MATCH("H2a|psma_default|full|mu_avg",'Results_Long'!AK:AK,0))</f>
        <v/>
      </c>
      <c r="I6" s="10">
        <f>INDEX('Results_Long'!AG:AG,MATCH("H2a|psma_default|full|bf01_effect",'Results_Long'!AK:AK,0))</f>
        <v/>
      </c>
      <c r="J6" s="6">
        <f>IF(I6=0,"saturated",IF(I6&lt;1,"favours inclusion (read BF10)",IF(I6&lt;3,"anecdotal",IF(I6&lt;10,"moderate",IF(I6&lt;30,"strong","very strong")))))</f>
        <v/>
      </c>
      <c r="K6" s="9">
        <f>INDEX('Results_Long'!AG:AG,MATCH("H2a|psma_default|full|bf01_bias",'Results_Long'!AK:AK,0))</f>
        <v/>
      </c>
      <c r="L6" s="6">
        <f>IF(K6=0,"saturated","BF10 = "&amp;ROUND(1/K6,1)&amp;" — favours inclusion")</f>
        <v/>
      </c>
      <c r="M6" s="11">
        <f>I6/(1+I6)</f>
        <v/>
      </c>
      <c r="N6" s="12">
        <f>INDEX('Results_Long'!K:K,MATCH("H2a|psma_default|full|tau_avg",'Results_Long'!AK:AK,0))</f>
        <v/>
      </c>
      <c r="O6" s="6">
        <f>"["&amp;ROUND(INDEX('Results_Long'!P:P,MATCH("H2a|psma_default|full|tau_avg",'Results_Long'!AK:AK,0)),3)&amp;"; "&amp;ROUND(INDEX('Results_Long'!Q:Q,MATCH("H2a|psma_default|full|tau_avg",'Results_Long'!AK:AK,0)),3)&amp;"]"</f>
        <v/>
      </c>
    </row>
    <row r="7">
      <c r="A7" s="6" t="inlineStr">
        <is>
          <t>COE-informed</t>
        </is>
      </c>
      <c r="B7" s="6" t="n">
        <v>114</v>
      </c>
      <c r="C7" s="9">
        <f>INDEX('Results_Long'!K:K,MATCH("H2a|coe_informed|full|mu_avg",'Results_Long'!AK:AK,0))</f>
        <v/>
      </c>
      <c r="D7" s="9">
        <f>INDEX('Results_Long'!P:P,MATCH("H2a|coe_informed|full|mu_avg",'Results_Long'!AK:AK,0))</f>
        <v/>
      </c>
      <c r="E7" s="9">
        <f>INDEX('Results_Long'!Q:Q,MATCH("H2a|coe_informed|full|mu_avg",'Results_Long'!AK:AK,0))</f>
        <v/>
      </c>
      <c r="F7" s="9">
        <f>INDEX('Results_Long'!T:T,MATCH("H2a|coe_informed|full|mu_avg",'Results_Long'!AK:AK,0))</f>
        <v/>
      </c>
      <c r="G7" s="9">
        <f>INDEX('Results_Long'!U:U,MATCH("H2a|coe_informed|full|mu_avg",'Results_Long'!AK:AK,0))</f>
        <v/>
      </c>
      <c r="H7" s="9">
        <f>INDEX('Results_Long'!V:V,MATCH("H2a|coe_informed|full|mu_avg",'Results_Long'!AK:AK,0))</f>
        <v/>
      </c>
      <c r="I7" s="10">
        <f>INDEX('Results_Long'!AG:AG,MATCH("H2a|coe_informed|full|bf01_effect",'Results_Long'!AK:AK,0))</f>
        <v/>
      </c>
      <c r="J7" s="6">
        <f>IF(I7=0,"saturated",IF(I7&lt;1,"favours inclusion (read BF10)",IF(I7&lt;3,"anecdotal",IF(I7&lt;10,"moderate",IF(I7&lt;30,"strong","very strong")))))</f>
        <v/>
      </c>
      <c r="K7" s="9">
        <f>INDEX('Results_Long'!AG:AG,MATCH("H2a|coe_informed|full|bf01_bias",'Results_Long'!AK:AK,0))</f>
        <v/>
      </c>
      <c r="L7" s="6">
        <f>IF(K7=0,"saturated","BF10 = "&amp;ROUND(1/K7,1)&amp;" — favours inclusion")</f>
        <v/>
      </c>
      <c r="M7" s="11">
        <f>I7/(1+I7)</f>
        <v/>
      </c>
      <c r="N7" s="12">
        <f>INDEX('Results_Long'!K:K,MATCH("H2a|coe_informed|full|tau_avg",'Results_Long'!AK:AK,0))</f>
        <v/>
      </c>
      <c r="O7" s="6">
        <f>"["&amp;ROUND(INDEX('Results_Long'!P:P,MATCH("H2a|coe_informed|full|tau_avg",'Results_Long'!AK:AK,0)),3)&amp;"; "&amp;ROUND(INDEX('Results_Long'!Q:Q,MATCH("H2a|coe_informed|full|tau_avg",'Results_Long'!AK:AK,0)),3)&amp;"]"</f>
        <v/>
      </c>
    </row>
    <row r="8">
      <c r="A8" s="6" t="inlineStr">
        <is>
          <t>wide (2σ)</t>
        </is>
      </c>
      <c r="B8" s="6" t="n">
        <v>114</v>
      </c>
      <c r="C8" s="9">
        <f>INDEX('Results_Long'!K:K,MATCH("H2a|coe_wide|full|mu_avg",'Results_Long'!AK:AK,0))</f>
        <v/>
      </c>
      <c r="D8" s="9">
        <f>INDEX('Results_Long'!P:P,MATCH("H2a|coe_wide|full|mu_avg",'Results_Long'!AK:AK,0))</f>
        <v/>
      </c>
      <c r="E8" s="9">
        <f>INDEX('Results_Long'!Q:Q,MATCH("H2a|coe_wide|full|mu_avg",'Results_Long'!AK:AK,0))</f>
        <v/>
      </c>
      <c r="F8" s="9">
        <f>INDEX('Results_Long'!T:T,MATCH("H2a|coe_wide|full|mu_avg",'Results_Long'!AK:AK,0))</f>
        <v/>
      </c>
      <c r="G8" s="9">
        <f>INDEX('Results_Long'!U:U,MATCH("H2a|coe_wide|full|mu_avg",'Results_Long'!AK:AK,0))</f>
        <v/>
      </c>
      <c r="H8" s="9">
        <f>INDEX('Results_Long'!V:V,MATCH("H2a|coe_wide|full|mu_avg",'Results_Long'!AK:AK,0))</f>
        <v/>
      </c>
      <c r="I8" s="10">
        <f>INDEX('Results_Long'!AG:AG,MATCH("H2a|coe_wide|full|bf01_effect",'Results_Long'!AK:AK,0))</f>
        <v/>
      </c>
      <c r="J8" s="6">
        <f>IF(I8=0,"saturated",IF(I8&lt;1,"favours inclusion (read BF10)",IF(I8&lt;3,"anecdotal",IF(I8&lt;10,"moderate",IF(I8&lt;30,"strong","very strong")))))</f>
        <v/>
      </c>
      <c r="K8" s="9">
        <f>INDEX('Results_Long'!AG:AG,MATCH("H2a|coe_wide|full|bf01_bias",'Results_Long'!AK:AK,0))</f>
        <v/>
      </c>
      <c r="L8" s="6">
        <f>IF(K8=0,"saturated","BF10 = "&amp;ROUND(1/K8,1)&amp;" — favours inclusion")</f>
        <v/>
      </c>
      <c r="M8" s="11">
        <f>I8/(1+I8)</f>
        <v/>
      </c>
      <c r="N8" s="12">
        <f>INDEX('Results_Long'!K:K,MATCH("H2a|coe_wide|full|tau_avg",'Results_Long'!AK:AK,0))</f>
        <v/>
      </c>
      <c r="O8" s="6">
        <f>"["&amp;ROUND(INDEX('Results_Long'!P:P,MATCH("H2a|coe_wide|full|tau_avg",'Results_Long'!AK:AK,0)),3)&amp;"; "&amp;ROUND(INDEX('Results_Long'!Q:Q,MATCH("H2a|coe_wide|full|tau_avg",'Results_Long'!AK:AK,0)),3)&amp;"]"</f>
        <v/>
      </c>
    </row>
    <row r="10">
      <c r="A10" s="13" t="inlineStr">
        <is>
          <t>BF01_heterogeneity = 0 (saturated, BF10 = Inf) in all three sets [#18]; row carried verbatim in Results_Long and omitted from the panel for that reason.</t>
        </is>
      </c>
    </row>
    <row r="12">
      <c r="A12" s="4" t="inlineStr">
        <is>
          <t>Interpretation (mechanical)</t>
        </is>
      </c>
    </row>
    <row r="13">
      <c r="A13" s="14" t="inlineStr">
        <is>
          <t>BF01(effect) = 7.03 / 2.38 / 1.69 across default / informed / wide priors — band labels moderate / anecdotal / anecdotal; posterior spike mass 87.5% / 70.5% / 62.9%.</t>
        </is>
      </c>
    </row>
    <row r="14">
      <c r="A14" s="14" t="inlineStr">
        <is>
          <t>Model-averaged μ ranges −0.009 … +0.008 with spike-bounded 95% intervals; ordering follows prior width (mechanical prior sensitivity, cf. tab 3).</t>
        </is>
      </c>
    </row>
    <row r="15">
      <c r="A15" s="14" t="inlineStr">
        <is>
          <t>Publication-selection block strongly included in every set (BF10_bias = 94.7 / 11.1 / 16.8); frequentist selection results are single-homed in T5/Block D.</t>
        </is>
      </c>
    </row>
    <row r="16">
      <c r="A16" s="14" t="inlineStr">
        <is>
          <t>Between-aggregate τ ≈ 0.264–0.267 on z with saturated heterogeneity support — consistent with the between-cluster dominance on file since T1/A2.</t>
        </is>
      </c>
    </row>
    <row r="18">
      <c r="A18" s="3" t="inlineStr">
        <is>
          <t>Question</t>
        </is>
      </c>
      <c r="B18" s="3" t="inlineStr">
        <is>
          <t>Answer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7" t="inlineStr">
        <is>
          <t>Why k = 114 aggregates instead of RoBMA(cluster = ) / spike-and-slab 3-level?</t>
        </is>
      </c>
      <c r="B19" s="5" t="inlineStr">
        <is>
          <t>Pre-registered D2 aggregation pin [DEC-031b/045]: the T1/A5 one-effect-per-cluster convention is the project-wide inference unit; the RoBMA 3.6.1 cluster/ss three-level path is approximative and was not pre-registered. Aggregation identity is verifier-anchored (O6, F65 pattern).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>
      <c r="A20" s="7" t="inlineStr">
        <is>
          <t>Why is the default-set μ positive when the frequentist pooled estimate is −0.062?</t>
        </is>
      </c>
      <c r="B20" s="5" t="inlineStr">
        <is>
          <t>Mixture arithmetic: 87.5% posterior mass sits on Spike(0), and the remaining slab mass is dominated by the strongly included selection components whose corrected location is positive. The COE-informed set (μ = −0.009) anchors the calibrated read; sensitivity across sets is the mechanical finding.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</row>
    <row r="21">
      <c r="A21" s="7" t="inlineStr">
        <is>
          <t>The run_meta prior echo says Normal(-0.04, 0.02) — is the σ wrong?</t>
        </is>
      </c>
      <c r="B21" s="5" t="inlineStr">
        <is>
          <t>No: BayesTools prints priors at 2 dp. The calls carried σ = 0.0211734694 = 0.083/3.92 (constants line, verifier O8b); print string ≠ call.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>
      <c r="A22" s="7" t="inlineStr">
        <is>
          <t>Is BF01 = 7.03 under Normal(0, 1) not just prior diffuseness?</t>
        </is>
      </c>
      <c r="B22" s="5" t="inlineStr">
        <is>
          <t>The default slab is deliberately scale-diffuse on z (package default under the y route, DEC-046) — that is exactly why the DEC-031b ladder pairs it with the COE-informed prior; the ladder spread (7.03 → 2.38) quantifies the prior dependence mechanically.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>
      <c r="A23" s="7" t="inlineStr">
        <is>
          <t>Why is heterogeneity BF01 exactly 0?</t>
        </is>
      </c>
      <c r="B23" s="5" t="inlineStr">
        <is>
          <t>Saturation: posterior inclusion probability at the floating-point boundary (τ²-dominant data, k = 114). Legitimate raw pair Inf/0 per the #18 policy; verifier O9 checks exact complementarity.</t>
        </is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</row>
    <row r="25">
      <c r="A25" s="7" t="inlineStr">
        <is>
          <t>Verdict — Mechanical outcome: BF01(effect) = 7.03 (PSMA defaults, primary) / 2.38 (COE-informed) / 1.69 (wide); model-averaged μ between −0.009 and +0.008 with spike-bounded intervals; heterogeneity saturated; bias block strongly included (BF10 = 94.7 / 11.1 / 16.8); adjudication deferred to the documented gate-resolution step [DEC-044].</t>
        </is>
      </c>
    </row>
  </sheetData>
  <mergeCells count="11">
    <mergeCell ref="A15:O15"/>
    <mergeCell ref="A25:O25"/>
    <mergeCell ref="B21:O21"/>
    <mergeCell ref="A16:O16"/>
    <mergeCell ref="A10:O10"/>
    <mergeCell ref="A13:O13"/>
    <mergeCell ref="A14:O14"/>
    <mergeCell ref="B19:O19"/>
    <mergeCell ref="B20:O20"/>
    <mergeCell ref="B23:O23"/>
    <mergeCell ref="B22:O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2" customWidth="1" min="3" max="3"/>
    <col width="12" customWidth="1" min="4" max="4"/>
    <col width="12" customWidth="1" min="5" max="5"/>
    <col width="13" customWidth="1" min="6" max="6"/>
    <col width="30" customWidth="1" min="7" max="7"/>
    <col width="13" customWidth="1" min="8" max="8"/>
    <col width="11" customWidth="1" min="9" max="9"/>
    <col width="26" customWidth="1" min="10" max="10"/>
    <col width="44" customWidth="1" min="11" max="11"/>
  </cols>
  <sheetData>
    <row r="1">
      <c r="A1" s="1" t="inlineStr">
        <is>
          <t>H2b — Paris-period moderation (RoBMA.reg, 113 cluster×period rows: 82 pre + 31 post)</t>
        </is>
      </c>
    </row>
    <row r="2">
      <c r="A2" s="2" t="inlineStr">
        <is>
          <t>Contrast = post − pre on Fisher-z (treatment contrast, reference = pre); z-only by convention.</t>
        </is>
      </c>
    </row>
    <row r="3">
      <c r="A3" s="2" t="inlineStr">
        <is>
          <t>Primary = contrast-informed Normal(0, 0.025) [secondary SESOI, DEC-045].</t>
        </is>
      </c>
    </row>
    <row r="5">
      <c r="A5" s="3" t="inlineStr">
        <is>
          <t>Spec</t>
        </is>
      </c>
      <c r="B5" s="3" t="inlineStr">
        <is>
          <t>rows</t>
        </is>
      </c>
      <c r="C5" s="3" t="inlineStr">
        <is>
          <t>coef_z (Δ)</t>
        </is>
      </c>
      <c r="D5" s="3" t="inlineStr">
        <is>
          <t>CI_lb_z</t>
        </is>
      </c>
      <c r="E5" s="3" t="inlineStr">
        <is>
          <t>CI_ub_z</t>
        </is>
      </c>
      <c r="F5" s="3" t="inlineStr">
        <is>
          <t>BF01_period</t>
        </is>
      </c>
      <c r="G5" s="3" t="inlineStr">
        <is>
          <t>band (period)</t>
        </is>
      </c>
      <c r="H5" s="3" t="inlineStr">
        <is>
          <t>P(spike)</t>
        </is>
      </c>
      <c r="I5" s="3" t="inlineStr">
        <is>
          <t>tau</t>
        </is>
      </c>
      <c r="J5" s="3" t="inlineStr">
        <is>
          <t>tau 95% CI</t>
        </is>
      </c>
      <c r="K5" s="3" t="inlineStr">
        <is>
          <t>Notes</t>
        </is>
      </c>
    </row>
    <row r="6">
      <c r="A6" s="16" t="inlineStr">
        <is>
          <t>contrast-informed (primary)</t>
        </is>
      </c>
      <c r="B6" s="6" t="n">
        <v>113</v>
      </c>
      <c r="C6" s="17">
        <f>INDEX('Results_Long'!K:K,MATCH("H2b|contrast_informed|defined|coef_period",'Results_Long'!AK:AK,0))</f>
        <v/>
      </c>
      <c r="D6" s="9">
        <f>INDEX('Results_Long'!P:P,MATCH("H2b|contrast_informed|defined|coef_period",'Results_Long'!AK:AK,0))</f>
        <v/>
      </c>
      <c r="E6" s="9">
        <f>INDEX('Results_Long'!Q:Q,MATCH("H2b|contrast_informed|defined|coef_period",'Results_Long'!AK:AK,0))</f>
        <v/>
      </c>
      <c r="F6" s="10">
        <f>INDEX('Results_Long'!AG:AG,MATCH("H2b|contrast_informed|defined|bf01_period",'Results_Long'!AK:AK,0))</f>
        <v/>
      </c>
      <c r="G6" s="6">
        <f>IF(F6=0,"saturated",IF(F6&lt;1,"favours inclusion (read BF10)",IF(F6&lt;3,"anecdotal",IF(F6&lt;10,"moderate",IF(F6&lt;30,"strong","very strong")))))</f>
        <v/>
      </c>
      <c r="H6" s="11">
        <f>F6/(1+F6)</f>
        <v/>
      </c>
      <c r="I6" s="12">
        <f>INDEX('Results_Long'!K:K,MATCH("H2b|contrast_informed|defined|tau_avg",'Results_Long'!AK:AK,0))</f>
        <v/>
      </c>
      <c r="J6" s="6">
        <f>"["&amp;ROUND(INDEX('Results_Long'!P:P,MATCH("H2b|contrast_informed|defined|tau_avg",'Results_Long'!AK:AK,0)),3)&amp;"; "&amp;ROUND(INDEX('Results_Long'!Q:Q,MATCH("H2b|contrast_informed|defined|tau_avg",'Results_Long'!AK:AK,0)),3)&amp;"]"</f>
        <v/>
      </c>
      <c r="K6" s="5" t="inlineStr"/>
    </row>
    <row r="7">
      <c r="A7" s="5" t="inlineStr">
        <is>
          <t>contrast-wide</t>
        </is>
      </c>
      <c r="B7" s="6" t="n">
        <v>113</v>
      </c>
      <c r="C7" s="17">
        <f>INDEX('Results_Long'!K:K,MATCH("H2b|contrast_wide|defined|coef_period",'Results_Long'!AK:AK,0))</f>
        <v/>
      </c>
      <c r="D7" s="9">
        <f>INDEX('Results_Long'!P:P,MATCH("H2b|contrast_wide|defined|coef_period",'Results_Long'!AK:AK,0))</f>
        <v/>
      </c>
      <c r="E7" s="9">
        <f>INDEX('Results_Long'!Q:Q,MATCH("H2b|contrast_wide|defined|coef_period",'Results_Long'!AK:AK,0))</f>
        <v/>
      </c>
      <c r="F7" s="10">
        <f>INDEX('Results_Long'!AG:AG,MATCH("H2b|contrast_wide|defined|bf01_period",'Results_Long'!AK:AK,0))</f>
        <v/>
      </c>
      <c r="G7" s="6">
        <f>IF(F7=0,"saturated",IF(F7&lt;1,"favours inclusion (read BF10)",IF(F7&lt;3,"anecdotal",IF(F7&lt;10,"moderate",IF(F7&lt;30,"strong","very strong")))))</f>
        <v/>
      </c>
      <c r="H7" s="11">
        <f>F7/(1+F7)</f>
        <v/>
      </c>
      <c r="I7" s="12">
        <f>INDEX('Results_Long'!K:K,MATCH("H2b|contrast_wide|defined|tau_avg",'Results_Long'!AK:AK,0))</f>
        <v/>
      </c>
      <c r="J7" s="6">
        <f>"["&amp;ROUND(INDEX('Results_Long'!P:P,MATCH("H2b|contrast_wide|defined|tau_avg",'Results_Long'!AK:AK,0)),3)&amp;"; "&amp;ROUND(INDEX('Results_Long'!Q:Q,MATCH("H2b|contrast_wide|defined|tau_avg",'Results_Long'!AK:AK,0)),3)&amp;"]"</f>
        <v/>
      </c>
      <c r="K7" s="5" t="inlineStr"/>
    </row>
    <row r="8">
      <c r="A8" s="5" t="inlineStr">
        <is>
          <t>package default (mNormal(0, 0.25), meandif)</t>
        </is>
      </c>
      <c r="B8" s="6" t="n">
        <v>113</v>
      </c>
      <c r="C8" s="6" t="inlineStr">
        <is>
          <t>— (see note)</t>
        </is>
      </c>
      <c r="F8" s="10">
        <f>INDEX('Results_Long'!AG:AG,MATCH("H2b|factor_default|defined|bf01_period",'Results_Long'!AK:AK,0))</f>
        <v/>
      </c>
      <c r="G8" s="6">
        <f>IF(F8=0,"saturated",IF(F8&lt;1,"favours inclusion (read BF10)",IF(F8&lt;3,"anecdotal",IF(F8&lt;10,"moderate",IF(F8&lt;30,"strong","very strong")))))</f>
        <v/>
      </c>
      <c r="H8" s="11">
        <f>F8/(1+F8)</f>
        <v/>
      </c>
      <c r="I8" s="12">
        <f>INDEX('Results_Long'!K:K,MATCH("H2b|factor_default|defined|tau_avg",'Results_Long'!AK:AK,0))</f>
        <v/>
      </c>
      <c r="J8" s="6">
        <f>"["&amp;ROUND(INDEX('Results_Long'!P:P,MATCH("H2b|factor_default|defined|tau_avg",'Results_Long'!AK:AK,0)),3)&amp;"; "&amp;ROUND(INDEX('Results_Long'!Q:Q,MATCH("H2b|factor_default|defined|tau_avg",'Results_Long'!AK:AK,0)),3)&amp;"]"</f>
        <v/>
      </c>
      <c r="K8" s="5" t="inlineStr">
        <is>
          <t>DIAGNOSTIC CAVEAT: 23 warnings (16× adaptation not completed; Model 56 R-hat 1.174; ESS min 98). Coefficient row intentionally not reported (package-internal parameterization; contrast claims live on the treatment fits) [DEC-046].</t>
        </is>
      </c>
    </row>
    <row r="11">
      <c r="A11" s="4" t="inlineStr">
        <is>
          <t>Interpretation (mechanical)</t>
        </is>
      </c>
    </row>
    <row r="12">
      <c r="A12" s="14" t="inlineStr">
        <is>
          <t>Primary BF01(period) = 1.03 — inside the 1–3 band ⇒ per the pinned E3 mapping this is an equivalence-register input, not a ≥3 "full" input; wide prior: 1.17.</t>
        </is>
      </c>
    </row>
    <row r="13">
      <c r="A13" s="14" t="inlineStr">
        <is>
          <t>Package-default prior yields BF01 = 8.49 (moderate band) — reported with the disclosed convergence caveats and the diffuse-prior mechanics of tab 3; the primary carries the pre-specified SESOI scale.</t>
        </is>
      </c>
    </row>
    <row r="14">
      <c r="A14" s="14" t="inlineStr">
        <is>
          <t>Contrast +0.003 z [−0.031; +0.045] (informed) and +0.009 [−0.045; +0.079] (wide) — both inside the ±0.05 secondary band; coherent with the frequentist E2 contrast (+0.010, p = .582, p_TOST = .022).</t>
        </is>
      </c>
    </row>
    <row r="15">
      <c r="A15" s="14" t="inlineStr">
        <is>
          <t>τ ≈ 0.267 in every set: adding the period term leaves the heterogeneity level unchanged (mechanical).</t>
        </is>
      </c>
    </row>
    <row r="17">
      <c r="A17" s="3" t="inlineStr">
        <is>
          <t>Question</t>
        </is>
      </c>
      <c r="B17" s="3" t="inlineStr">
        <is>
          <t>Answer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</row>
    <row r="18">
      <c r="A18" s="7" t="inlineStr">
        <is>
          <t>Why no coefficient for the package-default set?</t>
        </is>
      </c>
      <c r="B18" s="5" t="inlineStr">
        <is>
          <t>Its contrast is the package-internal mean-difference parameterization (mNormal(0, 0.25), evidenced in FITMETA); reporting its coefficient would mix parameterizations. Contrast estimates are claimed only on the treatment-contrast fits; the default set contributes its BF (deterministic row budget, disclosed) [DEC-046].</t>
        </is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7" t="inlineStr">
        <is>
          <t>Why are the H2b level priors package defaults rather than COE-informed?</t>
        </is>
      </c>
      <c r="B19" s="5" t="inlineStr">
        <is>
          <t>Level inference is single-homed in H2a; H2b pre-specifies only the moderator prior [DEC-045]. The intercept prior does not carry the moderation claim.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7" t="inlineStr">
        <is>
          <t>Model 56 shows R-hat 1.174 — why is the fit not not_estimable?</t>
        </is>
      </c>
      <c r="B20" s="5" t="inlineStr">
        <is>
          <t>Listed non-convergence signatures are metadata by design (P-T5-4 analog): the fit returned and extraction verified. The caveat is disclosed at the affected (non-primary) set; the primary fit carried one benign warning (72-model notice).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7" t="inlineStr">
        <is>
          <t>Are the three BF01 values comparable?</t>
        </is>
      </c>
      <c r="B21" s="5" t="inlineStr">
        <is>
          <t>Only mechanically: inclusion BFs are prior-dependent, and the default set uses a different contrast parameterization and width. The pre-specified comparison object is the contrast-informed value; the others bracket prior sensitivity.</t>
        </is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7" t="inlineStr">
        <is>
          <t>BF01 = 1.03 — does that decide the wording tier?</t>
        </is>
      </c>
      <c r="B22" s="5" t="inlineStr">
        <is>
          <t>No. Band membership (1–3) is a mechanical gate input; the tier decision is the documented resolution step [DEC-044] and gets its own DEC.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4">
      <c r="A24" s="7" t="inlineStr">
        <is>
          <t>Verdict — Mechanical outcome: BF01(period) = 1.03 (contrast-informed, primary) / 1.17 (wide) / 8.49 (package default, with disclosed convergence caveats); contrast +0.003 z [−0.031; +0.045]; adjudication deferred to the documented gate-resolution step [DEC-044].</t>
        </is>
      </c>
    </row>
  </sheetData>
  <mergeCells count="10">
    <mergeCell ref="A12:K12"/>
    <mergeCell ref="B22:K22"/>
    <mergeCell ref="B20:K20"/>
    <mergeCell ref="A15:K15"/>
    <mergeCell ref="B18:K18"/>
    <mergeCell ref="B21:K21"/>
    <mergeCell ref="A24:K24"/>
    <mergeCell ref="A13:K13"/>
    <mergeCell ref="A14:K14"/>
    <mergeCell ref="B19:K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34" customWidth="1" min="37" max="37"/>
  </cols>
  <sheetData>
    <row r="1">
      <c r="A1" s="3" t="inlineStr">
        <is>
          <t>analysis_id</t>
        </is>
      </c>
      <c r="B1" s="3" t="inlineStr">
        <is>
          <t>spec</t>
        </is>
      </c>
      <c r="C1" s="3" t="inlineStr">
        <is>
          <t>subset</t>
        </is>
      </c>
      <c r="D1" s="3" t="inlineStr">
        <is>
          <t>term</t>
        </is>
      </c>
      <c r="E1" s="3" t="inlineStr">
        <is>
          <t>metric</t>
        </is>
      </c>
      <c r="F1" s="3" t="inlineStr">
        <is>
          <t>estimator</t>
        </is>
      </c>
      <c r="G1" s="3" t="inlineStr">
        <is>
          <t>rho</t>
        </is>
      </c>
      <c r="H1" s="3" t="inlineStr">
        <is>
          <t>k_es</t>
        </is>
      </c>
      <c r="I1" s="3" t="inlineStr">
        <is>
          <t>k_study</t>
        </is>
      </c>
      <c r="J1" s="3" t="inlineStr">
        <is>
          <t>k_cluster</t>
        </is>
      </c>
      <c r="K1" s="3" t="inlineStr">
        <is>
          <t>est_z</t>
        </is>
      </c>
      <c r="L1" s="3" t="inlineStr">
        <is>
          <t>se_z</t>
        </is>
      </c>
      <c r="M1" s="3" t="inlineStr">
        <is>
          <t>t_stat</t>
        </is>
      </c>
      <c r="N1" s="3" t="inlineStr">
        <is>
          <t>df</t>
        </is>
      </c>
      <c r="O1" s="3" t="inlineStr">
        <is>
          <t>p</t>
        </is>
      </c>
      <c r="P1" s="3" t="inlineStr">
        <is>
          <t>ci_lb_z</t>
        </is>
      </c>
      <c r="Q1" s="3" t="inlineStr">
        <is>
          <t>ci_ub_z</t>
        </is>
      </c>
      <c r="R1" s="3" t="inlineStr">
        <is>
          <t>pi_lb_z</t>
        </is>
      </c>
      <c r="S1" s="3" t="inlineStr">
        <is>
          <t>pi_ub_z</t>
        </is>
      </c>
      <c r="T1" s="3" t="inlineStr">
        <is>
          <t>est_r</t>
        </is>
      </c>
      <c r="U1" s="3" t="inlineStr">
        <is>
          <t>ci_lb_r</t>
        </is>
      </c>
      <c r="V1" s="3" t="inlineStr">
        <is>
          <t>ci_ub_r</t>
        </is>
      </c>
      <c r="W1" s="3" t="inlineStr">
        <is>
          <t>pi_lb_r</t>
        </is>
      </c>
      <c r="X1" s="3" t="inlineStr">
        <is>
          <t>pi_ub_r</t>
        </is>
      </c>
      <c r="Y1" s="3" t="inlineStr">
        <is>
          <t>sigma2_cluster</t>
        </is>
      </c>
      <c r="Z1" s="3" t="inlineStr">
        <is>
          <t>sigma2_study</t>
        </is>
      </c>
      <c r="AA1" s="3" t="inlineStr">
        <is>
          <t>sigma2_esid</t>
        </is>
      </c>
      <c r="AB1" s="3" t="inlineStr">
        <is>
          <t>pct_cluster</t>
        </is>
      </c>
      <c r="AC1" s="3" t="inlineStr">
        <is>
          <t>pct_study</t>
        </is>
      </c>
      <c r="AD1" s="3" t="inlineStr">
        <is>
          <t>pct_esid</t>
        </is>
      </c>
      <c r="AE1" s="3" t="inlineStr">
        <is>
          <t>pct_sampling</t>
        </is>
      </c>
      <c r="AF1" s="3" t="inlineStr">
        <is>
          <t>typical_v</t>
        </is>
      </c>
      <c r="AG1" s="3" t="inlineStr">
        <is>
          <t>value</t>
        </is>
      </c>
      <c r="AH1" s="3" t="inlineStr">
        <is>
          <t>ms_input</t>
        </is>
      </c>
      <c r="AI1" s="3" t="inlineStr">
        <is>
          <t>ms_label</t>
        </is>
      </c>
      <c r="AJ1" s="3" t="inlineStr">
        <is>
          <t>note</t>
        </is>
      </c>
      <c r="AK1" s="3" t="inlineStr">
        <is>
          <t>wb_key (workbook helper, not in CSV)</t>
        </is>
      </c>
    </row>
    <row r="2">
      <c r="A2" s="6" t="inlineStr">
        <is>
          <t>H2a</t>
        </is>
      </c>
      <c r="B2" s="6" t="inlineStr">
        <is>
          <t>psma_default</t>
        </is>
      </c>
      <c r="C2" s="6" t="inlineStr">
        <is>
          <t>full</t>
        </is>
      </c>
      <c r="D2" s="6" t="inlineStr">
        <is>
          <t>mu_avg</t>
        </is>
      </c>
      <c r="E2" s="6" t="inlineStr">
        <is>
          <t>Fisher_z</t>
        </is>
      </c>
      <c r="F2" s="6" t="inlineStr">
        <is>
          <t>RoBMA_3.6.1</t>
        </is>
      </c>
      <c r="G2" s="6" t="n">
        <v>0.6</v>
      </c>
      <c r="H2" s="6" t="n">
        <v>2713</v>
      </c>
      <c r="I2" s="6" t="n">
        <v>115</v>
      </c>
      <c r="J2" s="6" t="n">
        <v>114</v>
      </c>
      <c r="K2" s="6" t="n">
        <v>0.008170940186826641</v>
      </c>
      <c r="L2" s="6" t="n"/>
      <c r="M2" s="6" t="n"/>
      <c r="N2" s="6" t="n"/>
      <c r="O2" s="6" t="n"/>
      <c r="P2" s="6" t="n">
        <v>0</v>
      </c>
      <c r="Q2" s="6" t="n">
        <v>0.1103052651316977</v>
      </c>
      <c r="R2" s="6" t="n"/>
      <c r="S2" s="6" t="n"/>
      <c r="T2" s="6" t="n">
        <v>0.008170758349414744</v>
      </c>
      <c r="U2" s="6" t="n">
        <v>0</v>
      </c>
      <c r="V2" s="6" t="n">
        <v>0.1098600611350356</v>
      </c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inlineStr">
        <is>
          <t>TRUE</t>
        </is>
      </c>
      <c r="AI2" s="6" t="inlineStr">
        <is>
          <t>robma_mu_primary</t>
        </is>
      </c>
      <c r="AJ2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model-averaged posterior mean, 95% central CI; summary row 'mu'</t>
        </is>
      </c>
      <c r="AK2" s="6">
        <f>A2&amp;"|"&amp;B2&amp;"|"&amp;C2&amp;"|"&amp;D2</f>
        <v/>
      </c>
    </row>
    <row r="3">
      <c r="A3" s="6" t="inlineStr">
        <is>
          <t>H2a</t>
        </is>
      </c>
      <c r="B3" s="6" t="inlineStr">
        <is>
          <t>psma_default</t>
        </is>
      </c>
      <c r="C3" s="6" t="inlineStr">
        <is>
          <t>full</t>
        </is>
      </c>
      <c r="D3" s="6" t="inlineStr">
        <is>
          <t>tau_avg</t>
        </is>
      </c>
      <c r="E3" s="6" t="inlineStr">
        <is>
          <t>tau</t>
        </is>
      </c>
      <c r="F3" s="6" t="inlineStr">
        <is>
          <t>RoBMA_3.6.1</t>
        </is>
      </c>
      <c r="G3" s="6" t="n">
        <v>0.6</v>
      </c>
      <c r="H3" s="6" t="n">
        <v>2713</v>
      </c>
      <c r="I3" s="6" t="n">
        <v>115</v>
      </c>
      <c r="J3" s="6" t="n">
        <v>114</v>
      </c>
      <c r="K3" s="6" t="n">
        <v>0.2661628731515641</v>
      </c>
      <c r="L3" s="6" t="n"/>
      <c r="M3" s="6" t="n"/>
      <c r="N3" s="6" t="n"/>
      <c r="O3" s="6" t="n"/>
      <c r="P3" s="6" t="n">
        <v>0.2336534602698801</v>
      </c>
      <c r="Q3" s="6" t="n">
        <v>0.3060781742180193</v>
      </c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inlineStr">
        <is>
          <t>FALSE</t>
        </is>
      </c>
      <c r="AI3" s="6" t="n"/>
      <c r="AJ3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model-averaged tau on the Fisher-z scale; no tanh (scale parameter)</t>
        </is>
      </c>
      <c r="AK3" s="6">
        <f>A3&amp;"|"&amp;B3&amp;"|"&amp;C3&amp;"|"&amp;D3</f>
        <v/>
      </c>
    </row>
    <row r="4">
      <c r="A4" s="6" t="inlineStr">
        <is>
          <t>H2a</t>
        </is>
      </c>
      <c r="B4" s="6" t="inlineStr">
        <is>
          <t>psma_default</t>
        </is>
      </c>
      <c r="C4" s="6" t="inlineStr">
        <is>
          <t>full</t>
        </is>
      </c>
      <c r="D4" s="6" t="inlineStr">
        <is>
          <t>bf01_effect</t>
        </is>
      </c>
      <c r="E4" s="6" t="inlineStr">
        <is>
          <t>BF01</t>
        </is>
      </c>
      <c r="F4" s="6" t="inlineStr">
        <is>
          <t>RoBMA_3.6.1</t>
        </is>
      </c>
      <c r="G4" s="6" t="n">
        <v>0.6</v>
      </c>
      <c r="H4" s="6" t="n">
        <v>2713</v>
      </c>
      <c r="I4" s="6" t="n">
        <v>115</v>
      </c>
      <c r="J4" s="6" t="n">
        <v>114</v>
      </c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>
        <v>7.032778458001974</v>
      </c>
      <c r="AH4" s="6" t="inlineStr">
        <is>
          <t>TRUE</t>
        </is>
      </c>
      <c r="AI4" s="6" t="inlineStr">
        <is>
          <t>bf01_level_primary</t>
        </is>
      </c>
      <c r="AJ4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(effect) = 0.142191; BF01 = 1/BF10 quantifies evidence FOR the null of the effect component; raw value, band labelling downstream [DEC-044]</t>
        </is>
      </c>
      <c r="AK4" s="6">
        <f>A4&amp;"|"&amp;B4&amp;"|"&amp;C4&amp;"|"&amp;D4</f>
        <v/>
      </c>
    </row>
    <row r="5">
      <c r="A5" s="6" t="inlineStr">
        <is>
          <t>H2a</t>
        </is>
      </c>
      <c r="B5" s="6" t="inlineStr">
        <is>
          <t>psma_default</t>
        </is>
      </c>
      <c r="C5" s="6" t="inlineStr">
        <is>
          <t>full</t>
        </is>
      </c>
      <c r="D5" s="6" t="inlineStr">
        <is>
          <t>bf01_heterogeneity</t>
        </is>
      </c>
      <c r="E5" s="6" t="inlineStr">
        <is>
          <t>BF01</t>
        </is>
      </c>
      <c r="F5" s="6" t="inlineStr">
        <is>
          <t>RoBMA_3.6.1</t>
        </is>
      </c>
      <c r="G5" s="6" t="n">
        <v>0.6</v>
      </c>
      <c r="H5" s="6" t="n">
        <v>2713</v>
      </c>
      <c r="I5" s="6" t="n">
        <v>115</v>
      </c>
      <c r="J5" s="6" t="n">
        <v>114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>
        <v>0</v>
      </c>
      <c r="AH5" s="6" t="inlineStr">
        <is>
          <t>FALSE</t>
        </is>
      </c>
      <c r="AI5" s="6" t="n"/>
      <c r="AJ5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(heterogeneity) = Inf; BF01 = 1/BF10; SATURATED: posterior inclusion probability at the floating-point boundary — BF beyond double-precision resolution, raw pair Inf/0 preserved [#18]</t>
        </is>
      </c>
      <c r="AK5" s="6">
        <f>A5&amp;"|"&amp;B5&amp;"|"&amp;C5&amp;"|"&amp;D5</f>
        <v/>
      </c>
    </row>
    <row r="6">
      <c r="A6" s="6" t="inlineStr">
        <is>
          <t>H2a</t>
        </is>
      </c>
      <c r="B6" s="6" t="inlineStr">
        <is>
          <t>psma_default</t>
        </is>
      </c>
      <c r="C6" s="6" t="inlineStr">
        <is>
          <t>full</t>
        </is>
      </c>
      <c r="D6" s="6" t="inlineStr">
        <is>
          <t>bf01_bias</t>
        </is>
      </c>
      <c r="E6" s="6" t="inlineStr">
        <is>
          <t>BF01</t>
        </is>
      </c>
      <c r="F6" s="6" t="inlineStr">
        <is>
          <t>RoBMA_3.6.1</t>
        </is>
      </c>
      <c r="G6" s="6" t="n">
        <v>0.6</v>
      </c>
      <c r="H6" s="6" t="n">
        <v>2713</v>
      </c>
      <c r="I6" s="6" t="n">
        <v>115</v>
      </c>
      <c r="J6" s="6" t="n">
        <v>114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>
        <v>0.01055432654840227</v>
      </c>
      <c r="AH6" s="6" t="inlineStr">
        <is>
          <t>FALSE</t>
        </is>
      </c>
      <c r="AI6" s="6" t="n"/>
      <c r="AJ6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(publication bias) = 94.7479; BF01 = 1/BF10</t>
        </is>
      </c>
      <c r="AK6" s="6">
        <f>A6&amp;"|"&amp;B6&amp;"|"&amp;C6&amp;"|"&amp;D6</f>
        <v/>
      </c>
    </row>
    <row r="7">
      <c r="A7" s="6" t="inlineStr">
        <is>
          <t>H2a</t>
        </is>
      </c>
      <c r="B7" s="6" t="inlineStr">
        <is>
          <t>coe_informed</t>
        </is>
      </c>
      <c r="C7" s="6" t="inlineStr">
        <is>
          <t>full</t>
        </is>
      </c>
      <c r="D7" s="6" t="inlineStr">
        <is>
          <t>mu_avg</t>
        </is>
      </c>
      <c r="E7" s="6" t="inlineStr">
        <is>
          <t>Fisher_z</t>
        </is>
      </c>
      <c r="F7" s="6" t="inlineStr">
        <is>
          <t>RoBMA_3.6.1</t>
        </is>
      </c>
      <c r="G7" s="6" t="n">
        <v>0.6</v>
      </c>
      <c r="H7" s="6" t="n">
        <v>2713</v>
      </c>
      <c r="I7" s="6" t="n">
        <v>115</v>
      </c>
      <c r="J7" s="6" t="n">
        <v>114</v>
      </c>
      <c r="K7" s="6" t="n">
        <v>-0.00949758018337179</v>
      </c>
      <c r="L7" s="6" t="n"/>
      <c r="M7" s="6" t="n"/>
      <c r="N7" s="6" t="n"/>
      <c r="O7" s="6" t="n"/>
      <c r="P7" s="6" t="n">
        <v>-0.06243407779355121</v>
      </c>
      <c r="Q7" s="6" t="n">
        <v>0</v>
      </c>
      <c r="R7" s="6" t="n"/>
      <c r="S7" s="6" t="n"/>
      <c r="T7" s="6" t="n">
        <v>-0.009497294620341521</v>
      </c>
      <c r="U7" s="6" t="n">
        <v>-0.06235308111046405</v>
      </c>
      <c r="V7" s="6" t="n">
        <v>0</v>
      </c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inlineStr">
        <is>
          <t>FALSE</t>
        </is>
      </c>
      <c r="AI7" s="6" t="n"/>
      <c r="AJ7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model-averaged posterior mean, 95% central CI; summary row 'mu'</t>
        </is>
      </c>
      <c r="AK7" s="6">
        <f>A7&amp;"|"&amp;B7&amp;"|"&amp;C7&amp;"|"&amp;D7</f>
        <v/>
      </c>
    </row>
    <row r="8">
      <c r="A8" s="6" t="inlineStr">
        <is>
          <t>H2a</t>
        </is>
      </c>
      <c r="B8" s="6" t="inlineStr">
        <is>
          <t>coe_informed</t>
        </is>
      </c>
      <c r="C8" s="6" t="inlineStr">
        <is>
          <t>full</t>
        </is>
      </c>
      <c r="D8" s="6" t="inlineStr">
        <is>
          <t>tau_avg</t>
        </is>
      </c>
      <c r="E8" s="6" t="inlineStr">
        <is>
          <t>tau</t>
        </is>
      </c>
      <c r="F8" s="6" t="inlineStr">
        <is>
          <t>RoBMA_3.6.1</t>
        </is>
      </c>
      <c r="G8" s="6" t="n">
        <v>0.6</v>
      </c>
      <c r="H8" s="6" t="n">
        <v>2713</v>
      </c>
      <c r="I8" s="6" t="n">
        <v>115</v>
      </c>
      <c r="J8" s="6" t="n">
        <v>114</v>
      </c>
      <c r="K8" s="6" t="n">
        <v>0.2640412086738868</v>
      </c>
      <c r="L8" s="6" t="n"/>
      <c r="M8" s="6" t="n"/>
      <c r="N8" s="6" t="n"/>
      <c r="O8" s="6" t="n"/>
      <c r="P8" s="6" t="n">
        <v>0.2321524871176349</v>
      </c>
      <c r="Q8" s="6" t="n">
        <v>0.3017822169772348</v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inlineStr">
        <is>
          <t>FALSE</t>
        </is>
      </c>
      <c r="AI8" s="6" t="n"/>
      <c r="AJ8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model-averaged tau on the Fisher-z scale; no tanh (scale parameter)</t>
        </is>
      </c>
      <c r="AK8" s="6">
        <f>A8&amp;"|"&amp;B8&amp;"|"&amp;C8&amp;"|"&amp;D8</f>
        <v/>
      </c>
    </row>
    <row r="9">
      <c r="A9" s="6" t="inlineStr">
        <is>
          <t>H2a</t>
        </is>
      </c>
      <c r="B9" s="6" t="inlineStr">
        <is>
          <t>coe_informed</t>
        </is>
      </c>
      <c r="C9" s="6" t="inlineStr">
        <is>
          <t>full</t>
        </is>
      </c>
      <c r="D9" s="6" t="inlineStr">
        <is>
          <t>bf01_effect</t>
        </is>
      </c>
      <c r="E9" s="6" t="inlineStr">
        <is>
          <t>BF01</t>
        </is>
      </c>
      <c r="F9" s="6" t="inlineStr">
        <is>
          <t>RoBMA_3.6.1</t>
        </is>
      </c>
      <c r="G9" s="6" t="n">
        <v>0.6</v>
      </c>
      <c r="H9" s="6" t="n">
        <v>2713</v>
      </c>
      <c r="I9" s="6" t="n">
        <v>115</v>
      </c>
      <c r="J9" s="6" t="n">
        <v>114</v>
      </c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>
        <v>2.384646188597753</v>
      </c>
      <c r="AH9" s="6" t="inlineStr">
        <is>
          <t>FALSE</t>
        </is>
      </c>
      <c r="AI9" s="6" t="n"/>
      <c r="AJ9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(effect) = 0.419349; BF01 = 1/BF10 quantifies evidence FOR the null of the effect component; raw value, band labelling downstream [DEC-044]</t>
        </is>
      </c>
      <c r="AK9" s="6">
        <f>A9&amp;"|"&amp;B9&amp;"|"&amp;C9&amp;"|"&amp;D9</f>
        <v/>
      </c>
    </row>
    <row r="10">
      <c r="A10" s="6" t="inlineStr">
        <is>
          <t>H2a</t>
        </is>
      </c>
      <c r="B10" s="6" t="inlineStr">
        <is>
          <t>coe_informed</t>
        </is>
      </c>
      <c r="C10" s="6" t="inlineStr">
        <is>
          <t>full</t>
        </is>
      </c>
      <c r="D10" s="6" t="inlineStr">
        <is>
          <t>bf01_heterogeneity</t>
        </is>
      </c>
      <c r="E10" s="6" t="inlineStr">
        <is>
          <t>BF01</t>
        </is>
      </c>
      <c r="F10" s="6" t="inlineStr">
        <is>
          <t>RoBMA_3.6.1</t>
        </is>
      </c>
      <c r="G10" s="6" t="n">
        <v>0.6</v>
      </c>
      <c r="H10" s="6" t="n">
        <v>2713</v>
      </c>
      <c r="I10" s="6" t="n">
        <v>115</v>
      </c>
      <c r="J10" s="6" t="n">
        <v>114</v>
      </c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>
        <v>0</v>
      </c>
      <c r="AH10" s="6" t="inlineStr">
        <is>
          <t>FALSE</t>
        </is>
      </c>
      <c r="AI10" s="6" t="n"/>
      <c r="AJ10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(heterogeneity) = Inf; BF01 = 1/BF10; SATURATED: posterior inclusion probability at the floating-point boundary — BF beyond double-precision resolution, raw pair Inf/0 preserved [#18]</t>
        </is>
      </c>
      <c r="AK10" s="6">
        <f>A10&amp;"|"&amp;B10&amp;"|"&amp;C10&amp;"|"&amp;D10</f>
        <v/>
      </c>
    </row>
    <row r="11">
      <c r="A11" s="6" t="inlineStr">
        <is>
          <t>H2a</t>
        </is>
      </c>
      <c r="B11" s="6" t="inlineStr">
        <is>
          <t>coe_informed</t>
        </is>
      </c>
      <c r="C11" s="6" t="inlineStr">
        <is>
          <t>full</t>
        </is>
      </c>
      <c r="D11" s="6" t="inlineStr">
        <is>
          <t>bf01_bias</t>
        </is>
      </c>
      <c r="E11" s="6" t="inlineStr">
        <is>
          <t>BF01</t>
        </is>
      </c>
      <c r="F11" s="6" t="inlineStr">
        <is>
          <t>RoBMA_3.6.1</t>
        </is>
      </c>
      <c r="G11" s="6" t="n">
        <v>0.6</v>
      </c>
      <c r="H11" s="6" t="n">
        <v>2713</v>
      </c>
      <c r="I11" s="6" t="n">
        <v>115</v>
      </c>
      <c r="J11" s="6" t="n">
        <v>114</v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>
        <v>0.09022636323155289</v>
      </c>
      <c r="AH11" s="6" t="inlineStr">
        <is>
          <t>FALSE</t>
        </is>
      </c>
      <c r="AI11" s="6" t="n"/>
      <c r="AJ11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(publication bias) = 11.0832; BF01 = 1/BF10</t>
        </is>
      </c>
      <c r="AK11" s="6">
        <f>A11&amp;"|"&amp;B11&amp;"|"&amp;C11&amp;"|"&amp;D11</f>
        <v/>
      </c>
    </row>
    <row r="12">
      <c r="A12" s="6" t="inlineStr">
        <is>
          <t>H2a</t>
        </is>
      </c>
      <c r="B12" s="6" t="inlineStr">
        <is>
          <t>coe_wide</t>
        </is>
      </c>
      <c r="C12" s="6" t="inlineStr">
        <is>
          <t>full</t>
        </is>
      </c>
      <c r="D12" s="6" t="inlineStr">
        <is>
          <t>mu_avg</t>
        </is>
      </c>
      <c r="E12" s="6" t="inlineStr">
        <is>
          <t>Fisher_z</t>
        </is>
      </c>
      <c r="F12" s="6" t="inlineStr">
        <is>
          <t>RoBMA_3.6.1</t>
        </is>
      </c>
      <c r="G12" s="6" t="n">
        <v>0.6</v>
      </c>
      <c r="H12" s="6" t="n">
        <v>2713</v>
      </c>
      <c r="I12" s="6" t="n">
        <v>115</v>
      </c>
      <c r="J12" s="6" t="n">
        <v>114</v>
      </c>
      <c r="K12" s="6" t="n">
        <v>-0.001036203544460145</v>
      </c>
      <c r="L12" s="6" t="n"/>
      <c r="M12" s="6" t="n"/>
      <c r="N12" s="6" t="n"/>
      <c r="O12" s="6" t="n"/>
      <c r="P12" s="6" t="n">
        <v>-0.06557871877338513</v>
      </c>
      <c r="Q12" s="6" t="n">
        <v>0.05164925153530067</v>
      </c>
      <c r="R12" s="6" t="n"/>
      <c r="S12" s="6" t="n"/>
      <c r="T12" s="6" t="n">
        <v>-0.001036203173596913</v>
      </c>
      <c r="U12" s="6" t="n">
        <v>-0.06548487162092363</v>
      </c>
      <c r="V12" s="6" t="n">
        <v>0.05160337319715551</v>
      </c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inlineStr">
        <is>
          <t>FALSE</t>
        </is>
      </c>
      <c r="AI12" s="6" t="n"/>
      <c r="AJ12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model-averaged posterior mean, 95% central CI; summary row 'mu'</t>
        </is>
      </c>
      <c r="AK12" s="6">
        <f>A12&amp;"|"&amp;B12&amp;"|"&amp;C12&amp;"|"&amp;D12</f>
        <v/>
      </c>
    </row>
    <row r="13">
      <c r="A13" s="6" t="inlineStr">
        <is>
          <t>H2a</t>
        </is>
      </c>
      <c r="B13" s="6" t="inlineStr">
        <is>
          <t>coe_wide</t>
        </is>
      </c>
      <c r="C13" s="6" t="inlineStr">
        <is>
          <t>full</t>
        </is>
      </c>
      <c r="D13" s="6" t="inlineStr">
        <is>
          <t>tau_avg</t>
        </is>
      </c>
      <c r="E13" s="6" t="inlineStr">
        <is>
          <t>tau</t>
        </is>
      </c>
      <c r="F13" s="6" t="inlineStr">
        <is>
          <t>RoBMA_3.6.1</t>
        </is>
      </c>
      <c r="G13" s="6" t="n">
        <v>0.6</v>
      </c>
      <c r="H13" s="6" t="n">
        <v>2713</v>
      </c>
      <c r="I13" s="6" t="n">
        <v>115</v>
      </c>
      <c r="J13" s="6" t="n">
        <v>114</v>
      </c>
      <c r="K13" s="6" t="n">
        <v>0.2652543868085009</v>
      </c>
      <c r="L13" s="6" t="n"/>
      <c r="M13" s="6" t="n"/>
      <c r="N13" s="6" t="n"/>
      <c r="O13" s="6" t="n"/>
      <c r="P13" s="6" t="n">
        <v>0.2324823762259735</v>
      </c>
      <c r="Q13" s="6" t="n">
        <v>0.3035363702397116</v>
      </c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inlineStr">
        <is>
          <t>FALSE</t>
        </is>
      </c>
      <c r="AI13" s="6" t="n"/>
      <c r="AJ13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model-averaged tau on the Fisher-z scale; no tanh (scale parameter)</t>
        </is>
      </c>
      <c r="AK13" s="6">
        <f>A13&amp;"|"&amp;B13&amp;"|"&amp;C13&amp;"|"&amp;D13</f>
        <v/>
      </c>
    </row>
    <row r="14">
      <c r="A14" s="6" t="inlineStr">
        <is>
          <t>H2a</t>
        </is>
      </c>
      <c r="B14" s="6" t="inlineStr">
        <is>
          <t>coe_wide</t>
        </is>
      </c>
      <c r="C14" s="6" t="inlineStr">
        <is>
          <t>full</t>
        </is>
      </c>
      <c r="D14" s="6" t="inlineStr">
        <is>
          <t>bf01_effect</t>
        </is>
      </c>
      <c r="E14" s="6" t="inlineStr">
        <is>
          <t>BF01</t>
        </is>
      </c>
      <c r="F14" s="6" t="inlineStr">
        <is>
          <t>RoBMA_3.6.1</t>
        </is>
      </c>
      <c r="G14" s="6" t="n">
        <v>0.6</v>
      </c>
      <c r="H14" s="6" t="n">
        <v>2713</v>
      </c>
      <c r="I14" s="6" t="n">
        <v>115</v>
      </c>
      <c r="J14" s="6" t="n">
        <v>114</v>
      </c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>
        <v>1.693597659673299</v>
      </c>
      <c r="AH14" s="6" t="inlineStr">
        <is>
          <t>FALSE</t>
        </is>
      </c>
      <c r="AI14" s="6" t="n"/>
      <c r="AJ14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(effect) = 0.590459; BF01 = 1/BF10 quantifies evidence FOR the null of the effect component; raw value, band labelling downstream [DEC-044]</t>
        </is>
      </c>
      <c r="AK14" s="6">
        <f>A14&amp;"|"&amp;B14&amp;"|"&amp;C14&amp;"|"&amp;D14</f>
        <v/>
      </c>
    </row>
    <row r="15">
      <c r="A15" s="6" t="inlineStr">
        <is>
          <t>H2a</t>
        </is>
      </c>
      <c r="B15" s="6" t="inlineStr">
        <is>
          <t>coe_wide</t>
        </is>
      </c>
      <c r="C15" s="6" t="inlineStr">
        <is>
          <t>full</t>
        </is>
      </c>
      <c r="D15" s="6" t="inlineStr">
        <is>
          <t>bf01_heterogeneity</t>
        </is>
      </c>
      <c r="E15" s="6" t="inlineStr">
        <is>
          <t>BF01</t>
        </is>
      </c>
      <c r="F15" s="6" t="inlineStr">
        <is>
          <t>RoBMA_3.6.1</t>
        </is>
      </c>
      <c r="G15" s="6" t="n">
        <v>0.6</v>
      </c>
      <c r="H15" s="6" t="n">
        <v>2713</v>
      </c>
      <c r="I15" s="6" t="n">
        <v>115</v>
      </c>
      <c r="J15" s="6" t="n">
        <v>114</v>
      </c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>
        <v>0</v>
      </c>
      <c r="AH15" s="6" t="inlineStr">
        <is>
          <t>FALSE</t>
        </is>
      </c>
      <c r="AI15" s="6" t="n"/>
      <c r="AJ15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(heterogeneity) = Inf; BF01 = 1/BF10; SATURATED: posterior inclusion probability at the floating-point boundary — BF beyond double-precision resolution, raw pair Inf/0 preserved [#18]</t>
        </is>
      </c>
      <c r="AK15" s="6">
        <f>A15&amp;"|"&amp;B15&amp;"|"&amp;C15&amp;"|"&amp;D15</f>
        <v/>
      </c>
    </row>
    <row r="16">
      <c r="A16" s="6" t="inlineStr">
        <is>
          <t>H2a</t>
        </is>
      </c>
      <c r="B16" s="6" t="inlineStr">
        <is>
          <t>coe_wide</t>
        </is>
      </c>
      <c r="C16" s="6" t="inlineStr">
        <is>
          <t>full</t>
        </is>
      </c>
      <c r="D16" s="6" t="inlineStr">
        <is>
          <t>bf01_bias</t>
        </is>
      </c>
      <c r="E16" s="6" t="inlineStr">
        <is>
          <t>BF01</t>
        </is>
      </c>
      <c r="F16" s="6" t="inlineStr">
        <is>
          <t>RoBMA_3.6.1</t>
        </is>
      </c>
      <c r="G16" s="6" t="n">
        <v>0.6</v>
      </c>
      <c r="H16" s="6" t="n">
        <v>2713</v>
      </c>
      <c r="I16" s="6" t="n">
        <v>115</v>
      </c>
      <c r="J16" s="6" t="n">
        <v>114</v>
      </c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>
        <v>0.05938747233134053</v>
      </c>
      <c r="AH16" s="6" t="inlineStr">
        <is>
          <t>FALSE</t>
        </is>
      </c>
      <c r="AI16" s="6" t="n"/>
      <c r="AJ16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(publication bias) = 16.8386; BF01 = 1/BF10</t>
        </is>
      </c>
      <c r="AK16" s="6">
        <f>A16&amp;"|"&amp;B16&amp;"|"&amp;C16&amp;"|"&amp;D16</f>
        <v/>
      </c>
    </row>
    <row r="17">
      <c r="A17" s="6" t="inlineStr">
        <is>
          <t>H2b</t>
        </is>
      </c>
      <c r="B17" s="6" t="inlineStr">
        <is>
          <t>contrast_informed</t>
        </is>
      </c>
      <c r="C17" s="6" t="inlineStr">
        <is>
          <t>defined</t>
        </is>
      </c>
      <c r="D17" s="6" t="inlineStr">
        <is>
          <t>coef_period</t>
        </is>
      </c>
      <c r="E17" s="6" t="inlineStr">
        <is>
          <t>z_diff</t>
        </is>
      </c>
      <c r="F17" s="6" t="inlineStr">
        <is>
          <t>RoBMA_3.6.1</t>
        </is>
      </c>
      <c r="G17" s="6" t="n">
        <v>0.6</v>
      </c>
      <c r="H17" s="6" t="n">
        <v>2705</v>
      </c>
      <c r="I17" s="6" t="n">
        <v>113</v>
      </c>
      <c r="J17" s="6" t="n">
        <v>113</v>
      </c>
      <c r="K17" s="6" t="n">
        <v>0.003370967748044869</v>
      </c>
      <c r="L17" s="6" t="n"/>
      <c r="M17" s="6" t="n"/>
      <c r="N17" s="6" t="n"/>
      <c r="O17" s="6" t="n"/>
      <c r="P17" s="6" t="n">
        <v>-0.03126593348822459</v>
      </c>
      <c r="Q17" s="6" t="n">
        <v>0.0445144667212965</v>
      </c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inlineStr">
        <is>
          <t>TRUE</t>
        </is>
      </c>
      <c r="AI17" s="6" t="inlineStr">
        <is>
          <t>robma_contrast_primary</t>
        </is>
      </c>
      <c r="AJ17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post-minus-pre contrast on the Fisher-z scale; z-only, no tanh transform of differences; summary row 'period[post]'</t>
        </is>
      </c>
      <c r="AK17" s="6">
        <f>A17&amp;"|"&amp;B17&amp;"|"&amp;C17&amp;"|"&amp;D17</f>
        <v/>
      </c>
    </row>
    <row r="18">
      <c r="A18" s="6" t="inlineStr">
        <is>
          <t>H2b</t>
        </is>
      </c>
      <c r="B18" s="6" t="inlineStr">
        <is>
          <t>contrast_informed</t>
        </is>
      </c>
      <c r="C18" s="6" t="inlineStr">
        <is>
          <t>defined</t>
        </is>
      </c>
      <c r="D18" s="6" t="inlineStr">
        <is>
          <t>bf01_period</t>
        </is>
      </c>
      <c r="E18" s="6" t="inlineStr">
        <is>
          <t>BF01</t>
        </is>
      </c>
      <c r="F18" s="6" t="inlineStr">
        <is>
          <t>RoBMA_3.6.1</t>
        </is>
      </c>
      <c r="G18" s="6" t="n">
        <v>0.6</v>
      </c>
      <c r="H18" s="6" t="n">
        <v>2705</v>
      </c>
      <c r="I18" s="6" t="n">
        <v>113</v>
      </c>
      <c r="J18" s="6" t="n">
        <v>113</v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>
        <v>1.034917941743349</v>
      </c>
      <c r="AH18" s="6" t="inlineStr">
        <is>
          <t>TRUE</t>
        </is>
      </c>
      <c r="AI18" s="6" t="inlineStr">
        <is>
          <t>bf01_moderation_primary</t>
        </is>
      </c>
      <c r="AJ18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inclusion BF10 (period moderator) = 0.96626; BF01 = 1/BF10 quantifies evidence FOR the null of Paris moderation; raw value, band labelling downstream [DEC-044]</t>
        </is>
      </c>
      <c r="AK18" s="6">
        <f>A18&amp;"|"&amp;B18&amp;"|"&amp;C18&amp;"|"&amp;D18</f>
        <v/>
      </c>
    </row>
    <row r="19">
      <c r="A19" s="6" t="inlineStr">
        <is>
          <t>H2b</t>
        </is>
      </c>
      <c r="B19" s="6" t="inlineStr">
        <is>
          <t>contrast_informed</t>
        </is>
      </c>
      <c r="C19" s="6" t="inlineStr">
        <is>
          <t>defined</t>
        </is>
      </c>
      <c r="D19" s="6" t="inlineStr">
        <is>
          <t>tau_avg</t>
        </is>
      </c>
      <c r="E19" s="6" t="inlineStr">
        <is>
          <t>tau</t>
        </is>
      </c>
      <c r="F19" s="6" t="inlineStr">
        <is>
          <t>RoBMA_3.6.1</t>
        </is>
      </c>
      <c r="G19" s="6" t="n">
        <v>0.6</v>
      </c>
      <c r="H19" s="6" t="n">
        <v>2705</v>
      </c>
      <c r="I19" s="6" t="n">
        <v>113</v>
      </c>
      <c r="J19" s="6" t="n">
        <v>113</v>
      </c>
      <c r="K19" s="6" t="n">
        <v>0.2670922021815019</v>
      </c>
      <c r="L19" s="6" t="n"/>
      <c r="M19" s="6" t="n"/>
      <c r="N19" s="6" t="n"/>
      <c r="O19" s="6" t="n"/>
      <c r="P19" s="6" t="n">
        <v>0.2349917998620704</v>
      </c>
      <c r="Q19" s="6" t="n">
        <v>0.3063215938751678</v>
      </c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inlineStr">
        <is>
          <t>FALSE</t>
        </is>
      </c>
      <c r="AI19" s="6" t="n"/>
      <c r="AJ19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model-averaged tau on the Fisher-z scale</t>
        </is>
      </c>
      <c r="AK19" s="6">
        <f>A19&amp;"|"&amp;B19&amp;"|"&amp;C19&amp;"|"&amp;D19</f>
        <v/>
      </c>
    </row>
    <row r="20">
      <c r="A20" s="6" t="inlineStr">
        <is>
          <t>H2b</t>
        </is>
      </c>
      <c r="B20" s="6" t="inlineStr">
        <is>
          <t>contrast_wide</t>
        </is>
      </c>
      <c r="C20" s="6" t="inlineStr">
        <is>
          <t>defined</t>
        </is>
      </c>
      <c r="D20" s="6" t="inlineStr">
        <is>
          <t>coef_period</t>
        </is>
      </c>
      <c r="E20" s="6" t="inlineStr">
        <is>
          <t>z_diff</t>
        </is>
      </c>
      <c r="F20" s="6" t="inlineStr">
        <is>
          <t>RoBMA_3.6.1</t>
        </is>
      </c>
      <c r="G20" s="6" t="n">
        <v>0.6</v>
      </c>
      <c r="H20" s="6" t="n">
        <v>2705</v>
      </c>
      <c r="I20" s="6" t="n">
        <v>113</v>
      </c>
      <c r="J20" s="6" t="n">
        <v>113</v>
      </c>
      <c r="K20" s="6" t="n">
        <v>0.008688749678237984</v>
      </c>
      <c r="L20" s="6" t="n"/>
      <c r="M20" s="6" t="n"/>
      <c r="N20" s="6" t="n"/>
      <c r="O20" s="6" t="n"/>
      <c r="P20" s="6" t="n">
        <v>-0.04482540586992676</v>
      </c>
      <c r="Q20" s="6" t="n">
        <v>0.07946046292090261</v>
      </c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inlineStr">
        <is>
          <t>FALSE</t>
        </is>
      </c>
      <c r="AI20" s="6" t="n"/>
      <c r="AJ20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post-minus-pre contrast on the Fisher-z scale; z-only, no tanh transform of differences; summary row 'period[post]'</t>
        </is>
      </c>
      <c r="AK20" s="6">
        <f>A20&amp;"|"&amp;B20&amp;"|"&amp;C20&amp;"|"&amp;D20</f>
        <v/>
      </c>
    </row>
    <row r="21">
      <c r="A21" s="6" t="inlineStr">
        <is>
          <t>H2b</t>
        </is>
      </c>
      <c r="B21" s="6" t="inlineStr">
        <is>
          <t>contrast_wide</t>
        </is>
      </c>
      <c r="C21" s="6" t="inlineStr">
        <is>
          <t>defined</t>
        </is>
      </c>
      <c r="D21" s="6" t="inlineStr">
        <is>
          <t>bf01_period</t>
        </is>
      </c>
      <c r="E21" s="6" t="inlineStr">
        <is>
          <t>BF01</t>
        </is>
      </c>
      <c r="F21" s="6" t="inlineStr">
        <is>
          <t>RoBMA_3.6.1</t>
        </is>
      </c>
      <c r="G21" s="6" t="n">
        <v>0.6</v>
      </c>
      <c r="H21" s="6" t="n">
        <v>2705</v>
      </c>
      <c r="I21" s="6" t="n">
        <v>113</v>
      </c>
      <c r="J21" s="6" t="n">
        <v>113</v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>
        <v>1.166952621888063</v>
      </c>
      <c r="AH21" s="6" t="inlineStr">
        <is>
          <t>FALSE</t>
        </is>
      </c>
      <c r="AI21" s="6" t="n"/>
      <c r="AJ21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inclusion BF10 (period moderator) = 0.856933; BF01 = 1/BF10 quantifies evidence FOR the null of Paris moderation; raw value, band labelling downstream [DEC-044]</t>
        </is>
      </c>
      <c r="AK21" s="6">
        <f>A21&amp;"|"&amp;B21&amp;"|"&amp;C21&amp;"|"&amp;D21</f>
        <v/>
      </c>
    </row>
    <row r="22">
      <c r="A22" s="6" t="inlineStr">
        <is>
          <t>H2b</t>
        </is>
      </c>
      <c r="B22" s="6" t="inlineStr">
        <is>
          <t>contrast_wide</t>
        </is>
      </c>
      <c r="C22" s="6" t="inlineStr">
        <is>
          <t>defined</t>
        </is>
      </c>
      <c r="D22" s="6" t="inlineStr">
        <is>
          <t>tau_avg</t>
        </is>
      </c>
      <c r="E22" s="6" t="inlineStr">
        <is>
          <t>tau</t>
        </is>
      </c>
      <c r="F22" s="6" t="inlineStr">
        <is>
          <t>RoBMA_3.6.1</t>
        </is>
      </c>
      <c r="G22" s="6" t="n">
        <v>0.6</v>
      </c>
      <c r="H22" s="6" t="n">
        <v>2705</v>
      </c>
      <c r="I22" s="6" t="n">
        <v>113</v>
      </c>
      <c r="J22" s="6" t="n">
        <v>113</v>
      </c>
      <c r="K22" s="6" t="n">
        <v>0.267269305798587</v>
      </c>
      <c r="L22" s="6" t="n"/>
      <c r="M22" s="6" t="n"/>
      <c r="N22" s="6" t="n"/>
      <c r="O22" s="6" t="n"/>
      <c r="P22" s="6" t="n">
        <v>0.2345786977764875</v>
      </c>
      <c r="Q22" s="6" t="n">
        <v>0.3066688649615327</v>
      </c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inlineStr">
        <is>
          <t>FALSE</t>
        </is>
      </c>
      <c r="AI22" s="6" t="n"/>
      <c r="AJ22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model-averaged tau on the Fisher-z scale</t>
        </is>
      </c>
      <c r="AK22" s="6">
        <f>A22&amp;"|"&amp;B22&amp;"|"&amp;C22&amp;"|"&amp;D22</f>
        <v/>
      </c>
    </row>
    <row r="23">
      <c r="A23" s="6" t="inlineStr">
        <is>
          <t>H2b</t>
        </is>
      </c>
      <c r="B23" s="6" t="inlineStr">
        <is>
          <t>factor_default</t>
        </is>
      </c>
      <c r="C23" s="6" t="inlineStr">
        <is>
          <t>defined</t>
        </is>
      </c>
      <c r="D23" s="6" t="inlineStr">
        <is>
          <t>bf01_period</t>
        </is>
      </c>
      <c r="E23" s="6" t="inlineStr">
        <is>
          <t>BF01</t>
        </is>
      </c>
      <c r="F23" s="6" t="inlineStr">
        <is>
          <t>RoBMA_3.6.1</t>
        </is>
      </c>
      <c r="G23" s="6" t="n">
        <v>0.6</v>
      </c>
      <c r="H23" s="6" t="n">
        <v>2705</v>
      </c>
      <c r="I23" s="6" t="n">
        <v>113</v>
      </c>
      <c r="J23" s="6" t="n">
        <v>113</v>
      </c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>
        <v>8.491659213634913</v>
      </c>
      <c r="AH23" s="6" t="inlineStr">
        <is>
          <t>FALSE</t>
        </is>
      </c>
      <c r="AI23" s="6" t="n"/>
      <c r="AJ23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package default factor prior and contrast (echoed verbatim in run_meta); coefficient row intentionally not reported for this set (package-internal parameterization; contrast estimate claims live on the treatment-contrast fits) [DEC-046]; period domain 2705/113/112 [DEC-042b]; 113 cluster x period rows (pre 82 + post 31; both-period cluster n = 1, disclosed: Li et al (2022)); inclusion BF10 (period moderator) = 0.117763; BF01 = 1/BF10 quantifies evidence FOR the null of Paris moderation; raw value, band labelling downstream [DEC-044]</t>
        </is>
      </c>
      <c r="AK23" s="6">
        <f>A23&amp;"|"&amp;B23&amp;"|"&amp;C23&amp;"|"&amp;D23</f>
        <v/>
      </c>
    </row>
    <row r="24">
      <c r="A24" s="6" t="inlineStr">
        <is>
          <t>H2b</t>
        </is>
      </c>
      <c r="B24" s="6" t="inlineStr">
        <is>
          <t>factor_default</t>
        </is>
      </c>
      <c r="C24" s="6" t="inlineStr">
        <is>
          <t>defined</t>
        </is>
      </c>
      <c r="D24" s="6" t="inlineStr">
        <is>
          <t>tau_avg</t>
        </is>
      </c>
      <c r="E24" s="6" t="inlineStr">
        <is>
          <t>tau</t>
        </is>
      </c>
      <c r="F24" s="6" t="inlineStr">
        <is>
          <t>RoBMA_3.6.1</t>
        </is>
      </c>
      <c r="G24" s="6" t="n">
        <v>0.6</v>
      </c>
      <c r="H24" s="6" t="n">
        <v>2705</v>
      </c>
      <c r="I24" s="6" t="n">
        <v>113</v>
      </c>
      <c r="J24" s="6" t="n">
        <v>113</v>
      </c>
      <c r="K24" s="6" t="n">
        <v>0.2672821938811592</v>
      </c>
      <c r="L24" s="6" t="n"/>
      <c r="M24" s="6" t="n"/>
      <c r="N24" s="6" t="n"/>
      <c r="O24" s="6" t="n"/>
      <c r="P24" s="6" t="n">
        <v>0.2350853944836349</v>
      </c>
      <c r="Q24" s="6" t="n">
        <v>0.3059093108676665</v>
      </c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inlineStr">
        <is>
          <t>FALSE</t>
        </is>
      </c>
      <c r="AI24" s="6" t="n"/>
      <c r="AJ24" s="6" t="inlineStr">
        <is>
      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package default factor prior and contrast (echoed verbatim in run_meta); coefficient row intentionally not reported for this set (package-internal parameterization; contrast estimate claims live on the treatment-contrast fits) [DEC-046]; period domain 2705/113/112 [DEC-042b]; 113 cluster x period rows (pre 82 + post 31; both-period cluster n = 1, disclosed: Li et al (2022)); model-averaged tau on the Fisher-z scale</t>
        </is>
      </c>
      <c r="AK24" s="6">
        <f>A24&amp;"|"&amp;B24&amp;"|"&amp;C24&amp;"|"&amp;D24</f>
        <v/>
      </c>
    </row>
    <row r="25">
      <c r="A25" s="6" t="inlineStr">
        <is>
          <t>TH_b_design</t>
        </is>
      </c>
      <c r="B25" s="6" t="inlineStr">
        <is>
          <t>design</t>
        </is>
      </c>
      <c r="C25" s="6" t="inlineStr">
        <is>
          <t>full</t>
        </is>
      </c>
      <c r="D25" s="6" t="inlineStr">
        <is>
          <t>subset_estimation</t>
        </is>
      </c>
      <c r="E25" s="6" t="inlineStr">
        <is>
          <t>count</t>
        </is>
      </c>
      <c r="F25" s="6" t="inlineStr">
        <is>
          <t>descriptive</t>
        </is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>
        <v>2713</v>
      </c>
      <c r="AH25" s="6" t="inlineStr">
        <is>
          <t>FALSE</t>
        </is>
      </c>
      <c r="AI25" s="6" t="n"/>
      <c r="AJ25" s="6" t="inlineStr">
        <is>
          <t>2713 ES / 115 studies / 114 clusters [DEC-042a]; H2a domain</t>
        </is>
      </c>
      <c r="AK25" s="6">
        <f>A25&amp;"|"&amp;B25&amp;"|"&amp;C25&amp;"|"&amp;D25</f>
        <v/>
      </c>
    </row>
    <row r="26">
      <c r="A26" s="6" t="inlineStr">
        <is>
          <t>TH_b_design</t>
        </is>
      </c>
      <c r="B26" s="6" t="inlineStr">
        <is>
          <t>design</t>
        </is>
      </c>
      <c r="C26" s="6" t="inlineStr">
        <is>
          <t>full</t>
        </is>
      </c>
      <c r="D26" s="6" t="inlineStr">
        <is>
          <t>agg_k_full</t>
        </is>
      </c>
      <c r="E26" s="6" t="inlineStr">
        <is>
          <t>count</t>
        </is>
      </c>
      <c r="F26" s="6" t="inlineStr">
        <is>
          <t>descriptive</t>
        </is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>
        <v>114</v>
      </c>
      <c r="AH26" s="6" t="inlineStr">
        <is>
          <t>FALSE</t>
        </is>
      </c>
      <c r="AI26" s="6" t="n"/>
      <c r="AJ26" s="6" t="inlineStr">
        <is>
          <t>one-effect-per-cluster aggregates: metafor aggregate.escalc, struct="CS", rho=0.6 (T1/A5 convention [DEC-031g/F65]); H2a basis</t>
        </is>
      </c>
      <c r="AK26" s="6">
        <f>A26&amp;"|"&amp;B26&amp;"|"&amp;C26&amp;"|"&amp;D26</f>
        <v/>
      </c>
    </row>
    <row r="27">
      <c r="A27" s="6" t="inlineStr">
        <is>
          <t>TH_b_design</t>
        </is>
      </c>
      <c r="B27" s="6" t="inlineStr">
        <is>
          <t>design</t>
        </is>
      </c>
      <c r="C27" s="6" t="inlineStr">
        <is>
          <t>full</t>
        </is>
      </c>
      <c r="D27" s="6" t="inlineStr">
        <is>
          <t>h2b_domain_es</t>
        </is>
      </c>
      <c r="E27" s="6" t="inlineStr">
        <is>
          <t>count</t>
        </is>
      </c>
      <c r="F27" s="6" t="inlineStr">
        <is>
          <t>descriptive</t>
        </is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>
        <v>2705</v>
      </c>
      <c r="AH27" s="6" t="inlineStr">
        <is>
          <t>FALSE</t>
        </is>
      </c>
      <c r="AI27" s="6" t="n"/>
      <c r="AJ27" s="6" t="inlineStr">
        <is>
          <t>2705 ES / 113 studies / 112 clusters [DEC-042b]; H2b domain</t>
        </is>
      </c>
      <c r="AK27" s="6">
        <f>A27&amp;"|"&amp;B27&amp;"|"&amp;C27&amp;"|"&amp;D27</f>
        <v/>
      </c>
    </row>
    <row r="28">
      <c r="A28" s="6" t="inlineStr">
        <is>
          <t>TH_b_design</t>
        </is>
      </c>
      <c r="B28" s="6" t="inlineStr">
        <is>
          <t>design</t>
        </is>
      </c>
      <c r="C28" s="6" t="inlineStr">
        <is>
          <t>full</t>
        </is>
      </c>
      <c r="D28" s="6" t="inlineStr">
        <is>
          <t>h2b_rows</t>
        </is>
      </c>
      <c r="E28" s="6" t="inlineStr">
        <is>
          <t>count</t>
        </is>
      </c>
      <c r="F28" s="6" t="inlineStr">
        <is>
          <t>descriptive</t>
        </is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>
        <v>113</v>
      </c>
      <c r="AH28" s="6" t="inlineStr">
        <is>
          <t>FALSE</t>
        </is>
      </c>
      <c r="AI28" s="6" t="n"/>
      <c r="AJ28" s="6" t="inlineStr">
        <is>
          <t>cluster x period aggregate rows [DEC-045]; per-cell D2 aggregation</t>
        </is>
      </c>
      <c r="AK28" s="6">
        <f>A28&amp;"|"&amp;B28&amp;"|"&amp;C28&amp;"|"&amp;D28</f>
        <v/>
      </c>
    </row>
    <row r="29">
      <c r="A29" s="6" t="inlineStr">
        <is>
          <t>TH_b_design</t>
        </is>
      </c>
      <c r="B29" s="6" t="inlineStr">
        <is>
          <t>design</t>
        </is>
      </c>
      <c r="C29" s="6" t="inlineStr">
        <is>
          <t>full</t>
        </is>
      </c>
      <c r="D29" s="6" t="inlineStr">
        <is>
          <t>h2b_rows_pre</t>
        </is>
      </c>
      <c r="E29" s="6" t="inlineStr">
        <is>
          <t>count</t>
        </is>
      </c>
      <c r="F29" s="6" t="inlineStr">
        <is>
          <t>descriptive</t>
        </is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>
        <v>82</v>
      </c>
      <c r="AH29" s="6" t="inlineStr">
        <is>
          <t>FALSE</t>
        </is>
      </c>
      <c r="AI29" s="6" t="n"/>
      <c r="AJ29" s="6" t="inlineStr">
        <is>
          <t>pre-cell aggregates (= 113 - 31, arithmetic pin)</t>
        </is>
      </c>
      <c r="AK29" s="6">
        <f>A29&amp;"|"&amp;B29&amp;"|"&amp;C29&amp;"|"&amp;D29</f>
        <v/>
      </c>
    </row>
    <row r="30">
      <c r="A30" s="6" t="inlineStr">
        <is>
          <t>TH_b_design</t>
        </is>
      </c>
      <c r="B30" s="6" t="inlineStr">
        <is>
          <t>design</t>
        </is>
      </c>
      <c r="C30" s="6" t="inlineStr">
        <is>
          <t>full</t>
        </is>
      </c>
      <c r="D30" s="6" t="inlineStr">
        <is>
          <t>h2b_rows_post</t>
        </is>
      </c>
      <c r="E30" s="6" t="inlineStr">
        <is>
          <t>count</t>
        </is>
      </c>
      <c r="F30" s="6" t="inlineStr">
        <is>
          <t>descriptive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>
        <v>31</v>
      </c>
      <c r="AH30" s="6" t="inlineStr">
        <is>
          <t>FALSE</t>
        </is>
      </c>
      <c r="AI30" s="6" t="n"/>
      <c r="AJ30" s="6" t="inlineStr">
        <is>
          <t>post-cell aggregates [DEC-042b; v12 design constant]</t>
        </is>
      </c>
      <c r="AK30" s="6">
        <f>A30&amp;"|"&amp;B30&amp;"|"&amp;C30&amp;"|"&amp;D30</f>
        <v/>
      </c>
    </row>
    <row r="31">
      <c r="A31" s="6" t="inlineStr">
        <is>
          <t>TH_b_design</t>
        </is>
      </c>
      <c r="B31" s="6" t="inlineStr">
        <is>
          <t>design</t>
        </is>
      </c>
      <c r="C31" s="6" t="inlineStr">
        <is>
          <t>full</t>
        </is>
      </c>
      <c r="D31" s="6" t="inlineStr">
        <is>
          <t>h2b_both_period_clusters</t>
        </is>
      </c>
      <c r="E31" s="6" t="inlineStr">
        <is>
          <t>count</t>
        </is>
      </c>
      <c r="F31" s="6" t="inlineStr">
        <is>
          <t>descriptive</t>
        </is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>
        <v>1</v>
      </c>
      <c r="AH31" s="6" t="inlineStr">
        <is>
          <t>FALSE</t>
        </is>
      </c>
      <c r="AI31" s="6" t="n"/>
      <c r="AJ31" s="6" t="inlineStr">
        <is>
          <t>single both-period cluster (disclosed): Li et al (2022) [DEC-045]</t>
        </is>
      </c>
      <c r="AK31" s="6">
        <f>A31&amp;"|"&amp;B31&amp;"|"&amp;C31&amp;"|"&amp;D31</f>
        <v/>
      </c>
    </row>
  </sheetData>
  <autoFilter ref="A1:AK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0" customWidth="1" min="5" max="5"/>
    <col width="8" customWidth="1" min="6" max="6"/>
    <col width="10" customWidth="1" min="7" max="7"/>
    <col width="8" customWidth="1" min="8" max="8"/>
    <col width="10" customWidth="1" min="9" max="9"/>
    <col width="8" customWidth="1" min="10" max="10"/>
    <col width="110" customWidth="1" min="11" max="11"/>
  </cols>
  <sheetData>
    <row r="1">
      <c r="A1" s="1" t="inlineStr">
        <is>
          <t>Manuscript inputs — ms_input = TRUE rows (formula-derived from Results_Long)</t>
        </is>
      </c>
    </row>
    <row r="2">
      <c r="A2" s="2" t="inlineStr">
        <is>
          <t>String assembly is arithmetic (sign &amp; INT &amp; "." &amp; padded fraction) — locale-neutral; deviation from template TEXT() disclosed (tab 4).</t>
        </is>
      </c>
    </row>
    <row r="3">
      <c r="A3" s="2" t="inlineStr">
        <is>
          <t>Columns E–J are visible calc helpers (ABS-rounded value + INT part per number).</t>
        </is>
      </c>
    </row>
    <row r="5">
      <c r="A5" s="3" t="inlineStr">
        <is>
          <t>ms_label</t>
        </is>
      </c>
      <c r="B5" s="3" t="inlineStr">
        <is>
          <t>v1</t>
        </is>
      </c>
      <c r="C5" s="3" t="inlineStr">
        <is>
          <t>v2</t>
        </is>
      </c>
      <c r="D5" s="3" t="inlineStr">
        <is>
          <t>v3</t>
        </is>
      </c>
      <c r="E5" s="3" t="inlineStr">
        <is>
          <t>a1</t>
        </is>
      </c>
      <c r="F5" s="3" t="inlineStr">
        <is>
          <t>i1</t>
        </is>
      </c>
      <c r="G5" s="3" t="inlineStr">
        <is>
          <t>a2</t>
        </is>
      </c>
      <c r="H5" s="3" t="inlineStr">
        <is>
          <t>i2</t>
        </is>
      </c>
      <c r="I5" s="3" t="inlineStr">
        <is>
          <t>a3</t>
        </is>
      </c>
      <c r="J5" s="3" t="inlineStr">
        <is>
          <t>i3</t>
        </is>
      </c>
      <c r="K5" s="3" t="inlineStr">
        <is>
          <t>paste-ready string (EN)</t>
        </is>
      </c>
    </row>
    <row r="6">
      <c r="A6" s="8" t="inlineStr">
        <is>
          <t>robma_mu_primary</t>
        </is>
      </c>
      <c r="B6" s="9">
        <f>INDEX('Results_Long'!K:K,MATCH("H2a|psma_default|full|mu_avg",'Results_Long'!AK:AK,0))</f>
        <v/>
      </c>
      <c r="C6" s="9">
        <f>INDEX('Results_Long'!P:P,MATCH("H2a|psma_default|full|mu_avg",'Results_Long'!AK:AK,0))</f>
        <v/>
      </c>
      <c r="D6" s="9">
        <f>INDEX('Results_Long'!Q:Q,MATCH("H2a|psma_default|full|mu_avg",'Results_Long'!AK:AK,0))</f>
        <v/>
      </c>
      <c r="E6" s="9">
        <f>ROUND(ABS(B6),3)</f>
        <v/>
      </c>
      <c r="F6" s="6">
        <f>INT(E6)</f>
        <v/>
      </c>
      <c r="G6" s="9">
        <f>ROUND(ABS(C6),3)</f>
        <v/>
      </c>
      <c r="H6" s="6">
        <f>INT(G6)</f>
        <v/>
      </c>
      <c r="I6" s="9">
        <f>ROUND(ABS(D6),3)</f>
        <v/>
      </c>
      <c r="J6" s="6">
        <f>INT(I6)</f>
        <v/>
      </c>
      <c r="K6" s="5">
        <f>"Model-averaged pooled association (RoBMA, PSMA defaults): z = "&amp;IF(B6&lt;0,"-","")&amp;F6&amp;"."&amp;RIGHT(REPT("0",3)&amp;ROUND((E6-F6)*10^3,0),3)&amp;" (95% CI "&amp;IF(C6&lt;0,"-","")&amp;H6&amp;"."&amp;RIGHT(REPT("0",3)&amp;ROUND((G6-H6)*10^3,0),3)&amp;" to "&amp;IF(D6&lt;0,"-","")&amp;J6&amp;"."&amp;RIGHT(REPT("0",3)&amp;ROUND((I6-J6)*10^3,0),3)&amp;")."</f>
        <v/>
      </c>
    </row>
    <row r="7">
      <c r="A7" s="8" t="inlineStr">
        <is>
          <t>bf01_level_primary</t>
        </is>
      </c>
      <c r="B7" s="9">
        <f>INDEX('Results_Long'!AG:AG,MATCH("H2a|psma_default|full|bf01_effect",'Results_Long'!AK:AK,0))</f>
        <v/>
      </c>
      <c r="C7" s="12">
        <f>1/B7</f>
        <v/>
      </c>
      <c r="E7" s="9">
        <f>ROUND(ABS(B7),2)</f>
        <v/>
      </c>
      <c r="F7" s="6">
        <f>INT(E7)</f>
        <v/>
      </c>
      <c r="G7" s="9">
        <f>ROUND(ABS(C7),3)</f>
        <v/>
      </c>
      <c r="H7" s="6">
        <f>INT(G7)</f>
        <v/>
      </c>
      <c r="K7" s="5">
        <f>"Inclusion Bayes factor, pooled-effect component (PSMA defaults): BF01 = "&amp;IF(B7&lt;0,"-","")&amp;F7&amp;"."&amp;RIGHT(REPT("0",2)&amp;ROUND((E7-F7)*10^2,0),2)&amp;" (BF10 = "&amp;IF(C7&lt;0,"-","")&amp;H7&amp;"."&amp;RIGHT(REPT("0",3)&amp;ROUND((G7-H7)*10^3,0),3)&amp;")."</f>
        <v/>
      </c>
    </row>
    <row r="8">
      <c r="A8" s="8" t="inlineStr">
        <is>
          <t>bf01_moderation_primary</t>
        </is>
      </c>
      <c r="B8" s="9">
        <f>INDEX('Results_Long'!AG:AG,MATCH("H2b|contrast_informed|defined|bf01_period",'Results_Long'!AK:AK,0))</f>
        <v/>
      </c>
      <c r="C8" s="12">
        <f>1/B8</f>
        <v/>
      </c>
      <c r="E8" s="9">
        <f>ROUND(ABS(B8),2)</f>
        <v/>
      </c>
      <c r="F8" s="6">
        <f>INT(E8)</f>
        <v/>
      </c>
      <c r="G8" s="9">
        <f>ROUND(ABS(C8),3)</f>
        <v/>
      </c>
      <c r="H8" s="6">
        <f>INT(G8)</f>
        <v/>
      </c>
      <c r="K8" s="5">
        <f>"Inclusion Bayes factor, Paris-period moderator (contrast-informed prior): BF01 = "&amp;IF(B8&lt;0,"-","")&amp;F8&amp;"."&amp;RIGHT(REPT("0",2)&amp;ROUND((E8-F8)*10^2,0),2)&amp;" (BF10 = "&amp;IF(C8&lt;0,"-","")&amp;H8&amp;"."&amp;RIGHT(REPT("0",3)&amp;ROUND((G8-H8)*10^3,0),3)&amp;")."</f>
        <v/>
      </c>
    </row>
    <row r="9">
      <c r="A9" s="8" t="inlineStr">
        <is>
          <t>robma_contrast_primary</t>
        </is>
      </c>
      <c r="B9" s="9">
        <f>INDEX('Results_Long'!K:K,MATCH("H2b|contrast_informed|defined|coef_period",'Results_Long'!AK:AK,0))</f>
        <v/>
      </c>
      <c r="C9" s="9">
        <f>INDEX('Results_Long'!P:P,MATCH("H2b|contrast_informed|defined|coef_period",'Results_Long'!AK:AK,0))</f>
        <v/>
      </c>
      <c r="D9" s="9">
        <f>INDEX('Results_Long'!Q:Q,MATCH("H2b|contrast_informed|defined|coef_period",'Results_Long'!AK:AK,0))</f>
        <v/>
      </c>
      <c r="E9" s="9">
        <f>ROUND(ABS(B9),3)</f>
        <v/>
      </c>
      <c r="F9" s="6">
        <f>INT(E9)</f>
        <v/>
      </c>
      <c r="G9" s="9">
        <f>ROUND(ABS(C9),3)</f>
        <v/>
      </c>
      <c r="H9" s="6">
        <f>INT(G9)</f>
        <v/>
      </c>
      <c r="I9" s="9">
        <f>ROUND(ABS(D9),3)</f>
        <v/>
      </c>
      <c r="J9" s="6">
        <f>INT(I9)</f>
        <v/>
      </c>
      <c r="K9" s="5">
        <f>"Model-averaged post-minus-pre contrast (contrast-informed): Delta-z = "&amp;IF(B9&lt;0,"-","+")&amp;F9&amp;"."&amp;RIGHT(REPT("0",3)&amp;ROUND((E9-F9)*10^3,0),3)&amp;" (95% CI "&amp;IF(C9&lt;0,"-","+")&amp;H9&amp;"."&amp;RIGHT(REPT("0",3)&amp;ROUND((G9-H9)*10^3,0),3)&amp;" to "&amp;IF(D9&lt;0,"-","+")&amp;J9&amp;"."&amp;RIGHT(REPT("0",3)&amp;ROUND((I9-J9)*10^3,0),3)&amp;")."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10" customWidth="1" min="4" max="4"/>
    <col width="34" customWidth="1" min="5" max="5"/>
    <col width="30" customWidth="1" min="6" max="6"/>
  </cols>
  <sheetData>
    <row r="1">
      <c r="A1" s="1" t="inlineStr">
        <is>
          <t>Manuscript text blocks — TB-52…TB-56 (continue from TH-a/TH-c TB-36…TB-51)</t>
        </is>
      </c>
    </row>
    <row r="2">
      <c r="A2" s="2" t="inlineStr">
        <is>
          <t>Numbers HARDCODED with this provenance: TH_b_results.csv @ run 2026-07-27, verifier O0–O14 PASS — regenerate on any re-run.</t>
        </is>
      </c>
    </row>
    <row r="3">
      <c r="A3" s="2" t="inlineStr">
        <is>
          <t>Framing-neutral until the gate-resolution step; formula-live layer = Manuscript_Inputs.</t>
        </is>
      </c>
    </row>
    <row r="5">
      <c r="A5" s="3" t="inlineStr">
        <is>
          <t>ID</t>
        </is>
      </c>
      <c r="B5" s="3" t="inlineStr">
        <is>
          <t>Target section</t>
        </is>
      </c>
      <c r="C5" s="3" t="inlineStr">
        <is>
          <t>Status</t>
        </is>
      </c>
      <c r="D5" s="3" t="inlineStr">
        <is>
          <t>Text (EN)</t>
        </is>
      </c>
      <c r="E5" s="3" t="inlineStr">
        <is>
          <t>Source pointers</t>
        </is>
      </c>
      <c r="F5" s="3" t="inlineStr">
        <is>
          <t>Note</t>
        </is>
      </c>
    </row>
    <row r="6">
      <c r="A6" s="8" t="inlineStr">
        <is>
          <t>TB-52</t>
        </is>
      </c>
      <c r="B6" s="5" t="inlineStr">
        <is>
          <t>Methods · Meta-analytic procedures</t>
        </is>
      </c>
      <c r="C6" s="18" t="inlineStr">
        <is>
          <t>READY</t>
        </is>
      </c>
      <c r="D6" s="5" t="inlineStr">
        <is>
          <t>Robust Bayesian model-averaging (RoBMA 3.6.1; Bartoš et al., 2022) complements the frequentist battery. Pooled models average 36 specifications — presence and absence of the effect and of between-cluster heterogeneity crossed with nine publication-selection components (six selection weight functions, PET and PEESE, and none) — and moderation models extend the space to 72 by adding the Paris-period term. Estimation uses the one-effect-per-cluster aggregates (k = 114; period cells 82 + 31 with the single both-period cluster disclosed) on the Fisher-z scale with an expected-negative orientation, three effect-prior sets (package defaults; a companion-informed prior N(−0.041, 0.021) derived from our cost-of-equity meta-analysis; a doubled-width variant), and a period-contrast prior N(0, 0.025) anchored in the secondary SESOI band, again with package-default and doubled-width variants.</t>
        </is>
      </c>
      <c r="E6" s="5" t="inlineStr">
        <is>
          <t>[DEC-031b; DEC-045; DEC-046]; [R/07]; [xlsx Tab 2]</t>
        </is>
      </c>
      <c r="F6" s="5" t="inlineStr"/>
    </row>
    <row r="7">
      <c r="A7" s="8" t="inlineStr">
        <is>
          <t>TB-53</t>
        </is>
      </c>
      <c r="B7" s="5" t="inlineStr">
        <is>
          <t>Results · Bayesian model averaging (level)</t>
        </is>
      </c>
      <c r="C7" s="18" t="inlineStr">
        <is>
          <t>READY</t>
        </is>
      </c>
      <c r="D7" s="5" t="inlineStr">
        <is>
          <t>Model averaging leaves the pooled-effect component with limited support: BF01 = 7.03 under package defaults and 2.38 and 1.69 under the companion-informed and wide priors, with model-averaged estimates between −0.009 and +0.008 whose 95% intervals carry an exact-zero bound from the point-null spike. Heterogeneity support is saturated (BF01 = 0 at double precision in all sets), and the publication-selection block is strongly included throughout (BF10 = 94.7, 11.1, and 16.8).</t>
        </is>
      </c>
      <c r="E7" s="5" t="inlineStr">
        <is>
          <t>[xlsx Tab 6; Results_Long]; [TH_b_run_meta.txt BFPAIR]</t>
        </is>
      </c>
      <c r="F7" s="5" t="inlineStr"/>
    </row>
    <row r="8">
      <c r="A8" s="8" t="inlineStr">
        <is>
          <t>TB-54</t>
        </is>
      </c>
      <c r="B8" s="5" t="inlineStr">
        <is>
          <t>Results · Bayesian model averaging (moderation)</t>
        </is>
      </c>
      <c r="C8" s="18" t="inlineStr">
        <is>
          <t>READY</t>
        </is>
      </c>
      <c r="D8" s="5" t="inlineStr">
        <is>
          <t>For the Paris-period moderator, the pre-specified contrast prior yields BF01 = 1.03 with a model-averaged post-minus-pre contrast of +0.003 (95% CI −0.031 to +0.045), and the doubled-width prior yields BF01 = 1.17; the package-default factor prior yields BF01 = 8.49, which we report with disclosed convergence caveats concentrated in that fit.</t>
        </is>
      </c>
      <c r="E8" s="5" t="inlineStr">
        <is>
          <t>[xlsx Tab 7; Results_Long]</t>
        </is>
      </c>
      <c r="F8" s="5" t="inlineStr">
        <is>
          <t>coherent with E2 (+0.010; p_TOST = .022)</t>
        </is>
      </c>
    </row>
    <row r="9">
      <c r="A9" s="8" t="inlineStr">
        <is>
          <t>TB-55</t>
        </is>
      </c>
      <c r="B9" s="5" t="inlineStr">
        <is>
          <t>Discussion · wording tier (gate)</t>
        </is>
      </c>
      <c r="C9" s="19" t="inlineStr">
        <is>
          <t>BLOCKED — DEC-047</t>
        </is>
      </c>
      <c r="D9" s="5" t="inlineStr">
        <is>
          <t>[Wording tier for the Paris-moderation claim — evidence-of-absence vs equivalence register — locked until the documented gate-resolution step; primary mechanical inputs: E2 flag 1 (p_TOST = .022) and BF01(period) = 1.03 (band 1–3).]</t>
        </is>
      </c>
      <c r="E9" s="5" t="inlineStr">
        <is>
          <t>[DEC-044]; [xlsx Tab 7]</t>
        </is>
      </c>
      <c r="F9" s="5" t="inlineStr">
        <is>
          <t>resolution = P5, own DEC</t>
        </is>
      </c>
    </row>
    <row r="10">
      <c r="A10" s="8" t="inlineStr">
        <is>
          <t>TB-56</t>
        </is>
      </c>
      <c r="B10" s="5" t="inlineStr">
        <is>
          <t>Limitations · prior sensitivity</t>
        </is>
      </c>
      <c r="C10" s="20" t="inlineStr">
        <is>
          <t>DRAFT</t>
        </is>
      </c>
      <c r="D10" s="5" t="inlineStr">
        <is>
          <t>Bayes-factor magnitudes for both components scale with prior width in the expected direction, which is why the pre-specified informed priors anchor the reported range and the package-default values are shown as sensitivity brackets.</t>
        </is>
      </c>
      <c r="E10" s="5" t="inlineStr">
        <is>
          <t>[xlsx Tabs 6–7]</t>
        </is>
      </c>
      <c r="F10" s="5" t="inlineStr">
        <is>
          <t>wording near-interpretive → DRAFT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2026-07-27T14:58:13Z</dcterms:created>
  <dcterms:modified xmlns:dcterms="http://purl.org/dc/terms/" xmlns:xsi="http://www.w3.org/2001/XMLSchema-instance" xsi:type="dcterms:W3CDTF">2026-07-27T14:58:13Z</dcterms:modified>
</cp:coreProperties>
</file>