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_Projects\FOMA-CER-COD-Paris\output\"/>
    </mc:Choice>
  </mc:AlternateContent>
  <xr:revisionPtr revIDLastSave="0" documentId="11_A1B79E2512B22E002401274F4215F92E5429F450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1_README" sheetId="1" r:id="rId1"/>
    <sheet name="2_Methodology" sheetId="2" r:id="rId2"/>
    <sheet name="3_Interpretation_Guide" sheetId="3" r:id="rId3"/>
    <sheet name="4_Formula_Reference" sheetId="4" r:id="rId4"/>
    <sheet name="5_Data_Provenance" sheetId="5" r:id="rId5"/>
    <sheet name="6_H2a_Level" sheetId="6" r:id="rId6"/>
    <sheet name="7_H2b_Moderation" sheetId="7" r:id="rId7"/>
    <sheet name="Results_Long" sheetId="8" r:id="rId8"/>
    <sheet name="Manuscript_Inputs" sheetId="9" r:id="rId9"/>
    <sheet name="Manuscript_Text_Blocks" sheetId="10" r:id="rId10"/>
  </sheets>
  <definedNames>
    <definedName name="_xlnm._FilterDatabase" localSheetId="7" hidden="1">Results_Long!$A$1:$AK$31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9" l="1"/>
  <c r="I9" i="9" s="1"/>
  <c r="J9" i="9" s="1"/>
  <c r="C9" i="9"/>
  <c r="G9" i="9" s="1"/>
  <c r="H9" i="9" s="1"/>
  <c r="B9" i="9"/>
  <c r="B8" i="9"/>
  <c r="B7" i="9"/>
  <c r="D6" i="9"/>
  <c r="I6" i="9" s="1"/>
  <c r="J6" i="9" s="1"/>
  <c r="C6" i="9"/>
  <c r="G6" i="9" s="1"/>
  <c r="H6" i="9" s="1"/>
  <c r="B6" i="9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AK7" i="8"/>
  <c r="AK6" i="8"/>
  <c r="AK5" i="8"/>
  <c r="AK4" i="8"/>
  <c r="AK3" i="8"/>
  <c r="AK2" i="8"/>
  <c r="J8" i="7"/>
  <c r="I8" i="7"/>
  <c r="F8" i="7"/>
  <c r="J7" i="7"/>
  <c r="I7" i="7"/>
  <c r="H7" i="7"/>
  <c r="F7" i="7"/>
  <c r="G7" i="7" s="1"/>
  <c r="E7" i="7"/>
  <c r="D7" i="7"/>
  <c r="C7" i="7"/>
  <c r="J6" i="7"/>
  <c r="I6" i="7"/>
  <c r="F6" i="7"/>
  <c r="E6" i="7"/>
  <c r="D6" i="7"/>
  <c r="C6" i="7"/>
  <c r="O8" i="6"/>
  <c r="N8" i="6"/>
  <c r="K8" i="6"/>
  <c r="L8" i="6" s="1"/>
  <c r="I8" i="6"/>
  <c r="H8" i="6"/>
  <c r="G8" i="6"/>
  <c r="F8" i="6"/>
  <c r="E8" i="6"/>
  <c r="D8" i="6"/>
  <c r="C8" i="6"/>
  <c r="O7" i="6"/>
  <c r="N7" i="6"/>
  <c r="K7" i="6"/>
  <c r="L7" i="6" s="1"/>
  <c r="I7" i="6"/>
  <c r="H7" i="6"/>
  <c r="G7" i="6"/>
  <c r="F7" i="6"/>
  <c r="E7" i="6"/>
  <c r="D7" i="6"/>
  <c r="C7" i="6"/>
  <c r="O6" i="6"/>
  <c r="N6" i="6"/>
  <c r="K6" i="6"/>
  <c r="L6" i="6" s="1"/>
  <c r="I6" i="6"/>
  <c r="H6" i="6"/>
  <c r="G6" i="6"/>
  <c r="F6" i="6"/>
  <c r="E6" i="6"/>
  <c r="D6" i="6"/>
  <c r="C6" i="6"/>
  <c r="E9" i="9" l="1"/>
  <c r="F9" i="9" s="1"/>
  <c r="K9" i="9" s="1"/>
  <c r="K8" i="9"/>
  <c r="E8" i="9"/>
  <c r="F8" i="9" s="1"/>
  <c r="C8" i="9"/>
  <c r="G8" i="9" s="1"/>
  <c r="H8" i="9" s="1"/>
  <c r="E7" i="9"/>
  <c r="F7" i="9" s="1"/>
  <c r="K7" i="9" s="1"/>
  <c r="C7" i="9"/>
  <c r="G7" i="9" s="1"/>
  <c r="H7" i="9" s="1"/>
  <c r="E6" i="9"/>
  <c r="F6" i="9" s="1"/>
  <c r="K6" i="9"/>
  <c r="H8" i="7"/>
  <c r="G8" i="7"/>
  <c r="H6" i="7"/>
  <c r="G6" i="7"/>
  <c r="J8" i="6"/>
  <c r="M8" i="6"/>
  <c r="M7" i="6"/>
  <c r="J7" i="6"/>
  <c r="M6" i="6"/>
  <c r="J6" i="6"/>
</calcChain>
</file>

<file path=xl/sharedStrings.xml><?xml version="1.0" encoding="utf-8"?>
<sst xmlns="http://schemas.openxmlformats.org/spreadsheetml/2006/main" count="564" uniqueCount="364">
  <si>
    <t>FOMA CER–COD–Paris · Run TH-b (Bayes battery H2a/H2b) — results workbook</t>
  </si>
  <si>
    <t>Template: docs/results_workbook_template.md (10-tab cut per author ruling B-Q4, 2026-07-26)</t>
  </si>
  <si>
    <t>Run 2026-07-27 16:22:52 CEST · verifier R/07_verify_outputs.R O0–O14 ALL PASS (exit 0)</t>
  </si>
  <si>
    <t>Item</t>
  </si>
  <si>
    <t>Value</t>
  </si>
  <si>
    <t>Version</t>
  </si>
  <si>
    <t>TH-b v1 (canonical run 3; runs 1–2 halted by design — ERROR_LOG #17/#18)</t>
  </si>
  <si>
    <t>Method</t>
  </si>
  <si>
    <t>Robust Bayesian model-averaged meta-analysis (RoBMA 3.6.1): H2a pooled level (36-model space), H2b Paris-period moderation via RoBMA.reg (72-model space)</t>
  </si>
  <si>
    <t>Scope</t>
  </si>
  <si>
    <t>H2a: k = 114 one-effect-per-cluster aggregates, 3 effect-prior sets. H2b: 113 cluster×period aggregate rows (82 pre + 31 post), 3 moderation-prior sets. Single-home: level cells → T2/B1; frequentist selection models → T5; this run carries the Bayes gate inputs [DEC-044/045].</t>
  </si>
  <si>
    <t>Repo / anchors</t>
  </si>
  <si>
    <t>rwitte-wu-research/FOMA-CER-COD-Paris · Block-1 a4719ed → fix 1b6eab8 (#17) → fix 4cf8fe6 (#18); outputs committed with Block 2</t>
  </si>
  <si>
    <t>Computational stack</t>
  </si>
  <si>
    <t>R 4.6.1 · RoBMA 3.6.1 · BayesTools 0.2.23 · rjags 4-17 · JAGS 4.3.2 · seed 20260710 · sequential chains + single-thread Rblas [DEC-046]</t>
  </si>
  <si>
    <t>Scripts</t>
  </si>
  <si>
    <t>R/07_robma.R + paired verifier R/07_verify_outputs.R (foundational pair, pre-execution diff review B-Q1)</t>
  </si>
  <si>
    <t>Decision basis</t>
  </si>
  <si>
    <t>DEC-031b (prior sets; COE companion = only admissible external prior source) · DEC-042a/b (domains) · DEC-044 (framing gate) · DEC-045 (H2a/H2b pins) · DEC-046 (F66 closure: version + y/se scale-path pins)</t>
  </si>
  <si>
    <t>Recalc</t>
  </si>
  <si>
    <t>Container recalc pass executed (LibreOffice headless) + spot verification vs CSV; re-calculate on open (Ctrl+Alt+F9) after any edit</t>
  </si>
  <si>
    <t>Framing status</t>
  </si>
  <si>
    <t>NONE. Mechanical values and pinned band labels only; adjudication deferred to the documented gate-resolution step [DEC-044].</t>
  </si>
  <si>
    <t>TAB-INDEX</t>
  </si>
  <si>
    <t>1_README</t>
  </si>
  <si>
    <t>this tab</t>
  </si>
  <si>
    <t>2_Methodology</t>
  </si>
  <si>
    <t>model space, priors (full precision), pins</t>
  </si>
  <si>
    <t>3_Interpretation_Guide</t>
  </si>
  <si>
    <t>BF01 semantics, band ladder, saturation, mixture quantiles</t>
  </si>
  <si>
    <t>4_Formula_Reference</t>
  </si>
  <si>
    <t>derivation map into Results_Long</t>
  </si>
  <si>
    <t>5_Data_Provenance</t>
  </si>
  <si>
    <t>contract, structure, timings/κ, diagnostics, run history</t>
  </si>
  <si>
    <t>6_H2a_Level</t>
  </si>
  <si>
    <t>pooled-level panel + Q&amp;A + verdict</t>
  </si>
  <si>
    <t>7_H2b_Moderation</t>
  </si>
  <si>
    <t>moderation panel + Q&amp;A + verdict</t>
  </si>
  <si>
    <t>Results_Long</t>
  </si>
  <si>
    <t>verbatim run CSV — single formula source</t>
  </si>
  <si>
    <t>Manuscript_Inputs</t>
  </si>
  <si>
    <t>ms_input rows, formula-derived paste strings</t>
  </si>
  <si>
    <t>Manuscript_Text_Blocks</t>
  </si>
  <si>
    <t>TB-52…TB-56 (numbers hardcoded, provenance header)</t>
  </si>
  <si>
    <t>Methodology — TH-b Bayes battery</t>
  </si>
  <si>
    <t>Authority: DEC-045 (spec) · DEC-046 (stack + scale path) · DEC-031b (priors)</t>
  </si>
  <si>
    <t>All priors act verbatim on the Fisher-z scale (y/se route; transformation = prior_scale = "none").</t>
  </si>
  <si>
    <t>Specification</t>
  </si>
  <si>
    <t>Model space H2a</t>
  </si>
  <si>
    <t>36 models: {Spike(0), effect prior} × {Spike(0), InvGamma(1, 0.15)} × 9 publication-selection components (6 weight functions, PET ~ Cauchy(0,1)[0,∞], PEESE ~ Cauchy(0,5)[0,∞], none). Package construction echoed verbatim in TH_b_run_meta.txt FITMETA blocks.</t>
  </si>
  <si>
    <t>Model space H2b</t>
  </si>
  <si>
    <t>72 models: the 36-model space crossed with period-moderator inclusion/exclusion; RoBMA.reg(~ period, test_predictors = "period"); factor levels c("pre","post"), reference = pre.</t>
  </si>
  <si>
    <t>Input</t>
  </si>
  <si>
    <t>One-effect-per-cluster aggregates (metafor aggregate.escalc, struct = "CS", rho = 0.6; T1/A5 convention [DEC-031g/F65]); H2a k = 114; H2b 113 cluster×period rows (per-cell D2 aggregation; Li et al (2022) = single both-period cluster, disclosed).</t>
  </si>
  <si>
    <t>Orientation</t>
  </si>
  <si>
    <t>effect_direction = "negative" for all fits (P-T5-2 transfer [DEC-046]); estimates reported on the original scale.</t>
  </si>
  <si>
    <t>H2a effect priors</t>
  </si>
  <si>
    <t>psma_default: package defaults (effect slab Normal(0, 1) on z — evidenced in FITMETA) · coe_informed: Normal(−0.041, 0.0211734694) with σ = 0.083/3.92 [DEC-031b provenance arithmetic] · coe_wide: Normal(−0.041, 0.0423469388) = 2σ.</t>
  </si>
  <si>
    <t>H2b period priors</t>
  </si>
  <si>
    <t>contrast_informed: treatment-contrast Normal(0, 0.025) [secondary SESOI ±0.05 ≈ ±2σ, DEC-045] (PRIMARY) · contrast_wide: Normal(0, 0.050) · factor_default: package default = mean-difference contrast mNormal(0, 0.25) (evidenced in FITMETA; no memory-hardcoding). H2b level/heterogeneity/bias priors = package defaults; level inference single-homed in H2a.</t>
  </si>
  <si>
    <t>Prior print-rounding note</t>
  </si>
  <si>
    <t>FITMETA prior echoes are BayesTools 2-dp print renderings ("Normal(-0.04, 0.02)", "Normal(0, 0.03)"); the calls used the full-precision constants in the run_meta constants line, asserted by verifier O8b. The print string is display, not the call.</t>
  </si>
  <si>
    <t>MCMC</t>
  </si>
  <si>
    <t>3.x defaults: 3 chains × 5,000 samples, 2,000 burn-in, 500 adapt, autofit = TRUE; seed 20260710; parallel = FALSE.</t>
  </si>
  <si>
    <t>Guards</t>
  </si>
  <si>
    <t>[R7-PRE] 3-probe smoke test (level, regression, saturation) before canonical fits; not-estimable signature list {converg, r-hat, rhat, effective sample size, bridge sampl, node inconsistent, unable to initialize}; saturated BF pairs Inf/0 legitimate [#18].</t>
  </si>
  <si>
    <t>Interpretation guide (mechanical semantics only)</t>
  </si>
  <si>
    <t>BF01 = 1/BF10 = evidence FOR the null of the named component (inclusion Bayes factor inverted).</t>
  </si>
  <si>
    <t>Band labels are pinned mechanical labels — adjudication is deferred [DEC-044].</t>
  </si>
  <si>
    <t>Concept</t>
  </si>
  <si>
    <t>Mechanical reading</t>
  </si>
  <si>
    <t>BF01 band ladder (pinned)</t>
  </si>
  <si>
    <t>1–3 anecdotal · 3–10 moderate · 10–30 strong · &gt;30 very strong. Gate mapping [E3/DEC-045]: BF01 ≥ 3 = "full" register input; 1–3 = equivalence-register input. Values &lt; 1 favour component inclusion — read via BF10 = 1/BF01 with the same ladder.</t>
  </si>
  <si>
    <t>Saturation (Inf/0)</t>
  </si>
  <si>
    <t>A saturated pair (BF10 = Inf, BF01 = 0) means the posterior inclusion probability hit the floating-point boundary — evidence beyond double-precision resolution, not an error [#18]. Here: heterogeneity in all three H2a sets.</t>
  </si>
  <si>
    <t>Mixture quantiles / exact-zero CI bounds</t>
  </si>
  <si>
    <t>Model-averaged intervals mix the Spike(0) mass with the slab posterior. With BF01(effect) = 7.03, the posterior spike mass is BF01/(1+BF01) ≈ 87.5%, so the 2.5% or 97.5% quantile can sit exactly at 0. An exact-zero bound is mixture arithmetic, not truncation.</t>
  </si>
  <si>
    <t>Why default μ can differ in sign</t>
  </si>
  <si>
    <t>Under the diffuse default slab Normal(0, 1), the slab posterior is dominated by the strongly included publication-selection components (BF10_bias = 94.7), whose corrected location differs from the unadjusted pooled value. The COE-informed set anchors the calibrated magnitude; prior sensitivity across sets is reported mechanically.</t>
  </si>
  <si>
    <t>Contrast rows</t>
  </si>
  <si>
    <t>Differences of Fisher-z are reported z-only by convention (no tanh of differences); est_r = NA on z_diff rows.</t>
  </si>
  <si>
    <t>Single-home map</t>
  </si>
  <si>
    <t>Level pre/post cells → T2/B1 · frequentist selection models (FAT-PET-PEESE, selection) → T5/Block D · Paris×exposure interactions → their one designated location · this workbook → Bayes gate inputs only.</t>
  </si>
  <si>
    <t>Framing gate</t>
  </si>
  <si>
    <t>Verbatim: results are mechanical values with pinned labels; wording tier (evidence-of-absence vs equivalence register) is decided at the documented gate-resolution step [DEC-044] — nothing in this workbook pre-empts it.</t>
  </si>
  <si>
    <t>Formula reference</t>
  </si>
  <si>
    <t>Every derived cell resolves into Results_Long via INDEX/MATCH on the 4-key helper column AK.</t>
  </si>
  <si>
    <t>Key = analysis_id|spec|subset|term. No XLOOKUP/FILTER (LibreOffice recalc); no TEXT() format codes (locale-neutral refinement vs template).</t>
  </si>
  <si>
    <t>Derived quantity</t>
  </si>
  <si>
    <t>Formula pattern</t>
  </si>
  <si>
    <t>Panel numbers (tabs 6/7)</t>
  </si>
  <si>
    <t>=INDEX(results_long!&lt;col&gt;,MATCH("&lt;4-key&gt;",Results_Long!AK:AK,0)) — columns est_z/ci_lb_z/ci_ub_z/est_r/ci_lb_r/ci_ub_r/value.</t>
  </si>
  <si>
    <t>est_r on μ rows</t>
  </si>
  <si>
    <t>est_r = TANH(est_z), written by the run script; workbook re-displays, never recomputes.</t>
  </si>
  <si>
    <t>BF10 from BF01</t>
  </si>
  <si>
    <t>=1/&lt;BF1 cell&gt;; saturated: BF1 = 0 ⇒ BF10 = Inf (displayed "saturated").</t>
  </si>
  <si>
    <t>Posterior spike mass</t>
  </si>
  <si>
    <t>=BF1/(1+BF1) on component ROWS(equal prior odds; mechanical).</t>
  </si>
  <si>
    <t>Manuscript_Inputs strings</t>
  </si>
  <si>
    <t>Assembled arithmetically: sign &amp; INT part &amp; "." &amp; zero-padded fraction (ROUND/INT/REPT/RIGHT + &amp;). Locale-neutral by construction; deviation from template TEXT() per the locale-neutral refinement, disclosed.</t>
  </si>
  <si>
    <t>Band labels</t>
  </si>
  <si>
    <t>=IF(BF1=0,"saturated",IF(BF1&lt;1,"favours inclusion (read BF10)",IF(BF1&lt;3,"anecdotal",IF(BF1&lt;10,"moderate",IF(BF1&lt;30,"strong","very strong")))))</t>
  </si>
  <si>
    <t>Data provenance &amp; run record</t>
  </si>
  <si>
    <t>Run 3 of 3 (runs 1–2: designed halts, ERROR_LOG #17/#18; no outputs, tree clean).</t>
  </si>
  <si>
    <t>Executor: Claude Code per docs/cc_prompt_THb.md; author-sanctioned deviations disclosed below.</t>
  </si>
  <si>
    <t>Source</t>
  </si>
  <si>
    <t>Estimation set / domains</t>
  </si>
  <si>
    <t>2,713 ES / 115 studies / 114 clusters [DEC-042a]; period domain 2,705 / 113 / 112 [DEC-042b]; 8 ES / 2 studies NA-window</t>
  </si>
  <si>
    <t>TH_b_run_meta.txt</t>
  </si>
  <si>
    <t>dat_prep contract</t>
  </si>
  <si>
    <t>md5 6702ef3dc45fe0b693b13f50ebd1576b == pin; n 2,713; seed 20260710</t>
  </si>
  <si>
    <t>verifier O6a/O6b</t>
  </si>
  <si>
    <t>H2b structure</t>
  </si>
  <si>
    <t>113 rows = 82 pre + 31 post; 112 unique clusters; both-period n = 1: Li et al (2022)</t>
  </si>
  <si>
    <t>verifier O7/O7b</t>
  </si>
  <si>
    <t>F65 identity</t>
  </si>
  <si>
    <t>T1/A5 anchor located BY VALUE (1e-9), refit identity ≤ 1e-6, df = 113, display canary −0.062</t>
  </si>
  <si>
    <t>verifier O6c–O6e</t>
  </si>
  <si>
    <t>Run timestamp / wall clock</t>
  </si>
  <si>
    <t>launch 11:43:33 → exit 16:22:52 = 4 h 39 min (Step 1); verifier exit 0</t>
  </si>
  <si>
    <t>CC report</t>
  </si>
  <si>
    <t>Verifier line</t>
  </si>
  <si>
    <t>O0–O14 ALL PASS; 12 BFPAIR lines consistent (finite product ≡ 1; saturated pairs exact); 0 not_estimable rows — all 30 rows from real estimates</t>
  </si>
  <si>
    <t>R/07_verify_outputs.R</t>
  </si>
  <si>
    <t>Per-fit timings (TFIT, s)</t>
  </si>
  <si>
    <t>h2a: 2057.2 / 2014.8 / 1288.7 · h2b: 3024.8 / 3848.7 / 4126.9 · sum 16,361.1 s = 4.54 h</t>
  </si>
  <si>
    <t>Projection vs actual</t>
  </si>
  <si>
    <t>T = 3t + 3κt = 18,530 s (κ = 2.5) vs 16,361 s actual (88%); κ_emp = 1.71 / 2.18 / 2.34 (mean 2.08, max 2.34) — pin conservative, GO margin validated</t>
  </si>
  <si>
    <t>DEC-046 · TFIT</t>
  </si>
  <si>
    <t>t-variance note</t>
  </si>
  <si>
    <t>fit 1 = 2,057 s vs t_RoBMA = 1,764.8 s (+16.6%) at identical spec/seed — system-load band; coe_wide 27% below reference (plausible autofit early termination)</t>
  </si>
  <si>
    <t>TFIT vs DEC-046</t>
  </si>
  <si>
    <t>Diagnostics — h2b_factor_default</t>
  </si>
  <si>
    <t>23 warnings: 16× adaptation not completed (500 it), Model 56 R-hat 1.174, ESS down to 98; listed signatures = metadata per design (fit returned, extraction clean). PRIMARY H2b fit (contrast_informed) carried 1 benign warning only</t>
  </si>
  <si>
    <t>FITMETA</t>
  </si>
  <si>
    <t>Saturation record</t>
  </si>
  <si>
    <t>heterogeneity BF pairs Inf/0 in all three H2a sets — legitimate per #18 policy; run-2 halt evidence: thb_console_run2.log</t>
  </si>
  <si>
    <t>BFPAIR · #18</t>
  </si>
  <si>
    <t>Executor deviations (sanctioned)</t>
  </si>
  <si>
    <t>console tee runs 1–3 (thb_console*.log, outside repo); passive 15 s log watcher (read-only, report-only); milestone-(b) briefing referenced console TFIT lines that by design appear only in run_meta — functional equivalent (fit-start lines) used</t>
  </si>
  <si>
    <t>DEC-046 family</t>
  </si>
  <si>
    <t>Commit anchors</t>
  </si>
  <si>
    <t>package a4719ed → #17 fix 1b6eab8 → #18 fix 4cf8fe6; outputs committed in Block 2</t>
  </si>
  <si>
    <t>git log</t>
  </si>
  <si>
    <t>Result-blind ledger</t>
  </si>
  <si>
    <t>pre-acceptance leak limited to run-2 halt value (BF10_het fit 1 = Inf, non-gate); gate quantities first read at this workbook build [DEC-044]</t>
  </si>
  <si>
    <t>#18 · this build</t>
  </si>
  <si>
    <t>H2a — pooled level (RoBMA model averaging, k = 114 aggregates)</t>
  </si>
  <si>
    <t>Estimates: model-averaged posterior mean, 95% central CI (mixture quantiles — exact-zero bounds are spike arithmetic).</t>
  </si>
  <si>
    <t>Reference: DEC-031b prior ladder; PSMA defaults = primary.</t>
  </si>
  <si>
    <t>Spec</t>
  </si>
  <si>
    <t>k</t>
  </si>
  <si>
    <t>est_z</t>
  </si>
  <si>
    <t>CI_lb_z</t>
  </si>
  <si>
    <t>CI_ub_z</t>
  </si>
  <si>
    <t>est_r</t>
  </si>
  <si>
    <t>CI_lb_r</t>
  </si>
  <si>
    <t>CI_ub_r</t>
  </si>
  <si>
    <t>BF01_effect</t>
  </si>
  <si>
    <t>band (effect)</t>
  </si>
  <si>
    <t>BF01_bias</t>
  </si>
  <si>
    <t>bias reading</t>
  </si>
  <si>
    <t>P(spike)</t>
  </si>
  <si>
    <t>tau</t>
  </si>
  <si>
    <t>tau 95% CI</t>
  </si>
  <si>
    <t>PSMA defaults (primary)</t>
  </si>
  <si>
    <t>COE-informed</t>
  </si>
  <si>
    <t>wide (2σ)</t>
  </si>
  <si>
    <t>BF01_heterogeneity = 0 (saturated, BF10 = Inf) in all three sets [#18]; row carried verbatim in Results_Long and omitted from the panel for that reason.</t>
  </si>
  <si>
    <t>Interpretation (mechanical)</t>
  </si>
  <si>
    <t>BF01(effect) = 7.03 / 2.38 / 1.69 across default / informed / wide priors — band labels moderate / anecdotal / anecdotal; posterior spike mass 87.5% / 70.5% / 62.9%.</t>
  </si>
  <si>
    <t>Model-averaged μ ranges −0.009 … +0.008 with spike-bounded 95% intervals; ordering follows prior width (mechanical prior sensitivity, cf. tab 3).</t>
  </si>
  <si>
    <t>Publication-selection block strongly included in every set (BF10_bias = 94.7 / 11.1 / 16.8); frequentist selection results are single-homed in T5/Block D.</t>
  </si>
  <si>
    <t>Between-aggregate τ ≈ 0.264–0.267 on z with saturated heterogeneity support — consistent with the between-cluster dominance on file since T1/A2.</t>
  </si>
  <si>
    <t>Question</t>
  </si>
  <si>
    <t>Answer</t>
  </si>
  <si>
    <t>Why k = 114 aggregates instead of RoBMA(cluster = ) / spike-and-slab 3-level?</t>
  </si>
  <si>
    <t>Pre-registered D2 aggregation pin [DEC-031b/045]: the T1/A5 one-effect-per-cluster convention is the project-wide inference unit; the RoBMA 3.6.1 cluster/ss three-level path is approximative and was not pre-registered. Aggregation identity is verifier-anchored (O6, F65 pattern).</t>
  </si>
  <si>
    <t>Why is the default-set μ positive when the frequentist pooled estimate is −0.062?</t>
  </si>
  <si>
    <t>Mixture arithmetic: 87.5% posterior mass sits on Spike(0), and the remaining slab mass is dominated by the strongly included selection components whose corrected location is positive. The COE-informed set (μ = −0.009) anchors the calibrated read; sensitivity across sets is the mechanical finding.</t>
  </si>
  <si>
    <t>The run_meta prior echo says Normal(-0.04, 0.02) — is the σ wrong?</t>
  </si>
  <si>
    <t>No: BayesTools prints priors at 2 dp. The calls carried σ = 0.0211734694 = 0.083/3.92 (constants line, verifier O8b); print string ≠ call.</t>
  </si>
  <si>
    <t>Is BF01 = 7.03 under Normal(0, 1) not just prior diffuseness?</t>
  </si>
  <si>
    <t>The default slab is deliberately scale-diffuse on z (package default under the y route, DEC-046) — that is exactly why the DEC-031b ladder pairs it with the COE-informed prior; the ladder spread (7.03 → 2.38) quantifies the prior dependence mechanically.</t>
  </si>
  <si>
    <t>Why is heterogeneity BF01 exactly 0?</t>
  </si>
  <si>
    <t>Saturation: posterior inclusion probability at the floating-point boundary (τ²-dominant data, k = 114). Legitimate raw pair Inf/0 per the #18 policy; verifier O9 checks exact complementarity.</t>
  </si>
  <si>
    <t>Verdict — Mechanical outcome: BF01(effect) = 7.03 (PSMA defaults, primary) / 2.38 (COE-informed) / 1.69 (wide); model-averaged μ between −0.009 and +0.008 with spike-bounded intervals; heterogeneity saturated; bias block strongly included (BF10 = 94.7 / 11.1 / 16.8); adjudication deferred to the documented gate-resolution step [DEC-044].</t>
  </si>
  <si>
    <t>H2b — Paris-period moderation (RoBMA.reg, 113 cluster×period rows: 82 pre + 31 post)</t>
  </si>
  <si>
    <t>Contrast = post − pre on Fisher-z (treatment contrast, reference = pre); z-only by convention.</t>
  </si>
  <si>
    <t>Primary = contrast-informed Normal(0, 0.025) [secondary SESOI, DEC-045].</t>
  </si>
  <si>
    <t>rows</t>
  </si>
  <si>
    <t>coef_z (Δ)</t>
  </si>
  <si>
    <t>BF01_period</t>
  </si>
  <si>
    <t>band (period)</t>
  </si>
  <si>
    <t>Notes</t>
  </si>
  <si>
    <t>contrast-informed (primary)</t>
  </si>
  <si>
    <t>contrast-wide</t>
  </si>
  <si>
    <t>package default (mNormal(0, 0.25), meandif)</t>
  </si>
  <si>
    <t>— (see note)</t>
  </si>
  <si>
    <t>DIAGNOSTIC CAVEAT: 23 warnings (16× adaptation not completed; Model 56 R-hat 1.174; ESS min 98). Coefficient row intentionally not reported (package-internal parameterization; contrast claims live on the treatment fits) [DEC-046].</t>
  </si>
  <si>
    <t>Primary BF01(period) = 1.03 — inside the 1–3 band ⇒ per the pinned E3 mapping this is an equivalence-register input, not a ≥3 "full" input; wide prior: 1.17.</t>
  </si>
  <si>
    <t>Package-default prior yields BF01 = 8.49 (moderate band) — reported with the disclosed convergence caveats and the diffuse-prior mechanics of tab 3; the primary carries the pre-specified SESOI scale.</t>
  </si>
  <si>
    <t>Contrast +0.003 z [−0.031; +0.045] (informed) and +0.009 [−0.045; +0.079] (wide) — both inside the ±0.05 secondary band; coherent with the frequentist E2 contrast (+0.010, p = .582, p_TOST = .022).</t>
  </si>
  <si>
    <t>τ ≈ 0.267 in every set: adding the period term leaves the heterogeneity level unchanged (mechanical).</t>
  </si>
  <si>
    <t>Why no coefficient for the package-default set?</t>
  </si>
  <si>
    <t>Its contrast is the package-internal mean-difference parameterization (mNormal(0, 0.25), evidenced in FITMETA); reporting its coefficient would mix parameterizations. Contrast estimates are claimed only on the treatment-contrast fits; the default set contributes its BF (deterministic row budget, disclosed) [DEC-046].</t>
  </si>
  <si>
    <t>Why are the H2b level priors package defaults rather than COE-informed?</t>
  </si>
  <si>
    <t>Level inference is single-homed in H2a; H2b pre-specifies only the moderator prior [DEC-045]. The intercept prior does not carry the moderation claim.</t>
  </si>
  <si>
    <t>Model 56 shows R-hat 1.174 — why is the fit not not_estimable?</t>
  </si>
  <si>
    <t>Listed non-convergence signatures are metadata by design (P-T5-4 analog): the fit returned and extraction verified. The caveat is disclosed at the affected (non-primary) set; the primary fit carried one benign warning (72-model notice).</t>
  </si>
  <si>
    <t>Are the three BF01 values comparable?</t>
  </si>
  <si>
    <t>Only mechanically: inclusion BFs are prior-dependent, and the default set uses a different contrast parameterization and width. The pre-specified comparison object is the contrast-informed value; the others bracket prior sensitivity.</t>
  </si>
  <si>
    <t>BF01 = 1.03 — does that decide the wording tier?</t>
  </si>
  <si>
    <t>No. Band membership (1–3) is a mechanical gate input; the tier decision is the documented resolution step [DEC-044] and gets its own DEC.</t>
  </si>
  <si>
    <t>Verdict — Mechanical outcome: BF01(period) = 1.03 (contrast-informed, primary) / 1.17 (wide) / 8.49 (package default, with disclosed convergence caveats); contrast +0.003 z [−0.031; +0.045]; adjudication deferred to the documented gate-resolution step [DEC-044].</t>
  </si>
  <si>
    <t>analysis_id</t>
  </si>
  <si>
    <t>spec</t>
  </si>
  <si>
    <t>subset</t>
  </si>
  <si>
    <t>term</t>
  </si>
  <si>
    <t>metric</t>
  </si>
  <si>
    <t>estimator</t>
  </si>
  <si>
    <t>rho</t>
  </si>
  <si>
    <t>k_es</t>
  </si>
  <si>
    <t>k_study</t>
  </si>
  <si>
    <t>k_cluster</t>
  </si>
  <si>
    <t>se_z</t>
  </si>
  <si>
    <t>t_stat</t>
  </si>
  <si>
    <t>df</t>
  </si>
  <si>
    <t>p</t>
  </si>
  <si>
    <t>ci_lb_z</t>
  </si>
  <si>
    <t>ci_ub_z</t>
  </si>
  <si>
    <t>pi_lb_z</t>
  </si>
  <si>
    <t>pi_ub_z</t>
  </si>
  <si>
    <t>ci_lb_r</t>
  </si>
  <si>
    <t>ci_ub_r</t>
  </si>
  <si>
    <t>pi_lb_r</t>
  </si>
  <si>
    <t>pi_ub_r</t>
  </si>
  <si>
    <t>sigma2_cluster</t>
  </si>
  <si>
    <t>sigma2_study</t>
  </si>
  <si>
    <t>sigma2_esid</t>
  </si>
  <si>
    <t>pct_cluster</t>
  </si>
  <si>
    <t>pct_study</t>
  </si>
  <si>
    <t>pct_esid</t>
  </si>
  <si>
    <t>pct_sampling</t>
  </si>
  <si>
    <t>typical_v</t>
  </si>
  <si>
    <t>value</t>
  </si>
  <si>
    <t>ms_input</t>
  </si>
  <si>
    <t>ms_label</t>
  </si>
  <si>
    <t>note</t>
  </si>
  <si>
    <t>wb_key (workbook helper, not in CSV)</t>
  </si>
  <si>
    <t>H2a</t>
  </si>
  <si>
    <t>psma_default</t>
  </si>
  <si>
    <t>full</t>
  </si>
  <si>
    <t>mu_avg</t>
  </si>
  <si>
    <t>Fisher_z</t>
  </si>
  <si>
    <t>RoBMA_3.6.1</t>
  </si>
  <si>
    <t>TRUE</t>
  </si>
  <si>
    <t>robma_mu_primary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</si>
  <si>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model-averaged posterior mean, 95% central CI; summary row 'mu'</t>
  </si>
  <si>
    <t>tau_avg</t>
  </si>
  <si>
    <t>FALSE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</si>
  <si>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model-averaged tau on the Fisher-z scale; no tanh (scale parameter)</t>
  </si>
  <si>
    <t>bf01_effect</t>
  </si>
  <si>
    <t>BF01</t>
  </si>
  <si>
    <t>bf01_level_primary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</si>
  <si>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(effect) = 0.142191; BF01 = 1/BF10 quantifies evidence FOR the null of the effect component; raw value, band labelling downstream [DEC-044]</t>
  </si>
  <si>
    <t>bf01_heterogeneity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</si>
  <si>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(heterogeneity) = Inf; BF01 = 1/BF10; SATURATED: posterior inclusion probability at the floating-point boundary — BF beyond double-precision resolution, raw pair Inf/0 preserved [#18]</t>
  </si>
  <si>
    <t>bf01_bias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</si>
  <si>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PSMA package defaults (primary [DEC-031b]); default priors echoed verbatim in run_meta; estimation set 2713/115/114 [DEC-042a]; k = 114 aggregates; inclusion BF10 (publication bias) = 94.7479; BF01 = 1/BF10</t>
  </si>
  <si>
    <t>coe_informed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</si>
  <si>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model-averaged posterior mean, 95% central CI; summary row 'mu'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</si>
  <si>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model-averaged tau on the Fisher-z scale; no tanh (scale parameter)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</si>
  <si>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(effect) = 0.419349; BF01 = 1/BF10 quantifies evidence FOR the null of the effect component; raw value, band labelling downstream [DEC-044]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</si>
  <si>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(heterogeneity) = Inf; BF01 = 1/BF10; SATURATED: posterior inclusion probability at the floating-point boundary — BF beyond double-precision resolution, raw pair Inf/0 preserved [#18]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</si>
  <si>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COE-informed effect prior Normal(-0.041, 0.021173); sigma = 0.083/3.92 = 0.0212 [DEC-031b provenance arithmetic]; COE companion = only admissible external prior source; estimation set 2713/115/114 [DEC-042a]; k = 114 aggregates; inclusion BF10 (publication bias) = 11.0832; BF01 = 1/BF10</t>
  </si>
  <si>
    <t>coe_wide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</si>
  <si>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model-averaged posterior mean, 95% central CI; summary row 'mu'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</si>
  <si>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model-averaged tau on the Fisher-z scale; no tanh (scale parameter)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</si>
  <si>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(effect) = 0.590459; BF01 = 1/BF10 quantifies evidence FOR the null of the effect component; raw value, band labelling downstream [DEC-044]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</si>
  <si>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(heterogeneity) = Inf; BF01 = 1/BF10; SATURATED: posterior inclusion probability at the floating-point boundary — BF beyond double-precision resolution, raw pair Inf/0 preserved [#18]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</si>
  <si>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wide effect prior Normal(-0.041, 0.042347) = 2 x COE sigma (~0.042) [DEC-045]; estimation set 2713/115/114 [DEC-042a]; k = 114 aggregates; inclusion BF10 (publication bias) = 16.8386; BF01 = 1/BF10</t>
  </si>
  <si>
    <t>H2b</t>
  </si>
  <si>
    <t>contrast_informed</t>
  </si>
  <si>
    <t>defined</t>
  </si>
  <si>
    <t>coef_period</t>
  </si>
  <si>
    <t>z_diff</t>
  </si>
  <si>
    <t>robma_contrast_primary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</si>
  <si>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post-minus-pre contrast on the Fisher-z scale; z-only, no tanh transform of differences; summary row 'period[post]'</t>
  </si>
  <si>
    <t>bf01_period</t>
  </si>
  <si>
    <t>bf01_moderation_primary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</si>
  <si>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inclusion BF10 (period moderator) = 0.96626; BF01 = 1/BF10 quantifies evidence FOR the null of Paris moderation; raw value, band labelling downstream [DEC-044]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</si>
  <si>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contrast prior Normal(0, 0.025) on the post-minus-pre period contrast (treatment contrast, ref = pre); sigma from the SECONDARY SESOI +-0.05 ~ +-2 sigma [DEC-045]; period domain 2705/113/112 [DEC-042b]; 113 cluster x period rows (pre 82 + post 31; both-period cluster n = 1, disclosed: Li et al (2022)); model-averaged tau on the Fisher-z scale</t>
  </si>
  <si>
    <t>contrast_wide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</si>
  <si>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post-minus-pre contrast on the Fisher-z scale; z-only, no tanh transform of differences; summary row 'period[post]'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</si>
  <si>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inclusion BF10 (period moderator) = 0.856933; BF01 = 1/BF10 quantifies evidence FOR the null of Paris moderation; raw value, band labelling downstream [DEC-044]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</si>
  <si>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wide contrast prior Normal(0, 0.050), treatment contrast (ref = pre) [DEC-045]; period domain 2705/113/112 [DEC-042b]; 113 cluster x period rows (pre 82 + post 31; both-period cluster n = 1, disclosed: Li et al (2022)); model-averaged tau on the Fisher-z scale</t>
  </si>
  <si>
    <t>factor_default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</si>
  <si>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package default factor prior and contrast (echoed verbatim in run_meta); coefficient row intentionally not reported for this set (package-internal parameterization; contrast estimate claims live on the treatment-contrast fits) [DEC-046]; period domain 2705/113/112 [DEC-042b]; 113 cluster x period rows (pre 82 + post 31; both-period cluster n = 1, disclosed: Li et al (2022)); inclusion BF10 (period moderator) = 0.117763; BF01 = 1/BF10 quantifies evidence FOR the null of Paris moderation; raw value, band labelling downstream [DEC-044]</t>
  </si>
  <si>
    <t>RoBMA 3.6.1 [DEC-046]; y/se input, transformation="none", prior_scale="none" (priors act on Fisher-z verbatim); effect_direction="negative" [P-T5-2]; seed 20260710; sequential chains, 3.x defaults incl. autofit=TRUE; one-effect-per-cluster aggregates: metafor aggregate.escalc, struct="CS", rho=0.6 (T1/A5 convention [DEC-031g/F65]); RoBMA.reg [DEC-045: only admissible moderation route]; package default factor prior and contrast (echoed verbatim in run_meta); coefficient row intentionally not reported for this set (package-internal parameterization; contrast estimate claims live on the treatment-contrast fits) [DEC-046]; period domain 2705/113/112 [DEC-042b]; 113 cluster x period rows (pre 82 + post 31; both-period cluster n = 1, disclosed: Li et al (2022)); model-averaged tau on the Fisher-z scale</t>
  </si>
  <si>
    <t>TH_b_design</t>
  </si>
  <si>
    <t>design</t>
  </si>
  <si>
    <t>subset_estimation</t>
  </si>
  <si>
    <t>count</t>
  </si>
  <si>
    <t>descriptive</t>
  </si>
  <si>
    <t>2713 ES / 115 studies / 114 clusters [DEC-042a]; H2a domain</t>
  </si>
  <si>
    <t>agg_k_full</t>
  </si>
  <si>
    <t>one-effect-per-cluster aggregates: metafor aggregate.escalc, struct="CS", rho=0.6 (T1/A5 convention [DEC-031g/F65]); H2a basis</t>
  </si>
  <si>
    <t>h2b_domain_es</t>
  </si>
  <si>
    <t>2705 ES / 113 studies / 112 clusters [DEC-042b]; H2b domain</t>
  </si>
  <si>
    <t>h2b_rows</t>
  </si>
  <si>
    <t>cluster x period aggregate rows [DEC-045]; per-cell D2 aggregation</t>
  </si>
  <si>
    <t>h2b_rows_pre</t>
  </si>
  <si>
    <t>pre-cell aggregates (= 113 - 31, arithmetic pin)</t>
  </si>
  <si>
    <t>h2b_rows_post</t>
  </si>
  <si>
    <t>post-cell aggregates [DEC-042b; v12 design constant]</t>
  </si>
  <si>
    <t>h2b_both_period_clusters</t>
  </si>
  <si>
    <t>single both-period cluster (disclosed): Li et al (2022) [DEC-045]</t>
  </si>
  <si>
    <t>Manuscript inputs — ms_input = TRUE rows (formula-derived from Results_Long)</t>
  </si>
  <si>
    <t>String assembly is arithmetic (sign &amp; INT &amp; "." &amp; padded fraction) — locale-neutral; deviation from template TEXT() disclosed (tab 4).</t>
  </si>
  <si>
    <t>Columns E–J are visible calc helpers (ABS-rounded value + INT part per number).</t>
  </si>
  <si>
    <t>v1</t>
  </si>
  <si>
    <t>v2</t>
  </si>
  <si>
    <t>v3</t>
  </si>
  <si>
    <t>a1</t>
  </si>
  <si>
    <t>i1</t>
  </si>
  <si>
    <t>a2</t>
  </si>
  <si>
    <t>i2</t>
  </si>
  <si>
    <t>a3</t>
  </si>
  <si>
    <t>i3</t>
  </si>
  <si>
    <t>paste-ready string (EN)</t>
  </si>
  <si>
    <t>Manuscript text blocks — TB-52…TB-56 (continue from TH-a/TH-c TB-36…TB-51)</t>
  </si>
  <si>
    <t>Numbers HARDCODED with this provenance: TH_b_results.csv @ run 2026-07-27, verifier O0–O14 PASS — regenerate on any re-run.</t>
  </si>
  <si>
    <t>Framing-neutral until the gate-resolution step; formula-live layer = Manuscript_Inputs.</t>
  </si>
  <si>
    <t>ID</t>
  </si>
  <si>
    <t>Target section</t>
  </si>
  <si>
    <t>Status</t>
  </si>
  <si>
    <t>Text (EN)</t>
  </si>
  <si>
    <t>Source pointers</t>
  </si>
  <si>
    <t>Note</t>
  </si>
  <si>
    <t>TB-52</t>
  </si>
  <si>
    <t>Methods · Meta-analytic procedures</t>
  </si>
  <si>
    <t>READY</t>
  </si>
  <si>
    <t>Robust Bayesian model-averaging (RoBMA 3.6.1; Bartoš et al., 2022) complements the frequentist battery. Pooled models average 36 specifications — presence and absence of the effect and of between-cluster heterogeneity crossed with nine publication-selection components (six selection weight functions, PET and PEESE, and none) — and moderation models extend the space to 72 by adding the Paris-period term. Estimation uses the one-effect-per-cluster aggregates (k = 114; period cells 82 + 31 with the single both-period cluster disclosed) on the Fisher-z scale with an expected-negative orientation, three effect-prior sets (package defaults; a companion-informed prior N(−0.041, 0.021) derived from our cost-of-equity meta-analysis; a doubled-width variant), and a period-contrast prior N(0, 0.025) anchored in the secondary SESOI band, again with package-default and doubled-width variants.</t>
  </si>
  <si>
    <t>[DEC-031b; DEC-045; DEC-046]; [R/07]; [xlsx Tab 2]</t>
  </si>
  <si>
    <t>TB-53</t>
  </si>
  <si>
    <t>Results · Bayesian model averaging (level)</t>
  </si>
  <si>
    <t>Model averaging leaves the pooled-effect component with limited support: BF01 = 7.03 under package defaults and 2.38 and 1.69 under the companion-informed and wide priors, with model-averaged estimates between −0.009 and +0.008 whose 95% intervals carry an exact-zero bound from the point-null spike. Heterogeneity support is saturated (BF01 = 0 at double precision in all sets), and the publication-selection block is strongly included throughout (BF10 = 94.7, 11.1, and 16.8).</t>
  </si>
  <si>
    <t>[xlsx Tab 6; Results_Long]; [TH_b_run_meta.txt BFPAIR]</t>
  </si>
  <si>
    <t>TB-54</t>
  </si>
  <si>
    <t>Results · Bayesian model averaging (moderation)</t>
  </si>
  <si>
    <t>For the Paris-period moderator, the pre-specified contrast prior yields BF01 = 1.03 with a model-averaged post-minus-pre contrast of +0.003 (95% CI −0.031 to +0.045), and the doubled-width prior yields BF01 = 1.17; the package-default factor prior yields BF01 = 8.49, which we report with disclosed convergence caveats concentrated in that fit.</t>
  </si>
  <si>
    <t>[xlsx Tab 7; Results_Long]</t>
  </si>
  <si>
    <t>coherent with E2 (+0.010; p_TOST = .022)</t>
  </si>
  <si>
    <t>TB-55</t>
  </si>
  <si>
    <t>Discussion · wording tier (gate)</t>
  </si>
  <si>
    <t>For the Paris-moderation claim we adopt the equivalence register: there is no detectable Paris-Agreement moderation, and the post-minus-pre contrast is statistically equivalent to zero within the secondary SESOI band (±0.05 on Fisher-z) — carried by the equivalence test (diff_z = +0.010, p = .582; p_TOST = .022; 90% CI [−0.022; +0.042]) and coherent with the model-averaged contrast (+0.003, 95% CI [−0.031; +0.045]). Under the pre-specified priors the Bayes factors remain anecdotal (BF01 = 1.03 / 1.17), with no support for moderation in any set (BF10 &lt; 1 throughout); the diffuse package default yields BF01 = 8.49 and is shown as a sensitivity bracket with disclosed caveats.</t>
  </si>
  <si>
    <t>[DEC-044]; [xlsx Tab 7]</t>
  </si>
  <si>
    <t>Register per DEC-047; single-home: voiced once in Discussion, one Results cross-reference.</t>
  </si>
  <si>
    <t>TB-56</t>
  </si>
  <si>
    <t>Limitations · prior sensitivity</t>
  </si>
  <si>
    <t>Bayes-factor magnitudes for both model components — level and moderation — scale with prior width in the expected direction, which is why the pre-specified informed priors anchor the reported values and the package-default factors appear only as sensitivity brackets.</t>
  </si>
  <si>
    <t>[xlsx Tabs 6–7]</t>
  </si>
  <si>
    <t>wording near-interpretive → DRAFT · Finalized 2026-08-04 (M5): 'both components'-&gt;'both model components — level and moderation'; 'reported range'-&gt;'reported values'; '+only'. Voiced ch5 §5.6.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</si>
</sst>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0.000"/>
    <numFmt numFmtId="167" formatCode="\+0.0000;\-0.0000"/>
  </numFmts>
  <fonts count="6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2" fillId="0" borderId="1" xfId="0" applyFont="1" applyBorder="1" applyAlignment="1">
      <alignment vertical="top" wrapText="1"/>
    </xf>
    <xf numFmtId="0" fontId="2" fillId="0" borderId="1" xfId="0" applyFont="1" applyBorder="1"/>
    <xf numFmtId="0" fontId="4" fillId="0" borderId="0" xfId="0" applyFont="1" applyAlignment="1">
      <alignment vertical="top" wrapText="1"/>
    </xf>
    <xf numFmtId="0" fontId="4" fillId="0" borderId="1" xfId="0" applyFont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166" fontId="2" fillId="0" borderId="1" xfId="0" applyNumberFormat="1" applyFont="1" applyBorder="1"/>
    <xf numFmtId="0" fontId="4" fillId="0" borderId="1" xfId="0" applyFont="1" applyBorder="1" applyAlignment="1">
      <alignment vertical="top" wrapText="1"/>
    </xf>
    <xf numFmtId="167" fontId="2" fillId="0" borderId="1" xfId="0" applyNumberFormat="1" applyFont="1" applyBorder="1"/>
    <xf numFmtId="0" fontId="4" fillId="3" borderId="1" xfId="0" applyFont="1" applyFill="1" applyBorder="1"/>
    <xf numFmtId="0" fontId="4" fillId="4" borderId="1" xfId="0" applyFont="1" applyFill="1" applyBorder="1"/>
    <xf numFmtId="0" fontId="4" fillId="5" borderId="1" xfId="0" applyFon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4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5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zoomScaleNormal="100" workbookViewId="0"/>
  </sheetViews>
  <sheetFormatPr baseColWidth="10" defaultColWidth="8.6640625" defaultRowHeight="14.4" x14ac:dyDescent="0.3"/>
  <cols>
    <col min="1" max="1" width="30" customWidth="1"/>
    <col min="2" max="2" width="95" customWidth="1"/>
  </cols>
  <sheetData>
    <row r="1" spans="1:2" ht="15" customHeight="1" x14ac:dyDescent="0.3">
      <c r="A1" s="1" t="s">
        <v>0</v>
      </c>
    </row>
    <row r="2" spans="1:2" ht="15" customHeight="1" x14ac:dyDescent="0.3">
      <c r="A2" s="2" t="s">
        <v>1</v>
      </c>
    </row>
    <row r="3" spans="1:2" ht="15" customHeight="1" x14ac:dyDescent="0.3">
      <c r="A3" s="2" t="s">
        <v>2</v>
      </c>
    </row>
    <row r="5" spans="1:2" ht="15" customHeight="1" x14ac:dyDescent="0.3">
      <c r="A5" s="3" t="s">
        <v>3</v>
      </c>
      <c r="B5" s="3" t="s">
        <v>4</v>
      </c>
    </row>
    <row r="6" spans="1:2" ht="15" customHeight="1" x14ac:dyDescent="0.3">
      <c r="A6" s="4" t="s">
        <v>5</v>
      </c>
      <c r="B6" s="5" t="s">
        <v>6</v>
      </c>
    </row>
    <row r="7" spans="1:2" ht="23.85" customHeight="1" x14ac:dyDescent="0.3">
      <c r="A7" s="4" t="s">
        <v>7</v>
      </c>
      <c r="B7" s="5" t="s">
        <v>8</v>
      </c>
    </row>
    <row r="8" spans="1:2" ht="35.1" customHeight="1" x14ac:dyDescent="0.3">
      <c r="A8" s="4" t="s">
        <v>9</v>
      </c>
      <c r="B8" s="5" t="s">
        <v>10</v>
      </c>
    </row>
    <row r="9" spans="1:2" ht="23.85" customHeight="1" x14ac:dyDescent="0.3">
      <c r="A9" s="4" t="s">
        <v>11</v>
      </c>
      <c r="B9" s="5" t="s">
        <v>12</v>
      </c>
    </row>
    <row r="10" spans="1:2" ht="23.85" customHeight="1" x14ac:dyDescent="0.3">
      <c r="A10" s="4" t="s">
        <v>13</v>
      </c>
      <c r="B10" s="5" t="s">
        <v>14</v>
      </c>
    </row>
    <row r="11" spans="1:2" ht="15" customHeight="1" x14ac:dyDescent="0.3">
      <c r="A11" s="4" t="s">
        <v>15</v>
      </c>
      <c r="B11" s="5" t="s">
        <v>16</v>
      </c>
    </row>
    <row r="12" spans="1:2" ht="23.85" customHeight="1" x14ac:dyDescent="0.3">
      <c r="A12" s="4" t="s">
        <v>17</v>
      </c>
      <c r="B12" s="5" t="s">
        <v>18</v>
      </c>
    </row>
    <row r="13" spans="1:2" ht="23.85" customHeight="1" x14ac:dyDescent="0.3">
      <c r="A13" s="4" t="s">
        <v>19</v>
      </c>
      <c r="B13" s="5" t="s">
        <v>20</v>
      </c>
    </row>
    <row r="14" spans="1:2" ht="23.85" customHeight="1" x14ac:dyDescent="0.3">
      <c r="A14" s="4" t="s">
        <v>21</v>
      </c>
      <c r="B14" s="5" t="s">
        <v>22</v>
      </c>
    </row>
    <row r="16" spans="1:2" ht="15" customHeight="1" x14ac:dyDescent="0.3">
      <c r="A16" s="3" t="s">
        <v>23</v>
      </c>
      <c r="B16" s="3"/>
    </row>
    <row r="17" spans="1:2" ht="15" customHeight="1" x14ac:dyDescent="0.3">
      <c r="A17" s="4" t="s">
        <v>24</v>
      </c>
      <c r="B17" s="6" t="s">
        <v>25</v>
      </c>
    </row>
    <row r="18" spans="1:2" ht="15" customHeight="1" x14ac:dyDescent="0.3">
      <c r="A18" s="4" t="s">
        <v>26</v>
      </c>
      <c r="B18" s="6" t="s">
        <v>27</v>
      </c>
    </row>
    <row r="19" spans="1:2" ht="15" customHeight="1" x14ac:dyDescent="0.3">
      <c r="A19" s="4" t="s">
        <v>28</v>
      </c>
      <c r="B19" s="6" t="s">
        <v>29</v>
      </c>
    </row>
    <row r="20" spans="1:2" ht="15" customHeight="1" x14ac:dyDescent="0.3">
      <c r="A20" s="4" t="s">
        <v>30</v>
      </c>
      <c r="B20" s="6" t="s">
        <v>31</v>
      </c>
    </row>
    <row r="21" spans="1:2" ht="15" customHeight="1" x14ac:dyDescent="0.3">
      <c r="A21" s="4" t="s">
        <v>32</v>
      </c>
      <c r="B21" s="6" t="s">
        <v>33</v>
      </c>
    </row>
    <row r="22" spans="1:2" ht="15" customHeight="1" x14ac:dyDescent="0.3">
      <c r="A22" s="4" t="s">
        <v>34</v>
      </c>
      <c r="B22" s="6" t="s">
        <v>35</v>
      </c>
    </row>
    <row r="23" spans="1:2" ht="15" customHeight="1" x14ac:dyDescent="0.3">
      <c r="A23" s="4" t="s">
        <v>36</v>
      </c>
      <c r="B23" s="6" t="s">
        <v>37</v>
      </c>
    </row>
    <row r="24" spans="1:2" ht="15" customHeight="1" x14ac:dyDescent="0.3">
      <c r="A24" s="4" t="s">
        <v>38</v>
      </c>
      <c r="B24" s="6" t="s">
        <v>39</v>
      </c>
    </row>
    <row r="25" spans="1:2" ht="15" customHeight="1" x14ac:dyDescent="0.3">
      <c r="A25" s="4" t="s">
        <v>40</v>
      </c>
      <c r="B25" s="6" t="s">
        <v>41</v>
      </c>
    </row>
    <row r="26" spans="1:2" ht="15" customHeight="1" x14ac:dyDescent="0.3">
      <c r="A26" s="4" t="s">
        <v>42</v>
      </c>
      <c r="B26" s="6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zoomScaleNormal="100" workbookViewId="0"/>
  </sheetViews>
  <sheetFormatPr baseColWidth="10" defaultColWidth="8.6640625" defaultRowHeight="14.4" x14ac:dyDescent="0.3"/>
  <cols>
    <col min="1" max="1" width="34" customWidth="1"/>
    <col min="2" max="2" width="100" customWidth="1"/>
  </cols>
  <sheetData>
    <row r="1" spans="1:2" ht="15" customHeight="1" x14ac:dyDescent="0.3">
      <c r="A1" s="1" t="s">
        <v>44</v>
      </c>
    </row>
    <row r="2" spans="1:2" ht="15" customHeight="1" x14ac:dyDescent="0.3">
      <c r="A2" s="2" t="s">
        <v>45</v>
      </c>
    </row>
    <row r="3" spans="1:2" ht="15" customHeight="1" x14ac:dyDescent="0.3">
      <c r="A3" s="2" t="s">
        <v>46</v>
      </c>
    </row>
    <row r="5" spans="1:2" ht="15" customHeight="1" x14ac:dyDescent="0.3">
      <c r="A5" s="3" t="s">
        <v>3</v>
      </c>
      <c r="B5" s="3" t="s">
        <v>47</v>
      </c>
    </row>
    <row r="6" spans="1:2" ht="35.1" customHeight="1" x14ac:dyDescent="0.3">
      <c r="A6" s="7" t="s">
        <v>48</v>
      </c>
      <c r="B6" s="5" t="s">
        <v>49</v>
      </c>
    </row>
    <row r="7" spans="1:2" ht="23.85" customHeight="1" x14ac:dyDescent="0.3">
      <c r="A7" s="7" t="s">
        <v>50</v>
      </c>
      <c r="B7" s="5" t="s">
        <v>51</v>
      </c>
    </row>
    <row r="8" spans="1:2" ht="23.85" customHeight="1" x14ac:dyDescent="0.3">
      <c r="A8" s="7" t="s">
        <v>52</v>
      </c>
      <c r="B8" s="5" t="s">
        <v>53</v>
      </c>
    </row>
    <row r="9" spans="1:2" ht="15" customHeight="1" x14ac:dyDescent="0.3">
      <c r="A9" s="7" t="s">
        <v>54</v>
      </c>
      <c r="B9" s="5" t="s">
        <v>55</v>
      </c>
    </row>
    <row r="10" spans="1:2" ht="23.85" customHeight="1" x14ac:dyDescent="0.3">
      <c r="A10" s="7" t="s">
        <v>56</v>
      </c>
      <c r="B10" s="5" t="s">
        <v>57</v>
      </c>
    </row>
    <row r="11" spans="1:2" ht="46.2" customHeight="1" x14ac:dyDescent="0.3">
      <c r="A11" s="7" t="s">
        <v>58</v>
      </c>
      <c r="B11" s="5" t="s">
        <v>59</v>
      </c>
    </row>
    <row r="12" spans="1:2" ht="23.85" customHeight="1" x14ac:dyDescent="0.3">
      <c r="A12" s="7" t="s">
        <v>60</v>
      </c>
      <c r="B12" s="5" t="s">
        <v>61</v>
      </c>
    </row>
    <row r="13" spans="1:2" ht="15" customHeight="1" x14ac:dyDescent="0.3">
      <c r="A13" s="7" t="s">
        <v>62</v>
      </c>
      <c r="B13" s="5" t="s">
        <v>63</v>
      </c>
    </row>
    <row r="14" spans="1:2" ht="23.85" customHeight="1" x14ac:dyDescent="0.3">
      <c r="A14" s="7" t="s">
        <v>64</v>
      </c>
      <c r="B14" s="5" t="s">
        <v>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/>
  </sheetViews>
  <sheetFormatPr baseColWidth="10" defaultColWidth="8.6640625" defaultRowHeight="14.4" x14ac:dyDescent="0.3"/>
  <cols>
    <col min="1" max="1" width="34" customWidth="1"/>
    <col min="2" max="2" width="100" customWidth="1"/>
  </cols>
  <sheetData>
    <row r="1" spans="1:2" ht="15" customHeight="1" x14ac:dyDescent="0.3">
      <c r="A1" s="1" t="s">
        <v>66</v>
      </c>
    </row>
    <row r="2" spans="1:2" ht="15" customHeight="1" x14ac:dyDescent="0.3">
      <c r="A2" s="2" t="s">
        <v>67</v>
      </c>
    </row>
    <row r="3" spans="1:2" ht="15" customHeight="1" x14ac:dyDescent="0.3">
      <c r="A3" s="2" t="s">
        <v>68</v>
      </c>
    </row>
    <row r="5" spans="1:2" ht="15" customHeight="1" x14ac:dyDescent="0.3">
      <c r="A5" s="3" t="s">
        <v>69</v>
      </c>
      <c r="B5" s="3" t="s">
        <v>70</v>
      </c>
    </row>
    <row r="6" spans="1:2" ht="35.1" customHeight="1" x14ac:dyDescent="0.3">
      <c r="A6" s="7" t="s">
        <v>71</v>
      </c>
      <c r="B6" s="5" t="s">
        <v>72</v>
      </c>
    </row>
    <row r="7" spans="1:2" ht="23.85" customHeight="1" x14ac:dyDescent="0.3">
      <c r="A7" s="7" t="s">
        <v>73</v>
      </c>
      <c r="B7" s="5" t="s">
        <v>74</v>
      </c>
    </row>
    <row r="8" spans="1:2" ht="35.1" customHeight="1" x14ac:dyDescent="0.3">
      <c r="A8" s="7" t="s">
        <v>75</v>
      </c>
      <c r="B8" s="5" t="s">
        <v>76</v>
      </c>
    </row>
    <row r="9" spans="1:2" ht="35.1" customHeight="1" x14ac:dyDescent="0.3">
      <c r="A9" s="7" t="s">
        <v>77</v>
      </c>
      <c r="B9" s="5" t="s">
        <v>78</v>
      </c>
    </row>
    <row r="10" spans="1:2" ht="15" customHeight="1" x14ac:dyDescent="0.3">
      <c r="A10" s="7" t="s">
        <v>79</v>
      </c>
      <c r="B10" s="5" t="s">
        <v>80</v>
      </c>
    </row>
    <row r="11" spans="1:2" ht="23.85" customHeight="1" x14ac:dyDescent="0.3">
      <c r="A11" s="7" t="s">
        <v>81</v>
      </c>
      <c r="B11" s="5" t="s">
        <v>82</v>
      </c>
    </row>
    <row r="12" spans="1:2" ht="23.85" customHeight="1" x14ac:dyDescent="0.3">
      <c r="A12" s="7" t="s">
        <v>83</v>
      </c>
      <c r="B12" s="5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zoomScaleNormal="100" workbookViewId="0"/>
  </sheetViews>
  <sheetFormatPr baseColWidth="10" defaultColWidth="8.6640625" defaultRowHeight="14.4" x14ac:dyDescent="0.3"/>
  <cols>
    <col min="1" max="1" width="40" customWidth="1"/>
    <col min="2" max="2" width="90" customWidth="1"/>
  </cols>
  <sheetData>
    <row r="1" spans="1:2" ht="15" customHeight="1" x14ac:dyDescent="0.3">
      <c r="A1" s="1" t="s">
        <v>85</v>
      </c>
    </row>
    <row r="2" spans="1:2" ht="15" customHeight="1" x14ac:dyDescent="0.3">
      <c r="A2" s="2" t="s">
        <v>86</v>
      </c>
    </row>
    <row r="3" spans="1:2" ht="15" customHeight="1" x14ac:dyDescent="0.3">
      <c r="A3" s="2" t="s">
        <v>87</v>
      </c>
    </row>
    <row r="5" spans="1:2" ht="15" customHeight="1" x14ac:dyDescent="0.3">
      <c r="A5" s="3" t="s">
        <v>88</v>
      </c>
      <c r="B5" s="3" t="s">
        <v>89</v>
      </c>
    </row>
    <row r="6" spans="1:2" ht="15" customHeight="1" x14ac:dyDescent="0.3">
      <c r="A6" s="7" t="s">
        <v>90</v>
      </c>
      <c r="B6" s="5" t="s">
        <v>91</v>
      </c>
    </row>
    <row r="7" spans="1:2" ht="15" customHeight="1" x14ac:dyDescent="0.3">
      <c r="A7" s="7" t="s">
        <v>92</v>
      </c>
      <c r="B7" s="5" t="s">
        <v>93</v>
      </c>
    </row>
    <row r="8" spans="1:2" ht="15" customHeight="1" x14ac:dyDescent="0.3">
      <c r="A8" s="7" t="s">
        <v>94</v>
      </c>
      <c r="B8" s="5" t="s">
        <v>95</v>
      </c>
    </row>
    <row r="9" spans="1:2" ht="15" customHeight="1" x14ac:dyDescent="0.3">
      <c r="A9" s="7" t="s">
        <v>96</v>
      </c>
      <c r="B9" s="5" t="s">
        <v>97</v>
      </c>
    </row>
    <row r="10" spans="1:2" ht="23.85" customHeight="1" x14ac:dyDescent="0.3">
      <c r="A10" s="7" t="s">
        <v>98</v>
      </c>
      <c r="B10" s="5" t="s">
        <v>99</v>
      </c>
    </row>
    <row r="11" spans="1:2" ht="15" customHeight="1" x14ac:dyDescent="0.3">
      <c r="A11" s="7" t="s">
        <v>100</v>
      </c>
      <c r="B11" s="5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9"/>
  <sheetViews>
    <sheetView zoomScaleNormal="100" workbookViewId="0"/>
  </sheetViews>
  <sheetFormatPr baseColWidth="10" defaultColWidth="8.6640625" defaultRowHeight="14.4" x14ac:dyDescent="0.3"/>
  <cols>
    <col min="1" max="1" width="36" customWidth="1"/>
    <col min="2" max="2" width="72" customWidth="1"/>
    <col min="3" max="3" width="26" customWidth="1"/>
  </cols>
  <sheetData>
    <row r="1" spans="1:3" ht="15" customHeight="1" x14ac:dyDescent="0.3">
      <c r="A1" s="1" t="s">
        <v>102</v>
      </c>
    </row>
    <row r="2" spans="1:3" ht="15" customHeight="1" x14ac:dyDescent="0.3">
      <c r="A2" s="2" t="s">
        <v>103</v>
      </c>
    </row>
    <row r="3" spans="1:3" ht="15" customHeight="1" x14ac:dyDescent="0.3">
      <c r="A3" s="2" t="s">
        <v>104</v>
      </c>
    </row>
    <row r="5" spans="1:3" ht="15" customHeight="1" x14ac:dyDescent="0.3">
      <c r="A5" s="3" t="s">
        <v>3</v>
      </c>
      <c r="B5" s="3" t="s">
        <v>4</v>
      </c>
      <c r="C5" s="3" t="s">
        <v>105</v>
      </c>
    </row>
    <row r="6" spans="1:3" ht="23.85" customHeight="1" x14ac:dyDescent="0.3">
      <c r="A6" s="7" t="s">
        <v>106</v>
      </c>
      <c r="B6" s="5" t="s">
        <v>107</v>
      </c>
      <c r="C6" s="5" t="s">
        <v>108</v>
      </c>
    </row>
    <row r="7" spans="1:3" ht="15" customHeight="1" x14ac:dyDescent="0.3">
      <c r="A7" s="7" t="s">
        <v>109</v>
      </c>
      <c r="B7" s="5" t="s">
        <v>110</v>
      </c>
      <c r="C7" s="5" t="s">
        <v>111</v>
      </c>
    </row>
    <row r="8" spans="1:3" ht="15" customHeight="1" x14ac:dyDescent="0.3">
      <c r="A8" s="7" t="s">
        <v>112</v>
      </c>
      <c r="B8" s="5" t="s">
        <v>113</v>
      </c>
      <c r="C8" s="5" t="s">
        <v>114</v>
      </c>
    </row>
    <row r="9" spans="1:3" ht="23.85" customHeight="1" x14ac:dyDescent="0.3">
      <c r="A9" s="7" t="s">
        <v>115</v>
      </c>
      <c r="B9" s="5" t="s">
        <v>116</v>
      </c>
      <c r="C9" s="5" t="s">
        <v>117</v>
      </c>
    </row>
    <row r="10" spans="1:3" ht="15" customHeight="1" x14ac:dyDescent="0.3">
      <c r="A10" s="7" t="s">
        <v>118</v>
      </c>
      <c r="B10" s="5" t="s">
        <v>119</v>
      </c>
      <c r="C10" s="5" t="s">
        <v>120</v>
      </c>
    </row>
    <row r="11" spans="1:3" ht="23.85" customHeight="1" x14ac:dyDescent="0.3">
      <c r="A11" s="7" t="s">
        <v>121</v>
      </c>
      <c r="B11" s="5" t="s">
        <v>122</v>
      </c>
      <c r="C11" s="5" t="s">
        <v>123</v>
      </c>
    </row>
    <row r="12" spans="1:3" ht="15" customHeight="1" x14ac:dyDescent="0.3">
      <c r="A12" s="7" t="s">
        <v>124</v>
      </c>
      <c r="B12" s="5" t="s">
        <v>125</v>
      </c>
      <c r="C12" s="5" t="s">
        <v>108</v>
      </c>
    </row>
    <row r="13" spans="1:3" ht="23.85" customHeight="1" x14ac:dyDescent="0.3">
      <c r="A13" s="7" t="s">
        <v>126</v>
      </c>
      <c r="B13" s="5" t="s">
        <v>127</v>
      </c>
      <c r="C13" s="5" t="s">
        <v>128</v>
      </c>
    </row>
    <row r="14" spans="1:3" ht="23.85" customHeight="1" x14ac:dyDescent="0.3">
      <c r="A14" s="7" t="s">
        <v>129</v>
      </c>
      <c r="B14" s="5" t="s">
        <v>130</v>
      </c>
      <c r="C14" s="5" t="s">
        <v>131</v>
      </c>
    </row>
    <row r="15" spans="1:3" ht="35.1" customHeight="1" x14ac:dyDescent="0.3">
      <c r="A15" s="7" t="s">
        <v>132</v>
      </c>
      <c r="B15" s="5" t="s">
        <v>133</v>
      </c>
      <c r="C15" s="5" t="s">
        <v>134</v>
      </c>
    </row>
    <row r="16" spans="1:3" ht="23.85" customHeight="1" x14ac:dyDescent="0.3">
      <c r="A16" s="7" t="s">
        <v>135</v>
      </c>
      <c r="B16" s="5" t="s">
        <v>136</v>
      </c>
      <c r="C16" s="5" t="s">
        <v>137</v>
      </c>
    </row>
    <row r="17" spans="1:3" ht="35.1" customHeight="1" x14ac:dyDescent="0.3">
      <c r="A17" s="7" t="s">
        <v>138</v>
      </c>
      <c r="B17" s="5" t="s">
        <v>139</v>
      </c>
      <c r="C17" s="5" t="s">
        <v>140</v>
      </c>
    </row>
    <row r="18" spans="1:3" ht="15" customHeight="1" x14ac:dyDescent="0.3">
      <c r="A18" s="7" t="s">
        <v>141</v>
      </c>
      <c r="B18" s="5" t="s">
        <v>142</v>
      </c>
      <c r="C18" s="5" t="s">
        <v>143</v>
      </c>
    </row>
    <row r="19" spans="1:3" ht="23.85" customHeight="1" x14ac:dyDescent="0.3">
      <c r="A19" s="7" t="s">
        <v>144</v>
      </c>
      <c r="B19" s="5" t="s">
        <v>145</v>
      </c>
      <c r="C19" s="5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5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2" width="8" customWidth="1"/>
    <col min="3" max="8" width="11" customWidth="1"/>
    <col min="9" max="9" width="13" customWidth="1"/>
    <col min="10" max="10" width="26" customWidth="1"/>
    <col min="11" max="11" width="13" customWidth="1"/>
    <col min="12" max="12" width="30" customWidth="1"/>
    <col min="13" max="13" width="13" customWidth="1"/>
    <col min="14" max="14" width="11" customWidth="1"/>
    <col min="15" max="15" width="26" customWidth="1"/>
  </cols>
  <sheetData>
    <row r="1" spans="1:15" ht="15" customHeight="1" x14ac:dyDescent="0.3">
      <c r="A1" s="1" t="s">
        <v>147</v>
      </c>
    </row>
    <row r="2" spans="1:15" ht="15" customHeight="1" x14ac:dyDescent="0.3">
      <c r="A2" s="2" t="s">
        <v>148</v>
      </c>
    </row>
    <row r="3" spans="1:15" ht="15" customHeight="1" x14ac:dyDescent="0.3">
      <c r="A3" s="2" t="s">
        <v>149</v>
      </c>
    </row>
    <row r="5" spans="1:15" ht="15" customHeight="1" x14ac:dyDescent="0.3">
      <c r="A5" s="3" t="s">
        <v>150</v>
      </c>
      <c r="B5" s="3" t="s">
        <v>151</v>
      </c>
      <c r="C5" s="3" t="s">
        <v>152</v>
      </c>
      <c r="D5" s="3" t="s">
        <v>153</v>
      </c>
      <c r="E5" s="3" t="s">
        <v>154</v>
      </c>
      <c r="F5" s="3" t="s">
        <v>155</v>
      </c>
      <c r="G5" s="3" t="s">
        <v>156</v>
      </c>
      <c r="H5" s="3" t="s">
        <v>157</v>
      </c>
      <c r="I5" s="3" t="s">
        <v>158</v>
      </c>
      <c r="J5" s="3" t="s">
        <v>159</v>
      </c>
      <c r="K5" s="3" t="s">
        <v>160</v>
      </c>
      <c r="L5" s="3" t="s">
        <v>161</v>
      </c>
      <c r="M5" s="3" t="s">
        <v>162</v>
      </c>
      <c r="N5" s="3" t="s">
        <v>163</v>
      </c>
      <c r="O5" s="3" t="s">
        <v>164</v>
      </c>
    </row>
    <row r="6" spans="1:15" ht="15" customHeight="1" x14ac:dyDescent="0.3">
      <c r="A6" s="8" t="s">
        <v>165</v>
      </c>
      <c r="B6" s="6">
        <v>114</v>
      </c>
      <c r="C6" s="9">
        <f>INDEX(Results_Long!K:K,MATCH("H2a|psma_default|full|mu_avg",Results_Long!AK:AK,0))</f>
        <v>8.1709401868266408E-3</v>
      </c>
      <c r="D6" s="9">
        <f>INDEX(Results_Long!P:P,MATCH("H2a|psma_default|full|mu_avg",Results_Long!AK:AK,0))</f>
        <v>0</v>
      </c>
      <c r="E6" s="9">
        <f>INDEX(Results_Long!Q:Q,MATCH("H2a|psma_default|full|mu_avg",Results_Long!AK:AK,0))</f>
        <v>0.110305265131698</v>
      </c>
      <c r="F6" s="9">
        <f>INDEX(Results_Long!T:T,MATCH("H2a|psma_default|full|mu_avg",Results_Long!AK:AK,0))</f>
        <v>8.1707583494147404E-3</v>
      </c>
      <c r="G6" s="9">
        <f>INDEX(Results_Long!U:U,MATCH("H2a|psma_default|full|mu_avg",Results_Long!AK:AK,0))</f>
        <v>0</v>
      </c>
      <c r="H6" s="9">
        <f>INDEX(Results_Long!V:V,MATCH("H2a|psma_default|full|mu_avg",Results_Long!AK:AK,0))</f>
        <v>0.10986006113503601</v>
      </c>
      <c r="I6" s="10">
        <f>INDEX(Results_Long!AG:AG,MATCH("H2a|psma_default|full|bf01_effect",Results_Long!AK:AK,0))</f>
        <v>7.0327784580019701</v>
      </c>
      <c r="J6" s="6" t="str">
        <f>IF(I6=0,"saturated",IF(I6&lt;1,"favours inclusion (read BF10)",IF(I6&lt;3,"anecdotal",IF(I6&lt;10,"moderate",IF(I6&lt;30,"strong","very strong")))))</f>
        <v>moderate</v>
      </c>
      <c r="K6" s="9">
        <f>INDEX(Results_Long!AG:AG,MATCH("H2a|psma_default|full|bf01_bias",Results_Long!AK:AK,0))</f>
        <v>1.05543265484023E-2</v>
      </c>
      <c r="L6" s="6" t="str">
        <f>IF(K6=0,"saturated","BF10 = "&amp;ROUND(1/K6,1)&amp;" — favours inclusion")</f>
        <v>BF10 = 94,7 — favours inclusion</v>
      </c>
      <c r="M6" s="11">
        <f>I6/(1+I6)</f>
        <v>0.87551007347851895</v>
      </c>
      <c r="N6" s="12">
        <f>INDEX(Results_Long!K:K,MATCH("H2a|psma_default|full|tau_avg",Results_Long!AK:AK,0))</f>
        <v>0.26616287315156401</v>
      </c>
      <c r="O6" s="6" t="str">
        <f>"["&amp;ROUND(INDEX(Results_Long!P:P,MATCH("H2a|psma_default|full|tau_avg",Results_Long!AK:AK,0)),3)&amp;"; "&amp;ROUND(INDEX(Results_Long!Q:Q,MATCH("H2a|psma_default|full|tau_avg",Results_Long!AK:AK,0)),3)&amp;"]"</f>
        <v>[0,234; 0,306]</v>
      </c>
    </row>
    <row r="7" spans="1:15" ht="15" customHeight="1" x14ac:dyDescent="0.3">
      <c r="A7" s="6" t="s">
        <v>166</v>
      </c>
      <c r="B7" s="6">
        <v>114</v>
      </c>
      <c r="C7" s="9">
        <f>INDEX(Results_Long!K:K,MATCH("H2a|coe_informed|full|mu_avg",Results_Long!AK:AK,0))</f>
        <v>-9.4975801833717902E-3</v>
      </c>
      <c r="D7" s="9">
        <f>INDEX(Results_Long!P:P,MATCH("H2a|coe_informed|full|mu_avg",Results_Long!AK:AK,0))</f>
        <v>-6.2434077793551201E-2</v>
      </c>
      <c r="E7" s="9">
        <f>INDEX(Results_Long!Q:Q,MATCH("H2a|coe_informed|full|mu_avg",Results_Long!AK:AK,0))</f>
        <v>0</v>
      </c>
      <c r="F7" s="9">
        <f>INDEX(Results_Long!T:T,MATCH("H2a|coe_informed|full|mu_avg",Results_Long!AK:AK,0))</f>
        <v>-9.4972946203415193E-3</v>
      </c>
      <c r="G7" s="9">
        <f>INDEX(Results_Long!U:U,MATCH("H2a|coe_informed|full|mu_avg",Results_Long!AK:AK,0))</f>
        <v>-6.2353081110464101E-2</v>
      </c>
      <c r="H7" s="9">
        <f>INDEX(Results_Long!V:V,MATCH("H2a|coe_informed|full|mu_avg",Results_Long!AK:AK,0))</f>
        <v>0</v>
      </c>
      <c r="I7" s="10">
        <f>INDEX(Results_Long!AG:AG,MATCH("H2a|coe_informed|full|bf01_effect",Results_Long!AK:AK,0))</f>
        <v>2.3846461885977499</v>
      </c>
      <c r="J7" s="6" t="str">
        <f>IF(I7=0,"saturated",IF(I7&lt;1,"favours inclusion (read BF10)",IF(I7&lt;3,"anecdotal",IF(I7&lt;10,"moderate",IF(I7&lt;30,"strong","very strong")))))</f>
        <v>anecdotal</v>
      </c>
      <c r="K7" s="9">
        <f>INDEX(Results_Long!AG:AG,MATCH("H2a|coe_informed|full|bf01_bias",Results_Long!AK:AK,0))</f>
        <v>9.0226363231552906E-2</v>
      </c>
      <c r="L7" s="6" t="str">
        <f>IF(K7=0,"saturated","BF10 = "&amp;ROUND(1/K7,1)&amp;" — favours inclusion")</f>
        <v>BF10 = 11,1 — favours inclusion</v>
      </c>
      <c r="M7" s="11">
        <f>I7/(1+I7)</f>
        <v>0.70454814350497963</v>
      </c>
      <c r="N7" s="12">
        <f>INDEX(Results_Long!K:K,MATCH("H2a|coe_informed|full|tau_avg",Results_Long!AK:AK,0))</f>
        <v>0.26404120867388697</v>
      </c>
      <c r="O7" s="6" t="str">
        <f>"["&amp;ROUND(INDEX(Results_Long!P:P,MATCH("H2a|coe_informed|full|tau_avg",Results_Long!AK:AK,0)),3)&amp;"; "&amp;ROUND(INDEX(Results_Long!Q:Q,MATCH("H2a|coe_informed|full|tau_avg",Results_Long!AK:AK,0)),3)&amp;"]"</f>
        <v>[0,232; 0,302]</v>
      </c>
    </row>
    <row r="8" spans="1:15" ht="15" customHeight="1" x14ac:dyDescent="0.3">
      <c r="A8" s="6" t="s">
        <v>167</v>
      </c>
      <c r="B8" s="6">
        <v>114</v>
      </c>
      <c r="C8" s="9">
        <f>INDEX(Results_Long!K:K,MATCH("H2a|coe_wide|full|mu_avg",Results_Long!AK:AK,0))</f>
        <v>-1.03620354446015E-3</v>
      </c>
      <c r="D8" s="9">
        <f>INDEX(Results_Long!P:P,MATCH("H2a|coe_wide|full|mu_avg",Results_Long!AK:AK,0))</f>
        <v>-6.55787187733851E-2</v>
      </c>
      <c r="E8" s="9">
        <f>INDEX(Results_Long!Q:Q,MATCH("H2a|coe_wide|full|mu_avg",Results_Long!AK:AK,0))</f>
        <v>5.16492515353007E-2</v>
      </c>
      <c r="F8" s="9">
        <f>INDEX(Results_Long!T:T,MATCH("H2a|coe_wide|full|mu_avg",Results_Long!AK:AK,0))</f>
        <v>-1.0362031735969099E-3</v>
      </c>
      <c r="G8" s="9">
        <f>INDEX(Results_Long!U:U,MATCH("H2a|coe_wide|full|mu_avg",Results_Long!AK:AK,0))</f>
        <v>-6.5484871620923604E-2</v>
      </c>
      <c r="H8" s="9">
        <f>INDEX(Results_Long!V:V,MATCH("H2a|coe_wide|full|mu_avg",Results_Long!AK:AK,0))</f>
        <v>5.1603373197155501E-2</v>
      </c>
      <c r="I8" s="10">
        <f>INDEX(Results_Long!AG:AG,MATCH("H2a|coe_wide|full|bf01_effect",Results_Long!AK:AK,0))</f>
        <v>1.6935976596733</v>
      </c>
      <c r="J8" s="6" t="str">
        <f>IF(I8=0,"saturated",IF(I8&lt;1,"favours inclusion (read BF10)",IF(I8&lt;3,"anecdotal",IF(I8&lt;10,"moderate",IF(I8&lt;30,"strong","very strong")))))</f>
        <v>anecdotal</v>
      </c>
      <c r="K8" s="9">
        <f>INDEX(Results_Long!AG:AG,MATCH("H2a|coe_wide|full|bf01_bias",Results_Long!AK:AK,0))</f>
        <v>5.93874723313405E-2</v>
      </c>
      <c r="L8" s="6" t="str">
        <f>IF(K8=0,"saturated","BF10 = "&amp;ROUND(1/K8,1)&amp;" — favours inclusion")</f>
        <v>BF10 = 16,8 — favours inclusion</v>
      </c>
      <c r="M8" s="11">
        <f>I8/(1+I8)</f>
        <v>0.62874930618951919</v>
      </c>
      <c r="N8" s="12">
        <f>INDEX(Results_Long!K:K,MATCH("H2a|coe_wide|full|tau_avg",Results_Long!AK:AK,0))</f>
        <v>0.265254386808501</v>
      </c>
      <c r="O8" s="6" t="str">
        <f>"["&amp;ROUND(INDEX(Results_Long!P:P,MATCH("H2a|coe_wide|full|tau_avg",Results_Long!AK:AK,0)),3)&amp;"; "&amp;ROUND(INDEX(Results_Long!Q:Q,MATCH("H2a|coe_wide|full|tau_avg",Results_Long!AK:AK,0)),3)&amp;"]"</f>
        <v>[0,232; 0,304]</v>
      </c>
    </row>
    <row r="10" spans="1:15" ht="15" customHeight="1" x14ac:dyDescent="0.3">
      <c r="A10" s="23" t="s">
        <v>168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2" spans="1:15" ht="15" customHeight="1" x14ac:dyDescent="0.3">
      <c r="A12" s="4" t="s">
        <v>169</v>
      </c>
    </row>
    <row r="13" spans="1:15" ht="15" customHeight="1" x14ac:dyDescent="0.3">
      <c r="A13" s="18" t="s">
        <v>170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</row>
    <row r="14" spans="1:15" ht="15" customHeight="1" x14ac:dyDescent="0.3">
      <c r="A14" s="18" t="s">
        <v>171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</row>
    <row r="15" spans="1:15" ht="15" customHeight="1" x14ac:dyDescent="0.3">
      <c r="A15" s="18" t="s">
        <v>172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</row>
    <row r="16" spans="1:15" ht="15" customHeight="1" x14ac:dyDescent="0.3">
      <c r="A16" s="18" t="s">
        <v>173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</row>
    <row r="18" spans="1:15" ht="15" customHeight="1" x14ac:dyDescent="0.3">
      <c r="A18" s="3" t="s">
        <v>174</v>
      </c>
      <c r="B18" s="3" t="s">
        <v>175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ht="46.2" customHeight="1" x14ac:dyDescent="0.3">
      <c r="A19" s="7" t="s">
        <v>176</v>
      </c>
      <c r="B19" s="21" t="s">
        <v>177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spans="1:15" ht="46.2" customHeight="1" x14ac:dyDescent="0.3">
      <c r="A20" s="7" t="s">
        <v>178</v>
      </c>
      <c r="B20" s="21" t="s">
        <v>179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</row>
    <row r="21" spans="1:15" ht="35.1" customHeight="1" x14ac:dyDescent="0.3">
      <c r="A21" s="7" t="s">
        <v>180</v>
      </c>
      <c r="B21" s="21" t="s">
        <v>181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</row>
    <row r="22" spans="1:15" ht="35.1" customHeight="1" x14ac:dyDescent="0.3">
      <c r="A22" s="7" t="s">
        <v>182</v>
      </c>
      <c r="B22" s="21" t="s">
        <v>183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</row>
    <row r="23" spans="1:15" ht="23.85" customHeight="1" x14ac:dyDescent="0.3">
      <c r="A23" s="7" t="s">
        <v>184</v>
      </c>
      <c r="B23" s="21" t="s">
        <v>185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</row>
    <row r="25" spans="1:15" ht="23.85" customHeight="1" x14ac:dyDescent="0.3">
      <c r="A25" s="20" t="s">
        <v>186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</row>
  </sheetData>
  <mergeCells count="11">
    <mergeCell ref="A15:O15"/>
    <mergeCell ref="A25:O25"/>
    <mergeCell ref="B21:O21"/>
    <mergeCell ref="A16:O16"/>
    <mergeCell ref="A10:O10"/>
    <mergeCell ref="A13:O13"/>
    <mergeCell ref="A14:O14"/>
    <mergeCell ref="B19:O19"/>
    <mergeCell ref="B20:O20"/>
    <mergeCell ref="B23:O23"/>
    <mergeCell ref="B22:O2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4"/>
  <sheetViews>
    <sheetView zoomScaleNormal="100" workbookViewId="0"/>
  </sheetViews>
  <sheetFormatPr baseColWidth="10" defaultColWidth="8.6640625" defaultRowHeight="14.4" x14ac:dyDescent="0.3"/>
  <cols>
    <col min="1" max="1" width="26" customWidth="1"/>
    <col min="2" max="2" width="9" customWidth="1"/>
    <col min="3" max="5" width="12" customWidth="1"/>
    <col min="6" max="6" width="13" customWidth="1"/>
    <col min="7" max="7" width="30" customWidth="1"/>
    <col min="8" max="8" width="13" customWidth="1"/>
    <col min="9" max="9" width="11" customWidth="1"/>
    <col min="10" max="10" width="26" customWidth="1"/>
    <col min="11" max="11" width="44" customWidth="1"/>
  </cols>
  <sheetData>
    <row r="1" spans="1:11" ht="15" customHeight="1" x14ac:dyDescent="0.3">
      <c r="A1" s="1" t="s">
        <v>187</v>
      </c>
    </row>
    <row r="2" spans="1:11" ht="15" customHeight="1" x14ac:dyDescent="0.3">
      <c r="A2" s="2" t="s">
        <v>188</v>
      </c>
    </row>
    <row r="3" spans="1:11" ht="15" customHeight="1" x14ac:dyDescent="0.3">
      <c r="A3" s="2" t="s">
        <v>189</v>
      </c>
    </row>
    <row r="5" spans="1:11" ht="15" customHeight="1" x14ac:dyDescent="0.3">
      <c r="A5" s="3" t="s">
        <v>150</v>
      </c>
      <c r="B5" s="3" t="s">
        <v>190</v>
      </c>
      <c r="C5" s="3" t="s">
        <v>191</v>
      </c>
      <c r="D5" s="3" t="s">
        <v>153</v>
      </c>
      <c r="E5" s="3" t="s">
        <v>154</v>
      </c>
      <c r="F5" s="3" t="s">
        <v>192</v>
      </c>
      <c r="G5" s="3" t="s">
        <v>193</v>
      </c>
      <c r="H5" s="3" t="s">
        <v>162</v>
      </c>
      <c r="I5" s="3" t="s">
        <v>163</v>
      </c>
      <c r="J5" s="3" t="s">
        <v>164</v>
      </c>
      <c r="K5" s="3" t="s">
        <v>194</v>
      </c>
    </row>
    <row r="6" spans="1:11" ht="15" customHeight="1" x14ac:dyDescent="0.3">
      <c r="A6" s="13" t="s">
        <v>195</v>
      </c>
      <c r="B6" s="6">
        <v>113</v>
      </c>
      <c r="C6" s="14">
        <f>INDEX(Results_Long!K:K,MATCH("H2b|contrast_informed|defined|coef_period",Results_Long!AK:AK,0))</f>
        <v>3.3709677480448699E-3</v>
      </c>
      <c r="D6" s="9">
        <f>INDEX(Results_Long!P:P,MATCH("H2b|contrast_informed|defined|coef_period",Results_Long!AK:AK,0))</f>
        <v>-3.1265933488224602E-2</v>
      </c>
      <c r="E6" s="9">
        <f>INDEX(Results_Long!Q:Q,MATCH("H2b|contrast_informed|defined|coef_period",Results_Long!AK:AK,0))</f>
        <v>4.4514466721296497E-2</v>
      </c>
      <c r="F6" s="10">
        <f>INDEX(Results_Long!AG:AG,MATCH("H2b|contrast_informed|defined|bf01_period",Results_Long!AK:AK,0))</f>
        <v>1.0349179417433501</v>
      </c>
      <c r="G6" s="6" t="str">
        <f>IF(F6=0,"saturated",IF(F6&lt;1,"favours inclusion (read BF10)",IF(F6&lt;3,"anecdotal",IF(F6&lt;10,"moderate",IF(F6&lt;30,"strong","very strong")))))</f>
        <v>anecdotal</v>
      </c>
      <c r="H6" s="11">
        <f>F6/(1+F6)</f>
        <v>0.50857969282865412</v>
      </c>
      <c r="I6" s="12">
        <f>INDEX(Results_Long!K:K,MATCH("H2b|contrast_informed|defined|tau_avg",Results_Long!AK:AK,0))</f>
        <v>0.26709220218150198</v>
      </c>
      <c r="J6" s="6" t="str">
        <f>"["&amp;ROUND(INDEX(Results_Long!P:P,MATCH("H2b|contrast_informed|defined|tau_avg",Results_Long!AK:AK,0)),3)&amp;"; "&amp;ROUND(INDEX(Results_Long!Q:Q,MATCH("H2b|contrast_informed|defined|tau_avg",Results_Long!AK:AK,0)),3)&amp;"]"</f>
        <v>[0,235; 0,306]</v>
      </c>
      <c r="K6" s="5"/>
    </row>
    <row r="7" spans="1:11" ht="15" customHeight="1" x14ac:dyDescent="0.3">
      <c r="A7" s="5" t="s">
        <v>196</v>
      </c>
      <c r="B7" s="6">
        <v>113</v>
      </c>
      <c r="C7" s="14">
        <f>INDEX(Results_Long!K:K,MATCH("H2b|contrast_wide|defined|coef_period",Results_Long!AK:AK,0))</f>
        <v>8.6887496782379805E-3</v>
      </c>
      <c r="D7" s="9">
        <f>INDEX(Results_Long!P:P,MATCH("H2b|contrast_wide|defined|coef_period",Results_Long!AK:AK,0))</f>
        <v>-4.4825405869926803E-2</v>
      </c>
      <c r="E7" s="9">
        <f>INDEX(Results_Long!Q:Q,MATCH("H2b|contrast_wide|defined|coef_period",Results_Long!AK:AK,0))</f>
        <v>7.94604629209026E-2</v>
      </c>
      <c r="F7" s="10">
        <f>INDEX(Results_Long!AG:AG,MATCH("H2b|contrast_wide|defined|bf01_period",Results_Long!AK:AK,0))</f>
        <v>1.1669526218880599</v>
      </c>
      <c r="G7" s="6" t="str">
        <f>IF(F7=0,"saturated",IF(F7&lt;1,"favours inclusion (read BF10)",IF(F7&lt;3,"anecdotal",IF(F7&lt;10,"moderate",IF(F7&lt;30,"strong","very strong")))))</f>
        <v>anecdotal</v>
      </c>
      <c r="H7" s="11">
        <f>F7/(1+F7)</f>
        <v>0.53852244396155613</v>
      </c>
      <c r="I7" s="12">
        <f>INDEX(Results_Long!K:K,MATCH("H2b|contrast_wide|defined|tau_avg",Results_Long!AK:AK,0))</f>
        <v>0.26726930579858699</v>
      </c>
      <c r="J7" s="6" t="str">
        <f>"["&amp;ROUND(INDEX(Results_Long!P:P,MATCH("H2b|contrast_wide|defined|tau_avg",Results_Long!AK:AK,0)),3)&amp;"; "&amp;ROUND(INDEX(Results_Long!Q:Q,MATCH("H2b|contrast_wide|defined|tau_avg",Results_Long!AK:AK,0)),3)&amp;"]"</f>
        <v>[0,235; 0,307]</v>
      </c>
      <c r="K7" s="5"/>
    </row>
    <row r="8" spans="1:11" ht="57.45" customHeight="1" x14ac:dyDescent="0.3">
      <c r="A8" s="5" t="s">
        <v>197</v>
      </c>
      <c r="B8" s="6">
        <v>113</v>
      </c>
      <c r="C8" s="6" t="s">
        <v>198</v>
      </c>
      <c r="F8" s="10">
        <f>INDEX(Results_Long!AG:AG,MATCH("H2b|factor_default|defined|bf01_period",Results_Long!AK:AK,0))</f>
        <v>8.4916592136349092</v>
      </c>
      <c r="G8" s="6" t="str">
        <f>IF(F8=0,"saturated",IF(F8&lt;1,"favours inclusion (read BF10)",IF(F8&lt;3,"anecdotal",IF(F8&lt;10,"moderate",IF(F8&lt;30,"strong","very strong")))))</f>
        <v>moderate</v>
      </c>
      <c r="H8" s="11">
        <f>F8/(1+F8)</f>
        <v>0.89464434220694677</v>
      </c>
      <c r="I8" s="12">
        <f>INDEX(Results_Long!K:K,MATCH("H2b|factor_default|defined|tau_avg",Results_Long!AK:AK,0))</f>
        <v>0.26728219388115898</v>
      </c>
      <c r="J8" s="6" t="str">
        <f>"["&amp;ROUND(INDEX(Results_Long!P:P,MATCH("H2b|factor_default|defined|tau_avg",Results_Long!AK:AK,0)),3)&amp;"; "&amp;ROUND(INDEX(Results_Long!Q:Q,MATCH("H2b|factor_default|defined|tau_avg",Results_Long!AK:AK,0)),3)&amp;"]"</f>
        <v>[0,235; 0,306]</v>
      </c>
      <c r="K8" s="5" t="s">
        <v>199</v>
      </c>
    </row>
    <row r="11" spans="1:11" ht="15" customHeight="1" x14ac:dyDescent="0.3">
      <c r="A11" s="4" t="s">
        <v>169</v>
      </c>
    </row>
    <row r="12" spans="1:11" ht="15" customHeight="1" x14ac:dyDescent="0.3">
      <c r="A12" s="18" t="s">
        <v>200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</row>
    <row r="13" spans="1:11" ht="15" customHeight="1" x14ac:dyDescent="0.3">
      <c r="A13" s="18" t="s">
        <v>201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</row>
    <row r="14" spans="1:11" ht="15" customHeight="1" x14ac:dyDescent="0.3">
      <c r="A14" s="18" t="s">
        <v>202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</row>
    <row r="15" spans="1:11" ht="15" customHeight="1" x14ac:dyDescent="0.3">
      <c r="A15" s="18" t="s">
        <v>203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</row>
    <row r="17" spans="1:11" ht="15" customHeight="1" x14ac:dyDescent="0.3">
      <c r="A17" s="3" t="s">
        <v>174</v>
      </c>
      <c r="B17" s="3" t="s">
        <v>175</v>
      </c>
      <c r="C17" s="3"/>
      <c r="D17" s="3"/>
      <c r="E17" s="3"/>
      <c r="F17" s="3"/>
      <c r="G17" s="3"/>
      <c r="H17" s="3"/>
      <c r="I17" s="3"/>
      <c r="J17" s="3"/>
      <c r="K17" s="3"/>
    </row>
    <row r="18" spans="1:11" ht="23.85" customHeight="1" x14ac:dyDescent="0.3">
      <c r="A18" s="7" t="s">
        <v>204</v>
      </c>
      <c r="B18" s="21" t="s">
        <v>205</v>
      </c>
      <c r="C18" s="22"/>
      <c r="D18" s="22"/>
      <c r="E18" s="22"/>
      <c r="F18" s="22"/>
      <c r="G18" s="22"/>
      <c r="H18" s="22"/>
      <c r="I18" s="22"/>
      <c r="J18" s="22"/>
      <c r="K18" s="22"/>
    </row>
    <row r="19" spans="1:11" ht="35.1" customHeight="1" x14ac:dyDescent="0.3">
      <c r="A19" s="7" t="s">
        <v>206</v>
      </c>
      <c r="B19" s="21" t="s">
        <v>207</v>
      </c>
      <c r="C19" s="22"/>
      <c r="D19" s="22"/>
      <c r="E19" s="22"/>
      <c r="F19" s="22"/>
      <c r="G19" s="22"/>
      <c r="H19" s="22"/>
      <c r="I19" s="22"/>
      <c r="J19" s="22"/>
      <c r="K19" s="22"/>
    </row>
    <row r="20" spans="1:11" ht="35.1" customHeight="1" x14ac:dyDescent="0.3">
      <c r="A20" s="7" t="s">
        <v>208</v>
      </c>
      <c r="B20" s="21" t="s">
        <v>209</v>
      </c>
      <c r="C20" s="22"/>
      <c r="D20" s="22"/>
      <c r="E20" s="22"/>
      <c r="F20" s="22"/>
      <c r="G20" s="22"/>
      <c r="H20" s="22"/>
      <c r="I20" s="22"/>
      <c r="J20" s="22"/>
      <c r="K20" s="22"/>
    </row>
    <row r="21" spans="1:11" ht="23.85" customHeight="1" x14ac:dyDescent="0.3">
      <c r="A21" s="7" t="s">
        <v>210</v>
      </c>
      <c r="B21" s="21" t="s">
        <v>211</v>
      </c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23.85" customHeight="1" x14ac:dyDescent="0.3">
      <c r="A22" s="7" t="s">
        <v>212</v>
      </c>
      <c r="B22" s="21" t="s">
        <v>213</v>
      </c>
      <c r="C22" s="22"/>
      <c r="D22" s="22"/>
      <c r="E22" s="22"/>
      <c r="F22" s="22"/>
      <c r="G22" s="22"/>
      <c r="H22" s="22"/>
      <c r="I22" s="22"/>
      <c r="J22" s="22"/>
      <c r="K22" s="22"/>
    </row>
    <row r="24" spans="1:11" ht="23.85" customHeight="1" x14ac:dyDescent="0.3">
      <c r="A24" s="20" t="s">
        <v>214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</row>
  </sheetData>
  <mergeCells count="10">
    <mergeCell ref="A24:K24"/>
    <mergeCell ref="A14:K14"/>
    <mergeCell ref="A13:K13"/>
    <mergeCell ref="B20:K20"/>
    <mergeCell ref="B19:K19"/>
    <mergeCell ref="A12:K12"/>
    <mergeCell ref="B22:K22"/>
    <mergeCell ref="A15:K15"/>
    <mergeCell ref="B18:K18"/>
    <mergeCell ref="B21:K2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12" customWidth="1"/>
    <col min="2" max="2" width="16" customWidth="1"/>
    <col min="3" max="3" width="9" customWidth="1"/>
    <col min="4" max="4" width="20" customWidth="1"/>
    <col min="5" max="36" width="10" customWidth="1"/>
    <col min="37" max="37" width="34" customWidth="1"/>
  </cols>
  <sheetData>
    <row r="1" spans="1:37" ht="15" customHeight="1" x14ac:dyDescent="0.3">
      <c r="A1" s="3" t="s">
        <v>215</v>
      </c>
      <c r="B1" s="3" t="s">
        <v>216</v>
      </c>
      <c r="C1" s="3" t="s">
        <v>217</v>
      </c>
      <c r="D1" s="3" t="s">
        <v>218</v>
      </c>
      <c r="E1" s="3" t="s">
        <v>219</v>
      </c>
      <c r="F1" s="3" t="s">
        <v>220</v>
      </c>
      <c r="G1" s="3" t="s">
        <v>221</v>
      </c>
      <c r="H1" s="3" t="s">
        <v>222</v>
      </c>
      <c r="I1" s="3" t="s">
        <v>223</v>
      </c>
      <c r="J1" s="3" t="s">
        <v>224</v>
      </c>
      <c r="K1" s="3" t="s">
        <v>152</v>
      </c>
      <c r="L1" s="3" t="s">
        <v>225</v>
      </c>
      <c r="M1" s="3" t="s">
        <v>226</v>
      </c>
      <c r="N1" s="3" t="s">
        <v>227</v>
      </c>
      <c r="O1" s="3" t="s">
        <v>228</v>
      </c>
      <c r="P1" s="3" t="s">
        <v>229</v>
      </c>
      <c r="Q1" s="3" t="s">
        <v>230</v>
      </c>
      <c r="R1" s="3" t="s">
        <v>231</v>
      </c>
      <c r="S1" s="3" t="s">
        <v>232</v>
      </c>
      <c r="T1" s="3" t="s">
        <v>155</v>
      </c>
      <c r="U1" s="3" t="s">
        <v>233</v>
      </c>
      <c r="V1" s="3" t="s">
        <v>234</v>
      </c>
      <c r="W1" s="3" t="s">
        <v>235</v>
      </c>
      <c r="X1" s="3" t="s">
        <v>236</v>
      </c>
      <c r="Y1" s="3" t="s">
        <v>237</v>
      </c>
      <c r="Z1" s="3" t="s">
        <v>238</v>
      </c>
      <c r="AA1" s="3" t="s">
        <v>239</v>
      </c>
      <c r="AB1" s="3" t="s">
        <v>240</v>
      </c>
      <c r="AC1" s="3" t="s">
        <v>241</v>
      </c>
      <c r="AD1" s="3" t="s">
        <v>242</v>
      </c>
      <c r="AE1" s="3" t="s">
        <v>243</v>
      </c>
      <c r="AF1" s="3" t="s">
        <v>244</v>
      </c>
      <c r="AG1" s="3" t="s">
        <v>245</v>
      </c>
      <c r="AH1" s="3" t="s">
        <v>246</v>
      </c>
      <c r="AI1" s="3" t="s">
        <v>247</v>
      </c>
      <c r="AJ1" s="3" t="s">
        <v>248</v>
      </c>
      <c r="AK1" s="3" t="s">
        <v>249</v>
      </c>
    </row>
    <row r="2" spans="1:37" ht="15" customHeight="1" x14ac:dyDescent="0.3">
      <c r="A2" s="6" t="s">
        <v>250</v>
      </c>
      <c r="B2" s="6" t="s">
        <v>251</v>
      </c>
      <c r="C2" s="6" t="s">
        <v>252</v>
      </c>
      <c r="D2" s="6" t="s">
        <v>253</v>
      </c>
      <c r="E2" s="6" t="s">
        <v>254</v>
      </c>
      <c r="F2" s="6" t="s">
        <v>255</v>
      </c>
      <c r="G2" s="6">
        <v>0.6</v>
      </c>
      <c r="H2" s="6">
        <v>2713</v>
      </c>
      <c r="I2" s="6">
        <v>115</v>
      </c>
      <c r="J2" s="6">
        <v>114</v>
      </c>
      <c r="K2" s="6">
        <v>8.1709401868266408E-3</v>
      </c>
      <c r="L2" s="6"/>
      <c r="M2" s="6"/>
      <c r="N2" s="6"/>
      <c r="O2" s="6"/>
      <c r="P2" s="6">
        <v>0</v>
      </c>
      <c r="Q2" s="6">
        <v>0.110305265131698</v>
      </c>
      <c r="R2" s="6"/>
      <c r="S2" s="6"/>
      <c r="T2" s="6">
        <v>8.1707583494147404E-3</v>
      </c>
      <c r="U2" s="6">
        <v>0</v>
      </c>
      <c r="V2" s="6">
        <v>0.10986006113503601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s">
        <v>256</v>
      </c>
      <c r="AI2" s="6" t="s">
        <v>257</v>
      </c>
      <c r="AJ2" s="6" t="s">
        <v>258</v>
      </c>
      <c r="AK2" s="6" t="str">
        <f t="shared" ref="AK2:AK31" si="0">A2&amp;"|"&amp;B2&amp;"|"&amp;C2&amp;"|"&amp;D2</f>
        <v>H2a|psma_default|full|mu_avg</v>
      </c>
    </row>
    <row r="3" spans="1:37" ht="15" customHeight="1" x14ac:dyDescent="0.3">
      <c r="A3" s="6" t="s">
        <v>250</v>
      </c>
      <c r="B3" s="6" t="s">
        <v>251</v>
      </c>
      <c r="C3" s="6" t="s">
        <v>252</v>
      </c>
      <c r="D3" s="6" t="s">
        <v>259</v>
      </c>
      <c r="E3" s="6" t="s">
        <v>163</v>
      </c>
      <c r="F3" s="6" t="s">
        <v>255</v>
      </c>
      <c r="G3" s="6">
        <v>0.6</v>
      </c>
      <c r="H3" s="6">
        <v>2713</v>
      </c>
      <c r="I3" s="6">
        <v>115</v>
      </c>
      <c r="J3" s="6">
        <v>114</v>
      </c>
      <c r="K3" s="6">
        <v>0.26616287315156401</v>
      </c>
      <c r="L3" s="6"/>
      <c r="M3" s="6"/>
      <c r="N3" s="6"/>
      <c r="O3" s="6"/>
      <c r="P3" s="6">
        <v>0.23365346026987999</v>
      </c>
      <c r="Q3" s="6">
        <v>0.30607817421801897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 t="s">
        <v>260</v>
      </c>
      <c r="AI3" s="6"/>
      <c r="AJ3" s="6" t="s">
        <v>261</v>
      </c>
      <c r="AK3" s="6" t="str">
        <f t="shared" si="0"/>
        <v>H2a|psma_default|full|tau_avg</v>
      </c>
    </row>
    <row r="4" spans="1:37" ht="15" customHeight="1" x14ac:dyDescent="0.3">
      <c r="A4" s="6" t="s">
        <v>250</v>
      </c>
      <c r="B4" s="6" t="s">
        <v>251</v>
      </c>
      <c r="C4" s="6" t="s">
        <v>252</v>
      </c>
      <c r="D4" s="6" t="s">
        <v>262</v>
      </c>
      <c r="E4" s="6" t="s">
        <v>263</v>
      </c>
      <c r="F4" s="6" t="s">
        <v>255</v>
      </c>
      <c r="G4" s="6">
        <v>0.6</v>
      </c>
      <c r="H4" s="6">
        <v>2713</v>
      </c>
      <c r="I4" s="6">
        <v>115</v>
      </c>
      <c r="J4" s="6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>
        <v>7.0327784580019701</v>
      </c>
      <c r="AH4" s="6" t="s">
        <v>256</v>
      </c>
      <c r="AI4" s="6" t="s">
        <v>264</v>
      </c>
      <c r="AJ4" s="6" t="s">
        <v>265</v>
      </c>
      <c r="AK4" s="6" t="str">
        <f t="shared" si="0"/>
        <v>H2a|psma_default|full|bf01_effect</v>
      </c>
    </row>
    <row r="5" spans="1:37" ht="15" customHeight="1" x14ac:dyDescent="0.3">
      <c r="A5" s="6" t="s">
        <v>250</v>
      </c>
      <c r="B5" s="6" t="s">
        <v>251</v>
      </c>
      <c r="C5" s="6" t="s">
        <v>252</v>
      </c>
      <c r="D5" s="6" t="s">
        <v>266</v>
      </c>
      <c r="E5" s="6" t="s">
        <v>263</v>
      </c>
      <c r="F5" s="6" t="s">
        <v>255</v>
      </c>
      <c r="G5" s="6">
        <v>0.6</v>
      </c>
      <c r="H5" s="6">
        <v>2713</v>
      </c>
      <c r="I5" s="6">
        <v>115</v>
      </c>
      <c r="J5" s="6">
        <v>114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>
        <v>0</v>
      </c>
      <c r="AH5" s="6" t="s">
        <v>260</v>
      </c>
      <c r="AI5" s="6"/>
      <c r="AJ5" s="6" t="s">
        <v>267</v>
      </c>
      <c r="AK5" s="6" t="str">
        <f t="shared" si="0"/>
        <v>H2a|psma_default|full|bf01_heterogeneity</v>
      </c>
    </row>
    <row r="6" spans="1:37" ht="15" customHeight="1" x14ac:dyDescent="0.3">
      <c r="A6" s="6" t="s">
        <v>250</v>
      </c>
      <c r="B6" s="6" t="s">
        <v>251</v>
      </c>
      <c r="C6" s="6" t="s">
        <v>252</v>
      </c>
      <c r="D6" s="6" t="s">
        <v>268</v>
      </c>
      <c r="E6" s="6" t="s">
        <v>263</v>
      </c>
      <c r="F6" s="6" t="s">
        <v>255</v>
      </c>
      <c r="G6" s="6">
        <v>0.6</v>
      </c>
      <c r="H6" s="6">
        <v>2713</v>
      </c>
      <c r="I6" s="6">
        <v>115</v>
      </c>
      <c r="J6" s="6">
        <v>114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>
        <v>1.05543265484023E-2</v>
      </c>
      <c r="AH6" s="6" t="s">
        <v>260</v>
      </c>
      <c r="AI6" s="6"/>
      <c r="AJ6" s="6" t="s">
        <v>269</v>
      </c>
      <c r="AK6" s="6" t="str">
        <f t="shared" si="0"/>
        <v>H2a|psma_default|full|bf01_bias</v>
      </c>
    </row>
    <row r="7" spans="1:37" ht="15" customHeight="1" x14ac:dyDescent="0.3">
      <c r="A7" s="6" t="s">
        <v>250</v>
      </c>
      <c r="B7" s="6" t="s">
        <v>270</v>
      </c>
      <c r="C7" s="6" t="s">
        <v>252</v>
      </c>
      <c r="D7" s="6" t="s">
        <v>253</v>
      </c>
      <c r="E7" s="6" t="s">
        <v>254</v>
      </c>
      <c r="F7" s="6" t="s">
        <v>255</v>
      </c>
      <c r="G7" s="6">
        <v>0.6</v>
      </c>
      <c r="H7" s="6">
        <v>2713</v>
      </c>
      <c r="I7" s="6">
        <v>115</v>
      </c>
      <c r="J7" s="6">
        <v>114</v>
      </c>
      <c r="K7" s="6">
        <v>-9.4975801833717902E-3</v>
      </c>
      <c r="L7" s="6"/>
      <c r="M7" s="6"/>
      <c r="N7" s="6"/>
      <c r="O7" s="6"/>
      <c r="P7" s="6">
        <v>-6.2434077793551201E-2</v>
      </c>
      <c r="Q7" s="6">
        <v>0</v>
      </c>
      <c r="R7" s="6"/>
      <c r="S7" s="6"/>
      <c r="T7" s="6">
        <v>-9.4972946203415193E-3</v>
      </c>
      <c r="U7" s="6">
        <v>-6.2353081110464101E-2</v>
      </c>
      <c r="V7" s="6">
        <v>0</v>
      </c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 t="s">
        <v>260</v>
      </c>
      <c r="AI7" s="6"/>
      <c r="AJ7" s="6" t="s">
        <v>271</v>
      </c>
      <c r="AK7" s="6" t="str">
        <f t="shared" si="0"/>
        <v>H2a|coe_informed|full|mu_avg</v>
      </c>
    </row>
    <row r="8" spans="1:37" ht="15" customHeight="1" x14ac:dyDescent="0.3">
      <c r="A8" s="6" t="s">
        <v>250</v>
      </c>
      <c r="B8" s="6" t="s">
        <v>270</v>
      </c>
      <c r="C8" s="6" t="s">
        <v>252</v>
      </c>
      <c r="D8" s="6" t="s">
        <v>259</v>
      </c>
      <c r="E8" s="6" t="s">
        <v>163</v>
      </c>
      <c r="F8" s="6" t="s">
        <v>255</v>
      </c>
      <c r="G8" s="6">
        <v>0.6</v>
      </c>
      <c r="H8" s="6">
        <v>2713</v>
      </c>
      <c r="I8" s="6">
        <v>115</v>
      </c>
      <c r="J8" s="6">
        <v>114</v>
      </c>
      <c r="K8" s="6">
        <v>0.26404120867388697</v>
      </c>
      <c r="L8" s="6"/>
      <c r="M8" s="6"/>
      <c r="N8" s="6"/>
      <c r="O8" s="6"/>
      <c r="P8" s="6">
        <v>0.232152487117635</v>
      </c>
      <c r="Q8" s="6">
        <v>0.30178221697723501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 t="s">
        <v>260</v>
      </c>
      <c r="AI8" s="6"/>
      <c r="AJ8" s="6" t="s">
        <v>272</v>
      </c>
      <c r="AK8" s="6" t="str">
        <f t="shared" si="0"/>
        <v>H2a|coe_informed|full|tau_avg</v>
      </c>
    </row>
    <row r="9" spans="1:37" ht="15" customHeight="1" x14ac:dyDescent="0.3">
      <c r="A9" s="6" t="s">
        <v>250</v>
      </c>
      <c r="B9" s="6" t="s">
        <v>270</v>
      </c>
      <c r="C9" s="6" t="s">
        <v>252</v>
      </c>
      <c r="D9" s="6" t="s">
        <v>262</v>
      </c>
      <c r="E9" s="6" t="s">
        <v>263</v>
      </c>
      <c r="F9" s="6" t="s">
        <v>255</v>
      </c>
      <c r="G9" s="6">
        <v>0.6</v>
      </c>
      <c r="H9" s="6">
        <v>2713</v>
      </c>
      <c r="I9" s="6">
        <v>115</v>
      </c>
      <c r="J9" s="6">
        <v>114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>
        <v>2.3846461885977499</v>
      </c>
      <c r="AH9" s="6" t="s">
        <v>260</v>
      </c>
      <c r="AI9" s="6"/>
      <c r="AJ9" s="6" t="s">
        <v>273</v>
      </c>
      <c r="AK9" s="6" t="str">
        <f t="shared" si="0"/>
        <v>H2a|coe_informed|full|bf01_effect</v>
      </c>
    </row>
    <row r="10" spans="1:37" ht="15" customHeight="1" x14ac:dyDescent="0.3">
      <c r="A10" s="6" t="s">
        <v>250</v>
      </c>
      <c r="B10" s="6" t="s">
        <v>270</v>
      </c>
      <c r="C10" s="6" t="s">
        <v>252</v>
      </c>
      <c r="D10" s="6" t="s">
        <v>266</v>
      </c>
      <c r="E10" s="6" t="s">
        <v>263</v>
      </c>
      <c r="F10" s="6" t="s">
        <v>255</v>
      </c>
      <c r="G10" s="6">
        <v>0.6</v>
      </c>
      <c r="H10" s="6">
        <v>2713</v>
      </c>
      <c r="I10" s="6">
        <v>115</v>
      </c>
      <c r="J10" s="6">
        <v>114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>
        <v>0</v>
      </c>
      <c r="AH10" s="6" t="s">
        <v>260</v>
      </c>
      <c r="AI10" s="6"/>
      <c r="AJ10" s="6" t="s">
        <v>274</v>
      </c>
      <c r="AK10" s="6" t="str">
        <f t="shared" si="0"/>
        <v>H2a|coe_informed|full|bf01_heterogeneity</v>
      </c>
    </row>
    <row r="11" spans="1:37" ht="15" customHeight="1" x14ac:dyDescent="0.3">
      <c r="A11" s="6" t="s">
        <v>250</v>
      </c>
      <c r="B11" s="6" t="s">
        <v>270</v>
      </c>
      <c r="C11" s="6" t="s">
        <v>252</v>
      </c>
      <c r="D11" s="6" t="s">
        <v>268</v>
      </c>
      <c r="E11" s="6" t="s">
        <v>263</v>
      </c>
      <c r="F11" s="6" t="s">
        <v>255</v>
      </c>
      <c r="G11" s="6">
        <v>0.6</v>
      </c>
      <c r="H11" s="6">
        <v>2713</v>
      </c>
      <c r="I11" s="6">
        <v>115</v>
      </c>
      <c r="J11" s="6">
        <v>114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>
        <v>9.0226363231552906E-2</v>
      </c>
      <c r="AH11" s="6" t="s">
        <v>260</v>
      </c>
      <c r="AI11" s="6"/>
      <c r="AJ11" s="6" t="s">
        <v>275</v>
      </c>
      <c r="AK11" s="6" t="str">
        <f t="shared" si="0"/>
        <v>H2a|coe_informed|full|bf01_bias</v>
      </c>
    </row>
    <row r="12" spans="1:37" ht="15" customHeight="1" x14ac:dyDescent="0.3">
      <c r="A12" s="6" t="s">
        <v>250</v>
      </c>
      <c r="B12" s="6" t="s">
        <v>276</v>
      </c>
      <c r="C12" s="6" t="s">
        <v>252</v>
      </c>
      <c r="D12" s="6" t="s">
        <v>253</v>
      </c>
      <c r="E12" s="6" t="s">
        <v>254</v>
      </c>
      <c r="F12" s="6" t="s">
        <v>255</v>
      </c>
      <c r="G12" s="6">
        <v>0.6</v>
      </c>
      <c r="H12" s="6">
        <v>2713</v>
      </c>
      <c r="I12" s="6">
        <v>115</v>
      </c>
      <c r="J12" s="6">
        <v>114</v>
      </c>
      <c r="K12" s="6">
        <v>-1.03620354446015E-3</v>
      </c>
      <c r="L12" s="6"/>
      <c r="M12" s="6"/>
      <c r="N12" s="6"/>
      <c r="O12" s="6"/>
      <c r="P12" s="6">
        <v>-6.55787187733851E-2</v>
      </c>
      <c r="Q12" s="6">
        <v>5.16492515353007E-2</v>
      </c>
      <c r="R12" s="6"/>
      <c r="S12" s="6"/>
      <c r="T12" s="6">
        <v>-1.0362031735969099E-3</v>
      </c>
      <c r="U12" s="6">
        <v>-6.5484871620923604E-2</v>
      </c>
      <c r="V12" s="6">
        <v>5.1603373197155501E-2</v>
      </c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 t="s">
        <v>260</v>
      </c>
      <c r="AI12" s="6"/>
      <c r="AJ12" s="6" t="s">
        <v>277</v>
      </c>
      <c r="AK12" s="6" t="str">
        <f t="shared" si="0"/>
        <v>H2a|coe_wide|full|mu_avg</v>
      </c>
    </row>
    <row r="13" spans="1:37" ht="15" customHeight="1" x14ac:dyDescent="0.3">
      <c r="A13" s="6" t="s">
        <v>250</v>
      </c>
      <c r="B13" s="6" t="s">
        <v>276</v>
      </c>
      <c r="C13" s="6" t="s">
        <v>252</v>
      </c>
      <c r="D13" s="6" t="s">
        <v>259</v>
      </c>
      <c r="E13" s="6" t="s">
        <v>163</v>
      </c>
      <c r="F13" s="6" t="s">
        <v>255</v>
      </c>
      <c r="G13" s="6">
        <v>0.6</v>
      </c>
      <c r="H13" s="6">
        <v>2713</v>
      </c>
      <c r="I13" s="6">
        <v>115</v>
      </c>
      <c r="J13" s="6">
        <v>114</v>
      </c>
      <c r="K13" s="6">
        <v>0.265254386808501</v>
      </c>
      <c r="L13" s="6"/>
      <c r="M13" s="6"/>
      <c r="N13" s="6"/>
      <c r="O13" s="6"/>
      <c r="P13" s="6">
        <v>0.23248237622597401</v>
      </c>
      <c r="Q13" s="6">
        <v>0.30353637023971197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 t="s">
        <v>260</v>
      </c>
      <c r="AI13" s="6"/>
      <c r="AJ13" s="6" t="s">
        <v>278</v>
      </c>
      <c r="AK13" s="6" t="str">
        <f t="shared" si="0"/>
        <v>H2a|coe_wide|full|tau_avg</v>
      </c>
    </row>
    <row r="14" spans="1:37" ht="15" customHeight="1" x14ac:dyDescent="0.3">
      <c r="A14" s="6" t="s">
        <v>250</v>
      </c>
      <c r="B14" s="6" t="s">
        <v>276</v>
      </c>
      <c r="C14" s="6" t="s">
        <v>252</v>
      </c>
      <c r="D14" s="6" t="s">
        <v>262</v>
      </c>
      <c r="E14" s="6" t="s">
        <v>263</v>
      </c>
      <c r="F14" s="6" t="s">
        <v>255</v>
      </c>
      <c r="G14" s="6">
        <v>0.6</v>
      </c>
      <c r="H14" s="6">
        <v>2713</v>
      </c>
      <c r="I14" s="6">
        <v>115</v>
      </c>
      <c r="J14" s="6">
        <v>114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>
        <v>1.6935976596733</v>
      </c>
      <c r="AH14" s="6" t="s">
        <v>260</v>
      </c>
      <c r="AI14" s="6"/>
      <c r="AJ14" s="6" t="s">
        <v>279</v>
      </c>
      <c r="AK14" s="6" t="str">
        <f t="shared" si="0"/>
        <v>H2a|coe_wide|full|bf01_effect</v>
      </c>
    </row>
    <row r="15" spans="1:37" ht="15" customHeight="1" x14ac:dyDescent="0.3">
      <c r="A15" s="6" t="s">
        <v>250</v>
      </c>
      <c r="B15" s="6" t="s">
        <v>276</v>
      </c>
      <c r="C15" s="6" t="s">
        <v>252</v>
      </c>
      <c r="D15" s="6" t="s">
        <v>266</v>
      </c>
      <c r="E15" s="6" t="s">
        <v>263</v>
      </c>
      <c r="F15" s="6" t="s">
        <v>255</v>
      </c>
      <c r="G15" s="6">
        <v>0.6</v>
      </c>
      <c r="H15" s="6">
        <v>2713</v>
      </c>
      <c r="I15" s="6">
        <v>115</v>
      </c>
      <c r="J15" s="6">
        <v>114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>
        <v>0</v>
      </c>
      <c r="AH15" s="6" t="s">
        <v>260</v>
      </c>
      <c r="AI15" s="6"/>
      <c r="AJ15" s="6" t="s">
        <v>280</v>
      </c>
      <c r="AK15" s="6" t="str">
        <f t="shared" si="0"/>
        <v>H2a|coe_wide|full|bf01_heterogeneity</v>
      </c>
    </row>
    <row r="16" spans="1:37" ht="15" customHeight="1" x14ac:dyDescent="0.3">
      <c r="A16" s="6" t="s">
        <v>250</v>
      </c>
      <c r="B16" s="6" t="s">
        <v>276</v>
      </c>
      <c r="C16" s="6" t="s">
        <v>252</v>
      </c>
      <c r="D16" s="6" t="s">
        <v>268</v>
      </c>
      <c r="E16" s="6" t="s">
        <v>263</v>
      </c>
      <c r="F16" s="6" t="s">
        <v>255</v>
      </c>
      <c r="G16" s="6">
        <v>0.6</v>
      </c>
      <c r="H16" s="6">
        <v>2713</v>
      </c>
      <c r="I16" s="6">
        <v>115</v>
      </c>
      <c r="J16" s="6">
        <v>114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>
        <v>5.93874723313405E-2</v>
      </c>
      <c r="AH16" s="6" t="s">
        <v>260</v>
      </c>
      <c r="AI16" s="6"/>
      <c r="AJ16" s="6" t="s">
        <v>281</v>
      </c>
      <c r="AK16" s="6" t="str">
        <f t="shared" si="0"/>
        <v>H2a|coe_wide|full|bf01_bias</v>
      </c>
    </row>
    <row r="17" spans="1:37" ht="15" customHeight="1" x14ac:dyDescent="0.3">
      <c r="A17" s="6" t="s">
        <v>282</v>
      </c>
      <c r="B17" s="6" t="s">
        <v>283</v>
      </c>
      <c r="C17" s="6" t="s">
        <v>284</v>
      </c>
      <c r="D17" s="6" t="s">
        <v>285</v>
      </c>
      <c r="E17" s="6" t="s">
        <v>286</v>
      </c>
      <c r="F17" s="6" t="s">
        <v>255</v>
      </c>
      <c r="G17" s="6">
        <v>0.6</v>
      </c>
      <c r="H17" s="6">
        <v>2705</v>
      </c>
      <c r="I17" s="6">
        <v>113</v>
      </c>
      <c r="J17" s="6">
        <v>113</v>
      </c>
      <c r="K17" s="6">
        <v>3.3709677480448699E-3</v>
      </c>
      <c r="L17" s="6"/>
      <c r="M17" s="6"/>
      <c r="N17" s="6"/>
      <c r="O17" s="6"/>
      <c r="P17" s="6">
        <v>-3.1265933488224602E-2</v>
      </c>
      <c r="Q17" s="6">
        <v>4.4514466721296497E-2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 t="s">
        <v>256</v>
      </c>
      <c r="AI17" s="6" t="s">
        <v>287</v>
      </c>
      <c r="AJ17" s="6" t="s">
        <v>288</v>
      </c>
      <c r="AK17" s="6" t="str">
        <f t="shared" si="0"/>
        <v>H2b|contrast_informed|defined|coef_period</v>
      </c>
    </row>
    <row r="18" spans="1:37" ht="15" customHeight="1" x14ac:dyDescent="0.3">
      <c r="A18" s="6" t="s">
        <v>282</v>
      </c>
      <c r="B18" s="6" t="s">
        <v>283</v>
      </c>
      <c r="C18" s="6" t="s">
        <v>284</v>
      </c>
      <c r="D18" s="6" t="s">
        <v>289</v>
      </c>
      <c r="E18" s="6" t="s">
        <v>263</v>
      </c>
      <c r="F18" s="6" t="s">
        <v>255</v>
      </c>
      <c r="G18" s="6">
        <v>0.6</v>
      </c>
      <c r="H18" s="6">
        <v>2705</v>
      </c>
      <c r="I18" s="6">
        <v>113</v>
      </c>
      <c r="J18" s="6">
        <v>113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>
        <v>1.0349179417433501</v>
      </c>
      <c r="AH18" s="6" t="s">
        <v>256</v>
      </c>
      <c r="AI18" s="6" t="s">
        <v>290</v>
      </c>
      <c r="AJ18" s="6" t="s">
        <v>291</v>
      </c>
      <c r="AK18" s="6" t="str">
        <f t="shared" si="0"/>
        <v>H2b|contrast_informed|defined|bf01_period</v>
      </c>
    </row>
    <row r="19" spans="1:37" ht="15" customHeight="1" x14ac:dyDescent="0.3">
      <c r="A19" s="6" t="s">
        <v>282</v>
      </c>
      <c r="B19" s="6" t="s">
        <v>283</v>
      </c>
      <c r="C19" s="6" t="s">
        <v>284</v>
      </c>
      <c r="D19" s="6" t="s">
        <v>259</v>
      </c>
      <c r="E19" s="6" t="s">
        <v>163</v>
      </c>
      <c r="F19" s="6" t="s">
        <v>255</v>
      </c>
      <c r="G19" s="6">
        <v>0.6</v>
      </c>
      <c r="H19" s="6">
        <v>2705</v>
      </c>
      <c r="I19" s="6">
        <v>113</v>
      </c>
      <c r="J19" s="6">
        <v>113</v>
      </c>
      <c r="K19" s="6">
        <v>0.26709220218150198</v>
      </c>
      <c r="L19" s="6"/>
      <c r="M19" s="6"/>
      <c r="N19" s="6"/>
      <c r="O19" s="6"/>
      <c r="P19" s="6">
        <v>0.23499179986207</v>
      </c>
      <c r="Q19" s="6">
        <v>0.306321593875168</v>
      </c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 t="s">
        <v>260</v>
      </c>
      <c r="AI19" s="6"/>
      <c r="AJ19" s="6" t="s">
        <v>292</v>
      </c>
      <c r="AK19" s="6" t="str">
        <f t="shared" si="0"/>
        <v>H2b|contrast_informed|defined|tau_avg</v>
      </c>
    </row>
    <row r="20" spans="1:37" ht="15" customHeight="1" x14ac:dyDescent="0.3">
      <c r="A20" s="6" t="s">
        <v>282</v>
      </c>
      <c r="B20" s="6" t="s">
        <v>293</v>
      </c>
      <c r="C20" s="6" t="s">
        <v>284</v>
      </c>
      <c r="D20" s="6" t="s">
        <v>285</v>
      </c>
      <c r="E20" s="6" t="s">
        <v>286</v>
      </c>
      <c r="F20" s="6" t="s">
        <v>255</v>
      </c>
      <c r="G20" s="6">
        <v>0.6</v>
      </c>
      <c r="H20" s="6">
        <v>2705</v>
      </c>
      <c r="I20" s="6">
        <v>113</v>
      </c>
      <c r="J20" s="6">
        <v>113</v>
      </c>
      <c r="K20" s="6">
        <v>8.6887496782379805E-3</v>
      </c>
      <c r="L20" s="6"/>
      <c r="M20" s="6"/>
      <c r="N20" s="6"/>
      <c r="O20" s="6"/>
      <c r="P20" s="6">
        <v>-4.4825405869926803E-2</v>
      </c>
      <c r="Q20" s="6">
        <v>7.94604629209026E-2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 t="s">
        <v>260</v>
      </c>
      <c r="AI20" s="6"/>
      <c r="AJ20" s="6" t="s">
        <v>294</v>
      </c>
      <c r="AK20" s="6" t="str">
        <f t="shared" si="0"/>
        <v>H2b|contrast_wide|defined|coef_period</v>
      </c>
    </row>
    <row r="21" spans="1:37" ht="15" customHeight="1" x14ac:dyDescent="0.3">
      <c r="A21" s="6" t="s">
        <v>282</v>
      </c>
      <c r="B21" s="6" t="s">
        <v>293</v>
      </c>
      <c r="C21" s="6" t="s">
        <v>284</v>
      </c>
      <c r="D21" s="6" t="s">
        <v>289</v>
      </c>
      <c r="E21" s="6" t="s">
        <v>263</v>
      </c>
      <c r="F21" s="6" t="s">
        <v>255</v>
      </c>
      <c r="G21" s="6">
        <v>0.6</v>
      </c>
      <c r="H21" s="6">
        <v>2705</v>
      </c>
      <c r="I21" s="6">
        <v>113</v>
      </c>
      <c r="J21" s="6">
        <v>113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>
        <v>1.1669526218880599</v>
      </c>
      <c r="AH21" s="6" t="s">
        <v>260</v>
      </c>
      <c r="AI21" s="6"/>
      <c r="AJ21" s="6" t="s">
        <v>295</v>
      </c>
      <c r="AK21" s="6" t="str">
        <f t="shared" si="0"/>
        <v>H2b|contrast_wide|defined|bf01_period</v>
      </c>
    </row>
    <row r="22" spans="1:37" ht="15" customHeight="1" x14ac:dyDescent="0.3">
      <c r="A22" s="6" t="s">
        <v>282</v>
      </c>
      <c r="B22" s="6" t="s">
        <v>293</v>
      </c>
      <c r="C22" s="6" t="s">
        <v>284</v>
      </c>
      <c r="D22" s="6" t="s">
        <v>259</v>
      </c>
      <c r="E22" s="6" t="s">
        <v>163</v>
      </c>
      <c r="F22" s="6" t="s">
        <v>255</v>
      </c>
      <c r="G22" s="6">
        <v>0.6</v>
      </c>
      <c r="H22" s="6">
        <v>2705</v>
      </c>
      <c r="I22" s="6">
        <v>113</v>
      </c>
      <c r="J22" s="6">
        <v>113</v>
      </c>
      <c r="K22" s="6">
        <v>0.26726930579858699</v>
      </c>
      <c r="L22" s="6"/>
      <c r="M22" s="6"/>
      <c r="N22" s="6"/>
      <c r="O22" s="6"/>
      <c r="P22" s="6">
        <v>0.23457869777648799</v>
      </c>
      <c r="Q22" s="6">
        <v>0.30666886496153301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 t="s">
        <v>260</v>
      </c>
      <c r="AI22" s="6"/>
      <c r="AJ22" s="6" t="s">
        <v>296</v>
      </c>
      <c r="AK22" s="6" t="str">
        <f t="shared" si="0"/>
        <v>H2b|contrast_wide|defined|tau_avg</v>
      </c>
    </row>
    <row r="23" spans="1:37" ht="15" customHeight="1" x14ac:dyDescent="0.3">
      <c r="A23" s="6" t="s">
        <v>282</v>
      </c>
      <c r="B23" s="6" t="s">
        <v>297</v>
      </c>
      <c r="C23" s="6" t="s">
        <v>284</v>
      </c>
      <c r="D23" s="6" t="s">
        <v>289</v>
      </c>
      <c r="E23" s="6" t="s">
        <v>263</v>
      </c>
      <c r="F23" s="6" t="s">
        <v>255</v>
      </c>
      <c r="G23" s="6">
        <v>0.6</v>
      </c>
      <c r="H23" s="6">
        <v>2705</v>
      </c>
      <c r="I23" s="6">
        <v>113</v>
      </c>
      <c r="J23" s="6">
        <v>113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>
        <v>8.4916592136349092</v>
      </c>
      <c r="AH23" s="6" t="s">
        <v>260</v>
      </c>
      <c r="AI23" s="6"/>
      <c r="AJ23" s="6" t="s">
        <v>298</v>
      </c>
      <c r="AK23" s="6" t="str">
        <f t="shared" si="0"/>
        <v>H2b|factor_default|defined|bf01_period</v>
      </c>
    </row>
    <row r="24" spans="1:37" ht="15" customHeight="1" x14ac:dyDescent="0.3">
      <c r="A24" s="6" t="s">
        <v>282</v>
      </c>
      <c r="B24" s="6" t="s">
        <v>297</v>
      </c>
      <c r="C24" s="6" t="s">
        <v>284</v>
      </c>
      <c r="D24" s="6" t="s">
        <v>259</v>
      </c>
      <c r="E24" s="6" t="s">
        <v>163</v>
      </c>
      <c r="F24" s="6" t="s">
        <v>255</v>
      </c>
      <c r="G24" s="6">
        <v>0.6</v>
      </c>
      <c r="H24" s="6">
        <v>2705</v>
      </c>
      <c r="I24" s="6">
        <v>113</v>
      </c>
      <c r="J24" s="6">
        <v>113</v>
      </c>
      <c r="K24" s="6">
        <v>0.26728219388115898</v>
      </c>
      <c r="L24" s="6"/>
      <c r="M24" s="6"/>
      <c r="N24" s="6"/>
      <c r="O24" s="6"/>
      <c r="P24" s="6">
        <v>0.235085394483635</v>
      </c>
      <c r="Q24" s="6">
        <v>0.30590931086766698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 t="s">
        <v>260</v>
      </c>
      <c r="AI24" s="6"/>
      <c r="AJ24" s="6" t="s">
        <v>299</v>
      </c>
      <c r="AK24" s="6" t="str">
        <f t="shared" si="0"/>
        <v>H2b|factor_default|defined|tau_avg</v>
      </c>
    </row>
    <row r="25" spans="1:37" ht="15" customHeight="1" x14ac:dyDescent="0.3">
      <c r="A25" s="6" t="s">
        <v>300</v>
      </c>
      <c r="B25" s="6" t="s">
        <v>301</v>
      </c>
      <c r="C25" s="6" t="s">
        <v>252</v>
      </c>
      <c r="D25" s="6" t="s">
        <v>302</v>
      </c>
      <c r="E25" s="6" t="s">
        <v>303</v>
      </c>
      <c r="F25" s="6" t="s">
        <v>304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>
        <v>2713</v>
      </c>
      <c r="AH25" s="6" t="s">
        <v>260</v>
      </c>
      <c r="AI25" s="6"/>
      <c r="AJ25" s="6" t="s">
        <v>305</v>
      </c>
      <c r="AK25" s="6" t="str">
        <f t="shared" si="0"/>
        <v>TH_b_design|design|full|subset_estimation</v>
      </c>
    </row>
    <row r="26" spans="1:37" ht="15" customHeight="1" x14ac:dyDescent="0.3">
      <c r="A26" s="6" t="s">
        <v>300</v>
      </c>
      <c r="B26" s="6" t="s">
        <v>301</v>
      </c>
      <c r="C26" s="6" t="s">
        <v>252</v>
      </c>
      <c r="D26" s="6" t="s">
        <v>306</v>
      </c>
      <c r="E26" s="6" t="s">
        <v>303</v>
      </c>
      <c r="F26" s="6" t="s">
        <v>304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>
        <v>114</v>
      </c>
      <c r="AH26" s="6" t="s">
        <v>260</v>
      </c>
      <c r="AI26" s="6"/>
      <c r="AJ26" s="6" t="s">
        <v>307</v>
      </c>
      <c r="AK26" s="6" t="str">
        <f t="shared" si="0"/>
        <v>TH_b_design|design|full|agg_k_full</v>
      </c>
    </row>
    <row r="27" spans="1:37" ht="15" customHeight="1" x14ac:dyDescent="0.3">
      <c r="A27" s="6" t="s">
        <v>300</v>
      </c>
      <c r="B27" s="6" t="s">
        <v>301</v>
      </c>
      <c r="C27" s="6" t="s">
        <v>252</v>
      </c>
      <c r="D27" s="6" t="s">
        <v>308</v>
      </c>
      <c r="E27" s="6" t="s">
        <v>303</v>
      </c>
      <c r="F27" s="6" t="s">
        <v>304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>
        <v>2705</v>
      </c>
      <c r="AH27" s="6" t="s">
        <v>260</v>
      </c>
      <c r="AI27" s="6"/>
      <c r="AJ27" s="6" t="s">
        <v>309</v>
      </c>
      <c r="AK27" s="6" t="str">
        <f t="shared" si="0"/>
        <v>TH_b_design|design|full|h2b_domain_es</v>
      </c>
    </row>
    <row r="28" spans="1:37" ht="15" customHeight="1" x14ac:dyDescent="0.3">
      <c r="A28" s="6" t="s">
        <v>300</v>
      </c>
      <c r="B28" s="6" t="s">
        <v>301</v>
      </c>
      <c r="C28" s="6" t="s">
        <v>252</v>
      </c>
      <c r="D28" s="6" t="s">
        <v>310</v>
      </c>
      <c r="E28" s="6" t="s">
        <v>303</v>
      </c>
      <c r="F28" s="6" t="s">
        <v>304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>
        <v>113</v>
      </c>
      <c r="AH28" s="6" t="s">
        <v>260</v>
      </c>
      <c r="AI28" s="6"/>
      <c r="AJ28" s="6" t="s">
        <v>311</v>
      </c>
      <c r="AK28" s="6" t="str">
        <f t="shared" si="0"/>
        <v>TH_b_design|design|full|h2b_rows</v>
      </c>
    </row>
    <row r="29" spans="1:37" ht="15" customHeight="1" x14ac:dyDescent="0.3">
      <c r="A29" s="6" t="s">
        <v>300</v>
      </c>
      <c r="B29" s="6" t="s">
        <v>301</v>
      </c>
      <c r="C29" s="6" t="s">
        <v>252</v>
      </c>
      <c r="D29" s="6" t="s">
        <v>312</v>
      </c>
      <c r="E29" s="6" t="s">
        <v>303</v>
      </c>
      <c r="F29" s="6" t="s">
        <v>304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>
        <v>82</v>
      </c>
      <c r="AH29" s="6" t="s">
        <v>260</v>
      </c>
      <c r="AI29" s="6"/>
      <c r="AJ29" s="6" t="s">
        <v>313</v>
      </c>
      <c r="AK29" s="6" t="str">
        <f t="shared" si="0"/>
        <v>TH_b_design|design|full|h2b_rows_pre</v>
      </c>
    </row>
    <row r="30" spans="1:37" ht="15" customHeight="1" x14ac:dyDescent="0.3">
      <c r="A30" s="6" t="s">
        <v>300</v>
      </c>
      <c r="B30" s="6" t="s">
        <v>301</v>
      </c>
      <c r="C30" s="6" t="s">
        <v>252</v>
      </c>
      <c r="D30" s="6" t="s">
        <v>314</v>
      </c>
      <c r="E30" s="6" t="s">
        <v>303</v>
      </c>
      <c r="F30" s="6" t="s">
        <v>304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>
        <v>31</v>
      </c>
      <c r="AH30" s="6" t="s">
        <v>260</v>
      </c>
      <c r="AI30" s="6"/>
      <c r="AJ30" s="6" t="s">
        <v>315</v>
      </c>
      <c r="AK30" s="6" t="str">
        <f t="shared" si="0"/>
        <v>TH_b_design|design|full|h2b_rows_post</v>
      </c>
    </row>
    <row r="31" spans="1:37" ht="15" customHeight="1" x14ac:dyDescent="0.3">
      <c r="A31" s="6" t="s">
        <v>300</v>
      </c>
      <c r="B31" s="6" t="s">
        <v>301</v>
      </c>
      <c r="C31" s="6" t="s">
        <v>252</v>
      </c>
      <c r="D31" s="6" t="s">
        <v>316</v>
      </c>
      <c r="E31" s="6" t="s">
        <v>303</v>
      </c>
      <c r="F31" s="6" t="s">
        <v>304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>
        <v>1</v>
      </c>
      <c r="AH31" s="6" t="s">
        <v>260</v>
      </c>
      <c r="AI31" s="6"/>
      <c r="AJ31" s="6" t="s">
        <v>317</v>
      </c>
      <c r="AK31" s="6" t="str">
        <f t="shared" si="0"/>
        <v>TH_b_design|design|full|h2b_both_period_clusters</v>
      </c>
    </row>
  </sheetData>
  <autoFilter ref="A1:AK31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"/>
  <sheetViews>
    <sheetView zoomScaleNormal="100" workbookViewId="0"/>
  </sheetViews>
  <sheetFormatPr baseColWidth="10" defaultColWidth="8.6640625" defaultRowHeight="14.4" x14ac:dyDescent="0.3"/>
  <cols>
    <col min="1" max="1" width="26" customWidth="1"/>
    <col min="2" max="4" width="13" customWidth="1"/>
    <col min="5" max="5" width="10" customWidth="1"/>
    <col min="6" max="6" width="8" customWidth="1"/>
    <col min="7" max="7" width="10" customWidth="1"/>
    <col min="8" max="8" width="8" customWidth="1"/>
    <col min="9" max="9" width="10" customWidth="1"/>
    <col min="10" max="10" width="8" customWidth="1"/>
    <col min="11" max="11" width="110" customWidth="1"/>
  </cols>
  <sheetData>
    <row r="1" spans="1:11" ht="15" customHeight="1" x14ac:dyDescent="0.3">
      <c r="A1" s="1" t="s">
        <v>318</v>
      </c>
    </row>
    <row r="2" spans="1:11" ht="15" customHeight="1" x14ac:dyDescent="0.3">
      <c r="A2" s="2" t="s">
        <v>319</v>
      </c>
    </row>
    <row r="3" spans="1:11" ht="15" customHeight="1" x14ac:dyDescent="0.3">
      <c r="A3" s="2" t="s">
        <v>320</v>
      </c>
    </row>
    <row r="5" spans="1:11" ht="15" customHeight="1" x14ac:dyDescent="0.3">
      <c r="A5" s="3" t="s">
        <v>247</v>
      </c>
      <c r="B5" s="3" t="s">
        <v>321</v>
      </c>
      <c r="C5" s="3" t="s">
        <v>322</v>
      </c>
      <c r="D5" s="3" t="s">
        <v>323</v>
      </c>
      <c r="E5" s="3" t="s">
        <v>324</v>
      </c>
      <c r="F5" s="3" t="s">
        <v>325</v>
      </c>
      <c r="G5" s="3" t="s">
        <v>326</v>
      </c>
      <c r="H5" s="3" t="s">
        <v>327</v>
      </c>
      <c r="I5" s="3" t="s">
        <v>328</v>
      </c>
      <c r="J5" s="3" t="s">
        <v>329</v>
      </c>
      <c r="K5" s="3" t="s">
        <v>330</v>
      </c>
    </row>
    <row r="6" spans="1:11" ht="15" customHeight="1" x14ac:dyDescent="0.3">
      <c r="A6" s="8" t="s">
        <v>257</v>
      </c>
      <c r="B6" s="9">
        <f>INDEX(Results_Long!K:K,MATCH("H2a|psma_default|full|mu_avg",Results_Long!AK:AK,0))</f>
        <v>8.1709401868266408E-3</v>
      </c>
      <c r="C6" s="9">
        <f>INDEX(Results_Long!P:P,MATCH("H2a|psma_default|full|mu_avg",Results_Long!AK:AK,0))</f>
        <v>0</v>
      </c>
      <c r="D6" s="9">
        <f>INDEX(Results_Long!Q:Q,MATCH("H2a|psma_default|full|mu_avg",Results_Long!AK:AK,0))</f>
        <v>0.110305265131698</v>
      </c>
      <c r="E6" s="9">
        <f>ROUND(ABS(B6),3)</f>
        <v>8.0000000000000002E-3</v>
      </c>
      <c r="F6" s="6">
        <f>INT(E6)</f>
        <v>0</v>
      </c>
      <c r="G6" s="9">
        <f>ROUND(ABS(C6),3)</f>
        <v>0</v>
      </c>
      <c r="H6" s="6">
        <f>INT(G6)</f>
        <v>0</v>
      </c>
      <c r="I6" s="9">
        <f>ROUND(ABS(D6),3)</f>
        <v>0.11</v>
      </c>
      <c r="J6" s="6">
        <f>INT(I6)</f>
        <v>0</v>
      </c>
      <c r="K6" s="5" t="str">
        <f>"Model-averaged pooled association (RoBMA, PSMA defaults): z = "&amp;IF(B6&lt;0,"-","")&amp;F6&amp;"."&amp;RIGHT(REPT("0",3)&amp;ROUND((E6-F6)*10^3,0),3)&amp;" (95% CI "&amp;IF(C6&lt;0,"-","")&amp;H6&amp;"."&amp;RIGHT(REPT("0",3)&amp;ROUND((G6-H6)*10^3,0),3)&amp;" to "&amp;IF(D6&lt;0,"-","")&amp;J6&amp;"."&amp;RIGHT(REPT("0",3)&amp;ROUND((I6-J6)*10^3,0),3)&amp;")."</f>
        <v>Model-averaged pooled association (RoBMA, PSMA defaults): z = 0.008 (95% CI 0.000 to 0.110).</v>
      </c>
    </row>
    <row r="7" spans="1:11" ht="15" customHeight="1" x14ac:dyDescent="0.3">
      <c r="A7" s="8" t="s">
        <v>264</v>
      </c>
      <c r="B7" s="9">
        <f>INDEX(Results_Long!AG:AG,MATCH("H2a|psma_default|full|bf01_effect",Results_Long!AK:AK,0))</f>
        <v>7.0327784580019701</v>
      </c>
      <c r="C7" s="12">
        <f>1/B7</f>
        <v>0.14219131257606862</v>
      </c>
      <c r="E7" s="9">
        <f>ROUND(ABS(B7),2)</f>
        <v>7.03</v>
      </c>
      <c r="F7" s="6">
        <f>INT(E7)</f>
        <v>7</v>
      </c>
      <c r="G7" s="9">
        <f>ROUND(ABS(C7),3)</f>
        <v>0.14199999999999999</v>
      </c>
      <c r="H7" s="6">
        <f>INT(G7)</f>
        <v>0</v>
      </c>
      <c r="K7" s="5" t="str">
        <f>"Inclusion Bayes factor, pooled-effect component (PSMA defaults): BF01 = "&amp;IF(B7&lt;0,"-","")&amp;F7&amp;"."&amp;RIGHT(REPT("0",2)&amp;ROUND((E7-F7)*10^2,0),2)&amp;" (BF10 = "&amp;IF(C7&lt;0,"-","")&amp;H7&amp;"."&amp;RIGHT(REPT("0",3)&amp;ROUND((G7-H7)*10^3,0),3)&amp;")."</f>
        <v>Inclusion Bayes factor, pooled-effect component (PSMA defaults): BF01 = 7.03 (BF10 = 0.142).</v>
      </c>
    </row>
    <row r="8" spans="1:11" ht="15" customHeight="1" x14ac:dyDescent="0.3">
      <c r="A8" s="8" t="s">
        <v>290</v>
      </c>
      <c r="B8" s="9">
        <f>INDEX(Results_Long!AG:AG,MATCH("H2b|contrast_informed|defined|bf01_period",Results_Long!AK:AK,0))</f>
        <v>1.0349179417433501</v>
      </c>
      <c r="C8" s="12">
        <f>1/B8</f>
        <v>0.96626018321362783</v>
      </c>
      <c r="E8" s="9">
        <f>ROUND(ABS(B8),2)</f>
        <v>1.03</v>
      </c>
      <c r="F8" s="6">
        <f>INT(E8)</f>
        <v>1</v>
      </c>
      <c r="G8" s="9">
        <f>ROUND(ABS(C8),3)</f>
        <v>0.96599999999999997</v>
      </c>
      <c r="H8" s="6">
        <f>INT(G8)</f>
        <v>0</v>
      </c>
      <c r="K8" s="5" t="str">
        <f>"Inclusion Bayes factor, Paris-period moderator (contrast-informed prior): BF01 = "&amp;IF(B8&lt;0,"-","")&amp;F8&amp;"."&amp;RIGHT(REPT("0",2)&amp;ROUND((E8-F8)*10^2,0),2)&amp;" (BF10 = "&amp;IF(C8&lt;0,"-","")&amp;H8&amp;"."&amp;RIGHT(REPT("0",3)&amp;ROUND((G8-H8)*10^3,0),3)&amp;")."</f>
        <v>Inclusion Bayes factor, Paris-period moderator (contrast-informed prior): BF01 = 1.03 (BF10 = 0.966).</v>
      </c>
    </row>
    <row r="9" spans="1:11" ht="15" customHeight="1" x14ac:dyDescent="0.3">
      <c r="A9" s="8" t="s">
        <v>287</v>
      </c>
      <c r="B9" s="9">
        <f>INDEX(Results_Long!K:K,MATCH("H2b|contrast_informed|defined|coef_period",Results_Long!AK:AK,0))</f>
        <v>3.3709677480448699E-3</v>
      </c>
      <c r="C9" s="9">
        <f>INDEX(Results_Long!P:P,MATCH("H2b|contrast_informed|defined|coef_period",Results_Long!AK:AK,0))</f>
        <v>-3.1265933488224602E-2</v>
      </c>
      <c r="D9" s="9">
        <f>INDEX(Results_Long!Q:Q,MATCH("H2b|contrast_informed|defined|coef_period",Results_Long!AK:AK,0))</f>
        <v>4.4514466721296497E-2</v>
      </c>
      <c r="E9" s="9">
        <f>ROUND(ABS(B9),3)</f>
        <v>3.0000000000000001E-3</v>
      </c>
      <c r="F9" s="6">
        <f>INT(E9)</f>
        <v>0</v>
      </c>
      <c r="G9" s="9">
        <f>ROUND(ABS(C9),3)</f>
        <v>3.1E-2</v>
      </c>
      <c r="H9" s="6">
        <f>INT(G9)</f>
        <v>0</v>
      </c>
      <c r="I9" s="9">
        <f>ROUND(ABS(D9),3)</f>
        <v>4.4999999999999998E-2</v>
      </c>
      <c r="J9" s="6">
        <f>INT(I9)</f>
        <v>0</v>
      </c>
      <c r="K9" s="5" t="str">
        <f>"Model-averaged post-minus-pre contrast (contrast-informed): Delta-z = "&amp;IF(B9&lt;0,"-","+")&amp;F9&amp;"."&amp;RIGHT(REPT("0",3)&amp;ROUND((E9-F9)*10^3,0),3)&amp;" (95% CI "&amp;IF(C9&lt;0,"-","+")&amp;H9&amp;"."&amp;RIGHT(REPT("0",3)&amp;ROUND((G9-H9)*10^3,0),3)&amp;" to "&amp;IF(D9&lt;0,"-","+")&amp;J9&amp;"."&amp;RIGHT(REPT("0",3)&amp;ROUND((I9-J9)*10^3,0),3)&amp;")."</f>
        <v>Model-averaged post-minus-pre contrast (contrast-informed): Delta-z = +0.003 (95% CI -0.031 to +0.045).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zoomScaleNormal="100" workbookViewId="0"/>
  </sheetViews>
  <sheetFormatPr baseColWidth="10" defaultColWidth="8.6640625" defaultRowHeight="14.4" x14ac:dyDescent="0.3"/>
  <cols>
    <col min="1" max="1" width="8" customWidth="1"/>
    <col min="2" max="2" width="26" customWidth="1"/>
    <col min="3" max="3" width="16" customWidth="1"/>
    <col min="4" max="4" width="110" customWidth="1"/>
    <col min="5" max="5" width="34" customWidth="1"/>
    <col min="6" max="6" width="30" customWidth="1"/>
  </cols>
  <sheetData>
    <row r="1" spans="1:6" ht="15" customHeight="1" x14ac:dyDescent="0.3">
      <c r="A1" s="1" t="s">
        <v>331</v>
      </c>
    </row>
    <row r="2" spans="1:6" ht="15" customHeight="1" x14ac:dyDescent="0.3">
      <c r="A2" s="2" t="s">
        <v>332</v>
      </c>
    </row>
    <row r="3" spans="1:6" ht="15" customHeight="1" x14ac:dyDescent="0.3">
      <c r="A3" s="2" t="s">
        <v>333</v>
      </c>
    </row>
    <row r="5" spans="1:6" ht="15" customHeight="1" x14ac:dyDescent="0.3">
      <c r="A5" s="3" t="s">
        <v>334</v>
      </c>
      <c r="B5" s="3" t="s">
        <v>335</v>
      </c>
      <c r="C5" s="3" t="s">
        <v>336</v>
      </c>
      <c r="D5" s="3" t="s">
        <v>337</v>
      </c>
      <c r="E5" s="3" t="s">
        <v>338</v>
      </c>
      <c r="F5" s="3" t="s">
        <v>339</v>
      </c>
    </row>
    <row r="6" spans="1:6" ht="79.8" customHeight="1" x14ac:dyDescent="0.3">
      <c r="A6" s="8" t="s">
        <v>340</v>
      </c>
      <c r="B6" s="5" t="s">
        <v>341</v>
      </c>
      <c r="C6" s="15" t="s">
        <v>342</v>
      </c>
      <c r="D6" s="5" t="s">
        <v>343</v>
      </c>
      <c r="E6" s="5" t="s">
        <v>344</v>
      </c>
      <c r="F6" s="5"/>
    </row>
    <row r="7" spans="1:6" ht="46.2" customHeight="1" x14ac:dyDescent="0.3">
      <c r="A7" s="8" t="s">
        <v>345</v>
      </c>
      <c r="B7" s="5" t="s">
        <v>346</v>
      </c>
      <c r="C7" s="15" t="s">
        <v>342</v>
      </c>
      <c r="D7" s="5" t="s">
        <v>347</v>
      </c>
      <c r="E7" s="5" t="s">
        <v>348</v>
      </c>
      <c r="F7" s="5"/>
    </row>
    <row r="8" spans="1:6" ht="35.1" customHeight="1" x14ac:dyDescent="0.3">
      <c r="A8" s="8" t="s">
        <v>349</v>
      </c>
      <c r="B8" s="5" t="s">
        <v>350</v>
      </c>
      <c r="C8" s="15" t="s">
        <v>342</v>
      </c>
      <c r="D8" s="5" t="s">
        <v>351</v>
      </c>
      <c r="E8" s="5" t="s">
        <v>352</v>
      </c>
      <c r="F8" s="5" t="s">
        <v>353</v>
      </c>
    </row>
    <row r="9" spans="1:6" ht="68.7" customHeight="1" x14ac:dyDescent="0.3">
      <c r="A9" s="8" t="s">
        <v>354</v>
      </c>
      <c r="B9" s="5" t="s">
        <v>355</v>
      </c>
      <c r="C9" s="16" t="s">
        <v>342</v>
      </c>
      <c r="D9" s="5" t="s">
        <v>356</v>
      </c>
      <c r="E9" s="5" t="s">
        <v>357</v>
      </c>
      <c r="F9" s="5" t="s">
        <v>358</v>
      </c>
    </row>
    <row r="10" spans="1:6" ht="23.85" customHeight="1" x14ac:dyDescent="0.3">
      <c r="A10" s="8" t="s">
        <v>359</v>
      </c>
      <c r="B10" s="5" t="s">
        <v>360</v>
      </c>
      <c r="C10" s="17" t="s">
        <v>342</v>
      </c>
      <c r="D10" s="5" t="s">
        <v>361</v>
      </c>
      <c r="E10" s="5" t="s">
        <v>362</v>
      </c>
      <c r="F10" s="5" t="s">
        <v>363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1_README</vt:lpstr>
      <vt:lpstr>2_Methodology</vt:lpstr>
      <vt:lpstr>3_Interpretation_Guide</vt:lpstr>
      <vt:lpstr>4_Formula_Reference</vt:lpstr>
      <vt:lpstr>5_Data_Provenance</vt:lpstr>
      <vt:lpstr>6_H2a_Level</vt:lpstr>
      <vt:lpstr>7_H2b_Moderation</vt:lpstr>
      <vt:lpstr>Results_Long</vt:lpstr>
      <vt:lpstr>Manuscript_Inputs</vt:lpstr>
      <vt:lpstr>Manuscript_Text_Blocks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Witte</cp:lastModifiedBy>
  <cp:revision>0</cp:revision>
  <dcterms:created xsi:type="dcterms:W3CDTF">2026-07-27T14:58:13Z</dcterms:created>
  <dcterms:modified xsi:type="dcterms:W3CDTF">2026-08-04T21:34:14Z</dcterms:modified>
  <dc:language>en-US</dc:language>
</cp:coreProperties>
</file>