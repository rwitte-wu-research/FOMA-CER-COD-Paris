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_Projects\FOMA-CER-COD-Paris\output\"/>
    </mc:Choice>
  </mc:AlternateContent>
  <xr:revisionPtr revIDLastSave="0" documentId="11_A7AE2E83D3ADFB5C019A69F096EE3CBB906E97BA" xr6:coauthVersionLast="47" xr6:coauthVersionMax="47" xr10:uidLastSave="{00000000-0000-0000-0000-000000000000}"/>
  <bookViews>
    <workbookView xWindow="-108" yWindow="-108" windowWidth="23256" windowHeight="13896" tabRatio="500" firstSheet="7" activeTab="10" xr2:uid="{00000000-000D-0000-FFFF-FFFF00000000}"/>
  </bookViews>
  <sheets>
    <sheet name="1_README" sheetId="1" r:id="rId1"/>
    <sheet name="2_Methodology" sheetId="2" r:id="rId2"/>
    <sheet name="3_Interpretation_Guide" sheetId="3" r:id="rId3"/>
    <sheet name="4_Formula_Reference" sheetId="4" r:id="rId4"/>
    <sheet name="5_Data_Provenance" sheetId="5" r:id="rId5"/>
    <sheet name="6_T8_Design" sheetId="6" r:id="rId6"/>
    <sheet name="7_B2_Dose" sheetId="7" r:id="rId7"/>
    <sheet name="8_B4_Trend_vs_Break" sheetId="8" r:id="rId8"/>
    <sheet name="9_B5_Composition" sheetId="9" r:id="rId9"/>
    <sheet name="10_B8_Bounding" sheetId="10" r:id="rId10"/>
    <sheet name="Results_Long" sheetId="11" r:id="rId11"/>
    <sheet name="Manuscript_Inputs" sheetId="12" r:id="rId12"/>
    <sheet name="Manuscript_Text_Blocks" sheetId="13" r:id="rId13"/>
  </sheets>
  <definedNames>
    <definedName name="_xlnm._FilterDatabase" localSheetId="10" hidden="1">Results_Long!$A$1:$AJ$84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2" l="1"/>
  <c r="E14" i="12"/>
  <c r="E13" i="12"/>
  <c r="E12" i="12"/>
  <c r="E11" i="12"/>
  <c r="E10" i="12"/>
  <c r="E9" i="12"/>
  <c r="E8" i="12"/>
  <c r="E7" i="12"/>
  <c r="E6" i="12"/>
  <c r="AH84" i="11"/>
  <c r="AH83" i="11"/>
  <c r="AH82" i="11"/>
  <c r="AH81" i="11"/>
  <c r="AH80" i="11"/>
  <c r="AH79" i="11"/>
  <c r="AH78" i="11"/>
  <c r="AH77" i="11"/>
  <c r="AH76" i="11"/>
  <c r="AH75" i="11"/>
  <c r="AH74" i="11"/>
  <c r="AH73" i="11"/>
  <c r="AH72" i="11"/>
  <c r="AH71" i="11"/>
  <c r="AH70" i="11"/>
  <c r="AH69" i="11"/>
  <c r="AH68" i="11"/>
  <c r="AH67" i="11"/>
  <c r="AH66" i="11"/>
  <c r="AH65" i="11"/>
  <c r="AH64" i="11"/>
  <c r="AH63" i="11"/>
  <c r="AH62" i="11"/>
  <c r="AH61" i="11"/>
  <c r="AH60" i="11"/>
  <c r="AH59" i="11"/>
  <c r="AH58" i="11"/>
  <c r="AH57" i="11"/>
  <c r="AH56" i="11"/>
  <c r="AH55" i="11"/>
  <c r="AH54" i="11"/>
  <c r="AH53" i="11"/>
  <c r="AH52" i="11"/>
  <c r="AH51" i="11"/>
  <c r="AH50" i="11"/>
  <c r="AH49" i="11"/>
  <c r="AH48" i="11"/>
  <c r="AH47" i="11"/>
  <c r="AH46" i="11"/>
  <c r="AH45" i="11"/>
  <c r="AH44" i="11"/>
  <c r="AH43" i="11"/>
  <c r="AH42" i="11"/>
  <c r="AH41" i="11"/>
  <c r="AH40" i="11"/>
  <c r="AH39" i="11"/>
  <c r="AH38" i="11"/>
  <c r="AH37" i="11"/>
  <c r="AH36" i="11"/>
  <c r="AH35" i="11"/>
  <c r="AH34" i="11"/>
  <c r="AH33" i="11"/>
  <c r="AH32" i="11"/>
  <c r="AH31" i="11"/>
  <c r="AH30" i="11"/>
  <c r="AH29" i="11"/>
  <c r="AH28" i="11"/>
  <c r="AH27" i="11"/>
  <c r="AH26" i="11"/>
  <c r="AH25" i="11"/>
  <c r="AH24" i="11"/>
  <c r="AH23" i="11"/>
  <c r="AH22" i="11"/>
  <c r="AH21" i="11"/>
  <c r="AH20" i="11"/>
  <c r="AH19" i="11"/>
  <c r="AH18" i="11"/>
  <c r="AH17" i="11"/>
  <c r="AH16" i="11"/>
  <c r="AH15" i="11"/>
  <c r="AH14" i="11"/>
  <c r="AH13" i="11"/>
  <c r="AH12" i="11"/>
  <c r="AH11" i="11"/>
  <c r="AH10" i="11"/>
  <c r="AH9" i="11"/>
  <c r="AH8" i="11"/>
  <c r="AH7" i="11"/>
  <c r="AH6" i="11"/>
  <c r="AH5" i="11"/>
  <c r="AH4" i="11"/>
  <c r="AH3" i="11"/>
  <c r="AH2" i="11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B20" i="9"/>
  <c r="F18" i="9"/>
  <c r="E18" i="9"/>
  <c r="C18" i="9"/>
  <c r="F17" i="9"/>
  <c r="E17" i="9"/>
  <c r="C17" i="9"/>
  <c r="K16" i="9"/>
  <c r="J16" i="9"/>
  <c r="I16" i="9"/>
  <c r="H16" i="9"/>
  <c r="G16" i="9"/>
  <c r="F16" i="9"/>
  <c r="E16" i="9"/>
  <c r="D16" i="9"/>
  <c r="C16" i="9"/>
  <c r="B16" i="9"/>
  <c r="K15" i="9"/>
  <c r="J15" i="9"/>
  <c r="I15" i="9"/>
  <c r="H15" i="9"/>
  <c r="G15" i="9"/>
  <c r="F15" i="9"/>
  <c r="E15" i="9"/>
  <c r="D15" i="9"/>
  <c r="C15" i="9"/>
  <c r="B15" i="9"/>
  <c r="K14" i="9"/>
  <c r="J14" i="9"/>
  <c r="I14" i="9"/>
  <c r="H14" i="9"/>
  <c r="G14" i="9"/>
  <c r="F14" i="9"/>
  <c r="E14" i="9"/>
  <c r="D14" i="9"/>
  <c r="C14" i="9"/>
  <c r="B14" i="9"/>
  <c r="K13" i="9"/>
  <c r="J13" i="9"/>
  <c r="I13" i="9"/>
  <c r="H13" i="9"/>
  <c r="G13" i="9"/>
  <c r="F13" i="9"/>
  <c r="E13" i="9"/>
  <c r="D13" i="9"/>
  <c r="C13" i="9"/>
  <c r="B13" i="9"/>
  <c r="K12" i="9"/>
  <c r="J12" i="9"/>
  <c r="I12" i="9"/>
  <c r="H12" i="9"/>
  <c r="G12" i="9"/>
  <c r="F12" i="9"/>
  <c r="E12" i="9"/>
  <c r="D12" i="9"/>
  <c r="C12" i="9"/>
  <c r="B12" i="9"/>
  <c r="K11" i="9"/>
  <c r="J11" i="9"/>
  <c r="I11" i="9"/>
  <c r="H11" i="9"/>
  <c r="G11" i="9"/>
  <c r="F11" i="9"/>
  <c r="E11" i="9"/>
  <c r="D11" i="9"/>
  <c r="C11" i="9"/>
  <c r="B11" i="9"/>
  <c r="K10" i="9"/>
  <c r="J10" i="9"/>
  <c r="I10" i="9"/>
  <c r="H10" i="9"/>
  <c r="G10" i="9"/>
  <c r="F10" i="9"/>
  <c r="E10" i="9"/>
  <c r="D10" i="9"/>
  <c r="C10" i="9"/>
  <c r="B10" i="9"/>
  <c r="K9" i="9"/>
  <c r="J9" i="9"/>
  <c r="I9" i="9"/>
  <c r="H9" i="9"/>
  <c r="G9" i="9"/>
  <c r="F9" i="9"/>
  <c r="E9" i="9"/>
  <c r="D9" i="9"/>
  <c r="C9" i="9"/>
  <c r="B9" i="9"/>
  <c r="K8" i="9"/>
  <c r="J8" i="9"/>
  <c r="I8" i="9"/>
  <c r="H8" i="9"/>
  <c r="G8" i="9"/>
  <c r="F8" i="9"/>
  <c r="E8" i="9"/>
  <c r="D8" i="9"/>
  <c r="C8" i="9"/>
  <c r="B8" i="9"/>
  <c r="K7" i="9"/>
  <c r="J7" i="9"/>
  <c r="I7" i="9"/>
  <c r="H7" i="9"/>
  <c r="G7" i="9"/>
  <c r="F7" i="9"/>
  <c r="E7" i="9"/>
  <c r="D7" i="9"/>
  <c r="C7" i="9"/>
  <c r="B7" i="9"/>
  <c r="K6" i="9"/>
  <c r="J6" i="9"/>
  <c r="I6" i="9"/>
  <c r="H6" i="9"/>
  <c r="G6" i="9"/>
  <c r="F6" i="9"/>
  <c r="E6" i="9"/>
  <c r="D6" i="9"/>
  <c r="C6" i="9"/>
  <c r="B6" i="9"/>
  <c r="B27" i="8"/>
  <c r="H26" i="8"/>
  <c r="G26" i="8"/>
  <c r="F26" i="8"/>
  <c r="E26" i="8"/>
  <c r="D26" i="8"/>
  <c r="C26" i="8"/>
  <c r="H25" i="8"/>
  <c r="G25" i="8"/>
  <c r="F25" i="8"/>
  <c r="E25" i="8"/>
  <c r="D25" i="8"/>
  <c r="C25" i="8"/>
  <c r="H24" i="8"/>
  <c r="G24" i="8"/>
  <c r="F24" i="8"/>
  <c r="E24" i="8"/>
  <c r="D24" i="8"/>
  <c r="C24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F15" i="8"/>
  <c r="E15" i="8"/>
  <c r="C15" i="8"/>
  <c r="K14" i="8"/>
  <c r="J14" i="8"/>
  <c r="I14" i="8"/>
  <c r="H14" i="8"/>
  <c r="G14" i="8"/>
  <c r="F14" i="8"/>
  <c r="E14" i="8"/>
  <c r="D14" i="8"/>
  <c r="C14" i="8"/>
  <c r="B14" i="8"/>
  <c r="K13" i="8"/>
  <c r="J13" i="8"/>
  <c r="I13" i="8"/>
  <c r="H13" i="8"/>
  <c r="G13" i="8"/>
  <c r="F13" i="8"/>
  <c r="E13" i="8"/>
  <c r="D13" i="8"/>
  <c r="C13" i="8"/>
  <c r="B13" i="8"/>
  <c r="K12" i="8"/>
  <c r="J12" i="8"/>
  <c r="I12" i="8"/>
  <c r="H12" i="8"/>
  <c r="G12" i="8"/>
  <c r="F12" i="8"/>
  <c r="E12" i="8"/>
  <c r="D12" i="8"/>
  <c r="C12" i="8"/>
  <c r="B12" i="8"/>
  <c r="K11" i="8"/>
  <c r="J11" i="8"/>
  <c r="I11" i="8"/>
  <c r="H11" i="8"/>
  <c r="G11" i="8"/>
  <c r="F11" i="8"/>
  <c r="E11" i="8"/>
  <c r="D11" i="8"/>
  <c r="C11" i="8"/>
  <c r="B11" i="8"/>
  <c r="K10" i="8"/>
  <c r="J10" i="8"/>
  <c r="I10" i="8"/>
  <c r="H10" i="8"/>
  <c r="G10" i="8"/>
  <c r="F10" i="8"/>
  <c r="E10" i="8"/>
  <c r="D10" i="8"/>
  <c r="C10" i="8"/>
  <c r="B10" i="8"/>
  <c r="K9" i="8"/>
  <c r="J9" i="8"/>
  <c r="I9" i="8"/>
  <c r="H9" i="8"/>
  <c r="G9" i="8"/>
  <c r="F9" i="8"/>
  <c r="E9" i="8"/>
  <c r="D9" i="8"/>
  <c r="C9" i="8"/>
  <c r="B9" i="8"/>
  <c r="K8" i="8"/>
  <c r="J8" i="8"/>
  <c r="I8" i="8"/>
  <c r="H8" i="8"/>
  <c r="G8" i="8"/>
  <c r="F8" i="8"/>
  <c r="E8" i="8"/>
  <c r="D8" i="8"/>
  <c r="C8" i="8"/>
  <c r="B8" i="8"/>
  <c r="K7" i="8"/>
  <c r="J7" i="8"/>
  <c r="I7" i="8"/>
  <c r="H7" i="8"/>
  <c r="G7" i="8"/>
  <c r="F7" i="8"/>
  <c r="E7" i="8"/>
  <c r="D7" i="8"/>
  <c r="C7" i="8"/>
  <c r="B7" i="8"/>
  <c r="K6" i="8"/>
  <c r="J6" i="8"/>
  <c r="I6" i="8"/>
  <c r="H6" i="8"/>
  <c r="G6" i="8"/>
  <c r="F6" i="8"/>
  <c r="E6" i="8"/>
  <c r="D6" i="8"/>
  <c r="C6" i="8"/>
  <c r="B6" i="8"/>
  <c r="F15" i="7"/>
  <c r="E15" i="7"/>
  <c r="C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</calcChain>
</file>

<file path=xl/sharedStrings.xml><?xml version="1.0" encoding="utf-8"?>
<sst xmlns="http://schemas.openxmlformats.org/spreadsheetml/2006/main" count="1101" uniqueCount="538">
  <si>
    <t>FOMA CER–COD — T8 results workbook (Paris identification battery, Block B: B2/B4/B5/B8)</t>
  </si>
  <si>
    <t>Template: docs/results_workbook_template.md (binding) · built by project chat from output/T8_results.csv</t>
  </si>
  <si>
    <t>run 2026-07-15 21:54 CEST · verifier 27/27 PASS · commit 76074a2 (gate 3d7d0c8)</t>
  </si>
  <si>
    <t>Item</t>
  </si>
  <si>
    <t>Value</t>
  </si>
  <si>
    <t>Version</t>
  </si>
  <si>
    <t>T8 v5 — R/08_identification.R @ 76074a2; Gate-2 GO 2026-07-15 @ 3d7d0c8</t>
  </si>
  <si>
    <t>Method</t>
  </si>
  <si>
    <t>3-level RVE (rma.mv REML, ~1|cluster_id/study/esid; V rho=0.6 on cluster_id; CR2/Satterthwaite) — identification battery: race, placebos, segmented MR, dose, composition, bounding</t>
  </si>
  <si>
    <t>Scope</t>
  </si>
  <si>
    <t>dose/period domain: 2,705 ES / 113 studies / 112 clusters [DEC-042b]</t>
  </si>
  <si>
    <t>Repo</t>
  </si>
  <si>
    <t>rwitte-wu-research/FOMA-CER-COD-Paris (main)</t>
  </si>
  <si>
    <t>Stack</t>
  </si>
  <si>
    <t>R 4.6.1 · metafor 5.0-1 · clubSandwich 0.7.0 · renv 1.2.3 (lockfile)</t>
  </si>
  <si>
    <t>Scripts</t>
  </si>
  <si>
    <t>R/08_identification.R (v5) + R/08_verify_outputs.R (27 checks)</t>
  </si>
  <si>
    <t>Decision basis</t>
  </si>
  <si>
    <t>DEC-007/021/024/024a · DEC-031 + 031a/c/d/e · DEC-042a/b · plan Addendum A.2/A.3/A.9/A.10</t>
  </si>
  <si>
    <t>TAB-INDEX</t>
  </si>
  <si>
    <t>1_README</t>
  </si>
  <si>
    <t>this tab</t>
  </si>
  <si>
    <t>2_Methodology</t>
  </si>
  <si>
    <t>quantity → construction → reference</t>
  </si>
  <si>
    <t>3_Interpretation_Guide</t>
  </si>
  <si>
    <t>how to read; decision rules</t>
  </si>
  <si>
    <t>4_Formula_Reference</t>
  </si>
  <si>
    <t>exact R calls</t>
  </si>
  <si>
    <t>5_Data_Provenance</t>
  </si>
  <si>
    <t>domain, md5, run, verifier, pins</t>
  </si>
  <si>
    <t>6_T8_Design</t>
  </si>
  <si>
    <t>design constants (11 rows)</t>
  </si>
  <si>
    <t>7_B2_Dose</t>
  </si>
  <si>
    <t>dose model + predictions + contrasts</t>
  </si>
  <si>
    <t>8_B4_Trend_vs_Break</t>
  </si>
  <si>
    <t>race, placebos, segmented</t>
  </si>
  <si>
    <t>9_B5_Composition</t>
  </si>
  <si>
    <t>composition control</t>
  </si>
  <si>
    <t>10_B8_Bounding</t>
  </si>
  <si>
    <t>Oster analog + E-values</t>
  </si>
  <si>
    <t>Results_Long</t>
  </si>
  <si>
    <t>verbatim run CSV — single formula source</t>
  </si>
  <si>
    <t>Manuscript_Inputs</t>
  </si>
  <si>
    <t>ms_input rows, formula-derived strings</t>
  </si>
  <si>
    <t>Manuscript_Text_Blocks</t>
  </si>
  <si>
    <t>TB-20…TB-28 (EN, framing-neutral)</t>
  </si>
  <si>
    <t>Methodology — T8 identification battery</t>
  </si>
  <si>
    <t>Quantity | Formula / Construction | Reference</t>
  </si>
  <si>
    <t>Quantity</t>
  </si>
  <si>
    <t>Formula / Construction</t>
  </si>
  <si>
    <t>Reference</t>
  </si>
  <si>
    <t>V matrix</t>
  </si>
  <si>
    <t>impute_covariance_matrix(vi, cluster = cluster_id, r = 0.6)</t>
  </si>
  <si>
    <t>[DEC-017; D31.1; F56]</t>
  </si>
  <si>
    <t>Random structure</t>
  </si>
  <si>
    <t>~ 1 | cluster_id/study/esid (REML, sparse)</t>
  </si>
  <si>
    <t>[D31.1; plan A.2]</t>
  </si>
  <si>
    <t>Inference</t>
  </si>
  <si>
    <t>CR2 + Satterthwaite on cluster_id (coef_test / conf_int / linear_contrast; Wald HTZ)</t>
  </si>
  <si>
    <t>[Tipton &amp; Pustejovsky 2015; plan §3]</t>
  </si>
  <si>
    <t>Placebo recode</t>
  </si>
  <si>
    <t>share_Y = clip((end−Y+1)/(end−start+1),0,1); pp_Y = 1{share_Y ≥ 0.5}, ties→Post; 2016 identity gate</t>
  </si>
  <si>
    <t>[DEC-024a; DEC-024]</t>
  </si>
  <si>
    <t>break_only</t>
  </si>
  <si>
    <t>cell-means ~ 0 + factor(pp); diff = CR2 contrast (−1,+1) — T2/B1 convention</t>
  </si>
  <si>
    <t>[DEC-031e]</t>
  </si>
  <si>
    <t>Dose predictions</t>
  </si>
  <si>
    <t>z̄(s) at calendar 2015.5 via offset (KNOT − CENTER); contrasts on dose slope</t>
  </si>
  <si>
    <t>[DEC-024; plan A.9]</t>
  </si>
  <si>
    <t>Composition set</t>
  </si>
  <si>
    <t>{country_region, COD_instrument, CER_measure}; refs {1_US, loan, performance}; 99_NCE own level</t>
  </si>
  <si>
    <t>[DEC-031d; F61]</t>
  </si>
  <si>
    <t>Oster analog</t>
  </si>
  <si>
    <t>R² = 1 − Σσ²_m/Σσ²_0; uncontrolled = race, controlled = trend_composition; Rmax = min(1.3·R²_c, 1); β*(δ=1); δ*</t>
  </si>
  <si>
    <t>[Oster 2019; DEC-031d P1]</t>
  </si>
  <si>
    <t>E-value</t>
  </si>
  <si>
    <t>r→d = 2r/√(1−r²); RR ≈ exp(0.91·d); E = RR + √(RR(RR−1))</t>
  </si>
  <si>
    <t>[VanderWeele &amp; Ding 2017]</t>
  </si>
  <si>
    <t>SESOI band</t>
  </si>
  <si>
    <t>|r| = 0.070 primary (F27v2); |Δr| = 0.05 secondary; read-out Δβ + adjusted CI, not p</t>
  </si>
  <si>
    <t>[DEC-031 Block E; F61-P3]</t>
  </si>
  <si>
    <t>Interpretation guide</t>
  </si>
  <si>
    <t>Quantity | Meaning | Decision rule</t>
  </si>
  <si>
    <t>Meaning</t>
  </si>
  <si>
    <t>Decision rule</t>
  </si>
  <si>
    <t>diff / contrast (z)</t>
  </si>
  <si>
    <t>difference of Fisher-z means; |Δz| ≈ |Δr| at these magnitudes (3rd-order approx)</t>
  </si>
  <si>
    <t>no tanh transform of differences; z-only rows</t>
  </si>
  <si>
    <t>SESOI read-out</t>
  </si>
  <si>
    <t>Δβ vs anchor + adjusted CI against the SESOI band</t>
  </si>
  <si>
    <t>inside ±0.070 (primary) → precise null; ±0.05 secondary reported [F61-P3]</t>
  </si>
  <si>
    <t>df transfer rule</t>
  </si>
  <si>
    <t>Satterthwaite df on the coefficient</t>
  </si>
  <si>
    <t>df ≥ 5 full inference; df &lt; 4–5 descriptive [DEC-024]; flags in note</t>
  </si>
  <si>
    <t>Placebo rank</t>
  </si>
  <si>
    <t>rank of |2016 break| among 9 cutoffs (1 = largest)</t>
  </si>
  <si>
    <t>localization requires rank ≈ 1; high rank = no treaty-specific break</t>
  </si>
  <si>
    <t>pseudo-R²</t>
  </si>
  <si>
    <t>variance-component reduction vs intercept-only</t>
  </si>
  <si>
    <t>can be negative under REML — disclosed, not an error</t>
  </si>
  <si>
    <t>δ* (Oster)</t>
  </si>
  <si>
    <t>selection strength driving β to 0</t>
  </si>
  <si>
    <t>mechanically unstable near a null; read jointly with β* and mask E-values</t>
  </si>
  <si>
    <t>min. confounding RR to explain / mask an association</t>
  </si>
  <si>
    <t>small E on residual = fragile signal; small E on mask = bounding not the pillar</t>
  </si>
  <si>
    <t>Formula reference — exact R calls</t>
  </si>
  <si>
    <t>Quantity | R call | Script section</t>
  </si>
  <si>
    <t>R call</t>
  </si>
  <si>
    <t>Reference / script section</t>
  </si>
  <si>
    <t>Fit spine</t>
  </si>
  <si>
    <t>rma.mv(zi, V6, mods, random=~1|cluster_id/study/esid, sparse=TRUE, method="REML")</t>
  </si>
  <si>
    <t>fit3l(), §2</t>
  </si>
  <si>
    <t>CR2 vcov</t>
  </si>
  <si>
    <t>vcovCR(m, cluster = cluster_id, type = "CR2")</t>
  </si>
  <si>
    <t>vcr(), §2</t>
  </si>
  <si>
    <t>Coefficients</t>
  </si>
  <si>
    <t>coef_test(m, vcov, test="Satterthwaite"); conf_int(m, vcov, level=.95)</t>
  </si>
  <si>
    <t>coef_rows(), §2</t>
  </si>
  <si>
    <t>Predictions/contrasts</t>
  </si>
  <si>
    <t>linear_contrast(m, vcov, contrasts = rbind(Lp, Lc), level=.95)</t>
  </si>
  <si>
    <t>pred_contrast_rows(), §4</t>
  </si>
  <si>
    <t>Wald</t>
  </si>
  <si>
    <t>Wald_test(m, constrain_zero(idx), vcov, test="HTZ")</t>
  </si>
  <si>
    <t>wald_row(), §2</t>
  </si>
  <si>
    <t>break_only diff</t>
  </si>
  <si>
    <t>linear_contrast(mB, vcov, contrasts = rbind(diff = c(-1, 1)))</t>
  </si>
  <si>
    <t>§5 [DEC-031e]</t>
  </si>
  <si>
    <t>share_Y</t>
  </si>
  <si>
    <t>pmin(pmax((d_sample_end − Y + 1)/L, 0), 1); L = end − start + 1</t>
  </si>
  <si>
    <t>share_y(), §1 [DEC-024a]</t>
  </si>
  <si>
    <t>d = 2r/sqrt(1−r²); RR = exp(0.91·d); E = RR + sqrt(RR·(RR−1))</t>
  </si>
  <si>
    <t>evalue_r(), §7</t>
  </si>
  <si>
    <t>Data provenance &amp; run record</t>
  </si>
  <si>
    <t>Item | Value | Source</t>
  </si>
  <si>
    <t>Source</t>
  </si>
  <si>
    <t>Estimation set</t>
  </si>
  <si>
    <t>2,713 ES / 115 studies / 114 clusters</t>
  </si>
  <si>
    <t>[DEC-042a]</t>
  </si>
  <si>
    <t>Dose/period domain</t>
  </si>
  <si>
    <t>2,705 ES / 113 studies / 112 clusters; delta = 8 ES / 2 studies / 2 clusters (Bhattacharya &amp; Sharma 2019; Ng &amp; Rezaee 2012), listwise on window codings</t>
  </si>
  <si>
    <t>[DEC-042b; F61-P2]</t>
  </si>
  <si>
    <t>dat_prep md5</t>
  </si>
  <si>
    <t>6702ef3dc45fe0b693b13f50ebd1576b</t>
  </si>
  <si>
    <t>output/T8_run_meta.txt</t>
  </si>
  <si>
    <t>pr$n / pr$seed</t>
  </si>
  <si>
    <t>2713 / 20260710 (contract asserted)</t>
  </si>
  <si>
    <t>run_meta</t>
  </si>
  <si>
    <t>Spec revision</t>
  </si>
  <si>
    <t>R/08_identification.R v5 @ 76074a2; Gate-2 GO @ 3d7d0c8</t>
  </si>
  <si>
    <t>git</t>
  </si>
  <si>
    <t>Run / verifier</t>
  </si>
  <si>
    <t>2026-07-15 21:54:41 CEST · 27/27 PASS, exit 0 · O15 replication at machine precision (Δ ≈ 1e-16)</t>
  </si>
  <si>
    <t>CC transcript; independent re-check project chat</t>
  </si>
  <si>
    <t>CENTER / OFFSET</t>
  </si>
  <si>
    <t>sample_mid_c centered at 2012.257855823 (grand mean); predictions at calendar 2015.5 via offset 3.242144177</t>
  </si>
  <si>
    <t>run_meta; design row</t>
  </si>
  <si>
    <t>mB parameterization</t>
  </si>
  <si>
    <t>cell-means per DEC-031e after nlminb false convergence (σ²_study boundary); 17/17 convergence certificates in run_meta</t>
  </si>
  <si>
    <t>F60 placebo cells</t>
  </si>
  <si>
    <t>2008: 2367/100/99 … 2015: 784/38/38 (pinned, verifier O9)</t>
  </si>
  <si>
    <t>[DEC-024a]</t>
  </si>
  <si>
    <t>Known warnings</t>
  </si>
  <si>
    <t>impute_covariance_matrix() deprecation (frozen-in F56 behavior)</t>
  </si>
  <si>
    <t>CC transcript</t>
  </si>
  <si>
    <t>T8 design constants (result-blind, v12-derived)</t>
  </si>
  <si>
    <t>value column formula-linked to Results_Long</t>
  </si>
  <si>
    <t>Constant</t>
  </si>
  <si>
    <t>Note (verbatim CSV)</t>
  </si>
  <si>
    <t>subset_dose_period</t>
  </si>
  <si>
    <t>period_na</t>
  </si>
  <si>
    <t>post_cell_2016</t>
  </si>
  <si>
    <t>corr_sample_mid_share</t>
  </si>
  <si>
    <t>share_distinct</t>
  </si>
  <si>
    <t>share_p95_es</t>
  </si>
  <si>
    <t>share_eq1</t>
  </si>
  <si>
    <t>share_eq0</t>
  </si>
  <si>
    <t>center_sample_mid</t>
  </si>
  <si>
    <t>study_mid_median</t>
  </si>
  <si>
    <t>studies_mid_ge2016</t>
  </si>
  <si>
    <t>Verdict: Design constants match the pinned table (verifier O7–O14); p95(share) = 1.0 and corr = 0.8146 supersede the stale §4 pins [plan A.9].</t>
  </si>
  <si>
    <t>B2 — Continuous exposure-dose model [DEC-024]</t>
  </si>
  <si>
    <t>zi ~ sample_mid_c + pp_share_lag0 · predictions at calendar 2015.5 · quadratic check</t>
  </si>
  <si>
    <t>Term</t>
  </si>
  <si>
    <t>k (ES/St/Cl)</t>
  </si>
  <si>
    <t>est_z</t>
  </si>
  <si>
    <t>se_z</t>
  </si>
  <si>
    <t>df</t>
  </si>
  <si>
    <t>p</t>
  </si>
  <si>
    <t>CI_z lb</t>
  </si>
  <si>
    <t>CI_z ub</t>
  </si>
  <si>
    <t>est_r</t>
  </si>
  <si>
    <t>CI_r lb</t>
  </si>
  <si>
    <t>CI_r ub</t>
  </si>
  <si>
    <t>intercept</t>
  </si>
  <si>
    <t>sample_mid_c (per yr)</t>
  </si>
  <si>
    <t>pp_share_lag0 (slope)</t>
  </si>
  <si>
    <t>pred z̄(0)</t>
  </si>
  <si>
    <t>pred z̄(0.6)</t>
  </si>
  <si>
    <t>pred z̄(1)</t>
  </si>
  <si>
    <t>contrast 0→0.6</t>
  </si>
  <si>
    <t>contrast 0→1</t>
  </si>
  <si>
    <t>quad: share²</t>
  </si>
  <si>
    <t>joint share = share² = 0</t>
  </si>
  <si>
    <t>F (HTZ)</t>
  </si>
  <si>
    <t>Interpretation</t>
  </si>
  <si>
    <t>No dose–response gradient: slope p = .271; pinned 0→0.6 contrast +0.031 [−0.026; +0.088]; quadratic p = .332; joint p = .207.</t>
  </si>
  <si>
    <t>Direction of the point estimates is positive (attenuation of the negative CER–COD association with exposure), but imprecise.</t>
  </si>
  <si>
    <t>Model-implied levels stay negative across the dose range (z̄(0) = −0.087 → z̄(1) = −0.035 at calendar 2015.5).</t>
  </si>
  <si>
    <t>Read alongside corr(sample_mid, share) = 0.8146 (design row): dose is interpretable only jointly with the trend [plan §4/A.9].</t>
  </si>
  <si>
    <t>z̄(1): marginal support (318 ES / 13 clusters at share = 1); joint (mid, share) caveat — share = 1 implies mid ≥ 2016.</t>
  </si>
  <si>
    <t>Question</t>
  </si>
  <si>
    <t>Answer</t>
  </si>
  <si>
    <t>Is the positive slope evidence of post-Paris attenuation?</t>
  </si>
  <si>
    <t>As a point direction only; the CI includes 0 and both SESOI anchors — the pre-registered read-out (Δβ + CI vs band) does not support a dose effect.</t>
  </si>
  <si>
    <t>Why evaluate predictions at 2015.5?</t>
  </si>
  <si>
    <t>Knot of the binary coding [A.3]; implemented via offset from the derived centering constant (2012.258), so evaluation is calendar-anchored, not centering-dependent.</t>
  </si>
  <si>
    <t>Why is 0→0.6 the headline contrast when p95(share) = 1.0?</t>
  </si>
  <si>
    <t>Contrast point pinned by role [DEC-024]; the v12 support re-derivation (p95 = 1.0) is disclosed in A.9 — 0→0.6 is now a conservative interior contrast.</t>
  </si>
  <si>
    <t>Verdict: No dose–response gradient in post-Paris exposure (slope p = .271; joint p = .207); associations remain negative across the dose range.</t>
  </si>
  <si>
    <t>B4 — Trend vs break: race, placebo cutoffs, segmented MR [Moves 1–3]</t>
  </si>
  <si>
    <t>break_only in T2/B1 cell-means parameterization [DEC-031e]; placebos per DEC-024a</t>
  </si>
  <si>
    <t>trend_only: mid_c (per yr)</t>
  </si>
  <si>
    <t>break_only: pre level</t>
  </si>
  <si>
    <t>break_only: diff (=T2/B1)</t>
  </si>
  <si>
    <t>race: trend (per yr)</t>
  </si>
  <si>
    <t>race: break</t>
  </si>
  <si>
    <t>seg: level at knot (pre)</t>
  </si>
  <si>
    <t>seg: slope pre (per yr)</t>
  </si>
  <si>
    <t>seg: level shift 2016</t>
  </si>
  <si>
    <t>seg: slope change 2016</t>
  </si>
  <si>
    <t>seg: joint level shift = slope change = 0</t>
  </si>
  <si>
    <t>Placebo cutoffs (break-only form; post cells pinned [DEC-024a])</t>
  </si>
  <si>
    <t>Cutoff Y</t>
  </si>
  <si>
    <t>2008</t>
  </si>
  <si>
    <t>2009</t>
  </si>
  <si>
    <t>2010</t>
  </si>
  <si>
    <t>2011</t>
  </si>
  <si>
    <t>2012</t>
  </si>
  <si>
    <t>2013</t>
  </si>
  <si>
    <t>2014</t>
  </si>
  <si>
    <t>2015</t>
  </si>
  <si>
    <t>rank of |2016| among 9 cutoffs</t>
  </si>
  <si>
    <t>Race double null: trend −0.0024/yr (p = .113); break +0.026 [−0.026; +0.079] (p = .306) — neither component is needed.</t>
  </si>
  <si>
    <t>Placebo localization: 2016 ranks 7 of 9 by |break|; cuts at 2009–2011 produce |0.033–0.040| vs |0.010| at the treaty year; smallest placebo p = .076.</t>
  </si>
  <si>
    <t>Segmented MR at 2015.5: no level shift (p = .260), no slope change (p = .871), no pre-trend (p = .160); joint F = 0.67, p = .525.</t>
  </si>
  <si>
    <t>Precision limit (pre-anticipated): race-adjusted break CI reaches +0.079 (&gt; both SESOI anchors) — SE inflation from corr = 0.81, effect-size read-out per F61-P3; equivalence precision rests on the unadjusted and composition-adjusted forms.</t>
  </si>
  <si>
    <t>Realized df on the unadjusted diff = 15.0 vs design df 31.9 (disclosure, note field).</t>
  </si>
  <si>
    <t>Does a secular trend explain the null Paris moderation?</t>
  </si>
  <si>
    <t>No trend is supported (−0.0024/yr, p = .113), and the break stays null with the trend allowed — the data need neither.</t>
  </si>
  <si>
    <t>Is 2016 special among cutoffs?</t>
  </si>
  <si>
    <t>No: rank 7/9; three placebo years yield 3–4× larger spurious breaks. There is no localization at the treaty.</t>
  </si>
  <si>
    <t>Why cell-means for break_only?</t>
  </si>
  <si>
    <t>nlminb false convergence of the dummy form at the σ²_study boundary; the cell-means form is the committed T2/B1 convention on the identical likelihood — O15 reproduces T2 at machine precision [DEC-031e].</t>
  </si>
  <si>
    <t>Why is the race CI so much wider?</t>
  </si>
  <si>
    <t>corr(sample_mid, share/break) = 0.81 inflates SEs when trend and break compete; disclosed a priori — the race buys identification, not precision.</t>
  </si>
  <si>
    <t>Verdict: Neither trend nor 2016 break is supported; the Paris cut ranks 7/9 among placebo cutoffs — no localization at the treaty (joint segmented test p = .525).</t>
  </si>
  <si>
    <t>B5 — Composition control (Move 4 core) [DEC-031d]</t>
  </si>
  <si>
    <t>covariates = {country_region, COD_instrument, CER_measure}; refs {1_US, loan, performance}; 99_NCE own level</t>
  </si>
  <si>
    <t>comp_adj: intercept</t>
  </si>
  <si>
    <t>comp_adj: Paris diff</t>
  </si>
  <si>
    <t>comp_adj: CER_measuredisclosure</t>
  </si>
  <si>
    <t>comp_adj: COD_instrumentbond (yield)</t>
  </si>
  <si>
    <t>comp_adj: COD_instrumentderivativ (CDS spread)</t>
  </si>
  <si>
    <t>comp_adj: COD_instrumentrating</t>
  </si>
  <si>
    <t>comp_adj: country_region2_Europe</t>
  </si>
  <si>
    <t>comp_adj: country_region3_AsiaPac</t>
  </si>
  <si>
    <t>comp_adj: country_region99_NCE</t>
  </si>
  <si>
    <t>trend_comp: Paris diff</t>
  </si>
  <si>
    <t>trend_comp: trend (per yr)</t>
  </si>
  <si>
    <t>comp_adj: joint composition = 0</t>
  </si>
  <si>
    <t>trend_comp: joint composition = 0</t>
  </si>
  <si>
    <t>Δβ vs break_only anchor (z)</t>
  </si>
  <si>
    <t>Composition adjustment moves the Paris contrast by +0.0023 z (anchor = break_only on the identical 2,705 domain [F61-P1]).</t>
  </si>
  <si>
    <t>Adjusted contrasts: +0.012 [−0.025; +0.050] (df 14.2, full inference) and, with trend, +0.014 [−0.024; +0.052] (df 19.2, full inference) — transfer-rule flags in the note field [F61-P2].</t>
  </si>
  <si>
    <t>SESOI read-out [F61-P3]: both adjusted CIs lie inside the primary band ±0.070; against the secondary ±0.05 the comp_adj CI is inside, the trend_comp upper edge (+0.0522) is marginally outside.</t>
  </si>
  <si>
    <t>The composition covariates are jointly insignificant in both models (F ≈ 1.5, p ≈ .3): the disclosed drift does not carry the effect sizes.</t>
  </si>
  <si>
    <t>99_NCE dummy rows retained for domain completeness, flagged not-interpreted [F61-P2].</t>
  </si>
  <si>
    <t>§6 lists five drift dimensions — why control three?</t>
  </si>
  <si>
    <t>The two continuous drifts run through pre-assigned channels: sample size via the variance-weighting machinery and the T5 selection battery (a precision regressor would be PET logic — a different estimand); window length via sample_mid_c + the attenuation disclosure [DEC-031d].</t>
  </si>
  <si>
    <t>Why not industry?</t>
  </si>
  <si>
    <t>Selection rule (not a §6-disclosed drift), 3-cluster post cell (noise, not control), and estimand separation: a B5 main effect would pre-label the exposure margin C3 is designed to test [DEC-031d].</t>
  </si>
  <si>
    <t>Could the null be "by construction" from drift-correlated controls?</t>
  </si>
  <si>
    <t>The verdict criterion was pinned a priori as Δβ + adjusted CI vs the SESOI band, not p-survival — SE inflation cannot manufacture the conclusion [F61-P3].</t>
  </si>
  <si>
    <t>Verdict: Composition explains essentially nothing of the Paris contrast (Δβ = +0.002); the adjusted contrast is a precise null against the primary SESOI.</t>
  </si>
  <si>
    <t>B8 — Bounding: Oster analog + E-values (Move 7) [DEC-031d P1]</t>
  </si>
  <si>
    <t>uncontrolled = race, controlled = trend_composition (same domain); SESOI masks per DEC-031 Block E</t>
  </si>
  <si>
    <t>r2_uncontrolled</t>
  </si>
  <si>
    <t>r2_controlled</t>
  </si>
  <si>
    <t>beta_star_delta1</t>
  </si>
  <si>
    <t>delta_for_beta_zero</t>
  </si>
  <si>
    <t>evalue_point</t>
  </si>
  <si>
    <t>evalue_ci_edge</t>
  </si>
  <si>
    <t>evalue_mask_sesoi_contrast</t>
  </si>
  <si>
    <t>evalue_mask_sesoi_pooled</t>
  </si>
  <si>
    <t>Under Oster-style proportional selection (δ = 1, Rmax = 1.3·R²_c) the Paris contrast moves to +0.0124 z — deep inside the SESOI band.</t>
  </si>
  <si>
    <t>δ* = 9.28 is mechanically unstable near a null coefficient (caveat in note) and is read jointly with β* and the mask E-values.</t>
  </si>
  <si>
    <t>Mask E-values: confounding of RR ≈ 1.42 (1.53) suffices to hide a true contrast at the secondary (primary) SESOI; the CI-edge E-value is 1.43 — the residual signal is fragile in both directions.</t>
  </si>
  <si>
    <t>R²_u = −0.015 (negative pseudo-R² possible under REML; disclosed) — bounding is supportive, the identification weight lies on race + placebos + composition.</t>
  </si>
  <si>
    <t>Is δ* ≈ 9 strong evidence of robustness?</t>
  </si>
  <si>
    <t>No — with a near-null coefficient δ* is mechanically unstable; the informative quantities are β*(δ=1) = +0.012 and the mask E-values [note caveat].</t>
  </si>
  <si>
    <t>Why race as the uncontrolled model?</t>
  </si>
  <si>
    <t>The design variable (time) belongs in both regressions; proportional selection runs over the covariate set, not over the running variable of the identification [F61-P1].</t>
  </si>
  <si>
    <t>Verdict: Bounding keeps the Paris contrast within the SESOI band under δ = 1 (β* = +0.012); it is supportive, not the pillar of the null defense.</t>
  </si>
  <si>
    <t>analysis_id</t>
  </si>
  <si>
    <t>spec</t>
  </si>
  <si>
    <t>subset</t>
  </si>
  <si>
    <t>term</t>
  </si>
  <si>
    <t>metric</t>
  </si>
  <si>
    <t>estimator</t>
  </si>
  <si>
    <t>rho</t>
  </si>
  <si>
    <t>k_es</t>
  </si>
  <si>
    <t>k_study</t>
  </si>
  <si>
    <t>k_cluster</t>
  </si>
  <si>
    <t>t_stat</t>
  </si>
  <si>
    <t>ci_lb_z</t>
  </si>
  <si>
    <t>ci_ub_z</t>
  </si>
  <si>
    <t>pi_lb_z</t>
  </si>
  <si>
    <t>pi_ub_z</t>
  </si>
  <si>
    <t>ci_lb_r</t>
  </si>
  <si>
    <t>ci_ub_r</t>
  </si>
  <si>
    <t>pi_lb_r</t>
  </si>
  <si>
    <t>pi_ub_r</t>
  </si>
  <si>
    <t>sigma2_cluster</t>
  </si>
  <si>
    <t>sigma2_study</t>
  </si>
  <si>
    <t>sigma2_esid</t>
  </si>
  <si>
    <t>pct_cluster</t>
  </si>
  <si>
    <t>pct_study</t>
  </si>
  <si>
    <t>pct_esid</t>
  </si>
  <si>
    <t>pct_sampling</t>
  </si>
  <si>
    <t>typical_v</t>
  </si>
  <si>
    <t>value</t>
  </si>
  <si>
    <t>ms_input</t>
  </si>
  <si>
    <t>ms_label</t>
  </si>
  <si>
    <t>note</t>
  </si>
  <si>
    <t>T8_design</t>
  </si>
  <si>
    <t>design</t>
  </si>
  <si>
    <t>defined</t>
  </si>
  <si>
    <t>count</t>
  </si>
  <si>
    <t>descriptive</t>
  </si>
  <si>
    <t>2,705 ES / 113 studies / 112 clusters [DEC-042b]; run date in T8_run_meta.txt</t>
  </si>
  <si>
    <t>8 ES / 2 studies / 2 clusters (Bhattacharya &amp; Sharma 2019; Ng &amp; Rezaee 2012) [DEC-042b]; provenance for workbook Tab 5_Data_Provenance</t>
  </si>
  <si>
    <t>711 ES / 31 studies / 31 clusters (v12 design constant)</t>
  </si>
  <si>
    <t>corr</t>
  </si>
  <si>
    <t>ES-level Pearson on 2,705; supersedes stale 0.70 pin (v8-era) — plan Section 4 disclosure updates [DEC-031 counts-re-derive]</t>
  </si>
  <si>
    <t>distinct pp_share_lag0 values; T2 pin P1 confirmed</t>
  </si>
  <si>
    <t>share</t>
  </si>
  <si>
    <t>v12 supersedes the stale p95 = 0.6 pin; contrast point 0.6 retained by role [DEC-024; DEC-031 counts-re-derive]</t>
  </si>
  <si>
    <t>13 studies / 13 clusters at share = 1</t>
  </si>
  <si>
    <t>27 studies at share = 0</t>
  </si>
  <si>
    <t>year</t>
  </si>
  <si>
    <t>derived in-script: sample_mid - sample_mid_c (constancy asserted); predictions evaluated at calendar 2015.5 via offset</t>
  </si>
  <si>
    <t>study-level median of sample_mid (placebo-support disclosure; supersedes stale 2012)</t>
  </si>
  <si>
    <t>studies with study-level median sample_mid &gt;= 2016 (supersedes stale 8)</t>
  </si>
  <si>
    <t>B2</t>
  </si>
  <si>
    <t>dose_linear</t>
  </si>
  <si>
    <t>Fisher_z</t>
  </si>
  <si>
    <t>3LMA-RVE_CR2</t>
  </si>
  <si>
    <t>rma.mv mods=~ sample_mid_c + pp_share_lag0; random ~1|cluster_id/study/esid; V blocks within cluster_id, rho=0.6; CR2/Satterthwaite on cluster_id [D31.1/A.2]; k = complete cases on window codings [DEC-042b]</t>
  </si>
  <si>
    <t>sample_mid_c</t>
  </si>
  <si>
    <t>pp_share_lag0</t>
  </si>
  <si>
    <t>dose_slope</t>
  </si>
  <si>
    <t>rma.mv mods=~ sample_mid_c + pp_share_lag0; random ~1|cluster_id/study/esid; V blocks within cluster_id, rho=0.6; CR2/Satterthwaite on cluster_id [D31.1/A.2]; k = complete cases on window codings [DEC-042b]; identification core [DEC-024]; interpret only alongside trend (corr disclosure row)</t>
  </si>
  <si>
    <t>pred_share_0</t>
  </si>
  <si>
    <t>rma.mv mods=~ sample_mid_c + pp_share_lag0; random ~1|cluster_id/study/esid; V blocks within cluster_id, rho=0.6; CR2/Satterthwaite on cluster_id [D31.1/A.2]; k = complete cases on window codings [DEC-042b]; model-implied cell mean at calendar 2015.5, dose = 0; dose-0 endpoint support: 611 ES / 27 studies at share = 0 (v12)</t>
  </si>
  <si>
    <t>pred_share_0.6</t>
  </si>
  <si>
    <t>rma.mv mods=~ sample_mid_c + pp_share_lag0; random ~1|cluster_id/study/esid; V blocks within cluster_id, rho=0.6; CR2/Satterthwaite on cluster_id [D31.1/A.2]; k = complete cases on window codings [DEC-042b]; model-implied cell mean at calendar 2015.5, dose = 0.6; pinned contrast point [DEC-024]</t>
  </si>
  <si>
    <t>pred_share_1</t>
  </si>
  <si>
    <t>rma.mv mods=~ sample_mid_c + pp_share_lag0; random ~1|cluster_id/study/esid; V blocks within cluster_id, rho=0.6; CR2/Satterthwaite on cluster_id [D31.1/A.2]; k = complete cases on window codings [DEC-042b]; model-implied cell mean at calendar 2015.5, dose = 1; marginal support: 318 ES / 13 clusters at share = 1 (v12); joint (mid, share) support caveat: share = 1 implies mid &gt;= 2016</t>
  </si>
  <si>
    <t>contrast_0_to_0.6</t>
  </si>
  <si>
    <t>dose_contrast_0_06</t>
  </si>
  <si>
    <t>rma.mv mods=~ sample_mid_c + pp_share_lag0; random ~1|cluster_id/study/esid; V blocks within cluster_id, rho=0.6; CR2/Satterthwaite on cluster_id [D31.1/A.2]; k = complete cases on window codings [DEC-042b]; = 0.6 x dose slope; pinned headline dose contrast [DEC-024]; difference of Fisher-z means; no tanh transform of differences</t>
  </si>
  <si>
    <t>contrast_0_to_1</t>
  </si>
  <si>
    <t>rma.mv mods=~ sample_mid_c + pp_share_lag0; random ~1|cluster_id/study/esid; V blocks within cluster_id, rho=0.6; CR2/Satterthwaite on cluster_id [D31.1/A.2]; k = complete cases on window codings [DEC-042b]; = dose slope; full-regime contrast; marginal support v12 (see pred_share_1); difference of Fisher-z means; no tanh transform of differences</t>
  </si>
  <si>
    <t>dose_quadratic</t>
  </si>
  <si>
    <t>rma.mv mods=~ sample_mid_c + pp_share_lag0 + I(pp_share_lag0^2); random ~1|cluster_id/study/esid; V blocks within cluster_id, rho=0.6; CR2/Satterthwaite on cluster_id [D31.1/A.2]; k = complete cases on window codings [DEC-042b]</t>
  </si>
  <si>
    <t>pp_share_lag0_sq</t>
  </si>
  <si>
    <t>rma.mv mods=~ sample_mid_c + pp_share_lag0 + I(pp_share_lag0^2); random ~1|cluster_id/study/esid; V blocks within cluster_id, rho=0.6; CR2/Satterthwaite on cluster_id [D31.1/A.2]; k = complete cases on window codings [DEC-042b]; quadratic-in-share check [DEC-024]</t>
  </si>
  <si>
    <t>wald_share_joint</t>
  </si>
  <si>
    <t>F_test</t>
  </si>
  <si>
    <t>rma.mv mods=~ sample_mid_c + pp_share_lag0 + I(pp_share_lag0^2); random ~1|cluster_id/study/esid; V blocks within cluster_id, rho=0.6; CR2/Satterthwaite on cluster_id [D31.1/A.2]; k = complete cases on window codings [DEC-042b]; H0: share = share^2 = 0 (joint dose signal); HTZ; num_df = 2</t>
  </si>
  <si>
    <t>B4</t>
  </si>
  <si>
    <t>trend_only</t>
  </si>
  <si>
    <t>rma.mv mods=~ sample_mid_c; random ~1|cluster_id/study/esid; V blocks within cluster_id, rho=0.6; CR2/Satterthwaite on cluster_id [D31.1/A.2]; k = complete cases on window codings [DEC-042b]</t>
  </si>
  <si>
    <t>rma.mv mods=~ sample_mid_c; random ~1|cluster_id/study/esid; V blocks within cluster_id, rho=0.6; CR2/Satterthwaite on cluster_id [D31.1/A.2]; k = complete cases on window codings [DEC-042b]; secular drift, no break term</t>
  </si>
  <si>
    <t>rma.mv mods=~ 0 + pp_cell (cell-means [DEC-031e]; estimand identical to ~ pp_mid_lag0); random ~1|cluster_id/study/esid; V blocks within cluster_id, rho=0.6; CR2/Satterthwaite on cluster_id [D31.1/A.2]; k = complete cases on window codings [DEC-042b]; pre-cell mean; parameterization-identical to T2/B1 cell_pre (~0+factor(coding))</t>
  </si>
  <si>
    <t>pp_mid_lag0</t>
  </si>
  <si>
    <t>rma.mv mods=~ 0 + pp_cell (cell-means [DEC-031e]; estimand identical to ~ pp_mid_lag0); random ~1|cluster_id/study/esid; V blocks within cluster_id, rho=0.6; CR2/Satterthwaite on cluster_id [D31.1/A.2]; k = complete cases on window codings [DEC-042b]; post-minus-pre contrast (-1, +1) = T2/B1 paris_mid diff, verifier identity O15; cell-means parameterization per DEC-031e; realized vs design df disclosure: design df = 31.9 [T0.4]; difference of Fisher-z means; no tanh transform of differences</t>
  </si>
  <si>
    <t>race</t>
  </si>
  <si>
    <t>rma.mv mods=~ sample_mid_c + pp_mid_lag0; random ~1|cluster_id/study/esid; V blocks within cluster_id, rho=0.6; CR2/Satterthwaite on cluster_id [D31.1/A.2]; k = complete cases on window codings [DEC-042b]</t>
  </si>
  <si>
    <t>race_trend</t>
  </si>
  <si>
    <t>race_break</t>
  </si>
  <si>
    <t>rma.mv mods=~ sample_mid_c + pp_mid_lag0; random ~1|cluster_id/study/esid; V blocks within cluster_id, rho=0.6; CR2/Satterthwaite on cluster_id [D31.1/A.2]; k = complete cases on window codings [DEC-042b]; Move 1: break net of smooth drift [Identifikation tab]; difference of Fisher-z means</t>
  </si>
  <si>
    <t>placebo_2008</t>
  </si>
  <si>
    <t>rma.mv mods=~ pp_break_2008; random ~1|cluster_id/study/esid; V blocks within cluster_id, rho=0.6; CR2/Satterthwaite on cluster_id [D31.1/A.2]; k = complete cases on window codings [DEC-042b]</t>
  </si>
  <si>
    <t>pp_break_2008</t>
  </si>
  <si>
    <t>rma.mv mods=~ pp_break_2008; random ~1|cluster_id/study/esid; V blocks within cluster_id, rho=0.6; CR2/Satterthwaite on cluster_id [D31.1/A.2]; k = complete cases on window codings [DEC-042b]; post cell pinned: 2367 ES / 100 studies / 99 clusters; rule: share_2008 &gt;= 0.5, ties to Post [F60/DEC-024]; difference of Fisher-z means</t>
  </si>
  <si>
    <t>placebo_2009</t>
  </si>
  <si>
    <t>rma.mv mods=~ pp_break_2009; random ~1|cluster_id/study/esid; V blocks within cluster_id, rho=0.6; CR2/Satterthwaite on cluster_id [D31.1/A.2]; k = complete cases on window codings [DEC-042b]</t>
  </si>
  <si>
    <t>pp_break_2009</t>
  </si>
  <si>
    <t>rma.mv mods=~ pp_break_2009; random ~1|cluster_id/study/esid; V blocks within cluster_id, rho=0.6; CR2/Satterthwaite on cluster_id [D31.1/A.2]; k = complete cases on window codings [DEC-042b]; post cell pinned: 2345 ES / 99 studies / 98 clusters; rule: share_2009 &gt;= 0.5, ties to Post [F60/DEC-024]; difference of Fisher-z means</t>
  </si>
  <si>
    <t>placebo_2010</t>
  </si>
  <si>
    <t>rma.mv mods=~ pp_break_2010; random ~1|cluster_id/study/esid; V blocks within cluster_id, rho=0.6; CR2/Satterthwaite on cluster_id [D31.1/A.2]; k = complete cases on window codings [DEC-042b]</t>
  </si>
  <si>
    <t>pp_break_2010</t>
  </si>
  <si>
    <t>rma.mv mods=~ pp_break_2010; random ~1|cluster_id/study/esid; V blocks within cluster_id, rho=0.6; CR2/Satterthwaite on cluster_id [D31.1/A.2]; k = complete cases on window codings [DEC-042b]; post cell pinned: 2326 ES / 98 studies / 97 clusters; rule: share_2010 &gt;= 0.5, ties to Post [F60/DEC-024]; difference of Fisher-z means</t>
  </si>
  <si>
    <t>placebo_2011</t>
  </si>
  <si>
    <t>rma.mv mods=~ pp_break_2011; random ~1|cluster_id/study/esid; V blocks within cluster_id, rho=0.6; CR2/Satterthwaite on cluster_id [D31.1/A.2]; k = complete cases on window codings [DEC-042b]</t>
  </si>
  <si>
    <t>pp_break_2011</t>
  </si>
  <si>
    <t>rma.mv mods=~ pp_break_2011; random ~1|cluster_id/study/esid; V blocks within cluster_id, rho=0.6; CR2/Satterthwaite on cluster_id [D31.1/A.2]; k = complete cases on window codings [DEC-042b]; post cell pinned: 2077 ES / 93 studies / 92 clusters; rule: share_2011 &gt;= 0.5, ties to Post [F60/DEC-024]; difference of Fisher-z means</t>
  </si>
  <si>
    <t>placebo_2012</t>
  </si>
  <si>
    <t>rma.mv mods=~ pp_break_2012; random ~1|cluster_id/study/esid; V blocks within cluster_id, rho=0.6; CR2/Satterthwaite on cluster_id [D31.1/A.2]; k = complete cases on window codings [DEC-042b]</t>
  </si>
  <si>
    <t>pp_break_2012</t>
  </si>
  <si>
    <t>rma.mv mods=~ pp_break_2012; random ~1|cluster_id/study/esid; V blocks within cluster_id, rho=0.6; CR2/Satterthwaite on cluster_id [D31.1/A.2]; k = complete cases on window codings [DEC-042b]; post cell pinned: 1769 ES / 82 studies / 81 clusters; rule: share_2012 &gt;= 0.5, ties to Post [F60/DEC-024]; difference of Fisher-z means</t>
  </si>
  <si>
    <t>placebo_2013</t>
  </si>
  <si>
    <t>rma.mv mods=~ pp_break_2013; random ~1|cluster_id/study/esid; V blocks within cluster_id, rho=0.6; CR2/Satterthwaite on cluster_id [D31.1/A.2]; k = complete cases on window codings [DEC-042b]</t>
  </si>
  <si>
    <t>pp_break_2013</t>
  </si>
  <si>
    <t>rma.mv mods=~ pp_break_2013; random ~1|cluster_id/study/esid; V blocks within cluster_id, rho=0.6; CR2/Satterthwaite on cluster_id [D31.1/A.2]; k = complete cases on window codings [DEC-042b]; post cell pinned: 1486 ES / 69 studies / 69 clusters; rule: share_2013 &gt;= 0.5, ties to Post [F60/DEC-024]; difference of Fisher-z means</t>
  </si>
  <si>
    <t>placebo_2014</t>
  </si>
  <si>
    <t>rma.mv mods=~ pp_break_2014; random ~1|cluster_id/study/esid; V blocks within cluster_id, rho=0.6; CR2/Satterthwaite on cluster_id [D31.1/A.2]; k = complete cases on window codings [DEC-042b]</t>
  </si>
  <si>
    <t>pp_break_2014</t>
  </si>
  <si>
    <t>rma.mv mods=~ pp_break_2014; random ~1|cluster_id/study/esid; V blocks within cluster_id, rho=0.6; CR2/Satterthwaite on cluster_id [D31.1/A.2]; k = complete cases on window codings [DEC-042b]; post cell pinned: 1269 ES / 55 studies / 55 clusters; rule: share_2014 &gt;= 0.5, ties to Post [F60/DEC-024]; difference of Fisher-z means</t>
  </si>
  <si>
    <t>placebo_2015</t>
  </si>
  <si>
    <t>rma.mv mods=~ pp_break_2015; random ~1|cluster_id/study/esid; V blocks within cluster_id, rho=0.6; CR2/Satterthwaite on cluster_id [D31.1/A.2]; k = complete cases on window codings [DEC-042b]</t>
  </si>
  <si>
    <t>pp_break_2015</t>
  </si>
  <si>
    <t>rma.mv mods=~ pp_break_2015; random ~1|cluster_id/study/esid; V blocks within cluster_id, rho=0.6; CR2/Satterthwaite on cluster_id [D31.1/A.2]; k = complete cases on window codings [DEC-042b]; post cell pinned: 784 ES / 38 studies / 38 clusters; rule: share_2015 &gt;= 0.5, ties to Post [F60/DEC-024]; difference of Fisher-z means</t>
  </si>
  <si>
    <t>placebo_summary</t>
  </si>
  <si>
    <t>rank_2016_abs_break</t>
  </si>
  <si>
    <t>rank</t>
  </si>
  <si>
    <t>placebo_rank_2016</t>
  </si>
  <si>
    <t>rank of |2016 break| among cutoffs 2008-2016 (1 = largest of 9), break-only form; |b| by year: 2008=0.0240, 2009=0.0395, 2010=0.0365, 2011=0.0333, 2012=0.0009, 2013=0.0260, 2014=0.0231, 2015=0.0024, 2016=0.0102</t>
  </si>
  <si>
    <t>segmented</t>
  </si>
  <si>
    <t>level_at_knot_pre</t>
  </si>
  <si>
    <t>rma.mv mods=~ ts_knot * pp_mid_lag0 (ts_knot = sample_mid - 2015.5); random ~1|cluster_id/study/esid; V blocks within cluster_id, rho=0.6; CR2/Satterthwaite on cluster_id [D31.1/A.2]; k = complete cases on window codings [DEC-042b]; pre-segment level AT the knot (calendar 2015.5); NB: differs from the sample_mid_c-model intercept unless CENTER = 2015.5 (see design row center_sample_mid)</t>
  </si>
  <si>
    <t>slope_pre</t>
  </si>
  <si>
    <t>rma.mv mods=~ ts_knot * pp_mid_lag0 (ts_knot = sample_mid - 2015.5); random ~1|cluster_id/study/esid; V blocks within cluster_id, rho=0.6; CR2/Satterthwaite on cluster_id [D31.1/A.2]; k = complete cases on window codings [DEC-042b]</t>
  </si>
  <si>
    <t>level_shift_2016</t>
  </si>
  <si>
    <t>seg_level_shift</t>
  </si>
  <si>
    <t>slope_change_2016</t>
  </si>
  <si>
    <t>wald_break_joint</t>
  </si>
  <si>
    <t>rma.mv mods=~ ts_knot * pp_mid_lag0 (ts_knot = sample_mid - 2015.5); random ~1|cluster_id/study/esid; V blocks within cluster_id, rho=0.6; CR2/Satterthwaite on cluster_id [D31.1/A.2]; k = complete cases on window codings [DEC-042b]; H0: level shift = slope change = 0 at 2015.5; HTZ; num_df = 2</t>
  </si>
  <si>
    <t>B5</t>
  </si>
  <si>
    <t>composition_adj</t>
  </si>
  <si>
    <t>rma.mv mods=~ pp_mid_lag0 + country_region + COD_instrument + CER_measure; random ~1|cluster_id/study/esid; V blocks within cluster_id, rho=0.6; CR2/Satterthwaite on cluster_id [D31.1/A.2]; k = complete cases on window codings [DEC-042b]</t>
  </si>
  <si>
    <t>paris_comp_adj</t>
  </si>
  <si>
    <t>rma.mv mods=~ pp_mid_lag0 + country_region + COD_instrument + CER_measure; random ~1|cluster_id/study/esid; V blocks within cluster_id, rho=0.6; CR2/Satterthwaite on cluster_id [D31.1/A.2]; k = complete cases on window codings [DEC-042b]; Move 4 core: Paris net of composition {region, instrument, CER measure} [F61; Section 6 drift disclosure]; difference of Fisher-z means; DEC-024 transfer rule applied: full inference (df = 14.2 &gt;= 5); verdict read-out: delta-beta + adjusted CI vs SESOI band (|r| = 0.070 primary, |delta r| = 0.05 secondary), not p-survival [F61-P3]</t>
  </si>
  <si>
    <t>country_region2_Europe</t>
  </si>
  <si>
    <t>country_region3_AsiaPac</t>
  </si>
  <si>
    <t>country_region99_NCE</t>
  </si>
  <si>
    <t>rma.mv mods=~ pp_mid_lag0 + country_region + COD_instrument + CER_measure; random ~1|cluster_id/study/esid; V blocks within cluster_id, rho=0.6; CR2/Satterthwaite on cluster_id [D31.1/A.2]; k = complete cases on window codings [DEC-042b]; level retained for domain completeness (99_NCE); not interpreted [F61-P2]</t>
  </si>
  <si>
    <t>COD_instrumentbond (yield)</t>
  </si>
  <si>
    <t>COD_instrumentderivativ (CDS spread)</t>
  </si>
  <si>
    <t>COD_instrumentrating</t>
  </si>
  <si>
    <t>CER_measuredisclosure</t>
  </si>
  <si>
    <t>wald_composition_joint</t>
  </si>
  <si>
    <t>rma.mv mods=~ pp_mid_lag0 + country_region + COD_instrument + CER_measure; random ~1|cluster_id/study/esid; V blocks within cluster_id, rho=0.6; CR2/Satterthwaite on cluster_id [D31.1/A.2]; k = complete cases on window codings [DEC-042b]; H0: all composition coefficients = 0; HTZ; num_df = 7</t>
  </si>
  <si>
    <t>delta_vs_break_only</t>
  </si>
  <si>
    <t>composition-adjusted minus unadjusted Paris coefficient (z-scale); anchor = break_only on the identical 2,705 domain [F61-P1]; verdict read-out: delta-beta + adjusted CI vs SESOI band (|r| = 0.070 primary, |delta r| = 0.05 secondary), not p-survival [F61-P3]</t>
  </si>
  <si>
    <t>trend_composition</t>
  </si>
  <si>
    <t>rma.mv mods=~ sample_mid_c + pp_mid_lag0 + country_region + COD_instrument + CER_measure; random ~1|cluster_id/study/esid; V blocks within cluster_id, rho=0.6; CR2/Satterthwaite on cluster_id [D31.1/A.2]; k = complete cases on window codings [DEC-042b]</t>
  </si>
  <si>
    <t>paris_final_model</t>
  </si>
  <si>
    <t>rma.mv mods=~ sample_mid_c + pp_mid_lag0 + country_region + COD_instrument + CER_measure; random ~1|cluster_id/study/esid; V blocks within cluster_id, rho=0.6; CR2/Satterthwaite on cluster_id [D31.1/A.2]; k = complete cases on window codings [DEC-042b]; final identification model: trend + composition [Identifikation tab, Move 7 target]; difference of Fisher-z means; DEC-024 transfer rule applied: full inference (df = 19.2 &gt;= 5); verdict read-out: delta-beta + adjusted CI vs SESOI band (|r| = 0.070 primary, |delta r| = 0.05 secondary), not p-survival [F61-P3]</t>
  </si>
  <si>
    <t>rma.mv mods=~ sample_mid_c + pp_mid_lag0 + country_region + COD_instrument + CER_measure; random ~1|cluster_id/study/esid; V blocks within cluster_id, rho=0.6; CR2/Satterthwaite on cluster_id [D31.1/A.2]; k = complete cases on window codings [DEC-042b]; level retained for domain completeness (99_NCE); not interpreted [F61-P2]</t>
  </si>
  <si>
    <t>rma.mv mods=~ sample_mid_c + pp_mid_lag0 + country_region + COD_instrument + CER_measure; random ~1|cluster_id/study/esid; V blocks within cluster_id, rho=0.6; CR2/Satterthwaite on cluster_id [D31.1/A.2]; k = complete cases on window codings [DEC-042b]; H0: all composition coefficients = 0 (trend held); HTZ; num_df = 7</t>
  </si>
  <si>
    <t>B8</t>
  </si>
  <si>
    <t>oster</t>
  </si>
  <si>
    <t>pseudo_R2</t>
  </si>
  <si>
    <t>Oster_analog</t>
  </si>
  <si>
    <t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</t>
  </si>
  <si>
    <t>oster_beta_star</t>
  </si>
  <si>
    <t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(REML); delta = 1; z-scale</t>
  </si>
  <si>
    <t>delta</t>
  </si>
  <si>
    <t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(REML); CAVEAT: near-null coefficients make delta* mechanically unstable — read jointly with beta_star and the mask E-values</t>
  </si>
  <si>
    <t>evalue</t>
  </si>
  <si>
    <t>E_value</t>
  </si>
  <si>
    <t>EValue_approx</t>
  </si>
  <si>
    <t>on |final-model Paris coefficient|; |delta z| read as |delta r| (third-order approx at these magnitudes); r-&gt;d = 2r/sqrt(1-r^2), RR approx exp(0.91 d) [VanderWeele &amp; Ding 2017]</t>
  </si>
  <si>
    <t>on max |CR2 CI bound| of the final-model Paris coefficient; |delta z| read as |delta r| (third-order approx at these magnitudes); r-&gt;d = 2r/sqrt(1-r^2), RR approx exp(0.91 d) [VanderWeele &amp; Ding 2017]</t>
  </si>
  <si>
    <t>evalue_mask_005</t>
  </si>
  <si>
    <t>confounding strength needed to mask a true |delta r| = 0.05 contrast [DEC-031 Block E secondary SESOI]; |delta z| read as |delta r| (third-order approx at these magnitudes); r-&gt;d = 2r/sqrt(1-r^2), RR approx exp(0.91 d) [VanderWeele &amp; Ding 2017]</t>
  </si>
  <si>
    <t>mask reference at the pooled-mean SESOI |r| = 0.070 (F27v2) [DEC-031 Block E primary]; |delta z| read as |delta r| (third-order approx at these magnitudes); r-&gt;d = 2r/sqrt(1-r^2), RR approx exp(0.91 d) [VanderWeele &amp; Ding 2017]</t>
  </si>
  <si>
    <t>Manuscript inputs — ms_input = TRUE rows (10), fully formula-derived from Results_Long</t>
  </si>
  <si>
    <t>p-format: IF(p&lt;0.0001,"&lt; 0.0001",TEXT(p,"0.000")) · strings paste-ready</t>
  </si>
  <si>
    <t>analysis</t>
  </si>
  <si>
    <t>paste-ready string (EN)</t>
  </si>
  <si>
    <t>Manuscript text blocks — T8 (TB-20…TB-28; numbering continues from T2 = TB-13…19)</t>
  </si>
  <si>
    <t>Numbers hardcoded — REGENERATE ON ANY RE-RUN. Source: output/T8_results.csv @ 76074a2, run 2026-07-15 21:54, verifier 27/27.</t>
  </si>
  <si>
    <t>Framing-neutral until Ablauf 3b / Pending-C. Formula-live layer: Manuscript_Inputs.</t>
  </si>
  <si>
    <t>ID</t>
  </si>
  <si>
    <t>Target section</t>
  </si>
  <si>
    <t>Status</t>
  </si>
  <si>
    <t>Text (EN)</t>
  </si>
  <si>
    <t>Source pointers</t>
  </si>
  <si>
    <t>Note</t>
  </si>
  <si>
    <t>TB-20</t>
  </si>
  <si>
    <t>Methods · identification</t>
  </si>
  <si>
    <t>READY</t>
  </si>
  <si>
    <t>We probe the Paris discontinuity with a pre-registered identification battery on the dose/period domain (2,705 effect sizes; 113 studies; 112 clusters): a trend-versus-break race, eight placebo cutoffs (2008–2015), a segmented meta-regression at the treaty threshold, a continuous exposure-dose model, a composition control on the three disclosed drift dimensions, and Oster/E-value bounding. All models share the three-level RVE spine (CR2, Satterthwaite; rho = 0.6).</t>
  </si>
  <si>
    <t>DEC-024/024a/031d; plan §4/A.9</t>
  </si>
  <si>
    <t>battery overview</t>
  </si>
  <si>
    <t>TB-21</t>
  </si>
  <si>
    <t>Results · race</t>
  </si>
  <si>
    <t>Neither component wins the race: the secular trend is −0.002 Fisher-z per year (95% CI [−0.006; +0.001]; p = .113) and the 2016 break is +0.026 [−0.026; +0.079] (p = .306) once the trend is allowed; the unadjusted break replicates the headline moderation at +0.010 [−0.028; +0.049] (p = .582).</t>
  </si>
  <si>
    <t>Tab 8; rows B4</t>
  </si>
  <si>
    <t>Move 1</t>
  </si>
  <si>
    <t>TB-22</t>
  </si>
  <si>
    <t>Results · placebos</t>
  </si>
  <si>
    <t>The treaty year is not where the data break: 2016 ranks 7th of 9 cutoffs by absolute break magnitude, with placebo cuts at 2009–2011 producing breaks of |0.033–0.040| against |0.010| at 2016; no placebo is individually significant (smallest p = .076).</t>
  </si>
  <si>
    <t>Tab 8; DEC-024a</t>
  </si>
  <si>
    <t>Move 3</t>
  </si>
  <si>
    <t>TB-23</t>
  </si>
  <si>
    <t>Results · segmented</t>
  </si>
  <si>
    <t>A segmented meta-regression at the 2015.5 threshold finds no level shift (+0.028; p = .260), no slope change (−0.001; p = .871), and no pre-2016 trend (−0.002 per year; p = .160); the joint break test yields F = 0.67 (p = .525).</t>
  </si>
  <si>
    <t>Tab 8</t>
  </si>
  <si>
    <t>Move 2</t>
  </si>
  <si>
    <t>TB-24</t>
  </si>
  <si>
    <t>Results · dose</t>
  </si>
  <si>
    <t>Continuous post-Paris exposure shows no dose–response gradient: +0.052 Fisher-z per unit exposure share (95% CI [−0.043; +0.146]; p = .271); the pinned 0→0.6 contrast is +0.031 [−0.026; +0.088], and the quadratic and joint dose tests are likewise null (p = .332 / .207). Model-implied associations remain negative across the dose range (−0.087 at zero to −0.035 at full exposure, at calendar 2015.5).</t>
  </si>
  <si>
    <t>Tab 7; DEC-024</t>
  </si>
  <si>
    <t>dose</t>
  </si>
  <si>
    <t>TB-25</t>
  </si>
  <si>
    <t>Results · composition</t>
  </si>
  <si>
    <t>Adjusting the Paris contrast for the three disclosed composition drifts (region, debt instrument, CER measure) moves it by +0.002 Fisher-z: the adjusted contrast is +0.012 [−0.025; +0.050] and, with the trend held, +0.014 [−0.024; +0.052]; the composition covariates are jointly insignificant in both models (p ≈ .3). Both adjusted intervals exclude a material Paris effect at the primary SESOI (|r| = 0.070).</t>
  </si>
  <si>
    <t>Tab 9; DEC-031d</t>
  </si>
  <si>
    <t>Move 4</t>
  </si>
  <si>
    <t>TB-26</t>
  </si>
  <si>
    <t>Results · bounding</t>
  </si>
  <si>
    <t>Under proportional selection on unobservables (delta = 1; Rmax = 1.3 R²_controlled) the Paris contrast moves to +0.012 Fisher-z; the selection strength required to drive it to zero is 9.3, though with a near-null coefficient this figure is mechanically unstable and is read jointly with the mask E-values: confounding of RR = 1.42 (1.53) would suffice to hide a true contrast at the secondary (primary) SESOI.</t>
  </si>
  <si>
    <t>Tab 10; Oster 2019; VanderWeele &amp; Ding 2017</t>
  </si>
  <si>
    <t>Move 7</t>
  </si>
  <si>
    <t>TB-27</t>
  </si>
  <si>
    <t>Limitations · race precision</t>
  </si>
  <si>
    <t>The race specification buys identification at a precision cost: with corr(sample mid-year, exposure share) = 0.81, the trend-adjusted break interval widens to [−0.026; +0.079] and cannot exclude effects up to the primary SESOI; the equivalence claim therefore rests on the unadjusted and composition-adjusted forms, per the pre-registered effect-size read-out.</t>
  </si>
  <si>
    <t>Tab 8; F61-P3; plan A.9</t>
  </si>
  <si>
    <t>pre-anticipated</t>
  </si>
  <si>
    <t>TB-28</t>
  </si>
  <si>
    <t>Discussion · synthesis</t>
  </si>
  <si>
    <t>Across all identification moves the Paris moderation is a consistent null: no race winner, no placebo localization, no threshold break, no dose gradient, a composition delta of +0.002, and bounding that keeps the contrast within the SESOI band under δ = 1.</t>
  </si>
  <si>
    <t>Tabs 7–10</t>
  </si>
  <si>
    <t>finalized M2; Pending-C resolved; closes Section 4.2.3 (skeleton v2, M2 DEC); sentence 1 retained verbatim, bracket slot removed [R-4.2-3]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</si>
</sst>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\+0.0000;\-0.0000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2" fillId="0" borderId="0" xfId="0" applyFont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zoomScaleNormal="100" workbookViewId="0">
      <selection activeCell="B9" sqref="B9"/>
    </sheetView>
  </sheetViews>
  <sheetFormatPr baseColWidth="10" defaultColWidth="8.6640625" defaultRowHeight="14.4" x14ac:dyDescent="0.3"/>
  <cols>
    <col min="1" max="1" width="34" customWidth="1"/>
    <col min="2" max="2" width="95" customWidth="1"/>
  </cols>
  <sheetData>
    <row r="1" spans="1:2" ht="15" customHeight="1" x14ac:dyDescent="0.3">
      <c r="A1" s="1" t="s">
        <v>0</v>
      </c>
    </row>
    <row r="2" spans="1:2" ht="15" customHeight="1" x14ac:dyDescent="0.3">
      <c r="A2" s="2" t="s">
        <v>1</v>
      </c>
    </row>
    <row r="3" spans="1:2" ht="15" customHeight="1" x14ac:dyDescent="0.3">
      <c r="A3" s="2" t="s">
        <v>2</v>
      </c>
    </row>
    <row r="5" spans="1:2" ht="15" customHeight="1" x14ac:dyDescent="0.3">
      <c r="A5" s="3" t="s">
        <v>3</v>
      </c>
      <c r="B5" s="3" t="s">
        <v>4</v>
      </c>
    </row>
    <row r="6" spans="1:2" ht="15" customHeight="1" x14ac:dyDescent="0.3">
      <c r="A6" s="1" t="s">
        <v>5</v>
      </c>
      <c r="B6" s="4" t="s">
        <v>6</v>
      </c>
    </row>
    <row r="7" spans="1:2" ht="23.85" customHeight="1" x14ac:dyDescent="0.3">
      <c r="A7" s="1" t="s">
        <v>7</v>
      </c>
      <c r="B7" s="4" t="s">
        <v>8</v>
      </c>
    </row>
    <row r="8" spans="1:2" ht="15" customHeight="1" x14ac:dyDescent="0.3">
      <c r="A8" s="1" t="s">
        <v>9</v>
      </c>
      <c r="B8" s="4" t="s">
        <v>10</v>
      </c>
    </row>
    <row r="9" spans="1:2" ht="15" customHeight="1" x14ac:dyDescent="0.3">
      <c r="A9" s="1" t="s">
        <v>11</v>
      </c>
      <c r="B9" s="4" t="s">
        <v>12</v>
      </c>
    </row>
    <row r="10" spans="1:2" ht="15" customHeight="1" x14ac:dyDescent="0.3">
      <c r="A10" s="1" t="s">
        <v>13</v>
      </c>
      <c r="B10" s="4" t="s">
        <v>14</v>
      </c>
    </row>
    <row r="11" spans="1:2" ht="15" customHeight="1" x14ac:dyDescent="0.3">
      <c r="A11" s="1" t="s">
        <v>15</v>
      </c>
      <c r="B11" s="4" t="s">
        <v>16</v>
      </c>
    </row>
    <row r="12" spans="1:2" ht="15" customHeight="1" x14ac:dyDescent="0.3">
      <c r="A12" s="1" t="s">
        <v>17</v>
      </c>
      <c r="B12" s="4" t="s">
        <v>18</v>
      </c>
    </row>
    <row r="14" spans="1:2" ht="15" customHeight="1" x14ac:dyDescent="0.3">
      <c r="A14" s="1" t="s">
        <v>19</v>
      </c>
    </row>
    <row r="15" spans="1:2" ht="15" customHeight="1" x14ac:dyDescent="0.3">
      <c r="A15" s="2" t="s">
        <v>20</v>
      </c>
      <c r="B15" s="2" t="s">
        <v>21</v>
      </c>
    </row>
    <row r="16" spans="1:2" ht="15" customHeight="1" x14ac:dyDescent="0.3">
      <c r="A16" s="2" t="s">
        <v>22</v>
      </c>
      <c r="B16" s="2" t="s">
        <v>23</v>
      </c>
    </row>
    <row r="17" spans="1:2" ht="15" customHeight="1" x14ac:dyDescent="0.3">
      <c r="A17" s="2" t="s">
        <v>24</v>
      </c>
      <c r="B17" s="2" t="s">
        <v>25</v>
      </c>
    </row>
    <row r="18" spans="1:2" ht="15" customHeight="1" x14ac:dyDescent="0.3">
      <c r="A18" s="2" t="s">
        <v>26</v>
      </c>
      <c r="B18" s="2" t="s">
        <v>27</v>
      </c>
    </row>
    <row r="19" spans="1:2" ht="15" customHeight="1" x14ac:dyDescent="0.3">
      <c r="A19" s="2" t="s">
        <v>28</v>
      </c>
      <c r="B19" s="2" t="s">
        <v>29</v>
      </c>
    </row>
    <row r="20" spans="1:2" ht="15" customHeight="1" x14ac:dyDescent="0.3">
      <c r="A20" s="2" t="s">
        <v>30</v>
      </c>
      <c r="B20" s="2" t="s">
        <v>31</v>
      </c>
    </row>
    <row r="21" spans="1:2" ht="15" customHeight="1" x14ac:dyDescent="0.3">
      <c r="A21" s="2" t="s">
        <v>32</v>
      </c>
      <c r="B21" s="2" t="s">
        <v>33</v>
      </c>
    </row>
    <row r="22" spans="1:2" ht="15" customHeight="1" x14ac:dyDescent="0.3">
      <c r="A22" s="2" t="s">
        <v>34</v>
      </c>
      <c r="B22" s="2" t="s">
        <v>35</v>
      </c>
    </row>
    <row r="23" spans="1:2" ht="15" customHeight="1" x14ac:dyDescent="0.3">
      <c r="A23" s="2" t="s">
        <v>36</v>
      </c>
      <c r="B23" s="2" t="s">
        <v>37</v>
      </c>
    </row>
    <row r="24" spans="1:2" ht="15" customHeight="1" x14ac:dyDescent="0.3">
      <c r="A24" s="2" t="s">
        <v>38</v>
      </c>
      <c r="B24" s="2" t="s">
        <v>39</v>
      </c>
    </row>
    <row r="25" spans="1:2" ht="15" customHeight="1" x14ac:dyDescent="0.3">
      <c r="A25" s="2" t="s">
        <v>40</v>
      </c>
      <c r="B25" s="2" t="s">
        <v>41</v>
      </c>
    </row>
    <row r="26" spans="1:2" ht="15" customHeight="1" x14ac:dyDescent="0.3">
      <c r="A26" s="2" t="s">
        <v>42</v>
      </c>
      <c r="B26" s="2" t="s">
        <v>43</v>
      </c>
    </row>
    <row r="27" spans="1:2" ht="15" customHeight="1" x14ac:dyDescent="0.3">
      <c r="A27" s="2" t="s">
        <v>44</v>
      </c>
      <c r="B27" s="2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80" customWidth="1"/>
    <col min="3" max="3" width="28" customWidth="1"/>
  </cols>
  <sheetData>
    <row r="1" spans="1:3" ht="15" customHeight="1" x14ac:dyDescent="0.3">
      <c r="A1" s="1" t="s">
        <v>46</v>
      </c>
    </row>
    <row r="2" spans="1:3" ht="15" customHeight="1" x14ac:dyDescent="0.3">
      <c r="A2" s="2" t="s">
        <v>47</v>
      </c>
    </row>
    <row r="3" spans="1:3" ht="15" customHeight="1" x14ac:dyDescent="0.3">
      <c r="A3" s="2" t="s">
        <v>2</v>
      </c>
    </row>
    <row r="5" spans="1:3" ht="15" customHeight="1" x14ac:dyDescent="0.3">
      <c r="A5" s="3" t="s">
        <v>48</v>
      </c>
      <c r="B5" s="3" t="s">
        <v>49</v>
      </c>
      <c r="C5" s="3" t="s">
        <v>50</v>
      </c>
    </row>
    <row r="6" spans="1:3" ht="15" customHeight="1" x14ac:dyDescent="0.3">
      <c r="A6" s="4" t="s">
        <v>51</v>
      </c>
      <c r="B6" s="4" t="s">
        <v>52</v>
      </c>
      <c r="C6" s="2" t="s">
        <v>53</v>
      </c>
    </row>
    <row r="7" spans="1:3" ht="15" customHeight="1" x14ac:dyDescent="0.3">
      <c r="A7" s="4" t="s">
        <v>54</v>
      </c>
      <c r="B7" s="4" t="s">
        <v>55</v>
      </c>
      <c r="C7" s="2" t="s">
        <v>56</v>
      </c>
    </row>
    <row r="8" spans="1:3" ht="15" customHeight="1" x14ac:dyDescent="0.3">
      <c r="A8" s="4" t="s">
        <v>57</v>
      </c>
      <c r="B8" s="4" t="s">
        <v>58</v>
      </c>
      <c r="C8" s="2" t="s">
        <v>59</v>
      </c>
    </row>
    <row r="9" spans="1:3" ht="23.85" customHeight="1" x14ac:dyDescent="0.3">
      <c r="A9" s="4" t="s">
        <v>60</v>
      </c>
      <c r="B9" s="4" t="s">
        <v>61</v>
      </c>
      <c r="C9" s="2" t="s">
        <v>62</v>
      </c>
    </row>
    <row r="10" spans="1:3" ht="15" customHeight="1" x14ac:dyDescent="0.3">
      <c r="A10" s="4" t="s">
        <v>63</v>
      </c>
      <c r="B10" s="4" t="s">
        <v>64</v>
      </c>
      <c r="C10" s="2" t="s">
        <v>65</v>
      </c>
    </row>
    <row r="11" spans="1:3" ht="15" customHeight="1" x14ac:dyDescent="0.3">
      <c r="A11" s="4" t="s">
        <v>66</v>
      </c>
      <c r="B11" s="4" t="s">
        <v>67</v>
      </c>
      <c r="C11" s="2" t="s">
        <v>68</v>
      </c>
    </row>
    <row r="12" spans="1:3" ht="23.85" customHeight="1" x14ac:dyDescent="0.3">
      <c r="A12" s="4" t="s">
        <v>69</v>
      </c>
      <c r="B12" s="4" t="s">
        <v>70</v>
      </c>
      <c r="C12" s="2" t="s">
        <v>71</v>
      </c>
    </row>
    <row r="13" spans="1:3" ht="23.85" customHeight="1" x14ac:dyDescent="0.3">
      <c r="A13" s="4" t="s">
        <v>72</v>
      </c>
      <c r="B13" s="4" t="s">
        <v>73</v>
      </c>
      <c r="C13" s="2" t="s">
        <v>74</v>
      </c>
    </row>
    <row r="14" spans="1:3" ht="15" customHeight="1" x14ac:dyDescent="0.3">
      <c r="A14" s="4" t="s">
        <v>75</v>
      </c>
      <c r="B14" s="4" t="s">
        <v>76</v>
      </c>
      <c r="C14" s="2" t="s">
        <v>77</v>
      </c>
    </row>
    <row r="15" spans="1:3" ht="15" customHeight="1" x14ac:dyDescent="0.3">
      <c r="A15" s="4" t="s">
        <v>78</v>
      </c>
      <c r="B15" s="4" t="s">
        <v>79</v>
      </c>
      <c r="C15" s="2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70" customWidth="1"/>
    <col min="3" max="3" width="42" customWidth="1"/>
  </cols>
  <sheetData>
    <row r="1" spans="1:3" ht="15" customHeight="1" x14ac:dyDescent="0.3">
      <c r="A1" s="1" t="s">
        <v>81</v>
      </c>
    </row>
    <row r="2" spans="1:3" ht="15" customHeight="1" x14ac:dyDescent="0.3">
      <c r="A2" s="2" t="s">
        <v>82</v>
      </c>
    </row>
    <row r="3" spans="1:3" ht="15" customHeight="1" x14ac:dyDescent="0.3">
      <c r="A3" s="2" t="s">
        <v>2</v>
      </c>
    </row>
    <row r="5" spans="1:3" ht="15" customHeight="1" x14ac:dyDescent="0.3">
      <c r="A5" s="3" t="s">
        <v>48</v>
      </c>
      <c r="B5" s="3" t="s">
        <v>83</v>
      </c>
      <c r="C5" s="3" t="s">
        <v>84</v>
      </c>
    </row>
    <row r="6" spans="1:3" ht="15" customHeight="1" x14ac:dyDescent="0.3">
      <c r="A6" s="4" t="s">
        <v>85</v>
      </c>
      <c r="B6" s="4" t="s">
        <v>86</v>
      </c>
      <c r="C6" s="4" t="s">
        <v>87</v>
      </c>
    </row>
    <row r="7" spans="1:3" ht="23.85" customHeight="1" x14ac:dyDescent="0.3">
      <c r="A7" s="4" t="s">
        <v>88</v>
      </c>
      <c r="B7" s="4" t="s">
        <v>89</v>
      </c>
      <c r="C7" s="4" t="s">
        <v>90</v>
      </c>
    </row>
    <row r="8" spans="1:3" ht="23.85" customHeight="1" x14ac:dyDescent="0.3">
      <c r="A8" s="4" t="s">
        <v>91</v>
      </c>
      <c r="B8" s="4" t="s">
        <v>92</v>
      </c>
      <c r="C8" s="4" t="s">
        <v>93</v>
      </c>
    </row>
    <row r="9" spans="1:3" ht="23.85" customHeight="1" x14ac:dyDescent="0.3">
      <c r="A9" s="4" t="s">
        <v>94</v>
      </c>
      <c r="B9" s="4" t="s">
        <v>95</v>
      </c>
      <c r="C9" s="4" t="s">
        <v>96</v>
      </c>
    </row>
    <row r="10" spans="1:3" ht="23.85" customHeight="1" x14ac:dyDescent="0.3">
      <c r="A10" s="4" t="s">
        <v>97</v>
      </c>
      <c r="B10" s="4" t="s">
        <v>98</v>
      </c>
      <c r="C10" s="4" t="s">
        <v>99</v>
      </c>
    </row>
    <row r="11" spans="1:3" ht="23.85" customHeight="1" x14ac:dyDescent="0.3">
      <c r="A11" s="4" t="s">
        <v>100</v>
      </c>
      <c r="B11" s="4" t="s">
        <v>101</v>
      </c>
      <c r="C11" s="4" t="s">
        <v>102</v>
      </c>
    </row>
    <row r="12" spans="1:3" ht="23.85" customHeight="1" x14ac:dyDescent="0.3">
      <c r="A12" s="4" t="s">
        <v>75</v>
      </c>
      <c r="B12" s="4" t="s">
        <v>103</v>
      </c>
      <c r="C12" s="4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80" customWidth="1"/>
    <col min="3" max="3" width="30" customWidth="1"/>
  </cols>
  <sheetData>
    <row r="1" spans="1:3" ht="15" customHeight="1" x14ac:dyDescent="0.3">
      <c r="A1" s="1" t="s">
        <v>105</v>
      </c>
    </row>
    <row r="2" spans="1:3" ht="15" customHeight="1" x14ac:dyDescent="0.3">
      <c r="A2" s="2" t="s">
        <v>106</v>
      </c>
    </row>
    <row r="3" spans="1:3" ht="15" customHeight="1" x14ac:dyDescent="0.3">
      <c r="A3" s="2" t="s">
        <v>2</v>
      </c>
    </row>
    <row r="5" spans="1:3" ht="15" customHeight="1" x14ac:dyDescent="0.3">
      <c r="A5" s="3" t="s">
        <v>48</v>
      </c>
      <c r="B5" s="3" t="s">
        <v>107</v>
      </c>
      <c r="C5" s="3" t="s">
        <v>108</v>
      </c>
    </row>
    <row r="6" spans="1:3" ht="15" customHeight="1" x14ac:dyDescent="0.3">
      <c r="A6" s="4" t="s">
        <v>109</v>
      </c>
      <c r="B6" s="4" t="s">
        <v>110</v>
      </c>
      <c r="C6" s="2" t="s">
        <v>111</v>
      </c>
    </row>
    <row r="7" spans="1:3" ht="15" customHeight="1" x14ac:dyDescent="0.3">
      <c r="A7" s="4" t="s">
        <v>112</v>
      </c>
      <c r="B7" s="4" t="s">
        <v>113</v>
      </c>
      <c r="C7" s="2" t="s">
        <v>114</v>
      </c>
    </row>
    <row r="8" spans="1:3" ht="15" customHeight="1" x14ac:dyDescent="0.3">
      <c r="A8" s="4" t="s">
        <v>115</v>
      </c>
      <c r="B8" s="4" t="s">
        <v>116</v>
      </c>
      <c r="C8" s="2" t="s">
        <v>117</v>
      </c>
    </row>
    <row r="9" spans="1:3" ht="15" customHeight="1" x14ac:dyDescent="0.3">
      <c r="A9" s="4" t="s">
        <v>118</v>
      </c>
      <c r="B9" s="4" t="s">
        <v>119</v>
      </c>
      <c r="C9" s="2" t="s">
        <v>120</v>
      </c>
    </row>
    <row r="10" spans="1:3" ht="15" customHeight="1" x14ac:dyDescent="0.3">
      <c r="A10" s="4" t="s">
        <v>121</v>
      </c>
      <c r="B10" s="4" t="s">
        <v>122</v>
      </c>
      <c r="C10" s="2" t="s">
        <v>123</v>
      </c>
    </row>
    <row r="11" spans="1:3" ht="15" customHeight="1" x14ac:dyDescent="0.3">
      <c r="A11" s="4" t="s">
        <v>124</v>
      </c>
      <c r="B11" s="4" t="s">
        <v>125</v>
      </c>
      <c r="C11" s="2" t="s">
        <v>126</v>
      </c>
    </row>
    <row r="12" spans="1:3" ht="15" customHeight="1" x14ac:dyDescent="0.3">
      <c r="A12" s="4" t="s">
        <v>127</v>
      </c>
      <c r="B12" s="4" t="s">
        <v>128</v>
      </c>
      <c r="C12" s="2" t="s">
        <v>129</v>
      </c>
    </row>
    <row r="13" spans="1:3" ht="15" customHeight="1" x14ac:dyDescent="0.3">
      <c r="A13" s="4" t="s">
        <v>75</v>
      </c>
      <c r="B13" s="4" t="s">
        <v>130</v>
      </c>
      <c r="C13" s="2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/>
  </sheetViews>
  <sheetFormatPr baseColWidth="10" defaultColWidth="8.6640625" defaultRowHeight="14.4" x14ac:dyDescent="0.3"/>
  <cols>
    <col min="1" max="1" width="34" customWidth="1"/>
    <col min="2" max="2" width="66" customWidth="1"/>
    <col min="3" max="3" width="34" customWidth="1"/>
  </cols>
  <sheetData>
    <row r="1" spans="1:3" ht="15" customHeight="1" x14ac:dyDescent="0.3">
      <c r="A1" s="1" t="s">
        <v>132</v>
      </c>
    </row>
    <row r="2" spans="1:3" ht="15" customHeight="1" x14ac:dyDescent="0.3">
      <c r="A2" s="2" t="s">
        <v>133</v>
      </c>
    </row>
    <row r="3" spans="1:3" ht="15" customHeight="1" x14ac:dyDescent="0.3">
      <c r="A3" s="2" t="s">
        <v>2</v>
      </c>
    </row>
    <row r="5" spans="1:3" ht="15" customHeight="1" x14ac:dyDescent="0.3">
      <c r="A5" s="3" t="s">
        <v>3</v>
      </c>
      <c r="B5" s="3" t="s">
        <v>4</v>
      </c>
      <c r="C5" s="3" t="s">
        <v>134</v>
      </c>
    </row>
    <row r="6" spans="1:3" ht="15" customHeight="1" x14ac:dyDescent="0.3">
      <c r="A6" s="5" t="s">
        <v>135</v>
      </c>
      <c r="B6" s="4" t="s">
        <v>136</v>
      </c>
      <c r="C6" s="2" t="s">
        <v>137</v>
      </c>
    </row>
    <row r="7" spans="1:3" ht="23.85" customHeight="1" x14ac:dyDescent="0.3">
      <c r="A7" s="5" t="s">
        <v>138</v>
      </c>
      <c r="B7" s="4" t="s">
        <v>139</v>
      </c>
      <c r="C7" s="2" t="s">
        <v>140</v>
      </c>
    </row>
    <row r="8" spans="1:3" ht="15" customHeight="1" x14ac:dyDescent="0.3">
      <c r="A8" s="5" t="s">
        <v>141</v>
      </c>
      <c r="B8" s="4" t="s">
        <v>142</v>
      </c>
      <c r="C8" s="2" t="s">
        <v>143</v>
      </c>
    </row>
    <row r="9" spans="1:3" ht="15" customHeight="1" x14ac:dyDescent="0.3">
      <c r="A9" s="5" t="s">
        <v>144</v>
      </c>
      <c r="B9" s="4" t="s">
        <v>145</v>
      </c>
      <c r="C9" s="2" t="s">
        <v>146</v>
      </c>
    </row>
    <row r="10" spans="1:3" ht="15" customHeight="1" x14ac:dyDescent="0.3">
      <c r="A10" s="5" t="s">
        <v>147</v>
      </c>
      <c r="B10" s="4" t="s">
        <v>148</v>
      </c>
      <c r="C10" s="2" t="s">
        <v>149</v>
      </c>
    </row>
    <row r="11" spans="1:3" ht="23.85" customHeight="1" x14ac:dyDescent="0.3">
      <c r="A11" s="5" t="s">
        <v>150</v>
      </c>
      <c r="B11" s="4" t="s">
        <v>151</v>
      </c>
      <c r="C11" s="2" t="s">
        <v>152</v>
      </c>
    </row>
    <row r="12" spans="1:3" ht="23.85" customHeight="1" x14ac:dyDescent="0.3">
      <c r="A12" s="5" t="s">
        <v>153</v>
      </c>
      <c r="B12" s="4" t="s">
        <v>154</v>
      </c>
      <c r="C12" s="2" t="s">
        <v>155</v>
      </c>
    </row>
    <row r="13" spans="1:3" ht="23.85" customHeight="1" x14ac:dyDescent="0.3">
      <c r="A13" s="5" t="s">
        <v>156</v>
      </c>
      <c r="B13" s="4" t="s">
        <v>157</v>
      </c>
      <c r="C13" s="2" t="s">
        <v>65</v>
      </c>
    </row>
    <row r="14" spans="1:3" ht="15" customHeight="1" x14ac:dyDescent="0.3">
      <c r="A14" s="5" t="s">
        <v>158</v>
      </c>
      <c r="B14" s="4" t="s">
        <v>159</v>
      </c>
      <c r="C14" s="2" t="s">
        <v>160</v>
      </c>
    </row>
    <row r="15" spans="1:3" ht="15" customHeight="1" x14ac:dyDescent="0.3">
      <c r="A15" s="5" t="s">
        <v>161</v>
      </c>
      <c r="B15" s="4" t="s">
        <v>162</v>
      </c>
      <c r="C15" s="2" t="s"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zoomScaleNormal="100" workbookViewId="0"/>
  </sheetViews>
  <sheetFormatPr baseColWidth="10" defaultColWidth="8.6640625" defaultRowHeight="14.4" x14ac:dyDescent="0.3"/>
  <cols>
    <col min="1" max="1" width="28" customWidth="1"/>
    <col min="2" max="2" width="16" customWidth="1"/>
    <col min="3" max="3" width="90" customWidth="1"/>
  </cols>
  <sheetData>
    <row r="1" spans="1:3" ht="15" customHeight="1" x14ac:dyDescent="0.3">
      <c r="A1" s="1" t="s">
        <v>164</v>
      </c>
    </row>
    <row r="2" spans="1:3" ht="15" customHeight="1" x14ac:dyDescent="0.3">
      <c r="A2" s="2" t="s">
        <v>165</v>
      </c>
    </row>
    <row r="3" spans="1:3" ht="15" customHeight="1" x14ac:dyDescent="0.3">
      <c r="A3" s="2" t="s">
        <v>2</v>
      </c>
    </row>
    <row r="5" spans="1:3" ht="15" customHeight="1" x14ac:dyDescent="0.3">
      <c r="A5" s="3" t="s">
        <v>166</v>
      </c>
      <c r="B5" s="3" t="s">
        <v>4</v>
      </c>
      <c r="C5" s="3" t="s">
        <v>167</v>
      </c>
    </row>
    <row r="6" spans="1:3" ht="15" customHeight="1" x14ac:dyDescent="0.3">
      <c r="A6" s="2" t="s">
        <v>168</v>
      </c>
      <c r="B6" s="6">
        <f>Results_Long!AG2</f>
        <v>2705</v>
      </c>
      <c r="C6" s="4" t="str">
        <f>Results_Long!AJ2</f>
        <v>2,705 ES / 113 studies / 112 clusters [DEC-042b]; run date in T8_run_meta.txt</v>
      </c>
    </row>
    <row r="7" spans="1:3" ht="23.85" customHeight="1" x14ac:dyDescent="0.3">
      <c r="A7" s="2" t="s">
        <v>169</v>
      </c>
      <c r="B7" s="6">
        <f>Results_Long!AG3</f>
        <v>8</v>
      </c>
      <c r="C7" s="4" t="str">
        <f>Results_Long!AJ3</f>
        <v>8 ES / 2 studies / 2 clusters (Bhattacharya &amp; Sharma 2019; Ng &amp; Rezaee 2012) [DEC-042b]; provenance for workbook Tab 5_Data_Provenance</v>
      </c>
    </row>
    <row r="8" spans="1:3" ht="15" customHeight="1" x14ac:dyDescent="0.3">
      <c r="A8" s="2" t="s">
        <v>170</v>
      </c>
      <c r="B8" s="6">
        <f>Results_Long!AG4</f>
        <v>711</v>
      </c>
      <c r="C8" s="4" t="str">
        <f>Results_Long!AJ4</f>
        <v>711 ES / 31 studies / 31 clusters (v12 design constant)</v>
      </c>
    </row>
    <row r="9" spans="1:3" ht="23.85" customHeight="1" x14ac:dyDescent="0.3">
      <c r="A9" s="2" t="s">
        <v>171</v>
      </c>
      <c r="B9" s="7">
        <f>Results_Long!AG5</f>
        <v>0.814579698943666</v>
      </c>
      <c r="C9" s="4" t="str">
        <f>Results_Long!AJ5</f>
        <v>ES-level Pearson on 2,705; supersedes stale 0.70 pin (v8-era) — plan Section 4 disclosure updates [DEC-031 counts-re-derive]</v>
      </c>
    </row>
    <row r="10" spans="1:3" ht="15" customHeight="1" x14ac:dyDescent="0.3">
      <c r="A10" s="2" t="s">
        <v>172</v>
      </c>
      <c r="B10" s="6">
        <f>Results_Long!AG6</f>
        <v>41</v>
      </c>
      <c r="C10" s="4" t="str">
        <f>Results_Long!AJ6</f>
        <v>distinct pp_share_lag0 values; T2 pin P1 confirmed</v>
      </c>
    </row>
    <row r="11" spans="1:3" ht="23.85" customHeight="1" x14ac:dyDescent="0.3">
      <c r="A11" s="2" t="s">
        <v>173</v>
      </c>
      <c r="B11" s="6">
        <f>Results_Long!AG7</f>
        <v>1</v>
      </c>
      <c r="C11" s="4" t="str">
        <f>Results_Long!AJ7</f>
        <v>v12 supersedes the stale p95 = 0.6 pin; contrast point 0.6 retained by role [DEC-024; DEC-031 counts-re-derive]</v>
      </c>
    </row>
    <row r="12" spans="1:3" ht="15" customHeight="1" x14ac:dyDescent="0.3">
      <c r="A12" s="2" t="s">
        <v>174</v>
      </c>
      <c r="B12" s="6">
        <f>Results_Long!AG8</f>
        <v>318</v>
      </c>
      <c r="C12" s="4" t="str">
        <f>Results_Long!AJ8</f>
        <v>13 studies / 13 clusters at share = 1</v>
      </c>
    </row>
    <row r="13" spans="1:3" ht="15" customHeight="1" x14ac:dyDescent="0.3">
      <c r="A13" s="2" t="s">
        <v>175</v>
      </c>
      <c r="B13" s="6">
        <f>Results_Long!AG9</f>
        <v>611</v>
      </c>
      <c r="C13" s="4" t="str">
        <f>Results_Long!AJ9</f>
        <v>27 studies at share = 0</v>
      </c>
    </row>
    <row r="14" spans="1:3" ht="23.85" customHeight="1" x14ac:dyDescent="0.3">
      <c r="A14" s="2" t="s">
        <v>176</v>
      </c>
      <c r="B14" s="6">
        <f>Results_Long!AG10</f>
        <v>2012.257855823</v>
      </c>
      <c r="C14" s="4" t="str">
        <f>Results_Long!AJ10</f>
        <v>derived in-script: sample_mid - sample_mid_c (constancy asserted); predictions evaluated at calendar 2015.5 via offset</v>
      </c>
    </row>
    <row r="15" spans="1:3" ht="15" customHeight="1" x14ac:dyDescent="0.3">
      <c r="A15" s="2" t="s">
        <v>177</v>
      </c>
      <c r="B15" s="6">
        <f>Results_Long!AG11</f>
        <v>2013</v>
      </c>
      <c r="C15" s="4" t="str">
        <f>Results_Long!AJ11</f>
        <v>study-level median of sample_mid (placebo-support disclosure; supersedes stale 2012)</v>
      </c>
    </row>
    <row r="16" spans="1:3" ht="15" customHeight="1" x14ac:dyDescent="0.3">
      <c r="A16" s="2" t="s">
        <v>178</v>
      </c>
      <c r="B16" s="6">
        <f>Results_Long!AG12</f>
        <v>25</v>
      </c>
      <c r="C16" s="4" t="str">
        <f>Results_Long!AJ12</f>
        <v>studies with study-level median sample_mid &gt;= 2016 (supersedes stale 8)</v>
      </c>
    </row>
    <row r="18" spans="1:1" ht="57.45" customHeight="1" x14ac:dyDescent="0.3">
      <c r="A18" s="5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14" customWidth="1"/>
    <col min="3" max="11" width="10" customWidth="1"/>
  </cols>
  <sheetData>
    <row r="1" spans="1:11" ht="15" customHeight="1" x14ac:dyDescent="0.3">
      <c r="A1" s="1" t="s">
        <v>180</v>
      </c>
    </row>
    <row r="2" spans="1:11" ht="15" customHeight="1" x14ac:dyDescent="0.3">
      <c r="A2" s="2" t="s">
        <v>181</v>
      </c>
    </row>
    <row r="3" spans="1:11" ht="15" customHeight="1" x14ac:dyDescent="0.3">
      <c r="A3" s="2" t="s">
        <v>2</v>
      </c>
    </row>
    <row r="5" spans="1:11" ht="15" customHeight="1" x14ac:dyDescent="0.3">
      <c r="A5" s="3" t="s">
        <v>182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188</v>
      </c>
      <c r="H5" s="3" t="s">
        <v>189</v>
      </c>
      <c r="I5" s="3" t="s">
        <v>190</v>
      </c>
      <c r="J5" s="3" t="s">
        <v>191</v>
      </c>
      <c r="K5" s="3" t="s">
        <v>192</v>
      </c>
    </row>
    <row r="6" spans="1:11" ht="15" customHeight="1" x14ac:dyDescent="0.3">
      <c r="A6" s="2" t="s">
        <v>193</v>
      </c>
      <c r="B6" s="2" t="str">
        <f>Results_Long!H13&amp;" / "&amp;Results_Long!I13&amp;" / "&amp;Results_Long!J13</f>
        <v>2705 / 113 / 112</v>
      </c>
      <c r="C6" s="7">
        <f>Results_Long!K13</f>
        <v>-7.5610163195621999E-2</v>
      </c>
      <c r="D6" s="7">
        <f>Results_Long!L13</f>
        <v>2.7871805781410301E-2</v>
      </c>
      <c r="E6" s="8">
        <f>Results_Long!N13</f>
        <v>36.584625042454903</v>
      </c>
      <c r="F6" s="6">
        <f>Results_Long!O13</f>
        <v>1.01080050664365E-2</v>
      </c>
      <c r="G6" s="7">
        <f>Results_Long!P13</f>
        <v>-0.132105457246492</v>
      </c>
      <c r="H6" s="7">
        <f>Results_Long!Q13</f>
        <v>-1.9114869144752501E-2</v>
      </c>
      <c r="I6" s="7">
        <f>Results_Long!T13</f>
        <v>-7.5466406756832902E-2</v>
      </c>
      <c r="J6" s="7">
        <f>Results_Long!U13</f>
        <v>-0.13134228932603201</v>
      </c>
      <c r="K6" s="7">
        <f>Results_Long!V13</f>
        <v>-1.9112541432646801E-2</v>
      </c>
    </row>
    <row r="7" spans="1:11" ht="15" customHeight="1" x14ac:dyDescent="0.3">
      <c r="A7" s="2" t="s">
        <v>194</v>
      </c>
      <c r="B7" s="2" t="str">
        <f>Results_Long!H14&amp;" / "&amp;Results_Long!I14&amp;" / "&amp;Results_Long!J14</f>
        <v>2705 / 113 / 112</v>
      </c>
      <c r="C7" s="9">
        <f>Results_Long!K14</f>
        <v>-3.5458790008403001E-3</v>
      </c>
      <c r="D7" s="7">
        <f>Results_Long!L14</f>
        <v>2.1628054608092999E-3</v>
      </c>
      <c r="E7" s="8">
        <f>Results_Long!N14</f>
        <v>17.658313361784099</v>
      </c>
      <c r="F7" s="6">
        <f>Results_Long!O14</f>
        <v>0.118805840861886</v>
      </c>
      <c r="G7" s="9">
        <f>Results_Long!P14</f>
        <v>-8.0960751957646002E-3</v>
      </c>
      <c r="H7" s="9">
        <f>Results_Long!Q14</f>
        <v>1.004317194084E-3</v>
      </c>
      <c r="I7" s="9">
        <f>Results_Long!T14</f>
        <v>0</v>
      </c>
      <c r="J7" s="9">
        <f>Results_Long!U14</f>
        <v>0</v>
      </c>
      <c r="K7" s="9">
        <f>Results_Long!V14</f>
        <v>0</v>
      </c>
    </row>
    <row r="8" spans="1:11" ht="15" customHeight="1" x14ac:dyDescent="0.3">
      <c r="A8" s="2" t="s">
        <v>195</v>
      </c>
      <c r="B8" s="2" t="str">
        <f>Results_Long!H15&amp;" / "&amp;Results_Long!I15&amp;" / "&amp;Results_Long!J15</f>
        <v>2705 / 113 / 112</v>
      </c>
      <c r="C8" s="9">
        <f>Results_Long!K15</f>
        <v>5.1814945442023301E-2</v>
      </c>
      <c r="D8" s="7">
        <f>Results_Long!L15</f>
        <v>4.6149053132643399E-2</v>
      </c>
      <c r="E8" s="8">
        <f>Results_Long!N15</f>
        <v>27.648549233144401</v>
      </c>
      <c r="F8" s="6">
        <f>Results_Long!O15</f>
        <v>0.271189168029772</v>
      </c>
      <c r="G8" s="9">
        <f>Results_Long!P15</f>
        <v>-4.2771269607619199E-2</v>
      </c>
      <c r="H8" s="9">
        <f>Results_Long!Q15</f>
        <v>0.14640116049166599</v>
      </c>
      <c r="I8" s="9">
        <f>Results_Long!T15</f>
        <v>0</v>
      </c>
      <c r="J8" s="9">
        <f>Results_Long!U15</f>
        <v>0</v>
      </c>
      <c r="K8" s="9">
        <f>Results_Long!V15</f>
        <v>0</v>
      </c>
    </row>
    <row r="9" spans="1:11" ht="15" customHeight="1" x14ac:dyDescent="0.3">
      <c r="A9" s="2" t="s">
        <v>196</v>
      </c>
      <c r="B9" s="2" t="str">
        <f>Results_Long!H16&amp;" / "&amp;Results_Long!I16&amp;" / "&amp;Results_Long!J16</f>
        <v>2705 / 113 / 112</v>
      </c>
      <c r="C9" s="7">
        <f>Results_Long!K16</f>
        <v>-8.7106414150543002E-2</v>
      </c>
      <c r="D9" s="7">
        <f>Results_Long!L16</f>
        <v>3.4527128683242099E-2</v>
      </c>
      <c r="E9" s="8">
        <f>Results_Long!N16</f>
        <v>36.463338874425801</v>
      </c>
      <c r="F9" s="6">
        <f>Results_Long!O16</f>
        <v>1.61392464667111E-2</v>
      </c>
      <c r="G9" s="7">
        <f>Results_Long!P16</f>
        <v>-0.15709979389592199</v>
      </c>
      <c r="H9" s="7">
        <f>Results_Long!Q16</f>
        <v>-1.7113034405163999E-2</v>
      </c>
      <c r="I9" s="7">
        <f>Results_Long!T16</f>
        <v>-8.6886773304546694E-2</v>
      </c>
      <c r="J9" s="7">
        <f>Results_Long!U16</f>
        <v>-0.15582000098807899</v>
      </c>
      <c r="K9" s="7">
        <f>Results_Long!V16</f>
        <v>-1.7111364049536799E-2</v>
      </c>
    </row>
    <row r="10" spans="1:11" ht="15" customHeight="1" x14ac:dyDescent="0.3">
      <c r="A10" s="2" t="s">
        <v>197</v>
      </c>
      <c r="B10" s="2" t="str">
        <f>Results_Long!H17&amp;" / "&amp;Results_Long!I17&amp;" / "&amp;Results_Long!J17</f>
        <v>2705 / 113 / 112</v>
      </c>
      <c r="C10" s="7">
        <f>Results_Long!K17</f>
        <v>-5.60174468853291E-2</v>
      </c>
      <c r="D10" s="7">
        <f>Results_Long!L17</f>
        <v>1.12371484534364E-2</v>
      </c>
      <c r="E10" s="8">
        <f>Results_Long!N17</f>
        <v>41.335498443827298</v>
      </c>
      <c r="F10" s="6">
        <f>Results_Long!O17</f>
        <v>1.15646240389008E-5</v>
      </c>
      <c r="G10" s="7">
        <f>Results_Long!P17</f>
        <v>-7.87057360654244E-2</v>
      </c>
      <c r="H10" s="7">
        <f>Results_Long!Q17</f>
        <v>-3.3329157705233703E-2</v>
      </c>
      <c r="I10" s="7">
        <f>Results_Long!T17</f>
        <v>-5.5958926940251397E-2</v>
      </c>
      <c r="J10" s="7">
        <f>Results_Long!U17</f>
        <v>-7.8543621083769694E-2</v>
      </c>
      <c r="K10" s="7">
        <f>Results_Long!V17</f>
        <v>-3.3316822146295097E-2</v>
      </c>
    </row>
    <row r="11" spans="1:11" ht="15" customHeight="1" x14ac:dyDescent="0.3">
      <c r="A11" s="2" t="s">
        <v>198</v>
      </c>
      <c r="B11" s="2" t="str">
        <f>Results_Long!H18&amp;" / "&amp;Results_Long!I18&amp;" / "&amp;Results_Long!J18</f>
        <v>2705 / 113 / 112</v>
      </c>
      <c r="C11" s="7">
        <f>Results_Long!K18</f>
        <v>-3.5291468708519701E-2</v>
      </c>
      <c r="D11" s="7">
        <f>Results_Long!L18</f>
        <v>1.6358529096997799E-2</v>
      </c>
      <c r="E11" s="8">
        <f>Results_Long!N18</f>
        <v>25.439838378451199</v>
      </c>
      <c r="F11" s="6">
        <f>Results_Long!O18</f>
        <v>4.0609683883980001E-2</v>
      </c>
      <c r="G11" s="7">
        <f>Results_Long!P18</f>
        <v>-6.8952978803638307E-2</v>
      </c>
      <c r="H11" s="7">
        <f>Results_Long!Q18</f>
        <v>-1.6299586134011E-3</v>
      </c>
      <c r="I11" s="7">
        <f>Results_Long!T18</f>
        <v>-3.5276824306766999E-2</v>
      </c>
      <c r="J11" s="7">
        <f>Results_Long!U18</f>
        <v>-6.8843906947770095E-2</v>
      </c>
      <c r="K11" s="7">
        <f>Results_Long!V18</f>
        <v>-1.6299571699303001E-3</v>
      </c>
    </row>
    <row r="12" spans="1:11" ht="15" customHeight="1" x14ac:dyDescent="0.3">
      <c r="A12" s="2" t="s">
        <v>199</v>
      </c>
      <c r="B12" s="2" t="str">
        <f>Results_Long!H19&amp;" / "&amp;Results_Long!I19&amp;" / "&amp;Results_Long!J19</f>
        <v>2705 / 113 / 112</v>
      </c>
      <c r="C12" s="9">
        <f>Results_Long!K19</f>
        <v>3.1088967265213902E-2</v>
      </c>
      <c r="D12" s="7">
        <f>Results_Long!L19</f>
        <v>2.7689431879586002E-2</v>
      </c>
      <c r="E12" s="8">
        <f>Results_Long!N19</f>
        <v>27.648549233144401</v>
      </c>
      <c r="F12" s="6">
        <f>Results_Long!O19</f>
        <v>0.271189168029772</v>
      </c>
      <c r="G12" s="9">
        <f>Results_Long!P19</f>
        <v>-2.5662761764571499E-2</v>
      </c>
      <c r="H12" s="9">
        <f>Results_Long!Q19</f>
        <v>8.7840696294999507E-2</v>
      </c>
      <c r="I12" s="9">
        <f>Results_Long!T19</f>
        <v>0</v>
      </c>
      <c r="J12" s="9">
        <f>Results_Long!U19</f>
        <v>0</v>
      </c>
      <c r="K12" s="9">
        <f>Results_Long!V19</f>
        <v>0</v>
      </c>
    </row>
    <row r="13" spans="1:11" ht="15" customHeight="1" x14ac:dyDescent="0.3">
      <c r="A13" s="2" t="s">
        <v>200</v>
      </c>
      <c r="B13" s="2" t="str">
        <f>Results_Long!H20&amp;" / "&amp;Results_Long!I20&amp;" / "&amp;Results_Long!J20</f>
        <v>2705 / 113 / 112</v>
      </c>
      <c r="C13" s="9">
        <f>Results_Long!K20</f>
        <v>5.1814945442023301E-2</v>
      </c>
      <c r="D13" s="7">
        <f>Results_Long!L20</f>
        <v>4.6149053132643399E-2</v>
      </c>
      <c r="E13" s="8">
        <f>Results_Long!N20</f>
        <v>27.648549233144401</v>
      </c>
      <c r="F13" s="6">
        <f>Results_Long!O20</f>
        <v>0.271189168029772</v>
      </c>
      <c r="G13" s="9">
        <f>Results_Long!P20</f>
        <v>-4.2771269607619199E-2</v>
      </c>
      <c r="H13" s="9">
        <f>Results_Long!Q20</f>
        <v>0.14640116049166599</v>
      </c>
      <c r="I13" s="9">
        <f>Results_Long!T20</f>
        <v>0</v>
      </c>
      <c r="J13" s="9">
        <f>Results_Long!U20</f>
        <v>0</v>
      </c>
      <c r="K13" s="9">
        <f>Results_Long!V20</f>
        <v>0</v>
      </c>
    </row>
    <row r="14" spans="1:11" ht="15" customHeight="1" x14ac:dyDescent="0.3">
      <c r="A14" s="2" t="s">
        <v>201</v>
      </c>
      <c r="B14" s="2" t="str">
        <f>Results_Long!H24&amp;" / "&amp;Results_Long!I24&amp;" / "&amp;Results_Long!J24</f>
        <v>2705 / 113 / 112</v>
      </c>
      <c r="C14" s="9">
        <f>Results_Long!K24</f>
        <v>-7.34800999260279E-2</v>
      </c>
      <c r="D14" s="7">
        <f>Results_Long!L24</f>
        <v>7.4948332249989397E-2</v>
      </c>
      <c r="E14" s="8">
        <f>Results_Long!N24</f>
        <v>50.654818752479201</v>
      </c>
      <c r="F14" s="6">
        <f>Results_Long!O24</f>
        <v>0.33154324286662201</v>
      </c>
      <c r="G14" s="9">
        <f>Results_Long!P24</f>
        <v>-0.22397005429839101</v>
      </c>
      <c r="H14" s="9">
        <f>Results_Long!Q24</f>
        <v>7.7009854446335096E-2</v>
      </c>
      <c r="I14" s="9">
        <f>Results_Long!T24</f>
        <v>0</v>
      </c>
      <c r="J14" s="9">
        <f>Results_Long!U24</f>
        <v>0</v>
      </c>
      <c r="K14" s="9">
        <f>Results_Long!V24</f>
        <v>0</v>
      </c>
    </row>
    <row r="15" spans="1:11" ht="15" customHeight="1" x14ac:dyDescent="0.3">
      <c r="A15" s="2" t="s">
        <v>202</v>
      </c>
      <c r="C15" s="6">
        <f>Results_Long!M25</f>
        <v>1.6606820117930901</v>
      </c>
      <c r="D15" s="2" t="s">
        <v>203</v>
      </c>
      <c r="E15" s="8">
        <f>Results_Long!N25</f>
        <v>30.5086838474109</v>
      </c>
      <c r="F15" s="6">
        <f>Results_Long!O25</f>
        <v>0.206727501241668</v>
      </c>
    </row>
    <row r="17" spans="1:2" ht="15" customHeight="1" x14ac:dyDescent="0.3">
      <c r="A17" s="1" t="s">
        <v>204</v>
      </c>
    </row>
    <row r="18" spans="1:2" ht="57.45" customHeight="1" x14ac:dyDescent="0.3">
      <c r="A18" s="4" t="s">
        <v>205</v>
      </c>
    </row>
    <row r="19" spans="1:2" ht="57.45" customHeight="1" x14ac:dyDescent="0.3">
      <c r="A19" s="4" t="s">
        <v>206</v>
      </c>
    </row>
    <row r="20" spans="1:2" ht="46.2" customHeight="1" x14ac:dyDescent="0.3">
      <c r="A20" s="4" t="s">
        <v>207</v>
      </c>
    </row>
    <row r="21" spans="1:2" ht="57.45" customHeight="1" x14ac:dyDescent="0.3">
      <c r="A21" s="4" t="s">
        <v>208</v>
      </c>
    </row>
    <row r="22" spans="1:2" ht="46.2" customHeight="1" x14ac:dyDescent="0.3">
      <c r="A22" s="4" t="s">
        <v>209</v>
      </c>
    </row>
    <row r="24" spans="1:2" ht="15" customHeight="1" x14ac:dyDescent="0.3">
      <c r="A24" s="3" t="s">
        <v>210</v>
      </c>
      <c r="B24" s="3" t="s">
        <v>211</v>
      </c>
    </row>
    <row r="25" spans="1:2" ht="113.4" customHeight="1" x14ac:dyDescent="0.3">
      <c r="A25" s="4" t="s">
        <v>212</v>
      </c>
      <c r="B25" s="4" t="s">
        <v>213</v>
      </c>
    </row>
    <row r="26" spans="1:2" ht="158.25" customHeight="1" x14ac:dyDescent="0.3">
      <c r="A26" s="4" t="s">
        <v>214</v>
      </c>
      <c r="B26" s="4" t="s">
        <v>215</v>
      </c>
    </row>
    <row r="27" spans="1:2" ht="113.4" customHeight="1" x14ac:dyDescent="0.3">
      <c r="A27" s="4" t="s">
        <v>216</v>
      </c>
      <c r="B27" s="4" t="s">
        <v>217</v>
      </c>
    </row>
    <row r="29" spans="1:2" ht="68.7" customHeight="1" x14ac:dyDescent="0.3">
      <c r="A29" s="5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2"/>
  <sheetViews>
    <sheetView zoomScaleNormal="100" workbookViewId="0">
      <selection activeCell="I11" sqref="I11"/>
    </sheetView>
  </sheetViews>
  <sheetFormatPr baseColWidth="10" defaultColWidth="8.6640625" defaultRowHeight="14.4" x14ac:dyDescent="0.3"/>
  <cols>
    <col min="1" max="1" width="26" customWidth="1"/>
    <col min="2" max="2" width="14" customWidth="1"/>
    <col min="3" max="11" width="10" customWidth="1"/>
  </cols>
  <sheetData>
    <row r="1" spans="1:11" ht="15" customHeight="1" x14ac:dyDescent="0.3">
      <c r="A1" s="1" t="s">
        <v>219</v>
      </c>
    </row>
    <row r="2" spans="1:11" ht="15" customHeight="1" x14ac:dyDescent="0.3">
      <c r="A2" s="2" t="s">
        <v>220</v>
      </c>
    </row>
    <row r="3" spans="1:11" ht="15" customHeight="1" x14ac:dyDescent="0.3">
      <c r="A3" s="2" t="s">
        <v>2</v>
      </c>
    </row>
    <row r="5" spans="1:11" ht="15" customHeight="1" x14ac:dyDescent="0.3">
      <c r="A5" s="3" t="s">
        <v>182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188</v>
      </c>
      <c r="H5" s="3" t="s">
        <v>189</v>
      </c>
      <c r="I5" s="3" t="s">
        <v>190</v>
      </c>
      <c r="J5" s="3" t="s">
        <v>191</v>
      </c>
      <c r="K5" s="3" t="s">
        <v>192</v>
      </c>
    </row>
    <row r="6" spans="1:11" ht="15" customHeight="1" x14ac:dyDescent="0.3">
      <c r="A6" s="2" t="s">
        <v>221</v>
      </c>
      <c r="B6" s="2" t="str">
        <f>Results_Long!H27&amp;" / "&amp;Results_Long!I27&amp;" / "&amp;Results_Long!J27</f>
        <v>2705 / 113 / 112</v>
      </c>
      <c r="C6" s="9">
        <f>Results_Long!K27</f>
        <v>-7.5129233185144398E-4</v>
      </c>
      <c r="D6" s="7">
        <f>Results_Long!L27</f>
        <v>9.8400039509524109E-4</v>
      </c>
      <c r="E6" s="8">
        <f>Results_Long!N27</f>
        <v>26.5959438979087</v>
      </c>
      <c r="F6" s="6">
        <f>Results_Long!O27</f>
        <v>0.45188063459850297</v>
      </c>
      <c r="G6" s="9">
        <f>Results_Long!P27</f>
        <v>-2.7717305852898999E-3</v>
      </c>
      <c r="H6" s="9">
        <f>Results_Long!Q27</f>
        <v>1.269145921587E-3</v>
      </c>
      <c r="I6" s="9">
        <f>Results_Long!T27</f>
        <v>0</v>
      </c>
      <c r="J6" s="9">
        <f>Results_Long!U27</f>
        <v>0</v>
      </c>
      <c r="K6" s="9">
        <f>Results_Long!V27</f>
        <v>0</v>
      </c>
    </row>
    <row r="7" spans="1:11" ht="15" customHeight="1" x14ac:dyDescent="0.3">
      <c r="A7" s="2" t="s">
        <v>222</v>
      </c>
      <c r="B7" s="2" t="str">
        <f>Results_Long!H28&amp;" / "&amp;Results_Long!I28&amp;" / "&amp;Results_Long!J28</f>
        <v>2705 / 113 / 112</v>
      </c>
      <c r="C7" s="7">
        <f>Results_Long!K28</f>
        <v>-6.1599156518995501E-2</v>
      </c>
      <c r="D7" s="7">
        <f>Results_Long!L28</f>
        <v>1.80461144532684E-2</v>
      </c>
      <c r="E7" s="8">
        <f>Results_Long!N28</f>
        <v>68.597112907126203</v>
      </c>
      <c r="F7" s="6">
        <f>Results_Long!O28</f>
        <v>1.0804696442775E-3</v>
      </c>
      <c r="G7" s="7">
        <f>Results_Long!P28</f>
        <v>-9.7603942348440803E-2</v>
      </c>
      <c r="H7" s="7">
        <f>Results_Long!Q28</f>
        <v>-2.55943706895502E-2</v>
      </c>
      <c r="I7" s="7">
        <f>Results_Long!T28</f>
        <v>-6.1521362826025099E-2</v>
      </c>
      <c r="J7" s="7">
        <f>Results_Long!U28</f>
        <v>-9.7295176600782005E-2</v>
      </c>
      <c r="K7" s="7">
        <f>Results_Long!V28</f>
        <v>-2.5588783436646799E-2</v>
      </c>
    </row>
    <row r="8" spans="1:11" ht="15" customHeight="1" x14ac:dyDescent="0.3">
      <c r="A8" s="2" t="s">
        <v>223</v>
      </c>
      <c r="B8" s="2" t="str">
        <f>Results_Long!H29&amp;" / "&amp;Results_Long!I29&amp;" / "&amp;Results_Long!J29</f>
        <v>2705 / 113 / 112</v>
      </c>
      <c r="C8" s="9">
        <f>Results_Long!K29</f>
        <v>1.0175906710402499E-2</v>
      </c>
      <c r="D8" s="7">
        <f>Results_Long!L29</f>
        <v>1.8107282421257399E-2</v>
      </c>
      <c r="E8" s="8">
        <f>Results_Long!N29</f>
        <v>14.9920663728925</v>
      </c>
      <c r="F8" s="6">
        <f>Results_Long!O29</f>
        <v>0.58243572563051604</v>
      </c>
      <c r="G8" s="9">
        <f>Results_Long!P29</f>
        <v>-2.84206311144901E-2</v>
      </c>
      <c r="H8" s="9">
        <f>Results_Long!Q29</f>
        <v>4.8772444535295202E-2</v>
      </c>
      <c r="I8" s="9">
        <f>Results_Long!T29</f>
        <v>0</v>
      </c>
      <c r="J8" s="9">
        <f>Results_Long!U29</f>
        <v>0</v>
      </c>
      <c r="K8" s="9">
        <f>Results_Long!V29</f>
        <v>0</v>
      </c>
    </row>
    <row r="9" spans="1:11" ht="15" customHeight="1" x14ac:dyDescent="0.3">
      <c r="A9" s="2" t="s">
        <v>224</v>
      </c>
      <c r="B9" s="2" t="str">
        <f>Results_Long!H31&amp;" / "&amp;Results_Long!I31&amp;" / "&amp;Results_Long!J31</f>
        <v>2705 / 113 / 112</v>
      </c>
      <c r="C9" s="9">
        <f>Results_Long!K31</f>
        <v>-2.4440928867438998E-3</v>
      </c>
      <c r="D9" s="7">
        <f>Results_Long!L31</f>
        <v>1.4718307615822E-3</v>
      </c>
      <c r="E9" s="8">
        <f>Results_Long!N31</f>
        <v>18.915188468888701</v>
      </c>
      <c r="F9" s="6">
        <f>Results_Long!O31</f>
        <v>0.113284372998934</v>
      </c>
      <c r="G9" s="9">
        <f>Results_Long!P31</f>
        <v>-5.5256052188167003E-3</v>
      </c>
      <c r="H9" s="9">
        <f>Results_Long!Q31</f>
        <v>6.3741944532878802E-4</v>
      </c>
      <c r="I9" s="9">
        <f>Results_Long!T31</f>
        <v>0</v>
      </c>
      <c r="J9" s="9">
        <f>Results_Long!U31</f>
        <v>0</v>
      </c>
      <c r="K9" s="9">
        <f>Results_Long!V31</f>
        <v>0</v>
      </c>
    </row>
    <row r="10" spans="1:11" ht="15" customHeight="1" x14ac:dyDescent="0.3">
      <c r="A10" s="2" t="s">
        <v>225</v>
      </c>
      <c r="B10" s="2" t="str">
        <f>Results_Long!H32&amp;" / "&amp;Results_Long!I32&amp;" / "&amp;Results_Long!J32</f>
        <v>2705 / 113 / 112</v>
      </c>
      <c r="C10" s="9">
        <f>Results_Long!K32</f>
        <v>2.64480355620243E-2</v>
      </c>
      <c r="D10" s="7">
        <f>Results_Long!L32</f>
        <v>2.51306553381225E-2</v>
      </c>
      <c r="E10" s="8">
        <f>Results_Long!N32</f>
        <v>18.841966720310602</v>
      </c>
      <c r="F10" s="6">
        <f>Results_Long!O32</f>
        <v>0.305916728053232</v>
      </c>
      <c r="G10" s="9">
        <f>Results_Long!P32</f>
        <v>-2.6180905736611301E-2</v>
      </c>
      <c r="H10" s="9">
        <f>Results_Long!Q32</f>
        <v>7.9076976860659995E-2</v>
      </c>
      <c r="I10" s="9">
        <f>Results_Long!T32</f>
        <v>0</v>
      </c>
      <c r="J10" s="9">
        <f>Results_Long!U32</f>
        <v>0</v>
      </c>
      <c r="K10" s="9">
        <f>Results_Long!V32</f>
        <v>0</v>
      </c>
    </row>
    <row r="11" spans="1:11" ht="15" customHeight="1" x14ac:dyDescent="0.3">
      <c r="A11" s="2" t="s">
        <v>226</v>
      </c>
      <c r="B11" s="2" t="str">
        <f>Results_Long!H50&amp;" / "&amp;Results_Long!I50&amp;" / "&amp;Results_Long!J50</f>
        <v>2705 / 113 / 112</v>
      </c>
      <c r="C11" s="7">
        <f>Results_Long!K50</f>
        <v>-7.27177497979756E-2</v>
      </c>
      <c r="D11" s="7">
        <f>Results_Long!L50</f>
        <v>2.48975754500733E-2</v>
      </c>
      <c r="E11" s="8">
        <f>Results_Long!N50</f>
        <v>58.094168997941502</v>
      </c>
      <c r="F11" s="6">
        <f>Results_Long!O50</f>
        <v>4.9656597939643004E-3</v>
      </c>
      <c r="G11" s="7">
        <f>Results_Long!P50</f>
        <v>-0.12255394191168199</v>
      </c>
      <c r="H11" s="7">
        <f>Results_Long!Q50</f>
        <v>-2.2881557684269398E-2</v>
      </c>
      <c r="I11" s="7">
        <f>Results_Long!T50</f>
        <v>-7.2589846295990093E-2</v>
      </c>
      <c r="J11" s="7">
        <f>Results_Long!U50</f>
        <v>-0.121944040775556</v>
      </c>
      <c r="K11" s="7">
        <f>Results_Long!V50</f>
        <v>-2.28775651876158E-2</v>
      </c>
    </row>
    <row r="12" spans="1:11" ht="15" customHeight="1" x14ac:dyDescent="0.3">
      <c r="A12" s="2" t="s">
        <v>227</v>
      </c>
      <c r="B12" s="2" t="str">
        <f>Results_Long!H51&amp;" / "&amp;Results_Long!I51&amp;" / "&amp;Results_Long!J51</f>
        <v>2705 / 113 / 112</v>
      </c>
      <c r="C12" s="9">
        <f>Results_Long!K51</f>
        <v>-2.3783826931947001E-3</v>
      </c>
      <c r="D12" s="7">
        <f>Results_Long!L51</f>
        <v>1.6184972238854E-3</v>
      </c>
      <c r="E12" s="8">
        <f>Results_Long!N51</f>
        <v>16.6852859015547</v>
      </c>
      <c r="F12" s="6">
        <f>Results_Long!O51</f>
        <v>0.160300324962593</v>
      </c>
      <c r="G12" s="9">
        <f>Results_Long!P51</f>
        <v>-5.7980262947776003E-3</v>
      </c>
      <c r="H12" s="9">
        <f>Results_Long!Q51</f>
        <v>1.0412609083881E-3</v>
      </c>
      <c r="I12" s="9">
        <f>Results_Long!T51</f>
        <v>0</v>
      </c>
      <c r="J12" s="9">
        <f>Results_Long!U51</f>
        <v>0</v>
      </c>
      <c r="K12" s="9">
        <f>Results_Long!V51</f>
        <v>0</v>
      </c>
    </row>
    <row r="13" spans="1:11" ht="15" customHeight="1" x14ac:dyDescent="0.3">
      <c r="A13" s="2" t="s">
        <v>228</v>
      </c>
      <c r="B13" s="2" t="str">
        <f>Results_Long!H52&amp;" / "&amp;Results_Long!I52&amp;" / "&amp;Results_Long!J52</f>
        <v>2705 / 113 / 112</v>
      </c>
      <c r="C13" s="9">
        <f>Results_Long!K52</f>
        <v>2.8269368467378E-2</v>
      </c>
      <c r="D13" s="7">
        <f>Results_Long!L52</f>
        <v>2.3754374254699302E-2</v>
      </c>
      <c r="E13" s="8">
        <f>Results_Long!N52</f>
        <v>10.513683513613</v>
      </c>
      <c r="F13" s="6">
        <f>Results_Long!O52</f>
        <v>0.26019771738211001</v>
      </c>
      <c r="G13" s="9">
        <f>Results_Long!P52</f>
        <v>-2.4310233916893E-2</v>
      </c>
      <c r="H13" s="9">
        <f>Results_Long!Q52</f>
        <v>8.0848970851649202E-2</v>
      </c>
      <c r="I13" s="9">
        <f>Results_Long!T52</f>
        <v>0</v>
      </c>
      <c r="J13" s="9">
        <f>Results_Long!U52</f>
        <v>0</v>
      </c>
      <c r="K13" s="9">
        <f>Results_Long!V52</f>
        <v>0</v>
      </c>
    </row>
    <row r="14" spans="1:11" ht="15" customHeight="1" x14ac:dyDescent="0.3">
      <c r="A14" s="2" t="s">
        <v>229</v>
      </c>
      <c r="B14" s="2" t="str">
        <f>Results_Long!H53&amp;" / "&amp;Results_Long!I53&amp;" / "&amp;Results_Long!J53</f>
        <v>2705 / 113 / 112</v>
      </c>
      <c r="C14" s="9">
        <f>Results_Long!K53</f>
        <v>-1.0405229820257E-3</v>
      </c>
      <c r="D14" s="7">
        <f>Results_Long!L53</f>
        <v>6.2626040126656001E-3</v>
      </c>
      <c r="E14" s="8">
        <f>Results_Long!N53</f>
        <v>13.5379394742769</v>
      </c>
      <c r="F14" s="6">
        <f>Results_Long!O53</f>
        <v>0.87049579117461895</v>
      </c>
      <c r="G14" s="9">
        <f>Results_Long!P53</f>
        <v>-1.45156097919471E-2</v>
      </c>
      <c r="H14" s="9">
        <f>Results_Long!Q53</f>
        <v>1.24345638278955E-2</v>
      </c>
      <c r="I14" s="9">
        <f>Results_Long!T53</f>
        <v>0</v>
      </c>
      <c r="J14" s="9">
        <f>Results_Long!U53</f>
        <v>0</v>
      </c>
      <c r="K14" s="9">
        <f>Results_Long!V53</f>
        <v>0</v>
      </c>
    </row>
    <row r="15" spans="1:11" ht="15" customHeight="1" x14ac:dyDescent="0.3">
      <c r="A15" s="2" t="s">
        <v>230</v>
      </c>
      <c r="C15" s="6">
        <f>Results_Long!M54</f>
        <v>0.67101907747674505</v>
      </c>
      <c r="D15" s="2" t="s">
        <v>203</v>
      </c>
      <c r="E15" s="8">
        <f>Results_Long!N54</f>
        <v>16.592023453410601</v>
      </c>
      <c r="F15" s="6">
        <f>Results_Long!O54</f>
        <v>0.52452536482202505</v>
      </c>
    </row>
    <row r="17" spans="1:8" ht="15" customHeight="1" x14ac:dyDescent="0.3">
      <c r="A17" s="1" t="s">
        <v>231</v>
      </c>
    </row>
    <row r="18" spans="1:8" ht="15" customHeight="1" x14ac:dyDescent="0.3">
      <c r="A18" s="3" t="s">
        <v>232</v>
      </c>
      <c r="B18" s="3"/>
      <c r="C18" s="3" t="s">
        <v>184</v>
      </c>
      <c r="D18" s="3" t="s">
        <v>185</v>
      </c>
      <c r="E18" s="3" t="s">
        <v>186</v>
      </c>
      <c r="F18" s="3" t="s">
        <v>187</v>
      </c>
      <c r="G18" s="3" t="s">
        <v>188</v>
      </c>
      <c r="H18" s="3" t="s">
        <v>189</v>
      </c>
    </row>
    <row r="19" spans="1:8" ht="15" customHeight="1" x14ac:dyDescent="0.3">
      <c r="A19" s="2" t="s">
        <v>233</v>
      </c>
      <c r="C19" s="9">
        <f>Results_Long!K34</f>
        <v>-2.4026675965309101E-2</v>
      </c>
      <c r="D19" s="7">
        <f>Results_Long!L34</f>
        <v>1.76243003345566E-2</v>
      </c>
      <c r="E19" s="8">
        <f>Results_Long!N34</f>
        <v>14.942100593785099</v>
      </c>
      <c r="F19" s="6">
        <f>Results_Long!O34</f>
        <v>0.19298764471529001</v>
      </c>
      <c r="G19" s="9">
        <f>Results_Long!P34</f>
        <v>-6.1604664935614901E-2</v>
      </c>
      <c r="H19" s="9">
        <f>Results_Long!Q34</f>
        <v>1.3551313004996599E-2</v>
      </c>
    </row>
    <row r="20" spans="1:8" ht="15" customHeight="1" x14ac:dyDescent="0.3">
      <c r="A20" s="2" t="s">
        <v>234</v>
      </c>
      <c r="C20" s="9">
        <f>Results_Long!K36</f>
        <v>-3.95267553530513E-2</v>
      </c>
      <c r="D20" s="7">
        <f>Results_Long!L36</f>
        <v>1.8622443935810799E-2</v>
      </c>
      <c r="E20" s="8">
        <f>Results_Long!N36</f>
        <v>6.2816542260257702</v>
      </c>
      <c r="F20" s="6">
        <f>Results_Long!O36</f>
        <v>7.5948861683107799E-2</v>
      </c>
      <c r="G20" s="9">
        <f>Results_Long!P36</f>
        <v>-8.4603525071111504E-2</v>
      </c>
      <c r="H20" s="9">
        <f>Results_Long!Q36</f>
        <v>5.5500143650087999E-3</v>
      </c>
    </row>
    <row r="21" spans="1:8" ht="15" customHeight="1" x14ac:dyDescent="0.3">
      <c r="A21" s="2" t="s">
        <v>235</v>
      </c>
      <c r="C21" s="9">
        <f>Results_Long!K38</f>
        <v>-3.6534390605377699E-2</v>
      </c>
      <c r="D21" s="7">
        <f>Results_Long!L38</f>
        <v>1.9295161707799598E-2</v>
      </c>
      <c r="E21" s="8">
        <f>Results_Long!N38</f>
        <v>6.7804764679999003</v>
      </c>
      <c r="F21" s="6">
        <f>Results_Long!O38</f>
        <v>0.10152292890996201</v>
      </c>
      <c r="G21" s="9">
        <f>Results_Long!P38</f>
        <v>-8.2461362347309206E-2</v>
      </c>
      <c r="H21" s="9">
        <f>Results_Long!Q38</f>
        <v>9.3925811365536994E-3</v>
      </c>
    </row>
    <row r="22" spans="1:8" ht="15" customHeight="1" x14ac:dyDescent="0.3">
      <c r="A22" s="2" t="s">
        <v>236</v>
      </c>
      <c r="C22" s="9">
        <f>Results_Long!K40</f>
        <v>-3.3330836652261102E-2</v>
      </c>
      <c r="D22" s="7">
        <f>Results_Long!L40</f>
        <v>1.8895156310692499E-2</v>
      </c>
      <c r="E22" s="8">
        <f>Results_Long!N40</f>
        <v>9.5644080388108996</v>
      </c>
      <c r="F22" s="6">
        <f>Results_Long!O40</f>
        <v>0.10957910885448301</v>
      </c>
      <c r="G22" s="9">
        <f>Results_Long!P40</f>
        <v>-7.5693223444470797E-2</v>
      </c>
      <c r="H22" s="9">
        <f>Results_Long!Q40</f>
        <v>9.0315501399483994E-3</v>
      </c>
    </row>
    <row r="23" spans="1:8" ht="15" customHeight="1" x14ac:dyDescent="0.3">
      <c r="A23" s="2" t="s">
        <v>237</v>
      </c>
      <c r="C23" s="9">
        <f>Results_Long!K42</f>
        <v>-9.4643455585145505E-4</v>
      </c>
      <c r="D23" s="7">
        <f>Results_Long!L42</f>
        <v>1.7128674810757999E-2</v>
      </c>
      <c r="E23" s="8">
        <f>Results_Long!N42</f>
        <v>11.660405337055099</v>
      </c>
      <c r="F23" s="6">
        <f>Results_Long!O42</f>
        <v>0.95687123457445</v>
      </c>
      <c r="G23" s="9">
        <f>Results_Long!P42</f>
        <v>-3.8387515770200303E-2</v>
      </c>
      <c r="H23" s="9">
        <f>Results_Long!Q42</f>
        <v>3.6494646658497401E-2</v>
      </c>
    </row>
    <row r="24" spans="1:8" ht="15" customHeight="1" x14ac:dyDescent="0.3">
      <c r="A24" s="2" t="s">
        <v>238</v>
      </c>
      <c r="C24" s="9">
        <f>Results_Long!K44</f>
        <v>2.5954305457566398E-2</v>
      </c>
      <c r="D24" s="7">
        <f>Results_Long!L44</f>
        <v>2.15606130243189E-2</v>
      </c>
      <c r="E24" s="8">
        <f>Results_Long!N44</f>
        <v>14.282377920483301</v>
      </c>
      <c r="F24" s="6">
        <f>Results_Long!O44</f>
        <v>0.24824608100481499</v>
      </c>
      <c r="G24" s="9">
        <f>Results_Long!P44</f>
        <v>-2.0202983622046498E-2</v>
      </c>
      <c r="H24" s="9">
        <f>Results_Long!Q44</f>
        <v>7.2111594537179399E-2</v>
      </c>
    </row>
    <row r="25" spans="1:8" ht="15" customHeight="1" x14ac:dyDescent="0.3">
      <c r="A25" s="2" t="s">
        <v>239</v>
      </c>
      <c r="C25" s="9">
        <f>Results_Long!K46</f>
        <v>2.3149445124347301E-2</v>
      </c>
      <c r="D25" s="7">
        <f>Results_Long!L46</f>
        <v>2.2786092707821899E-2</v>
      </c>
      <c r="E25" s="8">
        <f>Results_Long!N46</f>
        <v>22.565950649938301</v>
      </c>
      <c r="F25" s="6">
        <f>Results_Long!O46</f>
        <v>0.32042466367064298</v>
      </c>
      <c r="G25" s="9">
        <f>Results_Long!P46</f>
        <v>-2.4037398533236599E-2</v>
      </c>
      <c r="H25" s="9">
        <f>Results_Long!Q46</f>
        <v>7.0336288781931197E-2</v>
      </c>
    </row>
    <row r="26" spans="1:8" ht="15" customHeight="1" x14ac:dyDescent="0.3">
      <c r="A26" s="2" t="s">
        <v>240</v>
      </c>
      <c r="C26" s="9">
        <f>Results_Long!K48</f>
        <v>2.3798620914384002E-3</v>
      </c>
      <c r="D26" s="7">
        <f>Results_Long!L48</f>
        <v>2.03234411641511E-2</v>
      </c>
      <c r="E26" s="8">
        <f>Results_Long!N48</f>
        <v>18.166093384971099</v>
      </c>
      <c r="F26" s="6">
        <f>Results_Long!O48</f>
        <v>0.90806624889854404</v>
      </c>
      <c r="G26" s="9">
        <f>Results_Long!P48</f>
        <v>-4.0290137658673002E-2</v>
      </c>
      <c r="H26" s="9">
        <f>Results_Long!Q48</f>
        <v>4.504986184155E-2</v>
      </c>
    </row>
    <row r="27" spans="1:8" ht="15" customHeight="1" x14ac:dyDescent="0.3">
      <c r="A27" s="2" t="s">
        <v>241</v>
      </c>
      <c r="B27" s="10">
        <f>Results_Long!AG49</f>
        <v>7</v>
      </c>
    </row>
    <row r="29" spans="1:8" ht="15" customHeight="1" x14ac:dyDescent="0.3">
      <c r="A29" s="1" t="s">
        <v>204</v>
      </c>
    </row>
    <row r="30" spans="1:8" ht="57.45" customHeight="1" x14ac:dyDescent="0.3">
      <c r="A30" s="4" t="s">
        <v>242</v>
      </c>
    </row>
    <row r="31" spans="1:8" ht="68.7" customHeight="1" x14ac:dyDescent="0.3">
      <c r="A31" s="4" t="s">
        <v>243</v>
      </c>
    </row>
    <row r="32" spans="1:8" ht="57.45" customHeight="1" x14ac:dyDescent="0.3">
      <c r="A32" s="4" t="s">
        <v>244</v>
      </c>
    </row>
    <row r="33" spans="1:2" ht="91.05" customHeight="1" x14ac:dyDescent="0.3">
      <c r="A33" s="4" t="s">
        <v>245</v>
      </c>
    </row>
    <row r="34" spans="1:2" ht="35.1" customHeight="1" x14ac:dyDescent="0.3">
      <c r="A34" s="4" t="s">
        <v>246</v>
      </c>
    </row>
    <row r="36" spans="1:2" ht="15" customHeight="1" x14ac:dyDescent="0.3">
      <c r="A36" s="3" t="s">
        <v>210</v>
      </c>
      <c r="B36" s="3" t="s">
        <v>211</v>
      </c>
    </row>
    <row r="37" spans="1:2" ht="102.15" customHeight="1" x14ac:dyDescent="0.3">
      <c r="A37" s="4" t="s">
        <v>247</v>
      </c>
      <c r="B37" s="4" t="s">
        <v>248</v>
      </c>
    </row>
    <row r="38" spans="1:2" ht="79.8" customHeight="1" x14ac:dyDescent="0.3">
      <c r="A38" s="4" t="s">
        <v>249</v>
      </c>
      <c r="B38" s="4" t="s">
        <v>250</v>
      </c>
    </row>
    <row r="39" spans="1:2" ht="169.35" customHeight="1" x14ac:dyDescent="0.3">
      <c r="A39" s="4" t="s">
        <v>251</v>
      </c>
      <c r="B39" s="4" t="s">
        <v>252</v>
      </c>
    </row>
    <row r="40" spans="1:2" ht="124.65" customHeight="1" x14ac:dyDescent="0.3">
      <c r="A40" s="4" t="s">
        <v>253</v>
      </c>
      <c r="B40" s="4" t="s">
        <v>254</v>
      </c>
    </row>
    <row r="42" spans="1:2" ht="79.8" customHeight="1" x14ac:dyDescent="0.3">
      <c r="A42" s="5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4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14" customWidth="1"/>
    <col min="3" max="11" width="10" customWidth="1"/>
  </cols>
  <sheetData>
    <row r="1" spans="1:11" ht="15" customHeight="1" x14ac:dyDescent="0.3">
      <c r="A1" s="1" t="s">
        <v>256</v>
      </c>
    </row>
    <row r="2" spans="1:11" ht="15" customHeight="1" x14ac:dyDescent="0.3">
      <c r="A2" s="2" t="s">
        <v>257</v>
      </c>
    </row>
    <row r="3" spans="1:11" ht="15" customHeight="1" x14ac:dyDescent="0.3">
      <c r="A3" s="2" t="s">
        <v>2</v>
      </c>
    </row>
    <row r="5" spans="1:11" ht="15" customHeight="1" x14ac:dyDescent="0.3">
      <c r="A5" s="3" t="s">
        <v>182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188</v>
      </c>
      <c r="H5" s="3" t="s">
        <v>189</v>
      </c>
      <c r="I5" s="3" t="s">
        <v>190</v>
      </c>
      <c r="J5" s="3" t="s">
        <v>191</v>
      </c>
      <c r="K5" s="3" t="s">
        <v>192</v>
      </c>
    </row>
    <row r="6" spans="1:11" ht="15" customHeight="1" x14ac:dyDescent="0.3">
      <c r="A6" s="2" t="s">
        <v>258</v>
      </c>
      <c r="B6" s="2" t="str">
        <f>Results_Long!H55&amp;" / "&amp;Results_Long!I55&amp;" / "&amp;Results_Long!J55</f>
        <v>2705 / 113 / 112</v>
      </c>
      <c r="C6" s="7">
        <f>Results_Long!K55</f>
        <v>-2.0423821390603801E-2</v>
      </c>
      <c r="D6" s="7">
        <f>Results_Long!L55</f>
        <v>1.6388620951209899E-2</v>
      </c>
      <c r="E6" s="8">
        <f>Results_Long!N55</f>
        <v>20.739753009241301</v>
      </c>
      <c r="F6" s="6">
        <f>Results_Long!O55</f>
        <v>0.226577316209325</v>
      </c>
      <c r="G6" s="7">
        <f>Results_Long!P55</f>
        <v>-5.45318838686982E-2</v>
      </c>
      <c r="H6" s="7">
        <f>Results_Long!Q55</f>
        <v>1.36842410874906E-2</v>
      </c>
      <c r="I6" s="7">
        <f>Results_Long!T55</f>
        <v>-2.04209820512645E-2</v>
      </c>
      <c r="J6" s="7">
        <f>Results_Long!U55</f>
        <v>-5.4477893788336798E-2</v>
      </c>
      <c r="K6" s="7">
        <f>Results_Long!V55</f>
        <v>1.3683386988188001E-2</v>
      </c>
    </row>
    <row r="7" spans="1:11" ht="15" customHeight="1" x14ac:dyDescent="0.3">
      <c r="A7" s="2" t="s">
        <v>259</v>
      </c>
      <c r="B7" s="2" t="str">
        <f>Results_Long!H56&amp;" / "&amp;Results_Long!I56&amp;" / "&amp;Results_Long!J56</f>
        <v>2705 / 113 / 112</v>
      </c>
      <c r="C7" s="9">
        <f>Results_Long!K56</f>
        <v>1.24574678545605E-2</v>
      </c>
      <c r="D7" s="7">
        <f>Results_Long!L56</f>
        <v>1.73491495401304E-2</v>
      </c>
      <c r="E7" s="8">
        <f>Results_Long!N56</f>
        <v>14.2242528555395</v>
      </c>
      <c r="F7" s="6">
        <f>Results_Long!O56</f>
        <v>0.48435711480138399</v>
      </c>
      <c r="G7" s="9">
        <f>Results_Long!P56</f>
        <v>-2.46977960140129E-2</v>
      </c>
      <c r="H7" s="9">
        <f>Results_Long!Q56</f>
        <v>4.96127317231339E-2</v>
      </c>
      <c r="I7" s="9">
        <f>Results_Long!T56</f>
        <v>0</v>
      </c>
      <c r="J7" s="9">
        <f>Results_Long!U56</f>
        <v>0</v>
      </c>
      <c r="K7" s="9">
        <f>Results_Long!V56</f>
        <v>0</v>
      </c>
    </row>
    <row r="8" spans="1:11" ht="15" customHeight="1" x14ac:dyDescent="0.3">
      <c r="A8" s="2" t="s">
        <v>260</v>
      </c>
      <c r="B8" s="2" t="str">
        <f>Results_Long!H63&amp;" / "&amp;Results_Long!I63&amp;" / "&amp;Results_Long!J63</f>
        <v>2705 / 113 / 112</v>
      </c>
      <c r="C8" s="9">
        <f>Results_Long!K63</f>
        <v>-1.2871263330730499E-2</v>
      </c>
      <c r="D8" s="7">
        <f>Results_Long!L63</f>
        <v>1.5048375570676099E-2</v>
      </c>
      <c r="E8" s="8">
        <f>Results_Long!N63</f>
        <v>8.4723829350507405</v>
      </c>
      <c r="F8" s="6">
        <f>Results_Long!O63</f>
        <v>0.41590249115397199</v>
      </c>
      <c r="G8" s="9">
        <f>Results_Long!P63</f>
        <v>-4.7238966991861198E-2</v>
      </c>
      <c r="H8" s="9">
        <f>Results_Long!Q63</f>
        <v>2.1496440330400102E-2</v>
      </c>
      <c r="I8" s="9">
        <f>Results_Long!T63</f>
        <v>0</v>
      </c>
      <c r="J8" s="9">
        <f>Results_Long!U63</f>
        <v>0</v>
      </c>
      <c r="K8" s="9">
        <f>Results_Long!V63</f>
        <v>0</v>
      </c>
    </row>
    <row r="9" spans="1:11" ht="15" customHeight="1" x14ac:dyDescent="0.3">
      <c r="A9" s="2" t="s">
        <v>261</v>
      </c>
      <c r="B9" s="2" t="str">
        <f>Results_Long!H60&amp;" / "&amp;Results_Long!I60&amp;" / "&amp;Results_Long!J60</f>
        <v>2705 / 113 / 112</v>
      </c>
      <c r="C9" s="9">
        <f>Results_Long!K60</f>
        <v>-5.5928810263259E-2</v>
      </c>
      <c r="D9" s="7">
        <f>Results_Long!L60</f>
        <v>1.59426184340479E-2</v>
      </c>
      <c r="E9" s="8">
        <f>Results_Long!N60</f>
        <v>7.5162704775620401</v>
      </c>
      <c r="F9" s="6">
        <f>Results_Long!O60</f>
        <v>8.8164324400757995E-3</v>
      </c>
      <c r="G9" s="9">
        <f>Results_Long!P60</f>
        <v>-9.3108494253959298E-2</v>
      </c>
      <c r="H9" s="9">
        <f>Results_Long!Q60</f>
        <v>-1.8749126272558599E-2</v>
      </c>
      <c r="I9" s="9">
        <f>Results_Long!T60</f>
        <v>0</v>
      </c>
      <c r="J9" s="9">
        <f>Results_Long!U60</f>
        <v>0</v>
      </c>
      <c r="K9" s="9">
        <f>Results_Long!V60</f>
        <v>0</v>
      </c>
    </row>
    <row r="10" spans="1:11" ht="15" customHeight="1" x14ac:dyDescent="0.3">
      <c r="A10" s="2" t="s">
        <v>262</v>
      </c>
      <c r="B10" s="2" t="str">
        <f>Results_Long!H61&amp;" / "&amp;Results_Long!I61&amp;" / "&amp;Results_Long!J61</f>
        <v>2705 / 113 / 112</v>
      </c>
      <c r="C10" s="9">
        <f>Results_Long!K61</f>
        <v>-8.5060824775009494E-2</v>
      </c>
      <c r="D10" s="7">
        <f>Results_Long!L61</f>
        <v>7.4350479288211702E-2</v>
      </c>
      <c r="E10" s="8">
        <f>Results_Long!N61</f>
        <v>6.5335975917469602</v>
      </c>
      <c r="F10" s="6">
        <f>Results_Long!O61</f>
        <v>0.29277935725057602</v>
      </c>
      <c r="G10" s="9">
        <f>Results_Long!P61</f>
        <v>-0.26344822706071402</v>
      </c>
      <c r="H10" s="9">
        <f>Results_Long!Q61</f>
        <v>9.3326577510694994E-2</v>
      </c>
      <c r="I10" s="9">
        <f>Results_Long!T61</f>
        <v>0</v>
      </c>
      <c r="J10" s="9">
        <f>Results_Long!U61</f>
        <v>0</v>
      </c>
      <c r="K10" s="9">
        <f>Results_Long!V61</f>
        <v>0</v>
      </c>
    </row>
    <row r="11" spans="1:11" ht="15" customHeight="1" x14ac:dyDescent="0.3">
      <c r="A11" s="2" t="s">
        <v>263</v>
      </c>
      <c r="B11" s="2" t="str">
        <f>Results_Long!H62&amp;" / "&amp;Results_Long!I62&amp;" / "&amp;Results_Long!J62</f>
        <v>2705 / 113 / 112</v>
      </c>
      <c r="C11" s="9">
        <f>Results_Long!K62</f>
        <v>-2.1533767866729302E-2</v>
      </c>
      <c r="D11" s="7">
        <f>Results_Long!L62</f>
        <v>1.6482782704549299E-2</v>
      </c>
      <c r="E11" s="8">
        <f>Results_Long!N62</f>
        <v>6.3373717584845997</v>
      </c>
      <c r="F11" s="6">
        <f>Results_Long!O62</f>
        <v>0.23681238226846099</v>
      </c>
      <c r="G11" s="9">
        <f>Results_Long!P62</f>
        <v>-6.13508992672403E-2</v>
      </c>
      <c r="H11" s="9">
        <f>Results_Long!Q62</f>
        <v>1.8283363533781499E-2</v>
      </c>
      <c r="I11" s="9">
        <f>Results_Long!T62</f>
        <v>0</v>
      </c>
      <c r="J11" s="9">
        <f>Results_Long!U62</f>
        <v>0</v>
      </c>
      <c r="K11" s="9">
        <f>Results_Long!V62</f>
        <v>0</v>
      </c>
    </row>
    <row r="12" spans="1:11" ht="15" customHeight="1" x14ac:dyDescent="0.3">
      <c r="A12" s="2" t="s">
        <v>264</v>
      </c>
      <c r="B12" s="2" t="str">
        <f>Results_Long!H57&amp;" / "&amp;Results_Long!I57&amp;" / "&amp;Results_Long!J57</f>
        <v>2705 / 113 / 112</v>
      </c>
      <c r="C12" s="9">
        <f>Results_Long!K57</f>
        <v>-4.1513929966233903E-2</v>
      </c>
      <c r="D12" s="7">
        <f>Results_Long!L57</f>
        <v>3.8720079301936203E-2</v>
      </c>
      <c r="E12" s="8">
        <f>Results_Long!N57</f>
        <v>2.7070036740993801</v>
      </c>
      <c r="F12" s="6">
        <f>Results_Long!O57</f>
        <v>0.36981688927995399</v>
      </c>
      <c r="G12" s="9">
        <f>Results_Long!P57</f>
        <v>-0.17263838168130199</v>
      </c>
      <c r="H12" s="9">
        <f>Results_Long!Q57</f>
        <v>8.9610521748833896E-2</v>
      </c>
      <c r="I12" s="9">
        <f>Results_Long!T57</f>
        <v>0</v>
      </c>
      <c r="J12" s="9">
        <f>Results_Long!U57</f>
        <v>0</v>
      </c>
      <c r="K12" s="9">
        <f>Results_Long!V57</f>
        <v>0</v>
      </c>
    </row>
    <row r="13" spans="1:11" ht="15" customHeight="1" x14ac:dyDescent="0.3">
      <c r="A13" s="2" t="s">
        <v>265</v>
      </c>
      <c r="B13" s="2" t="str">
        <f>Results_Long!H58&amp;" / "&amp;Results_Long!I58&amp;" / "&amp;Results_Long!J58</f>
        <v>2705 / 113 / 112</v>
      </c>
      <c r="C13" s="9">
        <f>Results_Long!K58</f>
        <v>-2.3841964098122202E-2</v>
      </c>
      <c r="D13" s="7">
        <f>Results_Long!L58</f>
        <v>2.3263851883714399E-2</v>
      </c>
      <c r="E13" s="8">
        <f>Results_Long!N58</f>
        <v>21.277460849249898</v>
      </c>
      <c r="F13" s="6">
        <f>Results_Long!O58</f>
        <v>0.31694496616461398</v>
      </c>
      <c r="G13" s="9">
        <f>Results_Long!P58</f>
        <v>-7.2183407211815598E-2</v>
      </c>
      <c r="H13" s="9">
        <f>Results_Long!Q58</f>
        <v>2.4499479015571E-2</v>
      </c>
      <c r="I13" s="9">
        <f>Results_Long!T58</f>
        <v>0</v>
      </c>
      <c r="J13" s="9">
        <f>Results_Long!U58</f>
        <v>0</v>
      </c>
      <c r="K13" s="9">
        <f>Results_Long!V58</f>
        <v>0</v>
      </c>
    </row>
    <row r="14" spans="1:11" ht="15" customHeight="1" x14ac:dyDescent="0.3">
      <c r="A14" s="2" t="s">
        <v>266</v>
      </c>
      <c r="B14" s="2" t="str">
        <f>Results_Long!H59&amp;" / "&amp;Results_Long!I59&amp;" / "&amp;Results_Long!J59</f>
        <v>2705 / 113 / 112</v>
      </c>
      <c r="C14" s="9">
        <f>Results_Long!K59</f>
        <v>-1.1996541618729799E-2</v>
      </c>
      <c r="D14" s="7">
        <f>Results_Long!L59</f>
        <v>1.8297315224640301E-2</v>
      </c>
      <c r="E14" s="8">
        <f>Results_Long!N59</f>
        <v>8.58571784870791</v>
      </c>
      <c r="F14" s="6">
        <f>Results_Long!O59</f>
        <v>0.52922712595669796</v>
      </c>
      <c r="G14" s="9">
        <f>Results_Long!P59</f>
        <v>-5.369440431618E-2</v>
      </c>
      <c r="H14" s="9">
        <f>Results_Long!Q59</f>
        <v>2.97013210787203E-2</v>
      </c>
      <c r="I14" s="9">
        <f>Results_Long!T59</f>
        <v>0</v>
      </c>
      <c r="J14" s="9">
        <f>Results_Long!U59</f>
        <v>0</v>
      </c>
      <c r="K14" s="9">
        <f>Results_Long!V59</f>
        <v>0</v>
      </c>
    </row>
    <row r="15" spans="1:11" ht="15" customHeight="1" x14ac:dyDescent="0.3">
      <c r="A15" s="2" t="s">
        <v>267</v>
      </c>
      <c r="B15" s="2" t="str">
        <f>Results_Long!H68&amp;" / "&amp;Results_Long!I68&amp;" / "&amp;Results_Long!J68</f>
        <v>2705 / 113 / 112</v>
      </c>
      <c r="C15" s="9">
        <f>Results_Long!K68</f>
        <v>1.39315034184867E-2</v>
      </c>
      <c r="D15" s="7">
        <f>Results_Long!L68</f>
        <v>1.8317115810939599E-2</v>
      </c>
      <c r="E15" s="8">
        <f>Results_Long!N68</f>
        <v>19.2001886161265</v>
      </c>
      <c r="F15" s="6">
        <f>Results_Long!O68</f>
        <v>0.45615154954806097</v>
      </c>
      <c r="G15" s="9">
        <f>Results_Long!P68</f>
        <v>-2.4379623771221399E-2</v>
      </c>
      <c r="H15" s="9">
        <f>Results_Long!Q68</f>
        <v>5.2242630608194902E-2</v>
      </c>
      <c r="I15" s="9">
        <f>Results_Long!T68</f>
        <v>0</v>
      </c>
      <c r="J15" s="9">
        <f>Results_Long!U68</f>
        <v>0</v>
      </c>
      <c r="K15" s="9">
        <f>Results_Long!V68</f>
        <v>0</v>
      </c>
    </row>
    <row r="16" spans="1:11" ht="15" customHeight="1" x14ac:dyDescent="0.3">
      <c r="A16" s="2" t="s">
        <v>268</v>
      </c>
      <c r="B16" s="2" t="str">
        <f>Results_Long!H67&amp;" / "&amp;Results_Long!I67&amp;" / "&amp;Results_Long!J67</f>
        <v>2705 / 113 / 112</v>
      </c>
      <c r="C16" s="9">
        <f>Results_Long!K67</f>
        <v>-2.2856644685425001E-4</v>
      </c>
      <c r="D16" s="7">
        <f>Results_Long!L67</f>
        <v>1.8053731963672999E-3</v>
      </c>
      <c r="E16" s="8">
        <f>Results_Long!N67</f>
        <v>23.3854199948555</v>
      </c>
      <c r="F16" s="6">
        <f>Results_Long!O67</f>
        <v>0.90033653629447696</v>
      </c>
      <c r="G16" s="9">
        <f>Results_Long!P67</f>
        <v>-3.959862460846E-3</v>
      </c>
      <c r="H16" s="9">
        <f>Results_Long!Q67</f>
        <v>3.5027295671375002E-3</v>
      </c>
      <c r="I16" s="9">
        <f>Results_Long!T67</f>
        <v>0</v>
      </c>
      <c r="J16" s="9">
        <f>Results_Long!U67</f>
        <v>0</v>
      </c>
      <c r="K16" s="9">
        <f>Results_Long!V67</f>
        <v>0</v>
      </c>
    </row>
    <row r="17" spans="1:6" ht="15" customHeight="1" x14ac:dyDescent="0.3">
      <c r="A17" s="2" t="s">
        <v>269</v>
      </c>
      <c r="C17" s="6">
        <f>Results_Long!M64</f>
        <v>1.50144303999955</v>
      </c>
      <c r="D17" s="2" t="s">
        <v>203</v>
      </c>
      <c r="E17" s="8">
        <f>Results_Long!N64</f>
        <v>7.80603157754308</v>
      </c>
      <c r="F17" s="6">
        <f>Results_Long!O64</f>
        <v>0.29200343916414601</v>
      </c>
    </row>
    <row r="18" spans="1:6" ht="15" customHeight="1" x14ac:dyDescent="0.3">
      <c r="A18" s="2" t="s">
        <v>270</v>
      </c>
      <c r="C18" s="6">
        <f>Results_Long!M76</f>
        <v>1.4467369250025801</v>
      </c>
      <c r="D18" s="2" t="s">
        <v>203</v>
      </c>
      <c r="E18" s="8">
        <f>Results_Long!N76</f>
        <v>7.18019269506883</v>
      </c>
      <c r="F18" s="6">
        <f>Results_Long!O76</f>
        <v>0.31668983702901699</v>
      </c>
    </row>
    <row r="20" spans="1:6" ht="15" customHeight="1" x14ac:dyDescent="0.3">
      <c r="A20" s="2" t="s">
        <v>271</v>
      </c>
      <c r="B20" s="9">
        <f>Results_Long!AG65</f>
        <v>2.2815611441579001E-3</v>
      </c>
    </row>
    <row r="22" spans="1:6" ht="15" customHeight="1" x14ac:dyDescent="0.3">
      <c r="A22" s="1" t="s">
        <v>204</v>
      </c>
    </row>
    <row r="23" spans="1:6" ht="46.2" customHeight="1" x14ac:dyDescent="0.3">
      <c r="A23" s="4" t="s">
        <v>272</v>
      </c>
    </row>
    <row r="24" spans="1:6" ht="57.45" customHeight="1" x14ac:dyDescent="0.3">
      <c r="A24" s="4" t="s">
        <v>273</v>
      </c>
    </row>
    <row r="25" spans="1:6" ht="68.7" customHeight="1" x14ac:dyDescent="0.3">
      <c r="A25" s="4" t="s">
        <v>274</v>
      </c>
    </row>
    <row r="26" spans="1:6" ht="46.2" customHeight="1" x14ac:dyDescent="0.3">
      <c r="A26" s="4" t="s">
        <v>275</v>
      </c>
    </row>
    <row r="27" spans="1:6" ht="35.1" customHeight="1" x14ac:dyDescent="0.3">
      <c r="A27" s="4" t="s">
        <v>276</v>
      </c>
    </row>
    <row r="29" spans="1:6" ht="15" customHeight="1" x14ac:dyDescent="0.3">
      <c r="A29" s="3" t="s">
        <v>210</v>
      </c>
      <c r="B29" s="3" t="s">
        <v>211</v>
      </c>
    </row>
    <row r="30" spans="1:6" ht="247.8" customHeight="1" x14ac:dyDescent="0.3">
      <c r="A30" s="4" t="s">
        <v>277</v>
      </c>
      <c r="B30" s="4" t="s">
        <v>278</v>
      </c>
    </row>
    <row r="31" spans="1:6" ht="158.25" customHeight="1" x14ac:dyDescent="0.3">
      <c r="A31" s="4" t="s">
        <v>279</v>
      </c>
      <c r="B31" s="4" t="s">
        <v>280</v>
      </c>
    </row>
    <row r="32" spans="1:6" ht="135.75" customHeight="1" x14ac:dyDescent="0.3">
      <c r="A32" s="4" t="s">
        <v>281</v>
      </c>
      <c r="B32" s="4" t="s">
        <v>282</v>
      </c>
    </row>
    <row r="34" spans="1:1" ht="57.45" customHeight="1" x14ac:dyDescent="0.3">
      <c r="A34" s="5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16" customWidth="1"/>
    <col min="3" max="3" width="86" customWidth="1"/>
  </cols>
  <sheetData>
    <row r="1" spans="1:3" ht="15" customHeight="1" x14ac:dyDescent="0.3">
      <c r="A1" s="1" t="s">
        <v>284</v>
      </c>
    </row>
    <row r="2" spans="1:3" ht="15" customHeight="1" x14ac:dyDescent="0.3">
      <c r="A2" s="2" t="s">
        <v>285</v>
      </c>
    </row>
    <row r="3" spans="1:3" ht="15" customHeight="1" x14ac:dyDescent="0.3">
      <c r="A3" s="2" t="s">
        <v>2</v>
      </c>
    </row>
    <row r="5" spans="1:3" ht="15" customHeight="1" x14ac:dyDescent="0.3">
      <c r="A5" s="3" t="s">
        <v>48</v>
      </c>
      <c r="B5" s="3" t="s">
        <v>4</v>
      </c>
      <c r="C5" s="3" t="s">
        <v>167</v>
      </c>
    </row>
    <row r="6" spans="1:3" ht="46.2" customHeight="1" x14ac:dyDescent="0.3">
      <c r="A6" s="2" t="s">
        <v>286</v>
      </c>
      <c r="B6" s="7">
        <f>Results_Long!AG77</f>
        <v>-1.4745523329622E-2</v>
      </c>
      <c r="C6" s="4" t="str">
        <f>Results_Long!AJ77</f>
        <v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</v>
      </c>
    </row>
    <row r="7" spans="1:3" ht="46.2" customHeight="1" x14ac:dyDescent="0.3">
      <c r="A7" s="2" t="s">
        <v>287</v>
      </c>
      <c r="B7" s="7">
        <f>Results_Long!AG78</f>
        <v>9.8149608536121993E-3</v>
      </c>
      <c r="C7" s="4" t="str">
        <f>Results_Long!AJ78</f>
        <v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</v>
      </c>
    </row>
    <row r="8" spans="1:3" ht="46.2" customHeight="1" x14ac:dyDescent="0.3">
      <c r="A8" s="2" t="s">
        <v>288</v>
      </c>
      <c r="B8" s="9">
        <f>Results_Long!AG79</f>
        <v>1.24309311321839E-2</v>
      </c>
      <c r="C8" s="4" t="str">
        <f>Results_Long!AJ79</f>
        <v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(REML); delta = 1; z-scale</v>
      </c>
    </row>
    <row r="9" spans="1:3" ht="57.45" customHeight="1" x14ac:dyDescent="0.3">
      <c r="A9" s="2" t="s">
        <v>289</v>
      </c>
      <c r="B9" s="11">
        <f>Results_Long!AG80</f>
        <v>9.2841268265801595</v>
      </c>
      <c r="C9" s="4" t="str">
        <f>Results_Long!AJ80</f>
        <v>Oster-logic ANALOG on variance-component pseudo-R2: R2 = 1 - sum(sigma2_model)/sum(sigma2_intercept-only), same subset/V; uncontrolled = race (time trend held in both models [F61-P1]), controlled = trend_composition; Rmax = min(1.3 x R2_c, 1) [Oster 2019]; pseudo-R2 can be negative (REML); CAVEAT: near-null coefficients make delta* mechanically unstable — read jointly with beta_star and the mask E-values</v>
      </c>
    </row>
    <row r="10" spans="1:3" ht="23.85" customHeight="1" x14ac:dyDescent="0.3">
      <c r="A10" s="2" t="s">
        <v>290</v>
      </c>
      <c r="B10" s="6">
        <f>Results_Long!AG81</f>
        <v>1.1879830213206599</v>
      </c>
      <c r="C10" s="4" t="str">
        <f>Results_Long!AJ81</f>
        <v>on |final-model Paris coefficient|; |delta z| read as |delta r| (third-order approx at these magnitudes); r-&gt;d = 2r/sqrt(1-r^2), RR approx exp(0.91 d) [VanderWeele &amp; Ding 2017]</v>
      </c>
    </row>
    <row r="11" spans="1:3" ht="23.85" customHeight="1" x14ac:dyDescent="0.3">
      <c r="A11" s="2" t="s">
        <v>291</v>
      </c>
      <c r="B11" s="6">
        <f>Results_Long!AG82</f>
        <v>1.43135786514981</v>
      </c>
      <c r="C11" s="4" t="str">
        <f>Results_Long!AJ82</f>
        <v>on max |CR2 CI bound| of the final-model Paris coefficient; |delta z| read as |delta r| (third-order approx at these magnitudes); r-&gt;d = 2r/sqrt(1-r^2), RR approx exp(0.91 d) [VanderWeele &amp; Ding 2017]</v>
      </c>
    </row>
    <row r="12" spans="1:3" ht="35.1" customHeight="1" x14ac:dyDescent="0.3">
      <c r="A12" s="2" t="s">
        <v>292</v>
      </c>
      <c r="B12" s="6">
        <f>Results_Long!AG83</f>
        <v>1.41864886689984</v>
      </c>
      <c r="C12" s="4" t="str">
        <f>Results_Long!AJ83</f>
        <v>confounding strength needed to mask a true |delta r| = 0.05 contrast [DEC-031 Block E secondary SESOI]; |delta z| read as |delta r| (third-order approx at these magnitudes); r-&gt;d = 2r/sqrt(1-r^2), RR approx exp(0.91 d) [VanderWeele &amp; Ding 2017]</v>
      </c>
    </row>
    <row r="13" spans="1:3" ht="35.1" customHeight="1" x14ac:dyDescent="0.3">
      <c r="A13" s="2" t="s">
        <v>293</v>
      </c>
      <c r="B13" s="6">
        <f>Results_Long!AG84</f>
        <v>1.52965445717267</v>
      </c>
      <c r="C13" s="4" t="str">
        <f>Results_Long!AJ84</f>
        <v>mask reference at the pooled-mean SESOI |r| = 0.070 (F27v2) [DEC-031 Block E primary]; |delta z| read as |delta r| (third-order approx at these magnitudes); r-&gt;d = 2r/sqrt(1-r^2), RR approx exp(0.91 d) [VanderWeele &amp; Ding 2017]</v>
      </c>
    </row>
    <row r="15" spans="1:3" ht="15" customHeight="1" x14ac:dyDescent="0.3">
      <c r="A15" s="1" t="s">
        <v>204</v>
      </c>
    </row>
    <row r="16" spans="1:3" ht="46.2" customHeight="1" x14ac:dyDescent="0.3">
      <c r="A16" s="4" t="s">
        <v>294</v>
      </c>
    </row>
    <row r="17" spans="1:2" ht="46.2" customHeight="1" x14ac:dyDescent="0.3">
      <c r="A17" s="4" t="s">
        <v>295</v>
      </c>
    </row>
    <row r="18" spans="1:2" ht="68.7" customHeight="1" x14ac:dyDescent="0.3">
      <c r="A18" s="4" t="s">
        <v>296</v>
      </c>
    </row>
    <row r="19" spans="1:2" ht="57.45" customHeight="1" x14ac:dyDescent="0.3">
      <c r="A19" s="4" t="s">
        <v>297</v>
      </c>
    </row>
    <row r="21" spans="1:2" ht="15" customHeight="1" x14ac:dyDescent="0.3">
      <c r="A21" s="3" t="s">
        <v>210</v>
      </c>
      <c r="B21" s="3" t="s">
        <v>211</v>
      </c>
    </row>
    <row r="22" spans="1:2" ht="113.4" customHeight="1" x14ac:dyDescent="0.3">
      <c r="A22" s="4" t="s">
        <v>298</v>
      </c>
      <c r="B22" s="4" t="s">
        <v>299</v>
      </c>
    </row>
    <row r="23" spans="1:2" ht="124.65" customHeight="1" x14ac:dyDescent="0.3">
      <c r="A23" s="4" t="s">
        <v>300</v>
      </c>
      <c r="B23" s="4" t="s">
        <v>301</v>
      </c>
    </row>
    <row r="25" spans="1:2" ht="57.45" customHeight="1" x14ac:dyDescent="0.3">
      <c r="A25" s="5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84"/>
  <sheetViews>
    <sheetView tabSelected="1" topLeftCell="B1" zoomScaleNormal="100" workbookViewId="0">
      <pane ySplit="1" topLeftCell="A16" activePane="bottomLeft" state="frozen"/>
      <selection pane="bottomLeft" activeCell="T50" sqref="T50"/>
    </sheetView>
  </sheetViews>
  <sheetFormatPr baseColWidth="10" defaultColWidth="8.6640625" defaultRowHeight="14.4" x14ac:dyDescent="0.3"/>
  <cols>
    <col min="1" max="1" width="9" customWidth="1"/>
    <col min="2" max="2" width="17" customWidth="1"/>
    <col min="3" max="3" width="9" customWidth="1"/>
    <col min="4" max="4" width="22" customWidth="1"/>
    <col min="5" max="5" width="9" customWidth="1"/>
    <col min="6" max="6" width="15" customWidth="1"/>
    <col min="7" max="7" width="5" customWidth="1"/>
    <col min="8" max="8" width="7" customWidth="1"/>
    <col min="9" max="9" width="8" customWidth="1"/>
    <col min="10" max="10" width="9" customWidth="1"/>
    <col min="11" max="27" width="10" customWidth="1"/>
    <col min="28" max="31" width="8" customWidth="1"/>
    <col min="32" max="32" width="10" customWidth="1"/>
    <col min="33" max="33" width="12" customWidth="1"/>
    <col min="34" max="34" width="8" customWidth="1"/>
    <col min="35" max="35" width="18" customWidth="1"/>
    <col min="36" max="36" width="60" customWidth="1"/>
  </cols>
  <sheetData>
    <row r="1" spans="1:36" ht="15" customHeight="1" x14ac:dyDescent="0.3">
      <c r="A1" s="3" t="s">
        <v>303</v>
      </c>
      <c r="B1" s="3" t="s">
        <v>304</v>
      </c>
      <c r="C1" s="3" t="s">
        <v>305</v>
      </c>
      <c r="D1" s="3" t="s">
        <v>306</v>
      </c>
      <c r="E1" s="3" t="s">
        <v>307</v>
      </c>
      <c r="F1" s="3" t="s">
        <v>308</v>
      </c>
      <c r="G1" s="3" t="s">
        <v>309</v>
      </c>
      <c r="H1" s="3" t="s">
        <v>310</v>
      </c>
      <c r="I1" s="3" t="s">
        <v>311</v>
      </c>
      <c r="J1" s="3" t="s">
        <v>312</v>
      </c>
      <c r="K1" s="3" t="s">
        <v>184</v>
      </c>
      <c r="L1" s="3" t="s">
        <v>185</v>
      </c>
      <c r="M1" s="3" t="s">
        <v>313</v>
      </c>
      <c r="N1" s="3" t="s">
        <v>186</v>
      </c>
      <c r="O1" s="3" t="s">
        <v>187</v>
      </c>
      <c r="P1" s="3" t="s">
        <v>314</v>
      </c>
      <c r="Q1" s="3" t="s">
        <v>315</v>
      </c>
      <c r="R1" s="3" t="s">
        <v>316</v>
      </c>
      <c r="S1" s="3" t="s">
        <v>317</v>
      </c>
      <c r="T1" s="3" t="s">
        <v>190</v>
      </c>
      <c r="U1" s="3" t="s">
        <v>318</v>
      </c>
      <c r="V1" s="3" t="s">
        <v>319</v>
      </c>
      <c r="W1" s="3" t="s">
        <v>320</v>
      </c>
      <c r="X1" s="3" t="s">
        <v>321</v>
      </c>
      <c r="Y1" s="3" t="s">
        <v>322</v>
      </c>
      <c r="Z1" s="3" t="s">
        <v>323</v>
      </c>
      <c r="AA1" s="3" t="s">
        <v>324</v>
      </c>
      <c r="AB1" s="3" t="s">
        <v>325</v>
      </c>
      <c r="AC1" s="3" t="s">
        <v>326</v>
      </c>
      <c r="AD1" s="3" t="s">
        <v>327</v>
      </c>
      <c r="AE1" s="3" t="s">
        <v>328</v>
      </c>
      <c r="AF1" s="3" t="s">
        <v>329</v>
      </c>
      <c r="AG1" s="3" t="s">
        <v>330</v>
      </c>
      <c r="AH1" s="3" t="s">
        <v>331</v>
      </c>
      <c r="AI1" s="3" t="s">
        <v>332</v>
      </c>
      <c r="AJ1" s="3" t="s">
        <v>333</v>
      </c>
    </row>
    <row r="2" spans="1:36" ht="15" customHeight="1" x14ac:dyDescent="0.3">
      <c r="A2" s="12" t="s">
        <v>334</v>
      </c>
      <c r="B2" s="12" t="s">
        <v>335</v>
      </c>
      <c r="C2" s="12" t="s">
        <v>336</v>
      </c>
      <c r="D2" s="12" t="s">
        <v>168</v>
      </c>
      <c r="E2" s="12" t="s">
        <v>337</v>
      </c>
      <c r="F2" s="12" t="s">
        <v>338</v>
      </c>
      <c r="G2" s="12"/>
      <c r="H2" s="12">
        <v>2705</v>
      </c>
      <c r="I2" s="12">
        <v>113</v>
      </c>
      <c r="J2" s="12">
        <v>112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>
        <v>2705</v>
      </c>
      <c r="AH2" s="12" t="b">
        <f>FALSE()</f>
        <v>0</v>
      </c>
      <c r="AI2" s="12"/>
      <c r="AJ2" s="12" t="s">
        <v>339</v>
      </c>
    </row>
    <row r="3" spans="1:36" ht="15" customHeight="1" x14ac:dyDescent="0.3">
      <c r="A3" s="12" t="s">
        <v>334</v>
      </c>
      <c r="B3" s="12" t="s">
        <v>335</v>
      </c>
      <c r="C3" s="12" t="s">
        <v>336</v>
      </c>
      <c r="D3" s="12" t="s">
        <v>169</v>
      </c>
      <c r="E3" s="12" t="s">
        <v>337</v>
      </c>
      <c r="F3" s="12" t="s">
        <v>338</v>
      </c>
      <c r="G3" s="12"/>
      <c r="H3" s="12">
        <v>2705</v>
      </c>
      <c r="I3" s="12">
        <v>113</v>
      </c>
      <c r="J3" s="12">
        <v>112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>
        <v>8</v>
      </c>
      <c r="AH3" s="12" t="b">
        <f>FALSE()</f>
        <v>0</v>
      </c>
      <c r="AI3" s="12"/>
      <c r="AJ3" s="12" t="s">
        <v>340</v>
      </c>
    </row>
    <row r="4" spans="1:36" ht="15" customHeight="1" x14ac:dyDescent="0.3">
      <c r="A4" s="12" t="s">
        <v>334</v>
      </c>
      <c r="B4" s="12" t="s">
        <v>335</v>
      </c>
      <c r="C4" s="12" t="s">
        <v>336</v>
      </c>
      <c r="D4" s="12" t="s">
        <v>170</v>
      </c>
      <c r="E4" s="12" t="s">
        <v>337</v>
      </c>
      <c r="F4" s="12" t="s">
        <v>338</v>
      </c>
      <c r="G4" s="12"/>
      <c r="H4" s="12">
        <v>2705</v>
      </c>
      <c r="I4" s="12">
        <v>113</v>
      </c>
      <c r="J4" s="12">
        <v>112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>
        <v>711</v>
      </c>
      <c r="AH4" s="12" t="b">
        <f>FALSE()</f>
        <v>0</v>
      </c>
      <c r="AI4" s="12"/>
      <c r="AJ4" s="12" t="s">
        <v>341</v>
      </c>
    </row>
    <row r="5" spans="1:36" ht="15" customHeight="1" x14ac:dyDescent="0.3">
      <c r="A5" s="12" t="s">
        <v>334</v>
      </c>
      <c r="B5" s="12" t="s">
        <v>335</v>
      </c>
      <c r="C5" s="12" t="s">
        <v>336</v>
      </c>
      <c r="D5" s="12" t="s">
        <v>171</v>
      </c>
      <c r="E5" s="12" t="s">
        <v>342</v>
      </c>
      <c r="F5" s="12" t="s">
        <v>338</v>
      </c>
      <c r="G5" s="12"/>
      <c r="H5" s="12">
        <v>2705</v>
      </c>
      <c r="I5" s="12">
        <v>113</v>
      </c>
      <c r="J5" s="12">
        <v>112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>
        <v>0.814579698943666</v>
      </c>
      <c r="AH5" s="12" t="b">
        <f>FALSE()</f>
        <v>0</v>
      </c>
      <c r="AI5" s="12"/>
      <c r="AJ5" s="12" t="s">
        <v>343</v>
      </c>
    </row>
    <row r="6" spans="1:36" ht="15" customHeight="1" x14ac:dyDescent="0.3">
      <c r="A6" s="12" t="s">
        <v>334</v>
      </c>
      <c r="B6" s="12" t="s">
        <v>335</v>
      </c>
      <c r="C6" s="12" t="s">
        <v>336</v>
      </c>
      <c r="D6" s="12" t="s">
        <v>172</v>
      </c>
      <c r="E6" s="12" t="s">
        <v>337</v>
      </c>
      <c r="F6" s="12" t="s">
        <v>338</v>
      </c>
      <c r="G6" s="12"/>
      <c r="H6" s="12">
        <v>2705</v>
      </c>
      <c r="I6" s="12">
        <v>113</v>
      </c>
      <c r="J6" s="12">
        <v>112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>
        <v>41</v>
      </c>
      <c r="AH6" s="12" t="b">
        <f>FALSE()</f>
        <v>0</v>
      </c>
      <c r="AI6" s="12"/>
      <c r="AJ6" s="12" t="s">
        <v>344</v>
      </c>
    </row>
    <row r="7" spans="1:36" ht="15" customHeight="1" x14ac:dyDescent="0.3">
      <c r="A7" s="12" t="s">
        <v>334</v>
      </c>
      <c r="B7" s="12" t="s">
        <v>335</v>
      </c>
      <c r="C7" s="12" t="s">
        <v>336</v>
      </c>
      <c r="D7" s="12" t="s">
        <v>173</v>
      </c>
      <c r="E7" s="12" t="s">
        <v>345</v>
      </c>
      <c r="F7" s="12" t="s">
        <v>338</v>
      </c>
      <c r="G7" s="12"/>
      <c r="H7" s="12">
        <v>2705</v>
      </c>
      <c r="I7" s="12">
        <v>113</v>
      </c>
      <c r="J7" s="12">
        <v>112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>
        <v>1</v>
      </c>
      <c r="AH7" s="12" t="b">
        <f>FALSE()</f>
        <v>0</v>
      </c>
      <c r="AI7" s="12"/>
      <c r="AJ7" s="12" t="s">
        <v>346</v>
      </c>
    </row>
    <row r="8" spans="1:36" ht="15" customHeight="1" x14ac:dyDescent="0.3">
      <c r="A8" s="12" t="s">
        <v>334</v>
      </c>
      <c r="B8" s="12" t="s">
        <v>335</v>
      </c>
      <c r="C8" s="12" t="s">
        <v>336</v>
      </c>
      <c r="D8" s="12" t="s">
        <v>174</v>
      </c>
      <c r="E8" s="12" t="s">
        <v>337</v>
      </c>
      <c r="F8" s="12" t="s">
        <v>338</v>
      </c>
      <c r="G8" s="12"/>
      <c r="H8" s="12">
        <v>2705</v>
      </c>
      <c r="I8" s="12">
        <v>113</v>
      </c>
      <c r="J8" s="12">
        <v>112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>
        <v>318</v>
      </c>
      <c r="AH8" s="12" t="b">
        <f>FALSE()</f>
        <v>0</v>
      </c>
      <c r="AI8" s="12"/>
      <c r="AJ8" s="12" t="s">
        <v>347</v>
      </c>
    </row>
    <row r="9" spans="1:36" ht="15" customHeight="1" x14ac:dyDescent="0.3">
      <c r="A9" s="12" t="s">
        <v>334</v>
      </c>
      <c r="B9" s="12" t="s">
        <v>335</v>
      </c>
      <c r="C9" s="12" t="s">
        <v>336</v>
      </c>
      <c r="D9" s="12" t="s">
        <v>175</v>
      </c>
      <c r="E9" s="12" t="s">
        <v>337</v>
      </c>
      <c r="F9" s="12" t="s">
        <v>338</v>
      </c>
      <c r="G9" s="12"/>
      <c r="H9" s="12">
        <v>2705</v>
      </c>
      <c r="I9" s="12">
        <v>113</v>
      </c>
      <c r="J9" s="12">
        <v>112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611</v>
      </c>
      <c r="AH9" s="12" t="b">
        <f>FALSE()</f>
        <v>0</v>
      </c>
      <c r="AI9" s="12"/>
      <c r="AJ9" s="12" t="s">
        <v>348</v>
      </c>
    </row>
    <row r="10" spans="1:36" ht="15" customHeight="1" x14ac:dyDescent="0.3">
      <c r="A10" s="12" t="s">
        <v>334</v>
      </c>
      <c r="B10" s="12" t="s">
        <v>335</v>
      </c>
      <c r="C10" s="12" t="s">
        <v>336</v>
      </c>
      <c r="D10" s="12" t="s">
        <v>176</v>
      </c>
      <c r="E10" s="12" t="s">
        <v>349</v>
      </c>
      <c r="F10" s="12" t="s">
        <v>338</v>
      </c>
      <c r="G10" s="12"/>
      <c r="H10" s="12">
        <v>2705</v>
      </c>
      <c r="I10" s="12">
        <v>113</v>
      </c>
      <c r="J10" s="12">
        <v>112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>
        <v>2012.257855823</v>
      </c>
      <c r="AH10" s="12" t="b">
        <f>FALSE()</f>
        <v>0</v>
      </c>
      <c r="AI10" s="12"/>
      <c r="AJ10" s="12" t="s">
        <v>350</v>
      </c>
    </row>
    <row r="11" spans="1:36" ht="15" customHeight="1" x14ac:dyDescent="0.3">
      <c r="A11" s="12" t="s">
        <v>334</v>
      </c>
      <c r="B11" s="12" t="s">
        <v>335</v>
      </c>
      <c r="C11" s="12" t="s">
        <v>336</v>
      </c>
      <c r="D11" s="12" t="s">
        <v>177</v>
      </c>
      <c r="E11" s="12" t="s">
        <v>349</v>
      </c>
      <c r="F11" s="12" t="s">
        <v>338</v>
      </c>
      <c r="G11" s="12"/>
      <c r="H11" s="12">
        <v>2705</v>
      </c>
      <c r="I11" s="12">
        <v>113</v>
      </c>
      <c r="J11" s="12">
        <v>112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2013</v>
      </c>
      <c r="AH11" s="12" t="b">
        <f>FALSE()</f>
        <v>0</v>
      </c>
      <c r="AI11" s="12"/>
      <c r="AJ11" s="12" t="s">
        <v>351</v>
      </c>
    </row>
    <row r="12" spans="1:36" ht="15" customHeight="1" x14ac:dyDescent="0.3">
      <c r="A12" s="12" t="s">
        <v>334</v>
      </c>
      <c r="B12" s="12" t="s">
        <v>335</v>
      </c>
      <c r="C12" s="12" t="s">
        <v>336</v>
      </c>
      <c r="D12" s="12" t="s">
        <v>178</v>
      </c>
      <c r="E12" s="12" t="s">
        <v>337</v>
      </c>
      <c r="F12" s="12" t="s">
        <v>338</v>
      </c>
      <c r="G12" s="12"/>
      <c r="H12" s="12">
        <v>2705</v>
      </c>
      <c r="I12" s="12">
        <v>113</v>
      </c>
      <c r="J12" s="12">
        <v>112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>
        <v>25</v>
      </c>
      <c r="AH12" s="12" t="b">
        <f>FALSE()</f>
        <v>0</v>
      </c>
      <c r="AI12" s="12"/>
      <c r="AJ12" s="12" t="s">
        <v>352</v>
      </c>
    </row>
    <row r="13" spans="1:36" ht="15" customHeight="1" x14ac:dyDescent="0.3">
      <c r="A13" s="12" t="s">
        <v>353</v>
      </c>
      <c r="B13" s="12" t="s">
        <v>354</v>
      </c>
      <c r="C13" s="12" t="s">
        <v>336</v>
      </c>
      <c r="D13" s="12" t="s">
        <v>193</v>
      </c>
      <c r="E13" s="12" t="s">
        <v>355</v>
      </c>
      <c r="F13" s="12" t="s">
        <v>356</v>
      </c>
      <c r="G13" s="12">
        <v>0.6</v>
      </c>
      <c r="H13" s="12">
        <v>2705</v>
      </c>
      <c r="I13" s="12">
        <v>113</v>
      </c>
      <c r="J13" s="12">
        <v>112</v>
      </c>
      <c r="K13" s="12">
        <v>-7.5610163195621999E-2</v>
      </c>
      <c r="L13" s="12">
        <v>2.7871805781410301E-2</v>
      </c>
      <c r="M13" s="12">
        <v>-2.7127830822519501</v>
      </c>
      <c r="N13" s="12">
        <v>36.584625042454903</v>
      </c>
      <c r="O13" s="12">
        <v>1.01080050664365E-2</v>
      </c>
      <c r="P13" s="12">
        <v>-0.132105457246492</v>
      </c>
      <c r="Q13" s="12">
        <v>-1.9114869144752501E-2</v>
      </c>
      <c r="R13" s="12"/>
      <c r="S13" s="12"/>
      <c r="T13" s="12">
        <v>-7.5466406756832902E-2</v>
      </c>
      <c r="U13" s="12">
        <v>-0.13134228932603201</v>
      </c>
      <c r="V13" s="12">
        <v>-1.9112541432646801E-2</v>
      </c>
      <c r="W13" s="12"/>
      <c r="X13" s="12"/>
      <c r="Y13" s="12">
        <v>2.0660228334920101E-2</v>
      </c>
      <c r="Z13" s="12">
        <v>2.0743762516799601E-9</v>
      </c>
      <c r="AA13" s="12">
        <v>1.18745910494189E-2</v>
      </c>
      <c r="AB13" s="12"/>
      <c r="AC13" s="12"/>
      <c r="AD13" s="12"/>
      <c r="AE13" s="12"/>
      <c r="AF13" s="12"/>
      <c r="AG13" s="12"/>
      <c r="AH13" s="12" t="b">
        <f>FALSE()</f>
        <v>0</v>
      </c>
      <c r="AI13" s="12"/>
      <c r="AJ13" s="12" t="s">
        <v>357</v>
      </c>
    </row>
    <row r="14" spans="1:36" ht="15" customHeight="1" x14ac:dyDescent="0.3">
      <c r="A14" s="12" t="s">
        <v>353</v>
      </c>
      <c r="B14" s="12" t="s">
        <v>354</v>
      </c>
      <c r="C14" s="12" t="s">
        <v>336</v>
      </c>
      <c r="D14" s="12" t="s">
        <v>358</v>
      </c>
      <c r="E14" s="12" t="s">
        <v>355</v>
      </c>
      <c r="F14" s="12" t="s">
        <v>356</v>
      </c>
      <c r="G14" s="12">
        <v>0.6</v>
      </c>
      <c r="H14" s="12">
        <v>2705</v>
      </c>
      <c r="I14" s="12">
        <v>113</v>
      </c>
      <c r="J14" s="12">
        <v>112</v>
      </c>
      <c r="K14" s="12">
        <v>-3.5458790008403001E-3</v>
      </c>
      <c r="L14" s="12">
        <v>2.1628054608092999E-3</v>
      </c>
      <c r="M14" s="12">
        <v>-1.63948125020609</v>
      </c>
      <c r="N14" s="12">
        <v>17.658313361784099</v>
      </c>
      <c r="O14" s="12">
        <v>0.118805840861886</v>
      </c>
      <c r="P14" s="12">
        <v>-8.0960751957646002E-3</v>
      </c>
      <c r="Q14" s="12">
        <v>1.004317194084E-3</v>
      </c>
      <c r="R14" s="12"/>
      <c r="S14" s="12"/>
      <c r="T14" s="12"/>
      <c r="U14" s="12"/>
      <c r="V14" s="12"/>
      <c r="W14" s="12"/>
      <c r="X14" s="12"/>
      <c r="Y14" s="12">
        <v>2.0660228334920101E-2</v>
      </c>
      <c r="Z14" s="12">
        <v>2.0743762516799601E-9</v>
      </c>
      <c r="AA14" s="12">
        <v>1.18745910494189E-2</v>
      </c>
      <c r="AB14" s="12"/>
      <c r="AC14" s="12"/>
      <c r="AD14" s="12"/>
      <c r="AE14" s="12"/>
      <c r="AF14" s="12"/>
      <c r="AG14" s="12"/>
      <c r="AH14" s="12" t="b">
        <f>FALSE()</f>
        <v>0</v>
      </c>
      <c r="AI14" s="12"/>
      <c r="AJ14" s="12" t="s">
        <v>357</v>
      </c>
    </row>
    <row r="15" spans="1:36" ht="15" customHeight="1" x14ac:dyDescent="0.3">
      <c r="A15" s="12" t="s">
        <v>353</v>
      </c>
      <c r="B15" s="12" t="s">
        <v>354</v>
      </c>
      <c r="C15" s="12" t="s">
        <v>336</v>
      </c>
      <c r="D15" s="12" t="s">
        <v>359</v>
      </c>
      <c r="E15" s="12" t="s">
        <v>355</v>
      </c>
      <c r="F15" s="12" t="s">
        <v>356</v>
      </c>
      <c r="G15" s="12">
        <v>0.6</v>
      </c>
      <c r="H15" s="12">
        <v>2705</v>
      </c>
      <c r="I15" s="12">
        <v>113</v>
      </c>
      <c r="J15" s="12">
        <v>112</v>
      </c>
      <c r="K15" s="12">
        <v>5.1814945442023301E-2</v>
      </c>
      <c r="L15" s="12">
        <v>4.6149053132643399E-2</v>
      </c>
      <c r="M15" s="12">
        <v>1.1227737499422701</v>
      </c>
      <c r="N15" s="12">
        <v>27.648549233144401</v>
      </c>
      <c r="O15" s="12">
        <v>0.271189168029772</v>
      </c>
      <c r="P15" s="12">
        <v>-4.2771269607619199E-2</v>
      </c>
      <c r="Q15" s="12">
        <v>0.14640116049166599</v>
      </c>
      <c r="R15" s="12"/>
      <c r="S15" s="12"/>
      <c r="T15" s="12"/>
      <c r="U15" s="12"/>
      <c r="V15" s="12"/>
      <c r="W15" s="12"/>
      <c r="X15" s="12"/>
      <c r="Y15" s="12">
        <v>2.0660228334920101E-2</v>
      </c>
      <c r="Z15" s="12">
        <v>2.0743762516799601E-9</v>
      </c>
      <c r="AA15" s="12">
        <v>1.18745910494189E-2</v>
      </c>
      <c r="AB15" s="12"/>
      <c r="AC15" s="12"/>
      <c r="AD15" s="12"/>
      <c r="AE15" s="12"/>
      <c r="AF15" s="12"/>
      <c r="AG15" s="12"/>
      <c r="AH15" s="12" t="b">
        <f>TRUE()</f>
        <v>1</v>
      </c>
      <c r="AI15" s="12" t="s">
        <v>360</v>
      </c>
      <c r="AJ15" s="12" t="s">
        <v>361</v>
      </c>
    </row>
    <row r="16" spans="1:36" ht="15" customHeight="1" x14ac:dyDescent="0.3">
      <c r="A16" s="12" t="s">
        <v>353</v>
      </c>
      <c r="B16" s="12" t="s">
        <v>354</v>
      </c>
      <c r="C16" s="12" t="s">
        <v>336</v>
      </c>
      <c r="D16" s="12" t="s">
        <v>362</v>
      </c>
      <c r="E16" s="12" t="s">
        <v>355</v>
      </c>
      <c r="F16" s="12" t="s">
        <v>356</v>
      </c>
      <c r="G16" s="12">
        <v>0.6</v>
      </c>
      <c r="H16" s="12">
        <v>2705</v>
      </c>
      <c r="I16" s="12">
        <v>113</v>
      </c>
      <c r="J16" s="12">
        <v>112</v>
      </c>
      <c r="K16" s="12">
        <v>-8.7106414150543002E-2</v>
      </c>
      <c r="L16" s="12">
        <v>3.4527128683242099E-2</v>
      </c>
      <c r="M16" s="12">
        <v>-2.5228397921435199</v>
      </c>
      <c r="N16" s="12">
        <v>36.463338874425801</v>
      </c>
      <c r="O16" s="12">
        <v>1.61392464667111E-2</v>
      </c>
      <c r="P16" s="12">
        <v>-0.15709979389592199</v>
      </c>
      <c r="Q16" s="12">
        <v>-1.7113034405163999E-2</v>
      </c>
      <c r="R16" s="12"/>
      <c r="S16" s="12"/>
      <c r="T16" s="12">
        <v>-8.6886773304546694E-2</v>
      </c>
      <c r="U16" s="12">
        <v>-0.15582000098807899</v>
      </c>
      <c r="V16" s="12">
        <v>-1.7111364049536799E-2</v>
      </c>
      <c r="W16" s="12"/>
      <c r="X16" s="12"/>
      <c r="Y16" s="12">
        <v>2.0660228334920101E-2</v>
      </c>
      <c r="Z16" s="12">
        <v>2.0743762516799601E-9</v>
      </c>
      <c r="AA16" s="12">
        <v>1.18745910494189E-2</v>
      </c>
      <c r="AB16" s="12"/>
      <c r="AC16" s="12"/>
      <c r="AD16" s="12"/>
      <c r="AE16" s="12"/>
      <c r="AF16" s="12"/>
      <c r="AG16" s="12"/>
      <c r="AH16" s="12" t="b">
        <f>FALSE()</f>
        <v>0</v>
      </c>
      <c r="AI16" s="12"/>
      <c r="AJ16" s="12" t="s">
        <v>363</v>
      </c>
    </row>
    <row r="17" spans="1:36" ht="15" customHeight="1" x14ac:dyDescent="0.3">
      <c r="A17" s="12" t="s">
        <v>353</v>
      </c>
      <c r="B17" s="12" t="s">
        <v>354</v>
      </c>
      <c r="C17" s="12" t="s">
        <v>336</v>
      </c>
      <c r="D17" s="12" t="s">
        <v>364</v>
      </c>
      <c r="E17" s="12" t="s">
        <v>355</v>
      </c>
      <c r="F17" s="12" t="s">
        <v>356</v>
      </c>
      <c r="G17" s="12">
        <v>0.6</v>
      </c>
      <c r="H17" s="12">
        <v>2705</v>
      </c>
      <c r="I17" s="12">
        <v>113</v>
      </c>
      <c r="J17" s="12">
        <v>112</v>
      </c>
      <c r="K17" s="12">
        <v>-5.60174468853291E-2</v>
      </c>
      <c r="L17" s="12">
        <v>1.12371484534364E-2</v>
      </c>
      <c r="M17" s="12">
        <v>-4.9850233017254997</v>
      </c>
      <c r="N17" s="12">
        <v>41.335498443827298</v>
      </c>
      <c r="O17" s="12">
        <v>1.15646240389008E-5</v>
      </c>
      <c r="P17" s="12">
        <v>-7.87057360654244E-2</v>
      </c>
      <c r="Q17" s="12">
        <v>-3.3329157705233703E-2</v>
      </c>
      <c r="R17" s="12"/>
      <c r="S17" s="12"/>
      <c r="T17" s="12">
        <v>-5.5958926940251397E-2</v>
      </c>
      <c r="U17" s="12">
        <v>-7.8543621083769694E-2</v>
      </c>
      <c r="V17" s="12">
        <v>-3.3316822146295097E-2</v>
      </c>
      <c r="W17" s="12"/>
      <c r="X17" s="12"/>
      <c r="Y17" s="12">
        <v>2.0660228334920101E-2</v>
      </c>
      <c r="Z17" s="12">
        <v>2.0743762516799601E-9</v>
      </c>
      <c r="AA17" s="12">
        <v>1.18745910494189E-2</v>
      </c>
      <c r="AB17" s="12"/>
      <c r="AC17" s="12"/>
      <c r="AD17" s="12"/>
      <c r="AE17" s="12"/>
      <c r="AF17" s="12"/>
      <c r="AG17" s="12"/>
      <c r="AH17" s="12" t="b">
        <f>FALSE()</f>
        <v>0</v>
      </c>
      <c r="AI17" s="12"/>
      <c r="AJ17" s="12" t="s">
        <v>365</v>
      </c>
    </row>
    <row r="18" spans="1:36" ht="15" customHeight="1" x14ac:dyDescent="0.3">
      <c r="A18" s="12" t="s">
        <v>353</v>
      </c>
      <c r="B18" s="12" t="s">
        <v>354</v>
      </c>
      <c r="C18" s="12" t="s">
        <v>336</v>
      </c>
      <c r="D18" s="12" t="s">
        <v>366</v>
      </c>
      <c r="E18" s="12" t="s">
        <v>355</v>
      </c>
      <c r="F18" s="12" t="s">
        <v>356</v>
      </c>
      <c r="G18" s="12">
        <v>0.6</v>
      </c>
      <c r="H18" s="12">
        <v>2705</v>
      </c>
      <c r="I18" s="12">
        <v>113</v>
      </c>
      <c r="J18" s="12">
        <v>112</v>
      </c>
      <c r="K18" s="12">
        <v>-3.5291468708519701E-2</v>
      </c>
      <c r="L18" s="12">
        <v>1.6358529096997799E-2</v>
      </c>
      <c r="M18" s="12">
        <v>-2.1573742051781801</v>
      </c>
      <c r="N18" s="12">
        <v>25.439838378451199</v>
      </c>
      <c r="O18" s="12">
        <v>4.0609683883980001E-2</v>
      </c>
      <c r="P18" s="12">
        <v>-6.8952978803638307E-2</v>
      </c>
      <c r="Q18" s="12">
        <v>-1.6299586134011E-3</v>
      </c>
      <c r="R18" s="12"/>
      <c r="S18" s="12"/>
      <c r="T18" s="12">
        <v>-3.5276824306766999E-2</v>
      </c>
      <c r="U18" s="12">
        <v>-6.8843906947770095E-2</v>
      </c>
      <c r="V18" s="12">
        <v>-1.6299571699303001E-3</v>
      </c>
      <c r="W18" s="12"/>
      <c r="X18" s="12"/>
      <c r="Y18" s="12">
        <v>2.0660228334920101E-2</v>
      </c>
      <c r="Z18" s="12">
        <v>2.0743762516799601E-9</v>
      </c>
      <c r="AA18" s="12">
        <v>1.18745910494189E-2</v>
      </c>
      <c r="AB18" s="12"/>
      <c r="AC18" s="12"/>
      <c r="AD18" s="12"/>
      <c r="AE18" s="12"/>
      <c r="AF18" s="12"/>
      <c r="AG18" s="12"/>
      <c r="AH18" s="12" t="b">
        <f>FALSE()</f>
        <v>0</v>
      </c>
      <c r="AI18" s="12"/>
      <c r="AJ18" s="12" t="s">
        <v>367</v>
      </c>
    </row>
    <row r="19" spans="1:36" ht="15" customHeight="1" x14ac:dyDescent="0.3">
      <c r="A19" s="12" t="s">
        <v>353</v>
      </c>
      <c r="B19" s="12" t="s">
        <v>354</v>
      </c>
      <c r="C19" s="12" t="s">
        <v>336</v>
      </c>
      <c r="D19" s="12" t="s">
        <v>368</v>
      </c>
      <c r="E19" s="12" t="s">
        <v>355</v>
      </c>
      <c r="F19" s="12" t="s">
        <v>356</v>
      </c>
      <c r="G19" s="12">
        <v>0.6</v>
      </c>
      <c r="H19" s="12">
        <v>2705</v>
      </c>
      <c r="I19" s="12">
        <v>113</v>
      </c>
      <c r="J19" s="12">
        <v>112</v>
      </c>
      <c r="K19" s="12">
        <v>3.1088967265213902E-2</v>
      </c>
      <c r="L19" s="12">
        <v>2.7689431879586002E-2</v>
      </c>
      <c r="M19" s="12">
        <v>1.1227737499422701</v>
      </c>
      <c r="N19" s="12">
        <v>27.648549233144401</v>
      </c>
      <c r="O19" s="12">
        <v>0.271189168029772</v>
      </c>
      <c r="P19" s="12">
        <v>-2.5662761764571499E-2</v>
      </c>
      <c r="Q19" s="12">
        <v>8.7840696294999507E-2</v>
      </c>
      <c r="R19" s="12"/>
      <c r="S19" s="12"/>
      <c r="T19" s="12"/>
      <c r="U19" s="12"/>
      <c r="V19" s="12"/>
      <c r="W19" s="12"/>
      <c r="X19" s="12"/>
      <c r="Y19" s="12">
        <v>2.0660228334920101E-2</v>
      </c>
      <c r="Z19" s="12">
        <v>2.0743762516799601E-9</v>
      </c>
      <c r="AA19" s="12">
        <v>1.18745910494189E-2</v>
      </c>
      <c r="AB19" s="12"/>
      <c r="AC19" s="12"/>
      <c r="AD19" s="12"/>
      <c r="AE19" s="12"/>
      <c r="AF19" s="12"/>
      <c r="AG19" s="12"/>
      <c r="AH19" s="12" t="b">
        <f>TRUE()</f>
        <v>1</v>
      </c>
      <c r="AI19" s="12" t="s">
        <v>369</v>
      </c>
      <c r="AJ19" s="12" t="s">
        <v>370</v>
      </c>
    </row>
    <row r="20" spans="1:36" ht="15" customHeight="1" x14ac:dyDescent="0.3">
      <c r="A20" s="12" t="s">
        <v>353</v>
      </c>
      <c r="B20" s="12" t="s">
        <v>354</v>
      </c>
      <c r="C20" s="12" t="s">
        <v>336</v>
      </c>
      <c r="D20" s="12" t="s">
        <v>371</v>
      </c>
      <c r="E20" s="12" t="s">
        <v>355</v>
      </c>
      <c r="F20" s="12" t="s">
        <v>356</v>
      </c>
      <c r="G20" s="12">
        <v>0.6</v>
      </c>
      <c r="H20" s="12">
        <v>2705</v>
      </c>
      <c r="I20" s="12">
        <v>113</v>
      </c>
      <c r="J20" s="12">
        <v>112</v>
      </c>
      <c r="K20" s="12">
        <v>5.1814945442023301E-2</v>
      </c>
      <c r="L20" s="12">
        <v>4.6149053132643399E-2</v>
      </c>
      <c r="M20" s="12">
        <v>1.1227737499422701</v>
      </c>
      <c r="N20" s="12">
        <v>27.648549233144401</v>
      </c>
      <c r="O20" s="12">
        <v>0.271189168029772</v>
      </c>
      <c r="P20" s="12">
        <v>-4.2771269607619199E-2</v>
      </c>
      <c r="Q20" s="12">
        <v>0.14640116049166599</v>
      </c>
      <c r="R20" s="12"/>
      <c r="S20" s="12"/>
      <c r="T20" s="12"/>
      <c r="U20" s="12"/>
      <c r="V20" s="12"/>
      <c r="W20" s="12"/>
      <c r="X20" s="12"/>
      <c r="Y20" s="12">
        <v>2.0660228334920101E-2</v>
      </c>
      <c r="Z20" s="12">
        <v>2.0743762516799601E-9</v>
      </c>
      <c r="AA20" s="12">
        <v>1.18745910494189E-2</v>
      </c>
      <c r="AB20" s="12"/>
      <c r="AC20" s="12"/>
      <c r="AD20" s="12"/>
      <c r="AE20" s="12"/>
      <c r="AF20" s="12"/>
      <c r="AG20" s="12"/>
      <c r="AH20" s="12" t="b">
        <f>FALSE()</f>
        <v>0</v>
      </c>
      <c r="AI20" s="12"/>
      <c r="AJ20" s="12" t="s">
        <v>372</v>
      </c>
    </row>
    <row r="21" spans="1:36" ht="15" customHeight="1" x14ac:dyDescent="0.3">
      <c r="A21" s="12" t="s">
        <v>353</v>
      </c>
      <c r="B21" s="12" t="s">
        <v>373</v>
      </c>
      <c r="C21" s="12" t="s">
        <v>336</v>
      </c>
      <c r="D21" s="12" t="s">
        <v>193</v>
      </c>
      <c r="E21" s="12" t="s">
        <v>355</v>
      </c>
      <c r="F21" s="12" t="s">
        <v>356</v>
      </c>
      <c r="G21" s="12">
        <v>0.6</v>
      </c>
      <c r="H21" s="12">
        <v>2705</v>
      </c>
      <c r="I21" s="12">
        <v>113</v>
      </c>
      <c r="J21" s="12">
        <v>112</v>
      </c>
      <c r="K21" s="12">
        <v>-8.5300074699062797E-2</v>
      </c>
      <c r="L21" s="12">
        <v>2.5477474570655499E-2</v>
      </c>
      <c r="M21" s="12">
        <v>-3.3480584766164299</v>
      </c>
      <c r="N21" s="12">
        <v>16.8027232668795</v>
      </c>
      <c r="O21" s="12">
        <v>3.8631335373030002E-3</v>
      </c>
      <c r="P21" s="12">
        <v>-0.13910096234123201</v>
      </c>
      <c r="Q21" s="12">
        <v>-3.1499187056893502E-2</v>
      </c>
      <c r="R21" s="12"/>
      <c r="S21" s="12"/>
      <c r="T21" s="12">
        <v>-8.5093791018917106E-2</v>
      </c>
      <c r="U21" s="12">
        <v>-0.138210693614474</v>
      </c>
      <c r="V21" s="12">
        <v>-3.14887733714743E-2</v>
      </c>
      <c r="W21" s="12"/>
      <c r="X21" s="12"/>
      <c r="Y21" s="12">
        <v>2.0867937986251299E-2</v>
      </c>
      <c r="Z21" s="12">
        <v>3.0707011191601E-9</v>
      </c>
      <c r="AA21" s="12">
        <v>1.1873098933992699E-2</v>
      </c>
      <c r="AB21" s="12"/>
      <c r="AC21" s="12"/>
      <c r="AD21" s="12"/>
      <c r="AE21" s="12"/>
      <c r="AF21" s="12"/>
      <c r="AG21" s="12"/>
      <c r="AH21" s="12" t="b">
        <f>FALSE()</f>
        <v>0</v>
      </c>
      <c r="AI21" s="12"/>
      <c r="AJ21" s="12" t="s">
        <v>374</v>
      </c>
    </row>
    <row r="22" spans="1:36" ht="15" customHeight="1" x14ac:dyDescent="0.3">
      <c r="A22" s="12" t="s">
        <v>353</v>
      </c>
      <c r="B22" s="12" t="s">
        <v>373</v>
      </c>
      <c r="C22" s="12" t="s">
        <v>336</v>
      </c>
      <c r="D22" s="12" t="s">
        <v>358</v>
      </c>
      <c r="E22" s="12" t="s">
        <v>355</v>
      </c>
      <c r="F22" s="12" t="s">
        <v>356</v>
      </c>
      <c r="G22" s="12">
        <v>0.6</v>
      </c>
      <c r="H22" s="12">
        <v>2705</v>
      </c>
      <c r="I22" s="12">
        <v>113</v>
      </c>
      <c r="J22" s="12">
        <v>112</v>
      </c>
      <c r="K22" s="12">
        <v>-4.1452252112933003E-3</v>
      </c>
      <c r="L22" s="12">
        <v>2.0859498656769998E-3</v>
      </c>
      <c r="M22" s="12">
        <v>-1.9872122909089101</v>
      </c>
      <c r="N22" s="12">
        <v>18.959531078453999</v>
      </c>
      <c r="O22" s="12">
        <v>6.1540685009574901E-2</v>
      </c>
      <c r="P22" s="12">
        <v>-8.5117992821786004E-3</v>
      </c>
      <c r="Q22" s="12">
        <v>2.2134885959199899E-4</v>
      </c>
      <c r="R22" s="12"/>
      <c r="S22" s="12"/>
      <c r="T22" s="12"/>
      <c r="U22" s="12"/>
      <c r="V22" s="12"/>
      <c r="W22" s="12"/>
      <c r="X22" s="12"/>
      <c r="Y22" s="12">
        <v>2.0867937986251299E-2</v>
      </c>
      <c r="Z22" s="12">
        <v>3.0707011191601E-9</v>
      </c>
      <c r="AA22" s="12">
        <v>1.1873098933992699E-2</v>
      </c>
      <c r="AB22" s="12"/>
      <c r="AC22" s="12"/>
      <c r="AD22" s="12"/>
      <c r="AE22" s="12"/>
      <c r="AF22" s="12"/>
      <c r="AG22" s="12"/>
      <c r="AH22" s="12" t="b">
        <f>FALSE()</f>
        <v>0</v>
      </c>
      <c r="AI22" s="12"/>
      <c r="AJ22" s="12" t="s">
        <v>374</v>
      </c>
    </row>
    <row r="23" spans="1:36" ht="15" customHeight="1" x14ac:dyDescent="0.3">
      <c r="A23" s="12" t="s">
        <v>353</v>
      </c>
      <c r="B23" s="12" t="s">
        <v>373</v>
      </c>
      <c r="C23" s="12" t="s">
        <v>336</v>
      </c>
      <c r="D23" s="12" t="s">
        <v>359</v>
      </c>
      <c r="E23" s="12" t="s">
        <v>355</v>
      </c>
      <c r="F23" s="12" t="s">
        <v>356</v>
      </c>
      <c r="G23" s="12">
        <v>0.6</v>
      </c>
      <c r="H23" s="12">
        <v>2705</v>
      </c>
      <c r="I23" s="12">
        <v>113</v>
      </c>
      <c r="J23" s="12">
        <v>112</v>
      </c>
      <c r="K23" s="12">
        <v>0.12794546255630099</v>
      </c>
      <c r="L23" s="12">
        <v>7.5137875963206605E-2</v>
      </c>
      <c r="M23" s="12">
        <v>1.70280914806473</v>
      </c>
      <c r="N23" s="12">
        <v>25.443050788756299</v>
      </c>
      <c r="O23" s="12">
        <v>0.100791744941073</v>
      </c>
      <c r="P23" s="12">
        <v>-2.6667366965010899E-2</v>
      </c>
      <c r="Q23" s="12">
        <v>0.28255829207761302</v>
      </c>
      <c r="R23" s="12"/>
      <c r="S23" s="12"/>
      <c r="T23" s="12"/>
      <c r="U23" s="12"/>
      <c r="V23" s="12"/>
      <c r="W23" s="12"/>
      <c r="X23" s="12"/>
      <c r="Y23" s="12">
        <v>2.0867937986251299E-2</v>
      </c>
      <c r="Z23" s="12">
        <v>3.0707011191601E-9</v>
      </c>
      <c r="AA23" s="12">
        <v>1.1873098933992699E-2</v>
      </c>
      <c r="AB23" s="12"/>
      <c r="AC23" s="12"/>
      <c r="AD23" s="12"/>
      <c r="AE23" s="12"/>
      <c r="AF23" s="12"/>
      <c r="AG23" s="12"/>
      <c r="AH23" s="12" t="b">
        <f>FALSE()</f>
        <v>0</v>
      </c>
      <c r="AI23" s="12"/>
      <c r="AJ23" s="12" t="s">
        <v>374</v>
      </c>
    </row>
    <row r="24" spans="1:36" ht="15" customHeight="1" x14ac:dyDescent="0.3">
      <c r="A24" s="12" t="s">
        <v>353</v>
      </c>
      <c r="B24" s="12" t="s">
        <v>373</v>
      </c>
      <c r="C24" s="12" t="s">
        <v>336</v>
      </c>
      <c r="D24" s="12" t="s">
        <v>375</v>
      </c>
      <c r="E24" s="12" t="s">
        <v>355</v>
      </c>
      <c r="F24" s="12" t="s">
        <v>356</v>
      </c>
      <c r="G24" s="12">
        <v>0.6</v>
      </c>
      <c r="H24" s="12">
        <v>2705</v>
      </c>
      <c r="I24" s="12">
        <v>113</v>
      </c>
      <c r="J24" s="12">
        <v>112</v>
      </c>
      <c r="K24" s="12">
        <v>-7.34800999260279E-2</v>
      </c>
      <c r="L24" s="12">
        <v>7.4948332249989397E-2</v>
      </c>
      <c r="M24" s="12">
        <v>-0.98041007344814401</v>
      </c>
      <c r="N24" s="12">
        <v>50.654818752479201</v>
      </c>
      <c r="O24" s="12">
        <v>0.33154324286662201</v>
      </c>
      <c r="P24" s="12">
        <v>-0.22397005429839101</v>
      </c>
      <c r="Q24" s="12">
        <v>7.7009854446335096E-2</v>
      </c>
      <c r="R24" s="12"/>
      <c r="S24" s="12"/>
      <c r="T24" s="12"/>
      <c r="U24" s="12"/>
      <c r="V24" s="12"/>
      <c r="W24" s="12"/>
      <c r="X24" s="12"/>
      <c r="Y24" s="12">
        <v>2.0867937986251299E-2</v>
      </c>
      <c r="Z24" s="12">
        <v>3.0707011191601E-9</v>
      </c>
      <c r="AA24" s="12">
        <v>1.1873098933992699E-2</v>
      </c>
      <c r="AB24" s="12"/>
      <c r="AC24" s="12"/>
      <c r="AD24" s="12"/>
      <c r="AE24" s="12"/>
      <c r="AF24" s="12"/>
      <c r="AG24" s="12"/>
      <c r="AH24" s="12" t="b">
        <f>FALSE()</f>
        <v>0</v>
      </c>
      <c r="AI24" s="12"/>
      <c r="AJ24" s="12" t="s">
        <v>376</v>
      </c>
    </row>
    <row r="25" spans="1:36" ht="15" customHeight="1" x14ac:dyDescent="0.3">
      <c r="A25" s="12" t="s">
        <v>353</v>
      </c>
      <c r="B25" s="12" t="s">
        <v>373</v>
      </c>
      <c r="C25" s="12" t="s">
        <v>336</v>
      </c>
      <c r="D25" s="12" t="s">
        <v>377</v>
      </c>
      <c r="E25" s="12" t="s">
        <v>378</v>
      </c>
      <c r="F25" s="12" t="s">
        <v>356</v>
      </c>
      <c r="G25" s="12">
        <v>0.6</v>
      </c>
      <c r="H25" s="12">
        <v>2705</v>
      </c>
      <c r="I25" s="12">
        <v>113</v>
      </c>
      <c r="J25" s="12">
        <v>112</v>
      </c>
      <c r="K25" s="12"/>
      <c r="L25" s="12"/>
      <c r="M25" s="12">
        <v>1.6606820117930901</v>
      </c>
      <c r="N25" s="12">
        <v>30.5086838474109</v>
      </c>
      <c r="O25" s="12">
        <v>0.206727501241668</v>
      </c>
      <c r="P25" s="12"/>
      <c r="Q25" s="12"/>
      <c r="R25" s="12"/>
      <c r="S25" s="12"/>
      <c r="T25" s="12"/>
      <c r="U25" s="12"/>
      <c r="V25" s="12"/>
      <c r="W25" s="12"/>
      <c r="X25" s="12"/>
      <c r="Y25" s="12">
        <v>2.0867937986251299E-2</v>
      </c>
      <c r="Z25" s="12">
        <v>3.0707011191601E-9</v>
      </c>
      <c r="AA25" s="12">
        <v>1.1873098933992699E-2</v>
      </c>
      <c r="AB25" s="12"/>
      <c r="AC25" s="12"/>
      <c r="AD25" s="12"/>
      <c r="AE25" s="12"/>
      <c r="AF25" s="12"/>
      <c r="AG25" s="12"/>
      <c r="AH25" s="12" t="b">
        <f>FALSE()</f>
        <v>0</v>
      </c>
      <c r="AI25" s="12"/>
      <c r="AJ25" s="12" t="s">
        <v>379</v>
      </c>
    </row>
    <row r="26" spans="1:36" ht="15" customHeight="1" x14ac:dyDescent="0.3">
      <c r="A26" s="12" t="s">
        <v>380</v>
      </c>
      <c r="B26" s="12" t="s">
        <v>381</v>
      </c>
      <c r="C26" s="12" t="s">
        <v>336</v>
      </c>
      <c r="D26" s="12" t="s">
        <v>193</v>
      </c>
      <c r="E26" s="12" t="s">
        <v>355</v>
      </c>
      <c r="F26" s="12" t="s">
        <v>356</v>
      </c>
      <c r="G26" s="12">
        <v>0.6</v>
      </c>
      <c r="H26" s="12">
        <v>2705</v>
      </c>
      <c r="I26" s="12">
        <v>113</v>
      </c>
      <c r="J26" s="12">
        <v>112</v>
      </c>
      <c r="K26" s="12">
        <v>-5.8517911661503101E-2</v>
      </c>
      <c r="L26" s="12">
        <v>1.4208488000090599E-2</v>
      </c>
      <c r="M26" s="12">
        <v>-4.1185178648938399</v>
      </c>
      <c r="N26" s="12">
        <v>106.56635908969901</v>
      </c>
      <c r="O26" s="12">
        <v>7.5508545606854804E-5</v>
      </c>
      <c r="P26" s="12">
        <v>-8.6685892773546006E-2</v>
      </c>
      <c r="Q26" s="12">
        <v>-3.03499305494602E-2</v>
      </c>
      <c r="R26" s="12"/>
      <c r="S26" s="12"/>
      <c r="T26" s="12">
        <v>-5.8451207834851998E-2</v>
      </c>
      <c r="U26" s="12">
        <v>-8.6469411349501604E-2</v>
      </c>
      <c r="V26" s="12">
        <v>-3.0340615356283698E-2</v>
      </c>
      <c r="W26" s="12"/>
      <c r="X26" s="12"/>
      <c r="Y26" s="12">
        <v>2.0450150912550501E-2</v>
      </c>
      <c r="Z26" s="12">
        <v>2.1459155229219798E-9</v>
      </c>
      <c r="AA26" s="12">
        <v>1.18789880258801E-2</v>
      </c>
      <c r="AB26" s="12"/>
      <c r="AC26" s="12"/>
      <c r="AD26" s="12"/>
      <c r="AE26" s="12"/>
      <c r="AF26" s="12"/>
      <c r="AG26" s="12"/>
      <c r="AH26" s="12" t="b">
        <f>FALSE()</f>
        <v>0</v>
      </c>
      <c r="AI26" s="12"/>
      <c r="AJ26" s="12" t="s">
        <v>382</v>
      </c>
    </row>
    <row r="27" spans="1:36" ht="15" customHeight="1" x14ac:dyDescent="0.3">
      <c r="A27" s="12" t="s">
        <v>380</v>
      </c>
      <c r="B27" s="12" t="s">
        <v>381</v>
      </c>
      <c r="C27" s="12" t="s">
        <v>336</v>
      </c>
      <c r="D27" s="12" t="s">
        <v>358</v>
      </c>
      <c r="E27" s="12" t="s">
        <v>355</v>
      </c>
      <c r="F27" s="12" t="s">
        <v>356</v>
      </c>
      <c r="G27" s="12">
        <v>0.6</v>
      </c>
      <c r="H27" s="12">
        <v>2705</v>
      </c>
      <c r="I27" s="12">
        <v>113</v>
      </c>
      <c r="J27" s="12">
        <v>112</v>
      </c>
      <c r="K27" s="12">
        <v>-7.5129233185144398E-4</v>
      </c>
      <c r="L27" s="12">
        <v>9.8400039509524109E-4</v>
      </c>
      <c r="M27" s="12">
        <v>-0.76350816076524697</v>
      </c>
      <c r="N27" s="12">
        <v>26.5959438979087</v>
      </c>
      <c r="O27" s="12">
        <v>0.45188063459850297</v>
      </c>
      <c r="P27" s="12">
        <v>-2.7717305852898999E-3</v>
      </c>
      <c r="Q27" s="12">
        <v>1.269145921587E-3</v>
      </c>
      <c r="R27" s="12"/>
      <c r="S27" s="12"/>
      <c r="T27" s="12"/>
      <c r="U27" s="12"/>
      <c r="V27" s="12"/>
      <c r="W27" s="12"/>
      <c r="X27" s="12"/>
      <c r="Y27" s="12">
        <v>2.0450150912550501E-2</v>
      </c>
      <c r="Z27" s="12">
        <v>2.1459155229219798E-9</v>
      </c>
      <c r="AA27" s="12">
        <v>1.18789880258801E-2</v>
      </c>
      <c r="AB27" s="12"/>
      <c r="AC27" s="12"/>
      <c r="AD27" s="12"/>
      <c r="AE27" s="12"/>
      <c r="AF27" s="12"/>
      <c r="AG27" s="12"/>
      <c r="AH27" s="12" t="b">
        <f>FALSE()</f>
        <v>0</v>
      </c>
      <c r="AI27" s="12"/>
      <c r="AJ27" s="12" t="s">
        <v>383</v>
      </c>
    </row>
    <row r="28" spans="1:36" ht="15" customHeight="1" x14ac:dyDescent="0.3">
      <c r="A28" s="12" t="s">
        <v>380</v>
      </c>
      <c r="B28" s="12" t="s">
        <v>63</v>
      </c>
      <c r="C28" s="12" t="s">
        <v>336</v>
      </c>
      <c r="D28" s="12" t="s">
        <v>193</v>
      </c>
      <c r="E28" s="12" t="s">
        <v>355</v>
      </c>
      <c r="F28" s="12" t="s">
        <v>356</v>
      </c>
      <c r="G28" s="12">
        <v>0.6</v>
      </c>
      <c r="H28" s="12">
        <v>2705</v>
      </c>
      <c r="I28" s="12">
        <v>113</v>
      </c>
      <c r="J28" s="12">
        <v>112</v>
      </c>
      <c r="K28" s="12">
        <v>-6.1599156518995501E-2</v>
      </c>
      <c r="L28" s="12">
        <v>1.80461144532684E-2</v>
      </c>
      <c r="M28" s="12">
        <v>-3.4134304466765202</v>
      </c>
      <c r="N28" s="12">
        <v>68.597112907126203</v>
      </c>
      <c r="O28" s="12">
        <v>1.0804696442775E-3</v>
      </c>
      <c r="P28" s="12">
        <v>-9.7603942348440803E-2</v>
      </c>
      <c r="Q28" s="12">
        <v>-2.55943706895502E-2</v>
      </c>
      <c r="R28" s="12"/>
      <c r="S28" s="12"/>
      <c r="T28" s="12">
        <v>-6.1521362826025099E-2</v>
      </c>
      <c r="U28" s="12">
        <v>-9.7295176600782005E-2</v>
      </c>
      <c r="V28" s="12">
        <v>-2.5588783436646799E-2</v>
      </c>
      <c r="W28" s="12"/>
      <c r="X28" s="12"/>
      <c r="Y28" s="12">
        <v>2.04666038894258E-2</v>
      </c>
      <c r="Z28" s="12">
        <v>1.8647279485494298E-9</v>
      </c>
      <c r="AA28" s="12">
        <v>1.1878550872388999E-2</v>
      </c>
      <c r="AB28" s="12"/>
      <c r="AC28" s="12"/>
      <c r="AD28" s="12"/>
      <c r="AE28" s="12"/>
      <c r="AF28" s="12"/>
      <c r="AG28" s="12"/>
      <c r="AH28" s="12" t="b">
        <f>FALSE()</f>
        <v>0</v>
      </c>
      <c r="AI28" s="12"/>
      <c r="AJ28" s="12" t="s">
        <v>384</v>
      </c>
    </row>
    <row r="29" spans="1:36" ht="15" customHeight="1" x14ac:dyDescent="0.3">
      <c r="A29" s="12" t="s">
        <v>380</v>
      </c>
      <c r="B29" s="12" t="s">
        <v>63</v>
      </c>
      <c r="C29" s="12" t="s">
        <v>336</v>
      </c>
      <c r="D29" s="12" t="s">
        <v>385</v>
      </c>
      <c r="E29" s="12" t="s">
        <v>355</v>
      </c>
      <c r="F29" s="12" t="s">
        <v>356</v>
      </c>
      <c r="G29" s="12">
        <v>0.6</v>
      </c>
      <c r="H29" s="12">
        <v>2705</v>
      </c>
      <c r="I29" s="12">
        <v>113</v>
      </c>
      <c r="J29" s="12">
        <v>112</v>
      </c>
      <c r="K29" s="12">
        <v>1.0175906710402499E-2</v>
      </c>
      <c r="L29" s="12">
        <v>1.8107282421257399E-2</v>
      </c>
      <c r="M29" s="12">
        <v>0.56197868203879797</v>
      </c>
      <c r="N29" s="12">
        <v>14.9920663728925</v>
      </c>
      <c r="O29" s="12">
        <v>0.58243572563051604</v>
      </c>
      <c r="P29" s="12">
        <v>-2.84206311144901E-2</v>
      </c>
      <c r="Q29" s="12">
        <v>4.8772444535295202E-2</v>
      </c>
      <c r="R29" s="12"/>
      <c r="S29" s="12"/>
      <c r="T29" s="12"/>
      <c r="U29" s="12"/>
      <c r="V29" s="12"/>
      <c r="W29" s="12"/>
      <c r="X29" s="12"/>
      <c r="Y29" s="12">
        <v>2.04666038894258E-2</v>
      </c>
      <c r="Z29" s="12">
        <v>1.8647279485494298E-9</v>
      </c>
      <c r="AA29" s="12">
        <v>1.1878550872388999E-2</v>
      </c>
      <c r="AB29" s="12"/>
      <c r="AC29" s="12"/>
      <c r="AD29" s="12"/>
      <c r="AE29" s="12"/>
      <c r="AF29" s="12"/>
      <c r="AG29" s="12"/>
      <c r="AH29" s="12" t="b">
        <f>FALSE()</f>
        <v>0</v>
      </c>
      <c r="AI29" s="12"/>
      <c r="AJ29" s="12" t="s">
        <v>386</v>
      </c>
    </row>
    <row r="30" spans="1:36" ht="15" customHeight="1" x14ac:dyDescent="0.3">
      <c r="A30" s="12" t="s">
        <v>380</v>
      </c>
      <c r="B30" s="12" t="s">
        <v>387</v>
      </c>
      <c r="C30" s="12" t="s">
        <v>336</v>
      </c>
      <c r="D30" s="12" t="s">
        <v>193</v>
      </c>
      <c r="E30" s="12" t="s">
        <v>355</v>
      </c>
      <c r="F30" s="12" t="s">
        <v>356</v>
      </c>
      <c r="G30" s="12">
        <v>0.6</v>
      </c>
      <c r="H30" s="12">
        <v>2705</v>
      </c>
      <c r="I30" s="12">
        <v>113</v>
      </c>
      <c r="J30" s="12">
        <v>112</v>
      </c>
      <c r="K30" s="12">
        <v>-6.5131872313136302E-2</v>
      </c>
      <c r="L30" s="12">
        <v>1.97233647098858E-2</v>
      </c>
      <c r="M30" s="12">
        <v>-3.3022698343397101</v>
      </c>
      <c r="N30" s="12">
        <v>55.1675171501875</v>
      </c>
      <c r="O30" s="12">
        <v>1.6867222065081E-3</v>
      </c>
      <c r="P30" s="12">
        <v>-0.104655680879958</v>
      </c>
      <c r="Q30" s="12">
        <v>-2.5608063746314899E-2</v>
      </c>
      <c r="R30" s="12"/>
      <c r="S30" s="12"/>
      <c r="T30" s="12">
        <v>-6.5039928368060704E-2</v>
      </c>
      <c r="U30" s="12">
        <v>-0.104275256164718</v>
      </c>
      <c r="V30" s="12">
        <v>-2.5602467522596199E-2</v>
      </c>
      <c r="W30" s="12"/>
      <c r="X30" s="12"/>
      <c r="Y30" s="12">
        <v>2.0692161649993501E-2</v>
      </c>
      <c r="Z30" s="12">
        <v>2.4653268712993702E-9</v>
      </c>
      <c r="AA30" s="12">
        <v>1.18748970171142E-2</v>
      </c>
      <c r="AB30" s="12"/>
      <c r="AC30" s="12"/>
      <c r="AD30" s="12"/>
      <c r="AE30" s="12"/>
      <c r="AF30" s="12"/>
      <c r="AG30" s="12"/>
      <c r="AH30" s="12" t="b">
        <f>FALSE()</f>
        <v>0</v>
      </c>
      <c r="AI30" s="12"/>
      <c r="AJ30" s="12" t="s">
        <v>388</v>
      </c>
    </row>
    <row r="31" spans="1:36" ht="15" customHeight="1" x14ac:dyDescent="0.3">
      <c r="A31" s="12" t="s">
        <v>380</v>
      </c>
      <c r="B31" s="12" t="s">
        <v>387</v>
      </c>
      <c r="C31" s="12" t="s">
        <v>336</v>
      </c>
      <c r="D31" s="12" t="s">
        <v>358</v>
      </c>
      <c r="E31" s="12" t="s">
        <v>355</v>
      </c>
      <c r="F31" s="12" t="s">
        <v>356</v>
      </c>
      <c r="G31" s="12">
        <v>0.6</v>
      </c>
      <c r="H31" s="12">
        <v>2705</v>
      </c>
      <c r="I31" s="12">
        <v>113</v>
      </c>
      <c r="J31" s="12">
        <v>112</v>
      </c>
      <c r="K31" s="12">
        <v>-2.4440928867438998E-3</v>
      </c>
      <c r="L31" s="12">
        <v>1.4718307615822E-3</v>
      </c>
      <c r="M31" s="12">
        <v>-1.6605801091672101</v>
      </c>
      <c r="N31" s="12">
        <v>18.915188468888701</v>
      </c>
      <c r="O31" s="12">
        <v>0.113284372998934</v>
      </c>
      <c r="P31" s="12">
        <v>-5.5256052188167003E-3</v>
      </c>
      <c r="Q31" s="12">
        <v>6.3741944532878802E-4</v>
      </c>
      <c r="R31" s="12"/>
      <c r="S31" s="12"/>
      <c r="T31" s="12"/>
      <c r="U31" s="12"/>
      <c r="V31" s="12"/>
      <c r="W31" s="12"/>
      <c r="X31" s="12"/>
      <c r="Y31" s="12">
        <v>2.0692161649993501E-2</v>
      </c>
      <c r="Z31" s="12">
        <v>2.4653268712993702E-9</v>
      </c>
      <c r="AA31" s="12">
        <v>1.18748970171142E-2</v>
      </c>
      <c r="AB31" s="12"/>
      <c r="AC31" s="12"/>
      <c r="AD31" s="12"/>
      <c r="AE31" s="12"/>
      <c r="AF31" s="12"/>
      <c r="AG31" s="12"/>
      <c r="AH31" s="12" t="b">
        <f>TRUE()</f>
        <v>1</v>
      </c>
      <c r="AI31" s="12" t="s">
        <v>389</v>
      </c>
      <c r="AJ31" s="12" t="s">
        <v>388</v>
      </c>
    </row>
    <row r="32" spans="1:36" ht="15" customHeight="1" x14ac:dyDescent="0.3">
      <c r="A32" s="12" t="s">
        <v>380</v>
      </c>
      <c r="B32" s="12" t="s">
        <v>387</v>
      </c>
      <c r="C32" s="12" t="s">
        <v>336</v>
      </c>
      <c r="D32" s="12" t="s">
        <v>385</v>
      </c>
      <c r="E32" s="12" t="s">
        <v>355</v>
      </c>
      <c r="F32" s="12" t="s">
        <v>356</v>
      </c>
      <c r="G32" s="12">
        <v>0.6</v>
      </c>
      <c r="H32" s="12">
        <v>2705</v>
      </c>
      <c r="I32" s="12">
        <v>113</v>
      </c>
      <c r="J32" s="12">
        <v>112</v>
      </c>
      <c r="K32" s="12">
        <v>2.64480355620243E-2</v>
      </c>
      <c r="L32" s="12">
        <v>2.51306553381225E-2</v>
      </c>
      <c r="M32" s="12">
        <v>1.0524212443399099</v>
      </c>
      <c r="N32" s="12">
        <v>18.841966720310602</v>
      </c>
      <c r="O32" s="12">
        <v>0.305916728053232</v>
      </c>
      <c r="P32" s="12">
        <v>-2.6180905736611301E-2</v>
      </c>
      <c r="Q32" s="12">
        <v>7.9076976860659995E-2</v>
      </c>
      <c r="R32" s="12"/>
      <c r="S32" s="12"/>
      <c r="T32" s="12"/>
      <c r="U32" s="12"/>
      <c r="V32" s="12"/>
      <c r="W32" s="12"/>
      <c r="X32" s="12"/>
      <c r="Y32" s="12">
        <v>2.0692161649993501E-2</v>
      </c>
      <c r="Z32" s="12">
        <v>2.4653268712993702E-9</v>
      </c>
      <c r="AA32" s="12">
        <v>1.18748970171142E-2</v>
      </c>
      <c r="AB32" s="12"/>
      <c r="AC32" s="12"/>
      <c r="AD32" s="12"/>
      <c r="AE32" s="12"/>
      <c r="AF32" s="12"/>
      <c r="AG32" s="12"/>
      <c r="AH32" s="12" t="b">
        <f>TRUE()</f>
        <v>1</v>
      </c>
      <c r="AI32" s="12" t="s">
        <v>390</v>
      </c>
      <c r="AJ32" s="12" t="s">
        <v>391</v>
      </c>
    </row>
    <row r="33" spans="1:36" ht="15" customHeight="1" x14ac:dyDescent="0.3">
      <c r="A33" s="12" t="s">
        <v>380</v>
      </c>
      <c r="B33" s="12" t="s">
        <v>392</v>
      </c>
      <c r="C33" s="12" t="s">
        <v>336</v>
      </c>
      <c r="D33" s="12" t="s">
        <v>193</v>
      </c>
      <c r="E33" s="12" t="s">
        <v>355</v>
      </c>
      <c r="F33" s="12" t="s">
        <v>356</v>
      </c>
      <c r="G33" s="12">
        <v>0.6</v>
      </c>
      <c r="H33" s="12">
        <v>2705</v>
      </c>
      <c r="I33" s="12">
        <v>113</v>
      </c>
      <c r="J33" s="12">
        <v>112</v>
      </c>
      <c r="K33" s="12">
        <v>-3.7470159574300499E-2</v>
      </c>
      <c r="L33" s="12">
        <v>7.6556985380089003E-3</v>
      </c>
      <c r="M33" s="12">
        <v>-4.8944141920256001</v>
      </c>
      <c r="N33" s="12">
        <v>11.807969139951499</v>
      </c>
      <c r="O33" s="12">
        <v>3.87133352043833E-4</v>
      </c>
      <c r="P33" s="12">
        <v>-5.4180629765272097E-2</v>
      </c>
      <c r="Q33" s="12">
        <v>-2.0759689383328998E-2</v>
      </c>
      <c r="R33" s="12"/>
      <c r="S33" s="12"/>
      <c r="T33" s="12">
        <v>-3.7452633221839997E-2</v>
      </c>
      <c r="U33" s="12">
        <v>-5.4127675463980299E-2</v>
      </c>
      <c r="V33" s="12">
        <v>-2.0756707666208799E-2</v>
      </c>
      <c r="W33" s="12"/>
      <c r="X33" s="12"/>
      <c r="Y33" s="12">
        <v>2.0430519260129301E-2</v>
      </c>
      <c r="Z33" s="12">
        <v>2.86533404991297E-9</v>
      </c>
      <c r="AA33" s="12">
        <v>1.18777202007713E-2</v>
      </c>
      <c r="AB33" s="12"/>
      <c r="AC33" s="12"/>
      <c r="AD33" s="12"/>
      <c r="AE33" s="12"/>
      <c r="AF33" s="12"/>
      <c r="AG33" s="12"/>
      <c r="AH33" s="12" t="b">
        <f>FALSE()</f>
        <v>0</v>
      </c>
      <c r="AI33" s="12"/>
      <c r="AJ33" s="12" t="s">
        <v>393</v>
      </c>
    </row>
    <row r="34" spans="1:36" ht="15" customHeight="1" x14ac:dyDescent="0.3">
      <c r="A34" s="12" t="s">
        <v>380</v>
      </c>
      <c r="B34" s="12" t="s">
        <v>392</v>
      </c>
      <c r="C34" s="12" t="s">
        <v>336</v>
      </c>
      <c r="D34" s="12" t="s">
        <v>394</v>
      </c>
      <c r="E34" s="12" t="s">
        <v>355</v>
      </c>
      <c r="F34" s="12" t="s">
        <v>356</v>
      </c>
      <c r="G34" s="12">
        <v>0.6</v>
      </c>
      <c r="H34" s="12">
        <v>2705</v>
      </c>
      <c r="I34" s="12">
        <v>113</v>
      </c>
      <c r="J34" s="12">
        <v>112</v>
      </c>
      <c r="K34" s="12">
        <v>-2.4026675965309101E-2</v>
      </c>
      <c r="L34" s="12">
        <v>1.76243003345566E-2</v>
      </c>
      <c r="M34" s="12">
        <v>-1.36326977577652</v>
      </c>
      <c r="N34" s="12">
        <v>14.942100593785099</v>
      </c>
      <c r="O34" s="12">
        <v>0.19298764471529001</v>
      </c>
      <c r="P34" s="12">
        <v>-6.1604664935614901E-2</v>
      </c>
      <c r="Q34" s="12">
        <v>1.3551313004996599E-2</v>
      </c>
      <c r="R34" s="12"/>
      <c r="S34" s="12"/>
      <c r="T34" s="12"/>
      <c r="U34" s="12"/>
      <c r="V34" s="12"/>
      <c r="W34" s="12"/>
      <c r="X34" s="12"/>
      <c r="Y34" s="12">
        <v>2.0430519260129301E-2</v>
      </c>
      <c r="Z34" s="12">
        <v>2.86533404991297E-9</v>
      </c>
      <c r="AA34" s="12">
        <v>1.18777202007713E-2</v>
      </c>
      <c r="AB34" s="12"/>
      <c r="AC34" s="12"/>
      <c r="AD34" s="12"/>
      <c r="AE34" s="12"/>
      <c r="AF34" s="12"/>
      <c r="AG34" s="12"/>
      <c r="AH34" s="12" t="b">
        <f>FALSE()</f>
        <v>0</v>
      </c>
      <c r="AI34" s="12"/>
      <c r="AJ34" s="12" t="s">
        <v>395</v>
      </c>
    </row>
    <row r="35" spans="1:36" ht="15" customHeight="1" x14ac:dyDescent="0.3">
      <c r="A35" s="12" t="s">
        <v>380</v>
      </c>
      <c r="B35" s="12" t="s">
        <v>396</v>
      </c>
      <c r="C35" s="12" t="s">
        <v>336</v>
      </c>
      <c r="D35" s="12" t="s">
        <v>193</v>
      </c>
      <c r="E35" s="12" t="s">
        <v>355</v>
      </c>
      <c r="F35" s="12" t="s">
        <v>356</v>
      </c>
      <c r="G35" s="12">
        <v>0.6</v>
      </c>
      <c r="H35" s="12">
        <v>2705</v>
      </c>
      <c r="I35" s="12">
        <v>113</v>
      </c>
      <c r="J35" s="12">
        <v>112</v>
      </c>
      <c r="K35" s="12">
        <v>-2.41083876528508E-2</v>
      </c>
      <c r="L35" s="12">
        <v>1.4921314631497699E-2</v>
      </c>
      <c r="M35" s="12">
        <v>-1.6157013137408001</v>
      </c>
      <c r="N35" s="12">
        <v>7.6339972117427202</v>
      </c>
      <c r="O35" s="12">
        <v>0.14662910658223399</v>
      </c>
      <c r="P35" s="12">
        <v>-5.8806275974083298E-2</v>
      </c>
      <c r="Q35" s="12">
        <v>1.05895006683816E-2</v>
      </c>
      <c r="R35" s="12"/>
      <c r="S35" s="12"/>
      <c r="T35" s="12">
        <v>-2.4103718024807999E-2</v>
      </c>
      <c r="U35" s="12">
        <v>-5.8738582086429299E-2</v>
      </c>
      <c r="V35" s="12">
        <v>1.05891048593391E-2</v>
      </c>
      <c r="W35" s="12"/>
      <c r="X35" s="12"/>
      <c r="Y35" s="12">
        <v>2.0411455946585999E-2</v>
      </c>
      <c r="Z35" s="12">
        <v>2.3448490044255399E-9</v>
      </c>
      <c r="AA35" s="12">
        <v>1.18726550886203E-2</v>
      </c>
      <c r="AB35" s="12"/>
      <c r="AC35" s="12"/>
      <c r="AD35" s="12"/>
      <c r="AE35" s="12"/>
      <c r="AF35" s="12"/>
      <c r="AG35" s="12"/>
      <c r="AH35" s="12" t="b">
        <f>FALSE()</f>
        <v>0</v>
      </c>
      <c r="AI35" s="12"/>
      <c r="AJ35" s="12" t="s">
        <v>397</v>
      </c>
    </row>
    <row r="36" spans="1:36" ht="15" customHeight="1" x14ac:dyDescent="0.3">
      <c r="A36" s="12" t="s">
        <v>380</v>
      </c>
      <c r="B36" s="12" t="s">
        <v>396</v>
      </c>
      <c r="C36" s="12" t="s">
        <v>336</v>
      </c>
      <c r="D36" s="12" t="s">
        <v>398</v>
      </c>
      <c r="E36" s="12" t="s">
        <v>355</v>
      </c>
      <c r="F36" s="12" t="s">
        <v>356</v>
      </c>
      <c r="G36" s="12">
        <v>0.6</v>
      </c>
      <c r="H36" s="12">
        <v>2705</v>
      </c>
      <c r="I36" s="12">
        <v>113</v>
      </c>
      <c r="J36" s="12">
        <v>112</v>
      </c>
      <c r="K36" s="12">
        <v>-3.95267553530513E-2</v>
      </c>
      <c r="L36" s="12">
        <v>1.8622443935810799E-2</v>
      </c>
      <c r="M36" s="12">
        <v>-2.1225331910943002</v>
      </c>
      <c r="N36" s="12">
        <v>6.2816542260257702</v>
      </c>
      <c r="O36" s="12">
        <v>7.5948861683107799E-2</v>
      </c>
      <c r="P36" s="12">
        <v>-8.4603525071111504E-2</v>
      </c>
      <c r="Q36" s="12">
        <v>5.5500143650087999E-3</v>
      </c>
      <c r="R36" s="12"/>
      <c r="S36" s="12"/>
      <c r="T36" s="12"/>
      <c r="U36" s="12"/>
      <c r="V36" s="12"/>
      <c r="W36" s="12"/>
      <c r="X36" s="12"/>
      <c r="Y36" s="12">
        <v>2.0411455946585999E-2</v>
      </c>
      <c r="Z36" s="12">
        <v>2.3448490044255399E-9</v>
      </c>
      <c r="AA36" s="12">
        <v>1.18726550886203E-2</v>
      </c>
      <c r="AB36" s="12"/>
      <c r="AC36" s="12"/>
      <c r="AD36" s="12"/>
      <c r="AE36" s="12"/>
      <c r="AF36" s="12"/>
      <c r="AG36" s="12"/>
      <c r="AH36" s="12" t="b">
        <f>FALSE()</f>
        <v>0</v>
      </c>
      <c r="AI36" s="12"/>
      <c r="AJ36" s="12" t="s">
        <v>399</v>
      </c>
    </row>
    <row r="37" spans="1:36" ht="15" customHeight="1" x14ac:dyDescent="0.3">
      <c r="A37" s="12" t="s">
        <v>380</v>
      </c>
      <c r="B37" s="12" t="s">
        <v>400</v>
      </c>
      <c r="C37" s="12" t="s">
        <v>336</v>
      </c>
      <c r="D37" s="12" t="s">
        <v>193</v>
      </c>
      <c r="E37" s="12" t="s">
        <v>355</v>
      </c>
      <c r="F37" s="12" t="s">
        <v>356</v>
      </c>
      <c r="G37" s="12">
        <v>0.6</v>
      </c>
      <c r="H37" s="12">
        <v>2705</v>
      </c>
      <c r="I37" s="12">
        <v>113</v>
      </c>
      <c r="J37" s="12">
        <v>112</v>
      </c>
      <c r="K37" s="12">
        <v>-2.7059836825110199E-2</v>
      </c>
      <c r="L37" s="12">
        <v>1.52604959666506E-2</v>
      </c>
      <c r="M37" s="12">
        <v>-1.77319511005705</v>
      </c>
      <c r="N37" s="12">
        <v>8.2886008389082697</v>
      </c>
      <c r="O37" s="12">
        <v>0.112821221111899</v>
      </c>
      <c r="P37" s="12">
        <v>-6.2038458909025401E-2</v>
      </c>
      <c r="Q37" s="12">
        <v>7.9187852588049994E-3</v>
      </c>
      <c r="R37" s="12"/>
      <c r="S37" s="12"/>
      <c r="T37" s="12">
        <v>-2.7053234041229699E-2</v>
      </c>
      <c r="U37" s="12">
        <v>-6.1958990654374199E-2</v>
      </c>
      <c r="V37" s="12">
        <v>7.9186197414452993E-3</v>
      </c>
      <c r="W37" s="12"/>
      <c r="X37" s="12"/>
      <c r="Y37" s="12">
        <v>2.0438617535074099E-2</v>
      </c>
      <c r="Z37" s="12">
        <v>3.0694771590143901E-9</v>
      </c>
      <c r="AA37" s="12">
        <v>1.18732758038221E-2</v>
      </c>
      <c r="AB37" s="12"/>
      <c r="AC37" s="12"/>
      <c r="AD37" s="12"/>
      <c r="AE37" s="12"/>
      <c r="AF37" s="12"/>
      <c r="AG37" s="12"/>
      <c r="AH37" s="12" t="b">
        <f>FALSE()</f>
        <v>0</v>
      </c>
      <c r="AI37" s="12"/>
      <c r="AJ37" s="12" t="s">
        <v>401</v>
      </c>
    </row>
    <row r="38" spans="1:36" ht="15" customHeight="1" x14ac:dyDescent="0.3">
      <c r="A38" s="12" t="s">
        <v>380</v>
      </c>
      <c r="B38" s="12" t="s">
        <v>400</v>
      </c>
      <c r="C38" s="12" t="s">
        <v>336</v>
      </c>
      <c r="D38" s="12" t="s">
        <v>402</v>
      </c>
      <c r="E38" s="12" t="s">
        <v>355</v>
      </c>
      <c r="F38" s="12" t="s">
        <v>356</v>
      </c>
      <c r="G38" s="12">
        <v>0.6</v>
      </c>
      <c r="H38" s="12">
        <v>2705</v>
      </c>
      <c r="I38" s="12">
        <v>113</v>
      </c>
      <c r="J38" s="12">
        <v>112</v>
      </c>
      <c r="K38" s="12">
        <v>-3.6534390605377699E-2</v>
      </c>
      <c r="L38" s="12">
        <v>1.9295161707799598E-2</v>
      </c>
      <c r="M38" s="12">
        <v>-1.89344827261072</v>
      </c>
      <c r="N38" s="12">
        <v>6.7804764679999003</v>
      </c>
      <c r="O38" s="12">
        <v>0.10152292890996201</v>
      </c>
      <c r="P38" s="12">
        <v>-8.2461362347309206E-2</v>
      </c>
      <c r="Q38" s="12">
        <v>9.3925811365536994E-3</v>
      </c>
      <c r="R38" s="12"/>
      <c r="S38" s="12"/>
      <c r="T38" s="12"/>
      <c r="U38" s="12"/>
      <c r="V38" s="12"/>
      <c r="W38" s="12"/>
      <c r="X38" s="12"/>
      <c r="Y38" s="12">
        <v>2.0438617535074099E-2</v>
      </c>
      <c r="Z38" s="12">
        <v>3.0694771590143901E-9</v>
      </c>
      <c r="AA38" s="12">
        <v>1.18732758038221E-2</v>
      </c>
      <c r="AB38" s="12"/>
      <c r="AC38" s="12"/>
      <c r="AD38" s="12"/>
      <c r="AE38" s="12"/>
      <c r="AF38" s="12"/>
      <c r="AG38" s="12"/>
      <c r="AH38" s="12" t="b">
        <f>FALSE()</f>
        <v>0</v>
      </c>
      <c r="AI38" s="12"/>
      <c r="AJ38" s="12" t="s">
        <v>403</v>
      </c>
    </row>
    <row r="39" spans="1:36" ht="15" customHeight="1" x14ac:dyDescent="0.3">
      <c r="A39" s="12" t="s">
        <v>380</v>
      </c>
      <c r="B39" s="12" t="s">
        <v>404</v>
      </c>
      <c r="C39" s="12" t="s">
        <v>336</v>
      </c>
      <c r="D39" s="12" t="s">
        <v>193</v>
      </c>
      <c r="E39" s="12" t="s">
        <v>355</v>
      </c>
      <c r="F39" s="12" t="s">
        <v>356</v>
      </c>
      <c r="G39" s="12">
        <v>0.6</v>
      </c>
      <c r="H39" s="12">
        <v>2705</v>
      </c>
      <c r="I39" s="12">
        <v>113</v>
      </c>
      <c r="J39" s="12">
        <v>112</v>
      </c>
      <c r="K39" s="12">
        <v>-3.1417374574393801E-2</v>
      </c>
      <c r="L39" s="12">
        <v>1.32283907535953E-2</v>
      </c>
      <c r="M39" s="12">
        <v>-2.3749959582842499</v>
      </c>
      <c r="N39" s="12">
        <v>11.983810958711601</v>
      </c>
      <c r="O39" s="12">
        <v>3.5106757367342298E-2</v>
      </c>
      <c r="P39" s="12">
        <v>-6.0243881036582597E-2</v>
      </c>
      <c r="Q39" s="12">
        <v>-2.5908681122049E-3</v>
      </c>
      <c r="R39" s="12"/>
      <c r="S39" s="12"/>
      <c r="T39" s="12">
        <v>-3.1407041799184097E-2</v>
      </c>
      <c r="U39" s="12">
        <v>-6.0171105140470103E-2</v>
      </c>
      <c r="V39" s="12">
        <v>-2.5908623150687998E-3</v>
      </c>
      <c r="W39" s="12"/>
      <c r="X39" s="12"/>
      <c r="Y39" s="12">
        <v>2.0445602476426902E-2</v>
      </c>
      <c r="Z39" s="12">
        <v>2.1600467669445699E-9</v>
      </c>
      <c r="AA39" s="12">
        <v>1.18730267716953E-2</v>
      </c>
      <c r="AB39" s="12"/>
      <c r="AC39" s="12"/>
      <c r="AD39" s="12"/>
      <c r="AE39" s="12"/>
      <c r="AF39" s="12"/>
      <c r="AG39" s="12"/>
      <c r="AH39" s="12" t="b">
        <f>FALSE()</f>
        <v>0</v>
      </c>
      <c r="AI39" s="12"/>
      <c r="AJ39" s="12" t="s">
        <v>405</v>
      </c>
    </row>
    <row r="40" spans="1:36" ht="15" customHeight="1" x14ac:dyDescent="0.3">
      <c r="A40" s="12" t="s">
        <v>380</v>
      </c>
      <c r="B40" s="12" t="s">
        <v>404</v>
      </c>
      <c r="C40" s="12" t="s">
        <v>336</v>
      </c>
      <c r="D40" s="12" t="s">
        <v>406</v>
      </c>
      <c r="E40" s="12" t="s">
        <v>355</v>
      </c>
      <c r="F40" s="12" t="s">
        <v>356</v>
      </c>
      <c r="G40" s="12">
        <v>0.6</v>
      </c>
      <c r="H40" s="12">
        <v>2705</v>
      </c>
      <c r="I40" s="12">
        <v>113</v>
      </c>
      <c r="J40" s="12">
        <v>112</v>
      </c>
      <c r="K40" s="12">
        <v>-3.3330836652261102E-2</v>
      </c>
      <c r="L40" s="12">
        <v>1.8895156310692499E-2</v>
      </c>
      <c r="M40" s="12">
        <v>-1.7639884055047299</v>
      </c>
      <c r="N40" s="12">
        <v>9.5644080388108996</v>
      </c>
      <c r="O40" s="12">
        <v>0.10957910885448301</v>
      </c>
      <c r="P40" s="12">
        <v>-7.5693223444470797E-2</v>
      </c>
      <c r="Q40" s="12">
        <v>9.0315501399483994E-3</v>
      </c>
      <c r="R40" s="12"/>
      <c r="S40" s="12"/>
      <c r="T40" s="12"/>
      <c r="U40" s="12"/>
      <c r="V40" s="12"/>
      <c r="W40" s="12"/>
      <c r="X40" s="12"/>
      <c r="Y40" s="12">
        <v>2.0445602476426902E-2</v>
      </c>
      <c r="Z40" s="12">
        <v>2.1600467669445699E-9</v>
      </c>
      <c r="AA40" s="12">
        <v>1.18730267716953E-2</v>
      </c>
      <c r="AB40" s="12"/>
      <c r="AC40" s="12"/>
      <c r="AD40" s="12"/>
      <c r="AE40" s="12"/>
      <c r="AF40" s="12"/>
      <c r="AG40" s="12"/>
      <c r="AH40" s="12" t="b">
        <f>FALSE()</f>
        <v>0</v>
      </c>
      <c r="AI40" s="12"/>
      <c r="AJ40" s="12" t="s">
        <v>407</v>
      </c>
    </row>
    <row r="41" spans="1:36" ht="15" customHeight="1" x14ac:dyDescent="0.3">
      <c r="A41" s="12" t="s">
        <v>380</v>
      </c>
      <c r="B41" s="12" t="s">
        <v>408</v>
      </c>
      <c r="C41" s="12" t="s">
        <v>336</v>
      </c>
      <c r="D41" s="12" t="s">
        <v>193</v>
      </c>
      <c r="E41" s="12" t="s">
        <v>355</v>
      </c>
      <c r="F41" s="12" t="s">
        <v>356</v>
      </c>
      <c r="G41" s="12">
        <v>0.6</v>
      </c>
      <c r="H41" s="12">
        <v>2705</v>
      </c>
      <c r="I41" s="12">
        <v>113</v>
      </c>
      <c r="J41" s="12">
        <v>112</v>
      </c>
      <c r="K41" s="12">
        <v>-5.8127165168506599E-2</v>
      </c>
      <c r="L41" s="12">
        <v>9.5451379632841993E-3</v>
      </c>
      <c r="M41" s="12">
        <v>-6.0897145114187801</v>
      </c>
      <c r="N41" s="12">
        <v>16.7836181122548</v>
      </c>
      <c r="O41" s="12">
        <v>1.27098180523467E-5</v>
      </c>
      <c r="P41" s="12">
        <v>-7.8285442064567903E-2</v>
      </c>
      <c r="Q41" s="12">
        <v>-3.7968888272445302E-2</v>
      </c>
      <c r="R41" s="12"/>
      <c r="S41" s="12"/>
      <c r="T41" s="12">
        <v>-5.8061787469935497E-2</v>
      </c>
      <c r="U41" s="12">
        <v>-7.8125906154043495E-2</v>
      </c>
      <c r="V41" s="12">
        <v>-3.7950653009717401E-2</v>
      </c>
      <c r="W41" s="12"/>
      <c r="X41" s="12"/>
      <c r="Y41" s="12">
        <v>2.04206482146638E-2</v>
      </c>
      <c r="Z41" s="12">
        <v>2.3908044446141301E-9</v>
      </c>
      <c r="AA41" s="12">
        <v>1.18803041007752E-2</v>
      </c>
      <c r="AB41" s="12"/>
      <c r="AC41" s="12"/>
      <c r="AD41" s="12"/>
      <c r="AE41" s="12"/>
      <c r="AF41" s="12"/>
      <c r="AG41" s="12"/>
      <c r="AH41" s="12" t="b">
        <f>FALSE()</f>
        <v>0</v>
      </c>
      <c r="AI41" s="12"/>
      <c r="AJ41" s="12" t="s">
        <v>409</v>
      </c>
    </row>
    <row r="42" spans="1:36" ht="15" customHeight="1" x14ac:dyDescent="0.3">
      <c r="A42" s="12" t="s">
        <v>380</v>
      </c>
      <c r="B42" s="12" t="s">
        <v>408</v>
      </c>
      <c r="C42" s="12" t="s">
        <v>336</v>
      </c>
      <c r="D42" s="12" t="s">
        <v>410</v>
      </c>
      <c r="E42" s="12" t="s">
        <v>355</v>
      </c>
      <c r="F42" s="12" t="s">
        <v>356</v>
      </c>
      <c r="G42" s="12">
        <v>0.6</v>
      </c>
      <c r="H42" s="12">
        <v>2705</v>
      </c>
      <c r="I42" s="12">
        <v>113</v>
      </c>
      <c r="J42" s="12">
        <v>112</v>
      </c>
      <c r="K42" s="12">
        <v>-9.4643455585145505E-4</v>
      </c>
      <c r="L42" s="12">
        <v>1.7128674810757999E-2</v>
      </c>
      <c r="M42" s="12">
        <v>-5.5254394534773203E-2</v>
      </c>
      <c r="N42" s="12">
        <v>11.660405337055099</v>
      </c>
      <c r="O42" s="12">
        <v>0.95687123457445</v>
      </c>
      <c r="P42" s="12">
        <v>-3.8387515770200303E-2</v>
      </c>
      <c r="Q42" s="12">
        <v>3.6494646658497401E-2</v>
      </c>
      <c r="R42" s="12"/>
      <c r="S42" s="12"/>
      <c r="T42" s="12"/>
      <c r="U42" s="12"/>
      <c r="V42" s="12"/>
      <c r="W42" s="12"/>
      <c r="X42" s="12"/>
      <c r="Y42" s="12">
        <v>2.04206482146638E-2</v>
      </c>
      <c r="Z42" s="12">
        <v>2.3908044446141301E-9</v>
      </c>
      <c r="AA42" s="12">
        <v>1.18803041007752E-2</v>
      </c>
      <c r="AB42" s="12"/>
      <c r="AC42" s="12"/>
      <c r="AD42" s="12"/>
      <c r="AE42" s="12"/>
      <c r="AF42" s="12"/>
      <c r="AG42" s="12"/>
      <c r="AH42" s="12" t="b">
        <f>FALSE()</f>
        <v>0</v>
      </c>
      <c r="AI42" s="12"/>
      <c r="AJ42" s="12" t="s">
        <v>411</v>
      </c>
    </row>
    <row r="43" spans="1:36" ht="15" customHeight="1" x14ac:dyDescent="0.3">
      <c r="A43" s="12" t="s">
        <v>380</v>
      </c>
      <c r="B43" s="12" t="s">
        <v>412</v>
      </c>
      <c r="C43" s="12" t="s">
        <v>336</v>
      </c>
      <c r="D43" s="12" t="s">
        <v>193</v>
      </c>
      <c r="E43" s="12" t="s">
        <v>355</v>
      </c>
      <c r="F43" s="12" t="s">
        <v>356</v>
      </c>
      <c r="G43" s="12">
        <v>0.6</v>
      </c>
      <c r="H43" s="12">
        <v>2705</v>
      </c>
      <c r="I43" s="12">
        <v>113</v>
      </c>
      <c r="J43" s="12">
        <v>112</v>
      </c>
      <c r="K43" s="12">
        <v>-7.4341019926270305E-2</v>
      </c>
      <c r="L43" s="12">
        <v>2.5790928010906902E-2</v>
      </c>
      <c r="M43" s="12">
        <v>-2.8824484289526802</v>
      </c>
      <c r="N43" s="12">
        <v>30.208088676952201</v>
      </c>
      <c r="O43" s="12">
        <v>7.2018012546663001E-3</v>
      </c>
      <c r="P43" s="12">
        <v>-0.126997911149447</v>
      </c>
      <c r="Q43" s="12">
        <v>-2.16841287030934E-2</v>
      </c>
      <c r="R43" s="12"/>
      <c r="S43" s="12"/>
      <c r="T43" s="12">
        <v>-7.4204371287769202E-2</v>
      </c>
      <c r="U43" s="12">
        <v>-0.12631952669193999</v>
      </c>
      <c r="V43" s="12">
        <v>-2.1680730706026E-2</v>
      </c>
      <c r="W43" s="12"/>
      <c r="X43" s="12"/>
      <c r="Y43" s="12">
        <v>2.0221400878231498E-2</v>
      </c>
      <c r="Z43" s="12">
        <v>1.5134272417985501E-9</v>
      </c>
      <c r="AA43" s="12">
        <v>1.1879307696674699E-2</v>
      </c>
      <c r="AB43" s="12"/>
      <c r="AC43" s="12"/>
      <c r="AD43" s="12"/>
      <c r="AE43" s="12"/>
      <c r="AF43" s="12"/>
      <c r="AG43" s="12"/>
      <c r="AH43" s="12" t="b">
        <f>FALSE()</f>
        <v>0</v>
      </c>
      <c r="AI43" s="12"/>
      <c r="AJ43" s="12" t="s">
        <v>413</v>
      </c>
    </row>
    <row r="44" spans="1:36" ht="15" customHeight="1" x14ac:dyDescent="0.3">
      <c r="A44" s="12" t="s">
        <v>380</v>
      </c>
      <c r="B44" s="12" t="s">
        <v>412</v>
      </c>
      <c r="C44" s="12" t="s">
        <v>336</v>
      </c>
      <c r="D44" s="12" t="s">
        <v>414</v>
      </c>
      <c r="E44" s="12" t="s">
        <v>355</v>
      </c>
      <c r="F44" s="12" t="s">
        <v>356</v>
      </c>
      <c r="G44" s="12">
        <v>0.6</v>
      </c>
      <c r="H44" s="12">
        <v>2705</v>
      </c>
      <c r="I44" s="12">
        <v>113</v>
      </c>
      <c r="J44" s="12">
        <v>112</v>
      </c>
      <c r="K44" s="12">
        <v>2.5954305457566398E-2</v>
      </c>
      <c r="L44" s="12">
        <v>2.15606130243189E-2</v>
      </c>
      <c r="M44" s="12">
        <v>1.2037832796447701</v>
      </c>
      <c r="N44" s="12">
        <v>14.282377920483301</v>
      </c>
      <c r="O44" s="12">
        <v>0.24824608100481499</v>
      </c>
      <c r="P44" s="12">
        <v>-2.0202983622046498E-2</v>
      </c>
      <c r="Q44" s="12">
        <v>7.2111594537179399E-2</v>
      </c>
      <c r="R44" s="12"/>
      <c r="S44" s="12"/>
      <c r="T44" s="12"/>
      <c r="U44" s="12"/>
      <c r="V44" s="12"/>
      <c r="W44" s="12"/>
      <c r="X44" s="12"/>
      <c r="Y44" s="12">
        <v>2.0221400878231498E-2</v>
      </c>
      <c r="Z44" s="12">
        <v>1.5134272417985501E-9</v>
      </c>
      <c r="AA44" s="12">
        <v>1.1879307696674699E-2</v>
      </c>
      <c r="AB44" s="12"/>
      <c r="AC44" s="12"/>
      <c r="AD44" s="12"/>
      <c r="AE44" s="12"/>
      <c r="AF44" s="12"/>
      <c r="AG44" s="12"/>
      <c r="AH44" s="12" t="b">
        <f>FALSE()</f>
        <v>0</v>
      </c>
      <c r="AI44" s="12"/>
      <c r="AJ44" s="12" t="s">
        <v>415</v>
      </c>
    </row>
    <row r="45" spans="1:36" ht="15" customHeight="1" x14ac:dyDescent="0.3">
      <c r="A45" s="12" t="s">
        <v>380</v>
      </c>
      <c r="B45" s="12" t="s">
        <v>416</v>
      </c>
      <c r="C45" s="12" t="s">
        <v>336</v>
      </c>
      <c r="D45" s="12" t="s">
        <v>193</v>
      </c>
      <c r="E45" s="12" t="s">
        <v>355</v>
      </c>
      <c r="F45" s="12" t="s">
        <v>356</v>
      </c>
      <c r="G45" s="12">
        <v>0.6</v>
      </c>
      <c r="H45" s="12">
        <v>2705</v>
      </c>
      <c r="I45" s="12">
        <v>113</v>
      </c>
      <c r="J45" s="12">
        <v>112</v>
      </c>
      <c r="K45" s="12">
        <v>-7.0129846834850906E-2</v>
      </c>
      <c r="L45" s="12">
        <v>2.4053682195549399E-2</v>
      </c>
      <c r="M45" s="12">
        <v>-2.9155555588003299</v>
      </c>
      <c r="N45" s="12">
        <v>42.386516672899504</v>
      </c>
      <c r="O45" s="12">
        <v>5.6526771576937999E-3</v>
      </c>
      <c r="P45" s="12">
        <v>-0.118659032073044</v>
      </c>
      <c r="Q45" s="12">
        <v>-2.1600661596658299E-2</v>
      </c>
      <c r="R45" s="12"/>
      <c r="S45" s="12"/>
      <c r="T45" s="12">
        <v>-7.0015101801196897E-2</v>
      </c>
      <c r="U45" s="12">
        <v>-0.118105245739658</v>
      </c>
      <c r="V45" s="12">
        <v>-2.1597302682865301E-2</v>
      </c>
      <c r="W45" s="12"/>
      <c r="X45" s="12"/>
      <c r="Y45" s="12">
        <v>2.0387973439469201E-2</v>
      </c>
      <c r="Z45" s="12">
        <v>1.32247013849743E-9</v>
      </c>
      <c r="AA45" s="12">
        <v>1.1877072967247101E-2</v>
      </c>
      <c r="AB45" s="12"/>
      <c r="AC45" s="12"/>
      <c r="AD45" s="12"/>
      <c r="AE45" s="12"/>
      <c r="AF45" s="12"/>
      <c r="AG45" s="12"/>
      <c r="AH45" s="12" t="b">
        <f>FALSE()</f>
        <v>0</v>
      </c>
      <c r="AI45" s="12"/>
      <c r="AJ45" s="12" t="s">
        <v>417</v>
      </c>
    </row>
    <row r="46" spans="1:36" ht="15" customHeight="1" x14ac:dyDescent="0.3">
      <c r="A46" s="12" t="s">
        <v>380</v>
      </c>
      <c r="B46" s="12" t="s">
        <v>416</v>
      </c>
      <c r="C46" s="12" t="s">
        <v>336</v>
      </c>
      <c r="D46" s="12" t="s">
        <v>418</v>
      </c>
      <c r="E46" s="12" t="s">
        <v>355</v>
      </c>
      <c r="F46" s="12" t="s">
        <v>356</v>
      </c>
      <c r="G46" s="12">
        <v>0.6</v>
      </c>
      <c r="H46" s="12">
        <v>2705</v>
      </c>
      <c r="I46" s="12">
        <v>113</v>
      </c>
      <c r="J46" s="12">
        <v>112</v>
      </c>
      <c r="K46" s="12">
        <v>2.3149445124347301E-2</v>
      </c>
      <c r="L46" s="12">
        <v>2.2786092707821899E-2</v>
      </c>
      <c r="M46" s="12">
        <v>1.0159462362057601</v>
      </c>
      <c r="N46" s="12">
        <v>22.565950649938301</v>
      </c>
      <c r="O46" s="12">
        <v>0.32042466367064298</v>
      </c>
      <c r="P46" s="12">
        <v>-2.4037398533236599E-2</v>
      </c>
      <c r="Q46" s="12">
        <v>7.0336288781931197E-2</v>
      </c>
      <c r="R46" s="12"/>
      <c r="S46" s="12"/>
      <c r="T46" s="12"/>
      <c r="U46" s="12"/>
      <c r="V46" s="12"/>
      <c r="W46" s="12"/>
      <c r="X46" s="12"/>
      <c r="Y46" s="12">
        <v>2.0387973439469201E-2</v>
      </c>
      <c r="Z46" s="12">
        <v>1.32247013849743E-9</v>
      </c>
      <c r="AA46" s="12">
        <v>1.1877072967247101E-2</v>
      </c>
      <c r="AB46" s="12"/>
      <c r="AC46" s="12"/>
      <c r="AD46" s="12"/>
      <c r="AE46" s="12"/>
      <c r="AF46" s="12"/>
      <c r="AG46" s="12"/>
      <c r="AH46" s="12" t="b">
        <f>FALSE()</f>
        <v>0</v>
      </c>
      <c r="AI46" s="12"/>
      <c r="AJ46" s="12" t="s">
        <v>419</v>
      </c>
    </row>
    <row r="47" spans="1:36" ht="15" customHeight="1" x14ac:dyDescent="0.3">
      <c r="A47" s="12" t="s">
        <v>380</v>
      </c>
      <c r="B47" s="12" t="s">
        <v>420</v>
      </c>
      <c r="C47" s="12" t="s">
        <v>336</v>
      </c>
      <c r="D47" s="12" t="s">
        <v>193</v>
      </c>
      <c r="E47" s="12" t="s">
        <v>355</v>
      </c>
      <c r="F47" s="12" t="s">
        <v>356</v>
      </c>
      <c r="G47" s="12">
        <v>0.6</v>
      </c>
      <c r="H47" s="12">
        <v>2705</v>
      </c>
      <c r="I47" s="12">
        <v>113</v>
      </c>
      <c r="J47" s="12">
        <v>112</v>
      </c>
      <c r="K47" s="12">
        <v>-5.9601311030213003E-2</v>
      </c>
      <c r="L47" s="12">
        <v>1.9178051744566198E-2</v>
      </c>
      <c r="M47" s="12">
        <v>-3.10778758051375</v>
      </c>
      <c r="N47" s="12">
        <v>60.692933527655597</v>
      </c>
      <c r="O47" s="12">
        <v>2.8671697021870998E-3</v>
      </c>
      <c r="P47" s="12">
        <v>-9.7954119926822694E-2</v>
      </c>
      <c r="Q47" s="12">
        <v>-2.1248502133603301E-2</v>
      </c>
      <c r="R47" s="12"/>
      <c r="S47" s="12"/>
      <c r="T47" s="12">
        <v>-5.9530836931276601E-2</v>
      </c>
      <c r="U47" s="12">
        <v>-9.7642027443567994E-2</v>
      </c>
      <c r="V47" s="12">
        <v>-2.1245304819659701E-2</v>
      </c>
      <c r="W47" s="12"/>
      <c r="X47" s="12"/>
      <c r="Y47" s="12">
        <v>2.0456031435129401E-2</v>
      </c>
      <c r="Z47" s="12">
        <v>1.8918949432488601E-9</v>
      </c>
      <c r="AA47" s="12">
        <v>1.1879430651453299E-2</v>
      </c>
      <c r="AB47" s="12"/>
      <c r="AC47" s="12"/>
      <c r="AD47" s="12"/>
      <c r="AE47" s="12"/>
      <c r="AF47" s="12"/>
      <c r="AG47" s="12"/>
      <c r="AH47" s="12" t="b">
        <f>FALSE()</f>
        <v>0</v>
      </c>
      <c r="AI47" s="12"/>
      <c r="AJ47" s="12" t="s">
        <v>421</v>
      </c>
    </row>
    <row r="48" spans="1:36" ht="15" customHeight="1" x14ac:dyDescent="0.3">
      <c r="A48" s="12" t="s">
        <v>380</v>
      </c>
      <c r="B48" s="12" t="s">
        <v>420</v>
      </c>
      <c r="C48" s="12" t="s">
        <v>336</v>
      </c>
      <c r="D48" s="12" t="s">
        <v>422</v>
      </c>
      <c r="E48" s="12" t="s">
        <v>355</v>
      </c>
      <c r="F48" s="12" t="s">
        <v>356</v>
      </c>
      <c r="G48" s="12">
        <v>0.6</v>
      </c>
      <c r="H48" s="12">
        <v>2705</v>
      </c>
      <c r="I48" s="12">
        <v>113</v>
      </c>
      <c r="J48" s="12">
        <v>112</v>
      </c>
      <c r="K48" s="12">
        <v>2.3798620914384002E-3</v>
      </c>
      <c r="L48" s="12">
        <v>2.03234411641511E-2</v>
      </c>
      <c r="M48" s="12">
        <v>0.117099366796029</v>
      </c>
      <c r="N48" s="12">
        <v>18.166093384971099</v>
      </c>
      <c r="O48" s="12">
        <v>0.90806624889854404</v>
      </c>
      <c r="P48" s="12">
        <v>-4.0290137658673002E-2</v>
      </c>
      <c r="Q48" s="12">
        <v>4.504986184155E-2</v>
      </c>
      <c r="R48" s="12"/>
      <c r="S48" s="12"/>
      <c r="T48" s="12"/>
      <c r="U48" s="12"/>
      <c r="V48" s="12"/>
      <c r="W48" s="12"/>
      <c r="X48" s="12"/>
      <c r="Y48" s="12">
        <v>2.0456031435129401E-2</v>
      </c>
      <c r="Z48" s="12">
        <v>1.8918949432488601E-9</v>
      </c>
      <c r="AA48" s="12">
        <v>1.1879430651453299E-2</v>
      </c>
      <c r="AB48" s="12"/>
      <c r="AC48" s="12"/>
      <c r="AD48" s="12"/>
      <c r="AE48" s="12"/>
      <c r="AF48" s="12"/>
      <c r="AG48" s="12"/>
      <c r="AH48" s="12" t="b">
        <f>FALSE()</f>
        <v>0</v>
      </c>
      <c r="AI48" s="12"/>
      <c r="AJ48" s="12" t="s">
        <v>423</v>
      </c>
    </row>
    <row r="49" spans="1:36" ht="15" customHeight="1" x14ac:dyDescent="0.3">
      <c r="A49" s="12" t="s">
        <v>380</v>
      </c>
      <c r="B49" s="12" t="s">
        <v>424</v>
      </c>
      <c r="C49" s="12" t="s">
        <v>336</v>
      </c>
      <c r="D49" s="12" t="s">
        <v>425</v>
      </c>
      <c r="E49" s="12" t="s">
        <v>426</v>
      </c>
      <c r="F49" s="12" t="s">
        <v>356</v>
      </c>
      <c r="G49" s="12">
        <v>0.6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>
        <v>7</v>
      </c>
      <c r="AH49" s="12" t="b">
        <f>TRUE()</f>
        <v>1</v>
      </c>
      <c r="AI49" s="12" t="s">
        <v>427</v>
      </c>
      <c r="AJ49" s="12" t="s">
        <v>428</v>
      </c>
    </row>
    <row r="50" spans="1:36" ht="15" customHeight="1" x14ac:dyDescent="0.3">
      <c r="A50" s="12" t="s">
        <v>380</v>
      </c>
      <c r="B50" s="12" t="s">
        <v>429</v>
      </c>
      <c r="C50" s="12" t="s">
        <v>336</v>
      </c>
      <c r="D50" s="12" t="s">
        <v>430</v>
      </c>
      <c r="E50" s="12" t="s">
        <v>355</v>
      </c>
      <c r="F50" s="12" t="s">
        <v>356</v>
      </c>
      <c r="G50" s="12">
        <v>0.6</v>
      </c>
      <c r="H50" s="12">
        <v>2705</v>
      </c>
      <c r="I50" s="12">
        <v>113</v>
      </c>
      <c r="J50" s="12">
        <v>112</v>
      </c>
      <c r="K50" s="12">
        <v>-7.27177497979756E-2</v>
      </c>
      <c r="L50" s="12">
        <v>2.48975754500733E-2</v>
      </c>
      <c r="M50" s="12">
        <v>-2.9206759487001102</v>
      </c>
      <c r="N50" s="12">
        <v>58.094168997941502</v>
      </c>
      <c r="O50" s="12">
        <v>4.9656597939643004E-3</v>
      </c>
      <c r="P50" s="12">
        <v>-0.12255394191168199</v>
      </c>
      <c r="Q50" s="12">
        <v>-2.2881557684269398E-2</v>
      </c>
      <c r="R50" s="12"/>
      <c r="S50" s="12"/>
      <c r="T50" s="12">
        <v>-7.2589846295990093E-2</v>
      </c>
      <c r="U50" s="12">
        <v>-0.121944040775556</v>
      </c>
      <c r="V50" s="12">
        <v>-2.28775651876158E-2</v>
      </c>
      <c r="W50" s="12"/>
      <c r="X50" s="12"/>
      <c r="Y50" s="12">
        <v>2.0973298877193399E-2</v>
      </c>
      <c r="Z50" s="12">
        <v>2.8407629216787699E-9</v>
      </c>
      <c r="AA50" s="12">
        <v>1.18731345675508E-2</v>
      </c>
      <c r="AB50" s="12"/>
      <c r="AC50" s="12"/>
      <c r="AD50" s="12"/>
      <c r="AE50" s="12"/>
      <c r="AF50" s="12"/>
      <c r="AG50" s="12"/>
      <c r="AH50" s="12" t="b">
        <f>FALSE()</f>
        <v>0</v>
      </c>
      <c r="AI50" s="12"/>
      <c r="AJ50" s="12" t="s">
        <v>431</v>
      </c>
    </row>
    <row r="51" spans="1:36" ht="15" customHeight="1" x14ac:dyDescent="0.3">
      <c r="A51" s="12" t="s">
        <v>380</v>
      </c>
      <c r="B51" s="12" t="s">
        <v>429</v>
      </c>
      <c r="C51" s="12" t="s">
        <v>336</v>
      </c>
      <c r="D51" s="12" t="s">
        <v>432</v>
      </c>
      <c r="E51" s="12" t="s">
        <v>355</v>
      </c>
      <c r="F51" s="12" t="s">
        <v>356</v>
      </c>
      <c r="G51" s="12">
        <v>0.6</v>
      </c>
      <c r="H51" s="12">
        <v>2705</v>
      </c>
      <c r="I51" s="12">
        <v>113</v>
      </c>
      <c r="J51" s="12">
        <v>112</v>
      </c>
      <c r="K51" s="12">
        <v>-2.3783826931947001E-3</v>
      </c>
      <c r="L51" s="12">
        <v>1.6184972238854E-3</v>
      </c>
      <c r="M51" s="12">
        <v>-1.46950063187937</v>
      </c>
      <c r="N51" s="12">
        <v>16.6852859015547</v>
      </c>
      <c r="O51" s="12">
        <v>0.160300324962593</v>
      </c>
      <c r="P51" s="12">
        <v>-5.7980262947776003E-3</v>
      </c>
      <c r="Q51" s="12">
        <v>1.0412609083881E-3</v>
      </c>
      <c r="R51" s="12"/>
      <c r="S51" s="12"/>
      <c r="T51" s="12"/>
      <c r="U51" s="12"/>
      <c r="V51" s="12"/>
      <c r="W51" s="12"/>
      <c r="X51" s="12"/>
      <c r="Y51" s="12">
        <v>2.0973298877193399E-2</v>
      </c>
      <c r="Z51" s="12">
        <v>2.8407629216787699E-9</v>
      </c>
      <c r="AA51" s="12">
        <v>1.18731345675508E-2</v>
      </c>
      <c r="AB51" s="12"/>
      <c r="AC51" s="12"/>
      <c r="AD51" s="12"/>
      <c r="AE51" s="12"/>
      <c r="AF51" s="12"/>
      <c r="AG51" s="12"/>
      <c r="AH51" s="12" t="b">
        <f>FALSE()</f>
        <v>0</v>
      </c>
      <c r="AI51" s="12"/>
      <c r="AJ51" s="12" t="s">
        <v>433</v>
      </c>
    </row>
    <row r="52" spans="1:36" ht="15" customHeight="1" x14ac:dyDescent="0.3">
      <c r="A52" s="12" t="s">
        <v>380</v>
      </c>
      <c r="B52" s="12" t="s">
        <v>429</v>
      </c>
      <c r="C52" s="12" t="s">
        <v>336</v>
      </c>
      <c r="D52" s="12" t="s">
        <v>434</v>
      </c>
      <c r="E52" s="12" t="s">
        <v>355</v>
      </c>
      <c r="F52" s="12" t="s">
        <v>356</v>
      </c>
      <c r="G52" s="12">
        <v>0.6</v>
      </c>
      <c r="H52" s="12">
        <v>2705</v>
      </c>
      <c r="I52" s="12">
        <v>113</v>
      </c>
      <c r="J52" s="12">
        <v>112</v>
      </c>
      <c r="K52" s="12">
        <v>2.8269368467378E-2</v>
      </c>
      <c r="L52" s="12">
        <v>2.3754374254699302E-2</v>
      </c>
      <c r="M52" s="12">
        <v>1.19007001254877</v>
      </c>
      <c r="N52" s="12">
        <v>10.513683513613</v>
      </c>
      <c r="O52" s="12">
        <v>0.26019771738211001</v>
      </c>
      <c r="P52" s="12">
        <v>-2.4310233916893E-2</v>
      </c>
      <c r="Q52" s="12">
        <v>8.0848970851649202E-2</v>
      </c>
      <c r="R52" s="12"/>
      <c r="S52" s="12"/>
      <c r="T52" s="12"/>
      <c r="U52" s="12"/>
      <c r="V52" s="12"/>
      <c r="W52" s="12"/>
      <c r="X52" s="12"/>
      <c r="Y52" s="12">
        <v>2.0973298877193399E-2</v>
      </c>
      <c r="Z52" s="12">
        <v>2.8407629216787699E-9</v>
      </c>
      <c r="AA52" s="12">
        <v>1.18731345675508E-2</v>
      </c>
      <c r="AB52" s="12"/>
      <c r="AC52" s="12"/>
      <c r="AD52" s="12"/>
      <c r="AE52" s="12"/>
      <c r="AF52" s="12"/>
      <c r="AG52" s="12"/>
      <c r="AH52" s="12" t="b">
        <f>TRUE()</f>
        <v>1</v>
      </c>
      <c r="AI52" s="12" t="s">
        <v>435</v>
      </c>
      <c r="AJ52" s="12" t="s">
        <v>433</v>
      </c>
    </row>
    <row r="53" spans="1:36" ht="15" customHeight="1" x14ac:dyDescent="0.3">
      <c r="A53" s="12" t="s">
        <v>380</v>
      </c>
      <c r="B53" s="12" t="s">
        <v>429</v>
      </c>
      <c r="C53" s="12" t="s">
        <v>336</v>
      </c>
      <c r="D53" s="12" t="s">
        <v>436</v>
      </c>
      <c r="E53" s="12" t="s">
        <v>355</v>
      </c>
      <c r="F53" s="12" t="s">
        <v>356</v>
      </c>
      <c r="G53" s="12">
        <v>0.6</v>
      </c>
      <c r="H53" s="12">
        <v>2705</v>
      </c>
      <c r="I53" s="12">
        <v>113</v>
      </c>
      <c r="J53" s="12">
        <v>112</v>
      </c>
      <c r="K53" s="12">
        <v>-1.0405229820257E-3</v>
      </c>
      <c r="L53" s="12">
        <v>6.2626040126656001E-3</v>
      </c>
      <c r="M53" s="12">
        <v>-0.16614861484478499</v>
      </c>
      <c r="N53" s="12">
        <v>13.5379394742769</v>
      </c>
      <c r="O53" s="12">
        <v>0.87049579117461895</v>
      </c>
      <c r="P53" s="12">
        <v>-1.45156097919471E-2</v>
      </c>
      <c r="Q53" s="12">
        <v>1.24345638278955E-2</v>
      </c>
      <c r="R53" s="12"/>
      <c r="S53" s="12"/>
      <c r="T53" s="12"/>
      <c r="U53" s="12"/>
      <c r="V53" s="12"/>
      <c r="W53" s="12"/>
      <c r="X53" s="12"/>
      <c r="Y53" s="12">
        <v>2.0973298877193399E-2</v>
      </c>
      <c r="Z53" s="12">
        <v>2.8407629216787699E-9</v>
      </c>
      <c r="AA53" s="12">
        <v>1.18731345675508E-2</v>
      </c>
      <c r="AB53" s="12"/>
      <c r="AC53" s="12"/>
      <c r="AD53" s="12"/>
      <c r="AE53" s="12"/>
      <c r="AF53" s="12"/>
      <c r="AG53" s="12"/>
      <c r="AH53" s="12" t="b">
        <f>FALSE()</f>
        <v>0</v>
      </c>
      <c r="AI53" s="12"/>
      <c r="AJ53" s="12" t="s">
        <v>433</v>
      </c>
    </row>
    <row r="54" spans="1:36" ht="15" customHeight="1" x14ac:dyDescent="0.3">
      <c r="A54" s="12" t="s">
        <v>380</v>
      </c>
      <c r="B54" s="12" t="s">
        <v>429</v>
      </c>
      <c r="C54" s="12" t="s">
        <v>336</v>
      </c>
      <c r="D54" s="12" t="s">
        <v>437</v>
      </c>
      <c r="E54" s="12" t="s">
        <v>378</v>
      </c>
      <c r="F54" s="12" t="s">
        <v>356</v>
      </c>
      <c r="G54" s="12">
        <v>0.6</v>
      </c>
      <c r="H54" s="12">
        <v>2705</v>
      </c>
      <c r="I54" s="12">
        <v>113</v>
      </c>
      <c r="J54" s="12">
        <v>112</v>
      </c>
      <c r="K54" s="12"/>
      <c r="L54" s="12"/>
      <c r="M54" s="12">
        <v>0.67101907747674505</v>
      </c>
      <c r="N54" s="12">
        <v>16.592023453410601</v>
      </c>
      <c r="O54" s="12">
        <v>0.52452536482202505</v>
      </c>
      <c r="P54" s="12"/>
      <c r="Q54" s="12"/>
      <c r="R54" s="12"/>
      <c r="S54" s="12"/>
      <c r="T54" s="12"/>
      <c r="U54" s="12"/>
      <c r="V54" s="12"/>
      <c r="W54" s="12"/>
      <c r="X54" s="12"/>
      <c r="Y54" s="12">
        <v>2.0973298877193399E-2</v>
      </c>
      <c r="Z54" s="12">
        <v>2.8407629216787699E-9</v>
      </c>
      <c r="AA54" s="12">
        <v>1.18731345675508E-2</v>
      </c>
      <c r="AB54" s="12"/>
      <c r="AC54" s="12"/>
      <c r="AD54" s="12"/>
      <c r="AE54" s="12"/>
      <c r="AF54" s="12"/>
      <c r="AG54" s="12"/>
      <c r="AH54" s="12" t="b">
        <f>FALSE()</f>
        <v>0</v>
      </c>
      <c r="AI54" s="12"/>
      <c r="AJ54" s="12" t="s">
        <v>438</v>
      </c>
    </row>
    <row r="55" spans="1:36" ht="15" customHeight="1" x14ac:dyDescent="0.3">
      <c r="A55" s="12" t="s">
        <v>439</v>
      </c>
      <c r="B55" s="12" t="s">
        <v>440</v>
      </c>
      <c r="C55" s="12" t="s">
        <v>336</v>
      </c>
      <c r="D55" s="12" t="s">
        <v>193</v>
      </c>
      <c r="E55" s="12" t="s">
        <v>355</v>
      </c>
      <c r="F55" s="12" t="s">
        <v>356</v>
      </c>
      <c r="G55" s="12">
        <v>0.6</v>
      </c>
      <c r="H55" s="12">
        <v>2705</v>
      </c>
      <c r="I55" s="12">
        <v>113</v>
      </c>
      <c r="J55" s="12">
        <v>112</v>
      </c>
      <c r="K55" s="12">
        <v>-2.0423821390603801E-2</v>
      </c>
      <c r="L55" s="12">
        <v>1.6388620951209899E-2</v>
      </c>
      <c r="M55" s="12">
        <v>-1.24621964541171</v>
      </c>
      <c r="N55" s="12">
        <v>20.739753009241301</v>
      </c>
      <c r="O55" s="12">
        <v>0.226577316209325</v>
      </c>
      <c r="P55" s="12">
        <v>-5.45318838686982E-2</v>
      </c>
      <c r="Q55" s="12">
        <v>1.36842410874906E-2</v>
      </c>
      <c r="R55" s="12"/>
      <c r="S55" s="12"/>
      <c r="T55" s="12">
        <v>-2.04209820512645E-2</v>
      </c>
      <c r="U55" s="12">
        <v>-5.4477893788336798E-2</v>
      </c>
      <c r="V55" s="12">
        <v>1.3683386988188001E-2</v>
      </c>
      <c r="W55" s="12"/>
      <c r="X55" s="12"/>
      <c r="Y55" s="12">
        <v>1.9670349311327402E-2</v>
      </c>
      <c r="Z55" s="12">
        <v>2.01836523035756E-9</v>
      </c>
      <c r="AA55" s="12">
        <v>1.18514224920184E-2</v>
      </c>
      <c r="AB55" s="12"/>
      <c r="AC55" s="12"/>
      <c r="AD55" s="12"/>
      <c r="AE55" s="12"/>
      <c r="AF55" s="12"/>
      <c r="AG55" s="12"/>
      <c r="AH55" s="12" t="b">
        <f>FALSE()</f>
        <v>0</v>
      </c>
      <c r="AI55" s="12"/>
      <c r="AJ55" s="12" t="s">
        <v>441</v>
      </c>
    </row>
    <row r="56" spans="1:36" ht="15" customHeight="1" x14ac:dyDescent="0.3">
      <c r="A56" s="12" t="s">
        <v>439</v>
      </c>
      <c r="B56" s="12" t="s">
        <v>440</v>
      </c>
      <c r="C56" s="12" t="s">
        <v>336</v>
      </c>
      <c r="D56" s="12" t="s">
        <v>385</v>
      </c>
      <c r="E56" s="12" t="s">
        <v>355</v>
      </c>
      <c r="F56" s="12" t="s">
        <v>356</v>
      </c>
      <c r="G56" s="12">
        <v>0.6</v>
      </c>
      <c r="H56" s="12">
        <v>2705</v>
      </c>
      <c r="I56" s="12">
        <v>113</v>
      </c>
      <c r="J56" s="12">
        <v>112</v>
      </c>
      <c r="K56" s="12">
        <v>1.24574678545605E-2</v>
      </c>
      <c r="L56" s="12">
        <v>1.73491495401304E-2</v>
      </c>
      <c r="M56" s="12">
        <v>0.71804487163737196</v>
      </c>
      <c r="N56" s="12">
        <v>14.2242528555395</v>
      </c>
      <c r="O56" s="12">
        <v>0.48435711480138399</v>
      </c>
      <c r="P56" s="12">
        <v>-2.46977960140129E-2</v>
      </c>
      <c r="Q56" s="12">
        <v>4.96127317231339E-2</v>
      </c>
      <c r="R56" s="12"/>
      <c r="S56" s="12"/>
      <c r="T56" s="12"/>
      <c r="U56" s="12"/>
      <c r="V56" s="12"/>
      <c r="W56" s="12"/>
      <c r="X56" s="12"/>
      <c r="Y56" s="12">
        <v>1.9670349311327402E-2</v>
      </c>
      <c r="Z56" s="12">
        <v>2.01836523035756E-9</v>
      </c>
      <c r="AA56" s="12">
        <v>1.18514224920184E-2</v>
      </c>
      <c r="AB56" s="12"/>
      <c r="AC56" s="12"/>
      <c r="AD56" s="12"/>
      <c r="AE56" s="12"/>
      <c r="AF56" s="12"/>
      <c r="AG56" s="12"/>
      <c r="AH56" s="12" t="b">
        <f>TRUE()</f>
        <v>1</v>
      </c>
      <c r="AI56" s="12" t="s">
        <v>442</v>
      </c>
      <c r="AJ56" s="12" t="s">
        <v>443</v>
      </c>
    </row>
    <row r="57" spans="1:36" ht="15" customHeight="1" x14ac:dyDescent="0.3">
      <c r="A57" s="12" t="s">
        <v>439</v>
      </c>
      <c r="B57" s="12" t="s">
        <v>440</v>
      </c>
      <c r="C57" s="12" t="s">
        <v>336</v>
      </c>
      <c r="D57" s="12" t="s">
        <v>444</v>
      </c>
      <c r="E57" s="12" t="s">
        <v>355</v>
      </c>
      <c r="F57" s="12" t="s">
        <v>356</v>
      </c>
      <c r="G57" s="12">
        <v>0.6</v>
      </c>
      <c r="H57" s="12">
        <v>2705</v>
      </c>
      <c r="I57" s="12">
        <v>113</v>
      </c>
      <c r="J57" s="12">
        <v>112</v>
      </c>
      <c r="K57" s="12">
        <v>-4.1513929966233903E-2</v>
      </c>
      <c r="L57" s="12">
        <v>3.8720079301936203E-2</v>
      </c>
      <c r="M57" s="12">
        <v>-1.0721550863186899</v>
      </c>
      <c r="N57" s="12">
        <v>2.7070036740993801</v>
      </c>
      <c r="O57" s="12">
        <v>0.36981688927995399</v>
      </c>
      <c r="P57" s="12">
        <v>-0.17263838168130199</v>
      </c>
      <c r="Q57" s="12">
        <v>8.9610521748833896E-2</v>
      </c>
      <c r="R57" s="12"/>
      <c r="S57" s="12"/>
      <c r="T57" s="12"/>
      <c r="U57" s="12"/>
      <c r="V57" s="12"/>
      <c r="W57" s="12"/>
      <c r="X57" s="12"/>
      <c r="Y57" s="12">
        <v>1.9670349311327402E-2</v>
      </c>
      <c r="Z57" s="12">
        <v>2.01836523035756E-9</v>
      </c>
      <c r="AA57" s="12">
        <v>1.18514224920184E-2</v>
      </c>
      <c r="AB57" s="12"/>
      <c r="AC57" s="12"/>
      <c r="AD57" s="12"/>
      <c r="AE57" s="12"/>
      <c r="AF57" s="12"/>
      <c r="AG57" s="12"/>
      <c r="AH57" s="12" t="b">
        <f>FALSE()</f>
        <v>0</v>
      </c>
      <c r="AI57" s="12"/>
      <c r="AJ57" s="12" t="s">
        <v>441</v>
      </c>
    </row>
    <row r="58" spans="1:36" ht="15" customHeight="1" x14ac:dyDescent="0.3">
      <c r="A58" s="12" t="s">
        <v>439</v>
      </c>
      <c r="B58" s="12" t="s">
        <v>440</v>
      </c>
      <c r="C58" s="12" t="s">
        <v>336</v>
      </c>
      <c r="D58" s="12" t="s">
        <v>445</v>
      </c>
      <c r="E58" s="12" t="s">
        <v>355</v>
      </c>
      <c r="F58" s="12" t="s">
        <v>356</v>
      </c>
      <c r="G58" s="12">
        <v>0.6</v>
      </c>
      <c r="H58" s="12">
        <v>2705</v>
      </c>
      <c r="I58" s="12">
        <v>113</v>
      </c>
      <c r="J58" s="12">
        <v>112</v>
      </c>
      <c r="K58" s="12">
        <v>-2.3841964098122202E-2</v>
      </c>
      <c r="L58" s="12">
        <v>2.3263851883714399E-2</v>
      </c>
      <c r="M58" s="12">
        <v>-1.02485023620755</v>
      </c>
      <c r="N58" s="12">
        <v>21.277460849249898</v>
      </c>
      <c r="O58" s="12">
        <v>0.31694496616461398</v>
      </c>
      <c r="P58" s="12">
        <v>-7.2183407211815598E-2</v>
      </c>
      <c r="Q58" s="12">
        <v>2.4499479015571E-2</v>
      </c>
      <c r="R58" s="12"/>
      <c r="S58" s="12"/>
      <c r="T58" s="12"/>
      <c r="U58" s="12"/>
      <c r="V58" s="12"/>
      <c r="W58" s="12"/>
      <c r="X58" s="12"/>
      <c r="Y58" s="12">
        <v>1.9670349311327402E-2</v>
      </c>
      <c r="Z58" s="12">
        <v>2.01836523035756E-9</v>
      </c>
      <c r="AA58" s="12">
        <v>1.18514224920184E-2</v>
      </c>
      <c r="AB58" s="12"/>
      <c r="AC58" s="12"/>
      <c r="AD58" s="12"/>
      <c r="AE58" s="12"/>
      <c r="AF58" s="12"/>
      <c r="AG58" s="12"/>
      <c r="AH58" s="12" t="b">
        <f>FALSE()</f>
        <v>0</v>
      </c>
      <c r="AI58" s="12"/>
      <c r="AJ58" s="12" t="s">
        <v>441</v>
      </c>
    </row>
    <row r="59" spans="1:36" ht="15" customHeight="1" x14ac:dyDescent="0.3">
      <c r="A59" s="12" t="s">
        <v>439</v>
      </c>
      <c r="B59" s="12" t="s">
        <v>440</v>
      </c>
      <c r="C59" s="12" t="s">
        <v>336</v>
      </c>
      <c r="D59" s="12" t="s">
        <v>446</v>
      </c>
      <c r="E59" s="12" t="s">
        <v>355</v>
      </c>
      <c r="F59" s="12" t="s">
        <v>356</v>
      </c>
      <c r="G59" s="12">
        <v>0.6</v>
      </c>
      <c r="H59" s="12">
        <v>2705</v>
      </c>
      <c r="I59" s="12">
        <v>113</v>
      </c>
      <c r="J59" s="12">
        <v>112</v>
      </c>
      <c r="K59" s="12">
        <v>-1.1996541618729799E-2</v>
      </c>
      <c r="L59" s="12">
        <v>1.8297315224640301E-2</v>
      </c>
      <c r="M59" s="12">
        <v>-0.65564491136789904</v>
      </c>
      <c r="N59" s="12">
        <v>8.58571784870791</v>
      </c>
      <c r="O59" s="12">
        <v>0.52922712595669796</v>
      </c>
      <c r="P59" s="12">
        <v>-5.369440431618E-2</v>
      </c>
      <c r="Q59" s="12">
        <v>2.97013210787203E-2</v>
      </c>
      <c r="R59" s="12"/>
      <c r="S59" s="12"/>
      <c r="T59" s="12"/>
      <c r="U59" s="12"/>
      <c r="V59" s="12"/>
      <c r="W59" s="12"/>
      <c r="X59" s="12"/>
      <c r="Y59" s="12">
        <v>1.9670349311327402E-2</v>
      </c>
      <c r="Z59" s="12">
        <v>2.01836523035756E-9</v>
      </c>
      <c r="AA59" s="12">
        <v>1.18514224920184E-2</v>
      </c>
      <c r="AB59" s="12"/>
      <c r="AC59" s="12"/>
      <c r="AD59" s="12"/>
      <c r="AE59" s="12"/>
      <c r="AF59" s="12"/>
      <c r="AG59" s="12"/>
      <c r="AH59" s="12" t="b">
        <f>FALSE()</f>
        <v>0</v>
      </c>
      <c r="AI59" s="12"/>
      <c r="AJ59" s="12" t="s">
        <v>447</v>
      </c>
    </row>
    <row r="60" spans="1:36" ht="15" customHeight="1" x14ac:dyDescent="0.3">
      <c r="A60" s="12" t="s">
        <v>439</v>
      </c>
      <c r="B60" s="12" t="s">
        <v>440</v>
      </c>
      <c r="C60" s="12" t="s">
        <v>336</v>
      </c>
      <c r="D60" s="12" t="s">
        <v>448</v>
      </c>
      <c r="E60" s="12" t="s">
        <v>355</v>
      </c>
      <c r="F60" s="12" t="s">
        <v>356</v>
      </c>
      <c r="G60" s="12">
        <v>0.6</v>
      </c>
      <c r="H60" s="12">
        <v>2705</v>
      </c>
      <c r="I60" s="12">
        <v>113</v>
      </c>
      <c r="J60" s="12">
        <v>112</v>
      </c>
      <c r="K60" s="12">
        <v>-5.5928810263259E-2</v>
      </c>
      <c r="L60" s="12">
        <v>1.59426184340479E-2</v>
      </c>
      <c r="M60" s="12">
        <v>-3.5081320232700399</v>
      </c>
      <c r="N60" s="12">
        <v>7.5162704775620401</v>
      </c>
      <c r="O60" s="12">
        <v>8.8164324400757995E-3</v>
      </c>
      <c r="P60" s="12">
        <v>-9.3108494253959298E-2</v>
      </c>
      <c r="Q60" s="12">
        <v>-1.8749126272558599E-2</v>
      </c>
      <c r="R60" s="12"/>
      <c r="S60" s="12"/>
      <c r="T60" s="12"/>
      <c r="U60" s="12"/>
      <c r="V60" s="12"/>
      <c r="W60" s="12"/>
      <c r="X60" s="12"/>
      <c r="Y60" s="12">
        <v>1.9670349311327402E-2</v>
      </c>
      <c r="Z60" s="12">
        <v>2.01836523035756E-9</v>
      </c>
      <c r="AA60" s="12">
        <v>1.18514224920184E-2</v>
      </c>
      <c r="AB60" s="12"/>
      <c r="AC60" s="12"/>
      <c r="AD60" s="12"/>
      <c r="AE60" s="12"/>
      <c r="AF60" s="12"/>
      <c r="AG60" s="12"/>
      <c r="AH60" s="12" t="b">
        <f>FALSE()</f>
        <v>0</v>
      </c>
      <c r="AI60" s="12"/>
      <c r="AJ60" s="12" t="s">
        <v>441</v>
      </c>
    </row>
    <row r="61" spans="1:36" ht="15" customHeight="1" x14ac:dyDescent="0.3">
      <c r="A61" s="12" t="s">
        <v>439</v>
      </c>
      <c r="B61" s="12" t="s">
        <v>440</v>
      </c>
      <c r="C61" s="12" t="s">
        <v>336</v>
      </c>
      <c r="D61" s="12" t="s">
        <v>449</v>
      </c>
      <c r="E61" s="12" t="s">
        <v>355</v>
      </c>
      <c r="F61" s="12" t="s">
        <v>356</v>
      </c>
      <c r="G61" s="12">
        <v>0.6</v>
      </c>
      <c r="H61" s="12">
        <v>2705</v>
      </c>
      <c r="I61" s="12">
        <v>113</v>
      </c>
      <c r="J61" s="12">
        <v>112</v>
      </c>
      <c r="K61" s="12">
        <v>-8.5060824775009494E-2</v>
      </c>
      <c r="L61" s="12">
        <v>7.4350479288211702E-2</v>
      </c>
      <c r="M61" s="12">
        <v>-1.14405213778489</v>
      </c>
      <c r="N61" s="12">
        <v>6.5335975917469602</v>
      </c>
      <c r="O61" s="12">
        <v>0.29277935725057602</v>
      </c>
      <c r="P61" s="12">
        <v>-0.26344822706071402</v>
      </c>
      <c r="Q61" s="12">
        <v>9.3326577510694994E-2</v>
      </c>
      <c r="R61" s="12"/>
      <c r="S61" s="12"/>
      <c r="T61" s="12"/>
      <c r="U61" s="12"/>
      <c r="V61" s="12"/>
      <c r="W61" s="12"/>
      <c r="X61" s="12"/>
      <c r="Y61" s="12">
        <v>1.9670349311327402E-2</v>
      </c>
      <c r="Z61" s="12">
        <v>2.01836523035756E-9</v>
      </c>
      <c r="AA61" s="12">
        <v>1.18514224920184E-2</v>
      </c>
      <c r="AB61" s="12"/>
      <c r="AC61" s="12"/>
      <c r="AD61" s="12"/>
      <c r="AE61" s="12"/>
      <c r="AF61" s="12"/>
      <c r="AG61" s="12"/>
      <c r="AH61" s="12" t="b">
        <f>FALSE()</f>
        <v>0</v>
      </c>
      <c r="AI61" s="12"/>
      <c r="AJ61" s="12" t="s">
        <v>441</v>
      </c>
    </row>
    <row r="62" spans="1:36" ht="15" customHeight="1" x14ac:dyDescent="0.3">
      <c r="A62" s="12" t="s">
        <v>439</v>
      </c>
      <c r="B62" s="12" t="s">
        <v>440</v>
      </c>
      <c r="C62" s="12" t="s">
        <v>336</v>
      </c>
      <c r="D62" s="12" t="s">
        <v>450</v>
      </c>
      <c r="E62" s="12" t="s">
        <v>355</v>
      </c>
      <c r="F62" s="12" t="s">
        <v>356</v>
      </c>
      <c r="G62" s="12">
        <v>0.6</v>
      </c>
      <c r="H62" s="12">
        <v>2705</v>
      </c>
      <c r="I62" s="12">
        <v>113</v>
      </c>
      <c r="J62" s="12">
        <v>112</v>
      </c>
      <c r="K62" s="12">
        <v>-2.1533767866729302E-2</v>
      </c>
      <c r="L62" s="12">
        <v>1.6482782704549299E-2</v>
      </c>
      <c r="M62" s="12">
        <v>-1.30644007463533</v>
      </c>
      <c r="N62" s="12">
        <v>6.3373717584845997</v>
      </c>
      <c r="O62" s="12">
        <v>0.23681238226846099</v>
      </c>
      <c r="P62" s="12">
        <v>-6.13508992672403E-2</v>
      </c>
      <c r="Q62" s="12">
        <v>1.8283363533781499E-2</v>
      </c>
      <c r="R62" s="12"/>
      <c r="S62" s="12"/>
      <c r="T62" s="12"/>
      <c r="U62" s="12"/>
      <c r="V62" s="12"/>
      <c r="W62" s="12"/>
      <c r="X62" s="12"/>
      <c r="Y62" s="12">
        <v>1.9670349311327402E-2</v>
      </c>
      <c r="Z62" s="12">
        <v>2.01836523035756E-9</v>
      </c>
      <c r="AA62" s="12">
        <v>1.18514224920184E-2</v>
      </c>
      <c r="AB62" s="12"/>
      <c r="AC62" s="12"/>
      <c r="AD62" s="12"/>
      <c r="AE62" s="12"/>
      <c r="AF62" s="12"/>
      <c r="AG62" s="12"/>
      <c r="AH62" s="12" t="b">
        <f>FALSE()</f>
        <v>0</v>
      </c>
      <c r="AI62" s="12"/>
      <c r="AJ62" s="12" t="s">
        <v>441</v>
      </c>
    </row>
    <row r="63" spans="1:36" ht="15" customHeight="1" x14ac:dyDescent="0.3">
      <c r="A63" s="12" t="s">
        <v>439</v>
      </c>
      <c r="B63" s="12" t="s">
        <v>440</v>
      </c>
      <c r="C63" s="12" t="s">
        <v>336</v>
      </c>
      <c r="D63" s="12" t="s">
        <v>451</v>
      </c>
      <c r="E63" s="12" t="s">
        <v>355</v>
      </c>
      <c r="F63" s="12" t="s">
        <v>356</v>
      </c>
      <c r="G63" s="12">
        <v>0.6</v>
      </c>
      <c r="H63" s="12">
        <v>2705</v>
      </c>
      <c r="I63" s="12">
        <v>113</v>
      </c>
      <c r="J63" s="12">
        <v>112</v>
      </c>
      <c r="K63" s="12">
        <v>-1.2871263330730499E-2</v>
      </c>
      <c r="L63" s="12">
        <v>1.5048375570676099E-2</v>
      </c>
      <c r="M63" s="12">
        <v>-0.85532576391912996</v>
      </c>
      <c r="N63" s="12">
        <v>8.4723829350507405</v>
      </c>
      <c r="O63" s="12">
        <v>0.41590249115397199</v>
      </c>
      <c r="P63" s="12">
        <v>-4.7238966991861198E-2</v>
      </c>
      <c r="Q63" s="12">
        <v>2.1496440330400102E-2</v>
      </c>
      <c r="R63" s="12"/>
      <c r="S63" s="12"/>
      <c r="T63" s="12"/>
      <c r="U63" s="12"/>
      <c r="V63" s="12"/>
      <c r="W63" s="12"/>
      <c r="X63" s="12"/>
      <c r="Y63" s="12">
        <v>1.9670349311327402E-2</v>
      </c>
      <c r="Z63" s="12">
        <v>2.01836523035756E-9</v>
      </c>
      <c r="AA63" s="12">
        <v>1.18514224920184E-2</v>
      </c>
      <c r="AB63" s="12"/>
      <c r="AC63" s="12"/>
      <c r="AD63" s="12"/>
      <c r="AE63" s="12"/>
      <c r="AF63" s="12"/>
      <c r="AG63" s="12"/>
      <c r="AH63" s="12" t="b">
        <f>FALSE()</f>
        <v>0</v>
      </c>
      <c r="AI63" s="12"/>
      <c r="AJ63" s="12" t="s">
        <v>441</v>
      </c>
    </row>
    <row r="64" spans="1:36" ht="15" customHeight="1" x14ac:dyDescent="0.3">
      <c r="A64" s="12" t="s">
        <v>439</v>
      </c>
      <c r="B64" s="12" t="s">
        <v>440</v>
      </c>
      <c r="C64" s="12" t="s">
        <v>336</v>
      </c>
      <c r="D64" s="12" t="s">
        <v>452</v>
      </c>
      <c r="E64" s="12" t="s">
        <v>378</v>
      </c>
      <c r="F64" s="12" t="s">
        <v>356</v>
      </c>
      <c r="G64" s="12">
        <v>0.6</v>
      </c>
      <c r="H64" s="12">
        <v>2705</v>
      </c>
      <c r="I64" s="12">
        <v>113</v>
      </c>
      <c r="J64" s="12">
        <v>112</v>
      </c>
      <c r="K64" s="12"/>
      <c r="L64" s="12"/>
      <c r="M64" s="12">
        <v>1.50144303999955</v>
      </c>
      <c r="N64" s="12">
        <v>7.80603157754308</v>
      </c>
      <c r="O64" s="12">
        <v>0.29200343916414601</v>
      </c>
      <c r="P64" s="12"/>
      <c r="Q64" s="12"/>
      <c r="R64" s="12"/>
      <c r="S64" s="12"/>
      <c r="T64" s="12"/>
      <c r="U64" s="12"/>
      <c r="V64" s="12"/>
      <c r="W64" s="12"/>
      <c r="X64" s="12"/>
      <c r="Y64" s="12">
        <v>1.9670349311327402E-2</v>
      </c>
      <c r="Z64" s="12">
        <v>2.01836523035756E-9</v>
      </c>
      <c r="AA64" s="12">
        <v>1.18514224920184E-2</v>
      </c>
      <c r="AB64" s="12"/>
      <c r="AC64" s="12"/>
      <c r="AD64" s="12"/>
      <c r="AE64" s="12"/>
      <c r="AF64" s="12"/>
      <c r="AG64" s="12"/>
      <c r="AH64" s="12" t="b">
        <f>FALSE()</f>
        <v>0</v>
      </c>
      <c r="AI64" s="12"/>
      <c r="AJ64" s="12" t="s">
        <v>453</v>
      </c>
    </row>
    <row r="65" spans="1:36" ht="15" customHeight="1" x14ac:dyDescent="0.3">
      <c r="A65" s="12" t="s">
        <v>439</v>
      </c>
      <c r="B65" s="12" t="s">
        <v>440</v>
      </c>
      <c r="C65" s="12" t="s">
        <v>336</v>
      </c>
      <c r="D65" s="12" t="s">
        <v>454</v>
      </c>
      <c r="E65" s="12" t="s">
        <v>355</v>
      </c>
      <c r="F65" s="12" t="s">
        <v>356</v>
      </c>
      <c r="G65" s="12">
        <v>0.6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>
        <v>2.2815611441579001E-3</v>
      </c>
      <c r="AH65" s="12" t="b">
        <f>FALSE()</f>
        <v>0</v>
      </c>
      <c r="AI65" s="12"/>
      <c r="AJ65" s="12" t="s">
        <v>455</v>
      </c>
    </row>
    <row r="66" spans="1:36" ht="15" customHeight="1" x14ac:dyDescent="0.3">
      <c r="A66" s="12" t="s">
        <v>439</v>
      </c>
      <c r="B66" s="12" t="s">
        <v>456</v>
      </c>
      <c r="C66" s="12" t="s">
        <v>336</v>
      </c>
      <c r="D66" s="12" t="s">
        <v>193</v>
      </c>
      <c r="E66" s="12" t="s">
        <v>355</v>
      </c>
      <c r="F66" s="12" t="s">
        <v>356</v>
      </c>
      <c r="G66" s="12">
        <v>0.6</v>
      </c>
      <c r="H66" s="12">
        <v>2705</v>
      </c>
      <c r="I66" s="12">
        <v>113</v>
      </c>
      <c r="J66" s="12">
        <v>112</v>
      </c>
      <c r="K66" s="12">
        <v>-2.1197936853438799E-2</v>
      </c>
      <c r="L66" s="12">
        <v>2.0681524702218599E-2</v>
      </c>
      <c r="M66" s="12">
        <v>-1.0249697330663801</v>
      </c>
      <c r="N66" s="12">
        <v>14.4062009630966</v>
      </c>
      <c r="O66" s="12">
        <v>0.32228128475658102</v>
      </c>
      <c r="P66" s="12">
        <v>-6.5438344793239095E-2</v>
      </c>
      <c r="Q66" s="12">
        <v>2.30424710863615E-2</v>
      </c>
      <c r="R66" s="12"/>
      <c r="S66" s="12"/>
      <c r="T66" s="12">
        <v>-2.1194762308537101E-2</v>
      </c>
      <c r="U66" s="12">
        <v>-6.53450983181523E-2</v>
      </c>
      <c r="V66" s="12">
        <v>2.30383937769231E-2</v>
      </c>
      <c r="W66" s="12"/>
      <c r="X66" s="12"/>
      <c r="Y66" s="12">
        <v>1.99289880981319E-2</v>
      </c>
      <c r="Z66" s="12">
        <v>1.9001443758509101E-9</v>
      </c>
      <c r="AA66" s="12">
        <v>1.1849831352411799E-2</v>
      </c>
      <c r="AB66" s="12"/>
      <c r="AC66" s="12"/>
      <c r="AD66" s="12"/>
      <c r="AE66" s="12"/>
      <c r="AF66" s="12"/>
      <c r="AG66" s="12"/>
      <c r="AH66" s="12" t="b">
        <f>FALSE()</f>
        <v>0</v>
      </c>
      <c r="AI66" s="12"/>
      <c r="AJ66" s="12" t="s">
        <v>457</v>
      </c>
    </row>
    <row r="67" spans="1:36" ht="15" customHeight="1" x14ac:dyDescent="0.3">
      <c r="A67" s="12" t="s">
        <v>439</v>
      </c>
      <c r="B67" s="12" t="s">
        <v>456</v>
      </c>
      <c r="C67" s="12" t="s">
        <v>336</v>
      </c>
      <c r="D67" s="12" t="s">
        <v>358</v>
      </c>
      <c r="E67" s="12" t="s">
        <v>355</v>
      </c>
      <c r="F67" s="12" t="s">
        <v>356</v>
      </c>
      <c r="G67" s="12">
        <v>0.6</v>
      </c>
      <c r="H67" s="12">
        <v>2705</v>
      </c>
      <c r="I67" s="12">
        <v>113</v>
      </c>
      <c r="J67" s="12">
        <v>112</v>
      </c>
      <c r="K67" s="12">
        <v>-2.2856644685425001E-4</v>
      </c>
      <c r="L67" s="12">
        <v>1.8053731963672999E-3</v>
      </c>
      <c r="M67" s="12">
        <v>-0.12660343430054</v>
      </c>
      <c r="N67" s="12">
        <v>23.3854199948555</v>
      </c>
      <c r="O67" s="12">
        <v>0.90033653629447696</v>
      </c>
      <c r="P67" s="12">
        <v>-3.959862460846E-3</v>
      </c>
      <c r="Q67" s="12">
        <v>3.5027295671375002E-3</v>
      </c>
      <c r="R67" s="12"/>
      <c r="S67" s="12"/>
      <c r="T67" s="12"/>
      <c r="U67" s="12"/>
      <c r="V67" s="12"/>
      <c r="W67" s="12"/>
      <c r="X67" s="12"/>
      <c r="Y67" s="12">
        <v>1.99289880981319E-2</v>
      </c>
      <c r="Z67" s="12">
        <v>1.9001443758509101E-9</v>
      </c>
      <c r="AA67" s="12">
        <v>1.1849831352411799E-2</v>
      </c>
      <c r="AB67" s="12"/>
      <c r="AC67" s="12"/>
      <c r="AD67" s="12"/>
      <c r="AE67" s="12"/>
      <c r="AF67" s="12"/>
      <c r="AG67" s="12"/>
      <c r="AH67" s="12" t="b">
        <f>FALSE()</f>
        <v>0</v>
      </c>
      <c r="AI67" s="12"/>
      <c r="AJ67" s="12" t="s">
        <v>457</v>
      </c>
    </row>
    <row r="68" spans="1:36" ht="15" customHeight="1" x14ac:dyDescent="0.3">
      <c r="A68" s="12" t="s">
        <v>439</v>
      </c>
      <c r="B68" s="12" t="s">
        <v>456</v>
      </c>
      <c r="C68" s="12" t="s">
        <v>336</v>
      </c>
      <c r="D68" s="12" t="s">
        <v>385</v>
      </c>
      <c r="E68" s="12" t="s">
        <v>355</v>
      </c>
      <c r="F68" s="12" t="s">
        <v>356</v>
      </c>
      <c r="G68" s="12">
        <v>0.6</v>
      </c>
      <c r="H68" s="12">
        <v>2705</v>
      </c>
      <c r="I68" s="12">
        <v>113</v>
      </c>
      <c r="J68" s="12">
        <v>112</v>
      </c>
      <c r="K68" s="12">
        <v>1.39315034184867E-2</v>
      </c>
      <c r="L68" s="12">
        <v>1.8317115810939599E-2</v>
      </c>
      <c r="M68" s="12">
        <v>0.76057298333869605</v>
      </c>
      <c r="N68" s="12">
        <v>19.2001886161265</v>
      </c>
      <c r="O68" s="12">
        <v>0.45615154954806097</v>
      </c>
      <c r="P68" s="12">
        <v>-2.4379623771221399E-2</v>
      </c>
      <c r="Q68" s="12">
        <v>5.2242630608194902E-2</v>
      </c>
      <c r="R68" s="12"/>
      <c r="S68" s="12"/>
      <c r="T68" s="12"/>
      <c r="U68" s="12"/>
      <c r="V68" s="12"/>
      <c r="W68" s="12"/>
      <c r="X68" s="12"/>
      <c r="Y68" s="12">
        <v>1.99289880981319E-2</v>
      </c>
      <c r="Z68" s="12">
        <v>1.9001443758509101E-9</v>
      </c>
      <c r="AA68" s="12">
        <v>1.1849831352411799E-2</v>
      </c>
      <c r="AB68" s="12"/>
      <c r="AC68" s="12"/>
      <c r="AD68" s="12"/>
      <c r="AE68" s="12"/>
      <c r="AF68" s="12"/>
      <c r="AG68" s="12"/>
      <c r="AH68" s="12" t="b">
        <f>TRUE()</f>
        <v>1</v>
      </c>
      <c r="AI68" s="12" t="s">
        <v>458</v>
      </c>
      <c r="AJ68" s="12" t="s">
        <v>459</v>
      </c>
    </row>
    <row r="69" spans="1:36" ht="15" customHeight="1" x14ac:dyDescent="0.3">
      <c r="A69" s="12" t="s">
        <v>439</v>
      </c>
      <c r="B69" s="12" t="s">
        <v>456</v>
      </c>
      <c r="C69" s="12" t="s">
        <v>336</v>
      </c>
      <c r="D69" s="12" t="s">
        <v>444</v>
      </c>
      <c r="E69" s="12" t="s">
        <v>355</v>
      </c>
      <c r="F69" s="12" t="s">
        <v>356</v>
      </c>
      <c r="G69" s="12">
        <v>0.6</v>
      </c>
      <c r="H69" s="12">
        <v>2705</v>
      </c>
      <c r="I69" s="12">
        <v>113</v>
      </c>
      <c r="J69" s="12">
        <v>112</v>
      </c>
      <c r="K69" s="12">
        <v>-4.0882311262437999E-2</v>
      </c>
      <c r="L69" s="12">
        <v>4.0928822293186402E-2</v>
      </c>
      <c r="M69" s="12">
        <v>-0.998863611798669</v>
      </c>
      <c r="N69" s="12">
        <v>2.3135901460317401</v>
      </c>
      <c r="O69" s="12">
        <v>0.41063099442697798</v>
      </c>
      <c r="P69" s="12">
        <v>-0.19597731575636601</v>
      </c>
      <c r="Q69" s="12">
        <v>0.11421269323149</v>
      </c>
      <c r="R69" s="12"/>
      <c r="S69" s="12"/>
      <c r="T69" s="12"/>
      <c r="U69" s="12"/>
      <c r="V69" s="12"/>
      <c r="W69" s="12"/>
      <c r="X69" s="12"/>
      <c r="Y69" s="12">
        <v>1.99289880981319E-2</v>
      </c>
      <c r="Z69" s="12">
        <v>1.9001443758509101E-9</v>
      </c>
      <c r="AA69" s="12">
        <v>1.1849831352411799E-2</v>
      </c>
      <c r="AB69" s="12"/>
      <c r="AC69" s="12"/>
      <c r="AD69" s="12"/>
      <c r="AE69" s="12"/>
      <c r="AF69" s="12"/>
      <c r="AG69" s="12"/>
      <c r="AH69" s="12" t="b">
        <f>FALSE()</f>
        <v>0</v>
      </c>
      <c r="AI69" s="12"/>
      <c r="AJ69" s="12" t="s">
        <v>457</v>
      </c>
    </row>
    <row r="70" spans="1:36" ht="15" customHeight="1" x14ac:dyDescent="0.3">
      <c r="A70" s="12" t="s">
        <v>439</v>
      </c>
      <c r="B70" s="12" t="s">
        <v>456</v>
      </c>
      <c r="C70" s="12" t="s">
        <v>336</v>
      </c>
      <c r="D70" s="12" t="s">
        <v>445</v>
      </c>
      <c r="E70" s="12" t="s">
        <v>355</v>
      </c>
      <c r="F70" s="12" t="s">
        <v>356</v>
      </c>
      <c r="G70" s="12">
        <v>0.6</v>
      </c>
      <c r="H70" s="12">
        <v>2705</v>
      </c>
      <c r="I70" s="12">
        <v>113</v>
      </c>
      <c r="J70" s="12">
        <v>112</v>
      </c>
      <c r="K70" s="12">
        <v>-2.32754196880516E-2</v>
      </c>
      <c r="L70" s="12">
        <v>2.6362926276628399E-2</v>
      </c>
      <c r="M70" s="12">
        <v>-0.88288452669558204</v>
      </c>
      <c r="N70" s="12">
        <v>16.1542914837278</v>
      </c>
      <c r="O70" s="12">
        <v>0.39024822328720199</v>
      </c>
      <c r="P70" s="12">
        <v>-7.9118976251886505E-2</v>
      </c>
      <c r="Q70" s="12">
        <v>3.2568136875783298E-2</v>
      </c>
      <c r="R70" s="12"/>
      <c r="S70" s="12"/>
      <c r="T70" s="12"/>
      <c r="U70" s="12"/>
      <c r="V70" s="12"/>
      <c r="W70" s="12"/>
      <c r="X70" s="12"/>
      <c r="Y70" s="12">
        <v>1.99289880981319E-2</v>
      </c>
      <c r="Z70" s="12">
        <v>1.9001443758509101E-9</v>
      </c>
      <c r="AA70" s="12">
        <v>1.1849831352411799E-2</v>
      </c>
      <c r="AB70" s="12"/>
      <c r="AC70" s="12"/>
      <c r="AD70" s="12"/>
      <c r="AE70" s="12"/>
      <c r="AF70" s="12"/>
      <c r="AG70" s="12"/>
      <c r="AH70" s="12" t="b">
        <f>FALSE()</f>
        <v>0</v>
      </c>
      <c r="AI70" s="12"/>
      <c r="AJ70" s="12" t="s">
        <v>457</v>
      </c>
    </row>
    <row r="71" spans="1:36" ht="15" customHeight="1" x14ac:dyDescent="0.3">
      <c r="A71" s="12" t="s">
        <v>439</v>
      </c>
      <c r="B71" s="12" t="s">
        <v>456</v>
      </c>
      <c r="C71" s="12" t="s">
        <v>336</v>
      </c>
      <c r="D71" s="12" t="s">
        <v>446</v>
      </c>
      <c r="E71" s="12" t="s">
        <v>355</v>
      </c>
      <c r="F71" s="12" t="s">
        <v>356</v>
      </c>
      <c r="G71" s="12">
        <v>0.6</v>
      </c>
      <c r="H71" s="12">
        <v>2705</v>
      </c>
      <c r="I71" s="12">
        <v>113</v>
      </c>
      <c r="J71" s="12">
        <v>112</v>
      </c>
      <c r="K71" s="12">
        <v>-1.14869568606401E-2</v>
      </c>
      <c r="L71" s="12">
        <v>2.0823747526857599E-2</v>
      </c>
      <c r="M71" s="12">
        <v>-0.55162774355695099</v>
      </c>
      <c r="N71" s="12">
        <v>6.8378109783540699</v>
      </c>
      <c r="O71" s="12">
        <v>0.59875856087288204</v>
      </c>
      <c r="P71" s="12">
        <v>-6.09650526324267E-2</v>
      </c>
      <c r="Q71" s="12">
        <v>3.7991138911146499E-2</v>
      </c>
      <c r="R71" s="12"/>
      <c r="S71" s="12"/>
      <c r="T71" s="12"/>
      <c r="U71" s="12"/>
      <c r="V71" s="12"/>
      <c r="W71" s="12"/>
      <c r="X71" s="12"/>
      <c r="Y71" s="12">
        <v>1.99289880981319E-2</v>
      </c>
      <c r="Z71" s="12">
        <v>1.9001443758509101E-9</v>
      </c>
      <c r="AA71" s="12">
        <v>1.1849831352411799E-2</v>
      </c>
      <c r="AB71" s="12"/>
      <c r="AC71" s="12"/>
      <c r="AD71" s="12"/>
      <c r="AE71" s="12"/>
      <c r="AF71" s="12"/>
      <c r="AG71" s="12"/>
      <c r="AH71" s="12" t="b">
        <f>FALSE()</f>
        <v>0</v>
      </c>
      <c r="AI71" s="12"/>
      <c r="AJ71" s="12" t="s">
        <v>460</v>
      </c>
    </row>
    <row r="72" spans="1:36" ht="15" customHeight="1" x14ac:dyDescent="0.3">
      <c r="A72" s="12" t="s">
        <v>439</v>
      </c>
      <c r="B72" s="12" t="s">
        <v>456</v>
      </c>
      <c r="C72" s="12" t="s">
        <v>336</v>
      </c>
      <c r="D72" s="12" t="s">
        <v>448</v>
      </c>
      <c r="E72" s="12" t="s">
        <v>355</v>
      </c>
      <c r="F72" s="12" t="s">
        <v>356</v>
      </c>
      <c r="G72" s="12">
        <v>0.6</v>
      </c>
      <c r="H72" s="12">
        <v>2705</v>
      </c>
      <c r="I72" s="12">
        <v>113</v>
      </c>
      <c r="J72" s="12">
        <v>112</v>
      </c>
      <c r="K72" s="12">
        <v>-5.6028220486781501E-2</v>
      </c>
      <c r="L72" s="12">
        <v>1.59820768157703E-2</v>
      </c>
      <c r="M72" s="12">
        <v>-3.5056908518607202</v>
      </c>
      <c r="N72" s="12">
        <v>7.4498175865594396</v>
      </c>
      <c r="O72" s="12">
        <v>8.9732228230194003E-3</v>
      </c>
      <c r="P72" s="12">
        <v>-9.3362138780797299E-2</v>
      </c>
      <c r="Q72" s="12">
        <v>-1.8694302192765799E-2</v>
      </c>
      <c r="R72" s="12"/>
      <c r="S72" s="12"/>
      <c r="T72" s="12"/>
      <c r="U72" s="12"/>
      <c r="V72" s="12"/>
      <c r="W72" s="12"/>
      <c r="X72" s="12"/>
      <c r="Y72" s="12">
        <v>1.99289880981319E-2</v>
      </c>
      <c r="Z72" s="12">
        <v>1.9001443758509101E-9</v>
      </c>
      <c r="AA72" s="12">
        <v>1.1849831352411799E-2</v>
      </c>
      <c r="AB72" s="12"/>
      <c r="AC72" s="12"/>
      <c r="AD72" s="12"/>
      <c r="AE72" s="12"/>
      <c r="AF72" s="12"/>
      <c r="AG72" s="12"/>
      <c r="AH72" s="12" t="b">
        <f>FALSE()</f>
        <v>0</v>
      </c>
      <c r="AI72" s="12"/>
      <c r="AJ72" s="12" t="s">
        <v>457</v>
      </c>
    </row>
    <row r="73" spans="1:36" ht="15" customHeight="1" x14ac:dyDescent="0.3">
      <c r="A73" s="12" t="s">
        <v>439</v>
      </c>
      <c r="B73" s="12" t="s">
        <v>456</v>
      </c>
      <c r="C73" s="12" t="s">
        <v>336</v>
      </c>
      <c r="D73" s="12" t="s">
        <v>449</v>
      </c>
      <c r="E73" s="12" t="s">
        <v>355</v>
      </c>
      <c r="F73" s="12" t="s">
        <v>356</v>
      </c>
      <c r="G73" s="12">
        <v>0.6</v>
      </c>
      <c r="H73" s="12">
        <v>2705</v>
      </c>
      <c r="I73" s="12">
        <v>113</v>
      </c>
      <c r="J73" s="12">
        <v>112</v>
      </c>
      <c r="K73" s="12">
        <v>-8.4713712165201904E-2</v>
      </c>
      <c r="L73" s="12">
        <v>7.4501566338326802E-2</v>
      </c>
      <c r="M73" s="12">
        <v>-1.13707290099781</v>
      </c>
      <c r="N73" s="12">
        <v>6.2763802166975902</v>
      </c>
      <c r="O73" s="12">
        <v>0.297048275837482</v>
      </c>
      <c r="P73" s="12">
        <v>-0.26508415420850401</v>
      </c>
      <c r="Q73" s="12">
        <v>9.5656729878100297E-2</v>
      </c>
      <c r="R73" s="12"/>
      <c r="S73" s="12"/>
      <c r="T73" s="12"/>
      <c r="U73" s="12"/>
      <c r="V73" s="12"/>
      <c r="W73" s="12"/>
      <c r="X73" s="12"/>
      <c r="Y73" s="12">
        <v>1.99289880981319E-2</v>
      </c>
      <c r="Z73" s="12">
        <v>1.9001443758509101E-9</v>
      </c>
      <c r="AA73" s="12">
        <v>1.1849831352411799E-2</v>
      </c>
      <c r="AB73" s="12"/>
      <c r="AC73" s="12"/>
      <c r="AD73" s="12"/>
      <c r="AE73" s="12"/>
      <c r="AF73" s="12"/>
      <c r="AG73" s="12"/>
      <c r="AH73" s="12" t="b">
        <f>FALSE()</f>
        <v>0</v>
      </c>
      <c r="AI73" s="12"/>
      <c r="AJ73" s="12" t="s">
        <v>457</v>
      </c>
    </row>
    <row r="74" spans="1:36" ht="15" customHeight="1" x14ac:dyDescent="0.3">
      <c r="A74" s="12" t="s">
        <v>439</v>
      </c>
      <c r="B74" s="12" t="s">
        <v>456</v>
      </c>
      <c r="C74" s="12" t="s">
        <v>336</v>
      </c>
      <c r="D74" s="12" t="s">
        <v>450</v>
      </c>
      <c r="E74" s="12" t="s">
        <v>355</v>
      </c>
      <c r="F74" s="12" t="s">
        <v>356</v>
      </c>
      <c r="G74" s="12">
        <v>0.6</v>
      </c>
      <c r="H74" s="12">
        <v>2705</v>
      </c>
      <c r="I74" s="12">
        <v>113</v>
      </c>
      <c r="J74" s="12">
        <v>112</v>
      </c>
      <c r="K74" s="12">
        <v>-2.1592196991380399E-2</v>
      </c>
      <c r="L74" s="12">
        <v>1.65230533993551E-2</v>
      </c>
      <c r="M74" s="12">
        <v>-1.3067921811729499</v>
      </c>
      <c r="N74" s="12">
        <v>6.27247726272393</v>
      </c>
      <c r="O74" s="12">
        <v>0.237148397980354</v>
      </c>
      <c r="P74" s="12">
        <v>-6.1600711509526798E-2</v>
      </c>
      <c r="Q74" s="12">
        <v>1.84163175267659E-2</v>
      </c>
      <c r="R74" s="12"/>
      <c r="S74" s="12"/>
      <c r="T74" s="12"/>
      <c r="U74" s="12"/>
      <c r="V74" s="12"/>
      <c r="W74" s="12"/>
      <c r="X74" s="12"/>
      <c r="Y74" s="12">
        <v>1.99289880981319E-2</v>
      </c>
      <c r="Z74" s="12">
        <v>1.9001443758509101E-9</v>
      </c>
      <c r="AA74" s="12">
        <v>1.1849831352411799E-2</v>
      </c>
      <c r="AB74" s="12"/>
      <c r="AC74" s="12"/>
      <c r="AD74" s="12"/>
      <c r="AE74" s="12"/>
      <c r="AF74" s="12"/>
      <c r="AG74" s="12"/>
      <c r="AH74" s="12" t="b">
        <f>FALSE()</f>
        <v>0</v>
      </c>
      <c r="AI74" s="12"/>
      <c r="AJ74" s="12" t="s">
        <v>457</v>
      </c>
    </row>
    <row r="75" spans="1:36" ht="15" customHeight="1" x14ac:dyDescent="0.3">
      <c r="A75" s="12" t="s">
        <v>439</v>
      </c>
      <c r="B75" s="12" t="s">
        <v>456</v>
      </c>
      <c r="C75" s="12" t="s">
        <v>336</v>
      </c>
      <c r="D75" s="12" t="s">
        <v>451</v>
      </c>
      <c r="E75" s="12" t="s">
        <v>355</v>
      </c>
      <c r="F75" s="12" t="s">
        <v>356</v>
      </c>
      <c r="G75" s="12">
        <v>0.6</v>
      </c>
      <c r="H75" s="12">
        <v>2705</v>
      </c>
      <c r="I75" s="12">
        <v>113</v>
      </c>
      <c r="J75" s="12">
        <v>112</v>
      </c>
      <c r="K75" s="12">
        <v>-1.2846462544224901E-2</v>
      </c>
      <c r="L75" s="12">
        <v>1.51125035803596E-2</v>
      </c>
      <c r="M75" s="12">
        <v>-0.85005521923715599</v>
      </c>
      <c r="N75" s="12">
        <v>8.4472836411963499</v>
      </c>
      <c r="O75" s="12">
        <v>0.41873471139320301</v>
      </c>
      <c r="P75" s="12">
        <v>-4.7377359987808398E-2</v>
      </c>
      <c r="Q75" s="12">
        <v>2.16844348993586E-2</v>
      </c>
      <c r="R75" s="12"/>
      <c r="S75" s="12"/>
      <c r="T75" s="12"/>
      <c r="U75" s="12"/>
      <c r="V75" s="12"/>
      <c r="W75" s="12"/>
      <c r="X75" s="12"/>
      <c r="Y75" s="12">
        <v>1.99289880981319E-2</v>
      </c>
      <c r="Z75" s="12">
        <v>1.9001443758509101E-9</v>
      </c>
      <c r="AA75" s="12">
        <v>1.1849831352411799E-2</v>
      </c>
      <c r="AB75" s="12"/>
      <c r="AC75" s="12"/>
      <c r="AD75" s="12"/>
      <c r="AE75" s="12"/>
      <c r="AF75" s="12"/>
      <c r="AG75" s="12"/>
      <c r="AH75" s="12" t="b">
        <f>FALSE()</f>
        <v>0</v>
      </c>
      <c r="AI75" s="12"/>
      <c r="AJ75" s="12" t="s">
        <v>457</v>
      </c>
    </row>
    <row r="76" spans="1:36" ht="15" customHeight="1" x14ac:dyDescent="0.3">
      <c r="A76" s="12" t="s">
        <v>439</v>
      </c>
      <c r="B76" s="12" t="s">
        <v>456</v>
      </c>
      <c r="C76" s="12" t="s">
        <v>336</v>
      </c>
      <c r="D76" s="12" t="s">
        <v>452</v>
      </c>
      <c r="E76" s="12" t="s">
        <v>378</v>
      </c>
      <c r="F76" s="12" t="s">
        <v>356</v>
      </c>
      <c r="G76" s="12">
        <v>0.6</v>
      </c>
      <c r="H76" s="12">
        <v>2705</v>
      </c>
      <c r="I76" s="12">
        <v>113</v>
      </c>
      <c r="J76" s="12">
        <v>112</v>
      </c>
      <c r="K76" s="12"/>
      <c r="L76" s="12"/>
      <c r="M76" s="12">
        <v>1.4467369250025801</v>
      </c>
      <c r="N76" s="12">
        <v>7.18019269506883</v>
      </c>
      <c r="O76" s="12">
        <v>0.31668983702901699</v>
      </c>
      <c r="P76" s="12"/>
      <c r="Q76" s="12"/>
      <c r="R76" s="12"/>
      <c r="S76" s="12"/>
      <c r="T76" s="12"/>
      <c r="U76" s="12"/>
      <c r="V76" s="12"/>
      <c r="W76" s="12"/>
      <c r="X76" s="12"/>
      <c r="Y76" s="12">
        <v>1.99289880981319E-2</v>
      </c>
      <c r="Z76" s="12">
        <v>1.9001443758509101E-9</v>
      </c>
      <c r="AA76" s="12">
        <v>1.1849831352411799E-2</v>
      </c>
      <c r="AB76" s="12"/>
      <c r="AC76" s="12"/>
      <c r="AD76" s="12"/>
      <c r="AE76" s="12"/>
      <c r="AF76" s="12"/>
      <c r="AG76" s="12"/>
      <c r="AH76" s="12" t="b">
        <f>FALSE()</f>
        <v>0</v>
      </c>
      <c r="AI76" s="12"/>
      <c r="AJ76" s="12" t="s">
        <v>461</v>
      </c>
    </row>
    <row r="77" spans="1:36" ht="15" customHeight="1" x14ac:dyDescent="0.3">
      <c r="A77" s="12" t="s">
        <v>462</v>
      </c>
      <c r="B77" s="12" t="s">
        <v>463</v>
      </c>
      <c r="C77" s="12" t="s">
        <v>336</v>
      </c>
      <c r="D77" s="12" t="s">
        <v>286</v>
      </c>
      <c r="E77" s="12" t="s">
        <v>464</v>
      </c>
      <c r="F77" s="12" t="s">
        <v>465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>
        <v>-1.4745523329622E-2</v>
      </c>
      <c r="AH77" s="12" t="b">
        <f>FALSE()</f>
        <v>0</v>
      </c>
      <c r="AI77" s="12"/>
      <c r="AJ77" s="12" t="s">
        <v>466</v>
      </c>
    </row>
    <row r="78" spans="1:36" ht="15" customHeight="1" x14ac:dyDescent="0.3">
      <c r="A78" s="12" t="s">
        <v>462</v>
      </c>
      <c r="B78" s="12" t="s">
        <v>463</v>
      </c>
      <c r="C78" s="12" t="s">
        <v>336</v>
      </c>
      <c r="D78" s="12" t="s">
        <v>287</v>
      </c>
      <c r="E78" s="12" t="s">
        <v>464</v>
      </c>
      <c r="F78" s="12" t="s">
        <v>465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>
        <v>9.8149608536121993E-3</v>
      </c>
      <c r="AH78" s="12" t="b">
        <f>FALSE()</f>
        <v>0</v>
      </c>
      <c r="AI78" s="12"/>
      <c r="AJ78" s="12" t="s">
        <v>466</v>
      </c>
    </row>
    <row r="79" spans="1:36" ht="15" customHeight="1" x14ac:dyDescent="0.3">
      <c r="A79" s="12" t="s">
        <v>462</v>
      </c>
      <c r="B79" s="12" t="s">
        <v>463</v>
      </c>
      <c r="C79" s="12" t="s">
        <v>336</v>
      </c>
      <c r="D79" s="12" t="s">
        <v>288</v>
      </c>
      <c r="E79" s="12" t="s">
        <v>355</v>
      </c>
      <c r="F79" s="12" t="s">
        <v>465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>
        <v>1.24309311321839E-2</v>
      </c>
      <c r="AH79" s="12" t="b">
        <f>TRUE()</f>
        <v>1</v>
      </c>
      <c r="AI79" s="12" t="s">
        <v>467</v>
      </c>
      <c r="AJ79" s="12" t="s">
        <v>468</v>
      </c>
    </row>
    <row r="80" spans="1:36" ht="15" customHeight="1" x14ac:dyDescent="0.3">
      <c r="A80" s="12" t="s">
        <v>462</v>
      </c>
      <c r="B80" s="12" t="s">
        <v>463</v>
      </c>
      <c r="C80" s="12" t="s">
        <v>336</v>
      </c>
      <c r="D80" s="12" t="s">
        <v>289</v>
      </c>
      <c r="E80" s="12" t="s">
        <v>469</v>
      </c>
      <c r="F80" s="12" t="s">
        <v>465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>
        <v>9.2841268265801595</v>
      </c>
      <c r="AH80" s="12" t="b">
        <f>FALSE()</f>
        <v>0</v>
      </c>
      <c r="AI80" s="12"/>
      <c r="AJ80" s="12" t="s">
        <v>470</v>
      </c>
    </row>
    <row r="81" spans="1:36" ht="15" customHeight="1" x14ac:dyDescent="0.3">
      <c r="A81" s="12" t="s">
        <v>462</v>
      </c>
      <c r="B81" s="12" t="s">
        <v>471</v>
      </c>
      <c r="C81" s="12" t="s">
        <v>336</v>
      </c>
      <c r="D81" s="12" t="s">
        <v>290</v>
      </c>
      <c r="E81" s="12" t="s">
        <v>472</v>
      </c>
      <c r="F81" s="12" t="s">
        <v>473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>
        <v>1.1879830213206599</v>
      </c>
      <c r="AH81" s="12" t="b">
        <f>FALSE()</f>
        <v>0</v>
      </c>
      <c r="AI81" s="12"/>
      <c r="AJ81" s="12" t="s">
        <v>474</v>
      </c>
    </row>
    <row r="82" spans="1:36" ht="15" customHeight="1" x14ac:dyDescent="0.3">
      <c r="A82" s="12" t="s">
        <v>462</v>
      </c>
      <c r="B82" s="12" t="s">
        <v>471</v>
      </c>
      <c r="C82" s="12" t="s">
        <v>336</v>
      </c>
      <c r="D82" s="12" t="s">
        <v>291</v>
      </c>
      <c r="E82" s="12" t="s">
        <v>472</v>
      </c>
      <c r="F82" s="12" t="s">
        <v>473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>
        <v>1.43135786514981</v>
      </c>
      <c r="AH82" s="12" t="b">
        <f>FALSE()</f>
        <v>0</v>
      </c>
      <c r="AI82" s="12"/>
      <c r="AJ82" s="12" t="s">
        <v>475</v>
      </c>
    </row>
    <row r="83" spans="1:36" ht="15" customHeight="1" x14ac:dyDescent="0.3">
      <c r="A83" s="12" t="s">
        <v>462</v>
      </c>
      <c r="B83" s="12" t="s">
        <v>471</v>
      </c>
      <c r="C83" s="12" t="s">
        <v>336</v>
      </c>
      <c r="D83" s="12" t="s">
        <v>292</v>
      </c>
      <c r="E83" s="12" t="s">
        <v>472</v>
      </c>
      <c r="F83" s="12" t="s">
        <v>473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>
        <v>1.41864886689984</v>
      </c>
      <c r="AH83" s="12" t="b">
        <f>TRUE()</f>
        <v>1</v>
      </c>
      <c r="AI83" s="12" t="s">
        <v>476</v>
      </c>
      <c r="AJ83" s="12" t="s">
        <v>477</v>
      </c>
    </row>
    <row r="84" spans="1:36" ht="15" customHeight="1" x14ac:dyDescent="0.3">
      <c r="A84" s="12" t="s">
        <v>462</v>
      </c>
      <c r="B84" s="12" t="s">
        <v>471</v>
      </c>
      <c r="C84" s="12" t="s">
        <v>336</v>
      </c>
      <c r="D84" s="12" t="s">
        <v>293</v>
      </c>
      <c r="E84" s="12" t="s">
        <v>472</v>
      </c>
      <c r="F84" s="12" t="s">
        <v>473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>
        <v>1.52965445717267</v>
      </c>
      <c r="AH84" s="12" t="b">
        <f>FALSE()</f>
        <v>0</v>
      </c>
      <c r="AI84" s="12"/>
      <c r="AJ84" s="12" t="s">
        <v>478</v>
      </c>
    </row>
  </sheetData>
  <autoFilter ref="A1:AJ84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14" customWidth="1"/>
    <col min="3" max="4" width="20" customWidth="1"/>
    <col min="5" max="5" width="110" customWidth="1"/>
  </cols>
  <sheetData>
    <row r="1" spans="1:5" ht="15" customHeight="1" x14ac:dyDescent="0.3">
      <c r="A1" s="1" t="s">
        <v>479</v>
      </c>
    </row>
    <row r="2" spans="1:5" ht="15" customHeight="1" x14ac:dyDescent="0.3">
      <c r="A2" s="2" t="s">
        <v>480</v>
      </c>
    </row>
    <row r="3" spans="1:5" ht="15" customHeight="1" x14ac:dyDescent="0.3">
      <c r="A3" s="2" t="s">
        <v>2</v>
      </c>
    </row>
    <row r="5" spans="1:5" ht="15" customHeight="1" x14ac:dyDescent="0.3">
      <c r="A5" s="3" t="s">
        <v>332</v>
      </c>
      <c r="B5" s="3" t="s">
        <v>481</v>
      </c>
      <c r="C5" s="3" t="s">
        <v>304</v>
      </c>
      <c r="D5" s="3" t="s">
        <v>306</v>
      </c>
      <c r="E5" s="3" t="s">
        <v>482</v>
      </c>
    </row>
    <row r="6" spans="1:5" ht="15" customHeight="1" x14ac:dyDescent="0.3">
      <c r="A6" s="2" t="s">
        <v>360</v>
      </c>
      <c r="B6" s="2" t="s">
        <v>353</v>
      </c>
      <c r="C6" s="2" t="s">
        <v>354</v>
      </c>
      <c r="D6" s="2" t="s">
        <v>359</v>
      </c>
      <c r="E6" s="4" t="e">
        <f>"z = "&amp;TEXT(Results_Long!K15,"+0.0000;-0.0000")&amp;" (SE "&amp;TEXT(Results_Long!L15,"0.0000")&amp;"), 95% CI ["&amp;TEXT(Results_Long!P15,"+0.0000;-0.0000")&amp;"; "&amp;TEXT(Results_Long!Q15,"+0.0000;-0.0000")&amp;"], df = "&amp;TEXT(Results_Long!N15,"0.0")&amp;", p = "&amp;IF(Results_Long!O15&lt;0.0001,"&lt; 0.0001",TEXT(Results_Long!O15,"0.000"))</f>
        <v>#VALUE!</v>
      </c>
    </row>
    <row r="7" spans="1:5" ht="15" customHeight="1" x14ac:dyDescent="0.3">
      <c r="A7" s="2" t="s">
        <v>369</v>
      </c>
      <c r="B7" s="2" t="s">
        <v>353</v>
      </c>
      <c r="C7" s="2" t="s">
        <v>354</v>
      </c>
      <c r="D7" s="2" t="s">
        <v>368</v>
      </c>
      <c r="E7" s="4" t="e">
        <f>"z = "&amp;TEXT(Results_Long!K19,"+0.0000;-0.0000")&amp;" (SE "&amp;TEXT(Results_Long!L19,"0.0000")&amp;"), 95% CI ["&amp;TEXT(Results_Long!P19,"+0.0000;-0.0000")&amp;"; "&amp;TEXT(Results_Long!Q19,"+0.0000;-0.0000")&amp;"], df = "&amp;TEXT(Results_Long!N19,"0.0")&amp;", p = "&amp;IF(Results_Long!O19&lt;0.0001,"&lt; 0.0001",TEXT(Results_Long!O19,"0.000"))</f>
        <v>#VALUE!</v>
      </c>
    </row>
    <row r="8" spans="1:5" ht="15" customHeight="1" x14ac:dyDescent="0.3">
      <c r="A8" s="2" t="s">
        <v>389</v>
      </c>
      <c r="B8" s="2" t="s">
        <v>380</v>
      </c>
      <c r="C8" s="2" t="s">
        <v>387</v>
      </c>
      <c r="D8" s="2" t="s">
        <v>358</v>
      </c>
      <c r="E8" s="4" t="e">
        <f>"z = "&amp;TEXT(Results_Long!K31,"+0.0000;-0.0000")&amp;" (SE "&amp;TEXT(Results_Long!L31,"0.0000")&amp;"), 95% CI ["&amp;TEXT(Results_Long!P31,"+0.0000;-0.0000")&amp;"; "&amp;TEXT(Results_Long!Q31,"+0.0000;-0.0000")&amp;"], df = "&amp;TEXT(Results_Long!N31,"0.0")&amp;", p = "&amp;IF(Results_Long!O31&lt;0.0001,"&lt; 0.0001",TEXT(Results_Long!O31,"0.000"))</f>
        <v>#VALUE!</v>
      </c>
    </row>
    <row r="9" spans="1:5" ht="15" customHeight="1" x14ac:dyDescent="0.3">
      <c r="A9" s="2" t="s">
        <v>390</v>
      </c>
      <c r="B9" s="2" t="s">
        <v>380</v>
      </c>
      <c r="C9" s="2" t="s">
        <v>387</v>
      </c>
      <c r="D9" s="2" t="s">
        <v>385</v>
      </c>
      <c r="E9" s="4" t="e">
        <f>"z = "&amp;TEXT(Results_Long!K32,"+0.0000;-0.0000")&amp;" (SE "&amp;TEXT(Results_Long!L32,"0.0000")&amp;"), 95% CI ["&amp;TEXT(Results_Long!P32,"+0.0000;-0.0000")&amp;"; "&amp;TEXT(Results_Long!Q32,"+0.0000;-0.0000")&amp;"], df = "&amp;TEXT(Results_Long!N32,"0.0")&amp;", p = "&amp;IF(Results_Long!O32&lt;0.0001,"&lt; 0.0001",TEXT(Results_Long!O32,"0.000"))</f>
        <v>#VALUE!</v>
      </c>
    </row>
    <row r="10" spans="1:5" ht="15" customHeight="1" x14ac:dyDescent="0.3">
      <c r="A10" s="2" t="s">
        <v>427</v>
      </c>
      <c r="B10" s="2" t="s">
        <v>380</v>
      </c>
      <c r="C10" s="2" t="s">
        <v>424</v>
      </c>
      <c r="D10" s="2" t="s">
        <v>425</v>
      </c>
      <c r="E10" s="4" t="str">
        <f>"rank of |2016 break| among 9 cutoffs = "&amp;TEXT(Results_Long!AG49,"0")</f>
        <v>rank of |2016 break| among 9 cutoffs = 7</v>
      </c>
    </row>
    <row r="11" spans="1:5" ht="15" customHeight="1" x14ac:dyDescent="0.3">
      <c r="A11" s="2" t="s">
        <v>435</v>
      </c>
      <c r="B11" s="2" t="s">
        <v>380</v>
      </c>
      <c r="C11" s="2" t="s">
        <v>429</v>
      </c>
      <c r="D11" s="2" t="s">
        <v>434</v>
      </c>
      <c r="E11" s="4" t="e">
        <f>"z = "&amp;TEXT(Results_Long!K52,"+0.0000;-0.0000")&amp;" (SE "&amp;TEXT(Results_Long!L52,"0.0000")&amp;"), 95% CI ["&amp;TEXT(Results_Long!P52,"+0.0000;-0.0000")&amp;"; "&amp;TEXT(Results_Long!Q52,"+0.0000;-0.0000")&amp;"], df = "&amp;TEXT(Results_Long!N52,"0.0")&amp;", p = "&amp;IF(Results_Long!O52&lt;0.0001,"&lt; 0.0001",TEXT(Results_Long!O52,"0.000"))</f>
        <v>#VALUE!</v>
      </c>
    </row>
    <row r="12" spans="1:5" ht="15" customHeight="1" x14ac:dyDescent="0.3">
      <c r="A12" s="2" t="s">
        <v>442</v>
      </c>
      <c r="B12" s="2" t="s">
        <v>439</v>
      </c>
      <c r="C12" s="2" t="s">
        <v>440</v>
      </c>
      <c r="D12" s="2" t="s">
        <v>385</v>
      </c>
      <c r="E12" s="4" t="e">
        <f>"z = "&amp;TEXT(Results_Long!K56,"+0.0000;-0.0000")&amp;" (SE "&amp;TEXT(Results_Long!L56,"0.0000")&amp;"), 95% CI ["&amp;TEXT(Results_Long!P56,"+0.0000;-0.0000")&amp;"; "&amp;TEXT(Results_Long!Q56,"+0.0000;-0.0000")&amp;"], df = "&amp;TEXT(Results_Long!N56,"0.0")&amp;", p = "&amp;IF(Results_Long!O56&lt;0.0001,"&lt; 0.0001",TEXT(Results_Long!O56,"0.000"))</f>
        <v>#VALUE!</v>
      </c>
    </row>
    <row r="13" spans="1:5" ht="15" customHeight="1" x14ac:dyDescent="0.3">
      <c r="A13" s="2" t="s">
        <v>458</v>
      </c>
      <c r="B13" s="2" t="s">
        <v>439</v>
      </c>
      <c r="C13" s="2" t="s">
        <v>456</v>
      </c>
      <c r="D13" s="2" t="s">
        <v>385</v>
      </c>
      <c r="E13" s="4" t="e">
        <f>"z = "&amp;TEXT(Results_Long!K68,"+0.0000;-0.0000")&amp;" (SE "&amp;TEXT(Results_Long!L68,"0.0000")&amp;"), 95% CI ["&amp;TEXT(Results_Long!P68,"+0.0000;-0.0000")&amp;"; "&amp;TEXT(Results_Long!Q68,"+0.0000;-0.0000")&amp;"], df = "&amp;TEXT(Results_Long!N68,"0.0")&amp;", p = "&amp;IF(Results_Long!O68&lt;0.0001,"&lt; 0.0001",TEXT(Results_Long!O68,"0.000"))</f>
        <v>#VALUE!</v>
      </c>
    </row>
    <row r="14" spans="1:5" ht="15" customHeight="1" x14ac:dyDescent="0.3">
      <c r="A14" s="2" t="s">
        <v>467</v>
      </c>
      <c r="B14" s="2" t="s">
        <v>462</v>
      </c>
      <c r="C14" s="2" t="s">
        <v>463</v>
      </c>
      <c r="D14" s="2" t="s">
        <v>288</v>
      </c>
      <c r="E14" s="4" t="e">
        <f>"oster_beta_star = "&amp;TEXT(Results_Long!AG79,"+0.0000;-0.0000")</f>
        <v>#VALUE!</v>
      </c>
    </row>
    <row r="15" spans="1:5" ht="15" customHeight="1" x14ac:dyDescent="0.3">
      <c r="A15" s="2" t="s">
        <v>476</v>
      </c>
      <c r="B15" s="2" t="s">
        <v>462</v>
      </c>
      <c r="C15" s="2" t="s">
        <v>471</v>
      </c>
      <c r="D15" s="2" t="s">
        <v>292</v>
      </c>
      <c r="E15" s="4" t="e">
        <f>"evalue_mask_005 = "&amp;TEXT(Results_Long!AG83,"+0.0000;-0.0000")</f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zoomScaleNormal="100" workbookViewId="0"/>
  </sheetViews>
  <sheetFormatPr baseColWidth="10" defaultColWidth="8.6640625" defaultRowHeight="14.4" x14ac:dyDescent="0.3"/>
  <cols>
    <col min="1" max="1" width="8" customWidth="1"/>
    <col min="2" max="2" width="26" customWidth="1"/>
    <col min="3" max="3" width="22" customWidth="1"/>
    <col min="4" max="4" width="120" customWidth="1"/>
    <col min="5" max="5" width="34" customWidth="1"/>
    <col min="6" max="6" width="40" customWidth="1"/>
  </cols>
  <sheetData>
    <row r="1" spans="1:6" ht="15" customHeight="1" x14ac:dyDescent="0.3">
      <c r="A1" s="1" t="s">
        <v>483</v>
      </c>
    </row>
    <row r="2" spans="1:6" ht="15" customHeight="1" x14ac:dyDescent="0.3">
      <c r="A2" s="2" t="s">
        <v>484</v>
      </c>
    </row>
    <row r="3" spans="1:6" ht="15" customHeight="1" x14ac:dyDescent="0.3">
      <c r="A3" s="2" t="s">
        <v>485</v>
      </c>
    </row>
    <row r="5" spans="1:6" ht="15" customHeight="1" x14ac:dyDescent="0.3">
      <c r="A5" s="3" t="s">
        <v>486</v>
      </c>
      <c r="B5" s="3" t="s">
        <v>487</v>
      </c>
      <c r="C5" s="3" t="s">
        <v>488</v>
      </c>
      <c r="D5" s="3" t="s">
        <v>489</v>
      </c>
      <c r="E5" s="3" t="s">
        <v>490</v>
      </c>
      <c r="F5" s="3" t="s">
        <v>491</v>
      </c>
    </row>
    <row r="6" spans="1:6" ht="46.2" customHeight="1" x14ac:dyDescent="0.3">
      <c r="A6" s="2" t="s">
        <v>492</v>
      </c>
      <c r="B6" s="2" t="s">
        <v>493</v>
      </c>
      <c r="C6" s="13" t="s">
        <v>494</v>
      </c>
      <c r="D6" s="4" t="s">
        <v>495</v>
      </c>
      <c r="E6" s="4" t="s">
        <v>496</v>
      </c>
      <c r="F6" s="4" t="s">
        <v>497</v>
      </c>
    </row>
    <row r="7" spans="1:6" ht="23.85" customHeight="1" x14ac:dyDescent="0.3">
      <c r="A7" s="2" t="s">
        <v>498</v>
      </c>
      <c r="B7" s="2" t="s">
        <v>499</v>
      </c>
      <c r="C7" s="13" t="s">
        <v>494</v>
      </c>
      <c r="D7" s="4" t="s">
        <v>500</v>
      </c>
      <c r="E7" s="4" t="s">
        <v>501</v>
      </c>
      <c r="F7" s="4" t="s">
        <v>502</v>
      </c>
    </row>
    <row r="8" spans="1:6" ht="23.85" customHeight="1" x14ac:dyDescent="0.3">
      <c r="A8" s="2" t="s">
        <v>503</v>
      </c>
      <c r="B8" s="2" t="s">
        <v>504</v>
      </c>
      <c r="C8" s="13" t="s">
        <v>494</v>
      </c>
      <c r="D8" s="4" t="s">
        <v>505</v>
      </c>
      <c r="E8" s="4" t="s">
        <v>506</v>
      </c>
      <c r="F8" s="4" t="s">
        <v>507</v>
      </c>
    </row>
    <row r="9" spans="1:6" ht="23.85" customHeight="1" x14ac:dyDescent="0.3">
      <c r="A9" s="2" t="s">
        <v>508</v>
      </c>
      <c r="B9" s="2" t="s">
        <v>509</v>
      </c>
      <c r="C9" s="13" t="s">
        <v>494</v>
      </c>
      <c r="D9" s="4" t="s">
        <v>510</v>
      </c>
      <c r="E9" s="4" t="s">
        <v>511</v>
      </c>
      <c r="F9" s="4" t="s">
        <v>512</v>
      </c>
    </row>
    <row r="10" spans="1:6" ht="35.1" customHeight="1" x14ac:dyDescent="0.3">
      <c r="A10" s="2" t="s">
        <v>513</v>
      </c>
      <c r="B10" s="2" t="s">
        <v>514</v>
      </c>
      <c r="C10" s="13" t="s">
        <v>494</v>
      </c>
      <c r="D10" s="4" t="s">
        <v>515</v>
      </c>
      <c r="E10" s="4" t="s">
        <v>516</v>
      </c>
      <c r="F10" s="4" t="s">
        <v>517</v>
      </c>
    </row>
    <row r="11" spans="1:6" ht="35.1" customHeight="1" x14ac:dyDescent="0.3">
      <c r="A11" s="2" t="s">
        <v>518</v>
      </c>
      <c r="B11" s="2" t="s">
        <v>519</v>
      </c>
      <c r="C11" s="13" t="s">
        <v>494</v>
      </c>
      <c r="D11" s="4" t="s">
        <v>520</v>
      </c>
      <c r="E11" s="4" t="s">
        <v>521</v>
      </c>
      <c r="F11" s="4" t="s">
        <v>522</v>
      </c>
    </row>
    <row r="12" spans="1:6" ht="35.1" customHeight="1" x14ac:dyDescent="0.3">
      <c r="A12" s="2" t="s">
        <v>523</v>
      </c>
      <c r="B12" s="2" t="s">
        <v>524</v>
      </c>
      <c r="C12" s="13" t="s">
        <v>494</v>
      </c>
      <c r="D12" s="4" t="s">
        <v>525</v>
      </c>
      <c r="E12" s="4" t="s">
        <v>526</v>
      </c>
      <c r="F12" s="4" t="s">
        <v>527</v>
      </c>
    </row>
    <row r="13" spans="1:6" ht="35.1" customHeight="1" x14ac:dyDescent="0.3">
      <c r="A13" s="2" t="s">
        <v>528</v>
      </c>
      <c r="B13" s="2" t="s">
        <v>529</v>
      </c>
      <c r="C13" s="13" t="s">
        <v>494</v>
      </c>
      <c r="D13" s="4" t="s">
        <v>530</v>
      </c>
      <c r="E13" s="4" t="s">
        <v>531</v>
      </c>
      <c r="F13" s="4" t="s">
        <v>532</v>
      </c>
    </row>
    <row r="14" spans="1:6" ht="35.1" customHeight="1" x14ac:dyDescent="0.3">
      <c r="A14" s="2" t="s">
        <v>533</v>
      </c>
      <c r="B14" s="2" t="s">
        <v>534</v>
      </c>
      <c r="C14" s="14" t="s">
        <v>494</v>
      </c>
      <c r="D14" s="4" t="s">
        <v>535</v>
      </c>
      <c r="E14" s="4" t="s">
        <v>536</v>
      </c>
      <c r="F14" s="4" t="s">
        <v>537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1_README</vt:lpstr>
      <vt:lpstr>2_Methodology</vt:lpstr>
      <vt:lpstr>3_Interpretation_Guide</vt:lpstr>
      <vt:lpstr>4_Formula_Reference</vt:lpstr>
      <vt:lpstr>5_Data_Provenance</vt:lpstr>
      <vt:lpstr>6_T8_Design</vt:lpstr>
      <vt:lpstr>7_B2_Dose</vt:lpstr>
      <vt:lpstr>8_B4_Trend_vs_Break</vt:lpstr>
      <vt:lpstr>9_B5_Composition</vt:lpstr>
      <vt:lpstr>10_B8_Bounding</vt:lpstr>
      <vt:lpstr>Results_Long</vt:lpstr>
      <vt:lpstr>Manuscript_Inputs</vt:lpstr>
      <vt:lpstr>Manuscript_Text_Blocks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Witte</cp:lastModifiedBy>
  <cp:revision>0</cp:revision>
  <dcterms:created xsi:type="dcterms:W3CDTF">2026-07-15T20:12:12Z</dcterms:created>
  <dcterms:modified xsi:type="dcterms:W3CDTF">2026-08-03T12:35:46Z</dcterms:modified>
  <dc:language>en-US</dc:language>
</cp:coreProperties>
</file>