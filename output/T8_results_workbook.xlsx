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README" sheetId="1" state="visible" r:id="rId3"/>
    <sheet name="2_Methodology" sheetId="2" state="visible" r:id="rId4"/>
    <sheet name="3_Interpretation_Guide" sheetId="3" state="visible" r:id="rId5"/>
    <sheet name="4_Formula_Reference" sheetId="4" state="visible" r:id="rId6"/>
    <sheet name="5_Data_Provenance" sheetId="5" state="visible" r:id="rId7"/>
    <sheet name="6_T8_Design" sheetId="6" state="visible" r:id="rId8"/>
    <sheet name="7_B2_Dose" sheetId="7" state="visible" r:id="rId9"/>
    <sheet name="8_B4_Trend_vs_Break" sheetId="8" state="visible" r:id="rId10"/>
    <sheet name="9_B5_Composition" sheetId="9" state="visible" r:id="rId11"/>
    <sheet name="10_B8_Bounding" sheetId="10" state="visible" r:id="rId12"/>
    <sheet name="Results_Long" sheetId="11" state="visible" r:id="rId13"/>
    <sheet name="Manuscript_Inputs" sheetId="12" state="visible" r:id="rId14"/>
    <sheet name="Manuscript_Text_Blocks" sheetId="13" state="visible" r:id="rId15"/>
  </sheets>
  <definedNames>
    <definedName function="false" hidden="true" localSheetId="10" name="_xlnm._FilterDatabase" vbProcedure="false">Results_Long!$A$1:$AJ$84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<sst xmlns="http://schemas.openxmlformats.org/spreadsheetml/2006/main" count="1101" uniqueCount="539">
  <si>
    <t xml:space="preserve">FOMA CER–COD — T8 results workbook (Paris identification battery, Block B: B2/B4/B5/B8)</t>
  </si>
  <si>
    <t xml:space="preserve">Template: docs/results_workbook_template.md (binding) · built by project chat from output/T8_results.csv</t>
  </si>
  <si>
    <t xml:space="preserve">run 2026-07-15 21:54 CEST · verifier 27/27 PASS · commit 76074a2 (gate 3d7d0c8)</t>
  </si>
  <si>
    <t xml:space="preserve">Item</t>
  </si>
  <si>
    <t xml:space="preserve">Value</t>
  </si>
  <si>
    <t xml:space="preserve">Version</t>
  </si>
  <si>
    <t xml:space="preserve">T8 v5 — R/08_identification.R @ 76074a2; Gate-2 GO 2026-07-15 @ 3d7d0c8</t>
  </si>
  <si>
    <t xml:space="preserve">Method</t>
  </si>
  <si>
    <t xml:space="preserve">3-level RVE (rma.mv REML, ~1|cluster_id/study/esid; V rho=0.6 on cluster_id; CR2/Satterthwaite) — identification battery: race, placebos, segmented MR, dose, composition, bounding</t>
  </si>
  <si>
    <t xml:space="preserve">Scope</t>
  </si>
  <si>
    <t xml:space="preserve">dose/period domain: 2,705 ES / 113 studies / 112 clusters [DEC-042b]</t>
  </si>
  <si>
    <t xml:space="preserve">Repo</t>
  </si>
  <si>
    <t xml:space="preserve">rwitte-wu-research/FOMA-CER-COD-Paris (main)</t>
  </si>
  <si>
    <t xml:space="preserve">Stack</t>
  </si>
  <si>
    <t xml:space="preserve">R 4.6.1 · metafor 5.0-1 · clubSandwich 0.7.0 · renv 1.2.3 (lockfile)</t>
  </si>
  <si>
    <t xml:space="preserve">Scripts</t>
  </si>
  <si>
    <t xml:space="preserve">R/08_identification.R (v5) + R/08_verify_outputs.R (27 checks)</t>
  </si>
  <si>
    <t xml:space="preserve">Decision basis</t>
  </si>
  <si>
    <t xml:space="preserve">DEC-007/021/024/024a · DEC-031 + 031a/c/d/e · DEC-042a/b · plan Addendum A.2/A.3/A.9/A.10</t>
  </si>
  <si>
    <t xml:space="preserve">TAB-INDEX</t>
  </si>
  <si>
    <t xml:space="preserve">1_README</t>
  </si>
  <si>
    <t xml:space="preserve">this tab</t>
  </si>
  <si>
    <t xml:space="preserve">2_Methodology</t>
  </si>
  <si>
    <t xml:space="preserve">quantity → construction → reference</t>
  </si>
  <si>
    <t xml:space="preserve">3_Interpretation_Guide</t>
  </si>
  <si>
    <t xml:space="preserve">how to read; decision rules</t>
  </si>
  <si>
    <t xml:space="preserve">4_Formula_Reference</t>
  </si>
  <si>
    <t xml:space="preserve">exact R calls</t>
  </si>
  <si>
    <t xml:space="preserve">5_Data_Provenance</t>
  </si>
  <si>
    <t xml:space="preserve">domain, md5, run, verifier, pins</t>
  </si>
  <si>
    <t xml:space="preserve">6_T8_Design</t>
  </si>
  <si>
    <t xml:space="preserve">design constants (11 rows)</t>
  </si>
  <si>
    <t xml:space="preserve">7_B2_Dose</t>
  </si>
  <si>
    <t xml:space="preserve">dose model + predictions + contrasts</t>
  </si>
  <si>
    <t xml:space="preserve">8_B4_Trend_vs_Break</t>
  </si>
  <si>
    <t xml:space="preserve">race, placebos, segmented</t>
  </si>
  <si>
    <t xml:space="preserve">9_B5_Composition</t>
  </si>
  <si>
    <t xml:space="preserve">composition control</t>
  </si>
  <si>
    <t xml:space="preserve">10_B8_Bounding</t>
  </si>
  <si>
    <t xml:space="preserve">Oster analog + E-values</t>
  </si>
  <si>
    <t xml:space="preserve">Results_Long</t>
  </si>
  <si>
    <t xml:space="preserve">verbatim run CSV — single formula source</t>
  </si>
  <si>
    <t xml:space="preserve">Manuscript_Inputs</t>
  </si>
  <si>
    <t xml:space="preserve">ms_input rows, formula-derived strings</t>
  </si>
  <si>
    <t xml:space="preserve">Manuscript_Text_Blocks</t>
  </si>
  <si>
    <t xml:space="preserve">TB-20…TB-28 (EN, framing-neutral)</t>
  </si>
  <si>
    <t xml:space="preserve">Methodology — T8 identification battery</t>
  </si>
  <si>
    <t xml:space="preserve">Quantity | Formula / Construction | Reference</t>
  </si>
  <si>
    <t xml:space="preserve">Quantity</t>
  </si>
  <si>
    <t xml:space="preserve">Formula / Construction</t>
  </si>
  <si>
    <t xml:space="preserve">Reference</t>
  </si>
  <si>
    <t xml:space="preserve">V matrix</t>
  </si>
  <si>
    <t xml:space="preserve">impute_covariance_matrix(vi, cluster = cluster_id, r = 0.6)</t>
  </si>
  <si>
    <t xml:space="preserve">[DEC-017; D31.1; F56]</t>
  </si>
  <si>
    <t xml:space="preserve">Random structure</t>
  </si>
  <si>
    <t xml:space="preserve">~ 1 | cluster_id/study/esid (REML, sparse)</t>
  </si>
  <si>
    <t xml:space="preserve">[D31.1; plan A.2]</t>
  </si>
  <si>
    <t xml:space="preserve">Inference</t>
  </si>
  <si>
    <t xml:space="preserve">CR2 + Satterthwaite on cluster_id (coef_test / conf_int / linear_contrast; Wald HTZ)</t>
  </si>
  <si>
    <t xml:space="preserve">[Tipton &amp; Pustejovsky 2015; plan §3]</t>
  </si>
  <si>
    <t xml:space="preserve">Placebo recode</t>
  </si>
  <si>
    <t xml:space="preserve">share_Y = clip((end−Y+1)/(end−start+1),0,1); pp_Y = 1{share_Y ≥ 0.5}, ties→Post; 2016 identity gate</t>
  </si>
  <si>
    <t xml:space="preserve">[DEC-024a; DEC-024]</t>
  </si>
  <si>
    <t xml:space="preserve">break_only</t>
  </si>
  <si>
    <t xml:space="preserve">cell-means ~ 0 + factor(pp); diff = CR2 contrast (−1,+1) — T2/B1 convention</t>
  </si>
  <si>
    <t xml:space="preserve">[DEC-031e]</t>
  </si>
  <si>
    <t xml:space="preserve">Dose predictions</t>
  </si>
  <si>
    <t xml:space="preserve">z̄(s) at calendar 2015.5 via offset (KNOT − CENTER); contrasts on dose slope</t>
  </si>
  <si>
    <t xml:space="preserve">[DEC-024; plan A.9]</t>
  </si>
  <si>
    <t xml:space="preserve">Composition set</t>
  </si>
  <si>
    <t xml:space="preserve">{country_region, COD_instrument, CER_measure}; refs {1_US, loan, performance}; 99_NCE own level</t>
  </si>
  <si>
    <t xml:space="preserve">[DEC-031d; F61]</t>
  </si>
  <si>
    <t xml:space="preserve">Oster analog</t>
  </si>
  <si>
    <t xml:space="preserve">R² = 1 − Σσ²_m/Σσ²_0; uncontrolled = race, controlled = trend_composition; Rmax = min(1.3·R²_c, 1); β*(δ=1); δ*</t>
  </si>
  <si>
    <t xml:space="preserve">[Oster 2019; DEC-031d P1]</t>
  </si>
  <si>
    <t xml:space="preserve">E-value</t>
  </si>
  <si>
    <t xml:space="preserve">r→d = 2r/√(1−r²); RR ≈ exp(0.91·d); E = RR + √(RR(RR−1))</t>
  </si>
  <si>
    <t xml:space="preserve">[VanderWeele &amp; Ding 2017]</t>
  </si>
  <si>
    <t xml:space="preserve">SESOI band</t>
  </si>
  <si>
    <t xml:space="preserve">|r| = 0.070 primary (F27v2); |Δr| = 0.05 secondary; read-out Δβ + adjusted CI, not p</t>
  </si>
  <si>
    <t xml:space="preserve">[DEC-031 Block E; F61-P3]</t>
  </si>
  <si>
    <t xml:space="preserve">Interpretation guide</t>
  </si>
  <si>
    <t xml:space="preserve">Quantity | Meaning | Decision rule</t>
  </si>
  <si>
    <t xml:space="preserve">Meaning</t>
  </si>
  <si>
    <t xml:space="preserve">Decision rule</t>
  </si>
  <si>
    <t xml:space="preserve">diff / contrast (z)</t>
  </si>
  <si>
    <t xml:space="preserve">difference of Fisher-z means; |Δz| ≈ |Δr| at these magnitudes (3rd-order approx)</t>
  </si>
  <si>
    <t xml:space="preserve">no tanh transform of differences; z-only rows</t>
  </si>
  <si>
    <t xml:space="preserve">SESOI read-out</t>
  </si>
  <si>
    <t xml:space="preserve">Δβ vs anchor + adjusted CI against the SESOI band</t>
  </si>
  <si>
    <t xml:space="preserve">inside ±0.070 (primary) → precise null; ±0.05 secondary reported [F61-P3]</t>
  </si>
  <si>
    <t xml:space="preserve">df transfer rule</t>
  </si>
  <si>
    <t xml:space="preserve">Satterthwaite df on the coefficient</t>
  </si>
  <si>
    <t xml:space="preserve">df ≥ 5 full inference; df &lt; 4–5 descriptive [DEC-024]; flags in note</t>
  </si>
  <si>
    <t xml:space="preserve">Placebo rank</t>
  </si>
  <si>
    <t xml:space="preserve">rank of |2016 break| among 9 cutoffs (1 = largest)</t>
  </si>
  <si>
    <t xml:space="preserve">localization requires rank ≈ 1; high rank = no treaty-specific break</t>
  </si>
  <si>
    <t xml:space="preserve">pseudo-R²</t>
  </si>
  <si>
    <t xml:space="preserve">variance-component reduction vs intercept-only</t>
  </si>
  <si>
    <t xml:space="preserve">can be negative under REML — disclosed, not an error</t>
  </si>
  <si>
    <t xml:space="preserve">δ* (Oster)</t>
  </si>
  <si>
    <t xml:space="preserve">selection strength driving β to 0</t>
  </si>
  <si>
    <t xml:space="preserve">mechanically unstable near a null; read jointly with β* and mask E-values</t>
  </si>
  <si>
    <t xml:space="preserve">min. confounding RR to explain / mask an association</t>
  </si>
  <si>
    <t xml:space="preserve">small E on residual = fragile signal; small E on mask = bounding not the pillar</t>
  </si>
  <si>
    <t xml:space="preserve">Formula reference — exact R calls</t>
  </si>
  <si>
    <t xml:space="preserve">Quantity | R call | Script section</t>
  </si>
  <si>
    <t xml:space="preserve">R call</t>
  </si>
  <si>
    <t xml:space="preserve">Reference / script section</t>
  </si>
  <si>
    <t xml:space="preserve">Fit spine</t>
  </si>
  <si>
    <t xml:space="preserve">rma.mv(zi, V6, mods, random=~1|cluster_id/study/esid, sparse=TRUE, method="REML")</t>
  </si>
  <si>
    <t xml:space="preserve">fit3l(), §2</t>
  </si>
  <si>
    <t xml:space="preserve">CR2 vcov</t>
  </si>
  <si>
    <t xml:space="preserve">vcovCR(m, cluster = cluster_id, type = "CR2")</t>
  </si>
  <si>
    <t xml:space="preserve">vcr(), §2</t>
  </si>
  <si>
    <t xml:space="preserve">Coefficients</t>
  </si>
  <si>
    <t xml:space="preserve">coef_test(m, vcov, test="Satterthwaite"); conf_int(m, vcov, level=.95)</t>
  </si>
  <si>
    <t xml:space="preserve">coef_rows(), §2</t>
  </si>
  <si>
    <t xml:space="preserve">Predictions/contrasts</t>
  </si>
  <si>
    <t xml:space="preserve">linear_contrast(m, vcov, contrasts = rbind(Lp, Lc), level=.95)</t>
  </si>
  <si>
    <t xml:space="preserve">pred_contrast_rows(), §4</t>
  </si>
  <si>
    <t xml:space="preserve">Wald</t>
  </si>
  <si>
    <t xml:space="preserve">Wald_test(m, constrain_zero(idx), vcov, test="HTZ")</t>
  </si>
  <si>
    <t xml:space="preserve">wald_row(), §2</t>
  </si>
  <si>
    <t xml:space="preserve">break_only diff</t>
  </si>
  <si>
    <t xml:space="preserve">linear_contrast(mB, vcov, contrasts = rbind(diff = c(-1, 1)))</t>
  </si>
  <si>
    <t xml:space="preserve">§5 [DEC-031e]</t>
  </si>
  <si>
    <t xml:space="preserve">share_Y</t>
  </si>
  <si>
    <t xml:space="preserve">pmin(pmax((d_sample_end − Y + 1)/L, 0), 1); L = end − start + 1</t>
  </si>
  <si>
    <t xml:space="preserve">share_y(), §1 [DEC-024a]</t>
  </si>
  <si>
    <t xml:space="preserve">d = 2r/sqrt(1−r²); RR = exp(0.91·d); E = RR + sqrt(RR·(RR−1))</t>
  </si>
  <si>
    <t xml:space="preserve">evalue_r(), §7</t>
  </si>
  <si>
    <t xml:space="preserve">Data provenance &amp; run record</t>
  </si>
  <si>
    <t xml:space="preserve">Item | Value | Source</t>
  </si>
  <si>
    <t xml:space="preserve">Source</t>
  </si>
  <si>
    <t xml:space="preserve">Estimation set</t>
  </si>
  <si>
    <t xml:space="preserve">2,713 ES / 115 studies / 114 clusters</t>
  </si>
  <si>
    <t xml:space="preserve">[DEC-042a]</t>
  </si>
  <si>
    <t xml:space="preserve">Dose/period domain</t>
  </si>
  <si>
    <t xml:space="preserve">2,705 ES / 113 studies / 112 clusters; delta = 8 ES / 2 studies / 2 clusters (Bhattacharya &amp; Sharma 2019; Ng &amp; Rezaee 2012), listwise on window codings</t>
  </si>
  <si>
    <t xml:space="preserve">[DEC-042b; F61-P2]</t>
  </si>
  <si>
    <t xml:space="preserve">dat_prep md5</t>
  </si>
  <si>
    <t xml:space="preserve">6702ef3dc45fe0b693b13f50ebd1576b</t>
  </si>
  <si>
    <t xml:space="preserve">output/T8_run_meta.txt</t>
  </si>
  <si>
    <t xml:space="preserve">pr$n / pr$seed</t>
  </si>
  <si>
    <t xml:space="preserve">2713 / 20260710 (contract asserted)</t>
  </si>
  <si>
    <t xml:space="preserve">run_meta</t>
  </si>
  <si>
    <t xml:space="preserve">Spec revision</t>
  </si>
  <si>
    <t xml:space="preserve">R/08_identification.R v5 @ 76074a2; Gate-2 GO @ 3d7d0c8</t>
  </si>
  <si>
    <t xml:space="preserve">git</t>
  </si>
  <si>
    <t xml:space="preserve">Run / verifier</t>
  </si>
  <si>
    <t xml:space="preserve">2026-07-15 21:54:41 CEST · 27/27 PASS, exit 0 · O15 replication at machine precision (Δ ≈ 1e-16)</t>
  </si>
  <si>
    <t xml:space="preserve">CC transcript; independent re-check project chat</t>
  </si>
  <si>
    <t xml:space="preserve">CENTER / OFFSET</t>
  </si>
  <si>
    <t xml:space="preserve">sample_mid_c centered at 2012.257855823 (grand mean); predictions at calendar 2015.5 via offset 3.242144177</t>
  </si>
  <si>
    <t xml:space="preserve">run_meta; design row</t>
  </si>
  <si>
    <t xml:space="preserve">mB parameterization</t>
  </si>
  <si>
    <t xml:space="preserve">cell-means per DEC-031e after nlminb false convergence (σ²_study boundary); 17/17 convergence certificates in run_meta</t>
  </si>
  <si>
    <t xml:space="preserve">F60 placebo cells</t>
  </si>
  <si>
    <t xml:space="preserve">2008: 2367/100/99 … 2015: 784/38/38 (pinned, verifier O9)</t>
  </si>
  <si>
    <t xml:space="preserve">[DEC-024a]</t>
  </si>
  <si>
    <t xml:space="preserve">Known warnings</t>
  </si>
  <si>
    <t xml:space="preserve">impute_covariance_matrix() deprecation (frozen-in F56 behavior)</t>
  </si>
  <si>
    <t xml:space="preserve">CC transcript</t>
  </si>
  <si>
    <t xml:space="preserve">T8 design constants (result-blind, v12-derived)</t>
  </si>
  <si>
    <t xml:space="preserve">value column formula-linked to Results_Long</t>
  </si>
  <si>
    <t xml:space="preserve">Constant</t>
  </si>
  <si>
    <t xml:space="preserve">Note (verbatim CSV)</t>
  </si>
  <si>
    <t xml:space="preserve">subset_dose_period</t>
  </si>
  <si>
    <t xml:space="preserve">period_na</t>
  </si>
  <si>
    <t xml:space="preserve">post_cell_2016</t>
  </si>
  <si>
    <t xml:space="preserve">corr_sample_mid_share</t>
  </si>
  <si>
    <t xml:space="preserve">share_distinct</t>
  </si>
  <si>
    <t xml:space="preserve">share_p95_es</t>
  </si>
  <si>
    <t xml:space="preserve">share_eq1</t>
  </si>
  <si>
    <t xml:space="preserve">share_eq0</t>
  </si>
  <si>
    <t xml:space="preserve">center_sample_mid</t>
  </si>
  <si>
    <t xml:space="preserve">study_mid_median</t>
  </si>
  <si>
    <t xml:space="preserve">studies_mid_ge2016</t>
  </si>
  <si>
    <t xml:space="preserve">Verdict: Design constants match the pinned table (verifier O7–O14); p95(share) = 1.0 and corr = 0.8146 supersede the stale §4 pins [plan A.9].</t>
  </si>
  <si>
    <t xml:space="preserve">B2 — Continuous exposure-dose model [DEC-024]</t>
  </si>
  <si>
    <t xml:space="preserve">zi ~ sample_mid_c + pp_share_lag0 · predictions at calendar 2015.5 · quadratic check</t>
  </si>
  <si>
    <t xml:space="preserve">Term</t>
  </si>
  <si>
    <t xml:space="preserve">k (ES/St/Cl)</t>
  </si>
  <si>
    <t xml:space="preserve">est_z</t>
  </si>
  <si>
    <t xml:space="preserve">se_z</t>
  </si>
  <si>
    <t xml:space="preserve">df</t>
  </si>
  <si>
    <t xml:space="preserve">p</t>
  </si>
  <si>
    <t xml:space="preserve">CI_z lb</t>
  </si>
  <si>
    <t xml:space="preserve">CI_z ub</t>
  </si>
  <si>
    <t xml:space="preserve">est_r</t>
  </si>
  <si>
    <t xml:space="preserve">CI_r lb</t>
  </si>
  <si>
    <t xml:space="preserve">CI_r ub</t>
  </si>
  <si>
    <t xml:space="preserve">intercept</t>
  </si>
  <si>
    <t xml:space="preserve">sample_mid_c (per yr)</t>
  </si>
  <si>
    <t xml:space="preserve">pp_share_lag0 (slope)</t>
  </si>
  <si>
    <t xml:space="preserve">pred z̄(0)</t>
  </si>
  <si>
    <t xml:space="preserve">pred z̄(0.6)</t>
  </si>
  <si>
    <t xml:space="preserve">pred z̄(1)</t>
  </si>
  <si>
    <t xml:space="preserve">contrast 0→0.6</t>
  </si>
  <si>
    <t xml:space="preserve">contrast 0→1</t>
  </si>
  <si>
    <t xml:space="preserve">quad: share²</t>
  </si>
  <si>
    <t xml:space="preserve">joint share = share² = 0</t>
  </si>
  <si>
    <t xml:space="preserve">F (HTZ)</t>
  </si>
  <si>
    <t xml:space="preserve">Interpretation</t>
  </si>
  <si>
    <t xml:space="preserve">No dose–response gradient: slope p = .271; pinned 0→0.6 contrast +0.031 [−0.026; +0.088]; quadratic p = .332; joint p = .207.</t>
  </si>
  <si>
    <t xml:space="preserve">Direction of the point estimates is positive (attenuation of the negative CER–COD association with exposure), but imprecise.</t>
  </si>
  <si>
    <t xml:space="preserve">Model-implied levels stay negative across the dose range (z̄(0) = −0.087 → z̄(1) = −0.035 at calendar 2015.5).</t>
  </si>
  <si>
    <t xml:space="preserve">Read alongside corr(sample_mid, share) = 0.8146 (design row): dose is interpretable only jointly with the trend [plan §4/A.9].</t>
  </si>
  <si>
    <t xml:space="preserve">z̄(1): marginal support (318 ES / 13 clusters at share = 1); joint (mid, share) caveat — share = 1 implies mid ≥ 2016.</t>
  </si>
  <si>
    <t xml:space="preserve">Question</t>
  </si>
  <si>
    <t xml:space="preserve">Answer</t>
  </si>
  <si>
    <t xml:space="preserve">Is the positive slope evidence of post-Paris attenuation?</t>
  </si>
  <si>
    <t xml:space="preserve">As a point direction only; the CI includes 0 and both SESOI anchors — the pre-registered read-out (Δβ + CI vs band) does not support a dose effect.</t>
  </si>
  <si>
    <t xml:space="preserve">Why evaluate predictions at 2015.5?</t>
  </si>
  <si>
    <t xml:space="preserve">Knot of the binary coding [A.3]; implemented via offset from the derived centering constant (2012.258), so evaluation is calendar-anchored, not centering-dependent.</t>
  </si>
  <si>
    <t xml:space="preserve">Why is 0→0.6 the headline contrast when p95(share) = 1.0?</t>
  </si>
  <si>
    <t xml:space="preserve">Contrast point pinned by role [DEC-024]; the v12 support re-derivation (p95 = 1.0) is disclosed in A.9 — 0→0.6 is now a conservative interior contrast.</t>
  </si>
  <si>
    <t xml:space="preserve">Verdict: No dose–response gradient in post-Paris exposure (slope p = .271; joint p = .207); associations remain negative across the dose range.</t>
  </si>
  <si>
    <t xml:space="preserve">B4 — Trend vs break: race, placebo cutoffs, segmented MR [Moves 1–3]</t>
  </si>
  <si>
    <t xml:space="preserve">break_only in T2/B1 cell-means parameterization [DEC-031e]; placebos per DEC-024a</t>
  </si>
  <si>
    <t xml:space="preserve">trend_only: mid_c (per yr)</t>
  </si>
  <si>
    <t xml:space="preserve">break_only: pre level</t>
  </si>
  <si>
    <t xml:space="preserve">break_only: diff (=T2/B1)</t>
  </si>
  <si>
    <t xml:space="preserve">race: trend (per yr)</t>
  </si>
  <si>
    <t xml:space="preserve">race: break</t>
  </si>
  <si>
    <t xml:space="preserve">seg: level at knot (pre)</t>
  </si>
  <si>
    <t xml:space="preserve">seg: slope pre (per yr)</t>
  </si>
  <si>
    <t xml:space="preserve">seg: level shift 2016</t>
  </si>
  <si>
    <t xml:space="preserve">seg: slope change 2016</t>
  </si>
  <si>
    <t xml:space="preserve">seg: joint level shift = slope change = 0</t>
  </si>
  <si>
    <t xml:space="preserve">Placebo cutoffs (break-only form; post cells pinned [DEC-024a])</t>
  </si>
  <si>
    <t xml:space="preserve">Cutoff Y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</si>
  <si>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</si>
  <si>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</si>
  <si>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</si>
  <si>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</si>
  <si>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</si>
  <si>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</si>
  <si>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</si>
  <si>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</si>
  <si>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rank of |2016| among 9 cutoffs</t>
  </si>
  <si>
    <t xml:space="preserve">Race double null: trend −0.0024/yr (p = .113); break +0.026 [−0.026; +0.079] (p = .306) — neither component is needed.</t>
  </si>
  <si>
    <t xml:space="preserve">Placebo localization: 2016 ranks 7 of 9 by |break|; cuts at 2009–2011 produce |0.033–0.040| vs |0.010| at the treaty year; smallest placebo p = .076.</t>
  </si>
  <si>
    <t xml:space="preserve">Segmented MR at 2015.5: no level shift (p = .260), no slope change (p = .871), no pre-trend (p = .160); joint F = 0.67, p = .525.</t>
  </si>
  <si>
    <t xml:space="preserve">Precision limit (pre-anticipated): race-adjusted break CI reaches +0.079 (&gt; both SESOI anchors) — SE inflation from corr = 0.81, effect-size read-out per F61-P3; equivalence precision rests on the unadjusted and composition-adjusted forms.</t>
  </si>
  <si>
    <t xml:space="preserve">Realized df on the unadjusted diff = 15.0 vs design df 31.9 (disclosure, note field).</t>
  </si>
  <si>
    <t xml:space="preserve">Does a secular trend explain the null Paris moderation?</t>
  </si>
  <si>
    <t xml:space="preserve">No trend is supported (−0.0024/yr, p = .113), and the break stays null with the trend allowed — the data need neither.</t>
  </si>
  <si>
    <t xml:space="preserve">Is 2016 special among cutoffs?</t>
  </si>
  <si>
    <t xml:space="preserve">No: rank 7/9; three placebo years yield 3–4× larger spurious breaks. There is no localization at the treaty.</t>
  </si>
  <si>
    <t xml:space="preserve">Why cell-means for break_only?</t>
  </si>
  <si>
    <t xml:space="preserve">nlminb false convergence of the dummy form at the σ²_study boundary; the cell-means form is the committed T2/B1 convention on the identical likelihood — O15 reproduces T2 at machine precision [DEC-031e].</t>
  </si>
  <si>
    <t xml:space="preserve">Why is the race CI so much wider?</t>
  </si>
  <si>
    <t xml:space="preserve">corr(sample_mid, share/break) = 0.81 inflates SEs when trend and break compete; disclosed a priori — the race buys identification, not precision.</t>
  </si>
  <si>
    <t xml:space="preserve">Verdict: Neither trend nor 2016 break is supported; the Paris cut ranks 7/9 among placebo cutoffs — no localization at the treaty (joint segmented test p = .525).</t>
  </si>
  <si>
    <t xml:space="preserve">B5 — Composition control (Move 4 core) [DEC-031d]</t>
  </si>
  <si>
    <t xml:space="preserve">covariates = {country_region, COD_instrument, CER_measure}; refs {1_US, loan, performance}; 99_NCE own level</t>
  </si>
  <si>
    <t xml:space="preserve">comp_adj: intercept</t>
  </si>
  <si>
    <t xml:space="preserve">comp_adj: Paris diff</t>
  </si>
  <si>
    <t xml:space="preserve">comp_adj: CER_measuredisclosure</t>
  </si>
  <si>
    <t xml:space="preserve">comp_adj: COD_instrumentbond (yield)</t>
  </si>
  <si>
    <t xml:space="preserve">comp_adj: COD_instrumentderivativ (CDS spread)</t>
  </si>
  <si>
    <t xml:space="preserve">comp_adj: COD_instrumentrating</t>
  </si>
  <si>
    <t xml:space="preserve">comp_adj: country_region2_Europe</t>
  </si>
  <si>
    <t xml:space="preserve">comp_adj: country_region3_AsiaPac</t>
  </si>
  <si>
    <t xml:space="preserve">comp_adj: country_region99_NCE</t>
  </si>
  <si>
    <t xml:space="preserve">trend_comp: Paris diff</t>
  </si>
  <si>
    <t xml:space="preserve">trend_comp: trend (per yr)</t>
  </si>
  <si>
    <t xml:space="preserve">comp_adj: joint composition = 0</t>
  </si>
  <si>
    <t xml:space="preserve">trend_comp: joint composition = 0</t>
  </si>
  <si>
    <t xml:space="preserve">Δβ vs break_only anchor (z)</t>
  </si>
  <si>
    <t xml:space="preserve">Composition adjustment moves the Paris contrast by +0.0023 z (anchor = break_only on the identical 2,705 domain [F61-P1]).</t>
  </si>
  <si>
    <t xml:space="preserve">Adjusted contrasts: +0.012 [−0.025; +0.050] (df 14.2, full inference) and, with trend, +0.014 [−0.024; +0.052] (df 19.2, full inference) — transfer-rule flags in the note field [F61-P2].</t>
  </si>
  <si>
    <t xml:space="preserve">SESOI read-out [F61-P3]: both adjusted CIs lie inside the primary band ±0.070; against the secondary ±0.05 the comp_adj CI is inside, the trend_comp upper edge (+0.0522) is marginally outside.</t>
  </si>
  <si>
    <t xml:space="preserve">The composition covariates are jointly insignificant in both models (F ≈ 1.5, p ≈ .3): the disclosed drift does not carry the effect sizes.</t>
  </si>
  <si>
    <t xml:space="preserve">99_NCE dummy rows retained for domain completeness, flagged not-interpreted [F61-P2].</t>
  </si>
  <si>
    <t xml:space="preserve">§6 lists five drift dimensions — why control three?</t>
  </si>
  <si>
    <t xml:space="preserve">The two continuous drifts run through pre-assigned channels: sample size via the variance-weighting machinery and the T5 selection battery (a precision regressor would be PET logic — a different estimand); window length via sample_mid_c + the attenuation disclosure [DEC-031d].</t>
  </si>
  <si>
    <t xml:space="preserve">Why not industry?</t>
  </si>
  <si>
    <t xml:space="preserve">Selection rule (not a §6-disclosed drift), 3-cluster post cell (noise, not control), and estimand separation: a B5 main effect would pre-label the exposure margin C3 is designed to test [DEC-031d].</t>
  </si>
  <si>
    <t xml:space="preserve">Could the null be "by construction" from drift-correlated controls?</t>
  </si>
  <si>
    <t xml:space="preserve">The verdict criterion was pinned a priori as Δβ + adjusted CI vs the SESOI band, not p-survival — SE inflation cannot manufacture the conclusion [F61-P3].</t>
  </si>
  <si>
    <t xml:space="preserve">Verdict: Composition explains essentially nothing of the Paris contrast (Δβ = +0.002); the adjusted contrast is a precise null against the primary SESOI.</t>
  </si>
  <si>
    <t xml:space="preserve">B8 — Bounding: Oster analog + E-values (Move 7) [DEC-031d P1]</t>
  </si>
  <si>
    <t xml:space="preserve">uncontrolled = race, controlled = trend_composition (same domain); SESOI masks per DEC-031 Block E</t>
  </si>
  <si>
    <t xml:space="preserve">r2_uncontrolled</t>
  </si>
  <si>
    <t xml:space="preserve">r2_controlled</t>
  </si>
  <si>
    <t xml:space="preserve">beta_star_delta1</t>
  </si>
  <si>
    <t xml:space="preserve">delta_for_beta_zero</t>
  </si>
  <si>
    <t xml:space="preserve">evalue_point</t>
  </si>
  <si>
    <t xml:space="preserve">evalue_ci_edge</t>
  </si>
  <si>
    <t xml:space="preserve">evalue_mask_sesoi_contrast</t>
  </si>
  <si>
    <t xml:space="preserve">evalue_mask_sesoi_pooled</t>
  </si>
  <si>
    <t xml:space="preserve">Under Oster-style proportional selection (δ = 1, Rmax = 1.3·R²_c) the Paris contrast moves to +0.0124 z — deep inside the SESOI band.</t>
  </si>
  <si>
    <t xml:space="preserve">δ* = 9.28 is mechanically unstable near a null coefficient (caveat in note) and is read jointly with β* and the mask E-values.</t>
  </si>
  <si>
    <t xml:space="preserve">Mask E-values: confounding of RR ≈ 1.42 (1.53) suffices to hide a true contrast at the secondary (primary) SESOI; the CI-edge E-value is 1.43 — the residual signal is fragile in both directions.</t>
  </si>
  <si>
    <t xml:space="preserve">R²_u = −0.015 (negative pseudo-R² possible under REML; disclosed) — bounding is supportive, the identification weight lies on race + placebos + composition.</t>
  </si>
  <si>
    <t xml:space="preserve">Is δ* ≈ 9 strong evidence of robustness?</t>
  </si>
  <si>
    <t xml:space="preserve">No — with a near-null coefficient δ* is mechanically unstable; the informative quantities are β*(δ=1) = +0.012 and the mask E-values [note caveat].</t>
  </si>
  <si>
    <t xml:space="preserve">Why race as the uncontrolled model?</t>
  </si>
  <si>
    <t xml:space="preserve">The design variable (time) belongs in both regressions; proportional selection runs over the covariate set, not over the running variable of the identification [F61-P1].</t>
  </si>
  <si>
    <t xml:space="preserve">Verdict: Bounding keeps the Paris contrast within the SESOI band under δ = 1 (β* = +0.012); it is supportive, not the pillar of the null defense.</t>
  </si>
  <si>
    <t xml:space="preserve">analysis_id</t>
  </si>
  <si>
    <t xml:space="preserve">spec</t>
  </si>
  <si>
    <t xml:space="preserve">subset</t>
  </si>
  <si>
    <t xml:space="preserve">term</t>
  </si>
  <si>
    <t xml:space="preserve">metric</t>
  </si>
  <si>
    <t xml:space="preserve">estimator</t>
  </si>
  <si>
    <t xml:space="preserve">rho</t>
  </si>
  <si>
    <t xml:space="preserve">k_es</t>
  </si>
  <si>
    <t xml:space="preserve">k_study</t>
  </si>
  <si>
    <t xml:space="preserve">k_cluster</t>
  </si>
  <si>
    <t xml:space="preserve">t_stat</t>
  </si>
  <si>
    <t xml:space="preserve">ci_lb_z</t>
  </si>
  <si>
    <t xml:space="preserve">ci_ub_z</t>
  </si>
  <si>
    <t xml:space="preserve">pi_lb_z</t>
  </si>
  <si>
    <t xml:space="preserve">pi_ub_z</t>
  </si>
  <si>
    <t xml:space="preserve">ci_lb_r</t>
  </si>
  <si>
    <t xml:space="preserve">ci_ub_r</t>
  </si>
  <si>
    <t xml:space="preserve">pi_lb_r</t>
  </si>
  <si>
    <t xml:space="preserve">pi_ub_r</t>
  </si>
  <si>
    <t xml:space="preserve">sigma2_cluster</t>
  </si>
  <si>
    <t xml:space="preserve">sigma2_study</t>
  </si>
  <si>
    <t xml:space="preserve">sigma2_esid</t>
  </si>
  <si>
    <t xml:space="preserve">pct_cluster</t>
  </si>
  <si>
    <t xml:space="preserve">pct_study</t>
  </si>
  <si>
    <t xml:space="preserve">pct_esid</t>
  </si>
  <si>
    <t xml:space="preserve">pct_sampling</t>
  </si>
  <si>
    <t xml:space="preserve">typical_v</t>
  </si>
  <si>
    <t xml:space="preserve">value</t>
  </si>
  <si>
    <t xml:space="preserve">ms_input</t>
  </si>
  <si>
    <t xml:space="preserve">ms_label</t>
  </si>
  <si>
    <t xml:space="preserve">note</t>
  </si>
  <si>
    <t xml:space="preserve">T8_design</t>
  </si>
  <si>
    <t xml:space="preserve">design</t>
  </si>
  <si>
    <t xml:space="preserve">defined</t>
  </si>
  <si>
    <t xml:space="preserve">count</t>
  </si>
  <si>
    <t xml:space="preserve">descriptive</t>
  </si>
  <si>
    <t xml:space="preserve">2,705 ES / 113 studies / 112 clusters [DEC-042b]; run date in T8_run_meta.txt</t>
  </si>
  <si>
    <t xml:space="preserve">8 ES / 2 studies / 2 clusters (Bhattacharya &amp; Sharma 2019; Ng &amp; Rezaee 2012) [DEC-042b]; provenance for workbook Tab 5_Data_Provenance</t>
  </si>
  <si>
    <t xml:space="preserve">711 ES / 31 studies / 31 clusters (v12 design constant)</t>
  </si>
  <si>
    <t xml:space="preserve">corr</t>
  </si>
  <si>
    <t xml:space="preserve">ES-level Pearson on 2,705; supersedes stale 0.70 pin (v8-era) — plan Section 4 disclosure updates [DEC-031 counts-re-derive]</t>
  </si>
  <si>
    <t xml:space="preserve">distinct pp_share_lag0 values; T2 pin P1 confirmed</t>
  </si>
  <si>
    <t xml:space="preserve">share</t>
  </si>
  <si>
    <t xml:space="preserve">v12 supersedes the stale p95 = 0.6 pin; contrast point 0.6 retained by role [DEC-024; DEC-031 counts-re-derive]</t>
  </si>
  <si>
    <t xml:space="preserve">13 studies / 13 clusters at share = 1</t>
  </si>
  <si>
    <t xml:space="preserve">27 studies at share = 0</t>
  </si>
  <si>
    <t xml:space="preserve">year</t>
  </si>
  <si>
    <t xml:space="preserve">derived in-script: sample_mid - sample_mid_c (constancy asserted); predictions evaluated at calendar 2015.5 via offset</t>
  </si>
  <si>
    <t xml:space="preserve">study-level median of sample_mid (placebo-support disclosure; supersedes stale 2012)</t>
  </si>
  <si>
    <t xml:space="preserve">studies with study-level median sample_mid &gt;= 2016 (supersedes stale 8)</t>
  </si>
  <si>
    <t xml:space="preserve">B2</t>
  </si>
  <si>
    <t xml:space="preserve">dose_linear</t>
  </si>
  <si>
    <t xml:space="preserve">Fisher_z</t>
  </si>
  <si>
    <t xml:space="preserve">3LMA-RVE_CR2</t>
  </si>
  <si>
    <t xml:space="preserve">rma.mv mods=~ sample_mid_c + pp_share_lag0; random ~1|cluster_id/study/esid; V blocks within cluster_id, rho=0.6; CR2/Satterthwaite on cluster_id [D31.1/A.2]; k = complete cases on window codings [DEC-042b]</t>
  </si>
  <si>
    <t xml:space="preserve">sample_mid_c</t>
  </si>
  <si>
    <t xml:space="preserve">pp_share_lag0</t>
  </si>
  <si>
    <t xml:space="preserve">dose_slope</t>
  </si>
  <si>
    <t xml:space="preserve">rma.mv mods=~ sample_mid_c + pp_share_lag0; random ~1|cluster_id/study/esid; V blocks within cluster_id, rho=0.6; CR2/Satterthwaite on cluster_id [D31.1/A.2]; k = complete cases on window codings [DEC-042b]; identification core [DEC-024]; interpret only alongside trend (corr disclosure row)</t>
  </si>
  <si>
    <t xml:space="preserve">pred_share_0</t>
  </si>
  <si>
    <t xml:space="preserve">rma.mv mods=~ sample_mid_c + pp_share_lag0; random ~1|cluster_id/study/esid; V blocks within cluster_id, rho=0.6; CR2/Satterthwaite on cluster_id [D31.1/A.2]; k = complete cases on window codings [DEC-042b]; model-implied cell mean at calendar 2015.5, dose = 0; dose-0 endpoint support: 611 ES / 27 studies at share = 0 (v12)</t>
  </si>
  <si>
    <t xml:space="preserve">pred_share_0.6</t>
  </si>
  <si>
    <t xml:space="preserve">rma.mv mods=~ sample_mid_c + pp_share_lag0; random ~1|cluster_id/study/esid; V blocks within cluster_id, rho=0.6; CR2/Satterthwaite on cluster_id [D31.1/A.2]; k = complete cases on window codings [DEC-042b]; model-implied cell mean at calendar 2015.5, dose = 0.6; pinned contrast point [DEC-024]</t>
  </si>
  <si>
    <t xml:space="preserve">pred_share_1</t>
  </si>
  <si>
    <t xml:space="preserve">rma.mv mods=~ sample_mid_c + pp_share_lag0; random ~1|cluster_id/study/esid; V blocks within cluster_id, rho=0.6; CR2/Satterthwaite on cluster_id [D31.1/A.2]; k = complete cases on window codings [DEC-042b]; model-implied cell mean at calendar 2015.5, dose = 1; marginal support: 318 ES / 13 clusters at share = 1 (v12); joint (mid, share) support caveat: share = 1 implies mid &gt;= 2016</t>
  </si>
  <si>
    <t xml:space="preserve">contrast_0_to_0.6</t>
  </si>
  <si>
    <t xml:space="preserve">dose_contrast_0_06</t>
  </si>
  <si>
    <t xml:space="preserve">rma.mv mods=~ sample_mid_c + pp_share_lag0; random ~1|cluster_id/study/esid; V blocks within cluster_id, rho=0.6; CR2/Satterthwaite on cluster_id [D31.1/A.2]; k = complete cases on window codings [DEC-042b]; = 0.6 x dose slope; pinned headline dose contrast [DEC-024]; difference of Fisher-z means; no tanh transform of differences</t>
  </si>
  <si>
    <t xml:space="preserve">contrast_0_to_1</t>
  </si>
  <si>
    <t xml:space="preserve">rma.mv mods=~ sample_mid_c + pp_share_lag0; random ~1|cluster_id/study/esid; V blocks within cluster_id, rho=0.6; CR2/Satterthwaite on cluster_id [D31.1/A.2]; k = complete cases on window codings [DEC-042b]; = dose slope; full-regime contrast; marginal support v12 (see pred_share_1); difference of Fisher-z means; no tanh transform of differences</t>
  </si>
  <si>
    <t xml:space="preserve">dose_quadratic</t>
  </si>
  <si>
    <t xml:space="preserve">rma.mv mods=~ sample_mid_c + pp_share_lag0 + I(pp_share_lag0^2); random ~1|cluster_id/study/esid; V blocks within cluster_id, rho=0.6; CR2/Satterthwaite on cluster_id [D31.1/A.2]; k = complete cases on window codings [DEC-042b]</t>
  </si>
  <si>
    <t xml:space="preserve">pp_share_lag0_sq</t>
  </si>
  <si>
    <t xml:space="preserve">rma.mv mods=~ sample_mid_c + pp_share_lag0 + I(pp_share_lag0^2); random ~1|cluster_id/study/esid; V blocks within cluster_id, rho=0.6; CR2/Satterthwaite on cluster_id [D31.1/A.2]; k = complete cases on window codings [DEC-042b]; quadratic-in-share check [DEC-024]</t>
  </si>
  <si>
    <t xml:space="preserve">wald_share_joint</t>
  </si>
  <si>
    <t xml:space="preserve">F_test</t>
  </si>
  <si>
    <t xml:space="preserve">rma.mv mods=~ sample_mid_c + pp_share_lag0 + I(pp_share_lag0^2); random ~1|cluster_id/study/esid; V blocks within cluster_id, rho=0.6; CR2/Satterthwaite on cluster_id [D31.1/A.2]; k = complete cases on window codings [DEC-042b]; H0: share = share^2 = 0 (joint dose signal); HTZ; num_df = 2</t>
  </si>
  <si>
    <t xml:space="preserve">B4</t>
  </si>
  <si>
    <t xml:space="preserve">trend_only</t>
  </si>
  <si>
    <t xml:space="preserve">rma.mv mods=~ sample_mid_c; random ~1|cluster_id/study/esid; V blocks within cluster_id, rho=0.6; CR2/Satterthwaite on cluster_id [D31.1/A.2]; k = complete cases on window codings [DEC-042b]</t>
  </si>
  <si>
    <t xml:space="preserve">rma.mv mods=~ sample_mid_c; random ~1|cluster_id/study/esid; V blocks within cluster_id, rho=0.6; CR2/Satterthwaite on cluster_id [D31.1/A.2]; k = complete cases on window codings [DEC-042b]; secular drift, no break term</t>
  </si>
  <si>
    <t xml:space="preserve">rma.mv mods=~ 0 + pp_cell (cell-means [DEC-031e]; estimand identical to ~ pp_mid_lag0); random ~1|cluster_id/study/esid; V blocks within cluster_id, rho=0.6; CR2/Satterthwaite on cluster_id [D31.1/A.2]; k = complete cases on window codings [DEC-042b]; pre-cell mean; parameterization-identical to T2/B1 cell_pre (~0+factor(coding))</t>
  </si>
  <si>
    <t xml:space="preserve">pp_mid_lag0</t>
  </si>
  <si>
    <t xml:space="preserve">rma.mv mods=~ 0 + pp_cell (cell-means [DEC-031e]; estimand identical to ~ pp_mid_lag0); random ~1|cluster_id/study/esid; V blocks within cluster_id, rho=0.6; CR2/Satterthwaite on cluster_id [D31.1/A.2]; k = complete cases on window codings [DEC-042b]; post-minus-pre contrast (-1, +1) = T2/B1 paris_mid diff, verifier identity O15; cell-means parameterization per DEC-031e; realized vs design df disclosure: design df = 31.9 [T0.4]; difference of Fisher-z means; no tanh transform of differences</t>
  </si>
  <si>
    <t xml:space="preserve">race</t>
  </si>
  <si>
    <t xml:space="preserve">rma.mv mods=~ sample_mid_c + pp_mid_lag0; random ~1|cluster_id/study/esid; V blocks within cluster_id, rho=0.6; CR2/Satterthwaite on cluster_id [D31.1/A.2]; k = complete cases on window codings [DEC-042b]</t>
  </si>
  <si>
    <t xml:space="preserve">race_trend</t>
  </si>
  <si>
    <t xml:space="preserve">race_break</t>
  </si>
  <si>
    <t xml:space="preserve">rma.mv mods=~ sample_mid_c + pp_mid_lag0; random ~1|cluster_id/study/esid; V blocks within cluster_id, rho=0.6; CR2/Satterthwaite on cluster_id [D31.1/A.2]; k = complete cases on window codings [DEC-042b]; Move 1: break net of smooth drift [Identifikation tab]; difference of Fisher-z means</t>
  </si>
  <si>
    <t xml:space="preserve">placebo_2008</t>
  </si>
  <si>
    <t xml:space="preserve">rma.mv mods=~ pp_break_2008; random ~1|cluster_id/study/esid; V blocks within cluster_id, rho=0.6; CR2/Satterthwaite on cluster_id [D31.1/A.2]; k = complete cases on window codings [DEC-042b]</t>
  </si>
  <si>
    <t xml:space="preserve">pp_break_2008</t>
  </si>
  <si>
    <t xml:space="preserve">rma.mv mods=~ pp_break_2008; random ~1|cluster_id/study/esid; V blocks within cluster_id, rho=0.6; CR2/Satterthwaite on cluster_id [D31.1/A.2]; k = complete cases on window codings [DEC-042b]; post cell pinned: 2367 ES / 100 studies / 99 clusters; rule: share_2008 &gt;= 0.5, ties to Post [F60/DEC-024]; difference of Fisher-z means</t>
  </si>
  <si>
    <t xml:space="preserve">placebo_2009</t>
  </si>
  <si>
    <t xml:space="preserve">rma.mv mods=~ pp_break_2009; random ~1|cluster_id/study/esid; V blocks within cluster_id, rho=0.6; CR2/Satterthwaite on cluster_id [D31.1/A.2]; k = complete cases on window codings [DEC-042b]</t>
  </si>
  <si>
    <t xml:space="preserve">pp_break_2009</t>
  </si>
  <si>
    <t xml:space="preserve">rma.mv mods=~ pp_break_2009; random ~1|cluster_id/study/esid; V blocks within cluster_id, rho=0.6; CR2/Satterthwaite on cluster_id [D31.1/A.2]; k = complete cases on window codings [DEC-042b]; post cell pinned: 2345 ES / 99 studies / 98 clusters; rule: share_2009 &gt;= 0.5, ties to Post [F60/DEC-024]; difference of Fisher-z means</t>
  </si>
  <si>
    <t xml:space="preserve">placebo_2010</t>
  </si>
  <si>
    <t xml:space="preserve">rma.mv mods=~ pp_break_2010; random ~1|cluster_id/study/esid; V blocks within cluster_id, rho=0.6; CR2/Satterthwaite on cluster_id [D31.1/A.2]; k = complete cases on window codings [DEC-042b]</t>
  </si>
  <si>
    <t xml:space="preserve">pp_break_2010</t>
  </si>
  <si>
    <t xml:space="preserve">rma.mv mods=~ pp_break_2010; random ~1|cluster_id/study/esid; V blocks within cluster_id, rho=0.6; CR2/Satterthwaite on cluster_id [D31.1/A.2]; k = complete cases on window codings [DEC-042b]; post cell pinned: 2326 ES / 98 studies / 97 clusters; rule: share_2010 &gt;= 0.5, ties to Post [F60/DEC-024]; difference of Fisher-z means</t>
  </si>
  <si>
    <t xml:space="preserve">placebo_2011</t>
  </si>
  <si>
    <t xml:space="preserve">rma.mv mods=~ pp_break_2011; random ~1|cluster_id/study/esid; V blocks within cluster_id, rho=0.6; CR2/Satterthwaite on cluster_id [D31.1/A.2]; k = complete cases on window codings [DEC-042b]</t>
  </si>
  <si>
    <t xml:space="preserve">pp_break_2011</t>
  </si>
  <si>
    <t xml:space="preserve">rma.mv mods=~ pp_break_2011; random ~1|cluster_id/study/esid; V blocks within cluster_id, rho=0.6; CR2/Satterthwaite on cluster_id [D31.1/A.2]; k = complete cases on window codings [DEC-042b]; post cell pinned: 2077 ES / 93 studies / 92 clusters; rule: share_2011 &gt;= 0.5, ties to Post [F60/DEC-024]; difference of Fisher-z means</t>
  </si>
  <si>
    <t xml:space="preserve">placebo_2012</t>
  </si>
  <si>
    <t xml:space="preserve">rma.mv mods=~ pp_break_2012; random ~1|cluster_id/study/esid; V blocks within cluster_id, rho=0.6; CR2/Satterthwaite on cluster_id [D31.1/A.2]; k = complete cases on window codings [DEC-042b]</t>
  </si>
  <si>
    <t xml:space="preserve">pp_break_2012</t>
  </si>
  <si>
    <t xml:space="preserve">rma.mv mods=~ pp_break_2012; random ~1|cluster_id/study/esid; V blocks within cluster_id, rho=0.6; CR2/Satterthwaite on cluster_id [D31.1/A.2]; k = complete cases on window codings [DEC-042b]; post cell pinned: 1769 ES / 82 studies / 81 clusters; rule: share_2012 &gt;= 0.5, ties to Post [F60/DEC-024]; difference of Fisher-z means</t>
  </si>
  <si>
    <t xml:space="preserve">placebo_2013</t>
  </si>
  <si>
    <t xml:space="preserve">rma.mv mods=~ pp_break_2013; random ~1|cluster_id/study/esid; V blocks within cluster_id, rho=0.6; CR2/Satterthwaite on cluster_id [D31.1/A.2]; k = complete cases on window codings [DEC-042b]</t>
  </si>
  <si>
    <t xml:space="preserve">pp_break_2013</t>
  </si>
  <si>
    <t xml:space="preserve">rma.mv mods=~ pp_break_2013; random ~1|cluster_id/study/esid; V blocks within cluster_id, rho=0.6; CR2/Satterthwaite on cluster_id [D31.1/A.2]; k = complete cases on window codings [DEC-042b]; post cell pinned: 1486 ES / 69 studies / 69 clusters; rule: share_2013 &gt;= 0.5, ties to Post [F60/DEC-024]; difference of Fisher-z means</t>
  </si>
  <si>
    <t xml:space="preserve">placebo_2014</t>
  </si>
  <si>
    <t xml:space="preserve">rma.mv mods=~ pp_break_2014; random ~1|cluster_id/study/esid; V blocks within cluster_id, rho=0.6; CR2/Satterthwaite on cluster_id [D31.1/A.2]; k = complete cases on window codings [DEC-042b]</t>
  </si>
  <si>
    <t xml:space="preserve">pp_break_2014</t>
  </si>
  <si>
    <t xml:space="preserve">rma.mv mods=~ pp_break_2014; random ~1|cluster_id/study/esid; V blocks within cluster_id, rho=0.6; CR2/Satterthwaite on cluster_id [D31.1/A.2]; k = complete cases on window codings [DEC-042b]; post cell pinned: 1269 ES / 55 studies / 55 clusters; rule: share_2014 &gt;= 0.5, ties to Post [F60/DEC-024]; difference of Fisher-z means</t>
  </si>
  <si>
    <t xml:space="preserve">placebo_2015</t>
  </si>
  <si>
    <t xml:space="preserve">rma.mv mods=~ pp_break_2015; random ~1|cluster_id/study/esid; V blocks within cluster_id, rho=0.6; CR2/Satterthwaite on cluster_id [D31.1/A.2]; k = complete cases on window codings [DEC-042b]</t>
  </si>
  <si>
    <t xml:space="preserve">pp_break_2015</t>
  </si>
  <si>
    <t xml:space="preserve">rma.mv mods=~ pp_break_2015; random ~1|cluster_id/study/esid; V blocks within cluster_id, rho=0.6; CR2/Satterthwaite on cluster_id [D31.1/A.2]; k = complete cases on window codings [DEC-042b]; post cell pinned: 784 ES / 38 studies / 38 clusters; rule: share_2015 &gt;= 0.5, ties to Post [F60/DEC-024]; difference of Fisher-z means</t>
  </si>
  <si>
    <t xml:space="preserve">placebo_summary</t>
  </si>
  <si>
    <t xml:space="preserve">rank_2016_abs_break</t>
  </si>
  <si>
    <t xml:space="preserve">rank</t>
  </si>
  <si>
    <t xml:space="preserve">placebo_rank_2016</t>
  </si>
  <si>
    <t xml:space="preserve">rank of |2016 break| among cutoffs 2008-2016 (1 = largest of 9), break-only form; |b| by year: 2008=0.0240, 2009=0.0395, 2010=0.0365, 2011=0.0333, 2012=0.0009, 2013=0.0260, 2014=0.0231, 2015=0.0024, 2016=0.0102</t>
  </si>
  <si>
    <t xml:space="preserve">segmented</t>
  </si>
  <si>
    <t xml:space="preserve">level_at_knot_pre</t>
  </si>
  <si>
    <t xml:space="preserve">rma.mv mods=~ ts_knot * pp_mid_lag0 (ts_knot = sample_mid - 2015.5); random ~1|cluster_id/study/esid; V blocks within cluster_id, rho=0.6; CR2/Satterthwaite on cluster_id [D31.1/A.2]; k = complete cases on window codings [DEC-042b]; pre-segment level AT the knot (calendar 2015.5); NB: differs from the sample_mid_c-model intercept unless CENTER = 2015.5 (see design row center_sample_mid)</t>
  </si>
  <si>
    <t xml:space="preserve">slope_pre</t>
  </si>
  <si>
    <t xml:space="preserve">rma.mv mods=~ ts_knot * pp_mid_lag0 (ts_knot = sample_mid - 2015.5); random ~1|cluster_id/study/esid; V blocks within cluster_id, rho=0.6; CR2/Satterthwaite on cluster_id [D31.1/A.2]; k = complete cases on window codings [DEC-042b]</t>
  </si>
  <si>
    <t xml:space="preserve">level_shift_2016</t>
  </si>
  <si>
    <t xml:space="preserve">seg_level_shift</t>
  </si>
  <si>
    <t xml:space="preserve">slope_change_2016</t>
  </si>
  <si>
    <t xml:space="preserve">wald_break_joint</t>
  </si>
  <si>
    <t xml:space="preserve">rma.mv mods=~ ts_knot * pp_mid_lag0 (ts_knot = sample_mid - 2015.5); random ~1|cluster_id/study/esid; V blocks within cluster_id, rho=0.6; CR2/Satterthwaite on cluster_id [D31.1/A.2]; k = complete cases on window codings [DEC-042b]; H0: level shift = slope change = 0 at 2015.5; HTZ; num_df = 2</t>
  </si>
  <si>
    <t xml:space="preserve">B5</t>
  </si>
  <si>
    <t xml:space="preserve">composition_adj</t>
  </si>
  <si>
    <t xml:space="preserve">rma.mv mods=~ pp_mid_lag0 + country_region + COD_instrument + CER_measure; random ~1|cluster_id/study/esid; V blocks within cluster_id, rho=0.6; CR2/Satterthwaite on cluster_id [D31.1/A.2]; k = complete cases on window codings [DEC-042b]</t>
  </si>
  <si>
    <t xml:space="preserve">paris_comp_adj</t>
  </si>
  <si>
    <t xml:space="preserve">rma.mv mods=~ pp_mid_lag0 + country_region + COD_instrument + CER_measure; random ~1|cluster_id/study/esid; V blocks within cluster_id, rho=0.6; CR2/Satterthwaite on cluster_id [D31.1/A.2]; k = complete cases on window codings [DEC-042b]; Move 4 core: Paris net of composition {region, instrument, CER measure} [F61; Section 6 drift disclosure]; difference of Fisher-z means; DEC-024 transfer rule applied: full inference (df = 14.2 &gt;= 5); verdict read-out: delta-beta + adjusted CI vs SESOI band (|r| = 0.070 primary, |delta r| = 0.05 secondary), not p-survival [F61-P3]</t>
  </si>
  <si>
    <t xml:space="preserve">country_region2_Europe</t>
  </si>
  <si>
    <t xml:space="preserve">country_region3_AsiaPac</t>
  </si>
  <si>
    <t xml:space="preserve">country_region99_NCE</t>
  </si>
  <si>
    <t xml:space="preserve">rma.mv mods=~ pp_mid_lag0 + country_region + COD_instrument + CER_measure; random ~1|cluster_id/study/esid; V blocks within cluster_id, rho=0.6; CR2/Satterthwaite on cluster_id [D31.1/A.2]; k = complete cases on window codings [DEC-042b]; level retained for domain completeness (99_NCE); not interpreted [F61-P2]</t>
  </si>
  <si>
    <t xml:space="preserve">COD_instrumentbond (yield)</t>
  </si>
  <si>
    <t xml:space="preserve">COD_instrumentderivativ (CDS spread)</t>
  </si>
  <si>
    <t xml:space="preserve">COD_instrumentrating</t>
  </si>
  <si>
    <t xml:space="preserve">CER_measuredisclosure</t>
  </si>
  <si>
    <t xml:space="preserve">wald_composition_joint</t>
  </si>
  <si>
    <t xml:space="preserve">rma.mv mods=~ pp_mid_lag0 + country_region + COD_instrument + CER_measure; random ~1|cluster_id/study/esid; V blocks within cluster_id, rho=0.6; CR2/Satterthwaite on cluster_id [D31.1/A.2]; k = complete cases on window codings [DEC-042b]; H0: all composition coefficients = 0; HTZ; num_df = 7</t>
  </si>
  <si>
    <t xml:space="preserve">delta_vs_break_only</t>
  </si>
  <si>
    <t xml:space="preserve">composition-adjusted minus unadjusted Paris coefficient (z-scale); anchor = break_only on the identical 2,705 domain [F61-P1]; verdict read-out: delta-beta + adjusted CI vs SESOI band (|r| = 0.070 primary, |delta r| = 0.05 secondary), not p-survival [F61-P3]</t>
  </si>
  <si>
    <t xml:space="preserve">trend_composition</t>
  </si>
  <si>
    <t xml:space="preserve">rma.mv mods=~ sample_mid_c + pp_mid_lag0 + country_region + COD_instrument + CER_measure; random ~1|cluster_id/study/esid; V blocks within cluster_id, rho=0.6; CR2/Satterthwaite on cluster_id [D31.1/A.2]; k = complete cases on window codings [DEC-042b]</t>
  </si>
  <si>
    <t xml:space="preserve">paris_final_model</t>
  </si>
  <si>
    <t xml:space="preserve">rma.mv mods=~ sample_mid_c + pp_mid_lag0 + country_region + COD_instrument + CER_measure; random ~1|cluster_id/study/esid; V blocks within cluster_id, rho=0.6; CR2/Satterthwaite on cluster_id [D31.1/A.2]; k = complete cases on window codings [DEC-042b]; final identification model: trend + composition [Identifikation tab, Move 7 target]; difference of Fisher-z means; DEC-024 transfer rule applied: full inference (df = 19.2 &gt;= 5); verdict read-out: delta-beta + adjusted CI vs SESOI band (|r| = 0.070 primary, |delta r| = 0.05 secondary), not p-survival [F61-P3]</t>
  </si>
  <si>
    <t xml:space="preserve">rma.mv mods=~ sample_mid_c + pp_mid_lag0 + country_region + COD_instrument + CER_measure; random ~1|cluster_id/study/esid; V blocks within cluster_id, rho=0.6; CR2/Satterthwaite on cluster_id [D31.1/A.2]; k = complete cases on window codings [DEC-042b]; level retained for domain completeness (99_NCE); not interpreted [F61-P2]</t>
  </si>
  <si>
    <t xml:space="preserve">rma.mv mods=~ sample_mid_c + pp_mid_lag0 + country_region + COD_instrument + CER_measure; random ~1|cluster_id/study/esid; V blocks within cluster_id, rho=0.6; CR2/Satterthwaite on cluster_id [D31.1/A.2]; k = complete cases on window codings [DEC-042b]; H0: all composition coefficients = 0 (trend held); HTZ; num_df = 7</t>
  </si>
  <si>
    <t xml:space="preserve">B8</t>
  </si>
  <si>
    <t xml:space="preserve">oster</t>
  </si>
  <si>
    <t xml:space="preserve">pseudo_R2</t>
  </si>
  <si>
    <t xml:space="preserve">Oster_analog</t>
  </si>
  <si>
    <t xml:space="preserve">Oster-logic ANALOG on variance-component pseudo-R2: R2 = 1 - sum(sigma2_model)/sum(sigma2_intercept-only), same subset/V; uncontrolled = race (time trend held in both models [F61-P1]), controlled = trend_composition; Rmax = min(1.3 x R2_c, 1) [Oster 2019]; pseudo-R2 can be negative (REML)</t>
  </si>
  <si>
    <t xml:space="preserve">oster_beta_star</t>
  </si>
  <si>
    <t xml:space="preserve">Oster-logic ANALOG on variance-component pseudo-R2: R2 = 1 - sum(sigma2_model)/sum(sigma2_intercept-only), same subset/V; uncontrolled = race (time trend held in both models [F61-P1]), controlled = trend_composition; Rmax = min(1.3 x R2_c, 1) [Oster 2019]; pseudo-R2 can be negative (REML); delta = 1; z-scale</t>
  </si>
  <si>
    <t xml:space="preserve">delta</t>
  </si>
  <si>
    <t xml:space="preserve">Oster-logic ANALOG on variance-component pseudo-R2: R2 = 1 - sum(sigma2_model)/sum(sigma2_intercept-only), same subset/V; uncontrolled = race (time trend held in both models [F61-P1]), controlled = trend_composition; Rmax = min(1.3 x R2_c, 1) [Oster 2019]; pseudo-R2 can be negative (REML); CAVEAT: near-null coefficients make delta* mechanically unstable — read jointly with beta_star and the mask E-values</t>
  </si>
  <si>
    <t xml:space="preserve">evalue</t>
  </si>
  <si>
    <t xml:space="preserve">E_value</t>
  </si>
  <si>
    <t xml:space="preserve">EValue_approx</t>
  </si>
  <si>
    <t xml:space="preserve">on |final-model Paris coefficient|; |delta z| read as |delta r| (third-order approx at these magnitudes); r-&gt;d = 2r/sqrt(1-r^2), RR approx exp(0.91 d) [VanderWeele &amp; Ding 2017]</t>
  </si>
  <si>
    <t xml:space="preserve">on max |CR2 CI bound| of the final-model Paris coefficient; |delta z| read as |delta r| (third-order approx at these magnitudes); r-&gt;d = 2r/sqrt(1-r^2), RR approx exp(0.91 d) [VanderWeele &amp; Ding 2017]</t>
  </si>
  <si>
    <t xml:space="preserve">evalue_mask_005</t>
  </si>
  <si>
    <t xml:space="preserve">confounding strength needed to mask a true |delta r| = 0.05 contrast [DEC-031 Block E secondary SESOI]; |delta z| read as |delta r| (third-order approx at these magnitudes); r-&gt;d = 2r/sqrt(1-r^2), RR approx exp(0.91 d) [VanderWeele &amp; Ding 2017]</t>
  </si>
  <si>
    <t xml:space="preserve">mask reference at the pooled-mean SESOI |r| = 0.070 (F27v2) [DEC-031 Block E primary]; |delta z| read as |delta r| (third-order approx at these magnitudes); r-&gt;d = 2r/sqrt(1-r^2), RR approx exp(0.91 d) [VanderWeele &amp; Ding 2017]</t>
  </si>
  <si>
    <t xml:space="preserve">Manuscript inputs — ms_input = TRUE rows (10), fully formula-derived from Results_Long</t>
  </si>
  <si>
    <t xml:space="preserve">p-format: IF(p&lt;0.0001,"&lt; 0.0001",TEXT(p,"0.000")) · strings paste-ready</t>
  </si>
  <si>
    <t xml:space="preserve">analysis</t>
  </si>
  <si>
    <t xml:space="preserve">paste-ready string (EN)</t>
  </si>
  <si>
    <t xml:space="preserve">Manuscript text blocks — T8 (TB-20…TB-28; numbering continues from T2 = TB-13…19)</t>
  </si>
  <si>
    <t xml:space="preserve">Numbers hardcoded — REGENERATE ON ANY RE-RUN. Source: output/T8_results.csv @ 76074a2, run 2026-07-15 21:54, verifier 27/27.</t>
  </si>
  <si>
    <t xml:space="preserve">Framing-neutral until Ablauf 3b / Pending-C. Formula-live layer: Manuscript_Inputs.</t>
  </si>
  <si>
    <t xml:space="preserve">ID</t>
  </si>
  <si>
    <t xml:space="preserve">Target section</t>
  </si>
  <si>
    <t xml:space="preserve">Status</t>
  </si>
  <si>
    <t xml:space="preserve">Text (EN)</t>
  </si>
  <si>
    <t xml:space="preserve">Source pointers</t>
  </si>
  <si>
    <t xml:space="preserve">Note</t>
  </si>
  <si>
    <t xml:space="preserve">TB-20</t>
  </si>
  <si>
    <t xml:space="preserve">Methods · identification</t>
  </si>
  <si>
    <t xml:space="preserve">READY</t>
  </si>
  <si>
    <t xml:space="preserve">We probe the Paris discontinuity with a pre-registered identification battery on the dose/period domain (2,705 effect sizes; 113 studies; 112 clusters): a trend-versus-break race, eight placebo cutoffs (2008–2015), a segmented meta-regression at the treaty threshold, a continuous exposure-dose model, a composition control on the three disclosed drift dimensions, and Oster/E-value bounding. All models share the three-level RVE spine (CR2, Satterthwaite; rho = 0.6).</t>
  </si>
  <si>
    <t xml:space="preserve">DEC-024/024a/031d; plan §4/A.9</t>
  </si>
  <si>
    <t xml:space="preserve">battery overview</t>
  </si>
  <si>
    <t xml:space="preserve">TB-21</t>
  </si>
  <si>
    <t xml:space="preserve">Results · race</t>
  </si>
  <si>
    <t xml:space="preserve">Neither component wins the race: the secular trend is −0.002 Fisher-z per year (95% CI [−0.006; +0.001]; p = .113) and the 2016 break is +0.026 [−0.026; +0.079] (p = .306) once the trend is allowed; the unadjusted break replicates the headline moderation at +0.010 [−0.028; +0.049] (p = .582).</t>
  </si>
  <si>
    <t xml:space="preserve">Tab 8; rows B4</t>
  </si>
  <si>
    <t xml:space="preserve">Move 1</t>
  </si>
  <si>
    <t xml:space="preserve">TB-22</t>
  </si>
  <si>
    <t xml:space="preserve">Results · placebos</t>
  </si>
  <si>
    <t xml:space="preserve">The treaty year is not where the data break: 2016 ranks 7th of 9 cutoffs by absolute break magnitude, with placebo cuts at 2009–2011 producing breaks of |0.033–0.040| against |0.010| at 2016; no placebo is individually significant (smallest p = .076).</t>
  </si>
  <si>
    <t xml:space="preserve">Tab 8; DEC-024a</t>
  </si>
  <si>
    <t xml:space="preserve">Move 3</t>
  </si>
  <si>
    <t xml:space="preserve">TB-23</t>
  </si>
  <si>
    <t xml:space="preserve">Results · segmented</t>
  </si>
  <si>
    <t xml:space="preserve">A segmented meta-regression at the 2015.5 threshold finds no level shift (+0.028; p = .260), no slope change (−0.001; p = .871), and no pre-2016 trend (−0.002 per year; p = .160); the joint break test yields F = 0.67 (p = .525).</t>
  </si>
  <si>
    <t xml:space="preserve">Tab 8</t>
  </si>
  <si>
    <t xml:space="preserve">Move 2</t>
  </si>
  <si>
    <t xml:space="preserve">TB-24</t>
  </si>
  <si>
    <t xml:space="preserve">Results · dose</t>
  </si>
  <si>
    <t xml:space="preserve">Continuous post-Paris exposure shows no dose–response gradient: +0.052 Fisher-z per unit exposure share (95% CI [−0.043; +0.146]; p = .271); the pinned 0→0.6 contrast is +0.031 [−0.026; +0.088], and the quadratic and joint dose tests are likewise null (p = .332 / .207). Model-implied associations remain negative across the dose range (−0.087 at zero to −0.035 at full exposure, at calendar 2015.5).</t>
  </si>
  <si>
    <t xml:space="preserve">Tab 7; DEC-024</t>
  </si>
  <si>
    <t xml:space="preserve">dose</t>
  </si>
  <si>
    <t xml:space="preserve">TB-25</t>
  </si>
  <si>
    <t xml:space="preserve">Results · composition</t>
  </si>
  <si>
    <t xml:space="preserve">Adjusting the Paris contrast for the three disclosed composition drifts (region, debt instrument, CER measure) moves it by +0.002 Fisher-z: the adjusted contrast is +0.012 [−0.025; +0.050] and, with the trend held, +0.014 [−0.024; +0.052]; the composition covariates are jointly insignificant in both models (p ≈ .3). Both adjusted intervals exclude a material Paris effect at the primary SESOI (|r| = 0.070).</t>
  </si>
  <si>
    <t xml:space="preserve">Tab 9; DEC-031d</t>
  </si>
  <si>
    <t xml:space="preserve">Move 4</t>
  </si>
  <si>
    <t xml:space="preserve">TB-26</t>
  </si>
  <si>
    <t xml:space="preserve">Results · bounding</t>
  </si>
  <si>
    <t xml:space="preserve">Under proportional selection on unobservables (delta = 1; Rmax = 1.3 R²_controlled) the Paris contrast moves to +0.012 Fisher-z; the selection strength required to drive it to zero is 9.3, though with a near-null coefficient this figure is mechanically unstable and is read jointly with the mask E-values: confounding of RR = 1.42 (1.53) would suffice to hide a true contrast at the secondary (primary) SESOI.</t>
  </si>
  <si>
    <t xml:space="preserve">Tab 10; Oster 2019; VanderWeele &amp; Ding 2017</t>
  </si>
  <si>
    <t xml:space="preserve">Move 7</t>
  </si>
  <si>
    <t xml:space="preserve">TB-27</t>
  </si>
  <si>
    <t xml:space="preserve">Limitations · race precision</t>
  </si>
  <si>
    <t xml:space="preserve">The race specification buys identification at a precision cost: with corr(sample mid-year, exposure share) = 0.81, the trend-adjusted break interval widens to [−0.026; +0.079] and cannot exclude effects up to the primary SESOI; the equivalence claim therefore rests on the unadjusted and composition-adjusted forms, per the pre-registered effect-size read-out.</t>
  </si>
  <si>
    <t xml:space="preserve">Tab 8; F61-P3; plan A.9</t>
  </si>
  <si>
    <t xml:space="preserve">pre-anticipated</t>
  </si>
  <si>
    <t xml:space="preserve">TB-28</t>
  </si>
  <si>
    <t xml:space="preserve">Discussion · synthesis</t>
  </si>
  <si>
    <t xml:space="preserve">BLOCKED — Pending-C</t>
  </si>
  <si>
    <t xml:space="preserve">Across all identification moves the Paris moderation is a consistent null: no race winner, no placebo localization, no threshold break, no dose gradient, a +0.002 composition delta, and bounding that keeps the contrast within the SESOI band under delta = 1. [Framing — null/debunking vs. contingency — awaits Pending-C.]</t>
  </si>
  <si>
    <t xml:space="preserve">Tabs 7–10</t>
  </si>
  <si>
    <t xml:space="preserve">synthesis; do not use before Pending-C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</si>
</sst>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"/>
    <numFmt numFmtId="166" formatCode="0.0000"/>
    <numFmt numFmtId="167" formatCode="0.0"/>
    <numFmt numFmtId="168" formatCode="\+0.0000;\-0.0000"/>
    <numFmt numFmtId="169" formatCode="0"/>
    <numFmt numFmtId="170" formatCode="0.00"/>
    <numFmt numFmtId="171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FFC7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</row>
    <row r="6" customFormat="false" ht="15" hidden="false" customHeight="false" outlineLevel="0" collapsed="false">
      <c r="A6" s="1" t="s">
        <v>5</v>
      </c>
      <c r="B6" s="4" t="s">
        <v>6</v>
      </c>
    </row>
    <row r="7" customFormat="false" ht="23.85" hidden="false" customHeight="false" outlineLevel="0" collapsed="false">
      <c r="A7" s="1" t="s">
        <v>7</v>
      </c>
      <c r="B7" s="4" t="s">
        <v>8</v>
      </c>
    </row>
    <row r="8" customFormat="false" ht="15" hidden="false" customHeight="false" outlineLevel="0" collapsed="false">
      <c r="A8" s="1" t="s">
        <v>9</v>
      </c>
      <c r="B8" s="4" t="s">
        <v>10</v>
      </c>
    </row>
    <row r="9" customFormat="false" ht="15" hidden="false" customHeight="false" outlineLevel="0" collapsed="false">
      <c r="A9" s="1" t="s">
        <v>11</v>
      </c>
      <c r="B9" s="4" t="s">
        <v>12</v>
      </c>
    </row>
    <row r="10" customFormat="false" ht="15" hidden="false" customHeight="false" outlineLevel="0" collapsed="false">
      <c r="A10" s="1" t="s">
        <v>13</v>
      </c>
      <c r="B10" s="4" t="s">
        <v>14</v>
      </c>
    </row>
    <row r="11" customFormat="false" ht="15" hidden="false" customHeight="false" outlineLevel="0" collapsed="false">
      <c r="A11" s="1" t="s">
        <v>15</v>
      </c>
      <c r="B11" s="4" t="s">
        <v>16</v>
      </c>
    </row>
    <row r="12" customFormat="false" ht="15" hidden="false" customHeight="false" outlineLevel="0" collapsed="false">
      <c r="A12" s="1" t="s">
        <v>17</v>
      </c>
      <c r="B12" s="4" t="s">
        <v>18</v>
      </c>
    </row>
    <row r="14" customFormat="false" ht="15" hidden="false" customHeight="false" outlineLevel="0" collapsed="false">
      <c r="A14" s="1" t="s">
        <v>19</v>
      </c>
    </row>
    <row r="15" customFormat="false" ht="15" hidden="false" customHeight="false" outlineLevel="0" collapsed="false">
      <c r="A15" s="2" t="s">
        <v>20</v>
      </c>
      <c r="B15" s="2" t="s">
        <v>21</v>
      </c>
    </row>
    <row r="16" customFormat="false" ht="15" hidden="false" customHeight="false" outlineLevel="0" collapsed="false">
      <c r="A16" s="2" t="s">
        <v>22</v>
      </c>
      <c r="B16" s="2" t="s">
        <v>23</v>
      </c>
    </row>
    <row r="17" customFormat="false" ht="15" hidden="false" customHeight="false" outlineLevel="0" collapsed="false">
      <c r="A17" s="2" t="s">
        <v>24</v>
      </c>
      <c r="B17" s="2" t="s">
        <v>25</v>
      </c>
    </row>
    <row r="18" customFormat="false" ht="15" hidden="false" customHeight="false" outlineLevel="0" collapsed="false">
      <c r="A18" s="2" t="s">
        <v>26</v>
      </c>
      <c r="B18" s="2" t="s">
        <v>27</v>
      </c>
    </row>
    <row r="19" customFormat="false" ht="15" hidden="false" customHeight="false" outlineLevel="0" collapsed="false">
      <c r="A19" s="2" t="s">
        <v>28</v>
      </c>
      <c r="B19" s="2" t="s">
        <v>29</v>
      </c>
    </row>
    <row r="20" customFormat="false" ht="15" hidden="false" customHeight="false" outlineLevel="0" collapsed="false">
      <c r="A20" s="2" t="s">
        <v>30</v>
      </c>
      <c r="B20" s="2" t="s">
        <v>31</v>
      </c>
    </row>
    <row r="21" customFormat="false" ht="15" hidden="false" customHeight="false" outlineLevel="0" collapsed="false">
      <c r="A21" s="2" t="s">
        <v>32</v>
      </c>
      <c r="B21" s="2" t="s">
        <v>33</v>
      </c>
    </row>
    <row r="22" customFormat="false" ht="15" hidden="false" customHeight="false" outlineLevel="0" collapsed="false">
      <c r="A22" s="2" t="s">
        <v>34</v>
      </c>
      <c r="B22" s="2" t="s">
        <v>35</v>
      </c>
    </row>
    <row r="23" customFormat="false" ht="15" hidden="false" customHeight="false" outlineLevel="0" collapsed="false">
      <c r="A23" s="2" t="s">
        <v>36</v>
      </c>
      <c r="B23" s="2" t="s">
        <v>37</v>
      </c>
    </row>
    <row r="24" customFormat="false" ht="15" hidden="false" customHeight="false" outlineLevel="0" collapsed="false">
      <c r="A24" s="2" t="s">
        <v>38</v>
      </c>
      <c r="B24" s="2" t="s">
        <v>39</v>
      </c>
    </row>
    <row r="25" customFormat="false" ht="15" hidden="false" customHeight="false" outlineLevel="0" collapsed="false">
      <c r="A25" s="2" t="s">
        <v>40</v>
      </c>
      <c r="B25" s="2" t="s">
        <v>41</v>
      </c>
    </row>
    <row r="26" customFormat="false" ht="15" hidden="false" customHeight="false" outlineLevel="0" collapsed="false">
      <c r="A26" s="2" t="s">
        <v>42</v>
      </c>
      <c r="B26" s="2" t="s">
        <v>43</v>
      </c>
    </row>
    <row r="27" customFormat="false" ht="15" hidden="false" customHeight="false" outlineLevel="0" collapsed="false">
      <c r="A27" s="2" t="s">
        <v>44</v>
      </c>
      <c r="B27" s="2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28"/>
  </cols>
  <sheetData>
    <row r="1" customFormat="false" ht="1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48</v>
      </c>
      <c r="B5" s="3" t="s">
        <v>49</v>
      </c>
      <c r="C5" s="3" t="s">
        <v>50</v>
      </c>
    </row>
    <row r="6" customFormat="false" ht="15" hidden="false" customHeight="false" outlineLevel="0" collapsed="false">
      <c r="A6" s="4" t="s">
        <v>51</v>
      </c>
      <c r="B6" s="4" t="s">
        <v>52</v>
      </c>
      <c r="C6" s="2" t="s">
        <v>53</v>
      </c>
    </row>
    <row r="7" customFormat="false" ht="15" hidden="false" customHeight="false" outlineLevel="0" collapsed="false">
      <c r="A7" s="4" t="s">
        <v>54</v>
      </c>
      <c r="B7" s="4" t="s">
        <v>55</v>
      </c>
      <c r="C7" s="2" t="s">
        <v>56</v>
      </c>
    </row>
    <row r="8" customFormat="false" ht="15" hidden="false" customHeight="false" outlineLevel="0" collapsed="false">
      <c r="A8" s="4" t="s">
        <v>57</v>
      </c>
      <c r="B8" s="4" t="s">
        <v>58</v>
      </c>
      <c r="C8" s="2" t="s">
        <v>59</v>
      </c>
    </row>
    <row r="9" customFormat="false" ht="23.85" hidden="false" customHeight="false" outlineLevel="0" collapsed="false">
      <c r="A9" s="4" t="s">
        <v>60</v>
      </c>
      <c r="B9" s="4" t="s">
        <v>61</v>
      </c>
      <c r="C9" s="2" t="s">
        <v>62</v>
      </c>
    </row>
    <row r="10" customFormat="false" ht="15" hidden="false" customHeight="false" outlineLevel="0" collapsed="false">
      <c r="A10" s="4" t="s">
        <v>63</v>
      </c>
      <c r="B10" s="4" t="s">
        <v>64</v>
      </c>
      <c r="C10" s="2" t="s">
        <v>65</v>
      </c>
    </row>
    <row r="11" customFormat="false" ht="15" hidden="false" customHeight="false" outlineLevel="0" collapsed="false">
      <c r="A11" s="4" t="s">
        <v>66</v>
      </c>
      <c r="B11" s="4" t="s">
        <v>67</v>
      </c>
      <c r="C11" s="2" t="s">
        <v>68</v>
      </c>
    </row>
    <row r="12" customFormat="false" ht="23.85" hidden="false" customHeight="false" outlineLevel="0" collapsed="false">
      <c r="A12" s="4" t="s">
        <v>69</v>
      </c>
      <c r="B12" s="4" t="s">
        <v>70</v>
      </c>
      <c r="C12" s="2" t="s">
        <v>71</v>
      </c>
    </row>
    <row r="13" customFormat="false" ht="23.85" hidden="false" customHeight="false" outlineLevel="0" collapsed="false">
      <c r="A13" s="4" t="s">
        <v>72</v>
      </c>
      <c r="B13" s="4" t="s">
        <v>73</v>
      </c>
      <c r="C13" s="2" t="s">
        <v>74</v>
      </c>
    </row>
    <row r="14" customFormat="false" ht="15" hidden="false" customHeight="false" outlineLevel="0" collapsed="false">
      <c r="A14" s="4" t="s">
        <v>75</v>
      </c>
      <c r="B14" s="4" t="s">
        <v>76</v>
      </c>
      <c r="C14" s="2" t="s">
        <v>77</v>
      </c>
    </row>
    <row r="15" customFormat="false" ht="15" hidden="false" customHeight="false" outlineLevel="0" collapsed="false">
      <c r="A15" s="4" t="s">
        <v>78</v>
      </c>
      <c r="B15" s="4" t="s">
        <v>79</v>
      </c>
      <c r="C15" s="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42"/>
  </cols>
  <sheetData>
    <row r="1" customFormat="false" ht="15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48</v>
      </c>
      <c r="B5" s="3" t="s">
        <v>83</v>
      </c>
      <c r="C5" s="3" t="s">
        <v>84</v>
      </c>
    </row>
    <row r="6" customFormat="false" ht="15" hidden="false" customHeight="false" outlineLevel="0" collapsed="false">
      <c r="A6" s="4" t="s">
        <v>85</v>
      </c>
      <c r="B6" s="4" t="s">
        <v>86</v>
      </c>
      <c r="C6" s="4" t="s">
        <v>87</v>
      </c>
    </row>
    <row r="7" customFormat="false" ht="23.85" hidden="false" customHeight="false" outlineLevel="0" collapsed="false">
      <c r="A7" s="4" t="s">
        <v>88</v>
      </c>
      <c r="B7" s="4" t="s">
        <v>89</v>
      </c>
      <c r="C7" s="4" t="s">
        <v>90</v>
      </c>
    </row>
    <row r="8" customFormat="false" ht="23.85" hidden="false" customHeight="false" outlineLevel="0" collapsed="false">
      <c r="A8" s="4" t="s">
        <v>91</v>
      </c>
      <c r="B8" s="4" t="s">
        <v>92</v>
      </c>
      <c r="C8" s="4" t="s">
        <v>93</v>
      </c>
    </row>
    <row r="9" customFormat="false" ht="23.85" hidden="false" customHeight="false" outlineLevel="0" collapsed="false">
      <c r="A9" s="4" t="s">
        <v>94</v>
      </c>
      <c r="B9" s="4" t="s">
        <v>95</v>
      </c>
      <c r="C9" s="4" t="s">
        <v>96</v>
      </c>
    </row>
    <row r="10" customFormat="false" ht="23.85" hidden="false" customHeight="false" outlineLevel="0" collapsed="false">
      <c r="A10" s="4" t="s">
        <v>97</v>
      </c>
      <c r="B10" s="4" t="s">
        <v>98</v>
      </c>
      <c r="C10" s="4" t="s">
        <v>99</v>
      </c>
    </row>
    <row r="11" customFormat="false" ht="23.85" hidden="false" customHeight="false" outlineLevel="0" collapsed="false">
      <c r="A11" s="4" t="s">
        <v>100</v>
      </c>
      <c r="B11" s="4" t="s">
        <v>101</v>
      </c>
      <c r="C11" s="4" t="s">
        <v>102</v>
      </c>
    </row>
    <row r="12" customFormat="false" ht="23.85" hidden="false" customHeight="false" outlineLevel="0" collapsed="false">
      <c r="A12" s="4" t="s">
        <v>75</v>
      </c>
      <c r="B12" s="4" t="s">
        <v>103</v>
      </c>
      <c r="C12" s="4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48</v>
      </c>
      <c r="B5" s="3" t="s">
        <v>107</v>
      </c>
      <c r="C5" s="3" t="s">
        <v>108</v>
      </c>
    </row>
    <row r="6" customFormat="false" ht="15" hidden="false" customHeight="false" outlineLevel="0" collapsed="false">
      <c r="A6" s="4" t="s">
        <v>109</v>
      </c>
      <c r="B6" s="4" t="s">
        <v>110</v>
      </c>
      <c r="C6" s="2" t="s">
        <v>111</v>
      </c>
    </row>
    <row r="7" customFormat="false" ht="15" hidden="false" customHeight="false" outlineLevel="0" collapsed="false">
      <c r="A7" s="4" t="s">
        <v>112</v>
      </c>
      <c r="B7" s="4" t="s">
        <v>113</v>
      </c>
      <c r="C7" s="2" t="s">
        <v>114</v>
      </c>
    </row>
    <row r="8" customFormat="false" ht="15" hidden="false" customHeight="false" outlineLevel="0" collapsed="false">
      <c r="A8" s="4" t="s">
        <v>115</v>
      </c>
      <c r="B8" s="4" t="s">
        <v>116</v>
      </c>
      <c r="C8" s="2" t="s">
        <v>117</v>
      </c>
    </row>
    <row r="9" customFormat="false" ht="15" hidden="false" customHeight="false" outlineLevel="0" collapsed="false">
      <c r="A9" s="4" t="s">
        <v>118</v>
      </c>
      <c r="B9" s="4" t="s">
        <v>119</v>
      </c>
      <c r="C9" s="2" t="s">
        <v>120</v>
      </c>
    </row>
    <row r="10" customFormat="false" ht="15" hidden="false" customHeight="false" outlineLevel="0" collapsed="false">
      <c r="A10" s="4" t="s">
        <v>121</v>
      </c>
      <c r="B10" s="4" t="s">
        <v>122</v>
      </c>
      <c r="C10" s="2" t="s">
        <v>123</v>
      </c>
    </row>
    <row r="11" customFormat="false" ht="15" hidden="false" customHeight="false" outlineLevel="0" collapsed="false">
      <c r="A11" s="4" t="s">
        <v>124</v>
      </c>
      <c r="B11" s="4" t="s">
        <v>125</v>
      </c>
      <c r="C11" s="2" t="s">
        <v>126</v>
      </c>
    </row>
    <row r="12" customFormat="false" ht="15" hidden="false" customHeight="false" outlineLevel="0" collapsed="false">
      <c r="A12" s="4" t="s">
        <v>127</v>
      </c>
      <c r="B12" s="4" t="s">
        <v>128</v>
      </c>
      <c r="C12" s="2" t="s">
        <v>129</v>
      </c>
    </row>
    <row r="13" customFormat="false" ht="15" hidden="false" customHeight="false" outlineLevel="0" collapsed="false">
      <c r="A13" s="4" t="s">
        <v>75</v>
      </c>
      <c r="B13" s="4" t="s">
        <v>130</v>
      </c>
      <c r="C13" s="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6"/>
    <col collapsed="false" customWidth="true" hidden="false" outlineLevel="0" max="3" min="3" style="0" width="34"/>
  </cols>
  <sheetData>
    <row r="1" customFormat="false" ht="1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134</v>
      </c>
    </row>
    <row r="6" customFormat="false" ht="15" hidden="false" customHeight="false" outlineLevel="0" collapsed="false">
      <c r="A6" s="5" t="s">
        <v>135</v>
      </c>
      <c r="B6" s="4" t="s">
        <v>136</v>
      </c>
      <c r="C6" s="2" t="s">
        <v>137</v>
      </c>
    </row>
    <row r="7" customFormat="false" ht="23.85" hidden="false" customHeight="false" outlineLevel="0" collapsed="false">
      <c r="A7" s="5" t="s">
        <v>138</v>
      </c>
      <c r="B7" s="4" t="s">
        <v>139</v>
      </c>
      <c r="C7" s="2" t="s">
        <v>140</v>
      </c>
    </row>
    <row r="8" customFormat="false" ht="15" hidden="false" customHeight="false" outlineLevel="0" collapsed="false">
      <c r="A8" s="5" t="s">
        <v>141</v>
      </c>
      <c r="B8" s="4" t="s">
        <v>142</v>
      </c>
      <c r="C8" s="2" t="s">
        <v>143</v>
      </c>
    </row>
    <row r="9" customFormat="false" ht="15" hidden="false" customHeight="false" outlineLevel="0" collapsed="false">
      <c r="A9" s="5" t="s">
        <v>144</v>
      </c>
      <c r="B9" s="4" t="s">
        <v>145</v>
      </c>
      <c r="C9" s="2" t="s">
        <v>146</v>
      </c>
    </row>
    <row r="10" customFormat="false" ht="15" hidden="false" customHeight="false" outlineLevel="0" collapsed="false">
      <c r="A10" s="5" t="s">
        <v>147</v>
      </c>
      <c r="B10" s="4" t="s">
        <v>148</v>
      </c>
      <c r="C10" s="2" t="s">
        <v>149</v>
      </c>
    </row>
    <row r="11" customFormat="false" ht="23.85" hidden="false" customHeight="false" outlineLevel="0" collapsed="false">
      <c r="A11" s="5" t="s">
        <v>150</v>
      </c>
      <c r="B11" s="4" t="s">
        <v>151</v>
      </c>
      <c r="C11" s="2" t="s">
        <v>152</v>
      </c>
    </row>
    <row r="12" customFormat="false" ht="23.85" hidden="false" customHeight="false" outlineLevel="0" collapsed="false">
      <c r="A12" s="5" t="s">
        <v>153</v>
      </c>
      <c r="B12" s="4" t="s">
        <v>154</v>
      </c>
      <c r="C12" s="2" t="s">
        <v>155</v>
      </c>
    </row>
    <row r="13" customFormat="false" ht="23.85" hidden="false" customHeight="false" outlineLevel="0" collapsed="false">
      <c r="A13" s="5" t="s">
        <v>156</v>
      </c>
      <c r="B13" s="4" t="s">
        <v>157</v>
      </c>
      <c r="C13" s="2" t="s">
        <v>65</v>
      </c>
    </row>
    <row r="14" customFormat="false" ht="15" hidden="false" customHeight="false" outlineLevel="0" collapsed="false">
      <c r="A14" s="5" t="s">
        <v>158</v>
      </c>
      <c r="B14" s="4" t="s">
        <v>159</v>
      </c>
      <c r="C14" s="2" t="s">
        <v>160</v>
      </c>
    </row>
    <row r="15" customFormat="false" ht="15" hidden="false" customHeight="false" outlineLevel="0" collapsed="false">
      <c r="A15" s="5" t="s">
        <v>161</v>
      </c>
      <c r="B15" s="4" t="s">
        <v>162</v>
      </c>
      <c r="C15" s="2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166</v>
      </c>
      <c r="B5" s="3" t="s">
        <v>4</v>
      </c>
      <c r="C5" s="3" t="s">
        <v>167</v>
      </c>
    </row>
    <row r="6" customFormat="false" ht="15" hidden="false" customHeight="false" outlineLevel="0" collapsed="false">
      <c r="A6" s="2" t="s">
        <v>168</v>
      </c>
      <c r="B6" s="6" t="n">
        <f aca="false">Results_Long!AG2</f>
        <v>2705</v>
      </c>
      <c r="C6" s="4" t="str">
        <f aca="false">Results_Long!AJ2</f>
        <v>2,705 ES / 113 studies / 112 clusters [DEC-042b]; run date in T8_run_meta.txt</v>
      </c>
    </row>
    <row r="7" customFormat="false" ht="23.85" hidden="false" customHeight="false" outlineLevel="0" collapsed="false">
      <c r="A7" s="2" t="s">
        <v>169</v>
      </c>
      <c r="B7" s="6" t="n">
        <f aca="false">Results_Long!AG3</f>
        <v>8</v>
      </c>
      <c r="C7" s="4" t="str">
        <f aca="false">Results_Long!AJ3</f>
        <v>8 ES / 2 studies / 2 clusters (Bhattacharya &amp; Sharma 2019; Ng &amp; Rezaee 2012) [DEC-042b]; provenance for workbook Tab 5_Data_Provenance</v>
      </c>
    </row>
    <row r="8" customFormat="false" ht="15" hidden="false" customHeight="false" outlineLevel="0" collapsed="false">
      <c r="A8" s="2" t="s">
        <v>170</v>
      </c>
      <c r="B8" s="6" t="n">
        <f aca="false">Results_Long!AG4</f>
        <v>711</v>
      </c>
      <c r="C8" s="4" t="str">
        <f aca="false">Results_Long!AJ4</f>
        <v>711 ES / 31 studies / 31 clusters (v12 design constant)</v>
      </c>
    </row>
    <row r="9" customFormat="false" ht="23.85" hidden="false" customHeight="false" outlineLevel="0" collapsed="false">
      <c r="A9" s="2" t="s">
        <v>171</v>
      </c>
      <c r="B9" s="7" t="n">
        <f aca="false">Results_Long!AG5</f>
        <v>0.814579698943666</v>
      </c>
      <c r="C9" s="4" t="str">
        <f aca="false">Results_Long!AJ5</f>
        <v>ES-level Pearson on 2,705; supersedes stale 0.70 pin (v8-era) — plan Section 4 disclosure updates [DEC-031 counts-re-derive]</v>
      </c>
    </row>
    <row r="10" customFormat="false" ht="15" hidden="false" customHeight="false" outlineLevel="0" collapsed="false">
      <c r="A10" s="2" t="s">
        <v>172</v>
      </c>
      <c r="B10" s="6" t="n">
        <f aca="false">Results_Long!AG6</f>
        <v>41</v>
      </c>
      <c r="C10" s="4" t="str">
        <f aca="false">Results_Long!AJ6</f>
        <v>distinct pp_share_lag0 values; T2 pin P1 confirmed</v>
      </c>
    </row>
    <row r="11" customFormat="false" ht="23.85" hidden="false" customHeight="false" outlineLevel="0" collapsed="false">
      <c r="A11" s="2" t="s">
        <v>173</v>
      </c>
      <c r="B11" s="6" t="n">
        <f aca="false">Results_Long!AG7</f>
        <v>1</v>
      </c>
      <c r="C11" s="4" t="str">
        <f aca="false">Results_Long!AJ7</f>
        <v>v12 supersedes the stale p95 = 0.6 pin; contrast point 0.6 retained by role [DEC-024; DEC-031 counts-re-derive]</v>
      </c>
    </row>
    <row r="12" customFormat="false" ht="15" hidden="false" customHeight="false" outlineLevel="0" collapsed="false">
      <c r="A12" s="2" t="s">
        <v>174</v>
      </c>
      <c r="B12" s="6" t="n">
        <f aca="false">Results_Long!AG8</f>
        <v>318</v>
      </c>
      <c r="C12" s="4" t="str">
        <f aca="false">Results_Long!AJ8</f>
        <v>13 studies / 13 clusters at share = 1</v>
      </c>
    </row>
    <row r="13" customFormat="false" ht="15" hidden="false" customHeight="false" outlineLevel="0" collapsed="false">
      <c r="A13" s="2" t="s">
        <v>175</v>
      </c>
      <c r="B13" s="6" t="n">
        <f aca="false">Results_Long!AG9</f>
        <v>611</v>
      </c>
      <c r="C13" s="4" t="str">
        <f aca="false">Results_Long!AJ9</f>
        <v>27 studies at share = 0</v>
      </c>
    </row>
    <row r="14" customFormat="false" ht="23.85" hidden="false" customHeight="false" outlineLevel="0" collapsed="false">
      <c r="A14" s="2" t="s">
        <v>176</v>
      </c>
      <c r="B14" s="6" t="n">
        <f aca="false">Results_Long!AG10</f>
        <v>2012.257855823</v>
      </c>
      <c r="C14" s="4" t="str">
        <f aca="false">Results_Long!AJ10</f>
        <v>derived in-script: sample_mid - sample_mid_c (constancy asserted); predictions evaluated at calendar 2015.5 via offset</v>
      </c>
    </row>
    <row r="15" customFormat="false" ht="15" hidden="false" customHeight="false" outlineLevel="0" collapsed="false">
      <c r="A15" s="2" t="s">
        <v>177</v>
      </c>
      <c r="B15" s="6" t="n">
        <f aca="false">Results_Long!AG11</f>
        <v>2013</v>
      </c>
      <c r="C15" s="4" t="str">
        <f aca="false">Results_Long!AJ11</f>
        <v>study-level median of sample_mid (placebo-support disclosure; supersedes stale 2012)</v>
      </c>
    </row>
    <row r="16" customFormat="false" ht="15" hidden="false" customHeight="false" outlineLevel="0" collapsed="false">
      <c r="A16" s="2" t="s">
        <v>178</v>
      </c>
      <c r="B16" s="6" t="n">
        <f aca="false">Results_Long!AG12</f>
        <v>25</v>
      </c>
      <c r="C16" s="4" t="str">
        <f aca="false">Results_Long!AJ12</f>
        <v>studies with study-level median sample_mid &gt;= 2016 (supersedes stale 8)</v>
      </c>
    </row>
    <row r="18" customFormat="false" ht="57.45" hidden="false" customHeight="false" outlineLevel="0" collapsed="false">
      <c r="A18" s="5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11" min="3" style="0" width="10"/>
  </cols>
  <sheetData>
    <row r="1" customFormat="false" ht="15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182</v>
      </c>
      <c r="B5" s="3" t="s">
        <v>183</v>
      </c>
      <c r="C5" s="3" t="s">
        <v>184</v>
      </c>
      <c r="D5" s="3" t="s">
        <v>185</v>
      </c>
      <c r="E5" s="3" t="s">
        <v>186</v>
      </c>
      <c r="F5" s="3" t="s">
        <v>187</v>
      </c>
      <c r="G5" s="3" t="s">
        <v>188</v>
      </c>
      <c r="H5" s="3" t="s">
        <v>189</v>
      </c>
      <c r="I5" s="3" t="s">
        <v>190</v>
      </c>
      <c r="J5" s="3" t="s">
        <v>191</v>
      </c>
      <c r="K5" s="3" t="s">
        <v>192</v>
      </c>
    </row>
    <row r="6" customFormat="false" ht="15" hidden="false" customHeight="false" outlineLevel="0" collapsed="false">
      <c r="A6" s="2" t="s">
        <v>193</v>
      </c>
      <c r="B6" s="2" t="str">
        <f aca="false">Results_Long!H13&amp;" / "&amp;Results_Long!I13&amp;" / "&amp;Results_Long!J13</f>
        <v>2705 / 113 / 112</v>
      </c>
      <c r="C6" s="7" t="n">
        <f aca="false">Results_Long!K13</f>
        <v>-0.075610163195622</v>
      </c>
      <c r="D6" s="7" t="n">
        <f aca="false">Results_Long!L13</f>
        <v>0.0278718057814103</v>
      </c>
      <c r="E6" s="8" t="n">
        <f aca="false">Results_Long!N13</f>
        <v>36.5846250424549</v>
      </c>
      <c r="F6" s="6" t="n">
        <f aca="false">Results_Long!O13</f>
        <v>0.0101080050664365</v>
      </c>
      <c r="G6" s="7" t="n">
        <f aca="false">Results_Long!P13</f>
        <v>-0.132105457246492</v>
      </c>
      <c r="H6" s="7" t="n">
        <f aca="false">Results_Long!Q13</f>
        <v>-0.0191148691447525</v>
      </c>
      <c r="I6" s="7" t="n">
        <f aca="false">Results_Long!T13</f>
        <v>-0.0754664067568329</v>
      </c>
      <c r="J6" s="7" t="n">
        <f aca="false">Results_Long!U13</f>
        <v>-0.131342289326032</v>
      </c>
      <c r="K6" s="7" t="n">
        <f aca="false">Results_Long!V13</f>
        <v>-0.0191125414326468</v>
      </c>
    </row>
    <row r="7" customFormat="false" ht="15" hidden="false" customHeight="false" outlineLevel="0" collapsed="false">
      <c r="A7" s="2" t="s">
        <v>194</v>
      </c>
      <c r="B7" s="2" t="str">
        <f aca="false">Results_Long!H14&amp;" / "&amp;Results_Long!I14&amp;" / "&amp;Results_Long!J14</f>
        <v>2705 / 113 / 112</v>
      </c>
      <c r="C7" s="9" t="n">
        <f aca="false">Results_Long!K14</f>
        <v>-0.0035458790008403</v>
      </c>
      <c r="D7" s="7" t="n">
        <f aca="false">Results_Long!L14</f>
        <v>0.0021628054608093</v>
      </c>
      <c r="E7" s="8" t="n">
        <f aca="false">Results_Long!N14</f>
        <v>17.6583133617841</v>
      </c>
      <c r="F7" s="6" t="n">
        <f aca="false">Results_Long!O14</f>
        <v>0.118805840861886</v>
      </c>
      <c r="G7" s="9" t="n">
        <f aca="false">Results_Long!P14</f>
        <v>-0.0080960751957646</v>
      </c>
      <c r="H7" s="9" t="n">
        <f aca="false">Results_Long!Q14</f>
        <v>0.001004317194084</v>
      </c>
      <c r="I7" s="9" t="n">
        <f aca="false">Results_Long!T14</f>
        <v>0</v>
      </c>
      <c r="J7" s="9" t="n">
        <f aca="false">Results_Long!U14</f>
        <v>0</v>
      </c>
      <c r="K7" s="9" t="n">
        <f aca="false">Results_Long!V14</f>
        <v>0</v>
      </c>
    </row>
    <row r="8" customFormat="false" ht="15" hidden="false" customHeight="false" outlineLevel="0" collapsed="false">
      <c r="A8" s="2" t="s">
        <v>195</v>
      </c>
      <c r="B8" s="2" t="str">
        <f aca="false">Results_Long!H15&amp;" / "&amp;Results_Long!I15&amp;" / "&amp;Results_Long!J15</f>
        <v>2705 / 113 / 112</v>
      </c>
      <c r="C8" s="9" t="n">
        <f aca="false">Results_Long!K15</f>
        <v>0.0518149454420233</v>
      </c>
      <c r="D8" s="7" t="n">
        <f aca="false">Results_Long!L15</f>
        <v>0.0461490531326434</v>
      </c>
      <c r="E8" s="8" t="n">
        <f aca="false">Results_Long!N15</f>
        <v>27.6485492331444</v>
      </c>
      <c r="F8" s="6" t="n">
        <f aca="false">Results_Long!O15</f>
        <v>0.271189168029772</v>
      </c>
      <c r="G8" s="9" t="n">
        <f aca="false">Results_Long!P15</f>
        <v>-0.0427712696076192</v>
      </c>
      <c r="H8" s="9" t="n">
        <f aca="false">Results_Long!Q15</f>
        <v>0.146401160491666</v>
      </c>
      <c r="I8" s="9" t="n">
        <f aca="false">Results_Long!T15</f>
        <v>0</v>
      </c>
      <c r="J8" s="9" t="n">
        <f aca="false">Results_Long!U15</f>
        <v>0</v>
      </c>
      <c r="K8" s="9" t="n">
        <f aca="false">Results_Long!V15</f>
        <v>0</v>
      </c>
    </row>
    <row r="9" customFormat="false" ht="15" hidden="false" customHeight="false" outlineLevel="0" collapsed="false">
      <c r="A9" s="2" t="s">
        <v>196</v>
      </c>
      <c r="B9" s="2" t="str">
        <f aca="false">Results_Long!H16&amp;" / "&amp;Results_Long!I16&amp;" / "&amp;Results_Long!J16</f>
        <v>2705 / 113 / 112</v>
      </c>
      <c r="C9" s="7" t="n">
        <f aca="false">Results_Long!K16</f>
        <v>-0.087106414150543</v>
      </c>
      <c r="D9" s="7" t="n">
        <f aca="false">Results_Long!L16</f>
        <v>0.0345271286832421</v>
      </c>
      <c r="E9" s="8" t="n">
        <f aca="false">Results_Long!N16</f>
        <v>36.4633388744258</v>
      </c>
      <c r="F9" s="6" t="n">
        <f aca="false">Results_Long!O16</f>
        <v>0.0161392464667111</v>
      </c>
      <c r="G9" s="7" t="n">
        <f aca="false">Results_Long!P16</f>
        <v>-0.157099793895922</v>
      </c>
      <c r="H9" s="7" t="n">
        <f aca="false">Results_Long!Q16</f>
        <v>-0.017113034405164</v>
      </c>
      <c r="I9" s="7" t="n">
        <f aca="false">Results_Long!T16</f>
        <v>-0.0868867733045467</v>
      </c>
      <c r="J9" s="7" t="n">
        <f aca="false">Results_Long!U16</f>
        <v>-0.155820000988079</v>
      </c>
      <c r="K9" s="7" t="n">
        <f aca="false">Results_Long!V16</f>
        <v>-0.0171113640495368</v>
      </c>
    </row>
    <row r="10" customFormat="false" ht="15" hidden="false" customHeight="false" outlineLevel="0" collapsed="false">
      <c r="A10" s="2" t="s">
        <v>197</v>
      </c>
      <c r="B10" s="2" t="str">
        <f aca="false">Results_Long!H17&amp;" / "&amp;Results_Long!I17&amp;" / "&amp;Results_Long!J17</f>
        <v>2705 / 113 / 112</v>
      </c>
      <c r="C10" s="7" t="n">
        <f aca="false">Results_Long!K17</f>
        <v>-0.0560174468853291</v>
      </c>
      <c r="D10" s="7" t="n">
        <f aca="false">Results_Long!L17</f>
        <v>0.0112371484534364</v>
      </c>
      <c r="E10" s="8" t="n">
        <f aca="false">Results_Long!N17</f>
        <v>41.3354984438273</v>
      </c>
      <c r="F10" s="6" t="n">
        <f aca="false">Results_Long!O17</f>
        <v>1.15646240389008E-005</v>
      </c>
      <c r="G10" s="7" t="n">
        <f aca="false">Results_Long!P17</f>
        <v>-0.0787057360654244</v>
      </c>
      <c r="H10" s="7" t="n">
        <f aca="false">Results_Long!Q17</f>
        <v>-0.0333291577052337</v>
      </c>
      <c r="I10" s="7" t="n">
        <f aca="false">Results_Long!T17</f>
        <v>-0.0559589269402514</v>
      </c>
      <c r="J10" s="7" t="n">
        <f aca="false">Results_Long!U17</f>
        <v>-0.0785436210837697</v>
      </c>
      <c r="K10" s="7" t="n">
        <f aca="false">Results_Long!V17</f>
        <v>-0.0333168221462951</v>
      </c>
    </row>
    <row r="11" customFormat="false" ht="15" hidden="false" customHeight="false" outlineLevel="0" collapsed="false">
      <c r="A11" s="2" t="s">
        <v>198</v>
      </c>
      <c r="B11" s="2" t="str">
        <f aca="false">Results_Long!H18&amp;" / "&amp;Results_Long!I18&amp;" / "&amp;Results_Long!J18</f>
        <v>2705 / 113 / 112</v>
      </c>
      <c r="C11" s="7" t="n">
        <f aca="false">Results_Long!K18</f>
        <v>-0.0352914687085197</v>
      </c>
      <c r="D11" s="7" t="n">
        <f aca="false">Results_Long!L18</f>
        <v>0.0163585290969978</v>
      </c>
      <c r="E11" s="8" t="n">
        <f aca="false">Results_Long!N18</f>
        <v>25.4398383784512</v>
      </c>
      <c r="F11" s="6" t="n">
        <f aca="false">Results_Long!O18</f>
        <v>0.04060968388398</v>
      </c>
      <c r="G11" s="7" t="n">
        <f aca="false">Results_Long!P18</f>
        <v>-0.0689529788036383</v>
      </c>
      <c r="H11" s="7" t="n">
        <f aca="false">Results_Long!Q18</f>
        <v>-0.0016299586134011</v>
      </c>
      <c r="I11" s="7" t="n">
        <f aca="false">Results_Long!T18</f>
        <v>-0.035276824306767</v>
      </c>
      <c r="J11" s="7" t="n">
        <f aca="false">Results_Long!U18</f>
        <v>-0.0688439069477701</v>
      </c>
      <c r="K11" s="7" t="n">
        <f aca="false">Results_Long!V18</f>
        <v>-0.0016299571699303</v>
      </c>
    </row>
    <row r="12" customFormat="false" ht="15" hidden="false" customHeight="false" outlineLevel="0" collapsed="false">
      <c r="A12" s="2" t="s">
        <v>199</v>
      </c>
      <c r="B12" s="2" t="str">
        <f aca="false">Results_Long!H19&amp;" / "&amp;Results_Long!I19&amp;" / "&amp;Results_Long!J19</f>
        <v>2705 / 113 / 112</v>
      </c>
      <c r="C12" s="9" t="n">
        <f aca="false">Results_Long!K19</f>
        <v>0.0310889672652139</v>
      </c>
      <c r="D12" s="7" t="n">
        <f aca="false">Results_Long!L19</f>
        <v>0.027689431879586</v>
      </c>
      <c r="E12" s="8" t="n">
        <f aca="false">Results_Long!N19</f>
        <v>27.6485492331444</v>
      </c>
      <c r="F12" s="6" t="n">
        <f aca="false">Results_Long!O19</f>
        <v>0.271189168029772</v>
      </c>
      <c r="G12" s="9" t="n">
        <f aca="false">Results_Long!P19</f>
        <v>-0.0256627617645715</v>
      </c>
      <c r="H12" s="9" t="n">
        <f aca="false">Results_Long!Q19</f>
        <v>0.0878406962949995</v>
      </c>
      <c r="I12" s="9" t="n">
        <f aca="false">Results_Long!T19</f>
        <v>0</v>
      </c>
      <c r="J12" s="9" t="n">
        <f aca="false">Results_Long!U19</f>
        <v>0</v>
      </c>
      <c r="K12" s="9" t="n">
        <f aca="false">Results_Long!V19</f>
        <v>0</v>
      </c>
    </row>
    <row r="13" customFormat="false" ht="15" hidden="false" customHeight="false" outlineLevel="0" collapsed="false">
      <c r="A13" s="2" t="s">
        <v>200</v>
      </c>
      <c r="B13" s="2" t="str">
        <f aca="false">Results_Long!H20&amp;" / "&amp;Results_Long!I20&amp;" / "&amp;Results_Long!J20</f>
        <v>2705 / 113 / 112</v>
      </c>
      <c r="C13" s="9" t="n">
        <f aca="false">Results_Long!K20</f>
        <v>0.0518149454420233</v>
      </c>
      <c r="D13" s="7" t="n">
        <f aca="false">Results_Long!L20</f>
        <v>0.0461490531326434</v>
      </c>
      <c r="E13" s="8" t="n">
        <f aca="false">Results_Long!N20</f>
        <v>27.6485492331444</v>
      </c>
      <c r="F13" s="6" t="n">
        <f aca="false">Results_Long!O20</f>
        <v>0.271189168029772</v>
      </c>
      <c r="G13" s="9" t="n">
        <f aca="false">Results_Long!P20</f>
        <v>-0.0427712696076192</v>
      </c>
      <c r="H13" s="9" t="n">
        <f aca="false">Results_Long!Q20</f>
        <v>0.146401160491666</v>
      </c>
      <c r="I13" s="9" t="n">
        <f aca="false">Results_Long!T20</f>
        <v>0</v>
      </c>
      <c r="J13" s="9" t="n">
        <f aca="false">Results_Long!U20</f>
        <v>0</v>
      </c>
      <c r="K13" s="9" t="n">
        <f aca="false">Results_Long!V20</f>
        <v>0</v>
      </c>
    </row>
    <row r="14" customFormat="false" ht="15" hidden="false" customHeight="false" outlineLevel="0" collapsed="false">
      <c r="A14" s="2" t="s">
        <v>201</v>
      </c>
      <c r="B14" s="2" t="str">
        <f aca="false">Results_Long!H24&amp;" / "&amp;Results_Long!I24&amp;" / "&amp;Results_Long!J24</f>
        <v>2705 / 113 / 112</v>
      </c>
      <c r="C14" s="9" t="n">
        <f aca="false">Results_Long!K24</f>
        <v>-0.0734800999260279</v>
      </c>
      <c r="D14" s="7" t="n">
        <f aca="false">Results_Long!L24</f>
        <v>0.0749483322499894</v>
      </c>
      <c r="E14" s="8" t="n">
        <f aca="false">Results_Long!N24</f>
        <v>50.6548187524792</v>
      </c>
      <c r="F14" s="6" t="n">
        <f aca="false">Results_Long!O24</f>
        <v>0.331543242866622</v>
      </c>
      <c r="G14" s="9" t="n">
        <f aca="false">Results_Long!P24</f>
        <v>-0.223970054298391</v>
      </c>
      <c r="H14" s="9" t="n">
        <f aca="false">Results_Long!Q24</f>
        <v>0.0770098544463351</v>
      </c>
      <c r="I14" s="9" t="n">
        <f aca="false">Results_Long!T24</f>
        <v>0</v>
      </c>
      <c r="J14" s="9" t="n">
        <f aca="false">Results_Long!U24</f>
        <v>0</v>
      </c>
      <c r="K14" s="9" t="n">
        <f aca="false">Results_Long!V24</f>
        <v>0</v>
      </c>
    </row>
    <row r="15" customFormat="false" ht="15" hidden="false" customHeight="false" outlineLevel="0" collapsed="false">
      <c r="A15" s="2" t="s">
        <v>202</v>
      </c>
      <c r="C15" s="6" t="n">
        <f aca="false">Results_Long!M25</f>
        <v>1.66068201179309</v>
      </c>
      <c r="D15" s="2" t="s">
        <v>203</v>
      </c>
      <c r="E15" s="8" t="n">
        <f aca="false">Results_Long!N25</f>
        <v>30.5086838474109</v>
      </c>
      <c r="F15" s="6" t="n">
        <f aca="false">Results_Long!O25</f>
        <v>0.206727501241668</v>
      </c>
    </row>
    <row r="17" customFormat="false" ht="15" hidden="false" customHeight="false" outlineLevel="0" collapsed="false">
      <c r="A17" s="1" t="s">
        <v>204</v>
      </c>
    </row>
    <row r="18" customFormat="false" ht="57.45" hidden="false" customHeight="false" outlineLevel="0" collapsed="false">
      <c r="A18" s="4" t="s">
        <v>205</v>
      </c>
    </row>
    <row r="19" customFormat="false" ht="57.45" hidden="false" customHeight="false" outlineLevel="0" collapsed="false">
      <c r="A19" s="4" t="s">
        <v>206</v>
      </c>
    </row>
    <row r="20" customFormat="false" ht="46.25" hidden="false" customHeight="false" outlineLevel="0" collapsed="false">
      <c r="A20" s="4" t="s">
        <v>207</v>
      </c>
    </row>
    <row r="21" customFormat="false" ht="57.45" hidden="false" customHeight="false" outlineLevel="0" collapsed="false">
      <c r="A21" s="4" t="s">
        <v>208</v>
      </c>
    </row>
    <row r="22" customFormat="false" ht="46.25" hidden="false" customHeight="false" outlineLevel="0" collapsed="false">
      <c r="A22" s="4" t="s">
        <v>209</v>
      </c>
    </row>
    <row r="24" customFormat="false" ht="15" hidden="false" customHeight="false" outlineLevel="0" collapsed="false">
      <c r="A24" s="3" t="s">
        <v>210</v>
      </c>
      <c r="B24" s="3" t="s">
        <v>211</v>
      </c>
    </row>
    <row r="25" customFormat="false" ht="113.4" hidden="false" customHeight="false" outlineLevel="0" collapsed="false">
      <c r="A25" s="4" t="s">
        <v>212</v>
      </c>
      <c r="B25" s="4" t="s">
        <v>213</v>
      </c>
    </row>
    <row r="26" customFormat="false" ht="158.2" hidden="false" customHeight="false" outlineLevel="0" collapsed="false">
      <c r="A26" s="4" t="s">
        <v>214</v>
      </c>
      <c r="B26" s="4" t="s">
        <v>215</v>
      </c>
    </row>
    <row r="27" customFormat="false" ht="113.4" hidden="false" customHeight="false" outlineLevel="0" collapsed="false">
      <c r="A27" s="4" t="s">
        <v>216</v>
      </c>
      <c r="B27" s="4" t="s">
        <v>217</v>
      </c>
    </row>
    <row r="29" customFormat="false" ht="68.65" hidden="false" customHeight="false" outlineLevel="0" collapsed="false">
      <c r="A29" s="5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11" min="3" style="0" width="10"/>
  </cols>
  <sheetData>
    <row r="1" customFormat="false" ht="15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182</v>
      </c>
      <c r="B5" s="3" t="s">
        <v>183</v>
      </c>
      <c r="C5" s="3" t="s">
        <v>184</v>
      </c>
      <c r="D5" s="3" t="s">
        <v>185</v>
      </c>
      <c r="E5" s="3" t="s">
        <v>186</v>
      </c>
      <c r="F5" s="3" t="s">
        <v>187</v>
      </c>
      <c r="G5" s="3" t="s">
        <v>188</v>
      </c>
      <c r="H5" s="3" t="s">
        <v>189</v>
      </c>
      <c r="I5" s="3" t="s">
        <v>190</v>
      </c>
      <c r="J5" s="3" t="s">
        <v>191</v>
      </c>
      <c r="K5" s="3" t="s">
        <v>192</v>
      </c>
    </row>
    <row r="6" customFormat="false" ht="15" hidden="false" customHeight="false" outlineLevel="0" collapsed="false">
      <c r="A6" s="2" t="s">
        <v>221</v>
      </c>
      <c r="B6" s="2" t="str">
        <f aca="false">Results_Long!H27&amp;" / "&amp;Results_Long!I27&amp;" / "&amp;Results_Long!J27</f>
        <v>2705 / 113 / 112</v>
      </c>
      <c r="C6" s="9" t="n">
        <f aca="false">Results_Long!K27</f>
        <v>-0.000751292331851444</v>
      </c>
      <c r="D6" s="7" t="n">
        <f aca="false">Results_Long!L27</f>
        <v>0.000984000395095241</v>
      </c>
      <c r="E6" s="8" t="n">
        <f aca="false">Results_Long!N27</f>
        <v>26.5959438979087</v>
      </c>
      <c r="F6" s="6" t="n">
        <f aca="false">Results_Long!O27</f>
        <v>0.451880634598503</v>
      </c>
      <c r="G6" s="9" t="n">
        <f aca="false">Results_Long!P27</f>
        <v>-0.0027717305852899</v>
      </c>
      <c r="H6" s="9" t="n">
        <f aca="false">Results_Long!Q27</f>
        <v>0.001269145921587</v>
      </c>
      <c r="I6" s="9" t="n">
        <f aca="false">Results_Long!T27</f>
        <v>0</v>
      </c>
      <c r="J6" s="9" t="n">
        <f aca="false">Results_Long!U27</f>
        <v>0</v>
      </c>
      <c r="K6" s="9" t="n">
        <f aca="false">Results_Long!V27</f>
        <v>0</v>
      </c>
    </row>
    <row r="7" customFormat="false" ht="15" hidden="false" customHeight="false" outlineLevel="0" collapsed="false">
      <c r="A7" s="2" t="s">
        <v>222</v>
      </c>
      <c r="B7" s="2" t="str">
        <f aca="false">Results_Long!H28&amp;" / "&amp;Results_Long!I28&amp;" / "&amp;Results_Long!J28</f>
        <v>2705 / 113 / 112</v>
      </c>
      <c r="C7" s="7" t="n">
        <f aca="false">Results_Long!K28</f>
        <v>-0.0615991565189955</v>
      </c>
      <c r="D7" s="7" t="n">
        <f aca="false">Results_Long!L28</f>
        <v>0.0180461144532684</v>
      </c>
      <c r="E7" s="8" t="n">
        <f aca="false">Results_Long!N28</f>
        <v>68.5971129071262</v>
      </c>
      <c r="F7" s="6" t="n">
        <f aca="false">Results_Long!O28</f>
        <v>0.0010804696442775</v>
      </c>
      <c r="G7" s="7" t="n">
        <f aca="false">Results_Long!P28</f>
        <v>-0.0976039423484408</v>
      </c>
      <c r="H7" s="7" t="n">
        <f aca="false">Results_Long!Q28</f>
        <v>-0.0255943706895502</v>
      </c>
      <c r="I7" s="7" t="n">
        <f aca="false">Results_Long!T28</f>
        <v>-0.0615213628260251</v>
      </c>
      <c r="J7" s="7" t="n">
        <f aca="false">Results_Long!U28</f>
        <v>-0.097295176600782</v>
      </c>
      <c r="K7" s="7" t="n">
        <f aca="false">Results_Long!V28</f>
        <v>-0.0255887834366468</v>
      </c>
    </row>
    <row r="8" customFormat="false" ht="15" hidden="false" customHeight="false" outlineLevel="0" collapsed="false">
      <c r="A8" s="2" t="s">
        <v>223</v>
      </c>
      <c r="B8" s="2" t="str">
        <f aca="false">Results_Long!H29&amp;" / "&amp;Results_Long!I29&amp;" / "&amp;Results_Long!J29</f>
        <v>2705 / 113 / 112</v>
      </c>
      <c r="C8" s="9" t="n">
        <f aca="false">Results_Long!K29</f>
        <v>0.0101759067104025</v>
      </c>
      <c r="D8" s="7" t="n">
        <f aca="false">Results_Long!L29</f>
        <v>0.0181072824212574</v>
      </c>
      <c r="E8" s="8" t="n">
        <f aca="false">Results_Long!N29</f>
        <v>14.9920663728925</v>
      </c>
      <c r="F8" s="6" t="n">
        <f aca="false">Results_Long!O29</f>
        <v>0.582435725630516</v>
      </c>
      <c r="G8" s="9" t="n">
        <f aca="false">Results_Long!P29</f>
        <v>-0.0284206311144901</v>
      </c>
      <c r="H8" s="9" t="n">
        <f aca="false">Results_Long!Q29</f>
        <v>0.0487724445352952</v>
      </c>
      <c r="I8" s="9" t="n">
        <f aca="false">Results_Long!T29</f>
        <v>0</v>
      </c>
      <c r="J8" s="9" t="n">
        <f aca="false">Results_Long!U29</f>
        <v>0</v>
      </c>
      <c r="K8" s="9" t="n">
        <f aca="false">Results_Long!V29</f>
        <v>0</v>
      </c>
    </row>
    <row r="9" customFormat="false" ht="15" hidden="false" customHeight="false" outlineLevel="0" collapsed="false">
      <c r="A9" s="2" t="s">
        <v>224</v>
      </c>
      <c r="B9" s="2" t="str">
        <f aca="false">Results_Long!H31&amp;" / "&amp;Results_Long!I31&amp;" / "&amp;Results_Long!J31</f>
        <v>2705 / 113 / 112</v>
      </c>
      <c r="C9" s="9" t="n">
        <f aca="false">Results_Long!K31</f>
        <v>-0.0024440928867439</v>
      </c>
      <c r="D9" s="7" t="n">
        <f aca="false">Results_Long!L31</f>
        <v>0.0014718307615822</v>
      </c>
      <c r="E9" s="8" t="n">
        <f aca="false">Results_Long!N31</f>
        <v>18.9151884688887</v>
      </c>
      <c r="F9" s="6" t="n">
        <f aca="false">Results_Long!O31</f>
        <v>0.113284372998934</v>
      </c>
      <c r="G9" s="9" t="n">
        <f aca="false">Results_Long!P31</f>
        <v>-0.0055256052188167</v>
      </c>
      <c r="H9" s="9" t="n">
        <f aca="false">Results_Long!Q31</f>
        <v>0.000637419445328788</v>
      </c>
      <c r="I9" s="9" t="n">
        <f aca="false">Results_Long!T31</f>
        <v>0</v>
      </c>
      <c r="J9" s="9" t="n">
        <f aca="false">Results_Long!U31</f>
        <v>0</v>
      </c>
      <c r="K9" s="9" t="n">
        <f aca="false">Results_Long!V31</f>
        <v>0</v>
      </c>
    </row>
    <row r="10" customFormat="false" ht="15" hidden="false" customHeight="false" outlineLevel="0" collapsed="false">
      <c r="A10" s="2" t="s">
        <v>225</v>
      </c>
      <c r="B10" s="2" t="str">
        <f aca="false">Results_Long!H32&amp;" / "&amp;Results_Long!I32&amp;" / "&amp;Results_Long!J32</f>
        <v>2705 / 113 / 112</v>
      </c>
      <c r="C10" s="9" t="n">
        <f aca="false">Results_Long!K32</f>
        <v>0.0264480355620243</v>
      </c>
      <c r="D10" s="7" t="n">
        <f aca="false">Results_Long!L32</f>
        <v>0.0251306553381225</v>
      </c>
      <c r="E10" s="8" t="n">
        <f aca="false">Results_Long!N32</f>
        <v>18.8419667203106</v>
      </c>
      <c r="F10" s="6" t="n">
        <f aca="false">Results_Long!O32</f>
        <v>0.305916728053232</v>
      </c>
      <c r="G10" s="9" t="n">
        <f aca="false">Results_Long!P32</f>
        <v>-0.0261809057366113</v>
      </c>
      <c r="H10" s="9" t="n">
        <f aca="false">Results_Long!Q32</f>
        <v>0.07907697686066</v>
      </c>
      <c r="I10" s="9" t="n">
        <f aca="false">Results_Long!T32</f>
        <v>0</v>
      </c>
      <c r="J10" s="9" t="n">
        <f aca="false">Results_Long!U32</f>
        <v>0</v>
      </c>
      <c r="K10" s="9" t="n">
        <f aca="false">Results_Long!V32</f>
        <v>0</v>
      </c>
    </row>
    <row r="11" customFormat="false" ht="15" hidden="false" customHeight="false" outlineLevel="0" collapsed="false">
      <c r="A11" s="2" t="s">
        <v>226</v>
      </c>
      <c r="B11" s="2" t="str">
        <f aca="false">Results_Long!H50&amp;" / "&amp;Results_Long!I50&amp;" / "&amp;Results_Long!J50</f>
        <v>2705 / 113 / 112</v>
      </c>
      <c r="C11" s="7" t="n">
        <f aca="false">Results_Long!K50</f>
        <v>-0.0727177497979756</v>
      </c>
      <c r="D11" s="7" t="n">
        <f aca="false">Results_Long!L50</f>
        <v>0.0248975754500733</v>
      </c>
      <c r="E11" s="8" t="n">
        <f aca="false">Results_Long!N50</f>
        <v>58.0941689979415</v>
      </c>
      <c r="F11" s="6" t="n">
        <f aca="false">Results_Long!O50</f>
        <v>0.0049656597939643</v>
      </c>
      <c r="G11" s="7" t="n">
        <f aca="false">Results_Long!P50</f>
        <v>-0.122553941911682</v>
      </c>
      <c r="H11" s="7" t="n">
        <f aca="false">Results_Long!Q50</f>
        <v>-0.0228815576842694</v>
      </c>
      <c r="I11" s="7" t="n">
        <f aca="false">Results_Long!T50</f>
        <v>-0.0725898462959901</v>
      </c>
      <c r="J11" s="7" t="n">
        <f aca="false">Results_Long!U50</f>
        <v>-0.121944040775556</v>
      </c>
      <c r="K11" s="7" t="n">
        <f aca="false">Results_Long!V50</f>
        <v>-0.0228775651876158</v>
      </c>
    </row>
    <row r="12" customFormat="false" ht="15" hidden="false" customHeight="false" outlineLevel="0" collapsed="false">
      <c r="A12" s="2" t="s">
        <v>227</v>
      </c>
      <c r="B12" s="2" t="str">
        <f aca="false">Results_Long!H51&amp;" / "&amp;Results_Long!I51&amp;" / "&amp;Results_Long!J51</f>
        <v>2705 / 113 / 112</v>
      </c>
      <c r="C12" s="9" t="n">
        <f aca="false">Results_Long!K51</f>
        <v>-0.0023783826931947</v>
      </c>
      <c r="D12" s="7" t="n">
        <f aca="false">Results_Long!L51</f>
        <v>0.0016184972238854</v>
      </c>
      <c r="E12" s="8" t="n">
        <f aca="false">Results_Long!N51</f>
        <v>16.6852859015547</v>
      </c>
      <c r="F12" s="6" t="n">
        <f aca="false">Results_Long!O51</f>
        <v>0.160300324962593</v>
      </c>
      <c r="G12" s="9" t="n">
        <f aca="false">Results_Long!P51</f>
        <v>-0.0057980262947776</v>
      </c>
      <c r="H12" s="9" t="n">
        <f aca="false">Results_Long!Q51</f>
        <v>0.0010412609083881</v>
      </c>
      <c r="I12" s="9" t="n">
        <f aca="false">Results_Long!T51</f>
        <v>0</v>
      </c>
      <c r="J12" s="9" t="n">
        <f aca="false">Results_Long!U51</f>
        <v>0</v>
      </c>
      <c r="K12" s="9" t="n">
        <f aca="false">Results_Long!V51</f>
        <v>0</v>
      </c>
    </row>
    <row r="13" customFormat="false" ht="15" hidden="false" customHeight="false" outlineLevel="0" collapsed="false">
      <c r="A13" s="2" t="s">
        <v>228</v>
      </c>
      <c r="B13" s="2" t="str">
        <f aca="false">Results_Long!H52&amp;" / "&amp;Results_Long!I52&amp;" / "&amp;Results_Long!J52</f>
        <v>2705 / 113 / 112</v>
      </c>
      <c r="C13" s="9" t="n">
        <f aca="false">Results_Long!K52</f>
        <v>0.028269368467378</v>
      </c>
      <c r="D13" s="7" t="n">
        <f aca="false">Results_Long!L52</f>
        <v>0.0237543742546993</v>
      </c>
      <c r="E13" s="8" t="n">
        <f aca="false">Results_Long!N52</f>
        <v>10.513683513613</v>
      </c>
      <c r="F13" s="6" t="n">
        <f aca="false">Results_Long!O52</f>
        <v>0.26019771738211</v>
      </c>
      <c r="G13" s="9" t="n">
        <f aca="false">Results_Long!P52</f>
        <v>-0.024310233916893</v>
      </c>
      <c r="H13" s="9" t="n">
        <f aca="false">Results_Long!Q52</f>
        <v>0.0808489708516492</v>
      </c>
      <c r="I13" s="9" t="n">
        <f aca="false">Results_Long!T52</f>
        <v>0</v>
      </c>
      <c r="J13" s="9" t="n">
        <f aca="false">Results_Long!U52</f>
        <v>0</v>
      </c>
      <c r="K13" s="9" t="n">
        <f aca="false">Results_Long!V52</f>
        <v>0</v>
      </c>
    </row>
    <row r="14" customFormat="false" ht="15" hidden="false" customHeight="false" outlineLevel="0" collapsed="false">
      <c r="A14" s="2" t="s">
        <v>229</v>
      </c>
      <c r="B14" s="2" t="str">
        <f aca="false">Results_Long!H53&amp;" / "&amp;Results_Long!I53&amp;" / "&amp;Results_Long!J53</f>
        <v>2705 / 113 / 112</v>
      </c>
      <c r="C14" s="9" t="n">
        <f aca="false">Results_Long!K53</f>
        <v>-0.0010405229820257</v>
      </c>
      <c r="D14" s="7" t="n">
        <f aca="false">Results_Long!L53</f>
        <v>0.0062626040126656</v>
      </c>
      <c r="E14" s="8" t="n">
        <f aca="false">Results_Long!N53</f>
        <v>13.5379394742769</v>
      </c>
      <c r="F14" s="6" t="n">
        <f aca="false">Results_Long!O53</f>
        <v>0.870495791174619</v>
      </c>
      <c r="G14" s="9" t="n">
        <f aca="false">Results_Long!P53</f>
        <v>-0.0145156097919471</v>
      </c>
      <c r="H14" s="9" t="n">
        <f aca="false">Results_Long!Q53</f>
        <v>0.0124345638278955</v>
      </c>
      <c r="I14" s="9" t="n">
        <f aca="false">Results_Long!T53</f>
        <v>0</v>
      </c>
      <c r="J14" s="9" t="n">
        <f aca="false">Results_Long!U53</f>
        <v>0</v>
      </c>
      <c r="K14" s="9" t="n">
        <f aca="false">Results_Long!V53</f>
        <v>0</v>
      </c>
    </row>
    <row r="15" customFormat="false" ht="15" hidden="false" customHeight="false" outlineLevel="0" collapsed="false">
      <c r="A15" s="2" t="s">
        <v>230</v>
      </c>
      <c r="C15" s="6" t="n">
        <f aca="false">Results_Long!M54</f>
        <v>0.671019077476745</v>
      </c>
      <c r="D15" s="2" t="s">
        <v>203</v>
      </c>
      <c r="E15" s="8" t="n">
        <f aca="false">Results_Long!N54</f>
        <v>16.5920234534106</v>
      </c>
      <c r="F15" s="6" t="n">
        <f aca="false">Results_Long!O54</f>
        <v>0.524525364822025</v>
      </c>
    </row>
    <row r="17" customFormat="false" ht="15" hidden="false" customHeight="false" outlineLevel="0" collapsed="false">
      <c r="A17" s="1" t="s">
        <v>231</v>
      </c>
    </row>
    <row r="18" customFormat="false" ht="15" hidden="false" customHeight="false" outlineLevel="0" collapsed="false">
      <c r="A18" s="3" t="s">
        <v>232</v>
      </c>
      <c r="B18" s="3"/>
      <c r="C18" s="3" t="s">
        <v>184</v>
      </c>
      <c r="D18" s="3" t="s">
        <v>185</v>
      </c>
      <c r="E18" s="3" t="s">
        <v>186</v>
      </c>
      <c r="F18" s="3" t="s">
        <v>187</v>
      </c>
      <c r="G18" s="3" t="s">
        <v>188</v>
      </c>
      <c r="H18" s="3" t="s">
        <v>189</v>
      </c>
    </row>
    <row r="19" customFormat="false" ht="15" hidden="false" customHeight="false" outlineLevel="0" collapsed="false">
      <c r="A19" s="2" t="s">
        <v>233</v>
      </c>
      <c r="C19" s="9" t="n">
        <f aca="false">Results_Long!K34</f>
        <v>-0.0240266759653091</v>
      </c>
      <c r="D19" s="7" t="n">
        <f aca="false">Results_Long!L34</f>
        <v>0.0176243003345566</v>
      </c>
      <c r="E19" s="8" t="n">
        <f aca="false">Results_Long!N34</f>
        <v>14.9421005937851</v>
      </c>
      <c r="F19" s="6" t="n">
        <f aca="false">Results_Long!O34</f>
        <v>0.19298764471529</v>
      </c>
      <c r="G19" s="9" t="n">
        <f aca="false">Results_Long!P34</f>
        <v>-0.0616046649356149</v>
      </c>
      <c r="H19" s="9" t="n">
        <f aca="false">Results_Long!Q34</f>
        <v>0.0135513130049966</v>
      </c>
    </row>
    <row r="20" customFormat="false" ht="15" hidden="false" customHeight="false" outlineLevel="0" collapsed="false">
      <c r="A20" s="2" t="s">
        <v>234</v>
      </c>
      <c r="C20" s="9" t="n">
        <f aca="false">Results_Long!K36</f>
        <v>-0.0395267553530513</v>
      </c>
      <c r="D20" s="7" t="n">
        <f aca="false">Results_Long!L36</f>
        <v>0.0186224439358108</v>
      </c>
      <c r="E20" s="8" t="n">
        <f aca="false">Results_Long!N36</f>
        <v>6.28165422602577</v>
      </c>
      <c r="F20" s="6" t="n">
        <f aca="false">Results_Long!O36</f>
        <v>0.0759488616831078</v>
      </c>
      <c r="G20" s="9" t="n">
        <f aca="false">Results_Long!P36</f>
        <v>-0.0846035250711115</v>
      </c>
      <c r="H20" s="9" t="n">
        <f aca="false">Results_Long!Q36</f>
        <v>0.0055500143650088</v>
      </c>
    </row>
    <row r="21" customFormat="false" ht="15" hidden="false" customHeight="false" outlineLevel="0" collapsed="false">
      <c r="A21" s="2" t="s">
        <v>235</v>
      </c>
      <c r="C21" s="9" t="n">
        <f aca="false">Results_Long!K38</f>
        <v>-0.0365343906053777</v>
      </c>
      <c r="D21" s="7" t="n">
        <f aca="false">Results_Long!L38</f>
        <v>0.0192951617077996</v>
      </c>
      <c r="E21" s="8" t="n">
        <f aca="false">Results_Long!N38</f>
        <v>6.7804764679999</v>
      </c>
      <c r="F21" s="6" t="n">
        <f aca="false">Results_Long!O38</f>
        <v>0.101522928909962</v>
      </c>
      <c r="G21" s="9" t="n">
        <f aca="false">Results_Long!P38</f>
        <v>-0.0824613623473092</v>
      </c>
      <c r="H21" s="9" t="n">
        <f aca="false">Results_Long!Q38</f>
        <v>0.0093925811365537</v>
      </c>
    </row>
    <row r="22" customFormat="false" ht="15" hidden="false" customHeight="false" outlineLevel="0" collapsed="false">
      <c r="A22" s="2" t="s">
        <v>236</v>
      </c>
      <c r="C22" s="9" t="n">
        <f aca="false">Results_Long!K40</f>
        <v>-0.0333308366522611</v>
      </c>
      <c r="D22" s="7" t="n">
        <f aca="false">Results_Long!L40</f>
        <v>0.0188951563106925</v>
      </c>
      <c r="E22" s="8" t="n">
        <f aca="false">Results_Long!N40</f>
        <v>9.5644080388109</v>
      </c>
      <c r="F22" s="6" t="n">
        <f aca="false">Results_Long!O40</f>
        <v>0.109579108854483</v>
      </c>
      <c r="G22" s="9" t="n">
        <f aca="false">Results_Long!P40</f>
        <v>-0.0756932234444708</v>
      </c>
      <c r="H22" s="9" t="n">
        <f aca="false">Results_Long!Q40</f>
        <v>0.0090315501399484</v>
      </c>
    </row>
    <row r="23" customFormat="false" ht="15" hidden="false" customHeight="false" outlineLevel="0" collapsed="false">
      <c r="A23" s="2" t="s">
        <v>237</v>
      </c>
      <c r="C23" s="9" t="n">
        <f aca="false">Results_Long!K42</f>
        <v>-0.000946434555851455</v>
      </c>
      <c r="D23" s="7" t="n">
        <f aca="false">Results_Long!L42</f>
        <v>0.017128674810758</v>
      </c>
      <c r="E23" s="8" t="n">
        <f aca="false">Results_Long!N42</f>
        <v>11.6604053370551</v>
      </c>
      <c r="F23" s="6" t="n">
        <f aca="false">Results_Long!O42</f>
        <v>0.95687123457445</v>
      </c>
      <c r="G23" s="9" t="n">
        <f aca="false">Results_Long!P42</f>
        <v>-0.0383875157702003</v>
      </c>
      <c r="H23" s="9" t="n">
        <f aca="false">Results_Long!Q42</f>
        <v>0.0364946466584974</v>
      </c>
    </row>
    <row r="24" customFormat="false" ht="15" hidden="false" customHeight="false" outlineLevel="0" collapsed="false">
      <c r="A24" s="2" t="s">
        <v>238</v>
      </c>
      <c r="C24" s="9" t="n">
        <f aca="false">Results_Long!K44</f>
        <v>0.0259543054575664</v>
      </c>
      <c r="D24" s="7" t="n">
        <f aca="false">Results_Long!L44</f>
        <v>0.0215606130243189</v>
      </c>
      <c r="E24" s="8" t="n">
        <f aca="false">Results_Long!N44</f>
        <v>14.2823779204833</v>
      </c>
      <c r="F24" s="6" t="n">
        <f aca="false">Results_Long!O44</f>
        <v>0.248246081004815</v>
      </c>
      <c r="G24" s="9" t="n">
        <f aca="false">Results_Long!P44</f>
        <v>-0.0202029836220465</v>
      </c>
      <c r="H24" s="9" t="n">
        <f aca="false">Results_Long!Q44</f>
        <v>0.0721115945371794</v>
      </c>
    </row>
    <row r="25" customFormat="false" ht="15" hidden="false" customHeight="false" outlineLevel="0" collapsed="false">
      <c r="A25" s="2" t="s">
        <v>239</v>
      </c>
      <c r="C25" s="9" t="n">
        <f aca="false">Results_Long!K46</f>
        <v>0.0231494451243473</v>
      </c>
      <c r="D25" s="7" t="n">
        <f aca="false">Results_Long!L46</f>
        <v>0.0227860927078219</v>
      </c>
      <c r="E25" s="8" t="n">
        <f aca="false">Results_Long!N46</f>
        <v>22.5659506499383</v>
      </c>
      <c r="F25" s="6" t="n">
        <f aca="false">Results_Long!O46</f>
        <v>0.320424663670643</v>
      </c>
      <c r="G25" s="9" t="n">
        <f aca="false">Results_Long!P46</f>
        <v>-0.0240373985332366</v>
      </c>
      <c r="H25" s="9" t="n">
        <f aca="false">Results_Long!Q46</f>
        <v>0.0703362887819312</v>
      </c>
    </row>
    <row r="26" customFormat="false" ht="15" hidden="false" customHeight="false" outlineLevel="0" collapsed="false">
      <c r="A26" s="2" t="s">
        <v>240</v>
      </c>
      <c r="C26" s="9" t="n">
        <f aca="false">Results_Long!K48</f>
        <v>0.0023798620914384</v>
      </c>
      <c r="D26" s="7" t="n">
        <f aca="false">Results_Long!L48</f>
        <v>0.0203234411641511</v>
      </c>
      <c r="E26" s="8" t="n">
        <f aca="false">Results_Long!N48</f>
        <v>18.1660933849711</v>
      </c>
      <c r="F26" s="6" t="n">
        <f aca="false">Results_Long!O48</f>
        <v>0.908066248898544</v>
      </c>
      <c r="G26" s="9" t="n">
        <f aca="false">Results_Long!P48</f>
        <v>-0.040290137658673</v>
      </c>
      <c r="H26" s="9" t="n">
        <f aca="false">Results_Long!Q48</f>
        <v>0.04504986184155</v>
      </c>
    </row>
    <row r="27" customFormat="false" ht="15" hidden="false" customHeight="false" outlineLevel="0" collapsed="false">
      <c r="A27" s="2" t="s">
        <v>241</v>
      </c>
      <c r="B27" s="10" t="n">
        <f aca="false">Results_Long!AG49</f>
        <v>7</v>
      </c>
    </row>
    <row r="29" customFormat="false" ht="15" hidden="false" customHeight="false" outlineLevel="0" collapsed="false">
      <c r="A29" s="1" t="s">
        <v>204</v>
      </c>
    </row>
    <row r="30" customFormat="false" ht="57.45" hidden="false" customHeight="false" outlineLevel="0" collapsed="false">
      <c r="A30" s="4" t="s">
        <v>242</v>
      </c>
    </row>
    <row r="31" customFormat="false" ht="68.65" hidden="false" customHeight="false" outlineLevel="0" collapsed="false">
      <c r="A31" s="4" t="s">
        <v>243</v>
      </c>
    </row>
    <row r="32" customFormat="false" ht="57.45" hidden="false" customHeight="false" outlineLevel="0" collapsed="false">
      <c r="A32" s="4" t="s">
        <v>244</v>
      </c>
    </row>
    <row r="33" customFormat="false" ht="91" hidden="false" customHeight="false" outlineLevel="0" collapsed="false">
      <c r="A33" s="4" t="s">
        <v>245</v>
      </c>
    </row>
    <row r="34" customFormat="false" ht="35.05" hidden="false" customHeight="false" outlineLevel="0" collapsed="false">
      <c r="A34" s="4" t="s">
        <v>246</v>
      </c>
    </row>
    <row r="36" customFormat="false" ht="15" hidden="false" customHeight="false" outlineLevel="0" collapsed="false">
      <c r="A36" s="3" t="s">
        <v>210</v>
      </c>
      <c r="B36" s="3" t="s">
        <v>211</v>
      </c>
    </row>
    <row r="37" customFormat="false" ht="102.2" hidden="false" customHeight="false" outlineLevel="0" collapsed="false">
      <c r="A37" s="4" t="s">
        <v>247</v>
      </c>
      <c r="B37" s="4" t="s">
        <v>248</v>
      </c>
    </row>
    <row r="38" customFormat="false" ht="79.85" hidden="false" customHeight="false" outlineLevel="0" collapsed="false">
      <c r="A38" s="4" t="s">
        <v>249</v>
      </c>
      <c r="B38" s="4" t="s">
        <v>250</v>
      </c>
    </row>
    <row r="39" customFormat="false" ht="169.4" hidden="false" customHeight="false" outlineLevel="0" collapsed="false">
      <c r="A39" s="4" t="s">
        <v>251</v>
      </c>
      <c r="B39" s="4" t="s">
        <v>252</v>
      </c>
    </row>
    <row r="40" customFormat="false" ht="124.6" hidden="false" customHeight="false" outlineLevel="0" collapsed="false">
      <c r="A40" s="4" t="s">
        <v>253</v>
      </c>
      <c r="B40" s="4" t="s">
        <v>254</v>
      </c>
    </row>
    <row r="42" customFormat="false" ht="79.85" hidden="false" customHeight="false" outlineLevel="0" collapsed="false">
      <c r="A42" s="5" t="s">
        <v>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11" min="3" style="0" width="10"/>
  </cols>
  <sheetData>
    <row r="1" customFormat="false" ht="15" hidden="false" customHeight="false" outlineLevel="0" collapsed="false">
      <c r="A1" s="1" t="s">
        <v>256</v>
      </c>
    </row>
    <row r="2" customFormat="false" ht="15" hidden="false" customHeight="false" outlineLevel="0" collapsed="false">
      <c r="A2" s="2" t="s">
        <v>257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182</v>
      </c>
      <c r="B5" s="3" t="s">
        <v>183</v>
      </c>
      <c r="C5" s="3" t="s">
        <v>184</v>
      </c>
      <c r="D5" s="3" t="s">
        <v>185</v>
      </c>
      <c r="E5" s="3" t="s">
        <v>186</v>
      </c>
      <c r="F5" s="3" t="s">
        <v>187</v>
      </c>
      <c r="G5" s="3" t="s">
        <v>188</v>
      </c>
      <c r="H5" s="3" t="s">
        <v>189</v>
      </c>
      <c r="I5" s="3" t="s">
        <v>190</v>
      </c>
      <c r="J5" s="3" t="s">
        <v>191</v>
      </c>
      <c r="K5" s="3" t="s">
        <v>192</v>
      </c>
    </row>
    <row r="6" customFormat="false" ht="15" hidden="false" customHeight="false" outlineLevel="0" collapsed="false">
      <c r="A6" s="2" t="s">
        <v>258</v>
      </c>
      <c r="B6" s="2" t="str">
        <f aca="false">Results_Long!H55&amp;" / "&amp;Results_Long!I55&amp;" / "&amp;Results_Long!J55</f>
        <v>2705 / 113 / 112</v>
      </c>
      <c r="C6" s="7" t="n">
        <f aca="false">Results_Long!K55</f>
        <v>-0.0204238213906038</v>
      </c>
      <c r="D6" s="7" t="n">
        <f aca="false">Results_Long!L55</f>
        <v>0.0163886209512099</v>
      </c>
      <c r="E6" s="8" t="n">
        <f aca="false">Results_Long!N55</f>
        <v>20.7397530092413</v>
      </c>
      <c r="F6" s="6" t="n">
        <f aca="false">Results_Long!O55</f>
        <v>0.226577316209325</v>
      </c>
      <c r="G6" s="7" t="n">
        <f aca="false">Results_Long!P55</f>
        <v>-0.0545318838686982</v>
      </c>
      <c r="H6" s="7" t="n">
        <f aca="false">Results_Long!Q55</f>
        <v>0.0136842410874906</v>
      </c>
      <c r="I6" s="7" t="n">
        <f aca="false">Results_Long!T55</f>
        <v>-0.0204209820512645</v>
      </c>
      <c r="J6" s="7" t="n">
        <f aca="false">Results_Long!U55</f>
        <v>-0.0544778937883368</v>
      </c>
      <c r="K6" s="7" t="n">
        <f aca="false">Results_Long!V55</f>
        <v>0.013683386988188</v>
      </c>
    </row>
    <row r="7" customFormat="false" ht="15" hidden="false" customHeight="false" outlineLevel="0" collapsed="false">
      <c r="A7" s="2" t="s">
        <v>259</v>
      </c>
      <c r="B7" s="2" t="str">
        <f aca="false">Results_Long!H56&amp;" / "&amp;Results_Long!I56&amp;" / "&amp;Results_Long!J56</f>
        <v>2705 / 113 / 112</v>
      </c>
      <c r="C7" s="9" t="n">
        <f aca="false">Results_Long!K56</f>
        <v>0.0124574678545605</v>
      </c>
      <c r="D7" s="7" t="n">
        <f aca="false">Results_Long!L56</f>
        <v>0.0173491495401304</v>
      </c>
      <c r="E7" s="8" t="n">
        <f aca="false">Results_Long!N56</f>
        <v>14.2242528555395</v>
      </c>
      <c r="F7" s="6" t="n">
        <f aca="false">Results_Long!O56</f>
        <v>0.484357114801384</v>
      </c>
      <c r="G7" s="9" t="n">
        <f aca="false">Results_Long!P56</f>
        <v>-0.0246977960140129</v>
      </c>
      <c r="H7" s="9" t="n">
        <f aca="false">Results_Long!Q56</f>
        <v>0.0496127317231339</v>
      </c>
      <c r="I7" s="9" t="n">
        <f aca="false">Results_Long!T56</f>
        <v>0</v>
      </c>
      <c r="J7" s="9" t="n">
        <f aca="false">Results_Long!U56</f>
        <v>0</v>
      </c>
      <c r="K7" s="9" t="n">
        <f aca="false">Results_Long!V56</f>
        <v>0</v>
      </c>
    </row>
    <row r="8" customFormat="false" ht="15" hidden="false" customHeight="false" outlineLevel="0" collapsed="false">
      <c r="A8" s="2" t="s">
        <v>260</v>
      </c>
      <c r="B8" s="2" t="str">
        <f aca="false">Results_Long!H63&amp;" / "&amp;Results_Long!I63&amp;" / "&amp;Results_Long!J63</f>
        <v>2705 / 113 / 112</v>
      </c>
      <c r="C8" s="9" t="n">
        <f aca="false">Results_Long!K63</f>
        <v>-0.0128712633307305</v>
      </c>
      <c r="D8" s="7" t="n">
        <f aca="false">Results_Long!L63</f>
        <v>0.0150483755706761</v>
      </c>
      <c r="E8" s="8" t="n">
        <f aca="false">Results_Long!N63</f>
        <v>8.47238293505074</v>
      </c>
      <c r="F8" s="6" t="n">
        <f aca="false">Results_Long!O63</f>
        <v>0.415902491153972</v>
      </c>
      <c r="G8" s="9" t="n">
        <f aca="false">Results_Long!P63</f>
        <v>-0.0472389669918612</v>
      </c>
      <c r="H8" s="9" t="n">
        <f aca="false">Results_Long!Q63</f>
        <v>0.0214964403304001</v>
      </c>
      <c r="I8" s="9" t="n">
        <f aca="false">Results_Long!T63</f>
        <v>0</v>
      </c>
      <c r="J8" s="9" t="n">
        <f aca="false">Results_Long!U63</f>
        <v>0</v>
      </c>
      <c r="K8" s="9" t="n">
        <f aca="false">Results_Long!V63</f>
        <v>0</v>
      </c>
    </row>
    <row r="9" customFormat="false" ht="15" hidden="false" customHeight="false" outlineLevel="0" collapsed="false">
      <c r="A9" s="2" t="s">
        <v>261</v>
      </c>
      <c r="B9" s="2" t="str">
        <f aca="false">Results_Long!H60&amp;" / "&amp;Results_Long!I60&amp;" / "&amp;Results_Long!J60</f>
        <v>2705 / 113 / 112</v>
      </c>
      <c r="C9" s="9" t="n">
        <f aca="false">Results_Long!K60</f>
        <v>-0.055928810263259</v>
      </c>
      <c r="D9" s="7" t="n">
        <f aca="false">Results_Long!L60</f>
        <v>0.0159426184340479</v>
      </c>
      <c r="E9" s="8" t="n">
        <f aca="false">Results_Long!N60</f>
        <v>7.51627047756204</v>
      </c>
      <c r="F9" s="6" t="n">
        <f aca="false">Results_Long!O60</f>
        <v>0.0088164324400758</v>
      </c>
      <c r="G9" s="9" t="n">
        <f aca="false">Results_Long!P60</f>
        <v>-0.0931084942539593</v>
      </c>
      <c r="H9" s="9" t="n">
        <f aca="false">Results_Long!Q60</f>
        <v>-0.0187491262725586</v>
      </c>
      <c r="I9" s="9" t="n">
        <f aca="false">Results_Long!T60</f>
        <v>0</v>
      </c>
      <c r="J9" s="9" t="n">
        <f aca="false">Results_Long!U60</f>
        <v>0</v>
      </c>
      <c r="K9" s="9" t="n">
        <f aca="false">Results_Long!V60</f>
        <v>0</v>
      </c>
    </row>
    <row r="10" customFormat="false" ht="15" hidden="false" customHeight="false" outlineLevel="0" collapsed="false">
      <c r="A10" s="2" t="s">
        <v>262</v>
      </c>
      <c r="B10" s="2" t="str">
        <f aca="false">Results_Long!H61&amp;" / "&amp;Results_Long!I61&amp;" / "&amp;Results_Long!J61</f>
        <v>2705 / 113 / 112</v>
      </c>
      <c r="C10" s="9" t="n">
        <f aca="false">Results_Long!K61</f>
        <v>-0.0850608247750095</v>
      </c>
      <c r="D10" s="7" t="n">
        <f aca="false">Results_Long!L61</f>
        <v>0.0743504792882117</v>
      </c>
      <c r="E10" s="8" t="n">
        <f aca="false">Results_Long!N61</f>
        <v>6.53359759174696</v>
      </c>
      <c r="F10" s="6" t="n">
        <f aca="false">Results_Long!O61</f>
        <v>0.292779357250576</v>
      </c>
      <c r="G10" s="9" t="n">
        <f aca="false">Results_Long!P61</f>
        <v>-0.263448227060714</v>
      </c>
      <c r="H10" s="9" t="n">
        <f aca="false">Results_Long!Q61</f>
        <v>0.093326577510695</v>
      </c>
      <c r="I10" s="9" t="n">
        <f aca="false">Results_Long!T61</f>
        <v>0</v>
      </c>
      <c r="J10" s="9" t="n">
        <f aca="false">Results_Long!U61</f>
        <v>0</v>
      </c>
      <c r="K10" s="9" t="n">
        <f aca="false">Results_Long!V61</f>
        <v>0</v>
      </c>
    </row>
    <row r="11" customFormat="false" ht="15" hidden="false" customHeight="false" outlineLevel="0" collapsed="false">
      <c r="A11" s="2" t="s">
        <v>263</v>
      </c>
      <c r="B11" s="2" t="str">
        <f aca="false">Results_Long!H62&amp;" / "&amp;Results_Long!I62&amp;" / "&amp;Results_Long!J62</f>
        <v>2705 / 113 / 112</v>
      </c>
      <c r="C11" s="9" t="n">
        <f aca="false">Results_Long!K62</f>
        <v>-0.0215337678667293</v>
      </c>
      <c r="D11" s="7" t="n">
        <f aca="false">Results_Long!L62</f>
        <v>0.0164827827045493</v>
      </c>
      <c r="E11" s="8" t="n">
        <f aca="false">Results_Long!N62</f>
        <v>6.3373717584846</v>
      </c>
      <c r="F11" s="6" t="n">
        <f aca="false">Results_Long!O62</f>
        <v>0.236812382268461</v>
      </c>
      <c r="G11" s="9" t="n">
        <f aca="false">Results_Long!P62</f>
        <v>-0.0613508992672403</v>
      </c>
      <c r="H11" s="9" t="n">
        <f aca="false">Results_Long!Q62</f>
        <v>0.0182833635337815</v>
      </c>
      <c r="I11" s="9" t="n">
        <f aca="false">Results_Long!T62</f>
        <v>0</v>
      </c>
      <c r="J11" s="9" t="n">
        <f aca="false">Results_Long!U62</f>
        <v>0</v>
      </c>
      <c r="K11" s="9" t="n">
        <f aca="false">Results_Long!V62</f>
        <v>0</v>
      </c>
    </row>
    <row r="12" customFormat="false" ht="15" hidden="false" customHeight="false" outlineLevel="0" collapsed="false">
      <c r="A12" s="2" t="s">
        <v>264</v>
      </c>
      <c r="B12" s="2" t="str">
        <f aca="false">Results_Long!H57&amp;" / "&amp;Results_Long!I57&amp;" / "&amp;Results_Long!J57</f>
        <v>2705 / 113 / 112</v>
      </c>
      <c r="C12" s="9" t="n">
        <f aca="false">Results_Long!K57</f>
        <v>-0.0415139299662339</v>
      </c>
      <c r="D12" s="7" t="n">
        <f aca="false">Results_Long!L57</f>
        <v>0.0387200793019362</v>
      </c>
      <c r="E12" s="8" t="n">
        <f aca="false">Results_Long!N57</f>
        <v>2.70700367409938</v>
      </c>
      <c r="F12" s="6" t="n">
        <f aca="false">Results_Long!O57</f>
        <v>0.369816889279954</v>
      </c>
      <c r="G12" s="9" t="n">
        <f aca="false">Results_Long!P57</f>
        <v>-0.172638381681302</v>
      </c>
      <c r="H12" s="9" t="n">
        <f aca="false">Results_Long!Q57</f>
        <v>0.0896105217488339</v>
      </c>
      <c r="I12" s="9" t="n">
        <f aca="false">Results_Long!T57</f>
        <v>0</v>
      </c>
      <c r="J12" s="9" t="n">
        <f aca="false">Results_Long!U57</f>
        <v>0</v>
      </c>
      <c r="K12" s="9" t="n">
        <f aca="false">Results_Long!V57</f>
        <v>0</v>
      </c>
    </row>
    <row r="13" customFormat="false" ht="15" hidden="false" customHeight="false" outlineLevel="0" collapsed="false">
      <c r="A13" s="2" t="s">
        <v>265</v>
      </c>
      <c r="B13" s="2" t="str">
        <f aca="false">Results_Long!H58&amp;" / "&amp;Results_Long!I58&amp;" / "&amp;Results_Long!J58</f>
        <v>2705 / 113 / 112</v>
      </c>
      <c r="C13" s="9" t="n">
        <f aca="false">Results_Long!K58</f>
        <v>-0.0238419640981222</v>
      </c>
      <c r="D13" s="7" t="n">
        <f aca="false">Results_Long!L58</f>
        <v>0.0232638518837144</v>
      </c>
      <c r="E13" s="8" t="n">
        <f aca="false">Results_Long!N58</f>
        <v>21.2774608492499</v>
      </c>
      <c r="F13" s="6" t="n">
        <f aca="false">Results_Long!O58</f>
        <v>0.316944966164614</v>
      </c>
      <c r="G13" s="9" t="n">
        <f aca="false">Results_Long!P58</f>
        <v>-0.0721834072118156</v>
      </c>
      <c r="H13" s="9" t="n">
        <f aca="false">Results_Long!Q58</f>
        <v>0.024499479015571</v>
      </c>
      <c r="I13" s="9" t="n">
        <f aca="false">Results_Long!T58</f>
        <v>0</v>
      </c>
      <c r="J13" s="9" t="n">
        <f aca="false">Results_Long!U58</f>
        <v>0</v>
      </c>
      <c r="K13" s="9" t="n">
        <f aca="false">Results_Long!V58</f>
        <v>0</v>
      </c>
    </row>
    <row r="14" customFormat="false" ht="15" hidden="false" customHeight="false" outlineLevel="0" collapsed="false">
      <c r="A14" s="2" t="s">
        <v>266</v>
      </c>
      <c r="B14" s="2" t="str">
        <f aca="false">Results_Long!H59&amp;" / "&amp;Results_Long!I59&amp;" / "&amp;Results_Long!J59</f>
        <v>2705 / 113 / 112</v>
      </c>
      <c r="C14" s="9" t="n">
        <f aca="false">Results_Long!K59</f>
        <v>-0.0119965416187298</v>
      </c>
      <c r="D14" s="7" t="n">
        <f aca="false">Results_Long!L59</f>
        <v>0.0182973152246403</v>
      </c>
      <c r="E14" s="8" t="n">
        <f aca="false">Results_Long!N59</f>
        <v>8.58571784870791</v>
      </c>
      <c r="F14" s="6" t="n">
        <f aca="false">Results_Long!O59</f>
        <v>0.529227125956698</v>
      </c>
      <c r="G14" s="9" t="n">
        <f aca="false">Results_Long!P59</f>
        <v>-0.05369440431618</v>
      </c>
      <c r="H14" s="9" t="n">
        <f aca="false">Results_Long!Q59</f>
        <v>0.0297013210787203</v>
      </c>
      <c r="I14" s="9" t="n">
        <f aca="false">Results_Long!T59</f>
        <v>0</v>
      </c>
      <c r="J14" s="9" t="n">
        <f aca="false">Results_Long!U59</f>
        <v>0</v>
      </c>
      <c r="K14" s="9" t="n">
        <f aca="false">Results_Long!V59</f>
        <v>0</v>
      </c>
    </row>
    <row r="15" customFormat="false" ht="15" hidden="false" customHeight="false" outlineLevel="0" collapsed="false">
      <c r="A15" s="2" t="s">
        <v>267</v>
      </c>
      <c r="B15" s="2" t="str">
        <f aca="false">Results_Long!H68&amp;" / "&amp;Results_Long!I68&amp;" / "&amp;Results_Long!J68</f>
        <v>2705 / 113 / 112</v>
      </c>
      <c r="C15" s="9" t="n">
        <f aca="false">Results_Long!K68</f>
        <v>0.0139315034184867</v>
      </c>
      <c r="D15" s="7" t="n">
        <f aca="false">Results_Long!L68</f>
        <v>0.0183171158109396</v>
      </c>
      <c r="E15" s="8" t="n">
        <f aca="false">Results_Long!N68</f>
        <v>19.2001886161265</v>
      </c>
      <c r="F15" s="6" t="n">
        <f aca="false">Results_Long!O68</f>
        <v>0.456151549548061</v>
      </c>
      <c r="G15" s="9" t="n">
        <f aca="false">Results_Long!P68</f>
        <v>-0.0243796237712214</v>
      </c>
      <c r="H15" s="9" t="n">
        <f aca="false">Results_Long!Q68</f>
        <v>0.0522426306081949</v>
      </c>
      <c r="I15" s="9" t="n">
        <f aca="false">Results_Long!T68</f>
        <v>0</v>
      </c>
      <c r="J15" s="9" t="n">
        <f aca="false">Results_Long!U68</f>
        <v>0</v>
      </c>
      <c r="K15" s="9" t="n">
        <f aca="false">Results_Long!V68</f>
        <v>0</v>
      </c>
    </row>
    <row r="16" customFormat="false" ht="15" hidden="false" customHeight="false" outlineLevel="0" collapsed="false">
      <c r="A16" s="2" t="s">
        <v>268</v>
      </c>
      <c r="B16" s="2" t="str">
        <f aca="false">Results_Long!H67&amp;" / "&amp;Results_Long!I67&amp;" / "&amp;Results_Long!J67</f>
        <v>2705 / 113 / 112</v>
      </c>
      <c r="C16" s="9" t="n">
        <f aca="false">Results_Long!K67</f>
        <v>-0.00022856644685425</v>
      </c>
      <c r="D16" s="7" t="n">
        <f aca="false">Results_Long!L67</f>
        <v>0.0018053731963673</v>
      </c>
      <c r="E16" s="8" t="n">
        <f aca="false">Results_Long!N67</f>
        <v>23.3854199948555</v>
      </c>
      <c r="F16" s="6" t="n">
        <f aca="false">Results_Long!O67</f>
        <v>0.900336536294477</v>
      </c>
      <c r="G16" s="9" t="n">
        <f aca="false">Results_Long!P67</f>
        <v>-0.003959862460846</v>
      </c>
      <c r="H16" s="9" t="n">
        <f aca="false">Results_Long!Q67</f>
        <v>0.0035027295671375</v>
      </c>
      <c r="I16" s="9" t="n">
        <f aca="false">Results_Long!T67</f>
        <v>0</v>
      </c>
      <c r="J16" s="9" t="n">
        <f aca="false">Results_Long!U67</f>
        <v>0</v>
      </c>
      <c r="K16" s="9" t="n">
        <f aca="false">Results_Long!V67</f>
        <v>0</v>
      </c>
    </row>
    <row r="17" customFormat="false" ht="15" hidden="false" customHeight="false" outlineLevel="0" collapsed="false">
      <c r="A17" s="2" t="s">
        <v>269</v>
      </c>
      <c r="C17" s="6" t="n">
        <f aca="false">Results_Long!M64</f>
        <v>1.50144303999955</v>
      </c>
      <c r="D17" s="2" t="s">
        <v>203</v>
      </c>
      <c r="E17" s="8" t="n">
        <f aca="false">Results_Long!N64</f>
        <v>7.80603157754308</v>
      </c>
      <c r="F17" s="6" t="n">
        <f aca="false">Results_Long!O64</f>
        <v>0.292003439164146</v>
      </c>
    </row>
    <row r="18" customFormat="false" ht="15" hidden="false" customHeight="false" outlineLevel="0" collapsed="false">
      <c r="A18" s="2" t="s">
        <v>270</v>
      </c>
      <c r="C18" s="6" t="n">
        <f aca="false">Results_Long!M76</f>
        <v>1.44673692500258</v>
      </c>
      <c r="D18" s="2" t="s">
        <v>203</v>
      </c>
      <c r="E18" s="8" t="n">
        <f aca="false">Results_Long!N76</f>
        <v>7.18019269506883</v>
      </c>
      <c r="F18" s="6" t="n">
        <f aca="false">Results_Long!O76</f>
        <v>0.316689837029017</v>
      </c>
    </row>
    <row r="20" customFormat="false" ht="15" hidden="false" customHeight="false" outlineLevel="0" collapsed="false">
      <c r="A20" s="2" t="s">
        <v>271</v>
      </c>
      <c r="B20" s="9" t="n">
        <f aca="false">Results_Long!AG65</f>
        <v>0.0022815611441579</v>
      </c>
    </row>
    <row r="22" customFormat="false" ht="15" hidden="false" customHeight="false" outlineLevel="0" collapsed="false">
      <c r="A22" s="1" t="s">
        <v>204</v>
      </c>
    </row>
    <row r="23" customFormat="false" ht="46.25" hidden="false" customHeight="false" outlineLevel="0" collapsed="false">
      <c r="A23" s="4" t="s">
        <v>272</v>
      </c>
    </row>
    <row r="24" customFormat="false" ht="57.45" hidden="false" customHeight="false" outlineLevel="0" collapsed="false">
      <c r="A24" s="4" t="s">
        <v>273</v>
      </c>
    </row>
    <row r="25" customFormat="false" ht="68.65" hidden="false" customHeight="false" outlineLevel="0" collapsed="false">
      <c r="A25" s="4" t="s">
        <v>274</v>
      </c>
    </row>
    <row r="26" customFormat="false" ht="46.25" hidden="false" customHeight="false" outlineLevel="0" collapsed="false">
      <c r="A26" s="4" t="s">
        <v>275</v>
      </c>
    </row>
    <row r="27" customFormat="false" ht="35.05" hidden="false" customHeight="false" outlineLevel="0" collapsed="false">
      <c r="A27" s="4" t="s">
        <v>276</v>
      </c>
    </row>
    <row r="29" customFormat="false" ht="15" hidden="false" customHeight="false" outlineLevel="0" collapsed="false">
      <c r="A29" s="3" t="s">
        <v>210</v>
      </c>
      <c r="B29" s="3" t="s">
        <v>211</v>
      </c>
    </row>
    <row r="30" customFormat="false" ht="247.75" hidden="false" customHeight="false" outlineLevel="0" collapsed="false">
      <c r="A30" s="4" t="s">
        <v>277</v>
      </c>
      <c r="B30" s="4" t="s">
        <v>278</v>
      </c>
    </row>
    <row r="31" customFormat="false" ht="158.2" hidden="false" customHeight="false" outlineLevel="0" collapsed="false">
      <c r="A31" s="4" t="s">
        <v>279</v>
      </c>
      <c r="B31" s="4" t="s">
        <v>280</v>
      </c>
    </row>
    <row r="32" customFormat="false" ht="135.8" hidden="false" customHeight="false" outlineLevel="0" collapsed="false">
      <c r="A32" s="4" t="s">
        <v>281</v>
      </c>
      <c r="B32" s="4" t="s">
        <v>282</v>
      </c>
    </row>
    <row r="34" customFormat="false" ht="57.45" hidden="false" customHeight="false" outlineLevel="0" collapsed="false">
      <c r="A34" s="5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86"/>
  </cols>
  <sheetData>
    <row r="1" customFormat="false" ht="15" hidden="false" customHeight="false" outlineLevel="0" collapsed="false">
      <c r="A1" s="1" t="s">
        <v>284</v>
      </c>
    </row>
    <row r="2" customFormat="false" ht="15" hidden="false" customHeight="false" outlineLevel="0" collapsed="false">
      <c r="A2" s="2" t="s">
        <v>285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48</v>
      </c>
      <c r="B5" s="3" t="s">
        <v>4</v>
      </c>
      <c r="C5" s="3" t="s">
        <v>167</v>
      </c>
    </row>
    <row r="6" customFormat="false" ht="46.25" hidden="false" customHeight="false" outlineLevel="0" collapsed="false">
      <c r="A6" s="2" t="s">
        <v>286</v>
      </c>
      <c r="B6" s="7" t="n">
        <f aca="false">Results_Long!AG77</f>
        <v>-0.014745523329622</v>
      </c>
      <c r="C6" s="4" t="str">
        <f aca="false">Results_Long!AJ77</f>
        <v>Oster-logic ANALOG on variance-component pseudo-R2: R2 = 1 - sum(sigma2_model)/sum(sigma2_intercept-only), same subset/V; uncontrolled = race (time trend held in both models [F61-P1]), controlled = trend_composition; Rmax = min(1.3 x R2_c, 1) [Oster 2019]; pseudo-R2 can be negative (REML)</v>
      </c>
    </row>
    <row r="7" customFormat="false" ht="46.25" hidden="false" customHeight="false" outlineLevel="0" collapsed="false">
      <c r="A7" s="2" t="s">
        <v>287</v>
      </c>
      <c r="B7" s="7" t="n">
        <f aca="false">Results_Long!AG78</f>
        <v>0.0098149608536122</v>
      </c>
      <c r="C7" s="4" t="str">
        <f aca="false">Results_Long!AJ78</f>
        <v>Oster-logic ANALOG on variance-component pseudo-R2: R2 = 1 - sum(sigma2_model)/sum(sigma2_intercept-only), same subset/V; uncontrolled = race (time trend held in both models [F61-P1]), controlled = trend_composition; Rmax = min(1.3 x R2_c, 1) [Oster 2019]; pseudo-R2 can be negative (REML)</v>
      </c>
    </row>
    <row r="8" customFormat="false" ht="46.25" hidden="false" customHeight="false" outlineLevel="0" collapsed="false">
      <c r="A8" s="2" t="s">
        <v>288</v>
      </c>
      <c r="B8" s="9" t="n">
        <f aca="false">Results_Long!AG79</f>
        <v>0.0124309311321839</v>
      </c>
      <c r="C8" s="4" t="str">
        <f aca="false">Results_Long!AJ79</f>
        <v>Oster-logic ANALOG on variance-component pseudo-R2: R2 = 1 - sum(sigma2_model)/sum(sigma2_intercept-only), same subset/V; uncontrolled = race (time trend held in both models [F61-P1]), controlled = trend_composition; Rmax = min(1.3 x R2_c, 1) [Oster 2019]; pseudo-R2 can be negative (REML); delta = 1; z-scale</v>
      </c>
    </row>
    <row r="9" customFormat="false" ht="57.45" hidden="false" customHeight="false" outlineLevel="0" collapsed="false">
      <c r="A9" s="2" t="s">
        <v>289</v>
      </c>
      <c r="B9" s="11" t="n">
        <f aca="false">Results_Long!AG80</f>
        <v>9.28412682658016</v>
      </c>
      <c r="C9" s="4" t="str">
        <f aca="false">Results_Long!AJ80</f>
        <v>Oster-logic ANALOG on variance-component pseudo-R2: R2 = 1 - sum(sigma2_model)/sum(sigma2_intercept-only), same subset/V; uncontrolled = race (time trend held in both models [F61-P1]), controlled = trend_composition; Rmax = min(1.3 x R2_c, 1) [Oster 2019]; pseudo-R2 can be negative (REML); CAVEAT: near-null coefficients make delta* mechanically unstable — read jointly with beta_star and the mask E-values</v>
      </c>
    </row>
    <row r="10" customFormat="false" ht="23.85" hidden="false" customHeight="false" outlineLevel="0" collapsed="false">
      <c r="A10" s="2" t="s">
        <v>290</v>
      </c>
      <c r="B10" s="6" t="n">
        <f aca="false">Results_Long!AG81</f>
        <v>1.18798302132066</v>
      </c>
      <c r="C10" s="4" t="str">
        <f aca="false">Results_Long!AJ81</f>
        <v>on |final-model Paris coefficient|; |delta z| read as |delta r| (third-order approx at these magnitudes); r-&gt;d = 2r/sqrt(1-r^2), RR approx exp(0.91 d) [VanderWeele &amp; Ding 2017]</v>
      </c>
    </row>
    <row r="11" customFormat="false" ht="23.85" hidden="false" customHeight="false" outlineLevel="0" collapsed="false">
      <c r="A11" s="2" t="s">
        <v>291</v>
      </c>
      <c r="B11" s="6" t="n">
        <f aca="false">Results_Long!AG82</f>
        <v>1.43135786514981</v>
      </c>
      <c r="C11" s="4" t="str">
        <f aca="false">Results_Long!AJ82</f>
        <v>on max |CR2 CI bound| of the final-model Paris coefficient; |delta z| read as |delta r| (third-order approx at these magnitudes); r-&gt;d = 2r/sqrt(1-r^2), RR approx exp(0.91 d) [VanderWeele &amp; Ding 2017]</v>
      </c>
    </row>
    <row r="12" customFormat="false" ht="35.05" hidden="false" customHeight="false" outlineLevel="0" collapsed="false">
      <c r="A12" s="2" t="s">
        <v>292</v>
      </c>
      <c r="B12" s="6" t="n">
        <f aca="false">Results_Long!AG83</f>
        <v>1.41864886689984</v>
      </c>
      <c r="C12" s="4" t="str">
        <f aca="false">Results_Long!AJ83</f>
        <v>confounding strength needed to mask a true |delta r| = 0.05 contrast [DEC-031 Block E secondary SESOI]; |delta z| read as |delta r| (third-order approx at these magnitudes); r-&gt;d = 2r/sqrt(1-r^2), RR approx exp(0.91 d) [VanderWeele &amp; Ding 2017]</v>
      </c>
    </row>
    <row r="13" customFormat="false" ht="35.05" hidden="false" customHeight="false" outlineLevel="0" collapsed="false">
      <c r="A13" s="2" t="s">
        <v>293</v>
      </c>
      <c r="B13" s="6" t="n">
        <f aca="false">Results_Long!AG84</f>
        <v>1.52965445717267</v>
      </c>
      <c r="C13" s="4" t="str">
        <f aca="false">Results_Long!AJ84</f>
        <v>mask reference at the pooled-mean SESOI |r| = 0.070 (F27v2) [DEC-031 Block E primary]; |delta z| read as |delta r| (third-order approx at these magnitudes); r-&gt;d = 2r/sqrt(1-r^2), RR approx exp(0.91 d) [VanderWeele &amp; Ding 2017]</v>
      </c>
    </row>
    <row r="15" customFormat="false" ht="15" hidden="false" customHeight="false" outlineLevel="0" collapsed="false">
      <c r="A15" s="1" t="s">
        <v>204</v>
      </c>
    </row>
    <row r="16" customFormat="false" ht="46.25" hidden="false" customHeight="false" outlineLevel="0" collapsed="false">
      <c r="A16" s="4" t="s">
        <v>294</v>
      </c>
    </row>
    <row r="17" customFormat="false" ht="46.25" hidden="false" customHeight="false" outlineLevel="0" collapsed="false">
      <c r="A17" s="4" t="s">
        <v>295</v>
      </c>
    </row>
    <row r="18" customFormat="false" ht="68.65" hidden="false" customHeight="false" outlineLevel="0" collapsed="false">
      <c r="A18" s="4" t="s">
        <v>296</v>
      </c>
    </row>
    <row r="19" customFormat="false" ht="57.45" hidden="false" customHeight="false" outlineLevel="0" collapsed="false">
      <c r="A19" s="4" t="s">
        <v>297</v>
      </c>
    </row>
    <row r="21" customFormat="false" ht="15" hidden="false" customHeight="false" outlineLevel="0" collapsed="false">
      <c r="A21" s="3" t="s">
        <v>210</v>
      </c>
      <c r="B21" s="3" t="s">
        <v>211</v>
      </c>
    </row>
    <row r="22" customFormat="false" ht="113.4" hidden="false" customHeight="false" outlineLevel="0" collapsed="false">
      <c r="A22" s="4" t="s">
        <v>298</v>
      </c>
      <c r="B22" s="4" t="s">
        <v>299</v>
      </c>
    </row>
    <row r="23" customFormat="false" ht="124.6" hidden="false" customHeight="false" outlineLevel="0" collapsed="false">
      <c r="A23" s="4" t="s">
        <v>300</v>
      </c>
      <c r="B23" s="4" t="s">
        <v>301</v>
      </c>
    </row>
    <row r="25" customFormat="false" ht="57.45" hidden="false" customHeight="false" outlineLevel="0" collapsed="false">
      <c r="A25" s="5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7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5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27" min="11" style="0" width="10"/>
    <col collapsed="false" customWidth="true" hidden="false" outlineLevel="0" max="31" min="28" style="0" width="8"/>
    <col collapsed="false" customWidth="true" hidden="false" outlineLevel="0" max="32" min="32" style="0" width="10"/>
    <col collapsed="false" customWidth="true" hidden="false" outlineLevel="0" max="33" min="33" style="0" width="12"/>
    <col collapsed="false" customWidth="true" hidden="false" outlineLevel="0" max="34" min="34" style="0" width="8"/>
    <col collapsed="false" customWidth="true" hidden="false" outlineLevel="0" max="35" min="35" style="0" width="18"/>
    <col collapsed="false" customWidth="true" hidden="false" outlineLevel="0" max="36" min="36" style="0" width="60"/>
  </cols>
  <sheetData>
    <row r="1" customFormat="false" ht="15" hidden="false" customHeight="false" outlineLevel="0" collapsed="false">
      <c r="A1" s="3" t="s">
        <v>303</v>
      </c>
      <c r="B1" s="3" t="s">
        <v>304</v>
      </c>
      <c r="C1" s="3" t="s">
        <v>305</v>
      </c>
      <c r="D1" s="3" t="s">
        <v>306</v>
      </c>
      <c r="E1" s="3" t="s">
        <v>307</v>
      </c>
      <c r="F1" s="3" t="s">
        <v>308</v>
      </c>
      <c r="G1" s="3" t="s">
        <v>309</v>
      </c>
      <c r="H1" s="3" t="s">
        <v>310</v>
      </c>
      <c r="I1" s="3" t="s">
        <v>311</v>
      </c>
      <c r="J1" s="3" t="s">
        <v>312</v>
      </c>
      <c r="K1" s="3" t="s">
        <v>184</v>
      </c>
      <c r="L1" s="3" t="s">
        <v>185</v>
      </c>
      <c r="M1" s="3" t="s">
        <v>313</v>
      </c>
      <c r="N1" s="3" t="s">
        <v>186</v>
      </c>
      <c r="O1" s="3" t="s">
        <v>187</v>
      </c>
      <c r="P1" s="3" t="s">
        <v>314</v>
      </c>
      <c r="Q1" s="3" t="s">
        <v>315</v>
      </c>
      <c r="R1" s="3" t="s">
        <v>316</v>
      </c>
      <c r="S1" s="3" t="s">
        <v>317</v>
      </c>
      <c r="T1" s="3" t="s">
        <v>190</v>
      </c>
      <c r="U1" s="3" t="s">
        <v>318</v>
      </c>
      <c r="V1" s="3" t="s">
        <v>319</v>
      </c>
      <c r="W1" s="3" t="s">
        <v>320</v>
      </c>
      <c r="X1" s="3" t="s">
        <v>321</v>
      </c>
      <c r="Y1" s="3" t="s">
        <v>322</v>
      </c>
      <c r="Z1" s="3" t="s">
        <v>323</v>
      </c>
      <c r="AA1" s="3" t="s">
        <v>324</v>
      </c>
      <c r="AB1" s="3" t="s">
        <v>325</v>
      </c>
      <c r="AC1" s="3" t="s">
        <v>326</v>
      </c>
      <c r="AD1" s="3" t="s">
        <v>327</v>
      </c>
      <c r="AE1" s="3" t="s">
        <v>328</v>
      </c>
      <c r="AF1" s="3" t="s">
        <v>329</v>
      </c>
      <c r="AG1" s="3" t="s">
        <v>330</v>
      </c>
      <c r="AH1" s="3" t="s">
        <v>331</v>
      </c>
      <c r="AI1" s="3" t="s">
        <v>332</v>
      </c>
      <c r="AJ1" s="3" t="s">
        <v>333</v>
      </c>
    </row>
    <row r="2" customFormat="false" ht="15" hidden="false" customHeight="false" outlineLevel="0" collapsed="false">
      <c r="A2" s="12" t="s">
        <v>334</v>
      </c>
      <c r="B2" s="12" t="s">
        <v>335</v>
      </c>
      <c r="C2" s="12" t="s">
        <v>336</v>
      </c>
      <c r="D2" s="12" t="s">
        <v>168</v>
      </c>
      <c r="E2" s="12" t="s">
        <v>337</v>
      </c>
      <c r="F2" s="12" t="s">
        <v>338</v>
      </c>
      <c r="G2" s="12"/>
      <c r="H2" s="12" t="n">
        <v>2705</v>
      </c>
      <c r="I2" s="12" t="n">
        <v>113</v>
      </c>
      <c r="J2" s="12" t="n">
        <v>112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 t="n">
        <v>2705</v>
      </c>
      <c r="AH2" s="13" t="b">
        <f aca="false">FALSE()</f>
        <v>0</v>
      </c>
      <c r="AI2" s="12"/>
      <c r="AJ2" s="12" t="s">
        <v>339</v>
      </c>
    </row>
    <row r="3" customFormat="false" ht="15" hidden="false" customHeight="false" outlineLevel="0" collapsed="false">
      <c r="A3" s="12" t="s">
        <v>334</v>
      </c>
      <c r="B3" s="12" t="s">
        <v>335</v>
      </c>
      <c r="C3" s="12" t="s">
        <v>336</v>
      </c>
      <c r="D3" s="12" t="s">
        <v>169</v>
      </c>
      <c r="E3" s="12" t="s">
        <v>337</v>
      </c>
      <c r="F3" s="12" t="s">
        <v>338</v>
      </c>
      <c r="G3" s="12"/>
      <c r="H3" s="12" t="n">
        <v>2705</v>
      </c>
      <c r="I3" s="12" t="n">
        <v>113</v>
      </c>
      <c r="J3" s="12" t="n">
        <v>112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 t="n">
        <v>8</v>
      </c>
      <c r="AH3" s="13" t="b">
        <f aca="false">FALSE()</f>
        <v>0</v>
      </c>
      <c r="AI3" s="12"/>
      <c r="AJ3" s="12" t="s">
        <v>340</v>
      </c>
    </row>
    <row r="4" customFormat="false" ht="15" hidden="false" customHeight="false" outlineLevel="0" collapsed="false">
      <c r="A4" s="12" t="s">
        <v>334</v>
      </c>
      <c r="B4" s="12" t="s">
        <v>335</v>
      </c>
      <c r="C4" s="12" t="s">
        <v>336</v>
      </c>
      <c r="D4" s="12" t="s">
        <v>170</v>
      </c>
      <c r="E4" s="12" t="s">
        <v>337</v>
      </c>
      <c r="F4" s="12" t="s">
        <v>338</v>
      </c>
      <c r="G4" s="12"/>
      <c r="H4" s="12" t="n">
        <v>2705</v>
      </c>
      <c r="I4" s="12" t="n">
        <v>113</v>
      </c>
      <c r="J4" s="12" t="n">
        <v>112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 t="n">
        <v>711</v>
      </c>
      <c r="AH4" s="13" t="b">
        <f aca="false">FALSE()</f>
        <v>0</v>
      </c>
      <c r="AI4" s="12"/>
      <c r="AJ4" s="12" t="s">
        <v>341</v>
      </c>
    </row>
    <row r="5" customFormat="false" ht="15" hidden="false" customHeight="false" outlineLevel="0" collapsed="false">
      <c r="A5" s="12" t="s">
        <v>334</v>
      </c>
      <c r="B5" s="12" t="s">
        <v>335</v>
      </c>
      <c r="C5" s="12" t="s">
        <v>336</v>
      </c>
      <c r="D5" s="12" t="s">
        <v>171</v>
      </c>
      <c r="E5" s="12" t="s">
        <v>342</v>
      </c>
      <c r="F5" s="12" t="s">
        <v>338</v>
      </c>
      <c r="G5" s="12"/>
      <c r="H5" s="12" t="n">
        <v>2705</v>
      </c>
      <c r="I5" s="12" t="n">
        <v>113</v>
      </c>
      <c r="J5" s="12" t="n">
        <v>112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 t="n">
        <v>0.814579698943666</v>
      </c>
      <c r="AH5" s="13" t="b">
        <f aca="false">FALSE()</f>
        <v>0</v>
      </c>
      <c r="AI5" s="12"/>
      <c r="AJ5" s="12" t="s">
        <v>343</v>
      </c>
    </row>
    <row r="6" customFormat="false" ht="15" hidden="false" customHeight="false" outlineLevel="0" collapsed="false">
      <c r="A6" s="12" t="s">
        <v>334</v>
      </c>
      <c r="B6" s="12" t="s">
        <v>335</v>
      </c>
      <c r="C6" s="12" t="s">
        <v>336</v>
      </c>
      <c r="D6" s="12" t="s">
        <v>172</v>
      </c>
      <c r="E6" s="12" t="s">
        <v>337</v>
      </c>
      <c r="F6" s="12" t="s">
        <v>338</v>
      </c>
      <c r="G6" s="12"/>
      <c r="H6" s="12" t="n">
        <v>2705</v>
      </c>
      <c r="I6" s="12" t="n">
        <v>113</v>
      </c>
      <c r="J6" s="12" t="n">
        <v>112</v>
      </c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 t="n">
        <v>41</v>
      </c>
      <c r="AH6" s="13" t="b">
        <f aca="false">FALSE()</f>
        <v>0</v>
      </c>
      <c r="AI6" s="12"/>
      <c r="AJ6" s="12" t="s">
        <v>344</v>
      </c>
    </row>
    <row r="7" customFormat="false" ht="15" hidden="false" customHeight="false" outlineLevel="0" collapsed="false">
      <c r="A7" s="12" t="s">
        <v>334</v>
      </c>
      <c r="B7" s="12" t="s">
        <v>335</v>
      </c>
      <c r="C7" s="12" t="s">
        <v>336</v>
      </c>
      <c r="D7" s="12" t="s">
        <v>173</v>
      </c>
      <c r="E7" s="12" t="s">
        <v>345</v>
      </c>
      <c r="F7" s="12" t="s">
        <v>338</v>
      </c>
      <c r="G7" s="12"/>
      <c r="H7" s="12" t="n">
        <v>2705</v>
      </c>
      <c r="I7" s="12" t="n">
        <v>113</v>
      </c>
      <c r="J7" s="12" t="n">
        <v>112</v>
      </c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 t="n">
        <v>1</v>
      </c>
      <c r="AH7" s="13" t="b">
        <f aca="false">FALSE()</f>
        <v>0</v>
      </c>
      <c r="AI7" s="12"/>
      <c r="AJ7" s="12" t="s">
        <v>346</v>
      </c>
    </row>
    <row r="8" customFormat="false" ht="15" hidden="false" customHeight="false" outlineLevel="0" collapsed="false">
      <c r="A8" s="12" t="s">
        <v>334</v>
      </c>
      <c r="B8" s="12" t="s">
        <v>335</v>
      </c>
      <c r="C8" s="12" t="s">
        <v>336</v>
      </c>
      <c r="D8" s="12" t="s">
        <v>174</v>
      </c>
      <c r="E8" s="12" t="s">
        <v>337</v>
      </c>
      <c r="F8" s="12" t="s">
        <v>338</v>
      </c>
      <c r="G8" s="12"/>
      <c r="H8" s="12" t="n">
        <v>2705</v>
      </c>
      <c r="I8" s="12" t="n">
        <v>113</v>
      </c>
      <c r="J8" s="12" t="n">
        <v>112</v>
      </c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 t="n">
        <v>318</v>
      </c>
      <c r="AH8" s="13" t="b">
        <f aca="false">FALSE()</f>
        <v>0</v>
      </c>
      <c r="AI8" s="12"/>
      <c r="AJ8" s="12" t="s">
        <v>347</v>
      </c>
    </row>
    <row r="9" customFormat="false" ht="15" hidden="false" customHeight="false" outlineLevel="0" collapsed="false">
      <c r="A9" s="12" t="s">
        <v>334</v>
      </c>
      <c r="B9" s="12" t="s">
        <v>335</v>
      </c>
      <c r="C9" s="12" t="s">
        <v>336</v>
      </c>
      <c r="D9" s="12" t="s">
        <v>175</v>
      </c>
      <c r="E9" s="12" t="s">
        <v>337</v>
      </c>
      <c r="F9" s="12" t="s">
        <v>338</v>
      </c>
      <c r="G9" s="12"/>
      <c r="H9" s="12" t="n">
        <v>2705</v>
      </c>
      <c r="I9" s="12" t="n">
        <v>113</v>
      </c>
      <c r="J9" s="12" t="n">
        <v>112</v>
      </c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 t="n">
        <v>611</v>
      </c>
      <c r="AH9" s="13" t="b">
        <f aca="false">FALSE()</f>
        <v>0</v>
      </c>
      <c r="AI9" s="12"/>
      <c r="AJ9" s="12" t="s">
        <v>348</v>
      </c>
    </row>
    <row r="10" customFormat="false" ht="15" hidden="false" customHeight="false" outlineLevel="0" collapsed="false">
      <c r="A10" s="12" t="s">
        <v>334</v>
      </c>
      <c r="B10" s="12" t="s">
        <v>335</v>
      </c>
      <c r="C10" s="12" t="s">
        <v>336</v>
      </c>
      <c r="D10" s="12" t="s">
        <v>176</v>
      </c>
      <c r="E10" s="12" t="s">
        <v>349</v>
      </c>
      <c r="F10" s="12" t="s">
        <v>338</v>
      </c>
      <c r="G10" s="12"/>
      <c r="H10" s="12" t="n">
        <v>2705</v>
      </c>
      <c r="I10" s="12" t="n">
        <v>113</v>
      </c>
      <c r="J10" s="12" t="n">
        <v>112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 t="n">
        <v>2012.257855823</v>
      </c>
      <c r="AH10" s="13" t="b">
        <f aca="false">FALSE()</f>
        <v>0</v>
      </c>
      <c r="AI10" s="12"/>
      <c r="AJ10" s="12" t="s">
        <v>350</v>
      </c>
    </row>
    <row r="11" customFormat="false" ht="15" hidden="false" customHeight="false" outlineLevel="0" collapsed="false">
      <c r="A11" s="12" t="s">
        <v>334</v>
      </c>
      <c r="B11" s="12" t="s">
        <v>335</v>
      </c>
      <c r="C11" s="12" t="s">
        <v>336</v>
      </c>
      <c r="D11" s="12" t="s">
        <v>177</v>
      </c>
      <c r="E11" s="12" t="s">
        <v>349</v>
      </c>
      <c r="F11" s="12" t="s">
        <v>338</v>
      </c>
      <c r="G11" s="12"/>
      <c r="H11" s="12" t="n">
        <v>2705</v>
      </c>
      <c r="I11" s="12" t="n">
        <v>113</v>
      </c>
      <c r="J11" s="12" t="n">
        <v>112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 t="n">
        <v>2013</v>
      </c>
      <c r="AH11" s="13" t="b">
        <f aca="false">FALSE()</f>
        <v>0</v>
      </c>
      <c r="AI11" s="12"/>
      <c r="AJ11" s="12" t="s">
        <v>351</v>
      </c>
    </row>
    <row r="12" customFormat="false" ht="15" hidden="false" customHeight="false" outlineLevel="0" collapsed="false">
      <c r="A12" s="12" t="s">
        <v>334</v>
      </c>
      <c r="B12" s="12" t="s">
        <v>335</v>
      </c>
      <c r="C12" s="12" t="s">
        <v>336</v>
      </c>
      <c r="D12" s="12" t="s">
        <v>178</v>
      </c>
      <c r="E12" s="12" t="s">
        <v>337</v>
      </c>
      <c r="F12" s="12" t="s">
        <v>338</v>
      </c>
      <c r="G12" s="12"/>
      <c r="H12" s="12" t="n">
        <v>2705</v>
      </c>
      <c r="I12" s="12" t="n">
        <v>113</v>
      </c>
      <c r="J12" s="12" t="n">
        <v>112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 t="n">
        <v>25</v>
      </c>
      <c r="AH12" s="13" t="b">
        <f aca="false">FALSE()</f>
        <v>0</v>
      </c>
      <c r="AI12" s="12"/>
      <c r="AJ12" s="12" t="s">
        <v>352</v>
      </c>
    </row>
    <row r="13" customFormat="false" ht="15" hidden="false" customHeight="false" outlineLevel="0" collapsed="false">
      <c r="A13" s="12" t="s">
        <v>353</v>
      </c>
      <c r="B13" s="12" t="s">
        <v>354</v>
      </c>
      <c r="C13" s="12" t="s">
        <v>336</v>
      </c>
      <c r="D13" s="12" t="s">
        <v>193</v>
      </c>
      <c r="E13" s="12" t="s">
        <v>355</v>
      </c>
      <c r="F13" s="12" t="s">
        <v>356</v>
      </c>
      <c r="G13" s="12" t="n">
        <v>0.6</v>
      </c>
      <c r="H13" s="12" t="n">
        <v>2705</v>
      </c>
      <c r="I13" s="12" t="n">
        <v>113</v>
      </c>
      <c r="J13" s="12" t="n">
        <v>112</v>
      </c>
      <c r="K13" s="12" t="n">
        <v>-0.075610163195622</v>
      </c>
      <c r="L13" s="12" t="n">
        <v>0.0278718057814103</v>
      </c>
      <c r="M13" s="12" t="n">
        <v>-2.71278308225195</v>
      </c>
      <c r="N13" s="12" t="n">
        <v>36.5846250424549</v>
      </c>
      <c r="O13" s="12" t="n">
        <v>0.0101080050664365</v>
      </c>
      <c r="P13" s="12" t="n">
        <v>-0.132105457246492</v>
      </c>
      <c r="Q13" s="12" t="n">
        <v>-0.0191148691447525</v>
      </c>
      <c r="R13" s="12"/>
      <c r="S13" s="12"/>
      <c r="T13" s="12" t="n">
        <v>-0.0754664067568329</v>
      </c>
      <c r="U13" s="12" t="n">
        <v>-0.131342289326032</v>
      </c>
      <c r="V13" s="12" t="n">
        <v>-0.0191125414326468</v>
      </c>
      <c r="W13" s="12"/>
      <c r="X13" s="12"/>
      <c r="Y13" s="12" t="n">
        <v>0.0206602283349201</v>
      </c>
      <c r="Z13" s="12" t="n">
        <v>2.07437625167996E-009</v>
      </c>
      <c r="AA13" s="12" t="n">
        <v>0.0118745910494189</v>
      </c>
      <c r="AB13" s="12"/>
      <c r="AC13" s="12"/>
      <c r="AD13" s="12"/>
      <c r="AE13" s="12"/>
      <c r="AF13" s="12"/>
      <c r="AG13" s="12"/>
      <c r="AH13" s="13" t="b">
        <f aca="false">FALSE()</f>
        <v>0</v>
      </c>
      <c r="AI13" s="12"/>
      <c r="AJ13" s="12" t="s">
        <v>357</v>
      </c>
    </row>
    <row r="14" customFormat="false" ht="15" hidden="false" customHeight="false" outlineLevel="0" collapsed="false">
      <c r="A14" s="12" t="s">
        <v>353</v>
      </c>
      <c r="B14" s="12" t="s">
        <v>354</v>
      </c>
      <c r="C14" s="12" t="s">
        <v>336</v>
      </c>
      <c r="D14" s="12" t="s">
        <v>358</v>
      </c>
      <c r="E14" s="12" t="s">
        <v>355</v>
      </c>
      <c r="F14" s="12" t="s">
        <v>356</v>
      </c>
      <c r="G14" s="12" t="n">
        <v>0.6</v>
      </c>
      <c r="H14" s="12" t="n">
        <v>2705</v>
      </c>
      <c r="I14" s="12" t="n">
        <v>113</v>
      </c>
      <c r="J14" s="12" t="n">
        <v>112</v>
      </c>
      <c r="K14" s="12" t="n">
        <v>-0.0035458790008403</v>
      </c>
      <c r="L14" s="12" t="n">
        <v>0.0021628054608093</v>
      </c>
      <c r="M14" s="12" t="n">
        <v>-1.63948125020609</v>
      </c>
      <c r="N14" s="12" t="n">
        <v>17.6583133617841</v>
      </c>
      <c r="O14" s="12" t="n">
        <v>0.118805840861886</v>
      </c>
      <c r="P14" s="12" t="n">
        <v>-0.0080960751957646</v>
      </c>
      <c r="Q14" s="12" t="n">
        <v>0.001004317194084</v>
      </c>
      <c r="R14" s="12"/>
      <c r="S14" s="12"/>
      <c r="T14" s="12"/>
      <c r="U14" s="12"/>
      <c r="V14" s="12"/>
      <c r="W14" s="12"/>
      <c r="X14" s="12"/>
      <c r="Y14" s="12" t="n">
        <v>0.0206602283349201</v>
      </c>
      <c r="Z14" s="12" t="n">
        <v>2.07437625167996E-009</v>
      </c>
      <c r="AA14" s="12" t="n">
        <v>0.0118745910494189</v>
      </c>
      <c r="AB14" s="12"/>
      <c r="AC14" s="12"/>
      <c r="AD14" s="12"/>
      <c r="AE14" s="12"/>
      <c r="AF14" s="12"/>
      <c r="AG14" s="12"/>
      <c r="AH14" s="13" t="b">
        <f aca="false">FALSE()</f>
        <v>0</v>
      </c>
      <c r="AI14" s="12"/>
      <c r="AJ14" s="12" t="s">
        <v>357</v>
      </c>
    </row>
    <row r="15" customFormat="false" ht="15" hidden="false" customHeight="false" outlineLevel="0" collapsed="false">
      <c r="A15" s="12" t="s">
        <v>353</v>
      </c>
      <c r="B15" s="12" t="s">
        <v>354</v>
      </c>
      <c r="C15" s="12" t="s">
        <v>336</v>
      </c>
      <c r="D15" s="12" t="s">
        <v>359</v>
      </c>
      <c r="E15" s="12" t="s">
        <v>355</v>
      </c>
      <c r="F15" s="12" t="s">
        <v>356</v>
      </c>
      <c r="G15" s="12" t="n">
        <v>0.6</v>
      </c>
      <c r="H15" s="12" t="n">
        <v>2705</v>
      </c>
      <c r="I15" s="12" t="n">
        <v>113</v>
      </c>
      <c r="J15" s="12" t="n">
        <v>112</v>
      </c>
      <c r="K15" s="12" t="n">
        <v>0.0518149454420233</v>
      </c>
      <c r="L15" s="12" t="n">
        <v>0.0461490531326434</v>
      </c>
      <c r="M15" s="12" t="n">
        <v>1.12277374994227</v>
      </c>
      <c r="N15" s="12" t="n">
        <v>27.6485492331444</v>
      </c>
      <c r="O15" s="12" t="n">
        <v>0.271189168029772</v>
      </c>
      <c r="P15" s="12" t="n">
        <v>-0.0427712696076192</v>
      </c>
      <c r="Q15" s="12" t="n">
        <v>0.146401160491666</v>
      </c>
      <c r="R15" s="12"/>
      <c r="S15" s="12"/>
      <c r="T15" s="12"/>
      <c r="U15" s="12"/>
      <c r="V15" s="12"/>
      <c r="W15" s="12"/>
      <c r="X15" s="12"/>
      <c r="Y15" s="12" t="n">
        <v>0.0206602283349201</v>
      </c>
      <c r="Z15" s="12" t="n">
        <v>2.07437625167996E-009</v>
      </c>
      <c r="AA15" s="12" t="n">
        <v>0.0118745910494189</v>
      </c>
      <c r="AB15" s="12"/>
      <c r="AC15" s="12"/>
      <c r="AD15" s="12"/>
      <c r="AE15" s="12"/>
      <c r="AF15" s="12"/>
      <c r="AG15" s="12"/>
      <c r="AH15" s="13" t="b">
        <f aca="false">TRUE()</f>
        <v>1</v>
      </c>
      <c r="AI15" s="12" t="s">
        <v>360</v>
      </c>
      <c r="AJ15" s="12" t="s">
        <v>361</v>
      </c>
    </row>
    <row r="16" customFormat="false" ht="15" hidden="false" customHeight="false" outlineLevel="0" collapsed="false">
      <c r="A16" s="12" t="s">
        <v>353</v>
      </c>
      <c r="B16" s="12" t="s">
        <v>354</v>
      </c>
      <c r="C16" s="12" t="s">
        <v>336</v>
      </c>
      <c r="D16" s="12" t="s">
        <v>362</v>
      </c>
      <c r="E16" s="12" t="s">
        <v>355</v>
      </c>
      <c r="F16" s="12" t="s">
        <v>356</v>
      </c>
      <c r="G16" s="12" t="n">
        <v>0.6</v>
      </c>
      <c r="H16" s="12" t="n">
        <v>2705</v>
      </c>
      <c r="I16" s="12" t="n">
        <v>113</v>
      </c>
      <c r="J16" s="12" t="n">
        <v>112</v>
      </c>
      <c r="K16" s="12" t="n">
        <v>-0.087106414150543</v>
      </c>
      <c r="L16" s="12" t="n">
        <v>0.0345271286832421</v>
      </c>
      <c r="M16" s="12" t="n">
        <v>-2.52283979214352</v>
      </c>
      <c r="N16" s="12" t="n">
        <v>36.4633388744258</v>
      </c>
      <c r="O16" s="12" t="n">
        <v>0.0161392464667111</v>
      </c>
      <c r="P16" s="12" t="n">
        <v>-0.157099793895922</v>
      </c>
      <c r="Q16" s="12" t="n">
        <v>-0.017113034405164</v>
      </c>
      <c r="R16" s="12"/>
      <c r="S16" s="12"/>
      <c r="T16" s="12" t="n">
        <v>-0.0868867733045467</v>
      </c>
      <c r="U16" s="12" t="n">
        <v>-0.155820000988079</v>
      </c>
      <c r="V16" s="12" t="n">
        <v>-0.0171113640495368</v>
      </c>
      <c r="W16" s="12"/>
      <c r="X16" s="12"/>
      <c r="Y16" s="12" t="n">
        <v>0.0206602283349201</v>
      </c>
      <c r="Z16" s="12" t="n">
        <v>2.07437625167996E-009</v>
      </c>
      <c r="AA16" s="12" t="n">
        <v>0.0118745910494189</v>
      </c>
      <c r="AB16" s="12"/>
      <c r="AC16" s="12"/>
      <c r="AD16" s="12"/>
      <c r="AE16" s="12"/>
      <c r="AF16" s="12"/>
      <c r="AG16" s="12"/>
      <c r="AH16" s="13" t="b">
        <f aca="false">FALSE()</f>
        <v>0</v>
      </c>
      <c r="AI16" s="12"/>
      <c r="AJ16" s="12" t="s">
        <v>363</v>
      </c>
    </row>
    <row r="17" customFormat="false" ht="15" hidden="false" customHeight="false" outlineLevel="0" collapsed="false">
      <c r="A17" s="12" t="s">
        <v>353</v>
      </c>
      <c r="B17" s="12" t="s">
        <v>354</v>
      </c>
      <c r="C17" s="12" t="s">
        <v>336</v>
      </c>
      <c r="D17" s="12" t="s">
        <v>364</v>
      </c>
      <c r="E17" s="12" t="s">
        <v>355</v>
      </c>
      <c r="F17" s="12" t="s">
        <v>356</v>
      </c>
      <c r="G17" s="12" t="n">
        <v>0.6</v>
      </c>
      <c r="H17" s="12" t="n">
        <v>2705</v>
      </c>
      <c r="I17" s="12" t="n">
        <v>113</v>
      </c>
      <c r="J17" s="12" t="n">
        <v>112</v>
      </c>
      <c r="K17" s="12" t="n">
        <v>-0.0560174468853291</v>
      </c>
      <c r="L17" s="12" t="n">
        <v>0.0112371484534364</v>
      </c>
      <c r="M17" s="12" t="n">
        <v>-4.9850233017255</v>
      </c>
      <c r="N17" s="12" t="n">
        <v>41.3354984438273</v>
      </c>
      <c r="O17" s="12" t="n">
        <v>1.15646240389008E-005</v>
      </c>
      <c r="P17" s="12" t="n">
        <v>-0.0787057360654244</v>
      </c>
      <c r="Q17" s="12" t="n">
        <v>-0.0333291577052337</v>
      </c>
      <c r="R17" s="12"/>
      <c r="S17" s="12"/>
      <c r="T17" s="12" t="n">
        <v>-0.0559589269402514</v>
      </c>
      <c r="U17" s="12" t="n">
        <v>-0.0785436210837697</v>
      </c>
      <c r="V17" s="12" t="n">
        <v>-0.0333168221462951</v>
      </c>
      <c r="W17" s="12"/>
      <c r="X17" s="12"/>
      <c r="Y17" s="12" t="n">
        <v>0.0206602283349201</v>
      </c>
      <c r="Z17" s="12" t="n">
        <v>2.07437625167996E-009</v>
      </c>
      <c r="AA17" s="12" t="n">
        <v>0.0118745910494189</v>
      </c>
      <c r="AB17" s="12"/>
      <c r="AC17" s="12"/>
      <c r="AD17" s="12"/>
      <c r="AE17" s="12"/>
      <c r="AF17" s="12"/>
      <c r="AG17" s="12"/>
      <c r="AH17" s="13" t="b">
        <f aca="false">FALSE()</f>
        <v>0</v>
      </c>
      <c r="AI17" s="12"/>
      <c r="AJ17" s="12" t="s">
        <v>365</v>
      </c>
    </row>
    <row r="18" customFormat="false" ht="15" hidden="false" customHeight="false" outlineLevel="0" collapsed="false">
      <c r="A18" s="12" t="s">
        <v>353</v>
      </c>
      <c r="B18" s="12" t="s">
        <v>354</v>
      </c>
      <c r="C18" s="12" t="s">
        <v>336</v>
      </c>
      <c r="D18" s="12" t="s">
        <v>366</v>
      </c>
      <c r="E18" s="12" t="s">
        <v>355</v>
      </c>
      <c r="F18" s="12" t="s">
        <v>356</v>
      </c>
      <c r="G18" s="12" t="n">
        <v>0.6</v>
      </c>
      <c r="H18" s="12" t="n">
        <v>2705</v>
      </c>
      <c r="I18" s="12" t="n">
        <v>113</v>
      </c>
      <c r="J18" s="12" t="n">
        <v>112</v>
      </c>
      <c r="K18" s="12" t="n">
        <v>-0.0352914687085197</v>
      </c>
      <c r="L18" s="12" t="n">
        <v>0.0163585290969978</v>
      </c>
      <c r="M18" s="12" t="n">
        <v>-2.15737420517818</v>
      </c>
      <c r="N18" s="12" t="n">
        <v>25.4398383784512</v>
      </c>
      <c r="O18" s="12" t="n">
        <v>0.04060968388398</v>
      </c>
      <c r="P18" s="12" t="n">
        <v>-0.0689529788036383</v>
      </c>
      <c r="Q18" s="12" t="n">
        <v>-0.0016299586134011</v>
      </c>
      <c r="R18" s="12"/>
      <c r="S18" s="12"/>
      <c r="T18" s="12" t="n">
        <v>-0.035276824306767</v>
      </c>
      <c r="U18" s="12" t="n">
        <v>-0.0688439069477701</v>
      </c>
      <c r="V18" s="12" t="n">
        <v>-0.0016299571699303</v>
      </c>
      <c r="W18" s="12"/>
      <c r="X18" s="12"/>
      <c r="Y18" s="12" t="n">
        <v>0.0206602283349201</v>
      </c>
      <c r="Z18" s="12" t="n">
        <v>2.07437625167996E-009</v>
      </c>
      <c r="AA18" s="12" t="n">
        <v>0.0118745910494189</v>
      </c>
      <c r="AB18" s="12"/>
      <c r="AC18" s="12"/>
      <c r="AD18" s="12"/>
      <c r="AE18" s="12"/>
      <c r="AF18" s="12"/>
      <c r="AG18" s="12"/>
      <c r="AH18" s="13" t="b">
        <f aca="false">FALSE()</f>
        <v>0</v>
      </c>
      <c r="AI18" s="12"/>
      <c r="AJ18" s="12" t="s">
        <v>367</v>
      </c>
    </row>
    <row r="19" customFormat="false" ht="15" hidden="false" customHeight="false" outlineLevel="0" collapsed="false">
      <c r="A19" s="12" t="s">
        <v>353</v>
      </c>
      <c r="B19" s="12" t="s">
        <v>354</v>
      </c>
      <c r="C19" s="12" t="s">
        <v>336</v>
      </c>
      <c r="D19" s="12" t="s">
        <v>368</v>
      </c>
      <c r="E19" s="12" t="s">
        <v>355</v>
      </c>
      <c r="F19" s="12" t="s">
        <v>356</v>
      </c>
      <c r="G19" s="12" t="n">
        <v>0.6</v>
      </c>
      <c r="H19" s="12" t="n">
        <v>2705</v>
      </c>
      <c r="I19" s="12" t="n">
        <v>113</v>
      </c>
      <c r="J19" s="12" t="n">
        <v>112</v>
      </c>
      <c r="K19" s="12" t="n">
        <v>0.0310889672652139</v>
      </c>
      <c r="L19" s="12" t="n">
        <v>0.027689431879586</v>
      </c>
      <c r="M19" s="12" t="n">
        <v>1.12277374994227</v>
      </c>
      <c r="N19" s="12" t="n">
        <v>27.6485492331444</v>
      </c>
      <c r="O19" s="12" t="n">
        <v>0.271189168029772</v>
      </c>
      <c r="P19" s="12" t="n">
        <v>-0.0256627617645715</v>
      </c>
      <c r="Q19" s="12" t="n">
        <v>0.0878406962949995</v>
      </c>
      <c r="R19" s="12"/>
      <c r="S19" s="12"/>
      <c r="T19" s="12"/>
      <c r="U19" s="12"/>
      <c r="V19" s="12"/>
      <c r="W19" s="12"/>
      <c r="X19" s="12"/>
      <c r="Y19" s="12" t="n">
        <v>0.0206602283349201</v>
      </c>
      <c r="Z19" s="12" t="n">
        <v>2.07437625167996E-009</v>
      </c>
      <c r="AA19" s="12" t="n">
        <v>0.0118745910494189</v>
      </c>
      <c r="AB19" s="12"/>
      <c r="AC19" s="12"/>
      <c r="AD19" s="12"/>
      <c r="AE19" s="12"/>
      <c r="AF19" s="12"/>
      <c r="AG19" s="12"/>
      <c r="AH19" s="13" t="b">
        <f aca="false">TRUE()</f>
        <v>1</v>
      </c>
      <c r="AI19" s="12" t="s">
        <v>369</v>
      </c>
      <c r="AJ19" s="12" t="s">
        <v>370</v>
      </c>
    </row>
    <row r="20" customFormat="false" ht="15" hidden="false" customHeight="false" outlineLevel="0" collapsed="false">
      <c r="A20" s="12" t="s">
        <v>353</v>
      </c>
      <c r="B20" s="12" t="s">
        <v>354</v>
      </c>
      <c r="C20" s="12" t="s">
        <v>336</v>
      </c>
      <c r="D20" s="12" t="s">
        <v>371</v>
      </c>
      <c r="E20" s="12" t="s">
        <v>355</v>
      </c>
      <c r="F20" s="12" t="s">
        <v>356</v>
      </c>
      <c r="G20" s="12" t="n">
        <v>0.6</v>
      </c>
      <c r="H20" s="12" t="n">
        <v>2705</v>
      </c>
      <c r="I20" s="12" t="n">
        <v>113</v>
      </c>
      <c r="J20" s="12" t="n">
        <v>112</v>
      </c>
      <c r="K20" s="12" t="n">
        <v>0.0518149454420233</v>
      </c>
      <c r="L20" s="12" t="n">
        <v>0.0461490531326434</v>
      </c>
      <c r="M20" s="12" t="n">
        <v>1.12277374994227</v>
      </c>
      <c r="N20" s="12" t="n">
        <v>27.6485492331444</v>
      </c>
      <c r="O20" s="12" t="n">
        <v>0.271189168029772</v>
      </c>
      <c r="P20" s="12" t="n">
        <v>-0.0427712696076192</v>
      </c>
      <c r="Q20" s="12" t="n">
        <v>0.146401160491666</v>
      </c>
      <c r="R20" s="12"/>
      <c r="S20" s="12"/>
      <c r="T20" s="12"/>
      <c r="U20" s="12"/>
      <c r="V20" s="12"/>
      <c r="W20" s="12"/>
      <c r="X20" s="12"/>
      <c r="Y20" s="12" t="n">
        <v>0.0206602283349201</v>
      </c>
      <c r="Z20" s="12" t="n">
        <v>2.07437625167996E-009</v>
      </c>
      <c r="AA20" s="12" t="n">
        <v>0.0118745910494189</v>
      </c>
      <c r="AB20" s="12"/>
      <c r="AC20" s="12"/>
      <c r="AD20" s="12"/>
      <c r="AE20" s="12"/>
      <c r="AF20" s="12"/>
      <c r="AG20" s="12"/>
      <c r="AH20" s="13" t="b">
        <f aca="false">FALSE()</f>
        <v>0</v>
      </c>
      <c r="AI20" s="12"/>
      <c r="AJ20" s="12" t="s">
        <v>372</v>
      </c>
    </row>
    <row r="21" customFormat="false" ht="15" hidden="false" customHeight="false" outlineLevel="0" collapsed="false">
      <c r="A21" s="12" t="s">
        <v>353</v>
      </c>
      <c r="B21" s="12" t="s">
        <v>373</v>
      </c>
      <c r="C21" s="12" t="s">
        <v>336</v>
      </c>
      <c r="D21" s="12" t="s">
        <v>193</v>
      </c>
      <c r="E21" s="12" t="s">
        <v>355</v>
      </c>
      <c r="F21" s="12" t="s">
        <v>356</v>
      </c>
      <c r="G21" s="12" t="n">
        <v>0.6</v>
      </c>
      <c r="H21" s="12" t="n">
        <v>2705</v>
      </c>
      <c r="I21" s="12" t="n">
        <v>113</v>
      </c>
      <c r="J21" s="12" t="n">
        <v>112</v>
      </c>
      <c r="K21" s="12" t="n">
        <v>-0.0853000746990628</v>
      </c>
      <c r="L21" s="12" t="n">
        <v>0.0254774745706555</v>
      </c>
      <c r="M21" s="12" t="n">
        <v>-3.34805847661643</v>
      </c>
      <c r="N21" s="12" t="n">
        <v>16.8027232668795</v>
      </c>
      <c r="O21" s="12" t="n">
        <v>0.003863133537303</v>
      </c>
      <c r="P21" s="12" t="n">
        <v>-0.139100962341232</v>
      </c>
      <c r="Q21" s="12" t="n">
        <v>-0.0314991870568935</v>
      </c>
      <c r="R21" s="12"/>
      <c r="S21" s="12"/>
      <c r="T21" s="12" t="n">
        <v>-0.0850937910189171</v>
      </c>
      <c r="U21" s="12" t="n">
        <v>-0.138210693614474</v>
      </c>
      <c r="V21" s="12" t="n">
        <v>-0.0314887733714743</v>
      </c>
      <c r="W21" s="12"/>
      <c r="X21" s="12"/>
      <c r="Y21" s="12" t="n">
        <v>0.0208679379862513</v>
      </c>
      <c r="Z21" s="12" t="n">
        <v>3.0707011191601E-009</v>
      </c>
      <c r="AA21" s="12" t="n">
        <v>0.0118730989339927</v>
      </c>
      <c r="AB21" s="12"/>
      <c r="AC21" s="12"/>
      <c r="AD21" s="12"/>
      <c r="AE21" s="12"/>
      <c r="AF21" s="12"/>
      <c r="AG21" s="12"/>
      <c r="AH21" s="13" t="b">
        <f aca="false">FALSE()</f>
        <v>0</v>
      </c>
      <c r="AI21" s="12"/>
      <c r="AJ21" s="12" t="s">
        <v>374</v>
      </c>
    </row>
    <row r="22" customFormat="false" ht="15" hidden="false" customHeight="false" outlineLevel="0" collapsed="false">
      <c r="A22" s="12" t="s">
        <v>353</v>
      </c>
      <c r="B22" s="12" t="s">
        <v>373</v>
      </c>
      <c r="C22" s="12" t="s">
        <v>336</v>
      </c>
      <c r="D22" s="12" t="s">
        <v>358</v>
      </c>
      <c r="E22" s="12" t="s">
        <v>355</v>
      </c>
      <c r="F22" s="12" t="s">
        <v>356</v>
      </c>
      <c r="G22" s="12" t="n">
        <v>0.6</v>
      </c>
      <c r="H22" s="12" t="n">
        <v>2705</v>
      </c>
      <c r="I22" s="12" t="n">
        <v>113</v>
      </c>
      <c r="J22" s="12" t="n">
        <v>112</v>
      </c>
      <c r="K22" s="12" t="n">
        <v>-0.0041452252112933</v>
      </c>
      <c r="L22" s="12" t="n">
        <v>0.002085949865677</v>
      </c>
      <c r="M22" s="12" t="n">
        <v>-1.98721229090891</v>
      </c>
      <c r="N22" s="12" t="n">
        <v>18.959531078454</v>
      </c>
      <c r="O22" s="12" t="n">
        <v>0.0615406850095749</v>
      </c>
      <c r="P22" s="12" t="n">
        <v>-0.0085117992821786</v>
      </c>
      <c r="Q22" s="12" t="n">
        <v>0.000221348859591999</v>
      </c>
      <c r="R22" s="12"/>
      <c r="S22" s="12"/>
      <c r="T22" s="12"/>
      <c r="U22" s="12"/>
      <c r="V22" s="12"/>
      <c r="W22" s="12"/>
      <c r="X22" s="12"/>
      <c r="Y22" s="12" t="n">
        <v>0.0208679379862513</v>
      </c>
      <c r="Z22" s="12" t="n">
        <v>3.0707011191601E-009</v>
      </c>
      <c r="AA22" s="12" t="n">
        <v>0.0118730989339927</v>
      </c>
      <c r="AB22" s="12"/>
      <c r="AC22" s="12"/>
      <c r="AD22" s="12"/>
      <c r="AE22" s="12"/>
      <c r="AF22" s="12"/>
      <c r="AG22" s="12"/>
      <c r="AH22" s="13" t="b">
        <f aca="false">FALSE()</f>
        <v>0</v>
      </c>
      <c r="AI22" s="12"/>
      <c r="AJ22" s="12" t="s">
        <v>374</v>
      </c>
    </row>
    <row r="23" customFormat="false" ht="15" hidden="false" customHeight="false" outlineLevel="0" collapsed="false">
      <c r="A23" s="12" t="s">
        <v>353</v>
      </c>
      <c r="B23" s="12" t="s">
        <v>373</v>
      </c>
      <c r="C23" s="12" t="s">
        <v>336</v>
      </c>
      <c r="D23" s="12" t="s">
        <v>359</v>
      </c>
      <c r="E23" s="12" t="s">
        <v>355</v>
      </c>
      <c r="F23" s="12" t="s">
        <v>356</v>
      </c>
      <c r="G23" s="12" t="n">
        <v>0.6</v>
      </c>
      <c r="H23" s="12" t="n">
        <v>2705</v>
      </c>
      <c r="I23" s="12" t="n">
        <v>113</v>
      </c>
      <c r="J23" s="12" t="n">
        <v>112</v>
      </c>
      <c r="K23" s="12" t="n">
        <v>0.127945462556301</v>
      </c>
      <c r="L23" s="12" t="n">
        <v>0.0751378759632066</v>
      </c>
      <c r="M23" s="12" t="n">
        <v>1.70280914806473</v>
      </c>
      <c r="N23" s="12" t="n">
        <v>25.4430507887563</v>
      </c>
      <c r="O23" s="12" t="n">
        <v>0.100791744941073</v>
      </c>
      <c r="P23" s="12" t="n">
        <v>-0.0266673669650109</v>
      </c>
      <c r="Q23" s="12" t="n">
        <v>0.282558292077613</v>
      </c>
      <c r="R23" s="12"/>
      <c r="S23" s="12"/>
      <c r="T23" s="12"/>
      <c r="U23" s="12"/>
      <c r="V23" s="12"/>
      <c r="W23" s="12"/>
      <c r="X23" s="12"/>
      <c r="Y23" s="12" t="n">
        <v>0.0208679379862513</v>
      </c>
      <c r="Z23" s="12" t="n">
        <v>3.0707011191601E-009</v>
      </c>
      <c r="AA23" s="12" t="n">
        <v>0.0118730989339927</v>
      </c>
      <c r="AB23" s="12"/>
      <c r="AC23" s="12"/>
      <c r="AD23" s="12"/>
      <c r="AE23" s="12"/>
      <c r="AF23" s="12"/>
      <c r="AG23" s="12"/>
      <c r="AH23" s="13" t="b">
        <f aca="false">FALSE()</f>
        <v>0</v>
      </c>
      <c r="AI23" s="12"/>
      <c r="AJ23" s="12" t="s">
        <v>374</v>
      </c>
    </row>
    <row r="24" customFormat="false" ht="15" hidden="false" customHeight="false" outlineLevel="0" collapsed="false">
      <c r="A24" s="12" t="s">
        <v>353</v>
      </c>
      <c r="B24" s="12" t="s">
        <v>373</v>
      </c>
      <c r="C24" s="12" t="s">
        <v>336</v>
      </c>
      <c r="D24" s="12" t="s">
        <v>375</v>
      </c>
      <c r="E24" s="12" t="s">
        <v>355</v>
      </c>
      <c r="F24" s="12" t="s">
        <v>356</v>
      </c>
      <c r="G24" s="12" t="n">
        <v>0.6</v>
      </c>
      <c r="H24" s="12" t="n">
        <v>2705</v>
      </c>
      <c r="I24" s="12" t="n">
        <v>113</v>
      </c>
      <c r="J24" s="12" t="n">
        <v>112</v>
      </c>
      <c r="K24" s="12" t="n">
        <v>-0.0734800999260279</v>
      </c>
      <c r="L24" s="12" t="n">
        <v>0.0749483322499894</v>
      </c>
      <c r="M24" s="12" t="n">
        <v>-0.980410073448144</v>
      </c>
      <c r="N24" s="12" t="n">
        <v>50.6548187524792</v>
      </c>
      <c r="O24" s="12" t="n">
        <v>0.331543242866622</v>
      </c>
      <c r="P24" s="12" t="n">
        <v>-0.223970054298391</v>
      </c>
      <c r="Q24" s="12" t="n">
        <v>0.0770098544463351</v>
      </c>
      <c r="R24" s="12"/>
      <c r="S24" s="12"/>
      <c r="T24" s="12"/>
      <c r="U24" s="12"/>
      <c r="V24" s="12"/>
      <c r="W24" s="12"/>
      <c r="X24" s="12"/>
      <c r="Y24" s="12" t="n">
        <v>0.0208679379862513</v>
      </c>
      <c r="Z24" s="12" t="n">
        <v>3.0707011191601E-009</v>
      </c>
      <c r="AA24" s="12" t="n">
        <v>0.0118730989339927</v>
      </c>
      <c r="AB24" s="12"/>
      <c r="AC24" s="12"/>
      <c r="AD24" s="12"/>
      <c r="AE24" s="12"/>
      <c r="AF24" s="12"/>
      <c r="AG24" s="12"/>
      <c r="AH24" s="13" t="b">
        <f aca="false">FALSE()</f>
        <v>0</v>
      </c>
      <c r="AI24" s="12"/>
      <c r="AJ24" s="12" t="s">
        <v>376</v>
      </c>
    </row>
    <row r="25" customFormat="false" ht="15" hidden="false" customHeight="false" outlineLevel="0" collapsed="false">
      <c r="A25" s="12" t="s">
        <v>353</v>
      </c>
      <c r="B25" s="12" t="s">
        <v>373</v>
      </c>
      <c r="C25" s="12" t="s">
        <v>336</v>
      </c>
      <c r="D25" s="12" t="s">
        <v>377</v>
      </c>
      <c r="E25" s="12" t="s">
        <v>378</v>
      </c>
      <c r="F25" s="12" t="s">
        <v>356</v>
      </c>
      <c r="G25" s="12" t="n">
        <v>0.6</v>
      </c>
      <c r="H25" s="12" t="n">
        <v>2705</v>
      </c>
      <c r="I25" s="12" t="n">
        <v>113</v>
      </c>
      <c r="J25" s="12" t="n">
        <v>112</v>
      </c>
      <c r="K25" s="12"/>
      <c r="L25" s="12"/>
      <c r="M25" s="12" t="n">
        <v>1.66068201179309</v>
      </c>
      <c r="N25" s="12" t="n">
        <v>30.5086838474109</v>
      </c>
      <c r="O25" s="12" t="n">
        <v>0.206727501241668</v>
      </c>
      <c r="P25" s="12"/>
      <c r="Q25" s="12"/>
      <c r="R25" s="12"/>
      <c r="S25" s="12"/>
      <c r="T25" s="12"/>
      <c r="U25" s="12"/>
      <c r="V25" s="12"/>
      <c r="W25" s="12"/>
      <c r="X25" s="12"/>
      <c r="Y25" s="12" t="n">
        <v>0.0208679379862513</v>
      </c>
      <c r="Z25" s="12" t="n">
        <v>3.0707011191601E-009</v>
      </c>
      <c r="AA25" s="12" t="n">
        <v>0.0118730989339927</v>
      </c>
      <c r="AB25" s="12"/>
      <c r="AC25" s="12"/>
      <c r="AD25" s="12"/>
      <c r="AE25" s="12"/>
      <c r="AF25" s="12"/>
      <c r="AG25" s="12"/>
      <c r="AH25" s="13" t="b">
        <f aca="false">FALSE()</f>
        <v>0</v>
      </c>
      <c r="AI25" s="12"/>
      <c r="AJ25" s="12" t="s">
        <v>379</v>
      </c>
    </row>
    <row r="26" customFormat="false" ht="15" hidden="false" customHeight="false" outlineLevel="0" collapsed="false">
      <c r="A26" s="12" t="s">
        <v>380</v>
      </c>
      <c r="B26" s="12" t="s">
        <v>381</v>
      </c>
      <c r="C26" s="12" t="s">
        <v>336</v>
      </c>
      <c r="D26" s="12" t="s">
        <v>193</v>
      </c>
      <c r="E26" s="12" t="s">
        <v>355</v>
      </c>
      <c r="F26" s="12" t="s">
        <v>356</v>
      </c>
      <c r="G26" s="12" t="n">
        <v>0.6</v>
      </c>
      <c r="H26" s="12" t="n">
        <v>2705</v>
      </c>
      <c r="I26" s="12" t="n">
        <v>113</v>
      </c>
      <c r="J26" s="12" t="n">
        <v>112</v>
      </c>
      <c r="K26" s="12" t="n">
        <v>-0.0585179116615031</v>
      </c>
      <c r="L26" s="12" t="n">
        <v>0.0142084880000906</v>
      </c>
      <c r="M26" s="12" t="n">
        <v>-4.11851786489384</v>
      </c>
      <c r="N26" s="12" t="n">
        <v>106.566359089699</v>
      </c>
      <c r="O26" s="12" t="n">
        <v>7.55085456068548E-005</v>
      </c>
      <c r="P26" s="12" t="n">
        <v>-0.086685892773546</v>
      </c>
      <c r="Q26" s="12" t="n">
        <v>-0.0303499305494602</v>
      </c>
      <c r="R26" s="12"/>
      <c r="S26" s="12"/>
      <c r="T26" s="12" t="n">
        <v>-0.058451207834852</v>
      </c>
      <c r="U26" s="12" t="n">
        <v>-0.0864694113495016</v>
      </c>
      <c r="V26" s="12" t="n">
        <v>-0.0303406153562837</v>
      </c>
      <c r="W26" s="12"/>
      <c r="X26" s="12"/>
      <c r="Y26" s="12" t="n">
        <v>0.0204501509125505</v>
      </c>
      <c r="Z26" s="12" t="n">
        <v>2.14591552292198E-009</v>
      </c>
      <c r="AA26" s="12" t="n">
        <v>0.0118789880258801</v>
      </c>
      <c r="AB26" s="12"/>
      <c r="AC26" s="12"/>
      <c r="AD26" s="12"/>
      <c r="AE26" s="12"/>
      <c r="AF26" s="12"/>
      <c r="AG26" s="12"/>
      <c r="AH26" s="13" t="b">
        <f aca="false">FALSE()</f>
        <v>0</v>
      </c>
      <c r="AI26" s="12"/>
      <c r="AJ26" s="12" t="s">
        <v>382</v>
      </c>
    </row>
    <row r="27" customFormat="false" ht="15" hidden="false" customHeight="false" outlineLevel="0" collapsed="false">
      <c r="A27" s="12" t="s">
        <v>380</v>
      </c>
      <c r="B27" s="12" t="s">
        <v>381</v>
      </c>
      <c r="C27" s="12" t="s">
        <v>336</v>
      </c>
      <c r="D27" s="12" t="s">
        <v>358</v>
      </c>
      <c r="E27" s="12" t="s">
        <v>355</v>
      </c>
      <c r="F27" s="12" t="s">
        <v>356</v>
      </c>
      <c r="G27" s="12" t="n">
        <v>0.6</v>
      </c>
      <c r="H27" s="12" t="n">
        <v>2705</v>
      </c>
      <c r="I27" s="12" t="n">
        <v>113</v>
      </c>
      <c r="J27" s="12" t="n">
        <v>112</v>
      </c>
      <c r="K27" s="12" t="n">
        <v>-0.000751292331851444</v>
      </c>
      <c r="L27" s="12" t="n">
        <v>0.000984000395095241</v>
      </c>
      <c r="M27" s="12" t="n">
        <v>-0.763508160765247</v>
      </c>
      <c r="N27" s="12" t="n">
        <v>26.5959438979087</v>
      </c>
      <c r="O27" s="12" t="n">
        <v>0.451880634598503</v>
      </c>
      <c r="P27" s="12" t="n">
        <v>-0.0027717305852899</v>
      </c>
      <c r="Q27" s="12" t="n">
        <v>0.001269145921587</v>
      </c>
      <c r="R27" s="12"/>
      <c r="S27" s="12"/>
      <c r="T27" s="12"/>
      <c r="U27" s="12"/>
      <c r="V27" s="12"/>
      <c r="W27" s="12"/>
      <c r="X27" s="12"/>
      <c r="Y27" s="12" t="n">
        <v>0.0204501509125505</v>
      </c>
      <c r="Z27" s="12" t="n">
        <v>2.14591552292198E-009</v>
      </c>
      <c r="AA27" s="12" t="n">
        <v>0.0118789880258801</v>
      </c>
      <c r="AB27" s="12"/>
      <c r="AC27" s="12"/>
      <c r="AD27" s="12"/>
      <c r="AE27" s="12"/>
      <c r="AF27" s="12"/>
      <c r="AG27" s="12"/>
      <c r="AH27" s="13" t="b">
        <f aca="false">FALSE()</f>
        <v>0</v>
      </c>
      <c r="AI27" s="12"/>
      <c r="AJ27" s="12" t="s">
        <v>383</v>
      </c>
    </row>
    <row r="28" customFormat="false" ht="15" hidden="false" customHeight="false" outlineLevel="0" collapsed="false">
      <c r="A28" s="12" t="s">
        <v>380</v>
      </c>
      <c r="B28" s="12" t="s">
        <v>63</v>
      </c>
      <c r="C28" s="12" t="s">
        <v>336</v>
      </c>
      <c r="D28" s="12" t="s">
        <v>193</v>
      </c>
      <c r="E28" s="12" t="s">
        <v>355</v>
      </c>
      <c r="F28" s="12" t="s">
        <v>356</v>
      </c>
      <c r="G28" s="12" t="n">
        <v>0.6</v>
      </c>
      <c r="H28" s="12" t="n">
        <v>2705</v>
      </c>
      <c r="I28" s="12" t="n">
        <v>113</v>
      </c>
      <c r="J28" s="12" t="n">
        <v>112</v>
      </c>
      <c r="K28" s="12" t="n">
        <v>-0.0615991565189955</v>
      </c>
      <c r="L28" s="12" t="n">
        <v>0.0180461144532684</v>
      </c>
      <c r="M28" s="12" t="n">
        <v>-3.41343044667652</v>
      </c>
      <c r="N28" s="12" t="n">
        <v>68.5971129071262</v>
      </c>
      <c r="O28" s="12" t="n">
        <v>0.0010804696442775</v>
      </c>
      <c r="P28" s="12" t="n">
        <v>-0.0976039423484408</v>
      </c>
      <c r="Q28" s="12" t="n">
        <v>-0.0255943706895502</v>
      </c>
      <c r="R28" s="12"/>
      <c r="S28" s="12"/>
      <c r="T28" s="12" t="n">
        <v>-0.0615213628260251</v>
      </c>
      <c r="U28" s="12" t="n">
        <v>-0.097295176600782</v>
      </c>
      <c r="V28" s="12" t="n">
        <v>-0.0255887834366468</v>
      </c>
      <c r="W28" s="12"/>
      <c r="X28" s="12"/>
      <c r="Y28" s="12" t="n">
        <v>0.0204666038894258</v>
      </c>
      <c r="Z28" s="12" t="n">
        <v>1.86472794854943E-009</v>
      </c>
      <c r="AA28" s="12" t="n">
        <v>0.011878550872389</v>
      </c>
      <c r="AB28" s="12"/>
      <c r="AC28" s="12"/>
      <c r="AD28" s="12"/>
      <c r="AE28" s="12"/>
      <c r="AF28" s="12"/>
      <c r="AG28" s="12"/>
      <c r="AH28" s="13" t="b">
        <f aca="false">FALSE()</f>
        <v>0</v>
      </c>
      <c r="AI28" s="12"/>
      <c r="AJ28" s="12" t="s">
        <v>384</v>
      </c>
    </row>
    <row r="29" customFormat="false" ht="15" hidden="false" customHeight="false" outlineLevel="0" collapsed="false">
      <c r="A29" s="12" t="s">
        <v>380</v>
      </c>
      <c r="B29" s="12" t="s">
        <v>63</v>
      </c>
      <c r="C29" s="12" t="s">
        <v>336</v>
      </c>
      <c r="D29" s="12" t="s">
        <v>385</v>
      </c>
      <c r="E29" s="12" t="s">
        <v>355</v>
      </c>
      <c r="F29" s="12" t="s">
        <v>356</v>
      </c>
      <c r="G29" s="12" t="n">
        <v>0.6</v>
      </c>
      <c r="H29" s="12" t="n">
        <v>2705</v>
      </c>
      <c r="I29" s="12" t="n">
        <v>113</v>
      </c>
      <c r="J29" s="12" t="n">
        <v>112</v>
      </c>
      <c r="K29" s="12" t="n">
        <v>0.0101759067104025</v>
      </c>
      <c r="L29" s="12" t="n">
        <v>0.0181072824212574</v>
      </c>
      <c r="M29" s="12" t="n">
        <v>0.561978682038798</v>
      </c>
      <c r="N29" s="12" t="n">
        <v>14.9920663728925</v>
      </c>
      <c r="O29" s="12" t="n">
        <v>0.582435725630516</v>
      </c>
      <c r="P29" s="12" t="n">
        <v>-0.0284206311144901</v>
      </c>
      <c r="Q29" s="12" t="n">
        <v>0.0487724445352952</v>
      </c>
      <c r="R29" s="12"/>
      <c r="S29" s="12"/>
      <c r="T29" s="12"/>
      <c r="U29" s="12"/>
      <c r="V29" s="12"/>
      <c r="W29" s="12"/>
      <c r="X29" s="12"/>
      <c r="Y29" s="12" t="n">
        <v>0.0204666038894258</v>
      </c>
      <c r="Z29" s="12" t="n">
        <v>1.86472794854943E-009</v>
      </c>
      <c r="AA29" s="12" t="n">
        <v>0.011878550872389</v>
      </c>
      <c r="AB29" s="12"/>
      <c r="AC29" s="12"/>
      <c r="AD29" s="12"/>
      <c r="AE29" s="12"/>
      <c r="AF29" s="12"/>
      <c r="AG29" s="12"/>
      <c r="AH29" s="13" t="b">
        <f aca="false">FALSE()</f>
        <v>0</v>
      </c>
      <c r="AI29" s="12"/>
      <c r="AJ29" s="12" t="s">
        <v>386</v>
      </c>
    </row>
    <row r="30" customFormat="false" ht="15" hidden="false" customHeight="false" outlineLevel="0" collapsed="false">
      <c r="A30" s="12" t="s">
        <v>380</v>
      </c>
      <c r="B30" s="12" t="s">
        <v>387</v>
      </c>
      <c r="C30" s="12" t="s">
        <v>336</v>
      </c>
      <c r="D30" s="12" t="s">
        <v>193</v>
      </c>
      <c r="E30" s="12" t="s">
        <v>355</v>
      </c>
      <c r="F30" s="12" t="s">
        <v>356</v>
      </c>
      <c r="G30" s="12" t="n">
        <v>0.6</v>
      </c>
      <c r="H30" s="12" t="n">
        <v>2705</v>
      </c>
      <c r="I30" s="12" t="n">
        <v>113</v>
      </c>
      <c r="J30" s="12" t="n">
        <v>112</v>
      </c>
      <c r="K30" s="12" t="n">
        <v>-0.0651318723131363</v>
      </c>
      <c r="L30" s="12" t="n">
        <v>0.0197233647098858</v>
      </c>
      <c r="M30" s="12" t="n">
        <v>-3.30226983433971</v>
      </c>
      <c r="N30" s="12" t="n">
        <v>55.1675171501875</v>
      </c>
      <c r="O30" s="12" t="n">
        <v>0.0016867222065081</v>
      </c>
      <c r="P30" s="12" t="n">
        <v>-0.104655680879958</v>
      </c>
      <c r="Q30" s="12" t="n">
        <v>-0.0256080637463149</v>
      </c>
      <c r="R30" s="12"/>
      <c r="S30" s="12"/>
      <c r="T30" s="12" t="n">
        <v>-0.0650399283680607</v>
      </c>
      <c r="U30" s="12" t="n">
        <v>-0.104275256164718</v>
      </c>
      <c r="V30" s="12" t="n">
        <v>-0.0256024675225962</v>
      </c>
      <c r="W30" s="12"/>
      <c r="X30" s="12"/>
      <c r="Y30" s="12" t="n">
        <v>0.0206921616499935</v>
      </c>
      <c r="Z30" s="12" t="n">
        <v>2.46532687129937E-009</v>
      </c>
      <c r="AA30" s="12" t="n">
        <v>0.0118748970171142</v>
      </c>
      <c r="AB30" s="12"/>
      <c r="AC30" s="12"/>
      <c r="AD30" s="12"/>
      <c r="AE30" s="12"/>
      <c r="AF30" s="12"/>
      <c r="AG30" s="12"/>
      <c r="AH30" s="13" t="b">
        <f aca="false">FALSE()</f>
        <v>0</v>
      </c>
      <c r="AI30" s="12"/>
      <c r="AJ30" s="12" t="s">
        <v>388</v>
      </c>
    </row>
    <row r="31" customFormat="false" ht="15" hidden="false" customHeight="false" outlineLevel="0" collapsed="false">
      <c r="A31" s="12" t="s">
        <v>380</v>
      </c>
      <c r="B31" s="12" t="s">
        <v>387</v>
      </c>
      <c r="C31" s="12" t="s">
        <v>336</v>
      </c>
      <c r="D31" s="12" t="s">
        <v>358</v>
      </c>
      <c r="E31" s="12" t="s">
        <v>355</v>
      </c>
      <c r="F31" s="12" t="s">
        <v>356</v>
      </c>
      <c r="G31" s="12" t="n">
        <v>0.6</v>
      </c>
      <c r="H31" s="12" t="n">
        <v>2705</v>
      </c>
      <c r="I31" s="12" t="n">
        <v>113</v>
      </c>
      <c r="J31" s="12" t="n">
        <v>112</v>
      </c>
      <c r="K31" s="12" t="n">
        <v>-0.0024440928867439</v>
      </c>
      <c r="L31" s="12" t="n">
        <v>0.0014718307615822</v>
      </c>
      <c r="M31" s="12" t="n">
        <v>-1.66058010916721</v>
      </c>
      <c r="N31" s="12" t="n">
        <v>18.9151884688887</v>
      </c>
      <c r="O31" s="12" t="n">
        <v>0.113284372998934</v>
      </c>
      <c r="P31" s="12" t="n">
        <v>-0.0055256052188167</v>
      </c>
      <c r="Q31" s="12" t="n">
        <v>0.000637419445328788</v>
      </c>
      <c r="R31" s="12"/>
      <c r="S31" s="12"/>
      <c r="T31" s="12"/>
      <c r="U31" s="12"/>
      <c r="V31" s="12"/>
      <c r="W31" s="12"/>
      <c r="X31" s="12"/>
      <c r="Y31" s="12" t="n">
        <v>0.0206921616499935</v>
      </c>
      <c r="Z31" s="12" t="n">
        <v>2.46532687129937E-009</v>
      </c>
      <c r="AA31" s="12" t="n">
        <v>0.0118748970171142</v>
      </c>
      <c r="AB31" s="12"/>
      <c r="AC31" s="12"/>
      <c r="AD31" s="12"/>
      <c r="AE31" s="12"/>
      <c r="AF31" s="12"/>
      <c r="AG31" s="12"/>
      <c r="AH31" s="13" t="b">
        <f aca="false">TRUE()</f>
        <v>1</v>
      </c>
      <c r="AI31" s="12" t="s">
        <v>389</v>
      </c>
      <c r="AJ31" s="12" t="s">
        <v>388</v>
      </c>
    </row>
    <row r="32" customFormat="false" ht="15" hidden="false" customHeight="false" outlineLevel="0" collapsed="false">
      <c r="A32" s="12" t="s">
        <v>380</v>
      </c>
      <c r="B32" s="12" t="s">
        <v>387</v>
      </c>
      <c r="C32" s="12" t="s">
        <v>336</v>
      </c>
      <c r="D32" s="12" t="s">
        <v>385</v>
      </c>
      <c r="E32" s="12" t="s">
        <v>355</v>
      </c>
      <c r="F32" s="12" t="s">
        <v>356</v>
      </c>
      <c r="G32" s="12" t="n">
        <v>0.6</v>
      </c>
      <c r="H32" s="12" t="n">
        <v>2705</v>
      </c>
      <c r="I32" s="12" t="n">
        <v>113</v>
      </c>
      <c r="J32" s="12" t="n">
        <v>112</v>
      </c>
      <c r="K32" s="12" t="n">
        <v>0.0264480355620243</v>
      </c>
      <c r="L32" s="12" t="n">
        <v>0.0251306553381225</v>
      </c>
      <c r="M32" s="12" t="n">
        <v>1.05242124433991</v>
      </c>
      <c r="N32" s="12" t="n">
        <v>18.8419667203106</v>
      </c>
      <c r="O32" s="12" t="n">
        <v>0.305916728053232</v>
      </c>
      <c r="P32" s="12" t="n">
        <v>-0.0261809057366113</v>
      </c>
      <c r="Q32" s="12" t="n">
        <v>0.07907697686066</v>
      </c>
      <c r="R32" s="12"/>
      <c r="S32" s="12"/>
      <c r="T32" s="12"/>
      <c r="U32" s="12"/>
      <c r="V32" s="12"/>
      <c r="W32" s="12"/>
      <c r="X32" s="12"/>
      <c r="Y32" s="12" t="n">
        <v>0.0206921616499935</v>
      </c>
      <c r="Z32" s="12" t="n">
        <v>2.46532687129937E-009</v>
      </c>
      <c r="AA32" s="12" t="n">
        <v>0.0118748970171142</v>
      </c>
      <c r="AB32" s="12"/>
      <c r="AC32" s="12"/>
      <c r="AD32" s="12"/>
      <c r="AE32" s="12"/>
      <c r="AF32" s="12"/>
      <c r="AG32" s="12"/>
      <c r="AH32" s="13" t="b">
        <f aca="false">TRUE()</f>
        <v>1</v>
      </c>
      <c r="AI32" s="12" t="s">
        <v>390</v>
      </c>
      <c r="AJ32" s="12" t="s">
        <v>391</v>
      </c>
    </row>
    <row r="33" customFormat="false" ht="15" hidden="false" customHeight="false" outlineLevel="0" collapsed="false">
      <c r="A33" s="12" t="s">
        <v>380</v>
      </c>
      <c r="B33" s="12" t="s">
        <v>392</v>
      </c>
      <c r="C33" s="12" t="s">
        <v>336</v>
      </c>
      <c r="D33" s="12" t="s">
        <v>193</v>
      </c>
      <c r="E33" s="12" t="s">
        <v>355</v>
      </c>
      <c r="F33" s="12" t="s">
        <v>356</v>
      </c>
      <c r="G33" s="12" t="n">
        <v>0.6</v>
      </c>
      <c r="H33" s="12" t="n">
        <v>2705</v>
      </c>
      <c r="I33" s="12" t="n">
        <v>113</v>
      </c>
      <c r="J33" s="12" t="n">
        <v>112</v>
      </c>
      <c r="K33" s="12" t="n">
        <v>-0.0374701595743005</v>
      </c>
      <c r="L33" s="12" t="n">
        <v>0.0076556985380089</v>
      </c>
      <c r="M33" s="12" t="n">
        <v>-4.8944141920256</v>
      </c>
      <c r="N33" s="12" t="n">
        <v>11.8079691399515</v>
      </c>
      <c r="O33" s="12" t="n">
        <v>0.000387133352043833</v>
      </c>
      <c r="P33" s="12" t="n">
        <v>-0.0541806297652721</v>
      </c>
      <c r="Q33" s="12" t="n">
        <v>-0.020759689383329</v>
      </c>
      <c r="R33" s="12"/>
      <c r="S33" s="12"/>
      <c r="T33" s="12" t="n">
        <v>-0.03745263322184</v>
      </c>
      <c r="U33" s="12" t="n">
        <v>-0.0541276754639803</v>
      </c>
      <c r="V33" s="12" t="n">
        <v>-0.0207567076662088</v>
      </c>
      <c r="W33" s="12"/>
      <c r="X33" s="12"/>
      <c r="Y33" s="12" t="n">
        <v>0.0204305192601293</v>
      </c>
      <c r="Z33" s="12" t="n">
        <v>2.86533404991297E-009</v>
      </c>
      <c r="AA33" s="12" t="n">
        <v>0.0118777202007713</v>
      </c>
      <c r="AB33" s="12"/>
      <c r="AC33" s="12"/>
      <c r="AD33" s="12"/>
      <c r="AE33" s="12"/>
      <c r="AF33" s="12"/>
      <c r="AG33" s="12"/>
      <c r="AH33" s="13" t="b">
        <f aca="false">FALSE()</f>
        <v>0</v>
      </c>
      <c r="AI33" s="12"/>
      <c r="AJ33" s="12" t="s">
        <v>393</v>
      </c>
    </row>
    <row r="34" customFormat="false" ht="15" hidden="false" customHeight="false" outlineLevel="0" collapsed="false">
      <c r="A34" s="12" t="s">
        <v>380</v>
      </c>
      <c r="B34" s="12" t="s">
        <v>392</v>
      </c>
      <c r="C34" s="12" t="s">
        <v>336</v>
      </c>
      <c r="D34" s="12" t="s">
        <v>394</v>
      </c>
      <c r="E34" s="12" t="s">
        <v>355</v>
      </c>
      <c r="F34" s="12" t="s">
        <v>356</v>
      </c>
      <c r="G34" s="12" t="n">
        <v>0.6</v>
      </c>
      <c r="H34" s="12" t="n">
        <v>2705</v>
      </c>
      <c r="I34" s="12" t="n">
        <v>113</v>
      </c>
      <c r="J34" s="12" t="n">
        <v>112</v>
      </c>
      <c r="K34" s="12" t="n">
        <v>-0.0240266759653091</v>
      </c>
      <c r="L34" s="12" t="n">
        <v>0.0176243003345566</v>
      </c>
      <c r="M34" s="12" t="n">
        <v>-1.36326977577652</v>
      </c>
      <c r="N34" s="12" t="n">
        <v>14.9421005937851</v>
      </c>
      <c r="O34" s="12" t="n">
        <v>0.19298764471529</v>
      </c>
      <c r="P34" s="12" t="n">
        <v>-0.0616046649356149</v>
      </c>
      <c r="Q34" s="12" t="n">
        <v>0.0135513130049966</v>
      </c>
      <c r="R34" s="12"/>
      <c r="S34" s="12"/>
      <c r="T34" s="12"/>
      <c r="U34" s="12"/>
      <c r="V34" s="12"/>
      <c r="W34" s="12"/>
      <c r="X34" s="12"/>
      <c r="Y34" s="12" t="n">
        <v>0.0204305192601293</v>
      </c>
      <c r="Z34" s="12" t="n">
        <v>2.86533404991297E-009</v>
      </c>
      <c r="AA34" s="12" t="n">
        <v>0.0118777202007713</v>
      </c>
      <c r="AB34" s="12"/>
      <c r="AC34" s="12"/>
      <c r="AD34" s="12"/>
      <c r="AE34" s="12"/>
      <c r="AF34" s="12"/>
      <c r="AG34" s="12"/>
      <c r="AH34" s="13" t="b">
        <f aca="false">FALSE()</f>
        <v>0</v>
      </c>
      <c r="AI34" s="12"/>
      <c r="AJ34" s="12" t="s">
        <v>395</v>
      </c>
    </row>
    <row r="35" customFormat="false" ht="15" hidden="false" customHeight="false" outlineLevel="0" collapsed="false">
      <c r="A35" s="12" t="s">
        <v>380</v>
      </c>
      <c r="B35" s="12" t="s">
        <v>396</v>
      </c>
      <c r="C35" s="12" t="s">
        <v>336</v>
      </c>
      <c r="D35" s="12" t="s">
        <v>193</v>
      </c>
      <c r="E35" s="12" t="s">
        <v>355</v>
      </c>
      <c r="F35" s="12" t="s">
        <v>356</v>
      </c>
      <c r="G35" s="12" t="n">
        <v>0.6</v>
      </c>
      <c r="H35" s="12" t="n">
        <v>2705</v>
      </c>
      <c r="I35" s="12" t="n">
        <v>113</v>
      </c>
      <c r="J35" s="12" t="n">
        <v>112</v>
      </c>
      <c r="K35" s="12" t="n">
        <v>-0.0241083876528508</v>
      </c>
      <c r="L35" s="12" t="n">
        <v>0.0149213146314977</v>
      </c>
      <c r="M35" s="12" t="n">
        <v>-1.6157013137408</v>
      </c>
      <c r="N35" s="12" t="n">
        <v>7.63399721174272</v>
      </c>
      <c r="O35" s="12" t="n">
        <v>0.146629106582234</v>
      </c>
      <c r="P35" s="12" t="n">
        <v>-0.0588062759740833</v>
      </c>
      <c r="Q35" s="12" t="n">
        <v>0.0105895006683816</v>
      </c>
      <c r="R35" s="12"/>
      <c r="S35" s="12"/>
      <c r="T35" s="12" t="n">
        <v>-0.024103718024808</v>
      </c>
      <c r="U35" s="12" t="n">
        <v>-0.0587385820864293</v>
      </c>
      <c r="V35" s="12" t="n">
        <v>0.0105891048593391</v>
      </c>
      <c r="W35" s="12"/>
      <c r="X35" s="12"/>
      <c r="Y35" s="12" t="n">
        <v>0.020411455946586</v>
      </c>
      <c r="Z35" s="12" t="n">
        <v>2.34484900442554E-009</v>
      </c>
      <c r="AA35" s="12" t="n">
        <v>0.0118726550886203</v>
      </c>
      <c r="AB35" s="12"/>
      <c r="AC35" s="12"/>
      <c r="AD35" s="12"/>
      <c r="AE35" s="12"/>
      <c r="AF35" s="12"/>
      <c r="AG35" s="12"/>
      <c r="AH35" s="13" t="b">
        <f aca="false">FALSE()</f>
        <v>0</v>
      </c>
      <c r="AI35" s="12"/>
      <c r="AJ35" s="12" t="s">
        <v>397</v>
      </c>
    </row>
    <row r="36" customFormat="false" ht="15" hidden="false" customHeight="false" outlineLevel="0" collapsed="false">
      <c r="A36" s="12" t="s">
        <v>380</v>
      </c>
      <c r="B36" s="12" t="s">
        <v>396</v>
      </c>
      <c r="C36" s="12" t="s">
        <v>336</v>
      </c>
      <c r="D36" s="12" t="s">
        <v>398</v>
      </c>
      <c r="E36" s="12" t="s">
        <v>355</v>
      </c>
      <c r="F36" s="12" t="s">
        <v>356</v>
      </c>
      <c r="G36" s="12" t="n">
        <v>0.6</v>
      </c>
      <c r="H36" s="12" t="n">
        <v>2705</v>
      </c>
      <c r="I36" s="12" t="n">
        <v>113</v>
      </c>
      <c r="J36" s="12" t="n">
        <v>112</v>
      </c>
      <c r="K36" s="12" t="n">
        <v>-0.0395267553530513</v>
      </c>
      <c r="L36" s="12" t="n">
        <v>0.0186224439358108</v>
      </c>
      <c r="M36" s="12" t="n">
        <v>-2.1225331910943</v>
      </c>
      <c r="N36" s="12" t="n">
        <v>6.28165422602577</v>
      </c>
      <c r="O36" s="12" t="n">
        <v>0.0759488616831078</v>
      </c>
      <c r="P36" s="12" t="n">
        <v>-0.0846035250711115</v>
      </c>
      <c r="Q36" s="12" t="n">
        <v>0.0055500143650088</v>
      </c>
      <c r="R36" s="12"/>
      <c r="S36" s="12"/>
      <c r="T36" s="12"/>
      <c r="U36" s="12"/>
      <c r="V36" s="12"/>
      <c r="W36" s="12"/>
      <c r="X36" s="12"/>
      <c r="Y36" s="12" t="n">
        <v>0.020411455946586</v>
      </c>
      <c r="Z36" s="12" t="n">
        <v>2.34484900442554E-009</v>
      </c>
      <c r="AA36" s="12" t="n">
        <v>0.0118726550886203</v>
      </c>
      <c r="AB36" s="12"/>
      <c r="AC36" s="12"/>
      <c r="AD36" s="12"/>
      <c r="AE36" s="12"/>
      <c r="AF36" s="12"/>
      <c r="AG36" s="12"/>
      <c r="AH36" s="13" t="b">
        <f aca="false">FALSE()</f>
        <v>0</v>
      </c>
      <c r="AI36" s="12"/>
      <c r="AJ36" s="12" t="s">
        <v>399</v>
      </c>
    </row>
    <row r="37" customFormat="false" ht="15" hidden="false" customHeight="false" outlineLevel="0" collapsed="false">
      <c r="A37" s="12" t="s">
        <v>380</v>
      </c>
      <c r="B37" s="12" t="s">
        <v>400</v>
      </c>
      <c r="C37" s="12" t="s">
        <v>336</v>
      </c>
      <c r="D37" s="12" t="s">
        <v>193</v>
      </c>
      <c r="E37" s="12" t="s">
        <v>355</v>
      </c>
      <c r="F37" s="12" t="s">
        <v>356</v>
      </c>
      <c r="G37" s="12" t="n">
        <v>0.6</v>
      </c>
      <c r="H37" s="12" t="n">
        <v>2705</v>
      </c>
      <c r="I37" s="12" t="n">
        <v>113</v>
      </c>
      <c r="J37" s="12" t="n">
        <v>112</v>
      </c>
      <c r="K37" s="12" t="n">
        <v>-0.0270598368251102</v>
      </c>
      <c r="L37" s="12" t="n">
        <v>0.0152604959666506</v>
      </c>
      <c r="M37" s="12" t="n">
        <v>-1.77319511005705</v>
      </c>
      <c r="N37" s="12" t="n">
        <v>8.28860083890827</v>
      </c>
      <c r="O37" s="12" t="n">
        <v>0.112821221111899</v>
      </c>
      <c r="P37" s="12" t="n">
        <v>-0.0620384589090254</v>
      </c>
      <c r="Q37" s="12" t="n">
        <v>0.007918785258805</v>
      </c>
      <c r="R37" s="12"/>
      <c r="S37" s="12"/>
      <c r="T37" s="12" t="n">
        <v>-0.0270532340412297</v>
      </c>
      <c r="U37" s="12" t="n">
        <v>-0.0619589906543742</v>
      </c>
      <c r="V37" s="12" t="n">
        <v>0.0079186197414453</v>
      </c>
      <c r="W37" s="12"/>
      <c r="X37" s="12"/>
      <c r="Y37" s="12" t="n">
        <v>0.0204386175350741</v>
      </c>
      <c r="Z37" s="12" t="n">
        <v>3.06947715901439E-009</v>
      </c>
      <c r="AA37" s="12" t="n">
        <v>0.0118732758038221</v>
      </c>
      <c r="AB37" s="12"/>
      <c r="AC37" s="12"/>
      <c r="AD37" s="12"/>
      <c r="AE37" s="12"/>
      <c r="AF37" s="12"/>
      <c r="AG37" s="12"/>
      <c r="AH37" s="13" t="b">
        <f aca="false">FALSE()</f>
        <v>0</v>
      </c>
      <c r="AI37" s="12"/>
      <c r="AJ37" s="12" t="s">
        <v>401</v>
      </c>
    </row>
    <row r="38" customFormat="false" ht="15" hidden="false" customHeight="false" outlineLevel="0" collapsed="false">
      <c r="A38" s="12" t="s">
        <v>380</v>
      </c>
      <c r="B38" s="12" t="s">
        <v>400</v>
      </c>
      <c r="C38" s="12" t="s">
        <v>336</v>
      </c>
      <c r="D38" s="12" t="s">
        <v>402</v>
      </c>
      <c r="E38" s="12" t="s">
        <v>355</v>
      </c>
      <c r="F38" s="12" t="s">
        <v>356</v>
      </c>
      <c r="G38" s="12" t="n">
        <v>0.6</v>
      </c>
      <c r="H38" s="12" t="n">
        <v>2705</v>
      </c>
      <c r="I38" s="12" t="n">
        <v>113</v>
      </c>
      <c r="J38" s="12" t="n">
        <v>112</v>
      </c>
      <c r="K38" s="12" t="n">
        <v>-0.0365343906053777</v>
      </c>
      <c r="L38" s="12" t="n">
        <v>0.0192951617077996</v>
      </c>
      <c r="M38" s="12" t="n">
        <v>-1.89344827261072</v>
      </c>
      <c r="N38" s="12" t="n">
        <v>6.7804764679999</v>
      </c>
      <c r="O38" s="12" t="n">
        <v>0.101522928909962</v>
      </c>
      <c r="P38" s="12" t="n">
        <v>-0.0824613623473092</v>
      </c>
      <c r="Q38" s="12" t="n">
        <v>0.0093925811365537</v>
      </c>
      <c r="R38" s="12"/>
      <c r="S38" s="12"/>
      <c r="T38" s="12"/>
      <c r="U38" s="12"/>
      <c r="V38" s="12"/>
      <c r="W38" s="12"/>
      <c r="X38" s="12"/>
      <c r="Y38" s="12" t="n">
        <v>0.0204386175350741</v>
      </c>
      <c r="Z38" s="12" t="n">
        <v>3.06947715901439E-009</v>
      </c>
      <c r="AA38" s="12" t="n">
        <v>0.0118732758038221</v>
      </c>
      <c r="AB38" s="12"/>
      <c r="AC38" s="12"/>
      <c r="AD38" s="12"/>
      <c r="AE38" s="12"/>
      <c r="AF38" s="12"/>
      <c r="AG38" s="12"/>
      <c r="AH38" s="13" t="b">
        <f aca="false">FALSE()</f>
        <v>0</v>
      </c>
      <c r="AI38" s="12"/>
      <c r="AJ38" s="12" t="s">
        <v>403</v>
      </c>
    </row>
    <row r="39" customFormat="false" ht="15" hidden="false" customHeight="false" outlineLevel="0" collapsed="false">
      <c r="A39" s="12" t="s">
        <v>380</v>
      </c>
      <c r="B39" s="12" t="s">
        <v>404</v>
      </c>
      <c r="C39" s="12" t="s">
        <v>336</v>
      </c>
      <c r="D39" s="12" t="s">
        <v>193</v>
      </c>
      <c r="E39" s="12" t="s">
        <v>355</v>
      </c>
      <c r="F39" s="12" t="s">
        <v>356</v>
      </c>
      <c r="G39" s="12" t="n">
        <v>0.6</v>
      </c>
      <c r="H39" s="12" t="n">
        <v>2705</v>
      </c>
      <c r="I39" s="12" t="n">
        <v>113</v>
      </c>
      <c r="J39" s="12" t="n">
        <v>112</v>
      </c>
      <c r="K39" s="12" t="n">
        <v>-0.0314173745743938</v>
      </c>
      <c r="L39" s="12" t="n">
        <v>0.0132283907535953</v>
      </c>
      <c r="M39" s="12" t="n">
        <v>-2.37499595828425</v>
      </c>
      <c r="N39" s="12" t="n">
        <v>11.9838109587116</v>
      </c>
      <c r="O39" s="12" t="n">
        <v>0.0351067573673423</v>
      </c>
      <c r="P39" s="12" t="n">
        <v>-0.0602438810365826</v>
      </c>
      <c r="Q39" s="12" t="n">
        <v>-0.0025908681122049</v>
      </c>
      <c r="R39" s="12"/>
      <c r="S39" s="12"/>
      <c r="T39" s="12" t="n">
        <v>-0.0314070417991841</v>
      </c>
      <c r="U39" s="12" t="n">
        <v>-0.0601711051404701</v>
      </c>
      <c r="V39" s="12" t="n">
        <v>-0.0025908623150688</v>
      </c>
      <c r="W39" s="12"/>
      <c r="X39" s="12"/>
      <c r="Y39" s="12" t="n">
        <v>0.0204456024764269</v>
      </c>
      <c r="Z39" s="12" t="n">
        <v>2.16004676694457E-009</v>
      </c>
      <c r="AA39" s="12" t="n">
        <v>0.0118730267716953</v>
      </c>
      <c r="AB39" s="12"/>
      <c r="AC39" s="12"/>
      <c r="AD39" s="12"/>
      <c r="AE39" s="12"/>
      <c r="AF39" s="12"/>
      <c r="AG39" s="12"/>
      <c r="AH39" s="13" t="b">
        <f aca="false">FALSE()</f>
        <v>0</v>
      </c>
      <c r="AI39" s="12"/>
      <c r="AJ39" s="12" t="s">
        <v>405</v>
      </c>
    </row>
    <row r="40" customFormat="false" ht="15" hidden="false" customHeight="false" outlineLevel="0" collapsed="false">
      <c r="A40" s="12" t="s">
        <v>380</v>
      </c>
      <c r="B40" s="12" t="s">
        <v>404</v>
      </c>
      <c r="C40" s="12" t="s">
        <v>336</v>
      </c>
      <c r="D40" s="12" t="s">
        <v>406</v>
      </c>
      <c r="E40" s="12" t="s">
        <v>355</v>
      </c>
      <c r="F40" s="12" t="s">
        <v>356</v>
      </c>
      <c r="G40" s="12" t="n">
        <v>0.6</v>
      </c>
      <c r="H40" s="12" t="n">
        <v>2705</v>
      </c>
      <c r="I40" s="12" t="n">
        <v>113</v>
      </c>
      <c r="J40" s="12" t="n">
        <v>112</v>
      </c>
      <c r="K40" s="12" t="n">
        <v>-0.0333308366522611</v>
      </c>
      <c r="L40" s="12" t="n">
        <v>0.0188951563106925</v>
      </c>
      <c r="M40" s="12" t="n">
        <v>-1.76398840550473</v>
      </c>
      <c r="N40" s="12" t="n">
        <v>9.5644080388109</v>
      </c>
      <c r="O40" s="12" t="n">
        <v>0.109579108854483</v>
      </c>
      <c r="P40" s="12" t="n">
        <v>-0.0756932234444708</v>
      </c>
      <c r="Q40" s="12" t="n">
        <v>0.0090315501399484</v>
      </c>
      <c r="R40" s="12"/>
      <c r="S40" s="12"/>
      <c r="T40" s="12"/>
      <c r="U40" s="12"/>
      <c r="V40" s="12"/>
      <c r="W40" s="12"/>
      <c r="X40" s="12"/>
      <c r="Y40" s="12" t="n">
        <v>0.0204456024764269</v>
      </c>
      <c r="Z40" s="12" t="n">
        <v>2.16004676694457E-009</v>
      </c>
      <c r="AA40" s="12" t="n">
        <v>0.0118730267716953</v>
      </c>
      <c r="AB40" s="12"/>
      <c r="AC40" s="12"/>
      <c r="AD40" s="12"/>
      <c r="AE40" s="12"/>
      <c r="AF40" s="12"/>
      <c r="AG40" s="12"/>
      <c r="AH40" s="13" t="b">
        <f aca="false">FALSE()</f>
        <v>0</v>
      </c>
      <c r="AI40" s="12"/>
      <c r="AJ40" s="12" t="s">
        <v>407</v>
      </c>
    </row>
    <row r="41" customFormat="false" ht="15" hidden="false" customHeight="false" outlineLevel="0" collapsed="false">
      <c r="A41" s="12" t="s">
        <v>380</v>
      </c>
      <c r="B41" s="12" t="s">
        <v>408</v>
      </c>
      <c r="C41" s="12" t="s">
        <v>336</v>
      </c>
      <c r="D41" s="12" t="s">
        <v>193</v>
      </c>
      <c r="E41" s="12" t="s">
        <v>355</v>
      </c>
      <c r="F41" s="12" t="s">
        <v>356</v>
      </c>
      <c r="G41" s="12" t="n">
        <v>0.6</v>
      </c>
      <c r="H41" s="12" t="n">
        <v>2705</v>
      </c>
      <c r="I41" s="12" t="n">
        <v>113</v>
      </c>
      <c r="J41" s="12" t="n">
        <v>112</v>
      </c>
      <c r="K41" s="12" t="n">
        <v>-0.0581271651685066</v>
      </c>
      <c r="L41" s="12" t="n">
        <v>0.0095451379632842</v>
      </c>
      <c r="M41" s="12" t="n">
        <v>-6.08971451141878</v>
      </c>
      <c r="N41" s="12" t="n">
        <v>16.7836181122548</v>
      </c>
      <c r="O41" s="12" t="n">
        <v>1.27098180523467E-005</v>
      </c>
      <c r="P41" s="12" t="n">
        <v>-0.0782854420645679</v>
      </c>
      <c r="Q41" s="12" t="n">
        <v>-0.0379688882724453</v>
      </c>
      <c r="R41" s="12"/>
      <c r="S41" s="12"/>
      <c r="T41" s="12" t="n">
        <v>-0.0580617874699355</v>
      </c>
      <c r="U41" s="12" t="n">
        <v>-0.0781259061540435</v>
      </c>
      <c r="V41" s="12" t="n">
        <v>-0.0379506530097174</v>
      </c>
      <c r="W41" s="12"/>
      <c r="X41" s="12"/>
      <c r="Y41" s="12" t="n">
        <v>0.0204206482146638</v>
      </c>
      <c r="Z41" s="12" t="n">
        <v>2.39080444461413E-009</v>
      </c>
      <c r="AA41" s="12" t="n">
        <v>0.0118803041007752</v>
      </c>
      <c r="AB41" s="12"/>
      <c r="AC41" s="12"/>
      <c r="AD41" s="12"/>
      <c r="AE41" s="12"/>
      <c r="AF41" s="12"/>
      <c r="AG41" s="12"/>
      <c r="AH41" s="13" t="b">
        <f aca="false">FALSE()</f>
        <v>0</v>
      </c>
      <c r="AI41" s="12"/>
      <c r="AJ41" s="12" t="s">
        <v>409</v>
      </c>
    </row>
    <row r="42" customFormat="false" ht="15" hidden="false" customHeight="false" outlineLevel="0" collapsed="false">
      <c r="A42" s="12" t="s">
        <v>380</v>
      </c>
      <c r="B42" s="12" t="s">
        <v>408</v>
      </c>
      <c r="C42" s="12" t="s">
        <v>336</v>
      </c>
      <c r="D42" s="12" t="s">
        <v>410</v>
      </c>
      <c r="E42" s="12" t="s">
        <v>355</v>
      </c>
      <c r="F42" s="12" t="s">
        <v>356</v>
      </c>
      <c r="G42" s="12" t="n">
        <v>0.6</v>
      </c>
      <c r="H42" s="12" t="n">
        <v>2705</v>
      </c>
      <c r="I42" s="12" t="n">
        <v>113</v>
      </c>
      <c r="J42" s="12" t="n">
        <v>112</v>
      </c>
      <c r="K42" s="12" t="n">
        <v>-0.000946434555851455</v>
      </c>
      <c r="L42" s="12" t="n">
        <v>0.017128674810758</v>
      </c>
      <c r="M42" s="12" t="n">
        <v>-0.0552543945347732</v>
      </c>
      <c r="N42" s="12" t="n">
        <v>11.6604053370551</v>
      </c>
      <c r="O42" s="12" t="n">
        <v>0.95687123457445</v>
      </c>
      <c r="P42" s="12" t="n">
        <v>-0.0383875157702003</v>
      </c>
      <c r="Q42" s="12" t="n">
        <v>0.0364946466584974</v>
      </c>
      <c r="R42" s="12"/>
      <c r="S42" s="12"/>
      <c r="T42" s="12"/>
      <c r="U42" s="12"/>
      <c r="V42" s="12"/>
      <c r="W42" s="12"/>
      <c r="X42" s="12"/>
      <c r="Y42" s="12" t="n">
        <v>0.0204206482146638</v>
      </c>
      <c r="Z42" s="12" t="n">
        <v>2.39080444461413E-009</v>
      </c>
      <c r="AA42" s="12" t="n">
        <v>0.0118803041007752</v>
      </c>
      <c r="AB42" s="12"/>
      <c r="AC42" s="12"/>
      <c r="AD42" s="12"/>
      <c r="AE42" s="12"/>
      <c r="AF42" s="12"/>
      <c r="AG42" s="12"/>
      <c r="AH42" s="13" t="b">
        <f aca="false">FALSE()</f>
        <v>0</v>
      </c>
      <c r="AI42" s="12"/>
      <c r="AJ42" s="12" t="s">
        <v>411</v>
      </c>
    </row>
    <row r="43" customFormat="false" ht="15" hidden="false" customHeight="false" outlineLevel="0" collapsed="false">
      <c r="A43" s="12" t="s">
        <v>380</v>
      </c>
      <c r="B43" s="12" t="s">
        <v>412</v>
      </c>
      <c r="C43" s="12" t="s">
        <v>336</v>
      </c>
      <c r="D43" s="12" t="s">
        <v>193</v>
      </c>
      <c r="E43" s="12" t="s">
        <v>355</v>
      </c>
      <c r="F43" s="12" t="s">
        <v>356</v>
      </c>
      <c r="G43" s="12" t="n">
        <v>0.6</v>
      </c>
      <c r="H43" s="12" t="n">
        <v>2705</v>
      </c>
      <c r="I43" s="12" t="n">
        <v>113</v>
      </c>
      <c r="J43" s="12" t="n">
        <v>112</v>
      </c>
      <c r="K43" s="12" t="n">
        <v>-0.0743410199262703</v>
      </c>
      <c r="L43" s="12" t="n">
        <v>0.0257909280109069</v>
      </c>
      <c r="M43" s="12" t="n">
        <v>-2.88244842895268</v>
      </c>
      <c r="N43" s="12" t="n">
        <v>30.2080886769522</v>
      </c>
      <c r="O43" s="12" t="n">
        <v>0.0072018012546663</v>
      </c>
      <c r="P43" s="12" t="n">
        <v>-0.126997911149447</v>
      </c>
      <c r="Q43" s="12" t="n">
        <v>-0.0216841287030934</v>
      </c>
      <c r="R43" s="12"/>
      <c r="S43" s="12"/>
      <c r="T43" s="12" t="n">
        <v>-0.0742043712877692</v>
      </c>
      <c r="U43" s="12" t="n">
        <v>-0.12631952669194</v>
      </c>
      <c r="V43" s="12" t="n">
        <v>-0.021680730706026</v>
      </c>
      <c r="W43" s="12"/>
      <c r="X43" s="12"/>
      <c r="Y43" s="12" t="n">
        <v>0.0202214008782315</v>
      </c>
      <c r="Z43" s="12" t="n">
        <v>1.51342724179855E-009</v>
      </c>
      <c r="AA43" s="12" t="n">
        <v>0.0118793076966747</v>
      </c>
      <c r="AB43" s="12"/>
      <c r="AC43" s="12"/>
      <c r="AD43" s="12"/>
      <c r="AE43" s="12"/>
      <c r="AF43" s="12"/>
      <c r="AG43" s="12"/>
      <c r="AH43" s="13" t="b">
        <f aca="false">FALSE()</f>
        <v>0</v>
      </c>
      <c r="AI43" s="12"/>
      <c r="AJ43" s="12" t="s">
        <v>413</v>
      </c>
    </row>
    <row r="44" customFormat="false" ht="15" hidden="false" customHeight="false" outlineLevel="0" collapsed="false">
      <c r="A44" s="12" t="s">
        <v>380</v>
      </c>
      <c r="B44" s="12" t="s">
        <v>412</v>
      </c>
      <c r="C44" s="12" t="s">
        <v>336</v>
      </c>
      <c r="D44" s="12" t="s">
        <v>414</v>
      </c>
      <c r="E44" s="12" t="s">
        <v>355</v>
      </c>
      <c r="F44" s="12" t="s">
        <v>356</v>
      </c>
      <c r="G44" s="12" t="n">
        <v>0.6</v>
      </c>
      <c r="H44" s="12" t="n">
        <v>2705</v>
      </c>
      <c r="I44" s="12" t="n">
        <v>113</v>
      </c>
      <c r="J44" s="12" t="n">
        <v>112</v>
      </c>
      <c r="K44" s="12" t="n">
        <v>0.0259543054575664</v>
      </c>
      <c r="L44" s="12" t="n">
        <v>0.0215606130243189</v>
      </c>
      <c r="M44" s="12" t="n">
        <v>1.20378327964477</v>
      </c>
      <c r="N44" s="12" t="n">
        <v>14.2823779204833</v>
      </c>
      <c r="O44" s="12" t="n">
        <v>0.248246081004815</v>
      </c>
      <c r="P44" s="12" t="n">
        <v>-0.0202029836220465</v>
      </c>
      <c r="Q44" s="12" t="n">
        <v>0.0721115945371794</v>
      </c>
      <c r="R44" s="12"/>
      <c r="S44" s="12"/>
      <c r="T44" s="12"/>
      <c r="U44" s="12"/>
      <c r="V44" s="12"/>
      <c r="W44" s="12"/>
      <c r="X44" s="12"/>
      <c r="Y44" s="12" t="n">
        <v>0.0202214008782315</v>
      </c>
      <c r="Z44" s="12" t="n">
        <v>1.51342724179855E-009</v>
      </c>
      <c r="AA44" s="12" t="n">
        <v>0.0118793076966747</v>
      </c>
      <c r="AB44" s="12"/>
      <c r="AC44" s="12"/>
      <c r="AD44" s="12"/>
      <c r="AE44" s="12"/>
      <c r="AF44" s="12"/>
      <c r="AG44" s="12"/>
      <c r="AH44" s="13" t="b">
        <f aca="false">FALSE()</f>
        <v>0</v>
      </c>
      <c r="AI44" s="12"/>
      <c r="AJ44" s="12" t="s">
        <v>415</v>
      </c>
    </row>
    <row r="45" customFormat="false" ht="15" hidden="false" customHeight="false" outlineLevel="0" collapsed="false">
      <c r="A45" s="12" t="s">
        <v>380</v>
      </c>
      <c r="B45" s="12" t="s">
        <v>416</v>
      </c>
      <c r="C45" s="12" t="s">
        <v>336</v>
      </c>
      <c r="D45" s="12" t="s">
        <v>193</v>
      </c>
      <c r="E45" s="12" t="s">
        <v>355</v>
      </c>
      <c r="F45" s="12" t="s">
        <v>356</v>
      </c>
      <c r="G45" s="12" t="n">
        <v>0.6</v>
      </c>
      <c r="H45" s="12" t="n">
        <v>2705</v>
      </c>
      <c r="I45" s="12" t="n">
        <v>113</v>
      </c>
      <c r="J45" s="12" t="n">
        <v>112</v>
      </c>
      <c r="K45" s="12" t="n">
        <v>-0.0701298468348509</v>
      </c>
      <c r="L45" s="12" t="n">
        <v>0.0240536821955494</v>
      </c>
      <c r="M45" s="12" t="n">
        <v>-2.91555555880033</v>
      </c>
      <c r="N45" s="12" t="n">
        <v>42.3865166728995</v>
      </c>
      <c r="O45" s="12" t="n">
        <v>0.0056526771576938</v>
      </c>
      <c r="P45" s="12" t="n">
        <v>-0.118659032073044</v>
      </c>
      <c r="Q45" s="12" t="n">
        <v>-0.0216006615966583</v>
      </c>
      <c r="R45" s="12"/>
      <c r="S45" s="12"/>
      <c r="T45" s="12" t="n">
        <v>-0.0700151018011969</v>
      </c>
      <c r="U45" s="12" t="n">
        <v>-0.118105245739658</v>
      </c>
      <c r="V45" s="12" t="n">
        <v>-0.0215973026828653</v>
      </c>
      <c r="W45" s="12"/>
      <c r="X45" s="12"/>
      <c r="Y45" s="12" t="n">
        <v>0.0203879734394692</v>
      </c>
      <c r="Z45" s="12" t="n">
        <v>1.32247013849743E-009</v>
      </c>
      <c r="AA45" s="12" t="n">
        <v>0.0118770729672471</v>
      </c>
      <c r="AB45" s="12"/>
      <c r="AC45" s="12"/>
      <c r="AD45" s="12"/>
      <c r="AE45" s="12"/>
      <c r="AF45" s="12"/>
      <c r="AG45" s="12"/>
      <c r="AH45" s="13" t="b">
        <f aca="false">FALSE()</f>
        <v>0</v>
      </c>
      <c r="AI45" s="12"/>
      <c r="AJ45" s="12" t="s">
        <v>417</v>
      </c>
    </row>
    <row r="46" customFormat="false" ht="15" hidden="false" customHeight="false" outlineLevel="0" collapsed="false">
      <c r="A46" s="12" t="s">
        <v>380</v>
      </c>
      <c r="B46" s="12" t="s">
        <v>416</v>
      </c>
      <c r="C46" s="12" t="s">
        <v>336</v>
      </c>
      <c r="D46" s="12" t="s">
        <v>418</v>
      </c>
      <c r="E46" s="12" t="s">
        <v>355</v>
      </c>
      <c r="F46" s="12" t="s">
        <v>356</v>
      </c>
      <c r="G46" s="12" t="n">
        <v>0.6</v>
      </c>
      <c r="H46" s="12" t="n">
        <v>2705</v>
      </c>
      <c r="I46" s="12" t="n">
        <v>113</v>
      </c>
      <c r="J46" s="12" t="n">
        <v>112</v>
      </c>
      <c r="K46" s="12" t="n">
        <v>0.0231494451243473</v>
      </c>
      <c r="L46" s="12" t="n">
        <v>0.0227860927078219</v>
      </c>
      <c r="M46" s="12" t="n">
        <v>1.01594623620576</v>
      </c>
      <c r="N46" s="12" t="n">
        <v>22.5659506499383</v>
      </c>
      <c r="O46" s="12" t="n">
        <v>0.320424663670643</v>
      </c>
      <c r="P46" s="12" t="n">
        <v>-0.0240373985332366</v>
      </c>
      <c r="Q46" s="12" t="n">
        <v>0.0703362887819312</v>
      </c>
      <c r="R46" s="12"/>
      <c r="S46" s="12"/>
      <c r="T46" s="12"/>
      <c r="U46" s="12"/>
      <c r="V46" s="12"/>
      <c r="W46" s="12"/>
      <c r="X46" s="12"/>
      <c r="Y46" s="12" t="n">
        <v>0.0203879734394692</v>
      </c>
      <c r="Z46" s="12" t="n">
        <v>1.32247013849743E-009</v>
      </c>
      <c r="AA46" s="12" t="n">
        <v>0.0118770729672471</v>
      </c>
      <c r="AB46" s="12"/>
      <c r="AC46" s="12"/>
      <c r="AD46" s="12"/>
      <c r="AE46" s="12"/>
      <c r="AF46" s="12"/>
      <c r="AG46" s="12"/>
      <c r="AH46" s="13" t="b">
        <f aca="false">FALSE()</f>
        <v>0</v>
      </c>
      <c r="AI46" s="12"/>
      <c r="AJ46" s="12" t="s">
        <v>419</v>
      </c>
    </row>
    <row r="47" customFormat="false" ht="15" hidden="false" customHeight="false" outlineLevel="0" collapsed="false">
      <c r="A47" s="12" t="s">
        <v>380</v>
      </c>
      <c r="B47" s="12" t="s">
        <v>420</v>
      </c>
      <c r="C47" s="12" t="s">
        <v>336</v>
      </c>
      <c r="D47" s="12" t="s">
        <v>193</v>
      </c>
      <c r="E47" s="12" t="s">
        <v>355</v>
      </c>
      <c r="F47" s="12" t="s">
        <v>356</v>
      </c>
      <c r="G47" s="12" t="n">
        <v>0.6</v>
      </c>
      <c r="H47" s="12" t="n">
        <v>2705</v>
      </c>
      <c r="I47" s="12" t="n">
        <v>113</v>
      </c>
      <c r="J47" s="12" t="n">
        <v>112</v>
      </c>
      <c r="K47" s="12" t="n">
        <v>-0.059601311030213</v>
      </c>
      <c r="L47" s="12" t="n">
        <v>0.0191780517445662</v>
      </c>
      <c r="M47" s="12" t="n">
        <v>-3.10778758051375</v>
      </c>
      <c r="N47" s="12" t="n">
        <v>60.6929335276556</v>
      </c>
      <c r="O47" s="12" t="n">
        <v>0.0028671697021871</v>
      </c>
      <c r="P47" s="12" t="n">
        <v>-0.0979541199268227</v>
      </c>
      <c r="Q47" s="12" t="n">
        <v>-0.0212485021336033</v>
      </c>
      <c r="R47" s="12"/>
      <c r="S47" s="12"/>
      <c r="T47" s="12" t="n">
        <v>-0.0595308369312766</v>
      </c>
      <c r="U47" s="12" t="n">
        <v>-0.097642027443568</v>
      </c>
      <c r="V47" s="12" t="n">
        <v>-0.0212453048196597</v>
      </c>
      <c r="W47" s="12"/>
      <c r="X47" s="12"/>
      <c r="Y47" s="12" t="n">
        <v>0.0204560314351294</v>
      </c>
      <c r="Z47" s="12" t="n">
        <v>1.89189494324886E-009</v>
      </c>
      <c r="AA47" s="12" t="n">
        <v>0.0118794306514533</v>
      </c>
      <c r="AB47" s="12"/>
      <c r="AC47" s="12"/>
      <c r="AD47" s="12"/>
      <c r="AE47" s="12"/>
      <c r="AF47" s="12"/>
      <c r="AG47" s="12"/>
      <c r="AH47" s="13" t="b">
        <f aca="false">FALSE()</f>
        <v>0</v>
      </c>
      <c r="AI47" s="12"/>
      <c r="AJ47" s="12" t="s">
        <v>421</v>
      </c>
    </row>
    <row r="48" customFormat="false" ht="15" hidden="false" customHeight="false" outlineLevel="0" collapsed="false">
      <c r="A48" s="12" t="s">
        <v>380</v>
      </c>
      <c r="B48" s="12" t="s">
        <v>420</v>
      </c>
      <c r="C48" s="12" t="s">
        <v>336</v>
      </c>
      <c r="D48" s="12" t="s">
        <v>422</v>
      </c>
      <c r="E48" s="12" t="s">
        <v>355</v>
      </c>
      <c r="F48" s="12" t="s">
        <v>356</v>
      </c>
      <c r="G48" s="12" t="n">
        <v>0.6</v>
      </c>
      <c r="H48" s="12" t="n">
        <v>2705</v>
      </c>
      <c r="I48" s="12" t="n">
        <v>113</v>
      </c>
      <c r="J48" s="12" t="n">
        <v>112</v>
      </c>
      <c r="K48" s="12" t="n">
        <v>0.0023798620914384</v>
      </c>
      <c r="L48" s="12" t="n">
        <v>0.0203234411641511</v>
      </c>
      <c r="M48" s="12" t="n">
        <v>0.117099366796029</v>
      </c>
      <c r="N48" s="12" t="n">
        <v>18.1660933849711</v>
      </c>
      <c r="O48" s="12" t="n">
        <v>0.908066248898544</v>
      </c>
      <c r="P48" s="12" t="n">
        <v>-0.040290137658673</v>
      </c>
      <c r="Q48" s="12" t="n">
        <v>0.04504986184155</v>
      </c>
      <c r="R48" s="12"/>
      <c r="S48" s="12"/>
      <c r="T48" s="12"/>
      <c r="U48" s="12"/>
      <c r="V48" s="12"/>
      <c r="W48" s="12"/>
      <c r="X48" s="12"/>
      <c r="Y48" s="12" t="n">
        <v>0.0204560314351294</v>
      </c>
      <c r="Z48" s="12" t="n">
        <v>1.89189494324886E-009</v>
      </c>
      <c r="AA48" s="12" t="n">
        <v>0.0118794306514533</v>
      </c>
      <c r="AB48" s="12"/>
      <c r="AC48" s="12"/>
      <c r="AD48" s="12"/>
      <c r="AE48" s="12"/>
      <c r="AF48" s="12"/>
      <c r="AG48" s="12"/>
      <c r="AH48" s="13" t="b">
        <f aca="false">FALSE()</f>
        <v>0</v>
      </c>
      <c r="AI48" s="12"/>
      <c r="AJ48" s="12" t="s">
        <v>423</v>
      </c>
    </row>
    <row r="49" customFormat="false" ht="15" hidden="false" customHeight="false" outlineLevel="0" collapsed="false">
      <c r="A49" s="12" t="s">
        <v>380</v>
      </c>
      <c r="B49" s="12" t="s">
        <v>424</v>
      </c>
      <c r="C49" s="12" t="s">
        <v>336</v>
      </c>
      <c r="D49" s="12" t="s">
        <v>425</v>
      </c>
      <c r="E49" s="12" t="s">
        <v>426</v>
      </c>
      <c r="F49" s="12" t="s">
        <v>356</v>
      </c>
      <c r="G49" s="12" t="n">
        <v>0.6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 t="n">
        <v>7</v>
      </c>
      <c r="AH49" s="13" t="b">
        <f aca="false">TRUE()</f>
        <v>1</v>
      </c>
      <c r="AI49" s="12" t="s">
        <v>427</v>
      </c>
      <c r="AJ49" s="12" t="s">
        <v>428</v>
      </c>
    </row>
    <row r="50" customFormat="false" ht="15" hidden="false" customHeight="false" outlineLevel="0" collapsed="false">
      <c r="A50" s="12" t="s">
        <v>380</v>
      </c>
      <c r="B50" s="12" t="s">
        <v>429</v>
      </c>
      <c r="C50" s="12" t="s">
        <v>336</v>
      </c>
      <c r="D50" s="12" t="s">
        <v>430</v>
      </c>
      <c r="E50" s="12" t="s">
        <v>355</v>
      </c>
      <c r="F50" s="12" t="s">
        <v>356</v>
      </c>
      <c r="G50" s="12" t="n">
        <v>0.6</v>
      </c>
      <c r="H50" s="12" t="n">
        <v>2705</v>
      </c>
      <c r="I50" s="12" t="n">
        <v>113</v>
      </c>
      <c r="J50" s="12" t="n">
        <v>112</v>
      </c>
      <c r="K50" s="12" t="n">
        <v>-0.0727177497979756</v>
      </c>
      <c r="L50" s="12" t="n">
        <v>0.0248975754500733</v>
      </c>
      <c r="M50" s="12" t="n">
        <v>-2.92067594870011</v>
      </c>
      <c r="N50" s="12" t="n">
        <v>58.0941689979415</v>
      </c>
      <c r="O50" s="12" t="n">
        <v>0.0049656597939643</v>
      </c>
      <c r="P50" s="12" t="n">
        <v>-0.122553941911682</v>
      </c>
      <c r="Q50" s="12" t="n">
        <v>-0.0228815576842694</v>
      </c>
      <c r="R50" s="12"/>
      <c r="S50" s="12"/>
      <c r="T50" s="12" t="n">
        <v>-0.0725898462959901</v>
      </c>
      <c r="U50" s="12" t="n">
        <v>-0.121944040775556</v>
      </c>
      <c r="V50" s="12" t="n">
        <v>-0.0228775651876158</v>
      </c>
      <c r="W50" s="12"/>
      <c r="X50" s="12"/>
      <c r="Y50" s="12" t="n">
        <v>0.0209732988771934</v>
      </c>
      <c r="Z50" s="12" t="n">
        <v>2.84076292167877E-009</v>
      </c>
      <c r="AA50" s="12" t="n">
        <v>0.0118731345675508</v>
      </c>
      <c r="AB50" s="12"/>
      <c r="AC50" s="12"/>
      <c r="AD50" s="12"/>
      <c r="AE50" s="12"/>
      <c r="AF50" s="12"/>
      <c r="AG50" s="12"/>
      <c r="AH50" s="13" t="b">
        <f aca="false">FALSE()</f>
        <v>0</v>
      </c>
      <c r="AI50" s="12"/>
      <c r="AJ50" s="12" t="s">
        <v>431</v>
      </c>
    </row>
    <row r="51" customFormat="false" ht="15" hidden="false" customHeight="false" outlineLevel="0" collapsed="false">
      <c r="A51" s="12" t="s">
        <v>380</v>
      </c>
      <c r="B51" s="12" t="s">
        <v>429</v>
      </c>
      <c r="C51" s="12" t="s">
        <v>336</v>
      </c>
      <c r="D51" s="12" t="s">
        <v>432</v>
      </c>
      <c r="E51" s="12" t="s">
        <v>355</v>
      </c>
      <c r="F51" s="12" t="s">
        <v>356</v>
      </c>
      <c r="G51" s="12" t="n">
        <v>0.6</v>
      </c>
      <c r="H51" s="12" t="n">
        <v>2705</v>
      </c>
      <c r="I51" s="12" t="n">
        <v>113</v>
      </c>
      <c r="J51" s="12" t="n">
        <v>112</v>
      </c>
      <c r="K51" s="12" t="n">
        <v>-0.0023783826931947</v>
      </c>
      <c r="L51" s="12" t="n">
        <v>0.0016184972238854</v>
      </c>
      <c r="M51" s="12" t="n">
        <v>-1.46950063187937</v>
      </c>
      <c r="N51" s="12" t="n">
        <v>16.6852859015547</v>
      </c>
      <c r="O51" s="12" t="n">
        <v>0.160300324962593</v>
      </c>
      <c r="P51" s="12" t="n">
        <v>-0.0057980262947776</v>
      </c>
      <c r="Q51" s="12" t="n">
        <v>0.0010412609083881</v>
      </c>
      <c r="R51" s="12"/>
      <c r="S51" s="12"/>
      <c r="T51" s="12"/>
      <c r="U51" s="12"/>
      <c r="V51" s="12"/>
      <c r="W51" s="12"/>
      <c r="X51" s="12"/>
      <c r="Y51" s="12" t="n">
        <v>0.0209732988771934</v>
      </c>
      <c r="Z51" s="12" t="n">
        <v>2.84076292167877E-009</v>
      </c>
      <c r="AA51" s="12" t="n">
        <v>0.0118731345675508</v>
      </c>
      <c r="AB51" s="12"/>
      <c r="AC51" s="12"/>
      <c r="AD51" s="12"/>
      <c r="AE51" s="12"/>
      <c r="AF51" s="12"/>
      <c r="AG51" s="12"/>
      <c r="AH51" s="13" t="b">
        <f aca="false">FALSE()</f>
        <v>0</v>
      </c>
      <c r="AI51" s="12"/>
      <c r="AJ51" s="12" t="s">
        <v>433</v>
      </c>
    </row>
    <row r="52" customFormat="false" ht="15" hidden="false" customHeight="false" outlineLevel="0" collapsed="false">
      <c r="A52" s="12" t="s">
        <v>380</v>
      </c>
      <c r="B52" s="12" t="s">
        <v>429</v>
      </c>
      <c r="C52" s="12" t="s">
        <v>336</v>
      </c>
      <c r="D52" s="12" t="s">
        <v>434</v>
      </c>
      <c r="E52" s="12" t="s">
        <v>355</v>
      </c>
      <c r="F52" s="12" t="s">
        <v>356</v>
      </c>
      <c r="G52" s="12" t="n">
        <v>0.6</v>
      </c>
      <c r="H52" s="12" t="n">
        <v>2705</v>
      </c>
      <c r="I52" s="12" t="n">
        <v>113</v>
      </c>
      <c r="J52" s="12" t="n">
        <v>112</v>
      </c>
      <c r="K52" s="12" t="n">
        <v>0.028269368467378</v>
      </c>
      <c r="L52" s="12" t="n">
        <v>0.0237543742546993</v>
      </c>
      <c r="M52" s="12" t="n">
        <v>1.19007001254877</v>
      </c>
      <c r="N52" s="12" t="n">
        <v>10.513683513613</v>
      </c>
      <c r="O52" s="12" t="n">
        <v>0.26019771738211</v>
      </c>
      <c r="P52" s="12" t="n">
        <v>-0.024310233916893</v>
      </c>
      <c r="Q52" s="12" t="n">
        <v>0.0808489708516492</v>
      </c>
      <c r="R52" s="12"/>
      <c r="S52" s="12"/>
      <c r="T52" s="12"/>
      <c r="U52" s="12"/>
      <c r="V52" s="12"/>
      <c r="W52" s="12"/>
      <c r="X52" s="12"/>
      <c r="Y52" s="12" t="n">
        <v>0.0209732988771934</v>
      </c>
      <c r="Z52" s="12" t="n">
        <v>2.84076292167877E-009</v>
      </c>
      <c r="AA52" s="12" t="n">
        <v>0.0118731345675508</v>
      </c>
      <c r="AB52" s="12"/>
      <c r="AC52" s="12"/>
      <c r="AD52" s="12"/>
      <c r="AE52" s="12"/>
      <c r="AF52" s="12"/>
      <c r="AG52" s="12"/>
      <c r="AH52" s="13" t="b">
        <f aca="false">TRUE()</f>
        <v>1</v>
      </c>
      <c r="AI52" s="12" t="s">
        <v>435</v>
      </c>
      <c r="AJ52" s="12" t="s">
        <v>433</v>
      </c>
    </row>
    <row r="53" customFormat="false" ht="15" hidden="false" customHeight="false" outlineLevel="0" collapsed="false">
      <c r="A53" s="12" t="s">
        <v>380</v>
      </c>
      <c r="B53" s="12" t="s">
        <v>429</v>
      </c>
      <c r="C53" s="12" t="s">
        <v>336</v>
      </c>
      <c r="D53" s="12" t="s">
        <v>436</v>
      </c>
      <c r="E53" s="12" t="s">
        <v>355</v>
      </c>
      <c r="F53" s="12" t="s">
        <v>356</v>
      </c>
      <c r="G53" s="12" t="n">
        <v>0.6</v>
      </c>
      <c r="H53" s="12" t="n">
        <v>2705</v>
      </c>
      <c r="I53" s="12" t="n">
        <v>113</v>
      </c>
      <c r="J53" s="12" t="n">
        <v>112</v>
      </c>
      <c r="K53" s="12" t="n">
        <v>-0.0010405229820257</v>
      </c>
      <c r="L53" s="12" t="n">
        <v>0.0062626040126656</v>
      </c>
      <c r="M53" s="12" t="n">
        <v>-0.166148614844785</v>
      </c>
      <c r="N53" s="12" t="n">
        <v>13.5379394742769</v>
      </c>
      <c r="O53" s="12" t="n">
        <v>0.870495791174619</v>
      </c>
      <c r="P53" s="12" t="n">
        <v>-0.0145156097919471</v>
      </c>
      <c r="Q53" s="12" t="n">
        <v>0.0124345638278955</v>
      </c>
      <c r="R53" s="12"/>
      <c r="S53" s="12"/>
      <c r="T53" s="12"/>
      <c r="U53" s="12"/>
      <c r="V53" s="12"/>
      <c r="W53" s="12"/>
      <c r="X53" s="12"/>
      <c r="Y53" s="12" t="n">
        <v>0.0209732988771934</v>
      </c>
      <c r="Z53" s="12" t="n">
        <v>2.84076292167877E-009</v>
      </c>
      <c r="AA53" s="12" t="n">
        <v>0.0118731345675508</v>
      </c>
      <c r="AB53" s="12"/>
      <c r="AC53" s="12"/>
      <c r="AD53" s="12"/>
      <c r="AE53" s="12"/>
      <c r="AF53" s="12"/>
      <c r="AG53" s="12"/>
      <c r="AH53" s="13" t="b">
        <f aca="false">FALSE()</f>
        <v>0</v>
      </c>
      <c r="AI53" s="12"/>
      <c r="AJ53" s="12" t="s">
        <v>433</v>
      </c>
    </row>
    <row r="54" customFormat="false" ht="15" hidden="false" customHeight="false" outlineLevel="0" collapsed="false">
      <c r="A54" s="12" t="s">
        <v>380</v>
      </c>
      <c r="B54" s="12" t="s">
        <v>429</v>
      </c>
      <c r="C54" s="12" t="s">
        <v>336</v>
      </c>
      <c r="D54" s="12" t="s">
        <v>437</v>
      </c>
      <c r="E54" s="12" t="s">
        <v>378</v>
      </c>
      <c r="F54" s="12" t="s">
        <v>356</v>
      </c>
      <c r="G54" s="12" t="n">
        <v>0.6</v>
      </c>
      <c r="H54" s="12" t="n">
        <v>2705</v>
      </c>
      <c r="I54" s="12" t="n">
        <v>113</v>
      </c>
      <c r="J54" s="12" t="n">
        <v>112</v>
      </c>
      <c r="K54" s="12"/>
      <c r="L54" s="12"/>
      <c r="M54" s="12" t="n">
        <v>0.671019077476745</v>
      </c>
      <c r="N54" s="12" t="n">
        <v>16.5920234534106</v>
      </c>
      <c r="O54" s="12" t="n">
        <v>0.524525364822025</v>
      </c>
      <c r="P54" s="12"/>
      <c r="Q54" s="12"/>
      <c r="R54" s="12"/>
      <c r="S54" s="12"/>
      <c r="T54" s="12"/>
      <c r="U54" s="12"/>
      <c r="V54" s="12"/>
      <c r="W54" s="12"/>
      <c r="X54" s="12"/>
      <c r="Y54" s="12" t="n">
        <v>0.0209732988771934</v>
      </c>
      <c r="Z54" s="12" t="n">
        <v>2.84076292167877E-009</v>
      </c>
      <c r="AA54" s="12" t="n">
        <v>0.0118731345675508</v>
      </c>
      <c r="AB54" s="12"/>
      <c r="AC54" s="12"/>
      <c r="AD54" s="12"/>
      <c r="AE54" s="12"/>
      <c r="AF54" s="12"/>
      <c r="AG54" s="12"/>
      <c r="AH54" s="13" t="b">
        <f aca="false">FALSE()</f>
        <v>0</v>
      </c>
      <c r="AI54" s="12"/>
      <c r="AJ54" s="12" t="s">
        <v>438</v>
      </c>
    </row>
    <row r="55" customFormat="false" ht="15" hidden="false" customHeight="false" outlineLevel="0" collapsed="false">
      <c r="A55" s="12" t="s">
        <v>439</v>
      </c>
      <c r="B55" s="12" t="s">
        <v>440</v>
      </c>
      <c r="C55" s="12" t="s">
        <v>336</v>
      </c>
      <c r="D55" s="12" t="s">
        <v>193</v>
      </c>
      <c r="E55" s="12" t="s">
        <v>355</v>
      </c>
      <c r="F55" s="12" t="s">
        <v>356</v>
      </c>
      <c r="G55" s="12" t="n">
        <v>0.6</v>
      </c>
      <c r="H55" s="12" t="n">
        <v>2705</v>
      </c>
      <c r="I55" s="12" t="n">
        <v>113</v>
      </c>
      <c r="J55" s="12" t="n">
        <v>112</v>
      </c>
      <c r="K55" s="12" t="n">
        <v>-0.0204238213906038</v>
      </c>
      <c r="L55" s="12" t="n">
        <v>0.0163886209512099</v>
      </c>
      <c r="M55" s="12" t="n">
        <v>-1.24621964541171</v>
      </c>
      <c r="N55" s="12" t="n">
        <v>20.7397530092413</v>
      </c>
      <c r="O55" s="12" t="n">
        <v>0.226577316209325</v>
      </c>
      <c r="P55" s="12" t="n">
        <v>-0.0545318838686982</v>
      </c>
      <c r="Q55" s="12" t="n">
        <v>0.0136842410874906</v>
      </c>
      <c r="R55" s="12"/>
      <c r="S55" s="12"/>
      <c r="T55" s="12" t="n">
        <v>-0.0204209820512645</v>
      </c>
      <c r="U55" s="12" t="n">
        <v>-0.0544778937883368</v>
      </c>
      <c r="V55" s="12" t="n">
        <v>0.013683386988188</v>
      </c>
      <c r="W55" s="12"/>
      <c r="X55" s="12"/>
      <c r="Y55" s="12" t="n">
        <v>0.0196703493113274</v>
      </c>
      <c r="Z55" s="12" t="n">
        <v>2.01836523035756E-009</v>
      </c>
      <c r="AA55" s="12" t="n">
        <v>0.0118514224920184</v>
      </c>
      <c r="AB55" s="12"/>
      <c r="AC55" s="12"/>
      <c r="AD55" s="12"/>
      <c r="AE55" s="12"/>
      <c r="AF55" s="12"/>
      <c r="AG55" s="12"/>
      <c r="AH55" s="13" t="b">
        <f aca="false">FALSE()</f>
        <v>0</v>
      </c>
      <c r="AI55" s="12"/>
      <c r="AJ55" s="12" t="s">
        <v>441</v>
      </c>
    </row>
    <row r="56" customFormat="false" ht="15" hidden="false" customHeight="false" outlineLevel="0" collapsed="false">
      <c r="A56" s="12" t="s">
        <v>439</v>
      </c>
      <c r="B56" s="12" t="s">
        <v>440</v>
      </c>
      <c r="C56" s="12" t="s">
        <v>336</v>
      </c>
      <c r="D56" s="12" t="s">
        <v>385</v>
      </c>
      <c r="E56" s="12" t="s">
        <v>355</v>
      </c>
      <c r="F56" s="12" t="s">
        <v>356</v>
      </c>
      <c r="G56" s="12" t="n">
        <v>0.6</v>
      </c>
      <c r="H56" s="12" t="n">
        <v>2705</v>
      </c>
      <c r="I56" s="12" t="n">
        <v>113</v>
      </c>
      <c r="J56" s="12" t="n">
        <v>112</v>
      </c>
      <c r="K56" s="12" t="n">
        <v>0.0124574678545605</v>
      </c>
      <c r="L56" s="12" t="n">
        <v>0.0173491495401304</v>
      </c>
      <c r="M56" s="12" t="n">
        <v>0.718044871637372</v>
      </c>
      <c r="N56" s="12" t="n">
        <v>14.2242528555395</v>
      </c>
      <c r="O56" s="12" t="n">
        <v>0.484357114801384</v>
      </c>
      <c r="P56" s="12" t="n">
        <v>-0.0246977960140129</v>
      </c>
      <c r="Q56" s="12" t="n">
        <v>0.0496127317231339</v>
      </c>
      <c r="R56" s="12"/>
      <c r="S56" s="12"/>
      <c r="T56" s="12"/>
      <c r="U56" s="12"/>
      <c r="V56" s="12"/>
      <c r="W56" s="12"/>
      <c r="X56" s="12"/>
      <c r="Y56" s="12" t="n">
        <v>0.0196703493113274</v>
      </c>
      <c r="Z56" s="12" t="n">
        <v>2.01836523035756E-009</v>
      </c>
      <c r="AA56" s="12" t="n">
        <v>0.0118514224920184</v>
      </c>
      <c r="AB56" s="12"/>
      <c r="AC56" s="12"/>
      <c r="AD56" s="12"/>
      <c r="AE56" s="12"/>
      <c r="AF56" s="12"/>
      <c r="AG56" s="12"/>
      <c r="AH56" s="13" t="b">
        <f aca="false">TRUE()</f>
        <v>1</v>
      </c>
      <c r="AI56" s="12" t="s">
        <v>442</v>
      </c>
      <c r="AJ56" s="12" t="s">
        <v>443</v>
      </c>
    </row>
    <row r="57" customFormat="false" ht="15" hidden="false" customHeight="false" outlineLevel="0" collapsed="false">
      <c r="A57" s="12" t="s">
        <v>439</v>
      </c>
      <c r="B57" s="12" t="s">
        <v>440</v>
      </c>
      <c r="C57" s="12" t="s">
        <v>336</v>
      </c>
      <c r="D57" s="12" t="s">
        <v>444</v>
      </c>
      <c r="E57" s="12" t="s">
        <v>355</v>
      </c>
      <c r="F57" s="12" t="s">
        <v>356</v>
      </c>
      <c r="G57" s="12" t="n">
        <v>0.6</v>
      </c>
      <c r="H57" s="12" t="n">
        <v>2705</v>
      </c>
      <c r="I57" s="12" t="n">
        <v>113</v>
      </c>
      <c r="J57" s="12" t="n">
        <v>112</v>
      </c>
      <c r="K57" s="12" t="n">
        <v>-0.0415139299662339</v>
      </c>
      <c r="L57" s="12" t="n">
        <v>0.0387200793019362</v>
      </c>
      <c r="M57" s="12" t="n">
        <v>-1.07215508631869</v>
      </c>
      <c r="N57" s="12" t="n">
        <v>2.70700367409938</v>
      </c>
      <c r="O57" s="12" t="n">
        <v>0.369816889279954</v>
      </c>
      <c r="P57" s="12" t="n">
        <v>-0.172638381681302</v>
      </c>
      <c r="Q57" s="12" t="n">
        <v>0.0896105217488339</v>
      </c>
      <c r="R57" s="12"/>
      <c r="S57" s="12"/>
      <c r="T57" s="12"/>
      <c r="U57" s="12"/>
      <c r="V57" s="12"/>
      <c r="W57" s="12"/>
      <c r="X57" s="12"/>
      <c r="Y57" s="12" t="n">
        <v>0.0196703493113274</v>
      </c>
      <c r="Z57" s="12" t="n">
        <v>2.01836523035756E-009</v>
      </c>
      <c r="AA57" s="12" t="n">
        <v>0.0118514224920184</v>
      </c>
      <c r="AB57" s="12"/>
      <c r="AC57" s="12"/>
      <c r="AD57" s="12"/>
      <c r="AE57" s="12"/>
      <c r="AF57" s="12"/>
      <c r="AG57" s="12"/>
      <c r="AH57" s="13" t="b">
        <f aca="false">FALSE()</f>
        <v>0</v>
      </c>
      <c r="AI57" s="12"/>
      <c r="AJ57" s="12" t="s">
        <v>441</v>
      </c>
    </row>
    <row r="58" customFormat="false" ht="15" hidden="false" customHeight="false" outlineLevel="0" collapsed="false">
      <c r="A58" s="12" t="s">
        <v>439</v>
      </c>
      <c r="B58" s="12" t="s">
        <v>440</v>
      </c>
      <c r="C58" s="12" t="s">
        <v>336</v>
      </c>
      <c r="D58" s="12" t="s">
        <v>445</v>
      </c>
      <c r="E58" s="12" t="s">
        <v>355</v>
      </c>
      <c r="F58" s="12" t="s">
        <v>356</v>
      </c>
      <c r="G58" s="12" t="n">
        <v>0.6</v>
      </c>
      <c r="H58" s="12" t="n">
        <v>2705</v>
      </c>
      <c r="I58" s="12" t="n">
        <v>113</v>
      </c>
      <c r="J58" s="12" t="n">
        <v>112</v>
      </c>
      <c r="K58" s="12" t="n">
        <v>-0.0238419640981222</v>
      </c>
      <c r="L58" s="12" t="n">
        <v>0.0232638518837144</v>
      </c>
      <c r="M58" s="12" t="n">
        <v>-1.02485023620755</v>
      </c>
      <c r="N58" s="12" t="n">
        <v>21.2774608492499</v>
      </c>
      <c r="O58" s="12" t="n">
        <v>0.316944966164614</v>
      </c>
      <c r="P58" s="12" t="n">
        <v>-0.0721834072118156</v>
      </c>
      <c r="Q58" s="12" t="n">
        <v>0.024499479015571</v>
      </c>
      <c r="R58" s="12"/>
      <c r="S58" s="12"/>
      <c r="T58" s="12"/>
      <c r="U58" s="12"/>
      <c r="V58" s="12"/>
      <c r="W58" s="12"/>
      <c r="X58" s="12"/>
      <c r="Y58" s="12" t="n">
        <v>0.0196703493113274</v>
      </c>
      <c r="Z58" s="12" t="n">
        <v>2.01836523035756E-009</v>
      </c>
      <c r="AA58" s="12" t="n">
        <v>0.0118514224920184</v>
      </c>
      <c r="AB58" s="12"/>
      <c r="AC58" s="12"/>
      <c r="AD58" s="12"/>
      <c r="AE58" s="12"/>
      <c r="AF58" s="12"/>
      <c r="AG58" s="12"/>
      <c r="AH58" s="13" t="b">
        <f aca="false">FALSE()</f>
        <v>0</v>
      </c>
      <c r="AI58" s="12"/>
      <c r="AJ58" s="12" t="s">
        <v>441</v>
      </c>
    </row>
    <row r="59" customFormat="false" ht="15" hidden="false" customHeight="false" outlineLevel="0" collapsed="false">
      <c r="A59" s="12" t="s">
        <v>439</v>
      </c>
      <c r="B59" s="12" t="s">
        <v>440</v>
      </c>
      <c r="C59" s="12" t="s">
        <v>336</v>
      </c>
      <c r="D59" s="12" t="s">
        <v>446</v>
      </c>
      <c r="E59" s="12" t="s">
        <v>355</v>
      </c>
      <c r="F59" s="12" t="s">
        <v>356</v>
      </c>
      <c r="G59" s="12" t="n">
        <v>0.6</v>
      </c>
      <c r="H59" s="12" t="n">
        <v>2705</v>
      </c>
      <c r="I59" s="12" t="n">
        <v>113</v>
      </c>
      <c r="J59" s="12" t="n">
        <v>112</v>
      </c>
      <c r="K59" s="12" t="n">
        <v>-0.0119965416187298</v>
      </c>
      <c r="L59" s="12" t="n">
        <v>0.0182973152246403</v>
      </c>
      <c r="M59" s="12" t="n">
        <v>-0.655644911367899</v>
      </c>
      <c r="N59" s="12" t="n">
        <v>8.58571784870791</v>
      </c>
      <c r="O59" s="12" t="n">
        <v>0.529227125956698</v>
      </c>
      <c r="P59" s="12" t="n">
        <v>-0.05369440431618</v>
      </c>
      <c r="Q59" s="12" t="n">
        <v>0.0297013210787203</v>
      </c>
      <c r="R59" s="12"/>
      <c r="S59" s="12"/>
      <c r="T59" s="12"/>
      <c r="U59" s="12"/>
      <c r="V59" s="12"/>
      <c r="W59" s="12"/>
      <c r="X59" s="12"/>
      <c r="Y59" s="12" t="n">
        <v>0.0196703493113274</v>
      </c>
      <c r="Z59" s="12" t="n">
        <v>2.01836523035756E-009</v>
      </c>
      <c r="AA59" s="12" t="n">
        <v>0.0118514224920184</v>
      </c>
      <c r="AB59" s="12"/>
      <c r="AC59" s="12"/>
      <c r="AD59" s="12"/>
      <c r="AE59" s="12"/>
      <c r="AF59" s="12"/>
      <c r="AG59" s="12"/>
      <c r="AH59" s="13" t="b">
        <f aca="false">FALSE()</f>
        <v>0</v>
      </c>
      <c r="AI59" s="12"/>
      <c r="AJ59" s="12" t="s">
        <v>447</v>
      </c>
    </row>
    <row r="60" customFormat="false" ht="15" hidden="false" customHeight="false" outlineLevel="0" collapsed="false">
      <c r="A60" s="12" t="s">
        <v>439</v>
      </c>
      <c r="B60" s="12" t="s">
        <v>440</v>
      </c>
      <c r="C60" s="12" t="s">
        <v>336</v>
      </c>
      <c r="D60" s="12" t="s">
        <v>448</v>
      </c>
      <c r="E60" s="12" t="s">
        <v>355</v>
      </c>
      <c r="F60" s="12" t="s">
        <v>356</v>
      </c>
      <c r="G60" s="12" t="n">
        <v>0.6</v>
      </c>
      <c r="H60" s="12" t="n">
        <v>2705</v>
      </c>
      <c r="I60" s="12" t="n">
        <v>113</v>
      </c>
      <c r="J60" s="12" t="n">
        <v>112</v>
      </c>
      <c r="K60" s="12" t="n">
        <v>-0.055928810263259</v>
      </c>
      <c r="L60" s="12" t="n">
        <v>0.0159426184340479</v>
      </c>
      <c r="M60" s="12" t="n">
        <v>-3.50813202327004</v>
      </c>
      <c r="N60" s="12" t="n">
        <v>7.51627047756204</v>
      </c>
      <c r="O60" s="12" t="n">
        <v>0.0088164324400758</v>
      </c>
      <c r="P60" s="12" t="n">
        <v>-0.0931084942539593</v>
      </c>
      <c r="Q60" s="12" t="n">
        <v>-0.0187491262725586</v>
      </c>
      <c r="R60" s="12"/>
      <c r="S60" s="12"/>
      <c r="T60" s="12"/>
      <c r="U60" s="12"/>
      <c r="V60" s="12"/>
      <c r="W60" s="12"/>
      <c r="X60" s="12"/>
      <c r="Y60" s="12" t="n">
        <v>0.0196703493113274</v>
      </c>
      <c r="Z60" s="12" t="n">
        <v>2.01836523035756E-009</v>
      </c>
      <c r="AA60" s="12" t="n">
        <v>0.0118514224920184</v>
      </c>
      <c r="AB60" s="12"/>
      <c r="AC60" s="12"/>
      <c r="AD60" s="12"/>
      <c r="AE60" s="12"/>
      <c r="AF60" s="12"/>
      <c r="AG60" s="12"/>
      <c r="AH60" s="13" t="b">
        <f aca="false">FALSE()</f>
        <v>0</v>
      </c>
      <c r="AI60" s="12"/>
      <c r="AJ60" s="12" t="s">
        <v>441</v>
      </c>
    </row>
    <row r="61" customFormat="false" ht="15" hidden="false" customHeight="false" outlineLevel="0" collapsed="false">
      <c r="A61" s="12" t="s">
        <v>439</v>
      </c>
      <c r="B61" s="12" t="s">
        <v>440</v>
      </c>
      <c r="C61" s="12" t="s">
        <v>336</v>
      </c>
      <c r="D61" s="12" t="s">
        <v>449</v>
      </c>
      <c r="E61" s="12" t="s">
        <v>355</v>
      </c>
      <c r="F61" s="12" t="s">
        <v>356</v>
      </c>
      <c r="G61" s="12" t="n">
        <v>0.6</v>
      </c>
      <c r="H61" s="12" t="n">
        <v>2705</v>
      </c>
      <c r="I61" s="12" t="n">
        <v>113</v>
      </c>
      <c r="J61" s="12" t="n">
        <v>112</v>
      </c>
      <c r="K61" s="12" t="n">
        <v>-0.0850608247750095</v>
      </c>
      <c r="L61" s="12" t="n">
        <v>0.0743504792882117</v>
      </c>
      <c r="M61" s="12" t="n">
        <v>-1.14405213778489</v>
      </c>
      <c r="N61" s="12" t="n">
        <v>6.53359759174696</v>
      </c>
      <c r="O61" s="12" t="n">
        <v>0.292779357250576</v>
      </c>
      <c r="P61" s="12" t="n">
        <v>-0.263448227060714</v>
      </c>
      <c r="Q61" s="12" t="n">
        <v>0.093326577510695</v>
      </c>
      <c r="R61" s="12"/>
      <c r="S61" s="12"/>
      <c r="T61" s="12"/>
      <c r="U61" s="12"/>
      <c r="V61" s="12"/>
      <c r="W61" s="12"/>
      <c r="X61" s="12"/>
      <c r="Y61" s="12" t="n">
        <v>0.0196703493113274</v>
      </c>
      <c r="Z61" s="12" t="n">
        <v>2.01836523035756E-009</v>
      </c>
      <c r="AA61" s="12" t="n">
        <v>0.0118514224920184</v>
      </c>
      <c r="AB61" s="12"/>
      <c r="AC61" s="12"/>
      <c r="AD61" s="12"/>
      <c r="AE61" s="12"/>
      <c r="AF61" s="12"/>
      <c r="AG61" s="12"/>
      <c r="AH61" s="13" t="b">
        <f aca="false">FALSE()</f>
        <v>0</v>
      </c>
      <c r="AI61" s="12"/>
      <c r="AJ61" s="12" t="s">
        <v>441</v>
      </c>
    </row>
    <row r="62" customFormat="false" ht="15" hidden="false" customHeight="false" outlineLevel="0" collapsed="false">
      <c r="A62" s="12" t="s">
        <v>439</v>
      </c>
      <c r="B62" s="12" t="s">
        <v>440</v>
      </c>
      <c r="C62" s="12" t="s">
        <v>336</v>
      </c>
      <c r="D62" s="12" t="s">
        <v>450</v>
      </c>
      <c r="E62" s="12" t="s">
        <v>355</v>
      </c>
      <c r="F62" s="12" t="s">
        <v>356</v>
      </c>
      <c r="G62" s="12" t="n">
        <v>0.6</v>
      </c>
      <c r="H62" s="12" t="n">
        <v>2705</v>
      </c>
      <c r="I62" s="12" t="n">
        <v>113</v>
      </c>
      <c r="J62" s="12" t="n">
        <v>112</v>
      </c>
      <c r="K62" s="12" t="n">
        <v>-0.0215337678667293</v>
      </c>
      <c r="L62" s="12" t="n">
        <v>0.0164827827045493</v>
      </c>
      <c r="M62" s="12" t="n">
        <v>-1.30644007463533</v>
      </c>
      <c r="N62" s="12" t="n">
        <v>6.3373717584846</v>
      </c>
      <c r="O62" s="12" t="n">
        <v>0.236812382268461</v>
      </c>
      <c r="P62" s="12" t="n">
        <v>-0.0613508992672403</v>
      </c>
      <c r="Q62" s="12" t="n">
        <v>0.0182833635337815</v>
      </c>
      <c r="R62" s="12"/>
      <c r="S62" s="12"/>
      <c r="T62" s="12"/>
      <c r="U62" s="12"/>
      <c r="V62" s="12"/>
      <c r="W62" s="12"/>
      <c r="X62" s="12"/>
      <c r="Y62" s="12" t="n">
        <v>0.0196703493113274</v>
      </c>
      <c r="Z62" s="12" t="n">
        <v>2.01836523035756E-009</v>
      </c>
      <c r="AA62" s="12" t="n">
        <v>0.0118514224920184</v>
      </c>
      <c r="AB62" s="12"/>
      <c r="AC62" s="12"/>
      <c r="AD62" s="12"/>
      <c r="AE62" s="12"/>
      <c r="AF62" s="12"/>
      <c r="AG62" s="12"/>
      <c r="AH62" s="13" t="b">
        <f aca="false">FALSE()</f>
        <v>0</v>
      </c>
      <c r="AI62" s="12"/>
      <c r="AJ62" s="12" t="s">
        <v>441</v>
      </c>
    </row>
    <row r="63" customFormat="false" ht="15" hidden="false" customHeight="false" outlineLevel="0" collapsed="false">
      <c r="A63" s="12" t="s">
        <v>439</v>
      </c>
      <c r="B63" s="12" t="s">
        <v>440</v>
      </c>
      <c r="C63" s="12" t="s">
        <v>336</v>
      </c>
      <c r="D63" s="12" t="s">
        <v>451</v>
      </c>
      <c r="E63" s="12" t="s">
        <v>355</v>
      </c>
      <c r="F63" s="12" t="s">
        <v>356</v>
      </c>
      <c r="G63" s="12" t="n">
        <v>0.6</v>
      </c>
      <c r="H63" s="12" t="n">
        <v>2705</v>
      </c>
      <c r="I63" s="12" t="n">
        <v>113</v>
      </c>
      <c r="J63" s="12" t="n">
        <v>112</v>
      </c>
      <c r="K63" s="12" t="n">
        <v>-0.0128712633307305</v>
      </c>
      <c r="L63" s="12" t="n">
        <v>0.0150483755706761</v>
      </c>
      <c r="M63" s="12" t="n">
        <v>-0.85532576391913</v>
      </c>
      <c r="N63" s="12" t="n">
        <v>8.47238293505074</v>
      </c>
      <c r="O63" s="12" t="n">
        <v>0.415902491153972</v>
      </c>
      <c r="P63" s="12" t="n">
        <v>-0.0472389669918612</v>
      </c>
      <c r="Q63" s="12" t="n">
        <v>0.0214964403304001</v>
      </c>
      <c r="R63" s="12"/>
      <c r="S63" s="12"/>
      <c r="T63" s="12"/>
      <c r="U63" s="12"/>
      <c r="V63" s="12"/>
      <c r="W63" s="12"/>
      <c r="X63" s="12"/>
      <c r="Y63" s="12" t="n">
        <v>0.0196703493113274</v>
      </c>
      <c r="Z63" s="12" t="n">
        <v>2.01836523035756E-009</v>
      </c>
      <c r="AA63" s="12" t="n">
        <v>0.0118514224920184</v>
      </c>
      <c r="AB63" s="12"/>
      <c r="AC63" s="12"/>
      <c r="AD63" s="12"/>
      <c r="AE63" s="12"/>
      <c r="AF63" s="12"/>
      <c r="AG63" s="12"/>
      <c r="AH63" s="13" t="b">
        <f aca="false">FALSE()</f>
        <v>0</v>
      </c>
      <c r="AI63" s="12"/>
      <c r="AJ63" s="12" t="s">
        <v>441</v>
      </c>
    </row>
    <row r="64" customFormat="false" ht="15" hidden="false" customHeight="false" outlineLevel="0" collapsed="false">
      <c r="A64" s="12" t="s">
        <v>439</v>
      </c>
      <c r="B64" s="12" t="s">
        <v>440</v>
      </c>
      <c r="C64" s="12" t="s">
        <v>336</v>
      </c>
      <c r="D64" s="12" t="s">
        <v>452</v>
      </c>
      <c r="E64" s="12" t="s">
        <v>378</v>
      </c>
      <c r="F64" s="12" t="s">
        <v>356</v>
      </c>
      <c r="G64" s="12" t="n">
        <v>0.6</v>
      </c>
      <c r="H64" s="12" t="n">
        <v>2705</v>
      </c>
      <c r="I64" s="12" t="n">
        <v>113</v>
      </c>
      <c r="J64" s="12" t="n">
        <v>112</v>
      </c>
      <c r="K64" s="12"/>
      <c r="L64" s="12"/>
      <c r="M64" s="12" t="n">
        <v>1.50144303999955</v>
      </c>
      <c r="N64" s="12" t="n">
        <v>7.80603157754308</v>
      </c>
      <c r="O64" s="12" t="n">
        <v>0.292003439164146</v>
      </c>
      <c r="P64" s="12"/>
      <c r="Q64" s="12"/>
      <c r="R64" s="12"/>
      <c r="S64" s="12"/>
      <c r="T64" s="12"/>
      <c r="U64" s="12"/>
      <c r="V64" s="12"/>
      <c r="W64" s="12"/>
      <c r="X64" s="12"/>
      <c r="Y64" s="12" t="n">
        <v>0.0196703493113274</v>
      </c>
      <c r="Z64" s="12" t="n">
        <v>2.01836523035756E-009</v>
      </c>
      <c r="AA64" s="12" t="n">
        <v>0.0118514224920184</v>
      </c>
      <c r="AB64" s="12"/>
      <c r="AC64" s="12"/>
      <c r="AD64" s="12"/>
      <c r="AE64" s="12"/>
      <c r="AF64" s="12"/>
      <c r="AG64" s="12"/>
      <c r="AH64" s="13" t="b">
        <f aca="false">FALSE()</f>
        <v>0</v>
      </c>
      <c r="AI64" s="12"/>
      <c r="AJ64" s="12" t="s">
        <v>453</v>
      </c>
    </row>
    <row r="65" customFormat="false" ht="15" hidden="false" customHeight="false" outlineLevel="0" collapsed="false">
      <c r="A65" s="12" t="s">
        <v>439</v>
      </c>
      <c r="B65" s="12" t="s">
        <v>440</v>
      </c>
      <c r="C65" s="12" t="s">
        <v>336</v>
      </c>
      <c r="D65" s="12" t="s">
        <v>454</v>
      </c>
      <c r="E65" s="12" t="s">
        <v>355</v>
      </c>
      <c r="F65" s="12" t="s">
        <v>356</v>
      </c>
      <c r="G65" s="12" t="n">
        <v>0.6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 t="n">
        <v>0.0022815611441579</v>
      </c>
      <c r="AH65" s="13" t="b">
        <f aca="false">FALSE()</f>
        <v>0</v>
      </c>
      <c r="AI65" s="12"/>
      <c r="AJ65" s="12" t="s">
        <v>455</v>
      </c>
    </row>
    <row r="66" customFormat="false" ht="15" hidden="false" customHeight="false" outlineLevel="0" collapsed="false">
      <c r="A66" s="12" t="s">
        <v>439</v>
      </c>
      <c r="B66" s="12" t="s">
        <v>456</v>
      </c>
      <c r="C66" s="12" t="s">
        <v>336</v>
      </c>
      <c r="D66" s="12" t="s">
        <v>193</v>
      </c>
      <c r="E66" s="12" t="s">
        <v>355</v>
      </c>
      <c r="F66" s="12" t="s">
        <v>356</v>
      </c>
      <c r="G66" s="12" t="n">
        <v>0.6</v>
      </c>
      <c r="H66" s="12" t="n">
        <v>2705</v>
      </c>
      <c r="I66" s="12" t="n">
        <v>113</v>
      </c>
      <c r="J66" s="12" t="n">
        <v>112</v>
      </c>
      <c r="K66" s="12" t="n">
        <v>-0.0211979368534388</v>
      </c>
      <c r="L66" s="12" t="n">
        <v>0.0206815247022186</v>
      </c>
      <c r="M66" s="12" t="n">
        <v>-1.02496973306638</v>
      </c>
      <c r="N66" s="12" t="n">
        <v>14.4062009630966</v>
      </c>
      <c r="O66" s="12" t="n">
        <v>0.322281284756581</v>
      </c>
      <c r="P66" s="12" t="n">
        <v>-0.0654383447932391</v>
      </c>
      <c r="Q66" s="12" t="n">
        <v>0.0230424710863615</v>
      </c>
      <c r="R66" s="12"/>
      <c r="S66" s="12"/>
      <c r="T66" s="12" t="n">
        <v>-0.0211947623085371</v>
      </c>
      <c r="U66" s="12" t="n">
        <v>-0.0653450983181523</v>
      </c>
      <c r="V66" s="12" t="n">
        <v>0.0230383937769231</v>
      </c>
      <c r="W66" s="12"/>
      <c r="X66" s="12"/>
      <c r="Y66" s="12" t="n">
        <v>0.0199289880981319</v>
      </c>
      <c r="Z66" s="12" t="n">
        <v>1.90014437585091E-009</v>
      </c>
      <c r="AA66" s="12" t="n">
        <v>0.0118498313524118</v>
      </c>
      <c r="AB66" s="12"/>
      <c r="AC66" s="12"/>
      <c r="AD66" s="12"/>
      <c r="AE66" s="12"/>
      <c r="AF66" s="12"/>
      <c r="AG66" s="12"/>
      <c r="AH66" s="13" t="b">
        <f aca="false">FALSE()</f>
        <v>0</v>
      </c>
      <c r="AI66" s="12"/>
      <c r="AJ66" s="12" t="s">
        <v>457</v>
      </c>
    </row>
    <row r="67" customFormat="false" ht="15" hidden="false" customHeight="false" outlineLevel="0" collapsed="false">
      <c r="A67" s="12" t="s">
        <v>439</v>
      </c>
      <c r="B67" s="12" t="s">
        <v>456</v>
      </c>
      <c r="C67" s="12" t="s">
        <v>336</v>
      </c>
      <c r="D67" s="12" t="s">
        <v>358</v>
      </c>
      <c r="E67" s="12" t="s">
        <v>355</v>
      </c>
      <c r="F67" s="12" t="s">
        <v>356</v>
      </c>
      <c r="G67" s="12" t="n">
        <v>0.6</v>
      </c>
      <c r="H67" s="12" t="n">
        <v>2705</v>
      </c>
      <c r="I67" s="12" t="n">
        <v>113</v>
      </c>
      <c r="J67" s="12" t="n">
        <v>112</v>
      </c>
      <c r="K67" s="12" t="n">
        <v>-0.00022856644685425</v>
      </c>
      <c r="L67" s="12" t="n">
        <v>0.0018053731963673</v>
      </c>
      <c r="M67" s="12" t="n">
        <v>-0.12660343430054</v>
      </c>
      <c r="N67" s="12" t="n">
        <v>23.3854199948555</v>
      </c>
      <c r="O67" s="12" t="n">
        <v>0.900336536294477</v>
      </c>
      <c r="P67" s="12" t="n">
        <v>-0.003959862460846</v>
      </c>
      <c r="Q67" s="12" t="n">
        <v>0.0035027295671375</v>
      </c>
      <c r="R67" s="12"/>
      <c r="S67" s="12"/>
      <c r="T67" s="12"/>
      <c r="U67" s="12"/>
      <c r="V67" s="12"/>
      <c r="W67" s="12"/>
      <c r="X67" s="12"/>
      <c r="Y67" s="12" t="n">
        <v>0.0199289880981319</v>
      </c>
      <c r="Z67" s="12" t="n">
        <v>1.90014437585091E-009</v>
      </c>
      <c r="AA67" s="12" t="n">
        <v>0.0118498313524118</v>
      </c>
      <c r="AB67" s="12"/>
      <c r="AC67" s="12"/>
      <c r="AD67" s="12"/>
      <c r="AE67" s="12"/>
      <c r="AF67" s="12"/>
      <c r="AG67" s="12"/>
      <c r="AH67" s="13" t="b">
        <f aca="false">FALSE()</f>
        <v>0</v>
      </c>
      <c r="AI67" s="12"/>
      <c r="AJ67" s="12" t="s">
        <v>457</v>
      </c>
    </row>
    <row r="68" customFormat="false" ht="15" hidden="false" customHeight="false" outlineLevel="0" collapsed="false">
      <c r="A68" s="12" t="s">
        <v>439</v>
      </c>
      <c r="B68" s="12" t="s">
        <v>456</v>
      </c>
      <c r="C68" s="12" t="s">
        <v>336</v>
      </c>
      <c r="D68" s="12" t="s">
        <v>385</v>
      </c>
      <c r="E68" s="12" t="s">
        <v>355</v>
      </c>
      <c r="F68" s="12" t="s">
        <v>356</v>
      </c>
      <c r="G68" s="12" t="n">
        <v>0.6</v>
      </c>
      <c r="H68" s="12" t="n">
        <v>2705</v>
      </c>
      <c r="I68" s="12" t="n">
        <v>113</v>
      </c>
      <c r="J68" s="12" t="n">
        <v>112</v>
      </c>
      <c r="K68" s="12" t="n">
        <v>0.0139315034184867</v>
      </c>
      <c r="L68" s="12" t="n">
        <v>0.0183171158109396</v>
      </c>
      <c r="M68" s="12" t="n">
        <v>0.760572983338696</v>
      </c>
      <c r="N68" s="12" t="n">
        <v>19.2001886161265</v>
      </c>
      <c r="O68" s="12" t="n">
        <v>0.456151549548061</v>
      </c>
      <c r="P68" s="12" t="n">
        <v>-0.0243796237712214</v>
      </c>
      <c r="Q68" s="12" t="n">
        <v>0.0522426306081949</v>
      </c>
      <c r="R68" s="12"/>
      <c r="S68" s="12"/>
      <c r="T68" s="12"/>
      <c r="U68" s="12"/>
      <c r="V68" s="12"/>
      <c r="W68" s="12"/>
      <c r="X68" s="12"/>
      <c r="Y68" s="12" t="n">
        <v>0.0199289880981319</v>
      </c>
      <c r="Z68" s="12" t="n">
        <v>1.90014437585091E-009</v>
      </c>
      <c r="AA68" s="12" t="n">
        <v>0.0118498313524118</v>
      </c>
      <c r="AB68" s="12"/>
      <c r="AC68" s="12"/>
      <c r="AD68" s="12"/>
      <c r="AE68" s="12"/>
      <c r="AF68" s="12"/>
      <c r="AG68" s="12"/>
      <c r="AH68" s="13" t="b">
        <f aca="false">TRUE()</f>
        <v>1</v>
      </c>
      <c r="AI68" s="12" t="s">
        <v>458</v>
      </c>
      <c r="AJ68" s="12" t="s">
        <v>459</v>
      </c>
    </row>
    <row r="69" customFormat="false" ht="15" hidden="false" customHeight="false" outlineLevel="0" collapsed="false">
      <c r="A69" s="12" t="s">
        <v>439</v>
      </c>
      <c r="B69" s="12" t="s">
        <v>456</v>
      </c>
      <c r="C69" s="12" t="s">
        <v>336</v>
      </c>
      <c r="D69" s="12" t="s">
        <v>444</v>
      </c>
      <c r="E69" s="12" t="s">
        <v>355</v>
      </c>
      <c r="F69" s="12" t="s">
        <v>356</v>
      </c>
      <c r="G69" s="12" t="n">
        <v>0.6</v>
      </c>
      <c r="H69" s="12" t="n">
        <v>2705</v>
      </c>
      <c r="I69" s="12" t="n">
        <v>113</v>
      </c>
      <c r="J69" s="12" t="n">
        <v>112</v>
      </c>
      <c r="K69" s="12" t="n">
        <v>-0.040882311262438</v>
      </c>
      <c r="L69" s="12" t="n">
        <v>0.0409288222931864</v>
      </c>
      <c r="M69" s="12" t="n">
        <v>-0.998863611798669</v>
      </c>
      <c r="N69" s="12" t="n">
        <v>2.31359014603174</v>
      </c>
      <c r="O69" s="12" t="n">
        <v>0.410630994426978</v>
      </c>
      <c r="P69" s="12" t="n">
        <v>-0.195977315756366</v>
      </c>
      <c r="Q69" s="12" t="n">
        <v>0.11421269323149</v>
      </c>
      <c r="R69" s="12"/>
      <c r="S69" s="12"/>
      <c r="T69" s="12"/>
      <c r="U69" s="12"/>
      <c r="V69" s="12"/>
      <c r="W69" s="12"/>
      <c r="X69" s="12"/>
      <c r="Y69" s="12" t="n">
        <v>0.0199289880981319</v>
      </c>
      <c r="Z69" s="12" t="n">
        <v>1.90014437585091E-009</v>
      </c>
      <c r="AA69" s="12" t="n">
        <v>0.0118498313524118</v>
      </c>
      <c r="AB69" s="12"/>
      <c r="AC69" s="12"/>
      <c r="AD69" s="12"/>
      <c r="AE69" s="12"/>
      <c r="AF69" s="12"/>
      <c r="AG69" s="12"/>
      <c r="AH69" s="13" t="b">
        <f aca="false">FALSE()</f>
        <v>0</v>
      </c>
      <c r="AI69" s="12"/>
      <c r="AJ69" s="12" t="s">
        <v>457</v>
      </c>
    </row>
    <row r="70" customFormat="false" ht="15" hidden="false" customHeight="false" outlineLevel="0" collapsed="false">
      <c r="A70" s="12" t="s">
        <v>439</v>
      </c>
      <c r="B70" s="12" t="s">
        <v>456</v>
      </c>
      <c r="C70" s="12" t="s">
        <v>336</v>
      </c>
      <c r="D70" s="12" t="s">
        <v>445</v>
      </c>
      <c r="E70" s="12" t="s">
        <v>355</v>
      </c>
      <c r="F70" s="12" t="s">
        <v>356</v>
      </c>
      <c r="G70" s="12" t="n">
        <v>0.6</v>
      </c>
      <c r="H70" s="12" t="n">
        <v>2705</v>
      </c>
      <c r="I70" s="12" t="n">
        <v>113</v>
      </c>
      <c r="J70" s="12" t="n">
        <v>112</v>
      </c>
      <c r="K70" s="12" t="n">
        <v>-0.0232754196880516</v>
      </c>
      <c r="L70" s="12" t="n">
        <v>0.0263629262766284</v>
      </c>
      <c r="M70" s="12" t="n">
        <v>-0.882884526695582</v>
      </c>
      <c r="N70" s="12" t="n">
        <v>16.1542914837278</v>
      </c>
      <c r="O70" s="12" t="n">
        <v>0.390248223287202</v>
      </c>
      <c r="P70" s="12" t="n">
        <v>-0.0791189762518865</v>
      </c>
      <c r="Q70" s="12" t="n">
        <v>0.0325681368757833</v>
      </c>
      <c r="R70" s="12"/>
      <c r="S70" s="12"/>
      <c r="T70" s="12"/>
      <c r="U70" s="12"/>
      <c r="V70" s="12"/>
      <c r="W70" s="12"/>
      <c r="X70" s="12"/>
      <c r="Y70" s="12" t="n">
        <v>0.0199289880981319</v>
      </c>
      <c r="Z70" s="12" t="n">
        <v>1.90014437585091E-009</v>
      </c>
      <c r="AA70" s="12" t="n">
        <v>0.0118498313524118</v>
      </c>
      <c r="AB70" s="12"/>
      <c r="AC70" s="12"/>
      <c r="AD70" s="12"/>
      <c r="AE70" s="12"/>
      <c r="AF70" s="12"/>
      <c r="AG70" s="12"/>
      <c r="AH70" s="13" t="b">
        <f aca="false">FALSE()</f>
        <v>0</v>
      </c>
      <c r="AI70" s="12"/>
      <c r="AJ70" s="12" t="s">
        <v>457</v>
      </c>
    </row>
    <row r="71" customFormat="false" ht="15" hidden="false" customHeight="false" outlineLevel="0" collapsed="false">
      <c r="A71" s="12" t="s">
        <v>439</v>
      </c>
      <c r="B71" s="12" t="s">
        <v>456</v>
      </c>
      <c r="C71" s="12" t="s">
        <v>336</v>
      </c>
      <c r="D71" s="12" t="s">
        <v>446</v>
      </c>
      <c r="E71" s="12" t="s">
        <v>355</v>
      </c>
      <c r="F71" s="12" t="s">
        <v>356</v>
      </c>
      <c r="G71" s="12" t="n">
        <v>0.6</v>
      </c>
      <c r="H71" s="12" t="n">
        <v>2705</v>
      </c>
      <c r="I71" s="12" t="n">
        <v>113</v>
      </c>
      <c r="J71" s="12" t="n">
        <v>112</v>
      </c>
      <c r="K71" s="12" t="n">
        <v>-0.0114869568606401</v>
      </c>
      <c r="L71" s="12" t="n">
        <v>0.0208237475268576</v>
      </c>
      <c r="M71" s="12" t="n">
        <v>-0.551627743556951</v>
      </c>
      <c r="N71" s="12" t="n">
        <v>6.83781097835407</v>
      </c>
      <c r="O71" s="12" t="n">
        <v>0.598758560872882</v>
      </c>
      <c r="P71" s="12" t="n">
        <v>-0.0609650526324267</v>
      </c>
      <c r="Q71" s="12" t="n">
        <v>0.0379911389111465</v>
      </c>
      <c r="R71" s="12"/>
      <c r="S71" s="12"/>
      <c r="T71" s="12"/>
      <c r="U71" s="12"/>
      <c r="V71" s="12"/>
      <c r="W71" s="12"/>
      <c r="X71" s="12"/>
      <c r="Y71" s="12" t="n">
        <v>0.0199289880981319</v>
      </c>
      <c r="Z71" s="12" t="n">
        <v>1.90014437585091E-009</v>
      </c>
      <c r="AA71" s="12" t="n">
        <v>0.0118498313524118</v>
      </c>
      <c r="AB71" s="12"/>
      <c r="AC71" s="12"/>
      <c r="AD71" s="12"/>
      <c r="AE71" s="12"/>
      <c r="AF71" s="12"/>
      <c r="AG71" s="12"/>
      <c r="AH71" s="13" t="b">
        <f aca="false">FALSE()</f>
        <v>0</v>
      </c>
      <c r="AI71" s="12"/>
      <c r="AJ71" s="12" t="s">
        <v>460</v>
      </c>
    </row>
    <row r="72" customFormat="false" ht="15" hidden="false" customHeight="false" outlineLevel="0" collapsed="false">
      <c r="A72" s="12" t="s">
        <v>439</v>
      </c>
      <c r="B72" s="12" t="s">
        <v>456</v>
      </c>
      <c r="C72" s="12" t="s">
        <v>336</v>
      </c>
      <c r="D72" s="12" t="s">
        <v>448</v>
      </c>
      <c r="E72" s="12" t="s">
        <v>355</v>
      </c>
      <c r="F72" s="12" t="s">
        <v>356</v>
      </c>
      <c r="G72" s="12" t="n">
        <v>0.6</v>
      </c>
      <c r="H72" s="12" t="n">
        <v>2705</v>
      </c>
      <c r="I72" s="12" t="n">
        <v>113</v>
      </c>
      <c r="J72" s="12" t="n">
        <v>112</v>
      </c>
      <c r="K72" s="12" t="n">
        <v>-0.0560282204867815</v>
      </c>
      <c r="L72" s="12" t="n">
        <v>0.0159820768157703</v>
      </c>
      <c r="M72" s="12" t="n">
        <v>-3.50569085186072</v>
      </c>
      <c r="N72" s="12" t="n">
        <v>7.44981758655944</v>
      </c>
      <c r="O72" s="12" t="n">
        <v>0.0089732228230194</v>
      </c>
      <c r="P72" s="12" t="n">
        <v>-0.0933621387807973</v>
      </c>
      <c r="Q72" s="12" t="n">
        <v>-0.0186943021927658</v>
      </c>
      <c r="R72" s="12"/>
      <c r="S72" s="12"/>
      <c r="T72" s="12"/>
      <c r="U72" s="12"/>
      <c r="V72" s="12"/>
      <c r="W72" s="12"/>
      <c r="X72" s="12"/>
      <c r="Y72" s="12" t="n">
        <v>0.0199289880981319</v>
      </c>
      <c r="Z72" s="12" t="n">
        <v>1.90014437585091E-009</v>
      </c>
      <c r="AA72" s="12" t="n">
        <v>0.0118498313524118</v>
      </c>
      <c r="AB72" s="12"/>
      <c r="AC72" s="12"/>
      <c r="AD72" s="12"/>
      <c r="AE72" s="12"/>
      <c r="AF72" s="12"/>
      <c r="AG72" s="12"/>
      <c r="AH72" s="13" t="b">
        <f aca="false">FALSE()</f>
        <v>0</v>
      </c>
      <c r="AI72" s="12"/>
      <c r="AJ72" s="12" t="s">
        <v>457</v>
      </c>
    </row>
    <row r="73" customFormat="false" ht="15" hidden="false" customHeight="false" outlineLevel="0" collapsed="false">
      <c r="A73" s="12" t="s">
        <v>439</v>
      </c>
      <c r="B73" s="12" t="s">
        <v>456</v>
      </c>
      <c r="C73" s="12" t="s">
        <v>336</v>
      </c>
      <c r="D73" s="12" t="s">
        <v>449</v>
      </c>
      <c r="E73" s="12" t="s">
        <v>355</v>
      </c>
      <c r="F73" s="12" t="s">
        <v>356</v>
      </c>
      <c r="G73" s="12" t="n">
        <v>0.6</v>
      </c>
      <c r="H73" s="12" t="n">
        <v>2705</v>
      </c>
      <c r="I73" s="12" t="n">
        <v>113</v>
      </c>
      <c r="J73" s="12" t="n">
        <v>112</v>
      </c>
      <c r="K73" s="12" t="n">
        <v>-0.0847137121652019</v>
      </c>
      <c r="L73" s="12" t="n">
        <v>0.0745015663383268</v>
      </c>
      <c r="M73" s="12" t="n">
        <v>-1.13707290099781</v>
      </c>
      <c r="N73" s="12" t="n">
        <v>6.27638021669759</v>
      </c>
      <c r="O73" s="12" t="n">
        <v>0.297048275837482</v>
      </c>
      <c r="P73" s="12" t="n">
        <v>-0.265084154208504</v>
      </c>
      <c r="Q73" s="12" t="n">
        <v>0.0956567298781003</v>
      </c>
      <c r="R73" s="12"/>
      <c r="S73" s="12"/>
      <c r="T73" s="12"/>
      <c r="U73" s="12"/>
      <c r="V73" s="12"/>
      <c r="W73" s="12"/>
      <c r="X73" s="12"/>
      <c r="Y73" s="12" t="n">
        <v>0.0199289880981319</v>
      </c>
      <c r="Z73" s="12" t="n">
        <v>1.90014437585091E-009</v>
      </c>
      <c r="AA73" s="12" t="n">
        <v>0.0118498313524118</v>
      </c>
      <c r="AB73" s="12"/>
      <c r="AC73" s="12"/>
      <c r="AD73" s="12"/>
      <c r="AE73" s="12"/>
      <c r="AF73" s="12"/>
      <c r="AG73" s="12"/>
      <c r="AH73" s="13" t="b">
        <f aca="false">FALSE()</f>
        <v>0</v>
      </c>
      <c r="AI73" s="12"/>
      <c r="AJ73" s="12" t="s">
        <v>457</v>
      </c>
    </row>
    <row r="74" customFormat="false" ht="15" hidden="false" customHeight="false" outlineLevel="0" collapsed="false">
      <c r="A74" s="12" t="s">
        <v>439</v>
      </c>
      <c r="B74" s="12" t="s">
        <v>456</v>
      </c>
      <c r="C74" s="12" t="s">
        <v>336</v>
      </c>
      <c r="D74" s="12" t="s">
        <v>450</v>
      </c>
      <c r="E74" s="12" t="s">
        <v>355</v>
      </c>
      <c r="F74" s="12" t="s">
        <v>356</v>
      </c>
      <c r="G74" s="12" t="n">
        <v>0.6</v>
      </c>
      <c r="H74" s="12" t="n">
        <v>2705</v>
      </c>
      <c r="I74" s="12" t="n">
        <v>113</v>
      </c>
      <c r="J74" s="12" t="n">
        <v>112</v>
      </c>
      <c r="K74" s="12" t="n">
        <v>-0.0215921969913804</v>
      </c>
      <c r="L74" s="12" t="n">
        <v>0.0165230533993551</v>
      </c>
      <c r="M74" s="12" t="n">
        <v>-1.30679218117295</v>
      </c>
      <c r="N74" s="12" t="n">
        <v>6.27247726272393</v>
      </c>
      <c r="O74" s="12" t="n">
        <v>0.237148397980354</v>
      </c>
      <c r="P74" s="12" t="n">
        <v>-0.0616007115095268</v>
      </c>
      <c r="Q74" s="12" t="n">
        <v>0.0184163175267659</v>
      </c>
      <c r="R74" s="12"/>
      <c r="S74" s="12"/>
      <c r="T74" s="12"/>
      <c r="U74" s="12"/>
      <c r="V74" s="12"/>
      <c r="W74" s="12"/>
      <c r="X74" s="12"/>
      <c r="Y74" s="12" t="n">
        <v>0.0199289880981319</v>
      </c>
      <c r="Z74" s="12" t="n">
        <v>1.90014437585091E-009</v>
      </c>
      <c r="AA74" s="12" t="n">
        <v>0.0118498313524118</v>
      </c>
      <c r="AB74" s="12"/>
      <c r="AC74" s="12"/>
      <c r="AD74" s="12"/>
      <c r="AE74" s="12"/>
      <c r="AF74" s="12"/>
      <c r="AG74" s="12"/>
      <c r="AH74" s="13" t="b">
        <f aca="false">FALSE()</f>
        <v>0</v>
      </c>
      <c r="AI74" s="12"/>
      <c r="AJ74" s="12" t="s">
        <v>457</v>
      </c>
    </row>
    <row r="75" customFormat="false" ht="15" hidden="false" customHeight="false" outlineLevel="0" collapsed="false">
      <c r="A75" s="12" t="s">
        <v>439</v>
      </c>
      <c r="B75" s="12" t="s">
        <v>456</v>
      </c>
      <c r="C75" s="12" t="s">
        <v>336</v>
      </c>
      <c r="D75" s="12" t="s">
        <v>451</v>
      </c>
      <c r="E75" s="12" t="s">
        <v>355</v>
      </c>
      <c r="F75" s="12" t="s">
        <v>356</v>
      </c>
      <c r="G75" s="12" t="n">
        <v>0.6</v>
      </c>
      <c r="H75" s="12" t="n">
        <v>2705</v>
      </c>
      <c r="I75" s="12" t="n">
        <v>113</v>
      </c>
      <c r="J75" s="12" t="n">
        <v>112</v>
      </c>
      <c r="K75" s="12" t="n">
        <v>-0.0128464625442249</v>
      </c>
      <c r="L75" s="12" t="n">
        <v>0.0151125035803596</v>
      </c>
      <c r="M75" s="12" t="n">
        <v>-0.850055219237156</v>
      </c>
      <c r="N75" s="12" t="n">
        <v>8.44728364119635</v>
      </c>
      <c r="O75" s="12" t="n">
        <v>0.418734711393203</v>
      </c>
      <c r="P75" s="12" t="n">
        <v>-0.0473773599878084</v>
      </c>
      <c r="Q75" s="12" t="n">
        <v>0.0216844348993586</v>
      </c>
      <c r="R75" s="12"/>
      <c r="S75" s="12"/>
      <c r="T75" s="12"/>
      <c r="U75" s="12"/>
      <c r="V75" s="12"/>
      <c r="W75" s="12"/>
      <c r="X75" s="12"/>
      <c r="Y75" s="12" t="n">
        <v>0.0199289880981319</v>
      </c>
      <c r="Z75" s="12" t="n">
        <v>1.90014437585091E-009</v>
      </c>
      <c r="AA75" s="12" t="n">
        <v>0.0118498313524118</v>
      </c>
      <c r="AB75" s="12"/>
      <c r="AC75" s="12"/>
      <c r="AD75" s="12"/>
      <c r="AE75" s="12"/>
      <c r="AF75" s="12"/>
      <c r="AG75" s="12"/>
      <c r="AH75" s="13" t="b">
        <f aca="false">FALSE()</f>
        <v>0</v>
      </c>
      <c r="AI75" s="12"/>
      <c r="AJ75" s="12" t="s">
        <v>457</v>
      </c>
    </row>
    <row r="76" customFormat="false" ht="15" hidden="false" customHeight="false" outlineLevel="0" collapsed="false">
      <c r="A76" s="12" t="s">
        <v>439</v>
      </c>
      <c r="B76" s="12" t="s">
        <v>456</v>
      </c>
      <c r="C76" s="12" t="s">
        <v>336</v>
      </c>
      <c r="D76" s="12" t="s">
        <v>452</v>
      </c>
      <c r="E76" s="12" t="s">
        <v>378</v>
      </c>
      <c r="F76" s="12" t="s">
        <v>356</v>
      </c>
      <c r="G76" s="12" t="n">
        <v>0.6</v>
      </c>
      <c r="H76" s="12" t="n">
        <v>2705</v>
      </c>
      <c r="I76" s="12" t="n">
        <v>113</v>
      </c>
      <c r="J76" s="12" t="n">
        <v>112</v>
      </c>
      <c r="K76" s="12"/>
      <c r="L76" s="12"/>
      <c r="M76" s="12" t="n">
        <v>1.44673692500258</v>
      </c>
      <c r="N76" s="12" t="n">
        <v>7.18019269506883</v>
      </c>
      <c r="O76" s="12" t="n">
        <v>0.316689837029017</v>
      </c>
      <c r="P76" s="12"/>
      <c r="Q76" s="12"/>
      <c r="R76" s="12"/>
      <c r="S76" s="12"/>
      <c r="T76" s="12"/>
      <c r="U76" s="12"/>
      <c r="V76" s="12"/>
      <c r="W76" s="12"/>
      <c r="X76" s="12"/>
      <c r="Y76" s="12" t="n">
        <v>0.0199289880981319</v>
      </c>
      <c r="Z76" s="12" t="n">
        <v>1.90014437585091E-009</v>
      </c>
      <c r="AA76" s="12" t="n">
        <v>0.0118498313524118</v>
      </c>
      <c r="AB76" s="12"/>
      <c r="AC76" s="12"/>
      <c r="AD76" s="12"/>
      <c r="AE76" s="12"/>
      <c r="AF76" s="12"/>
      <c r="AG76" s="12"/>
      <c r="AH76" s="13" t="b">
        <f aca="false">FALSE()</f>
        <v>0</v>
      </c>
      <c r="AI76" s="12"/>
      <c r="AJ76" s="12" t="s">
        <v>461</v>
      </c>
    </row>
    <row r="77" customFormat="false" ht="15" hidden="false" customHeight="false" outlineLevel="0" collapsed="false">
      <c r="A77" s="12" t="s">
        <v>462</v>
      </c>
      <c r="B77" s="12" t="s">
        <v>463</v>
      </c>
      <c r="C77" s="12" t="s">
        <v>336</v>
      </c>
      <c r="D77" s="12" t="s">
        <v>286</v>
      </c>
      <c r="E77" s="12" t="s">
        <v>464</v>
      </c>
      <c r="F77" s="12" t="s">
        <v>465</v>
      </c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 t="n">
        <v>-0.014745523329622</v>
      </c>
      <c r="AH77" s="13" t="b">
        <f aca="false">FALSE()</f>
        <v>0</v>
      </c>
      <c r="AI77" s="12"/>
      <c r="AJ77" s="12" t="s">
        <v>466</v>
      </c>
    </row>
    <row r="78" customFormat="false" ht="15" hidden="false" customHeight="false" outlineLevel="0" collapsed="false">
      <c r="A78" s="12" t="s">
        <v>462</v>
      </c>
      <c r="B78" s="12" t="s">
        <v>463</v>
      </c>
      <c r="C78" s="12" t="s">
        <v>336</v>
      </c>
      <c r="D78" s="12" t="s">
        <v>287</v>
      </c>
      <c r="E78" s="12" t="s">
        <v>464</v>
      </c>
      <c r="F78" s="12" t="s">
        <v>465</v>
      </c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 t="n">
        <v>0.0098149608536122</v>
      </c>
      <c r="AH78" s="13" t="b">
        <f aca="false">FALSE()</f>
        <v>0</v>
      </c>
      <c r="AI78" s="12"/>
      <c r="AJ78" s="12" t="s">
        <v>466</v>
      </c>
    </row>
    <row r="79" customFormat="false" ht="15" hidden="false" customHeight="false" outlineLevel="0" collapsed="false">
      <c r="A79" s="12" t="s">
        <v>462</v>
      </c>
      <c r="B79" s="12" t="s">
        <v>463</v>
      </c>
      <c r="C79" s="12" t="s">
        <v>336</v>
      </c>
      <c r="D79" s="12" t="s">
        <v>288</v>
      </c>
      <c r="E79" s="12" t="s">
        <v>355</v>
      </c>
      <c r="F79" s="12" t="s">
        <v>465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 t="n">
        <v>0.0124309311321839</v>
      </c>
      <c r="AH79" s="13" t="b">
        <f aca="false">TRUE()</f>
        <v>1</v>
      </c>
      <c r="AI79" s="12" t="s">
        <v>467</v>
      </c>
      <c r="AJ79" s="12" t="s">
        <v>468</v>
      </c>
    </row>
    <row r="80" customFormat="false" ht="15" hidden="false" customHeight="false" outlineLevel="0" collapsed="false">
      <c r="A80" s="12" t="s">
        <v>462</v>
      </c>
      <c r="B80" s="12" t="s">
        <v>463</v>
      </c>
      <c r="C80" s="12" t="s">
        <v>336</v>
      </c>
      <c r="D80" s="12" t="s">
        <v>289</v>
      </c>
      <c r="E80" s="12" t="s">
        <v>469</v>
      </c>
      <c r="F80" s="12" t="s">
        <v>465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 t="n">
        <v>9.28412682658016</v>
      </c>
      <c r="AH80" s="13" t="b">
        <f aca="false">FALSE()</f>
        <v>0</v>
      </c>
      <c r="AI80" s="12"/>
      <c r="AJ80" s="12" t="s">
        <v>470</v>
      </c>
    </row>
    <row r="81" customFormat="false" ht="15" hidden="false" customHeight="false" outlineLevel="0" collapsed="false">
      <c r="A81" s="12" t="s">
        <v>462</v>
      </c>
      <c r="B81" s="12" t="s">
        <v>471</v>
      </c>
      <c r="C81" s="12" t="s">
        <v>336</v>
      </c>
      <c r="D81" s="12" t="s">
        <v>290</v>
      </c>
      <c r="E81" s="12" t="s">
        <v>472</v>
      </c>
      <c r="F81" s="12" t="s">
        <v>473</v>
      </c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 t="n">
        <v>1.18798302132066</v>
      </c>
      <c r="AH81" s="13" t="b">
        <f aca="false">FALSE()</f>
        <v>0</v>
      </c>
      <c r="AI81" s="12"/>
      <c r="AJ81" s="12" t="s">
        <v>474</v>
      </c>
    </row>
    <row r="82" customFormat="false" ht="15" hidden="false" customHeight="false" outlineLevel="0" collapsed="false">
      <c r="A82" s="12" t="s">
        <v>462</v>
      </c>
      <c r="B82" s="12" t="s">
        <v>471</v>
      </c>
      <c r="C82" s="12" t="s">
        <v>336</v>
      </c>
      <c r="D82" s="12" t="s">
        <v>291</v>
      </c>
      <c r="E82" s="12" t="s">
        <v>472</v>
      </c>
      <c r="F82" s="12" t="s">
        <v>473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 t="n">
        <v>1.43135786514981</v>
      </c>
      <c r="AH82" s="13" t="b">
        <f aca="false">FALSE()</f>
        <v>0</v>
      </c>
      <c r="AI82" s="12"/>
      <c r="AJ82" s="12" t="s">
        <v>475</v>
      </c>
    </row>
    <row r="83" customFormat="false" ht="15" hidden="false" customHeight="false" outlineLevel="0" collapsed="false">
      <c r="A83" s="12" t="s">
        <v>462</v>
      </c>
      <c r="B83" s="12" t="s">
        <v>471</v>
      </c>
      <c r="C83" s="12" t="s">
        <v>336</v>
      </c>
      <c r="D83" s="12" t="s">
        <v>292</v>
      </c>
      <c r="E83" s="12" t="s">
        <v>472</v>
      </c>
      <c r="F83" s="12" t="s">
        <v>473</v>
      </c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 t="n">
        <v>1.41864886689984</v>
      </c>
      <c r="AH83" s="13" t="b">
        <f aca="false">TRUE()</f>
        <v>1</v>
      </c>
      <c r="AI83" s="12" t="s">
        <v>476</v>
      </c>
      <c r="AJ83" s="12" t="s">
        <v>477</v>
      </c>
    </row>
    <row r="84" customFormat="false" ht="15" hidden="false" customHeight="false" outlineLevel="0" collapsed="false">
      <c r="A84" s="12" t="s">
        <v>462</v>
      </c>
      <c r="B84" s="12" t="s">
        <v>471</v>
      </c>
      <c r="C84" s="12" t="s">
        <v>336</v>
      </c>
      <c r="D84" s="12" t="s">
        <v>293</v>
      </c>
      <c r="E84" s="12" t="s">
        <v>472</v>
      </c>
      <c r="F84" s="12" t="s">
        <v>473</v>
      </c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 t="n">
        <v>1.52965445717267</v>
      </c>
      <c r="AH84" s="13" t="b">
        <f aca="false">FALSE()</f>
        <v>0</v>
      </c>
      <c r="AI84" s="12"/>
      <c r="AJ84" s="12" t="s">
        <v>478</v>
      </c>
    </row>
  </sheetData>
  <autoFilter ref="A1:AJ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4" min="3" style="0" width="20"/>
    <col collapsed="false" customWidth="true" hidden="false" outlineLevel="0" max="5" min="5" style="0" width="110"/>
  </cols>
  <sheetData>
    <row r="1" customFormat="false" ht="15" hidden="false" customHeight="false" outlineLevel="0" collapsed="false">
      <c r="A1" s="1" t="s">
        <v>479</v>
      </c>
    </row>
    <row r="2" customFormat="false" ht="15" hidden="false" customHeight="false" outlineLevel="0" collapsed="false">
      <c r="A2" s="2" t="s">
        <v>480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332</v>
      </c>
      <c r="B5" s="3" t="s">
        <v>481</v>
      </c>
      <c r="C5" s="3" t="s">
        <v>304</v>
      </c>
      <c r="D5" s="3" t="s">
        <v>306</v>
      </c>
      <c r="E5" s="3" t="s">
        <v>482</v>
      </c>
    </row>
    <row r="6" customFormat="false" ht="15" hidden="false" customHeight="false" outlineLevel="0" collapsed="false">
      <c r="A6" s="2" t="s">
        <v>360</v>
      </c>
      <c r="B6" s="2" t="s">
        <v>353</v>
      </c>
      <c r="C6" s="2" t="s">
        <v>354</v>
      </c>
      <c r="D6" s="2" t="s">
        <v>359</v>
      </c>
      <c r="E6" s="4" t="str">
        <f aca="false">"z = "&amp;TEXT(Results_Long!K15,"+0.0000;-0.0000")&amp;" (SE "&amp;TEXT(Results_Long!L15,"0.0000")&amp;"), 95% CI ["&amp;TEXT(Results_Long!P15,"+0.0000;-0.0000")&amp;"; "&amp;TEXT(Results_Long!Q15,"+0.0000;-0.0000")&amp;"], df = "&amp;TEXT(Results_Long!N15,"0.0")&amp;", p = "&amp;IF(Results_Long!O15&lt;0.0001,"&lt; 0.0001",TEXT(Results_Long!O15,"0.000"))</f>
        <v>z = +0.0518 (SE 0.0461), 95% CI [-0.0428; +0.1464], df = 27.6, p = 0.271</v>
      </c>
    </row>
    <row r="7" customFormat="false" ht="15" hidden="false" customHeight="false" outlineLevel="0" collapsed="false">
      <c r="A7" s="2" t="s">
        <v>369</v>
      </c>
      <c r="B7" s="2" t="s">
        <v>353</v>
      </c>
      <c r="C7" s="2" t="s">
        <v>354</v>
      </c>
      <c r="D7" s="2" t="s">
        <v>368</v>
      </c>
      <c r="E7" s="4" t="str">
        <f aca="false">"z = "&amp;TEXT(Results_Long!K19,"+0.0000;-0.0000")&amp;" (SE "&amp;TEXT(Results_Long!L19,"0.0000")&amp;"), 95% CI ["&amp;TEXT(Results_Long!P19,"+0.0000;-0.0000")&amp;"; "&amp;TEXT(Results_Long!Q19,"+0.0000;-0.0000")&amp;"], df = "&amp;TEXT(Results_Long!N19,"0.0")&amp;", p = "&amp;IF(Results_Long!O19&lt;0.0001,"&lt; 0.0001",TEXT(Results_Long!O19,"0.000"))</f>
        <v>z = +0.0311 (SE 0.0277), 95% CI [-0.0257; +0.0878], df = 27.6, p = 0.271</v>
      </c>
    </row>
    <row r="8" customFormat="false" ht="15" hidden="false" customHeight="false" outlineLevel="0" collapsed="false">
      <c r="A8" s="2" t="s">
        <v>389</v>
      </c>
      <c r="B8" s="2" t="s">
        <v>380</v>
      </c>
      <c r="C8" s="2" t="s">
        <v>387</v>
      </c>
      <c r="D8" s="2" t="s">
        <v>358</v>
      </c>
      <c r="E8" s="4" t="str">
        <f aca="false">"z = "&amp;TEXT(Results_Long!K31,"+0.0000;-0.0000")&amp;" (SE "&amp;TEXT(Results_Long!L31,"0.0000")&amp;"), 95% CI ["&amp;TEXT(Results_Long!P31,"+0.0000;-0.0000")&amp;"; "&amp;TEXT(Results_Long!Q31,"+0.0000;-0.0000")&amp;"], df = "&amp;TEXT(Results_Long!N31,"0.0")&amp;", p = "&amp;IF(Results_Long!O31&lt;0.0001,"&lt; 0.0001",TEXT(Results_Long!O31,"0.000"))</f>
        <v>z = -0.0024 (SE 0.0015), 95% CI [-0.0055; +0.0006], df = 18.9, p = 0.113</v>
      </c>
    </row>
    <row r="9" customFormat="false" ht="15" hidden="false" customHeight="false" outlineLevel="0" collapsed="false">
      <c r="A9" s="2" t="s">
        <v>390</v>
      </c>
      <c r="B9" s="2" t="s">
        <v>380</v>
      </c>
      <c r="C9" s="2" t="s">
        <v>387</v>
      </c>
      <c r="D9" s="2" t="s">
        <v>385</v>
      </c>
      <c r="E9" s="4" t="str">
        <f aca="false">"z = "&amp;TEXT(Results_Long!K32,"+0.0000;-0.0000")&amp;" (SE "&amp;TEXT(Results_Long!L32,"0.0000")&amp;"), 95% CI ["&amp;TEXT(Results_Long!P32,"+0.0000;-0.0000")&amp;"; "&amp;TEXT(Results_Long!Q32,"+0.0000;-0.0000")&amp;"], df = "&amp;TEXT(Results_Long!N32,"0.0")&amp;", p = "&amp;IF(Results_Long!O32&lt;0.0001,"&lt; 0.0001",TEXT(Results_Long!O32,"0.000"))</f>
        <v>z = +0.0264 (SE 0.0251), 95% CI [-0.0262; +0.0791], df = 18.8, p = 0.306</v>
      </c>
    </row>
    <row r="10" customFormat="false" ht="15" hidden="false" customHeight="false" outlineLevel="0" collapsed="false">
      <c r="A10" s="2" t="s">
        <v>427</v>
      </c>
      <c r="B10" s="2" t="s">
        <v>380</v>
      </c>
      <c r="C10" s="2" t="s">
        <v>424</v>
      </c>
      <c r="D10" s="2" t="s">
        <v>425</v>
      </c>
      <c r="E10" s="4" t="str">
        <f aca="false">"rank of |2016 break| among 9 cutoffs = "&amp;TEXT(Results_Long!AG49,"0")</f>
        <v>rank of |2016 break| among 9 cutoffs = 7</v>
      </c>
    </row>
    <row r="11" customFormat="false" ht="15" hidden="false" customHeight="false" outlineLevel="0" collapsed="false">
      <c r="A11" s="2" t="s">
        <v>435</v>
      </c>
      <c r="B11" s="2" t="s">
        <v>380</v>
      </c>
      <c r="C11" s="2" t="s">
        <v>429</v>
      </c>
      <c r="D11" s="2" t="s">
        <v>434</v>
      </c>
      <c r="E11" s="4" t="str">
        <f aca="false">"z = "&amp;TEXT(Results_Long!K52,"+0.0000;-0.0000")&amp;" (SE "&amp;TEXT(Results_Long!L52,"0.0000")&amp;"), 95% CI ["&amp;TEXT(Results_Long!P52,"+0.0000;-0.0000")&amp;"; "&amp;TEXT(Results_Long!Q52,"+0.0000;-0.0000")&amp;"], df = "&amp;TEXT(Results_Long!N52,"0.0")&amp;", p = "&amp;IF(Results_Long!O52&lt;0.0001,"&lt; 0.0001",TEXT(Results_Long!O52,"0.000"))</f>
        <v>z = +0.0283 (SE 0.0238), 95% CI [-0.0243; +0.0808], df = 10.5, p = 0.260</v>
      </c>
    </row>
    <row r="12" customFormat="false" ht="15" hidden="false" customHeight="false" outlineLevel="0" collapsed="false">
      <c r="A12" s="2" t="s">
        <v>442</v>
      </c>
      <c r="B12" s="2" t="s">
        <v>439</v>
      </c>
      <c r="C12" s="2" t="s">
        <v>440</v>
      </c>
      <c r="D12" s="2" t="s">
        <v>385</v>
      </c>
      <c r="E12" s="4" t="str">
        <f aca="false">"z = "&amp;TEXT(Results_Long!K56,"+0.0000;-0.0000")&amp;" (SE "&amp;TEXT(Results_Long!L56,"0.0000")&amp;"), 95% CI ["&amp;TEXT(Results_Long!P56,"+0.0000;-0.0000")&amp;"; "&amp;TEXT(Results_Long!Q56,"+0.0000;-0.0000")&amp;"], df = "&amp;TEXT(Results_Long!N56,"0.0")&amp;", p = "&amp;IF(Results_Long!O56&lt;0.0001,"&lt; 0.0001",TEXT(Results_Long!O56,"0.000"))</f>
        <v>z = +0.0125 (SE 0.0173), 95% CI [-0.0247; +0.0496], df = 14.2, p = 0.484</v>
      </c>
    </row>
    <row r="13" customFormat="false" ht="15" hidden="false" customHeight="false" outlineLevel="0" collapsed="false">
      <c r="A13" s="2" t="s">
        <v>458</v>
      </c>
      <c r="B13" s="2" t="s">
        <v>439</v>
      </c>
      <c r="C13" s="2" t="s">
        <v>456</v>
      </c>
      <c r="D13" s="2" t="s">
        <v>385</v>
      </c>
      <c r="E13" s="4" t="str">
        <f aca="false">"z = "&amp;TEXT(Results_Long!K68,"+0.0000;-0.0000")&amp;" (SE "&amp;TEXT(Results_Long!L68,"0.0000")&amp;"), 95% CI ["&amp;TEXT(Results_Long!P68,"+0.0000;-0.0000")&amp;"; "&amp;TEXT(Results_Long!Q68,"+0.0000;-0.0000")&amp;"], df = "&amp;TEXT(Results_Long!N68,"0.0")&amp;", p = "&amp;IF(Results_Long!O68&lt;0.0001,"&lt; 0.0001",TEXT(Results_Long!O68,"0.000"))</f>
        <v>z = +0.0139 (SE 0.0183), 95% CI [-0.0244; +0.0522], df = 19.2, p = 0.456</v>
      </c>
    </row>
    <row r="14" customFormat="false" ht="15" hidden="false" customHeight="false" outlineLevel="0" collapsed="false">
      <c r="A14" s="2" t="s">
        <v>467</v>
      </c>
      <c r="B14" s="2" t="s">
        <v>462</v>
      </c>
      <c r="C14" s="2" t="s">
        <v>463</v>
      </c>
      <c r="D14" s="2" t="s">
        <v>288</v>
      </c>
      <c r="E14" s="4" t="str">
        <f aca="false">"oster_beta_star = "&amp;TEXT(Results_Long!AG79,"+0.0000;-0.0000")</f>
        <v>oster_beta_star = +0.0124</v>
      </c>
    </row>
    <row r="15" customFormat="false" ht="15" hidden="false" customHeight="false" outlineLevel="0" collapsed="false">
      <c r="A15" s="2" t="s">
        <v>476</v>
      </c>
      <c r="B15" s="2" t="s">
        <v>462</v>
      </c>
      <c r="C15" s="2" t="s">
        <v>471</v>
      </c>
      <c r="D15" s="2" t="s">
        <v>292</v>
      </c>
      <c r="E15" s="4" t="str">
        <f aca="false">"evalue_mask_005 = "&amp;TEXT(Results_Long!AG83,"+0.0000;-0.0000")</f>
        <v>evalue_mask_005 = +1.4186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20"/>
    <col collapsed="false" customWidth="true" hidden="false" outlineLevel="0" max="5" min="5" style="0" width="34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1" t="s">
        <v>483</v>
      </c>
    </row>
    <row r="2" customFormat="false" ht="15" hidden="false" customHeight="false" outlineLevel="0" collapsed="false">
      <c r="A2" s="2" t="s">
        <v>484</v>
      </c>
    </row>
    <row r="3" customFormat="false" ht="15" hidden="false" customHeight="false" outlineLevel="0" collapsed="false">
      <c r="A3" s="2" t="s">
        <v>485</v>
      </c>
    </row>
    <row r="5" customFormat="false" ht="15" hidden="false" customHeight="false" outlineLevel="0" collapsed="false">
      <c r="A5" s="3" t="s">
        <v>486</v>
      </c>
      <c r="B5" s="3" t="s">
        <v>487</v>
      </c>
      <c r="C5" s="3" t="s">
        <v>488</v>
      </c>
      <c r="D5" s="3" t="s">
        <v>489</v>
      </c>
      <c r="E5" s="3" t="s">
        <v>490</v>
      </c>
      <c r="F5" s="3" t="s">
        <v>491</v>
      </c>
    </row>
    <row r="6" customFormat="false" ht="46.25" hidden="false" customHeight="false" outlineLevel="0" collapsed="false">
      <c r="A6" s="2" t="s">
        <v>492</v>
      </c>
      <c r="B6" s="2" t="s">
        <v>493</v>
      </c>
      <c r="C6" s="14" t="s">
        <v>494</v>
      </c>
      <c r="D6" s="4" t="s">
        <v>495</v>
      </c>
      <c r="E6" s="4" t="s">
        <v>496</v>
      </c>
      <c r="F6" s="4" t="s">
        <v>497</v>
      </c>
    </row>
    <row r="7" customFormat="false" ht="23.85" hidden="false" customHeight="false" outlineLevel="0" collapsed="false">
      <c r="A7" s="2" t="s">
        <v>498</v>
      </c>
      <c r="B7" s="2" t="s">
        <v>499</v>
      </c>
      <c r="C7" s="14" t="s">
        <v>494</v>
      </c>
      <c r="D7" s="4" t="s">
        <v>500</v>
      </c>
      <c r="E7" s="4" t="s">
        <v>501</v>
      </c>
      <c r="F7" s="4" t="s">
        <v>502</v>
      </c>
    </row>
    <row r="8" customFormat="false" ht="23.85" hidden="false" customHeight="false" outlineLevel="0" collapsed="false">
      <c r="A8" s="2" t="s">
        <v>503</v>
      </c>
      <c r="B8" s="2" t="s">
        <v>504</v>
      </c>
      <c r="C8" s="14" t="s">
        <v>494</v>
      </c>
      <c r="D8" s="4" t="s">
        <v>505</v>
      </c>
      <c r="E8" s="4" t="s">
        <v>506</v>
      </c>
      <c r="F8" s="4" t="s">
        <v>507</v>
      </c>
    </row>
    <row r="9" customFormat="false" ht="23.85" hidden="false" customHeight="false" outlineLevel="0" collapsed="false">
      <c r="A9" s="2" t="s">
        <v>508</v>
      </c>
      <c r="B9" s="2" t="s">
        <v>509</v>
      </c>
      <c r="C9" s="14" t="s">
        <v>494</v>
      </c>
      <c r="D9" s="4" t="s">
        <v>510</v>
      </c>
      <c r="E9" s="4" t="s">
        <v>511</v>
      </c>
      <c r="F9" s="4" t="s">
        <v>512</v>
      </c>
    </row>
    <row r="10" customFormat="false" ht="35.05" hidden="false" customHeight="false" outlineLevel="0" collapsed="false">
      <c r="A10" s="2" t="s">
        <v>513</v>
      </c>
      <c r="B10" s="2" t="s">
        <v>514</v>
      </c>
      <c r="C10" s="14" t="s">
        <v>494</v>
      </c>
      <c r="D10" s="4" t="s">
        <v>515</v>
      </c>
      <c r="E10" s="4" t="s">
        <v>516</v>
      </c>
      <c r="F10" s="4" t="s">
        <v>517</v>
      </c>
    </row>
    <row r="11" customFormat="false" ht="35.05" hidden="false" customHeight="false" outlineLevel="0" collapsed="false">
      <c r="A11" s="2" t="s">
        <v>518</v>
      </c>
      <c r="B11" s="2" t="s">
        <v>519</v>
      </c>
      <c r="C11" s="14" t="s">
        <v>494</v>
      </c>
      <c r="D11" s="4" t="s">
        <v>520</v>
      </c>
      <c r="E11" s="4" t="s">
        <v>521</v>
      </c>
      <c r="F11" s="4" t="s">
        <v>522</v>
      </c>
    </row>
    <row r="12" customFormat="false" ht="35.05" hidden="false" customHeight="false" outlineLevel="0" collapsed="false">
      <c r="A12" s="2" t="s">
        <v>523</v>
      </c>
      <c r="B12" s="2" t="s">
        <v>524</v>
      </c>
      <c r="C12" s="14" t="s">
        <v>494</v>
      </c>
      <c r="D12" s="4" t="s">
        <v>525</v>
      </c>
      <c r="E12" s="4" t="s">
        <v>526</v>
      </c>
      <c r="F12" s="4" t="s">
        <v>527</v>
      </c>
    </row>
    <row r="13" customFormat="false" ht="35.05" hidden="false" customHeight="false" outlineLevel="0" collapsed="false">
      <c r="A13" s="2" t="s">
        <v>528</v>
      </c>
      <c r="B13" s="2" t="s">
        <v>529</v>
      </c>
      <c r="C13" s="14" t="s">
        <v>494</v>
      </c>
      <c r="D13" s="4" t="s">
        <v>530</v>
      </c>
      <c r="E13" s="4" t="s">
        <v>531</v>
      </c>
      <c r="F13" s="4" t="s">
        <v>532</v>
      </c>
    </row>
    <row r="14" customFormat="false" ht="35.05" hidden="false" customHeight="false" outlineLevel="0" collapsed="false">
      <c r="A14" s="2" t="s">
        <v>533</v>
      </c>
      <c r="B14" s="2" t="s">
        <v>534</v>
      </c>
      <c r="C14" s="15" t="s">
        <v>535</v>
      </c>
      <c r="D14" s="4" t="s">
        <v>536</v>
      </c>
      <c r="E14" s="4" t="s">
        <v>537</v>
      </c>
      <c r="F14" s="4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2026-07-15T20:12:12Z</dcterms:created>
  <dc:creator>openpyxl</dc:creator>
  <dc:description/>
  <dc:language>en-US</dc:language>
  <cp:lastModifiedBy/>
  <dcterms:modified xsi:type="dcterms:W3CDTF">2026-07-15T20:12:25Z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