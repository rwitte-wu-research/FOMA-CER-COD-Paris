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_Projects\FOMA-CER-COD-Paris\output\"/>
    </mc:Choice>
  </mc:AlternateContent>
  <xr:revisionPtr revIDLastSave="0" documentId="11_296EECFE1E574DEC831171281139667AA3633251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_README" sheetId="1" r:id="rId1"/>
    <sheet name="2_Methodology" sheetId="2" r:id="rId2"/>
    <sheet name="3_Interpretation_Guide" sheetId="3" r:id="rId3"/>
    <sheet name="4_Formula_Reference" sheetId="4" r:id="rId4"/>
    <sheet name="5_Data_Provenance" sheetId="5" r:id="rId5"/>
    <sheet name="6_Moderation_Overview" sheetId="6" r:id="rId6"/>
    <sheet name="7_Featured_Panels" sheetId="7" r:id="rId7"/>
    <sheet name="8_Other_Panels" sheetId="8" r:id="rId8"/>
    <sheet name="9_C9_Unified" sheetId="9" r:id="rId9"/>
    <sheet name="10_Guards_Sensitivity" sheetId="10" r:id="rId10"/>
    <sheet name="Results_Long" sheetId="11" r:id="rId11"/>
    <sheet name="Manuscript_Inputs" sheetId="12" r:id="rId12"/>
    <sheet name="Manuscript_Text_Blocks" sheetId="13" r:id="rId13"/>
  </sheets>
  <definedNames>
    <definedName name="_xlnm._FilterDatabase" localSheetId="10" hidden="1">Results_Long!$A$1:$AK$201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2" l="1"/>
  <c r="D15" i="12"/>
  <c r="B15" i="12"/>
  <c r="A15" i="12"/>
  <c r="D14" i="12"/>
  <c r="B14" i="12"/>
  <c r="A14" i="12"/>
  <c r="E13" i="12"/>
  <c r="D13" i="12"/>
  <c r="B13" i="12"/>
  <c r="A13" i="12"/>
  <c r="E12" i="12"/>
  <c r="D12" i="12"/>
  <c r="B12" i="12"/>
  <c r="A12" i="12"/>
  <c r="E11" i="12"/>
  <c r="D11" i="12"/>
  <c r="B11" i="12"/>
  <c r="A11" i="12"/>
  <c r="E10" i="12"/>
  <c r="D10" i="12"/>
  <c r="B10" i="12"/>
  <c r="A10" i="12"/>
  <c r="E9" i="12"/>
  <c r="D9" i="12"/>
  <c r="B9" i="12"/>
  <c r="A9" i="12"/>
  <c r="E8" i="12"/>
  <c r="D8" i="12"/>
  <c r="B8" i="12"/>
  <c r="A8" i="12"/>
  <c r="E7" i="12"/>
  <c r="D7" i="12"/>
  <c r="B7" i="12"/>
  <c r="A7" i="12"/>
  <c r="E6" i="12"/>
  <c r="D6" i="12"/>
  <c r="B6" i="12"/>
  <c r="A6" i="12"/>
  <c r="E41" i="10"/>
  <c r="D41" i="10"/>
  <c r="C41" i="10"/>
  <c r="B41" i="10"/>
  <c r="E40" i="10"/>
  <c r="D40" i="10"/>
  <c r="C40" i="10"/>
  <c r="B40" i="10"/>
  <c r="E39" i="10"/>
  <c r="D39" i="10"/>
  <c r="C39" i="10"/>
  <c r="B39" i="10"/>
  <c r="D35" i="10"/>
  <c r="C35" i="10"/>
  <c r="B35" i="10"/>
  <c r="D34" i="10"/>
  <c r="C34" i="10"/>
  <c r="B34" i="10"/>
  <c r="D33" i="10"/>
  <c r="C33" i="10"/>
  <c r="B33" i="10"/>
  <c r="D32" i="10"/>
  <c r="C32" i="10"/>
  <c r="B32" i="10"/>
  <c r="D31" i="10"/>
  <c r="C31" i="10"/>
  <c r="B31" i="10"/>
  <c r="D30" i="10"/>
  <c r="C30" i="10"/>
  <c r="B30" i="10"/>
  <c r="D29" i="10"/>
  <c r="C29" i="10"/>
  <c r="B29" i="10"/>
  <c r="D28" i="10"/>
  <c r="C28" i="10"/>
  <c r="B28" i="10"/>
  <c r="J24" i="10"/>
  <c r="I24" i="10"/>
  <c r="C24" i="10"/>
  <c r="J23" i="10"/>
  <c r="I23" i="10"/>
  <c r="C23" i="10"/>
  <c r="J21" i="10"/>
  <c r="I21" i="10"/>
  <c r="H21" i="10"/>
  <c r="G21" i="10"/>
  <c r="F21" i="10"/>
  <c r="E21" i="10"/>
  <c r="D21" i="10"/>
  <c r="C21" i="10"/>
  <c r="B21" i="10"/>
  <c r="J20" i="10"/>
  <c r="I20" i="10"/>
  <c r="H20" i="10"/>
  <c r="G20" i="10"/>
  <c r="F20" i="10"/>
  <c r="E20" i="10"/>
  <c r="D20" i="10"/>
  <c r="C20" i="10"/>
  <c r="B20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78" i="9"/>
  <c r="D78" i="9"/>
  <c r="C78" i="9"/>
  <c r="B78" i="9"/>
  <c r="E77" i="9"/>
  <c r="D77" i="9"/>
  <c r="C77" i="9"/>
  <c r="B77" i="9"/>
  <c r="E76" i="9"/>
  <c r="D76" i="9"/>
  <c r="C76" i="9"/>
  <c r="B76" i="9"/>
  <c r="E75" i="9"/>
  <c r="D75" i="9"/>
  <c r="C75" i="9"/>
  <c r="B75" i="9"/>
  <c r="E74" i="9"/>
  <c r="D74" i="9"/>
  <c r="C74" i="9"/>
  <c r="B74" i="9"/>
  <c r="E73" i="9"/>
  <c r="D73" i="9"/>
  <c r="C73" i="9"/>
  <c r="B73" i="9"/>
  <c r="E72" i="9"/>
  <c r="D72" i="9"/>
  <c r="C72" i="9"/>
  <c r="B72" i="9"/>
  <c r="E71" i="9"/>
  <c r="D71" i="9"/>
  <c r="C71" i="9"/>
  <c r="B71" i="9"/>
  <c r="F69" i="9"/>
  <c r="E69" i="9"/>
  <c r="D69" i="9"/>
  <c r="C69" i="9"/>
  <c r="B69" i="9"/>
  <c r="F68" i="9"/>
  <c r="E68" i="9"/>
  <c r="D68" i="9"/>
  <c r="C68" i="9"/>
  <c r="B68" i="9"/>
  <c r="F67" i="9"/>
  <c r="E67" i="9"/>
  <c r="D67" i="9"/>
  <c r="C67" i="9"/>
  <c r="B67" i="9"/>
  <c r="F66" i="9"/>
  <c r="E66" i="9"/>
  <c r="D66" i="9"/>
  <c r="C66" i="9"/>
  <c r="B66" i="9"/>
  <c r="F65" i="9"/>
  <c r="E65" i="9"/>
  <c r="D65" i="9"/>
  <c r="C65" i="9"/>
  <c r="B65" i="9"/>
  <c r="F64" i="9"/>
  <c r="E64" i="9"/>
  <c r="D64" i="9"/>
  <c r="C64" i="9"/>
  <c r="B64" i="9"/>
  <c r="F63" i="9"/>
  <c r="E63" i="9"/>
  <c r="D63" i="9"/>
  <c r="C63" i="9"/>
  <c r="B63" i="9"/>
  <c r="F62" i="9"/>
  <c r="E62" i="9"/>
  <c r="D62" i="9"/>
  <c r="C62" i="9"/>
  <c r="B62" i="9"/>
  <c r="F61" i="9"/>
  <c r="E61" i="9"/>
  <c r="D61" i="9"/>
  <c r="C61" i="9"/>
  <c r="B61" i="9"/>
  <c r="F60" i="9"/>
  <c r="E60" i="9"/>
  <c r="D60" i="9"/>
  <c r="C60" i="9"/>
  <c r="B60" i="9"/>
  <c r="F59" i="9"/>
  <c r="E59" i="9"/>
  <c r="D59" i="9"/>
  <c r="C59" i="9"/>
  <c r="B59" i="9"/>
  <c r="F58" i="9"/>
  <c r="E58" i="9"/>
  <c r="D58" i="9"/>
  <c r="C58" i="9"/>
  <c r="B58" i="9"/>
  <c r="F57" i="9"/>
  <c r="E57" i="9"/>
  <c r="D57" i="9"/>
  <c r="C57" i="9"/>
  <c r="B57" i="9"/>
  <c r="F56" i="9"/>
  <c r="E56" i="9"/>
  <c r="D56" i="9"/>
  <c r="C56" i="9"/>
  <c r="B56" i="9"/>
  <c r="F55" i="9"/>
  <c r="E55" i="9"/>
  <c r="D55" i="9"/>
  <c r="C55" i="9"/>
  <c r="B55" i="9"/>
  <c r="F54" i="9"/>
  <c r="E54" i="9"/>
  <c r="D54" i="9"/>
  <c r="C54" i="9"/>
  <c r="B54" i="9"/>
  <c r="F53" i="9"/>
  <c r="E53" i="9"/>
  <c r="D53" i="9"/>
  <c r="C53" i="9"/>
  <c r="B53" i="9"/>
  <c r="F52" i="9"/>
  <c r="E52" i="9"/>
  <c r="D52" i="9"/>
  <c r="C52" i="9"/>
  <c r="B52" i="9"/>
  <c r="F51" i="9"/>
  <c r="E51" i="9"/>
  <c r="D51" i="9"/>
  <c r="C51" i="9"/>
  <c r="B51" i="9"/>
  <c r="F50" i="9"/>
  <c r="E50" i="9"/>
  <c r="D50" i="9"/>
  <c r="C50" i="9"/>
  <c r="B50" i="9"/>
  <c r="F49" i="9"/>
  <c r="E49" i="9"/>
  <c r="D49" i="9"/>
  <c r="C49" i="9"/>
  <c r="B49" i="9"/>
  <c r="F48" i="9"/>
  <c r="E48" i="9"/>
  <c r="D48" i="9"/>
  <c r="C48" i="9"/>
  <c r="B48" i="9"/>
  <c r="F47" i="9"/>
  <c r="E47" i="9"/>
  <c r="D47" i="9"/>
  <c r="C47" i="9"/>
  <c r="B47" i="9"/>
  <c r="F46" i="9"/>
  <c r="E46" i="9"/>
  <c r="D46" i="9"/>
  <c r="C46" i="9"/>
  <c r="B46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F37" i="9"/>
  <c r="E37" i="9"/>
  <c r="D37" i="9"/>
  <c r="C37" i="9"/>
  <c r="B37" i="9"/>
  <c r="F36" i="9"/>
  <c r="E36" i="9"/>
  <c r="D36" i="9"/>
  <c r="C36" i="9"/>
  <c r="B36" i="9"/>
  <c r="F35" i="9"/>
  <c r="E35" i="9"/>
  <c r="D35" i="9"/>
  <c r="C35" i="9"/>
  <c r="B35" i="9"/>
  <c r="F34" i="9"/>
  <c r="E34" i="9"/>
  <c r="D34" i="9"/>
  <c r="C34" i="9"/>
  <c r="B34" i="9"/>
  <c r="F33" i="9"/>
  <c r="E33" i="9"/>
  <c r="D33" i="9"/>
  <c r="C33" i="9"/>
  <c r="B33" i="9"/>
  <c r="F32" i="9"/>
  <c r="E32" i="9"/>
  <c r="D32" i="9"/>
  <c r="C32" i="9"/>
  <c r="B32" i="9"/>
  <c r="F31" i="9"/>
  <c r="E31" i="9"/>
  <c r="D31" i="9"/>
  <c r="C31" i="9"/>
  <c r="B31" i="9"/>
  <c r="F30" i="9"/>
  <c r="E30" i="9"/>
  <c r="D30" i="9"/>
  <c r="C30" i="9"/>
  <c r="B30" i="9"/>
  <c r="F29" i="9"/>
  <c r="E29" i="9"/>
  <c r="D29" i="9"/>
  <c r="C29" i="9"/>
  <c r="B29" i="9"/>
  <c r="F28" i="9"/>
  <c r="E28" i="9"/>
  <c r="D28" i="9"/>
  <c r="C28" i="9"/>
  <c r="B28" i="9"/>
  <c r="F27" i="9"/>
  <c r="E27" i="9"/>
  <c r="D27" i="9"/>
  <c r="C27" i="9"/>
  <c r="B27" i="9"/>
  <c r="F26" i="9"/>
  <c r="E26" i="9"/>
  <c r="D26" i="9"/>
  <c r="C26" i="9"/>
  <c r="B26" i="9"/>
  <c r="F25" i="9"/>
  <c r="E25" i="9"/>
  <c r="D25" i="9"/>
  <c r="C25" i="9"/>
  <c r="B25" i="9"/>
  <c r="F24" i="9"/>
  <c r="E24" i="9"/>
  <c r="D24" i="9"/>
  <c r="C24" i="9"/>
  <c r="B24" i="9"/>
  <c r="F23" i="9"/>
  <c r="E23" i="9"/>
  <c r="D23" i="9"/>
  <c r="C23" i="9"/>
  <c r="B23" i="9"/>
  <c r="F22" i="9"/>
  <c r="E22" i="9"/>
  <c r="D22" i="9"/>
  <c r="C22" i="9"/>
  <c r="B22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E66" i="8"/>
  <c r="D66" i="8"/>
  <c r="C66" i="8"/>
  <c r="B66" i="8"/>
  <c r="E65" i="8"/>
  <c r="D65" i="8"/>
  <c r="C65" i="8"/>
  <c r="B65" i="8"/>
  <c r="D63" i="8"/>
  <c r="C63" i="8"/>
  <c r="B63" i="8"/>
  <c r="G60" i="8"/>
  <c r="F60" i="8"/>
  <c r="E60" i="8"/>
  <c r="D60" i="8"/>
  <c r="C60" i="8"/>
  <c r="B60" i="8"/>
  <c r="G59" i="8"/>
  <c r="F59" i="8"/>
  <c r="E59" i="8"/>
  <c r="D59" i="8"/>
  <c r="C59" i="8"/>
  <c r="B59" i="8"/>
  <c r="G56" i="8"/>
  <c r="F56" i="8"/>
  <c r="E56" i="8"/>
  <c r="D56" i="8"/>
  <c r="C56" i="8"/>
  <c r="B56" i="8"/>
  <c r="G55" i="8"/>
  <c r="F55" i="8"/>
  <c r="E55" i="8"/>
  <c r="D55" i="8"/>
  <c r="C55" i="8"/>
  <c r="B55" i="8"/>
  <c r="E50" i="8"/>
  <c r="D50" i="8"/>
  <c r="C50" i="8"/>
  <c r="B50" i="8"/>
  <c r="E49" i="8"/>
  <c r="D49" i="8"/>
  <c r="C49" i="8"/>
  <c r="B49" i="8"/>
  <c r="D47" i="8"/>
  <c r="C47" i="8"/>
  <c r="B47" i="8"/>
  <c r="G44" i="8"/>
  <c r="F44" i="8"/>
  <c r="E44" i="8"/>
  <c r="D44" i="8"/>
  <c r="C44" i="8"/>
  <c r="B44" i="8"/>
  <c r="G43" i="8"/>
  <c r="F43" i="8"/>
  <c r="E43" i="8"/>
  <c r="D43" i="8"/>
  <c r="C43" i="8"/>
  <c r="B43" i="8"/>
  <c r="G40" i="8"/>
  <c r="F40" i="8"/>
  <c r="E40" i="8"/>
  <c r="D40" i="8"/>
  <c r="C40" i="8"/>
  <c r="B40" i="8"/>
  <c r="G39" i="8"/>
  <c r="F39" i="8"/>
  <c r="E39" i="8"/>
  <c r="D39" i="8"/>
  <c r="C39" i="8"/>
  <c r="B39" i="8"/>
  <c r="E34" i="8"/>
  <c r="D34" i="8"/>
  <c r="C34" i="8"/>
  <c r="B34" i="8"/>
  <c r="E33" i="8"/>
  <c r="D33" i="8"/>
  <c r="C33" i="8"/>
  <c r="B33" i="8"/>
  <c r="D31" i="8"/>
  <c r="C31" i="8"/>
  <c r="B31" i="8"/>
  <c r="G28" i="8"/>
  <c r="F28" i="8"/>
  <c r="E28" i="8"/>
  <c r="D28" i="8"/>
  <c r="C28" i="8"/>
  <c r="B28" i="8"/>
  <c r="G27" i="8"/>
  <c r="F27" i="8"/>
  <c r="E27" i="8"/>
  <c r="D27" i="8"/>
  <c r="C27" i="8"/>
  <c r="B27" i="8"/>
  <c r="G24" i="8"/>
  <c r="F24" i="8"/>
  <c r="E24" i="8"/>
  <c r="D24" i="8"/>
  <c r="C24" i="8"/>
  <c r="B24" i="8"/>
  <c r="G23" i="8"/>
  <c r="F23" i="8"/>
  <c r="E23" i="8"/>
  <c r="D23" i="8"/>
  <c r="C23" i="8"/>
  <c r="B23" i="8"/>
  <c r="E18" i="8"/>
  <c r="D18" i="8"/>
  <c r="C18" i="8"/>
  <c r="B18" i="8"/>
  <c r="E17" i="8"/>
  <c r="D17" i="8"/>
  <c r="C17" i="8"/>
  <c r="B17" i="8"/>
  <c r="D15" i="8"/>
  <c r="C15" i="8"/>
  <c r="B15" i="8"/>
  <c r="G12" i="8"/>
  <c r="F12" i="8"/>
  <c r="E12" i="8"/>
  <c r="D12" i="8"/>
  <c r="C12" i="8"/>
  <c r="B12" i="8"/>
  <c r="G11" i="8"/>
  <c r="F11" i="8"/>
  <c r="E11" i="8"/>
  <c r="D11" i="8"/>
  <c r="C11" i="8"/>
  <c r="B11" i="8"/>
  <c r="G8" i="8"/>
  <c r="F8" i="8"/>
  <c r="E8" i="8"/>
  <c r="D8" i="8"/>
  <c r="C8" i="8"/>
  <c r="B8" i="8"/>
  <c r="G7" i="8"/>
  <c r="F7" i="8"/>
  <c r="E7" i="8"/>
  <c r="D7" i="8"/>
  <c r="C7" i="8"/>
  <c r="B7" i="8"/>
  <c r="E79" i="7"/>
  <c r="D79" i="7"/>
  <c r="C79" i="7"/>
  <c r="B79" i="7"/>
  <c r="E78" i="7"/>
  <c r="D78" i="7"/>
  <c r="C78" i="7"/>
  <c r="B78" i="7"/>
  <c r="D76" i="7"/>
  <c r="C76" i="7"/>
  <c r="B76" i="7"/>
  <c r="D75" i="7"/>
  <c r="C75" i="7"/>
  <c r="B75" i="7"/>
  <c r="D74" i="7"/>
  <c r="C74" i="7"/>
  <c r="B74" i="7"/>
  <c r="G71" i="7"/>
  <c r="F71" i="7"/>
  <c r="E71" i="7"/>
  <c r="D71" i="7"/>
  <c r="C71" i="7"/>
  <c r="B71" i="7"/>
  <c r="G70" i="7"/>
  <c r="F70" i="7"/>
  <c r="E70" i="7"/>
  <c r="D70" i="7"/>
  <c r="C70" i="7"/>
  <c r="B70" i="7"/>
  <c r="G69" i="7"/>
  <c r="F69" i="7"/>
  <c r="E69" i="7"/>
  <c r="D69" i="7"/>
  <c r="C69" i="7"/>
  <c r="B69" i="7"/>
  <c r="G66" i="7"/>
  <c r="F66" i="7"/>
  <c r="E66" i="7"/>
  <c r="D66" i="7"/>
  <c r="C66" i="7"/>
  <c r="B66" i="7"/>
  <c r="G65" i="7"/>
  <c r="F65" i="7"/>
  <c r="E65" i="7"/>
  <c r="D65" i="7"/>
  <c r="C65" i="7"/>
  <c r="B65" i="7"/>
  <c r="G64" i="7"/>
  <c r="F64" i="7"/>
  <c r="E64" i="7"/>
  <c r="D64" i="7"/>
  <c r="C64" i="7"/>
  <c r="B64" i="7"/>
  <c r="E59" i="7"/>
  <c r="D59" i="7"/>
  <c r="C59" i="7"/>
  <c r="B59" i="7"/>
  <c r="E58" i="7"/>
  <c r="D58" i="7"/>
  <c r="C58" i="7"/>
  <c r="B58" i="7"/>
  <c r="D56" i="7"/>
  <c r="C56" i="7"/>
  <c r="B56" i="7"/>
  <c r="G53" i="7"/>
  <c r="F53" i="7"/>
  <c r="E53" i="7"/>
  <c r="D53" i="7"/>
  <c r="C53" i="7"/>
  <c r="B53" i="7"/>
  <c r="G52" i="7"/>
  <c r="F52" i="7"/>
  <c r="E52" i="7"/>
  <c r="D52" i="7"/>
  <c r="C52" i="7"/>
  <c r="B52" i="7"/>
  <c r="G49" i="7"/>
  <c r="F49" i="7"/>
  <c r="E49" i="7"/>
  <c r="D49" i="7"/>
  <c r="C49" i="7"/>
  <c r="B49" i="7"/>
  <c r="G48" i="7"/>
  <c r="F48" i="7"/>
  <c r="E48" i="7"/>
  <c r="D48" i="7"/>
  <c r="C48" i="7"/>
  <c r="B48" i="7"/>
  <c r="E43" i="7"/>
  <c r="D43" i="7"/>
  <c r="C43" i="7"/>
  <c r="B43" i="7"/>
  <c r="E42" i="7"/>
  <c r="D42" i="7"/>
  <c r="C42" i="7"/>
  <c r="B42" i="7"/>
  <c r="D40" i="7"/>
  <c r="C40" i="7"/>
  <c r="B40" i="7"/>
  <c r="D39" i="7"/>
  <c r="C39" i="7"/>
  <c r="B39" i="7"/>
  <c r="D38" i="7"/>
  <c r="C38" i="7"/>
  <c r="B38" i="7"/>
  <c r="D37" i="7"/>
  <c r="C37" i="7"/>
  <c r="B37" i="7"/>
  <c r="D36" i="7"/>
  <c r="C36" i="7"/>
  <c r="B36" i="7"/>
  <c r="D35" i="7"/>
  <c r="C35" i="7"/>
  <c r="B35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G29" i="7"/>
  <c r="F29" i="7"/>
  <c r="E29" i="7"/>
  <c r="D29" i="7"/>
  <c r="C29" i="7"/>
  <c r="B29" i="7"/>
  <c r="G26" i="7"/>
  <c r="F26" i="7"/>
  <c r="E26" i="7"/>
  <c r="D26" i="7"/>
  <c r="C26" i="7"/>
  <c r="B26" i="7"/>
  <c r="G25" i="7"/>
  <c r="F25" i="7"/>
  <c r="E25" i="7"/>
  <c r="D25" i="7"/>
  <c r="C25" i="7"/>
  <c r="B25" i="7"/>
  <c r="G24" i="7"/>
  <c r="F24" i="7"/>
  <c r="E24" i="7"/>
  <c r="D24" i="7"/>
  <c r="C24" i="7"/>
  <c r="B24" i="7"/>
  <c r="G23" i="7"/>
  <c r="F23" i="7"/>
  <c r="E23" i="7"/>
  <c r="D23" i="7"/>
  <c r="C23" i="7"/>
  <c r="B23" i="7"/>
  <c r="E18" i="7"/>
  <c r="D18" i="7"/>
  <c r="C18" i="7"/>
  <c r="B18" i="7"/>
  <c r="E17" i="7"/>
  <c r="D17" i="7"/>
  <c r="C17" i="7"/>
  <c r="B17" i="7"/>
  <c r="D15" i="7"/>
  <c r="C15" i="7"/>
  <c r="B15" i="7"/>
  <c r="G12" i="7"/>
  <c r="F12" i="7"/>
  <c r="E12" i="7"/>
  <c r="D12" i="7"/>
  <c r="C12" i="7"/>
  <c r="B12" i="7"/>
  <c r="G11" i="7"/>
  <c r="F11" i="7"/>
  <c r="E11" i="7"/>
  <c r="D11" i="7"/>
  <c r="C11" i="7"/>
  <c r="B11" i="7"/>
  <c r="G8" i="7"/>
  <c r="F8" i="7"/>
  <c r="E8" i="7"/>
  <c r="D8" i="7"/>
  <c r="C8" i="7"/>
  <c r="B8" i="7"/>
  <c r="G7" i="7"/>
  <c r="F7" i="7"/>
  <c r="E7" i="7"/>
  <c r="D7" i="7"/>
  <c r="C7" i="7"/>
  <c r="B7" i="7"/>
  <c r="D15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</calcChain>
</file>

<file path=xl/sharedStrings.xml><?xml version="1.0" encoding="utf-8"?>
<sst xmlns="http://schemas.openxmlformats.org/spreadsheetml/2006/main" count="2543" uniqueCount="938">
  <si>
    <t>FOMA CER–COD–Paris — T7 / Block C results workbook (narrative moderators C0–C9)</t>
  </si>
  <si>
    <t>Template: docs/results_workbook_template.md (binding) · one workbook per run</t>
  </si>
  <si>
    <t>Run 7 · 2026-07-29 09:30:52 · HEAD 6e7ce03 · verifier R/10_verify_outputs.R: 27/27 PASS, exit 0</t>
  </si>
  <si>
    <t>Item</t>
  </si>
  <si>
    <t>Value</t>
  </si>
  <si>
    <t>Data version</t>
  </si>
  <si>
    <t>CERCOD v12 — estimation set 2,713 ES / 115 studies / 114 clusters</t>
  </si>
  <si>
    <t>Method (one line)</t>
  </si>
  <si>
    <t>random ~1|cluster_id/study/esid; V blocks within cluster_id, rho=0.6; CR2/Satterthwaite on cluster_id [D31.1/A.2]</t>
  </si>
  <si>
    <t>Scope</t>
  </si>
  <si>
    <t>Block C: eight univariate moderator panels (M_A/M_B), M-pre guards, any-with sensitivity, unified models V1/V2, C0 background (separate file)</t>
  </si>
  <si>
    <t>Repository</t>
  </si>
  <si>
    <t>github.com/rwitte-wu-research/FOMA-CER-COD-Paris (public, main)</t>
  </si>
  <si>
    <t>Computational stack</t>
  </si>
  <si>
    <t>R 4.6.1 · metafor 5.0-1 · clubSandwich 0.7.0 · seed 20260710</t>
  </si>
  <si>
    <t>Scripts</t>
  </si>
  <si>
    <t>R/10_moderators.R + R/10_verify_outputs.R @ 6e7ce03</t>
  </si>
  <si>
    <t>Decision basis</t>
  </si>
  <si>
    <t>DEC-043 · DEC-048 · DEC-049 · DEC-049a · analysis_plan A.14; language regime per DEC-044/DEC-047</t>
  </si>
  <si>
    <t>TAB-INDEX</t>
  </si>
  <si>
    <t>1_README</t>
  </si>
  <si>
    <t>2_Methodology</t>
  </si>
  <si>
    <t>3_Interpretation_Guide</t>
  </si>
  <si>
    <t>4_Formula_Reference</t>
  </si>
  <si>
    <t>5_Data_Provenance</t>
  </si>
  <si>
    <t>6_Moderation_Overview</t>
  </si>
  <si>
    <t>7_Featured_Panels</t>
  </si>
  <si>
    <t>8_Other_Panels</t>
  </si>
  <si>
    <t>9_C9_Unified</t>
  </si>
  <si>
    <t>10_Guards_Sensitivity</t>
  </si>
  <si>
    <t>Results_Long</t>
  </si>
  <si>
    <t>Manuscript_Inputs</t>
  </si>
  <si>
    <t>Manuscript_Text_Blocks</t>
  </si>
  <si>
    <t>Methodology — constructions as implemented</t>
  </si>
  <si>
    <t>All quantities computed by R/10_moderators.R @ 6e7ce03</t>
  </si>
  <si>
    <t>Source pointers in project notation</t>
  </si>
  <si>
    <t>Quantity</t>
  </si>
  <si>
    <t>Formula / Construction</t>
  </si>
  <si>
    <t>Reference</t>
  </si>
  <si>
    <t>M_A level means</t>
  </si>
  <si>
    <t>rma.mv: zi ~ 0 + moderator (cell means, NCE excluded); CR2/Satterthwaite per level</t>
  </si>
  <si>
    <t>[DEC-048; DEC-031e]</t>
  </si>
  <si>
    <t>M_B period cells</t>
  </si>
  <si>
    <t>zi ~ 0 + cell(moderator × pp_mid_lag0), nonempty cells; domain = period ∩ classified</t>
  </si>
  <si>
    <t>[DEC-048; K1]</t>
  </si>
  <si>
    <t>Prediction interval (levels)</t>
  </si>
  <si>
    <t>b ± t(df_Satt)·sqrt(SE_CR2² + σ²_cluster + σ²_study + ω²_esid)</t>
  </si>
  <si>
    <t>[A.8 extension, DEC-048]</t>
  </si>
  <si>
    <t>Pairwise level contrasts</t>
  </si>
  <si>
    <t>c'b with CR2 var; t = sign·sqrt(F_HTZ), df = Satterthwaite denominator</t>
  </si>
  <si>
    <t>[DEC-048]</t>
  </si>
  <si>
    <t>Moderation test (per panel)</t>
  </si>
  <si>
    <t>HTZ Wald on the difference-in-differences block across levels with both period cells</t>
  </si>
  <si>
    <t>[D31.5; DEC-048]</t>
  </si>
  <si>
    <t>Multiplicity</t>
  </si>
  <si>
    <t>Unadjusted primary + one Holm line over the eight interaction-HTZ p-values</t>
  </si>
  <si>
    <t>[DEC-048 R7]</t>
  </si>
  <si>
    <t>M-pre guards (C3/C4)</t>
  </si>
  <si>
    <t>zi ~ 0 + exposure + exposure:ts_knot, ts_knot = sample_mid − 2015.5, pre domain; HTZ on slope block</t>
  </si>
  <si>
    <t>[DEC-031c]</t>
  </si>
  <si>
    <t>regulation3</t>
  </si>
  <si>
    <t>end-anchored: = regulation_sample_end; run-time gate post clusters 14/6/11</t>
  </si>
  <si>
    <t>[DEC-048 Q11a]</t>
  </si>
  <si>
    <t>Any-with sensitivity</t>
  </si>
  <si>
    <t>single C4-M_B refit under ever-treated coding; appendix, descriptive</t>
  </si>
  <si>
    <t>[DEC-048 Q11b]</t>
  </si>
  <si>
    <t>Unified V1/V2</t>
  </si>
  <si>
    <t>reference coding (refs per DEC-043); interaction blocks admitted by mechanical rule</t>
  </si>
  <si>
    <t>[DEC-043]</t>
  </si>
  <si>
    <t>Design-df rule</t>
  </si>
  <si>
    <t>synthetic-outcome FE fit (sin index; df outcome-invariant under FE/V weights); block df_denom ≥ 5 AND ≥2 post-supported levels</t>
  </si>
  <si>
    <t>[DEC-043; DEC-049a]</t>
  </si>
  <si>
    <t>Small-cell double rule</t>
  </si>
  <si>
    <t>cell &lt; 3 clusters → descriptive; contrast df_Satt &lt; 5 → no p; HTZ always reported with flag</t>
  </si>
  <si>
    <t>[DEC-048 R6; DEC-024]</t>
  </si>
  <si>
    <t>PD-degeneracy routing</t>
  </si>
  <si>
    <t>CR2 contrast/HTZ failures ("not positive definite") → not_estimable rows with condition text</t>
  </si>
  <si>
    <t>[DEC-049]</t>
  </si>
  <si>
    <t>Identity gates</t>
  </si>
  <si>
    <t>F65: A5 row by value (1e-9) + pinned aggregate refit (1e-6, df 113); verifier: 3L headline refit vs T1_results (1e-6)</t>
  </si>
  <si>
    <t>[DEC-031g; DEC-048]</t>
  </si>
  <si>
    <t>Interpretation guide</t>
  </si>
  <si>
    <t>How to read the reported quantities</t>
  </si>
  <si>
    <t>Thresholds with citations</t>
  </si>
  <si>
    <t>Meaning</t>
  </si>
  <si>
    <t>Decision rule</t>
  </si>
  <si>
    <t>Interaction HTZ p</t>
  </si>
  <si>
    <t>Does the Paris-period contrast differ across moderator levels?</t>
  </si>
  <si>
    <t>α = 0.05 unadjusted primary; Holm line disclosed [DEC-048]</t>
  </si>
  <si>
    <t>descriptive flag</t>
  </si>
  <si>
    <t>Estimate + CI + df shown; p and t suppressed</t>
  </si>
  <si>
    <t>cell &lt; 3 clusters [Battery C] or df_Satt &lt; 5 [DEC-024 echo; cf. Tipton &amp; Pustejovsky df guidance]</t>
  </si>
  <si>
    <t>not_estimable (n.e.)</t>
  </si>
  <si>
    <t>Planned quantity without support; triggering condition in the note</t>
  </si>
  <si>
    <t>[P-T5-4; DEC-049]</t>
  </si>
  <si>
    <t>PI per level</t>
  </si>
  <si>
    <t>Range for a single new study-level true effect at that level</t>
  </si>
  <si>
    <t>wider than CI by construction [A.8]</t>
  </si>
  <si>
    <t>q_planned / q_eff</t>
  </si>
  <si>
    <t>Interaction columns planned vs. carried by the fit on the CC domain</t>
  </si>
  <si>
    <t>drops disclosed per block [DEC-043/#27]</t>
  </si>
  <si>
    <t>Verdict lines</t>
  </si>
  <si>
    <t>Mechanical outcome only</t>
  </si>
  <si>
    <t>wording per the resolved gate [DEC-044/DEC-047]</t>
  </si>
  <si>
    <t>Formula reference — exact calls</t>
  </si>
  <si>
    <t>As implemented in R/10_moderators.R @ 6e7ce03</t>
  </si>
  <si>
    <t>Documented template deviation listed below</t>
  </si>
  <si>
    <t>R call / construction</t>
  </si>
  <si>
    <t>3L fit</t>
  </si>
  <si>
    <t>rma.mv(yi=zi, V=build_V, mods=X, intercept=FALSE, random=~1|cluster_id/study/esid, method="REML", sparse=TRUE, control=ladder)</t>
  </si>
  <si>
    <t>S6; DEC-031f/A.11</t>
  </si>
  <si>
    <t>CR2 vcov</t>
  </si>
  <si>
    <t>vcovCR(fit, cluster=cluster_id, type="CR2")</t>
  </si>
  <si>
    <t>clubSandwich 0.7.0</t>
  </si>
  <si>
    <t>Per-coef inference</t>
  </si>
  <si>
    <t>coef_test(fit, vcov=Vc, test="Satterthwaite") — fields beta/SE/df_Satt/p_Satt</t>
  </si>
  <si>
    <t>run_meta accessor echo</t>
  </si>
  <si>
    <t>Block tests</t>
  </si>
  <si>
    <t>Wald_test(fit, constraints=C, vcov=Vc, test="HTZ") — Fstat/df_num/df_denom/p_val</t>
  </si>
  <si>
    <t>safe_wald wrapper [DEC-049]</t>
  </si>
  <si>
    <t>F65 aggregate</t>
  </si>
  <si>
    <t>aggregate(escalc(...), cluster=cluster_id, struct="CS", rho=0.6) → rma.uni(method="REML", test="knha")</t>
  </si>
  <si>
    <t>[DEC-031g]</t>
  </si>
  <si>
    <t>Holm</t>
  </si>
  <si>
    <t>p.adjust(p_HTZ, "holm") over the finite family</t>
  </si>
  <si>
    <t>Design-df probe</t>
  </si>
  <si>
    <t>FE fit with yi = sin(1:n); df_denom harvested, F/p never read</t>
  </si>
  <si>
    <t>[DEC-049a]</t>
  </si>
  <si>
    <t>TEMPLATE DEVIATION (documented)</t>
  </si>
  <si>
    <t>Manuscript_Inputs strings are built locale-neutrally via sign/INT/frac/REPT arithmetic instead of TEXT() — robust under LC-independent recalc</t>
  </si>
  <si>
    <t>C-session pin [§4]</t>
  </si>
  <si>
    <t>Data provenance &amp; run record</t>
  </si>
  <si>
    <t>Run 7 (canonical) — seven runs total, six pre-canonical stops, all gate-caught</t>
  </si>
  <si>
    <t>ERROR_LOG #23–#28; nothing entered committed bytes</t>
  </si>
  <si>
    <t>Source</t>
  </si>
  <si>
    <t>Estimation set</t>
  </si>
  <si>
    <t>2,713 ES / 115 studies / 114 clusters; period 2,705/113/112; post 711/31/31</t>
  </si>
  <si>
    <t>dat_prep.rds; gates</t>
  </si>
  <si>
    <t>dat_prep md5</t>
  </si>
  <si>
    <t>6702ef3dc45fe0b693b13f50ebd1576b</t>
  </si>
  <si>
    <t>run_meta</t>
  </si>
  <si>
    <t>Seed / rho</t>
  </si>
  <si>
    <t>20260710 / 0.6</t>
  </si>
  <si>
    <t>FROZEN ZONE</t>
  </si>
  <si>
    <t>Run stamp</t>
  </si>
  <si>
    <t>2026-07-29 09:30:52 · elapsed 7.9 min · 24 convergence certificates (all nlminb rung 1)</t>
  </si>
  <si>
    <t>T7_run_meta.txt</t>
  </si>
  <si>
    <t>Verifier</t>
  </si>
  <si>
    <t>V01–V27 all PASS (schema parity to T8, budget 200, 4-key unique, domain pins, F65, 3L identity, single-home, C0 separation)</t>
  </si>
  <si>
    <t>R/10_verify_outputs.R</t>
  </si>
  <si>
    <t>Known warnings</t>
  </si>
  <si>
    <t>three "Redundant predictors dropped" = the exact identity pp = pp:Europe + pp:AsiaPac on the US-free V1 CC post cell (fit, hardening, design probe); mapped, disclosed</t>
  </si>
  <si>
    <t>[#27/#28]</t>
  </si>
  <si>
    <t>Hardening refits</t>
  </si>
  <si>
    <t>V1 max|Δβ| = 3.3e-08 · V2 = 5.1e-07 (&lt; 1e-5)</t>
  </si>
  <si>
    <t>[A.11]</t>
  </si>
  <si>
    <t>C0 background</t>
  </si>
  <si>
    <t>output/T7_background_C0.csv — 56 rows, background-only, absent from results (verifier check)</t>
  </si>
  <si>
    <t>[r15; K5]</t>
  </si>
  <si>
    <t>Canonical HEAD</t>
  </si>
  <si>
    <t>6e7ce03 (fix 6); canonical bytes = author machine output/</t>
  </si>
  <si>
    <t>CC report run 7</t>
  </si>
  <si>
    <t>Moderation overview — the eight pre-registered interaction tests</t>
  </si>
  <si>
    <t>HTZ Wald on the difference-in-differences block per panel [DEC-048]</t>
  </si>
  <si>
    <t>Unadjusted primary + Holm family line; flags per the small-cell double rule</t>
  </si>
  <si>
    <t>Panel</t>
  </si>
  <si>
    <t>F (HTZ)</t>
  </si>
  <si>
    <t>df</t>
  </si>
  <si>
    <t>p</t>
  </si>
  <si>
    <t>Flag</t>
  </si>
  <si>
    <t>Moderator</t>
  </si>
  <si>
    <t>C1</t>
  </si>
  <si>
    <t>CER_measure</t>
  </si>
  <si>
    <t>C2</t>
  </si>
  <si>
    <t>COD_instrument</t>
  </si>
  <si>
    <t>C3</t>
  </si>
  <si>
    <t>industry</t>
  </si>
  <si>
    <t>C4</t>
  </si>
  <si>
    <t>C5</t>
  </si>
  <si>
    <t>country_region</t>
  </si>
  <si>
    <t>C6</t>
  </si>
  <si>
    <t>country_econ</t>
  </si>
  <si>
    <t>C7</t>
  </si>
  <si>
    <t>country_culture</t>
  </si>
  <si>
    <t>C8</t>
  </si>
  <si>
    <t>country_legal</t>
  </si>
  <si>
    <t>Holm (family of 8)</t>
  </si>
  <si>
    <t>minimum Holm-adjusted p; per-panel adjusted values in the Results_Long note</t>
  </si>
  <si>
    <t>Interpretation</t>
  </si>
  <si>
    <t>No panel reaches the 0.05 level, unadjusted or Holm-adjusted; the closest value is the CER-measurement panel (see 7_Featured_Panels).</t>
  </si>
  <si>
    <t>Two tests carry the disclosed small-cell flag (C5, C8); both are reported with their own Satterthwaite df.</t>
  </si>
  <si>
    <t>Under the null-claim framing, unadjusted testing maximises the claim exposure; the Holm line is the pre-registered safeguard [DEC-048].</t>
  </si>
  <si>
    <t>Question</t>
  </si>
  <si>
    <t>Answer</t>
  </si>
  <si>
    <t>Why report unadjusted p-values as primary?</t>
  </si>
  <si>
    <t>Any chance rejection works against the null claim; unadjusted testing is therefore the stricter presentation, with the Holm family line disclosed alongside [DEC-048 R7].</t>
  </si>
  <si>
    <t>Why are two tests flagged?</t>
  </si>
  <si>
    <t>Their difference-in-differences blocks touch a period cell with fewer than three clusters (US x post; common-law x post); HTZ tests are always reported with the flag naming the cell [R6].</t>
  </si>
  <si>
    <t>Where are the underlying cells?</t>
  </si>
  <si>
    <t>Per-panel tables in 7_Featured_Panels / 8_Other_Panels; every quantity is formula-linked to Results_Long.</t>
  </si>
  <si>
    <t>Mechanical outcome: none of the eight pre-registered panel interaction tests is significant at the 0.05 level, unadjusted or Holm-adjusted; wording per the resolved gate [DEC-044/DEC-047].</t>
  </si>
  <si>
    <t>Featured panels — CER measure, debt instrument, carbon regulation, region</t>
  </si>
  <si>
    <t>Featured set == V1 moderator set [DEC-043; R1]</t>
  </si>
  <si>
    <t>All cells formula-linked to Results_Long</t>
  </si>
  <si>
    <t>C1 — CER_measure</t>
  </si>
  <si>
    <t>Level (M_A)</t>
  </si>
  <si>
    <t>r</t>
  </si>
  <si>
    <t>CI_r low</t>
  </si>
  <si>
    <t>CI_r high</t>
  </si>
  <si>
    <t>PI_r low</t>
  </si>
  <si>
    <t>PI_r high</t>
  </si>
  <si>
    <t>performance</t>
  </si>
  <si>
    <t>disclosure</t>
  </si>
  <si>
    <t>Paris shift (M_B)</t>
  </si>
  <si>
    <t>dz (post-pre)</t>
  </si>
  <si>
    <t>CI_z low</t>
  </si>
  <si>
    <t>CI_z high</t>
  </si>
  <si>
    <t>status</t>
  </si>
  <si>
    <t>Level contrasts (M_A)</t>
  </si>
  <si>
    <t>dz</t>
  </si>
  <si>
    <t>performance vs disclosure</t>
  </si>
  <si>
    <t>Levels equal (HTZ)</t>
  </si>
  <si>
    <t>Moderation test (interaction HTZ)</t>
  </si>
  <si>
    <t>C2 — COD_instrument</t>
  </si>
  <si>
    <t>loan (interest rate)</t>
  </si>
  <si>
    <t>bond (yield)</t>
  </si>
  <si>
    <t>rating</t>
  </si>
  <si>
    <t>derivativ (CDS spread)</t>
  </si>
  <si>
    <t>loan (interest rate) vs bond (yield)</t>
  </si>
  <si>
    <t>loan (interest rate) vs rating</t>
  </si>
  <si>
    <t>loan (interest rate) vs derivativ (CDS spread)</t>
  </si>
  <si>
    <t>bond (yield) vs rating</t>
  </si>
  <si>
    <t>bond (yield) vs derivativ (CDS spread)</t>
  </si>
  <si>
    <t>rating vs derivativ (CDS spread)</t>
  </si>
  <si>
    <t>C4 — regulation3</t>
  </si>
  <si>
    <t>without ETS/CT</t>
  </si>
  <si>
    <t>with ETS/CT</t>
  </si>
  <si>
    <t>without ETS/CT vs with ETS/CT</t>
  </si>
  <si>
    <t>C5 — country_region</t>
  </si>
  <si>
    <t>1_US</t>
  </si>
  <si>
    <t>2_Europe</t>
  </si>
  <si>
    <t>3_AsiaPac</t>
  </si>
  <si>
    <t>1_US vs 2_Europe</t>
  </si>
  <si>
    <t>1_US vs 3_AsiaPac</t>
  </si>
  <si>
    <t>2_Europe vs 3_AsiaPac</t>
  </si>
  <si>
    <t>All levels sit in a narrow negative band; no Paris shift within any level is significant, and the CDS x post cell is empty by design (not estimable; coding-robust, see 10_Guards_Sensitivity).</t>
  </si>
  <si>
    <t>The only significant level contrast is loan vs bond — a difference in overall association, not in the Paris response.</t>
  </si>
  <si>
    <t>The US Paris shift rests on a single post cluster and is reported descriptively, consistent with the composition disclosure.</t>
  </si>
  <si>
    <t>Why is the CDS shift missing?</t>
  </si>
  <si>
    <t>No CDS study is majority-post (0 of 11 clusters); the planned row is carried as not estimable with the design condition documented, and the absence is coding-robust [DEC-048].</t>
  </si>
  <si>
    <t>Does the loan-bond contrast qualify the null claim?</t>
  </si>
  <si>
    <t>No — it is a level difference across instruments in the pooled association; the Paris-period moderation test for the instrument panel is far from significance.</t>
  </si>
  <si>
    <t>Mechanical outcome: within every featured level the Paris-period contrast is small and non-significant, and the flagged cells are exactly the ex-ante pinned thin cells; wording per the resolved gate [DEC-044/DEC-047].</t>
  </si>
  <si>
    <t>Other panels — industry, economic development, culture, legal origin</t>
  </si>
  <si>
    <t>Reported in full; main-text prominence per the tiering rule [R1]</t>
  </si>
  <si>
    <t>C3 — industry</t>
  </si>
  <si>
    <t>non-sensitive</t>
  </si>
  <si>
    <t>sensitive</t>
  </si>
  <si>
    <t>non-sensitive vs sensitive</t>
  </si>
  <si>
    <t>C6 — country_econ</t>
  </si>
  <si>
    <t>1_developed</t>
  </si>
  <si>
    <t>2_developing</t>
  </si>
  <si>
    <t>1_developed vs 2_developing</t>
  </si>
  <si>
    <t>C7 — country_culture</t>
  </si>
  <si>
    <t>1_western</t>
  </si>
  <si>
    <t>2_non_western</t>
  </si>
  <si>
    <t>1_western vs 2_non_western</t>
  </si>
  <si>
    <t>C8 — country_legal</t>
  </si>
  <si>
    <t>1_common law</t>
  </si>
  <si>
    <t>2_civil law</t>
  </si>
  <si>
    <t>1_common law vs 2_civil law</t>
  </si>
  <si>
    <t>The pattern replicates: narrow negative level band, small mixed-sign period shifts, no moderation.</t>
  </si>
  <si>
    <t>Several period contrasts fall to the df &lt; 5 rule despite adequate cluster counts on one side — the Satterthwaite df is governed by the thinner side; all such rows are flagged, none suppressed.</t>
  </si>
  <si>
    <t>Why are both C8 shifts descriptive?</t>
  </si>
  <si>
    <t>The common-law post cell holds two clusters and the resulting Satterthwaite dfs fall below five on both sides; the panel HTZ is reported with the flag [R6].</t>
  </si>
  <si>
    <t>Mechanical outcome: no moderation and no significant within-level Paris shift in any of the four remaining panels; wording per the resolved gate [DEC-044/DEC-047].</t>
  </si>
  <si>
    <t>Unified models V1 / V2 — conditional Paris contrast</t>
  </si>
  <si>
    <t>Two-variant ladder with the mechanical design-df + identifiability rule [DEC-043]</t>
  </si>
  <si>
    <t>Reference coding; refs performance / loan / without ETS-CT / 1_US (+ V2 refs); z scale</t>
  </si>
  <si>
    <t>Design-rule verdicts (echo rows)</t>
  </si>
  <si>
    <t>Variant · block</t>
  </si>
  <si>
    <t>design-df</t>
  </si>
  <si>
    <t>Verdict</t>
  </si>
  <si>
    <t>cc_v1 · CER_measure</t>
  </si>
  <si>
    <t>cc_v1 · COD_instrument</t>
  </si>
  <si>
    <t>cc_v1 · regulation3</t>
  </si>
  <si>
    <t>cc_v1 · country_region</t>
  </si>
  <si>
    <t>cc_v2 · CER_measure</t>
  </si>
  <si>
    <t>cc_v2 · COD_instrument</t>
  </si>
  <si>
    <t>cc_v2 · industry</t>
  </si>
  <si>
    <t>cc_v2 · regulation3</t>
  </si>
  <si>
    <t>cc_v2 · country_region</t>
  </si>
  <si>
    <t>cc_v2 · country_econ</t>
  </si>
  <si>
    <t>cc_v2 · country_culture</t>
  </si>
  <si>
    <t>cc_v2 · country_legal</t>
  </si>
  <si>
    <t>V1 (lean) — coefficients (z scale)</t>
  </si>
  <si>
    <t>Term</t>
  </si>
  <si>
    <t>b</t>
  </si>
  <si>
    <t>SE</t>
  </si>
  <si>
    <t>intercept</t>
  </si>
  <si>
    <t>pp_mid_lag0</t>
  </si>
  <si>
    <t>CER_measuredisclosure</t>
  </si>
  <si>
    <t>COD_instrumentbond (yield)</t>
  </si>
  <si>
    <t>COD_instrumentderivativ (CDS spread)</t>
  </si>
  <si>
    <t>COD_instrumentrating</t>
  </si>
  <si>
    <t>regulation3with ETS/CT</t>
  </si>
  <si>
    <t>country_region2_Europe</t>
  </si>
  <si>
    <t>country_region3_AsiaPac</t>
  </si>
  <si>
    <t>pp:CER_measuredisclosure</t>
  </si>
  <si>
    <t>pp:country_region2_Europe</t>
  </si>
  <si>
    <t>pp:country_region3_AsiaPac</t>
  </si>
  <si>
    <t>pp:COD_instrument::coef1</t>
  </si>
  <si>
    <t>pp:COD_instrument::coef2</t>
  </si>
  <si>
    <t>pp:COD_instrument::coef3</t>
  </si>
  <si>
    <t>pp:regulation3::coef1</t>
  </si>
  <si>
    <t>Block HTZ</t>
  </si>
  <si>
    <t>F</t>
  </si>
  <si>
    <t>block_HTZ::CER_measure</t>
  </si>
  <si>
    <t>block_HTZ::COD_instrument</t>
  </si>
  <si>
    <t>block_HTZ::regulation3</t>
  </si>
  <si>
    <t>block_HTZ::country_region</t>
  </si>
  <si>
    <t>V2 (full mains) — coefficients (z scale)</t>
  </si>
  <si>
    <t>industrysensitive</t>
  </si>
  <si>
    <t>country_econ2_developing</t>
  </si>
  <si>
    <t>country_culture2_non_western</t>
  </si>
  <si>
    <t>country_legal2_civil law</t>
  </si>
  <si>
    <t>pp:CER_measure::coef1</t>
  </si>
  <si>
    <t>pp:industry::coef1</t>
  </si>
  <si>
    <t>pp:country_region::coef1</t>
  </si>
  <si>
    <t>pp:country_region::coef2</t>
  </si>
  <si>
    <t>pp:country_econ::coef1</t>
  </si>
  <si>
    <t>pp:country_culture::coef1</t>
  </si>
  <si>
    <t>pp:country_legal::coef1</t>
  </si>
  <si>
    <t>block_HTZ::industry</t>
  </si>
  <si>
    <t>block_HTZ::country_econ</t>
  </si>
  <si>
    <t>block_HTZ::country_culture</t>
  </si>
  <si>
    <t>block_HTZ::country_legal</t>
  </si>
  <si>
    <t>The conditional Paris coefficient is small and non-significant in both variants; the mechanical rule admitted the CER and region blocks in V1 and no block in V2 (four structural, four df exclusions) — all disclosed in the echo rows.</t>
  </si>
  <si>
    <t>Identification note (design fact): the complete-case post cell contains no US clusters, so the model matrix satisfies pp = pp x Europe + pp x AsiaPac exactly; pp:AsiaPac is the single rank drop and the conditional contrast is identified on Asia-Pacific and European post evidence.</t>
  </si>
  <si>
    <t>The intercept is the adjusted pre-period reference-cell mean — a nuisance parameter, not a claim quantity; in V2 it sits at the 0.05 boundary and is reported mechanically.</t>
  </si>
  <si>
    <t>Why does V2 carry no interactions?</t>
  </si>
  <si>
    <t>On the all-eight complete case the post cell shrinks to nine clusters with a single level of every country dimension — the interactions are structurally non-identifiable; this is itself a composition finding [DEC-043].</t>
  </si>
  <si>
    <t>Is the pp coefficient comparable to the B1 headline?</t>
  </si>
  <si>
    <t>It is the same period contrast conditioned on the V1/V2 moderator sets and restricted to the classifiable complete case; the pooled headline lives in T2/B1 (single home).</t>
  </si>
  <si>
    <t>Why is pp:AsiaPac not estimable?</t>
  </si>
  <si>
    <t>Exact design identity on the US-free complete-case post cell; the region block HTZ is computed on the remaining column with q_eff disclosed [#27].</t>
  </si>
  <si>
    <t>Mechanical outcome: the conditional Paris contrast is not significant in either unified specification, with every block exclusion produced by the pre-registered mechanical rule and disclosed; wording per the resolved gate [DEC-044/DEC-047].</t>
  </si>
  <si>
    <t>Guards, sensitivity and design disclosure</t>
  </si>
  <si>
    <t>M-pre pre-trend guards [DEC-031c] · any-with coding sensitivity [Q11b] · NCE and coding-absence disclosure [DEC-048]</t>
  </si>
  <si>
    <t>M-pre pre-trend guards (pre domain, z scale)</t>
  </si>
  <si>
    <t>est</t>
  </si>
  <si>
    <t>C3 · mpre_int::non-sensitive</t>
  </si>
  <si>
    <t>C3 · mpre_int::sensitive</t>
  </si>
  <si>
    <t>C3 · mpre_slope::non-sensitive</t>
  </si>
  <si>
    <t>C3 · mpre_slope::sensitive</t>
  </si>
  <si>
    <t>C3 · mpre_slope_HTZ</t>
  </si>
  <si>
    <t>C4 · mpre_int::without ETS/CT</t>
  </si>
  <si>
    <t>C4 · mpre_int::with ETS/CT</t>
  </si>
  <si>
    <t>C4 · mpre_slope::without ETS/CT</t>
  </si>
  <si>
    <t>C4 · mpre_slope::with ETS/CT</t>
  </si>
  <si>
    <t>C4 · mpre_slope_HTZ</t>
  </si>
  <si>
    <t>Regulation-coding sensitivity (spec panel; reference row first)</t>
  </si>
  <si>
    <t>Spec</t>
  </si>
  <si>
    <t>k_es</t>
  </si>
  <si>
    <t>est_z</t>
  </si>
  <si>
    <t>ci_z lo</t>
  </si>
  <si>
    <t>ci_z hi</t>
  </si>
  <si>
    <t>est_r</t>
  </si>
  <si>
    <t>ci_r lo</t>
  </si>
  <si>
    <t>ci_r hi</t>
  </si>
  <si>
    <t>end-anchored (canonical) — interaction HTZ</t>
  </si>
  <si>
    <t>any-with (ever-treated) — interaction HTZ</t>
  </si>
  <si>
    <t>any-with diff · without ETS/CT</t>
  </si>
  <si>
    <t>any-with diff · with ETS/CT</t>
  </si>
  <si>
    <t>99_NCE exclusion per panel</t>
  </si>
  <si>
    <t>ES excluded</t>
  </si>
  <si>
    <t>studies</t>
  </si>
  <si>
    <t>clusters</t>
  </si>
  <si>
    <t>Coding-robustness of empty/thin post cells (end-coding audit; design facts)</t>
  </si>
  <si>
    <t>Panel · level</t>
  </si>
  <si>
    <t>end-'post' ES</t>
  </si>
  <si>
    <t>majority-pre clusters</t>
  </si>
  <si>
    <t>C2 · CDS</t>
  </si>
  <si>
    <t>C5 · US</t>
  </si>
  <si>
    <t>C8 · common law</t>
  </si>
  <si>
    <t>No differential pre-trends across exposure levels; the Move-5 guard is clean.</t>
  </si>
  <si>
    <t>The ever-treated sensitivity is the only quantity in the battery approaching the conventional threshold; it reclassifies 366 effect sizes in 17 clusters whose regulation status changed within the sampling window, and is carried descriptively in the appendix.</t>
  </si>
  <si>
    <t>The empty and thin post cells fill exclusively with majority-pre windows under the maximally inclusive coding — the absences are coding-robust.</t>
  </si>
  <si>
    <t>Does the any-with result qualify the canonical C4 finding?</t>
  </si>
  <si>
    <t>It is a pre-registered descriptive sensitivity under a coding the design rejected for edge-touch misclassification; the canonical end-anchored test is far from significance, and the divergence is fully attributable to the disclosed reclassification [DEC-048 Q11a/b].</t>
  </si>
  <si>
    <t>Mechanical outcome: guards are clean and the single near-threshold quantity is the rejected ever-treated coding, carried descriptively with its driver disclosed; wording per the resolved gate [DEC-044/DEC-047].</t>
  </si>
  <si>
    <t>analysis_id</t>
  </si>
  <si>
    <t>spec</t>
  </si>
  <si>
    <t>subset</t>
  </si>
  <si>
    <t>term</t>
  </si>
  <si>
    <t>metric</t>
  </si>
  <si>
    <t>estimator</t>
  </si>
  <si>
    <t>rho</t>
  </si>
  <si>
    <t>k_study</t>
  </si>
  <si>
    <t>k_cluster</t>
  </si>
  <si>
    <t>se_z</t>
  </si>
  <si>
    <t>t_stat</t>
  </si>
  <si>
    <t>ci_lb_z</t>
  </si>
  <si>
    <t>ci_ub_z</t>
  </si>
  <si>
    <t>pi_lb_z</t>
  </si>
  <si>
    <t>pi_ub_z</t>
  </si>
  <si>
    <t>ci_lb_r</t>
  </si>
  <si>
    <t>ci_ub_r</t>
  </si>
  <si>
    <t>pi_lb_r</t>
  </si>
  <si>
    <t>pi_ub_r</t>
  </si>
  <si>
    <t>sigma2_cluster</t>
  </si>
  <si>
    <t>sigma2_study</t>
  </si>
  <si>
    <t>sigma2_esid</t>
  </si>
  <si>
    <t>pct_cluster</t>
  </si>
  <si>
    <t>pct_study</t>
  </si>
  <si>
    <t>pct_esid</t>
  </si>
  <si>
    <t>pct_sampling</t>
  </si>
  <si>
    <t>typical_v</t>
  </si>
  <si>
    <t>value</t>
  </si>
  <si>
    <t>ms_input</t>
  </si>
  <si>
    <t>ms_label</t>
  </si>
  <si>
    <t>note</t>
  </si>
  <si>
    <t>key</t>
  </si>
  <si>
    <t>levels</t>
  </si>
  <si>
    <t>classified</t>
  </si>
  <si>
    <t>lvl::performance</t>
  </si>
  <si>
    <t>Fisher_z</t>
  </si>
  <si>
    <t>3LMA-RVE_CR2</t>
  </si>
  <si>
    <t>FALSE</t>
  </si>
  <si>
    <t>rma.mv mods=~ 0 + CER_measure (cell means, NCE excluded); random ~1|cluster_id/study/esid; V blocks within cluster_id, rho=0.6; CR2/Satterthwaite on cluster_id [D31.1/A.2]; domain = M_A classified [A.14]</t>
  </si>
  <si>
    <t>C1|levels|classified|lvl::performance</t>
  </si>
  <si>
    <t>lvl::disclosure</t>
  </si>
  <si>
    <t>C1|levels|classified|lvl::disclosure</t>
  </si>
  <si>
    <t>pair::performance - disclosure</t>
  </si>
  <si>
    <t>pairwise contrast (z scale); rma.mv mods=~ 0 + CER_measure (cell means, NCE excluded); random ~1|cluster_id/study/esid; V blocks within cluster_id, rho=0.6; CR2/Satterthwaite on cluster_id [D31.1/A.2]; domain = M_A classified [A.14]</t>
  </si>
  <si>
    <t>C1|levels|classified|pair::performance - disclosure</t>
  </si>
  <si>
    <t>levels_HTZ</t>
  </si>
  <si>
    <t>F_test</t>
  </si>
  <si>
    <t>H0: all level means equal; rma.mv mods=~ 0 + CER_measure (cell means, NCE excluded); random ~1|cluster_id/study/esid; V blocks within cluster_id, rho=0.6; CR2/Satterthwaite on cluster_id [D31.1/A.2]; domain = M_A classified [A.14]; HTZ; num_df = 1</t>
  </si>
  <si>
    <t>C1|levels|classified|levels_HTZ</t>
  </si>
  <si>
    <t>paris_mid</t>
  </si>
  <si>
    <t>defined_classified</t>
  </si>
  <si>
    <t>cell_pre::performance</t>
  </si>
  <si>
    <t>rma.mv mods=~ 0 + cell(CER_measure x pp_mid_lag0), nonempty cells; random ~1|cluster_id/study/esid; V blocks within cluster_id, rho=0.6; CR2/Satterthwaite on cluster_id [D31.1/A.2]; domain = M_B period+classified [A.14]</t>
  </si>
  <si>
    <t>C1|paris_mid|defined_classified|cell_pre::performance</t>
  </si>
  <si>
    <t>cell_post::performance</t>
  </si>
  <si>
    <t>C1|paris_mid|defined_classified|cell_post::performance</t>
  </si>
  <si>
    <t>cell_pre::disclosure</t>
  </si>
  <si>
    <t>C1|paris_mid|defined_classified|cell_pre::disclosure</t>
  </si>
  <si>
    <t>cell_post::disclosure</t>
  </si>
  <si>
    <t>C1|paris_mid|defined_classified|cell_post::disclosure</t>
  </si>
  <si>
    <t>diff::performance</t>
  </si>
  <si>
    <t>post minus pre within level (z scale); rma.mv mods=~ 0 + cell(CER_measure x pp_mid_lag0), nonempty cells; random ~1|cluster_id/study/esid; V blocks within cluster_id, rho=0.6; CR2/Satterthwaite on cluster_id [D31.1/A.2]; domain = M_B period+classified [A.14]</t>
  </si>
  <si>
    <t>C1|paris_mid|defined_classified|diff::performance</t>
  </si>
  <si>
    <t>diff::disclosure</t>
  </si>
  <si>
    <t>C1|paris_mid|defined_classified|diff::disclosure</t>
  </si>
  <si>
    <t>interaction_HTZ</t>
  </si>
  <si>
    <t>TRUE</t>
  </si>
  <si>
    <t>c1_paris_mid_interaction_htz</t>
  </si>
  <si>
    <t>H0: Paris shift equal across levels {performance, disclosure}; rma.mv mods=~ 0 + cell(CER_measure x pp_mid_lag0), nonempty cells; random ~1|cluster_id/study/esid; V blocks within cluster_id, rho=0.6; CR2/Satterthwaite on cluster_id [D31.1/A.2]; domain = M_B period+classified [A.14]; HTZ; num_df = 1</t>
  </si>
  <si>
    <t>C1|paris_mid|defined_classified|interaction_HTZ</t>
  </si>
  <si>
    <t>lvl::loan (interest rate)</t>
  </si>
  <si>
    <t>rma.mv mods=~ 0 + COD_instrument (cell means, NCE excluded); random ~1|cluster_id/study/esid; V blocks within cluster_id, rho=0.6; CR2/Satterthwaite on cluster_id [D31.1/A.2]; domain = M_A classified [A.14]</t>
  </si>
  <si>
    <t>C2|levels|classified|lvl::loan (interest rate)</t>
  </si>
  <si>
    <t>lvl::bond (yield)</t>
  </si>
  <si>
    <t>C2|levels|classified|lvl::bond (yield)</t>
  </si>
  <si>
    <t>lvl::rating</t>
  </si>
  <si>
    <t>C2|levels|classified|lvl::rating</t>
  </si>
  <si>
    <t>lvl::derivativ (CDS spread)</t>
  </si>
  <si>
    <t>C2|levels|classified|lvl::derivativ (CDS spread)</t>
  </si>
  <si>
    <t>pair::loan (interest rate) - bond (yield)</t>
  </si>
  <si>
    <t>pairwise contrast (z scale); rma.mv mods=~ 0 + COD_instrument (cell means, NCE excluded); random ~1|cluster_id/study/esid; V blocks within cluster_id, rho=0.6; CR2/Satterthwaite on cluster_id [D31.1/A.2]; domain = M_A classified [A.14]</t>
  </si>
  <si>
    <t>C2|levels|classified|pair::loan (interest rate) - bond (yield)</t>
  </si>
  <si>
    <t>pair::loan (interest rate) - rating</t>
  </si>
  <si>
    <t>C2|levels|classified|pair::loan (interest rate) - rating</t>
  </si>
  <si>
    <t>pair::loan (interest rate) - derivativ (CDS spread)</t>
  </si>
  <si>
    <t>C2|levels|classified|pair::loan (interest rate) - derivativ (CDS spread)</t>
  </si>
  <si>
    <t>pair::bond (yield) - rating</t>
  </si>
  <si>
    <t>descriptive [DEC-048 double rule]; pairwise contrast (z scale); rma.mv mods=~ 0 + COD_instrument (cell means, NCE excluded); random ~1|cluster_id/study/esid; V blocks within cluster_id, rho=0.6; CR2/Satterthwaite on cluster_id [D31.1/A.2]; domain = M_A classified [A.14]</t>
  </si>
  <si>
    <t>C2|levels|classified|pair::bond (yield) - rating</t>
  </si>
  <si>
    <t>pair::bond (yield) - derivativ (CDS spread)</t>
  </si>
  <si>
    <t>C2|levels|classified|pair::bond (yield) - derivativ (CDS spread)</t>
  </si>
  <si>
    <t>pair::rating - derivativ (CDS spread)</t>
  </si>
  <si>
    <t>C2|levels|classified|pair::rating - derivativ (CDS spread)</t>
  </si>
  <si>
    <t>H0: all level means equal; rma.mv mods=~ 0 + COD_instrument (cell means, NCE excluded); random ~1|cluster_id/study/esid; V blocks within cluster_id, rho=0.6; CR2/Satterthwaite on cluster_id [D31.1/A.2]; domain = M_A classified [A.14]; HTZ; num_df = 3</t>
  </si>
  <si>
    <t>C2|levels|classified|levels_HTZ</t>
  </si>
  <si>
    <t>cell_pre::loan (interest rate)</t>
  </si>
  <si>
    <t>rma.mv mods=~ 0 + cell(COD_instrument x pp_mid_lag0), nonempty cells; random ~1|cluster_id/study/esid; V blocks within cluster_id, rho=0.6; CR2/Satterthwaite on cluster_id [D31.1/A.2]; domain = M_B period+classified [A.14]</t>
  </si>
  <si>
    <t>C2|paris_mid|defined_classified|cell_pre::loan (interest rate)</t>
  </si>
  <si>
    <t>cell_post::loan (interest rate)</t>
  </si>
  <si>
    <t>C2|paris_mid|defined_classified|cell_post::loan (interest rate)</t>
  </si>
  <si>
    <t>cell_pre::bond (yield)</t>
  </si>
  <si>
    <t>C2|paris_mid|defined_classified|cell_pre::bond (yield)</t>
  </si>
  <si>
    <t>cell_post::bond (yield)</t>
  </si>
  <si>
    <t>C2|paris_mid|defined_classified|cell_post::bond (yield)</t>
  </si>
  <si>
    <t>cell_pre::rating</t>
  </si>
  <si>
    <t>C2|paris_mid|defined_classified|cell_pre::rating</t>
  </si>
  <si>
    <t>cell_post::rating</t>
  </si>
  <si>
    <t>descriptive [DEC-048 double rule]; rma.mv mods=~ 0 + cell(COD_instrument x pp_mid_lag0), nonempty cells; random ~1|cluster_id/study/esid; V blocks within cluster_id, rho=0.6; CR2/Satterthwaite on cluster_id [D31.1/A.2]; domain = M_B period+classified [A.14]</t>
  </si>
  <si>
    <t>C2|paris_mid|defined_classified|cell_post::rating</t>
  </si>
  <si>
    <t>cell_pre::derivativ (CDS spread)</t>
  </si>
  <si>
    <t>C2|paris_mid|defined_classified|cell_pre::derivativ (CDS spread)</t>
  </si>
  <si>
    <t>cell_post::derivativ (CDS spread)</t>
  </si>
  <si>
    <t>not_estimable</t>
  </si>
  <si>
    <t>0 clusters in cell (empty by design; ex-ante pin) [DEC-048]; rma.mv mods=~ 0 + cell(COD_instrument x pp_mid_lag0), nonempty cells; random ~1|cluster_id/study/esid; V blocks within cluster_id, rho=0.6; CR2/Satterthwaite on cluster_id [D31.1/A.2]; domain = M_B period+classified [A.14]</t>
  </si>
  <si>
    <t>C2|paris_mid|defined_classified|cell_post::derivativ (CDS spread)</t>
  </si>
  <si>
    <t>diff::loan (interest rate)</t>
  </si>
  <si>
    <t>post minus pre within level (z scale); rma.mv mods=~ 0 + cell(COD_instrument x pp_mid_lag0), nonempty cells; random ~1|cluster_id/study/esid; V blocks within cluster_id, rho=0.6; CR2/Satterthwaite on cluster_id [D31.1/A.2]; domain = M_B period+classified [A.14]</t>
  </si>
  <si>
    <t>C2|paris_mid|defined_classified|diff::loan (interest rate)</t>
  </si>
  <si>
    <t>diff::bond (yield)</t>
  </si>
  <si>
    <t>C2|paris_mid|defined_classified|diff::bond (yield)</t>
  </si>
  <si>
    <t>diff::rating</t>
  </si>
  <si>
    <t>descriptive [DEC-048 double rule]; post minus pre within level (z scale); rma.mv mods=~ 0 + cell(COD_instrument x pp_mid_lag0), nonempty cells; random ~1|cluster_id/study/esid; V blocks within cluster_id, rho=0.6; CR2/Satterthwaite on cluster_id [D31.1/A.2]; domain = M_B period+classified [A.14]</t>
  </si>
  <si>
    <t>C2|paris_mid|defined_classified|diff::rating</t>
  </si>
  <si>
    <t>diff::derivativ (CDS spread)</t>
  </si>
  <si>
    <t>diff not estimable: one period cell empty [DEC-048]; rma.mv mods=~ 0 + cell(COD_instrument x pp_mid_lag0), nonempty cells; random ~1|cluster_id/study/esid; V blocks within cluster_id, rho=0.6; CR2/Satterthwaite on cluster_id [D31.1/A.2]; domain = M_B period+classified [A.14]</t>
  </si>
  <si>
    <t>C2|paris_mid|defined_classified|diff::derivativ (CDS spread)</t>
  </si>
  <si>
    <t>c2_paris_mid_interaction_htz</t>
  </si>
  <si>
    <t>H0: Paris shift equal across levels {loan (interest rate), bond (yield), rating}; rma.mv mods=~ 0 + cell(COD_instrument x pp_mid_lag0), nonempty cells; random ~1|cluster_id/study/esid; V blocks within cluster_id, rho=0.6; CR2/Satterthwaite on cluster_id [D31.1/A.2]; domain = M_B period+classified [A.14]; HTZ; num_df = 2</t>
  </si>
  <si>
    <t>C2|paris_mid|defined_classified|interaction_HTZ</t>
  </si>
  <si>
    <t>lvl::non-sensitive</t>
  </si>
  <si>
    <t>rma.mv mods=~ 0 + industry (cell means, NCE excluded); random ~1|cluster_id/study/esid; V blocks within cluster_id, rho=0.6; CR2/Satterthwaite on cluster_id [D31.1/A.2]; domain = M_A classified [A.14]</t>
  </si>
  <si>
    <t>C3|levels|classified|lvl::non-sensitive</t>
  </si>
  <si>
    <t>lvl::sensitive</t>
  </si>
  <si>
    <t>C3|levels|classified|lvl::sensitive</t>
  </si>
  <si>
    <t>pair::non-sensitive - sensitive</t>
  </si>
  <si>
    <t>pairwise contrast (z scale); rma.mv mods=~ 0 + industry (cell means, NCE excluded); random ~1|cluster_id/study/esid; V blocks within cluster_id, rho=0.6; CR2/Satterthwaite on cluster_id [D31.1/A.2]; domain = M_A classified [A.14]</t>
  </si>
  <si>
    <t>C3|levels|classified|pair::non-sensitive - sensitive</t>
  </si>
  <si>
    <t>H0: all level means equal; rma.mv mods=~ 0 + industry (cell means, NCE excluded); random ~1|cluster_id/study/esid; V blocks within cluster_id, rho=0.6; CR2/Satterthwaite on cluster_id [D31.1/A.2]; domain = M_A classified [A.14]; HTZ; num_df = 1</t>
  </si>
  <si>
    <t>C3|levels|classified|levels_HTZ</t>
  </si>
  <si>
    <t>cell_pre::non-sensitive</t>
  </si>
  <si>
    <t>rma.mv mods=~ 0 + cell(industry x pp_mid_lag0), nonempty cells; random ~1|cluster_id/study/esid; V blocks within cluster_id, rho=0.6; CR2/Satterthwaite on cluster_id [D31.1/A.2]; domain = M_B period+classified [A.14]</t>
  </si>
  <si>
    <t>C3|paris_mid|defined_classified|cell_pre::non-sensitive</t>
  </si>
  <si>
    <t>cell_post::non-sensitive</t>
  </si>
  <si>
    <t>C3|paris_mid|defined_classified|cell_post::non-sensitive</t>
  </si>
  <si>
    <t>cell_pre::sensitive</t>
  </si>
  <si>
    <t>C3|paris_mid|defined_classified|cell_pre::sensitive</t>
  </si>
  <si>
    <t>cell_post::sensitive</t>
  </si>
  <si>
    <t>descriptive [DEC-048 double rule]; rma.mv mods=~ 0 + cell(industry x pp_mid_lag0), nonempty cells; random ~1|cluster_id/study/esid; V blocks within cluster_id, rho=0.6; CR2/Satterthwaite on cluster_id [D31.1/A.2]; domain = M_B period+classified [A.14]</t>
  </si>
  <si>
    <t>C3|paris_mid|defined_classified|cell_post::sensitive</t>
  </si>
  <si>
    <t>diff::non-sensitive</t>
  </si>
  <si>
    <t>post minus pre within level (z scale); rma.mv mods=~ 0 + cell(industry x pp_mid_lag0), nonempty cells; random ~1|cluster_id/study/esid; V blocks within cluster_id, rho=0.6; CR2/Satterthwaite on cluster_id [D31.1/A.2]; domain = M_B period+classified [A.14]</t>
  </si>
  <si>
    <t>C3|paris_mid|defined_classified|diff::non-sensitive</t>
  </si>
  <si>
    <t>diff::sensitive</t>
  </si>
  <si>
    <t>descriptive [DEC-048 double rule]; post minus pre within level (z scale); rma.mv mods=~ 0 + cell(industry x pp_mid_lag0), nonempty cells; random ~1|cluster_id/study/esid; V blocks within cluster_id, rho=0.6; CR2/Satterthwaite on cluster_id [D31.1/A.2]; domain = M_B period+classified [A.14]</t>
  </si>
  <si>
    <t>C3|paris_mid|defined_classified|diff::sensitive</t>
  </si>
  <si>
    <t>c3_paris_mid_interaction_htz</t>
  </si>
  <si>
    <t>H0: Paris shift equal across levels {non-sensitive, sensitive}; rma.mv mods=~ 0 + cell(industry x pp_mid_lag0), nonempty cells; random ~1|cluster_id/study/esid; V blocks within cluster_id, rho=0.6; CR2/Satterthwaite on cluster_id [D31.1/A.2]; domain = M_B period+classified [A.14]; HTZ; num_df = 1</t>
  </si>
  <si>
    <t>C3|paris_mid|defined_classified|interaction_HTZ</t>
  </si>
  <si>
    <t>lvl::without ETS/CT</t>
  </si>
  <si>
    <t>rma.mv mods=~ 0 + regulation3 (cell means, NCE excluded); random ~1|cluster_id/study/esid; V blocks within cluster_id, rho=0.6; CR2/Satterthwaite on cluster_id [D31.1/A.2]; domain = M_A classified [A.14]</t>
  </si>
  <si>
    <t>C4|levels|classified|lvl::without ETS/CT</t>
  </si>
  <si>
    <t>lvl::with ETS/CT</t>
  </si>
  <si>
    <t>C4|levels|classified|lvl::with ETS/CT</t>
  </si>
  <si>
    <t>pair::without ETS/CT - with ETS/CT</t>
  </si>
  <si>
    <t>descriptive [DEC-048 double rule]; pairwise contrast (z scale); rma.mv mods=~ 0 + regulation3 (cell means, NCE excluded); random ~1|cluster_id/study/esid; V blocks within cluster_id, rho=0.6; CR2/Satterthwaite on cluster_id [D31.1/A.2]; domain = M_A classified [A.14]</t>
  </si>
  <si>
    <t>C4|levels|classified|pair::without ETS/CT - with ETS/CT</t>
  </si>
  <si>
    <t>H0: all level means equal; rma.mv mods=~ 0 + regulation3 (cell means, NCE excluded); random ~1|cluster_id/study/esid; V blocks within cluster_id, rho=0.6; CR2/Satterthwaite on cluster_id [D31.1/A.2]; domain = M_A classified [A.14]; HTZ; num_df = 1</t>
  </si>
  <si>
    <t>C4|levels|classified|levels_HTZ</t>
  </si>
  <si>
    <t>cell_pre::without ETS/CT</t>
  </si>
  <si>
    <t>rma.mv mods=~ 0 + cell(regulation3 x pp_mid_lag0), nonempty cells; random ~1|cluster_id/study/esid; V blocks within cluster_id, rho=0.6; CR2/Satterthwaite on cluster_id [D31.1/A.2]; domain = M_B period+classified [A.14]</t>
  </si>
  <si>
    <t>C4|paris_mid|defined_classified|cell_pre::without ETS/CT</t>
  </si>
  <si>
    <t>cell_post::without ETS/CT</t>
  </si>
  <si>
    <t>descriptive [DEC-048 double rule]; rma.mv mods=~ 0 + cell(regulation3 x pp_mid_lag0), nonempty cells; random ~1|cluster_id/study/esid; V blocks within cluster_id, rho=0.6; CR2/Satterthwaite on cluster_id [D31.1/A.2]; domain = M_B period+classified [A.14]</t>
  </si>
  <si>
    <t>C4|paris_mid|defined_classified|cell_post::without ETS/CT</t>
  </si>
  <si>
    <t>cell_pre::with ETS/CT</t>
  </si>
  <si>
    <t>C4|paris_mid|defined_classified|cell_pre::with ETS/CT</t>
  </si>
  <si>
    <t>cell_post::with ETS/CT</t>
  </si>
  <si>
    <t>C4|paris_mid|defined_classified|cell_post::with ETS/CT</t>
  </si>
  <si>
    <t>diff::without ETS/CT</t>
  </si>
  <si>
    <t>post minus pre within level (z scale); rma.mv mods=~ 0 + cell(regulation3 x pp_mid_lag0), nonempty cells; random ~1|cluster_id/study/esid; V blocks within cluster_id, rho=0.6; CR2/Satterthwaite on cluster_id [D31.1/A.2]; domain = M_B period+classified [A.14]</t>
  </si>
  <si>
    <t>C4|paris_mid|defined_classified|diff::without ETS/CT</t>
  </si>
  <si>
    <t>diff::with ETS/CT</t>
  </si>
  <si>
    <t>C4|paris_mid|defined_classified|diff::with ETS/CT</t>
  </si>
  <si>
    <t>c4_paris_mid_interaction_htz</t>
  </si>
  <si>
    <t>H0: Paris shift equal across levels {without ETS/CT, with ETS/CT}; rma.mv mods=~ 0 + cell(regulation3 x pp_mid_lag0), nonempty cells; random ~1|cluster_id/study/esid; V blocks within cluster_id, rho=0.6; CR2/Satterthwaite on cluster_id [D31.1/A.2]; domain = M_B period+classified [A.14]; HTZ; num_df = 1</t>
  </si>
  <si>
    <t>C4|paris_mid|defined_classified|interaction_HTZ</t>
  </si>
  <si>
    <t>lvl::1_US</t>
  </si>
  <si>
    <t>rma.mv mods=~ 0 + country_region (cell means, NCE excluded); random ~1|cluster_id/study/esid; V blocks within cluster_id, rho=0.6; CR2/Satterthwaite on cluster_id [D31.1/A.2]; domain = M_A classified [A.14]</t>
  </si>
  <si>
    <t>C5|levels|classified|lvl::1_US</t>
  </si>
  <si>
    <t>lvl::2_Europe</t>
  </si>
  <si>
    <t>C5|levels|classified|lvl::2_Europe</t>
  </si>
  <si>
    <t>lvl::3_AsiaPac</t>
  </si>
  <si>
    <t>C5|levels|classified|lvl::3_AsiaPac</t>
  </si>
  <si>
    <t>pair::1_US - 2_Europe</t>
  </si>
  <si>
    <t>descriptive [DEC-048 double rule]; pairwise contrast (z scale); rma.mv mods=~ 0 + country_region (cell means, NCE excluded); random ~1|cluster_id/study/esid; V blocks within cluster_id, rho=0.6; CR2/Satterthwaite on cluster_id [D31.1/A.2]; domain = M_A classified [A.14]</t>
  </si>
  <si>
    <t>C5|levels|classified|pair::1_US - 2_Europe</t>
  </si>
  <si>
    <t>pair::1_US - 3_AsiaPac</t>
  </si>
  <si>
    <t>pairwise contrast (z scale); rma.mv mods=~ 0 + country_region (cell means, NCE excluded); random ~1|cluster_id/study/esid; V blocks within cluster_id, rho=0.6; CR2/Satterthwaite on cluster_id [D31.1/A.2]; domain = M_A classified [A.14]</t>
  </si>
  <si>
    <t>C5|levels|classified|pair::1_US - 3_AsiaPac</t>
  </si>
  <si>
    <t>pair::2_Europe - 3_AsiaPac</t>
  </si>
  <si>
    <t>C5|levels|classified|pair::2_Europe - 3_AsiaPac</t>
  </si>
  <si>
    <t>H0: all level means equal; rma.mv mods=~ 0 + country_region (cell means, NCE excluded); random ~1|cluster_id/study/esid; V blocks within cluster_id, rho=0.6; CR2/Satterthwaite on cluster_id [D31.1/A.2]; domain = M_A classified [A.14]; HTZ; num_df = 2</t>
  </si>
  <si>
    <t>C5|levels|classified|levels_HTZ</t>
  </si>
  <si>
    <t>cell_pre::1_US</t>
  </si>
  <si>
    <t>rma.mv mods=~ 0 + cell(country_region x pp_mid_lag0), nonempty cells; random ~1|cluster_id/study/esid; V blocks within cluster_id, rho=0.6; CR2/Satterthwaite on cluster_id [D31.1/A.2]; domain = M_B period+classified [A.14]</t>
  </si>
  <si>
    <t>C5|paris_mid|defined_classified|cell_pre::1_US</t>
  </si>
  <si>
    <t>cell_post::1_US</t>
  </si>
  <si>
    <t>descriptive [DEC-048 double rule]; rma.mv mods=~ 0 + cell(country_region x pp_mid_lag0), nonempty cells; random ~1|cluster_id/study/esid; V blocks within cluster_id, rho=0.6; CR2/Satterthwaite on cluster_id [D31.1/A.2]; domain = M_B period+classified [A.14]</t>
  </si>
  <si>
    <t>C5|paris_mid|defined_classified|cell_post::1_US</t>
  </si>
  <si>
    <t>cell_pre::2_Europe</t>
  </si>
  <si>
    <t>C5|paris_mid|defined_classified|cell_pre::2_Europe</t>
  </si>
  <si>
    <t>cell_post::2_Europe</t>
  </si>
  <si>
    <t>C5|paris_mid|defined_classified|cell_post::2_Europe</t>
  </si>
  <si>
    <t>cell_pre::3_AsiaPac</t>
  </si>
  <si>
    <t>C5|paris_mid|defined_classified|cell_pre::3_AsiaPac</t>
  </si>
  <si>
    <t>cell_post::3_AsiaPac</t>
  </si>
  <si>
    <t>C5|paris_mid|defined_classified|cell_post::3_AsiaPac</t>
  </si>
  <si>
    <t>diff::1_US</t>
  </si>
  <si>
    <t>descriptive [DEC-048 double rule]; post minus pre within level (z scale); rma.mv mods=~ 0 + cell(country_region x pp_mid_lag0), nonempty cells; random ~1|cluster_id/study/esid; V blocks within cluster_id, rho=0.6; CR2/Satterthwaite on cluster_id [D31.1/A.2]; domain = M_B period+classified [A.14]</t>
  </si>
  <si>
    <t>C5|paris_mid|defined_classified|diff::1_US</t>
  </si>
  <si>
    <t>diff::2_Europe</t>
  </si>
  <si>
    <t>post minus pre within level (z scale); rma.mv mods=~ 0 + cell(country_region x pp_mid_lag0), nonempty cells; random ~1|cluster_id/study/esid; V blocks within cluster_id, rho=0.6; CR2/Satterthwaite on cluster_id [D31.1/A.2]; domain = M_B period+classified [A.14]</t>
  </si>
  <si>
    <t>C5|paris_mid|defined_classified|diff::2_Europe</t>
  </si>
  <si>
    <t>diff::3_AsiaPac</t>
  </si>
  <si>
    <t>C5|paris_mid|defined_classified|diff::3_AsiaPac</t>
  </si>
  <si>
    <t>c5_paris_mid_interaction_htz</t>
  </si>
  <si>
    <t>H0: Paris shift equal across levels {1_US, 2_Europe, 3_AsiaPac}; rma.mv mods=~ 0 + cell(country_region x pp_mid_lag0), nonempty cells; random ~1|cluster_id/study/esid; V blocks within cluster_id, rho=0.6; CR2/Satterthwaite on cluster_id [D31.1/A.2]; domain = M_B period+classified [A.14]; HTZ; num_df = 2; touches &lt;3-cluster cell [DEC-048]</t>
  </si>
  <si>
    <t>C5|paris_mid|defined_classified|interaction_HTZ</t>
  </si>
  <si>
    <t>lvl::1_developed</t>
  </si>
  <si>
    <t>rma.mv mods=~ 0 + country_econ (cell means, NCE excluded); random ~1|cluster_id/study/esid; V blocks within cluster_id, rho=0.6; CR2/Satterthwaite on cluster_id [D31.1/A.2]; domain = M_A classified [A.14]</t>
  </si>
  <si>
    <t>C6|levels|classified|lvl::1_developed</t>
  </si>
  <si>
    <t>lvl::2_developing</t>
  </si>
  <si>
    <t>C6|levels|classified|lvl::2_developing</t>
  </si>
  <si>
    <t>pair::1_developed - 2_developing</t>
  </si>
  <si>
    <t>pairwise contrast (z scale); rma.mv mods=~ 0 + country_econ (cell means, NCE excluded); random ~1|cluster_id/study/esid; V blocks within cluster_id, rho=0.6; CR2/Satterthwaite on cluster_id [D31.1/A.2]; domain = M_A classified [A.14]</t>
  </si>
  <si>
    <t>C6|levels|classified|pair::1_developed - 2_developing</t>
  </si>
  <si>
    <t>H0: all level means equal; rma.mv mods=~ 0 + country_econ (cell means, NCE excluded); random ~1|cluster_id/study/esid; V blocks within cluster_id, rho=0.6; CR2/Satterthwaite on cluster_id [D31.1/A.2]; domain = M_A classified [A.14]; HTZ; num_df = 1</t>
  </si>
  <si>
    <t>C6|levels|classified|levels_HTZ</t>
  </si>
  <si>
    <t>cell_pre::1_developed</t>
  </si>
  <si>
    <t>rma.mv mods=~ 0 + cell(country_econ x pp_mid_lag0), nonempty cells; random ~1|cluster_id/study/esid; V blocks within cluster_id, rho=0.6; CR2/Satterthwaite on cluster_id [D31.1/A.2]; domain = M_B period+classified [A.14]</t>
  </si>
  <si>
    <t>C6|paris_mid|defined_classified|cell_pre::1_developed</t>
  </si>
  <si>
    <t>cell_post::1_developed</t>
  </si>
  <si>
    <t>descriptive [DEC-048 double rule]; rma.mv mods=~ 0 + cell(country_econ x pp_mid_lag0), nonempty cells; random ~1|cluster_id/study/esid; V blocks within cluster_id, rho=0.6; CR2/Satterthwaite on cluster_id [D31.1/A.2]; domain = M_B period+classified [A.14]</t>
  </si>
  <si>
    <t>C6|paris_mid|defined_classified|cell_post::1_developed</t>
  </si>
  <si>
    <t>cell_pre::2_developing</t>
  </si>
  <si>
    <t>C6|paris_mid|defined_classified|cell_pre::2_developing</t>
  </si>
  <si>
    <t>cell_post::2_developing</t>
  </si>
  <si>
    <t>C6|paris_mid|defined_classified|cell_post::2_developing</t>
  </si>
  <si>
    <t>diff::1_developed</t>
  </si>
  <si>
    <t>descriptive [DEC-048 double rule]; post minus pre within level (z scale); rma.mv mods=~ 0 + cell(country_econ x pp_mid_lag0), nonempty cells; random ~1|cluster_id/study/esid; V blocks within cluster_id, rho=0.6; CR2/Satterthwaite on cluster_id [D31.1/A.2]; domain = M_B period+classified [A.14]</t>
  </si>
  <si>
    <t>C6|paris_mid|defined_classified|diff::1_developed</t>
  </si>
  <si>
    <t>diff::2_developing</t>
  </si>
  <si>
    <t>post minus pre within level (z scale); rma.mv mods=~ 0 + cell(country_econ x pp_mid_lag0), nonempty cells; random ~1|cluster_id/study/esid; V blocks within cluster_id, rho=0.6; CR2/Satterthwaite on cluster_id [D31.1/A.2]; domain = M_B period+classified [A.14]</t>
  </si>
  <si>
    <t>C6|paris_mid|defined_classified|diff::2_developing</t>
  </si>
  <si>
    <t>c6_paris_mid_interaction_htz</t>
  </si>
  <si>
    <t>H0: Paris shift equal across levels {1_developed, 2_developing}; rma.mv mods=~ 0 + cell(country_econ x pp_mid_lag0), nonempty cells; random ~1|cluster_id/study/esid; V blocks within cluster_id, rho=0.6; CR2/Satterthwaite on cluster_id [D31.1/A.2]; domain = M_B period+classified [A.14]; HTZ; num_df = 1</t>
  </si>
  <si>
    <t>C6|paris_mid|defined_classified|interaction_HTZ</t>
  </si>
  <si>
    <t>lvl::1_western</t>
  </si>
  <si>
    <t>rma.mv mods=~ 0 + country_culture (cell means, NCE excluded); random ~1|cluster_id/study/esid; V blocks within cluster_id, rho=0.6; CR2/Satterthwaite on cluster_id [D31.1/A.2]; domain = M_A classified [A.14]</t>
  </si>
  <si>
    <t>C7|levels|classified|lvl::1_western</t>
  </si>
  <si>
    <t>lvl::2_non_western</t>
  </si>
  <si>
    <t>C7|levels|classified|lvl::2_non_western</t>
  </si>
  <si>
    <t>pair::1_western - 2_non_western</t>
  </si>
  <si>
    <t>pairwise contrast (z scale); rma.mv mods=~ 0 + country_culture (cell means, NCE excluded); random ~1|cluster_id/study/esid; V blocks within cluster_id, rho=0.6; CR2/Satterthwaite on cluster_id [D31.1/A.2]; domain = M_A classified [A.14]</t>
  </si>
  <si>
    <t>C7|levels|classified|pair::1_western - 2_non_western</t>
  </si>
  <si>
    <t>H0: all level means equal; rma.mv mods=~ 0 + country_culture (cell means, NCE excluded); random ~1|cluster_id/study/esid; V blocks within cluster_id, rho=0.6; CR2/Satterthwaite on cluster_id [D31.1/A.2]; domain = M_A classified [A.14]; HTZ; num_df = 1</t>
  </si>
  <si>
    <t>C7|levels|classified|levels_HTZ</t>
  </si>
  <si>
    <t>cell_pre::1_western</t>
  </si>
  <si>
    <t>rma.mv mods=~ 0 + cell(country_culture x pp_mid_lag0), nonempty cells; random ~1|cluster_id/study/esid; V blocks within cluster_id, rho=0.6; CR2/Satterthwaite on cluster_id [D31.1/A.2]; domain = M_B period+classified [A.14]</t>
  </si>
  <si>
    <t>C7|paris_mid|defined_classified|cell_pre::1_western</t>
  </si>
  <si>
    <t>cell_post::1_western</t>
  </si>
  <si>
    <t>C7|paris_mid|defined_classified|cell_post::1_western</t>
  </si>
  <si>
    <t>cell_pre::2_non_western</t>
  </si>
  <si>
    <t>C7|paris_mid|defined_classified|cell_pre::2_non_western</t>
  </si>
  <si>
    <t>cell_post::2_non_western</t>
  </si>
  <si>
    <t>C7|paris_mid|defined_classified|cell_post::2_non_western</t>
  </si>
  <si>
    <t>diff::1_western</t>
  </si>
  <si>
    <t>post minus pre within level (z scale); rma.mv mods=~ 0 + cell(country_culture x pp_mid_lag0), nonempty cells; random ~1|cluster_id/study/esid; V blocks within cluster_id, rho=0.6; CR2/Satterthwaite on cluster_id [D31.1/A.2]; domain = M_B period+classified [A.14]</t>
  </si>
  <si>
    <t>C7|paris_mid|defined_classified|diff::1_western</t>
  </si>
  <si>
    <t>diff::2_non_western</t>
  </si>
  <si>
    <t>descriptive [DEC-048 double rule]; post minus pre within level (z scale); rma.mv mods=~ 0 + cell(country_culture x pp_mid_lag0), nonempty cells; random ~1|cluster_id/study/esid; V blocks within cluster_id, rho=0.6; CR2/Satterthwaite on cluster_id [D31.1/A.2]; domain = M_B period+classified [A.14]</t>
  </si>
  <si>
    <t>C7|paris_mid|defined_classified|diff::2_non_western</t>
  </si>
  <si>
    <t>c7_paris_mid_interaction_htz</t>
  </si>
  <si>
    <t>H0: Paris shift equal across levels {1_western, 2_non_western}; rma.mv mods=~ 0 + cell(country_culture x pp_mid_lag0), nonempty cells; random ~1|cluster_id/study/esid; V blocks within cluster_id, rho=0.6; CR2/Satterthwaite on cluster_id [D31.1/A.2]; domain = M_B period+classified [A.14]; HTZ; num_df = 1</t>
  </si>
  <si>
    <t>C7|paris_mid|defined_classified|interaction_HTZ</t>
  </si>
  <si>
    <t>lvl::1_common law</t>
  </si>
  <si>
    <t>rma.mv mods=~ 0 + country_legal (cell means, NCE excluded); random ~1|cluster_id/study/esid; V blocks within cluster_id, rho=0.6; CR2/Satterthwaite on cluster_id [D31.1/A.2]; domain = M_A classified [A.14]</t>
  </si>
  <si>
    <t>C8|levels|classified|lvl::1_common law</t>
  </si>
  <si>
    <t>lvl::2_civil law</t>
  </si>
  <si>
    <t>C8|levels|classified|lvl::2_civil law</t>
  </si>
  <si>
    <t>pair::1_common law - 2_civil law</t>
  </si>
  <si>
    <t>pairwise contrast (z scale); rma.mv mods=~ 0 + country_legal (cell means, NCE excluded); random ~1|cluster_id/study/esid; V blocks within cluster_id, rho=0.6; CR2/Satterthwaite on cluster_id [D31.1/A.2]; domain = M_A classified [A.14]</t>
  </si>
  <si>
    <t>C8|levels|classified|pair::1_common law - 2_civil law</t>
  </si>
  <si>
    <t>H0: all level means equal; rma.mv mods=~ 0 + country_legal (cell means, NCE excluded); random ~1|cluster_id/study/esid; V blocks within cluster_id, rho=0.6; CR2/Satterthwaite on cluster_id [D31.1/A.2]; domain = M_A classified [A.14]; HTZ; num_df = 1</t>
  </si>
  <si>
    <t>C8|levels|classified|levels_HTZ</t>
  </si>
  <si>
    <t>cell_pre::1_common law</t>
  </si>
  <si>
    <t>rma.mv mods=~ 0 + cell(country_legal x pp_mid_lag0), nonempty cells; random ~1|cluster_id/study/esid; V blocks within cluster_id, rho=0.6; CR2/Satterthwaite on cluster_id [D31.1/A.2]; domain = M_B period+classified [A.14]</t>
  </si>
  <si>
    <t>C8|paris_mid|defined_classified|cell_pre::1_common law</t>
  </si>
  <si>
    <t>cell_post::1_common law</t>
  </si>
  <si>
    <t>descriptive [DEC-048 double rule]; rma.mv mods=~ 0 + cell(country_legal x pp_mid_lag0), nonempty cells; random ~1|cluster_id/study/esid; V blocks within cluster_id, rho=0.6; CR2/Satterthwaite on cluster_id [D31.1/A.2]; domain = M_B period+classified [A.14]</t>
  </si>
  <si>
    <t>C8|paris_mid|defined_classified|cell_post::1_common law</t>
  </si>
  <si>
    <t>cell_pre::2_civil law</t>
  </si>
  <si>
    <t>C8|paris_mid|defined_classified|cell_pre::2_civil law</t>
  </si>
  <si>
    <t>cell_post::2_civil law</t>
  </si>
  <si>
    <t>C8|paris_mid|defined_classified|cell_post::2_civil law</t>
  </si>
  <si>
    <t>diff::1_common law</t>
  </si>
  <si>
    <t>descriptive [DEC-048 double rule]; post minus pre within level (z scale); rma.mv mods=~ 0 + cell(country_legal x pp_mid_lag0), nonempty cells; random ~1|cluster_id/study/esid; V blocks within cluster_id, rho=0.6; CR2/Satterthwaite on cluster_id [D31.1/A.2]; domain = M_B period+classified [A.14]</t>
  </si>
  <si>
    <t>C8|paris_mid|defined_classified|diff::1_common law</t>
  </si>
  <si>
    <t>diff::2_civil law</t>
  </si>
  <si>
    <t>C8|paris_mid|defined_classified|diff::2_civil law</t>
  </si>
  <si>
    <t>c8_paris_mid_interaction_htz</t>
  </si>
  <si>
    <t>H0: Paris shift equal across levels {1_common law, 2_civil law}; rma.mv mods=~ 0 + cell(country_legal x pp_mid_lag0), nonempty cells; random ~1|cluster_id/study/esid; V blocks within cluster_id, rho=0.6; CR2/Satterthwaite on cluster_id [D31.1/A.2]; domain = M_B period+classified [A.14]; HTZ; num_df = 1; touches &lt;3-cluster cell [DEC-048]</t>
  </si>
  <si>
    <t>C8|paris_mid|defined_classified|interaction_HTZ</t>
  </si>
  <si>
    <t>C_family</t>
  </si>
  <si>
    <t>multiplicity</t>
  </si>
  <si>
    <t>interaction_HTZ_holm</t>
  </si>
  <si>
    <t>p_holm</t>
  </si>
  <si>
    <t>derived</t>
  </si>
  <si>
    <t>c_family_multiplicity_interaction_htz_holm</t>
  </si>
  <si>
    <t>Holm over the panel interaction-HTZ p-values [DEC-048]; m_effective = 8 of 8 (ne panels excluded per DEC-049, disclosed); adjusted: C1=0.6162; C2=1; C3=1; C4=1; C5=1; C6=1; C7=1; C8=1; n significant at .05 = 0</t>
  </si>
  <si>
    <t>C_family|multiplicity|defined_classified|interaction_HTZ_holm</t>
  </si>
  <si>
    <t>m_pre</t>
  </si>
  <si>
    <t>pre_classified</t>
  </si>
  <si>
    <t>mpre_int::non-sensitive</t>
  </si>
  <si>
    <t>rma.mv mods=~ 0 + industry + industry:ts_knot (ts_knot = sample_mid - 2015.5), pre domain, NCE excluded [DEC-031c]; random ~1|cluster_id/study/esid; V blocks within cluster_id, rho=0.6; CR2/Satterthwaite on cluster_id [D31.1/A.2]</t>
  </si>
  <si>
    <t>C3|m_pre|pre_classified|mpre_int::non-sensitive</t>
  </si>
  <si>
    <t>mpre_int::sensitive</t>
  </si>
  <si>
    <t>C3|m_pre|pre_classified|mpre_int::sensitive</t>
  </si>
  <si>
    <t>mpre_slope::non-sensitive</t>
  </si>
  <si>
    <t>C3|m_pre|pre_classified|mpre_slope::non-sensitive</t>
  </si>
  <si>
    <t>mpre_slope::sensitive</t>
  </si>
  <si>
    <t>descriptive [DEC-048 double rule]; rma.mv mods=~ 0 + industry + industry:ts_knot (ts_knot = sample_mid - 2015.5), pre domain, NCE excluded [DEC-031c]; random ~1|cluster_id/study/esid; V blocks within cluster_id, rho=0.6; CR2/Satterthwaite on cluster_id [D31.1/A.2]</t>
  </si>
  <si>
    <t>C3|m_pre|pre_classified|mpre_slope::sensitive</t>
  </si>
  <si>
    <t>mpre_slope_HTZ</t>
  </si>
  <si>
    <t>H0: pre-trend slopes equal across exposure levels; rma.mv mods=~ 0 + industry + industry:ts_knot (ts_knot = sample_mid - 2015.5), pre domain, NCE excluded [DEC-031c]; random ~1|cluster_id/study/esid; V blocks within cluster_id, rho=0.6; CR2/Satterthwaite on cluster_id [D31.1/A.2]; HTZ; num_df = 1</t>
  </si>
  <si>
    <t>C3|m_pre|pre_classified|mpre_slope_HTZ</t>
  </si>
  <si>
    <t>mpre_int::without ETS/CT</t>
  </si>
  <si>
    <t>rma.mv mods=~ 0 + regulation3 + regulation3:ts_knot (ts_knot = sample_mid - 2015.5), pre domain, NCE excluded [DEC-031c]; random ~1|cluster_id/study/esid; V blocks within cluster_id, rho=0.6; CR2/Satterthwaite on cluster_id [D31.1/A.2]</t>
  </si>
  <si>
    <t>C4|m_pre|pre_classified|mpre_int::without ETS/CT</t>
  </si>
  <si>
    <t>mpre_int::with ETS/CT</t>
  </si>
  <si>
    <t>C4|m_pre|pre_classified|mpre_int::with ETS/CT</t>
  </si>
  <si>
    <t>mpre_slope::without ETS/CT</t>
  </si>
  <si>
    <t>C4|m_pre|pre_classified|mpre_slope::without ETS/CT</t>
  </si>
  <si>
    <t>mpre_slope::with ETS/CT</t>
  </si>
  <si>
    <t>C4|m_pre|pre_classified|mpre_slope::with ETS/CT</t>
  </si>
  <si>
    <t>H0: pre-trend slopes equal across exposure levels; rma.mv mods=~ 0 + regulation3 + regulation3:ts_knot (ts_knot = sample_mid - 2015.5), pre domain, NCE excluded [DEC-031c]; random ~1|cluster_id/study/esid; V blocks within cluster_id, rho=0.6; CR2/Satterthwaite on cluster_id [D31.1/A.2]; HTZ; num_df = 1</t>
  </si>
  <si>
    <t>C4|m_pre|pre_classified|mpre_slope_HTZ</t>
  </si>
  <si>
    <t>paris_mid_anywith</t>
  </si>
  <si>
    <t>rma.mv mods=~ 0 + cell(regulation3_any x pp_mid_lag0); any-with coding sensitivity, appendix, descriptive framing [DEC-048 Q11b]; random ~1|cluster_id/study/esid; V blocks within cluster_id, rho=0.6; CR2/Satterthwaite on cluster_id [D31.1/A.2]</t>
  </si>
  <si>
    <t>C4|paris_mid_anywith|defined_classified|cell_pre::without ETS/CT</t>
  </si>
  <si>
    <t>C4|paris_mid_anywith|defined_classified|cell_pre::with ETS/CT</t>
  </si>
  <si>
    <t>descriptive [DEC-048 double rule]; rma.mv mods=~ 0 + cell(regulation3_any x pp_mid_lag0); any-with coding sensitivity, appendix, descriptive framing [DEC-048 Q11b]; random ~1|cluster_id/study/esid; V blocks within cluster_id, rho=0.6; CR2/Satterthwaite on cluster_id [D31.1/A.2]</t>
  </si>
  <si>
    <t>C4|paris_mid_anywith|defined_classified|cell_post::without ETS/CT</t>
  </si>
  <si>
    <t>C4|paris_mid_anywith|defined_classified|cell_post::with ETS/CT</t>
  </si>
  <si>
    <t>post minus pre within level (z scale); rma.mv mods=~ 0 + cell(regulation3_any x pp_mid_lag0); any-with coding sensitivity, appendix, descriptive framing [DEC-048 Q11b]; random ~1|cluster_id/study/esid; V blocks within cluster_id, rho=0.6; CR2/Satterthwaite on cluster_id [D31.1/A.2]</t>
  </si>
  <si>
    <t>C4|paris_mid_anywith|defined_classified|diff::without ETS/CT</t>
  </si>
  <si>
    <t>descriptive [DEC-048 double rule]; post minus pre within level (z scale); rma.mv mods=~ 0 + cell(regulation3_any x pp_mid_lag0); any-with coding sensitivity, appendix, descriptive framing [DEC-048 Q11b]; random ~1|cluster_id/study/esid; V blocks within cluster_id, rho=0.6; CR2/Satterthwaite on cluster_id [D31.1/A.2]</t>
  </si>
  <si>
    <t>C4|paris_mid_anywith|defined_classified|diff::with ETS/CT</t>
  </si>
  <si>
    <t>H0: Paris shift equal across any-with exposure levels; rma.mv mods=~ 0 + cell(regulation3_any x pp_mid_lag0); any-with coding sensitivity, appendix, descriptive framing [DEC-048 Q11b]; random ~1|cluster_id/study/esid; V blocks within cluster_id, rho=0.6; CR2/Satterthwaite on cluster_id [D31.1/A.2]; HTZ; num_df = 1</t>
  </si>
  <si>
    <t>C4|paris_mid_anywith|defined_classified|interaction_HTZ</t>
  </si>
  <si>
    <t>design</t>
  </si>
  <si>
    <t>nce</t>
  </si>
  <si>
    <t>nce_excluded</t>
  </si>
  <si>
    <t>count</t>
  </si>
  <si>
    <t>descriptive</t>
  </si>
  <si>
    <t>99_NCE rows excluded from C1 analyses [DEC-048 NCE regime]: 0 ES / 0 studies / 0 clusters</t>
  </si>
  <si>
    <t>C1|design|nce|nce_excluded</t>
  </si>
  <si>
    <t>99_NCE rows excluded from C2 analyses [DEC-048 NCE regime]: 0 ES / 0 studies / 0 clusters</t>
  </si>
  <si>
    <t>C2|design|nce|nce_excluded</t>
  </si>
  <si>
    <t>99_NCE rows excluded from C3 analyses [DEC-048 NCE regime]: 453 ES / 21 studies / 21 clusters</t>
  </si>
  <si>
    <t>C3|design|nce|nce_excluded</t>
  </si>
  <si>
    <t>99_NCE rows excluded from C4 analyses [DEC-048 NCE regime]: 909 ES / 30 studies / 30 clusters</t>
  </si>
  <si>
    <t>C4|design|nce|nce_excluded</t>
  </si>
  <si>
    <t>99_NCE rows excluded from C5 analyses [DEC-048 NCE regime]: 786 ES / 30 studies / 29 clusters</t>
  </si>
  <si>
    <t>C5|design|nce|nce_excluded</t>
  </si>
  <si>
    <t>99_NCE rows excluded from C6 analyses [DEC-048 NCE regime]: 1091 ES / 43 studies / 43 clusters</t>
  </si>
  <si>
    <t>C6|design|nce|nce_excluded</t>
  </si>
  <si>
    <t>99_NCE rows excluded from C7 analyses [DEC-048 NCE regime]: 757 ES / 25 studies / 25 clusters</t>
  </si>
  <si>
    <t>C7|design|nce|nce_excluded</t>
  </si>
  <si>
    <t>99_NCE rows excluded from C8 analyses [DEC-048 NCE regime]: 1050 ES / 36 studies / 36 clusters</t>
  </si>
  <si>
    <t>C8|design|nce|nce_excluded</t>
  </si>
  <si>
    <t>defined</t>
  </si>
  <si>
    <t>end_coding_absence</t>
  </si>
  <si>
    <t>coding-robustness of the empty/thin post cell for level 'derivativ (CDS spread)': under the maximally inclusive end coding an end-'post' cell of 299/10/10 (ES/studies/clusters) emerges, of which 299/10/10 are majority-pre windows — the absence is coding-robust, not coding-dependent [DEC-048; design facts frozen 2026-07-28]</t>
  </si>
  <si>
    <t>C2|design|defined|end_coding_absence</t>
  </si>
  <si>
    <t>coding-robustness of the empty/thin post cell for level '1_US': under the maximally inclusive end coding an end-'post' cell of 551/16/16 (ES/studies/clusters) emerges, of which 550/15/15 are majority-pre windows — the absence is coding-robust, not coding-dependent [DEC-048; design facts frozen 2026-07-28]</t>
  </si>
  <si>
    <t>C5|design|defined|end_coding_absence</t>
  </si>
  <si>
    <t>coding-robustness of the empty/thin post cell for level '1_common law': under the maximally inclusive end coding an end-'post' cell of 612/25/24 (ES/studies/clusters) emerges, of which 606/23/22 are majority-pre windows — the absence is coding-robust, not coding-dependent [DEC-048; design facts frozen 2026-07-28]</t>
  </si>
  <si>
    <t>C8|design|defined|end_coding_absence</t>
  </si>
  <si>
    <t>C9</t>
  </si>
  <si>
    <t>design_rule</t>
  </si>
  <si>
    <t>cc_v1</t>
  </si>
  <si>
    <t>rule::CER_measure</t>
  </si>
  <si>
    <t>design_df</t>
  </si>
  <si>
    <t>design-df (synthetic-outcome FE, CR2/HTZ; df design-only) = 6.906; verdict = admitted [DEC-043 mechanical rule: identifiability + design-df &gt;= 5]</t>
  </si>
  <si>
    <t>C9|design_rule|cc_v1|rule::CER_measure</t>
  </si>
  <si>
    <t>rule::COD_instrument</t>
  </si>
  <si>
    <t>design-df (synthetic-outcome FE, CR2/HTZ; df design-only) = 1.368; structurally zero cols dropped: pp:factor_COD_instrumentderivativ (CDS spread); verdict = excluded_df [DEC-043 mechanical rule: identifiability + design-df &gt;= 5]</t>
  </si>
  <si>
    <t>C9|design_rule|cc_v1|rule::COD_instrument</t>
  </si>
  <si>
    <t>rule::regulation3</t>
  </si>
  <si>
    <t>design-df (synthetic-outcome FE, CR2/HTZ; df design-only) = 3.090; verdict = excluded_df [DEC-043 mechanical rule: identifiability + design-df &gt;= 5]</t>
  </si>
  <si>
    <t>C9|design_rule|cc_v1|rule::regulation3</t>
  </si>
  <si>
    <t>rule::country_region</t>
  </si>
  <si>
    <t>design-df (synthetic-outcome FE, CR2/HTZ; df design-only) = 9.576; verdict = admitted [DEC-043 mechanical rule: identifiability + design-df &gt;= 5]</t>
  </si>
  <si>
    <t>C9|design_rule|cc_v1|rule::country_region</t>
  </si>
  <si>
    <t>unified_cc_v1</t>
  </si>
  <si>
    <t>rma.mv mods=~ pp_mid_lag0 + mains(CER_measure, COD_instrument, regulation3, country_region) + admitted pp interactions {CER_measure, country_region}; reference coding, refs per DEC-043; complete case, NCE excluded; random ~1|cluster_id/study/esid; V blocks within cluster_id, rho=0.6; CR2/Satterthwaite on cluster_id [D31.1/A.2]; dropped on domain: pp:factor_country_region3_AsiaPac</t>
  </si>
  <si>
    <t>C9|unified_cc_v1|cc_v1|intercept</t>
  </si>
  <si>
    <t>c9_unified_cc_v1_pp_mid_lag0</t>
  </si>
  <si>
    <t>C9|unified_cc_v1|cc_v1|pp_mid_lag0</t>
  </si>
  <si>
    <t>descriptive [DEC-048 double rule]; rma.mv mods=~ pp_mid_lag0 + mains(CER_measure, COD_instrument, regulation3, country_region) + admitted pp interactions {CER_measure, country_region}; reference coding, refs per DEC-043; complete case, NCE excluded; random ~1|cluster_id/study/esid; V blocks within cluster_id, rho=0.6; CR2/Satterthwaite on cluster_id [D31.1/A.2]; dropped on domain: pp:factor_country_region3_AsiaPac</t>
  </si>
  <si>
    <t>C9|unified_cc_v1|cc_v1|CER_measuredisclosure</t>
  </si>
  <si>
    <t>C9|unified_cc_v1|cc_v1|COD_instrumentbond (yield)</t>
  </si>
  <si>
    <t>C9|unified_cc_v1|cc_v1|COD_instrumentderivativ (CDS spread)</t>
  </si>
  <si>
    <t>C9|unified_cc_v1|cc_v1|COD_instrumentrating</t>
  </si>
  <si>
    <t>C9|unified_cc_v1|cc_v1|regulation3with ETS/CT</t>
  </si>
  <si>
    <t>C9|unified_cc_v1|cc_v1|country_region2_Europe</t>
  </si>
  <si>
    <t>C9|unified_cc_v1|cc_v1|country_region3_AsiaPac</t>
  </si>
  <si>
    <t>C9|unified_cc_v1|cc_v1|pp:CER_measuredisclosure</t>
  </si>
  <si>
    <t>C9|unified_cc_v1|cc_v1|pp:country_region2_Europe</t>
  </si>
  <si>
    <t>coefficient not estimable [DEC-049/#27]: dropped by rma.mv (rank deficiency on the variant domain); rma.mv mods=~ pp_mid_lag0 + mains(CER_measure, COD_instrument, regulation3, country_region) + admitted pp interactions {CER_measure, country_region}; reference coding, refs per DEC-043; complete case, NCE excluded; random ~1|cluster_id/study/esid; V blocks within cluster_id, rho=0.6; CR2/Satterthwaite on cluster_id [D31.1/A.2]; dropped on domain: pp:factor_country_region3_AsiaPac</t>
  </si>
  <si>
    <t>C9|unified_cc_v1|cc_v1|pp:country_region3_AsiaPac</t>
  </si>
  <si>
    <t>H0: all pp x CER_measure interaction coefficients = 0; q_planned = 1, q_eff = 1; rma.mv mods=~ pp_mid_lag0 + mains(CER_measure, COD_instrument, regulation3, country_region) + admitted pp interactions {CER_measure, country_region}; reference coding, refs per DEC-043; complete case, NCE excluded; random ~1|cluster_id/study/esid; V blocks within cluster_id, rho=0.6; CR2/Satterthwaite on cluster_id [D31.1/A.2]; dropped on domain: pp:factor_country_region3_AsiaPac; HTZ; num_df = 1</t>
  </si>
  <si>
    <t>C9|unified_cc_v1|cc_v1|block_HTZ::CER_measure</t>
  </si>
  <si>
    <t>interaction block excluded by the mechanical rule (verdict = excluded_df) [DEC-043]; rma.mv mods=~ pp_mid_lag0 + mains(CER_measure, COD_instrument, regulation3, country_region) + admitted pp interactions {CER_measure, country_region}; reference coding, refs per DEC-043; complete case, NCE excluded; random ~1|cluster_id/study/esid; V blocks within cluster_id, rho=0.6; CR2/Satterthwaite on cluster_id [D31.1/A.2]; dropped on domain: pp:factor_country_region3_AsiaPac</t>
  </si>
  <si>
    <t>C9|unified_cc_v1|cc_v1|pp:COD_instrument::coef1</t>
  </si>
  <si>
    <t>C9|unified_cc_v1|cc_v1|pp:COD_instrument::coef2</t>
  </si>
  <si>
    <t>C9|unified_cc_v1|cc_v1|pp:COD_instrument::coef3</t>
  </si>
  <si>
    <t>block excluded by the mechanical rule (verdict = excluded_df) [DEC-043]</t>
  </si>
  <si>
    <t>C9|unified_cc_v1|cc_v1|block_HTZ::COD_instrument</t>
  </si>
  <si>
    <t>C9|unified_cc_v1|cc_v1|pp:regulation3::coef1</t>
  </si>
  <si>
    <t>C9|unified_cc_v1|cc_v1|block_HTZ::regulation3</t>
  </si>
  <si>
    <t>H0: all pp x country_region interaction coefficients = 0; q_planned = 2, q_eff = 1; dropped: pp:factor_country_region3_AsiaPac; rma.mv mods=~ pp_mid_lag0 + mains(CER_measure, COD_instrument, regulation3, country_region) + admitted pp interactions {CER_measure, country_region}; reference coding, refs per DEC-043; complete case, NCE excluded; random ~1|cluster_id/study/esid; V blocks within cluster_id, rho=0.6; CR2/Satterthwaite on cluster_id [D31.1/A.2]; dropped on domain: pp:factor_country_region3_AsiaPac; HTZ; num_df = 1</t>
  </si>
  <si>
    <t>C9|unified_cc_v1|cc_v1|block_HTZ::country_region</t>
  </si>
  <si>
    <t>cc_v2</t>
  </si>
  <si>
    <t>design-df (synthetic-outcome FE, CR2/HTZ; df design-only) = 3.411; verdict = excluded_df [DEC-043 mechanical rule: identifiability + design-df &gt;= 5]</t>
  </si>
  <si>
    <t>C9|design_rule|cc_v2|rule::CER_measure</t>
  </si>
  <si>
    <t>design-df (synthetic-outcome FE, CR2/HTZ; df design-only) = 3.575; structurally zero cols dropped: pp:factor_COD_instrumentderivativ (CDS spread) | pp:factor_COD_instrumentrating; verdict = excluded_df [DEC-043 mechanical rule: identifiability + design-df &gt;= 5]</t>
  </si>
  <si>
    <t>C9|design_rule|cc_v2|rule::COD_instrument</t>
  </si>
  <si>
    <t>rule::industry</t>
  </si>
  <si>
    <t>design-df (synthetic-outcome FE, CR2/HTZ; df design-only) = 4.287; verdict = excluded_df [DEC-043 mechanical rule: identifiability + design-df &gt;= 5]</t>
  </si>
  <si>
    <t>C9|design_rule|cc_v2|rule::industry</t>
  </si>
  <si>
    <t>design-df (synthetic-outcome FE, CR2/HTZ; df design-only) = 4.049; verdict = excluded_df [DEC-043 mechanical rule: identifiability + design-df &gt;= 5]</t>
  </si>
  <si>
    <t>C9|design_rule|cc_v2|rule::regulation3</t>
  </si>
  <si>
    <t>only post level(s): 3_AsiaPac; verdict = excluded_structural [DEC-043 mechanical rule: identifiability + design-df &gt;= 5]</t>
  </si>
  <si>
    <t>C9|design_rule|cc_v2|rule::country_region</t>
  </si>
  <si>
    <t>rule::country_econ</t>
  </si>
  <si>
    <t>only post level(s): 2_developing; verdict = excluded_structural [DEC-043 mechanical rule: identifiability + design-df &gt;= 5]</t>
  </si>
  <si>
    <t>C9|design_rule|cc_v2|rule::country_econ</t>
  </si>
  <si>
    <t>rule::country_culture</t>
  </si>
  <si>
    <t>only post level(s): 2_non_western; verdict = excluded_structural [DEC-043 mechanical rule: identifiability + design-df &gt;= 5]</t>
  </si>
  <si>
    <t>C9|design_rule|cc_v2|rule::country_culture</t>
  </si>
  <si>
    <t>rule::country_legal</t>
  </si>
  <si>
    <t>only post level(s): 2_civil law; verdict = excluded_structural [DEC-043 mechanical rule: identifiability + design-df &gt;= 5]</t>
  </si>
  <si>
    <t>C9|design_rule|cc_v2|rule::country_legal</t>
  </si>
  <si>
    <t>unified_cc_v2</t>
  </si>
  <si>
    <t>rma.mv mods=~ pp_mid_lag0 + mains(CER_measure, COD_instrument, industry, regulation3, country_region, country_econ, country_culture, country_legal) + admitted pp interactions {}; reference coding, refs per DEC-043; complete case, NCE excluded; random ~1|cluster_id/study/esid; V blocks within cluster_id, rho=0.6; CR2/Satterthwaite on cluster_id [D31.1/A.2]</t>
  </si>
  <si>
    <t>C9|unified_cc_v2|cc_v2|intercept</t>
  </si>
  <si>
    <t>C9|unified_cc_v2|cc_v2|pp_mid_lag0</t>
  </si>
  <si>
    <t>C9|unified_cc_v2|cc_v2|CER_measuredisclosure</t>
  </si>
  <si>
    <t>C9|unified_cc_v2|cc_v2|COD_instrumentbond (yield)</t>
  </si>
  <si>
    <t>C9|unified_cc_v2|cc_v2|COD_instrumentderivativ (CDS spread)</t>
  </si>
  <si>
    <t>descriptive [DEC-048 double rule]; rma.mv mods=~ pp_mid_lag0 + mains(CER_measure, COD_instrument, industry, regulation3, country_region, country_econ, country_culture, country_legal) + admitted pp interactions {}; reference coding, refs per DEC-043; complete case, NCE excluded; random ~1|cluster_id/study/esid; V blocks within cluster_id, rho=0.6; CR2/Satterthwaite on cluster_id [D31.1/A.2]</t>
  </si>
  <si>
    <t>C9|unified_cc_v2|cc_v2|COD_instrumentrating</t>
  </si>
  <si>
    <t>C9|unified_cc_v2|cc_v2|industrysensitive</t>
  </si>
  <si>
    <t>C9|unified_cc_v2|cc_v2|regulation3with ETS/CT</t>
  </si>
  <si>
    <t>C9|unified_cc_v2|cc_v2|country_region2_Europe</t>
  </si>
  <si>
    <t>C9|unified_cc_v2|cc_v2|country_region3_AsiaPac</t>
  </si>
  <si>
    <t>C9|unified_cc_v2|cc_v2|country_econ2_developing</t>
  </si>
  <si>
    <t>C9|unified_cc_v2|cc_v2|country_culture2_non_western</t>
  </si>
  <si>
    <t>C9|unified_cc_v2|cc_v2|country_legal2_civil law</t>
  </si>
  <si>
    <t>interaction block excluded by the mechanical rule (verdict = excluded_df) [DEC-043]; rma.mv mods=~ pp_mid_lag0 + mains(CER_measure, COD_instrument, industry, regulation3, country_region, country_econ, country_culture, country_legal) + admitted pp interactions {}; reference coding, refs per DEC-043; complete case, NCE excluded; random ~1|cluster_id/study/esid; V blocks within cluster_id, rho=0.6; CR2/Satterthwaite on cluster_id [D31.1/A.2]</t>
  </si>
  <si>
    <t>C9|unified_cc_v2|cc_v2|pp:CER_measure::coef1</t>
  </si>
  <si>
    <t>C9|unified_cc_v2|cc_v2|block_HTZ::CER_measure</t>
  </si>
  <si>
    <t>C9|unified_cc_v2|cc_v2|pp:COD_instrument::coef1</t>
  </si>
  <si>
    <t>C9|unified_cc_v2|cc_v2|pp:COD_instrument::coef2</t>
  </si>
  <si>
    <t>C9|unified_cc_v2|cc_v2|pp:COD_instrument::coef3</t>
  </si>
  <si>
    <t>C9|unified_cc_v2|cc_v2|block_HTZ::COD_instrument</t>
  </si>
  <si>
    <t>C9|unified_cc_v2|cc_v2|pp:industry::coef1</t>
  </si>
  <si>
    <t>C9|unified_cc_v2|cc_v2|block_HTZ::industry</t>
  </si>
  <si>
    <t>C9|unified_cc_v2|cc_v2|pp:regulation3::coef1</t>
  </si>
  <si>
    <t>C9|unified_cc_v2|cc_v2|block_HTZ::regulation3</t>
  </si>
  <si>
    <t>interaction block excluded by the mechanical rule (verdict = excluded_structural) [DEC-043]; rma.mv mods=~ pp_mid_lag0 + mains(CER_measure, COD_instrument, industry, regulation3, country_region, country_econ, country_culture, country_legal) + admitted pp interactions {}; reference coding, refs per DEC-043; complete case, NCE excluded; random ~1|cluster_id/study/esid; V blocks within cluster_id, rho=0.6; CR2/Satterthwaite on cluster_id [D31.1/A.2]</t>
  </si>
  <si>
    <t>C9|unified_cc_v2|cc_v2|pp:country_region::coef1</t>
  </si>
  <si>
    <t>C9|unified_cc_v2|cc_v2|pp:country_region::coef2</t>
  </si>
  <si>
    <t>block excluded by the mechanical rule (verdict = excluded_structural) [DEC-043]</t>
  </si>
  <si>
    <t>C9|unified_cc_v2|cc_v2|block_HTZ::country_region</t>
  </si>
  <si>
    <t>C9|unified_cc_v2|cc_v2|pp:country_econ::coef1</t>
  </si>
  <si>
    <t>C9|unified_cc_v2|cc_v2|block_HTZ::country_econ</t>
  </si>
  <si>
    <t>C9|unified_cc_v2|cc_v2|pp:country_culture::coef1</t>
  </si>
  <si>
    <t>C9|unified_cc_v2|cc_v2|block_HTZ::country_culture</t>
  </si>
  <si>
    <t>C9|unified_cc_v2|cc_v2|pp:country_legal::coef1</t>
  </si>
  <si>
    <t>C9|unified_cc_v2|cc_v2|block_HTZ::country_legal</t>
  </si>
  <si>
    <t>Manuscript inputs — ms_input = TRUE rows only</t>
  </si>
  <si>
    <t>Every cell formula-derived from Results_Long; strings built locale-neutrally (documented TEXT() deviation, see 4_Formula_Reference)</t>
  </si>
  <si>
    <t>Paste-ready English fragments</t>
  </si>
  <si>
    <t>analysis</t>
  </si>
  <si>
    <t>quantity</t>
  </si>
  <si>
    <t>paste-ready (EN)</t>
  </si>
  <si>
    <t>k</t>
  </si>
  <si>
    <t>Panel interaction test (HTZ)</t>
  </si>
  <si>
    <t>Holm family line</t>
  </si>
  <si>
    <t>—</t>
  </si>
  <si>
    <t>Conditional Paris coefficient (V1)</t>
  </si>
  <si>
    <t>Manuscript text blocks — TB numbering continues across runs (T7 starts at TB-57)</t>
  </si>
  <si>
    <t>Numbers hardcoded from run 7 (HEAD 6e7ce03; verifier 27/27 PASS, exit 0) — regenerate on any re-run</t>
  </si>
  <si>
    <t>Status: READY (green) / DRAFT (amber); prose framing-neutral; formula-live layer = Manuscript_Inputs</t>
  </si>
  <si>
    <t>ID</t>
  </si>
  <si>
    <t>Target section</t>
  </si>
  <si>
    <t>Status</t>
  </si>
  <si>
    <t>Text (EN)</t>
  </si>
  <si>
    <t>Source pointers</t>
  </si>
  <si>
    <t>Note</t>
  </si>
  <si>
    <t>TB-57</t>
  </si>
  <si>
    <t>Methods</t>
  </si>
  <si>
    <t>READY</t>
  </si>
  <si>
    <t>Moderator analyses follow the pre-registered Block-C design: for each of eight narrative moderators we fit a cell-means main-effects model and a level-by-period cell-means model on the classified period domain, using the frozen three-level specification (random effects for cluster, study and estimate; CS-imputed sampling covariance, rho = 0.6; CR2 cluster-robust inference with Satterthwaite degrees of freedom). 99_NCE observations are excluded from all moderator analyses and disclosed per panel; period cells with fewer than three clusters, and any contrast with Satterthwaite df below five, are reported descriptively without p-values. The moderation test per panel is an HTZ Wald test on the difference-in-differences block; the eight p-values are reported unadjusted together with a single Holm line.</t>
  </si>
  <si>
    <t>[DEC-043; DEC-048; DEC-031c/e]</t>
  </si>
  <si>
    <t>TB-58</t>
  </si>
  <si>
    <t>Results — moderation</t>
  </si>
  <si>
    <t>None of the eight pre-registered moderation tests is significant: the interaction HTZ p-values range from 0.077 (CER measurement) to 0.799 (cultural cluster), with a Holm-adjusted minimum of 0.616. The Paris-period contrast does not differ detectably across CER measurement type, debt instrument, industry sensitivity, carbon-regulation exposure, or any of the four country classifications.</t>
  </si>
  <si>
    <t>T7_results.csv: interaction_HTZ x8; C_family</t>
  </si>
  <si>
    <t>TB-59</t>
  </si>
  <si>
    <t>Results — levels</t>
  </si>
  <si>
    <t>Across all nineteen substantive moderator levels the pooled association remains within a narrow negative band (r = -0.029 to -0.122). The only significant level contrast is between loan and bond instruments (delta-z = 0.053, p = 0.009) — a difference in the overall association across instruments, not in the Paris-period response.</t>
  </si>
  <si>
    <t>T7_results.csv: lvl:: rows; pair:: rows</t>
  </si>
  <si>
    <t>TB-60</t>
  </si>
  <si>
    <t>Results — unified</t>
  </si>
  <si>
    <t>In the unified models the conditional Paris coefficient is +0.008 (SE 0.025, df 5.1, p = 0.769) in the lean specification and +0.013 (SE 0.016, df 12.0, p = 0.426) with all eight moderator mains; the mechanical design-df rule admitted only the CER and region interaction blocks in the lean model and none in the full model. Because the complete-case post-Paris cell contains no US clusters, the design matrix satisfies pp = pp x Europe + pp x AsiaPac exactly; the conditional contrast is therefore identified on Asia-Pacific and European post-period evidence.</t>
  </si>
  <si>
    <t>T7_results.csv: unified_cc_v1/v2; design_rule echoes; [#27]</t>
  </si>
  <si>
    <t>TB-61</t>
  </si>
  <si>
    <t>Results — composition</t>
  </si>
  <si>
    <t>The post-Paris evidence base is compositionally thin in specific segments: no CDS study is majority-post (0 of 11 clusters), the United States contributes a single majority-post cluster, and common-law settings two. Under the maximally inclusive end-anchored coding these cells fill exclusively with majority-pre windows (CDS: 299 of 299 effect sizes), so the absences are coding-robust rather than coding-dependent. The fully cross-classifiable post-Paris literature comprises nine clusters, all Asia-Pacific, developing-economy, non-western and civil-law.</t>
  </si>
  <si>
    <t>T7_results.csv: end_coding_absence; V2 domain pins [DEC-043]</t>
  </si>
  <si>
    <t>TB-62</t>
  </si>
  <si>
    <t>Robustness</t>
  </si>
  <si>
    <t>Pre-trend guards show no differential trends across exposure levels (industry p = 0.311; carbon regulation p = 0.272). The single sensitivity approaching a conventional threshold is the ever-treated regulation coding (interaction HTZ p = 0.058, against 0.383 under the pre-registered end-anchored coding); the divergence is driven by 366 effect sizes in 17 clusters whose regulation status changed within the sampling window, and the line is carried descriptively in the appendix.</t>
  </si>
  <si>
    <t>T7_results.csv: m_pre; paris_mid_anywith [Q11a/b]</t>
  </si>
  <si>
    <t>TB-63</t>
  </si>
  <si>
    <t>Methods — conventions</t>
  </si>
  <si>
    <t>Cells with fewer than three clusters and contrasts with Satterthwaite df below five are reported without p-values; structurally empty cells and coefficients without support on a complete-case domain appear as not-estimable rows with the triggering condition documented, so that no pre-registered quantity is silently omitted.</t>
  </si>
  <si>
    <t>[DEC-048 R6; DEC-049; P-T5-4]</t>
  </si>
  <si>
    <t>TB-64</t>
  </si>
  <si>
    <t>Discussion (flag)</t>
  </si>
  <si>
    <t>The near-absence of majority-post United States evidence coincides with the 2017–2020 U.S. withdrawal episode; we note this as a plausible supply-side account of the composition of the post-Paris literature, without attaching causal weight to it.</t>
  </si>
  <si>
    <t>Author-voice discussion flag [DEC-048]</t>
  </si>
  <si>
    <t>Discussion-level framing; author to finalise · Finalized 2026-08-04 (M5) per R3; integrated into ch5 §5.4 composition paragraph; style-only edits (US-&gt;United States/U.S.; en-dash; '+to it').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</si>
</sst>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"/>
    <numFmt numFmtId="167" formatCode="\+0.0000;\-0.000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006100"/>
      <name val="Arial"/>
    </font>
    <font>
      <b/>
      <sz val="10"/>
      <color rgb="FF9C65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0" fontId="3" fillId="0" borderId="1" xfId="0" applyFont="1" applyBorder="1" applyAlignment="1">
      <alignment vertical="top" wrapText="1"/>
    </xf>
    <xf numFmtId="167" fontId="2" fillId="0" borderId="1" xfId="0" applyNumberFormat="1" applyFont="1" applyBorder="1"/>
    <xf numFmtId="2" fontId="2" fillId="0" borderId="1" xfId="0" applyNumberFormat="1" applyFont="1" applyBorder="1"/>
    <xf numFmtId="1" fontId="2" fillId="0" borderId="1" xfId="0" applyNumberFormat="1" applyFont="1" applyBorder="1"/>
    <xf numFmtId="0" fontId="4" fillId="3" borderId="1" xfId="0" applyFont="1" applyFill="1" applyBorder="1"/>
    <xf numFmtId="0" fontId="5" fillId="4" borderId="1" xfId="0" applyFont="1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/>
  </sheetViews>
  <sheetFormatPr baseColWidth="10" defaultColWidth="8.88671875" defaultRowHeight="14.4" x14ac:dyDescent="0.3"/>
  <cols>
    <col min="1" max="1" width="30" customWidth="1"/>
    <col min="2" max="2" width="100" customWidth="1"/>
  </cols>
  <sheetData>
    <row r="1" spans="1:2" x14ac:dyDescent="0.3">
      <c r="A1" s="3" t="s">
        <v>0</v>
      </c>
    </row>
    <row r="2" spans="1:2" x14ac:dyDescent="0.3">
      <c r="A2" s="4" t="s">
        <v>1</v>
      </c>
    </row>
    <row r="3" spans="1:2" x14ac:dyDescent="0.3">
      <c r="A3" s="4" t="s">
        <v>2</v>
      </c>
    </row>
    <row r="5" spans="1:2" x14ac:dyDescent="0.3">
      <c r="A5" s="1" t="s">
        <v>3</v>
      </c>
      <c r="B5" s="1" t="s">
        <v>4</v>
      </c>
    </row>
    <row r="6" spans="1:2" x14ac:dyDescent="0.3">
      <c r="A6" s="3" t="s">
        <v>5</v>
      </c>
      <c r="B6" s="5" t="s">
        <v>6</v>
      </c>
    </row>
    <row r="7" spans="1:2" x14ac:dyDescent="0.3">
      <c r="A7" s="3" t="s">
        <v>7</v>
      </c>
      <c r="B7" s="5" t="s">
        <v>8</v>
      </c>
    </row>
    <row r="8" spans="1:2" ht="26.4" x14ac:dyDescent="0.3">
      <c r="A8" s="3" t="s">
        <v>9</v>
      </c>
      <c r="B8" s="5" t="s">
        <v>10</v>
      </c>
    </row>
    <row r="9" spans="1:2" x14ac:dyDescent="0.3">
      <c r="A9" s="3" t="s">
        <v>11</v>
      </c>
      <c r="B9" s="5" t="s">
        <v>12</v>
      </c>
    </row>
    <row r="10" spans="1:2" x14ac:dyDescent="0.3">
      <c r="A10" s="3" t="s">
        <v>13</v>
      </c>
      <c r="B10" s="5" t="s">
        <v>14</v>
      </c>
    </row>
    <row r="11" spans="1:2" x14ac:dyDescent="0.3">
      <c r="A11" s="3" t="s">
        <v>15</v>
      </c>
      <c r="B11" s="5" t="s">
        <v>16</v>
      </c>
    </row>
    <row r="12" spans="1:2" x14ac:dyDescent="0.3">
      <c r="A12" s="3" t="s">
        <v>17</v>
      </c>
      <c r="B12" s="5" t="s">
        <v>18</v>
      </c>
    </row>
    <row r="14" spans="1:2" x14ac:dyDescent="0.3">
      <c r="A14" s="1" t="s">
        <v>19</v>
      </c>
      <c r="B14" s="1"/>
    </row>
    <row r="15" spans="1:2" x14ac:dyDescent="0.3">
      <c r="A15" s="4" t="s">
        <v>20</v>
      </c>
    </row>
    <row r="16" spans="1:2" x14ac:dyDescent="0.3">
      <c r="A16" s="4" t="s">
        <v>21</v>
      </c>
    </row>
    <row r="17" spans="1:1" x14ac:dyDescent="0.3">
      <c r="A17" s="4" t="s">
        <v>22</v>
      </c>
    </row>
    <row r="18" spans="1:1" x14ac:dyDescent="0.3">
      <c r="A18" s="4" t="s">
        <v>23</v>
      </c>
    </row>
    <row r="19" spans="1:1" x14ac:dyDescent="0.3">
      <c r="A19" s="4" t="s">
        <v>24</v>
      </c>
    </row>
    <row r="20" spans="1:1" x14ac:dyDescent="0.3">
      <c r="A20" s="4" t="s">
        <v>25</v>
      </c>
    </row>
    <row r="21" spans="1:1" x14ac:dyDescent="0.3">
      <c r="A21" s="4" t="s">
        <v>26</v>
      </c>
    </row>
    <row r="22" spans="1:1" x14ac:dyDescent="0.3">
      <c r="A22" s="4" t="s">
        <v>27</v>
      </c>
    </row>
    <row r="23" spans="1:1" x14ac:dyDescent="0.3">
      <c r="A23" s="4" t="s">
        <v>28</v>
      </c>
    </row>
    <row r="24" spans="1:1" x14ac:dyDescent="0.3">
      <c r="A24" s="4" t="s">
        <v>29</v>
      </c>
    </row>
    <row r="25" spans="1:1" x14ac:dyDescent="0.3">
      <c r="A25" s="4" t="s">
        <v>30</v>
      </c>
    </row>
    <row r="26" spans="1:1" x14ac:dyDescent="0.3">
      <c r="A26" s="4" t="s">
        <v>31</v>
      </c>
    </row>
    <row r="27" spans="1:1" x14ac:dyDescent="0.3">
      <c r="A27" s="4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baseColWidth="10" defaultColWidth="8.88671875" defaultRowHeight="14.4" x14ac:dyDescent="0.3"/>
  <cols>
    <col min="1" max="1" width="30" customWidth="1"/>
    <col min="2" max="2" width="84" customWidth="1"/>
    <col min="3" max="3" width="26" customWidth="1"/>
  </cols>
  <sheetData>
    <row r="1" spans="1:3" x14ac:dyDescent="0.3">
      <c r="A1" s="3" t="s">
        <v>33</v>
      </c>
    </row>
    <row r="2" spans="1:3" x14ac:dyDescent="0.3">
      <c r="A2" s="4" t="s">
        <v>34</v>
      </c>
    </row>
    <row r="3" spans="1:3" x14ac:dyDescent="0.3">
      <c r="A3" s="4" t="s">
        <v>35</v>
      </c>
    </row>
    <row r="5" spans="1:3" x14ac:dyDescent="0.3">
      <c r="A5" s="1" t="s">
        <v>36</v>
      </c>
      <c r="B5" s="1" t="s">
        <v>37</v>
      </c>
      <c r="C5" s="1" t="s">
        <v>38</v>
      </c>
    </row>
    <row r="6" spans="1:3" x14ac:dyDescent="0.3">
      <c r="A6" s="5" t="s">
        <v>39</v>
      </c>
      <c r="B6" s="5" t="s">
        <v>40</v>
      </c>
      <c r="C6" s="5" t="s">
        <v>41</v>
      </c>
    </row>
    <row r="7" spans="1:3" x14ac:dyDescent="0.3">
      <c r="A7" s="5" t="s">
        <v>42</v>
      </c>
      <c r="B7" s="5" t="s">
        <v>43</v>
      </c>
      <c r="C7" s="5" t="s">
        <v>44</v>
      </c>
    </row>
    <row r="8" spans="1:3" x14ac:dyDescent="0.3">
      <c r="A8" s="5" t="s">
        <v>45</v>
      </c>
      <c r="B8" s="5" t="s">
        <v>46</v>
      </c>
      <c r="C8" s="5" t="s">
        <v>47</v>
      </c>
    </row>
    <row r="9" spans="1:3" x14ac:dyDescent="0.3">
      <c r="A9" s="5" t="s">
        <v>48</v>
      </c>
      <c r="B9" s="5" t="s">
        <v>49</v>
      </c>
      <c r="C9" s="5" t="s">
        <v>50</v>
      </c>
    </row>
    <row r="10" spans="1:3" x14ac:dyDescent="0.3">
      <c r="A10" s="5" t="s">
        <v>51</v>
      </c>
      <c r="B10" s="5" t="s">
        <v>52</v>
      </c>
      <c r="C10" s="5" t="s">
        <v>53</v>
      </c>
    </row>
    <row r="11" spans="1:3" x14ac:dyDescent="0.3">
      <c r="A11" s="5" t="s">
        <v>54</v>
      </c>
      <c r="B11" s="5" t="s">
        <v>55</v>
      </c>
      <c r="C11" s="5" t="s">
        <v>56</v>
      </c>
    </row>
    <row r="12" spans="1:3" ht="26.4" x14ac:dyDescent="0.3">
      <c r="A12" s="5" t="s">
        <v>57</v>
      </c>
      <c r="B12" s="5" t="s">
        <v>58</v>
      </c>
      <c r="C12" s="5" t="s">
        <v>59</v>
      </c>
    </row>
    <row r="13" spans="1:3" x14ac:dyDescent="0.3">
      <c r="A13" s="5" t="s">
        <v>60</v>
      </c>
      <c r="B13" s="5" t="s">
        <v>61</v>
      </c>
      <c r="C13" s="5" t="s">
        <v>62</v>
      </c>
    </row>
    <row r="14" spans="1:3" x14ac:dyDescent="0.3">
      <c r="A14" s="5" t="s">
        <v>63</v>
      </c>
      <c r="B14" s="5" t="s">
        <v>64</v>
      </c>
      <c r="C14" s="5" t="s">
        <v>65</v>
      </c>
    </row>
    <row r="15" spans="1:3" x14ac:dyDescent="0.3">
      <c r="A15" s="5" t="s">
        <v>66</v>
      </c>
      <c r="B15" s="5" t="s">
        <v>67</v>
      </c>
      <c r="C15" s="5" t="s">
        <v>68</v>
      </c>
    </row>
    <row r="16" spans="1:3" ht="26.4" x14ac:dyDescent="0.3">
      <c r="A16" s="5" t="s">
        <v>69</v>
      </c>
      <c r="B16" s="5" t="s">
        <v>70</v>
      </c>
      <c r="C16" s="5" t="s">
        <v>71</v>
      </c>
    </row>
    <row r="17" spans="1:3" x14ac:dyDescent="0.3">
      <c r="A17" s="5" t="s">
        <v>72</v>
      </c>
      <c r="B17" s="5" t="s">
        <v>73</v>
      </c>
      <c r="C17" s="5" t="s">
        <v>74</v>
      </c>
    </row>
    <row r="18" spans="1:3" x14ac:dyDescent="0.3">
      <c r="A18" s="5" t="s">
        <v>75</v>
      </c>
      <c r="B18" s="5" t="s">
        <v>76</v>
      </c>
      <c r="C18" s="5" t="s">
        <v>77</v>
      </c>
    </row>
    <row r="19" spans="1:3" ht="26.4" x14ac:dyDescent="0.3">
      <c r="A19" s="5" t="s">
        <v>78</v>
      </c>
      <c r="B19" s="5" t="s">
        <v>79</v>
      </c>
      <c r="C19" s="5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baseColWidth="10" defaultColWidth="8.88671875" defaultRowHeight="14.4" x14ac:dyDescent="0.3"/>
  <cols>
    <col min="1" max="1" width="28" customWidth="1"/>
    <col min="2" max="2" width="74" customWidth="1"/>
    <col min="3" max="3" width="38" customWidth="1"/>
  </cols>
  <sheetData>
    <row r="1" spans="1:3" x14ac:dyDescent="0.3">
      <c r="A1" s="3" t="s">
        <v>81</v>
      </c>
    </row>
    <row r="2" spans="1:3" x14ac:dyDescent="0.3">
      <c r="A2" s="4" t="s">
        <v>82</v>
      </c>
    </row>
    <row r="3" spans="1:3" x14ac:dyDescent="0.3">
      <c r="A3" s="4" t="s">
        <v>83</v>
      </c>
    </row>
    <row r="5" spans="1:3" x14ac:dyDescent="0.3">
      <c r="A5" s="1" t="s">
        <v>36</v>
      </c>
      <c r="B5" s="1" t="s">
        <v>84</v>
      </c>
      <c r="C5" s="1" t="s">
        <v>85</v>
      </c>
    </row>
    <row r="6" spans="1:3" ht="26.4" x14ac:dyDescent="0.3">
      <c r="A6" s="5" t="s">
        <v>86</v>
      </c>
      <c r="B6" s="5" t="s">
        <v>87</v>
      </c>
      <c r="C6" s="5" t="s">
        <v>88</v>
      </c>
    </row>
    <row r="7" spans="1:3" ht="39.6" x14ac:dyDescent="0.3">
      <c r="A7" s="5" t="s">
        <v>89</v>
      </c>
      <c r="B7" s="5" t="s">
        <v>90</v>
      </c>
      <c r="C7" s="5" t="s">
        <v>91</v>
      </c>
    </row>
    <row r="8" spans="1:3" x14ac:dyDescent="0.3">
      <c r="A8" s="5" t="s">
        <v>92</v>
      </c>
      <c r="B8" s="5" t="s">
        <v>93</v>
      </c>
      <c r="C8" s="5" t="s">
        <v>94</v>
      </c>
    </row>
    <row r="9" spans="1:3" x14ac:dyDescent="0.3">
      <c r="A9" s="5" t="s">
        <v>95</v>
      </c>
      <c r="B9" s="5" t="s">
        <v>96</v>
      </c>
      <c r="C9" s="5" t="s">
        <v>97</v>
      </c>
    </row>
    <row r="10" spans="1:3" x14ac:dyDescent="0.3">
      <c r="A10" s="5" t="s">
        <v>98</v>
      </c>
      <c r="B10" s="5" t="s">
        <v>99</v>
      </c>
      <c r="C10" s="5" t="s">
        <v>100</v>
      </c>
    </row>
    <row r="11" spans="1:3" ht="26.4" x14ac:dyDescent="0.3">
      <c r="A11" s="5" t="s">
        <v>101</v>
      </c>
      <c r="B11" s="5" t="s">
        <v>102</v>
      </c>
      <c r="C11" s="5" t="s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baseColWidth="10" defaultColWidth="8.88671875" defaultRowHeight="14.4" x14ac:dyDescent="0.3"/>
  <cols>
    <col min="1" max="1" width="28" customWidth="1"/>
    <col min="2" max="2" width="84" customWidth="1"/>
    <col min="3" max="3" width="30" customWidth="1"/>
  </cols>
  <sheetData>
    <row r="1" spans="1:3" x14ac:dyDescent="0.3">
      <c r="A1" s="3" t="s">
        <v>104</v>
      </c>
    </row>
    <row r="2" spans="1:3" x14ac:dyDescent="0.3">
      <c r="A2" s="4" t="s">
        <v>105</v>
      </c>
    </row>
    <row r="3" spans="1:3" x14ac:dyDescent="0.3">
      <c r="A3" s="4" t="s">
        <v>106</v>
      </c>
    </row>
    <row r="5" spans="1:3" x14ac:dyDescent="0.3">
      <c r="A5" s="1" t="s">
        <v>36</v>
      </c>
      <c r="B5" s="1" t="s">
        <v>107</v>
      </c>
      <c r="C5" s="1" t="s">
        <v>38</v>
      </c>
    </row>
    <row r="6" spans="1:3" ht="26.4" x14ac:dyDescent="0.3">
      <c r="A6" s="5" t="s">
        <v>108</v>
      </c>
      <c r="B6" s="5" t="s">
        <v>109</v>
      </c>
      <c r="C6" s="5" t="s">
        <v>110</v>
      </c>
    </row>
    <row r="7" spans="1:3" x14ac:dyDescent="0.3">
      <c r="A7" s="5" t="s">
        <v>111</v>
      </c>
      <c r="B7" s="5" t="s">
        <v>112</v>
      </c>
      <c r="C7" s="5" t="s">
        <v>113</v>
      </c>
    </row>
    <row r="8" spans="1:3" x14ac:dyDescent="0.3">
      <c r="A8" s="5" t="s">
        <v>114</v>
      </c>
      <c r="B8" s="5" t="s">
        <v>115</v>
      </c>
      <c r="C8" s="5" t="s">
        <v>116</v>
      </c>
    </row>
    <row r="9" spans="1:3" x14ac:dyDescent="0.3">
      <c r="A9" s="5" t="s">
        <v>117</v>
      </c>
      <c r="B9" s="5" t="s">
        <v>118</v>
      </c>
      <c r="C9" s="5" t="s">
        <v>119</v>
      </c>
    </row>
    <row r="10" spans="1:3" ht="26.4" x14ac:dyDescent="0.3">
      <c r="A10" s="5" t="s">
        <v>120</v>
      </c>
      <c r="B10" s="5" t="s">
        <v>121</v>
      </c>
      <c r="C10" s="5" t="s">
        <v>122</v>
      </c>
    </row>
    <row r="11" spans="1:3" x14ac:dyDescent="0.3">
      <c r="A11" s="5" t="s">
        <v>123</v>
      </c>
      <c r="B11" s="5" t="s">
        <v>124</v>
      </c>
      <c r="C11" s="5" t="s">
        <v>56</v>
      </c>
    </row>
    <row r="12" spans="1:3" x14ac:dyDescent="0.3">
      <c r="A12" s="5" t="s">
        <v>125</v>
      </c>
      <c r="B12" s="5" t="s">
        <v>126</v>
      </c>
      <c r="C12" s="5" t="s">
        <v>127</v>
      </c>
    </row>
    <row r="13" spans="1:3" ht="26.4" x14ac:dyDescent="0.3">
      <c r="A13" s="5" t="s">
        <v>128</v>
      </c>
      <c r="B13" s="5" t="s">
        <v>129</v>
      </c>
      <c r="C13" s="5" t="s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/>
  </sheetViews>
  <sheetFormatPr baseColWidth="10" defaultColWidth="8.88671875" defaultRowHeight="14.4" x14ac:dyDescent="0.3"/>
  <cols>
    <col min="1" max="1" width="30" customWidth="1"/>
    <col min="2" max="2" width="74" customWidth="1"/>
    <col min="3" max="3" width="34" customWidth="1"/>
  </cols>
  <sheetData>
    <row r="1" spans="1:3" x14ac:dyDescent="0.3">
      <c r="A1" s="3" t="s">
        <v>131</v>
      </c>
    </row>
    <row r="2" spans="1:3" x14ac:dyDescent="0.3">
      <c r="A2" s="4" t="s">
        <v>132</v>
      </c>
    </row>
    <row r="3" spans="1:3" x14ac:dyDescent="0.3">
      <c r="A3" s="4" t="s">
        <v>133</v>
      </c>
    </row>
    <row r="5" spans="1:3" x14ac:dyDescent="0.3">
      <c r="A5" s="1" t="s">
        <v>3</v>
      </c>
      <c r="B5" s="1" t="s">
        <v>4</v>
      </c>
      <c r="C5" s="1" t="s">
        <v>134</v>
      </c>
    </row>
    <row r="6" spans="1:3" x14ac:dyDescent="0.3">
      <c r="A6" s="5" t="s">
        <v>135</v>
      </c>
      <c r="B6" s="5" t="s">
        <v>136</v>
      </c>
      <c r="C6" s="5" t="s">
        <v>137</v>
      </c>
    </row>
    <row r="7" spans="1:3" x14ac:dyDescent="0.3">
      <c r="A7" s="5" t="s">
        <v>138</v>
      </c>
      <c r="B7" s="5" t="s">
        <v>139</v>
      </c>
      <c r="C7" s="5" t="s">
        <v>140</v>
      </c>
    </row>
    <row r="8" spans="1:3" x14ac:dyDescent="0.3">
      <c r="A8" s="5" t="s">
        <v>141</v>
      </c>
      <c r="B8" s="5" t="s">
        <v>142</v>
      </c>
      <c r="C8" s="5" t="s">
        <v>143</v>
      </c>
    </row>
    <row r="9" spans="1:3" x14ac:dyDescent="0.3">
      <c r="A9" s="5" t="s">
        <v>144</v>
      </c>
      <c r="B9" s="5" t="s">
        <v>145</v>
      </c>
      <c r="C9" s="5" t="s">
        <v>146</v>
      </c>
    </row>
    <row r="10" spans="1:3" ht="26.4" x14ac:dyDescent="0.3">
      <c r="A10" s="5" t="s">
        <v>147</v>
      </c>
      <c r="B10" s="5" t="s">
        <v>148</v>
      </c>
      <c r="C10" s="5" t="s">
        <v>149</v>
      </c>
    </row>
    <row r="11" spans="1:3" ht="26.4" x14ac:dyDescent="0.3">
      <c r="A11" s="5" t="s">
        <v>150</v>
      </c>
      <c r="B11" s="5" t="s">
        <v>151</v>
      </c>
      <c r="C11" s="5" t="s">
        <v>152</v>
      </c>
    </row>
    <row r="12" spans="1:3" x14ac:dyDescent="0.3">
      <c r="A12" s="5" t="s">
        <v>153</v>
      </c>
      <c r="B12" s="5" t="s">
        <v>154</v>
      </c>
      <c r="C12" s="5" t="s">
        <v>155</v>
      </c>
    </row>
    <row r="13" spans="1:3" ht="26.4" x14ac:dyDescent="0.3">
      <c r="A13" s="5" t="s">
        <v>156</v>
      </c>
      <c r="B13" s="5" t="s">
        <v>157</v>
      </c>
      <c r="C13" s="5" t="s">
        <v>158</v>
      </c>
    </row>
    <row r="14" spans="1:3" x14ac:dyDescent="0.3">
      <c r="A14" s="5" t="s">
        <v>159</v>
      </c>
      <c r="B14" s="5" t="s">
        <v>160</v>
      </c>
      <c r="C14" s="5" t="s">
        <v>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workbookViewId="0"/>
  </sheetViews>
  <sheetFormatPr baseColWidth="10" defaultColWidth="8.88671875" defaultRowHeight="14.4" x14ac:dyDescent="0.3"/>
  <cols>
    <col min="1" max="1" width="26" customWidth="1"/>
    <col min="2" max="2" width="12" customWidth="1"/>
    <col min="3" max="3" width="10" customWidth="1"/>
    <col min="4" max="4" width="12" customWidth="1"/>
    <col min="5" max="5" width="30" customWidth="1"/>
    <col min="6" max="6" width="40" customWidth="1"/>
  </cols>
  <sheetData>
    <row r="1" spans="1:6" x14ac:dyDescent="0.3">
      <c r="A1" s="3" t="s">
        <v>162</v>
      </c>
    </row>
    <row r="2" spans="1:6" x14ac:dyDescent="0.3">
      <c r="A2" s="4" t="s">
        <v>163</v>
      </c>
    </row>
    <row r="3" spans="1:6" x14ac:dyDescent="0.3">
      <c r="A3" s="4" t="s">
        <v>164</v>
      </c>
    </row>
    <row r="5" spans="1:6" x14ac:dyDescent="0.3">
      <c r="A5" s="1" t="s">
        <v>165</v>
      </c>
      <c r="B5" s="1" t="s">
        <v>166</v>
      </c>
      <c r="C5" s="1" t="s">
        <v>167</v>
      </c>
      <c r="D5" s="1" t="s">
        <v>168</v>
      </c>
      <c r="E5" s="1" t="s">
        <v>169</v>
      </c>
      <c r="F5" s="1" t="s">
        <v>170</v>
      </c>
    </row>
    <row r="6" spans="1:6" x14ac:dyDescent="0.3">
      <c r="A6" s="4" t="s">
        <v>171</v>
      </c>
      <c r="B6" s="6">
        <f>IF(ISBLANK(INDEX(Results_Long!$M$2:$M$201,MATCH("C1|paris_mid|defined_classified|interaction_HTZ",Results_Long!$AK$2:$AK$201,0))),"n.e.",INDEX(Results_Long!$M$2:$M$201,MATCH("C1|paris_mid|defined_classified|interaction_HTZ",Results_Long!$AK$2:$AK$201,0)))</f>
        <v>4.5435596686911</v>
      </c>
      <c r="C6" s="7">
        <f>IF(ISBLANK(INDEX(Results_Long!$N$2:$N$201,MATCH("C1|paris_mid|defined_classified|interaction_HTZ",Results_Long!$AK$2:$AK$201,0))),"n.e.",INDEX(Results_Long!$N$2:$N$201,MATCH("C1|paris_mid|defined_classified|interaction_HTZ",Results_Long!$AK$2:$AK$201,0)))</f>
        <v>6.0016344199222003</v>
      </c>
      <c r="D6" s="8">
        <f>IF(ISBLANK(INDEX(Results_Long!$O$2:$O$201,MATCH("C1|paris_mid|defined_classified|interaction_HTZ",Results_Long!$AK$2:$AK$201,0))),"—",INDEX(Results_Long!$O$2:$O$201,MATCH("C1|paris_mid|defined_classified|interaction_HTZ",Results_Long!$AK$2:$AK$201,0)))</f>
        <v>7.70303896047842E-2</v>
      </c>
      <c r="E6" s="4" t="str">
        <f>IF(ISNUMBER(SEARCH("&lt;3-cluster",INDEX(Results_Long!$AJ$2:$AJ$201,MATCH("C1|paris_mid|defined_classified|interaction_HTZ",Results_Long!$AK$2:$AK$201,0)))),"touches &lt;3-cluster cell","")</f>
        <v/>
      </c>
      <c r="F6" s="4" t="s">
        <v>172</v>
      </c>
    </row>
    <row r="7" spans="1:6" x14ac:dyDescent="0.3">
      <c r="A7" s="4" t="s">
        <v>173</v>
      </c>
      <c r="B7" s="6">
        <f>IF(ISBLANK(INDEX(Results_Long!$M$2:$M$201,MATCH("C2|paris_mid|defined_classified|interaction_HTZ",Results_Long!$AK$2:$AK$201,0))),"n.e.",INDEX(Results_Long!$M$2:$M$201,MATCH("C2|paris_mid|defined_classified|interaction_HTZ",Results_Long!$AK$2:$AK$201,0)))</f>
        <v>0.38881645836244899</v>
      </c>
      <c r="C7" s="7">
        <f>IF(ISBLANK(INDEX(Results_Long!$N$2:$N$201,MATCH("C2|paris_mid|defined_classified|interaction_HTZ",Results_Long!$AK$2:$AK$201,0))),"n.e.",INDEX(Results_Long!$N$2:$N$201,MATCH("C2|paris_mid|defined_classified|interaction_HTZ",Results_Long!$AK$2:$AK$201,0)))</f>
        <v>3.0916267241775399</v>
      </c>
      <c r="D7" s="8">
        <f>IF(ISBLANK(INDEX(Results_Long!$O$2:$O$201,MATCH("C2|paris_mid|defined_classified|interaction_HTZ",Results_Long!$AK$2:$AK$201,0))),"—",INDEX(Results_Long!$O$2:$O$201,MATCH("C2|paris_mid|defined_classified|interaction_HTZ",Results_Long!$AK$2:$AK$201,0)))</f>
        <v>0.70692717610632005</v>
      </c>
      <c r="E7" s="4" t="str">
        <f>IF(ISNUMBER(SEARCH("&lt;3-cluster",INDEX(Results_Long!$AJ$2:$AJ$201,MATCH("C2|paris_mid|defined_classified|interaction_HTZ",Results_Long!$AK$2:$AK$201,0)))),"touches &lt;3-cluster cell","")</f>
        <v/>
      </c>
      <c r="F7" s="4" t="s">
        <v>174</v>
      </c>
    </row>
    <row r="8" spans="1:6" x14ac:dyDescent="0.3">
      <c r="A8" s="4" t="s">
        <v>175</v>
      </c>
      <c r="B8" s="6">
        <f>IF(ISBLANK(INDEX(Results_Long!$M$2:$M$201,MATCH("C3|paris_mid|defined_classified|interaction_HTZ",Results_Long!$AK$2:$AK$201,0))),"n.e.",INDEX(Results_Long!$M$2:$M$201,MATCH("C3|paris_mid|defined_classified|interaction_HTZ",Results_Long!$AK$2:$AK$201,0)))</f>
        <v>0.15811513753064499</v>
      </c>
      <c r="C8" s="7">
        <f>IF(ISBLANK(INDEX(Results_Long!$N$2:$N$201,MATCH("C3|paris_mid|defined_classified|interaction_HTZ",Results_Long!$AK$2:$AK$201,0))),"n.e.",INDEX(Results_Long!$N$2:$N$201,MATCH("C3|paris_mid|defined_classified|interaction_HTZ",Results_Long!$AK$2:$AK$201,0)))</f>
        <v>8.7855307947703096</v>
      </c>
      <c r="D8" s="8">
        <f>IF(ISBLANK(INDEX(Results_Long!$O$2:$O$201,MATCH("C3|paris_mid|defined_classified|interaction_HTZ",Results_Long!$AK$2:$AK$201,0))),"—",INDEX(Results_Long!$O$2:$O$201,MATCH("C3|paris_mid|defined_classified|interaction_HTZ",Results_Long!$AK$2:$AK$201,0)))</f>
        <v>0.70038592129771704</v>
      </c>
      <c r="E8" s="4" t="str">
        <f>IF(ISNUMBER(SEARCH("&lt;3-cluster",INDEX(Results_Long!$AJ$2:$AJ$201,MATCH("C3|paris_mid|defined_classified|interaction_HTZ",Results_Long!$AK$2:$AK$201,0)))),"touches &lt;3-cluster cell","")</f>
        <v/>
      </c>
      <c r="F8" s="4" t="s">
        <v>176</v>
      </c>
    </row>
    <row r="9" spans="1:6" x14ac:dyDescent="0.3">
      <c r="A9" s="4" t="s">
        <v>177</v>
      </c>
      <c r="B9" s="6">
        <f>IF(ISBLANK(INDEX(Results_Long!$M$2:$M$201,MATCH("C4|paris_mid|defined_classified|interaction_HTZ",Results_Long!$AK$2:$AK$201,0))),"n.e.",INDEX(Results_Long!$M$2:$M$201,MATCH("C4|paris_mid|defined_classified|interaction_HTZ",Results_Long!$AK$2:$AK$201,0)))</f>
        <v>0.83663291803911799</v>
      </c>
      <c r="C9" s="7">
        <f>IF(ISBLANK(INDEX(Results_Long!$N$2:$N$201,MATCH("C4|paris_mid|defined_classified|interaction_HTZ",Results_Long!$AK$2:$AK$201,0))),"n.e.",INDEX(Results_Long!$N$2:$N$201,MATCH("C4|paris_mid|defined_classified|interaction_HTZ",Results_Long!$AK$2:$AK$201,0)))</f>
        <v>9.4938296622392393</v>
      </c>
      <c r="D9" s="8">
        <f>IF(ISBLANK(INDEX(Results_Long!$O$2:$O$201,MATCH("C4|paris_mid|defined_classified|interaction_HTZ",Results_Long!$AK$2:$AK$201,0))),"—",INDEX(Results_Long!$O$2:$O$201,MATCH("C4|paris_mid|defined_classified|interaction_HTZ",Results_Long!$AK$2:$AK$201,0)))</f>
        <v>0.38300480674195297</v>
      </c>
      <c r="E9" s="4" t="str">
        <f>IF(ISNUMBER(SEARCH("&lt;3-cluster",INDEX(Results_Long!$AJ$2:$AJ$201,MATCH("C4|paris_mid|defined_classified|interaction_HTZ",Results_Long!$AK$2:$AK$201,0)))),"touches &lt;3-cluster cell","")</f>
        <v/>
      </c>
      <c r="F9" s="4" t="s">
        <v>60</v>
      </c>
    </row>
    <row r="10" spans="1:6" x14ac:dyDescent="0.3">
      <c r="A10" s="4" t="s">
        <v>178</v>
      </c>
      <c r="B10" s="6">
        <f>IF(ISBLANK(INDEX(Results_Long!$M$2:$M$201,MATCH("C5|paris_mid|defined_classified|interaction_HTZ",Results_Long!$AK$2:$AK$201,0))),"n.e.",INDEX(Results_Long!$M$2:$M$201,MATCH("C5|paris_mid|defined_classified|interaction_HTZ",Results_Long!$AK$2:$AK$201,0)))</f>
        <v>0.460620685132967</v>
      </c>
      <c r="C10" s="7">
        <f>IF(ISBLANK(INDEX(Results_Long!$N$2:$N$201,MATCH("C5|paris_mid|defined_classified|interaction_HTZ",Results_Long!$AK$2:$AK$201,0))),"n.e.",INDEX(Results_Long!$N$2:$N$201,MATCH("C5|paris_mid|defined_classified|interaction_HTZ",Results_Long!$AK$2:$AK$201,0)))</f>
        <v>3.3629018691472798</v>
      </c>
      <c r="D10" s="8">
        <f>IF(ISBLANK(INDEX(Results_Long!$O$2:$O$201,MATCH("C5|paris_mid|defined_classified|interaction_HTZ",Results_Long!$AK$2:$AK$201,0))),"—",INDEX(Results_Long!$O$2:$O$201,MATCH("C5|paris_mid|defined_classified|interaction_HTZ",Results_Long!$AK$2:$AK$201,0)))</f>
        <v>0.66557314454793903</v>
      </c>
      <c r="E10" s="4" t="str">
        <f>IF(ISNUMBER(SEARCH("&lt;3-cluster",INDEX(Results_Long!$AJ$2:$AJ$201,MATCH("C5|paris_mid|defined_classified|interaction_HTZ",Results_Long!$AK$2:$AK$201,0)))),"touches &lt;3-cluster cell","")</f>
        <v>touches &lt;3-cluster cell</v>
      </c>
      <c r="F10" s="4" t="s">
        <v>179</v>
      </c>
    </row>
    <row r="11" spans="1:6" x14ac:dyDescent="0.3">
      <c r="A11" s="4" t="s">
        <v>180</v>
      </c>
      <c r="B11" s="6">
        <f>IF(ISBLANK(INDEX(Results_Long!$M$2:$M$201,MATCH("C6|paris_mid|defined_classified|interaction_HTZ",Results_Long!$AK$2:$AK$201,0))),"n.e.",INDEX(Results_Long!$M$2:$M$201,MATCH("C6|paris_mid|defined_classified|interaction_HTZ",Results_Long!$AK$2:$AK$201,0)))</f>
        <v>3.4928387564258498</v>
      </c>
      <c r="C11" s="7">
        <f>IF(ISBLANK(INDEX(Results_Long!$N$2:$N$201,MATCH("C6|paris_mid|defined_classified|interaction_HTZ",Results_Long!$AK$2:$AK$201,0))),"n.e.",INDEX(Results_Long!$N$2:$N$201,MATCH("C6|paris_mid|defined_classified|interaction_HTZ",Results_Long!$AK$2:$AK$201,0)))</f>
        <v>2.2032508224695602</v>
      </c>
      <c r="D11" s="8">
        <f>IF(ISBLANK(INDEX(Results_Long!$O$2:$O$201,MATCH("C6|paris_mid|defined_classified|interaction_HTZ",Results_Long!$AK$2:$AK$201,0))),"—",INDEX(Results_Long!$O$2:$O$201,MATCH("C6|paris_mid|defined_classified|interaction_HTZ",Results_Long!$AK$2:$AK$201,0)))</f>
        <v>0.190734705682579</v>
      </c>
      <c r="E11" s="4" t="str">
        <f>IF(ISNUMBER(SEARCH("&lt;3-cluster",INDEX(Results_Long!$AJ$2:$AJ$201,MATCH("C6|paris_mid|defined_classified|interaction_HTZ",Results_Long!$AK$2:$AK$201,0)))),"touches &lt;3-cluster cell","")</f>
        <v/>
      </c>
      <c r="F11" s="4" t="s">
        <v>181</v>
      </c>
    </row>
    <row r="12" spans="1:6" x14ac:dyDescent="0.3">
      <c r="A12" s="4" t="s">
        <v>182</v>
      </c>
      <c r="B12" s="6">
        <f>IF(ISBLANK(INDEX(Results_Long!$M$2:$M$201,MATCH("C7|paris_mid|defined_classified|interaction_HTZ",Results_Long!$AK$2:$AK$201,0))),"n.e.",INDEX(Results_Long!$M$2:$M$201,MATCH("C7|paris_mid|defined_classified|interaction_HTZ",Results_Long!$AK$2:$AK$201,0)))</f>
        <v>6.7668186649652004E-2</v>
      </c>
      <c r="C12" s="7">
        <f>IF(ISBLANK(INDEX(Results_Long!$N$2:$N$201,MATCH("C7|paris_mid|defined_classified|interaction_HTZ",Results_Long!$AK$2:$AK$201,0))),"n.e.",INDEX(Results_Long!$N$2:$N$201,MATCH("C7|paris_mid|defined_classified|interaction_HTZ",Results_Long!$AK$2:$AK$201,0)))</f>
        <v>13.146307808171001</v>
      </c>
      <c r="D12" s="8">
        <f>IF(ISBLANK(INDEX(Results_Long!$O$2:$O$201,MATCH("C7|paris_mid|defined_classified|interaction_HTZ",Results_Long!$AK$2:$AK$201,0))),"—",INDEX(Results_Long!$O$2:$O$201,MATCH("C7|paris_mid|defined_classified|interaction_HTZ",Results_Long!$AK$2:$AK$201,0)))</f>
        <v>0.79879241700975401</v>
      </c>
      <c r="E12" s="4" t="str">
        <f>IF(ISNUMBER(SEARCH("&lt;3-cluster",INDEX(Results_Long!$AJ$2:$AJ$201,MATCH("C7|paris_mid|defined_classified|interaction_HTZ",Results_Long!$AK$2:$AK$201,0)))),"touches &lt;3-cluster cell","")</f>
        <v/>
      </c>
      <c r="F12" s="4" t="s">
        <v>183</v>
      </c>
    </row>
    <row r="13" spans="1:6" x14ac:dyDescent="0.3">
      <c r="A13" s="4" t="s">
        <v>184</v>
      </c>
      <c r="B13" s="6">
        <f>IF(ISBLANK(INDEX(Results_Long!$M$2:$M$201,MATCH("C8|paris_mid|defined_classified|interaction_HTZ",Results_Long!$AK$2:$AK$201,0))),"n.e.",INDEX(Results_Long!$M$2:$M$201,MATCH("C8|paris_mid|defined_classified|interaction_HTZ",Results_Long!$AK$2:$AK$201,0)))</f>
        <v>0.44248965342796398</v>
      </c>
      <c r="C13" s="7">
        <f>IF(ISBLANK(INDEX(Results_Long!$N$2:$N$201,MATCH("C8|paris_mid|defined_classified|interaction_HTZ",Results_Long!$AK$2:$AK$201,0))),"n.e.",INDEX(Results_Long!$N$2:$N$201,MATCH("C8|paris_mid|defined_classified|interaction_HTZ",Results_Long!$AK$2:$AK$201,0)))</f>
        <v>1.21422097526166</v>
      </c>
      <c r="D13" s="8">
        <f>IF(ISBLANK(INDEX(Results_Long!$O$2:$O$201,MATCH("C8|paris_mid|defined_classified|interaction_HTZ",Results_Long!$AK$2:$AK$201,0))),"—",INDEX(Results_Long!$O$2:$O$201,MATCH("C8|paris_mid|defined_classified|interaction_HTZ",Results_Long!$AK$2:$AK$201,0)))</f>
        <v>0.60963824939466005</v>
      </c>
      <c r="E13" s="4" t="str">
        <f>IF(ISNUMBER(SEARCH("&lt;3-cluster",INDEX(Results_Long!$AJ$2:$AJ$201,MATCH("C8|paris_mid|defined_classified|interaction_HTZ",Results_Long!$AK$2:$AK$201,0)))),"touches &lt;3-cluster cell","")</f>
        <v>touches &lt;3-cluster cell</v>
      </c>
      <c r="F13" s="4" t="s">
        <v>185</v>
      </c>
    </row>
    <row r="15" spans="1:6" x14ac:dyDescent="0.3">
      <c r="A15" s="3" t="s">
        <v>186</v>
      </c>
      <c r="D15" s="8">
        <f>IF(ISBLANK(INDEX(Results_Long!$AG$2:$AG$201,MATCH("C_family|multiplicity|defined_classified|interaction_HTZ_holm",Results_Long!$AK$2:$AK$201,0))),"n.e.",INDEX(Results_Long!$AG$2:$AG$201,MATCH("C_family|multiplicity|defined_classified|interaction_HTZ_holm",Results_Long!$AK$2:$AK$201,0)))</f>
        <v>0.61624311683827404</v>
      </c>
      <c r="E15" s="4" t="s">
        <v>187</v>
      </c>
    </row>
    <row r="17" spans="1:2" x14ac:dyDescent="0.3">
      <c r="A17" s="1" t="s">
        <v>188</v>
      </c>
    </row>
    <row r="18" spans="1:2" x14ac:dyDescent="0.3">
      <c r="A18" s="4" t="s">
        <v>189</v>
      </c>
    </row>
    <row r="19" spans="1:2" x14ac:dyDescent="0.3">
      <c r="A19" s="4" t="s">
        <v>190</v>
      </c>
    </row>
    <row r="20" spans="1:2" x14ac:dyDescent="0.3">
      <c r="A20" s="4" t="s">
        <v>191</v>
      </c>
    </row>
    <row r="22" spans="1:2" x14ac:dyDescent="0.3">
      <c r="A22" s="1" t="s">
        <v>192</v>
      </c>
      <c r="B22" s="1" t="s">
        <v>193</v>
      </c>
    </row>
    <row r="23" spans="1:2" ht="198" x14ac:dyDescent="0.3">
      <c r="A23" s="5" t="s">
        <v>194</v>
      </c>
      <c r="B23" s="5" t="s">
        <v>195</v>
      </c>
    </row>
    <row r="24" spans="1:2" ht="224.4" x14ac:dyDescent="0.3">
      <c r="A24" s="5" t="s">
        <v>196</v>
      </c>
      <c r="B24" s="5" t="s">
        <v>197</v>
      </c>
    </row>
    <row r="25" spans="1:2" ht="145.19999999999999" x14ac:dyDescent="0.3">
      <c r="A25" s="5" t="s">
        <v>198</v>
      </c>
      <c r="B25" s="5" t="s">
        <v>199</v>
      </c>
    </row>
    <row r="27" spans="1:2" ht="105.6" x14ac:dyDescent="0.3">
      <c r="A27" s="9" t="s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1"/>
  <sheetViews>
    <sheetView workbookViewId="0"/>
  </sheetViews>
  <sheetFormatPr baseColWidth="10" defaultColWidth="8.88671875" defaultRowHeight="14.4" x14ac:dyDescent="0.3"/>
  <cols>
    <col min="1" max="1" width="30" customWidth="1"/>
    <col min="2" max="6" width="12" customWidth="1"/>
    <col min="7" max="7" width="26" customWidth="1"/>
  </cols>
  <sheetData>
    <row r="1" spans="1:7" x14ac:dyDescent="0.3">
      <c r="A1" s="3" t="s">
        <v>201</v>
      </c>
    </row>
    <row r="2" spans="1:7" x14ac:dyDescent="0.3">
      <c r="A2" s="4" t="s">
        <v>202</v>
      </c>
    </row>
    <row r="3" spans="1:7" x14ac:dyDescent="0.3">
      <c r="A3" s="4" t="s">
        <v>203</v>
      </c>
    </row>
    <row r="5" spans="1:7" x14ac:dyDescent="0.3">
      <c r="A5" s="1" t="s">
        <v>204</v>
      </c>
      <c r="B5" s="1"/>
      <c r="C5" s="1"/>
      <c r="D5" s="1"/>
      <c r="E5" s="1"/>
      <c r="F5" s="1"/>
      <c r="G5" s="1"/>
    </row>
    <row r="6" spans="1:7" x14ac:dyDescent="0.3">
      <c r="A6" s="1" t="s">
        <v>205</v>
      </c>
      <c r="B6" s="1" t="s">
        <v>206</v>
      </c>
      <c r="C6" s="1" t="s">
        <v>207</v>
      </c>
      <c r="D6" s="1" t="s">
        <v>208</v>
      </c>
      <c r="E6" s="1" t="s">
        <v>209</v>
      </c>
      <c r="F6" s="1" t="s">
        <v>210</v>
      </c>
      <c r="G6" s="1" t="s">
        <v>167</v>
      </c>
    </row>
    <row r="7" spans="1:7" x14ac:dyDescent="0.3">
      <c r="A7" s="4" t="s">
        <v>211</v>
      </c>
      <c r="B7" s="8">
        <f>IF(ISBLANK(INDEX(Results_Long!$T$2:$T$201,MATCH("C1|levels|classified|lvl::performance",Results_Long!$AK$2:$AK$201,0))),"n.e.",INDEX(Results_Long!$T$2:$T$201,MATCH("C1|levels|classified|lvl::performance",Results_Long!$AK$2:$AK$201,0)))</f>
        <v>-5.58216767260757E-2</v>
      </c>
      <c r="C7" s="8">
        <f>IF(ISBLANK(INDEX(Results_Long!$U$2:$U$201,MATCH("C1|levels|classified|lvl::performance",Results_Long!$AK$2:$AK$201,0))),"n.e.",INDEX(Results_Long!$U$2:$U$201,MATCH("C1|levels|classified|lvl::performance",Results_Long!$AK$2:$AK$201,0)))</f>
        <v>-8.46267230031056E-2</v>
      </c>
      <c r="D7" s="8">
        <f>IF(ISBLANK(INDEX(Results_Long!$V$2:$V$201,MATCH("C1|levels|classified|lvl::performance",Results_Long!$AK$2:$AK$201,0))),"n.e.",INDEX(Results_Long!$V$2:$V$201,MATCH("C1|levels|classified|lvl::performance",Results_Long!$AK$2:$AK$201,0)))</f>
        <v>-2.69234062410693E-2</v>
      </c>
      <c r="E7" s="8">
        <f>IF(ISBLANK(INDEX(Results_Long!$W$2:$W$201,MATCH("C1|levels|classified|lvl::performance",Results_Long!$AK$2:$AK$201,0))),"n.e.",INDEX(Results_Long!$W$2:$W$201,MATCH("C1|levels|classified|lvl::performance",Results_Long!$AK$2:$AK$201,0)))</f>
        <v>-0.38826483887033297</v>
      </c>
      <c r="F7" s="8">
        <f>IF(ISBLANK(INDEX(Results_Long!$X$2:$X$201,MATCH("C1|levels|classified|lvl::performance",Results_Long!$AK$2:$AK$201,0))),"n.e.",INDEX(Results_Long!$X$2:$X$201,MATCH("C1|levels|classified|lvl::performance",Results_Long!$AK$2:$AK$201,0)))</f>
        <v>0.28947734209984499</v>
      </c>
      <c r="G7" s="7">
        <f>IF(ISBLANK(INDEX(Results_Long!$N$2:$N$201,MATCH("C1|levels|classified|lvl::performance",Results_Long!$AK$2:$AK$201,0))),"n.e.",INDEX(Results_Long!$N$2:$N$201,MATCH("C1|levels|classified|lvl::performance",Results_Long!$AK$2:$AK$201,0)))</f>
        <v>109.559008849088</v>
      </c>
    </row>
    <row r="8" spans="1:7" x14ac:dyDescent="0.3">
      <c r="A8" s="4" t="s">
        <v>212</v>
      </c>
      <c r="B8" s="8">
        <f>IF(ISBLANK(INDEX(Results_Long!$T$2:$T$201,MATCH("C1|levels|classified|lvl::disclosure",Results_Long!$AK$2:$AK$201,0))),"n.e.",INDEX(Results_Long!$T$2:$T$201,MATCH("C1|levels|classified|lvl::disclosure",Results_Long!$AK$2:$AK$201,0)))</f>
        <v>-6.8460526053343504E-2</v>
      </c>
      <c r="C8" s="8">
        <f>IF(ISBLANK(INDEX(Results_Long!$U$2:$U$201,MATCH("C1|levels|classified|lvl::disclosure",Results_Long!$AK$2:$AK$201,0))),"n.e.",INDEX(Results_Long!$U$2:$U$201,MATCH("C1|levels|classified|lvl::disclosure",Results_Long!$AK$2:$AK$201,0)))</f>
        <v>-0.102838009135074</v>
      </c>
      <c r="D8" s="8">
        <f>IF(ISBLANK(INDEX(Results_Long!$V$2:$V$201,MATCH("C1|levels|classified|lvl::disclosure",Results_Long!$AK$2:$AK$201,0))),"n.e.",INDEX(Results_Long!$V$2:$V$201,MATCH("C1|levels|classified|lvl::disclosure",Results_Long!$AK$2:$AK$201,0)))</f>
        <v>-3.3919693640875499E-2</v>
      </c>
      <c r="E8" s="8">
        <f>IF(ISBLANK(INDEX(Results_Long!$W$2:$W$201,MATCH("C1|levels|classified|lvl::disclosure",Results_Long!$AK$2:$AK$201,0))),"n.e.",INDEX(Results_Long!$W$2:$W$201,MATCH("C1|levels|classified|lvl::disclosure",Results_Long!$AK$2:$AK$201,0)))</f>
        <v>-0.40271440507101203</v>
      </c>
      <c r="F8" s="8">
        <f>IF(ISBLANK(INDEX(Results_Long!$X$2:$X$201,MATCH("C1|levels|classified|lvl::disclosure",Results_Long!$AK$2:$AK$201,0))),"n.e.",INDEX(Results_Long!$X$2:$X$201,MATCH("C1|levels|classified|lvl::disclosure",Results_Long!$AK$2:$AK$201,0)))</f>
        <v>0.28190376995898703</v>
      </c>
      <c r="G8" s="7">
        <f>IF(ISBLANK(INDEX(Results_Long!$N$2:$N$201,MATCH("C1|levels|classified|lvl::disclosure",Results_Long!$AK$2:$AK$201,0))),"n.e.",INDEX(Results_Long!$N$2:$N$201,MATCH("C1|levels|classified|lvl::disclosure",Results_Long!$AK$2:$AK$201,0)))</f>
        <v>54.9962459031264</v>
      </c>
    </row>
    <row r="10" spans="1:7" x14ac:dyDescent="0.3">
      <c r="A10" s="1" t="s">
        <v>213</v>
      </c>
      <c r="B10" s="1" t="s">
        <v>214</v>
      </c>
      <c r="C10" s="1" t="s">
        <v>215</v>
      </c>
      <c r="D10" s="1" t="s">
        <v>216</v>
      </c>
      <c r="E10" s="1" t="s">
        <v>167</v>
      </c>
      <c r="F10" s="1" t="s">
        <v>168</v>
      </c>
      <c r="G10" s="1" t="s">
        <v>217</v>
      </c>
    </row>
    <row r="11" spans="1:7" x14ac:dyDescent="0.3">
      <c r="A11" s="4" t="s">
        <v>211</v>
      </c>
      <c r="B11" s="10">
        <f>IF(ISBLANK(INDEX(Results_Long!$K$2:$K$201,MATCH("C1|paris_mid|defined_classified|diff::performance",Results_Long!$AK$2:$AK$201,0))),"n.e.",INDEX(Results_Long!$K$2:$K$201,MATCH("C1|paris_mid|defined_classified|diff::performance",Results_Long!$AK$2:$AK$201,0)))</f>
        <v>2.1593761880503399E-2</v>
      </c>
      <c r="C11" s="10">
        <f>IF(ISBLANK(INDEX(Results_Long!$P$2:$P$201,MATCH("C1|paris_mid|defined_classified|diff::performance",Results_Long!$AK$2:$AK$201,0))),"n.e.",INDEX(Results_Long!$P$2:$P$201,MATCH("C1|paris_mid|defined_classified|diff::performance",Results_Long!$AK$2:$AK$201,0)))</f>
        <v>-1.6820001151682199E-2</v>
      </c>
      <c r="D11" s="10">
        <f>IF(ISBLANK(INDEX(Results_Long!$Q$2:$Q$201,MATCH("C1|paris_mid|defined_classified|diff::performance",Results_Long!$AK$2:$AK$201,0))),"n.e.",INDEX(Results_Long!$Q$2:$Q$201,MATCH("C1|paris_mid|defined_classified|diff::performance",Results_Long!$AK$2:$AK$201,0)))</f>
        <v>6.0007524912689E-2</v>
      </c>
      <c r="E11" s="7">
        <f>IF(ISBLANK(INDEX(Results_Long!$N$2:$N$201,MATCH("C1|paris_mid|defined_classified|diff::performance",Results_Long!$AK$2:$AK$201,0))),"n.e.",INDEX(Results_Long!$N$2:$N$201,MATCH("C1|paris_mid|defined_classified|diff::performance",Results_Long!$AK$2:$AK$201,0)))</f>
        <v>14.3484924088468</v>
      </c>
      <c r="F11" s="8">
        <f>IF(ISBLANK(INDEX(Results_Long!$O$2:$O$201,MATCH("C1|paris_mid|defined_classified|diff::performance",Results_Long!$AK$2:$AK$201,0))),"—",INDEX(Results_Long!$O$2:$O$201,MATCH("C1|paris_mid|defined_classified|diff::performance",Results_Long!$AK$2:$AK$201,0)))</f>
        <v>0.248481095440161</v>
      </c>
      <c r="G11" s="4" t="str">
        <f>INDEX(Results_Long!$F$2:$F$201,MATCH("C1|paris_mid|defined_classified|diff::performance",Results_Long!$AK$2:$AK$201,0))</f>
        <v>3LMA-RVE_CR2</v>
      </c>
    </row>
    <row r="12" spans="1:7" x14ac:dyDescent="0.3">
      <c r="A12" s="4" t="s">
        <v>212</v>
      </c>
      <c r="B12" s="10">
        <f>IF(ISBLANK(INDEX(Results_Long!$K$2:$K$201,MATCH("C1|paris_mid|defined_classified|diff::disclosure",Results_Long!$AK$2:$AK$201,0))),"n.e.",INDEX(Results_Long!$K$2:$K$201,MATCH("C1|paris_mid|defined_classified|diff::disclosure",Results_Long!$AK$2:$AK$201,0)))</f>
        <v>-3.6452478532672701E-2</v>
      </c>
      <c r="C12" s="10">
        <f>IF(ISBLANK(INDEX(Results_Long!$P$2:$P$201,MATCH("C1|paris_mid|defined_classified|diff::disclosure",Results_Long!$AK$2:$AK$201,0))),"n.e.",INDEX(Results_Long!$P$2:$P$201,MATCH("C1|paris_mid|defined_classified|diff::disclosure",Results_Long!$AK$2:$AK$201,0)))</f>
        <v>-9.4282610642749107E-2</v>
      </c>
      <c r="D12" s="10">
        <f>IF(ISBLANK(INDEX(Results_Long!$Q$2:$Q$201,MATCH("C1|paris_mid|defined_classified|diff::disclosure",Results_Long!$AK$2:$AK$201,0))),"n.e.",INDEX(Results_Long!$Q$2:$Q$201,MATCH("C1|paris_mid|defined_classified|diff::disclosure",Results_Long!$AK$2:$AK$201,0)))</f>
        <v>2.1377653577403701E-2</v>
      </c>
      <c r="E12" s="7">
        <f>IF(ISBLANK(INDEX(Results_Long!$N$2:$N$201,MATCH("C1|paris_mid|defined_classified|diff::disclosure",Results_Long!$AK$2:$AK$201,0))),"n.e.",INDEX(Results_Long!$N$2:$N$201,MATCH("C1|paris_mid|defined_classified|diff::disclosure",Results_Long!$AK$2:$AK$201,0)))</f>
        <v>22.075179404221299</v>
      </c>
      <c r="F12" s="8">
        <f>IF(ISBLANK(INDEX(Results_Long!$O$2:$O$201,MATCH("C1|paris_mid|defined_classified|diff::disclosure",Results_Long!$AK$2:$AK$201,0))),"—",INDEX(Results_Long!$O$2:$O$201,MATCH("C1|paris_mid|defined_classified|diff::disclosure",Results_Long!$AK$2:$AK$201,0)))</f>
        <v>0.20467076626566699</v>
      </c>
      <c r="G12" s="4" t="str">
        <f>INDEX(Results_Long!$F$2:$F$201,MATCH("C1|paris_mid|defined_classified|diff::disclosure",Results_Long!$AK$2:$AK$201,0))</f>
        <v>3LMA-RVE_CR2</v>
      </c>
    </row>
    <row r="14" spans="1:7" x14ac:dyDescent="0.3">
      <c r="A14" s="1" t="s">
        <v>218</v>
      </c>
      <c r="B14" s="1" t="s">
        <v>219</v>
      </c>
      <c r="C14" s="1" t="s">
        <v>167</v>
      </c>
      <c r="D14" s="1" t="s">
        <v>168</v>
      </c>
      <c r="E14" s="1"/>
      <c r="F14" s="1"/>
      <c r="G14" s="1"/>
    </row>
    <row r="15" spans="1:7" x14ac:dyDescent="0.3">
      <c r="A15" s="4" t="s">
        <v>220</v>
      </c>
      <c r="B15" s="10">
        <f>IF(ISBLANK(INDEX(Results_Long!$K$2:$K$201,MATCH("C1|levels|classified|pair::performance - disclosure",Results_Long!$AK$2:$AK$201,0))),"n.e.",INDEX(Results_Long!$K$2:$K$201,MATCH("C1|levels|classified|pair::performance - disclosure",Results_Long!$AK$2:$AK$201,0)))</f>
        <v>1.2688015829561699E-2</v>
      </c>
      <c r="C15" s="7">
        <f>IF(ISBLANK(INDEX(Results_Long!$N$2:$N$201,MATCH("C1|levels|classified|pair::performance - disclosure",Results_Long!$AK$2:$AK$201,0))),"n.e.",INDEX(Results_Long!$N$2:$N$201,MATCH("C1|levels|classified|pair::performance - disclosure",Results_Long!$AK$2:$AK$201,0)))</f>
        <v>8.7257163271196099</v>
      </c>
      <c r="D15" s="8">
        <f>IF(ISBLANK(INDEX(Results_Long!$O$2:$O$201,MATCH("C1|levels|classified|pair::performance - disclosure",Results_Long!$AK$2:$AK$201,0))),"—",INDEX(Results_Long!$O$2:$O$201,MATCH("C1|levels|classified|pair::performance - disclosure",Results_Long!$AK$2:$AK$201,0)))</f>
        <v>0.427511586795499</v>
      </c>
    </row>
    <row r="17" spans="1:7" x14ac:dyDescent="0.3">
      <c r="A17" s="3" t="s">
        <v>221</v>
      </c>
      <c r="B17" s="6">
        <f>IF(ISBLANK(INDEX(Results_Long!$M$2:$M$201,MATCH("C1|levels|classified|levels_HTZ",Results_Long!$AK$2:$AK$201,0))),"n.e.",INDEX(Results_Long!$M$2:$M$201,MATCH("C1|levels|classified|levels_HTZ",Results_Long!$AK$2:$AK$201,0)))</f>
        <v>0.69247037539657796</v>
      </c>
      <c r="C17" s="7">
        <f>IF(ISBLANK(INDEX(Results_Long!$N$2:$N$201,MATCH("C1|levels|classified|levels_HTZ",Results_Long!$AK$2:$AK$201,0))),"n.e.",INDEX(Results_Long!$N$2:$N$201,MATCH("C1|levels|classified|levels_HTZ",Results_Long!$AK$2:$AK$201,0)))</f>
        <v>8.7257163271196099</v>
      </c>
      <c r="D17" s="8">
        <f>IF(ISBLANK(INDEX(Results_Long!$O$2:$O$201,MATCH("C1|levels|classified|levels_HTZ",Results_Long!$AK$2:$AK$201,0))),"—",INDEX(Results_Long!$O$2:$O$201,MATCH("C1|levels|classified|levels_HTZ",Results_Long!$AK$2:$AK$201,0)))</f>
        <v>0.427511586795499</v>
      </c>
      <c r="E17" s="4" t="str">
        <f>IF(ISNUMBER(SEARCH("&lt;3-cluster",INDEX(Results_Long!$AJ$2:$AJ$201,MATCH("C1|levels|classified|levels_HTZ",Results_Long!$AK$2:$AK$201,0)))),"touches &lt;3-cluster cell","")</f>
        <v/>
      </c>
    </row>
    <row r="18" spans="1:7" x14ac:dyDescent="0.3">
      <c r="A18" s="3" t="s">
        <v>222</v>
      </c>
      <c r="B18" s="6">
        <f>IF(ISBLANK(INDEX(Results_Long!$M$2:$M$201,MATCH("C1|paris_mid|defined_classified|interaction_HTZ",Results_Long!$AK$2:$AK$201,0))),"n.e.",INDEX(Results_Long!$M$2:$M$201,MATCH("C1|paris_mid|defined_classified|interaction_HTZ",Results_Long!$AK$2:$AK$201,0)))</f>
        <v>4.5435596686911</v>
      </c>
      <c r="C18" s="7">
        <f>IF(ISBLANK(INDEX(Results_Long!$N$2:$N$201,MATCH("C1|paris_mid|defined_classified|interaction_HTZ",Results_Long!$AK$2:$AK$201,0))),"n.e.",INDEX(Results_Long!$N$2:$N$201,MATCH("C1|paris_mid|defined_classified|interaction_HTZ",Results_Long!$AK$2:$AK$201,0)))</f>
        <v>6.0016344199222003</v>
      </c>
      <c r="D18" s="8">
        <f>IF(ISBLANK(INDEX(Results_Long!$O$2:$O$201,MATCH("C1|paris_mid|defined_classified|interaction_HTZ",Results_Long!$AK$2:$AK$201,0))),"—",INDEX(Results_Long!$O$2:$O$201,MATCH("C1|paris_mid|defined_classified|interaction_HTZ",Results_Long!$AK$2:$AK$201,0)))</f>
        <v>7.70303896047842E-2</v>
      </c>
      <c r="E18" s="4" t="str">
        <f>IF(ISNUMBER(SEARCH("&lt;3-cluster",INDEX(Results_Long!$AJ$2:$AJ$201,MATCH("C1|paris_mid|defined_classified|interaction_HTZ",Results_Long!$AK$2:$AK$201,0)))),"touches &lt;3-cluster cell","")</f>
        <v/>
      </c>
    </row>
    <row r="21" spans="1:7" x14ac:dyDescent="0.3">
      <c r="A21" s="1" t="s">
        <v>223</v>
      </c>
      <c r="B21" s="1"/>
      <c r="C21" s="1"/>
      <c r="D21" s="1"/>
      <c r="E21" s="1"/>
      <c r="F21" s="1"/>
      <c r="G21" s="1"/>
    </row>
    <row r="22" spans="1:7" x14ac:dyDescent="0.3">
      <c r="A22" s="1" t="s">
        <v>205</v>
      </c>
      <c r="B22" s="1" t="s">
        <v>206</v>
      </c>
      <c r="C22" s="1" t="s">
        <v>207</v>
      </c>
      <c r="D22" s="1" t="s">
        <v>208</v>
      </c>
      <c r="E22" s="1" t="s">
        <v>209</v>
      </c>
      <c r="F22" s="1" t="s">
        <v>210</v>
      </c>
      <c r="G22" s="1" t="s">
        <v>167</v>
      </c>
    </row>
    <row r="23" spans="1:7" x14ac:dyDescent="0.3">
      <c r="A23" s="4" t="s">
        <v>224</v>
      </c>
      <c r="B23" s="8">
        <f>IF(ISBLANK(INDEX(Results_Long!$T$2:$T$201,MATCH("C2|levels|classified|lvl::loan (interest rate)",Results_Long!$AK$2:$AK$201,0))),"n.e.",INDEX(Results_Long!$T$2:$T$201,MATCH("C2|levels|classified|lvl::loan (interest rate)",Results_Long!$AK$2:$AK$201,0)))</f>
        <v>-3.8311070522539299E-2</v>
      </c>
      <c r="C23" s="8">
        <f>IF(ISBLANK(INDEX(Results_Long!$U$2:$U$201,MATCH("C2|levels|classified|lvl::loan (interest rate)",Results_Long!$AK$2:$AK$201,0))),"n.e.",INDEX(Results_Long!$U$2:$U$201,MATCH("C2|levels|classified|lvl::loan (interest rate)",Results_Long!$AK$2:$AK$201,0)))</f>
        <v>-5.7288329753641801E-2</v>
      </c>
      <c r="D23" s="8">
        <f>IF(ISBLANK(INDEX(Results_Long!$V$2:$V$201,MATCH("C2|levels|classified|lvl::loan (interest rate)",Results_Long!$AK$2:$AK$201,0))),"n.e.",INDEX(Results_Long!$V$2:$V$201,MATCH("C2|levels|classified|lvl::loan (interest rate)",Results_Long!$AK$2:$AK$201,0)))</f>
        <v>-1.9306136009767601E-2</v>
      </c>
      <c r="E23" s="8">
        <f>IF(ISBLANK(INDEX(Results_Long!$W$2:$W$201,MATCH("C2|levels|classified|lvl::loan (interest rate)",Results_Long!$AK$2:$AK$201,0))),"n.e.",INDEX(Results_Long!$W$2:$W$201,MATCH("C2|levels|classified|lvl::loan (interest rate)",Results_Long!$AK$2:$AK$201,0)))</f>
        <v>-0.37381702909870101</v>
      </c>
      <c r="F23" s="8">
        <f>IF(ISBLANK(INDEX(Results_Long!$X$2:$X$201,MATCH("C2|levels|classified|lvl::loan (interest rate)",Results_Long!$AK$2:$AK$201,0))),"n.e.",INDEX(Results_Long!$X$2:$X$201,MATCH("C2|levels|classified|lvl::loan (interest rate)",Results_Long!$AK$2:$AK$201,0)))</f>
        <v>0.30606073034041897</v>
      </c>
      <c r="G23" s="7">
        <f>IF(ISBLANK(INDEX(Results_Long!$N$2:$N$201,MATCH("C2|levels|classified|lvl::loan (interest rate)",Results_Long!$AK$2:$AK$201,0))),"n.e.",INDEX(Results_Long!$N$2:$N$201,MATCH("C2|levels|classified|lvl::loan (interest rate)",Results_Long!$AK$2:$AK$201,0)))</f>
        <v>64.656366098042795</v>
      </c>
    </row>
    <row r="24" spans="1:7" x14ac:dyDescent="0.3">
      <c r="A24" s="4" t="s">
        <v>225</v>
      </c>
      <c r="B24" s="8">
        <f>IF(ISBLANK(INDEX(Results_Long!$T$2:$T$201,MATCH("C2|levels|classified|lvl::bond (yield)",Results_Long!$AK$2:$AK$201,0))),"n.e.",INDEX(Results_Long!$T$2:$T$201,MATCH("C2|levels|classified|lvl::bond (yield)",Results_Long!$AK$2:$AK$201,0)))</f>
        <v>-9.1235769922006799E-2</v>
      </c>
      <c r="C24" s="8">
        <f>IF(ISBLANK(INDEX(Results_Long!$U$2:$U$201,MATCH("C2|levels|classified|lvl::bond (yield)",Results_Long!$AK$2:$AK$201,0))),"n.e.",INDEX(Results_Long!$U$2:$U$201,MATCH("C2|levels|classified|lvl::bond (yield)",Results_Long!$AK$2:$AK$201,0)))</f>
        <v>-0.121643945669211</v>
      </c>
      <c r="D24" s="8">
        <f>IF(ISBLANK(INDEX(Results_Long!$V$2:$V$201,MATCH("C2|levels|classified|lvl::bond (yield)",Results_Long!$AK$2:$AK$201,0))),"n.e.",INDEX(Results_Long!$V$2:$V$201,MATCH("C2|levels|classified|lvl::bond (yield)",Results_Long!$AK$2:$AK$201,0)))</f>
        <v>-6.06564969990252E-2</v>
      </c>
      <c r="E24" s="8">
        <f>IF(ISBLANK(INDEX(Results_Long!$W$2:$W$201,MATCH("C2|levels|classified|lvl::bond (yield)",Results_Long!$AK$2:$AK$201,0))),"n.e.",INDEX(Results_Long!$W$2:$W$201,MATCH("C2|levels|classified|lvl::bond (yield)",Results_Long!$AK$2:$AK$201,0)))</f>
        <v>-0.43234659959682697</v>
      </c>
      <c r="F24" s="8">
        <f>IF(ISBLANK(INDEX(Results_Long!$X$2:$X$201,MATCH("C2|levels|classified|lvl::bond (yield)",Results_Long!$AK$2:$AK$201,0))),"n.e.",INDEX(Results_Long!$X$2:$X$201,MATCH("C2|levels|classified|lvl::bond (yield)",Results_Long!$AK$2:$AK$201,0)))</f>
        <v>0.27271884436788002</v>
      </c>
      <c r="G24" s="7">
        <f>IF(ISBLANK(INDEX(Results_Long!$N$2:$N$201,MATCH("C2|levels|classified|lvl::bond (yield)",Results_Long!$AK$2:$AK$201,0))),"n.e.",INDEX(Results_Long!$N$2:$N$201,MATCH("C2|levels|classified|lvl::bond (yield)",Results_Long!$AK$2:$AK$201,0)))</f>
        <v>19.7564838436641</v>
      </c>
    </row>
    <row r="25" spans="1:7" x14ac:dyDescent="0.3">
      <c r="A25" s="4" t="s">
        <v>226</v>
      </c>
      <c r="B25" s="8">
        <f>IF(ISBLANK(INDEX(Results_Long!$T$2:$T$201,MATCH("C2|levels|classified|lvl::rating",Results_Long!$AK$2:$AK$201,0))),"n.e.",INDEX(Results_Long!$T$2:$T$201,MATCH("C2|levels|classified|lvl::rating",Results_Long!$AK$2:$AK$201,0)))</f>
        <v>-5.8177668721788499E-2</v>
      </c>
      <c r="C25" s="8">
        <f>IF(ISBLANK(INDEX(Results_Long!$U$2:$U$201,MATCH("C2|levels|classified|lvl::rating",Results_Long!$AK$2:$AK$201,0))),"n.e.",INDEX(Results_Long!$U$2:$U$201,MATCH("C2|levels|classified|lvl::rating",Results_Long!$AK$2:$AK$201,0)))</f>
        <v>-9.2042513022305594E-2</v>
      </c>
      <c r="D25" s="8">
        <f>IF(ISBLANK(INDEX(Results_Long!$V$2:$V$201,MATCH("C2|levels|classified|lvl::rating",Results_Long!$AK$2:$AK$201,0))),"n.e.",INDEX(Results_Long!$V$2:$V$201,MATCH("C2|levels|classified|lvl::rating",Results_Long!$AK$2:$AK$201,0)))</f>
        <v>-2.41784002429952E-2</v>
      </c>
      <c r="E25" s="8">
        <f>IF(ISBLANK(INDEX(Results_Long!$W$2:$W$201,MATCH("C2|levels|classified|lvl::rating",Results_Long!$AK$2:$AK$201,0))),"n.e.",INDEX(Results_Long!$W$2:$W$201,MATCH("C2|levels|classified|lvl::rating",Results_Long!$AK$2:$AK$201,0)))</f>
        <v>-0.40044371471199097</v>
      </c>
      <c r="F25" s="8">
        <f>IF(ISBLANK(INDEX(Results_Long!$X$2:$X$201,MATCH("C2|levels|classified|lvl::rating",Results_Long!$AK$2:$AK$201,0))),"n.e.",INDEX(Results_Long!$X$2:$X$201,MATCH("C2|levels|classified|lvl::rating",Results_Long!$AK$2:$AK$201,0)))</f>
        <v>0.29833450780696502</v>
      </c>
      <c r="G25" s="7">
        <f>IF(ISBLANK(INDEX(Results_Long!$N$2:$N$201,MATCH("C2|levels|classified|lvl::rating",Results_Long!$AK$2:$AK$201,0))),"n.e.",INDEX(Results_Long!$N$2:$N$201,MATCH("C2|levels|classified|lvl::rating",Results_Long!$AK$2:$AK$201,0)))</f>
        <v>25.971986096789902</v>
      </c>
    </row>
    <row r="26" spans="1:7" x14ac:dyDescent="0.3">
      <c r="A26" s="4" t="s">
        <v>227</v>
      </c>
      <c r="B26" s="8">
        <f>IF(ISBLANK(INDEX(Results_Long!$T$2:$T$201,MATCH("C2|levels|classified|lvl::derivativ (CDS spread)",Results_Long!$AK$2:$AK$201,0))),"n.e.",INDEX(Results_Long!$T$2:$T$201,MATCH("C2|levels|classified|lvl::derivativ (CDS spread)",Results_Long!$AK$2:$AK$201,0)))</f>
        <v>-0.12182373443092299</v>
      </c>
      <c r="C26" s="8">
        <f>IF(ISBLANK(INDEX(Results_Long!$U$2:$U$201,MATCH("C2|levels|classified|lvl::derivativ (CDS spread)",Results_Long!$AK$2:$AK$201,0))),"n.e.",INDEX(Results_Long!$U$2:$U$201,MATCH("C2|levels|classified|lvl::derivativ (CDS spread)",Results_Long!$AK$2:$AK$201,0)))</f>
        <v>-0.30435397029369599</v>
      </c>
      <c r="D26" s="8">
        <f>IF(ISBLANK(INDEX(Results_Long!$V$2:$V$201,MATCH("C2|levels|classified|lvl::derivativ (CDS spread)",Results_Long!$AK$2:$AK$201,0))),"n.e.",INDEX(Results_Long!$V$2:$V$201,MATCH("C2|levels|classified|lvl::derivativ (CDS spread)",Results_Long!$AK$2:$AK$201,0)))</f>
        <v>6.9336026160199404E-2</v>
      </c>
      <c r="E26" s="8">
        <f>IF(ISBLANK(INDEX(Results_Long!$W$2:$W$201,MATCH("C2|levels|classified|lvl::derivativ (CDS spread)",Results_Long!$AK$2:$AK$201,0))),"n.e.",INDEX(Results_Long!$W$2:$W$201,MATCH("C2|levels|classified|lvl::derivativ (CDS spread)",Results_Long!$AK$2:$AK$201,0)))</f>
        <v>-0.52798215925041103</v>
      </c>
      <c r="F26" s="8">
        <f>IF(ISBLANK(INDEX(Results_Long!$X$2:$X$201,MATCH("C2|levels|classified|lvl::derivativ (CDS spread)",Results_Long!$AK$2:$AK$201,0))),"n.e.",INDEX(Results_Long!$X$2:$X$201,MATCH("C2|levels|classified|lvl::derivativ (CDS spread)",Results_Long!$AK$2:$AK$201,0)))</f>
        <v>0.32968928953104798</v>
      </c>
      <c r="G26" s="7">
        <f>IF(ISBLANK(INDEX(Results_Long!$N$2:$N$201,MATCH("C2|levels|classified|lvl::derivativ (CDS spread)",Results_Long!$AK$2:$AK$201,0))),"n.e.",INDEX(Results_Long!$N$2:$N$201,MATCH("C2|levels|classified|lvl::derivativ (CDS spread)",Results_Long!$AK$2:$AK$201,0)))</f>
        <v>6.6614304640020503</v>
      </c>
    </row>
    <row r="28" spans="1:7" x14ac:dyDescent="0.3">
      <c r="A28" s="1" t="s">
        <v>213</v>
      </c>
      <c r="B28" s="1" t="s">
        <v>214</v>
      </c>
      <c r="C28" s="1" t="s">
        <v>215</v>
      </c>
      <c r="D28" s="1" t="s">
        <v>216</v>
      </c>
      <c r="E28" s="1" t="s">
        <v>167</v>
      </c>
      <c r="F28" s="1" t="s">
        <v>168</v>
      </c>
      <c r="G28" s="1" t="s">
        <v>217</v>
      </c>
    </row>
    <row r="29" spans="1:7" x14ac:dyDescent="0.3">
      <c r="A29" s="4" t="s">
        <v>224</v>
      </c>
      <c r="B29" s="10">
        <f>IF(ISBLANK(INDEX(Results_Long!$K$2:$K$201,MATCH("C2|paris_mid|defined_classified|diff::loan (interest rate)",Results_Long!$AK$2:$AK$201,0))),"n.e.",INDEX(Results_Long!$K$2:$K$201,MATCH("C2|paris_mid|defined_classified|diff::loan (interest rate)",Results_Long!$AK$2:$AK$201,0)))</f>
        <v>1.6284303541830199E-2</v>
      </c>
      <c r="C29" s="10">
        <f>IF(ISBLANK(INDEX(Results_Long!$P$2:$P$201,MATCH("C2|paris_mid|defined_classified|diff::loan (interest rate)",Results_Long!$AK$2:$AK$201,0))),"n.e.",INDEX(Results_Long!$P$2:$P$201,MATCH("C2|paris_mid|defined_classified|diff::loan (interest rate)",Results_Long!$AK$2:$AK$201,0)))</f>
        <v>-3.93539189338767E-2</v>
      </c>
      <c r="D29" s="10">
        <f>IF(ISBLANK(INDEX(Results_Long!$Q$2:$Q$201,MATCH("C2|paris_mid|defined_classified|diff::loan (interest rate)",Results_Long!$AK$2:$AK$201,0))),"n.e.",INDEX(Results_Long!$Q$2:$Q$201,MATCH("C2|paris_mid|defined_classified|diff::loan (interest rate)",Results_Long!$AK$2:$AK$201,0)))</f>
        <v>7.1922526017537E-2</v>
      </c>
      <c r="E29" s="7">
        <f>IF(ISBLANK(INDEX(Results_Long!$N$2:$N$201,MATCH("C2|paris_mid|defined_classified|diff::loan (interest rate)",Results_Long!$AK$2:$AK$201,0))),"n.e.",INDEX(Results_Long!$N$2:$N$201,MATCH("C2|paris_mid|defined_classified|diff::loan (interest rate)",Results_Long!$AK$2:$AK$201,0)))</f>
        <v>10.2966239126935</v>
      </c>
      <c r="F29" s="8">
        <f>IF(ISBLANK(INDEX(Results_Long!$O$2:$O$201,MATCH("C2|paris_mid|defined_classified|diff::loan (interest rate)",Results_Long!$AK$2:$AK$201,0))),"—",INDEX(Results_Long!$O$2:$O$201,MATCH("C2|paris_mid|defined_classified|diff::loan (interest rate)",Results_Long!$AK$2:$AK$201,0)))</f>
        <v>0.53017574492828801</v>
      </c>
      <c r="G29" s="4" t="str">
        <f>INDEX(Results_Long!$F$2:$F$201,MATCH("C2|paris_mid|defined_classified|diff::loan (interest rate)",Results_Long!$AK$2:$AK$201,0))</f>
        <v>3LMA-RVE_CR2</v>
      </c>
    </row>
    <row r="30" spans="1:7" x14ac:dyDescent="0.3">
      <c r="A30" s="4" t="s">
        <v>225</v>
      </c>
      <c r="B30" s="10">
        <f>IF(ISBLANK(INDEX(Results_Long!$K$2:$K$201,MATCH("C2|paris_mid|defined_classified|diff::bond (yield)",Results_Long!$AK$2:$AK$201,0))),"n.e.",INDEX(Results_Long!$K$2:$K$201,MATCH("C2|paris_mid|defined_classified|diff::bond (yield)",Results_Long!$AK$2:$AK$201,0)))</f>
        <v>-5.0736876026381397E-2</v>
      </c>
      <c r="C30" s="10">
        <f>IF(ISBLANK(INDEX(Results_Long!$P$2:$P$201,MATCH("C2|paris_mid|defined_classified|diff::bond (yield)",Results_Long!$AK$2:$AK$201,0))),"n.e.",INDEX(Results_Long!$P$2:$P$201,MATCH("C2|paris_mid|defined_classified|diff::bond (yield)",Results_Long!$AK$2:$AK$201,0)))</f>
        <v>-0.20339482216872001</v>
      </c>
      <c r="D30" s="10">
        <f>IF(ISBLANK(INDEX(Results_Long!$Q$2:$Q$201,MATCH("C2|paris_mid|defined_classified|diff::bond (yield)",Results_Long!$AK$2:$AK$201,0))),"n.e.",INDEX(Results_Long!$Q$2:$Q$201,MATCH("C2|paris_mid|defined_classified|diff::bond (yield)",Results_Long!$AK$2:$AK$201,0)))</f>
        <v>0.101921070115957</v>
      </c>
      <c r="E30" s="7">
        <f>IF(ISBLANK(INDEX(Results_Long!$N$2:$N$201,MATCH("C2|paris_mid|defined_classified|diff::bond (yield)",Results_Long!$AK$2:$AK$201,0))),"n.e.",INDEX(Results_Long!$N$2:$N$201,MATCH("C2|paris_mid|defined_classified|diff::bond (yield)",Results_Long!$AK$2:$AK$201,0)))</f>
        <v>9.1271220114256497</v>
      </c>
      <c r="F30" s="8">
        <f>IF(ISBLANK(INDEX(Results_Long!$O$2:$O$201,MATCH("C2|paris_mid|defined_classified|diff::bond (yield)",Results_Long!$AK$2:$AK$201,0))),"—",INDEX(Results_Long!$O$2:$O$201,MATCH("C2|paris_mid|defined_classified|diff::bond (yield)",Results_Long!$AK$2:$AK$201,0)))</f>
        <v>0.47200107449815798</v>
      </c>
      <c r="G30" s="4" t="str">
        <f>INDEX(Results_Long!$F$2:$F$201,MATCH("C2|paris_mid|defined_classified|diff::bond (yield)",Results_Long!$AK$2:$AK$201,0))</f>
        <v>3LMA-RVE_CR2</v>
      </c>
    </row>
    <row r="31" spans="1:7" x14ac:dyDescent="0.3">
      <c r="A31" s="4" t="s">
        <v>226</v>
      </c>
      <c r="B31" s="10">
        <f>IF(ISBLANK(INDEX(Results_Long!$K$2:$K$201,MATCH("C2|paris_mid|defined_classified|diff::rating",Results_Long!$AK$2:$AK$201,0))),"n.e.",INDEX(Results_Long!$K$2:$K$201,MATCH("C2|paris_mid|defined_classified|diff::rating",Results_Long!$AK$2:$AK$201,0)))</f>
        <v>5.2570445575540803E-2</v>
      </c>
      <c r="C31" s="10">
        <f>IF(ISBLANK(INDEX(Results_Long!$P$2:$P$201,MATCH("C2|paris_mid|defined_classified|diff::rating",Results_Long!$AK$2:$AK$201,0))),"n.e.",INDEX(Results_Long!$P$2:$P$201,MATCH("C2|paris_mid|defined_classified|diff::rating",Results_Long!$AK$2:$AK$201,0)))</f>
        <v>-0.28289520260057999</v>
      </c>
      <c r="D31" s="10">
        <f>IF(ISBLANK(INDEX(Results_Long!$Q$2:$Q$201,MATCH("C2|paris_mid|defined_classified|diff::rating",Results_Long!$AK$2:$AK$201,0))),"n.e.",INDEX(Results_Long!$Q$2:$Q$201,MATCH("C2|paris_mid|defined_classified|diff::rating",Results_Long!$AK$2:$AK$201,0)))</f>
        <v>0.38803609375166198</v>
      </c>
      <c r="E31" s="7">
        <f>IF(ISBLANK(INDEX(Results_Long!$N$2:$N$201,MATCH("C2|paris_mid|defined_classified|diff::rating",Results_Long!$AK$2:$AK$201,0))),"n.e.",INDEX(Results_Long!$N$2:$N$201,MATCH("C2|paris_mid|defined_classified|diff::rating",Results_Long!$AK$2:$AK$201,0)))</f>
        <v>4.1545138793303904</v>
      </c>
      <c r="F31" s="8" t="str">
        <f>IF(ISBLANK(INDEX(Results_Long!$O$2:$O$201,MATCH("C2|paris_mid|defined_classified|diff::rating",Results_Long!$AK$2:$AK$201,0))),"—",INDEX(Results_Long!$O$2:$O$201,MATCH("C2|paris_mid|defined_classified|diff::rating",Results_Long!$AK$2:$AK$201,0)))</f>
        <v>—</v>
      </c>
      <c r="G31" s="4" t="str">
        <f>INDEX(Results_Long!$F$2:$F$201,MATCH("C2|paris_mid|defined_classified|diff::rating",Results_Long!$AK$2:$AK$201,0))</f>
        <v>3LMA-RVE_CR2</v>
      </c>
    </row>
    <row r="32" spans="1:7" x14ac:dyDescent="0.3">
      <c r="A32" s="4" t="s">
        <v>227</v>
      </c>
      <c r="B32" s="10" t="str">
        <f>IF(ISBLANK(INDEX(Results_Long!$K$2:$K$201,MATCH("C2|paris_mid|defined_classified|diff::derivativ (CDS spread)",Results_Long!$AK$2:$AK$201,0))),"n.e.",INDEX(Results_Long!$K$2:$K$201,MATCH("C2|paris_mid|defined_classified|diff::derivativ (CDS spread)",Results_Long!$AK$2:$AK$201,0)))</f>
        <v>n.e.</v>
      </c>
      <c r="C32" s="10" t="str">
        <f>IF(ISBLANK(INDEX(Results_Long!$P$2:$P$201,MATCH("C2|paris_mid|defined_classified|diff::derivativ (CDS spread)",Results_Long!$AK$2:$AK$201,0))),"n.e.",INDEX(Results_Long!$P$2:$P$201,MATCH("C2|paris_mid|defined_classified|diff::derivativ (CDS spread)",Results_Long!$AK$2:$AK$201,0)))</f>
        <v>n.e.</v>
      </c>
      <c r="D32" s="10" t="str">
        <f>IF(ISBLANK(INDEX(Results_Long!$Q$2:$Q$201,MATCH("C2|paris_mid|defined_classified|diff::derivativ (CDS spread)",Results_Long!$AK$2:$AK$201,0))),"n.e.",INDEX(Results_Long!$Q$2:$Q$201,MATCH("C2|paris_mid|defined_classified|diff::derivativ (CDS spread)",Results_Long!$AK$2:$AK$201,0)))</f>
        <v>n.e.</v>
      </c>
      <c r="E32" s="7" t="str">
        <f>IF(ISBLANK(INDEX(Results_Long!$N$2:$N$201,MATCH("C2|paris_mid|defined_classified|diff::derivativ (CDS spread)",Results_Long!$AK$2:$AK$201,0))),"n.e.",INDEX(Results_Long!$N$2:$N$201,MATCH("C2|paris_mid|defined_classified|diff::derivativ (CDS spread)",Results_Long!$AK$2:$AK$201,0)))</f>
        <v>n.e.</v>
      </c>
      <c r="F32" s="8" t="str">
        <f>IF(ISBLANK(INDEX(Results_Long!$O$2:$O$201,MATCH("C2|paris_mid|defined_classified|diff::derivativ (CDS spread)",Results_Long!$AK$2:$AK$201,0))),"—",INDEX(Results_Long!$O$2:$O$201,MATCH("C2|paris_mid|defined_classified|diff::derivativ (CDS spread)",Results_Long!$AK$2:$AK$201,0)))</f>
        <v>—</v>
      </c>
      <c r="G32" s="4" t="str">
        <f>INDEX(Results_Long!$F$2:$F$201,MATCH("C2|paris_mid|defined_classified|diff::derivativ (CDS spread)",Results_Long!$AK$2:$AK$201,0))</f>
        <v>not_estimable</v>
      </c>
    </row>
    <row r="34" spans="1:7" x14ac:dyDescent="0.3">
      <c r="A34" s="1" t="s">
        <v>218</v>
      </c>
      <c r="B34" s="1" t="s">
        <v>219</v>
      </c>
      <c r="C34" s="1" t="s">
        <v>167</v>
      </c>
      <c r="D34" s="1" t="s">
        <v>168</v>
      </c>
      <c r="E34" s="1"/>
      <c r="F34" s="1"/>
      <c r="G34" s="1"/>
    </row>
    <row r="35" spans="1:7" x14ac:dyDescent="0.3">
      <c r="A35" s="4" t="s">
        <v>228</v>
      </c>
      <c r="B35" s="10">
        <f>IF(ISBLANK(INDEX(Results_Long!$K$2:$K$201,MATCH("C2|levels|classified|pair::loan (interest rate) - bond (yield)",Results_Long!$AK$2:$AK$201,0))),"n.e.",INDEX(Results_Long!$K$2:$K$201,MATCH("C2|levels|classified|pair::loan (interest rate) - bond (yield)",Results_Long!$AK$2:$AK$201,0)))</f>
        <v>5.3160359025495603E-2</v>
      </c>
      <c r="C35" s="7">
        <f>IF(ISBLANK(INDEX(Results_Long!$N$2:$N$201,MATCH("C2|levels|classified|pair::loan (interest rate) - bond (yield)",Results_Long!$AK$2:$AK$201,0))),"n.e.",INDEX(Results_Long!$N$2:$N$201,MATCH("C2|levels|classified|pair::loan (interest rate) - bond (yield)",Results_Long!$AK$2:$AK$201,0)))</f>
        <v>7.6978478338394298</v>
      </c>
      <c r="D35" s="8">
        <f>IF(ISBLANK(INDEX(Results_Long!$O$2:$O$201,MATCH("C2|levels|classified|pair::loan (interest rate) - bond (yield)",Results_Long!$AK$2:$AK$201,0))),"—",INDEX(Results_Long!$O$2:$O$201,MATCH("C2|levels|classified|pair::loan (interest rate) - bond (yield)",Results_Long!$AK$2:$AK$201,0)))</f>
        <v>9.0785142890313E-3</v>
      </c>
    </row>
    <row r="36" spans="1:7" x14ac:dyDescent="0.3">
      <c r="A36" s="4" t="s">
        <v>229</v>
      </c>
      <c r="B36" s="10">
        <f>IF(ISBLANK(INDEX(Results_Long!$K$2:$K$201,MATCH("C2|levels|classified|pair::loan (interest rate) - rating",Results_Long!$AK$2:$AK$201,0))),"n.e.",INDEX(Results_Long!$K$2:$K$201,MATCH("C2|levels|classified|pair::loan (interest rate) - rating",Results_Long!$AK$2:$AK$201,0)))</f>
        <v>1.99136085969807E-2</v>
      </c>
      <c r="C36" s="7">
        <f>IF(ISBLANK(INDEX(Results_Long!$N$2:$N$201,MATCH("C2|levels|classified|pair::loan (interest rate) - rating",Results_Long!$AK$2:$AK$201,0))),"n.e.",INDEX(Results_Long!$N$2:$N$201,MATCH("C2|levels|classified|pair::loan (interest rate) - rating",Results_Long!$AK$2:$AK$201,0)))</f>
        <v>6.6077537424225996</v>
      </c>
      <c r="D36" s="8">
        <f>IF(ISBLANK(INDEX(Results_Long!$O$2:$O$201,MATCH("C2|levels|classified|pair::loan (interest rate) - rating",Results_Long!$AK$2:$AK$201,0))),"—",INDEX(Results_Long!$O$2:$O$201,MATCH("C2|levels|classified|pair::loan (interest rate) - rating",Results_Long!$AK$2:$AK$201,0)))</f>
        <v>0.25366692088568799</v>
      </c>
    </row>
    <row r="37" spans="1:7" x14ac:dyDescent="0.3">
      <c r="A37" s="4" t="s">
        <v>230</v>
      </c>
      <c r="B37" s="10">
        <f>IF(ISBLANK(INDEX(Results_Long!$K$2:$K$201,MATCH("C2|levels|classified|pair::loan (interest rate) - derivativ (CDS spread)",Results_Long!$AK$2:$AK$201,0))),"n.e.",INDEX(Results_Long!$K$2:$K$201,MATCH("C2|levels|classified|pair::loan (interest rate) - derivativ (CDS spread)",Results_Long!$AK$2:$AK$201,0)))</f>
        <v>8.4101990797319698E-2</v>
      </c>
      <c r="C37" s="7">
        <f>IF(ISBLANK(INDEX(Results_Long!$N$2:$N$201,MATCH("C2|levels|classified|pair::loan (interest rate) - derivativ (CDS spread)",Results_Long!$AK$2:$AK$201,0))),"n.e.",INDEX(Results_Long!$N$2:$N$201,MATCH("C2|levels|classified|pair::loan (interest rate) - derivativ (CDS spread)",Results_Long!$AK$2:$AK$201,0)))</f>
        <v>6.7349449542499604</v>
      </c>
      <c r="D37" s="8">
        <f>IF(ISBLANK(INDEX(Results_Long!$O$2:$O$201,MATCH("C2|levels|classified|pair::loan (interest rate) - derivativ (CDS spread)",Results_Long!$AK$2:$AK$201,0))),"—",INDEX(Results_Long!$O$2:$O$201,MATCH("C2|levels|classified|pair::loan (interest rate) - derivativ (CDS spread)",Results_Long!$AK$2:$AK$201,0)))</f>
        <v>0.30907587172227202</v>
      </c>
    </row>
    <row r="38" spans="1:7" x14ac:dyDescent="0.3">
      <c r="A38" s="4" t="s">
        <v>231</v>
      </c>
      <c r="B38" s="10">
        <f>IF(ISBLANK(INDEX(Results_Long!$K$2:$K$201,MATCH("C2|levels|classified|pair::bond (yield) - rating",Results_Long!$AK$2:$AK$201,0))),"n.e.",INDEX(Results_Long!$K$2:$K$201,MATCH("C2|levels|classified|pair::bond (yield) - rating",Results_Long!$AK$2:$AK$201,0)))</f>
        <v>-3.3246750428514903E-2</v>
      </c>
      <c r="C38" s="7">
        <f>IF(ISBLANK(INDEX(Results_Long!$N$2:$N$201,MATCH("C2|levels|classified|pair::bond (yield) - rating",Results_Long!$AK$2:$AK$201,0))),"n.e.",INDEX(Results_Long!$N$2:$N$201,MATCH("C2|levels|classified|pair::bond (yield) - rating",Results_Long!$AK$2:$AK$201,0)))</f>
        <v>2.1134522334267198</v>
      </c>
      <c r="D38" s="8" t="str">
        <f>IF(ISBLANK(INDEX(Results_Long!$O$2:$O$201,MATCH("C2|levels|classified|pair::bond (yield) - rating",Results_Long!$AK$2:$AK$201,0))),"—",INDEX(Results_Long!$O$2:$O$201,MATCH("C2|levels|classified|pair::bond (yield) - rating",Results_Long!$AK$2:$AK$201,0)))</f>
        <v>—</v>
      </c>
    </row>
    <row r="39" spans="1:7" x14ac:dyDescent="0.3">
      <c r="A39" s="4" t="s">
        <v>232</v>
      </c>
      <c r="B39" s="10">
        <f>IF(ISBLANK(INDEX(Results_Long!$K$2:$K$201,MATCH("C2|levels|classified|pair::bond (yield) - derivativ (CDS spread)",Results_Long!$AK$2:$AK$201,0))),"n.e.",INDEX(Results_Long!$K$2:$K$201,MATCH("C2|levels|classified|pair::bond (yield) - derivativ (CDS spread)",Results_Long!$AK$2:$AK$201,0)))</f>
        <v>3.0941631771824098E-2</v>
      </c>
      <c r="C39" s="7">
        <f>IF(ISBLANK(INDEX(Results_Long!$N$2:$N$201,MATCH("C2|levels|classified|pair::bond (yield) - derivativ (CDS spread)",Results_Long!$AK$2:$AK$201,0))),"n.e.",INDEX(Results_Long!$N$2:$N$201,MATCH("C2|levels|classified|pair::bond (yield) - derivativ (CDS spread)",Results_Long!$AK$2:$AK$201,0)))</f>
        <v>5.9932112076359596</v>
      </c>
      <c r="D39" s="8">
        <f>IF(ISBLANK(INDEX(Results_Long!$O$2:$O$201,MATCH("C2|levels|classified|pair::bond (yield) - derivativ (CDS spread)",Results_Long!$AK$2:$AK$201,0))),"—",INDEX(Results_Long!$O$2:$O$201,MATCH("C2|levels|classified|pair::bond (yield) - derivativ (CDS spread)",Results_Long!$AK$2:$AK$201,0)))</f>
        <v>0.68748068212533098</v>
      </c>
    </row>
    <row r="40" spans="1:7" x14ac:dyDescent="0.3">
      <c r="A40" s="4" t="s">
        <v>233</v>
      </c>
      <c r="B40" s="10">
        <f>IF(ISBLANK(INDEX(Results_Long!$K$2:$K$201,MATCH("C2|levels|classified|pair::rating - derivativ (CDS spread)",Results_Long!$AK$2:$AK$201,0))),"n.e.",INDEX(Results_Long!$K$2:$K$201,MATCH("C2|levels|classified|pair::rating - derivativ (CDS spread)",Results_Long!$AK$2:$AK$201,0)))</f>
        <v>6.4188382200338998E-2</v>
      </c>
      <c r="C40" s="7">
        <f>IF(ISBLANK(INDEX(Results_Long!$N$2:$N$201,MATCH("C2|levels|classified|pair::rating - derivativ (CDS spread)",Results_Long!$AK$2:$AK$201,0))),"n.e.",INDEX(Results_Long!$N$2:$N$201,MATCH("C2|levels|classified|pair::rating - derivativ (CDS spread)",Results_Long!$AK$2:$AK$201,0)))</f>
        <v>4.5405050511115403</v>
      </c>
      <c r="D40" s="8" t="str">
        <f>IF(ISBLANK(INDEX(Results_Long!$O$2:$O$201,MATCH("C2|levels|classified|pair::rating - derivativ (CDS spread)",Results_Long!$AK$2:$AK$201,0))),"—",INDEX(Results_Long!$O$2:$O$201,MATCH("C2|levels|classified|pair::rating - derivativ (CDS spread)",Results_Long!$AK$2:$AK$201,0)))</f>
        <v>—</v>
      </c>
    </row>
    <row r="42" spans="1:7" x14ac:dyDescent="0.3">
      <c r="A42" s="3" t="s">
        <v>221</v>
      </c>
      <c r="B42" s="6">
        <f>IF(ISBLANK(INDEX(Results_Long!$M$2:$M$201,MATCH("C2|levels|classified|levels_HTZ",Results_Long!$AK$2:$AK$201,0))),"n.e.",INDEX(Results_Long!$M$2:$M$201,MATCH("C2|levels|classified|levels_HTZ",Results_Long!$AK$2:$AK$201,0)))</f>
        <v>3.4289984861461802</v>
      </c>
      <c r="C42" s="7">
        <f>IF(ISBLANK(INDEX(Results_Long!$N$2:$N$201,MATCH("C2|levels|classified|levels_HTZ",Results_Long!$AK$2:$AK$201,0))),"n.e.",INDEX(Results_Long!$N$2:$N$201,MATCH("C2|levels|classified|levels_HTZ",Results_Long!$AK$2:$AK$201,0)))</f>
        <v>4.7796082448743</v>
      </c>
      <c r="D42" s="8">
        <f>IF(ISBLANK(INDEX(Results_Long!$O$2:$O$201,MATCH("C2|levels|classified|levels_HTZ",Results_Long!$AK$2:$AK$201,0))),"—",INDEX(Results_Long!$O$2:$O$201,MATCH("C2|levels|classified|levels_HTZ",Results_Long!$AK$2:$AK$201,0)))</f>
        <v>0.113392236844695</v>
      </c>
      <c r="E42" s="4" t="str">
        <f>IF(ISNUMBER(SEARCH("&lt;3-cluster",INDEX(Results_Long!$AJ$2:$AJ$201,MATCH("C2|levels|classified|levels_HTZ",Results_Long!$AK$2:$AK$201,0)))),"touches &lt;3-cluster cell","")</f>
        <v/>
      </c>
    </row>
    <row r="43" spans="1:7" x14ac:dyDescent="0.3">
      <c r="A43" s="3" t="s">
        <v>222</v>
      </c>
      <c r="B43" s="6">
        <f>IF(ISBLANK(INDEX(Results_Long!$M$2:$M$201,MATCH("C2|paris_mid|defined_classified|interaction_HTZ",Results_Long!$AK$2:$AK$201,0))),"n.e.",INDEX(Results_Long!$M$2:$M$201,MATCH("C2|paris_mid|defined_classified|interaction_HTZ",Results_Long!$AK$2:$AK$201,0)))</f>
        <v>0.38881645836244899</v>
      </c>
      <c r="C43" s="7">
        <f>IF(ISBLANK(INDEX(Results_Long!$N$2:$N$201,MATCH("C2|paris_mid|defined_classified|interaction_HTZ",Results_Long!$AK$2:$AK$201,0))),"n.e.",INDEX(Results_Long!$N$2:$N$201,MATCH("C2|paris_mid|defined_classified|interaction_HTZ",Results_Long!$AK$2:$AK$201,0)))</f>
        <v>3.0916267241775399</v>
      </c>
      <c r="D43" s="8">
        <f>IF(ISBLANK(INDEX(Results_Long!$O$2:$O$201,MATCH("C2|paris_mid|defined_classified|interaction_HTZ",Results_Long!$AK$2:$AK$201,0))),"—",INDEX(Results_Long!$O$2:$O$201,MATCH("C2|paris_mid|defined_classified|interaction_HTZ",Results_Long!$AK$2:$AK$201,0)))</f>
        <v>0.70692717610632005</v>
      </c>
      <c r="E43" s="4" t="str">
        <f>IF(ISNUMBER(SEARCH("&lt;3-cluster",INDEX(Results_Long!$AJ$2:$AJ$201,MATCH("C2|paris_mid|defined_classified|interaction_HTZ",Results_Long!$AK$2:$AK$201,0)))),"touches &lt;3-cluster cell","")</f>
        <v/>
      </c>
    </row>
    <row r="46" spans="1:7" x14ac:dyDescent="0.3">
      <c r="A46" s="1" t="s">
        <v>234</v>
      </c>
      <c r="B46" s="1"/>
      <c r="C46" s="1"/>
      <c r="D46" s="1"/>
      <c r="E46" s="1"/>
      <c r="F46" s="1"/>
      <c r="G46" s="1"/>
    </row>
    <row r="47" spans="1:7" x14ac:dyDescent="0.3">
      <c r="A47" s="1" t="s">
        <v>205</v>
      </c>
      <c r="B47" s="1" t="s">
        <v>206</v>
      </c>
      <c r="C47" s="1" t="s">
        <v>207</v>
      </c>
      <c r="D47" s="1" t="s">
        <v>208</v>
      </c>
      <c r="E47" s="1" t="s">
        <v>209</v>
      </c>
      <c r="F47" s="1" t="s">
        <v>210</v>
      </c>
      <c r="G47" s="1" t="s">
        <v>167</v>
      </c>
    </row>
    <row r="48" spans="1:7" x14ac:dyDescent="0.3">
      <c r="A48" s="4" t="s">
        <v>235</v>
      </c>
      <c r="B48" s="8">
        <f>IF(ISBLANK(INDEX(Results_Long!$T$2:$T$201,MATCH("C4|levels|classified|lvl::without ETS/CT",Results_Long!$AK$2:$AK$201,0))),"n.e.",INDEX(Results_Long!$T$2:$T$201,MATCH("C4|levels|classified|lvl::without ETS/CT",Results_Long!$AK$2:$AK$201,0)))</f>
        <v>-6.3156914080929202E-2</v>
      </c>
      <c r="C48" s="8">
        <f>IF(ISBLANK(INDEX(Results_Long!$U$2:$U$201,MATCH("C4|levels|classified|lvl::without ETS/CT",Results_Long!$AK$2:$AK$201,0))),"n.e.",INDEX(Results_Long!$U$2:$U$201,MATCH("C4|levels|classified|lvl::without ETS/CT",Results_Long!$AK$2:$AK$201,0)))</f>
        <v>-9.3044155030993198E-2</v>
      </c>
      <c r="D48" s="8">
        <f>IF(ISBLANK(INDEX(Results_Long!$V$2:$V$201,MATCH("C4|levels|classified|lvl::without ETS/CT",Results_Long!$AK$2:$AK$201,0))),"n.e.",INDEX(Results_Long!$V$2:$V$201,MATCH("C4|levels|classified|lvl::without ETS/CT",Results_Long!$AK$2:$AK$201,0)))</f>
        <v>-3.3155960802288303E-2</v>
      </c>
      <c r="E48" s="8">
        <f>IF(ISBLANK(INDEX(Results_Long!$W$2:$W$201,MATCH("C4|levels|classified|lvl::without ETS/CT",Results_Long!$AK$2:$AK$201,0))),"n.e.",INDEX(Results_Long!$W$2:$W$201,MATCH("C4|levels|classified|lvl::without ETS/CT",Results_Long!$AK$2:$AK$201,0)))</f>
        <v>-0.43565114569088298</v>
      </c>
      <c r="F48" s="8">
        <f>IF(ISBLANK(INDEX(Results_Long!$X$2:$X$201,MATCH("C4|levels|classified|lvl::without ETS/CT",Results_Long!$AK$2:$AK$201,0))),"n.e.",INDEX(Results_Long!$X$2:$X$201,MATCH("C4|levels|classified|lvl::without ETS/CT",Results_Long!$AK$2:$AK$201,0)))</f>
        <v>0.327806262171143</v>
      </c>
      <c r="G48" s="7">
        <f>IF(ISBLANK(INDEX(Results_Long!$N$2:$N$201,MATCH("C4|levels|classified|lvl::without ETS/CT",Results_Long!$AK$2:$AK$201,0))),"n.e.",INDEX(Results_Long!$N$2:$N$201,MATCH("C4|levels|classified|lvl::without ETS/CT",Results_Long!$AK$2:$AK$201,0)))</f>
        <v>48.487822028324103</v>
      </c>
    </row>
    <row r="49" spans="1:7" x14ac:dyDescent="0.3">
      <c r="A49" s="4" t="s">
        <v>236</v>
      </c>
      <c r="B49" s="8">
        <f>IF(ISBLANK(INDEX(Results_Long!$T$2:$T$201,MATCH("C4|levels|classified|lvl::with ETS/CT",Results_Long!$AK$2:$AK$201,0))),"n.e.",INDEX(Results_Long!$T$2:$T$201,MATCH("C4|levels|classified|lvl::with ETS/CT",Results_Long!$AK$2:$AK$201,0)))</f>
        <v>-6.8100161632767803E-2</v>
      </c>
      <c r="C49" s="8">
        <f>IF(ISBLANK(INDEX(Results_Long!$U$2:$U$201,MATCH("C4|levels|classified|lvl::with ETS/CT",Results_Long!$AK$2:$AK$201,0))),"n.e.",INDEX(Results_Long!$U$2:$U$201,MATCH("C4|levels|classified|lvl::with ETS/CT",Results_Long!$AK$2:$AK$201,0)))</f>
        <v>-0.14287093486397201</v>
      </c>
      <c r="D49" s="8">
        <f>IF(ISBLANK(INDEX(Results_Long!$V$2:$V$201,MATCH("C4|levels|classified|lvl::with ETS/CT",Results_Long!$AK$2:$AK$201,0))),"n.e.",INDEX(Results_Long!$V$2:$V$201,MATCH("C4|levels|classified|lvl::with ETS/CT",Results_Long!$AK$2:$AK$201,0)))</f>
        <v>7.4435180424444599E-3</v>
      </c>
      <c r="E49" s="8">
        <f>IF(ISBLANK(INDEX(Results_Long!$W$2:$W$201,MATCH("C4|levels|classified|lvl::with ETS/CT",Results_Long!$AK$2:$AK$201,0))),"n.e.",INDEX(Results_Long!$W$2:$W$201,MATCH("C4|levels|classified|lvl::with ETS/CT",Results_Long!$AK$2:$AK$201,0)))</f>
        <v>-0.46104593044117997</v>
      </c>
      <c r="F49" s="8">
        <f>IF(ISBLANK(INDEX(Results_Long!$X$2:$X$201,MATCH("C4|levels|classified|lvl::with ETS/CT",Results_Long!$AK$2:$AK$201,0))),"n.e.",INDEX(Results_Long!$X$2:$X$201,MATCH("C4|levels|classified|lvl::with ETS/CT",Results_Long!$AK$2:$AK$201,0)))</f>
        <v>0.34717437946976698</v>
      </c>
      <c r="G49" s="7">
        <f>IF(ISBLANK(INDEX(Results_Long!$N$2:$N$201,MATCH("C4|levels|classified|lvl::with ETS/CT",Results_Long!$AK$2:$AK$201,0))),"n.e.",INDEX(Results_Long!$N$2:$N$201,MATCH("C4|levels|classified|lvl::with ETS/CT",Results_Long!$AK$2:$AK$201,0)))</f>
        <v>16.3505696091899</v>
      </c>
    </row>
    <row r="51" spans="1:7" x14ac:dyDescent="0.3">
      <c r="A51" s="1" t="s">
        <v>213</v>
      </c>
      <c r="B51" s="1" t="s">
        <v>214</v>
      </c>
      <c r="C51" s="1" t="s">
        <v>215</v>
      </c>
      <c r="D51" s="1" t="s">
        <v>216</v>
      </c>
      <c r="E51" s="1" t="s">
        <v>167</v>
      </c>
      <c r="F51" s="1" t="s">
        <v>168</v>
      </c>
      <c r="G51" s="1" t="s">
        <v>217</v>
      </c>
    </row>
    <row r="52" spans="1:7" x14ac:dyDescent="0.3">
      <c r="A52" s="4" t="s">
        <v>235</v>
      </c>
      <c r="B52" s="10">
        <f>IF(ISBLANK(INDEX(Results_Long!$K$2:$K$201,MATCH("C4|paris_mid|defined_classified|diff::without ETS/CT",Results_Long!$AK$2:$AK$201,0))),"n.e.",INDEX(Results_Long!$K$2:$K$201,MATCH("C4|paris_mid|defined_classified|diff::without ETS/CT",Results_Long!$AK$2:$AK$201,0)))</f>
        <v>-1.37859069675165E-2</v>
      </c>
      <c r="C52" s="10">
        <f>IF(ISBLANK(INDEX(Results_Long!$P$2:$P$201,MATCH("C4|paris_mid|defined_classified|diff::without ETS/CT",Results_Long!$AK$2:$AK$201,0))),"n.e.",INDEX(Results_Long!$P$2:$P$201,MATCH("C4|paris_mid|defined_classified|diff::without ETS/CT",Results_Long!$AK$2:$AK$201,0)))</f>
        <v>-8.3456450747567495E-2</v>
      </c>
      <c r="D52" s="10">
        <f>IF(ISBLANK(INDEX(Results_Long!$Q$2:$Q$201,MATCH("C4|paris_mid|defined_classified|diff::without ETS/CT",Results_Long!$AK$2:$AK$201,0))),"n.e.",INDEX(Results_Long!$Q$2:$Q$201,MATCH("C4|paris_mid|defined_classified|diff::without ETS/CT",Results_Long!$AK$2:$AK$201,0)))</f>
        <v>5.5884636812534499E-2</v>
      </c>
      <c r="E52" s="7">
        <f>IF(ISBLANK(INDEX(Results_Long!$N$2:$N$201,MATCH("C4|paris_mid|defined_classified|diff::without ETS/CT",Results_Long!$AK$2:$AK$201,0))),"n.e.",INDEX(Results_Long!$N$2:$N$201,MATCH("C4|paris_mid|defined_classified|diff::without ETS/CT",Results_Long!$AK$2:$AK$201,0)))</f>
        <v>5.99535176140472</v>
      </c>
      <c r="F52" s="8">
        <f>IF(ISBLANK(INDEX(Results_Long!$O$2:$O$201,MATCH("C4|paris_mid|defined_classified|diff::without ETS/CT",Results_Long!$AK$2:$AK$201,0))),"—",INDEX(Results_Long!$O$2:$O$201,MATCH("C4|paris_mid|defined_classified|diff::without ETS/CT",Results_Long!$AK$2:$AK$201,0)))</f>
        <v>0.64537731034302004</v>
      </c>
      <c r="G52" s="4" t="str">
        <f>INDEX(Results_Long!$F$2:$F$201,MATCH("C4|paris_mid|defined_classified|diff::without ETS/CT",Results_Long!$AK$2:$AK$201,0))</f>
        <v>3LMA-RVE_CR2</v>
      </c>
    </row>
    <row r="53" spans="1:7" x14ac:dyDescent="0.3">
      <c r="A53" s="4" t="s">
        <v>236</v>
      </c>
      <c r="B53" s="10">
        <f>IF(ISBLANK(INDEX(Results_Long!$K$2:$K$201,MATCH("C4|paris_mid|defined_classified|diff::with ETS/CT",Results_Long!$AK$2:$AK$201,0))),"n.e.",INDEX(Results_Long!$K$2:$K$201,MATCH("C4|paris_mid|defined_classified|diff::with ETS/CT",Results_Long!$AK$2:$AK$201,0)))</f>
        <v>4.7411263837343301E-2</v>
      </c>
      <c r="C53" s="10">
        <f>IF(ISBLANK(INDEX(Results_Long!$P$2:$P$201,MATCH("C4|paris_mid|defined_classified|diff::with ETS/CT",Results_Long!$AK$2:$AK$201,0))),"n.e.",INDEX(Results_Long!$P$2:$P$201,MATCH("C4|paris_mid|defined_classified|diff::with ETS/CT",Results_Long!$AK$2:$AK$201,0)))</f>
        <v>-0.11482259801026801</v>
      </c>
      <c r="D53" s="10">
        <f>IF(ISBLANK(INDEX(Results_Long!$Q$2:$Q$201,MATCH("C4|paris_mid|defined_classified|diff::with ETS/CT",Results_Long!$AK$2:$AK$201,0))),"n.e.",INDEX(Results_Long!$Q$2:$Q$201,MATCH("C4|paris_mid|defined_classified|diff::with ETS/CT",Results_Long!$AK$2:$AK$201,0)))</f>
        <v>0.209645125684954</v>
      </c>
      <c r="E53" s="7">
        <f>IF(ISBLANK(INDEX(Results_Long!$N$2:$N$201,MATCH("C4|paris_mid|defined_classified|diff::with ETS/CT",Results_Long!$AK$2:$AK$201,0))),"n.e.",INDEX(Results_Long!$N$2:$N$201,MATCH("C4|paris_mid|defined_classified|diff::with ETS/CT",Results_Long!$AK$2:$AK$201,0)))</f>
        <v>5.8548168222215802</v>
      </c>
      <c r="F53" s="8">
        <f>IF(ISBLANK(INDEX(Results_Long!$O$2:$O$201,MATCH("C4|paris_mid|defined_classified|diff::with ETS/CT",Results_Long!$AK$2:$AK$201,0))),"—",INDEX(Results_Long!$O$2:$O$201,MATCH("C4|paris_mid|defined_classified|diff::with ETS/CT",Results_Long!$AK$2:$AK$201,0)))</f>
        <v>0.49958477487198999</v>
      </c>
      <c r="G53" s="4" t="str">
        <f>INDEX(Results_Long!$F$2:$F$201,MATCH("C4|paris_mid|defined_classified|diff::with ETS/CT",Results_Long!$AK$2:$AK$201,0))</f>
        <v>3LMA-RVE_CR2</v>
      </c>
    </row>
    <row r="55" spans="1:7" x14ac:dyDescent="0.3">
      <c r="A55" s="1" t="s">
        <v>218</v>
      </c>
      <c r="B55" s="1" t="s">
        <v>219</v>
      </c>
      <c r="C55" s="1" t="s">
        <v>167</v>
      </c>
      <c r="D55" s="1" t="s">
        <v>168</v>
      </c>
      <c r="E55" s="1"/>
      <c r="F55" s="1"/>
      <c r="G55" s="1"/>
    </row>
    <row r="56" spans="1:7" x14ac:dyDescent="0.3">
      <c r="A56" s="4" t="s">
        <v>237</v>
      </c>
      <c r="B56" s="10">
        <f>IF(ISBLANK(INDEX(Results_Long!$K$2:$K$201,MATCH("C4|levels|classified|pair::without ETS/CT - with ETS/CT",Results_Long!$AK$2:$AK$201,0))),"n.e.",INDEX(Results_Long!$K$2:$K$201,MATCH("C4|levels|classified|pair::without ETS/CT - with ETS/CT",Results_Long!$AK$2:$AK$201,0)))</f>
        <v>4.9646410665875199E-3</v>
      </c>
      <c r="C56" s="7">
        <f>IF(ISBLANK(INDEX(Results_Long!$N$2:$N$201,MATCH("C4|levels|classified|pair::without ETS/CT - with ETS/CT",Results_Long!$AK$2:$AK$201,0))),"n.e.",INDEX(Results_Long!$N$2:$N$201,MATCH("C4|levels|classified|pair::without ETS/CT - with ETS/CT",Results_Long!$AK$2:$AK$201,0)))</f>
        <v>3.9178448697355699</v>
      </c>
      <c r="D56" s="8" t="str">
        <f>IF(ISBLANK(INDEX(Results_Long!$O$2:$O$201,MATCH("C4|levels|classified|pair::without ETS/CT - with ETS/CT",Results_Long!$AK$2:$AK$201,0))),"—",INDEX(Results_Long!$O$2:$O$201,MATCH("C4|levels|classified|pair::without ETS/CT - with ETS/CT",Results_Long!$AK$2:$AK$201,0)))</f>
        <v>—</v>
      </c>
    </row>
    <row r="58" spans="1:7" x14ac:dyDescent="0.3">
      <c r="A58" s="3" t="s">
        <v>221</v>
      </c>
      <c r="B58" s="6">
        <f>IF(ISBLANK(INDEX(Results_Long!$M$2:$M$201,MATCH("C4|levels|classified|levels_HTZ",Results_Long!$AK$2:$AK$201,0))),"n.e.",INDEX(Results_Long!$M$2:$M$201,MATCH("C4|levels|classified|levels_HTZ",Results_Long!$AK$2:$AK$201,0)))</f>
        <v>3.2125917038583598E-2</v>
      </c>
      <c r="C58" s="7">
        <f>IF(ISBLANK(INDEX(Results_Long!$N$2:$N$201,MATCH("C4|levels|classified|levels_HTZ",Results_Long!$AK$2:$AK$201,0))),"n.e.",INDEX(Results_Long!$N$2:$N$201,MATCH("C4|levels|classified|levels_HTZ",Results_Long!$AK$2:$AK$201,0)))</f>
        <v>3.9178448697355699</v>
      </c>
      <c r="D58" s="8">
        <f>IF(ISBLANK(INDEX(Results_Long!$O$2:$O$201,MATCH("C4|levels|classified|levels_HTZ",Results_Long!$AK$2:$AK$201,0))),"—",INDEX(Results_Long!$O$2:$O$201,MATCH("C4|levels|classified|levels_HTZ",Results_Long!$AK$2:$AK$201,0)))</f>
        <v>0.86663797106289897</v>
      </c>
      <c r="E58" s="4" t="str">
        <f>IF(ISNUMBER(SEARCH("&lt;3-cluster",INDEX(Results_Long!$AJ$2:$AJ$201,MATCH("C4|levels|classified|levels_HTZ",Results_Long!$AK$2:$AK$201,0)))),"touches &lt;3-cluster cell","")</f>
        <v/>
      </c>
    </row>
    <row r="59" spans="1:7" x14ac:dyDescent="0.3">
      <c r="A59" s="3" t="s">
        <v>222</v>
      </c>
      <c r="B59" s="6">
        <f>IF(ISBLANK(INDEX(Results_Long!$M$2:$M$201,MATCH("C4|paris_mid|defined_classified|interaction_HTZ",Results_Long!$AK$2:$AK$201,0))),"n.e.",INDEX(Results_Long!$M$2:$M$201,MATCH("C4|paris_mid|defined_classified|interaction_HTZ",Results_Long!$AK$2:$AK$201,0)))</f>
        <v>0.83663291803911799</v>
      </c>
      <c r="C59" s="7">
        <f>IF(ISBLANK(INDEX(Results_Long!$N$2:$N$201,MATCH("C4|paris_mid|defined_classified|interaction_HTZ",Results_Long!$AK$2:$AK$201,0))),"n.e.",INDEX(Results_Long!$N$2:$N$201,MATCH("C4|paris_mid|defined_classified|interaction_HTZ",Results_Long!$AK$2:$AK$201,0)))</f>
        <v>9.4938296622392393</v>
      </c>
      <c r="D59" s="8">
        <f>IF(ISBLANK(INDEX(Results_Long!$O$2:$O$201,MATCH("C4|paris_mid|defined_classified|interaction_HTZ",Results_Long!$AK$2:$AK$201,0))),"—",INDEX(Results_Long!$O$2:$O$201,MATCH("C4|paris_mid|defined_classified|interaction_HTZ",Results_Long!$AK$2:$AK$201,0)))</f>
        <v>0.38300480674195297</v>
      </c>
      <c r="E59" s="4" t="str">
        <f>IF(ISNUMBER(SEARCH("&lt;3-cluster",INDEX(Results_Long!$AJ$2:$AJ$201,MATCH("C4|paris_mid|defined_classified|interaction_HTZ",Results_Long!$AK$2:$AK$201,0)))),"touches &lt;3-cluster cell","")</f>
        <v/>
      </c>
    </row>
    <row r="62" spans="1:7" x14ac:dyDescent="0.3">
      <c r="A62" s="1" t="s">
        <v>238</v>
      </c>
      <c r="B62" s="1"/>
      <c r="C62" s="1"/>
      <c r="D62" s="1"/>
      <c r="E62" s="1"/>
      <c r="F62" s="1"/>
      <c r="G62" s="1"/>
    </row>
    <row r="63" spans="1:7" x14ac:dyDescent="0.3">
      <c r="A63" s="1" t="s">
        <v>205</v>
      </c>
      <c r="B63" s="1" t="s">
        <v>206</v>
      </c>
      <c r="C63" s="1" t="s">
        <v>207</v>
      </c>
      <c r="D63" s="1" t="s">
        <v>208</v>
      </c>
      <c r="E63" s="1" t="s">
        <v>209</v>
      </c>
      <c r="F63" s="1" t="s">
        <v>210</v>
      </c>
      <c r="G63" s="1" t="s">
        <v>167</v>
      </c>
    </row>
    <row r="64" spans="1:7" x14ac:dyDescent="0.3">
      <c r="A64" s="4" t="s">
        <v>239</v>
      </c>
      <c r="B64" s="8">
        <f>IF(ISBLANK(INDEX(Results_Long!$T$2:$T$201,MATCH("C5|levels|classified|lvl::1_US",Results_Long!$AK$2:$AK$201,0))),"n.e.",INDEX(Results_Long!$T$2:$T$201,MATCH("C5|levels|classified|lvl::1_US",Results_Long!$AK$2:$AK$201,0)))</f>
        <v>-5.1958272493600598E-2</v>
      </c>
      <c r="C64" s="8">
        <f>IF(ISBLANK(INDEX(Results_Long!$U$2:$U$201,MATCH("C5|levels|classified|lvl::1_US",Results_Long!$AK$2:$AK$201,0))),"n.e.",INDEX(Results_Long!$U$2:$U$201,MATCH("C5|levels|classified|lvl::1_US",Results_Long!$AK$2:$AK$201,0)))</f>
        <v>-0.101240518584242</v>
      </c>
      <c r="D64" s="8">
        <f>IF(ISBLANK(INDEX(Results_Long!$V$2:$V$201,MATCH("C5|levels|classified|lvl::1_US",Results_Long!$AK$2:$AK$201,0))),"n.e.",INDEX(Results_Long!$V$2:$V$201,MATCH("C5|levels|classified|lvl::1_US",Results_Long!$AK$2:$AK$201,0)))</f>
        <v>-2.42165070879129E-3</v>
      </c>
      <c r="E64" s="8">
        <f>IF(ISBLANK(INDEX(Results_Long!$W$2:$W$201,MATCH("C5|levels|classified|lvl::1_US",Results_Long!$AK$2:$AK$201,0))),"n.e.",INDEX(Results_Long!$W$2:$W$201,MATCH("C5|levels|classified|lvl::1_US",Results_Long!$AK$2:$AK$201,0)))</f>
        <v>-0.42801245277286198</v>
      </c>
      <c r="F64" s="8">
        <f>IF(ISBLANK(INDEX(Results_Long!$X$2:$X$201,MATCH("C5|levels|classified|lvl::1_US",Results_Long!$AK$2:$AK$201,0))),"n.e.",INDEX(Results_Long!$X$2:$X$201,MATCH("C5|levels|classified|lvl::1_US",Results_Long!$AK$2:$AK$201,0)))</f>
        <v>0.33943216427878198</v>
      </c>
      <c r="G64" s="7">
        <f>IF(ISBLANK(INDEX(Results_Long!$N$2:$N$201,MATCH("C5|levels|classified|lvl::1_US",Results_Long!$AK$2:$AK$201,0))),"n.e.",INDEX(Results_Long!$N$2:$N$201,MATCH("C5|levels|classified|lvl::1_US",Results_Long!$AK$2:$AK$201,0)))</f>
        <v>22.2361723715712</v>
      </c>
    </row>
    <row r="65" spans="1:7" x14ac:dyDescent="0.3">
      <c r="A65" s="4" t="s">
        <v>240</v>
      </c>
      <c r="B65" s="8">
        <f>IF(ISBLANK(INDEX(Results_Long!$T$2:$T$201,MATCH("C5|levels|classified|lvl::2_Europe",Results_Long!$AK$2:$AK$201,0))),"n.e.",INDEX(Results_Long!$T$2:$T$201,MATCH("C5|levels|classified|lvl::2_Europe",Results_Long!$AK$2:$AK$201,0)))</f>
        <v>-7.1650806021539795E-2</v>
      </c>
      <c r="C65" s="8">
        <f>IF(ISBLANK(INDEX(Results_Long!$U$2:$U$201,MATCH("C5|levels|classified|lvl::2_Europe",Results_Long!$AK$2:$AK$201,0))),"n.e.",INDEX(Results_Long!$U$2:$U$201,MATCH("C5|levels|classified|lvl::2_Europe",Results_Long!$AK$2:$AK$201,0)))</f>
        <v>-0.15455227640409</v>
      </c>
      <c r="D65" s="8">
        <f>IF(ISBLANK(INDEX(Results_Long!$V$2:$V$201,MATCH("C5|levels|classified|lvl::2_Europe",Results_Long!$AK$2:$AK$201,0))),"n.e.",INDEX(Results_Long!$V$2:$V$201,MATCH("C5|levels|classified|lvl::2_Europe",Results_Long!$AK$2:$AK$201,0)))</f>
        <v>1.2252572953021099E-2</v>
      </c>
      <c r="E65" s="8">
        <f>IF(ISBLANK(INDEX(Results_Long!$W$2:$W$201,MATCH("C5|levels|classified|lvl::2_Europe",Results_Long!$AK$2:$AK$201,0))),"n.e.",INDEX(Results_Long!$W$2:$W$201,MATCH("C5|levels|classified|lvl::2_Europe",Results_Long!$AK$2:$AK$201,0)))</f>
        <v>-0.458548377735987</v>
      </c>
      <c r="F65" s="8">
        <f>IF(ISBLANK(INDEX(Results_Long!$X$2:$X$201,MATCH("C5|levels|classified|lvl::2_Europe",Results_Long!$AK$2:$AK$201,0))),"n.e.",INDEX(Results_Long!$X$2:$X$201,MATCH("C5|levels|classified|lvl::2_Europe",Results_Long!$AK$2:$AK$201,0)))</f>
        <v>0.33808075751914601</v>
      </c>
      <c r="G65" s="7">
        <f>IF(ISBLANK(INDEX(Results_Long!$N$2:$N$201,MATCH("C5|levels|classified|lvl::2_Europe",Results_Long!$AK$2:$AK$201,0))),"n.e.",INDEX(Results_Long!$N$2:$N$201,MATCH("C5|levels|classified|lvl::2_Europe",Results_Long!$AK$2:$AK$201,0)))</f>
        <v>14.424424248596701</v>
      </c>
    </row>
    <row r="66" spans="1:7" x14ac:dyDescent="0.3">
      <c r="A66" s="4" t="s">
        <v>241</v>
      </c>
      <c r="B66" s="8">
        <f>IF(ISBLANK(INDEX(Results_Long!$T$2:$T$201,MATCH("C5|levels|classified|lvl::3_AsiaPac",Results_Long!$AK$2:$AK$201,0))),"n.e.",INDEX(Results_Long!$T$2:$T$201,MATCH("C5|levels|classified|lvl::3_AsiaPac",Results_Long!$AK$2:$AK$201,0)))</f>
        <v>-7.3508348158137907E-2</v>
      </c>
      <c r="C66" s="8">
        <f>IF(ISBLANK(INDEX(Results_Long!$U$2:$U$201,MATCH("C5|levels|classified|lvl::3_AsiaPac",Results_Long!$AK$2:$AK$201,0))),"n.e.",INDEX(Results_Long!$U$2:$U$201,MATCH("C5|levels|classified|lvl::3_AsiaPac",Results_Long!$AK$2:$AK$201,0)))</f>
        <v>-0.118098896796188</v>
      </c>
      <c r="D66" s="8">
        <f>IF(ISBLANK(INDEX(Results_Long!$V$2:$V$201,MATCH("C5|levels|classified|lvl::3_AsiaPac",Results_Long!$AK$2:$AK$201,0))),"n.e.",INDEX(Results_Long!$V$2:$V$201,MATCH("C5|levels|classified|lvl::3_AsiaPac",Results_Long!$AK$2:$AK$201,0)))</f>
        <v>-2.8621945592722901E-2</v>
      </c>
      <c r="E66" s="8">
        <f>IF(ISBLANK(INDEX(Results_Long!$W$2:$W$201,MATCH("C5|levels|classified|lvl::3_AsiaPac",Results_Long!$AK$2:$AK$201,0))),"n.e.",INDEX(Results_Long!$W$2:$W$201,MATCH("C5|levels|classified|lvl::3_AsiaPac",Results_Long!$AK$2:$AK$201,0)))</f>
        <v>-0.44416833810303602</v>
      </c>
      <c r="F66" s="8">
        <f>IF(ISBLANK(INDEX(Results_Long!$X$2:$X$201,MATCH("C5|levels|classified|lvl::3_AsiaPac",Results_Long!$AK$2:$AK$201,0))),"n.e.",INDEX(Results_Long!$X$2:$X$201,MATCH("C5|levels|classified|lvl::3_AsiaPac",Results_Long!$AK$2:$AK$201,0)))</f>
        <v>0.318636994822109</v>
      </c>
      <c r="G66" s="7">
        <f>IF(ISBLANK(INDEX(Results_Long!$N$2:$N$201,MATCH("C5|levels|classified|lvl::3_AsiaPac",Results_Long!$AK$2:$AK$201,0))),"n.e.",INDEX(Results_Long!$N$2:$N$201,MATCH("C5|levels|classified|lvl::3_AsiaPac",Results_Long!$AK$2:$AK$201,0)))</f>
        <v>23.4153800787522</v>
      </c>
    </row>
    <row r="68" spans="1:7" x14ac:dyDescent="0.3">
      <c r="A68" s="1" t="s">
        <v>213</v>
      </c>
      <c r="B68" s="1" t="s">
        <v>214</v>
      </c>
      <c r="C68" s="1" t="s">
        <v>215</v>
      </c>
      <c r="D68" s="1" t="s">
        <v>216</v>
      </c>
      <c r="E68" s="1" t="s">
        <v>167</v>
      </c>
      <c r="F68" s="1" t="s">
        <v>168</v>
      </c>
      <c r="G68" s="1" t="s">
        <v>217</v>
      </c>
    </row>
    <row r="69" spans="1:7" x14ac:dyDescent="0.3">
      <c r="A69" s="4" t="s">
        <v>239</v>
      </c>
      <c r="B69" s="10">
        <f>IF(ISBLANK(INDEX(Results_Long!$K$2:$K$201,MATCH("C5|paris_mid|defined_classified|diff::1_US",Results_Long!$AK$2:$AK$201,0))),"n.e.",INDEX(Results_Long!$K$2:$K$201,MATCH("C5|paris_mid|defined_classified|diff::1_US",Results_Long!$AK$2:$AK$201,0)))</f>
        <v>3.7225284487187503E-2</v>
      </c>
      <c r="C69" s="10">
        <f>IF(ISBLANK(INDEX(Results_Long!$P$2:$P$201,MATCH("C5|paris_mid|defined_classified|diff::1_US",Results_Long!$AK$2:$AK$201,0))),"n.e.",INDEX(Results_Long!$P$2:$P$201,MATCH("C5|paris_mid|defined_classified|diff::1_US",Results_Long!$AK$2:$AK$201,0)))</f>
        <v>-8.2672702372266399E-2</v>
      </c>
      <c r="D69" s="10">
        <f>IF(ISBLANK(INDEX(Results_Long!$Q$2:$Q$201,MATCH("C5|paris_mid|defined_classified|diff::1_US",Results_Long!$AK$2:$AK$201,0))),"n.e.",INDEX(Results_Long!$Q$2:$Q$201,MATCH("C5|paris_mid|defined_classified|diff::1_US",Results_Long!$AK$2:$AK$201,0)))</f>
        <v>0.157123271346641</v>
      </c>
      <c r="E69" s="7">
        <f>IF(ISBLANK(INDEX(Results_Long!$N$2:$N$201,MATCH("C5|paris_mid|defined_classified|diff::1_US",Results_Long!$AK$2:$AK$201,0))),"n.e.",INDEX(Results_Long!$N$2:$N$201,MATCH("C5|paris_mid|defined_classified|diff::1_US",Results_Long!$AK$2:$AK$201,0)))</f>
        <v>4.0846497080757</v>
      </c>
      <c r="F69" s="8" t="str">
        <f>IF(ISBLANK(INDEX(Results_Long!$O$2:$O$201,MATCH("C5|paris_mid|defined_classified|diff::1_US",Results_Long!$AK$2:$AK$201,0))),"—",INDEX(Results_Long!$O$2:$O$201,MATCH("C5|paris_mid|defined_classified|diff::1_US",Results_Long!$AK$2:$AK$201,0)))</f>
        <v>—</v>
      </c>
      <c r="G69" s="4" t="str">
        <f>INDEX(Results_Long!$F$2:$F$201,MATCH("C5|paris_mid|defined_classified|diff::1_US",Results_Long!$AK$2:$AK$201,0))</f>
        <v>3LMA-RVE_CR2</v>
      </c>
    </row>
    <row r="70" spans="1:7" x14ac:dyDescent="0.3">
      <c r="A70" s="4" t="s">
        <v>240</v>
      </c>
      <c r="B70" s="10">
        <f>IF(ISBLANK(INDEX(Results_Long!$K$2:$K$201,MATCH("C5|paris_mid|defined_classified|diff::2_Europe",Results_Long!$AK$2:$AK$201,0))),"n.e.",INDEX(Results_Long!$K$2:$K$201,MATCH("C5|paris_mid|defined_classified|diff::2_Europe",Results_Long!$AK$2:$AK$201,0)))</f>
        <v>8.8542297740675097E-2</v>
      </c>
      <c r="C70" s="10">
        <f>IF(ISBLANK(INDEX(Results_Long!$P$2:$P$201,MATCH("C5|paris_mid|defined_classified|diff::2_Europe",Results_Long!$AK$2:$AK$201,0))),"n.e.",INDEX(Results_Long!$P$2:$P$201,MATCH("C5|paris_mid|defined_classified|diff::2_Europe",Results_Long!$AK$2:$AK$201,0)))</f>
        <v>-7.4109584798568703E-2</v>
      </c>
      <c r="D70" s="10">
        <f>IF(ISBLANK(INDEX(Results_Long!$Q$2:$Q$201,MATCH("C5|paris_mid|defined_classified|diff::2_Europe",Results_Long!$AK$2:$AK$201,0))),"n.e.",INDEX(Results_Long!$Q$2:$Q$201,MATCH("C5|paris_mid|defined_classified|diff::2_Europe",Results_Long!$AK$2:$AK$201,0)))</f>
        <v>0.25119418027991902</v>
      </c>
      <c r="E70" s="7">
        <f>IF(ISBLANK(INDEX(Results_Long!$N$2:$N$201,MATCH("C5|paris_mid|defined_classified|diff::2_Europe",Results_Long!$AK$2:$AK$201,0))),"n.e.",INDEX(Results_Long!$N$2:$N$201,MATCH("C5|paris_mid|defined_classified|diff::2_Europe",Results_Long!$AK$2:$AK$201,0)))</f>
        <v>12.711284450201999</v>
      </c>
      <c r="F70" s="8">
        <f>IF(ISBLANK(INDEX(Results_Long!$O$2:$O$201,MATCH("C5|paris_mid|defined_classified|diff::2_Europe",Results_Long!$AK$2:$AK$201,0))),"—",INDEX(Results_Long!$O$2:$O$201,MATCH("C5|paris_mid|defined_classified|diff::2_Europe",Results_Long!$AK$2:$AK$201,0)))</f>
        <v>0.260090777993986</v>
      </c>
      <c r="G70" s="4" t="str">
        <f>INDEX(Results_Long!$F$2:$F$201,MATCH("C5|paris_mid|defined_classified|diff::2_Europe",Results_Long!$AK$2:$AK$201,0))</f>
        <v>3LMA-RVE_CR2</v>
      </c>
    </row>
    <row r="71" spans="1:7" x14ac:dyDescent="0.3">
      <c r="A71" s="4" t="s">
        <v>241</v>
      </c>
      <c r="B71" s="10">
        <f>IF(ISBLANK(INDEX(Results_Long!$K$2:$K$201,MATCH("C5|paris_mid|defined_classified|diff::3_AsiaPac",Results_Long!$AK$2:$AK$201,0))),"n.e.",INDEX(Results_Long!$K$2:$K$201,MATCH("C5|paris_mid|defined_classified|diff::3_AsiaPac",Results_Long!$AK$2:$AK$201,0)))</f>
        <v>9.2722256413527897E-4</v>
      </c>
      <c r="C71" s="10">
        <f>IF(ISBLANK(INDEX(Results_Long!$P$2:$P$201,MATCH("C5|paris_mid|defined_classified|diff::3_AsiaPac",Results_Long!$AK$2:$AK$201,0))),"n.e.",INDEX(Results_Long!$P$2:$P$201,MATCH("C5|paris_mid|defined_classified|diff::3_AsiaPac",Results_Long!$AK$2:$AK$201,0)))</f>
        <v>-0.10652121985202299</v>
      </c>
      <c r="D71" s="10">
        <f>IF(ISBLANK(INDEX(Results_Long!$Q$2:$Q$201,MATCH("C5|paris_mid|defined_classified|diff::3_AsiaPac",Results_Long!$AK$2:$AK$201,0))),"n.e.",INDEX(Results_Long!$Q$2:$Q$201,MATCH("C5|paris_mid|defined_classified|diff::3_AsiaPac",Results_Long!$AK$2:$AK$201,0)))</f>
        <v>0.108375664980294</v>
      </c>
      <c r="E71" s="7">
        <f>IF(ISBLANK(INDEX(Results_Long!$N$2:$N$201,MATCH("C5|paris_mid|defined_classified|diff::3_AsiaPac",Results_Long!$AK$2:$AK$201,0))),"n.e.",INDEX(Results_Long!$N$2:$N$201,MATCH("C5|paris_mid|defined_classified|diff::3_AsiaPac",Results_Long!$AK$2:$AK$201,0)))</f>
        <v>2.87329710428501</v>
      </c>
      <c r="F71" s="8" t="str">
        <f>IF(ISBLANK(INDEX(Results_Long!$O$2:$O$201,MATCH("C5|paris_mid|defined_classified|diff::3_AsiaPac",Results_Long!$AK$2:$AK$201,0))),"—",INDEX(Results_Long!$O$2:$O$201,MATCH("C5|paris_mid|defined_classified|diff::3_AsiaPac",Results_Long!$AK$2:$AK$201,0)))</f>
        <v>—</v>
      </c>
      <c r="G71" s="4" t="str">
        <f>INDEX(Results_Long!$F$2:$F$201,MATCH("C5|paris_mid|defined_classified|diff::3_AsiaPac",Results_Long!$AK$2:$AK$201,0))</f>
        <v>3LMA-RVE_CR2</v>
      </c>
    </row>
    <row r="73" spans="1:7" x14ac:dyDescent="0.3">
      <c r="A73" s="1" t="s">
        <v>218</v>
      </c>
      <c r="B73" s="1" t="s">
        <v>219</v>
      </c>
      <c r="C73" s="1" t="s">
        <v>167</v>
      </c>
      <c r="D73" s="1" t="s">
        <v>168</v>
      </c>
      <c r="E73" s="1"/>
      <c r="F73" s="1"/>
      <c r="G73" s="1"/>
    </row>
    <row r="74" spans="1:7" x14ac:dyDescent="0.3">
      <c r="A74" s="4" t="s">
        <v>242</v>
      </c>
      <c r="B74" s="10">
        <f>IF(ISBLANK(INDEX(Results_Long!$K$2:$K$201,MATCH("C5|levels|classified|pair::1_US - 2_Europe",Results_Long!$AK$2:$AK$201,0))),"n.e.",INDEX(Results_Long!$K$2:$K$201,MATCH("C5|levels|classified|pair::1_US - 2_Europe",Results_Long!$AK$2:$AK$201,0)))</f>
        <v>1.97686946768348E-2</v>
      </c>
      <c r="C74" s="7">
        <f>IF(ISBLANK(INDEX(Results_Long!$N$2:$N$201,MATCH("C5|levels|classified|pair::1_US - 2_Europe",Results_Long!$AK$2:$AK$201,0))),"n.e.",INDEX(Results_Long!$N$2:$N$201,MATCH("C5|levels|classified|pair::1_US - 2_Europe",Results_Long!$AK$2:$AK$201,0)))</f>
        <v>1.82056939063588</v>
      </c>
      <c r="D74" s="8" t="str">
        <f>IF(ISBLANK(INDEX(Results_Long!$O$2:$O$201,MATCH("C5|levels|classified|pair::1_US - 2_Europe",Results_Long!$AK$2:$AK$201,0))),"—",INDEX(Results_Long!$O$2:$O$201,MATCH("C5|levels|classified|pair::1_US - 2_Europe",Results_Long!$AK$2:$AK$201,0)))</f>
        <v>—</v>
      </c>
    </row>
    <row r="75" spans="1:7" x14ac:dyDescent="0.3">
      <c r="A75" s="4" t="s">
        <v>243</v>
      </c>
      <c r="B75" s="10">
        <f>IF(ISBLANK(INDEX(Results_Long!$K$2:$K$201,MATCH("C5|levels|classified|pair::1_US - 3_AsiaPac",Results_Long!$AK$2:$AK$201,0))),"n.e.",INDEX(Results_Long!$K$2:$K$201,MATCH("C5|levels|classified|pair::1_US - 3_AsiaPac",Results_Long!$AK$2:$AK$201,0)))</f>
        <v>2.1636074334996799E-2</v>
      </c>
      <c r="C75" s="7">
        <f>IF(ISBLANK(INDEX(Results_Long!$N$2:$N$201,MATCH("C5|levels|classified|pair::1_US - 3_AsiaPac",Results_Long!$AK$2:$AK$201,0))),"n.e.",INDEX(Results_Long!$N$2:$N$201,MATCH("C5|levels|classified|pair::1_US - 3_AsiaPac",Results_Long!$AK$2:$AK$201,0)))</f>
        <v>13.314037302037301</v>
      </c>
      <c r="D75" s="8">
        <f>IF(ISBLANK(INDEX(Results_Long!$O$2:$O$201,MATCH("C5|levels|classified|pair::1_US - 3_AsiaPac",Results_Long!$AK$2:$AK$201,0))),"—",INDEX(Results_Long!$O$2:$O$201,MATCH("C5|levels|classified|pair::1_US - 3_AsiaPac",Results_Long!$AK$2:$AK$201,0)))</f>
        <v>0.53113828405199404</v>
      </c>
    </row>
    <row r="76" spans="1:7" x14ac:dyDescent="0.3">
      <c r="A76" s="4" t="s">
        <v>244</v>
      </c>
      <c r="B76" s="10">
        <f>IF(ISBLANK(INDEX(Results_Long!$K$2:$K$201,MATCH("C5|levels|classified|pair::2_Europe - 3_AsiaPac",Results_Long!$AK$2:$AK$201,0))),"n.e.",INDEX(Results_Long!$K$2:$K$201,MATCH("C5|levels|classified|pair::2_Europe - 3_AsiaPac",Results_Long!$AK$2:$AK$201,0)))</f>
        <v>1.86737965816197E-3</v>
      </c>
      <c r="C76" s="7">
        <f>IF(ISBLANK(INDEX(Results_Long!$N$2:$N$201,MATCH("C5|levels|classified|pair::2_Europe - 3_AsiaPac",Results_Long!$AK$2:$AK$201,0))),"n.e.",INDEX(Results_Long!$N$2:$N$201,MATCH("C5|levels|classified|pair::2_Europe - 3_AsiaPac",Results_Long!$AK$2:$AK$201,0)))</f>
        <v>6.6421469085761897</v>
      </c>
      <c r="D76" s="8">
        <f>IF(ISBLANK(INDEX(Results_Long!$O$2:$O$201,MATCH("C5|levels|classified|pair::2_Europe - 3_AsiaPac",Results_Long!$AK$2:$AK$201,0))),"—",INDEX(Results_Long!$O$2:$O$201,MATCH("C5|levels|classified|pair::2_Europe - 3_AsiaPac",Results_Long!$AK$2:$AK$201,0)))</f>
        <v>0.96863583905956596</v>
      </c>
    </row>
    <row r="78" spans="1:7" x14ac:dyDescent="0.3">
      <c r="A78" s="3" t="s">
        <v>221</v>
      </c>
      <c r="B78" s="6">
        <f>IF(ISBLANK(INDEX(Results_Long!$M$2:$M$201,MATCH("C5|levels|classified|levels_HTZ",Results_Long!$AK$2:$AK$201,0))),"n.e.",INDEX(Results_Long!$M$2:$M$201,MATCH("C5|levels|classified|levels_HTZ",Results_Long!$AK$2:$AK$201,0)))</f>
        <v>0.74479045815878497</v>
      </c>
      <c r="C78" s="7">
        <f>IF(ISBLANK(INDEX(Results_Long!$N$2:$N$201,MATCH("C5|levels|classified|levels_HTZ",Results_Long!$AK$2:$AK$201,0))),"n.e.",INDEX(Results_Long!$N$2:$N$201,MATCH("C5|levels|classified|levels_HTZ",Results_Long!$AK$2:$AK$201,0)))</f>
        <v>3.29851742188632</v>
      </c>
      <c r="D78" s="8">
        <f>IF(ISBLANK(INDEX(Results_Long!$O$2:$O$201,MATCH("C5|levels|classified|levels_HTZ",Results_Long!$AK$2:$AK$201,0))),"—",INDEX(Results_Long!$O$2:$O$201,MATCH("C5|levels|classified|levels_HTZ",Results_Long!$AK$2:$AK$201,0)))</f>
        <v>0.54085009809842999</v>
      </c>
      <c r="E78" s="4" t="str">
        <f>IF(ISNUMBER(SEARCH("&lt;3-cluster",INDEX(Results_Long!$AJ$2:$AJ$201,MATCH("C5|levels|classified|levels_HTZ",Results_Long!$AK$2:$AK$201,0)))),"touches &lt;3-cluster cell","")</f>
        <v/>
      </c>
    </row>
    <row r="79" spans="1:7" x14ac:dyDescent="0.3">
      <c r="A79" s="3" t="s">
        <v>222</v>
      </c>
      <c r="B79" s="6">
        <f>IF(ISBLANK(INDEX(Results_Long!$M$2:$M$201,MATCH("C5|paris_mid|defined_classified|interaction_HTZ",Results_Long!$AK$2:$AK$201,0))),"n.e.",INDEX(Results_Long!$M$2:$M$201,MATCH("C5|paris_mid|defined_classified|interaction_HTZ",Results_Long!$AK$2:$AK$201,0)))</f>
        <v>0.460620685132967</v>
      </c>
      <c r="C79" s="7">
        <f>IF(ISBLANK(INDEX(Results_Long!$N$2:$N$201,MATCH("C5|paris_mid|defined_classified|interaction_HTZ",Results_Long!$AK$2:$AK$201,0))),"n.e.",INDEX(Results_Long!$N$2:$N$201,MATCH("C5|paris_mid|defined_classified|interaction_HTZ",Results_Long!$AK$2:$AK$201,0)))</f>
        <v>3.3629018691472798</v>
      </c>
      <c r="D79" s="8">
        <f>IF(ISBLANK(INDEX(Results_Long!$O$2:$O$201,MATCH("C5|paris_mid|defined_classified|interaction_HTZ",Results_Long!$AK$2:$AK$201,0))),"—",INDEX(Results_Long!$O$2:$O$201,MATCH("C5|paris_mid|defined_classified|interaction_HTZ",Results_Long!$AK$2:$AK$201,0)))</f>
        <v>0.66557314454793903</v>
      </c>
      <c r="E79" s="4" t="str">
        <f>IF(ISNUMBER(SEARCH("&lt;3-cluster",INDEX(Results_Long!$AJ$2:$AJ$201,MATCH("C5|paris_mid|defined_classified|interaction_HTZ",Results_Long!$AK$2:$AK$201,0)))),"touches &lt;3-cluster cell","")</f>
        <v>touches &lt;3-cluster cell</v>
      </c>
    </row>
    <row r="82" spans="1:2" x14ac:dyDescent="0.3">
      <c r="A82" s="1" t="s">
        <v>188</v>
      </c>
    </row>
    <row r="83" spans="1:2" x14ac:dyDescent="0.3">
      <c r="A83" s="4" t="s">
        <v>245</v>
      </c>
    </row>
    <row r="84" spans="1:2" x14ac:dyDescent="0.3">
      <c r="A84" s="4" t="s">
        <v>246</v>
      </c>
    </row>
    <row r="85" spans="1:2" x14ac:dyDescent="0.3">
      <c r="A85" s="4" t="s">
        <v>247</v>
      </c>
    </row>
    <row r="87" spans="1:2" x14ac:dyDescent="0.3">
      <c r="A87" s="1" t="s">
        <v>192</v>
      </c>
      <c r="B87" s="1" t="s">
        <v>193</v>
      </c>
    </row>
    <row r="88" spans="1:2" ht="224.4" x14ac:dyDescent="0.3">
      <c r="A88" s="5" t="s">
        <v>248</v>
      </c>
      <c r="B88" s="5" t="s">
        <v>249</v>
      </c>
    </row>
    <row r="89" spans="1:2" ht="198" x14ac:dyDescent="0.3">
      <c r="A89" s="5" t="s">
        <v>250</v>
      </c>
      <c r="B89" s="5" t="s">
        <v>251</v>
      </c>
    </row>
    <row r="91" spans="1:2" ht="105.6" x14ac:dyDescent="0.3">
      <c r="A91" s="9" t="s">
        <v>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6"/>
  <sheetViews>
    <sheetView workbookViewId="0"/>
  </sheetViews>
  <sheetFormatPr baseColWidth="10" defaultColWidth="8.88671875" defaultRowHeight="14.4" x14ac:dyDescent="0.3"/>
  <cols>
    <col min="1" max="1" width="30" customWidth="1"/>
    <col min="2" max="6" width="12" customWidth="1"/>
    <col min="7" max="7" width="26" customWidth="1"/>
  </cols>
  <sheetData>
    <row r="1" spans="1:7" x14ac:dyDescent="0.3">
      <c r="A1" s="3" t="s">
        <v>253</v>
      </c>
    </row>
    <row r="2" spans="1:7" x14ac:dyDescent="0.3">
      <c r="A2" s="4" t="s">
        <v>254</v>
      </c>
    </row>
    <row r="3" spans="1:7" x14ac:dyDescent="0.3">
      <c r="A3" s="4" t="s">
        <v>203</v>
      </c>
    </row>
    <row r="5" spans="1:7" x14ac:dyDescent="0.3">
      <c r="A5" s="1" t="s">
        <v>255</v>
      </c>
      <c r="B5" s="1"/>
      <c r="C5" s="1"/>
      <c r="D5" s="1"/>
      <c r="E5" s="1"/>
      <c r="F5" s="1"/>
      <c r="G5" s="1"/>
    </row>
    <row r="6" spans="1:7" x14ac:dyDescent="0.3">
      <c r="A6" s="1" t="s">
        <v>205</v>
      </c>
      <c r="B6" s="1" t="s">
        <v>206</v>
      </c>
      <c r="C6" s="1" t="s">
        <v>207</v>
      </c>
      <c r="D6" s="1" t="s">
        <v>208</v>
      </c>
      <c r="E6" s="1" t="s">
        <v>209</v>
      </c>
      <c r="F6" s="1" t="s">
        <v>210</v>
      </c>
      <c r="G6" s="1" t="s">
        <v>167</v>
      </c>
    </row>
    <row r="7" spans="1:7" x14ac:dyDescent="0.3">
      <c r="A7" s="4" t="s">
        <v>256</v>
      </c>
      <c r="B7" s="8">
        <f>IF(ISBLANK(INDEX(Results_Long!$T$2:$T$201,MATCH("C3|levels|classified|lvl::non-sensitive",Results_Long!$AK$2:$AK$201,0))),"n.e.",INDEX(Results_Long!$T$2:$T$201,MATCH("C3|levels|classified|lvl::non-sensitive",Results_Long!$AK$2:$AK$201,0)))</f>
        <v>-6.1609527698973002E-2</v>
      </c>
      <c r="C7" s="8">
        <f>IF(ISBLANK(INDEX(Results_Long!$U$2:$U$201,MATCH("C3|levels|classified|lvl::non-sensitive",Results_Long!$AK$2:$AK$201,0))),"n.e.",INDEX(Results_Long!$U$2:$U$201,MATCH("C3|levels|classified|lvl::non-sensitive",Results_Long!$AK$2:$AK$201,0)))</f>
        <v>-9.93241220533638E-2</v>
      </c>
      <c r="D7" s="8">
        <f>IF(ISBLANK(INDEX(Results_Long!$V$2:$V$201,MATCH("C3|levels|classified|lvl::non-sensitive",Results_Long!$AK$2:$AK$201,0))),"n.e.",INDEX(Results_Long!$V$2:$V$201,MATCH("C3|levels|classified|lvl::non-sensitive",Results_Long!$AK$2:$AK$201,0)))</f>
        <v>-2.37181753668094E-2</v>
      </c>
      <c r="E7" s="8">
        <f>IF(ISBLANK(INDEX(Results_Long!$W$2:$W$201,MATCH("C3|levels|classified|lvl::non-sensitive",Results_Long!$AK$2:$AK$201,0))),"n.e.",INDEX(Results_Long!$W$2:$W$201,MATCH("C3|levels|classified|lvl::non-sensitive",Results_Long!$AK$2:$AK$201,0)))</f>
        <v>-0.42348629848629998</v>
      </c>
      <c r="F7" s="8">
        <f>IF(ISBLANK(INDEX(Results_Long!$X$2:$X$201,MATCH("C3|levels|classified|lvl::non-sensitive",Results_Long!$AK$2:$AK$201,0))),"n.e.",INDEX(Results_Long!$X$2:$X$201,MATCH("C3|levels|classified|lvl::non-sensitive",Results_Long!$AK$2:$AK$201,0)))</f>
        <v>0.31722382825196599</v>
      </c>
      <c r="G7" s="7">
        <f>IF(ISBLANK(INDEX(Results_Long!$N$2:$N$201,MATCH("C3|levels|classified|lvl::non-sensitive",Results_Long!$AK$2:$AK$201,0))),"n.e.",INDEX(Results_Long!$N$2:$N$201,MATCH("C3|levels|classified|lvl::non-sensitive",Results_Long!$AK$2:$AK$201,0)))</f>
        <v>69.595427327711405</v>
      </c>
    </row>
    <row r="8" spans="1:7" x14ac:dyDescent="0.3">
      <c r="A8" s="4" t="s">
        <v>257</v>
      </c>
      <c r="B8" s="8">
        <f>IF(ISBLANK(INDEX(Results_Long!$T$2:$T$201,MATCH("C3|levels|classified|lvl::sensitive",Results_Long!$AK$2:$AK$201,0))),"n.e.",INDEX(Results_Long!$T$2:$T$201,MATCH("C3|levels|classified|lvl::sensitive",Results_Long!$AK$2:$AK$201,0)))</f>
        <v>-4.5813193194794197E-2</v>
      </c>
      <c r="C8" s="8">
        <f>IF(ISBLANK(INDEX(Results_Long!$U$2:$U$201,MATCH("C3|levels|classified|lvl::sensitive",Results_Long!$AK$2:$AK$201,0))),"n.e.",INDEX(Results_Long!$U$2:$U$201,MATCH("C3|levels|classified|lvl::sensitive",Results_Long!$AK$2:$AK$201,0)))</f>
        <v>-8.0670260354276102E-2</v>
      </c>
      <c r="D8" s="8">
        <f>IF(ISBLANK(INDEX(Results_Long!$V$2:$V$201,MATCH("C3|levels|classified|lvl::sensitive",Results_Long!$AK$2:$AK$201,0))),"n.e.",INDEX(Results_Long!$V$2:$V$201,MATCH("C3|levels|classified|lvl::sensitive",Results_Long!$AK$2:$AK$201,0)))</f>
        <v>-1.08442062342339E-2</v>
      </c>
      <c r="E8" s="8">
        <f>IF(ISBLANK(INDEX(Results_Long!$W$2:$W$201,MATCH("C3|levels|classified|lvl::sensitive",Results_Long!$AK$2:$AK$201,0))),"n.e.",INDEX(Results_Long!$W$2:$W$201,MATCH("C3|levels|classified|lvl::sensitive",Results_Long!$AK$2:$AK$201,0)))</f>
        <v>-0.45332966368127298</v>
      </c>
      <c r="F8" s="8">
        <f>IF(ISBLANK(INDEX(Results_Long!$X$2:$X$201,MATCH("C3|levels|classified|lvl::sensitive",Results_Long!$AK$2:$AK$201,0))),"n.e.",INDEX(Results_Long!$X$2:$X$201,MATCH("C3|levels|classified|lvl::sensitive",Results_Long!$AK$2:$AK$201,0)))</f>
        <v>0.37754438472486201</v>
      </c>
      <c r="G8" s="7">
        <f>IF(ISBLANK(INDEX(Results_Long!$N$2:$N$201,MATCH("C3|levels|classified|lvl::sensitive",Results_Long!$AK$2:$AK$201,0))),"n.e.",INDEX(Results_Long!$N$2:$N$201,MATCH("C3|levels|classified|lvl::sensitive",Results_Long!$AK$2:$AK$201,0)))</f>
        <v>8.8463405688479195</v>
      </c>
    </row>
    <row r="10" spans="1:7" x14ac:dyDescent="0.3">
      <c r="A10" s="1" t="s">
        <v>213</v>
      </c>
      <c r="B10" s="1" t="s">
        <v>214</v>
      </c>
      <c r="C10" s="1" t="s">
        <v>215</v>
      </c>
      <c r="D10" s="1" t="s">
        <v>216</v>
      </c>
      <c r="E10" s="1" t="s">
        <v>167</v>
      </c>
      <c r="F10" s="1" t="s">
        <v>168</v>
      </c>
      <c r="G10" s="1" t="s">
        <v>217</v>
      </c>
    </row>
    <row r="11" spans="1:7" x14ac:dyDescent="0.3">
      <c r="A11" s="4" t="s">
        <v>256</v>
      </c>
      <c r="B11" s="10">
        <f>IF(ISBLANK(INDEX(Results_Long!$K$2:$K$201,MATCH("C3|paris_mid|defined_classified|diff::non-sensitive",Results_Long!$AK$2:$AK$201,0))),"n.e.",INDEX(Results_Long!$K$2:$K$201,MATCH("C3|paris_mid|defined_classified|diff::non-sensitive",Results_Long!$AK$2:$AK$201,0)))</f>
        <v>1.9059524898687698E-2</v>
      </c>
      <c r="C11" s="10">
        <f>IF(ISBLANK(INDEX(Results_Long!$P$2:$P$201,MATCH("C3|paris_mid|defined_classified|diff::non-sensitive",Results_Long!$AK$2:$AK$201,0))),"n.e.",INDEX(Results_Long!$P$2:$P$201,MATCH("C3|paris_mid|defined_classified|diff::non-sensitive",Results_Long!$AK$2:$AK$201,0)))</f>
        <v>-3.75609310649649E-2</v>
      </c>
      <c r="D11" s="10">
        <f>IF(ISBLANK(INDEX(Results_Long!$Q$2:$Q$201,MATCH("C3|paris_mid|defined_classified|diff::non-sensitive",Results_Long!$AK$2:$AK$201,0))),"n.e.",INDEX(Results_Long!$Q$2:$Q$201,MATCH("C3|paris_mid|defined_classified|diff::non-sensitive",Results_Long!$AK$2:$AK$201,0)))</f>
        <v>7.5679980862340304E-2</v>
      </c>
      <c r="E11" s="7">
        <f>IF(ISBLANK(INDEX(Results_Long!$N$2:$N$201,MATCH("C3|paris_mid|defined_classified|diff::non-sensitive",Results_Long!$AK$2:$AK$201,0))),"n.e.",INDEX(Results_Long!$N$2:$N$201,MATCH("C3|paris_mid|defined_classified|diff::non-sensitive",Results_Long!$AK$2:$AK$201,0)))</f>
        <v>25.771443337816098</v>
      </c>
      <c r="F11" s="8">
        <f>IF(ISBLANK(INDEX(Results_Long!$O$2:$O$201,MATCH("C3|paris_mid|defined_classified|diff::non-sensitive",Results_Long!$AK$2:$AK$201,0))),"—",INDEX(Results_Long!$O$2:$O$201,MATCH("C3|paris_mid|defined_classified|diff::non-sensitive",Results_Long!$AK$2:$AK$201,0)))</f>
        <v>0.49498378106614699</v>
      </c>
      <c r="G11" s="4" t="str">
        <f>INDEX(Results_Long!$F$2:$F$201,MATCH("C3|paris_mid|defined_classified|diff::non-sensitive",Results_Long!$AK$2:$AK$201,0))</f>
        <v>3LMA-RVE_CR2</v>
      </c>
    </row>
    <row r="12" spans="1:7" x14ac:dyDescent="0.3">
      <c r="A12" s="4" t="s">
        <v>257</v>
      </c>
      <c r="B12" s="10">
        <f>IF(ISBLANK(INDEX(Results_Long!$K$2:$K$201,MATCH("C3|paris_mid|defined_classified|diff::sensitive",Results_Long!$AK$2:$AK$201,0))),"n.e.",INDEX(Results_Long!$K$2:$K$201,MATCH("C3|paris_mid|defined_classified|diff::sensitive",Results_Long!$AK$2:$AK$201,0)))</f>
        <v>3.92657307665433E-2</v>
      </c>
      <c r="C12" s="10">
        <f>IF(ISBLANK(INDEX(Results_Long!$P$2:$P$201,MATCH("C3|paris_mid|defined_classified|diff::sensitive",Results_Long!$AK$2:$AK$201,0))),"n.e.",INDEX(Results_Long!$P$2:$P$201,MATCH("C3|paris_mid|defined_classified|diff::sensitive",Results_Long!$AK$2:$AK$201,0)))</f>
        <v>-4.2041650823417098E-2</v>
      </c>
      <c r="D12" s="10">
        <f>IF(ISBLANK(INDEX(Results_Long!$Q$2:$Q$201,MATCH("C3|paris_mid|defined_classified|diff::sensitive",Results_Long!$AK$2:$AK$201,0))),"n.e.",INDEX(Results_Long!$Q$2:$Q$201,MATCH("C3|paris_mid|defined_classified|diff::sensitive",Results_Long!$AK$2:$AK$201,0)))</f>
        <v>0.120573112356504</v>
      </c>
      <c r="E12" s="7">
        <f>IF(ISBLANK(INDEX(Results_Long!$N$2:$N$201,MATCH("C3|paris_mid|defined_classified|diff::sensitive",Results_Long!$AK$2:$AK$201,0))),"n.e.",INDEX(Results_Long!$N$2:$N$201,MATCH("C3|paris_mid|defined_classified|diff::sensitive",Results_Long!$AK$2:$AK$201,0)))</f>
        <v>3.82125579958202</v>
      </c>
      <c r="F12" s="8" t="str">
        <f>IF(ISBLANK(INDEX(Results_Long!$O$2:$O$201,MATCH("C3|paris_mid|defined_classified|diff::sensitive",Results_Long!$AK$2:$AK$201,0))),"—",INDEX(Results_Long!$O$2:$O$201,MATCH("C3|paris_mid|defined_classified|diff::sensitive",Results_Long!$AK$2:$AK$201,0)))</f>
        <v>—</v>
      </c>
      <c r="G12" s="4" t="str">
        <f>INDEX(Results_Long!$F$2:$F$201,MATCH("C3|paris_mid|defined_classified|diff::sensitive",Results_Long!$AK$2:$AK$201,0))</f>
        <v>3LMA-RVE_CR2</v>
      </c>
    </row>
    <row r="14" spans="1:7" x14ac:dyDescent="0.3">
      <c r="A14" s="1" t="s">
        <v>218</v>
      </c>
      <c r="B14" s="1" t="s">
        <v>219</v>
      </c>
      <c r="C14" s="1" t="s">
        <v>167</v>
      </c>
      <c r="D14" s="1" t="s">
        <v>168</v>
      </c>
      <c r="E14" s="1"/>
      <c r="F14" s="1"/>
      <c r="G14" s="1"/>
    </row>
    <row r="15" spans="1:7" x14ac:dyDescent="0.3">
      <c r="A15" s="4" t="s">
        <v>258</v>
      </c>
      <c r="B15" s="10">
        <f>IF(ISBLANK(INDEX(Results_Long!$K$2:$K$201,MATCH("C3|levels|classified|pair::non-sensitive - sensitive",Results_Long!$AK$2:$AK$201,0))),"n.e.",INDEX(Results_Long!$K$2:$K$201,MATCH("C3|levels|classified|pair::non-sensitive - sensitive",Results_Long!$AK$2:$AK$201,0)))</f>
        <v>-1.5842371563549399E-2</v>
      </c>
      <c r="C15" s="7">
        <f>IF(ISBLANK(INDEX(Results_Long!$N$2:$N$201,MATCH("C3|levels|classified|pair::non-sensitive - sensitive",Results_Long!$AK$2:$AK$201,0))),"n.e.",INDEX(Results_Long!$N$2:$N$201,MATCH("C3|levels|classified|pair::non-sensitive - sensitive",Results_Long!$AK$2:$AK$201,0)))</f>
        <v>6.7844464946688499</v>
      </c>
      <c r="D15" s="8">
        <f>IF(ISBLANK(INDEX(Results_Long!$O$2:$O$201,MATCH("C3|levels|classified|pair::non-sensitive - sensitive",Results_Long!$AK$2:$AK$201,0))),"—",INDEX(Results_Long!$O$2:$O$201,MATCH("C3|levels|classified|pair::non-sensitive - sensitive",Results_Long!$AK$2:$AK$201,0)))</f>
        <v>0.44629705794871199</v>
      </c>
    </row>
    <row r="17" spans="1:7" x14ac:dyDescent="0.3">
      <c r="A17" s="3" t="s">
        <v>221</v>
      </c>
      <c r="B17" s="6">
        <f>IF(ISBLANK(INDEX(Results_Long!$M$2:$M$201,MATCH("C3|levels|classified|levels_HTZ",Results_Long!$AK$2:$AK$201,0))),"n.e.",INDEX(Results_Long!$M$2:$M$201,MATCH("C3|levels|classified|levels_HTZ",Results_Long!$AK$2:$AK$201,0)))</f>
        <v>0.65344737871307601</v>
      </c>
      <c r="C17" s="7">
        <f>IF(ISBLANK(INDEX(Results_Long!$N$2:$N$201,MATCH("C3|levels|classified|levels_HTZ",Results_Long!$AK$2:$AK$201,0))),"n.e.",INDEX(Results_Long!$N$2:$N$201,MATCH("C3|levels|classified|levels_HTZ",Results_Long!$AK$2:$AK$201,0)))</f>
        <v>6.7844464946688499</v>
      </c>
      <c r="D17" s="8">
        <f>IF(ISBLANK(INDEX(Results_Long!$O$2:$O$201,MATCH("C3|levels|classified|levels_HTZ",Results_Long!$AK$2:$AK$201,0))),"—",INDEX(Results_Long!$O$2:$O$201,MATCH("C3|levels|classified|levels_HTZ",Results_Long!$AK$2:$AK$201,0)))</f>
        <v>0.44629705794871199</v>
      </c>
      <c r="E17" s="4" t="str">
        <f>IF(ISNUMBER(SEARCH("&lt;3-cluster",INDEX(Results_Long!$AJ$2:$AJ$201,MATCH("C3|levels|classified|levels_HTZ",Results_Long!$AK$2:$AK$201,0)))),"touches &lt;3-cluster cell","")</f>
        <v/>
      </c>
    </row>
    <row r="18" spans="1:7" x14ac:dyDescent="0.3">
      <c r="A18" s="3" t="s">
        <v>222</v>
      </c>
      <c r="B18" s="6">
        <f>IF(ISBLANK(INDEX(Results_Long!$M$2:$M$201,MATCH("C3|paris_mid|defined_classified|interaction_HTZ",Results_Long!$AK$2:$AK$201,0))),"n.e.",INDEX(Results_Long!$M$2:$M$201,MATCH("C3|paris_mid|defined_classified|interaction_HTZ",Results_Long!$AK$2:$AK$201,0)))</f>
        <v>0.15811513753064499</v>
      </c>
      <c r="C18" s="7">
        <f>IF(ISBLANK(INDEX(Results_Long!$N$2:$N$201,MATCH("C3|paris_mid|defined_classified|interaction_HTZ",Results_Long!$AK$2:$AK$201,0))),"n.e.",INDEX(Results_Long!$N$2:$N$201,MATCH("C3|paris_mid|defined_classified|interaction_HTZ",Results_Long!$AK$2:$AK$201,0)))</f>
        <v>8.7855307947703096</v>
      </c>
      <c r="D18" s="8">
        <f>IF(ISBLANK(INDEX(Results_Long!$O$2:$O$201,MATCH("C3|paris_mid|defined_classified|interaction_HTZ",Results_Long!$AK$2:$AK$201,0))),"—",INDEX(Results_Long!$O$2:$O$201,MATCH("C3|paris_mid|defined_classified|interaction_HTZ",Results_Long!$AK$2:$AK$201,0)))</f>
        <v>0.70038592129771704</v>
      </c>
      <c r="E18" s="4" t="str">
        <f>IF(ISNUMBER(SEARCH("&lt;3-cluster",INDEX(Results_Long!$AJ$2:$AJ$201,MATCH("C3|paris_mid|defined_classified|interaction_HTZ",Results_Long!$AK$2:$AK$201,0)))),"touches &lt;3-cluster cell","")</f>
        <v/>
      </c>
    </row>
    <row r="21" spans="1:7" x14ac:dyDescent="0.3">
      <c r="A21" s="1" t="s">
        <v>259</v>
      </c>
      <c r="B21" s="1"/>
      <c r="C21" s="1"/>
      <c r="D21" s="1"/>
      <c r="E21" s="1"/>
      <c r="F21" s="1"/>
      <c r="G21" s="1"/>
    </row>
    <row r="22" spans="1:7" x14ac:dyDescent="0.3">
      <c r="A22" s="1" t="s">
        <v>205</v>
      </c>
      <c r="B22" s="1" t="s">
        <v>206</v>
      </c>
      <c r="C22" s="1" t="s">
        <v>207</v>
      </c>
      <c r="D22" s="1" t="s">
        <v>208</v>
      </c>
      <c r="E22" s="1" t="s">
        <v>209</v>
      </c>
      <c r="F22" s="1" t="s">
        <v>210</v>
      </c>
      <c r="G22" s="1" t="s">
        <v>167</v>
      </c>
    </row>
    <row r="23" spans="1:7" x14ac:dyDescent="0.3">
      <c r="A23" s="4" t="s">
        <v>260</v>
      </c>
      <c r="B23" s="8">
        <f>IF(ISBLANK(INDEX(Results_Long!$T$2:$T$201,MATCH("C6|levels|classified|lvl::1_developed",Results_Long!$AK$2:$AK$201,0))),"n.e.",INDEX(Results_Long!$T$2:$T$201,MATCH("C6|levels|classified|lvl::1_developed",Results_Long!$AK$2:$AK$201,0)))</f>
        <v>-2.8924725615052799E-2</v>
      </c>
      <c r="C23" s="8">
        <f>IF(ISBLANK(INDEX(Results_Long!$U$2:$U$201,MATCH("C6|levels|classified|lvl::1_developed",Results_Long!$AK$2:$AK$201,0))),"n.e.",INDEX(Results_Long!$U$2:$U$201,MATCH("C6|levels|classified|lvl::1_developed",Results_Long!$AK$2:$AK$201,0)))</f>
        <v>-4.3031116498095802E-2</v>
      </c>
      <c r="D23" s="8">
        <f>IF(ISBLANK(INDEX(Results_Long!$V$2:$V$201,MATCH("C6|levels|classified|lvl::1_developed",Results_Long!$AK$2:$AK$201,0))),"n.e.",INDEX(Results_Long!$V$2:$V$201,MATCH("C6|levels|classified|lvl::1_developed",Results_Long!$AK$2:$AK$201,0)))</f>
        <v>-1.4806804198091701E-2</v>
      </c>
      <c r="E23" s="8">
        <f>IF(ISBLANK(INDEX(Results_Long!$W$2:$W$201,MATCH("C6|levels|classified|lvl::1_developed",Results_Long!$AK$2:$AK$201,0))),"n.e.",INDEX(Results_Long!$W$2:$W$201,MATCH("C6|levels|classified|lvl::1_developed",Results_Long!$AK$2:$AK$201,0)))</f>
        <v>-0.18388560095870399</v>
      </c>
      <c r="F23" s="8">
        <f>IF(ISBLANK(INDEX(Results_Long!$X$2:$X$201,MATCH("C6|levels|classified|lvl::1_developed",Results_Long!$AK$2:$AK$201,0))),"n.e.",INDEX(Results_Long!$X$2:$X$201,MATCH("C6|levels|classified|lvl::1_developed",Results_Long!$AK$2:$AK$201,0)))</f>
        <v>0.12743903094439399</v>
      </c>
      <c r="G23" s="7">
        <f>IF(ISBLANK(INDEX(Results_Long!$N$2:$N$201,MATCH("C6|levels|classified|lvl::1_developed",Results_Long!$AK$2:$AK$201,0))),"n.e.",INDEX(Results_Long!$N$2:$N$201,MATCH("C6|levels|classified|lvl::1_developed",Results_Long!$AK$2:$AK$201,0)))</f>
        <v>37.814795971853101</v>
      </c>
    </row>
    <row r="24" spans="1:7" x14ac:dyDescent="0.3">
      <c r="A24" s="4" t="s">
        <v>261</v>
      </c>
      <c r="B24" s="8">
        <f>IF(ISBLANK(INDEX(Results_Long!$T$2:$T$201,MATCH("C6|levels|classified|lvl::2_developing",Results_Long!$AK$2:$AK$201,0))),"n.e.",INDEX(Results_Long!$T$2:$T$201,MATCH("C6|levels|classified|lvl::2_developing",Results_Long!$AK$2:$AK$201,0)))</f>
        <v>-5.0661969921292301E-2</v>
      </c>
      <c r="C24" s="8">
        <f>IF(ISBLANK(INDEX(Results_Long!$U$2:$U$201,MATCH("C6|levels|classified|lvl::2_developing",Results_Long!$AK$2:$AK$201,0))),"n.e.",INDEX(Results_Long!$U$2:$U$201,MATCH("C6|levels|classified|lvl::2_developing",Results_Long!$AK$2:$AK$201,0)))</f>
        <v>-7.0714943851246395E-2</v>
      </c>
      <c r="D24" s="8">
        <f>IF(ISBLANK(INDEX(Results_Long!$V$2:$V$201,MATCH("C6|levels|classified|lvl::2_developing",Results_Long!$AK$2:$AK$201,0))),"n.e.",INDEX(Results_Long!$V$2:$V$201,MATCH("C6|levels|classified|lvl::2_developing",Results_Long!$AK$2:$AK$201,0)))</f>
        <v>-3.0568063201291702E-2</v>
      </c>
      <c r="E24" s="8">
        <f>IF(ISBLANK(INDEX(Results_Long!$W$2:$W$201,MATCH("C6|levels|classified|lvl::2_developing",Results_Long!$AK$2:$AK$201,0))),"n.e.",INDEX(Results_Long!$W$2:$W$201,MATCH("C6|levels|classified|lvl::2_developing",Results_Long!$AK$2:$AK$201,0)))</f>
        <v>-0.20711713736089499</v>
      </c>
      <c r="F24" s="8">
        <f>IF(ISBLANK(INDEX(Results_Long!$X$2:$X$201,MATCH("C6|levels|classified|lvl::2_developing",Results_Long!$AK$2:$AK$201,0))),"n.e.",INDEX(Results_Long!$X$2:$X$201,MATCH("C6|levels|classified|lvl::2_developing",Results_Long!$AK$2:$AK$201,0)))</f>
        <v>0.108319968475049</v>
      </c>
      <c r="G24" s="7">
        <f>IF(ISBLANK(INDEX(Results_Long!$N$2:$N$201,MATCH("C6|levels|classified|lvl::2_developing",Results_Long!$AK$2:$AK$201,0))),"n.e.",INDEX(Results_Long!$N$2:$N$201,MATCH("C6|levels|classified|lvl::2_developing",Results_Long!$AK$2:$AK$201,0)))</f>
        <v>28.340855804545999</v>
      </c>
    </row>
    <row r="26" spans="1:7" x14ac:dyDescent="0.3">
      <c r="A26" s="1" t="s">
        <v>213</v>
      </c>
      <c r="B26" s="1" t="s">
        <v>214</v>
      </c>
      <c r="C26" s="1" t="s">
        <v>215</v>
      </c>
      <c r="D26" s="1" t="s">
        <v>216</v>
      </c>
      <c r="E26" s="1" t="s">
        <v>167</v>
      </c>
      <c r="F26" s="1" t="s">
        <v>168</v>
      </c>
      <c r="G26" s="1" t="s">
        <v>217</v>
      </c>
    </row>
    <row r="27" spans="1:7" x14ac:dyDescent="0.3">
      <c r="A27" s="4" t="s">
        <v>260</v>
      </c>
      <c r="B27" s="10">
        <f>IF(ISBLANK(INDEX(Results_Long!$K$2:$K$201,MATCH("C6|paris_mid|defined_classified|diff::1_developed",Results_Long!$AK$2:$AK$201,0))),"n.e.",INDEX(Results_Long!$K$2:$K$201,MATCH("C6|paris_mid|defined_classified|diff::1_developed",Results_Long!$AK$2:$AK$201,0)))</f>
        <v>-3.9677855285587198E-2</v>
      </c>
      <c r="C27" s="10">
        <f>IF(ISBLANK(INDEX(Results_Long!$P$2:$P$201,MATCH("C6|paris_mid|defined_classified|diff::1_developed",Results_Long!$AK$2:$AK$201,0))),"n.e.",INDEX(Results_Long!$P$2:$P$201,MATCH("C6|paris_mid|defined_classified|diff::1_developed",Results_Long!$AK$2:$AK$201,0)))</f>
        <v>-0.11189173072054701</v>
      </c>
      <c r="D27" s="10">
        <f>IF(ISBLANK(INDEX(Results_Long!$Q$2:$Q$201,MATCH("C6|paris_mid|defined_classified|diff::1_developed",Results_Long!$AK$2:$AK$201,0))),"n.e.",INDEX(Results_Long!$Q$2:$Q$201,MATCH("C6|paris_mid|defined_classified|diff::1_developed",Results_Long!$AK$2:$AK$201,0)))</f>
        <v>3.2536020149372499E-2</v>
      </c>
      <c r="E27" s="7">
        <f>IF(ISBLANK(INDEX(Results_Long!$N$2:$N$201,MATCH("C6|paris_mid|defined_classified|diff::1_developed",Results_Long!$AK$2:$AK$201,0))),"n.e.",INDEX(Results_Long!$N$2:$N$201,MATCH("C6|paris_mid|defined_classified|diff::1_developed",Results_Long!$AK$2:$AK$201,0)))</f>
        <v>1.78951779807511</v>
      </c>
      <c r="F27" s="8" t="str">
        <f>IF(ISBLANK(INDEX(Results_Long!$O$2:$O$201,MATCH("C6|paris_mid|defined_classified|diff::1_developed",Results_Long!$AK$2:$AK$201,0))),"—",INDEX(Results_Long!$O$2:$O$201,MATCH("C6|paris_mid|defined_classified|diff::1_developed",Results_Long!$AK$2:$AK$201,0)))</f>
        <v>—</v>
      </c>
      <c r="G27" s="4" t="str">
        <f>INDEX(Results_Long!$F$2:$F$201,MATCH("C6|paris_mid|defined_classified|diff::1_developed",Results_Long!$AK$2:$AK$201,0))</f>
        <v>3LMA-RVE_CR2</v>
      </c>
    </row>
    <row r="28" spans="1:7" x14ac:dyDescent="0.3">
      <c r="A28" s="4" t="s">
        <v>261</v>
      </c>
      <c r="B28" s="10">
        <f>IF(ISBLANK(INDEX(Results_Long!$K$2:$K$201,MATCH("C6|paris_mid|defined_classified|diff::2_developing",Results_Long!$AK$2:$AK$201,0))),"n.e.",INDEX(Results_Long!$K$2:$K$201,MATCH("C6|paris_mid|defined_classified|diff::2_developing",Results_Long!$AK$2:$AK$201,0)))</f>
        <v>-4.8431194680427497E-4</v>
      </c>
      <c r="C28" s="10">
        <f>IF(ISBLANK(INDEX(Results_Long!$P$2:$P$201,MATCH("C6|paris_mid|defined_classified|diff::2_developing",Results_Long!$AK$2:$AK$201,0))),"n.e.",INDEX(Results_Long!$P$2:$P$201,MATCH("C6|paris_mid|defined_classified|diff::2_developing",Results_Long!$AK$2:$AK$201,0)))</f>
        <v>-3.8794849076803202E-2</v>
      </c>
      <c r="D28" s="10">
        <f>IF(ISBLANK(INDEX(Results_Long!$Q$2:$Q$201,MATCH("C6|paris_mid|defined_classified|diff::2_developing",Results_Long!$AK$2:$AK$201,0))),"n.e.",INDEX(Results_Long!$Q$2:$Q$201,MATCH("C6|paris_mid|defined_classified|diff::2_developing",Results_Long!$AK$2:$AK$201,0)))</f>
        <v>3.7826225183194603E-2</v>
      </c>
      <c r="E28" s="7">
        <f>IF(ISBLANK(INDEX(Results_Long!$N$2:$N$201,MATCH("C6|paris_mid|defined_classified|diff::2_developing",Results_Long!$AK$2:$AK$201,0))),"n.e.",INDEX(Results_Long!$N$2:$N$201,MATCH("C6|paris_mid|defined_classified|diff::2_developing",Results_Long!$AK$2:$AK$201,0)))</f>
        <v>14.5118690955024</v>
      </c>
      <c r="F28" s="8">
        <f>IF(ISBLANK(INDEX(Results_Long!$O$2:$O$201,MATCH("C6|paris_mid|defined_classified|diff::2_developing",Results_Long!$AK$2:$AK$201,0))),"—",INDEX(Results_Long!$O$2:$O$201,MATCH("C6|paris_mid|defined_classified|diff::2_developing",Results_Long!$AK$2:$AK$201,0)))</f>
        <v>0.97880840404299396</v>
      </c>
      <c r="G28" s="4" t="str">
        <f>INDEX(Results_Long!$F$2:$F$201,MATCH("C6|paris_mid|defined_classified|diff::2_developing",Results_Long!$AK$2:$AK$201,0))</f>
        <v>3LMA-RVE_CR2</v>
      </c>
    </row>
    <row r="30" spans="1:7" x14ac:dyDescent="0.3">
      <c r="A30" s="1" t="s">
        <v>218</v>
      </c>
      <c r="B30" s="1" t="s">
        <v>219</v>
      </c>
      <c r="C30" s="1" t="s">
        <v>167</v>
      </c>
      <c r="D30" s="1" t="s">
        <v>168</v>
      </c>
      <c r="E30" s="1"/>
      <c r="F30" s="1"/>
      <c r="G30" s="1"/>
    </row>
    <row r="31" spans="1:7" x14ac:dyDescent="0.3">
      <c r="A31" s="4" t="s">
        <v>262</v>
      </c>
      <c r="B31" s="10">
        <f>IF(ISBLANK(INDEX(Results_Long!$K$2:$K$201,MATCH("C6|levels|classified|pair::1_developed - 2_developing",Results_Long!$AK$2:$AK$201,0))),"n.e.",INDEX(Results_Long!$K$2:$K$201,MATCH("C6|levels|classified|pair::1_developed - 2_developing",Results_Long!$AK$2:$AK$201,0)))</f>
        <v>2.17725841987749E-2</v>
      </c>
      <c r="C31" s="7">
        <f>IF(ISBLANK(INDEX(Results_Long!$N$2:$N$201,MATCH("C6|levels|classified|pair::1_developed - 2_developing",Results_Long!$AK$2:$AK$201,0))),"n.e.",INDEX(Results_Long!$N$2:$N$201,MATCH("C6|levels|classified|pair::1_developed - 2_developing",Results_Long!$AK$2:$AK$201,0)))</f>
        <v>39.270894796182397</v>
      </c>
      <c r="D31" s="8">
        <f>IF(ISBLANK(INDEX(Results_Long!$O$2:$O$201,MATCH("C6|levels|classified|pair::1_developed - 2_developing",Results_Long!$AK$2:$AK$201,0))),"—",INDEX(Results_Long!$O$2:$O$201,MATCH("C6|levels|classified|pair::1_developed - 2_developing",Results_Long!$AK$2:$AK$201,0)))</f>
        <v>8.5187647416852599E-2</v>
      </c>
    </row>
    <row r="33" spans="1:7" x14ac:dyDescent="0.3">
      <c r="A33" s="3" t="s">
        <v>221</v>
      </c>
      <c r="B33" s="6">
        <f>IF(ISBLANK(INDEX(Results_Long!$M$2:$M$201,MATCH("C6|levels|classified|levels_HTZ",Results_Long!$AK$2:$AK$201,0))),"n.e.",INDEX(Results_Long!$M$2:$M$201,MATCH("C6|levels|classified|levels_HTZ",Results_Long!$AK$2:$AK$201,0)))</f>
        <v>3.1183794607925299</v>
      </c>
      <c r="C33" s="7">
        <f>IF(ISBLANK(INDEX(Results_Long!$N$2:$N$201,MATCH("C6|levels|classified|levels_HTZ",Results_Long!$AK$2:$AK$201,0))),"n.e.",INDEX(Results_Long!$N$2:$N$201,MATCH("C6|levels|classified|levels_HTZ",Results_Long!$AK$2:$AK$201,0)))</f>
        <v>39.270894796182397</v>
      </c>
      <c r="D33" s="8">
        <f>IF(ISBLANK(INDEX(Results_Long!$O$2:$O$201,MATCH("C6|levels|classified|levels_HTZ",Results_Long!$AK$2:$AK$201,0))),"—",INDEX(Results_Long!$O$2:$O$201,MATCH("C6|levels|classified|levels_HTZ",Results_Long!$AK$2:$AK$201,0)))</f>
        <v>8.5187647416852599E-2</v>
      </c>
      <c r="E33" s="4" t="str">
        <f>IF(ISNUMBER(SEARCH("&lt;3-cluster",INDEX(Results_Long!$AJ$2:$AJ$201,MATCH("C6|levels|classified|levels_HTZ",Results_Long!$AK$2:$AK$201,0)))),"touches &lt;3-cluster cell","")</f>
        <v/>
      </c>
    </row>
    <row r="34" spans="1:7" x14ac:dyDescent="0.3">
      <c r="A34" s="3" t="s">
        <v>222</v>
      </c>
      <c r="B34" s="6">
        <f>IF(ISBLANK(INDEX(Results_Long!$M$2:$M$201,MATCH("C6|paris_mid|defined_classified|interaction_HTZ",Results_Long!$AK$2:$AK$201,0))),"n.e.",INDEX(Results_Long!$M$2:$M$201,MATCH("C6|paris_mid|defined_classified|interaction_HTZ",Results_Long!$AK$2:$AK$201,0)))</f>
        <v>3.4928387564258498</v>
      </c>
      <c r="C34" s="7">
        <f>IF(ISBLANK(INDEX(Results_Long!$N$2:$N$201,MATCH("C6|paris_mid|defined_classified|interaction_HTZ",Results_Long!$AK$2:$AK$201,0))),"n.e.",INDEX(Results_Long!$N$2:$N$201,MATCH("C6|paris_mid|defined_classified|interaction_HTZ",Results_Long!$AK$2:$AK$201,0)))</f>
        <v>2.2032508224695602</v>
      </c>
      <c r="D34" s="8">
        <f>IF(ISBLANK(INDEX(Results_Long!$O$2:$O$201,MATCH("C6|paris_mid|defined_classified|interaction_HTZ",Results_Long!$AK$2:$AK$201,0))),"—",INDEX(Results_Long!$O$2:$O$201,MATCH("C6|paris_mid|defined_classified|interaction_HTZ",Results_Long!$AK$2:$AK$201,0)))</f>
        <v>0.190734705682579</v>
      </c>
      <c r="E34" s="4" t="str">
        <f>IF(ISNUMBER(SEARCH("&lt;3-cluster",INDEX(Results_Long!$AJ$2:$AJ$201,MATCH("C6|paris_mid|defined_classified|interaction_HTZ",Results_Long!$AK$2:$AK$201,0)))),"touches &lt;3-cluster cell","")</f>
        <v/>
      </c>
    </row>
    <row r="37" spans="1:7" x14ac:dyDescent="0.3">
      <c r="A37" s="1" t="s">
        <v>263</v>
      </c>
      <c r="B37" s="1"/>
      <c r="C37" s="1"/>
      <c r="D37" s="1"/>
      <c r="E37" s="1"/>
      <c r="F37" s="1"/>
      <c r="G37" s="1"/>
    </row>
    <row r="38" spans="1:7" x14ac:dyDescent="0.3">
      <c r="A38" s="1" t="s">
        <v>205</v>
      </c>
      <c r="B38" s="1" t="s">
        <v>206</v>
      </c>
      <c r="C38" s="1" t="s">
        <v>207</v>
      </c>
      <c r="D38" s="1" t="s">
        <v>208</v>
      </c>
      <c r="E38" s="1" t="s">
        <v>209</v>
      </c>
      <c r="F38" s="1" t="s">
        <v>210</v>
      </c>
      <c r="G38" s="1" t="s">
        <v>167</v>
      </c>
    </row>
    <row r="39" spans="1:7" x14ac:dyDescent="0.3">
      <c r="A39" s="4" t="s">
        <v>264</v>
      </c>
      <c r="B39" s="8">
        <f>IF(ISBLANK(INDEX(Results_Long!$T$2:$T$201,MATCH("C7|levels|classified|lvl::1_western",Results_Long!$AK$2:$AK$201,0))),"n.e.",INDEX(Results_Long!$T$2:$T$201,MATCH("C7|levels|classified|lvl::1_western",Results_Long!$AK$2:$AK$201,0)))</f>
        <v>-6.0714689713508199E-2</v>
      </c>
      <c r="C39" s="8">
        <f>IF(ISBLANK(INDEX(Results_Long!$U$2:$U$201,MATCH("C7|levels|classified|lvl::1_western",Results_Long!$AK$2:$AK$201,0))),"n.e.",INDEX(Results_Long!$U$2:$U$201,MATCH("C7|levels|classified|lvl::1_western",Results_Long!$AK$2:$AK$201,0)))</f>
        <v>-0.11685325187899701</v>
      </c>
      <c r="D39" s="8">
        <f>IF(ISBLANK(INDEX(Results_Long!$V$2:$V$201,MATCH("C7|levels|classified|lvl::1_western",Results_Long!$AK$2:$AK$201,0))),"n.e.",INDEX(Results_Long!$V$2:$V$201,MATCH("C7|levels|classified|lvl::1_western",Results_Long!$AK$2:$AK$201,0)))</f>
        <v>-4.1893761186905703E-3</v>
      </c>
      <c r="E39" s="8">
        <f>IF(ISBLANK(INDEX(Results_Long!$W$2:$W$201,MATCH("C7|levels|classified|lvl::1_western",Results_Long!$AK$2:$AK$201,0))),"n.e.",INDEX(Results_Long!$W$2:$W$201,MATCH("C7|levels|classified|lvl::1_western",Results_Long!$AK$2:$AK$201,0)))</f>
        <v>-0.42289057393683699</v>
      </c>
      <c r="F39" s="8">
        <f>IF(ISBLANK(INDEX(Results_Long!$X$2:$X$201,MATCH("C7|levels|classified|lvl::1_western",Results_Long!$AK$2:$AK$201,0))),"n.e.",INDEX(Results_Long!$X$2:$X$201,MATCH("C7|levels|classified|lvl::1_western",Results_Long!$AK$2:$AK$201,0)))</f>
        <v>0.318186463772832</v>
      </c>
      <c r="G39" s="7">
        <f>IF(ISBLANK(INDEX(Results_Long!$N$2:$N$201,MATCH("C7|levels|classified|lvl::1_western",Results_Long!$AK$2:$AK$201,0))),"n.e.",INDEX(Results_Long!$N$2:$N$201,MATCH("C7|levels|classified|lvl::1_western",Results_Long!$AK$2:$AK$201,0)))</f>
        <v>40.156221089592201</v>
      </c>
    </row>
    <row r="40" spans="1:7" x14ac:dyDescent="0.3">
      <c r="A40" s="4" t="s">
        <v>265</v>
      </c>
      <c r="B40" s="8">
        <f>IF(ISBLANK(INDEX(Results_Long!$T$2:$T$201,MATCH("C7|levels|classified|lvl::2_non_western",Results_Long!$AK$2:$AK$201,0))),"n.e.",INDEX(Results_Long!$T$2:$T$201,MATCH("C7|levels|classified|lvl::2_non_western",Results_Long!$AK$2:$AK$201,0)))</f>
        <v>-6.5967559642752804E-2</v>
      </c>
      <c r="C40" s="8">
        <f>IF(ISBLANK(INDEX(Results_Long!$U$2:$U$201,MATCH("C7|levels|classified|lvl::2_non_western",Results_Long!$AK$2:$AK$201,0))),"n.e.",INDEX(Results_Long!$U$2:$U$201,MATCH("C7|levels|classified|lvl::2_non_western",Results_Long!$AK$2:$AK$201,0)))</f>
        <v>-0.104047173544961</v>
      </c>
      <c r="D40" s="8">
        <f>IF(ISBLANK(INDEX(Results_Long!$V$2:$V$201,MATCH("C7|levels|classified|lvl::2_non_western",Results_Long!$AK$2:$AK$201,0))),"n.e.",INDEX(Results_Long!$V$2:$V$201,MATCH("C7|levels|classified|lvl::2_non_western",Results_Long!$AK$2:$AK$201,0)))</f>
        <v>-2.76948216129927E-2</v>
      </c>
      <c r="E40" s="8">
        <f>IF(ISBLANK(INDEX(Results_Long!$W$2:$W$201,MATCH("C7|levels|classified|lvl::2_non_western",Results_Long!$AK$2:$AK$201,0))),"n.e.",INDEX(Results_Long!$W$2:$W$201,MATCH("C7|levels|classified|lvl::2_non_western",Results_Long!$AK$2:$AK$201,0)))</f>
        <v>-0.43472092133310603</v>
      </c>
      <c r="F40" s="8">
        <f>IF(ISBLANK(INDEX(Results_Long!$X$2:$X$201,MATCH("C7|levels|classified|lvl::2_non_western",Results_Long!$AK$2:$AK$201,0))),"n.e.",INDEX(Results_Long!$X$2:$X$201,MATCH("C7|levels|classified|lvl::2_non_western",Results_Long!$AK$2:$AK$201,0)))</f>
        <v>0.32173033470982298</v>
      </c>
      <c r="G40" s="7">
        <f>IF(ISBLANK(INDEX(Results_Long!$N$2:$N$201,MATCH("C7|levels|classified|lvl::2_non_western",Results_Long!$AK$2:$AK$201,0))),"n.e.",INDEX(Results_Long!$N$2:$N$201,MATCH("C7|levels|classified|lvl::2_non_western",Results_Long!$AK$2:$AK$201,0)))</f>
        <v>20.773208745561899</v>
      </c>
    </row>
    <row r="42" spans="1:7" x14ac:dyDescent="0.3">
      <c r="A42" s="1" t="s">
        <v>213</v>
      </c>
      <c r="B42" s="1" t="s">
        <v>214</v>
      </c>
      <c r="C42" s="1" t="s">
        <v>215</v>
      </c>
      <c r="D42" s="1" t="s">
        <v>216</v>
      </c>
      <c r="E42" s="1" t="s">
        <v>167</v>
      </c>
      <c r="F42" s="1" t="s">
        <v>168</v>
      </c>
      <c r="G42" s="1" t="s">
        <v>217</v>
      </c>
    </row>
    <row r="43" spans="1:7" x14ac:dyDescent="0.3">
      <c r="A43" s="4" t="s">
        <v>264</v>
      </c>
      <c r="B43" s="10">
        <f>IF(ISBLANK(INDEX(Results_Long!$K$2:$K$201,MATCH("C7|paris_mid|defined_classified|diff::1_western",Results_Long!$AK$2:$AK$201,0))),"n.e.",INDEX(Results_Long!$K$2:$K$201,MATCH("C7|paris_mid|defined_classified|diff::1_western",Results_Long!$AK$2:$AK$201,0)))</f>
        <v>1.23764997555285E-2</v>
      </c>
      <c r="C43" s="10">
        <f>IF(ISBLANK(INDEX(Results_Long!$P$2:$P$201,MATCH("C7|paris_mid|defined_classified|diff::1_western",Results_Long!$AK$2:$AK$201,0))),"n.e.",INDEX(Results_Long!$P$2:$P$201,MATCH("C7|paris_mid|defined_classified|diff::1_western",Results_Long!$AK$2:$AK$201,0)))</f>
        <v>-7.0162283658926294E-2</v>
      </c>
      <c r="D43" s="10">
        <f>IF(ISBLANK(INDEX(Results_Long!$Q$2:$Q$201,MATCH("C7|paris_mid|defined_classified|diff::1_western",Results_Long!$AK$2:$AK$201,0))),"n.e.",INDEX(Results_Long!$Q$2:$Q$201,MATCH("C7|paris_mid|defined_classified|diff::1_western",Results_Long!$AK$2:$AK$201,0)))</f>
        <v>9.4915283169983405E-2</v>
      </c>
      <c r="E43" s="7">
        <f>IF(ISBLANK(INDEX(Results_Long!$N$2:$N$201,MATCH("C7|paris_mid|defined_classified|diff::1_western",Results_Long!$AK$2:$AK$201,0))),"n.e.",INDEX(Results_Long!$N$2:$N$201,MATCH("C7|paris_mid|defined_classified|diff::1_western",Results_Long!$AK$2:$AK$201,0)))</f>
        <v>10.9057473380687</v>
      </c>
      <c r="F43" s="8">
        <f>IF(ISBLANK(INDEX(Results_Long!$O$2:$O$201,MATCH("C7|paris_mid|defined_classified|diff::1_western",Results_Long!$AK$2:$AK$201,0))),"—",INDEX(Results_Long!$O$2:$O$201,MATCH("C7|paris_mid|defined_classified|diff::1_western",Results_Long!$AK$2:$AK$201,0)))</f>
        <v>0.74737192459427504</v>
      </c>
      <c r="G43" s="4" t="str">
        <f>INDEX(Results_Long!$F$2:$F$201,MATCH("C7|paris_mid|defined_classified|diff::1_western",Results_Long!$AK$2:$AK$201,0))</f>
        <v>3LMA-RVE_CR2</v>
      </c>
    </row>
    <row r="44" spans="1:7" x14ac:dyDescent="0.3">
      <c r="A44" s="4" t="s">
        <v>265</v>
      </c>
      <c r="B44" s="10">
        <f>IF(ISBLANK(INDEX(Results_Long!$K$2:$K$201,MATCH("C7|paris_mid|defined_classified|diff::2_non_western",Results_Long!$AK$2:$AK$201,0))),"n.e.",INDEX(Results_Long!$K$2:$K$201,MATCH("C7|paris_mid|defined_classified|diff::2_non_western",Results_Long!$AK$2:$AK$201,0)))</f>
        <v>2.29556733593623E-2</v>
      </c>
      <c r="C44" s="10">
        <f>IF(ISBLANK(INDEX(Results_Long!$P$2:$P$201,MATCH("C7|paris_mid|defined_classified|diff::2_non_western",Results_Long!$AK$2:$AK$201,0))),"n.e.",INDEX(Results_Long!$P$2:$P$201,MATCH("C7|paris_mid|defined_classified|diff::2_non_western",Results_Long!$AK$2:$AK$201,0)))</f>
        <v>-3.6772813448287998E-2</v>
      </c>
      <c r="D44" s="10">
        <f>IF(ISBLANK(INDEX(Results_Long!$Q$2:$Q$201,MATCH("C7|paris_mid|defined_classified|diff::2_non_western",Results_Long!$AK$2:$AK$201,0))),"n.e.",INDEX(Results_Long!$Q$2:$Q$201,MATCH("C7|paris_mid|defined_classified|diff::2_non_western",Results_Long!$AK$2:$AK$201,0)))</f>
        <v>8.2684160167012605E-2</v>
      </c>
      <c r="E44" s="7">
        <f>IF(ISBLANK(INDEX(Results_Long!$N$2:$N$201,MATCH("C7|paris_mid|defined_classified|diff::2_non_western",Results_Long!$AK$2:$AK$201,0))),"n.e.",INDEX(Results_Long!$N$2:$N$201,MATCH("C7|paris_mid|defined_classified|diff::2_non_western",Results_Long!$AK$2:$AK$201,0)))</f>
        <v>2.7103736483817502</v>
      </c>
      <c r="F44" s="8" t="str">
        <f>IF(ISBLANK(INDEX(Results_Long!$O$2:$O$201,MATCH("C7|paris_mid|defined_classified|diff::2_non_western",Results_Long!$AK$2:$AK$201,0))),"—",INDEX(Results_Long!$O$2:$O$201,MATCH("C7|paris_mid|defined_classified|diff::2_non_western",Results_Long!$AK$2:$AK$201,0)))</f>
        <v>—</v>
      </c>
      <c r="G44" s="4" t="str">
        <f>INDEX(Results_Long!$F$2:$F$201,MATCH("C7|paris_mid|defined_classified|diff::2_non_western",Results_Long!$AK$2:$AK$201,0))</f>
        <v>3LMA-RVE_CR2</v>
      </c>
    </row>
    <row r="46" spans="1:7" x14ac:dyDescent="0.3">
      <c r="A46" s="1" t="s">
        <v>218</v>
      </c>
      <c r="B46" s="1" t="s">
        <v>219</v>
      </c>
      <c r="C46" s="1" t="s">
        <v>167</v>
      </c>
      <c r="D46" s="1" t="s">
        <v>168</v>
      </c>
      <c r="E46" s="1"/>
      <c r="F46" s="1"/>
      <c r="G46" s="1"/>
    </row>
    <row r="47" spans="1:7" x14ac:dyDescent="0.3">
      <c r="A47" s="4" t="s">
        <v>266</v>
      </c>
      <c r="B47" s="10">
        <f>IF(ISBLANK(INDEX(Results_Long!$K$2:$K$201,MATCH("C7|levels|classified|pair::1_western - 2_non_western",Results_Long!$AK$2:$AK$201,0))),"n.e.",INDEX(Results_Long!$K$2:$K$201,MATCH("C7|levels|classified|pair::1_western - 2_non_western",Results_Long!$AK$2:$AK$201,0)))</f>
        <v>5.2740422264024997E-3</v>
      </c>
      <c r="C47" s="7">
        <f>IF(ISBLANK(INDEX(Results_Long!$N$2:$N$201,MATCH("C7|levels|classified|pair::1_western - 2_non_western",Results_Long!$AK$2:$AK$201,0))),"n.e.",INDEX(Results_Long!$N$2:$N$201,MATCH("C7|levels|classified|pair::1_western - 2_non_western",Results_Long!$AK$2:$AK$201,0)))</f>
        <v>9.2585497440398505</v>
      </c>
      <c r="D47" s="8">
        <f>IF(ISBLANK(INDEX(Results_Long!$O$2:$O$201,MATCH("C7|levels|classified|pair::1_western - 2_non_western",Results_Long!$AK$2:$AK$201,0))),"—",INDEX(Results_Long!$O$2:$O$201,MATCH("C7|levels|classified|pair::1_western - 2_non_western",Results_Long!$AK$2:$AK$201,0)))</f>
        <v>0.87988987226489901</v>
      </c>
    </row>
    <row r="49" spans="1:7" x14ac:dyDescent="0.3">
      <c r="A49" s="3" t="s">
        <v>221</v>
      </c>
      <c r="B49" s="6">
        <f>IF(ISBLANK(INDEX(Results_Long!$M$2:$M$201,MATCH("C7|levels|classified|levels_HTZ",Results_Long!$AK$2:$AK$201,0))),"n.e.",INDEX(Results_Long!$M$2:$M$201,MATCH("C7|levels|classified|levels_HTZ",Results_Long!$AK$2:$AK$201,0)))</f>
        <v>2.4129500819015898E-2</v>
      </c>
      <c r="C49" s="7">
        <f>IF(ISBLANK(INDEX(Results_Long!$N$2:$N$201,MATCH("C7|levels|classified|levels_HTZ",Results_Long!$AK$2:$AK$201,0))),"n.e.",INDEX(Results_Long!$N$2:$N$201,MATCH("C7|levels|classified|levels_HTZ",Results_Long!$AK$2:$AK$201,0)))</f>
        <v>9.2585497440398505</v>
      </c>
      <c r="D49" s="8">
        <f>IF(ISBLANK(INDEX(Results_Long!$O$2:$O$201,MATCH("C7|levels|classified|levels_HTZ",Results_Long!$AK$2:$AK$201,0))),"—",INDEX(Results_Long!$O$2:$O$201,MATCH("C7|levels|classified|levels_HTZ",Results_Long!$AK$2:$AK$201,0)))</f>
        <v>0.87988987226489901</v>
      </c>
      <c r="E49" s="4" t="str">
        <f>IF(ISNUMBER(SEARCH("&lt;3-cluster",INDEX(Results_Long!$AJ$2:$AJ$201,MATCH("C7|levels|classified|levels_HTZ",Results_Long!$AK$2:$AK$201,0)))),"touches &lt;3-cluster cell","")</f>
        <v/>
      </c>
    </row>
    <row r="50" spans="1:7" x14ac:dyDescent="0.3">
      <c r="A50" s="3" t="s">
        <v>222</v>
      </c>
      <c r="B50" s="6">
        <f>IF(ISBLANK(INDEX(Results_Long!$M$2:$M$201,MATCH("C7|paris_mid|defined_classified|interaction_HTZ",Results_Long!$AK$2:$AK$201,0))),"n.e.",INDEX(Results_Long!$M$2:$M$201,MATCH("C7|paris_mid|defined_classified|interaction_HTZ",Results_Long!$AK$2:$AK$201,0)))</f>
        <v>6.7668186649652004E-2</v>
      </c>
      <c r="C50" s="7">
        <f>IF(ISBLANK(INDEX(Results_Long!$N$2:$N$201,MATCH("C7|paris_mid|defined_classified|interaction_HTZ",Results_Long!$AK$2:$AK$201,0))),"n.e.",INDEX(Results_Long!$N$2:$N$201,MATCH("C7|paris_mid|defined_classified|interaction_HTZ",Results_Long!$AK$2:$AK$201,0)))</f>
        <v>13.146307808171001</v>
      </c>
      <c r="D50" s="8">
        <f>IF(ISBLANK(INDEX(Results_Long!$O$2:$O$201,MATCH("C7|paris_mid|defined_classified|interaction_HTZ",Results_Long!$AK$2:$AK$201,0))),"—",INDEX(Results_Long!$O$2:$O$201,MATCH("C7|paris_mid|defined_classified|interaction_HTZ",Results_Long!$AK$2:$AK$201,0)))</f>
        <v>0.79879241700975401</v>
      </c>
      <c r="E50" s="4" t="str">
        <f>IF(ISNUMBER(SEARCH("&lt;3-cluster",INDEX(Results_Long!$AJ$2:$AJ$201,MATCH("C7|paris_mid|defined_classified|interaction_HTZ",Results_Long!$AK$2:$AK$201,0)))),"touches &lt;3-cluster cell","")</f>
        <v/>
      </c>
    </row>
    <row r="53" spans="1:7" x14ac:dyDescent="0.3">
      <c r="A53" s="1" t="s">
        <v>267</v>
      </c>
      <c r="B53" s="1"/>
      <c r="C53" s="1"/>
      <c r="D53" s="1"/>
      <c r="E53" s="1"/>
      <c r="F53" s="1"/>
      <c r="G53" s="1"/>
    </row>
    <row r="54" spans="1:7" x14ac:dyDescent="0.3">
      <c r="A54" s="1" t="s">
        <v>205</v>
      </c>
      <c r="B54" s="1" t="s">
        <v>206</v>
      </c>
      <c r="C54" s="1" t="s">
        <v>207</v>
      </c>
      <c r="D54" s="1" t="s">
        <v>208</v>
      </c>
      <c r="E54" s="1" t="s">
        <v>209</v>
      </c>
      <c r="F54" s="1" t="s">
        <v>210</v>
      </c>
      <c r="G54" s="1" t="s">
        <v>167</v>
      </c>
    </row>
    <row r="55" spans="1:7" x14ac:dyDescent="0.3">
      <c r="A55" s="4" t="s">
        <v>268</v>
      </c>
      <c r="B55" s="8">
        <f>IF(ISBLANK(INDEX(Results_Long!$T$2:$T$201,MATCH("C8|levels|classified|lvl::1_common law",Results_Long!$AK$2:$AK$201,0))),"n.e.",INDEX(Results_Long!$T$2:$T$201,MATCH("C8|levels|classified|lvl::1_common law",Results_Long!$AK$2:$AK$201,0)))</f>
        <v>-6.3715180494330406E-2</v>
      </c>
      <c r="C55" s="8">
        <f>IF(ISBLANK(INDEX(Results_Long!$U$2:$U$201,MATCH("C8|levels|classified|lvl::1_common law",Results_Long!$AK$2:$AK$201,0))),"n.e.",INDEX(Results_Long!$U$2:$U$201,MATCH("C8|levels|classified|lvl::1_common law",Results_Long!$AK$2:$AK$201,0)))</f>
        <v>-0.133074923511737</v>
      </c>
      <c r="D55" s="8">
        <f>IF(ISBLANK(INDEX(Results_Long!$V$2:$V$201,MATCH("C8|levels|classified|lvl::1_common law",Results_Long!$AK$2:$AK$201,0))),"n.e.",INDEX(Results_Long!$V$2:$V$201,MATCH("C8|levels|classified|lvl::1_common law",Results_Long!$AK$2:$AK$201,0)))</f>
        <v>6.2656115752026701E-3</v>
      </c>
      <c r="E55" s="8">
        <f>IF(ISBLANK(INDEX(Results_Long!$W$2:$W$201,MATCH("C8|levels|classified|lvl::1_common law",Results_Long!$AK$2:$AK$201,0))),"n.e.",INDEX(Results_Long!$W$2:$W$201,MATCH("C8|levels|classified|lvl::1_common law",Results_Long!$AK$2:$AK$201,0)))</f>
        <v>-0.45199806087370298</v>
      </c>
      <c r="F55" s="8">
        <f>IF(ISBLANK(INDEX(Results_Long!$X$2:$X$201,MATCH("C8|levels|classified|lvl::1_common law",Results_Long!$AK$2:$AK$201,0))),"n.e.",INDEX(Results_Long!$X$2:$X$201,MATCH("C8|levels|classified|lvl::1_common law",Results_Long!$AK$2:$AK$201,0)))</f>
        <v>0.34486631999989797</v>
      </c>
      <c r="G55" s="7">
        <f>IF(ISBLANK(INDEX(Results_Long!$N$2:$N$201,MATCH("C8|levels|classified|lvl::1_common law",Results_Long!$AK$2:$AK$201,0))),"n.e.",INDEX(Results_Long!$N$2:$N$201,MATCH("C8|levels|classified|lvl::1_common law",Results_Long!$AK$2:$AK$201,0)))</f>
        <v>30.743132482518099</v>
      </c>
    </row>
    <row r="56" spans="1:7" x14ac:dyDescent="0.3">
      <c r="A56" s="4" t="s">
        <v>269</v>
      </c>
      <c r="B56" s="8">
        <f>IF(ISBLANK(INDEX(Results_Long!$T$2:$T$201,MATCH("C8|levels|classified|lvl::2_civil law",Results_Long!$AK$2:$AK$201,0))),"n.e.",INDEX(Results_Long!$T$2:$T$201,MATCH("C8|levels|classified|lvl::2_civil law",Results_Long!$AK$2:$AK$201,0)))</f>
        <v>-6.7374676360506799E-2</v>
      </c>
      <c r="C56" s="8">
        <f>IF(ISBLANK(INDEX(Results_Long!$U$2:$U$201,MATCH("C8|levels|classified|lvl::2_civil law",Results_Long!$AK$2:$AK$201,0))),"n.e.",INDEX(Results_Long!$U$2:$U$201,MATCH("C8|levels|classified|lvl::2_civil law",Results_Long!$AK$2:$AK$201,0)))</f>
        <v>-0.108521057452705</v>
      </c>
      <c r="D56" s="8">
        <f>IF(ISBLANK(INDEX(Results_Long!$V$2:$V$201,MATCH("C8|levels|classified|lvl::2_civil law",Results_Long!$AK$2:$AK$201,0))),"n.e.",INDEX(Results_Long!$V$2:$V$201,MATCH("C8|levels|classified|lvl::2_civil law",Results_Long!$AK$2:$AK$201,0)))</f>
        <v>-2.5997837398979901E-2</v>
      </c>
      <c r="E56" s="8">
        <f>IF(ISBLANK(INDEX(Results_Long!$W$2:$W$201,MATCH("C8|levels|classified|lvl::2_civil law",Results_Long!$AK$2:$AK$201,0))),"n.e.",INDEX(Results_Long!$W$2:$W$201,MATCH("C8|levels|classified|lvl::2_civil law",Results_Long!$AK$2:$AK$201,0)))</f>
        <v>-0.458822826282269</v>
      </c>
      <c r="F56" s="8">
        <f>IF(ISBLANK(INDEX(Results_Long!$X$2:$X$201,MATCH("C8|levels|classified|lvl::2_civil law",Results_Long!$AK$2:$AK$201,0))),"n.e.",INDEX(Results_Long!$X$2:$X$201,MATCH("C8|levels|classified|lvl::2_civil law",Results_Long!$AK$2:$AK$201,0)))</f>
        <v>0.34597606780773299</v>
      </c>
      <c r="G56" s="7">
        <f>IF(ISBLANK(INDEX(Results_Long!$N$2:$N$201,MATCH("C8|levels|classified|lvl::2_civil law",Results_Long!$AK$2:$AK$201,0))),"n.e.",INDEX(Results_Long!$N$2:$N$201,MATCH("C8|levels|classified|lvl::2_civil law",Results_Long!$AK$2:$AK$201,0)))</f>
        <v>20.452604604764801</v>
      </c>
    </row>
    <row r="58" spans="1:7" x14ac:dyDescent="0.3">
      <c r="A58" s="1" t="s">
        <v>213</v>
      </c>
      <c r="B58" s="1" t="s">
        <v>214</v>
      </c>
      <c r="C58" s="1" t="s">
        <v>215</v>
      </c>
      <c r="D58" s="1" t="s">
        <v>216</v>
      </c>
      <c r="E58" s="1" t="s">
        <v>167</v>
      </c>
      <c r="F58" s="1" t="s">
        <v>168</v>
      </c>
      <c r="G58" s="1" t="s">
        <v>217</v>
      </c>
    </row>
    <row r="59" spans="1:7" x14ac:dyDescent="0.3">
      <c r="A59" s="4" t="s">
        <v>268</v>
      </c>
      <c r="B59" s="10">
        <f>IF(ISBLANK(INDEX(Results_Long!$K$2:$K$201,MATCH("C8|paris_mid|defined_classified|diff::1_common law",Results_Long!$AK$2:$AK$201,0))),"n.e.",INDEX(Results_Long!$K$2:$K$201,MATCH("C8|paris_mid|defined_classified|diff::1_common law",Results_Long!$AK$2:$AK$201,0)))</f>
        <v>-2.1798870901822101E-2</v>
      </c>
      <c r="C59" s="10">
        <f>IF(ISBLANK(INDEX(Results_Long!$P$2:$P$201,MATCH("C8|paris_mid|defined_classified|diff::1_common law",Results_Long!$AK$2:$AK$201,0))),"n.e.",INDEX(Results_Long!$P$2:$P$201,MATCH("C8|paris_mid|defined_classified|diff::1_common law",Results_Long!$AK$2:$AK$201,0)))</f>
        <v>-0.70348922493089405</v>
      </c>
      <c r="D59" s="10">
        <f>IF(ISBLANK(INDEX(Results_Long!$Q$2:$Q$201,MATCH("C8|paris_mid|defined_classified|diff::1_common law",Results_Long!$AK$2:$AK$201,0))),"n.e.",INDEX(Results_Long!$Q$2:$Q$201,MATCH("C8|paris_mid|defined_classified|diff::1_common law",Results_Long!$AK$2:$AK$201,0)))</f>
        <v>0.65989148312724999</v>
      </c>
      <c r="E59" s="7">
        <f>IF(ISBLANK(INDEX(Results_Long!$N$2:$N$201,MATCH("C8|paris_mid|defined_classified|diff::1_common law",Results_Long!$AK$2:$AK$201,0))),"n.e.",INDEX(Results_Long!$N$2:$N$201,MATCH("C8|paris_mid|defined_classified|diff::1_common law",Results_Long!$AK$2:$AK$201,0)))</f>
        <v>1.0770481871547599</v>
      </c>
      <c r="F59" s="8" t="str">
        <f>IF(ISBLANK(INDEX(Results_Long!$O$2:$O$201,MATCH("C8|paris_mid|defined_classified|diff::1_common law",Results_Long!$AK$2:$AK$201,0))),"—",INDEX(Results_Long!$O$2:$O$201,MATCH("C8|paris_mid|defined_classified|diff::1_common law",Results_Long!$AK$2:$AK$201,0)))</f>
        <v>—</v>
      </c>
      <c r="G59" s="4" t="str">
        <f>INDEX(Results_Long!$F$2:$F$201,MATCH("C8|paris_mid|defined_classified|diff::1_common law",Results_Long!$AK$2:$AK$201,0))</f>
        <v>3LMA-RVE_CR2</v>
      </c>
    </row>
    <row r="60" spans="1:7" x14ac:dyDescent="0.3">
      <c r="A60" s="4" t="s">
        <v>269</v>
      </c>
      <c r="B60" s="10">
        <f>IF(ISBLANK(INDEX(Results_Long!$K$2:$K$201,MATCH("C8|paris_mid|defined_classified|diff::2_civil law",Results_Long!$AK$2:$AK$201,0))),"n.e.",INDEX(Results_Long!$K$2:$K$201,MATCH("C8|paris_mid|defined_classified|diff::2_civil law",Results_Long!$AK$2:$AK$201,0)))</f>
        <v>2.18367452731245E-2</v>
      </c>
      <c r="C60" s="10">
        <f>IF(ISBLANK(INDEX(Results_Long!$P$2:$P$201,MATCH("C8|paris_mid|defined_classified|diff::2_civil law",Results_Long!$AK$2:$AK$201,0))),"n.e.",INDEX(Results_Long!$P$2:$P$201,MATCH("C8|paris_mid|defined_classified|diff::2_civil law",Results_Long!$AK$2:$AK$201,0)))</f>
        <v>-4.4840713818973102E-2</v>
      </c>
      <c r="D60" s="10">
        <f>IF(ISBLANK(INDEX(Results_Long!$Q$2:$Q$201,MATCH("C8|paris_mid|defined_classified|diff::2_civil law",Results_Long!$AK$2:$AK$201,0))),"n.e.",INDEX(Results_Long!$Q$2:$Q$201,MATCH("C8|paris_mid|defined_classified|diff::2_civil law",Results_Long!$AK$2:$AK$201,0)))</f>
        <v>8.8514204365222199E-2</v>
      </c>
      <c r="E60" s="7">
        <f>IF(ISBLANK(INDEX(Results_Long!$N$2:$N$201,MATCH("C8|paris_mid|defined_classified|diff::2_civil law",Results_Long!$AK$2:$AK$201,0))),"n.e.",INDEX(Results_Long!$N$2:$N$201,MATCH("C8|paris_mid|defined_classified|diff::2_civil law",Results_Long!$AK$2:$AK$201,0)))</f>
        <v>2.53756338806319</v>
      </c>
      <c r="F60" s="8" t="str">
        <f>IF(ISBLANK(INDEX(Results_Long!$O$2:$O$201,MATCH("C8|paris_mid|defined_classified|diff::2_civil law",Results_Long!$AK$2:$AK$201,0))),"—",INDEX(Results_Long!$O$2:$O$201,MATCH("C8|paris_mid|defined_classified|diff::2_civil law",Results_Long!$AK$2:$AK$201,0)))</f>
        <v>—</v>
      </c>
      <c r="G60" s="4" t="str">
        <f>INDEX(Results_Long!$F$2:$F$201,MATCH("C8|paris_mid|defined_classified|diff::2_civil law",Results_Long!$AK$2:$AK$201,0))</f>
        <v>3LMA-RVE_CR2</v>
      </c>
    </row>
    <row r="62" spans="1:7" x14ac:dyDescent="0.3">
      <c r="A62" s="1" t="s">
        <v>218</v>
      </c>
      <c r="B62" s="1" t="s">
        <v>219</v>
      </c>
      <c r="C62" s="1" t="s">
        <v>167</v>
      </c>
      <c r="D62" s="1" t="s">
        <v>168</v>
      </c>
      <c r="E62" s="1"/>
      <c r="F62" s="1"/>
      <c r="G62" s="1"/>
    </row>
    <row r="63" spans="1:7" x14ac:dyDescent="0.3">
      <c r="A63" s="4" t="s">
        <v>270</v>
      </c>
      <c r="B63" s="10">
        <f>IF(ISBLANK(INDEX(Results_Long!$K$2:$K$201,MATCH("C8|levels|classified|pair::1_common law - 2_civil law",Results_Long!$AK$2:$AK$201,0))),"n.e.",INDEX(Results_Long!$K$2:$K$201,MATCH("C8|levels|classified|pair::1_common law - 2_civil law",Results_Long!$AK$2:$AK$201,0)))</f>
        <v>3.6752895885126501E-3</v>
      </c>
      <c r="C63" s="7">
        <f>IF(ISBLANK(INDEX(Results_Long!$N$2:$N$201,MATCH("C8|levels|classified|pair::1_common law - 2_civil law",Results_Long!$AK$2:$AK$201,0))),"n.e.",INDEX(Results_Long!$N$2:$N$201,MATCH("C8|levels|classified|pair::1_common law - 2_civil law",Results_Long!$AK$2:$AK$201,0)))</f>
        <v>7.5169366347716204</v>
      </c>
      <c r="D63" s="8">
        <f>IF(ISBLANK(INDEX(Results_Long!$O$2:$O$201,MATCH("C8|levels|classified|pair::1_common law - 2_civil law",Results_Long!$AK$2:$AK$201,0))),"—",INDEX(Results_Long!$O$2:$O$201,MATCH("C8|levels|classified|pair::1_common law - 2_civil law",Results_Long!$AK$2:$AK$201,0)))</f>
        <v>0.92884729755819795</v>
      </c>
    </row>
    <row r="65" spans="1:5" x14ac:dyDescent="0.3">
      <c r="A65" s="3" t="s">
        <v>221</v>
      </c>
      <c r="B65" s="6">
        <f>IF(ISBLANK(INDEX(Results_Long!$M$2:$M$201,MATCH("C8|levels|classified|levels_HTZ",Results_Long!$AK$2:$AK$201,0))),"n.e.",INDEX(Results_Long!$M$2:$M$201,MATCH("C8|levels|classified|levels_HTZ",Results_Long!$AK$2:$AK$201,0)))</f>
        <v>8.5251862192728192E-3</v>
      </c>
      <c r="C65" s="7">
        <f>IF(ISBLANK(INDEX(Results_Long!$N$2:$N$201,MATCH("C8|levels|classified|levels_HTZ",Results_Long!$AK$2:$AK$201,0))),"n.e.",INDEX(Results_Long!$N$2:$N$201,MATCH("C8|levels|classified|levels_HTZ",Results_Long!$AK$2:$AK$201,0)))</f>
        <v>7.5169366347716204</v>
      </c>
      <c r="D65" s="8">
        <f>IF(ISBLANK(INDEX(Results_Long!$O$2:$O$201,MATCH("C8|levels|classified|levels_HTZ",Results_Long!$AK$2:$AK$201,0))),"—",INDEX(Results_Long!$O$2:$O$201,MATCH("C8|levels|classified|levels_HTZ",Results_Long!$AK$2:$AK$201,0)))</f>
        <v>0.92884729755819795</v>
      </c>
      <c r="E65" s="4" t="str">
        <f>IF(ISNUMBER(SEARCH("&lt;3-cluster",INDEX(Results_Long!$AJ$2:$AJ$201,MATCH("C8|levels|classified|levels_HTZ",Results_Long!$AK$2:$AK$201,0)))),"touches &lt;3-cluster cell","")</f>
        <v/>
      </c>
    </row>
    <row r="66" spans="1:5" x14ac:dyDescent="0.3">
      <c r="A66" s="3" t="s">
        <v>222</v>
      </c>
      <c r="B66" s="6">
        <f>IF(ISBLANK(INDEX(Results_Long!$M$2:$M$201,MATCH("C8|paris_mid|defined_classified|interaction_HTZ",Results_Long!$AK$2:$AK$201,0))),"n.e.",INDEX(Results_Long!$M$2:$M$201,MATCH("C8|paris_mid|defined_classified|interaction_HTZ",Results_Long!$AK$2:$AK$201,0)))</f>
        <v>0.44248965342796398</v>
      </c>
      <c r="C66" s="7">
        <f>IF(ISBLANK(INDEX(Results_Long!$N$2:$N$201,MATCH("C8|paris_mid|defined_classified|interaction_HTZ",Results_Long!$AK$2:$AK$201,0))),"n.e.",INDEX(Results_Long!$N$2:$N$201,MATCH("C8|paris_mid|defined_classified|interaction_HTZ",Results_Long!$AK$2:$AK$201,0)))</f>
        <v>1.21422097526166</v>
      </c>
      <c r="D66" s="8">
        <f>IF(ISBLANK(INDEX(Results_Long!$O$2:$O$201,MATCH("C8|paris_mid|defined_classified|interaction_HTZ",Results_Long!$AK$2:$AK$201,0))),"—",INDEX(Results_Long!$O$2:$O$201,MATCH("C8|paris_mid|defined_classified|interaction_HTZ",Results_Long!$AK$2:$AK$201,0)))</f>
        <v>0.60963824939466005</v>
      </c>
      <c r="E66" s="4" t="str">
        <f>IF(ISNUMBER(SEARCH("&lt;3-cluster",INDEX(Results_Long!$AJ$2:$AJ$201,MATCH("C8|paris_mid|defined_classified|interaction_HTZ",Results_Long!$AK$2:$AK$201,0)))),"touches &lt;3-cluster cell","")</f>
        <v>touches &lt;3-cluster cell</v>
      </c>
    </row>
    <row r="69" spans="1:5" x14ac:dyDescent="0.3">
      <c r="A69" s="1" t="s">
        <v>188</v>
      </c>
    </row>
    <row r="70" spans="1:5" x14ac:dyDescent="0.3">
      <c r="A70" s="4" t="s">
        <v>271</v>
      </c>
    </row>
    <row r="71" spans="1:5" x14ac:dyDescent="0.3">
      <c r="A71" s="4" t="s">
        <v>272</v>
      </c>
    </row>
    <row r="73" spans="1:5" x14ac:dyDescent="0.3">
      <c r="A73" s="1" t="s">
        <v>192</v>
      </c>
      <c r="B73" s="1" t="s">
        <v>193</v>
      </c>
    </row>
    <row r="74" spans="1:5" ht="158.4" x14ac:dyDescent="0.3">
      <c r="A74" s="5" t="s">
        <v>273</v>
      </c>
      <c r="B74" s="5" t="s">
        <v>274</v>
      </c>
    </row>
    <row r="76" spans="1:5" ht="79.2" x14ac:dyDescent="0.3">
      <c r="A76" s="9" t="s">
        <v>275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0"/>
  <sheetViews>
    <sheetView workbookViewId="0"/>
  </sheetViews>
  <sheetFormatPr baseColWidth="10" defaultColWidth="8.88671875" defaultRowHeight="14.4" x14ac:dyDescent="0.3"/>
  <cols>
    <col min="1" max="1" width="40" customWidth="1"/>
    <col min="2" max="3" width="12" customWidth="1"/>
    <col min="4" max="4" width="10" customWidth="1"/>
    <col min="5" max="5" width="12" customWidth="1"/>
    <col min="6" max="6" width="22" customWidth="1"/>
  </cols>
  <sheetData>
    <row r="1" spans="1:6" x14ac:dyDescent="0.3">
      <c r="A1" s="3" t="s">
        <v>276</v>
      </c>
    </row>
    <row r="2" spans="1:6" x14ac:dyDescent="0.3">
      <c r="A2" s="4" t="s">
        <v>277</v>
      </c>
    </row>
    <row r="3" spans="1:6" x14ac:dyDescent="0.3">
      <c r="A3" s="4" t="s">
        <v>278</v>
      </c>
    </row>
    <row r="5" spans="1:6" x14ac:dyDescent="0.3">
      <c r="A5" s="1" t="s">
        <v>279</v>
      </c>
      <c r="B5" s="1"/>
      <c r="C5" s="1"/>
      <c r="D5" s="1"/>
      <c r="E5" s="1"/>
      <c r="F5" s="1"/>
    </row>
    <row r="6" spans="1:6" x14ac:dyDescent="0.3">
      <c r="A6" s="1" t="s">
        <v>280</v>
      </c>
      <c r="B6" s="1" t="s">
        <v>281</v>
      </c>
      <c r="C6" s="1" t="s">
        <v>282</v>
      </c>
      <c r="D6" s="1"/>
      <c r="E6" s="1"/>
      <c r="F6" s="1"/>
    </row>
    <row r="7" spans="1:6" x14ac:dyDescent="0.3">
      <c r="A7" s="4" t="s">
        <v>283</v>
      </c>
      <c r="B7" s="11">
        <f>IF(ISBLANK(INDEX(Results_Long!$AG$2:$AG$201,MATCH("C9|design_rule|cc_v1|rule::CER_measure",Results_Long!$AK$2:$AK$201,0))),"n.e.",INDEX(Results_Long!$AG$2:$AG$201,MATCH("C9|design_rule|cc_v1|rule::CER_measure",Results_Long!$AK$2:$AK$201,0)))</f>
        <v>6.9056448494129699</v>
      </c>
      <c r="C7" s="4" t="str">
        <f>IF(ISNUMBER(SEARCH("excluded_structural",INDEX(Results_Long!$AJ$2:$AJ$201,MATCH("C9|design_rule|cc_v1|rule::CER_measure",Results_Long!$AK$2:$AK$201,0)))),"excluded_structural",IF(ISNUMBER(SEARCH("excluded_df",INDEX(Results_Long!$AJ$2:$AJ$201,MATCH("C9|design_rule|cc_v1|rule::CER_measure",Results_Long!$AK$2:$AK$201,0)))),"excluded_df",IF(ISNUMBER(SEARCH("excluded_pd",INDEX(Results_Long!$AJ$2:$AJ$201,MATCH("C9|design_rule|cc_v1|rule::CER_measure",Results_Long!$AK$2:$AK$201,0)))),"excluded_pd","admitted")))</f>
        <v>admitted</v>
      </c>
    </row>
    <row r="8" spans="1:6" x14ac:dyDescent="0.3">
      <c r="A8" s="4" t="s">
        <v>284</v>
      </c>
      <c r="B8" s="11">
        <f>IF(ISBLANK(INDEX(Results_Long!$AG$2:$AG$201,MATCH("C9|design_rule|cc_v1|rule::COD_instrument",Results_Long!$AK$2:$AK$201,0))),"n.e.",INDEX(Results_Long!$AG$2:$AG$201,MATCH("C9|design_rule|cc_v1|rule::COD_instrument",Results_Long!$AK$2:$AK$201,0)))</f>
        <v>1.3679351623099301</v>
      </c>
      <c r="C8" s="4" t="str">
        <f>IF(ISNUMBER(SEARCH("excluded_structural",INDEX(Results_Long!$AJ$2:$AJ$201,MATCH("C9|design_rule|cc_v1|rule::COD_instrument",Results_Long!$AK$2:$AK$201,0)))),"excluded_structural",IF(ISNUMBER(SEARCH("excluded_df",INDEX(Results_Long!$AJ$2:$AJ$201,MATCH("C9|design_rule|cc_v1|rule::COD_instrument",Results_Long!$AK$2:$AK$201,0)))),"excluded_df",IF(ISNUMBER(SEARCH("excluded_pd",INDEX(Results_Long!$AJ$2:$AJ$201,MATCH("C9|design_rule|cc_v1|rule::COD_instrument",Results_Long!$AK$2:$AK$201,0)))),"excluded_pd","admitted")))</f>
        <v>excluded_df</v>
      </c>
    </row>
    <row r="9" spans="1:6" x14ac:dyDescent="0.3">
      <c r="A9" s="4" t="s">
        <v>285</v>
      </c>
      <c r="B9" s="11">
        <f>IF(ISBLANK(INDEX(Results_Long!$AG$2:$AG$201,MATCH("C9|design_rule|cc_v1|rule::regulation3",Results_Long!$AK$2:$AK$201,0))),"n.e.",INDEX(Results_Long!$AG$2:$AG$201,MATCH("C9|design_rule|cc_v1|rule::regulation3",Results_Long!$AK$2:$AK$201,0)))</f>
        <v>3.0904763262261801</v>
      </c>
      <c r="C9" s="4" t="str">
        <f>IF(ISNUMBER(SEARCH("excluded_structural",INDEX(Results_Long!$AJ$2:$AJ$201,MATCH("C9|design_rule|cc_v1|rule::regulation3",Results_Long!$AK$2:$AK$201,0)))),"excluded_structural",IF(ISNUMBER(SEARCH("excluded_df",INDEX(Results_Long!$AJ$2:$AJ$201,MATCH("C9|design_rule|cc_v1|rule::regulation3",Results_Long!$AK$2:$AK$201,0)))),"excluded_df",IF(ISNUMBER(SEARCH("excluded_pd",INDEX(Results_Long!$AJ$2:$AJ$201,MATCH("C9|design_rule|cc_v1|rule::regulation3",Results_Long!$AK$2:$AK$201,0)))),"excluded_pd","admitted")))</f>
        <v>excluded_df</v>
      </c>
    </row>
    <row r="10" spans="1:6" x14ac:dyDescent="0.3">
      <c r="A10" s="4" t="s">
        <v>286</v>
      </c>
      <c r="B10" s="11">
        <f>IF(ISBLANK(INDEX(Results_Long!$AG$2:$AG$201,MATCH("C9|design_rule|cc_v1|rule::country_region",Results_Long!$AK$2:$AK$201,0))),"n.e.",INDEX(Results_Long!$AG$2:$AG$201,MATCH("C9|design_rule|cc_v1|rule::country_region",Results_Long!$AK$2:$AK$201,0)))</f>
        <v>9.5760855391399105</v>
      </c>
      <c r="C10" s="4" t="str">
        <f>IF(ISNUMBER(SEARCH("excluded_structural",INDEX(Results_Long!$AJ$2:$AJ$201,MATCH("C9|design_rule|cc_v1|rule::country_region",Results_Long!$AK$2:$AK$201,0)))),"excluded_structural",IF(ISNUMBER(SEARCH("excluded_df",INDEX(Results_Long!$AJ$2:$AJ$201,MATCH("C9|design_rule|cc_v1|rule::country_region",Results_Long!$AK$2:$AK$201,0)))),"excluded_df",IF(ISNUMBER(SEARCH("excluded_pd",INDEX(Results_Long!$AJ$2:$AJ$201,MATCH("C9|design_rule|cc_v1|rule::country_region",Results_Long!$AK$2:$AK$201,0)))),"excluded_pd","admitted")))</f>
        <v>admitted</v>
      </c>
    </row>
    <row r="11" spans="1:6" x14ac:dyDescent="0.3">
      <c r="A11" s="4" t="s">
        <v>287</v>
      </c>
      <c r="B11" s="11">
        <f>IF(ISBLANK(INDEX(Results_Long!$AG$2:$AG$201,MATCH("C9|design_rule|cc_v2|rule::CER_measure",Results_Long!$AK$2:$AK$201,0))),"n.e.",INDEX(Results_Long!$AG$2:$AG$201,MATCH("C9|design_rule|cc_v2|rule::CER_measure",Results_Long!$AK$2:$AK$201,0)))</f>
        <v>3.4105756095431499</v>
      </c>
      <c r="C11" s="4" t="str">
        <f>IF(ISNUMBER(SEARCH("excluded_structural",INDEX(Results_Long!$AJ$2:$AJ$201,MATCH("C9|design_rule|cc_v2|rule::CER_measure",Results_Long!$AK$2:$AK$201,0)))),"excluded_structural",IF(ISNUMBER(SEARCH("excluded_df",INDEX(Results_Long!$AJ$2:$AJ$201,MATCH("C9|design_rule|cc_v2|rule::CER_measure",Results_Long!$AK$2:$AK$201,0)))),"excluded_df",IF(ISNUMBER(SEARCH("excluded_pd",INDEX(Results_Long!$AJ$2:$AJ$201,MATCH("C9|design_rule|cc_v2|rule::CER_measure",Results_Long!$AK$2:$AK$201,0)))),"excluded_pd","admitted")))</f>
        <v>excluded_df</v>
      </c>
    </row>
    <row r="12" spans="1:6" x14ac:dyDescent="0.3">
      <c r="A12" s="4" t="s">
        <v>288</v>
      </c>
      <c r="B12" s="11">
        <f>IF(ISBLANK(INDEX(Results_Long!$AG$2:$AG$201,MATCH("C9|design_rule|cc_v2|rule::COD_instrument",Results_Long!$AK$2:$AK$201,0))),"n.e.",INDEX(Results_Long!$AG$2:$AG$201,MATCH("C9|design_rule|cc_v2|rule::COD_instrument",Results_Long!$AK$2:$AK$201,0)))</f>
        <v>3.5753430966061601</v>
      </c>
      <c r="C12" s="4" t="str">
        <f>IF(ISNUMBER(SEARCH("excluded_structural",INDEX(Results_Long!$AJ$2:$AJ$201,MATCH("C9|design_rule|cc_v2|rule::COD_instrument",Results_Long!$AK$2:$AK$201,0)))),"excluded_structural",IF(ISNUMBER(SEARCH("excluded_df",INDEX(Results_Long!$AJ$2:$AJ$201,MATCH("C9|design_rule|cc_v2|rule::COD_instrument",Results_Long!$AK$2:$AK$201,0)))),"excluded_df",IF(ISNUMBER(SEARCH("excluded_pd",INDEX(Results_Long!$AJ$2:$AJ$201,MATCH("C9|design_rule|cc_v2|rule::COD_instrument",Results_Long!$AK$2:$AK$201,0)))),"excluded_pd","admitted")))</f>
        <v>excluded_df</v>
      </c>
    </row>
    <row r="13" spans="1:6" x14ac:dyDescent="0.3">
      <c r="A13" s="4" t="s">
        <v>289</v>
      </c>
      <c r="B13" s="11">
        <f>IF(ISBLANK(INDEX(Results_Long!$AG$2:$AG$201,MATCH("C9|design_rule|cc_v2|rule::industry",Results_Long!$AK$2:$AK$201,0))),"n.e.",INDEX(Results_Long!$AG$2:$AG$201,MATCH("C9|design_rule|cc_v2|rule::industry",Results_Long!$AK$2:$AK$201,0)))</f>
        <v>4.2870894106251098</v>
      </c>
      <c r="C13" s="4" t="str">
        <f>IF(ISNUMBER(SEARCH("excluded_structural",INDEX(Results_Long!$AJ$2:$AJ$201,MATCH("C9|design_rule|cc_v2|rule::industry",Results_Long!$AK$2:$AK$201,0)))),"excluded_structural",IF(ISNUMBER(SEARCH("excluded_df",INDEX(Results_Long!$AJ$2:$AJ$201,MATCH("C9|design_rule|cc_v2|rule::industry",Results_Long!$AK$2:$AK$201,0)))),"excluded_df",IF(ISNUMBER(SEARCH("excluded_pd",INDEX(Results_Long!$AJ$2:$AJ$201,MATCH("C9|design_rule|cc_v2|rule::industry",Results_Long!$AK$2:$AK$201,0)))),"excluded_pd","admitted")))</f>
        <v>excluded_df</v>
      </c>
    </row>
    <row r="14" spans="1:6" x14ac:dyDescent="0.3">
      <c r="A14" s="4" t="s">
        <v>290</v>
      </c>
      <c r="B14" s="11">
        <f>IF(ISBLANK(INDEX(Results_Long!$AG$2:$AG$201,MATCH("C9|design_rule|cc_v2|rule::regulation3",Results_Long!$AK$2:$AK$201,0))),"n.e.",INDEX(Results_Long!$AG$2:$AG$201,MATCH("C9|design_rule|cc_v2|rule::regulation3",Results_Long!$AK$2:$AK$201,0)))</f>
        <v>4.0494971194846601</v>
      </c>
      <c r="C14" s="4" t="str">
        <f>IF(ISNUMBER(SEARCH("excluded_structural",INDEX(Results_Long!$AJ$2:$AJ$201,MATCH("C9|design_rule|cc_v2|rule::regulation3",Results_Long!$AK$2:$AK$201,0)))),"excluded_structural",IF(ISNUMBER(SEARCH("excluded_df",INDEX(Results_Long!$AJ$2:$AJ$201,MATCH("C9|design_rule|cc_v2|rule::regulation3",Results_Long!$AK$2:$AK$201,0)))),"excluded_df",IF(ISNUMBER(SEARCH("excluded_pd",INDEX(Results_Long!$AJ$2:$AJ$201,MATCH("C9|design_rule|cc_v2|rule::regulation3",Results_Long!$AK$2:$AK$201,0)))),"excluded_pd","admitted")))</f>
        <v>excluded_df</v>
      </c>
    </row>
    <row r="15" spans="1:6" x14ac:dyDescent="0.3">
      <c r="A15" s="4" t="s">
        <v>291</v>
      </c>
      <c r="B15" s="11" t="str">
        <f>IF(ISBLANK(INDEX(Results_Long!$AG$2:$AG$201,MATCH("C9|design_rule|cc_v2|rule::country_region",Results_Long!$AK$2:$AK$201,0))),"n.e.",INDEX(Results_Long!$AG$2:$AG$201,MATCH("C9|design_rule|cc_v2|rule::country_region",Results_Long!$AK$2:$AK$201,0)))</f>
        <v>n.e.</v>
      </c>
      <c r="C15" s="4" t="str">
        <f>IF(ISNUMBER(SEARCH("excluded_structural",INDEX(Results_Long!$AJ$2:$AJ$201,MATCH("C9|design_rule|cc_v2|rule::country_region",Results_Long!$AK$2:$AK$201,0)))),"excluded_structural",IF(ISNUMBER(SEARCH("excluded_df",INDEX(Results_Long!$AJ$2:$AJ$201,MATCH("C9|design_rule|cc_v2|rule::country_region",Results_Long!$AK$2:$AK$201,0)))),"excluded_df",IF(ISNUMBER(SEARCH("excluded_pd",INDEX(Results_Long!$AJ$2:$AJ$201,MATCH("C9|design_rule|cc_v2|rule::country_region",Results_Long!$AK$2:$AK$201,0)))),"excluded_pd","admitted")))</f>
        <v>excluded_structural</v>
      </c>
    </row>
    <row r="16" spans="1:6" x14ac:dyDescent="0.3">
      <c r="A16" s="4" t="s">
        <v>292</v>
      </c>
      <c r="B16" s="11" t="str">
        <f>IF(ISBLANK(INDEX(Results_Long!$AG$2:$AG$201,MATCH("C9|design_rule|cc_v2|rule::country_econ",Results_Long!$AK$2:$AK$201,0))),"n.e.",INDEX(Results_Long!$AG$2:$AG$201,MATCH("C9|design_rule|cc_v2|rule::country_econ",Results_Long!$AK$2:$AK$201,0)))</f>
        <v>n.e.</v>
      </c>
      <c r="C16" s="4" t="str">
        <f>IF(ISNUMBER(SEARCH("excluded_structural",INDEX(Results_Long!$AJ$2:$AJ$201,MATCH("C9|design_rule|cc_v2|rule::country_econ",Results_Long!$AK$2:$AK$201,0)))),"excluded_structural",IF(ISNUMBER(SEARCH("excluded_df",INDEX(Results_Long!$AJ$2:$AJ$201,MATCH("C9|design_rule|cc_v2|rule::country_econ",Results_Long!$AK$2:$AK$201,0)))),"excluded_df",IF(ISNUMBER(SEARCH("excluded_pd",INDEX(Results_Long!$AJ$2:$AJ$201,MATCH("C9|design_rule|cc_v2|rule::country_econ",Results_Long!$AK$2:$AK$201,0)))),"excluded_pd","admitted")))</f>
        <v>excluded_structural</v>
      </c>
    </row>
    <row r="17" spans="1:6" x14ac:dyDescent="0.3">
      <c r="A17" s="4" t="s">
        <v>293</v>
      </c>
      <c r="B17" s="11" t="str">
        <f>IF(ISBLANK(INDEX(Results_Long!$AG$2:$AG$201,MATCH("C9|design_rule|cc_v2|rule::country_culture",Results_Long!$AK$2:$AK$201,0))),"n.e.",INDEX(Results_Long!$AG$2:$AG$201,MATCH("C9|design_rule|cc_v2|rule::country_culture",Results_Long!$AK$2:$AK$201,0)))</f>
        <v>n.e.</v>
      </c>
      <c r="C17" s="4" t="str">
        <f>IF(ISNUMBER(SEARCH("excluded_structural",INDEX(Results_Long!$AJ$2:$AJ$201,MATCH("C9|design_rule|cc_v2|rule::country_culture",Results_Long!$AK$2:$AK$201,0)))),"excluded_structural",IF(ISNUMBER(SEARCH("excluded_df",INDEX(Results_Long!$AJ$2:$AJ$201,MATCH("C9|design_rule|cc_v2|rule::country_culture",Results_Long!$AK$2:$AK$201,0)))),"excluded_df",IF(ISNUMBER(SEARCH("excluded_pd",INDEX(Results_Long!$AJ$2:$AJ$201,MATCH("C9|design_rule|cc_v2|rule::country_culture",Results_Long!$AK$2:$AK$201,0)))),"excluded_pd","admitted")))</f>
        <v>excluded_structural</v>
      </c>
    </row>
    <row r="18" spans="1:6" x14ac:dyDescent="0.3">
      <c r="A18" s="4" t="s">
        <v>294</v>
      </c>
      <c r="B18" s="11" t="str">
        <f>IF(ISBLANK(INDEX(Results_Long!$AG$2:$AG$201,MATCH("C9|design_rule|cc_v2|rule::country_legal",Results_Long!$AK$2:$AK$201,0))),"n.e.",INDEX(Results_Long!$AG$2:$AG$201,MATCH("C9|design_rule|cc_v2|rule::country_legal",Results_Long!$AK$2:$AK$201,0)))</f>
        <v>n.e.</v>
      </c>
      <c r="C18" s="4" t="str">
        <f>IF(ISNUMBER(SEARCH("excluded_structural",INDEX(Results_Long!$AJ$2:$AJ$201,MATCH("C9|design_rule|cc_v2|rule::country_legal",Results_Long!$AK$2:$AK$201,0)))),"excluded_structural",IF(ISNUMBER(SEARCH("excluded_df",INDEX(Results_Long!$AJ$2:$AJ$201,MATCH("C9|design_rule|cc_v2|rule::country_legal",Results_Long!$AK$2:$AK$201,0)))),"excluded_df",IF(ISNUMBER(SEARCH("excluded_pd",INDEX(Results_Long!$AJ$2:$AJ$201,MATCH("C9|design_rule|cc_v2|rule::country_legal",Results_Long!$AK$2:$AK$201,0)))),"excluded_pd","admitted")))</f>
        <v>excluded_structural</v>
      </c>
    </row>
    <row r="20" spans="1:6" x14ac:dyDescent="0.3">
      <c r="A20" s="1" t="s">
        <v>295</v>
      </c>
      <c r="B20" s="1"/>
      <c r="C20" s="1"/>
      <c r="D20" s="1"/>
      <c r="E20" s="1"/>
      <c r="F20" s="1"/>
    </row>
    <row r="21" spans="1:6" x14ac:dyDescent="0.3">
      <c r="A21" s="1" t="s">
        <v>296</v>
      </c>
      <c r="B21" s="1" t="s">
        <v>297</v>
      </c>
      <c r="C21" s="1" t="s">
        <v>298</v>
      </c>
      <c r="D21" s="1" t="s">
        <v>167</v>
      </c>
      <c r="E21" s="1" t="s">
        <v>168</v>
      </c>
      <c r="F21" s="1" t="s">
        <v>217</v>
      </c>
    </row>
    <row r="22" spans="1:6" x14ac:dyDescent="0.3">
      <c r="A22" s="4" t="s">
        <v>299</v>
      </c>
      <c r="B22" s="10">
        <f>IF(ISBLANK(INDEX(Results_Long!$K$2:$K$201,MATCH("C9|unified_cc_v1|cc_v1|intercept",Results_Long!$AK$2:$AK$201,0))),"n.e.",INDEX(Results_Long!$K$2:$K$201,MATCH("C9|unified_cc_v1|cc_v1|intercept",Results_Long!$AK$2:$AK$201,0)))</f>
        <v>-7.8837665118354303E-3</v>
      </c>
      <c r="C22" s="8">
        <f>IF(ISBLANK(INDEX(Results_Long!$L$2:$L$201,MATCH("C9|unified_cc_v1|cc_v1|intercept",Results_Long!$AK$2:$AK$201,0))),"n.e.",INDEX(Results_Long!$L$2:$L$201,MATCH("C9|unified_cc_v1|cc_v1|intercept",Results_Long!$AK$2:$AK$201,0)))</f>
        <v>2.33340760260945E-2</v>
      </c>
      <c r="D22" s="7">
        <f>IF(ISBLANK(INDEX(Results_Long!$N$2:$N$201,MATCH("C9|unified_cc_v1|cc_v1|intercept",Results_Long!$AK$2:$AK$201,0))),"n.e.",INDEX(Results_Long!$N$2:$N$201,MATCH("C9|unified_cc_v1|cc_v1|intercept",Results_Long!$AK$2:$AK$201,0)))</f>
        <v>25.068769365154999</v>
      </c>
      <c r="E22" s="8">
        <f>IF(ISBLANK(INDEX(Results_Long!$O$2:$O$201,MATCH("C9|unified_cc_v1|cc_v1|intercept",Results_Long!$AK$2:$AK$201,0))),"—",INDEX(Results_Long!$O$2:$O$201,MATCH("C9|unified_cc_v1|cc_v1|intercept",Results_Long!$AK$2:$AK$201,0)))</f>
        <v>0.73827798110530496</v>
      </c>
      <c r="F22" s="4" t="str">
        <f>INDEX(Results_Long!$F$2:$F$201,MATCH("C9|unified_cc_v1|cc_v1|intercept",Results_Long!$AK$2:$AK$201,0))</f>
        <v>3LMA-RVE_CR2</v>
      </c>
    </row>
    <row r="23" spans="1:6" x14ac:dyDescent="0.3">
      <c r="A23" s="4" t="s">
        <v>300</v>
      </c>
      <c r="B23" s="10">
        <f>IF(ISBLANK(INDEX(Results_Long!$K$2:$K$201,MATCH("C9|unified_cc_v1|cc_v1|pp_mid_lag0",Results_Long!$AK$2:$AK$201,0))),"n.e.",INDEX(Results_Long!$K$2:$K$201,MATCH("C9|unified_cc_v1|cc_v1|pp_mid_lag0",Results_Long!$AK$2:$AK$201,0)))</f>
        <v>7.7591816336107901E-3</v>
      </c>
      <c r="C23" s="8">
        <f>IF(ISBLANK(INDEX(Results_Long!$L$2:$L$201,MATCH("C9|unified_cc_v1|cc_v1|pp_mid_lag0",Results_Long!$AK$2:$AK$201,0))),"n.e.",INDEX(Results_Long!$L$2:$L$201,MATCH("C9|unified_cc_v1|cc_v1|pp_mid_lag0",Results_Long!$AK$2:$AK$201,0)))</f>
        <v>2.5012160677511101E-2</v>
      </c>
      <c r="D23" s="7">
        <f>IF(ISBLANK(INDEX(Results_Long!$N$2:$N$201,MATCH("C9|unified_cc_v1|cc_v1|pp_mid_lag0",Results_Long!$AK$2:$AK$201,0))),"n.e.",INDEX(Results_Long!$N$2:$N$201,MATCH("C9|unified_cc_v1|cc_v1|pp_mid_lag0",Results_Long!$AK$2:$AK$201,0)))</f>
        <v>5.1326845965205496</v>
      </c>
      <c r="E23" s="8">
        <f>IF(ISBLANK(INDEX(Results_Long!$O$2:$O$201,MATCH("C9|unified_cc_v1|cc_v1|pp_mid_lag0",Results_Long!$AK$2:$AK$201,0))),"—",INDEX(Results_Long!$O$2:$O$201,MATCH("C9|unified_cc_v1|cc_v1|pp_mid_lag0",Results_Long!$AK$2:$AK$201,0)))</f>
        <v>0.76859864989432602</v>
      </c>
      <c r="F23" s="4" t="str">
        <f>INDEX(Results_Long!$F$2:$F$201,MATCH("C9|unified_cc_v1|cc_v1|pp_mid_lag0",Results_Long!$AK$2:$AK$201,0))</f>
        <v>3LMA-RVE_CR2</v>
      </c>
    </row>
    <row r="24" spans="1:6" x14ac:dyDescent="0.3">
      <c r="A24" s="4" t="s">
        <v>301</v>
      </c>
      <c r="B24" s="10">
        <f>IF(ISBLANK(INDEX(Results_Long!$K$2:$K$201,MATCH("C9|unified_cc_v1|cc_v1|CER_measuredisclosure",Results_Long!$AK$2:$AK$201,0))),"n.e.",INDEX(Results_Long!$K$2:$K$201,MATCH("C9|unified_cc_v1|cc_v1|CER_measuredisclosure",Results_Long!$AK$2:$AK$201,0)))</f>
        <v>7.8403171027325302E-3</v>
      </c>
      <c r="C24" s="8">
        <f>IF(ISBLANK(INDEX(Results_Long!$L$2:$L$201,MATCH("C9|unified_cc_v1|cc_v1|CER_measuredisclosure",Results_Long!$AK$2:$AK$201,0))),"n.e.",INDEX(Results_Long!$L$2:$L$201,MATCH("C9|unified_cc_v1|cc_v1|CER_measuredisclosure",Results_Long!$AK$2:$AK$201,0)))</f>
        <v>3.3582318194005201E-2</v>
      </c>
      <c r="D24" s="7">
        <f>IF(ISBLANK(INDEX(Results_Long!$N$2:$N$201,MATCH("C9|unified_cc_v1|cc_v1|CER_measuredisclosure",Results_Long!$AK$2:$AK$201,0))),"n.e.",INDEX(Results_Long!$N$2:$N$201,MATCH("C9|unified_cc_v1|cc_v1|CER_measuredisclosure",Results_Long!$AK$2:$AK$201,0)))</f>
        <v>4.0325634101188701</v>
      </c>
      <c r="E24" s="8" t="str">
        <f>IF(ISBLANK(INDEX(Results_Long!$O$2:$O$201,MATCH("C9|unified_cc_v1|cc_v1|CER_measuredisclosure",Results_Long!$AK$2:$AK$201,0))),"—",INDEX(Results_Long!$O$2:$O$201,MATCH("C9|unified_cc_v1|cc_v1|CER_measuredisclosure",Results_Long!$AK$2:$AK$201,0)))</f>
        <v>—</v>
      </c>
      <c r="F24" s="4" t="str">
        <f>INDEX(Results_Long!$F$2:$F$201,MATCH("C9|unified_cc_v1|cc_v1|CER_measuredisclosure",Results_Long!$AK$2:$AK$201,0))</f>
        <v>3LMA-RVE_CR2</v>
      </c>
    </row>
    <row r="25" spans="1:6" x14ac:dyDescent="0.3">
      <c r="A25" s="4" t="s">
        <v>302</v>
      </c>
      <c r="B25" s="10">
        <f>IF(ISBLANK(INDEX(Results_Long!$K$2:$K$201,MATCH("C9|unified_cc_v1|cc_v1|COD_instrumentbond (yield)",Results_Long!$AK$2:$AK$201,0))),"n.e.",INDEX(Results_Long!$K$2:$K$201,MATCH("C9|unified_cc_v1|cc_v1|COD_instrumentbond (yield)",Results_Long!$AK$2:$AK$201,0)))</f>
        <v>-5.2026517419185701E-2</v>
      </c>
      <c r="C25" s="8">
        <f>IF(ISBLANK(INDEX(Results_Long!$L$2:$L$201,MATCH("C9|unified_cc_v1|cc_v1|COD_instrumentbond (yield)",Results_Long!$AK$2:$AK$201,0))),"n.e.",INDEX(Results_Long!$L$2:$L$201,MATCH("C9|unified_cc_v1|cc_v1|COD_instrumentbond (yield)",Results_Long!$AK$2:$AK$201,0)))</f>
        <v>2.0194599900978601E-2</v>
      </c>
      <c r="D25" s="7">
        <f>IF(ISBLANK(INDEX(Results_Long!$N$2:$N$201,MATCH("C9|unified_cc_v1|cc_v1|COD_instrumentbond (yield)",Results_Long!$AK$2:$AK$201,0))),"n.e.",INDEX(Results_Long!$N$2:$N$201,MATCH("C9|unified_cc_v1|cc_v1|COD_instrumentbond (yield)",Results_Long!$AK$2:$AK$201,0)))</f>
        <v>3.4916214393615599</v>
      </c>
      <c r="E25" s="8" t="str">
        <f>IF(ISBLANK(INDEX(Results_Long!$O$2:$O$201,MATCH("C9|unified_cc_v1|cc_v1|COD_instrumentbond (yield)",Results_Long!$AK$2:$AK$201,0))),"—",INDEX(Results_Long!$O$2:$O$201,MATCH("C9|unified_cc_v1|cc_v1|COD_instrumentbond (yield)",Results_Long!$AK$2:$AK$201,0)))</f>
        <v>—</v>
      </c>
      <c r="F25" s="4" t="str">
        <f>INDEX(Results_Long!$F$2:$F$201,MATCH("C9|unified_cc_v1|cc_v1|COD_instrumentbond (yield)",Results_Long!$AK$2:$AK$201,0))</f>
        <v>3LMA-RVE_CR2</v>
      </c>
    </row>
    <row r="26" spans="1:6" x14ac:dyDescent="0.3">
      <c r="A26" s="4" t="s">
        <v>303</v>
      </c>
      <c r="B26" s="10">
        <f>IF(ISBLANK(INDEX(Results_Long!$K$2:$K$201,MATCH("C9|unified_cc_v1|cc_v1|COD_instrumentderivativ (CDS spread)",Results_Long!$AK$2:$AK$201,0))),"n.e.",INDEX(Results_Long!$K$2:$K$201,MATCH("C9|unified_cc_v1|cc_v1|COD_instrumentderivativ (CDS spread)",Results_Long!$AK$2:$AK$201,0)))</f>
        <v>-6.5533577493805797E-2</v>
      </c>
      <c r="C26" s="8">
        <f>IF(ISBLANK(INDEX(Results_Long!$L$2:$L$201,MATCH("C9|unified_cc_v1|cc_v1|COD_instrumentderivativ (CDS spread)",Results_Long!$AK$2:$AK$201,0))),"n.e.",INDEX(Results_Long!$L$2:$L$201,MATCH("C9|unified_cc_v1|cc_v1|COD_instrumentderivativ (CDS spread)",Results_Long!$AK$2:$AK$201,0)))</f>
        <v>7.6314013105623593E-2</v>
      </c>
      <c r="D26" s="7">
        <f>IF(ISBLANK(INDEX(Results_Long!$N$2:$N$201,MATCH("C9|unified_cc_v1|cc_v1|COD_instrumentderivativ (CDS spread)",Results_Long!$AK$2:$AK$201,0))),"n.e.",INDEX(Results_Long!$N$2:$N$201,MATCH("C9|unified_cc_v1|cc_v1|COD_instrumentderivativ (CDS spread)",Results_Long!$AK$2:$AK$201,0)))</f>
        <v>3.1071594957269801</v>
      </c>
      <c r="E26" s="8" t="str">
        <f>IF(ISBLANK(INDEX(Results_Long!$O$2:$O$201,MATCH("C9|unified_cc_v1|cc_v1|COD_instrumentderivativ (CDS spread)",Results_Long!$AK$2:$AK$201,0))),"—",INDEX(Results_Long!$O$2:$O$201,MATCH("C9|unified_cc_v1|cc_v1|COD_instrumentderivativ (CDS spread)",Results_Long!$AK$2:$AK$201,0)))</f>
        <v>—</v>
      </c>
      <c r="F26" s="4" t="str">
        <f>INDEX(Results_Long!$F$2:$F$201,MATCH("C9|unified_cc_v1|cc_v1|COD_instrumentderivativ (CDS spread)",Results_Long!$AK$2:$AK$201,0))</f>
        <v>3LMA-RVE_CR2</v>
      </c>
    </row>
    <row r="27" spans="1:6" x14ac:dyDescent="0.3">
      <c r="A27" s="4" t="s">
        <v>304</v>
      </c>
      <c r="B27" s="10">
        <f>IF(ISBLANK(INDEX(Results_Long!$K$2:$K$201,MATCH("C9|unified_cc_v1|cc_v1|COD_instrumentrating",Results_Long!$AK$2:$AK$201,0))),"n.e.",INDEX(Results_Long!$K$2:$K$201,MATCH("C9|unified_cc_v1|cc_v1|COD_instrumentrating",Results_Long!$AK$2:$AK$201,0)))</f>
        <v>-2.5299735067844002E-2</v>
      </c>
      <c r="C27" s="8">
        <f>IF(ISBLANK(INDEX(Results_Long!$L$2:$L$201,MATCH("C9|unified_cc_v1|cc_v1|COD_instrumentrating",Results_Long!$AK$2:$AK$201,0))),"n.e.",INDEX(Results_Long!$L$2:$L$201,MATCH("C9|unified_cc_v1|cc_v1|COD_instrumentrating",Results_Long!$AK$2:$AK$201,0)))</f>
        <v>2.1672817090535298E-2</v>
      </c>
      <c r="D27" s="7">
        <f>IF(ISBLANK(INDEX(Results_Long!$N$2:$N$201,MATCH("C9|unified_cc_v1|cc_v1|COD_instrumentrating",Results_Long!$AK$2:$AK$201,0))),"n.e.",INDEX(Results_Long!$N$2:$N$201,MATCH("C9|unified_cc_v1|cc_v1|COD_instrumentrating",Results_Long!$AK$2:$AK$201,0)))</f>
        <v>2.9433329554943302</v>
      </c>
      <c r="E27" s="8" t="str">
        <f>IF(ISBLANK(INDEX(Results_Long!$O$2:$O$201,MATCH("C9|unified_cc_v1|cc_v1|COD_instrumentrating",Results_Long!$AK$2:$AK$201,0))),"—",INDEX(Results_Long!$O$2:$O$201,MATCH("C9|unified_cc_v1|cc_v1|COD_instrumentrating",Results_Long!$AK$2:$AK$201,0)))</f>
        <v>—</v>
      </c>
      <c r="F27" s="4" t="str">
        <f>INDEX(Results_Long!$F$2:$F$201,MATCH("C9|unified_cc_v1|cc_v1|COD_instrumentrating",Results_Long!$AK$2:$AK$201,0))</f>
        <v>3LMA-RVE_CR2</v>
      </c>
    </row>
    <row r="28" spans="1:6" x14ac:dyDescent="0.3">
      <c r="A28" s="4" t="s">
        <v>305</v>
      </c>
      <c r="B28" s="10">
        <f>IF(ISBLANK(INDEX(Results_Long!$K$2:$K$201,MATCH("C9|unified_cc_v1|cc_v1|regulation3with ETS/CT",Results_Long!$AK$2:$AK$201,0))),"n.e.",INDEX(Results_Long!$K$2:$K$201,MATCH("C9|unified_cc_v1|cc_v1|regulation3with ETS/CT",Results_Long!$AK$2:$AK$201,0)))</f>
        <v>1.75457567449031E-2</v>
      </c>
      <c r="C28" s="8">
        <f>IF(ISBLANK(INDEX(Results_Long!$L$2:$L$201,MATCH("C9|unified_cc_v1|cc_v1|regulation3with ETS/CT",Results_Long!$AK$2:$AK$201,0))),"n.e.",INDEX(Results_Long!$L$2:$L$201,MATCH("C9|unified_cc_v1|cc_v1|regulation3with ETS/CT",Results_Long!$AK$2:$AK$201,0)))</f>
        <v>2.1392884954963699E-2</v>
      </c>
      <c r="D28" s="7">
        <f>IF(ISBLANK(INDEX(Results_Long!$N$2:$N$201,MATCH("C9|unified_cc_v1|cc_v1|regulation3with ETS/CT",Results_Long!$AK$2:$AK$201,0))),"n.e.",INDEX(Results_Long!$N$2:$N$201,MATCH("C9|unified_cc_v1|cc_v1|regulation3with ETS/CT",Results_Long!$AK$2:$AK$201,0)))</f>
        <v>2.2647870110606201</v>
      </c>
      <c r="E28" s="8" t="str">
        <f>IF(ISBLANK(INDEX(Results_Long!$O$2:$O$201,MATCH("C9|unified_cc_v1|cc_v1|regulation3with ETS/CT",Results_Long!$AK$2:$AK$201,0))),"—",INDEX(Results_Long!$O$2:$O$201,MATCH("C9|unified_cc_v1|cc_v1|regulation3with ETS/CT",Results_Long!$AK$2:$AK$201,0)))</f>
        <v>—</v>
      </c>
      <c r="F28" s="4" t="str">
        <f>INDEX(Results_Long!$F$2:$F$201,MATCH("C9|unified_cc_v1|cc_v1|regulation3with ETS/CT",Results_Long!$AK$2:$AK$201,0))</f>
        <v>3LMA-RVE_CR2</v>
      </c>
    </row>
    <row r="29" spans="1:6" x14ac:dyDescent="0.3">
      <c r="A29" s="4" t="s">
        <v>306</v>
      </c>
      <c r="B29" s="10">
        <f>IF(ISBLANK(INDEX(Results_Long!$K$2:$K$201,MATCH("C9|unified_cc_v1|cc_v1|country_region2_Europe",Results_Long!$AK$2:$AK$201,0))),"n.e.",INDEX(Results_Long!$K$2:$K$201,MATCH("C9|unified_cc_v1|cc_v1|country_region2_Europe",Results_Long!$AK$2:$AK$201,0)))</f>
        <v>-0.233055895530102</v>
      </c>
      <c r="C29" s="8">
        <f>IF(ISBLANK(INDEX(Results_Long!$L$2:$L$201,MATCH("C9|unified_cc_v1|cc_v1|country_region2_Europe",Results_Long!$AK$2:$AK$201,0))),"n.e.",INDEX(Results_Long!$L$2:$L$201,MATCH("C9|unified_cc_v1|cc_v1|country_region2_Europe",Results_Long!$AK$2:$AK$201,0)))</f>
        <v>0.18337660432766201</v>
      </c>
      <c r="D29" s="7">
        <f>IF(ISBLANK(INDEX(Results_Long!$N$2:$N$201,MATCH("C9|unified_cc_v1|cc_v1|country_region2_Europe",Results_Long!$AK$2:$AK$201,0))),"n.e.",INDEX(Results_Long!$N$2:$N$201,MATCH("C9|unified_cc_v1|cc_v1|country_region2_Europe",Results_Long!$AK$2:$AK$201,0)))</f>
        <v>14.501402738761399</v>
      </c>
      <c r="E29" s="8">
        <f>IF(ISBLANK(INDEX(Results_Long!$O$2:$O$201,MATCH("C9|unified_cc_v1|cc_v1|country_region2_Europe",Results_Long!$AK$2:$AK$201,0))),"—",INDEX(Results_Long!$O$2:$O$201,MATCH("C9|unified_cc_v1|cc_v1|country_region2_Europe",Results_Long!$AK$2:$AK$201,0)))</f>
        <v>0.223768997001276</v>
      </c>
      <c r="F29" s="4" t="str">
        <f>INDEX(Results_Long!$F$2:$F$201,MATCH("C9|unified_cc_v1|cc_v1|country_region2_Europe",Results_Long!$AK$2:$AK$201,0))</f>
        <v>3LMA-RVE_CR2</v>
      </c>
    </row>
    <row r="30" spans="1:6" x14ac:dyDescent="0.3">
      <c r="A30" s="4" t="s">
        <v>307</v>
      </c>
      <c r="B30" s="10">
        <f>IF(ISBLANK(INDEX(Results_Long!$K$2:$K$201,MATCH("C9|unified_cc_v1|cc_v1|country_region3_AsiaPac",Results_Long!$AK$2:$AK$201,0))),"n.e.",INDEX(Results_Long!$K$2:$K$201,MATCH("C9|unified_cc_v1|cc_v1|country_region3_AsiaPac",Results_Long!$AK$2:$AK$201,0)))</f>
        <v>-3.0251193367585302E-2</v>
      </c>
      <c r="C30" s="8">
        <f>IF(ISBLANK(INDEX(Results_Long!$L$2:$L$201,MATCH("C9|unified_cc_v1|cc_v1|country_region3_AsiaPac",Results_Long!$AK$2:$AK$201,0))),"n.e.",INDEX(Results_Long!$L$2:$L$201,MATCH("C9|unified_cc_v1|cc_v1|country_region3_AsiaPac",Results_Long!$AK$2:$AK$201,0)))</f>
        <v>2.4442997016445599E-2</v>
      </c>
      <c r="D30" s="7">
        <f>IF(ISBLANK(INDEX(Results_Long!$N$2:$N$201,MATCH("C9|unified_cc_v1|cc_v1|country_region3_AsiaPac",Results_Long!$AK$2:$AK$201,0))),"n.e.",INDEX(Results_Long!$N$2:$N$201,MATCH("C9|unified_cc_v1|cc_v1|country_region3_AsiaPac",Results_Long!$AK$2:$AK$201,0)))</f>
        <v>45.931381491048697</v>
      </c>
      <c r="E30" s="8">
        <f>IF(ISBLANK(INDEX(Results_Long!$O$2:$O$201,MATCH("C9|unified_cc_v1|cc_v1|country_region3_AsiaPac",Results_Long!$AK$2:$AK$201,0))),"—",INDEX(Results_Long!$O$2:$O$201,MATCH("C9|unified_cc_v1|cc_v1|country_region3_AsiaPac",Results_Long!$AK$2:$AK$201,0)))</f>
        <v>0.22214571066782299</v>
      </c>
      <c r="F30" s="4" t="str">
        <f>INDEX(Results_Long!$F$2:$F$201,MATCH("C9|unified_cc_v1|cc_v1|country_region3_AsiaPac",Results_Long!$AK$2:$AK$201,0))</f>
        <v>3LMA-RVE_CR2</v>
      </c>
    </row>
    <row r="31" spans="1:6" x14ac:dyDescent="0.3">
      <c r="A31" s="4" t="s">
        <v>308</v>
      </c>
      <c r="B31" s="10">
        <f>IF(ISBLANK(INDEX(Results_Long!$K$2:$K$201,MATCH("C9|unified_cc_v1|cc_v1|pp:CER_measuredisclosure",Results_Long!$AK$2:$AK$201,0))),"n.e.",INDEX(Results_Long!$K$2:$K$201,MATCH("C9|unified_cc_v1|cc_v1|pp:CER_measuredisclosure",Results_Long!$AK$2:$AK$201,0)))</f>
        <v>-4.1749810089289303E-2</v>
      </c>
      <c r="C31" s="8">
        <f>IF(ISBLANK(INDEX(Results_Long!$L$2:$L$201,MATCH("C9|unified_cc_v1|cc_v1|pp:CER_measuredisclosure",Results_Long!$AK$2:$AK$201,0))),"n.e.",INDEX(Results_Long!$L$2:$L$201,MATCH("C9|unified_cc_v1|cc_v1|pp:CER_measuredisclosure",Results_Long!$AK$2:$AK$201,0)))</f>
        <v>3.6051584105643401E-2</v>
      </c>
      <c r="D31" s="7">
        <f>IF(ISBLANK(INDEX(Results_Long!$N$2:$N$201,MATCH("C9|unified_cc_v1|cc_v1|pp:CER_measuredisclosure",Results_Long!$AK$2:$AK$201,0))),"n.e.",INDEX(Results_Long!$N$2:$N$201,MATCH("C9|unified_cc_v1|cc_v1|pp:CER_measuredisclosure",Results_Long!$AK$2:$AK$201,0)))</f>
        <v>3.3705303353947</v>
      </c>
      <c r="E31" s="8" t="str">
        <f>IF(ISBLANK(INDEX(Results_Long!$O$2:$O$201,MATCH("C9|unified_cc_v1|cc_v1|pp:CER_measuredisclosure",Results_Long!$AK$2:$AK$201,0))),"—",INDEX(Results_Long!$O$2:$O$201,MATCH("C9|unified_cc_v1|cc_v1|pp:CER_measuredisclosure",Results_Long!$AK$2:$AK$201,0)))</f>
        <v>—</v>
      </c>
      <c r="F31" s="4" t="str">
        <f>INDEX(Results_Long!$F$2:$F$201,MATCH("C9|unified_cc_v1|cc_v1|pp:CER_measuredisclosure",Results_Long!$AK$2:$AK$201,0))</f>
        <v>3LMA-RVE_CR2</v>
      </c>
    </row>
    <row r="32" spans="1:6" x14ac:dyDescent="0.3">
      <c r="A32" s="4" t="s">
        <v>309</v>
      </c>
      <c r="B32" s="10">
        <f>IF(ISBLANK(INDEX(Results_Long!$K$2:$K$201,MATCH("C9|unified_cc_v1|cc_v1|pp:country_region2_Europe",Results_Long!$AK$2:$AK$201,0))),"n.e.",INDEX(Results_Long!$K$2:$K$201,MATCH("C9|unified_cc_v1|cc_v1|pp:country_region2_Europe",Results_Long!$AK$2:$AK$201,0)))</f>
        <v>0.16787490873521599</v>
      </c>
      <c r="C32" s="8">
        <f>IF(ISBLANK(INDEX(Results_Long!$L$2:$L$201,MATCH("C9|unified_cc_v1|cc_v1|pp:country_region2_Europe",Results_Long!$AK$2:$AK$201,0))),"n.e.",INDEX(Results_Long!$L$2:$L$201,MATCH("C9|unified_cc_v1|cc_v1|pp:country_region2_Europe",Results_Long!$AK$2:$AK$201,0)))</f>
        <v>0.174893045844673</v>
      </c>
      <c r="D32" s="7">
        <f>IF(ISBLANK(INDEX(Results_Long!$N$2:$N$201,MATCH("C9|unified_cc_v1|cc_v1|pp:country_region2_Europe",Results_Long!$AK$2:$AK$201,0))),"n.e.",INDEX(Results_Long!$N$2:$N$201,MATCH("C9|unified_cc_v1|cc_v1|pp:country_region2_Europe",Results_Long!$AK$2:$AK$201,0)))</f>
        <v>12.2993414534062</v>
      </c>
      <c r="E32" s="8">
        <f>IF(ISBLANK(INDEX(Results_Long!$O$2:$O$201,MATCH("C9|unified_cc_v1|cc_v1|pp:country_region2_Europe",Results_Long!$AK$2:$AK$201,0))),"—",INDEX(Results_Long!$O$2:$O$201,MATCH("C9|unified_cc_v1|cc_v1|pp:country_region2_Europe",Results_Long!$AK$2:$AK$201,0)))</f>
        <v>0.35561021049075903</v>
      </c>
      <c r="F32" s="4" t="str">
        <f>INDEX(Results_Long!$F$2:$F$201,MATCH("C9|unified_cc_v1|cc_v1|pp:country_region2_Europe",Results_Long!$AK$2:$AK$201,0))</f>
        <v>3LMA-RVE_CR2</v>
      </c>
    </row>
    <row r="33" spans="1:6" x14ac:dyDescent="0.3">
      <c r="A33" s="4" t="s">
        <v>310</v>
      </c>
      <c r="B33" s="10" t="str">
        <f>IF(ISBLANK(INDEX(Results_Long!$K$2:$K$201,MATCH("C9|unified_cc_v1|cc_v1|pp:country_region3_AsiaPac",Results_Long!$AK$2:$AK$201,0))),"n.e.",INDEX(Results_Long!$K$2:$K$201,MATCH("C9|unified_cc_v1|cc_v1|pp:country_region3_AsiaPac",Results_Long!$AK$2:$AK$201,0)))</f>
        <v>n.e.</v>
      </c>
      <c r="C33" s="8" t="str">
        <f>IF(ISBLANK(INDEX(Results_Long!$L$2:$L$201,MATCH("C9|unified_cc_v1|cc_v1|pp:country_region3_AsiaPac",Results_Long!$AK$2:$AK$201,0))),"n.e.",INDEX(Results_Long!$L$2:$L$201,MATCH("C9|unified_cc_v1|cc_v1|pp:country_region3_AsiaPac",Results_Long!$AK$2:$AK$201,0)))</f>
        <v>n.e.</v>
      </c>
      <c r="D33" s="7" t="str">
        <f>IF(ISBLANK(INDEX(Results_Long!$N$2:$N$201,MATCH("C9|unified_cc_v1|cc_v1|pp:country_region3_AsiaPac",Results_Long!$AK$2:$AK$201,0))),"n.e.",INDEX(Results_Long!$N$2:$N$201,MATCH("C9|unified_cc_v1|cc_v1|pp:country_region3_AsiaPac",Results_Long!$AK$2:$AK$201,0)))</f>
        <v>n.e.</v>
      </c>
      <c r="E33" s="8" t="str">
        <f>IF(ISBLANK(INDEX(Results_Long!$O$2:$O$201,MATCH("C9|unified_cc_v1|cc_v1|pp:country_region3_AsiaPac",Results_Long!$AK$2:$AK$201,0))),"—",INDEX(Results_Long!$O$2:$O$201,MATCH("C9|unified_cc_v1|cc_v1|pp:country_region3_AsiaPac",Results_Long!$AK$2:$AK$201,0)))</f>
        <v>—</v>
      </c>
      <c r="F33" s="4" t="str">
        <f>INDEX(Results_Long!$F$2:$F$201,MATCH("C9|unified_cc_v1|cc_v1|pp:country_region3_AsiaPac",Results_Long!$AK$2:$AK$201,0))</f>
        <v>not_estimable</v>
      </c>
    </row>
    <row r="34" spans="1:6" x14ac:dyDescent="0.3">
      <c r="A34" s="4" t="s">
        <v>311</v>
      </c>
      <c r="B34" s="10" t="str">
        <f>IF(ISBLANK(INDEX(Results_Long!$K$2:$K$201,MATCH("C9|unified_cc_v1|cc_v1|pp:COD_instrument::coef1",Results_Long!$AK$2:$AK$201,0))),"n.e.",INDEX(Results_Long!$K$2:$K$201,MATCH("C9|unified_cc_v1|cc_v1|pp:COD_instrument::coef1",Results_Long!$AK$2:$AK$201,0)))</f>
        <v>n.e.</v>
      </c>
      <c r="C34" s="8" t="str">
        <f>IF(ISBLANK(INDEX(Results_Long!$L$2:$L$201,MATCH("C9|unified_cc_v1|cc_v1|pp:COD_instrument::coef1",Results_Long!$AK$2:$AK$201,0))),"n.e.",INDEX(Results_Long!$L$2:$L$201,MATCH("C9|unified_cc_v1|cc_v1|pp:COD_instrument::coef1",Results_Long!$AK$2:$AK$201,0)))</f>
        <v>n.e.</v>
      </c>
      <c r="D34" s="7" t="str">
        <f>IF(ISBLANK(INDEX(Results_Long!$N$2:$N$201,MATCH("C9|unified_cc_v1|cc_v1|pp:COD_instrument::coef1",Results_Long!$AK$2:$AK$201,0))),"n.e.",INDEX(Results_Long!$N$2:$N$201,MATCH("C9|unified_cc_v1|cc_v1|pp:COD_instrument::coef1",Results_Long!$AK$2:$AK$201,0)))</f>
        <v>n.e.</v>
      </c>
      <c r="E34" s="8" t="str">
        <f>IF(ISBLANK(INDEX(Results_Long!$O$2:$O$201,MATCH("C9|unified_cc_v1|cc_v1|pp:COD_instrument::coef1",Results_Long!$AK$2:$AK$201,0))),"—",INDEX(Results_Long!$O$2:$O$201,MATCH("C9|unified_cc_v1|cc_v1|pp:COD_instrument::coef1",Results_Long!$AK$2:$AK$201,0)))</f>
        <v>—</v>
      </c>
      <c r="F34" s="4" t="str">
        <f>INDEX(Results_Long!$F$2:$F$201,MATCH("C9|unified_cc_v1|cc_v1|pp:COD_instrument::coef1",Results_Long!$AK$2:$AK$201,0))</f>
        <v>not_estimable</v>
      </c>
    </row>
    <row r="35" spans="1:6" x14ac:dyDescent="0.3">
      <c r="A35" s="4" t="s">
        <v>312</v>
      </c>
      <c r="B35" s="10" t="str">
        <f>IF(ISBLANK(INDEX(Results_Long!$K$2:$K$201,MATCH("C9|unified_cc_v1|cc_v1|pp:COD_instrument::coef2",Results_Long!$AK$2:$AK$201,0))),"n.e.",INDEX(Results_Long!$K$2:$K$201,MATCH("C9|unified_cc_v1|cc_v1|pp:COD_instrument::coef2",Results_Long!$AK$2:$AK$201,0)))</f>
        <v>n.e.</v>
      </c>
      <c r="C35" s="8" t="str">
        <f>IF(ISBLANK(INDEX(Results_Long!$L$2:$L$201,MATCH("C9|unified_cc_v1|cc_v1|pp:COD_instrument::coef2",Results_Long!$AK$2:$AK$201,0))),"n.e.",INDEX(Results_Long!$L$2:$L$201,MATCH("C9|unified_cc_v1|cc_v1|pp:COD_instrument::coef2",Results_Long!$AK$2:$AK$201,0)))</f>
        <v>n.e.</v>
      </c>
      <c r="D35" s="7" t="str">
        <f>IF(ISBLANK(INDEX(Results_Long!$N$2:$N$201,MATCH("C9|unified_cc_v1|cc_v1|pp:COD_instrument::coef2",Results_Long!$AK$2:$AK$201,0))),"n.e.",INDEX(Results_Long!$N$2:$N$201,MATCH("C9|unified_cc_v1|cc_v1|pp:COD_instrument::coef2",Results_Long!$AK$2:$AK$201,0)))</f>
        <v>n.e.</v>
      </c>
      <c r="E35" s="8" t="str">
        <f>IF(ISBLANK(INDEX(Results_Long!$O$2:$O$201,MATCH("C9|unified_cc_v1|cc_v1|pp:COD_instrument::coef2",Results_Long!$AK$2:$AK$201,0))),"—",INDEX(Results_Long!$O$2:$O$201,MATCH("C9|unified_cc_v1|cc_v1|pp:COD_instrument::coef2",Results_Long!$AK$2:$AK$201,0)))</f>
        <v>—</v>
      </c>
      <c r="F35" s="4" t="str">
        <f>INDEX(Results_Long!$F$2:$F$201,MATCH("C9|unified_cc_v1|cc_v1|pp:COD_instrument::coef2",Results_Long!$AK$2:$AK$201,0))</f>
        <v>not_estimable</v>
      </c>
    </row>
    <row r="36" spans="1:6" x14ac:dyDescent="0.3">
      <c r="A36" s="4" t="s">
        <v>313</v>
      </c>
      <c r="B36" s="10" t="str">
        <f>IF(ISBLANK(INDEX(Results_Long!$K$2:$K$201,MATCH("C9|unified_cc_v1|cc_v1|pp:COD_instrument::coef3",Results_Long!$AK$2:$AK$201,0))),"n.e.",INDEX(Results_Long!$K$2:$K$201,MATCH("C9|unified_cc_v1|cc_v1|pp:COD_instrument::coef3",Results_Long!$AK$2:$AK$201,0)))</f>
        <v>n.e.</v>
      </c>
      <c r="C36" s="8" t="str">
        <f>IF(ISBLANK(INDEX(Results_Long!$L$2:$L$201,MATCH("C9|unified_cc_v1|cc_v1|pp:COD_instrument::coef3",Results_Long!$AK$2:$AK$201,0))),"n.e.",INDEX(Results_Long!$L$2:$L$201,MATCH("C9|unified_cc_v1|cc_v1|pp:COD_instrument::coef3",Results_Long!$AK$2:$AK$201,0)))</f>
        <v>n.e.</v>
      </c>
      <c r="D36" s="7" t="str">
        <f>IF(ISBLANK(INDEX(Results_Long!$N$2:$N$201,MATCH("C9|unified_cc_v1|cc_v1|pp:COD_instrument::coef3",Results_Long!$AK$2:$AK$201,0))),"n.e.",INDEX(Results_Long!$N$2:$N$201,MATCH("C9|unified_cc_v1|cc_v1|pp:COD_instrument::coef3",Results_Long!$AK$2:$AK$201,0)))</f>
        <v>n.e.</v>
      </c>
      <c r="E36" s="8" t="str">
        <f>IF(ISBLANK(INDEX(Results_Long!$O$2:$O$201,MATCH("C9|unified_cc_v1|cc_v1|pp:COD_instrument::coef3",Results_Long!$AK$2:$AK$201,0))),"—",INDEX(Results_Long!$O$2:$O$201,MATCH("C9|unified_cc_v1|cc_v1|pp:COD_instrument::coef3",Results_Long!$AK$2:$AK$201,0)))</f>
        <v>—</v>
      </c>
      <c r="F36" s="4" t="str">
        <f>INDEX(Results_Long!$F$2:$F$201,MATCH("C9|unified_cc_v1|cc_v1|pp:COD_instrument::coef3",Results_Long!$AK$2:$AK$201,0))</f>
        <v>not_estimable</v>
      </c>
    </row>
    <row r="37" spans="1:6" x14ac:dyDescent="0.3">
      <c r="A37" s="4" t="s">
        <v>314</v>
      </c>
      <c r="B37" s="10" t="str">
        <f>IF(ISBLANK(INDEX(Results_Long!$K$2:$K$201,MATCH("C9|unified_cc_v1|cc_v1|pp:regulation3::coef1",Results_Long!$AK$2:$AK$201,0))),"n.e.",INDEX(Results_Long!$K$2:$K$201,MATCH("C9|unified_cc_v1|cc_v1|pp:regulation3::coef1",Results_Long!$AK$2:$AK$201,0)))</f>
        <v>n.e.</v>
      </c>
      <c r="C37" s="8" t="str">
        <f>IF(ISBLANK(INDEX(Results_Long!$L$2:$L$201,MATCH("C9|unified_cc_v1|cc_v1|pp:regulation3::coef1",Results_Long!$AK$2:$AK$201,0))),"n.e.",INDEX(Results_Long!$L$2:$L$201,MATCH("C9|unified_cc_v1|cc_v1|pp:regulation3::coef1",Results_Long!$AK$2:$AK$201,0)))</f>
        <v>n.e.</v>
      </c>
      <c r="D37" s="7" t="str">
        <f>IF(ISBLANK(INDEX(Results_Long!$N$2:$N$201,MATCH("C9|unified_cc_v1|cc_v1|pp:regulation3::coef1",Results_Long!$AK$2:$AK$201,0))),"n.e.",INDEX(Results_Long!$N$2:$N$201,MATCH("C9|unified_cc_v1|cc_v1|pp:regulation3::coef1",Results_Long!$AK$2:$AK$201,0)))</f>
        <v>n.e.</v>
      </c>
      <c r="E37" s="8" t="str">
        <f>IF(ISBLANK(INDEX(Results_Long!$O$2:$O$201,MATCH("C9|unified_cc_v1|cc_v1|pp:regulation3::coef1",Results_Long!$AK$2:$AK$201,0))),"—",INDEX(Results_Long!$O$2:$O$201,MATCH("C9|unified_cc_v1|cc_v1|pp:regulation3::coef1",Results_Long!$AK$2:$AK$201,0)))</f>
        <v>—</v>
      </c>
      <c r="F37" s="4" t="str">
        <f>INDEX(Results_Long!$F$2:$F$201,MATCH("C9|unified_cc_v1|cc_v1|pp:regulation3::coef1",Results_Long!$AK$2:$AK$201,0))</f>
        <v>not_estimable</v>
      </c>
    </row>
    <row r="38" spans="1:6" x14ac:dyDescent="0.3">
      <c r="A38" s="1" t="s">
        <v>315</v>
      </c>
      <c r="B38" s="1" t="s">
        <v>316</v>
      </c>
      <c r="C38" s="1" t="s">
        <v>167</v>
      </c>
      <c r="D38" s="1" t="s">
        <v>168</v>
      </c>
      <c r="E38" s="1" t="s">
        <v>217</v>
      </c>
      <c r="F38" s="1"/>
    </row>
    <row r="39" spans="1:6" x14ac:dyDescent="0.3">
      <c r="A39" s="4" t="s">
        <v>317</v>
      </c>
      <c r="B39" s="6">
        <f>IF(ISBLANK(INDEX(Results_Long!$M$2:$M$201,MATCH("C9|unified_cc_v1|cc_v1|block_HTZ::CER_measure",Results_Long!$AK$2:$AK$201,0))),"n.e.",INDEX(Results_Long!$M$2:$M$201,MATCH("C9|unified_cc_v1|cc_v1|block_HTZ::CER_measure",Results_Long!$AK$2:$AK$201,0)))</f>
        <v>1.3410973486209501</v>
      </c>
      <c r="C39" s="7">
        <f>IF(ISBLANK(INDEX(Results_Long!$N$2:$N$201,MATCH("C9|unified_cc_v1|cc_v1|block_HTZ::CER_measure",Results_Long!$AK$2:$AK$201,0))),"n.e.",INDEX(Results_Long!$N$2:$N$201,MATCH("C9|unified_cc_v1|cc_v1|block_HTZ::CER_measure",Results_Long!$AK$2:$AK$201,0)))</f>
        <v>3.3705303353947</v>
      </c>
      <c r="D39" s="8">
        <f>IF(ISBLANK(INDEX(Results_Long!$O$2:$O$201,MATCH("C9|unified_cc_v1|cc_v1|block_HTZ::CER_measure",Results_Long!$AK$2:$AK$201,0))),"—",INDEX(Results_Long!$O$2:$O$201,MATCH("C9|unified_cc_v1|cc_v1|block_HTZ::CER_measure",Results_Long!$AK$2:$AK$201,0)))</f>
        <v>0.32226313994821199</v>
      </c>
      <c r="E39" s="4" t="str">
        <f>INDEX(Results_Long!$F$2:$F$201,MATCH("C9|unified_cc_v1|cc_v1|block_HTZ::CER_measure",Results_Long!$AK$2:$AK$201,0))</f>
        <v>3LMA-RVE_CR2</v>
      </c>
    </row>
    <row r="40" spans="1:6" x14ac:dyDescent="0.3">
      <c r="A40" s="4" t="s">
        <v>318</v>
      </c>
      <c r="B40" s="6" t="str">
        <f>IF(ISBLANK(INDEX(Results_Long!$M$2:$M$201,MATCH("C9|unified_cc_v1|cc_v1|block_HTZ::COD_instrument",Results_Long!$AK$2:$AK$201,0))),"n.e.",INDEX(Results_Long!$M$2:$M$201,MATCH("C9|unified_cc_v1|cc_v1|block_HTZ::COD_instrument",Results_Long!$AK$2:$AK$201,0)))</f>
        <v>n.e.</v>
      </c>
      <c r="C40" s="7" t="str">
        <f>IF(ISBLANK(INDEX(Results_Long!$N$2:$N$201,MATCH("C9|unified_cc_v1|cc_v1|block_HTZ::COD_instrument",Results_Long!$AK$2:$AK$201,0))),"n.e.",INDEX(Results_Long!$N$2:$N$201,MATCH("C9|unified_cc_v1|cc_v1|block_HTZ::COD_instrument",Results_Long!$AK$2:$AK$201,0)))</f>
        <v>n.e.</v>
      </c>
      <c r="D40" s="8" t="str">
        <f>IF(ISBLANK(INDEX(Results_Long!$O$2:$O$201,MATCH("C9|unified_cc_v1|cc_v1|block_HTZ::COD_instrument",Results_Long!$AK$2:$AK$201,0))),"—",INDEX(Results_Long!$O$2:$O$201,MATCH("C9|unified_cc_v1|cc_v1|block_HTZ::COD_instrument",Results_Long!$AK$2:$AK$201,0)))</f>
        <v>—</v>
      </c>
      <c r="E40" s="4" t="str">
        <f>INDEX(Results_Long!$F$2:$F$201,MATCH("C9|unified_cc_v1|cc_v1|block_HTZ::COD_instrument",Results_Long!$AK$2:$AK$201,0))</f>
        <v>not_estimable</v>
      </c>
    </row>
    <row r="41" spans="1:6" x14ac:dyDescent="0.3">
      <c r="A41" s="4" t="s">
        <v>319</v>
      </c>
      <c r="B41" s="6" t="str">
        <f>IF(ISBLANK(INDEX(Results_Long!$M$2:$M$201,MATCH("C9|unified_cc_v1|cc_v1|block_HTZ::regulation3",Results_Long!$AK$2:$AK$201,0))),"n.e.",INDEX(Results_Long!$M$2:$M$201,MATCH("C9|unified_cc_v1|cc_v1|block_HTZ::regulation3",Results_Long!$AK$2:$AK$201,0)))</f>
        <v>n.e.</v>
      </c>
      <c r="C41" s="7" t="str">
        <f>IF(ISBLANK(INDEX(Results_Long!$N$2:$N$201,MATCH("C9|unified_cc_v1|cc_v1|block_HTZ::regulation3",Results_Long!$AK$2:$AK$201,0))),"n.e.",INDEX(Results_Long!$N$2:$N$201,MATCH("C9|unified_cc_v1|cc_v1|block_HTZ::regulation3",Results_Long!$AK$2:$AK$201,0)))</f>
        <v>n.e.</v>
      </c>
      <c r="D41" s="8" t="str">
        <f>IF(ISBLANK(INDEX(Results_Long!$O$2:$O$201,MATCH("C9|unified_cc_v1|cc_v1|block_HTZ::regulation3",Results_Long!$AK$2:$AK$201,0))),"—",INDEX(Results_Long!$O$2:$O$201,MATCH("C9|unified_cc_v1|cc_v1|block_HTZ::regulation3",Results_Long!$AK$2:$AK$201,0)))</f>
        <v>—</v>
      </c>
      <c r="E41" s="4" t="str">
        <f>INDEX(Results_Long!$F$2:$F$201,MATCH("C9|unified_cc_v1|cc_v1|block_HTZ::regulation3",Results_Long!$AK$2:$AK$201,0))</f>
        <v>not_estimable</v>
      </c>
    </row>
    <row r="42" spans="1:6" x14ac:dyDescent="0.3">
      <c r="A42" s="4" t="s">
        <v>320</v>
      </c>
      <c r="B42" s="6">
        <f>IF(ISBLANK(INDEX(Results_Long!$M$2:$M$201,MATCH("C9|unified_cc_v1|cc_v1|block_HTZ::country_region",Results_Long!$AK$2:$AK$201,0))),"n.e.",INDEX(Results_Long!$M$2:$M$201,MATCH("C9|unified_cc_v1|cc_v1|block_HTZ::country_region",Results_Long!$AK$2:$AK$201,0)))</f>
        <v>0.92135393843584801</v>
      </c>
      <c r="C42" s="7">
        <f>IF(ISBLANK(INDEX(Results_Long!$N$2:$N$201,MATCH("C9|unified_cc_v1|cc_v1|block_HTZ::country_region",Results_Long!$AK$2:$AK$201,0))),"n.e.",INDEX(Results_Long!$N$2:$N$201,MATCH("C9|unified_cc_v1|cc_v1|block_HTZ::country_region",Results_Long!$AK$2:$AK$201,0)))</f>
        <v>12.2993414534062</v>
      </c>
      <c r="D42" s="8">
        <f>IF(ISBLANK(INDEX(Results_Long!$O$2:$O$201,MATCH("C9|unified_cc_v1|cc_v1|block_HTZ::country_region",Results_Long!$AK$2:$AK$201,0))),"—",INDEX(Results_Long!$O$2:$O$201,MATCH("C9|unified_cc_v1|cc_v1|block_HTZ::country_region",Results_Long!$AK$2:$AK$201,0)))</f>
        <v>0.35561021049075903</v>
      </c>
      <c r="E42" s="4" t="str">
        <f>INDEX(Results_Long!$F$2:$F$201,MATCH("C9|unified_cc_v1|cc_v1|block_HTZ::country_region",Results_Long!$AK$2:$AK$201,0))</f>
        <v>3LMA-RVE_CR2</v>
      </c>
    </row>
    <row r="44" spans="1:6" x14ac:dyDescent="0.3">
      <c r="A44" s="1" t="s">
        <v>321</v>
      </c>
      <c r="B44" s="1"/>
      <c r="C44" s="1"/>
      <c r="D44" s="1"/>
      <c r="E44" s="1"/>
      <c r="F44" s="1"/>
    </row>
    <row r="45" spans="1:6" x14ac:dyDescent="0.3">
      <c r="A45" s="1" t="s">
        <v>296</v>
      </c>
      <c r="B45" s="1" t="s">
        <v>297</v>
      </c>
      <c r="C45" s="1" t="s">
        <v>298</v>
      </c>
      <c r="D45" s="1" t="s">
        <v>167</v>
      </c>
      <c r="E45" s="1" t="s">
        <v>168</v>
      </c>
      <c r="F45" s="1" t="s">
        <v>217</v>
      </c>
    </row>
    <row r="46" spans="1:6" x14ac:dyDescent="0.3">
      <c r="A46" s="4" t="s">
        <v>299</v>
      </c>
      <c r="B46" s="10">
        <f>IF(ISBLANK(INDEX(Results_Long!$K$2:$K$201,MATCH("C9|unified_cc_v2|cc_v2|intercept",Results_Long!$AK$2:$AK$201,0))),"n.e.",INDEX(Results_Long!$K$2:$K$201,MATCH("C9|unified_cc_v2|cc_v2|intercept",Results_Long!$AK$2:$AK$201,0)))</f>
        <v>-2.70096386324328E-2</v>
      </c>
      <c r="C46" s="8">
        <f>IF(ISBLANK(INDEX(Results_Long!$L$2:$L$201,MATCH("C9|unified_cc_v2|cc_v2|intercept",Results_Long!$AK$2:$AK$201,0))),"n.e.",INDEX(Results_Long!$L$2:$L$201,MATCH("C9|unified_cc_v2|cc_v2|intercept",Results_Long!$AK$2:$AK$201,0)))</f>
        <v>1.2422315844544901E-2</v>
      </c>
      <c r="D46" s="7">
        <f>IF(ISBLANK(INDEX(Results_Long!$N$2:$N$201,MATCH("C9|unified_cc_v2|cc_v2|intercept",Results_Long!$AK$2:$AK$201,0))),"n.e.",INDEX(Results_Long!$N$2:$N$201,MATCH("C9|unified_cc_v2|cc_v2|intercept",Results_Long!$AK$2:$AK$201,0)))</f>
        <v>12.4440117192527</v>
      </c>
      <c r="E46" s="8">
        <f>IF(ISBLANK(INDEX(Results_Long!$O$2:$O$201,MATCH("C9|unified_cc_v2|cc_v2|intercept",Results_Long!$AK$2:$AK$201,0))),"—",INDEX(Results_Long!$O$2:$O$201,MATCH("C9|unified_cc_v2|cc_v2|intercept",Results_Long!$AK$2:$AK$201,0)))</f>
        <v>4.9634066440755603E-2</v>
      </c>
      <c r="F46" s="4" t="str">
        <f>INDEX(Results_Long!$F$2:$F$201,MATCH("C9|unified_cc_v2|cc_v2|intercept",Results_Long!$AK$2:$AK$201,0))</f>
        <v>3LMA-RVE_CR2</v>
      </c>
    </row>
    <row r="47" spans="1:6" x14ac:dyDescent="0.3">
      <c r="A47" s="4" t="s">
        <v>300</v>
      </c>
      <c r="B47" s="10">
        <f>IF(ISBLANK(INDEX(Results_Long!$K$2:$K$201,MATCH("C9|unified_cc_v2|cc_v2|pp_mid_lag0",Results_Long!$AK$2:$AK$201,0))),"n.e.",INDEX(Results_Long!$K$2:$K$201,MATCH("C9|unified_cc_v2|cc_v2|pp_mid_lag0",Results_Long!$AK$2:$AK$201,0)))</f>
        <v>1.2958478813934299E-2</v>
      </c>
      <c r="C47" s="8">
        <f>IF(ISBLANK(INDEX(Results_Long!$L$2:$L$201,MATCH("C9|unified_cc_v2|cc_v2|pp_mid_lag0",Results_Long!$AK$2:$AK$201,0))),"n.e.",INDEX(Results_Long!$L$2:$L$201,MATCH("C9|unified_cc_v2|cc_v2|pp_mid_lag0",Results_Long!$AK$2:$AK$201,0)))</f>
        <v>1.57107308763932E-2</v>
      </c>
      <c r="D47" s="7">
        <f>IF(ISBLANK(INDEX(Results_Long!$N$2:$N$201,MATCH("C9|unified_cc_v2|cc_v2|pp_mid_lag0",Results_Long!$AK$2:$AK$201,0))),"n.e.",INDEX(Results_Long!$N$2:$N$201,MATCH("C9|unified_cc_v2|cc_v2|pp_mid_lag0",Results_Long!$AK$2:$AK$201,0)))</f>
        <v>12.045239017852801</v>
      </c>
      <c r="E47" s="8">
        <f>IF(ISBLANK(INDEX(Results_Long!$O$2:$O$201,MATCH("C9|unified_cc_v2|cc_v2|pp_mid_lag0",Results_Long!$AK$2:$AK$201,0))),"—",INDEX(Results_Long!$O$2:$O$201,MATCH("C9|unified_cc_v2|cc_v2|pp_mid_lag0",Results_Long!$AK$2:$AK$201,0)))</f>
        <v>0.42550866547813199</v>
      </c>
      <c r="F47" s="4" t="str">
        <f>INDEX(Results_Long!$F$2:$F$201,MATCH("C9|unified_cc_v2|cc_v2|pp_mid_lag0",Results_Long!$AK$2:$AK$201,0))</f>
        <v>3LMA-RVE_CR2</v>
      </c>
    </row>
    <row r="48" spans="1:6" x14ac:dyDescent="0.3">
      <c r="A48" s="4" t="s">
        <v>301</v>
      </c>
      <c r="B48" s="10">
        <f>IF(ISBLANK(INDEX(Results_Long!$K$2:$K$201,MATCH("C9|unified_cc_v2|cc_v2|CER_measuredisclosure",Results_Long!$AK$2:$AK$201,0))),"n.e.",INDEX(Results_Long!$K$2:$K$201,MATCH("C9|unified_cc_v2|cc_v2|CER_measuredisclosure",Results_Long!$AK$2:$AK$201,0)))</f>
        <v>-3.9006254929810601E-3</v>
      </c>
      <c r="C48" s="8">
        <f>IF(ISBLANK(INDEX(Results_Long!$L$2:$L$201,MATCH("C9|unified_cc_v2|cc_v2|CER_measuredisclosure",Results_Long!$AK$2:$AK$201,0))),"n.e.",INDEX(Results_Long!$L$2:$L$201,MATCH("C9|unified_cc_v2|cc_v2|CER_measuredisclosure",Results_Long!$AK$2:$AK$201,0)))</f>
        <v>1.9774451464620701E-2</v>
      </c>
      <c r="D48" s="7">
        <f>IF(ISBLANK(INDEX(Results_Long!$N$2:$N$201,MATCH("C9|unified_cc_v2|cc_v2|CER_measuredisclosure",Results_Long!$AK$2:$AK$201,0))),"n.e.",INDEX(Results_Long!$N$2:$N$201,MATCH("C9|unified_cc_v2|cc_v2|CER_measuredisclosure",Results_Long!$AK$2:$AK$201,0)))</f>
        <v>7.9884881910576402</v>
      </c>
      <c r="E48" s="8">
        <f>IF(ISBLANK(INDEX(Results_Long!$O$2:$O$201,MATCH("C9|unified_cc_v2|cc_v2|CER_measuredisclosure",Results_Long!$AK$2:$AK$201,0))),"—",INDEX(Results_Long!$O$2:$O$201,MATCH("C9|unified_cc_v2|cc_v2|CER_measuredisclosure",Results_Long!$AK$2:$AK$201,0)))</f>
        <v>0.84855381371604399</v>
      </c>
      <c r="F48" s="4" t="str">
        <f>INDEX(Results_Long!$F$2:$F$201,MATCH("C9|unified_cc_v2|cc_v2|CER_measuredisclosure",Results_Long!$AK$2:$AK$201,0))</f>
        <v>3LMA-RVE_CR2</v>
      </c>
    </row>
    <row r="49" spans="1:6" x14ac:dyDescent="0.3">
      <c r="A49" s="4" t="s">
        <v>302</v>
      </c>
      <c r="B49" s="10">
        <f>IF(ISBLANK(INDEX(Results_Long!$K$2:$K$201,MATCH("C9|unified_cc_v2|cc_v2|COD_instrumentbond (yield)",Results_Long!$AK$2:$AK$201,0))),"n.e.",INDEX(Results_Long!$K$2:$K$201,MATCH("C9|unified_cc_v2|cc_v2|COD_instrumentbond (yield)",Results_Long!$AK$2:$AK$201,0)))</f>
        <v>-4.0224745030622497E-2</v>
      </c>
      <c r="C49" s="8">
        <f>IF(ISBLANK(INDEX(Results_Long!$L$2:$L$201,MATCH("C9|unified_cc_v2|cc_v2|COD_instrumentbond (yield)",Results_Long!$AK$2:$AK$201,0))),"n.e.",INDEX(Results_Long!$L$2:$L$201,MATCH("C9|unified_cc_v2|cc_v2|COD_instrumentbond (yield)",Results_Long!$AK$2:$AK$201,0)))</f>
        <v>1.2767245692016101E-2</v>
      </c>
      <c r="D49" s="7">
        <f>IF(ISBLANK(INDEX(Results_Long!$N$2:$N$201,MATCH("C9|unified_cc_v2|cc_v2|COD_instrumentbond (yield)",Results_Long!$AK$2:$AK$201,0))),"n.e.",INDEX(Results_Long!$N$2:$N$201,MATCH("C9|unified_cc_v2|cc_v2|COD_instrumentbond (yield)",Results_Long!$AK$2:$AK$201,0)))</f>
        <v>6.3090256441724204</v>
      </c>
      <c r="E49" s="8">
        <f>IF(ISBLANK(INDEX(Results_Long!$O$2:$O$201,MATCH("C9|unified_cc_v2|cc_v2|COD_instrumentbond (yield)",Results_Long!$AK$2:$AK$201,0))),"—",INDEX(Results_Long!$O$2:$O$201,MATCH("C9|unified_cc_v2|cc_v2|COD_instrumentbond (yield)",Results_Long!$AK$2:$AK$201,0)))</f>
        <v>1.8512461921280102E-2</v>
      </c>
      <c r="F49" s="4" t="str">
        <f>INDEX(Results_Long!$F$2:$F$201,MATCH("C9|unified_cc_v2|cc_v2|COD_instrumentbond (yield)",Results_Long!$AK$2:$AK$201,0))</f>
        <v>3LMA-RVE_CR2</v>
      </c>
    </row>
    <row r="50" spans="1:6" x14ac:dyDescent="0.3">
      <c r="A50" s="4" t="s">
        <v>303</v>
      </c>
      <c r="B50" s="10">
        <f>IF(ISBLANK(INDEX(Results_Long!$K$2:$K$201,MATCH("C9|unified_cc_v2|cc_v2|COD_instrumentderivativ (CDS spread)",Results_Long!$AK$2:$AK$201,0))),"n.e.",INDEX(Results_Long!$K$2:$K$201,MATCH("C9|unified_cc_v2|cc_v2|COD_instrumentderivativ (CDS spread)",Results_Long!$AK$2:$AK$201,0)))</f>
        <v>7.3684061905173997E-3</v>
      </c>
      <c r="C50" s="8">
        <f>IF(ISBLANK(INDEX(Results_Long!$L$2:$L$201,MATCH("C9|unified_cc_v2|cc_v2|COD_instrumentderivativ (CDS spread)",Results_Long!$AK$2:$AK$201,0))),"n.e.",INDEX(Results_Long!$L$2:$L$201,MATCH("C9|unified_cc_v2|cc_v2|COD_instrumentderivativ (CDS spread)",Results_Long!$AK$2:$AK$201,0)))</f>
        <v>1.5015730907281E-2</v>
      </c>
      <c r="D50" s="7">
        <f>IF(ISBLANK(INDEX(Results_Long!$N$2:$N$201,MATCH("C9|unified_cc_v2|cc_v2|COD_instrumentderivativ (CDS spread)",Results_Long!$AK$2:$AK$201,0))),"n.e.",INDEX(Results_Long!$N$2:$N$201,MATCH("C9|unified_cc_v2|cc_v2|COD_instrumentderivativ (CDS spread)",Results_Long!$AK$2:$AK$201,0)))</f>
        <v>7.6639918923697703</v>
      </c>
      <c r="E50" s="8">
        <f>IF(ISBLANK(INDEX(Results_Long!$O$2:$O$201,MATCH("C9|unified_cc_v2|cc_v2|COD_instrumentderivativ (CDS spread)",Results_Long!$AK$2:$AK$201,0))),"—",INDEX(Results_Long!$O$2:$O$201,MATCH("C9|unified_cc_v2|cc_v2|COD_instrumentderivativ (CDS spread)",Results_Long!$AK$2:$AK$201,0)))</f>
        <v>0.63736956597568595</v>
      </c>
      <c r="F50" s="4" t="str">
        <f>INDEX(Results_Long!$F$2:$F$201,MATCH("C9|unified_cc_v2|cc_v2|COD_instrumentderivativ (CDS spread)",Results_Long!$AK$2:$AK$201,0))</f>
        <v>3LMA-RVE_CR2</v>
      </c>
    </row>
    <row r="51" spans="1:6" x14ac:dyDescent="0.3">
      <c r="A51" s="4" t="s">
        <v>304</v>
      </c>
      <c r="B51" s="10">
        <f>IF(ISBLANK(INDEX(Results_Long!$K$2:$K$201,MATCH("C9|unified_cc_v2|cc_v2|COD_instrumentrating",Results_Long!$AK$2:$AK$201,0))),"n.e.",INDEX(Results_Long!$K$2:$K$201,MATCH("C9|unified_cc_v2|cc_v2|COD_instrumentrating",Results_Long!$AK$2:$AK$201,0)))</f>
        <v>-1.4806858413679199E-2</v>
      </c>
      <c r="C51" s="8">
        <f>IF(ISBLANK(INDEX(Results_Long!$L$2:$L$201,MATCH("C9|unified_cc_v2|cc_v2|COD_instrumentrating",Results_Long!$AK$2:$AK$201,0))),"n.e.",INDEX(Results_Long!$L$2:$L$201,MATCH("C9|unified_cc_v2|cc_v2|COD_instrumentrating",Results_Long!$AK$2:$AK$201,0)))</f>
        <v>1.1024714402735E-2</v>
      </c>
      <c r="D51" s="7">
        <f>IF(ISBLANK(INDEX(Results_Long!$N$2:$N$201,MATCH("C9|unified_cc_v2|cc_v2|COD_instrumentrating",Results_Long!$AK$2:$AK$201,0))),"n.e.",INDEX(Results_Long!$N$2:$N$201,MATCH("C9|unified_cc_v2|cc_v2|COD_instrumentrating",Results_Long!$AK$2:$AK$201,0)))</f>
        <v>4.3051849211597304</v>
      </c>
      <c r="E51" s="8" t="str">
        <f>IF(ISBLANK(INDEX(Results_Long!$O$2:$O$201,MATCH("C9|unified_cc_v2|cc_v2|COD_instrumentrating",Results_Long!$AK$2:$AK$201,0))),"—",INDEX(Results_Long!$O$2:$O$201,MATCH("C9|unified_cc_v2|cc_v2|COD_instrumentrating",Results_Long!$AK$2:$AK$201,0)))</f>
        <v>—</v>
      </c>
      <c r="F51" s="4" t="str">
        <f>INDEX(Results_Long!$F$2:$F$201,MATCH("C9|unified_cc_v2|cc_v2|COD_instrumentrating",Results_Long!$AK$2:$AK$201,0))</f>
        <v>3LMA-RVE_CR2</v>
      </c>
    </row>
    <row r="52" spans="1:6" x14ac:dyDescent="0.3">
      <c r="A52" s="4" t="s">
        <v>322</v>
      </c>
      <c r="B52" s="10">
        <f>IF(ISBLANK(INDEX(Results_Long!$K$2:$K$201,MATCH("C9|unified_cc_v2|cc_v2|industrysensitive",Results_Long!$AK$2:$AK$201,0))),"n.e.",INDEX(Results_Long!$K$2:$K$201,MATCH("C9|unified_cc_v2|cc_v2|industrysensitive",Results_Long!$AK$2:$AK$201,0)))</f>
        <v>5.1253765573420398E-3</v>
      </c>
      <c r="C52" s="8">
        <f>IF(ISBLANK(INDEX(Results_Long!$L$2:$L$201,MATCH("C9|unified_cc_v2|cc_v2|industrysensitive",Results_Long!$AK$2:$AK$201,0))),"n.e.",INDEX(Results_Long!$L$2:$L$201,MATCH("C9|unified_cc_v2|cc_v2|industrysensitive",Results_Long!$AK$2:$AK$201,0)))</f>
        <v>1.6733122577441299E-2</v>
      </c>
      <c r="D52" s="7">
        <f>IF(ISBLANK(INDEX(Results_Long!$N$2:$N$201,MATCH("C9|unified_cc_v2|cc_v2|industrysensitive",Results_Long!$AK$2:$AK$201,0))),"n.e.",INDEX(Results_Long!$N$2:$N$201,MATCH("C9|unified_cc_v2|cc_v2|industrysensitive",Results_Long!$AK$2:$AK$201,0)))</f>
        <v>13.652460433509701</v>
      </c>
      <c r="E52" s="8">
        <f>IF(ISBLANK(INDEX(Results_Long!$O$2:$O$201,MATCH("C9|unified_cc_v2|cc_v2|industrysensitive",Results_Long!$AK$2:$AK$201,0))),"—",INDEX(Results_Long!$O$2:$O$201,MATCH("C9|unified_cc_v2|cc_v2|industrysensitive",Results_Long!$AK$2:$AK$201,0)))</f>
        <v>0.76399656264723903</v>
      </c>
      <c r="F52" s="4" t="str">
        <f>INDEX(Results_Long!$F$2:$F$201,MATCH("C9|unified_cc_v2|cc_v2|industrysensitive",Results_Long!$AK$2:$AK$201,0))</f>
        <v>3LMA-RVE_CR2</v>
      </c>
    </row>
    <row r="53" spans="1:6" x14ac:dyDescent="0.3">
      <c r="A53" s="4" t="s">
        <v>305</v>
      </c>
      <c r="B53" s="10">
        <f>IF(ISBLANK(INDEX(Results_Long!$K$2:$K$201,MATCH("C9|unified_cc_v2|cc_v2|regulation3with ETS/CT",Results_Long!$AK$2:$AK$201,0))),"n.e.",INDEX(Results_Long!$K$2:$K$201,MATCH("C9|unified_cc_v2|cc_v2|regulation3with ETS/CT",Results_Long!$AK$2:$AK$201,0)))</f>
        <v>1.7440879997592099E-2</v>
      </c>
      <c r="C53" s="8">
        <f>IF(ISBLANK(INDEX(Results_Long!$L$2:$L$201,MATCH("C9|unified_cc_v2|cc_v2|regulation3with ETS/CT",Results_Long!$AK$2:$AK$201,0))),"n.e.",INDEX(Results_Long!$L$2:$L$201,MATCH("C9|unified_cc_v2|cc_v2|regulation3with ETS/CT",Results_Long!$AK$2:$AK$201,0)))</f>
        <v>8.1952973082466494E-3</v>
      </c>
      <c r="D53" s="7">
        <f>IF(ISBLANK(INDEX(Results_Long!$N$2:$N$201,MATCH("C9|unified_cc_v2|cc_v2|regulation3with ETS/CT",Results_Long!$AK$2:$AK$201,0))),"n.e.",INDEX(Results_Long!$N$2:$N$201,MATCH("C9|unified_cc_v2|cc_v2|regulation3with ETS/CT",Results_Long!$AK$2:$AK$201,0)))</f>
        <v>8.57671418247266</v>
      </c>
      <c r="E53" s="8">
        <f>IF(ISBLANK(INDEX(Results_Long!$O$2:$O$201,MATCH("C9|unified_cc_v2|cc_v2|regulation3with ETS/CT",Results_Long!$AK$2:$AK$201,0))),"—",INDEX(Results_Long!$O$2:$O$201,MATCH("C9|unified_cc_v2|cc_v2|regulation3with ETS/CT",Results_Long!$AK$2:$AK$201,0)))</f>
        <v>6.3695215510929201E-2</v>
      </c>
      <c r="F53" s="4" t="str">
        <f>INDEX(Results_Long!$F$2:$F$201,MATCH("C9|unified_cc_v2|cc_v2|regulation3with ETS/CT",Results_Long!$AK$2:$AK$201,0))</f>
        <v>3LMA-RVE_CR2</v>
      </c>
    </row>
    <row r="54" spans="1:6" x14ac:dyDescent="0.3">
      <c r="A54" s="4" t="s">
        <v>306</v>
      </c>
      <c r="B54" s="10">
        <f>IF(ISBLANK(INDEX(Results_Long!$K$2:$K$201,MATCH("C9|unified_cc_v2|cc_v2|country_region2_Europe",Results_Long!$AK$2:$AK$201,0))),"n.e.",INDEX(Results_Long!$K$2:$K$201,MATCH("C9|unified_cc_v2|cc_v2|country_region2_Europe",Results_Long!$AK$2:$AK$201,0)))</f>
        <v>-3.0315513740452198E-2</v>
      </c>
      <c r="C54" s="8">
        <f>IF(ISBLANK(INDEX(Results_Long!$L$2:$L$201,MATCH("C9|unified_cc_v2|cc_v2|country_region2_Europe",Results_Long!$AK$2:$AK$201,0))),"n.e.",INDEX(Results_Long!$L$2:$L$201,MATCH("C9|unified_cc_v2|cc_v2|country_region2_Europe",Results_Long!$AK$2:$AK$201,0)))</f>
        <v>3.3303097283986602E-2</v>
      </c>
      <c r="D54" s="7">
        <f>IF(ISBLANK(INDEX(Results_Long!$N$2:$N$201,MATCH("C9|unified_cc_v2|cc_v2|country_region2_Europe",Results_Long!$AK$2:$AK$201,0))),"n.e.",INDEX(Results_Long!$N$2:$N$201,MATCH("C9|unified_cc_v2|cc_v2|country_region2_Europe",Results_Long!$AK$2:$AK$201,0)))</f>
        <v>2.57114438623399</v>
      </c>
      <c r="E54" s="8" t="str">
        <f>IF(ISBLANK(INDEX(Results_Long!$O$2:$O$201,MATCH("C9|unified_cc_v2|cc_v2|country_region2_Europe",Results_Long!$AK$2:$AK$201,0))),"—",INDEX(Results_Long!$O$2:$O$201,MATCH("C9|unified_cc_v2|cc_v2|country_region2_Europe",Results_Long!$AK$2:$AK$201,0)))</f>
        <v>—</v>
      </c>
      <c r="F54" s="4" t="str">
        <f>INDEX(Results_Long!$F$2:$F$201,MATCH("C9|unified_cc_v2|cc_v2|country_region2_Europe",Results_Long!$AK$2:$AK$201,0))</f>
        <v>3LMA-RVE_CR2</v>
      </c>
    </row>
    <row r="55" spans="1:6" x14ac:dyDescent="0.3">
      <c r="A55" s="4" t="s">
        <v>307</v>
      </c>
      <c r="B55" s="10">
        <f>IF(ISBLANK(INDEX(Results_Long!$K$2:$K$201,MATCH("C9|unified_cc_v2|cc_v2|country_region3_AsiaPac",Results_Long!$AK$2:$AK$201,0))),"n.e.",INDEX(Results_Long!$K$2:$K$201,MATCH("C9|unified_cc_v2|cc_v2|country_region3_AsiaPac",Results_Long!$AK$2:$AK$201,0)))</f>
        <v>-5.4198690675380801E-2</v>
      </c>
      <c r="C55" s="8">
        <f>IF(ISBLANK(INDEX(Results_Long!$L$2:$L$201,MATCH("C9|unified_cc_v2|cc_v2|country_region3_AsiaPac",Results_Long!$AK$2:$AK$201,0))),"n.e.",INDEX(Results_Long!$L$2:$L$201,MATCH("C9|unified_cc_v2|cc_v2|country_region3_AsiaPac",Results_Long!$AK$2:$AK$201,0)))</f>
        <v>1.8905089849788399E-2</v>
      </c>
      <c r="D55" s="7">
        <f>IF(ISBLANK(INDEX(Results_Long!$N$2:$N$201,MATCH("C9|unified_cc_v2|cc_v2|country_region3_AsiaPac",Results_Long!$AK$2:$AK$201,0))),"n.e.",INDEX(Results_Long!$N$2:$N$201,MATCH("C9|unified_cc_v2|cc_v2|country_region3_AsiaPac",Results_Long!$AK$2:$AK$201,0)))</f>
        <v>1.30578772507258</v>
      </c>
      <c r="E55" s="8" t="str">
        <f>IF(ISBLANK(INDEX(Results_Long!$O$2:$O$201,MATCH("C9|unified_cc_v2|cc_v2|country_region3_AsiaPac",Results_Long!$AK$2:$AK$201,0))),"—",INDEX(Results_Long!$O$2:$O$201,MATCH("C9|unified_cc_v2|cc_v2|country_region3_AsiaPac",Results_Long!$AK$2:$AK$201,0)))</f>
        <v>—</v>
      </c>
      <c r="F55" s="4" t="str">
        <f>INDEX(Results_Long!$F$2:$F$201,MATCH("C9|unified_cc_v2|cc_v2|country_region3_AsiaPac",Results_Long!$AK$2:$AK$201,0))</f>
        <v>3LMA-RVE_CR2</v>
      </c>
    </row>
    <row r="56" spans="1:6" x14ac:dyDescent="0.3">
      <c r="A56" s="4" t="s">
        <v>323</v>
      </c>
      <c r="B56" s="10">
        <f>IF(ISBLANK(INDEX(Results_Long!$K$2:$K$201,MATCH("C9|unified_cc_v2|cc_v2|country_econ2_developing",Results_Long!$AK$2:$AK$201,0))),"n.e.",INDEX(Results_Long!$K$2:$K$201,MATCH("C9|unified_cc_v2|cc_v2|country_econ2_developing",Results_Long!$AK$2:$AK$201,0)))</f>
        <v>-7.4197353119609996E-2</v>
      </c>
      <c r="C56" s="8">
        <f>IF(ISBLANK(INDEX(Results_Long!$L$2:$L$201,MATCH("C9|unified_cc_v2|cc_v2|country_econ2_developing",Results_Long!$AK$2:$AK$201,0))),"n.e.",INDEX(Results_Long!$L$2:$L$201,MATCH("C9|unified_cc_v2|cc_v2|country_econ2_developing",Results_Long!$AK$2:$AK$201,0)))</f>
        <v>3.3748280204351201E-2</v>
      </c>
      <c r="D56" s="7">
        <f>IF(ISBLANK(INDEX(Results_Long!$N$2:$N$201,MATCH("C9|unified_cc_v2|cc_v2|country_econ2_developing",Results_Long!$AK$2:$AK$201,0))),"n.e.",INDEX(Results_Long!$N$2:$N$201,MATCH("C9|unified_cc_v2|cc_v2|country_econ2_developing",Results_Long!$AK$2:$AK$201,0)))</f>
        <v>10.218931040907</v>
      </c>
      <c r="E56" s="8">
        <f>IF(ISBLANK(INDEX(Results_Long!$O$2:$O$201,MATCH("C9|unified_cc_v2|cc_v2|country_econ2_developing",Results_Long!$AK$2:$AK$201,0))),"—",INDEX(Results_Long!$O$2:$O$201,MATCH("C9|unified_cc_v2|cc_v2|country_econ2_developing",Results_Long!$AK$2:$AK$201,0)))</f>
        <v>5.2012848623434402E-2</v>
      </c>
      <c r="F56" s="4" t="str">
        <f>INDEX(Results_Long!$F$2:$F$201,MATCH("C9|unified_cc_v2|cc_v2|country_econ2_developing",Results_Long!$AK$2:$AK$201,0))</f>
        <v>3LMA-RVE_CR2</v>
      </c>
    </row>
    <row r="57" spans="1:6" x14ac:dyDescent="0.3">
      <c r="A57" s="4" t="s">
        <v>324</v>
      </c>
      <c r="B57" s="10">
        <f>IF(ISBLANK(INDEX(Results_Long!$K$2:$K$201,MATCH("C9|unified_cc_v2|cc_v2|country_culture2_non_western",Results_Long!$AK$2:$AK$201,0))),"n.e.",INDEX(Results_Long!$K$2:$K$201,MATCH("C9|unified_cc_v2|cc_v2|country_culture2_non_western",Results_Long!$AK$2:$AK$201,0)))</f>
        <v>3.3786560875433198E-2</v>
      </c>
      <c r="C57" s="8">
        <f>IF(ISBLANK(INDEX(Results_Long!$L$2:$L$201,MATCH("C9|unified_cc_v2|cc_v2|country_culture2_non_western",Results_Long!$AK$2:$AK$201,0))),"n.e.",INDEX(Results_Long!$L$2:$L$201,MATCH("C9|unified_cc_v2|cc_v2|country_culture2_non_western",Results_Long!$AK$2:$AK$201,0)))</f>
        <v>0.10013923572184399</v>
      </c>
      <c r="D57" s="7">
        <f>IF(ISBLANK(INDEX(Results_Long!$N$2:$N$201,MATCH("C9|unified_cc_v2|cc_v2|country_culture2_non_western",Results_Long!$AK$2:$AK$201,0))),"n.e.",INDEX(Results_Long!$N$2:$N$201,MATCH("C9|unified_cc_v2|cc_v2|country_culture2_non_western",Results_Long!$AK$2:$AK$201,0)))</f>
        <v>3.8990756652947498</v>
      </c>
      <c r="E57" s="8" t="str">
        <f>IF(ISBLANK(INDEX(Results_Long!$O$2:$O$201,MATCH("C9|unified_cc_v2|cc_v2|country_culture2_non_western",Results_Long!$AK$2:$AK$201,0))),"—",INDEX(Results_Long!$O$2:$O$201,MATCH("C9|unified_cc_v2|cc_v2|country_culture2_non_western",Results_Long!$AK$2:$AK$201,0)))</f>
        <v>—</v>
      </c>
      <c r="F57" s="4" t="str">
        <f>INDEX(Results_Long!$F$2:$F$201,MATCH("C9|unified_cc_v2|cc_v2|country_culture2_non_western",Results_Long!$AK$2:$AK$201,0))</f>
        <v>3LMA-RVE_CR2</v>
      </c>
    </row>
    <row r="58" spans="1:6" x14ac:dyDescent="0.3">
      <c r="A58" s="4" t="s">
        <v>325</v>
      </c>
      <c r="B58" s="10">
        <f>IF(ISBLANK(INDEX(Results_Long!$K$2:$K$201,MATCH("C9|unified_cc_v2|cc_v2|country_legal2_civil law",Results_Long!$AK$2:$AK$201,0))),"n.e.",INDEX(Results_Long!$K$2:$K$201,MATCH("C9|unified_cc_v2|cc_v2|country_legal2_civil law",Results_Long!$AK$2:$AK$201,0)))</f>
        <v>6.9597420875559798E-2</v>
      </c>
      <c r="C58" s="8">
        <f>IF(ISBLANK(INDEX(Results_Long!$L$2:$L$201,MATCH("C9|unified_cc_v2|cc_v2|country_legal2_civil law",Results_Long!$AK$2:$AK$201,0))),"n.e.",INDEX(Results_Long!$L$2:$L$201,MATCH("C9|unified_cc_v2|cc_v2|country_legal2_civil law",Results_Long!$AK$2:$AK$201,0)))</f>
        <v>9.4740170443034205E-2</v>
      </c>
      <c r="D58" s="7">
        <f>IF(ISBLANK(INDEX(Results_Long!$N$2:$N$201,MATCH("C9|unified_cc_v2|cc_v2|country_legal2_civil law",Results_Long!$AK$2:$AK$201,0))),"n.e.",INDEX(Results_Long!$N$2:$N$201,MATCH("C9|unified_cc_v2|cc_v2|country_legal2_civil law",Results_Long!$AK$2:$AK$201,0)))</f>
        <v>2.0181147898084202</v>
      </c>
      <c r="E58" s="8" t="str">
        <f>IF(ISBLANK(INDEX(Results_Long!$O$2:$O$201,MATCH("C9|unified_cc_v2|cc_v2|country_legal2_civil law",Results_Long!$AK$2:$AK$201,0))),"—",INDEX(Results_Long!$O$2:$O$201,MATCH("C9|unified_cc_v2|cc_v2|country_legal2_civil law",Results_Long!$AK$2:$AK$201,0)))</f>
        <v>—</v>
      </c>
      <c r="F58" s="4" t="str">
        <f>INDEX(Results_Long!$F$2:$F$201,MATCH("C9|unified_cc_v2|cc_v2|country_legal2_civil law",Results_Long!$AK$2:$AK$201,0))</f>
        <v>3LMA-RVE_CR2</v>
      </c>
    </row>
    <row r="59" spans="1:6" x14ac:dyDescent="0.3">
      <c r="A59" s="4" t="s">
        <v>326</v>
      </c>
      <c r="B59" s="10" t="str">
        <f>IF(ISBLANK(INDEX(Results_Long!$K$2:$K$201,MATCH("C9|unified_cc_v2|cc_v2|pp:CER_measure::coef1",Results_Long!$AK$2:$AK$201,0))),"n.e.",INDEX(Results_Long!$K$2:$K$201,MATCH("C9|unified_cc_v2|cc_v2|pp:CER_measure::coef1",Results_Long!$AK$2:$AK$201,0)))</f>
        <v>n.e.</v>
      </c>
      <c r="C59" s="8" t="str">
        <f>IF(ISBLANK(INDEX(Results_Long!$L$2:$L$201,MATCH("C9|unified_cc_v2|cc_v2|pp:CER_measure::coef1",Results_Long!$AK$2:$AK$201,0))),"n.e.",INDEX(Results_Long!$L$2:$L$201,MATCH("C9|unified_cc_v2|cc_v2|pp:CER_measure::coef1",Results_Long!$AK$2:$AK$201,0)))</f>
        <v>n.e.</v>
      </c>
      <c r="D59" s="7" t="str">
        <f>IF(ISBLANK(INDEX(Results_Long!$N$2:$N$201,MATCH("C9|unified_cc_v2|cc_v2|pp:CER_measure::coef1",Results_Long!$AK$2:$AK$201,0))),"n.e.",INDEX(Results_Long!$N$2:$N$201,MATCH("C9|unified_cc_v2|cc_v2|pp:CER_measure::coef1",Results_Long!$AK$2:$AK$201,0)))</f>
        <v>n.e.</v>
      </c>
      <c r="E59" s="8" t="str">
        <f>IF(ISBLANK(INDEX(Results_Long!$O$2:$O$201,MATCH("C9|unified_cc_v2|cc_v2|pp:CER_measure::coef1",Results_Long!$AK$2:$AK$201,0))),"—",INDEX(Results_Long!$O$2:$O$201,MATCH("C9|unified_cc_v2|cc_v2|pp:CER_measure::coef1",Results_Long!$AK$2:$AK$201,0)))</f>
        <v>—</v>
      </c>
      <c r="F59" s="4" t="str">
        <f>INDEX(Results_Long!$F$2:$F$201,MATCH("C9|unified_cc_v2|cc_v2|pp:CER_measure::coef1",Results_Long!$AK$2:$AK$201,0))</f>
        <v>not_estimable</v>
      </c>
    </row>
    <row r="60" spans="1:6" x14ac:dyDescent="0.3">
      <c r="A60" s="4" t="s">
        <v>311</v>
      </c>
      <c r="B60" s="10" t="str">
        <f>IF(ISBLANK(INDEX(Results_Long!$K$2:$K$201,MATCH("C9|unified_cc_v2|cc_v2|pp:COD_instrument::coef1",Results_Long!$AK$2:$AK$201,0))),"n.e.",INDEX(Results_Long!$K$2:$K$201,MATCH("C9|unified_cc_v2|cc_v2|pp:COD_instrument::coef1",Results_Long!$AK$2:$AK$201,0)))</f>
        <v>n.e.</v>
      </c>
      <c r="C60" s="8" t="str">
        <f>IF(ISBLANK(INDEX(Results_Long!$L$2:$L$201,MATCH("C9|unified_cc_v2|cc_v2|pp:COD_instrument::coef1",Results_Long!$AK$2:$AK$201,0))),"n.e.",INDEX(Results_Long!$L$2:$L$201,MATCH("C9|unified_cc_v2|cc_v2|pp:COD_instrument::coef1",Results_Long!$AK$2:$AK$201,0)))</f>
        <v>n.e.</v>
      </c>
      <c r="D60" s="7" t="str">
        <f>IF(ISBLANK(INDEX(Results_Long!$N$2:$N$201,MATCH("C9|unified_cc_v2|cc_v2|pp:COD_instrument::coef1",Results_Long!$AK$2:$AK$201,0))),"n.e.",INDEX(Results_Long!$N$2:$N$201,MATCH("C9|unified_cc_v2|cc_v2|pp:COD_instrument::coef1",Results_Long!$AK$2:$AK$201,0)))</f>
        <v>n.e.</v>
      </c>
      <c r="E60" s="8" t="str">
        <f>IF(ISBLANK(INDEX(Results_Long!$O$2:$O$201,MATCH("C9|unified_cc_v2|cc_v2|pp:COD_instrument::coef1",Results_Long!$AK$2:$AK$201,0))),"—",INDEX(Results_Long!$O$2:$O$201,MATCH("C9|unified_cc_v2|cc_v2|pp:COD_instrument::coef1",Results_Long!$AK$2:$AK$201,0)))</f>
        <v>—</v>
      </c>
      <c r="F60" s="4" t="str">
        <f>INDEX(Results_Long!$F$2:$F$201,MATCH("C9|unified_cc_v2|cc_v2|pp:COD_instrument::coef1",Results_Long!$AK$2:$AK$201,0))</f>
        <v>not_estimable</v>
      </c>
    </row>
    <row r="61" spans="1:6" x14ac:dyDescent="0.3">
      <c r="A61" s="4" t="s">
        <v>312</v>
      </c>
      <c r="B61" s="10" t="str">
        <f>IF(ISBLANK(INDEX(Results_Long!$K$2:$K$201,MATCH("C9|unified_cc_v2|cc_v2|pp:COD_instrument::coef2",Results_Long!$AK$2:$AK$201,0))),"n.e.",INDEX(Results_Long!$K$2:$K$201,MATCH("C9|unified_cc_v2|cc_v2|pp:COD_instrument::coef2",Results_Long!$AK$2:$AK$201,0)))</f>
        <v>n.e.</v>
      </c>
      <c r="C61" s="8" t="str">
        <f>IF(ISBLANK(INDEX(Results_Long!$L$2:$L$201,MATCH("C9|unified_cc_v2|cc_v2|pp:COD_instrument::coef2",Results_Long!$AK$2:$AK$201,0))),"n.e.",INDEX(Results_Long!$L$2:$L$201,MATCH("C9|unified_cc_v2|cc_v2|pp:COD_instrument::coef2",Results_Long!$AK$2:$AK$201,0)))</f>
        <v>n.e.</v>
      </c>
      <c r="D61" s="7" t="str">
        <f>IF(ISBLANK(INDEX(Results_Long!$N$2:$N$201,MATCH("C9|unified_cc_v2|cc_v2|pp:COD_instrument::coef2",Results_Long!$AK$2:$AK$201,0))),"n.e.",INDEX(Results_Long!$N$2:$N$201,MATCH("C9|unified_cc_v2|cc_v2|pp:COD_instrument::coef2",Results_Long!$AK$2:$AK$201,0)))</f>
        <v>n.e.</v>
      </c>
      <c r="E61" s="8" t="str">
        <f>IF(ISBLANK(INDEX(Results_Long!$O$2:$O$201,MATCH("C9|unified_cc_v2|cc_v2|pp:COD_instrument::coef2",Results_Long!$AK$2:$AK$201,0))),"—",INDEX(Results_Long!$O$2:$O$201,MATCH("C9|unified_cc_v2|cc_v2|pp:COD_instrument::coef2",Results_Long!$AK$2:$AK$201,0)))</f>
        <v>—</v>
      </c>
      <c r="F61" s="4" t="str">
        <f>INDEX(Results_Long!$F$2:$F$201,MATCH("C9|unified_cc_v2|cc_v2|pp:COD_instrument::coef2",Results_Long!$AK$2:$AK$201,0))</f>
        <v>not_estimable</v>
      </c>
    </row>
    <row r="62" spans="1:6" x14ac:dyDescent="0.3">
      <c r="A62" s="4" t="s">
        <v>313</v>
      </c>
      <c r="B62" s="10" t="str">
        <f>IF(ISBLANK(INDEX(Results_Long!$K$2:$K$201,MATCH("C9|unified_cc_v2|cc_v2|pp:COD_instrument::coef3",Results_Long!$AK$2:$AK$201,0))),"n.e.",INDEX(Results_Long!$K$2:$K$201,MATCH("C9|unified_cc_v2|cc_v2|pp:COD_instrument::coef3",Results_Long!$AK$2:$AK$201,0)))</f>
        <v>n.e.</v>
      </c>
      <c r="C62" s="8" t="str">
        <f>IF(ISBLANK(INDEX(Results_Long!$L$2:$L$201,MATCH("C9|unified_cc_v2|cc_v2|pp:COD_instrument::coef3",Results_Long!$AK$2:$AK$201,0))),"n.e.",INDEX(Results_Long!$L$2:$L$201,MATCH("C9|unified_cc_v2|cc_v2|pp:COD_instrument::coef3",Results_Long!$AK$2:$AK$201,0)))</f>
        <v>n.e.</v>
      </c>
      <c r="D62" s="7" t="str">
        <f>IF(ISBLANK(INDEX(Results_Long!$N$2:$N$201,MATCH("C9|unified_cc_v2|cc_v2|pp:COD_instrument::coef3",Results_Long!$AK$2:$AK$201,0))),"n.e.",INDEX(Results_Long!$N$2:$N$201,MATCH("C9|unified_cc_v2|cc_v2|pp:COD_instrument::coef3",Results_Long!$AK$2:$AK$201,0)))</f>
        <v>n.e.</v>
      </c>
      <c r="E62" s="8" t="str">
        <f>IF(ISBLANK(INDEX(Results_Long!$O$2:$O$201,MATCH("C9|unified_cc_v2|cc_v2|pp:COD_instrument::coef3",Results_Long!$AK$2:$AK$201,0))),"—",INDEX(Results_Long!$O$2:$O$201,MATCH("C9|unified_cc_v2|cc_v2|pp:COD_instrument::coef3",Results_Long!$AK$2:$AK$201,0)))</f>
        <v>—</v>
      </c>
      <c r="F62" s="4" t="str">
        <f>INDEX(Results_Long!$F$2:$F$201,MATCH("C9|unified_cc_v2|cc_v2|pp:COD_instrument::coef3",Results_Long!$AK$2:$AK$201,0))</f>
        <v>not_estimable</v>
      </c>
    </row>
    <row r="63" spans="1:6" x14ac:dyDescent="0.3">
      <c r="A63" s="4" t="s">
        <v>327</v>
      </c>
      <c r="B63" s="10" t="str">
        <f>IF(ISBLANK(INDEX(Results_Long!$K$2:$K$201,MATCH("C9|unified_cc_v2|cc_v2|pp:industry::coef1",Results_Long!$AK$2:$AK$201,0))),"n.e.",INDEX(Results_Long!$K$2:$K$201,MATCH("C9|unified_cc_v2|cc_v2|pp:industry::coef1",Results_Long!$AK$2:$AK$201,0)))</f>
        <v>n.e.</v>
      </c>
      <c r="C63" s="8" t="str">
        <f>IF(ISBLANK(INDEX(Results_Long!$L$2:$L$201,MATCH("C9|unified_cc_v2|cc_v2|pp:industry::coef1",Results_Long!$AK$2:$AK$201,0))),"n.e.",INDEX(Results_Long!$L$2:$L$201,MATCH("C9|unified_cc_v2|cc_v2|pp:industry::coef1",Results_Long!$AK$2:$AK$201,0)))</f>
        <v>n.e.</v>
      </c>
      <c r="D63" s="7" t="str">
        <f>IF(ISBLANK(INDEX(Results_Long!$N$2:$N$201,MATCH("C9|unified_cc_v2|cc_v2|pp:industry::coef1",Results_Long!$AK$2:$AK$201,0))),"n.e.",INDEX(Results_Long!$N$2:$N$201,MATCH("C9|unified_cc_v2|cc_v2|pp:industry::coef1",Results_Long!$AK$2:$AK$201,0)))</f>
        <v>n.e.</v>
      </c>
      <c r="E63" s="8" t="str">
        <f>IF(ISBLANK(INDEX(Results_Long!$O$2:$O$201,MATCH("C9|unified_cc_v2|cc_v2|pp:industry::coef1",Results_Long!$AK$2:$AK$201,0))),"—",INDEX(Results_Long!$O$2:$O$201,MATCH("C9|unified_cc_v2|cc_v2|pp:industry::coef1",Results_Long!$AK$2:$AK$201,0)))</f>
        <v>—</v>
      </c>
      <c r="F63" s="4" t="str">
        <f>INDEX(Results_Long!$F$2:$F$201,MATCH("C9|unified_cc_v2|cc_v2|pp:industry::coef1",Results_Long!$AK$2:$AK$201,0))</f>
        <v>not_estimable</v>
      </c>
    </row>
    <row r="64" spans="1:6" x14ac:dyDescent="0.3">
      <c r="A64" s="4" t="s">
        <v>314</v>
      </c>
      <c r="B64" s="10" t="str">
        <f>IF(ISBLANK(INDEX(Results_Long!$K$2:$K$201,MATCH("C9|unified_cc_v2|cc_v2|pp:regulation3::coef1",Results_Long!$AK$2:$AK$201,0))),"n.e.",INDEX(Results_Long!$K$2:$K$201,MATCH("C9|unified_cc_v2|cc_v2|pp:regulation3::coef1",Results_Long!$AK$2:$AK$201,0)))</f>
        <v>n.e.</v>
      </c>
      <c r="C64" s="8" t="str">
        <f>IF(ISBLANK(INDEX(Results_Long!$L$2:$L$201,MATCH("C9|unified_cc_v2|cc_v2|pp:regulation3::coef1",Results_Long!$AK$2:$AK$201,0))),"n.e.",INDEX(Results_Long!$L$2:$L$201,MATCH("C9|unified_cc_v2|cc_v2|pp:regulation3::coef1",Results_Long!$AK$2:$AK$201,0)))</f>
        <v>n.e.</v>
      </c>
      <c r="D64" s="7" t="str">
        <f>IF(ISBLANK(INDEX(Results_Long!$N$2:$N$201,MATCH("C9|unified_cc_v2|cc_v2|pp:regulation3::coef1",Results_Long!$AK$2:$AK$201,0))),"n.e.",INDEX(Results_Long!$N$2:$N$201,MATCH("C9|unified_cc_v2|cc_v2|pp:regulation3::coef1",Results_Long!$AK$2:$AK$201,0)))</f>
        <v>n.e.</v>
      </c>
      <c r="E64" s="8" t="str">
        <f>IF(ISBLANK(INDEX(Results_Long!$O$2:$O$201,MATCH("C9|unified_cc_v2|cc_v2|pp:regulation3::coef1",Results_Long!$AK$2:$AK$201,0))),"—",INDEX(Results_Long!$O$2:$O$201,MATCH("C9|unified_cc_v2|cc_v2|pp:regulation3::coef1",Results_Long!$AK$2:$AK$201,0)))</f>
        <v>—</v>
      </c>
      <c r="F64" s="4" t="str">
        <f>INDEX(Results_Long!$F$2:$F$201,MATCH("C9|unified_cc_v2|cc_v2|pp:regulation3::coef1",Results_Long!$AK$2:$AK$201,0))</f>
        <v>not_estimable</v>
      </c>
    </row>
    <row r="65" spans="1:6" x14ac:dyDescent="0.3">
      <c r="A65" s="4" t="s">
        <v>328</v>
      </c>
      <c r="B65" s="10" t="str">
        <f>IF(ISBLANK(INDEX(Results_Long!$K$2:$K$201,MATCH("C9|unified_cc_v2|cc_v2|pp:country_region::coef1",Results_Long!$AK$2:$AK$201,0))),"n.e.",INDEX(Results_Long!$K$2:$K$201,MATCH("C9|unified_cc_v2|cc_v2|pp:country_region::coef1",Results_Long!$AK$2:$AK$201,0)))</f>
        <v>n.e.</v>
      </c>
      <c r="C65" s="8" t="str">
        <f>IF(ISBLANK(INDEX(Results_Long!$L$2:$L$201,MATCH("C9|unified_cc_v2|cc_v2|pp:country_region::coef1",Results_Long!$AK$2:$AK$201,0))),"n.e.",INDEX(Results_Long!$L$2:$L$201,MATCH("C9|unified_cc_v2|cc_v2|pp:country_region::coef1",Results_Long!$AK$2:$AK$201,0)))</f>
        <v>n.e.</v>
      </c>
      <c r="D65" s="7" t="str">
        <f>IF(ISBLANK(INDEX(Results_Long!$N$2:$N$201,MATCH("C9|unified_cc_v2|cc_v2|pp:country_region::coef1",Results_Long!$AK$2:$AK$201,0))),"n.e.",INDEX(Results_Long!$N$2:$N$201,MATCH("C9|unified_cc_v2|cc_v2|pp:country_region::coef1",Results_Long!$AK$2:$AK$201,0)))</f>
        <v>n.e.</v>
      </c>
      <c r="E65" s="8" t="str">
        <f>IF(ISBLANK(INDEX(Results_Long!$O$2:$O$201,MATCH("C9|unified_cc_v2|cc_v2|pp:country_region::coef1",Results_Long!$AK$2:$AK$201,0))),"—",INDEX(Results_Long!$O$2:$O$201,MATCH("C9|unified_cc_v2|cc_v2|pp:country_region::coef1",Results_Long!$AK$2:$AK$201,0)))</f>
        <v>—</v>
      </c>
      <c r="F65" s="4" t="str">
        <f>INDEX(Results_Long!$F$2:$F$201,MATCH("C9|unified_cc_v2|cc_v2|pp:country_region::coef1",Results_Long!$AK$2:$AK$201,0))</f>
        <v>not_estimable</v>
      </c>
    </row>
    <row r="66" spans="1:6" x14ac:dyDescent="0.3">
      <c r="A66" s="4" t="s">
        <v>329</v>
      </c>
      <c r="B66" s="10" t="str">
        <f>IF(ISBLANK(INDEX(Results_Long!$K$2:$K$201,MATCH("C9|unified_cc_v2|cc_v2|pp:country_region::coef2",Results_Long!$AK$2:$AK$201,0))),"n.e.",INDEX(Results_Long!$K$2:$K$201,MATCH("C9|unified_cc_v2|cc_v2|pp:country_region::coef2",Results_Long!$AK$2:$AK$201,0)))</f>
        <v>n.e.</v>
      </c>
      <c r="C66" s="8" t="str">
        <f>IF(ISBLANK(INDEX(Results_Long!$L$2:$L$201,MATCH("C9|unified_cc_v2|cc_v2|pp:country_region::coef2",Results_Long!$AK$2:$AK$201,0))),"n.e.",INDEX(Results_Long!$L$2:$L$201,MATCH("C9|unified_cc_v2|cc_v2|pp:country_region::coef2",Results_Long!$AK$2:$AK$201,0)))</f>
        <v>n.e.</v>
      </c>
      <c r="D66" s="7" t="str">
        <f>IF(ISBLANK(INDEX(Results_Long!$N$2:$N$201,MATCH("C9|unified_cc_v2|cc_v2|pp:country_region::coef2",Results_Long!$AK$2:$AK$201,0))),"n.e.",INDEX(Results_Long!$N$2:$N$201,MATCH("C9|unified_cc_v2|cc_v2|pp:country_region::coef2",Results_Long!$AK$2:$AK$201,0)))</f>
        <v>n.e.</v>
      </c>
      <c r="E66" s="8" t="str">
        <f>IF(ISBLANK(INDEX(Results_Long!$O$2:$O$201,MATCH("C9|unified_cc_v2|cc_v2|pp:country_region::coef2",Results_Long!$AK$2:$AK$201,0))),"—",INDEX(Results_Long!$O$2:$O$201,MATCH("C9|unified_cc_v2|cc_v2|pp:country_region::coef2",Results_Long!$AK$2:$AK$201,0)))</f>
        <v>—</v>
      </c>
      <c r="F66" s="4" t="str">
        <f>INDEX(Results_Long!$F$2:$F$201,MATCH("C9|unified_cc_v2|cc_v2|pp:country_region::coef2",Results_Long!$AK$2:$AK$201,0))</f>
        <v>not_estimable</v>
      </c>
    </row>
    <row r="67" spans="1:6" x14ac:dyDescent="0.3">
      <c r="A67" s="4" t="s">
        <v>330</v>
      </c>
      <c r="B67" s="10" t="str">
        <f>IF(ISBLANK(INDEX(Results_Long!$K$2:$K$201,MATCH("C9|unified_cc_v2|cc_v2|pp:country_econ::coef1",Results_Long!$AK$2:$AK$201,0))),"n.e.",INDEX(Results_Long!$K$2:$K$201,MATCH("C9|unified_cc_v2|cc_v2|pp:country_econ::coef1",Results_Long!$AK$2:$AK$201,0)))</f>
        <v>n.e.</v>
      </c>
      <c r="C67" s="8" t="str">
        <f>IF(ISBLANK(INDEX(Results_Long!$L$2:$L$201,MATCH("C9|unified_cc_v2|cc_v2|pp:country_econ::coef1",Results_Long!$AK$2:$AK$201,0))),"n.e.",INDEX(Results_Long!$L$2:$L$201,MATCH("C9|unified_cc_v2|cc_v2|pp:country_econ::coef1",Results_Long!$AK$2:$AK$201,0)))</f>
        <v>n.e.</v>
      </c>
      <c r="D67" s="7" t="str">
        <f>IF(ISBLANK(INDEX(Results_Long!$N$2:$N$201,MATCH("C9|unified_cc_v2|cc_v2|pp:country_econ::coef1",Results_Long!$AK$2:$AK$201,0))),"n.e.",INDEX(Results_Long!$N$2:$N$201,MATCH("C9|unified_cc_v2|cc_v2|pp:country_econ::coef1",Results_Long!$AK$2:$AK$201,0)))</f>
        <v>n.e.</v>
      </c>
      <c r="E67" s="8" t="str">
        <f>IF(ISBLANK(INDEX(Results_Long!$O$2:$O$201,MATCH("C9|unified_cc_v2|cc_v2|pp:country_econ::coef1",Results_Long!$AK$2:$AK$201,0))),"—",INDEX(Results_Long!$O$2:$O$201,MATCH("C9|unified_cc_v2|cc_v2|pp:country_econ::coef1",Results_Long!$AK$2:$AK$201,0)))</f>
        <v>—</v>
      </c>
      <c r="F67" s="4" t="str">
        <f>INDEX(Results_Long!$F$2:$F$201,MATCH("C9|unified_cc_v2|cc_v2|pp:country_econ::coef1",Results_Long!$AK$2:$AK$201,0))</f>
        <v>not_estimable</v>
      </c>
    </row>
    <row r="68" spans="1:6" x14ac:dyDescent="0.3">
      <c r="A68" s="4" t="s">
        <v>331</v>
      </c>
      <c r="B68" s="10" t="str">
        <f>IF(ISBLANK(INDEX(Results_Long!$K$2:$K$201,MATCH("C9|unified_cc_v2|cc_v2|pp:country_culture::coef1",Results_Long!$AK$2:$AK$201,0))),"n.e.",INDEX(Results_Long!$K$2:$K$201,MATCH("C9|unified_cc_v2|cc_v2|pp:country_culture::coef1",Results_Long!$AK$2:$AK$201,0)))</f>
        <v>n.e.</v>
      </c>
      <c r="C68" s="8" t="str">
        <f>IF(ISBLANK(INDEX(Results_Long!$L$2:$L$201,MATCH("C9|unified_cc_v2|cc_v2|pp:country_culture::coef1",Results_Long!$AK$2:$AK$201,0))),"n.e.",INDEX(Results_Long!$L$2:$L$201,MATCH("C9|unified_cc_v2|cc_v2|pp:country_culture::coef1",Results_Long!$AK$2:$AK$201,0)))</f>
        <v>n.e.</v>
      </c>
      <c r="D68" s="7" t="str">
        <f>IF(ISBLANK(INDEX(Results_Long!$N$2:$N$201,MATCH("C9|unified_cc_v2|cc_v2|pp:country_culture::coef1",Results_Long!$AK$2:$AK$201,0))),"n.e.",INDEX(Results_Long!$N$2:$N$201,MATCH("C9|unified_cc_v2|cc_v2|pp:country_culture::coef1",Results_Long!$AK$2:$AK$201,0)))</f>
        <v>n.e.</v>
      </c>
      <c r="E68" s="8" t="str">
        <f>IF(ISBLANK(INDEX(Results_Long!$O$2:$O$201,MATCH("C9|unified_cc_v2|cc_v2|pp:country_culture::coef1",Results_Long!$AK$2:$AK$201,0))),"—",INDEX(Results_Long!$O$2:$O$201,MATCH("C9|unified_cc_v2|cc_v2|pp:country_culture::coef1",Results_Long!$AK$2:$AK$201,0)))</f>
        <v>—</v>
      </c>
      <c r="F68" s="4" t="str">
        <f>INDEX(Results_Long!$F$2:$F$201,MATCH("C9|unified_cc_v2|cc_v2|pp:country_culture::coef1",Results_Long!$AK$2:$AK$201,0))</f>
        <v>not_estimable</v>
      </c>
    </row>
    <row r="69" spans="1:6" x14ac:dyDescent="0.3">
      <c r="A69" s="4" t="s">
        <v>332</v>
      </c>
      <c r="B69" s="10" t="str">
        <f>IF(ISBLANK(INDEX(Results_Long!$K$2:$K$201,MATCH("C9|unified_cc_v2|cc_v2|pp:country_legal::coef1",Results_Long!$AK$2:$AK$201,0))),"n.e.",INDEX(Results_Long!$K$2:$K$201,MATCH("C9|unified_cc_v2|cc_v2|pp:country_legal::coef1",Results_Long!$AK$2:$AK$201,0)))</f>
        <v>n.e.</v>
      </c>
      <c r="C69" s="8" t="str">
        <f>IF(ISBLANK(INDEX(Results_Long!$L$2:$L$201,MATCH("C9|unified_cc_v2|cc_v2|pp:country_legal::coef1",Results_Long!$AK$2:$AK$201,0))),"n.e.",INDEX(Results_Long!$L$2:$L$201,MATCH("C9|unified_cc_v2|cc_v2|pp:country_legal::coef1",Results_Long!$AK$2:$AK$201,0)))</f>
        <v>n.e.</v>
      </c>
      <c r="D69" s="7" t="str">
        <f>IF(ISBLANK(INDEX(Results_Long!$N$2:$N$201,MATCH("C9|unified_cc_v2|cc_v2|pp:country_legal::coef1",Results_Long!$AK$2:$AK$201,0))),"n.e.",INDEX(Results_Long!$N$2:$N$201,MATCH("C9|unified_cc_v2|cc_v2|pp:country_legal::coef1",Results_Long!$AK$2:$AK$201,0)))</f>
        <v>n.e.</v>
      </c>
      <c r="E69" s="8" t="str">
        <f>IF(ISBLANK(INDEX(Results_Long!$O$2:$O$201,MATCH("C9|unified_cc_v2|cc_v2|pp:country_legal::coef1",Results_Long!$AK$2:$AK$201,0))),"—",INDEX(Results_Long!$O$2:$O$201,MATCH("C9|unified_cc_v2|cc_v2|pp:country_legal::coef1",Results_Long!$AK$2:$AK$201,0)))</f>
        <v>—</v>
      </c>
      <c r="F69" s="4" t="str">
        <f>INDEX(Results_Long!$F$2:$F$201,MATCH("C9|unified_cc_v2|cc_v2|pp:country_legal::coef1",Results_Long!$AK$2:$AK$201,0))</f>
        <v>not_estimable</v>
      </c>
    </row>
    <row r="70" spans="1:6" x14ac:dyDescent="0.3">
      <c r="A70" s="1" t="s">
        <v>315</v>
      </c>
      <c r="B70" s="1" t="s">
        <v>316</v>
      </c>
      <c r="C70" s="1" t="s">
        <v>167</v>
      </c>
      <c r="D70" s="1" t="s">
        <v>168</v>
      </c>
      <c r="E70" s="1" t="s">
        <v>217</v>
      </c>
      <c r="F70" s="1"/>
    </row>
    <row r="71" spans="1:6" x14ac:dyDescent="0.3">
      <c r="A71" s="4" t="s">
        <v>317</v>
      </c>
      <c r="B71" s="6" t="str">
        <f>IF(ISBLANK(INDEX(Results_Long!$M$2:$M$201,MATCH("C9|unified_cc_v2|cc_v2|block_HTZ::CER_measure",Results_Long!$AK$2:$AK$201,0))),"n.e.",INDEX(Results_Long!$M$2:$M$201,MATCH("C9|unified_cc_v2|cc_v2|block_HTZ::CER_measure",Results_Long!$AK$2:$AK$201,0)))</f>
        <v>n.e.</v>
      </c>
      <c r="C71" s="7" t="str">
        <f>IF(ISBLANK(INDEX(Results_Long!$N$2:$N$201,MATCH("C9|unified_cc_v2|cc_v2|block_HTZ::CER_measure",Results_Long!$AK$2:$AK$201,0))),"n.e.",INDEX(Results_Long!$N$2:$N$201,MATCH("C9|unified_cc_v2|cc_v2|block_HTZ::CER_measure",Results_Long!$AK$2:$AK$201,0)))</f>
        <v>n.e.</v>
      </c>
      <c r="D71" s="8" t="str">
        <f>IF(ISBLANK(INDEX(Results_Long!$O$2:$O$201,MATCH("C9|unified_cc_v2|cc_v2|block_HTZ::CER_measure",Results_Long!$AK$2:$AK$201,0))),"—",INDEX(Results_Long!$O$2:$O$201,MATCH("C9|unified_cc_v2|cc_v2|block_HTZ::CER_measure",Results_Long!$AK$2:$AK$201,0)))</f>
        <v>—</v>
      </c>
      <c r="E71" s="4" t="str">
        <f>INDEX(Results_Long!$F$2:$F$201,MATCH("C9|unified_cc_v2|cc_v2|block_HTZ::CER_measure",Results_Long!$AK$2:$AK$201,0))</f>
        <v>not_estimable</v>
      </c>
    </row>
    <row r="72" spans="1:6" x14ac:dyDescent="0.3">
      <c r="A72" s="4" t="s">
        <v>318</v>
      </c>
      <c r="B72" s="6" t="str">
        <f>IF(ISBLANK(INDEX(Results_Long!$M$2:$M$201,MATCH("C9|unified_cc_v2|cc_v2|block_HTZ::COD_instrument",Results_Long!$AK$2:$AK$201,0))),"n.e.",INDEX(Results_Long!$M$2:$M$201,MATCH("C9|unified_cc_v2|cc_v2|block_HTZ::COD_instrument",Results_Long!$AK$2:$AK$201,0)))</f>
        <v>n.e.</v>
      </c>
      <c r="C72" s="7" t="str">
        <f>IF(ISBLANK(INDEX(Results_Long!$N$2:$N$201,MATCH("C9|unified_cc_v2|cc_v2|block_HTZ::COD_instrument",Results_Long!$AK$2:$AK$201,0))),"n.e.",INDEX(Results_Long!$N$2:$N$201,MATCH("C9|unified_cc_v2|cc_v2|block_HTZ::COD_instrument",Results_Long!$AK$2:$AK$201,0)))</f>
        <v>n.e.</v>
      </c>
      <c r="D72" s="8" t="str">
        <f>IF(ISBLANK(INDEX(Results_Long!$O$2:$O$201,MATCH("C9|unified_cc_v2|cc_v2|block_HTZ::COD_instrument",Results_Long!$AK$2:$AK$201,0))),"—",INDEX(Results_Long!$O$2:$O$201,MATCH("C9|unified_cc_v2|cc_v2|block_HTZ::COD_instrument",Results_Long!$AK$2:$AK$201,0)))</f>
        <v>—</v>
      </c>
      <c r="E72" s="4" t="str">
        <f>INDEX(Results_Long!$F$2:$F$201,MATCH("C9|unified_cc_v2|cc_v2|block_HTZ::COD_instrument",Results_Long!$AK$2:$AK$201,0))</f>
        <v>not_estimable</v>
      </c>
    </row>
    <row r="73" spans="1:6" x14ac:dyDescent="0.3">
      <c r="A73" s="4" t="s">
        <v>333</v>
      </c>
      <c r="B73" s="6" t="str">
        <f>IF(ISBLANK(INDEX(Results_Long!$M$2:$M$201,MATCH("C9|unified_cc_v2|cc_v2|block_HTZ::industry",Results_Long!$AK$2:$AK$201,0))),"n.e.",INDEX(Results_Long!$M$2:$M$201,MATCH("C9|unified_cc_v2|cc_v2|block_HTZ::industry",Results_Long!$AK$2:$AK$201,0)))</f>
        <v>n.e.</v>
      </c>
      <c r="C73" s="7" t="str">
        <f>IF(ISBLANK(INDEX(Results_Long!$N$2:$N$201,MATCH("C9|unified_cc_v2|cc_v2|block_HTZ::industry",Results_Long!$AK$2:$AK$201,0))),"n.e.",INDEX(Results_Long!$N$2:$N$201,MATCH("C9|unified_cc_v2|cc_v2|block_HTZ::industry",Results_Long!$AK$2:$AK$201,0)))</f>
        <v>n.e.</v>
      </c>
      <c r="D73" s="8" t="str">
        <f>IF(ISBLANK(INDEX(Results_Long!$O$2:$O$201,MATCH("C9|unified_cc_v2|cc_v2|block_HTZ::industry",Results_Long!$AK$2:$AK$201,0))),"—",INDEX(Results_Long!$O$2:$O$201,MATCH("C9|unified_cc_v2|cc_v2|block_HTZ::industry",Results_Long!$AK$2:$AK$201,0)))</f>
        <v>—</v>
      </c>
      <c r="E73" s="4" t="str">
        <f>INDEX(Results_Long!$F$2:$F$201,MATCH("C9|unified_cc_v2|cc_v2|block_HTZ::industry",Results_Long!$AK$2:$AK$201,0))</f>
        <v>not_estimable</v>
      </c>
    </row>
    <row r="74" spans="1:6" x14ac:dyDescent="0.3">
      <c r="A74" s="4" t="s">
        <v>319</v>
      </c>
      <c r="B74" s="6" t="str">
        <f>IF(ISBLANK(INDEX(Results_Long!$M$2:$M$201,MATCH("C9|unified_cc_v2|cc_v2|block_HTZ::regulation3",Results_Long!$AK$2:$AK$201,0))),"n.e.",INDEX(Results_Long!$M$2:$M$201,MATCH("C9|unified_cc_v2|cc_v2|block_HTZ::regulation3",Results_Long!$AK$2:$AK$201,0)))</f>
        <v>n.e.</v>
      </c>
      <c r="C74" s="7" t="str">
        <f>IF(ISBLANK(INDEX(Results_Long!$N$2:$N$201,MATCH("C9|unified_cc_v2|cc_v2|block_HTZ::regulation3",Results_Long!$AK$2:$AK$201,0))),"n.e.",INDEX(Results_Long!$N$2:$N$201,MATCH("C9|unified_cc_v2|cc_v2|block_HTZ::regulation3",Results_Long!$AK$2:$AK$201,0)))</f>
        <v>n.e.</v>
      </c>
      <c r="D74" s="8" t="str">
        <f>IF(ISBLANK(INDEX(Results_Long!$O$2:$O$201,MATCH("C9|unified_cc_v2|cc_v2|block_HTZ::regulation3",Results_Long!$AK$2:$AK$201,0))),"—",INDEX(Results_Long!$O$2:$O$201,MATCH("C9|unified_cc_v2|cc_v2|block_HTZ::regulation3",Results_Long!$AK$2:$AK$201,0)))</f>
        <v>—</v>
      </c>
      <c r="E74" s="4" t="str">
        <f>INDEX(Results_Long!$F$2:$F$201,MATCH("C9|unified_cc_v2|cc_v2|block_HTZ::regulation3",Results_Long!$AK$2:$AK$201,0))</f>
        <v>not_estimable</v>
      </c>
    </row>
    <row r="75" spans="1:6" x14ac:dyDescent="0.3">
      <c r="A75" s="4" t="s">
        <v>320</v>
      </c>
      <c r="B75" s="6" t="str">
        <f>IF(ISBLANK(INDEX(Results_Long!$M$2:$M$201,MATCH("C9|unified_cc_v2|cc_v2|block_HTZ::country_region",Results_Long!$AK$2:$AK$201,0))),"n.e.",INDEX(Results_Long!$M$2:$M$201,MATCH("C9|unified_cc_v2|cc_v2|block_HTZ::country_region",Results_Long!$AK$2:$AK$201,0)))</f>
        <v>n.e.</v>
      </c>
      <c r="C75" s="7" t="str">
        <f>IF(ISBLANK(INDEX(Results_Long!$N$2:$N$201,MATCH("C9|unified_cc_v2|cc_v2|block_HTZ::country_region",Results_Long!$AK$2:$AK$201,0))),"n.e.",INDEX(Results_Long!$N$2:$N$201,MATCH("C9|unified_cc_v2|cc_v2|block_HTZ::country_region",Results_Long!$AK$2:$AK$201,0)))</f>
        <v>n.e.</v>
      </c>
      <c r="D75" s="8" t="str">
        <f>IF(ISBLANK(INDEX(Results_Long!$O$2:$O$201,MATCH("C9|unified_cc_v2|cc_v2|block_HTZ::country_region",Results_Long!$AK$2:$AK$201,0))),"—",INDEX(Results_Long!$O$2:$O$201,MATCH("C9|unified_cc_v2|cc_v2|block_HTZ::country_region",Results_Long!$AK$2:$AK$201,0)))</f>
        <v>—</v>
      </c>
      <c r="E75" s="4" t="str">
        <f>INDEX(Results_Long!$F$2:$F$201,MATCH("C9|unified_cc_v2|cc_v2|block_HTZ::country_region",Results_Long!$AK$2:$AK$201,0))</f>
        <v>not_estimable</v>
      </c>
    </row>
    <row r="76" spans="1:6" x14ac:dyDescent="0.3">
      <c r="A76" s="4" t="s">
        <v>334</v>
      </c>
      <c r="B76" s="6" t="str">
        <f>IF(ISBLANK(INDEX(Results_Long!$M$2:$M$201,MATCH("C9|unified_cc_v2|cc_v2|block_HTZ::country_econ",Results_Long!$AK$2:$AK$201,0))),"n.e.",INDEX(Results_Long!$M$2:$M$201,MATCH("C9|unified_cc_v2|cc_v2|block_HTZ::country_econ",Results_Long!$AK$2:$AK$201,0)))</f>
        <v>n.e.</v>
      </c>
      <c r="C76" s="7" t="str">
        <f>IF(ISBLANK(INDEX(Results_Long!$N$2:$N$201,MATCH("C9|unified_cc_v2|cc_v2|block_HTZ::country_econ",Results_Long!$AK$2:$AK$201,0))),"n.e.",INDEX(Results_Long!$N$2:$N$201,MATCH("C9|unified_cc_v2|cc_v2|block_HTZ::country_econ",Results_Long!$AK$2:$AK$201,0)))</f>
        <v>n.e.</v>
      </c>
      <c r="D76" s="8" t="str">
        <f>IF(ISBLANK(INDEX(Results_Long!$O$2:$O$201,MATCH("C9|unified_cc_v2|cc_v2|block_HTZ::country_econ",Results_Long!$AK$2:$AK$201,0))),"—",INDEX(Results_Long!$O$2:$O$201,MATCH("C9|unified_cc_v2|cc_v2|block_HTZ::country_econ",Results_Long!$AK$2:$AK$201,0)))</f>
        <v>—</v>
      </c>
      <c r="E76" s="4" t="str">
        <f>INDEX(Results_Long!$F$2:$F$201,MATCH("C9|unified_cc_v2|cc_v2|block_HTZ::country_econ",Results_Long!$AK$2:$AK$201,0))</f>
        <v>not_estimable</v>
      </c>
    </row>
    <row r="77" spans="1:6" x14ac:dyDescent="0.3">
      <c r="A77" s="4" t="s">
        <v>335</v>
      </c>
      <c r="B77" s="6" t="str">
        <f>IF(ISBLANK(INDEX(Results_Long!$M$2:$M$201,MATCH("C9|unified_cc_v2|cc_v2|block_HTZ::country_culture",Results_Long!$AK$2:$AK$201,0))),"n.e.",INDEX(Results_Long!$M$2:$M$201,MATCH("C9|unified_cc_v2|cc_v2|block_HTZ::country_culture",Results_Long!$AK$2:$AK$201,0)))</f>
        <v>n.e.</v>
      </c>
      <c r="C77" s="7" t="str">
        <f>IF(ISBLANK(INDEX(Results_Long!$N$2:$N$201,MATCH("C9|unified_cc_v2|cc_v2|block_HTZ::country_culture",Results_Long!$AK$2:$AK$201,0))),"n.e.",INDEX(Results_Long!$N$2:$N$201,MATCH("C9|unified_cc_v2|cc_v2|block_HTZ::country_culture",Results_Long!$AK$2:$AK$201,0)))</f>
        <v>n.e.</v>
      </c>
      <c r="D77" s="8" t="str">
        <f>IF(ISBLANK(INDEX(Results_Long!$O$2:$O$201,MATCH("C9|unified_cc_v2|cc_v2|block_HTZ::country_culture",Results_Long!$AK$2:$AK$201,0))),"—",INDEX(Results_Long!$O$2:$O$201,MATCH("C9|unified_cc_v2|cc_v2|block_HTZ::country_culture",Results_Long!$AK$2:$AK$201,0)))</f>
        <v>—</v>
      </c>
      <c r="E77" s="4" t="str">
        <f>INDEX(Results_Long!$F$2:$F$201,MATCH("C9|unified_cc_v2|cc_v2|block_HTZ::country_culture",Results_Long!$AK$2:$AK$201,0))</f>
        <v>not_estimable</v>
      </c>
    </row>
    <row r="78" spans="1:6" x14ac:dyDescent="0.3">
      <c r="A78" s="4" t="s">
        <v>336</v>
      </c>
      <c r="B78" s="6" t="str">
        <f>IF(ISBLANK(INDEX(Results_Long!$M$2:$M$201,MATCH("C9|unified_cc_v2|cc_v2|block_HTZ::country_legal",Results_Long!$AK$2:$AK$201,0))),"n.e.",INDEX(Results_Long!$M$2:$M$201,MATCH("C9|unified_cc_v2|cc_v2|block_HTZ::country_legal",Results_Long!$AK$2:$AK$201,0)))</f>
        <v>n.e.</v>
      </c>
      <c r="C78" s="7" t="str">
        <f>IF(ISBLANK(INDEX(Results_Long!$N$2:$N$201,MATCH("C9|unified_cc_v2|cc_v2|block_HTZ::country_legal",Results_Long!$AK$2:$AK$201,0))),"n.e.",INDEX(Results_Long!$N$2:$N$201,MATCH("C9|unified_cc_v2|cc_v2|block_HTZ::country_legal",Results_Long!$AK$2:$AK$201,0)))</f>
        <v>n.e.</v>
      </c>
      <c r="D78" s="8" t="str">
        <f>IF(ISBLANK(INDEX(Results_Long!$O$2:$O$201,MATCH("C9|unified_cc_v2|cc_v2|block_HTZ::country_legal",Results_Long!$AK$2:$AK$201,0))),"—",INDEX(Results_Long!$O$2:$O$201,MATCH("C9|unified_cc_v2|cc_v2|block_HTZ::country_legal",Results_Long!$AK$2:$AK$201,0)))</f>
        <v>—</v>
      </c>
      <c r="E78" s="4" t="str">
        <f>INDEX(Results_Long!$F$2:$F$201,MATCH("C9|unified_cc_v2|cc_v2|block_HTZ::country_legal",Results_Long!$AK$2:$AK$201,0))</f>
        <v>not_estimable</v>
      </c>
    </row>
    <row r="80" spans="1:6" x14ac:dyDescent="0.3">
      <c r="A80" s="1" t="s">
        <v>188</v>
      </c>
    </row>
    <row r="81" spans="1:2" x14ac:dyDescent="0.3">
      <c r="A81" s="4" t="s">
        <v>337</v>
      </c>
    </row>
    <row r="82" spans="1:2" x14ac:dyDescent="0.3">
      <c r="A82" s="4" t="s">
        <v>338</v>
      </c>
    </row>
    <row r="83" spans="1:2" x14ac:dyDescent="0.3">
      <c r="A83" s="4" t="s">
        <v>339</v>
      </c>
    </row>
    <row r="85" spans="1:2" x14ac:dyDescent="0.3">
      <c r="A85" s="1" t="s">
        <v>192</v>
      </c>
      <c r="B85" s="1" t="s">
        <v>193</v>
      </c>
    </row>
    <row r="86" spans="1:2" ht="264" x14ac:dyDescent="0.3">
      <c r="A86" s="5" t="s">
        <v>340</v>
      </c>
      <c r="B86" s="5" t="s">
        <v>341</v>
      </c>
    </row>
    <row r="87" spans="1:2" ht="224.4" x14ac:dyDescent="0.3">
      <c r="A87" s="5" t="s">
        <v>342</v>
      </c>
      <c r="B87" s="5" t="s">
        <v>343</v>
      </c>
    </row>
    <row r="88" spans="1:2" ht="184.8" x14ac:dyDescent="0.3">
      <c r="A88" s="5" t="s">
        <v>344</v>
      </c>
      <c r="B88" s="5" t="s">
        <v>345</v>
      </c>
    </row>
    <row r="90" spans="1:2" ht="79.2" x14ac:dyDescent="0.3">
      <c r="A90" s="9" t="s">
        <v>346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1"/>
  <sheetViews>
    <sheetView workbookViewId="0"/>
  </sheetViews>
  <sheetFormatPr baseColWidth="10" defaultColWidth="8.88671875" defaultRowHeight="14.4" x14ac:dyDescent="0.3"/>
  <cols>
    <col min="1" max="1" width="34" customWidth="1"/>
    <col min="2" max="8" width="12" customWidth="1"/>
    <col min="9" max="9" width="10" customWidth="1"/>
    <col min="10" max="10" width="12" customWidth="1"/>
  </cols>
  <sheetData>
    <row r="1" spans="1:5" x14ac:dyDescent="0.3">
      <c r="A1" s="3" t="s">
        <v>347</v>
      </c>
    </row>
    <row r="2" spans="1:5" x14ac:dyDescent="0.3">
      <c r="A2" s="4" t="s">
        <v>348</v>
      </c>
    </row>
    <row r="3" spans="1:5" x14ac:dyDescent="0.3">
      <c r="A3" s="4" t="s">
        <v>203</v>
      </c>
    </row>
    <row r="5" spans="1:5" x14ac:dyDescent="0.3">
      <c r="A5" s="1" t="s">
        <v>349</v>
      </c>
      <c r="B5" s="1"/>
      <c r="C5" s="1"/>
      <c r="D5" s="1"/>
      <c r="E5" s="1"/>
    </row>
    <row r="6" spans="1:5" x14ac:dyDescent="0.3">
      <c r="A6" s="1" t="s">
        <v>296</v>
      </c>
      <c r="B6" s="1" t="s">
        <v>350</v>
      </c>
      <c r="C6" s="1" t="s">
        <v>167</v>
      </c>
      <c r="D6" s="1" t="s">
        <v>168</v>
      </c>
      <c r="E6" s="1" t="s">
        <v>217</v>
      </c>
    </row>
    <row r="7" spans="1:5" x14ac:dyDescent="0.3">
      <c r="A7" s="4" t="s">
        <v>351</v>
      </c>
      <c r="B7" s="10">
        <f>IF(ISBLANK(INDEX(Results_Long!$K$2:$K$201,MATCH("C3|m_pre|pre_classified|mpre_int::non-sensitive",Results_Long!$AK$2:$AK$201,0))),"n.e.",INDEX(Results_Long!$K$2:$K$201,MATCH("C3|m_pre|pre_classified|mpre_int::non-sensitive",Results_Long!$AK$2:$AK$201,0)))</f>
        <v>-8.2118427971103899E-2</v>
      </c>
      <c r="C7" s="7">
        <f>IF(ISBLANK(INDEX(Results_Long!$N$2:$N$201,MATCH("C3|m_pre|pre_classified|mpre_int::non-sensitive",Results_Long!$AK$2:$AK$201,0))),"n.e.",INDEX(Results_Long!$N$2:$N$201,MATCH("C3|m_pre|pre_classified|mpre_int::non-sensitive",Results_Long!$AK$2:$AK$201,0)))</f>
        <v>44.231165830532802</v>
      </c>
      <c r="D7" s="8">
        <f>IF(ISBLANK(INDEX(Results_Long!$O$2:$O$201,MATCH("C3|m_pre|pre_classified|mpre_int::non-sensitive",Results_Long!$AK$2:$AK$201,0))),"—",INDEX(Results_Long!$O$2:$O$201,MATCH("C3|m_pre|pre_classified|mpre_int::non-sensitive",Results_Long!$AK$2:$AK$201,0)))</f>
        <v>2.8465013591663198E-2</v>
      </c>
      <c r="E7" s="4" t="str">
        <f>INDEX(Results_Long!$F$2:$F$201,MATCH("C3|m_pre|pre_classified|mpre_int::non-sensitive",Results_Long!$AK$2:$AK$201,0))</f>
        <v>3LMA-RVE_CR2</v>
      </c>
    </row>
    <row r="8" spans="1:5" x14ac:dyDescent="0.3">
      <c r="A8" s="4" t="s">
        <v>352</v>
      </c>
      <c r="B8" s="10">
        <f>IF(ISBLANK(INDEX(Results_Long!$K$2:$K$201,MATCH("C3|m_pre|pre_classified|mpre_int::sensitive",Results_Long!$AK$2:$AK$201,0))),"n.e.",INDEX(Results_Long!$K$2:$K$201,MATCH("C3|m_pre|pre_classified|mpre_int::sensitive",Results_Long!$AK$2:$AK$201,0)))</f>
        <v>-5.45336713626111E-2</v>
      </c>
      <c r="C8" s="7">
        <f>IF(ISBLANK(INDEX(Results_Long!$N$2:$N$201,MATCH("C3|m_pre|pre_classified|mpre_int::sensitive",Results_Long!$AK$2:$AK$201,0))),"n.e.",INDEX(Results_Long!$N$2:$N$201,MATCH("C3|m_pre|pre_classified|mpre_int::sensitive",Results_Long!$AK$2:$AK$201,0)))</f>
        <v>8.2267906360283902</v>
      </c>
      <c r="D8" s="8">
        <f>IF(ISBLANK(INDEX(Results_Long!$O$2:$O$201,MATCH("C3|m_pre|pre_classified|mpre_int::sensitive",Results_Long!$AK$2:$AK$201,0))),"—",INDEX(Results_Long!$O$2:$O$201,MATCH("C3|m_pre|pre_classified|mpre_int::sensitive",Results_Long!$AK$2:$AK$201,0)))</f>
        <v>0.12945565752572599</v>
      </c>
      <c r="E8" s="4" t="str">
        <f>INDEX(Results_Long!$F$2:$F$201,MATCH("C3|m_pre|pre_classified|mpre_int::sensitive",Results_Long!$AK$2:$AK$201,0))</f>
        <v>3LMA-RVE_CR2</v>
      </c>
    </row>
    <row r="9" spans="1:5" x14ac:dyDescent="0.3">
      <c r="A9" s="4" t="s">
        <v>353</v>
      </c>
      <c r="B9" s="10">
        <f>IF(ISBLANK(INDEX(Results_Long!$K$2:$K$201,MATCH("C3|m_pre|pre_classified|mpre_slope::non-sensitive",Results_Long!$AK$2:$AK$201,0))),"n.e.",INDEX(Results_Long!$K$2:$K$201,MATCH("C3|m_pre|pre_classified|mpre_slope::non-sensitive",Results_Long!$AK$2:$AK$201,0)))</f>
        <v>-3.4260387312660401E-3</v>
      </c>
      <c r="C9" s="7">
        <f>IF(ISBLANK(INDEX(Results_Long!$N$2:$N$201,MATCH("C3|m_pre|pre_classified|mpre_slope::non-sensitive",Results_Long!$AK$2:$AK$201,0))),"n.e.",INDEX(Results_Long!$N$2:$N$201,MATCH("C3|m_pre|pre_classified|mpre_slope::non-sensitive",Results_Long!$AK$2:$AK$201,0)))</f>
        <v>13.158338440736999</v>
      </c>
      <c r="D9" s="8">
        <f>IF(ISBLANK(INDEX(Results_Long!$O$2:$O$201,MATCH("C3|m_pre|pre_classified|mpre_slope::non-sensitive",Results_Long!$AK$2:$AK$201,0))),"—",INDEX(Results_Long!$O$2:$O$201,MATCH("C3|m_pre|pre_classified|mpre_slope::non-sensitive",Results_Long!$AK$2:$AK$201,0)))</f>
        <v>0.128428677457538</v>
      </c>
      <c r="E9" s="4" t="str">
        <f>INDEX(Results_Long!$F$2:$F$201,MATCH("C3|m_pre|pre_classified|mpre_slope::non-sensitive",Results_Long!$AK$2:$AK$201,0))</f>
        <v>3LMA-RVE_CR2</v>
      </c>
    </row>
    <row r="10" spans="1:5" x14ac:dyDescent="0.3">
      <c r="A10" s="4" t="s">
        <v>354</v>
      </c>
      <c r="B10" s="10">
        <f>IF(ISBLANK(INDEX(Results_Long!$K$2:$K$201,MATCH("C3|m_pre|pre_classified|mpre_slope::sensitive",Results_Long!$AK$2:$AK$201,0))),"n.e.",INDEX(Results_Long!$K$2:$K$201,MATCH("C3|m_pre|pre_classified|mpre_slope::sensitive",Results_Long!$AK$2:$AK$201,0)))</f>
        <v>1.7175338340212701E-3</v>
      </c>
      <c r="C10" s="7">
        <f>IF(ISBLANK(INDEX(Results_Long!$N$2:$N$201,MATCH("C3|m_pre|pre_classified|mpre_slope::sensitive",Results_Long!$AK$2:$AK$201,0))),"n.e.",INDEX(Results_Long!$N$2:$N$201,MATCH("C3|m_pre|pre_classified|mpre_slope::sensitive",Results_Long!$AK$2:$AK$201,0)))</f>
        <v>2.5971720969893699</v>
      </c>
      <c r="D10" s="8" t="str">
        <f>IF(ISBLANK(INDEX(Results_Long!$O$2:$O$201,MATCH("C3|m_pre|pre_classified|mpre_slope::sensitive",Results_Long!$AK$2:$AK$201,0))),"—",INDEX(Results_Long!$O$2:$O$201,MATCH("C3|m_pre|pre_classified|mpre_slope::sensitive",Results_Long!$AK$2:$AK$201,0)))</f>
        <v>—</v>
      </c>
      <c r="E10" s="4" t="str">
        <f>INDEX(Results_Long!$F$2:$F$201,MATCH("C3|m_pre|pre_classified|mpre_slope::sensitive",Results_Long!$AK$2:$AK$201,0))</f>
        <v>3LMA-RVE_CR2</v>
      </c>
    </row>
    <row r="11" spans="1:5" x14ac:dyDescent="0.3">
      <c r="A11" s="4" t="s">
        <v>355</v>
      </c>
      <c r="B11" s="6">
        <f>IF(ISBLANK(INDEX(Results_Long!$M$2:$M$201,MATCH("C3|m_pre|pre_classified|mpre_slope_HTZ",Results_Long!$AK$2:$AK$201,0))),"n.e.",INDEX(Results_Long!$M$2:$M$201,MATCH("C3|m_pre|pre_classified|mpre_slope_HTZ",Results_Long!$AK$2:$AK$201,0)))</f>
        <v>1.3888713382108999</v>
      </c>
      <c r="C11" s="7">
        <f>IF(ISBLANK(INDEX(Results_Long!$N$2:$N$201,MATCH("C3|m_pre|pre_classified|mpre_slope_HTZ",Results_Long!$AK$2:$AK$201,0))),"n.e.",INDEX(Results_Long!$N$2:$N$201,MATCH("C3|m_pre|pre_classified|mpre_slope_HTZ",Results_Long!$AK$2:$AK$201,0)))</f>
        <v>3.59693558628401</v>
      </c>
      <c r="D11" s="8">
        <f>IF(ISBLANK(INDEX(Results_Long!$O$2:$O$201,MATCH("C3|m_pre|pre_classified|mpre_slope_HTZ",Results_Long!$AK$2:$AK$201,0))),"—",INDEX(Results_Long!$O$2:$O$201,MATCH("C3|m_pre|pre_classified|mpre_slope_HTZ",Results_Long!$AK$2:$AK$201,0)))</f>
        <v>0.31063591307858601</v>
      </c>
      <c r="E11" s="4" t="str">
        <f>INDEX(Results_Long!$F$2:$F$201,MATCH("C3|m_pre|pre_classified|mpre_slope_HTZ",Results_Long!$AK$2:$AK$201,0))</f>
        <v>3LMA-RVE_CR2</v>
      </c>
    </row>
    <row r="12" spans="1:5" x14ac:dyDescent="0.3">
      <c r="A12" s="4" t="s">
        <v>356</v>
      </c>
      <c r="B12" s="10">
        <f>IF(ISBLANK(INDEX(Results_Long!$K$2:$K$201,MATCH("C4|m_pre|pre_classified|mpre_int::without ETS/CT",Results_Long!$AK$2:$AK$201,0))),"n.e.",INDEX(Results_Long!$K$2:$K$201,MATCH("C4|m_pre|pre_classified|mpre_int::without ETS/CT",Results_Long!$AK$2:$AK$201,0)))</f>
        <v>-8.4391197182684799E-2</v>
      </c>
      <c r="C12" s="7">
        <f>IF(ISBLANK(INDEX(Results_Long!$N$2:$N$201,MATCH("C4|m_pre|pre_classified|mpre_int::without ETS/CT",Results_Long!$AK$2:$AK$201,0))),"n.e.",INDEX(Results_Long!$N$2:$N$201,MATCH("C4|m_pre|pre_classified|mpre_int::without ETS/CT",Results_Long!$AK$2:$AK$201,0)))</f>
        <v>33.9219944586251</v>
      </c>
      <c r="D12" s="8">
        <f>IF(ISBLANK(INDEX(Results_Long!$O$2:$O$201,MATCH("C4|m_pre|pre_classified|mpre_int::without ETS/CT",Results_Long!$AK$2:$AK$201,0))),"—",INDEX(Results_Long!$O$2:$O$201,MATCH("C4|m_pre|pre_classified|mpre_int::without ETS/CT",Results_Long!$AK$2:$AK$201,0)))</f>
        <v>2.8410571748365102E-2</v>
      </c>
      <c r="E12" s="4" t="str">
        <f>INDEX(Results_Long!$F$2:$F$201,MATCH("C4|m_pre|pre_classified|mpre_int::without ETS/CT",Results_Long!$AK$2:$AK$201,0))</f>
        <v>3LMA-RVE_CR2</v>
      </c>
    </row>
    <row r="13" spans="1:5" x14ac:dyDescent="0.3">
      <c r="A13" s="4" t="s">
        <v>357</v>
      </c>
      <c r="B13" s="10">
        <f>IF(ISBLANK(INDEX(Results_Long!$K$2:$K$201,MATCH("C4|m_pre|pre_classified|mpre_int::with ETS/CT",Results_Long!$AK$2:$AK$201,0))),"n.e.",INDEX(Results_Long!$K$2:$K$201,MATCH("C4|m_pre|pre_classified|mpre_int::with ETS/CT",Results_Long!$AK$2:$AK$201,0)))</f>
        <v>4.64138746821144E-2</v>
      </c>
      <c r="C13" s="7">
        <f>IF(ISBLANK(INDEX(Results_Long!$N$2:$N$201,MATCH("C4|m_pre|pre_classified|mpre_int::with ETS/CT",Results_Long!$AK$2:$AK$201,0))),"n.e.",INDEX(Results_Long!$N$2:$N$201,MATCH("C4|m_pre|pre_classified|mpre_int::with ETS/CT",Results_Long!$AK$2:$AK$201,0)))</f>
        <v>6.5957950261960203</v>
      </c>
      <c r="D13" s="8">
        <f>IF(ISBLANK(INDEX(Results_Long!$O$2:$O$201,MATCH("C4|m_pre|pre_classified|mpre_int::with ETS/CT",Results_Long!$AK$2:$AK$201,0))),"—",INDEX(Results_Long!$O$2:$O$201,MATCH("C4|m_pre|pre_classified|mpre_int::with ETS/CT",Results_Long!$AK$2:$AK$201,0)))</f>
        <v>0.53134480435329101</v>
      </c>
      <c r="E13" s="4" t="str">
        <f>INDEX(Results_Long!$F$2:$F$201,MATCH("C4|m_pre|pre_classified|mpre_int::with ETS/CT",Results_Long!$AK$2:$AK$201,0))</f>
        <v>3LMA-RVE_CR2</v>
      </c>
    </row>
    <row r="14" spans="1:5" x14ac:dyDescent="0.3">
      <c r="A14" s="4" t="s">
        <v>358</v>
      </c>
      <c r="B14" s="10">
        <f>IF(ISBLANK(INDEX(Results_Long!$K$2:$K$201,MATCH("C4|m_pre|pre_classified|mpre_slope::without ETS/CT",Results_Long!$AK$2:$AK$201,0))),"n.e.",INDEX(Results_Long!$K$2:$K$201,MATCH("C4|m_pre|pre_classified|mpre_slope::without ETS/CT",Results_Long!$AK$2:$AK$201,0)))</f>
        <v>-3.74549256817829E-3</v>
      </c>
      <c r="C14" s="7">
        <f>IF(ISBLANK(INDEX(Results_Long!$N$2:$N$201,MATCH("C4|m_pre|pre_classified|mpre_slope::without ETS/CT",Results_Long!$AK$2:$AK$201,0))),"n.e.",INDEX(Results_Long!$N$2:$N$201,MATCH("C4|m_pre|pre_classified|mpre_slope::without ETS/CT",Results_Long!$AK$2:$AK$201,0)))</f>
        <v>16.5336776661055</v>
      </c>
      <c r="D14" s="8">
        <f>IF(ISBLANK(INDEX(Results_Long!$O$2:$O$201,MATCH("C4|m_pre|pre_classified|mpre_slope::without ETS/CT",Results_Long!$AK$2:$AK$201,0))),"—",INDEX(Results_Long!$O$2:$O$201,MATCH("C4|m_pre|pre_classified|mpre_slope::without ETS/CT",Results_Long!$AK$2:$AK$201,0)))</f>
        <v>0.19430668799347001</v>
      </c>
      <c r="E14" s="4" t="str">
        <f>INDEX(Results_Long!$F$2:$F$201,MATCH("C4|m_pre|pre_classified|mpre_slope::without ETS/CT",Results_Long!$AK$2:$AK$201,0))</f>
        <v>3LMA-RVE_CR2</v>
      </c>
    </row>
    <row r="15" spans="1:5" x14ac:dyDescent="0.3">
      <c r="A15" s="4" t="s">
        <v>359</v>
      </c>
      <c r="B15" s="10">
        <f>IF(ISBLANK(INDEX(Results_Long!$K$2:$K$201,MATCH("C4|m_pre|pre_classified|mpre_slope::with ETS/CT",Results_Long!$AK$2:$AK$201,0))),"n.e.",INDEX(Results_Long!$K$2:$K$201,MATCH("C4|m_pre|pre_classified|mpre_slope::with ETS/CT",Results_Long!$AK$2:$AK$201,0)))</f>
        <v>4.6345495881281402E-2</v>
      </c>
      <c r="C15" s="7">
        <f>IF(ISBLANK(INDEX(Results_Long!$N$2:$N$201,MATCH("C4|m_pre|pre_classified|mpre_slope::with ETS/CT",Results_Long!$AK$2:$AK$201,0))),"n.e.",INDEX(Results_Long!$N$2:$N$201,MATCH("C4|m_pre|pre_classified|mpre_slope::with ETS/CT",Results_Long!$AK$2:$AK$201,0)))</f>
        <v>6.8931283901035902</v>
      </c>
      <c r="D15" s="8">
        <f>IF(ISBLANK(INDEX(Results_Long!$O$2:$O$201,MATCH("C4|m_pre|pre_classified|mpre_slope::with ETS/CT",Results_Long!$AK$2:$AK$201,0))),"—",INDEX(Results_Long!$O$2:$O$201,MATCH("C4|m_pre|pre_classified|mpre_slope::with ETS/CT",Results_Long!$AK$2:$AK$201,0)))</f>
        <v>0.30734989151831499</v>
      </c>
      <c r="E15" s="4" t="str">
        <f>INDEX(Results_Long!$F$2:$F$201,MATCH("C4|m_pre|pre_classified|mpre_slope::with ETS/CT",Results_Long!$AK$2:$AK$201,0))</f>
        <v>3LMA-RVE_CR2</v>
      </c>
    </row>
    <row r="16" spans="1:5" x14ac:dyDescent="0.3">
      <c r="A16" s="4" t="s">
        <v>360</v>
      </c>
      <c r="B16" s="6">
        <f>IF(ISBLANK(INDEX(Results_Long!$M$2:$M$201,MATCH("C4|m_pre|pre_classified|mpre_slope_HTZ",Results_Long!$AK$2:$AK$201,0))),"n.e.",INDEX(Results_Long!$M$2:$M$201,MATCH("C4|m_pre|pre_classified|mpre_slope_HTZ",Results_Long!$AK$2:$AK$201,0)))</f>
        <v>1.41856092773253</v>
      </c>
      <c r="C16" s="7">
        <f>IF(ISBLANK(INDEX(Results_Long!$N$2:$N$201,MATCH("C4|m_pre|pre_classified|mpre_slope_HTZ",Results_Long!$AK$2:$AK$201,0))),"n.e.",INDEX(Results_Long!$N$2:$N$201,MATCH("C4|m_pre|pre_classified|mpre_slope_HTZ",Results_Long!$AK$2:$AK$201,0)))</f>
        <v>7.1896245319866896</v>
      </c>
      <c r="D16" s="8">
        <f>IF(ISBLANK(INDEX(Results_Long!$O$2:$O$201,MATCH("C4|m_pre|pre_classified|mpre_slope_HTZ",Results_Long!$AK$2:$AK$201,0))),"—",INDEX(Results_Long!$O$2:$O$201,MATCH("C4|m_pre|pre_classified|mpre_slope_HTZ",Results_Long!$AK$2:$AK$201,0)))</f>
        <v>0.27147238023342102</v>
      </c>
      <c r="E16" s="4" t="str">
        <f>INDEX(Results_Long!$F$2:$F$201,MATCH("C4|m_pre|pre_classified|mpre_slope_HTZ",Results_Long!$AK$2:$AK$201,0))</f>
        <v>3LMA-RVE_CR2</v>
      </c>
    </row>
    <row r="18" spans="1:10" x14ac:dyDescent="0.3">
      <c r="A18" s="1" t="s">
        <v>361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 t="s">
        <v>362</v>
      </c>
      <c r="B19" s="1" t="s">
        <v>363</v>
      </c>
      <c r="C19" s="1" t="s">
        <v>364</v>
      </c>
      <c r="D19" s="1" t="s">
        <v>365</v>
      </c>
      <c r="E19" s="1" t="s">
        <v>366</v>
      </c>
      <c r="F19" s="1" t="s">
        <v>367</v>
      </c>
      <c r="G19" s="1" t="s">
        <v>368</v>
      </c>
      <c r="H19" s="1" t="s">
        <v>369</v>
      </c>
      <c r="I19" s="1" t="s">
        <v>167</v>
      </c>
      <c r="J19" s="1" t="s">
        <v>168</v>
      </c>
    </row>
    <row r="20" spans="1:10" x14ac:dyDescent="0.3">
      <c r="A20" s="4" t="s">
        <v>370</v>
      </c>
      <c r="B20" s="12">
        <f>IF(ISBLANK(INDEX(Results_Long!$H$2:$H$201,MATCH("C4|paris_mid|defined_classified|interaction_HTZ",Results_Long!$AK$2:$AK$201,0))),"n.e.",INDEX(Results_Long!$H$2:$H$201,MATCH("C4|paris_mid|defined_classified|interaction_HTZ",Results_Long!$AK$2:$AK$201,0)))</f>
        <v>1796</v>
      </c>
      <c r="C20" s="8" t="str">
        <f>IF(ISBLANK(INDEX(Results_Long!$K$2:$K$201,MATCH("C4|paris_mid|defined_classified|interaction_HTZ",Results_Long!$AK$2:$AK$201,0))),"n.e.",INDEX(Results_Long!$K$2:$K$201,MATCH("C4|paris_mid|defined_classified|interaction_HTZ",Results_Long!$AK$2:$AK$201,0)))</f>
        <v>n.e.</v>
      </c>
      <c r="D20" s="8" t="str">
        <f>IF(ISBLANK(INDEX(Results_Long!$P$2:$P$201,MATCH("C4|paris_mid|defined_classified|interaction_HTZ",Results_Long!$AK$2:$AK$201,0))),"n.e.",INDEX(Results_Long!$P$2:$P$201,MATCH("C4|paris_mid|defined_classified|interaction_HTZ",Results_Long!$AK$2:$AK$201,0)))</f>
        <v>n.e.</v>
      </c>
      <c r="E20" s="8" t="str">
        <f>IF(ISBLANK(INDEX(Results_Long!$Q$2:$Q$201,MATCH("C4|paris_mid|defined_classified|interaction_HTZ",Results_Long!$AK$2:$AK$201,0))),"n.e.",INDEX(Results_Long!$Q$2:$Q$201,MATCH("C4|paris_mid|defined_classified|interaction_HTZ",Results_Long!$AK$2:$AK$201,0)))</f>
        <v>n.e.</v>
      </c>
      <c r="F20" s="8" t="str">
        <f>IF(ISBLANK(INDEX(Results_Long!$T$2:$T$201,MATCH("C4|paris_mid|defined_classified|interaction_HTZ",Results_Long!$AK$2:$AK$201,0))),"n.e.",INDEX(Results_Long!$T$2:$T$201,MATCH("C4|paris_mid|defined_classified|interaction_HTZ",Results_Long!$AK$2:$AK$201,0)))</f>
        <v>n.e.</v>
      </c>
      <c r="G20" s="8" t="str">
        <f>IF(ISBLANK(INDEX(Results_Long!$U$2:$U$201,MATCH("C4|paris_mid|defined_classified|interaction_HTZ",Results_Long!$AK$2:$AK$201,0))),"n.e.",INDEX(Results_Long!$U$2:$U$201,MATCH("C4|paris_mid|defined_classified|interaction_HTZ",Results_Long!$AK$2:$AK$201,0)))</f>
        <v>n.e.</v>
      </c>
      <c r="H20" s="8" t="str">
        <f>IF(ISBLANK(INDEX(Results_Long!$V$2:$V$201,MATCH("C4|paris_mid|defined_classified|interaction_HTZ",Results_Long!$AK$2:$AK$201,0))),"n.e.",INDEX(Results_Long!$V$2:$V$201,MATCH("C4|paris_mid|defined_classified|interaction_HTZ",Results_Long!$AK$2:$AK$201,0)))</f>
        <v>n.e.</v>
      </c>
      <c r="I20" s="7">
        <f>IF(ISBLANK(INDEX(Results_Long!$N$2:$N$201,MATCH("C4|paris_mid|defined_classified|interaction_HTZ",Results_Long!$AK$2:$AK$201,0))),"n.e.",INDEX(Results_Long!$N$2:$N$201,MATCH("C4|paris_mid|defined_classified|interaction_HTZ",Results_Long!$AK$2:$AK$201,0)))</f>
        <v>9.4938296622392393</v>
      </c>
      <c r="J20" s="8">
        <f>IF(ISBLANK(INDEX(Results_Long!$O$2:$O$201,MATCH("C4|paris_mid|defined_classified|interaction_HTZ",Results_Long!$AK$2:$AK$201,0))),"—",INDEX(Results_Long!$O$2:$O$201,MATCH("C4|paris_mid|defined_classified|interaction_HTZ",Results_Long!$AK$2:$AK$201,0)))</f>
        <v>0.38300480674195297</v>
      </c>
    </row>
    <row r="21" spans="1:10" x14ac:dyDescent="0.3">
      <c r="A21" s="4" t="s">
        <v>371</v>
      </c>
      <c r="B21" s="12">
        <f>IF(ISBLANK(INDEX(Results_Long!$H$2:$H$201,MATCH("C4|paris_mid_anywith|defined_classified|interaction_HTZ",Results_Long!$AK$2:$AK$201,0))),"n.e.",INDEX(Results_Long!$H$2:$H$201,MATCH("C4|paris_mid_anywith|defined_classified|interaction_HTZ",Results_Long!$AK$2:$AK$201,0)))</f>
        <v>1796</v>
      </c>
      <c r="C21" s="8" t="str">
        <f>IF(ISBLANK(INDEX(Results_Long!$K$2:$K$201,MATCH("C4|paris_mid_anywith|defined_classified|interaction_HTZ",Results_Long!$AK$2:$AK$201,0))),"n.e.",INDEX(Results_Long!$K$2:$K$201,MATCH("C4|paris_mid_anywith|defined_classified|interaction_HTZ",Results_Long!$AK$2:$AK$201,0)))</f>
        <v>n.e.</v>
      </c>
      <c r="D21" s="8" t="str">
        <f>IF(ISBLANK(INDEX(Results_Long!$P$2:$P$201,MATCH("C4|paris_mid_anywith|defined_classified|interaction_HTZ",Results_Long!$AK$2:$AK$201,0))),"n.e.",INDEX(Results_Long!$P$2:$P$201,MATCH("C4|paris_mid_anywith|defined_classified|interaction_HTZ",Results_Long!$AK$2:$AK$201,0)))</f>
        <v>n.e.</v>
      </c>
      <c r="E21" s="8" t="str">
        <f>IF(ISBLANK(INDEX(Results_Long!$Q$2:$Q$201,MATCH("C4|paris_mid_anywith|defined_classified|interaction_HTZ",Results_Long!$AK$2:$AK$201,0))),"n.e.",INDEX(Results_Long!$Q$2:$Q$201,MATCH("C4|paris_mid_anywith|defined_classified|interaction_HTZ",Results_Long!$AK$2:$AK$201,0)))</f>
        <v>n.e.</v>
      </c>
      <c r="F21" s="8" t="str">
        <f>IF(ISBLANK(INDEX(Results_Long!$T$2:$T$201,MATCH("C4|paris_mid_anywith|defined_classified|interaction_HTZ",Results_Long!$AK$2:$AK$201,0))),"n.e.",INDEX(Results_Long!$T$2:$T$201,MATCH("C4|paris_mid_anywith|defined_classified|interaction_HTZ",Results_Long!$AK$2:$AK$201,0)))</f>
        <v>n.e.</v>
      </c>
      <c r="G21" s="8" t="str">
        <f>IF(ISBLANK(INDEX(Results_Long!$U$2:$U$201,MATCH("C4|paris_mid_anywith|defined_classified|interaction_HTZ",Results_Long!$AK$2:$AK$201,0))),"n.e.",INDEX(Results_Long!$U$2:$U$201,MATCH("C4|paris_mid_anywith|defined_classified|interaction_HTZ",Results_Long!$AK$2:$AK$201,0)))</f>
        <v>n.e.</v>
      </c>
      <c r="H21" s="8" t="str">
        <f>IF(ISBLANK(INDEX(Results_Long!$V$2:$V$201,MATCH("C4|paris_mid_anywith|defined_classified|interaction_HTZ",Results_Long!$AK$2:$AK$201,0))),"n.e.",INDEX(Results_Long!$V$2:$V$201,MATCH("C4|paris_mid_anywith|defined_classified|interaction_HTZ",Results_Long!$AK$2:$AK$201,0)))</f>
        <v>n.e.</v>
      </c>
      <c r="I21" s="7">
        <f>IF(ISBLANK(INDEX(Results_Long!$N$2:$N$201,MATCH("C4|paris_mid_anywith|defined_classified|interaction_HTZ",Results_Long!$AK$2:$AK$201,0))),"n.e.",INDEX(Results_Long!$N$2:$N$201,MATCH("C4|paris_mid_anywith|defined_classified|interaction_HTZ",Results_Long!$AK$2:$AK$201,0)))</f>
        <v>9.1615690956129399</v>
      </c>
      <c r="J21" s="8">
        <f>IF(ISBLANK(INDEX(Results_Long!$O$2:$O$201,MATCH("C4|paris_mid_anywith|defined_classified|interaction_HTZ",Results_Long!$AK$2:$AK$201,0))),"—",INDEX(Results_Long!$O$2:$O$201,MATCH("C4|paris_mid_anywith|defined_classified|interaction_HTZ",Results_Long!$AK$2:$AK$201,0)))</f>
        <v>5.7506907415364301E-2</v>
      </c>
    </row>
    <row r="23" spans="1:10" x14ac:dyDescent="0.3">
      <c r="A23" s="4" t="s">
        <v>372</v>
      </c>
      <c r="C23" s="10">
        <f>IF(ISBLANK(INDEX(Results_Long!$K$2:$K$201,MATCH("C4|paris_mid_anywith|defined_classified|diff::without ETS/CT",Results_Long!$AK$2:$AK$201,0))),"n.e.",INDEX(Results_Long!$K$2:$K$201,MATCH("C4|paris_mid_anywith|defined_classified|diff::without ETS/CT",Results_Long!$AK$2:$AK$201,0)))</f>
        <v>-3.4533442385205997E-2</v>
      </c>
      <c r="I23" s="7">
        <f>IF(ISBLANK(INDEX(Results_Long!$N$2:$N$201,MATCH("C4|paris_mid_anywith|defined_classified|diff::without ETS/CT",Results_Long!$AK$2:$AK$201,0))),"n.e.",INDEX(Results_Long!$N$2:$N$201,MATCH("C4|paris_mid_anywith|defined_classified|diff::without ETS/CT",Results_Long!$AK$2:$AK$201,0)))</f>
        <v>7.0883137298810102</v>
      </c>
      <c r="J23" s="8">
        <f>IF(ISBLANK(INDEX(Results_Long!$O$2:$O$201,MATCH("C4|paris_mid_anywith|defined_classified|diff::without ETS/CT",Results_Long!$AK$2:$AK$201,0))),"—",INDEX(Results_Long!$O$2:$O$201,MATCH("C4|paris_mid_anywith|defined_classified|diff::without ETS/CT",Results_Long!$AK$2:$AK$201,0)))</f>
        <v>0.18167609803663901</v>
      </c>
    </row>
    <row r="24" spans="1:10" x14ac:dyDescent="0.3">
      <c r="A24" s="4" t="s">
        <v>373</v>
      </c>
      <c r="C24" s="10">
        <f>IF(ISBLANK(INDEX(Results_Long!$K$2:$K$201,MATCH("C4|paris_mid_anywith|defined_classified|diff::with ETS/CT",Results_Long!$AK$2:$AK$201,0))),"n.e.",INDEX(Results_Long!$K$2:$K$201,MATCH("C4|paris_mid_anywith|defined_classified|diff::with ETS/CT",Results_Long!$AK$2:$AK$201,0)))</f>
        <v>3.34231447997081E-2</v>
      </c>
      <c r="I24" s="7">
        <f>IF(ISBLANK(INDEX(Results_Long!$N$2:$N$201,MATCH("C4|paris_mid_anywith|defined_classified|diff::with ETS/CT",Results_Long!$AK$2:$AK$201,0))),"n.e.",INDEX(Results_Long!$N$2:$N$201,MATCH("C4|paris_mid_anywith|defined_classified|diff::with ETS/CT",Results_Long!$AK$2:$AK$201,0)))</f>
        <v>2.4094040464542501</v>
      </c>
      <c r="J24" s="8" t="str">
        <f>IF(ISBLANK(INDEX(Results_Long!$O$2:$O$201,MATCH("C4|paris_mid_anywith|defined_classified|diff::with ETS/CT",Results_Long!$AK$2:$AK$201,0))),"—",INDEX(Results_Long!$O$2:$O$201,MATCH("C4|paris_mid_anywith|defined_classified|diff::with ETS/CT",Results_Long!$AK$2:$AK$201,0)))</f>
        <v>—</v>
      </c>
    </row>
    <row r="26" spans="1:10" x14ac:dyDescent="0.3">
      <c r="A26" s="1" t="s">
        <v>374</v>
      </c>
      <c r="B26" s="1"/>
      <c r="C26" s="1"/>
      <c r="D26" s="1"/>
    </row>
    <row r="27" spans="1:10" x14ac:dyDescent="0.3">
      <c r="A27" s="1" t="s">
        <v>165</v>
      </c>
      <c r="B27" s="1" t="s">
        <v>375</v>
      </c>
      <c r="C27" s="1" t="s">
        <v>376</v>
      </c>
      <c r="D27" s="1" t="s">
        <v>377</v>
      </c>
    </row>
    <row r="28" spans="1:10" x14ac:dyDescent="0.3">
      <c r="A28" s="4" t="s">
        <v>171</v>
      </c>
      <c r="B28" s="12">
        <f>IF(ISBLANK(INDEX(Results_Long!$H$2:$H$201,MATCH("C1|design|nce|nce_excluded",Results_Long!$AK$2:$AK$201,0))),"n.e.",INDEX(Results_Long!$H$2:$H$201,MATCH("C1|design|nce|nce_excluded",Results_Long!$AK$2:$AK$201,0)))</f>
        <v>0</v>
      </c>
      <c r="C28" s="12">
        <f>IF(ISBLANK(INDEX(Results_Long!$I$2:$I$201,MATCH("C1|design|nce|nce_excluded",Results_Long!$AK$2:$AK$201,0))),"n.e.",INDEX(Results_Long!$I$2:$I$201,MATCH("C1|design|nce|nce_excluded",Results_Long!$AK$2:$AK$201,0)))</f>
        <v>0</v>
      </c>
      <c r="D28" s="12">
        <f>IF(ISBLANK(INDEX(Results_Long!$J$2:$J$201,MATCH("C1|design|nce|nce_excluded",Results_Long!$AK$2:$AK$201,0))),"n.e.",INDEX(Results_Long!$J$2:$J$201,MATCH("C1|design|nce|nce_excluded",Results_Long!$AK$2:$AK$201,0)))</f>
        <v>0</v>
      </c>
    </row>
    <row r="29" spans="1:10" x14ac:dyDescent="0.3">
      <c r="A29" s="4" t="s">
        <v>173</v>
      </c>
      <c r="B29" s="12">
        <f>IF(ISBLANK(INDEX(Results_Long!$H$2:$H$201,MATCH("C2|design|nce|nce_excluded",Results_Long!$AK$2:$AK$201,0))),"n.e.",INDEX(Results_Long!$H$2:$H$201,MATCH("C2|design|nce|nce_excluded",Results_Long!$AK$2:$AK$201,0)))</f>
        <v>0</v>
      </c>
      <c r="C29" s="12">
        <f>IF(ISBLANK(INDEX(Results_Long!$I$2:$I$201,MATCH("C2|design|nce|nce_excluded",Results_Long!$AK$2:$AK$201,0))),"n.e.",INDEX(Results_Long!$I$2:$I$201,MATCH("C2|design|nce|nce_excluded",Results_Long!$AK$2:$AK$201,0)))</f>
        <v>0</v>
      </c>
      <c r="D29" s="12">
        <f>IF(ISBLANK(INDEX(Results_Long!$J$2:$J$201,MATCH("C2|design|nce|nce_excluded",Results_Long!$AK$2:$AK$201,0))),"n.e.",INDEX(Results_Long!$J$2:$J$201,MATCH("C2|design|nce|nce_excluded",Results_Long!$AK$2:$AK$201,0)))</f>
        <v>0</v>
      </c>
    </row>
    <row r="30" spans="1:10" x14ac:dyDescent="0.3">
      <c r="A30" s="4" t="s">
        <v>175</v>
      </c>
      <c r="B30" s="12">
        <f>IF(ISBLANK(INDEX(Results_Long!$H$2:$H$201,MATCH("C3|design|nce|nce_excluded",Results_Long!$AK$2:$AK$201,0))),"n.e.",INDEX(Results_Long!$H$2:$H$201,MATCH("C3|design|nce|nce_excluded",Results_Long!$AK$2:$AK$201,0)))</f>
        <v>453</v>
      </c>
      <c r="C30" s="12">
        <f>IF(ISBLANK(INDEX(Results_Long!$I$2:$I$201,MATCH("C3|design|nce|nce_excluded",Results_Long!$AK$2:$AK$201,0))),"n.e.",INDEX(Results_Long!$I$2:$I$201,MATCH("C3|design|nce|nce_excluded",Results_Long!$AK$2:$AK$201,0)))</f>
        <v>21</v>
      </c>
      <c r="D30" s="12">
        <f>IF(ISBLANK(INDEX(Results_Long!$J$2:$J$201,MATCH("C3|design|nce|nce_excluded",Results_Long!$AK$2:$AK$201,0))),"n.e.",INDEX(Results_Long!$J$2:$J$201,MATCH("C3|design|nce|nce_excluded",Results_Long!$AK$2:$AK$201,0)))</f>
        <v>21</v>
      </c>
    </row>
    <row r="31" spans="1:10" x14ac:dyDescent="0.3">
      <c r="A31" s="4" t="s">
        <v>177</v>
      </c>
      <c r="B31" s="12">
        <f>IF(ISBLANK(INDEX(Results_Long!$H$2:$H$201,MATCH("C4|design|nce|nce_excluded",Results_Long!$AK$2:$AK$201,0))),"n.e.",INDEX(Results_Long!$H$2:$H$201,MATCH("C4|design|nce|nce_excluded",Results_Long!$AK$2:$AK$201,0)))</f>
        <v>909</v>
      </c>
      <c r="C31" s="12">
        <f>IF(ISBLANK(INDEX(Results_Long!$I$2:$I$201,MATCH("C4|design|nce|nce_excluded",Results_Long!$AK$2:$AK$201,0))),"n.e.",INDEX(Results_Long!$I$2:$I$201,MATCH("C4|design|nce|nce_excluded",Results_Long!$AK$2:$AK$201,0)))</f>
        <v>30</v>
      </c>
      <c r="D31" s="12">
        <f>IF(ISBLANK(INDEX(Results_Long!$J$2:$J$201,MATCH("C4|design|nce|nce_excluded",Results_Long!$AK$2:$AK$201,0))),"n.e.",INDEX(Results_Long!$J$2:$J$201,MATCH("C4|design|nce|nce_excluded",Results_Long!$AK$2:$AK$201,0)))</f>
        <v>30</v>
      </c>
    </row>
    <row r="32" spans="1:10" x14ac:dyDescent="0.3">
      <c r="A32" s="4" t="s">
        <v>178</v>
      </c>
      <c r="B32" s="12">
        <f>IF(ISBLANK(INDEX(Results_Long!$H$2:$H$201,MATCH("C5|design|nce|nce_excluded",Results_Long!$AK$2:$AK$201,0))),"n.e.",INDEX(Results_Long!$H$2:$H$201,MATCH("C5|design|nce|nce_excluded",Results_Long!$AK$2:$AK$201,0)))</f>
        <v>786</v>
      </c>
      <c r="C32" s="12">
        <f>IF(ISBLANK(INDEX(Results_Long!$I$2:$I$201,MATCH("C5|design|nce|nce_excluded",Results_Long!$AK$2:$AK$201,0))),"n.e.",INDEX(Results_Long!$I$2:$I$201,MATCH("C5|design|nce|nce_excluded",Results_Long!$AK$2:$AK$201,0)))</f>
        <v>30</v>
      </c>
      <c r="D32" s="12">
        <f>IF(ISBLANK(INDEX(Results_Long!$J$2:$J$201,MATCH("C5|design|nce|nce_excluded",Results_Long!$AK$2:$AK$201,0))),"n.e.",INDEX(Results_Long!$J$2:$J$201,MATCH("C5|design|nce|nce_excluded",Results_Long!$AK$2:$AK$201,0)))</f>
        <v>29</v>
      </c>
    </row>
    <row r="33" spans="1:5" x14ac:dyDescent="0.3">
      <c r="A33" s="4" t="s">
        <v>180</v>
      </c>
      <c r="B33" s="12">
        <f>IF(ISBLANK(INDEX(Results_Long!$H$2:$H$201,MATCH("C6|design|nce|nce_excluded",Results_Long!$AK$2:$AK$201,0))),"n.e.",INDEX(Results_Long!$H$2:$H$201,MATCH("C6|design|nce|nce_excluded",Results_Long!$AK$2:$AK$201,0)))</f>
        <v>1091</v>
      </c>
      <c r="C33" s="12">
        <f>IF(ISBLANK(INDEX(Results_Long!$I$2:$I$201,MATCH("C6|design|nce|nce_excluded",Results_Long!$AK$2:$AK$201,0))),"n.e.",INDEX(Results_Long!$I$2:$I$201,MATCH("C6|design|nce|nce_excluded",Results_Long!$AK$2:$AK$201,0)))</f>
        <v>43</v>
      </c>
      <c r="D33" s="12">
        <f>IF(ISBLANK(INDEX(Results_Long!$J$2:$J$201,MATCH("C6|design|nce|nce_excluded",Results_Long!$AK$2:$AK$201,0))),"n.e.",INDEX(Results_Long!$J$2:$J$201,MATCH("C6|design|nce|nce_excluded",Results_Long!$AK$2:$AK$201,0)))</f>
        <v>43</v>
      </c>
    </row>
    <row r="34" spans="1:5" x14ac:dyDescent="0.3">
      <c r="A34" s="4" t="s">
        <v>182</v>
      </c>
      <c r="B34" s="12">
        <f>IF(ISBLANK(INDEX(Results_Long!$H$2:$H$201,MATCH("C7|design|nce|nce_excluded",Results_Long!$AK$2:$AK$201,0))),"n.e.",INDEX(Results_Long!$H$2:$H$201,MATCH("C7|design|nce|nce_excluded",Results_Long!$AK$2:$AK$201,0)))</f>
        <v>757</v>
      </c>
      <c r="C34" s="12">
        <f>IF(ISBLANK(INDEX(Results_Long!$I$2:$I$201,MATCH("C7|design|nce|nce_excluded",Results_Long!$AK$2:$AK$201,0))),"n.e.",INDEX(Results_Long!$I$2:$I$201,MATCH("C7|design|nce|nce_excluded",Results_Long!$AK$2:$AK$201,0)))</f>
        <v>25</v>
      </c>
      <c r="D34" s="12">
        <f>IF(ISBLANK(INDEX(Results_Long!$J$2:$J$201,MATCH("C7|design|nce|nce_excluded",Results_Long!$AK$2:$AK$201,0))),"n.e.",INDEX(Results_Long!$J$2:$J$201,MATCH("C7|design|nce|nce_excluded",Results_Long!$AK$2:$AK$201,0)))</f>
        <v>25</v>
      </c>
    </row>
    <row r="35" spans="1:5" x14ac:dyDescent="0.3">
      <c r="A35" s="4" t="s">
        <v>184</v>
      </c>
      <c r="B35" s="12">
        <f>IF(ISBLANK(INDEX(Results_Long!$H$2:$H$201,MATCH("C8|design|nce|nce_excluded",Results_Long!$AK$2:$AK$201,0))),"n.e.",INDEX(Results_Long!$H$2:$H$201,MATCH("C8|design|nce|nce_excluded",Results_Long!$AK$2:$AK$201,0)))</f>
        <v>1050</v>
      </c>
      <c r="C35" s="12">
        <f>IF(ISBLANK(INDEX(Results_Long!$I$2:$I$201,MATCH("C8|design|nce|nce_excluded",Results_Long!$AK$2:$AK$201,0))),"n.e.",INDEX(Results_Long!$I$2:$I$201,MATCH("C8|design|nce|nce_excluded",Results_Long!$AK$2:$AK$201,0)))</f>
        <v>36</v>
      </c>
      <c r="D35" s="12">
        <f>IF(ISBLANK(INDEX(Results_Long!$J$2:$J$201,MATCH("C8|design|nce|nce_excluded",Results_Long!$AK$2:$AK$201,0))),"n.e.",INDEX(Results_Long!$J$2:$J$201,MATCH("C8|design|nce|nce_excluded",Results_Long!$AK$2:$AK$201,0)))</f>
        <v>36</v>
      </c>
    </row>
    <row r="37" spans="1:5" x14ac:dyDescent="0.3">
      <c r="A37" s="1" t="s">
        <v>378</v>
      </c>
      <c r="B37" s="1"/>
      <c r="C37" s="1"/>
      <c r="D37" s="1"/>
      <c r="E37" s="1"/>
    </row>
    <row r="38" spans="1:5" x14ac:dyDescent="0.3">
      <c r="A38" s="1" t="s">
        <v>379</v>
      </c>
      <c r="B38" s="1" t="s">
        <v>380</v>
      </c>
      <c r="C38" s="1" t="s">
        <v>376</v>
      </c>
      <c r="D38" s="1" t="s">
        <v>377</v>
      </c>
      <c r="E38" s="1" t="s">
        <v>381</v>
      </c>
    </row>
    <row r="39" spans="1:5" x14ac:dyDescent="0.3">
      <c r="A39" s="4" t="s">
        <v>382</v>
      </c>
      <c r="B39" s="12">
        <f>IF(ISBLANK(INDEX(Results_Long!$H$2:$H$201,MATCH("C2|design|defined|end_coding_absence",Results_Long!$AK$2:$AK$201,0))),"n.e.",INDEX(Results_Long!$H$2:$H$201,MATCH("C2|design|defined|end_coding_absence",Results_Long!$AK$2:$AK$201,0)))</f>
        <v>299</v>
      </c>
      <c r="C39" s="12">
        <f>IF(ISBLANK(INDEX(Results_Long!$I$2:$I$201,MATCH("C2|design|defined|end_coding_absence",Results_Long!$AK$2:$AK$201,0))),"n.e.",INDEX(Results_Long!$I$2:$I$201,MATCH("C2|design|defined|end_coding_absence",Results_Long!$AK$2:$AK$201,0)))</f>
        <v>10</v>
      </c>
      <c r="D39" s="12">
        <f>IF(ISBLANK(INDEX(Results_Long!$J$2:$J$201,MATCH("C2|design|defined|end_coding_absence",Results_Long!$AK$2:$AK$201,0))),"n.e.",INDEX(Results_Long!$J$2:$J$201,MATCH("C2|design|defined|end_coding_absence",Results_Long!$AK$2:$AK$201,0)))</f>
        <v>10</v>
      </c>
      <c r="E39" s="12">
        <f>IF(ISBLANK(INDEX(Results_Long!$AG$2:$AG$201,MATCH("C2|design|defined|end_coding_absence",Results_Long!$AK$2:$AK$201,0))),"n.e.",INDEX(Results_Long!$AG$2:$AG$201,MATCH("C2|design|defined|end_coding_absence",Results_Long!$AK$2:$AK$201,0)))</f>
        <v>10</v>
      </c>
    </row>
    <row r="40" spans="1:5" x14ac:dyDescent="0.3">
      <c r="A40" s="4" t="s">
        <v>383</v>
      </c>
      <c r="B40" s="12">
        <f>IF(ISBLANK(INDEX(Results_Long!$H$2:$H$201,MATCH("C5|design|defined|end_coding_absence",Results_Long!$AK$2:$AK$201,0))),"n.e.",INDEX(Results_Long!$H$2:$H$201,MATCH("C5|design|defined|end_coding_absence",Results_Long!$AK$2:$AK$201,0)))</f>
        <v>551</v>
      </c>
      <c r="C40" s="12">
        <f>IF(ISBLANK(INDEX(Results_Long!$I$2:$I$201,MATCH("C5|design|defined|end_coding_absence",Results_Long!$AK$2:$AK$201,0))),"n.e.",INDEX(Results_Long!$I$2:$I$201,MATCH("C5|design|defined|end_coding_absence",Results_Long!$AK$2:$AK$201,0)))</f>
        <v>16</v>
      </c>
      <c r="D40" s="12">
        <f>IF(ISBLANK(INDEX(Results_Long!$J$2:$J$201,MATCH("C5|design|defined|end_coding_absence",Results_Long!$AK$2:$AK$201,0))),"n.e.",INDEX(Results_Long!$J$2:$J$201,MATCH("C5|design|defined|end_coding_absence",Results_Long!$AK$2:$AK$201,0)))</f>
        <v>16</v>
      </c>
      <c r="E40" s="12">
        <f>IF(ISBLANK(INDEX(Results_Long!$AG$2:$AG$201,MATCH("C5|design|defined|end_coding_absence",Results_Long!$AK$2:$AK$201,0))),"n.e.",INDEX(Results_Long!$AG$2:$AG$201,MATCH("C5|design|defined|end_coding_absence",Results_Long!$AK$2:$AK$201,0)))</f>
        <v>15</v>
      </c>
    </row>
    <row r="41" spans="1:5" x14ac:dyDescent="0.3">
      <c r="A41" s="4" t="s">
        <v>384</v>
      </c>
      <c r="B41" s="12">
        <f>IF(ISBLANK(INDEX(Results_Long!$H$2:$H$201,MATCH("C8|design|defined|end_coding_absence",Results_Long!$AK$2:$AK$201,0))),"n.e.",INDEX(Results_Long!$H$2:$H$201,MATCH("C8|design|defined|end_coding_absence",Results_Long!$AK$2:$AK$201,0)))</f>
        <v>612</v>
      </c>
      <c r="C41" s="12">
        <f>IF(ISBLANK(INDEX(Results_Long!$I$2:$I$201,MATCH("C8|design|defined|end_coding_absence",Results_Long!$AK$2:$AK$201,0))),"n.e.",INDEX(Results_Long!$I$2:$I$201,MATCH("C8|design|defined|end_coding_absence",Results_Long!$AK$2:$AK$201,0)))</f>
        <v>25</v>
      </c>
      <c r="D41" s="12">
        <f>IF(ISBLANK(INDEX(Results_Long!$J$2:$J$201,MATCH("C8|design|defined|end_coding_absence",Results_Long!$AK$2:$AK$201,0))),"n.e.",INDEX(Results_Long!$J$2:$J$201,MATCH("C8|design|defined|end_coding_absence",Results_Long!$AK$2:$AK$201,0)))</f>
        <v>24</v>
      </c>
      <c r="E41" s="12">
        <f>IF(ISBLANK(INDEX(Results_Long!$AG$2:$AG$201,MATCH("C8|design|defined|end_coding_absence",Results_Long!$AK$2:$AK$201,0))),"n.e.",INDEX(Results_Long!$AG$2:$AG$201,MATCH("C8|design|defined|end_coding_absence",Results_Long!$AK$2:$AK$201,0)))</f>
        <v>22</v>
      </c>
    </row>
    <row r="43" spans="1:5" x14ac:dyDescent="0.3">
      <c r="A43" s="1" t="s">
        <v>188</v>
      </c>
    </row>
    <row r="44" spans="1:5" x14ac:dyDescent="0.3">
      <c r="A44" s="4" t="s">
        <v>385</v>
      </c>
    </row>
    <row r="45" spans="1:5" x14ac:dyDescent="0.3">
      <c r="A45" s="4" t="s">
        <v>386</v>
      </c>
    </row>
    <row r="46" spans="1:5" x14ac:dyDescent="0.3">
      <c r="A46" s="4" t="s">
        <v>387</v>
      </c>
    </row>
    <row r="48" spans="1:5" x14ac:dyDescent="0.3">
      <c r="A48" s="1" t="s">
        <v>192</v>
      </c>
      <c r="B48" s="1" t="s">
        <v>193</v>
      </c>
    </row>
    <row r="49" spans="1:2" ht="316.8" x14ac:dyDescent="0.3">
      <c r="A49" s="5" t="s">
        <v>388</v>
      </c>
      <c r="B49" s="5" t="s">
        <v>389</v>
      </c>
    </row>
    <row r="51" spans="1:2" ht="79.2" x14ac:dyDescent="0.3">
      <c r="A51" s="9" t="s">
        <v>390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2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16" customWidth="1"/>
    <col min="3" max="3" width="14" customWidth="1"/>
    <col min="4" max="4" width="34" customWidth="1"/>
    <col min="5" max="5" width="9" customWidth="1"/>
    <col min="6" max="6" width="14" customWidth="1"/>
    <col min="7" max="7" width="5" customWidth="1"/>
    <col min="8" max="10" width="7" customWidth="1"/>
    <col min="11" max="24" width="12" customWidth="1"/>
    <col min="25" max="32" width="10" customWidth="1"/>
    <col min="33" max="33" width="6" customWidth="1"/>
    <col min="34" max="34" width="22" customWidth="1"/>
    <col min="35" max="35" width="60" customWidth="1"/>
    <col min="36" max="36" width="46" customWidth="1"/>
  </cols>
  <sheetData>
    <row r="1" spans="1:37" x14ac:dyDescent="0.3">
      <c r="A1" s="1" t="s">
        <v>391</v>
      </c>
      <c r="B1" s="1" t="s">
        <v>392</v>
      </c>
      <c r="C1" s="1" t="s">
        <v>393</v>
      </c>
      <c r="D1" s="1" t="s">
        <v>394</v>
      </c>
      <c r="E1" s="1" t="s">
        <v>395</v>
      </c>
      <c r="F1" s="1" t="s">
        <v>396</v>
      </c>
      <c r="G1" s="1" t="s">
        <v>397</v>
      </c>
      <c r="H1" s="1" t="s">
        <v>363</v>
      </c>
      <c r="I1" s="1" t="s">
        <v>398</v>
      </c>
      <c r="J1" s="1" t="s">
        <v>399</v>
      </c>
      <c r="K1" s="1" t="s">
        <v>364</v>
      </c>
      <c r="L1" s="1" t="s">
        <v>400</v>
      </c>
      <c r="M1" s="1" t="s">
        <v>401</v>
      </c>
      <c r="N1" s="1" t="s">
        <v>167</v>
      </c>
      <c r="O1" s="1" t="s">
        <v>168</v>
      </c>
      <c r="P1" s="1" t="s">
        <v>402</v>
      </c>
      <c r="Q1" s="1" t="s">
        <v>403</v>
      </c>
      <c r="R1" s="1" t="s">
        <v>404</v>
      </c>
      <c r="S1" s="1" t="s">
        <v>405</v>
      </c>
      <c r="T1" s="1" t="s">
        <v>367</v>
      </c>
      <c r="U1" s="1" t="s">
        <v>406</v>
      </c>
      <c r="V1" s="1" t="s">
        <v>407</v>
      </c>
      <c r="W1" s="1" t="s">
        <v>408</v>
      </c>
      <c r="X1" s="1" t="s">
        <v>409</v>
      </c>
      <c r="Y1" s="1" t="s">
        <v>410</v>
      </c>
      <c r="Z1" s="1" t="s">
        <v>411</v>
      </c>
      <c r="AA1" s="1" t="s">
        <v>412</v>
      </c>
      <c r="AB1" s="1" t="s">
        <v>413</v>
      </c>
      <c r="AC1" s="1" t="s">
        <v>414</v>
      </c>
      <c r="AD1" s="1" t="s">
        <v>415</v>
      </c>
      <c r="AE1" s="1" t="s">
        <v>416</v>
      </c>
      <c r="AF1" s="1" t="s">
        <v>417</v>
      </c>
      <c r="AG1" s="1" t="s">
        <v>418</v>
      </c>
      <c r="AH1" s="1" t="s">
        <v>419</v>
      </c>
      <c r="AI1" s="1" t="s">
        <v>420</v>
      </c>
      <c r="AJ1" s="1" t="s">
        <v>421</v>
      </c>
      <c r="AK1" s="1" t="s">
        <v>422</v>
      </c>
    </row>
    <row r="2" spans="1:37" x14ac:dyDescent="0.3">
      <c r="A2" s="2" t="s">
        <v>171</v>
      </c>
      <c r="B2" s="2" t="s">
        <v>423</v>
      </c>
      <c r="C2" s="2" t="s">
        <v>424</v>
      </c>
      <c r="D2" s="2" t="s">
        <v>425</v>
      </c>
      <c r="E2" s="2" t="s">
        <v>426</v>
      </c>
      <c r="F2" s="2" t="s">
        <v>427</v>
      </c>
      <c r="G2" s="2">
        <v>0.6</v>
      </c>
      <c r="H2" s="2">
        <v>2212</v>
      </c>
      <c r="I2" s="2">
        <v>98</v>
      </c>
      <c r="J2" s="2">
        <v>97</v>
      </c>
      <c r="K2" s="2">
        <v>-5.5879766595455599E-2</v>
      </c>
      <c r="L2" s="2">
        <v>1.46074596264529E-2</v>
      </c>
      <c r="M2" s="2">
        <v>-3.8254267356838598</v>
      </c>
      <c r="N2" s="2">
        <v>109.559008849088</v>
      </c>
      <c r="O2" s="2">
        <v>2.1746509777348399E-4</v>
      </c>
      <c r="P2" s="2">
        <v>-8.48296187976713E-2</v>
      </c>
      <c r="Q2" s="2">
        <v>-2.6929914393239902E-2</v>
      </c>
      <c r="R2" s="2">
        <v>-0.40975524168418098</v>
      </c>
      <c r="S2" s="2">
        <v>0.29799570849327001</v>
      </c>
      <c r="T2" s="2">
        <v>-5.58216767260757E-2</v>
      </c>
      <c r="U2" s="2">
        <v>-8.46267230031056E-2</v>
      </c>
      <c r="V2" s="2">
        <v>-2.69234062410693E-2</v>
      </c>
      <c r="W2" s="2">
        <v>-0.38826483887033297</v>
      </c>
      <c r="X2" s="2">
        <v>0.28947734209984499</v>
      </c>
      <c r="Y2" s="2">
        <v>1.97900052092366E-2</v>
      </c>
      <c r="Z2" s="2">
        <v>1.7440010133153901E-9</v>
      </c>
      <c r="AA2" s="2">
        <v>1.1879500589425201E-2</v>
      </c>
      <c r="AB2" s="2"/>
      <c r="AC2" s="2"/>
      <c r="AD2" s="2"/>
      <c r="AE2" s="2"/>
      <c r="AF2" s="2"/>
      <c r="AG2" s="2"/>
      <c r="AH2" s="2" t="s">
        <v>428</v>
      </c>
      <c r="AI2" s="2"/>
      <c r="AJ2" s="2" t="s">
        <v>429</v>
      </c>
      <c r="AK2" s="2" t="s">
        <v>430</v>
      </c>
    </row>
    <row r="3" spans="1:37" x14ac:dyDescent="0.3">
      <c r="A3" s="2" t="s">
        <v>171</v>
      </c>
      <c r="B3" s="2" t="s">
        <v>423</v>
      </c>
      <c r="C3" s="2" t="s">
        <v>424</v>
      </c>
      <c r="D3" s="2" t="s">
        <v>431</v>
      </c>
      <c r="E3" s="2" t="s">
        <v>426</v>
      </c>
      <c r="F3" s="2" t="s">
        <v>427</v>
      </c>
      <c r="G3" s="2">
        <v>0.6</v>
      </c>
      <c r="H3" s="2">
        <v>501</v>
      </c>
      <c r="I3" s="2">
        <v>34</v>
      </c>
      <c r="J3" s="2">
        <v>34</v>
      </c>
      <c r="K3" s="2">
        <v>-6.8567782425017307E-2</v>
      </c>
      <c r="L3" s="2">
        <v>1.7282556870052802E-2</v>
      </c>
      <c r="M3" s="2">
        <v>-3.9674559117946</v>
      </c>
      <c r="N3" s="2">
        <v>54.9962459031264</v>
      </c>
      <c r="O3" s="2">
        <v>2.1217241680973099E-4</v>
      </c>
      <c r="P3" s="2">
        <v>-0.10320285350321901</v>
      </c>
      <c r="Q3" s="2">
        <v>-3.39327113468159E-2</v>
      </c>
      <c r="R3" s="2">
        <v>-0.426884558367227</v>
      </c>
      <c r="S3" s="2">
        <v>0.28974899351719202</v>
      </c>
      <c r="T3" s="2">
        <v>-6.8460526053343504E-2</v>
      </c>
      <c r="U3" s="2">
        <v>-0.102838009135074</v>
      </c>
      <c r="V3" s="2">
        <v>-3.3919693640875499E-2</v>
      </c>
      <c r="W3" s="2">
        <v>-0.40271440507101203</v>
      </c>
      <c r="X3" s="2">
        <v>0.28190376995898703</v>
      </c>
      <c r="Y3" s="2">
        <v>1.97900052092366E-2</v>
      </c>
      <c r="Z3" s="2">
        <v>1.7440010133153901E-9</v>
      </c>
      <c r="AA3" s="2">
        <v>1.1879500589425201E-2</v>
      </c>
      <c r="AB3" s="2"/>
      <c r="AC3" s="2"/>
      <c r="AD3" s="2"/>
      <c r="AE3" s="2"/>
      <c r="AF3" s="2"/>
      <c r="AG3" s="2"/>
      <c r="AH3" s="2" t="s">
        <v>428</v>
      </c>
      <c r="AI3" s="2"/>
      <c r="AJ3" s="2" t="s">
        <v>429</v>
      </c>
      <c r="AK3" s="2" t="s">
        <v>432</v>
      </c>
    </row>
    <row r="4" spans="1:37" x14ac:dyDescent="0.3">
      <c r="A4" s="2" t="s">
        <v>171</v>
      </c>
      <c r="B4" s="2" t="s">
        <v>423</v>
      </c>
      <c r="C4" s="2" t="s">
        <v>424</v>
      </c>
      <c r="D4" s="2" t="s">
        <v>433</v>
      </c>
      <c r="E4" s="2" t="s">
        <v>426</v>
      </c>
      <c r="F4" s="2" t="s">
        <v>427</v>
      </c>
      <c r="G4" s="2">
        <v>0.6</v>
      </c>
      <c r="H4" s="2">
        <v>2713</v>
      </c>
      <c r="I4" s="2">
        <v>115</v>
      </c>
      <c r="J4" s="2">
        <v>114</v>
      </c>
      <c r="K4" s="2">
        <v>1.2688015829561699E-2</v>
      </c>
      <c r="L4" s="2">
        <v>1.5247305867435199E-2</v>
      </c>
      <c r="M4" s="2">
        <v>0.83214804896519301</v>
      </c>
      <c r="N4" s="2">
        <v>8.7257163271196099</v>
      </c>
      <c r="O4" s="2">
        <v>0.427511586795499</v>
      </c>
      <c r="P4" s="2">
        <v>-2.1969768630643701E-2</v>
      </c>
      <c r="Q4" s="2">
        <v>4.73458002897671E-2</v>
      </c>
      <c r="R4" s="2"/>
      <c r="S4" s="2"/>
      <c r="T4" s="2"/>
      <c r="U4" s="2"/>
      <c r="V4" s="2"/>
      <c r="W4" s="2"/>
      <c r="X4" s="2"/>
      <c r="Y4" s="2">
        <v>1.97900052092366E-2</v>
      </c>
      <c r="Z4" s="2">
        <v>1.7440010133153901E-9</v>
      </c>
      <c r="AA4" s="2">
        <v>1.1879500589425201E-2</v>
      </c>
      <c r="AB4" s="2"/>
      <c r="AC4" s="2"/>
      <c r="AD4" s="2"/>
      <c r="AE4" s="2"/>
      <c r="AF4" s="2"/>
      <c r="AG4" s="2"/>
      <c r="AH4" s="2" t="s">
        <v>428</v>
      </c>
      <c r="AI4" s="2"/>
      <c r="AJ4" s="2" t="s">
        <v>434</v>
      </c>
      <c r="AK4" s="2" t="s">
        <v>435</v>
      </c>
    </row>
    <row r="5" spans="1:37" x14ac:dyDescent="0.3">
      <c r="A5" s="2" t="s">
        <v>171</v>
      </c>
      <c r="B5" s="2" t="s">
        <v>423</v>
      </c>
      <c r="C5" s="2" t="s">
        <v>424</v>
      </c>
      <c r="D5" s="2" t="s">
        <v>436</v>
      </c>
      <c r="E5" s="2" t="s">
        <v>437</v>
      </c>
      <c r="F5" s="2" t="s">
        <v>427</v>
      </c>
      <c r="G5" s="2">
        <v>0.6</v>
      </c>
      <c r="H5" s="2">
        <v>2713</v>
      </c>
      <c r="I5" s="2">
        <v>115</v>
      </c>
      <c r="J5" s="2">
        <v>114</v>
      </c>
      <c r="K5" s="2"/>
      <c r="L5" s="2"/>
      <c r="M5" s="2">
        <v>0.69247037539657796</v>
      </c>
      <c r="N5" s="2">
        <v>8.7257163271196099</v>
      </c>
      <c r="O5" s="2">
        <v>0.427511586795499</v>
      </c>
      <c r="P5" s="2"/>
      <c r="Q5" s="2"/>
      <c r="R5" s="2"/>
      <c r="S5" s="2"/>
      <c r="T5" s="2"/>
      <c r="U5" s="2"/>
      <c r="V5" s="2"/>
      <c r="W5" s="2"/>
      <c r="X5" s="2"/>
      <c r="Y5" s="2">
        <v>1.97900052092366E-2</v>
      </c>
      <c r="Z5" s="2">
        <v>1.7440010133153901E-9</v>
      </c>
      <c r="AA5" s="2">
        <v>1.1879500589425201E-2</v>
      </c>
      <c r="AB5" s="2"/>
      <c r="AC5" s="2"/>
      <c r="AD5" s="2"/>
      <c r="AE5" s="2"/>
      <c r="AF5" s="2"/>
      <c r="AG5" s="2"/>
      <c r="AH5" s="2" t="s">
        <v>428</v>
      </c>
      <c r="AI5" s="2"/>
      <c r="AJ5" s="2" t="s">
        <v>438</v>
      </c>
      <c r="AK5" s="2" t="s">
        <v>439</v>
      </c>
    </row>
    <row r="6" spans="1:37" x14ac:dyDescent="0.3">
      <c r="A6" s="2" t="s">
        <v>171</v>
      </c>
      <c r="B6" s="2" t="s">
        <v>440</v>
      </c>
      <c r="C6" s="2" t="s">
        <v>441</v>
      </c>
      <c r="D6" s="2" t="s">
        <v>442</v>
      </c>
      <c r="E6" s="2" t="s">
        <v>426</v>
      </c>
      <c r="F6" s="2" t="s">
        <v>427</v>
      </c>
      <c r="G6" s="2">
        <v>0.6</v>
      </c>
      <c r="H6" s="2">
        <v>1650</v>
      </c>
      <c r="I6" s="2">
        <v>74</v>
      </c>
      <c r="J6" s="2">
        <v>73</v>
      </c>
      <c r="K6" s="2">
        <v>-6.33987941257972E-2</v>
      </c>
      <c r="L6" s="2">
        <v>1.89285077050628E-2</v>
      </c>
      <c r="M6" s="2">
        <v>-3.3493815314791102</v>
      </c>
      <c r="N6" s="2">
        <v>67.197858577146306</v>
      </c>
      <c r="O6" s="2">
        <v>1.33122428272733E-3</v>
      </c>
      <c r="P6" s="2">
        <v>-0.101178208861748</v>
      </c>
      <c r="Q6" s="2">
        <v>-2.5619379389846399E-2</v>
      </c>
      <c r="R6" s="2"/>
      <c r="S6" s="2"/>
      <c r="T6" s="2">
        <v>-6.33139886159933E-2</v>
      </c>
      <c r="U6" s="2">
        <v>-0.10083436199665501</v>
      </c>
      <c r="V6" s="2">
        <v>-2.5613775745601398E-2</v>
      </c>
      <c r="W6" s="2"/>
      <c r="X6" s="2"/>
      <c r="Y6" s="2">
        <v>2.0583904539160001E-2</v>
      </c>
      <c r="Z6" s="2">
        <v>1.7826896912644701E-9</v>
      </c>
      <c r="AA6" s="2">
        <v>1.18440715575858E-2</v>
      </c>
      <c r="AB6" s="2"/>
      <c r="AC6" s="2"/>
      <c r="AD6" s="2"/>
      <c r="AE6" s="2"/>
      <c r="AF6" s="2"/>
      <c r="AG6" s="2"/>
      <c r="AH6" s="2" t="s">
        <v>428</v>
      </c>
      <c r="AI6" s="2"/>
      <c r="AJ6" s="2" t="s">
        <v>443</v>
      </c>
      <c r="AK6" s="2" t="s">
        <v>444</v>
      </c>
    </row>
    <row r="7" spans="1:37" x14ac:dyDescent="0.3">
      <c r="A7" s="2" t="s">
        <v>171</v>
      </c>
      <c r="B7" s="2" t="s">
        <v>440</v>
      </c>
      <c r="C7" s="2" t="s">
        <v>441</v>
      </c>
      <c r="D7" s="2" t="s">
        <v>445</v>
      </c>
      <c r="E7" s="2" t="s">
        <v>426</v>
      </c>
      <c r="F7" s="2" t="s">
        <v>427</v>
      </c>
      <c r="G7" s="2">
        <v>0.6</v>
      </c>
      <c r="H7" s="2">
        <v>556</v>
      </c>
      <c r="I7" s="2">
        <v>24</v>
      </c>
      <c r="J7" s="2">
        <v>24</v>
      </c>
      <c r="K7" s="2">
        <v>-4.1805032245293798E-2</v>
      </c>
      <c r="L7" s="2">
        <v>9.8647481032830206E-3</v>
      </c>
      <c r="M7" s="2">
        <v>-4.23782055128006</v>
      </c>
      <c r="N7" s="2">
        <v>19.2070972736066</v>
      </c>
      <c r="O7" s="2">
        <v>4.3596681634764203E-4</v>
      </c>
      <c r="P7" s="2">
        <v>-6.2437129801680299E-2</v>
      </c>
      <c r="Q7" s="2">
        <v>-2.11729346889072E-2</v>
      </c>
      <c r="R7" s="2"/>
      <c r="S7" s="2"/>
      <c r="T7" s="2">
        <v>-4.1780695587108702E-2</v>
      </c>
      <c r="U7" s="2">
        <v>-6.2356121252091702E-2</v>
      </c>
      <c r="V7" s="2">
        <v>-2.11697713621888E-2</v>
      </c>
      <c r="W7" s="2"/>
      <c r="X7" s="2"/>
      <c r="Y7" s="2">
        <v>2.0583904539160001E-2</v>
      </c>
      <c r="Z7" s="2">
        <v>1.7826896912644701E-9</v>
      </c>
      <c r="AA7" s="2">
        <v>1.18440715575858E-2</v>
      </c>
      <c r="AB7" s="2"/>
      <c r="AC7" s="2"/>
      <c r="AD7" s="2"/>
      <c r="AE7" s="2"/>
      <c r="AF7" s="2"/>
      <c r="AG7" s="2"/>
      <c r="AH7" s="2" t="s">
        <v>428</v>
      </c>
      <c r="AI7" s="2"/>
      <c r="AJ7" s="2" t="s">
        <v>443</v>
      </c>
      <c r="AK7" s="2" t="s">
        <v>446</v>
      </c>
    </row>
    <row r="8" spans="1:37" x14ac:dyDescent="0.3">
      <c r="A8" s="2" t="s">
        <v>171</v>
      </c>
      <c r="B8" s="2" t="s">
        <v>440</v>
      </c>
      <c r="C8" s="2" t="s">
        <v>441</v>
      </c>
      <c r="D8" s="2" t="s">
        <v>447</v>
      </c>
      <c r="E8" s="2" t="s">
        <v>426</v>
      </c>
      <c r="F8" s="2" t="s">
        <v>427</v>
      </c>
      <c r="G8" s="2">
        <v>0.6</v>
      </c>
      <c r="H8" s="2">
        <v>344</v>
      </c>
      <c r="I8" s="2">
        <v>22</v>
      </c>
      <c r="J8" s="2">
        <v>22</v>
      </c>
      <c r="K8" s="2">
        <v>-4.9720855729202998E-2</v>
      </c>
      <c r="L8" s="2">
        <v>2.4344979621304601E-2</v>
      </c>
      <c r="M8" s="2">
        <v>-2.0423453419403002</v>
      </c>
      <c r="N8" s="2">
        <v>31.522571873478402</v>
      </c>
      <c r="O8" s="2">
        <v>4.9557455377300101E-2</v>
      </c>
      <c r="P8" s="2">
        <v>-9.9339428853044295E-2</v>
      </c>
      <c r="Q8" s="2">
        <v>-1.02282605361756E-4</v>
      </c>
      <c r="R8" s="2"/>
      <c r="S8" s="2"/>
      <c r="T8" s="2">
        <v>-4.9679923510366E-2</v>
      </c>
      <c r="U8" s="2">
        <v>-9.9013942433422902E-2</v>
      </c>
      <c r="V8" s="2">
        <v>-1.02282605005072E-4</v>
      </c>
      <c r="W8" s="2"/>
      <c r="X8" s="2"/>
      <c r="Y8" s="2">
        <v>2.0583904539160001E-2</v>
      </c>
      <c r="Z8" s="2">
        <v>1.7826896912644701E-9</v>
      </c>
      <c r="AA8" s="2">
        <v>1.18440715575858E-2</v>
      </c>
      <c r="AB8" s="2"/>
      <c r="AC8" s="2"/>
      <c r="AD8" s="2"/>
      <c r="AE8" s="2"/>
      <c r="AF8" s="2"/>
      <c r="AG8" s="2"/>
      <c r="AH8" s="2" t="s">
        <v>428</v>
      </c>
      <c r="AI8" s="2"/>
      <c r="AJ8" s="2" t="s">
        <v>443</v>
      </c>
      <c r="AK8" s="2" t="s">
        <v>448</v>
      </c>
    </row>
    <row r="9" spans="1:37" x14ac:dyDescent="0.3">
      <c r="A9" s="2" t="s">
        <v>171</v>
      </c>
      <c r="B9" s="2" t="s">
        <v>440</v>
      </c>
      <c r="C9" s="2" t="s">
        <v>441</v>
      </c>
      <c r="D9" s="2" t="s">
        <v>449</v>
      </c>
      <c r="E9" s="2" t="s">
        <v>426</v>
      </c>
      <c r="F9" s="2" t="s">
        <v>427</v>
      </c>
      <c r="G9" s="2">
        <v>0.6</v>
      </c>
      <c r="H9" s="2">
        <v>155</v>
      </c>
      <c r="I9" s="2">
        <v>11</v>
      </c>
      <c r="J9" s="2">
        <v>11</v>
      </c>
      <c r="K9" s="2">
        <v>-8.6173334261875706E-2</v>
      </c>
      <c r="L9" s="2">
        <v>1.6027105902102601E-2</v>
      </c>
      <c r="M9" s="2">
        <v>-5.3767245807348596</v>
      </c>
      <c r="N9" s="2">
        <v>16.786462245618001</v>
      </c>
      <c r="O9" s="2">
        <v>5.2416318620314798E-5</v>
      </c>
      <c r="P9" s="2">
        <v>-0.120020368501718</v>
      </c>
      <c r="Q9" s="2">
        <v>-5.2326300022033298E-2</v>
      </c>
      <c r="R9" s="2"/>
      <c r="S9" s="2"/>
      <c r="T9" s="2">
        <v>-8.5960662713349595E-2</v>
      </c>
      <c r="U9" s="2">
        <v>-0.119447376473772</v>
      </c>
      <c r="V9" s="2">
        <v>-5.22785950719067E-2</v>
      </c>
      <c r="W9" s="2"/>
      <c r="X9" s="2"/>
      <c r="Y9" s="2">
        <v>2.0583904539160001E-2</v>
      </c>
      <c r="Z9" s="2">
        <v>1.7826896912644701E-9</v>
      </c>
      <c r="AA9" s="2">
        <v>1.18440715575858E-2</v>
      </c>
      <c r="AB9" s="2"/>
      <c r="AC9" s="2"/>
      <c r="AD9" s="2"/>
      <c r="AE9" s="2"/>
      <c r="AF9" s="2"/>
      <c r="AG9" s="2"/>
      <c r="AH9" s="2" t="s">
        <v>428</v>
      </c>
      <c r="AI9" s="2"/>
      <c r="AJ9" s="2" t="s">
        <v>443</v>
      </c>
      <c r="AK9" s="2" t="s">
        <v>450</v>
      </c>
    </row>
    <row r="10" spans="1:37" x14ac:dyDescent="0.3">
      <c r="A10" s="2" t="s">
        <v>171</v>
      </c>
      <c r="B10" s="2" t="s">
        <v>440</v>
      </c>
      <c r="C10" s="2" t="s">
        <v>441</v>
      </c>
      <c r="D10" s="2" t="s">
        <v>451</v>
      </c>
      <c r="E10" s="2" t="s">
        <v>426</v>
      </c>
      <c r="F10" s="2" t="s">
        <v>427</v>
      </c>
      <c r="G10" s="2">
        <v>0.6</v>
      </c>
      <c r="H10" s="2">
        <v>2705</v>
      </c>
      <c r="I10" s="2">
        <v>113</v>
      </c>
      <c r="J10" s="2">
        <v>112</v>
      </c>
      <c r="K10" s="2">
        <v>2.1593761880503399E-2</v>
      </c>
      <c r="L10" s="2">
        <v>1.7951112455102801E-2</v>
      </c>
      <c r="M10" s="2">
        <v>1.20292053957721</v>
      </c>
      <c r="N10" s="2">
        <v>14.3484924088468</v>
      </c>
      <c r="O10" s="2">
        <v>0.248481095440161</v>
      </c>
      <c r="P10" s="2">
        <v>-1.6820001151682199E-2</v>
      </c>
      <c r="Q10" s="2">
        <v>6.0007524912689E-2</v>
      </c>
      <c r="R10" s="2"/>
      <c r="S10" s="2"/>
      <c r="T10" s="2"/>
      <c r="U10" s="2"/>
      <c r="V10" s="2"/>
      <c r="W10" s="2"/>
      <c r="X10" s="2"/>
      <c r="Y10" s="2">
        <v>2.0583904539160001E-2</v>
      </c>
      <c r="Z10" s="2">
        <v>1.7826896912644701E-9</v>
      </c>
      <c r="AA10" s="2">
        <v>1.18440715575858E-2</v>
      </c>
      <c r="AB10" s="2"/>
      <c r="AC10" s="2"/>
      <c r="AD10" s="2"/>
      <c r="AE10" s="2"/>
      <c r="AF10" s="2"/>
      <c r="AG10" s="2"/>
      <c r="AH10" s="2" t="s">
        <v>428</v>
      </c>
      <c r="AI10" s="2"/>
      <c r="AJ10" s="2" t="s">
        <v>452</v>
      </c>
      <c r="AK10" s="2" t="s">
        <v>453</v>
      </c>
    </row>
    <row r="11" spans="1:37" x14ac:dyDescent="0.3">
      <c r="A11" s="2" t="s">
        <v>171</v>
      </c>
      <c r="B11" s="2" t="s">
        <v>440</v>
      </c>
      <c r="C11" s="2" t="s">
        <v>441</v>
      </c>
      <c r="D11" s="2" t="s">
        <v>454</v>
      </c>
      <c r="E11" s="2" t="s">
        <v>426</v>
      </c>
      <c r="F11" s="2" t="s">
        <v>427</v>
      </c>
      <c r="G11" s="2">
        <v>0.6</v>
      </c>
      <c r="H11" s="2">
        <v>2705</v>
      </c>
      <c r="I11" s="2">
        <v>113</v>
      </c>
      <c r="J11" s="2">
        <v>112</v>
      </c>
      <c r="K11" s="2">
        <v>-3.6452478532672701E-2</v>
      </c>
      <c r="L11" s="2">
        <v>2.7890593673215398E-2</v>
      </c>
      <c r="M11" s="2">
        <v>-1.3069810904627599</v>
      </c>
      <c r="N11" s="2">
        <v>22.075179404221299</v>
      </c>
      <c r="O11" s="2">
        <v>0.20467076626566699</v>
      </c>
      <c r="P11" s="2">
        <v>-9.4282610642749107E-2</v>
      </c>
      <c r="Q11" s="2">
        <v>2.1377653577403701E-2</v>
      </c>
      <c r="R11" s="2"/>
      <c r="S11" s="2"/>
      <c r="T11" s="2"/>
      <c r="U11" s="2"/>
      <c r="V11" s="2"/>
      <c r="W11" s="2"/>
      <c r="X11" s="2"/>
      <c r="Y11" s="2">
        <v>2.0583904539160001E-2</v>
      </c>
      <c r="Z11" s="2">
        <v>1.7826896912644701E-9</v>
      </c>
      <c r="AA11" s="2">
        <v>1.18440715575858E-2</v>
      </c>
      <c r="AB11" s="2"/>
      <c r="AC11" s="2"/>
      <c r="AD11" s="2"/>
      <c r="AE11" s="2"/>
      <c r="AF11" s="2"/>
      <c r="AG11" s="2"/>
      <c r="AH11" s="2" t="s">
        <v>428</v>
      </c>
      <c r="AI11" s="2"/>
      <c r="AJ11" s="2" t="s">
        <v>452</v>
      </c>
      <c r="AK11" s="2" t="s">
        <v>455</v>
      </c>
    </row>
    <row r="12" spans="1:37" x14ac:dyDescent="0.3">
      <c r="A12" s="2" t="s">
        <v>171</v>
      </c>
      <c r="B12" s="2" t="s">
        <v>440</v>
      </c>
      <c r="C12" s="2" t="s">
        <v>441</v>
      </c>
      <c r="D12" s="2" t="s">
        <v>456</v>
      </c>
      <c r="E12" s="2" t="s">
        <v>437</v>
      </c>
      <c r="F12" s="2" t="s">
        <v>427</v>
      </c>
      <c r="G12" s="2">
        <v>0.6</v>
      </c>
      <c r="H12" s="2">
        <v>2705</v>
      </c>
      <c r="I12" s="2">
        <v>113</v>
      </c>
      <c r="J12" s="2">
        <v>112</v>
      </c>
      <c r="K12" s="2"/>
      <c r="L12" s="2"/>
      <c r="M12" s="2">
        <v>4.5435596686911</v>
      </c>
      <c r="N12" s="2">
        <v>6.0016344199222003</v>
      </c>
      <c r="O12" s="2">
        <v>7.70303896047842E-2</v>
      </c>
      <c r="P12" s="2"/>
      <c r="Q12" s="2"/>
      <c r="R12" s="2"/>
      <c r="S12" s="2"/>
      <c r="T12" s="2"/>
      <c r="U12" s="2"/>
      <c r="V12" s="2"/>
      <c r="W12" s="2"/>
      <c r="X12" s="2"/>
      <c r="Y12" s="2">
        <v>2.0583904539160001E-2</v>
      </c>
      <c r="Z12" s="2">
        <v>1.7826896912644701E-9</v>
      </c>
      <c r="AA12" s="2">
        <v>1.18440715575858E-2</v>
      </c>
      <c r="AB12" s="2"/>
      <c r="AC12" s="2"/>
      <c r="AD12" s="2"/>
      <c r="AE12" s="2"/>
      <c r="AF12" s="2"/>
      <c r="AG12" s="2"/>
      <c r="AH12" s="2" t="s">
        <v>457</v>
      </c>
      <c r="AI12" s="2" t="s">
        <v>458</v>
      </c>
      <c r="AJ12" s="2" t="s">
        <v>459</v>
      </c>
      <c r="AK12" s="2" t="s">
        <v>460</v>
      </c>
    </row>
    <row r="13" spans="1:37" x14ac:dyDescent="0.3">
      <c r="A13" s="2" t="s">
        <v>173</v>
      </c>
      <c r="B13" s="2" t="s">
        <v>423</v>
      </c>
      <c r="C13" s="2" t="s">
        <v>424</v>
      </c>
      <c r="D13" s="2" t="s">
        <v>461</v>
      </c>
      <c r="E13" s="2" t="s">
        <v>426</v>
      </c>
      <c r="F13" s="2" t="s">
        <v>427</v>
      </c>
      <c r="G13" s="2">
        <v>0.6</v>
      </c>
      <c r="H13" s="2">
        <v>1352</v>
      </c>
      <c r="I13" s="2">
        <v>68</v>
      </c>
      <c r="J13" s="2">
        <v>67</v>
      </c>
      <c r="K13" s="2">
        <v>-3.8329830585828499E-2</v>
      </c>
      <c r="L13" s="2">
        <v>9.5233177608873808E-3</v>
      </c>
      <c r="M13" s="2">
        <v>-4.0248400345571396</v>
      </c>
      <c r="N13" s="2">
        <v>64.656366098042795</v>
      </c>
      <c r="O13" s="2">
        <v>1.5205656544725201E-4</v>
      </c>
      <c r="P13" s="2">
        <v>-5.7351125986661998E-2</v>
      </c>
      <c r="Q13" s="2">
        <v>-1.9308535184995101E-2</v>
      </c>
      <c r="R13" s="2">
        <v>-0.39285284157112499</v>
      </c>
      <c r="S13" s="2">
        <v>0.31619318039946798</v>
      </c>
      <c r="T13" s="2">
        <v>-3.8311070522539299E-2</v>
      </c>
      <c r="U13" s="2">
        <v>-5.7288329753641801E-2</v>
      </c>
      <c r="V13" s="2">
        <v>-1.9306136009767601E-2</v>
      </c>
      <c r="W13" s="2">
        <v>-0.37381702909870101</v>
      </c>
      <c r="X13" s="2">
        <v>0.30606073034041897</v>
      </c>
      <c r="Y13" s="2">
        <v>1.95702235993876E-2</v>
      </c>
      <c r="Z13" s="2">
        <v>2.0647022823530302E-9</v>
      </c>
      <c r="AA13" s="2">
        <v>1.1844497509772E-2</v>
      </c>
      <c r="AB13" s="2"/>
      <c r="AC13" s="2"/>
      <c r="AD13" s="2"/>
      <c r="AE13" s="2"/>
      <c r="AF13" s="2"/>
      <c r="AG13" s="2"/>
      <c r="AH13" s="2" t="s">
        <v>428</v>
      </c>
      <c r="AI13" s="2"/>
      <c r="AJ13" s="2" t="s">
        <v>462</v>
      </c>
      <c r="AK13" s="2" t="s">
        <v>463</v>
      </c>
    </row>
    <row r="14" spans="1:37" x14ac:dyDescent="0.3">
      <c r="A14" s="2" t="s">
        <v>173</v>
      </c>
      <c r="B14" s="2" t="s">
        <v>423</v>
      </c>
      <c r="C14" s="2" t="s">
        <v>424</v>
      </c>
      <c r="D14" s="2" t="s">
        <v>464</v>
      </c>
      <c r="E14" s="2" t="s">
        <v>426</v>
      </c>
      <c r="F14" s="2" t="s">
        <v>427</v>
      </c>
      <c r="G14" s="2">
        <v>0.6</v>
      </c>
      <c r="H14" s="2">
        <v>654</v>
      </c>
      <c r="I14" s="2">
        <v>25</v>
      </c>
      <c r="J14" s="2">
        <v>25</v>
      </c>
      <c r="K14" s="2">
        <v>-9.1490189611324102E-2</v>
      </c>
      <c r="L14" s="2">
        <v>1.47341194068212E-2</v>
      </c>
      <c r="M14" s="2">
        <v>-6.2094100831684704</v>
      </c>
      <c r="N14" s="2">
        <v>19.7564838436641</v>
      </c>
      <c r="O14" s="2">
        <v>4.8456152406122897E-6</v>
      </c>
      <c r="P14" s="2">
        <v>-0.122249328231577</v>
      </c>
      <c r="Q14" s="2">
        <v>-6.0731050991071601E-2</v>
      </c>
      <c r="R14" s="2">
        <v>-0.462779167574699</v>
      </c>
      <c r="S14" s="2">
        <v>0.27979878835205102</v>
      </c>
      <c r="T14" s="2">
        <v>-9.1235769922006799E-2</v>
      </c>
      <c r="U14" s="2">
        <v>-0.121643945669211</v>
      </c>
      <c r="V14" s="2">
        <v>-6.06564969990252E-2</v>
      </c>
      <c r="W14" s="2">
        <v>-0.43234659959682697</v>
      </c>
      <c r="X14" s="2">
        <v>0.27271884436788002</v>
      </c>
      <c r="Y14" s="2">
        <v>1.95702235993876E-2</v>
      </c>
      <c r="Z14" s="2">
        <v>2.0647022823530302E-9</v>
      </c>
      <c r="AA14" s="2">
        <v>1.1844497509772E-2</v>
      </c>
      <c r="AB14" s="2"/>
      <c r="AC14" s="2"/>
      <c r="AD14" s="2"/>
      <c r="AE14" s="2"/>
      <c r="AF14" s="2"/>
      <c r="AG14" s="2"/>
      <c r="AH14" s="2" t="s">
        <v>428</v>
      </c>
      <c r="AI14" s="2"/>
      <c r="AJ14" s="2" t="s">
        <v>462</v>
      </c>
      <c r="AK14" s="2" t="s">
        <v>465</v>
      </c>
    </row>
    <row r="15" spans="1:37" x14ac:dyDescent="0.3">
      <c r="A15" s="2" t="s">
        <v>173</v>
      </c>
      <c r="B15" s="2" t="s">
        <v>423</v>
      </c>
      <c r="C15" s="2" t="s">
        <v>424</v>
      </c>
      <c r="D15" s="2" t="s">
        <v>466</v>
      </c>
      <c r="E15" s="2" t="s">
        <v>426</v>
      </c>
      <c r="F15" s="2" t="s">
        <v>427</v>
      </c>
      <c r="G15" s="2">
        <v>0.6</v>
      </c>
      <c r="H15" s="2">
        <v>398</v>
      </c>
      <c r="I15" s="2">
        <v>24</v>
      </c>
      <c r="J15" s="2">
        <v>24</v>
      </c>
      <c r="K15" s="2">
        <v>-5.8243439182809303E-2</v>
      </c>
      <c r="L15" s="2">
        <v>1.6569228874566001E-2</v>
      </c>
      <c r="M15" s="2">
        <v>-3.5151568985937298</v>
      </c>
      <c r="N15" s="2">
        <v>25.971986096789902</v>
      </c>
      <c r="O15" s="2">
        <v>1.63390803786495E-3</v>
      </c>
      <c r="P15" s="2">
        <v>-9.2303764945060596E-2</v>
      </c>
      <c r="Q15" s="2">
        <v>-2.41831134205579E-2</v>
      </c>
      <c r="R15" s="2">
        <v>-0.424177273677875</v>
      </c>
      <c r="S15" s="2">
        <v>0.307690395312256</v>
      </c>
      <c r="T15" s="2">
        <v>-5.8177668721788499E-2</v>
      </c>
      <c r="U15" s="2">
        <v>-9.2042513022305594E-2</v>
      </c>
      <c r="V15" s="2">
        <v>-2.41784002429952E-2</v>
      </c>
      <c r="W15" s="2">
        <v>-0.40044371471199097</v>
      </c>
      <c r="X15" s="2">
        <v>0.29833450780696502</v>
      </c>
      <c r="Y15" s="2">
        <v>1.95702235993876E-2</v>
      </c>
      <c r="Z15" s="2">
        <v>2.0647022823530302E-9</v>
      </c>
      <c r="AA15" s="2">
        <v>1.1844497509772E-2</v>
      </c>
      <c r="AB15" s="2"/>
      <c r="AC15" s="2"/>
      <c r="AD15" s="2"/>
      <c r="AE15" s="2"/>
      <c r="AF15" s="2"/>
      <c r="AG15" s="2"/>
      <c r="AH15" s="2" t="s">
        <v>428</v>
      </c>
      <c r="AI15" s="2"/>
      <c r="AJ15" s="2" t="s">
        <v>462</v>
      </c>
      <c r="AK15" s="2" t="s">
        <v>467</v>
      </c>
    </row>
    <row r="16" spans="1:37" x14ac:dyDescent="0.3">
      <c r="A16" s="2" t="s">
        <v>173</v>
      </c>
      <c r="B16" s="2" t="s">
        <v>423</v>
      </c>
      <c r="C16" s="2" t="s">
        <v>424</v>
      </c>
      <c r="D16" s="2" t="s">
        <v>468</v>
      </c>
      <c r="E16" s="2" t="s">
        <v>426</v>
      </c>
      <c r="F16" s="2" t="s">
        <v>427</v>
      </c>
      <c r="G16" s="2">
        <v>0.6</v>
      </c>
      <c r="H16" s="2">
        <v>309</v>
      </c>
      <c r="I16" s="2">
        <v>11</v>
      </c>
      <c r="J16" s="2">
        <v>11</v>
      </c>
      <c r="K16" s="2">
        <v>-0.122431821383148</v>
      </c>
      <c r="L16" s="2">
        <v>8.03108640621715E-2</v>
      </c>
      <c r="M16" s="2">
        <v>-1.5244739651707599</v>
      </c>
      <c r="N16" s="2">
        <v>6.6614304640020503</v>
      </c>
      <c r="O16" s="2">
        <v>0.17336392637071699</v>
      </c>
      <c r="P16" s="2">
        <v>-0.31431110115298599</v>
      </c>
      <c r="Q16" s="2">
        <v>6.9447458386689906E-2</v>
      </c>
      <c r="R16" s="2">
        <v>-0.58734325535278098</v>
      </c>
      <c r="S16" s="2">
        <v>0.34247961258648402</v>
      </c>
      <c r="T16" s="2">
        <v>-0.12182373443092299</v>
      </c>
      <c r="U16" s="2">
        <v>-0.30435397029369599</v>
      </c>
      <c r="V16" s="2">
        <v>6.9336026160199404E-2</v>
      </c>
      <c r="W16" s="2">
        <v>-0.52798215925041103</v>
      </c>
      <c r="X16" s="2">
        <v>0.32968928953104798</v>
      </c>
      <c r="Y16" s="2">
        <v>1.95702235993876E-2</v>
      </c>
      <c r="Z16" s="2">
        <v>2.0647022823530302E-9</v>
      </c>
      <c r="AA16" s="2">
        <v>1.1844497509772E-2</v>
      </c>
      <c r="AB16" s="2"/>
      <c r="AC16" s="2"/>
      <c r="AD16" s="2"/>
      <c r="AE16" s="2"/>
      <c r="AF16" s="2"/>
      <c r="AG16" s="2"/>
      <c r="AH16" s="2" t="s">
        <v>428</v>
      </c>
      <c r="AI16" s="2"/>
      <c r="AJ16" s="2" t="s">
        <v>462</v>
      </c>
      <c r="AK16" s="2" t="s">
        <v>469</v>
      </c>
    </row>
    <row r="17" spans="1:37" x14ac:dyDescent="0.3">
      <c r="A17" s="2" t="s">
        <v>173</v>
      </c>
      <c r="B17" s="2" t="s">
        <v>423</v>
      </c>
      <c r="C17" s="2" t="s">
        <v>424</v>
      </c>
      <c r="D17" s="2" t="s">
        <v>470</v>
      </c>
      <c r="E17" s="2" t="s">
        <v>426</v>
      </c>
      <c r="F17" s="2" t="s">
        <v>427</v>
      </c>
      <c r="G17" s="2">
        <v>0.6</v>
      </c>
      <c r="H17" s="2">
        <v>2713</v>
      </c>
      <c r="I17" s="2">
        <v>115</v>
      </c>
      <c r="J17" s="2">
        <v>114</v>
      </c>
      <c r="K17" s="2">
        <v>5.3160359025495603E-2</v>
      </c>
      <c r="L17" s="2">
        <v>1.5359336335017799E-2</v>
      </c>
      <c r="M17" s="2">
        <v>3.4611104194843998</v>
      </c>
      <c r="N17" s="2">
        <v>7.6978478338394298</v>
      </c>
      <c r="O17" s="2">
        <v>9.0785142890313E-3</v>
      </c>
      <c r="P17" s="2">
        <v>1.7498210905322401E-2</v>
      </c>
      <c r="Q17" s="2">
        <v>8.8822507145668694E-2</v>
      </c>
      <c r="R17" s="2"/>
      <c r="S17" s="2"/>
      <c r="T17" s="2"/>
      <c r="U17" s="2"/>
      <c r="V17" s="2"/>
      <c r="W17" s="2"/>
      <c r="X17" s="2"/>
      <c r="Y17" s="2">
        <v>1.95702235993876E-2</v>
      </c>
      <c r="Z17" s="2">
        <v>2.0647022823530302E-9</v>
      </c>
      <c r="AA17" s="2">
        <v>1.1844497509772E-2</v>
      </c>
      <c r="AB17" s="2"/>
      <c r="AC17" s="2"/>
      <c r="AD17" s="2"/>
      <c r="AE17" s="2"/>
      <c r="AF17" s="2"/>
      <c r="AG17" s="2"/>
      <c r="AH17" s="2" t="s">
        <v>428</v>
      </c>
      <c r="AI17" s="2"/>
      <c r="AJ17" s="2" t="s">
        <v>471</v>
      </c>
      <c r="AK17" s="2" t="s">
        <v>472</v>
      </c>
    </row>
    <row r="18" spans="1:37" x14ac:dyDescent="0.3">
      <c r="A18" s="2" t="s">
        <v>173</v>
      </c>
      <c r="B18" s="2" t="s">
        <v>423</v>
      </c>
      <c r="C18" s="2" t="s">
        <v>424</v>
      </c>
      <c r="D18" s="2" t="s">
        <v>473</v>
      </c>
      <c r="E18" s="2" t="s">
        <v>426</v>
      </c>
      <c r="F18" s="2" t="s">
        <v>427</v>
      </c>
      <c r="G18" s="2">
        <v>0.6</v>
      </c>
      <c r="H18" s="2">
        <v>2713</v>
      </c>
      <c r="I18" s="2">
        <v>115</v>
      </c>
      <c r="J18" s="2">
        <v>114</v>
      </c>
      <c r="K18" s="2">
        <v>1.99136085969807E-2</v>
      </c>
      <c r="L18" s="2">
        <v>1.59278236681899E-2</v>
      </c>
      <c r="M18" s="2">
        <v>1.25024039767285</v>
      </c>
      <c r="N18" s="2">
        <v>6.6077537424225996</v>
      </c>
      <c r="O18" s="2">
        <v>0.25366692088568799</v>
      </c>
      <c r="P18" s="2">
        <v>-1.8207711655053499E-2</v>
      </c>
      <c r="Q18" s="2">
        <v>5.80349288490149E-2</v>
      </c>
      <c r="R18" s="2"/>
      <c r="S18" s="2"/>
      <c r="T18" s="2"/>
      <c r="U18" s="2"/>
      <c r="V18" s="2"/>
      <c r="W18" s="2"/>
      <c r="X18" s="2"/>
      <c r="Y18" s="2">
        <v>1.95702235993876E-2</v>
      </c>
      <c r="Z18" s="2">
        <v>2.0647022823530302E-9</v>
      </c>
      <c r="AA18" s="2">
        <v>1.1844497509772E-2</v>
      </c>
      <c r="AB18" s="2"/>
      <c r="AC18" s="2"/>
      <c r="AD18" s="2"/>
      <c r="AE18" s="2"/>
      <c r="AF18" s="2"/>
      <c r="AG18" s="2"/>
      <c r="AH18" s="2" t="s">
        <v>428</v>
      </c>
      <c r="AI18" s="2"/>
      <c r="AJ18" s="2" t="s">
        <v>471</v>
      </c>
      <c r="AK18" s="2" t="s">
        <v>474</v>
      </c>
    </row>
    <row r="19" spans="1:37" x14ac:dyDescent="0.3">
      <c r="A19" s="2" t="s">
        <v>173</v>
      </c>
      <c r="B19" s="2" t="s">
        <v>423</v>
      </c>
      <c r="C19" s="2" t="s">
        <v>424</v>
      </c>
      <c r="D19" s="2" t="s">
        <v>475</v>
      </c>
      <c r="E19" s="2" t="s">
        <v>426</v>
      </c>
      <c r="F19" s="2" t="s">
        <v>427</v>
      </c>
      <c r="G19" s="2">
        <v>0.6</v>
      </c>
      <c r="H19" s="2">
        <v>2713</v>
      </c>
      <c r="I19" s="2">
        <v>115</v>
      </c>
      <c r="J19" s="2">
        <v>114</v>
      </c>
      <c r="K19" s="2">
        <v>8.4101990797319698E-2</v>
      </c>
      <c r="L19" s="2">
        <v>7.6454203853023497E-2</v>
      </c>
      <c r="M19" s="2">
        <v>1.1000309539420301</v>
      </c>
      <c r="N19" s="2">
        <v>6.7349449542499604</v>
      </c>
      <c r="O19" s="2">
        <v>0.30907587172227202</v>
      </c>
      <c r="P19" s="2">
        <v>-9.8135830121655707E-2</v>
      </c>
      <c r="Q19" s="2">
        <v>0.26633981171629501</v>
      </c>
      <c r="R19" s="2"/>
      <c r="S19" s="2"/>
      <c r="T19" s="2"/>
      <c r="U19" s="2"/>
      <c r="V19" s="2"/>
      <c r="W19" s="2"/>
      <c r="X19" s="2"/>
      <c r="Y19" s="2">
        <v>1.95702235993876E-2</v>
      </c>
      <c r="Z19" s="2">
        <v>2.0647022823530302E-9</v>
      </c>
      <c r="AA19" s="2">
        <v>1.1844497509772E-2</v>
      </c>
      <c r="AB19" s="2"/>
      <c r="AC19" s="2"/>
      <c r="AD19" s="2"/>
      <c r="AE19" s="2"/>
      <c r="AF19" s="2"/>
      <c r="AG19" s="2"/>
      <c r="AH19" s="2" t="s">
        <v>428</v>
      </c>
      <c r="AI19" s="2"/>
      <c r="AJ19" s="2" t="s">
        <v>471</v>
      </c>
      <c r="AK19" s="2" t="s">
        <v>476</v>
      </c>
    </row>
    <row r="20" spans="1:37" x14ac:dyDescent="0.3">
      <c r="A20" s="2" t="s">
        <v>173</v>
      </c>
      <c r="B20" s="2" t="s">
        <v>423</v>
      </c>
      <c r="C20" s="2" t="s">
        <v>424</v>
      </c>
      <c r="D20" s="2" t="s">
        <v>477</v>
      </c>
      <c r="E20" s="2" t="s">
        <v>426</v>
      </c>
      <c r="F20" s="2" t="s">
        <v>427</v>
      </c>
      <c r="G20" s="2">
        <v>0.6</v>
      </c>
      <c r="H20" s="2">
        <v>2713</v>
      </c>
      <c r="I20" s="2">
        <v>115</v>
      </c>
      <c r="J20" s="2">
        <v>114</v>
      </c>
      <c r="K20" s="2">
        <v>-3.3246750428514903E-2</v>
      </c>
      <c r="L20" s="2">
        <v>1.26367568722093E-2</v>
      </c>
      <c r="M20" s="2"/>
      <c r="N20" s="2">
        <v>2.1134522334267198</v>
      </c>
      <c r="O20" s="2"/>
      <c r="P20" s="2">
        <v>-8.4914924667600894E-2</v>
      </c>
      <c r="Q20" s="2">
        <v>1.84214238105712E-2</v>
      </c>
      <c r="R20" s="2"/>
      <c r="S20" s="2"/>
      <c r="T20" s="2"/>
      <c r="U20" s="2"/>
      <c r="V20" s="2"/>
      <c r="W20" s="2"/>
      <c r="X20" s="2"/>
      <c r="Y20" s="2">
        <v>1.95702235993876E-2</v>
      </c>
      <c r="Z20" s="2">
        <v>2.0647022823530302E-9</v>
      </c>
      <c r="AA20" s="2">
        <v>1.1844497509772E-2</v>
      </c>
      <c r="AB20" s="2"/>
      <c r="AC20" s="2"/>
      <c r="AD20" s="2"/>
      <c r="AE20" s="2"/>
      <c r="AF20" s="2"/>
      <c r="AG20" s="2"/>
      <c r="AH20" s="2" t="s">
        <v>428</v>
      </c>
      <c r="AI20" s="2"/>
      <c r="AJ20" s="2" t="s">
        <v>478</v>
      </c>
      <c r="AK20" s="2" t="s">
        <v>479</v>
      </c>
    </row>
    <row r="21" spans="1:37" x14ac:dyDescent="0.3">
      <c r="A21" s="2" t="s">
        <v>173</v>
      </c>
      <c r="B21" s="2" t="s">
        <v>423</v>
      </c>
      <c r="C21" s="2" t="s">
        <v>424</v>
      </c>
      <c r="D21" s="2" t="s">
        <v>480</v>
      </c>
      <c r="E21" s="2" t="s">
        <v>426</v>
      </c>
      <c r="F21" s="2" t="s">
        <v>427</v>
      </c>
      <c r="G21" s="2">
        <v>0.6</v>
      </c>
      <c r="H21" s="2">
        <v>2713</v>
      </c>
      <c r="I21" s="2">
        <v>115</v>
      </c>
      <c r="J21" s="2">
        <v>114</v>
      </c>
      <c r="K21" s="2">
        <v>3.0941631771824098E-2</v>
      </c>
      <c r="L21" s="2">
        <v>7.3255279380332106E-2</v>
      </c>
      <c r="M21" s="2">
        <v>0.42238091279645701</v>
      </c>
      <c r="N21" s="2">
        <v>5.9932112076359596</v>
      </c>
      <c r="O21" s="2">
        <v>0.68748068212533098</v>
      </c>
      <c r="P21" s="2">
        <v>-0.148356809407935</v>
      </c>
      <c r="Q21" s="2">
        <v>0.21024007295158301</v>
      </c>
      <c r="R21" s="2"/>
      <c r="S21" s="2"/>
      <c r="T21" s="2"/>
      <c r="U21" s="2"/>
      <c r="V21" s="2"/>
      <c r="W21" s="2"/>
      <c r="X21" s="2"/>
      <c r="Y21" s="2">
        <v>1.95702235993876E-2</v>
      </c>
      <c r="Z21" s="2">
        <v>2.0647022823530302E-9</v>
      </c>
      <c r="AA21" s="2">
        <v>1.1844497509772E-2</v>
      </c>
      <c r="AB21" s="2"/>
      <c r="AC21" s="2"/>
      <c r="AD21" s="2"/>
      <c r="AE21" s="2"/>
      <c r="AF21" s="2"/>
      <c r="AG21" s="2"/>
      <c r="AH21" s="2" t="s">
        <v>428</v>
      </c>
      <c r="AI21" s="2"/>
      <c r="AJ21" s="2" t="s">
        <v>471</v>
      </c>
      <c r="AK21" s="2" t="s">
        <v>481</v>
      </c>
    </row>
    <row r="22" spans="1:37" x14ac:dyDescent="0.3">
      <c r="A22" s="2" t="s">
        <v>173</v>
      </c>
      <c r="B22" s="2" t="s">
        <v>423</v>
      </c>
      <c r="C22" s="2" t="s">
        <v>424</v>
      </c>
      <c r="D22" s="2" t="s">
        <v>482</v>
      </c>
      <c r="E22" s="2" t="s">
        <v>426</v>
      </c>
      <c r="F22" s="2" t="s">
        <v>427</v>
      </c>
      <c r="G22" s="2">
        <v>0.6</v>
      </c>
      <c r="H22" s="2">
        <v>2713</v>
      </c>
      <c r="I22" s="2">
        <v>115</v>
      </c>
      <c r="J22" s="2">
        <v>114</v>
      </c>
      <c r="K22" s="2">
        <v>6.4188382200338998E-2</v>
      </c>
      <c r="L22" s="2">
        <v>7.0200684331701194E-2</v>
      </c>
      <c r="M22" s="2"/>
      <c r="N22" s="2">
        <v>4.5405050511115403</v>
      </c>
      <c r="O22" s="2"/>
      <c r="P22" s="2">
        <v>-0.121901852013519</v>
      </c>
      <c r="Q22" s="2">
        <v>0.25027861641419702</v>
      </c>
      <c r="R22" s="2"/>
      <c r="S22" s="2"/>
      <c r="T22" s="2"/>
      <c r="U22" s="2"/>
      <c r="V22" s="2"/>
      <c r="W22" s="2"/>
      <c r="X22" s="2"/>
      <c r="Y22" s="2">
        <v>1.95702235993876E-2</v>
      </c>
      <c r="Z22" s="2">
        <v>2.0647022823530302E-9</v>
      </c>
      <c r="AA22" s="2">
        <v>1.1844497509772E-2</v>
      </c>
      <c r="AB22" s="2"/>
      <c r="AC22" s="2"/>
      <c r="AD22" s="2"/>
      <c r="AE22" s="2"/>
      <c r="AF22" s="2"/>
      <c r="AG22" s="2"/>
      <c r="AH22" s="2" t="s">
        <v>428</v>
      </c>
      <c r="AI22" s="2"/>
      <c r="AJ22" s="2" t="s">
        <v>478</v>
      </c>
      <c r="AK22" s="2" t="s">
        <v>483</v>
      </c>
    </row>
    <row r="23" spans="1:37" x14ac:dyDescent="0.3">
      <c r="A23" s="2" t="s">
        <v>173</v>
      </c>
      <c r="B23" s="2" t="s">
        <v>423</v>
      </c>
      <c r="C23" s="2" t="s">
        <v>424</v>
      </c>
      <c r="D23" s="2" t="s">
        <v>436</v>
      </c>
      <c r="E23" s="2" t="s">
        <v>437</v>
      </c>
      <c r="F23" s="2" t="s">
        <v>427</v>
      </c>
      <c r="G23" s="2">
        <v>0.6</v>
      </c>
      <c r="H23" s="2">
        <v>2713</v>
      </c>
      <c r="I23" s="2">
        <v>115</v>
      </c>
      <c r="J23" s="2">
        <v>114</v>
      </c>
      <c r="K23" s="2"/>
      <c r="L23" s="2"/>
      <c r="M23" s="2">
        <v>3.4289984861461802</v>
      </c>
      <c r="N23" s="2">
        <v>4.7796082448743</v>
      </c>
      <c r="O23" s="2">
        <v>0.113392236844695</v>
      </c>
      <c r="P23" s="2"/>
      <c r="Q23" s="2"/>
      <c r="R23" s="2"/>
      <c r="S23" s="2"/>
      <c r="T23" s="2"/>
      <c r="U23" s="2"/>
      <c r="V23" s="2"/>
      <c r="W23" s="2"/>
      <c r="X23" s="2"/>
      <c r="Y23" s="2">
        <v>1.95702235993876E-2</v>
      </c>
      <c r="Z23" s="2">
        <v>2.0647022823530302E-9</v>
      </c>
      <c r="AA23" s="2">
        <v>1.1844497509772E-2</v>
      </c>
      <c r="AB23" s="2"/>
      <c r="AC23" s="2"/>
      <c r="AD23" s="2"/>
      <c r="AE23" s="2"/>
      <c r="AF23" s="2"/>
      <c r="AG23" s="2"/>
      <c r="AH23" s="2" t="s">
        <v>428</v>
      </c>
      <c r="AI23" s="2"/>
      <c r="AJ23" s="2" t="s">
        <v>484</v>
      </c>
      <c r="AK23" s="2" t="s">
        <v>485</v>
      </c>
    </row>
    <row r="24" spans="1:37" x14ac:dyDescent="0.3">
      <c r="A24" s="2" t="s">
        <v>173</v>
      </c>
      <c r="B24" s="2" t="s">
        <v>440</v>
      </c>
      <c r="C24" s="2" t="s">
        <v>441</v>
      </c>
      <c r="D24" s="2" t="s">
        <v>486</v>
      </c>
      <c r="E24" s="2" t="s">
        <v>426</v>
      </c>
      <c r="F24" s="2" t="s">
        <v>427</v>
      </c>
      <c r="G24" s="2">
        <v>0.6</v>
      </c>
      <c r="H24" s="2">
        <v>969</v>
      </c>
      <c r="I24" s="2">
        <v>45</v>
      </c>
      <c r="J24" s="2">
        <v>44</v>
      </c>
      <c r="K24" s="2">
        <v>-3.8474214674798002E-2</v>
      </c>
      <c r="L24" s="2">
        <v>1.12340024872049E-2</v>
      </c>
      <c r="M24" s="2">
        <v>-3.4248002631848098</v>
      </c>
      <c r="N24" s="2">
        <v>39.201243618382001</v>
      </c>
      <c r="O24" s="2">
        <v>1.45568497153203E-3</v>
      </c>
      <c r="P24" s="2">
        <v>-6.1193400461274097E-2</v>
      </c>
      <c r="Q24" s="2">
        <v>-1.5755028888321899E-2</v>
      </c>
      <c r="R24" s="2"/>
      <c r="S24" s="2"/>
      <c r="T24" s="2">
        <v>-3.8455241894989702E-2</v>
      </c>
      <c r="U24" s="2">
        <v>-6.1117132437029903E-2</v>
      </c>
      <c r="V24" s="2">
        <v>-1.57537254417369E-2</v>
      </c>
      <c r="W24" s="2"/>
      <c r="X24" s="2"/>
      <c r="Y24" s="2">
        <v>2.12979678675645E-2</v>
      </c>
      <c r="Z24" s="2">
        <v>2.1485763132212501E-9</v>
      </c>
      <c r="AA24" s="2">
        <v>1.1807264246128201E-2</v>
      </c>
      <c r="AB24" s="2"/>
      <c r="AC24" s="2"/>
      <c r="AD24" s="2"/>
      <c r="AE24" s="2"/>
      <c r="AF24" s="2"/>
      <c r="AG24" s="2"/>
      <c r="AH24" s="2" t="s">
        <v>428</v>
      </c>
      <c r="AI24" s="2"/>
      <c r="AJ24" s="2" t="s">
        <v>487</v>
      </c>
      <c r="AK24" s="2" t="s">
        <v>488</v>
      </c>
    </row>
    <row r="25" spans="1:37" x14ac:dyDescent="0.3">
      <c r="A25" s="2" t="s">
        <v>173</v>
      </c>
      <c r="B25" s="2" t="s">
        <v>440</v>
      </c>
      <c r="C25" s="2" t="s">
        <v>441</v>
      </c>
      <c r="D25" s="2" t="s">
        <v>489</v>
      </c>
      <c r="E25" s="2" t="s">
        <v>426</v>
      </c>
      <c r="F25" s="2" t="s">
        <v>427</v>
      </c>
      <c r="G25" s="2">
        <v>0.6</v>
      </c>
      <c r="H25" s="2">
        <v>377</v>
      </c>
      <c r="I25" s="2">
        <v>23</v>
      </c>
      <c r="J25" s="2">
        <v>23</v>
      </c>
      <c r="K25" s="2">
        <v>-2.21899111329678E-2</v>
      </c>
      <c r="L25" s="2">
        <v>2.5599319978225E-2</v>
      </c>
      <c r="M25" s="2">
        <v>-0.86681642918025803</v>
      </c>
      <c r="N25" s="2">
        <v>14.9725110190936</v>
      </c>
      <c r="O25" s="2">
        <v>0.39972129543086798</v>
      </c>
      <c r="P25" s="2">
        <v>-7.6762296470546901E-2</v>
      </c>
      <c r="Q25" s="2">
        <v>3.2382474204611301E-2</v>
      </c>
      <c r="R25" s="2"/>
      <c r="S25" s="2"/>
      <c r="T25" s="2">
        <v>-2.2186269804088801E-2</v>
      </c>
      <c r="U25" s="2">
        <v>-7.6611878324481006E-2</v>
      </c>
      <c r="V25" s="2">
        <v>3.2371159930287302E-2</v>
      </c>
      <c r="W25" s="2"/>
      <c r="X25" s="2"/>
      <c r="Y25" s="2">
        <v>2.12979678675645E-2</v>
      </c>
      <c r="Z25" s="2">
        <v>2.1485763132212501E-9</v>
      </c>
      <c r="AA25" s="2">
        <v>1.1807264246128201E-2</v>
      </c>
      <c r="AB25" s="2"/>
      <c r="AC25" s="2"/>
      <c r="AD25" s="2"/>
      <c r="AE25" s="2"/>
      <c r="AF25" s="2"/>
      <c r="AG25" s="2"/>
      <c r="AH25" s="2" t="s">
        <v>428</v>
      </c>
      <c r="AI25" s="2"/>
      <c r="AJ25" s="2" t="s">
        <v>487</v>
      </c>
      <c r="AK25" s="2" t="s">
        <v>490</v>
      </c>
    </row>
    <row r="26" spans="1:37" x14ac:dyDescent="0.3">
      <c r="A26" s="2" t="s">
        <v>173</v>
      </c>
      <c r="B26" s="2" t="s">
        <v>440</v>
      </c>
      <c r="C26" s="2" t="s">
        <v>441</v>
      </c>
      <c r="D26" s="2" t="s">
        <v>491</v>
      </c>
      <c r="E26" s="2" t="s">
        <v>426</v>
      </c>
      <c r="F26" s="2" t="s">
        <v>427</v>
      </c>
      <c r="G26" s="2">
        <v>0.6</v>
      </c>
      <c r="H26" s="2">
        <v>333</v>
      </c>
      <c r="I26" s="2">
        <v>17</v>
      </c>
      <c r="J26" s="2">
        <v>17</v>
      </c>
      <c r="K26" s="2">
        <v>-8.7481995300804305E-2</v>
      </c>
      <c r="L26" s="2">
        <v>1.7522318740204101E-2</v>
      </c>
      <c r="M26" s="2">
        <v>-4.9926038099102401</v>
      </c>
      <c r="N26" s="2">
        <v>15.863013877656201</v>
      </c>
      <c r="O26" s="2">
        <v>1.3622993058597899E-4</v>
      </c>
      <c r="P26" s="2">
        <v>-0.12465373886650701</v>
      </c>
      <c r="Q26" s="2">
        <v>-5.0310251735101501E-2</v>
      </c>
      <c r="R26" s="2"/>
      <c r="S26" s="2"/>
      <c r="T26" s="2">
        <v>-8.7259506894803898E-2</v>
      </c>
      <c r="U26" s="2">
        <v>-0.12401208043970199</v>
      </c>
      <c r="V26" s="2">
        <v>-5.0267847547876901E-2</v>
      </c>
      <c r="W26" s="2"/>
      <c r="X26" s="2"/>
      <c r="Y26" s="2">
        <v>2.12979678675645E-2</v>
      </c>
      <c r="Z26" s="2">
        <v>2.1485763132212501E-9</v>
      </c>
      <c r="AA26" s="2">
        <v>1.1807264246128201E-2</v>
      </c>
      <c r="AB26" s="2"/>
      <c r="AC26" s="2"/>
      <c r="AD26" s="2"/>
      <c r="AE26" s="2"/>
      <c r="AF26" s="2"/>
      <c r="AG26" s="2"/>
      <c r="AH26" s="2" t="s">
        <v>428</v>
      </c>
      <c r="AI26" s="2"/>
      <c r="AJ26" s="2" t="s">
        <v>487</v>
      </c>
      <c r="AK26" s="2" t="s">
        <v>492</v>
      </c>
    </row>
    <row r="27" spans="1:37" x14ac:dyDescent="0.3">
      <c r="A27" s="2" t="s">
        <v>173</v>
      </c>
      <c r="B27" s="2" t="s">
        <v>440</v>
      </c>
      <c r="C27" s="2" t="s">
        <v>441</v>
      </c>
      <c r="D27" s="2" t="s">
        <v>493</v>
      </c>
      <c r="E27" s="2" t="s">
        <v>426</v>
      </c>
      <c r="F27" s="2" t="s">
        <v>427</v>
      </c>
      <c r="G27" s="2">
        <v>0.6</v>
      </c>
      <c r="H27" s="2">
        <v>321</v>
      </c>
      <c r="I27" s="2">
        <v>8</v>
      </c>
      <c r="J27" s="2">
        <v>8</v>
      </c>
      <c r="K27" s="2">
        <v>-0.13821887132718599</v>
      </c>
      <c r="L27" s="2">
        <v>6.4308738708784605E-2</v>
      </c>
      <c r="M27" s="2">
        <v>-2.14930154287577</v>
      </c>
      <c r="N27" s="2">
        <v>6.2489382034327496</v>
      </c>
      <c r="O27" s="2">
        <v>7.3363896046367394E-2</v>
      </c>
      <c r="P27" s="2">
        <v>-0.29406956921658001</v>
      </c>
      <c r="Q27" s="2">
        <v>1.76318265622083E-2</v>
      </c>
      <c r="R27" s="2"/>
      <c r="S27" s="2"/>
      <c r="T27" s="2">
        <v>-0.13734534720195701</v>
      </c>
      <c r="U27" s="2">
        <v>-0.28587612765410803</v>
      </c>
      <c r="V27" s="2">
        <v>1.7629999654287701E-2</v>
      </c>
      <c r="W27" s="2"/>
      <c r="X27" s="2"/>
      <c r="Y27" s="2">
        <v>2.12979678675645E-2</v>
      </c>
      <c r="Z27" s="2">
        <v>2.1485763132212501E-9</v>
      </c>
      <c r="AA27" s="2">
        <v>1.1807264246128201E-2</v>
      </c>
      <c r="AB27" s="2"/>
      <c r="AC27" s="2"/>
      <c r="AD27" s="2"/>
      <c r="AE27" s="2"/>
      <c r="AF27" s="2"/>
      <c r="AG27" s="2"/>
      <c r="AH27" s="2" t="s">
        <v>428</v>
      </c>
      <c r="AI27" s="2"/>
      <c r="AJ27" s="2" t="s">
        <v>487</v>
      </c>
      <c r="AK27" s="2" t="s">
        <v>494</v>
      </c>
    </row>
    <row r="28" spans="1:37" x14ac:dyDescent="0.3">
      <c r="A28" s="2" t="s">
        <v>173</v>
      </c>
      <c r="B28" s="2" t="s">
        <v>440</v>
      </c>
      <c r="C28" s="2" t="s">
        <v>441</v>
      </c>
      <c r="D28" s="2" t="s">
        <v>495</v>
      </c>
      <c r="E28" s="2" t="s">
        <v>426</v>
      </c>
      <c r="F28" s="2" t="s">
        <v>427</v>
      </c>
      <c r="G28" s="2">
        <v>0.6</v>
      </c>
      <c r="H28" s="2">
        <v>383</v>
      </c>
      <c r="I28" s="2">
        <v>20</v>
      </c>
      <c r="J28" s="2">
        <v>20</v>
      </c>
      <c r="K28" s="2">
        <v>-6.2439632533317399E-2</v>
      </c>
      <c r="L28" s="2">
        <v>1.8391510466158899E-2</v>
      </c>
      <c r="M28" s="2">
        <v>-3.3950247125274799</v>
      </c>
      <c r="N28" s="2">
        <v>22.3930917488644</v>
      </c>
      <c r="O28" s="2">
        <v>2.5557841339091799E-3</v>
      </c>
      <c r="P28" s="2">
        <v>-0.100542508390109</v>
      </c>
      <c r="Q28" s="2">
        <v>-2.4336756676526201E-2</v>
      </c>
      <c r="R28" s="2"/>
      <c r="S28" s="2"/>
      <c r="T28" s="2">
        <v>-6.2358614252003598E-2</v>
      </c>
      <c r="U28" s="2">
        <v>-0.10020508480095899</v>
      </c>
      <c r="V28" s="2">
        <v>-2.43319531082445E-2</v>
      </c>
      <c r="W28" s="2"/>
      <c r="X28" s="2"/>
      <c r="Y28" s="2">
        <v>2.12979678675645E-2</v>
      </c>
      <c r="Z28" s="2">
        <v>2.1485763132212501E-9</v>
      </c>
      <c r="AA28" s="2">
        <v>1.1807264246128201E-2</v>
      </c>
      <c r="AB28" s="2"/>
      <c r="AC28" s="2"/>
      <c r="AD28" s="2"/>
      <c r="AE28" s="2"/>
      <c r="AF28" s="2"/>
      <c r="AG28" s="2"/>
      <c r="AH28" s="2" t="s">
        <v>428</v>
      </c>
      <c r="AI28" s="2"/>
      <c r="AJ28" s="2" t="s">
        <v>487</v>
      </c>
      <c r="AK28" s="2" t="s">
        <v>496</v>
      </c>
    </row>
    <row r="29" spans="1:37" x14ac:dyDescent="0.3">
      <c r="A29" s="2" t="s">
        <v>173</v>
      </c>
      <c r="B29" s="2" t="s">
        <v>440</v>
      </c>
      <c r="C29" s="2" t="s">
        <v>441</v>
      </c>
      <c r="D29" s="2" t="s">
        <v>497</v>
      </c>
      <c r="E29" s="2" t="s">
        <v>426</v>
      </c>
      <c r="F29" s="2" t="s">
        <v>427</v>
      </c>
      <c r="G29" s="2">
        <v>0.6</v>
      </c>
      <c r="H29" s="2">
        <v>13</v>
      </c>
      <c r="I29" s="2">
        <v>3</v>
      </c>
      <c r="J29" s="2">
        <v>3</v>
      </c>
      <c r="K29" s="2">
        <v>-9.8691869577765007E-3</v>
      </c>
      <c r="L29" s="2">
        <v>0.121066642086924</v>
      </c>
      <c r="M29" s="2"/>
      <c r="N29" s="2">
        <v>3.0024522331635999</v>
      </c>
      <c r="O29" s="2"/>
      <c r="P29" s="2">
        <v>-0.39497931393991997</v>
      </c>
      <c r="Q29" s="2">
        <v>0.37524094002436698</v>
      </c>
      <c r="R29" s="2"/>
      <c r="S29" s="2"/>
      <c r="T29" s="2">
        <v>-9.8688665478563007E-3</v>
      </c>
      <c r="U29" s="2">
        <v>-0.37564489423470498</v>
      </c>
      <c r="V29" s="2">
        <v>0.35856737871688898</v>
      </c>
      <c r="W29" s="2"/>
      <c r="X29" s="2"/>
      <c r="Y29" s="2">
        <v>2.12979678675645E-2</v>
      </c>
      <c r="Z29" s="2">
        <v>2.1485763132212501E-9</v>
      </c>
      <c r="AA29" s="2">
        <v>1.1807264246128201E-2</v>
      </c>
      <c r="AB29" s="2"/>
      <c r="AC29" s="2"/>
      <c r="AD29" s="2"/>
      <c r="AE29" s="2"/>
      <c r="AF29" s="2"/>
      <c r="AG29" s="2"/>
      <c r="AH29" s="2" t="s">
        <v>428</v>
      </c>
      <c r="AI29" s="2"/>
      <c r="AJ29" s="2" t="s">
        <v>498</v>
      </c>
      <c r="AK29" s="2" t="s">
        <v>499</v>
      </c>
    </row>
    <row r="30" spans="1:37" x14ac:dyDescent="0.3">
      <c r="A30" s="2" t="s">
        <v>173</v>
      </c>
      <c r="B30" s="2" t="s">
        <v>440</v>
      </c>
      <c r="C30" s="2" t="s">
        <v>441</v>
      </c>
      <c r="D30" s="2" t="s">
        <v>500</v>
      </c>
      <c r="E30" s="2" t="s">
        <v>426</v>
      </c>
      <c r="F30" s="2" t="s">
        <v>427</v>
      </c>
      <c r="G30" s="2">
        <v>0.6</v>
      </c>
      <c r="H30" s="2">
        <v>309</v>
      </c>
      <c r="I30" s="2">
        <v>11</v>
      </c>
      <c r="J30" s="2">
        <v>11</v>
      </c>
      <c r="K30" s="2">
        <v>-0.123930489234772</v>
      </c>
      <c r="L30" s="2">
        <v>7.9948155711477994E-2</v>
      </c>
      <c r="M30" s="2">
        <v>-1.5501356864568701</v>
      </c>
      <c r="N30" s="2">
        <v>6.9443362933649402</v>
      </c>
      <c r="O30" s="2">
        <v>0.16538376647478001</v>
      </c>
      <c r="P30" s="2">
        <v>-0.31328545930794099</v>
      </c>
      <c r="Q30" s="2">
        <v>6.5424480838396304E-2</v>
      </c>
      <c r="R30" s="2"/>
      <c r="S30" s="2"/>
      <c r="T30" s="2">
        <v>-0.123299889907836</v>
      </c>
      <c r="U30" s="2">
        <v>-0.30342304475674797</v>
      </c>
      <c r="V30" s="2">
        <v>6.5331293549639999E-2</v>
      </c>
      <c r="W30" s="2"/>
      <c r="X30" s="2"/>
      <c r="Y30" s="2">
        <v>2.12979678675645E-2</v>
      </c>
      <c r="Z30" s="2">
        <v>2.1485763132212501E-9</v>
      </c>
      <c r="AA30" s="2">
        <v>1.1807264246128201E-2</v>
      </c>
      <c r="AB30" s="2"/>
      <c r="AC30" s="2"/>
      <c r="AD30" s="2"/>
      <c r="AE30" s="2"/>
      <c r="AF30" s="2"/>
      <c r="AG30" s="2"/>
      <c r="AH30" s="2" t="s">
        <v>428</v>
      </c>
      <c r="AI30" s="2"/>
      <c r="AJ30" s="2" t="s">
        <v>487</v>
      </c>
      <c r="AK30" s="2" t="s">
        <v>501</v>
      </c>
    </row>
    <row r="31" spans="1:37" x14ac:dyDescent="0.3">
      <c r="A31" s="2" t="s">
        <v>173</v>
      </c>
      <c r="B31" s="2" t="s">
        <v>440</v>
      </c>
      <c r="C31" s="2" t="s">
        <v>441</v>
      </c>
      <c r="D31" s="2" t="s">
        <v>502</v>
      </c>
      <c r="E31" s="2" t="s">
        <v>426</v>
      </c>
      <c r="F31" s="2" t="s">
        <v>503</v>
      </c>
      <c r="G31" s="2">
        <v>0.6</v>
      </c>
      <c r="H31" s="2">
        <v>0</v>
      </c>
      <c r="I31" s="2">
        <v>0</v>
      </c>
      <c r="J31" s="2">
        <v>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 t="s">
        <v>428</v>
      </c>
      <c r="AI31" s="2"/>
      <c r="AJ31" s="2" t="s">
        <v>504</v>
      </c>
      <c r="AK31" s="2" t="s">
        <v>505</v>
      </c>
    </row>
    <row r="32" spans="1:37" x14ac:dyDescent="0.3">
      <c r="A32" s="2" t="s">
        <v>173</v>
      </c>
      <c r="B32" s="2" t="s">
        <v>440</v>
      </c>
      <c r="C32" s="2" t="s">
        <v>441</v>
      </c>
      <c r="D32" s="2" t="s">
        <v>506</v>
      </c>
      <c r="E32" s="2" t="s">
        <v>426</v>
      </c>
      <c r="F32" s="2" t="s">
        <v>427</v>
      </c>
      <c r="G32" s="2">
        <v>0.6</v>
      </c>
      <c r="H32" s="2">
        <v>2705</v>
      </c>
      <c r="I32" s="2">
        <v>113</v>
      </c>
      <c r="J32" s="2">
        <v>112</v>
      </c>
      <c r="K32" s="2">
        <v>1.6284303541830199E-2</v>
      </c>
      <c r="L32" s="2">
        <v>2.5068260236967899E-2</v>
      </c>
      <c r="M32" s="2">
        <v>0.64959847184831299</v>
      </c>
      <c r="N32" s="2">
        <v>10.2966239126935</v>
      </c>
      <c r="O32" s="2">
        <v>0.53017574492828801</v>
      </c>
      <c r="P32" s="2">
        <v>-3.93539189338767E-2</v>
      </c>
      <c r="Q32" s="2">
        <v>7.1922526017537E-2</v>
      </c>
      <c r="R32" s="2"/>
      <c r="S32" s="2"/>
      <c r="T32" s="2"/>
      <c r="U32" s="2"/>
      <c r="V32" s="2"/>
      <c r="W32" s="2"/>
      <c r="X32" s="2"/>
      <c r="Y32" s="2">
        <v>2.12979678675645E-2</v>
      </c>
      <c r="Z32" s="2">
        <v>2.1485763132212501E-9</v>
      </c>
      <c r="AA32" s="2">
        <v>1.1807264246128201E-2</v>
      </c>
      <c r="AB32" s="2"/>
      <c r="AC32" s="2"/>
      <c r="AD32" s="2"/>
      <c r="AE32" s="2"/>
      <c r="AF32" s="2"/>
      <c r="AG32" s="2"/>
      <c r="AH32" s="2" t="s">
        <v>428</v>
      </c>
      <c r="AI32" s="2"/>
      <c r="AJ32" s="2" t="s">
        <v>507</v>
      </c>
      <c r="AK32" s="2" t="s">
        <v>508</v>
      </c>
    </row>
    <row r="33" spans="1:37" x14ac:dyDescent="0.3">
      <c r="A33" s="2" t="s">
        <v>173</v>
      </c>
      <c r="B33" s="2" t="s">
        <v>440</v>
      </c>
      <c r="C33" s="2" t="s">
        <v>441</v>
      </c>
      <c r="D33" s="2" t="s">
        <v>509</v>
      </c>
      <c r="E33" s="2" t="s">
        <v>426</v>
      </c>
      <c r="F33" s="2" t="s">
        <v>427</v>
      </c>
      <c r="G33" s="2">
        <v>0.6</v>
      </c>
      <c r="H33" s="2">
        <v>2705</v>
      </c>
      <c r="I33" s="2">
        <v>113</v>
      </c>
      <c r="J33" s="2">
        <v>112</v>
      </c>
      <c r="K33" s="2">
        <v>-5.0736876026381397E-2</v>
      </c>
      <c r="L33" s="2">
        <v>6.7626658202299406E-2</v>
      </c>
      <c r="M33" s="2">
        <v>-0.75024964082368695</v>
      </c>
      <c r="N33" s="2">
        <v>9.1271220114256497</v>
      </c>
      <c r="O33" s="2">
        <v>0.47200107449815798</v>
      </c>
      <c r="P33" s="2">
        <v>-0.20339482216872001</v>
      </c>
      <c r="Q33" s="2">
        <v>0.101921070115957</v>
      </c>
      <c r="R33" s="2"/>
      <c r="S33" s="2"/>
      <c r="T33" s="2"/>
      <c r="U33" s="2"/>
      <c r="V33" s="2"/>
      <c r="W33" s="2"/>
      <c r="X33" s="2"/>
      <c r="Y33" s="2">
        <v>2.12979678675645E-2</v>
      </c>
      <c r="Z33" s="2">
        <v>2.1485763132212501E-9</v>
      </c>
      <c r="AA33" s="2">
        <v>1.1807264246128201E-2</v>
      </c>
      <c r="AB33" s="2"/>
      <c r="AC33" s="2"/>
      <c r="AD33" s="2"/>
      <c r="AE33" s="2"/>
      <c r="AF33" s="2"/>
      <c r="AG33" s="2"/>
      <c r="AH33" s="2" t="s">
        <v>428</v>
      </c>
      <c r="AI33" s="2"/>
      <c r="AJ33" s="2" t="s">
        <v>507</v>
      </c>
      <c r="AK33" s="2" t="s">
        <v>510</v>
      </c>
    </row>
    <row r="34" spans="1:37" x14ac:dyDescent="0.3">
      <c r="A34" s="2" t="s">
        <v>173</v>
      </c>
      <c r="B34" s="2" t="s">
        <v>440</v>
      </c>
      <c r="C34" s="2" t="s">
        <v>441</v>
      </c>
      <c r="D34" s="2" t="s">
        <v>511</v>
      </c>
      <c r="E34" s="2" t="s">
        <v>426</v>
      </c>
      <c r="F34" s="2" t="s">
        <v>427</v>
      </c>
      <c r="G34" s="2">
        <v>0.6</v>
      </c>
      <c r="H34" s="2">
        <v>2705</v>
      </c>
      <c r="I34" s="2">
        <v>113</v>
      </c>
      <c r="J34" s="2">
        <v>112</v>
      </c>
      <c r="K34" s="2">
        <v>5.2570445575540803E-2</v>
      </c>
      <c r="L34" s="2">
        <v>0.122603139394052</v>
      </c>
      <c r="M34" s="2"/>
      <c r="N34" s="2">
        <v>4.1545138793303904</v>
      </c>
      <c r="O34" s="2"/>
      <c r="P34" s="2">
        <v>-0.28289520260057999</v>
      </c>
      <c r="Q34" s="2">
        <v>0.38803609375166198</v>
      </c>
      <c r="R34" s="2"/>
      <c r="S34" s="2"/>
      <c r="T34" s="2"/>
      <c r="U34" s="2"/>
      <c r="V34" s="2"/>
      <c r="W34" s="2"/>
      <c r="X34" s="2"/>
      <c r="Y34" s="2">
        <v>2.12979678675645E-2</v>
      </c>
      <c r="Z34" s="2">
        <v>2.1485763132212501E-9</v>
      </c>
      <c r="AA34" s="2">
        <v>1.1807264246128201E-2</v>
      </c>
      <c r="AB34" s="2"/>
      <c r="AC34" s="2"/>
      <c r="AD34" s="2"/>
      <c r="AE34" s="2"/>
      <c r="AF34" s="2"/>
      <c r="AG34" s="2"/>
      <c r="AH34" s="2" t="s">
        <v>428</v>
      </c>
      <c r="AI34" s="2"/>
      <c r="AJ34" s="2" t="s">
        <v>512</v>
      </c>
      <c r="AK34" s="2" t="s">
        <v>513</v>
      </c>
    </row>
    <row r="35" spans="1:37" x14ac:dyDescent="0.3">
      <c r="A35" s="2" t="s">
        <v>173</v>
      </c>
      <c r="B35" s="2" t="s">
        <v>440</v>
      </c>
      <c r="C35" s="2" t="s">
        <v>441</v>
      </c>
      <c r="D35" s="2" t="s">
        <v>514</v>
      </c>
      <c r="E35" s="2" t="s">
        <v>426</v>
      </c>
      <c r="F35" s="2" t="s">
        <v>503</v>
      </c>
      <c r="G35" s="2">
        <v>0.6</v>
      </c>
      <c r="H35" s="2">
        <v>2705</v>
      </c>
      <c r="I35" s="2">
        <v>113</v>
      </c>
      <c r="J35" s="2">
        <v>112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 t="s">
        <v>428</v>
      </c>
      <c r="AI35" s="2"/>
      <c r="AJ35" s="2" t="s">
        <v>515</v>
      </c>
      <c r="AK35" s="2" t="s">
        <v>516</v>
      </c>
    </row>
    <row r="36" spans="1:37" x14ac:dyDescent="0.3">
      <c r="A36" s="2" t="s">
        <v>173</v>
      </c>
      <c r="B36" s="2" t="s">
        <v>440</v>
      </c>
      <c r="C36" s="2" t="s">
        <v>441</v>
      </c>
      <c r="D36" s="2" t="s">
        <v>456</v>
      </c>
      <c r="E36" s="2" t="s">
        <v>437</v>
      </c>
      <c r="F36" s="2" t="s">
        <v>427</v>
      </c>
      <c r="G36" s="2">
        <v>0.6</v>
      </c>
      <c r="H36" s="2">
        <v>2705</v>
      </c>
      <c r="I36" s="2">
        <v>113</v>
      </c>
      <c r="J36" s="2">
        <v>112</v>
      </c>
      <c r="K36" s="2"/>
      <c r="L36" s="2"/>
      <c r="M36" s="2">
        <v>0.38881645836244899</v>
      </c>
      <c r="N36" s="2">
        <v>3.0916267241775399</v>
      </c>
      <c r="O36" s="2">
        <v>0.70692717610632005</v>
      </c>
      <c r="P36" s="2"/>
      <c r="Q36" s="2"/>
      <c r="R36" s="2"/>
      <c r="S36" s="2"/>
      <c r="T36" s="2"/>
      <c r="U36" s="2"/>
      <c r="V36" s="2"/>
      <c r="W36" s="2"/>
      <c r="X36" s="2"/>
      <c r="Y36" s="2">
        <v>2.12979678675645E-2</v>
      </c>
      <c r="Z36" s="2">
        <v>2.1485763132212501E-9</v>
      </c>
      <c r="AA36" s="2">
        <v>1.1807264246128201E-2</v>
      </c>
      <c r="AB36" s="2"/>
      <c r="AC36" s="2"/>
      <c r="AD36" s="2"/>
      <c r="AE36" s="2"/>
      <c r="AF36" s="2"/>
      <c r="AG36" s="2"/>
      <c r="AH36" s="2" t="s">
        <v>457</v>
      </c>
      <c r="AI36" s="2" t="s">
        <v>517</v>
      </c>
      <c r="AJ36" s="2" t="s">
        <v>518</v>
      </c>
      <c r="AK36" s="2" t="s">
        <v>519</v>
      </c>
    </row>
    <row r="37" spans="1:37" x14ac:dyDescent="0.3">
      <c r="A37" s="2" t="s">
        <v>175</v>
      </c>
      <c r="B37" s="2" t="s">
        <v>423</v>
      </c>
      <c r="C37" s="2" t="s">
        <v>424</v>
      </c>
      <c r="D37" s="2" t="s">
        <v>520</v>
      </c>
      <c r="E37" s="2" t="s">
        <v>426</v>
      </c>
      <c r="F37" s="2" t="s">
        <v>427</v>
      </c>
      <c r="G37" s="2">
        <v>0.6</v>
      </c>
      <c r="H37" s="2">
        <v>1961</v>
      </c>
      <c r="I37" s="2">
        <v>78</v>
      </c>
      <c r="J37" s="2">
        <v>77</v>
      </c>
      <c r="K37" s="2">
        <v>-6.1687656835108198E-2</v>
      </c>
      <c r="L37" s="2">
        <v>1.9033516814324299E-2</v>
      </c>
      <c r="M37" s="2">
        <v>-3.2410015152156699</v>
      </c>
      <c r="N37" s="2">
        <v>69.595427327711405</v>
      </c>
      <c r="O37" s="2">
        <v>1.8288062931971401E-3</v>
      </c>
      <c r="P37" s="2">
        <v>-9.9652689233858102E-2</v>
      </c>
      <c r="Q37" s="2">
        <v>-2.3722624436358301E-2</v>
      </c>
      <c r="R37" s="2">
        <v>-0.45193258764829303</v>
      </c>
      <c r="S37" s="2">
        <v>0.32855727397807599</v>
      </c>
      <c r="T37" s="2">
        <v>-6.1609527698973002E-2</v>
      </c>
      <c r="U37" s="2">
        <v>-9.93241220533638E-2</v>
      </c>
      <c r="V37" s="2">
        <v>-2.37181753668094E-2</v>
      </c>
      <c r="W37" s="2">
        <v>-0.42348629848629998</v>
      </c>
      <c r="X37" s="2">
        <v>0.31722382825196599</v>
      </c>
      <c r="Y37" s="2">
        <v>2.4325640406504E-2</v>
      </c>
      <c r="Z37" s="2">
        <v>2.5080742103609501E-9</v>
      </c>
      <c r="AA37" s="2">
        <v>1.3589715070709499E-2</v>
      </c>
      <c r="AB37" s="2"/>
      <c r="AC37" s="2"/>
      <c r="AD37" s="2"/>
      <c r="AE37" s="2"/>
      <c r="AF37" s="2"/>
      <c r="AG37" s="2"/>
      <c r="AH37" s="2" t="s">
        <v>428</v>
      </c>
      <c r="AI37" s="2"/>
      <c r="AJ37" s="2" t="s">
        <v>521</v>
      </c>
      <c r="AK37" s="2" t="s">
        <v>522</v>
      </c>
    </row>
    <row r="38" spans="1:37" x14ac:dyDescent="0.3">
      <c r="A38" s="2" t="s">
        <v>175</v>
      </c>
      <c r="B38" s="2" t="s">
        <v>423</v>
      </c>
      <c r="C38" s="2" t="s">
        <v>424</v>
      </c>
      <c r="D38" s="2" t="s">
        <v>523</v>
      </c>
      <c r="E38" s="2" t="s">
        <v>426</v>
      </c>
      <c r="F38" s="2" t="s">
        <v>427</v>
      </c>
      <c r="G38" s="2">
        <v>0.6</v>
      </c>
      <c r="H38" s="2">
        <v>299</v>
      </c>
      <c r="I38" s="2">
        <v>17</v>
      </c>
      <c r="J38" s="2">
        <v>17</v>
      </c>
      <c r="K38" s="2">
        <v>-4.5845285271558803E-2</v>
      </c>
      <c r="L38" s="2">
        <v>1.54312913416634E-2</v>
      </c>
      <c r="M38" s="2">
        <v>-2.97092992780065</v>
      </c>
      <c r="N38" s="2">
        <v>8.8463405688479195</v>
      </c>
      <c r="O38" s="2">
        <v>1.5973498376998799E-2</v>
      </c>
      <c r="P38" s="2">
        <v>-8.0845939197538894E-2</v>
      </c>
      <c r="Q38" s="2">
        <v>-1.0844631345578601E-2</v>
      </c>
      <c r="R38" s="2">
        <v>-0.48888328888803501</v>
      </c>
      <c r="S38" s="2">
        <v>0.39719271834491798</v>
      </c>
      <c r="T38" s="2">
        <v>-4.5813193194794197E-2</v>
      </c>
      <c r="U38" s="2">
        <v>-8.0670260354276102E-2</v>
      </c>
      <c r="V38" s="2">
        <v>-1.08442062342339E-2</v>
      </c>
      <c r="W38" s="2">
        <v>-0.45332966368127298</v>
      </c>
      <c r="X38" s="2">
        <v>0.37754438472486201</v>
      </c>
      <c r="Y38" s="2">
        <v>2.4325640406504E-2</v>
      </c>
      <c r="Z38" s="2">
        <v>2.5080742103609501E-9</v>
      </c>
      <c r="AA38" s="2">
        <v>1.3589715070709499E-2</v>
      </c>
      <c r="AB38" s="2"/>
      <c r="AC38" s="2"/>
      <c r="AD38" s="2"/>
      <c r="AE38" s="2"/>
      <c r="AF38" s="2"/>
      <c r="AG38" s="2"/>
      <c r="AH38" s="2" t="s">
        <v>428</v>
      </c>
      <c r="AI38" s="2"/>
      <c r="AJ38" s="2" t="s">
        <v>521</v>
      </c>
      <c r="AK38" s="2" t="s">
        <v>524</v>
      </c>
    </row>
    <row r="39" spans="1:37" x14ac:dyDescent="0.3">
      <c r="A39" s="2" t="s">
        <v>175</v>
      </c>
      <c r="B39" s="2" t="s">
        <v>423</v>
      </c>
      <c r="C39" s="2" t="s">
        <v>424</v>
      </c>
      <c r="D39" s="2" t="s">
        <v>525</v>
      </c>
      <c r="E39" s="2" t="s">
        <v>426</v>
      </c>
      <c r="F39" s="2" t="s">
        <v>427</v>
      </c>
      <c r="G39" s="2">
        <v>0.6</v>
      </c>
      <c r="H39" s="2">
        <v>2260</v>
      </c>
      <c r="I39" s="2">
        <v>94</v>
      </c>
      <c r="J39" s="2">
        <v>93</v>
      </c>
      <c r="K39" s="2">
        <v>-1.5842371563549399E-2</v>
      </c>
      <c r="L39" s="2">
        <v>1.9598141313635201E-2</v>
      </c>
      <c r="M39" s="2">
        <v>-0.80836092106996105</v>
      </c>
      <c r="N39" s="2">
        <v>6.7844464946688499</v>
      </c>
      <c r="O39" s="2">
        <v>0.44629705794871199</v>
      </c>
      <c r="P39" s="2">
        <v>-6.2484765435072497E-2</v>
      </c>
      <c r="Q39" s="2">
        <v>3.0800022307973601E-2</v>
      </c>
      <c r="R39" s="2"/>
      <c r="S39" s="2"/>
      <c r="T39" s="2"/>
      <c r="U39" s="2"/>
      <c r="V39" s="2"/>
      <c r="W39" s="2"/>
      <c r="X39" s="2"/>
      <c r="Y39" s="2">
        <v>2.4325640406504E-2</v>
      </c>
      <c r="Z39" s="2">
        <v>2.5080742103609501E-9</v>
      </c>
      <c r="AA39" s="2">
        <v>1.3589715070709499E-2</v>
      </c>
      <c r="AB39" s="2"/>
      <c r="AC39" s="2"/>
      <c r="AD39" s="2"/>
      <c r="AE39" s="2"/>
      <c r="AF39" s="2"/>
      <c r="AG39" s="2"/>
      <c r="AH39" s="2" t="s">
        <v>428</v>
      </c>
      <c r="AI39" s="2"/>
      <c r="AJ39" s="2" t="s">
        <v>526</v>
      </c>
      <c r="AK39" s="2" t="s">
        <v>527</v>
      </c>
    </row>
    <row r="40" spans="1:37" x14ac:dyDescent="0.3">
      <c r="A40" s="2" t="s">
        <v>175</v>
      </c>
      <c r="B40" s="2" t="s">
        <v>423</v>
      </c>
      <c r="C40" s="2" t="s">
        <v>424</v>
      </c>
      <c r="D40" s="2" t="s">
        <v>436</v>
      </c>
      <c r="E40" s="2" t="s">
        <v>437</v>
      </c>
      <c r="F40" s="2" t="s">
        <v>427</v>
      </c>
      <c r="G40" s="2">
        <v>0.6</v>
      </c>
      <c r="H40" s="2">
        <v>2260</v>
      </c>
      <c r="I40" s="2">
        <v>94</v>
      </c>
      <c r="J40" s="2">
        <v>93</v>
      </c>
      <c r="K40" s="2"/>
      <c r="L40" s="2"/>
      <c r="M40" s="2">
        <v>0.65344737871307601</v>
      </c>
      <c r="N40" s="2">
        <v>6.7844464946688499</v>
      </c>
      <c r="O40" s="2">
        <v>0.44629705794871199</v>
      </c>
      <c r="P40" s="2"/>
      <c r="Q40" s="2"/>
      <c r="R40" s="2"/>
      <c r="S40" s="2"/>
      <c r="T40" s="2"/>
      <c r="U40" s="2"/>
      <c r="V40" s="2"/>
      <c r="W40" s="2"/>
      <c r="X40" s="2"/>
      <c r="Y40" s="2">
        <v>2.4325640406504E-2</v>
      </c>
      <c r="Z40" s="2">
        <v>2.5080742103609501E-9</v>
      </c>
      <c r="AA40" s="2">
        <v>1.3589715070709499E-2</v>
      </c>
      <c r="AB40" s="2"/>
      <c r="AC40" s="2"/>
      <c r="AD40" s="2"/>
      <c r="AE40" s="2"/>
      <c r="AF40" s="2"/>
      <c r="AG40" s="2"/>
      <c r="AH40" s="2" t="s">
        <v>428</v>
      </c>
      <c r="AI40" s="2"/>
      <c r="AJ40" s="2" t="s">
        <v>528</v>
      </c>
      <c r="AK40" s="2" t="s">
        <v>529</v>
      </c>
    </row>
    <row r="41" spans="1:37" x14ac:dyDescent="0.3">
      <c r="A41" s="2" t="s">
        <v>175</v>
      </c>
      <c r="B41" s="2" t="s">
        <v>440</v>
      </c>
      <c r="C41" s="2" t="s">
        <v>441</v>
      </c>
      <c r="D41" s="2" t="s">
        <v>530</v>
      </c>
      <c r="E41" s="2" t="s">
        <v>426</v>
      </c>
      <c r="F41" s="2" t="s">
        <v>427</v>
      </c>
      <c r="G41" s="2">
        <v>0.6</v>
      </c>
      <c r="H41" s="2">
        <v>1477</v>
      </c>
      <c r="I41" s="2">
        <v>60</v>
      </c>
      <c r="J41" s="2">
        <v>59</v>
      </c>
      <c r="K41" s="2">
        <v>-6.4007057615122001E-2</v>
      </c>
      <c r="L41" s="2">
        <v>2.5695609188763801E-2</v>
      </c>
      <c r="M41" s="2">
        <v>-2.49097256830599</v>
      </c>
      <c r="N41" s="2">
        <v>58.4443773088787</v>
      </c>
      <c r="O41" s="2">
        <v>1.56005033848275E-2</v>
      </c>
      <c r="P41" s="2">
        <v>-0.115434082400449</v>
      </c>
      <c r="Q41" s="2">
        <v>-1.25800328297953E-2</v>
      </c>
      <c r="R41" s="2"/>
      <c r="S41" s="2"/>
      <c r="T41" s="2">
        <v>-6.3919790377996694E-2</v>
      </c>
      <c r="U41" s="2">
        <v>-0.114924079778119</v>
      </c>
      <c r="V41" s="2">
        <v>-1.25793692447693E-2</v>
      </c>
      <c r="W41" s="2"/>
      <c r="X41" s="2"/>
      <c r="Y41" s="2">
        <v>2.52134329596303E-2</v>
      </c>
      <c r="Z41" s="2">
        <v>2.56851092663998E-9</v>
      </c>
      <c r="AA41" s="2">
        <v>1.3620021933446601E-2</v>
      </c>
      <c r="AB41" s="2"/>
      <c r="AC41" s="2"/>
      <c r="AD41" s="2"/>
      <c r="AE41" s="2"/>
      <c r="AF41" s="2"/>
      <c r="AG41" s="2"/>
      <c r="AH41" s="2" t="s">
        <v>428</v>
      </c>
      <c r="AI41" s="2"/>
      <c r="AJ41" s="2" t="s">
        <v>531</v>
      </c>
      <c r="AK41" s="2" t="s">
        <v>532</v>
      </c>
    </row>
    <row r="42" spans="1:37" x14ac:dyDescent="0.3">
      <c r="A42" s="2" t="s">
        <v>175</v>
      </c>
      <c r="B42" s="2" t="s">
        <v>440</v>
      </c>
      <c r="C42" s="2" t="s">
        <v>441</v>
      </c>
      <c r="D42" s="2" t="s">
        <v>533</v>
      </c>
      <c r="E42" s="2" t="s">
        <v>426</v>
      </c>
      <c r="F42" s="2" t="s">
        <v>427</v>
      </c>
      <c r="G42" s="2">
        <v>0.6</v>
      </c>
      <c r="H42" s="2">
        <v>478</v>
      </c>
      <c r="I42" s="2">
        <v>17</v>
      </c>
      <c r="J42" s="2">
        <v>17</v>
      </c>
      <c r="K42" s="2">
        <v>-4.4947532716434299E-2</v>
      </c>
      <c r="L42" s="2">
        <v>9.8910009594489895E-3</v>
      </c>
      <c r="M42" s="2">
        <v>-4.5442855481168802</v>
      </c>
      <c r="N42" s="2">
        <v>15.876184376230601</v>
      </c>
      <c r="O42" s="2">
        <v>3.37987891896939E-4</v>
      </c>
      <c r="P42" s="2">
        <v>-6.5928816094036793E-2</v>
      </c>
      <c r="Q42" s="2">
        <v>-2.3966249338831701E-2</v>
      </c>
      <c r="R42" s="2"/>
      <c r="S42" s="2"/>
      <c r="T42" s="2">
        <v>-4.4917288279520601E-2</v>
      </c>
      <c r="U42" s="2">
        <v>-6.5833459624296597E-2</v>
      </c>
      <c r="V42" s="2">
        <v>-2.3961661805880798E-2</v>
      </c>
      <c r="W42" s="2"/>
      <c r="X42" s="2"/>
      <c r="Y42" s="2">
        <v>2.52134329596303E-2</v>
      </c>
      <c r="Z42" s="2">
        <v>2.56851092663998E-9</v>
      </c>
      <c r="AA42" s="2">
        <v>1.3620021933446601E-2</v>
      </c>
      <c r="AB42" s="2"/>
      <c r="AC42" s="2"/>
      <c r="AD42" s="2"/>
      <c r="AE42" s="2"/>
      <c r="AF42" s="2"/>
      <c r="AG42" s="2"/>
      <c r="AH42" s="2" t="s">
        <v>428</v>
      </c>
      <c r="AI42" s="2"/>
      <c r="AJ42" s="2" t="s">
        <v>531</v>
      </c>
      <c r="AK42" s="2" t="s">
        <v>534</v>
      </c>
    </row>
    <row r="43" spans="1:37" x14ac:dyDescent="0.3">
      <c r="A43" s="2" t="s">
        <v>175</v>
      </c>
      <c r="B43" s="2" t="s">
        <v>440</v>
      </c>
      <c r="C43" s="2" t="s">
        <v>441</v>
      </c>
      <c r="D43" s="2" t="s">
        <v>535</v>
      </c>
      <c r="E43" s="2" t="s">
        <v>426</v>
      </c>
      <c r="F43" s="2" t="s">
        <v>427</v>
      </c>
      <c r="G43" s="2">
        <v>0.6</v>
      </c>
      <c r="H43" s="2">
        <v>277</v>
      </c>
      <c r="I43" s="2">
        <v>14</v>
      </c>
      <c r="J43" s="2">
        <v>14</v>
      </c>
      <c r="K43" s="2">
        <v>-6.20556282454542E-2</v>
      </c>
      <c r="L43" s="2">
        <v>1.9084110870056601E-2</v>
      </c>
      <c r="M43" s="2">
        <v>-3.2516908263628301</v>
      </c>
      <c r="N43" s="2">
        <v>12.895442494284</v>
      </c>
      <c r="O43" s="2">
        <v>6.3674190644284001E-3</v>
      </c>
      <c r="P43" s="2">
        <v>-0.103318350229107</v>
      </c>
      <c r="Q43" s="2">
        <v>-2.0792906261801702E-2</v>
      </c>
      <c r="R43" s="2"/>
      <c r="S43" s="2"/>
      <c r="T43" s="2">
        <v>-6.1976094060957498E-2</v>
      </c>
      <c r="U43" s="2">
        <v>-0.102952283049514</v>
      </c>
      <c r="V43" s="2">
        <v>-2.0789910210586699E-2</v>
      </c>
      <c r="W43" s="2"/>
      <c r="X43" s="2"/>
      <c r="Y43" s="2">
        <v>2.52134329596303E-2</v>
      </c>
      <c r="Z43" s="2">
        <v>2.56851092663998E-9</v>
      </c>
      <c r="AA43" s="2">
        <v>1.3620021933446601E-2</v>
      </c>
      <c r="AB43" s="2"/>
      <c r="AC43" s="2"/>
      <c r="AD43" s="2"/>
      <c r="AE43" s="2"/>
      <c r="AF43" s="2"/>
      <c r="AG43" s="2"/>
      <c r="AH43" s="2" t="s">
        <v>428</v>
      </c>
      <c r="AI43" s="2"/>
      <c r="AJ43" s="2" t="s">
        <v>531</v>
      </c>
      <c r="AK43" s="2" t="s">
        <v>536</v>
      </c>
    </row>
    <row r="44" spans="1:37" x14ac:dyDescent="0.3">
      <c r="A44" s="2" t="s">
        <v>175</v>
      </c>
      <c r="B44" s="2" t="s">
        <v>440</v>
      </c>
      <c r="C44" s="2" t="s">
        <v>441</v>
      </c>
      <c r="D44" s="2" t="s">
        <v>537</v>
      </c>
      <c r="E44" s="2" t="s">
        <v>426</v>
      </c>
      <c r="F44" s="2" t="s">
        <v>427</v>
      </c>
      <c r="G44" s="2">
        <v>0.6</v>
      </c>
      <c r="H44" s="2">
        <v>22</v>
      </c>
      <c r="I44" s="2">
        <v>3</v>
      </c>
      <c r="J44" s="2">
        <v>3</v>
      </c>
      <c r="K44" s="2">
        <v>-2.27898974789109E-2</v>
      </c>
      <c r="L44" s="2">
        <v>2.1497934189060201E-2</v>
      </c>
      <c r="M44" s="2"/>
      <c r="N44" s="2">
        <v>1.5388506758560101</v>
      </c>
      <c r="O44" s="2"/>
      <c r="P44" s="2">
        <v>-0.14765991646784399</v>
      </c>
      <c r="Q44" s="2">
        <v>0.10208012151002201</v>
      </c>
      <c r="R44" s="2"/>
      <c r="S44" s="2"/>
      <c r="T44" s="2">
        <v>-2.2785952763798401E-2</v>
      </c>
      <c r="U44" s="2">
        <v>-0.14659602882647299</v>
      </c>
      <c r="V44" s="2">
        <v>0.101727022962231</v>
      </c>
      <c r="W44" s="2"/>
      <c r="X44" s="2"/>
      <c r="Y44" s="2">
        <v>2.52134329596303E-2</v>
      </c>
      <c r="Z44" s="2">
        <v>2.56851092663998E-9</v>
      </c>
      <c r="AA44" s="2">
        <v>1.3620021933446601E-2</v>
      </c>
      <c r="AB44" s="2"/>
      <c r="AC44" s="2"/>
      <c r="AD44" s="2"/>
      <c r="AE44" s="2"/>
      <c r="AF44" s="2"/>
      <c r="AG44" s="2"/>
      <c r="AH44" s="2" t="s">
        <v>428</v>
      </c>
      <c r="AI44" s="2"/>
      <c r="AJ44" s="2" t="s">
        <v>538</v>
      </c>
      <c r="AK44" s="2" t="s">
        <v>539</v>
      </c>
    </row>
    <row r="45" spans="1:37" x14ac:dyDescent="0.3">
      <c r="A45" s="2" t="s">
        <v>175</v>
      </c>
      <c r="B45" s="2" t="s">
        <v>440</v>
      </c>
      <c r="C45" s="2" t="s">
        <v>441</v>
      </c>
      <c r="D45" s="2" t="s">
        <v>540</v>
      </c>
      <c r="E45" s="2" t="s">
        <v>426</v>
      </c>
      <c r="F45" s="2" t="s">
        <v>427</v>
      </c>
      <c r="G45" s="2">
        <v>0.6</v>
      </c>
      <c r="H45" s="2">
        <v>2254</v>
      </c>
      <c r="I45" s="2">
        <v>93</v>
      </c>
      <c r="J45" s="2">
        <v>92</v>
      </c>
      <c r="K45" s="2">
        <v>1.9059524898687698E-2</v>
      </c>
      <c r="L45" s="2">
        <v>2.75335473842638E-2</v>
      </c>
      <c r="M45" s="2">
        <v>0.69222917892449798</v>
      </c>
      <c r="N45" s="2">
        <v>25.771443337816098</v>
      </c>
      <c r="O45" s="2">
        <v>0.49498378106614699</v>
      </c>
      <c r="P45" s="2">
        <v>-3.75609310649649E-2</v>
      </c>
      <c r="Q45" s="2">
        <v>7.5679980862340304E-2</v>
      </c>
      <c r="R45" s="2"/>
      <c r="S45" s="2"/>
      <c r="T45" s="2"/>
      <c r="U45" s="2"/>
      <c r="V45" s="2"/>
      <c r="W45" s="2"/>
      <c r="X45" s="2"/>
      <c r="Y45" s="2">
        <v>2.52134329596303E-2</v>
      </c>
      <c r="Z45" s="2">
        <v>2.56851092663998E-9</v>
      </c>
      <c r="AA45" s="2">
        <v>1.3620021933446601E-2</v>
      </c>
      <c r="AB45" s="2"/>
      <c r="AC45" s="2"/>
      <c r="AD45" s="2"/>
      <c r="AE45" s="2"/>
      <c r="AF45" s="2"/>
      <c r="AG45" s="2"/>
      <c r="AH45" s="2" t="s">
        <v>428</v>
      </c>
      <c r="AI45" s="2"/>
      <c r="AJ45" s="2" t="s">
        <v>541</v>
      </c>
      <c r="AK45" s="2" t="s">
        <v>542</v>
      </c>
    </row>
    <row r="46" spans="1:37" x14ac:dyDescent="0.3">
      <c r="A46" s="2" t="s">
        <v>175</v>
      </c>
      <c r="B46" s="2" t="s">
        <v>440</v>
      </c>
      <c r="C46" s="2" t="s">
        <v>441</v>
      </c>
      <c r="D46" s="2" t="s">
        <v>543</v>
      </c>
      <c r="E46" s="2" t="s">
        <v>426</v>
      </c>
      <c r="F46" s="2" t="s">
        <v>427</v>
      </c>
      <c r="G46" s="2">
        <v>0.6</v>
      </c>
      <c r="H46" s="2">
        <v>2254</v>
      </c>
      <c r="I46" s="2">
        <v>93</v>
      </c>
      <c r="J46" s="2">
        <v>92</v>
      </c>
      <c r="K46" s="2">
        <v>3.92657307665433E-2</v>
      </c>
      <c r="L46" s="2">
        <v>2.8746555656248202E-2</v>
      </c>
      <c r="M46" s="2"/>
      <c r="N46" s="2">
        <v>3.82125579958202</v>
      </c>
      <c r="O46" s="2"/>
      <c r="P46" s="2">
        <v>-4.2041650823417098E-2</v>
      </c>
      <c r="Q46" s="2">
        <v>0.120573112356504</v>
      </c>
      <c r="R46" s="2"/>
      <c r="S46" s="2"/>
      <c r="T46" s="2"/>
      <c r="U46" s="2"/>
      <c r="V46" s="2"/>
      <c r="W46" s="2"/>
      <c r="X46" s="2"/>
      <c r="Y46" s="2">
        <v>2.52134329596303E-2</v>
      </c>
      <c r="Z46" s="2">
        <v>2.56851092663998E-9</v>
      </c>
      <c r="AA46" s="2">
        <v>1.3620021933446601E-2</v>
      </c>
      <c r="AB46" s="2"/>
      <c r="AC46" s="2"/>
      <c r="AD46" s="2"/>
      <c r="AE46" s="2"/>
      <c r="AF46" s="2"/>
      <c r="AG46" s="2"/>
      <c r="AH46" s="2" t="s">
        <v>428</v>
      </c>
      <c r="AI46" s="2"/>
      <c r="AJ46" s="2" t="s">
        <v>544</v>
      </c>
      <c r="AK46" s="2" t="s">
        <v>545</v>
      </c>
    </row>
    <row r="47" spans="1:37" x14ac:dyDescent="0.3">
      <c r="A47" s="2" t="s">
        <v>175</v>
      </c>
      <c r="B47" s="2" t="s">
        <v>440</v>
      </c>
      <c r="C47" s="2" t="s">
        <v>441</v>
      </c>
      <c r="D47" s="2" t="s">
        <v>456</v>
      </c>
      <c r="E47" s="2" t="s">
        <v>437</v>
      </c>
      <c r="F47" s="2" t="s">
        <v>427</v>
      </c>
      <c r="G47" s="2">
        <v>0.6</v>
      </c>
      <c r="H47" s="2">
        <v>2254</v>
      </c>
      <c r="I47" s="2">
        <v>93</v>
      </c>
      <c r="J47" s="2">
        <v>92</v>
      </c>
      <c r="K47" s="2"/>
      <c r="L47" s="2"/>
      <c r="M47" s="2">
        <v>0.15811513753064499</v>
      </c>
      <c r="N47" s="2">
        <v>8.7855307947703096</v>
      </c>
      <c r="O47" s="2">
        <v>0.70038592129771704</v>
      </c>
      <c r="P47" s="2"/>
      <c r="Q47" s="2"/>
      <c r="R47" s="2"/>
      <c r="S47" s="2"/>
      <c r="T47" s="2"/>
      <c r="U47" s="2"/>
      <c r="V47" s="2"/>
      <c r="W47" s="2"/>
      <c r="X47" s="2"/>
      <c r="Y47" s="2">
        <v>2.52134329596303E-2</v>
      </c>
      <c r="Z47" s="2">
        <v>2.56851092663998E-9</v>
      </c>
      <c r="AA47" s="2">
        <v>1.3620021933446601E-2</v>
      </c>
      <c r="AB47" s="2"/>
      <c r="AC47" s="2"/>
      <c r="AD47" s="2"/>
      <c r="AE47" s="2"/>
      <c r="AF47" s="2"/>
      <c r="AG47" s="2"/>
      <c r="AH47" s="2" t="s">
        <v>457</v>
      </c>
      <c r="AI47" s="2" t="s">
        <v>546</v>
      </c>
      <c r="AJ47" s="2" t="s">
        <v>547</v>
      </c>
      <c r="AK47" s="2" t="s">
        <v>548</v>
      </c>
    </row>
    <row r="48" spans="1:37" x14ac:dyDescent="0.3">
      <c r="A48" s="2" t="s">
        <v>177</v>
      </c>
      <c r="B48" s="2" t="s">
        <v>423</v>
      </c>
      <c r="C48" s="2" t="s">
        <v>424</v>
      </c>
      <c r="D48" s="2" t="s">
        <v>549</v>
      </c>
      <c r="E48" s="2" t="s">
        <v>426</v>
      </c>
      <c r="F48" s="2" t="s">
        <v>427</v>
      </c>
      <c r="G48" s="2">
        <v>0.6</v>
      </c>
      <c r="H48" s="2">
        <v>1273</v>
      </c>
      <c r="I48" s="2">
        <v>57</v>
      </c>
      <c r="J48" s="2">
        <v>56</v>
      </c>
      <c r="K48" s="2">
        <v>-6.3241088971284304E-2</v>
      </c>
      <c r="L48" s="2">
        <v>1.49608409528289E-2</v>
      </c>
      <c r="M48" s="2">
        <v>-4.2271078992605897</v>
      </c>
      <c r="N48" s="2">
        <v>48.487822028324103</v>
      </c>
      <c r="O48" s="2">
        <v>1.0415171497478399E-4</v>
      </c>
      <c r="P48" s="2">
        <v>-9.33140594749272E-2</v>
      </c>
      <c r="Q48" s="2">
        <v>-3.3168118467641401E-2</v>
      </c>
      <c r="R48" s="2">
        <v>-0.466850594523256</v>
      </c>
      <c r="S48" s="2">
        <v>0.34036841658068701</v>
      </c>
      <c r="T48" s="2">
        <v>-6.3156914080929202E-2</v>
      </c>
      <c r="U48" s="2">
        <v>-9.3044155030993198E-2</v>
      </c>
      <c r="V48" s="2">
        <v>-3.3155960802288303E-2</v>
      </c>
      <c r="W48" s="2">
        <v>-0.43565114569088298</v>
      </c>
      <c r="X48" s="2">
        <v>0.327806262171143</v>
      </c>
      <c r="Y48" s="2">
        <v>3.2085315179025298E-2</v>
      </c>
      <c r="Z48" s="2">
        <v>1.2527059216437201E-9</v>
      </c>
      <c r="AA48" s="2">
        <v>8.0072922504394201E-3</v>
      </c>
      <c r="AB48" s="2"/>
      <c r="AC48" s="2"/>
      <c r="AD48" s="2"/>
      <c r="AE48" s="2"/>
      <c r="AF48" s="2"/>
      <c r="AG48" s="2"/>
      <c r="AH48" s="2" t="s">
        <v>428</v>
      </c>
      <c r="AI48" s="2"/>
      <c r="AJ48" s="2" t="s">
        <v>550</v>
      </c>
      <c r="AK48" s="2" t="s">
        <v>551</v>
      </c>
    </row>
    <row r="49" spans="1:37" x14ac:dyDescent="0.3">
      <c r="A49" s="2" t="s">
        <v>177</v>
      </c>
      <c r="B49" s="2" t="s">
        <v>423</v>
      </c>
      <c r="C49" s="2" t="s">
        <v>424</v>
      </c>
      <c r="D49" s="2" t="s">
        <v>552</v>
      </c>
      <c r="E49" s="2" t="s">
        <v>426</v>
      </c>
      <c r="F49" s="2" t="s">
        <v>427</v>
      </c>
      <c r="G49" s="2">
        <v>0.6</v>
      </c>
      <c r="H49" s="2">
        <v>531</v>
      </c>
      <c r="I49" s="2">
        <v>30</v>
      </c>
      <c r="J49" s="2">
        <v>30</v>
      </c>
      <c r="K49" s="2">
        <v>-6.8205730037871795E-2</v>
      </c>
      <c r="L49" s="2">
        <v>3.5747457300407903E-2</v>
      </c>
      <c r="M49" s="2">
        <v>-1.9079882931168299</v>
      </c>
      <c r="N49" s="2">
        <v>16.3505696091899</v>
      </c>
      <c r="O49" s="2">
        <v>7.41115637926473E-2</v>
      </c>
      <c r="P49" s="2">
        <v>-0.143855115594515</v>
      </c>
      <c r="Q49" s="2">
        <v>7.4436555187711003E-3</v>
      </c>
      <c r="R49" s="2">
        <v>-0.49863874791435198</v>
      </c>
      <c r="S49" s="2">
        <v>0.36222728783860902</v>
      </c>
      <c r="T49" s="2">
        <v>-6.8100161632767803E-2</v>
      </c>
      <c r="U49" s="2">
        <v>-0.14287093486397201</v>
      </c>
      <c r="V49" s="2">
        <v>7.4435180424444599E-3</v>
      </c>
      <c r="W49" s="2">
        <v>-0.46104593044117997</v>
      </c>
      <c r="X49" s="2">
        <v>0.34717437946976698</v>
      </c>
      <c r="Y49" s="2">
        <v>3.2085315179025298E-2</v>
      </c>
      <c r="Z49" s="2">
        <v>1.2527059216437201E-9</v>
      </c>
      <c r="AA49" s="2">
        <v>8.0072922504394201E-3</v>
      </c>
      <c r="AB49" s="2"/>
      <c r="AC49" s="2"/>
      <c r="AD49" s="2"/>
      <c r="AE49" s="2"/>
      <c r="AF49" s="2"/>
      <c r="AG49" s="2"/>
      <c r="AH49" s="2" t="s">
        <v>428</v>
      </c>
      <c r="AI49" s="2"/>
      <c r="AJ49" s="2" t="s">
        <v>550</v>
      </c>
      <c r="AK49" s="2" t="s">
        <v>553</v>
      </c>
    </row>
    <row r="50" spans="1:37" x14ac:dyDescent="0.3">
      <c r="A50" s="2" t="s">
        <v>177</v>
      </c>
      <c r="B50" s="2" t="s">
        <v>423</v>
      </c>
      <c r="C50" s="2" t="s">
        <v>424</v>
      </c>
      <c r="D50" s="2" t="s">
        <v>554</v>
      </c>
      <c r="E50" s="2" t="s">
        <v>426</v>
      </c>
      <c r="F50" s="2" t="s">
        <v>427</v>
      </c>
      <c r="G50" s="2">
        <v>0.6</v>
      </c>
      <c r="H50" s="2">
        <v>1804</v>
      </c>
      <c r="I50" s="2">
        <v>85</v>
      </c>
      <c r="J50" s="2">
        <v>84</v>
      </c>
      <c r="K50" s="2">
        <v>4.9646410665875199E-3</v>
      </c>
      <c r="L50" s="2">
        <v>2.76987447772356E-2</v>
      </c>
      <c r="M50" s="2"/>
      <c r="N50" s="2">
        <v>3.9178448697355699</v>
      </c>
      <c r="O50" s="2"/>
      <c r="P50" s="2">
        <v>-7.2579589379041506E-2</v>
      </c>
      <c r="Q50" s="2">
        <v>8.25088715122166E-2</v>
      </c>
      <c r="R50" s="2"/>
      <c r="S50" s="2"/>
      <c r="T50" s="2"/>
      <c r="U50" s="2"/>
      <c r="V50" s="2"/>
      <c r="W50" s="2"/>
      <c r="X50" s="2"/>
      <c r="Y50" s="2">
        <v>3.2085315179025298E-2</v>
      </c>
      <c r="Z50" s="2">
        <v>1.2527059216437201E-9</v>
      </c>
      <c r="AA50" s="2">
        <v>8.0072922504394201E-3</v>
      </c>
      <c r="AB50" s="2"/>
      <c r="AC50" s="2"/>
      <c r="AD50" s="2"/>
      <c r="AE50" s="2"/>
      <c r="AF50" s="2"/>
      <c r="AG50" s="2"/>
      <c r="AH50" s="2" t="s">
        <v>428</v>
      </c>
      <c r="AI50" s="2"/>
      <c r="AJ50" s="2" t="s">
        <v>555</v>
      </c>
      <c r="AK50" s="2" t="s">
        <v>556</v>
      </c>
    </row>
    <row r="51" spans="1:37" x14ac:dyDescent="0.3">
      <c r="A51" s="2" t="s">
        <v>177</v>
      </c>
      <c r="B51" s="2" t="s">
        <v>423</v>
      </c>
      <c r="C51" s="2" t="s">
        <v>424</v>
      </c>
      <c r="D51" s="2" t="s">
        <v>436</v>
      </c>
      <c r="E51" s="2" t="s">
        <v>437</v>
      </c>
      <c r="F51" s="2" t="s">
        <v>427</v>
      </c>
      <c r="G51" s="2">
        <v>0.6</v>
      </c>
      <c r="H51" s="2">
        <v>1804</v>
      </c>
      <c r="I51" s="2">
        <v>85</v>
      </c>
      <c r="J51" s="2">
        <v>84</v>
      </c>
      <c r="K51" s="2"/>
      <c r="L51" s="2"/>
      <c r="M51" s="2">
        <v>3.2125917038583598E-2</v>
      </c>
      <c r="N51" s="2">
        <v>3.9178448697355699</v>
      </c>
      <c r="O51" s="2">
        <v>0.86663797106289897</v>
      </c>
      <c r="P51" s="2"/>
      <c r="Q51" s="2"/>
      <c r="R51" s="2"/>
      <c r="S51" s="2"/>
      <c r="T51" s="2"/>
      <c r="U51" s="2"/>
      <c r="V51" s="2"/>
      <c r="W51" s="2"/>
      <c r="X51" s="2"/>
      <c r="Y51" s="2">
        <v>3.2085315179025298E-2</v>
      </c>
      <c r="Z51" s="2">
        <v>1.2527059216437201E-9</v>
      </c>
      <c r="AA51" s="2">
        <v>8.0072922504394201E-3</v>
      </c>
      <c r="AB51" s="2"/>
      <c r="AC51" s="2"/>
      <c r="AD51" s="2"/>
      <c r="AE51" s="2"/>
      <c r="AF51" s="2"/>
      <c r="AG51" s="2"/>
      <c r="AH51" s="2" t="s">
        <v>428</v>
      </c>
      <c r="AI51" s="2"/>
      <c r="AJ51" s="2" t="s">
        <v>557</v>
      </c>
      <c r="AK51" s="2" t="s">
        <v>558</v>
      </c>
    </row>
    <row r="52" spans="1:37" x14ac:dyDescent="0.3">
      <c r="A52" s="2" t="s">
        <v>177</v>
      </c>
      <c r="B52" s="2" t="s">
        <v>440</v>
      </c>
      <c r="C52" s="2" t="s">
        <v>441</v>
      </c>
      <c r="D52" s="2" t="s">
        <v>559</v>
      </c>
      <c r="E52" s="2" t="s">
        <v>426</v>
      </c>
      <c r="F52" s="2" t="s">
        <v>427</v>
      </c>
      <c r="G52" s="2">
        <v>0.6</v>
      </c>
      <c r="H52" s="2">
        <v>1177</v>
      </c>
      <c r="I52" s="2">
        <v>49</v>
      </c>
      <c r="J52" s="2">
        <v>48</v>
      </c>
      <c r="K52" s="2">
        <v>-6.2742595624611E-2</v>
      </c>
      <c r="L52" s="2">
        <v>1.85547677063219E-2</v>
      </c>
      <c r="M52" s="2">
        <v>-3.3814810628555398</v>
      </c>
      <c r="N52" s="2">
        <v>42.971284379351303</v>
      </c>
      <c r="O52" s="2">
        <v>1.54551235201715E-3</v>
      </c>
      <c r="P52" s="2">
        <v>-0.100162574059367</v>
      </c>
      <c r="Q52" s="2">
        <v>-2.5322617189854998E-2</v>
      </c>
      <c r="R52" s="2"/>
      <c r="S52" s="2"/>
      <c r="T52" s="2">
        <v>-6.2660393531443107E-2</v>
      </c>
      <c r="U52" s="2">
        <v>-9.9828951111435901E-2</v>
      </c>
      <c r="V52" s="2">
        <v>-2.5317205995473401E-2</v>
      </c>
      <c r="W52" s="2"/>
      <c r="X52" s="2"/>
      <c r="Y52" s="2">
        <v>3.31953292692031E-2</v>
      </c>
      <c r="Z52" s="2">
        <v>9.7172008237898899E-10</v>
      </c>
      <c r="AA52" s="2">
        <v>8.0007789853475206E-3</v>
      </c>
      <c r="AB52" s="2"/>
      <c r="AC52" s="2"/>
      <c r="AD52" s="2"/>
      <c r="AE52" s="2"/>
      <c r="AF52" s="2"/>
      <c r="AG52" s="2"/>
      <c r="AH52" s="2" t="s">
        <v>428</v>
      </c>
      <c r="AI52" s="2"/>
      <c r="AJ52" s="2" t="s">
        <v>560</v>
      </c>
      <c r="AK52" s="2" t="s">
        <v>561</v>
      </c>
    </row>
    <row r="53" spans="1:37" x14ac:dyDescent="0.3">
      <c r="A53" s="2" t="s">
        <v>177</v>
      </c>
      <c r="B53" s="2" t="s">
        <v>440</v>
      </c>
      <c r="C53" s="2" t="s">
        <v>441</v>
      </c>
      <c r="D53" s="2" t="s">
        <v>562</v>
      </c>
      <c r="E53" s="2" t="s">
        <v>426</v>
      </c>
      <c r="F53" s="2" t="s">
        <v>427</v>
      </c>
      <c r="G53" s="2">
        <v>0.6</v>
      </c>
      <c r="H53" s="2">
        <v>88</v>
      </c>
      <c r="I53" s="2">
        <v>6</v>
      </c>
      <c r="J53" s="2">
        <v>6</v>
      </c>
      <c r="K53" s="2">
        <v>-7.6528502592127401E-2</v>
      </c>
      <c r="L53" s="2">
        <v>2.1589785968714401E-2</v>
      </c>
      <c r="M53" s="2"/>
      <c r="N53" s="2">
        <v>4.9937311173185099</v>
      </c>
      <c r="O53" s="2"/>
      <c r="P53" s="2">
        <v>-0.132047775887287</v>
      </c>
      <c r="Q53" s="2">
        <v>-2.1009229296967798E-2</v>
      </c>
      <c r="R53" s="2"/>
      <c r="S53" s="2"/>
      <c r="T53" s="2">
        <v>-7.6379452512318202E-2</v>
      </c>
      <c r="U53" s="2">
        <v>-0.13128560258684799</v>
      </c>
      <c r="V53" s="2">
        <v>-2.1006138770705798E-2</v>
      </c>
      <c r="W53" s="2"/>
      <c r="X53" s="2"/>
      <c r="Y53" s="2">
        <v>3.31953292692031E-2</v>
      </c>
      <c r="Z53" s="2">
        <v>9.7172008237898899E-10</v>
      </c>
      <c r="AA53" s="2">
        <v>8.0007789853475206E-3</v>
      </c>
      <c r="AB53" s="2"/>
      <c r="AC53" s="2"/>
      <c r="AD53" s="2"/>
      <c r="AE53" s="2"/>
      <c r="AF53" s="2"/>
      <c r="AG53" s="2"/>
      <c r="AH53" s="2" t="s">
        <v>428</v>
      </c>
      <c r="AI53" s="2"/>
      <c r="AJ53" s="2" t="s">
        <v>563</v>
      </c>
      <c r="AK53" s="2" t="s">
        <v>564</v>
      </c>
    </row>
    <row r="54" spans="1:37" x14ac:dyDescent="0.3">
      <c r="A54" s="2" t="s">
        <v>177</v>
      </c>
      <c r="B54" s="2" t="s">
        <v>440</v>
      </c>
      <c r="C54" s="2" t="s">
        <v>441</v>
      </c>
      <c r="D54" s="2" t="s">
        <v>565</v>
      </c>
      <c r="E54" s="2" t="s">
        <v>426</v>
      </c>
      <c r="F54" s="2" t="s">
        <v>427</v>
      </c>
      <c r="G54" s="2">
        <v>0.6</v>
      </c>
      <c r="H54" s="2">
        <v>288</v>
      </c>
      <c r="I54" s="2">
        <v>16</v>
      </c>
      <c r="J54" s="2">
        <v>16</v>
      </c>
      <c r="K54" s="2">
        <v>-8.9407793581904399E-2</v>
      </c>
      <c r="L54" s="2">
        <v>6.7444379847310207E-2</v>
      </c>
      <c r="M54" s="2">
        <v>-1.325652245366</v>
      </c>
      <c r="N54" s="2">
        <v>5.9728083358560102</v>
      </c>
      <c r="O54" s="2">
        <v>0.23340027798986099</v>
      </c>
      <c r="P54" s="2">
        <v>-0.25462053752339098</v>
      </c>
      <c r="Q54" s="2">
        <v>7.5804950359582499E-2</v>
      </c>
      <c r="R54" s="2"/>
      <c r="S54" s="2"/>
      <c r="T54" s="2">
        <v>-8.9170318258153206E-2</v>
      </c>
      <c r="U54" s="2">
        <v>-0.249257095797323</v>
      </c>
      <c r="V54" s="2">
        <v>7.5660081723666006E-2</v>
      </c>
      <c r="W54" s="2"/>
      <c r="X54" s="2"/>
      <c r="Y54" s="2">
        <v>3.31953292692031E-2</v>
      </c>
      <c r="Z54" s="2">
        <v>9.7172008237898899E-10</v>
      </c>
      <c r="AA54" s="2">
        <v>8.0007789853475206E-3</v>
      </c>
      <c r="AB54" s="2"/>
      <c r="AC54" s="2"/>
      <c r="AD54" s="2"/>
      <c r="AE54" s="2"/>
      <c r="AF54" s="2"/>
      <c r="AG54" s="2"/>
      <c r="AH54" s="2" t="s">
        <v>428</v>
      </c>
      <c r="AI54" s="2"/>
      <c r="AJ54" s="2" t="s">
        <v>560</v>
      </c>
      <c r="AK54" s="2" t="s">
        <v>566</v>
      </c>
    </row>
    <row r="55" spans="1:37" x14ac:dyDescent="0.3">
      <c r="A55" s="2" t="s">
        <v>177</v>
      </c>
      <c r="B55" s="2" t="s">
        <v>440</v>
      </c>
      <c r="C55" s="2" t="s">
        <v>441</v>
      </c>
      <c r="D55" s="2" t="s">
        <v>567</v>
      </c>
      <c r="E55" s="2" t="s">
        <v>426</v>
      </c>
      <c r="F55" s="2" t="s">
        <v>427</v>
      </c>
      <c r="G55" s="2">
        <v>0.6</v>
      </c>
      <c r="H55" s="2">
        <v>243</v>
      </c>
      <c r="I55" s="2">
        <v>14</v>
      </c>
      <c r="J55" s="2">
        <v>14</v>
      </c>
      <c r="K55" s="2">
        <v>-4.1996529744561202E-2</v>
      </c>
      <c r="L55" s="2">
        <v>1.7458077062521501E-2</v>
      </c>
      <c r="M55" s="2">
        <v>-2.4055644613184901</v>
      </c>
      <c r="N55" s="2">
        <v>5.4131389159381502</v>
      </c>
      <c r="O55" s="2">
        <v>5.7373826166310898E-2</v>
      </c>
      <c r="P55" s="2">
        <v>-8.5863058188455202E-2</v>
      </c>
      <c r="Q55" s="2">
        <v>1.86999869933286E-3</v>
      </c>
      <c r="R55" s="2"/>
      <c r="S55" s="2"/>
      <c r="T55" s="2">
        <v>-4.1971857271460099E-2</v>
      </c>
      <c r="U55" s="2">
        <v>-8.5652671138191097E-2</v>
      </c>
      <c r="V55" s="2">
        <v>1.8699965196061199E-3</v>
      </c>
      <c r="W55" s="2"/>
      <c r="X55" s="2"/>
      <c r="Y55" s="2">
        <v>3.31953292692031E-2</v>
      </c>
      <c r="Z55" s="2">
        <v>9.7172008237898899E-10</v>
      </c>
      <c r="AA55" s="2">
        <v>8.0007789853475206E-3</v>
      </c>
      <c r="AB55" s="2"/>
      <c r="AC55" s="2"/>
      <c r="AD55" s="2"/>
      <c r="AE55" s="2"/>
      <c r="AF55" s="2"/>
      <c r="AG55" s="2"/>
      <c r="AH55" s="2" t="s">
        <v>428</v>
      </c>
      <c r="AI55" s="2"/>
      <c r="AJ55" s="2" t="s">
        <v>560</v>
      </c>
      <c r="AK55" s="2" t="s">
        <v>568</v>
      </c>
    </row>
    <row r="56" spans="1:37" x14ac:dyDescent="0.3">
      <c r="A56" s="2" t="s">
        <v>177</v>
      </c>
      <c r="B56" s="2" t="s">
        <v>440</v>
      </c>
      <c r="C56" s="2" t="s">
        <v>441</v>
      </c>
      <c r="D56" s="2" t="s">
        <v>569</v>
      </c>
      <c r="E56" s="2" t="s">
        <v>426</v>
      </c>
      <c r="F56" s="2" t="s">
        <v>427</v>
      </c>
      <c r="G56" s="2">
        <v>0.6</v>
      </c>
      <c r="H56" s="2">
        <v>1796</v>
      </c>
      <c r="I56" s="2">
        <v>83</v>
      </c>
      <c r="J56" s="2">
        <v>82</v>
      </c>
      <c r="K56" s="2">
        <v>-1.37859069675165E-2</v>
      </c>
      <c r="L56" s="2">
        <v>2.8467494846060201E-2</v>
      </c>
      <c r="M56" s="2">
        <v>-0.48426835736915702</v>
      </c>
      <c r="N56" s="2">
        <v>5.99535176140472</v>
      </c>
      <c r="O56" s="2">
        <v>0.64537731034302004</v>
      </c>
      <c r="P56" s="2">
        <v>-8.3456450747567495E-2</v>
      </c>
      <c r="Q56" s="2">
        <v>5.5884636812534499E-2</v>
      </c>
      <c r="R56" s="2"/>
      <c r="S56" s="2"/>
      <c r="T56" s="2"/>
      <c r="U56" s="2"/>
      <c r="V56" s="2"/>
      <c r="W56" s="2"/>
      <c r="X56" s="2"/>
      <c r="Y56" s="2">
        <v>3.31953292692031E-2</v>
      </c>
      <c r="Z56" s="2">
        <v>9.7172008237898899E-10</v>
      </c>
      <c r="AA56" s="2">
        <v>8.0007789853475206E-3</v>
      </c>
      <c r="AB56" s="2"/>
      <c r="AC56" s="2"/>
      <c r="AD56" s="2"/>
      <c r="AE56" s="2"/>
      <c r="AF56" s="2"/>
      <c r="AG56" s="2"/>
      <c r="AH56" s="2" t="s">
        <v>428</v>
      </c>
      <c r="AI56" s="2"/>
      <c r="AJ56" s="2" t="s">
        <v>570</v>
      </c>
      <c r="AK56" s="2" t="s">
        <v>571</v>
      </c>
    </row>
    <row r="57" spans="1:37" x14ac:dyDescent="0.3">
      <c r="A57" s="2" t="s">
        <v>177</v>
      </c>
      <c r="B57" s="2" t="s">
        <v>440</v>
      </c>
      <c r="C57" s="2" t="s">
        <v>441</v>
      </c>
      <c r="D57" s="2" t="s">
        <v>572</v>
      </c>
      <c r="E57" s="2" t="s">
        <v>426</v>
      </c>
      <c r="F57" s="2" t="s">
        <v>427</v>
      </c>
      <c r="G57" s="2">
        <v>0.6</v>
      </c>
      <c r="H57" s="2">
        <v>1796</v>
      </c>
      <c r="I57" s="2">
        <v>83</v>
      </c>
      <c r="J57" s="2">
        <v>82</v>
      </c>
      <c r="K57" s="2">
        <v>4.7411263837343301E-2</v>
      </c>
      <c r="L57" s="2">
        <v>6.5903300461384498E-2</v>
      </c>
      <c r="M57" s="2">
        <v>0.71940651690310298</v>
      </c>
      <c r="N57" s="2">
        <v>5.8548168222215802</v>
      </c>
      <c r="O57" s="2">
        <v>0.49958477487198999</v>
      </c>
      <c r="P57" s="2">
        <v>-0.11482259801026801</v>
      </c>
      <c r="Q57" s="2">
        <v>0.209645125684954</v>
      </c>
      <c r="R57" s="2"/>
      <c r="S57" s="2"/>
      <c r="T57" s="2"/>
      <c r="U57" s="2"/>
      <c r="V57" s="2"/>
      <c r="W57" s="2"/>
      <c r="X57" s="2"/>
      <c r="Y57" s="2">
        <v>3.31953292692031E-2</v>
      </c>
      <c r="Z57" s="2">
        <v>9.7172008237898899E-10</v>
      </c>
      <c r="AA57" s="2">
        <v>8.0007789853475206E-3</v>
      </c>
      <c r="AB57" s="2"/>
      <c r="AC57" s="2"/>
      <c r="AD57" s="2"/>
      <c r="AE57" s="2"/>
      <c r="AF57" s="2"/>
      <c r="AG57" s="2"/>
      <c r="AH57" s="2" t="s">
        <v>428</v>
      </c>
      <c r="AI57" s="2"/>
      <c r="AJ57" s="2" t="s">
        <v>570</v>
      </c>
      <c r="AK57" s="2" t="s">
        <v>573</v>
      </c>
    </row>
    <row r="58" spans="1:37" x14ac:dyDescent="0.3">
      <c r="A58" s="2" t="s">
        <v>177</v>
      </c>
      <c r="B58" s="2" t="s">
        <v>440</v>
      </c>
      <c r="C58" s="2" t="s">
        <v>441</v>
      </c>
      <c r="D58" s="2" t="s">
        <v>456</v>
      </c>
      <c r="E58" s="2" t="s">
        <v>437</v>
      </c>
      <c r="F58" s="2" t="s">
        <v>427</v>
      </c>
      <c r="G58" s="2">
        <v>0.6</v>
      </c>
      <c r="H58" s="2">
        <v>1796</v>
      </c>
      <c r="I58" s="2">
        <v>83</v>
      </c>
      <c r="J58" s="2">
        <v>82</v>
      </c>
      <c r="K58" s="2"/>
      <c r="L58" s="2"/>
      <c r="M58" s="2">
        <v>0.83663291803911799</v>
      </c>
      <c r="N58" s="2">
        <v>9.4938296622392393</v>
      </c>
      <c r="O58" s="2">
        <v>0.38300480674195297</v>
      </c>
      <c r="P58" s="2"/>
      <c r="Q58" s="2"/>
      <c r="R58" s="2"/>
      <c r="S58" s="2"/>
      <c r="T58" s="2"/>
      <c r="U58" s="2"/>
      <c r="V58" s="2"/>
      <c r="W58" s="2"/>
      <c r="X58" s="2"/>
      <c r="Y58" s="2">
        <v>3.31953292692031E-2</v>
      </c>
      <c r="Z58" s="2">
        <v>9.7172008237898899E-10</v>
      </c>
      <c r="AA58" s="2">
        <v>8.0007789853475206E-3</v>
      </c>
      <c r="AB58" s="2"/>
      <c r="AC58" s="2"/>
      <c r="AD58" s="2"/>
      <c r="AE58" s="2"/>
      <c r="AF58" s="2"/>
      <c r="AG58" s="2"/>
      <c r="AH58" s="2" t="s">
        <v>457</v>
      </c>
      <c r="AI58" s="2" t="s">
        <v>574</v>
      </c>
      <c r="AJ58" s="2" t="s">
        <v>575</v>
      </c>
      <c r="AK58" s="2" t="s">
        <v>576</v>
      </c>
    </row>
    <row r="59" spans="1:37" x14ac:dyDescent="0.3">
      <c r="A59" s="2" t="s">
        <v>178</v>
      </c>
      <c r="B59" s="2" t="s">
        <v>423</v>
      </c>
      <c r="C59" s="2" t="s">
        <v>424</v>
      </c>
      <c r="D59" s="2" t="s">
        <v>577</v>
      </c>
      <c r="E59" s="2" t="s">
        <v>426</v>
      </c>
      <c r="F59" s="2" t="s">
        <v>427</v>
      </c>
      <c r="G59" s="2">
        <v>0.6</v>
      </c>
      <c r="H59" s="2">
        <v>932</v>
      </c>
      <c r="I59" s="2">
        <v>32</v>
      </c>
      <c r="J59" s="2">
        <v>32</v>
      </c>
      <c r="K59" s="2">
        <v>-5.2005104968825898E-2</v>
      </c>
      <c r="L59" s="2">
        <v>2.3923346593507599E-2</v>
      </c>
      <c r="M59" s="2">
        <v>-2.17382232730513</v>
      </c>
      <c r="N59" s="2">
        <v>22.2361723715712</v>
      </c>
      <c r="O59" s="2">
        <v>4.0636077467052299E-2</v>
      </c>
      <c r="P59" s="2">
        <v>-0.10158855449500701</v>
      </c>
      <c r="Q59" s="2">
        <v>-2.4216554426444198E-3</v>
      </c>
      <c r="R59" s="2">
        <v>-0.45746082136489702</v>
      </c>
      <c r="S59" s="2">
        <v>0.35345061142724499</v>
      </c>
      <c r="T59" s="2">
        <v>-5.1958272493600598E-2</v>
      </c>
      <c r="U59" s="2">
        <v>-0.101240518584242</v>
      </c>
      <c r="V59" s="2">
        <v>-2.42165070879129E-3</v>
      </c>
      <c r="W59" s="2">
        <v>-0.42801245277286198</v>
      </c>
      <c r="X59" s="2">
        <v>0.33943216427878198</v>
      </c>
      <c r="Y59" s="2">
        <v>1.4809626359086199E-2</v>
      </c>
      <c r="Z59" s="2">
        <v>1.4809642059622E-2</v>
      </c>
      <c r="AA59" s="2">
        <v>8.0782978279127608E-3</v>
      </c>
      <c r="AB59" s="2"/>
      <c r="AC59" s="2"/>
      <c r="AD59" s="2"/>
      <c r="AE59" s="2"/>
      <c r="AF59" s="2"/>
      <c r="AG59" s="2"/>
      <c r="AH59" s="2" t="s">
        <v>428</v>
      </c>
      <c r="AI59" s="2"/>
      <c r="AJ59" s="2" t="s">
        <v>578</v>
      </c>
      <c r="AK59" s="2" t="s">
        <v>579</v>
      </c>
    </row>
    <row r="60" spans="1:37" x14ac:dyDescent="0.3">
      <c r="A60" s="2" t="s">
        <v>178</v>
      </c>
      <c r="B60" s="2" t="s">
        <v>423</v>
      </c>
      <c r="C60" s="2" t="s">
        <v>424</v>
      </c>
      <c r="D60" s="2" t="s">
        <v>580</v>
      </c>
      <c r="E60" s="2" t="s">
        <v>426</v>
      </c>
      <c r="F60" s="2" t="s">
        <v>427</v>
      </c>
      <c r="G60" s="2">
        <v>0.6</v>
      </c>
      <c r="H60" s="2">
        <v>333</v>
      </c>
      <c r="I60" s="2">
        <v>23</v>
      </c>
      <c r="J60" s="2">
        <v>23</v>
      </c>
      <c r="K60" s="2">
        <v>-7.1773799645660705E-2</v>
      </c>
      <c r="L60" s="2">
        <v>3.9285485365277303E-2</v>
      </c>
      <c r="M60" s="2">
        <v>-1.8269800914588801</v>
      </c>
      <c r="N60" s="2">
        <v>14.424424248596701</v>
      </c>
      <c r="O60" s="2">
        <v>8.8464767779045703E-2</v>
      </c>
      <c r="P60" s="2">
        <v>-0.15580078544097101</v>
      </c>
      <c r="Q60" s="2">
        <v>1.22531861496491E-2</v>
      </c>
      <c r="R60" s="2">
        <v>-0.49547161802712503</v>
      </c>
      <c r="S60" s="2">
        <v>0.35192401873580298</v>
      </c>
      <c r="T60" s="2">
        <v>-7.1650806021539795E-2</v>
      </c>
      <c r="U60" s="2">
        <v>-0.15455227640409</v>
      </c>
      <c r="V60" s="2">
        <v>1.2252572953021099E-2</v>
      </c>
      <c r="W60" s="2">
        <v>-0.458548377735987</v>
      </c>
      <c r="X60" s="2">
        <v>0.33808075751914601</v>
      </c>
      <c r="Y60" s="2">
        <v>1.4809626359086199E-2</v>
      </c>
      <c r="Z60" s="2">
        <v>1.4809642059622E-2</v>
      </c>
      <c r="AA60" s="2">
        <v>8.0782978279127608E-3</v>
      </c>
      <c r="AB60" s="2"/>
      <c r="AC60" s="2"/>
      <c r="AD60" s="2"/>
      <c r="AE60" s="2"/>
      <c r="AF60" s="2"/>
      <c r="AG60" s="2"/>
      <c r="AH60" s="2" t="s">
        <v>428</v>
      </c>
      <c r="AI60" s="2"/>
      <c r="AJ60" s="2" t="s">
        <v>578</v>
      </c>
      <c r="AK60" s="2" t="s">
        <v>581</v>
      </c>
    </row>
    <row r="61" spans="1:37" x14ac:dyDescent="0.3">
      <c r="A61" s="2" t="s">
        <v>178</v>
      </c>
      <c r="B61" s="2" t="s">
        <v>423</v>
      </c>
      <c r="C61" s="2" t="s">
        <v>424</v>
      </c>
      <c r="D61" s="2" t="s">
        <v>582</v>
      </c>
      <c r="E61" s="2" t="s">
        <v>426</v>
      </c>
      <c r="F61" s="2" t="s">
        <v>427</v>
      </c>
      <c r="G61" s="2">
        <v>0.6</v>
      </c>
      <c r="H61" s="2">
        <v>662</v>
      </c>
      <c r="I61" s="2">
        <v>39</v>
      </c>
      <c r="J61" s="2">
        <v>39</v>
      </c>
      <c r="K61" s="2">
        <v>-7.3641179303822704E-2</v>
      </c>
      <c r="L61" s="2">
        <v>2.1780114481670901E-2</v>
      </c>
      <c r="M61" s="2">
        <v>-3.38111993698636</v>
      </c>
      <c r="N61" s="2">
        <v>23.4153800787522</v>
      </c>
      <c r="O61" s="2">
        <v>2.5289597224464502E-3</v>
      </c>
      <c r="P61" s="2">
        <v>-0.11865259332122501</v>
      </c>
      <c r="Q61" s="2">
        <v>-2.8629765286420601E-2</v>
      </c>
      <c r="R61" s="2">
        <v>-0.47741170412829298</v>
      </c>
      <c r="S61" s="2">
        <v>0.33012934552064699</v>
      </c>
      <c r="T61" s="2">
        <v>-7.3508348158137907E-2</v>
      </c>
      <c r="U61" s="2">
        <v>-0.118098896796188</v>
      </c>
      <c r="V61" s="2">
        <v>-2.8621945592722901E-2</v>
      </c>
      <c r="W61" s="2">
        <v>-0.44416833810303602</v>
      </c>
      <c r="X61" s="2">
        <v>0.318636994822109</v>
      </c>
      <c r="Y61" s="2">
        <v>1.4809626359086199E-2</v>
      </c>
      <c r="Z61" s="2">
        <v>1.4809642059622E-2</v>
      </c>
      <c r="AA61" s="2">
        <v>8.0782978279127608E-3</v>
      </c>
      <c r="AB61" s="2"/>
      <c r="AC61" s="2"/>
      <c r="AD61" s="2"/>
      <c r="AE61" s="2"/>
      <c r="AF61" s="2"/>
      <c r="AG61" s="2"/>
      <c r="AH61" s="2" t="s">
        <v>428</v>
      </c>
      <c r="AI61" s="2"/>
      <c r="AJ61" s="2" t="s">
        <v>578</v>
      </c>
      <c r="AK61" s="2" t="s">
        <v>583</v>
      </c>
    </row>
    <row r="62" spans="1:37" x14ac:dyDescent="0.3">
      <c r="A62" s="2" t="s">
        <v>178</v>
      </c>
      <c r="B62" s="2" t="s">
        <v>423</v>
      </c>
      <c r="C62" s="2" t="s">
        <v>424</v>
      </c>
      <c r="D62" s="2" t="s">
        <v>584</v>
      </c>
      <c r="E62" s="2" t="s">
        <v>426</v>
      </c>
      <c r="F62" s="2" t="s">
        <v>427</v>
      </c>
      <c r="G62" s="2">
        <v>0.6</v>
      </c>
      <c r="H62" s="2">
        <v>1927</v>
      </c>
      <c r="I62" s="2">
        <v>91</v>
      </c>
      <c r="J62" s="2">
        <v>91</v>
      </c>
      <c r="K62" s="2">
        <v>1.97686946768348E-2</v>
      </c>
      <c r="L62" s="2">
        <v>2.1289314027782499E-2</v>
      </c>
      <c r="M62" s="2"/>
      <c r="N62" s="2">
        <v>1.82056939063588</v>
      </c>
      <c r="O62" s="2"/>
      <c r="P62" s="2">
        <v>-8.1051141948140407E-2</v>
      </c>
      <c r="Q62" s="2">
        <v>0.12058853130181001</v>
      </c>
      <c r="R62" s="2"/>
      <c r="S62" s="2"/>
      <c r="T62" s="2"/>
      <c r="U62" s="2"/>
      <c r="V62" s="2"/>
      <c r="W62" s="2"/>
      <c r="X62" s="2"/>
      <c r="Y62" s="2">
        <v>1.4809626359086199E-2</v>
      </c>
      <c r="Z62" s="2">
        <v>1.4809642059622E-2</v>
      </c>
      <c r="AA62" s="2">
        <v>8.0782978279127608E-3</v>
      </c>
      <c r="AB62" s="2"/>
      <c r="AC62" s="2"/>
      <c r="AD62" s="2"/>
      <c r="AE62" s="2"/>
      <c r="AF62" s="2"/>
      <c r="AG62" s="2"/>
      <c r="AH62" s="2" t="s">
        <v>428</v>
      </c>
      <c r="AI62" s="2"/>
      <c r="AJ62" s="2" t="s">
        <v>585</v>
      </c>
      <c r="AK62" s="2" t="s">
        <v>586</v>
      </c>
    </row>
    <row r="63" spans="1:37" x14ac:dyDescent="0.3">
      <c r="A63" s="2" t="s">
        <v>178</v>
      </c>
      <c r="B63" s="2" t="s">
        <v>423</v>
      </c>
      <c r="C63" s="2" t="s">
        <v>424</v>
      </c>
      <c r="D63" s="2" t="s">
        <v>587</v>
      </c>
      <c r="E63" s="2" t="s">
        <v>426</v>
      </c>
      <c r="F63" s="2" t="s">
        <v>427</v>
      </c>
      <c r="G63" s="2">
        <v>0.6</v>
      </c>
      <c r="H63" s="2">
        <v>1927</v>
      </c>
      <c r="I63" s="2">
        <v>91</v>
      </c>
      <c r="J63" s="2">
        <v>91</v>
      </c>
      <c r="K63" s="2">
        <v>2.1636074334996799E-2</v>
      </c>
      <c r="L63" s="2">
        <v>3.3648272196019798E-2</v>
      </c>
      <c r="M63" s="2">
        <v>0.64300699331468503</v>
      </c>
      <c r="N63" s="2">
        <v>13.314037302037301</v>
      </c>
      <c r="O63" s="2">
        <v>0.53113828405199404</v>
      </c>
      <c r="P63" s="2">
        <v>-5.0882688272071097E-2</v>
      </c>
      <c r="Q63" s="2">
        <v>9.4154836942064696E-2</v>
      </c>
      <c r="R63" s="2"/>
      <c r="S63" s="2"/>
      <c r="T63" s="2"/>
      <c r="U63" s="2"/>
      <c r="V63" s="2"/>
      <c r="W63" s="2"/>
      <c r="X63" s="2"/>
      <c r="Y63" s="2">
        <v>1.4809626359086199E-2</v>
      </c>
      <c r="Z63" s="2">
        <v>1.4809642059622E-2</v>
      </c>
      <c r="AA63" s="2">
        <v>8.0782978279127608E-3</v>
      </c>
      <c r="AB63" s="2"/>
      <c r="AC63" s="2"/>
      <c r="AD63" s="2"/>
      <c r="AE63" s="2"/>
      <c r="AF63" s="2"/>
      <c r="AG63" s="2"/>
      <c r="AH63" s="2" t="s">
        <v>428</v>
      </c>
      <c r="AI63" s="2"/>
      <c r="AJ63" s="2" t="s">
        <v>588</v>
      </c>
      <c r="AK63" s="2" t="s">
        <v>589</v>
      </c>
    </row>
    <row r="64" spans="1:37" x14ac:dyDescent="0.3">
      <c r="A64" s="2" t="s">
        <v>178</v>
      </c>
      <c r="B64" s="2" t="s">
        <v>423</v>
      </c>
      <c r="C64" s="2" t="s">
        <v>424</v>
      </c>
      <c r="D64" s="2" t="s">
        <v>590</v>
      </c>
      <c r="E64" s="2" t="s">
        <v>426</v>
      </c>
      <c r="F64" s="2" t="s">
        <v>427</v>
      </c>
      <c r="G64" s="2">
        <v>0.6</v>
      </c>
      <c r="H64" s="2">
        <v>1927</v>
      </c>
      <c r="I64" s="2">
        <v>91</v>
      </c>
      <c r="J64" s="2">
        <v>91</v>
      </c>
      <c r="K64" s="2">
        <v>1.86737965816197E-3</v>
      </c>
      <c r="L64" s="2">
        <v>4.5741905780593603E-2</v>
      </c>
      <c r="M64" s="2">
        <v>4.0824264452799103E-2</v>
      </c>
      <c r="N64" s="2">
        <v>6.6421469085761897</v>
      </c>
      <c r="O64" s="2">
        <v>0.96863583905956596</v>
      </c>
      <c r="P64" s="2">
        <v>-0.10748764112681</v>
      </c>
      <c r="Q64" s="2">
        <v>0.111222400443134</v>
      </c>
      <c r="R64" s="2"/>
      <c r="S64" s="2"/>
      <c r="T64" s="2"/>
      <c r="U64" s="2"/>
      <c r="V64" s="2"/>
      <c r="W64" s="2"/>
      <c r="X64" s="2"/>
      <c r="Y64" s="2">
        <v>1.4809626359086199E-2</v>
      </c>
      <c r="Z64" s="2">
        <v>1.4809642059622E-2</v>
      </c>
      <c r="AA64" s="2">
        <v>8.0782978279127608E-3</v>
      </c>
      <c r="AB64" s="2"/>
      <c r="AC64" s="2"/>
      <c r="AD64" s="2"/>
      <c r="AE64" s="2"/>
      <c r="AF64" s="2"/>
      <c r="AG64" s="2"/>
      <c r="AH64" s="2" t="s">
        <v>428</v>
      </c>
      <c r="AI64" s="2"/>
      <c r="AJ64" s="2" t="s">
        <v>588</v>
      </c>
      <c r="AK64" s="2" t="s">
        <v>591</v>
      </c>
    </row>
    <row r="65" spans="1:37" x14ac:dyDescent="0.3">
      <c r="A65" s="2" t="s">
        <v>178</v>
      </c>
      <c r="B65" s="2" t="s">
        <v>423</v>
      </c>
      <c r="C65" s="2" t="s">
        <v>424</v>
      </c>
      <c r="D65" s="2" t="s">
        <v>436</v>
      </c>
      <c r="E65" s="2" t="s">
        <v>437</v>
      </c>
      <c r="F65" s="2" t="s">
        <v>427</v>
      </c>
      <c r="G65" s="2">
        <v>0.6</v>
      </c>
      <c r="H65" s="2">
        <v>1927</v>
      </c>
      <c r="I65" s="2">
        <v>91</v>
      </c>
      <c r="J65" s="2">
        <v>91</v>
      </c>
      <c r="K65" s="2"/>
      <c r="L65" s="2"/>
      <c r="M65" s="2">
        <v>0.74479045815878497</v>
      </c>
      <c r="N65" s="2">
        <v>3.29851742188632</v>
      </c>
      <c r="O65" s="2">
        <v>0.54085009809842999</v>
      </c>
      <c r="P65" s="2"/>
      <c r="Q65" s="2"/>
      <c r="R65" s="2"/>
      <c r="S65" s="2"/>
      <c r="T65" s="2"/>
      <c r="U65" s="2"/>
      <c r="V65" s="2"/>
      <c r="W65" s="2"/>
      <c r="X65" s="2"/>
      <c r="Y65" s="2">
        <v>1.4809626359086199E-2</v>
      </c>
      <c r="Z65" s="2">
        <v>1.4809642059622E-2</v>
      </c>
      <c r="AA65" s="2">
        <v>8.0782978279127608E-3</v>
      </c>
      <c r="AB65" s="2"/>
      <c r="AC65" s="2"/>
      <c r="AD65" s="2"/>
      <c r="AE65" s="2"/>
      <c r="AF65" s="2"/>
      <c r="AG65" s="2"/>
      <c r="AH65" s="2" t="s">
        <v>428</v>
      </c>
      <c r="AI65" s="2"/>
      <c r="AJ65" s="2" t="s">
        <v>592</v>
      </c>
      <c r="AK65" s="2" t="s">
        <v>593</v>
      </c>
    </row>
    <row r="66" spans="1:37" x14ac:dyDescent="0.3">
      <c r="A66" s="2" t="s">
        <v>178</v>
      </c>
      <c r="B66" s="2" t="s">
        <v>440</v>
      </c>
      <c r="C66" s="2" t="s">
        <v>441</v>
      </c>
      <c r="D66" s="2" t="s">
        <v>594</v>
      </c>
      <c r="E66" s="2" t="s">
        <v>426</v>
      </c>
      <c r="F66" s="2" t="s">
        <v>427</v>
      </c>
      <c r="G66" s="2">
        <v>0.6</v>
      </c>
      <c r="H66" s="2">
        <v>925</v>
      </c>
      <c r="I66" s="2">
        <v>30</v>
      </c>
      <c r="J66" s="2">
        <v>30</v>
      </c>
      <c r="K66" s="2">
        <v>-7.1714897764605406E-2</v>
      </c>
      <c r="L66" s="2">
        <v>3.54186662121923E-2</v>
      </c>
      <c r="M66" s="2">
        <v>-2.0247769166394698</v>
      </c>
      <c r="N66" s="2">
        <v>33.9878534355515</v>
      </c>
      <c r="O66" s="2">
        <v>5.0803916685129701E-2</v>
      </c>
      <c r="P66" s="2">
        <v>-0.14369523523175001</v>
      </c>
      <c r="Q66" s="2">
        <v>2.6543970253883902E-4</v>
      </c>
      <c r="R66" s="2"/>
      <c r="S66" s="2"/>
      <c r="T66" s="2">
        <v>-7.1592206285955196E-2</v>
      </c>
      <c r="U66" s="2">
        <v>-0.142714314419574</v>
      </c>
      <c r="V66" s="2">
        <v>2.6543969630470098E-4</v>
      </c>
      <c r="W66" s="2"/>
      <c r="X66" s="2"/>
      <c r="Y66" s="2">
        <v>1.51512564953304E-2</v>
      </c>
      <c r="Z66" s="2">
        <v>1.51512597050134E-2</v>
      </c>
      <c r="AA66" s="2">
        <v>8.0734292252364597E-3</v>
      </c>
      <c r="AB66" s="2"/>
      <c r="AC66" s="2"/>
      <c r="AD66" s="2"/>
      <c r="AE66" s="2"/>
      <c r="AF66" s="2"/>
      <c r="AG66" s="2"/>
      <c r="AH66" s="2" t="s">
        <v>428</v>
      </c>
      <c r="AI66" s="2"/>
      <c r="AJ66" s="2" t="s">
        <v>595</v>
      </c>
      <c r="AK66" s="2" t="s">
        <v>596</v>
      </c>
    </row>
    <row r="67" spans="1:37" x14ac:dyDescent="0.3">
      <c r="A67" s="2" t="s">
        <v>178</v>
      </c>
      <c r="B67" s="2" t="s">
        <v>440</v>
      </c>
      <c r="C67" s="2" t="s">
        <v>441</v>
      </c>
      <c r="D67" s="2" t="s">
        <v>597</v>
      </c>
      <c r="E67" s="2" t="s">
        <v>426</v>
      </c>
      <c r="F67" s="2" t="s">
        <v>427</v>
      </c>
      <c r="G67" s="2">
        <v>0.6</v>
      </c>
      <c r="H67" s="2">
        <v>1</v>
      </c>
      <c r="I67" s="2">
        <v>1</v>
      </c>
      <c r="J67" s="2">
        <v>1</v>
      </c>
      <c r="K67" s="2">
        <v>-3.4489613277417903E-2</v>
      </c>
      <c r="L67" s="2">
        <v>2.5318662574452099E-2</v>
      </c>
      <c r="M67" s="2"/>
      <c r="N67" s="2">
        <v>2.4681962845119698</v>
      </c>
      <c r="O67" s="2"/>
      <c r="P67" s="2">
        <v>-0.125834944359481</v>
      </c>
      <c r="Q67" s="2">
        <v>5.6855717804645503E-2</v>
      </c>
      <c r="R67" s="2"/>
      <c r="S67" s="2"/>
      <c r="T67" s="2">
        <v>-3.4475944265354698E-2</v>
      </c>
      <c r="U67" s="2">
        <v>-0.12517494929579201</v>
      </c>
      <c r="V67" s="2">
        <v>5.6794533503771699E-2</v>
      </c>
      <c r="W67" s="2"/>
      <c r="X67" s="2"/>
      <c r="Y67" s="2">
        <v>1.51512564953304E-2</v>
      </c>
      <c r="Z67" s="2">
        <v>1.51512597050134E-2</v>
      </c>
      <c r="AA67" s="2">
        <v>8.0734292252364597E-3</v>
      </c>
      <c r="AB67" s="2"/>
      <c r="AC67" s="2"/>
      <c r="AD67" s="2"/>
      <c r="AE67" s="2"/>
      <c r="AF67" s="2"/>
      <c r="AG67" s="2"/>
      <c r="AH67" s="2" t="s">
        <v>428</v>
      </c>
      <c r="AI67" s="2"/>
      <c r="AJ67" s="2" t="s">
        <v>598</v>
      </c>
      <c r="AK67" s="2" t="s">
        <v>599</v>
      </c>
    </row>
    <row r="68" spans="1:37" x14ac:dyDescent="0.3">
      <c r="A68" s="2" t="s">
        <v>178</v>
      </c>
      <c r="B68" s="2" t="s">
        <v>440</v>
      </c>
      <c r="C68" s="2" t="s">
        <v>441</v>
      </c>
      <c r="D68" s="2" t="s">
        <v>600</v>
      </c>
      <c r="E68" s="2" t="s">
        <v>426</v>
      </c>
      <c r="F68" s="2" t="s">
        <v>427</v>
      </c>
      <c r="G68" s="2">
        <v>0.6</v>
      </c>
      <c r="H68" s="2">
        <v>144</v>
      </c>
      <c r="I68" s="2">
        <v>13</v>
      </c>
      <c r="J68" s="2">
        <v>13</v>
      </c>
      <c r="K68" s="2">
        <v>-0.10530584010166801</v>
      </c>
      <c r="L68" s="2">
        <v>6.7940699510542504E-2</v>
      </c>
      <c r="M68" s="2">
        <v>-1.5499669691408899</v>
      </c>
      <c r="N68" s="2">
        <v>10.281728583839801</v>
      </c>
      <c r="O68" s="2">
        <v>0.15136010981461201</v>
      </c>
      <c r="P68" s="2">
        <v>-0.25612677858624999</v>
      </c>
      <c r="Q68" s="2">
        <v>4.5515098382915099E-2</v>
      </c>
      <c r="R68" s="2"/>
      <c r="S68" s="2"/>
      <c r="T68" s="2">
        <v>-0.104918302305023</v>
      </c>
      <c r="U68" s="2">
        <v>-0.250669224219637</v>
      </c>
      <c r="V68" s="2">
        <v>4.5483694346135903E-2</v>
      </c>
      <c r="W68" s="2"/>
      <c r="X68" s="2"/>
      <c r="Y68" s="2">
        <v>1.51512564953304E-2</v>
      </c>
      <c r="Z68" s="2">
        <v>1.51512597050134E-2</v>
      </c>
      <c r="AA68" s="2">
        <v>8.0734292252364597E-3</v>
      </c>
      <c r="AB68" s="2"/>
      <c r="AC68" s="2"/>
      <c r="AD68" s="2"/>
      <c r="AE68" s="2"/>
      <c r="AF68" s="2"/>
      <c r="AG68" s="2"/>
      <c r="AH68" s="2" t="s">
        <v>428</v>
      </c>
      <c r="AI68" s="2"/>
      <c r="AJ68" s="2" t="s">
        <v>595</v>
      </c>
      <c r="AK68" s="2" t="s">
        <v>601</v>
      </c>
    </row>
    <row r="69" spans="1:37" x14ac:dyDescent="0.3">
      <c r="A69" s="2" t="s">
        <v>178</v>
      </c>
      <c r="B69" s="2" t="s">
        <v>440</v>
      </c>
      <c r="C69" s="2" t="s">
        <v>441</v>
      </c>
      <c r="D69" s="2" t="s">
        <v>602</v>
      </c>
      <c r="E69" s="2" t="s">
        <v>426</v>
      </c>
      <c r="F69" s="2" t="s">
        <v>427</v>
      </c>
      <c r="G69" s="2">
        <v>0.6</v>
      </c>
      <c r="H69" s="2">
        <v>189</v>
      </c>
      <c r="I69" s="2">
        <v>10</v>
      </c>
      <c r="J69" s="2">
        <v>10</v>
      </c>
      <c r="K69" s="2">
        <v>-1.6763542360992499E-2</v>
      </c>
      <c r="L69" s="2">
        <v>3.2036644870325197E-2</v>
      </c>
      <c r="M69" s="2">
        <v>-0.52326148474181</v>
      </c>
      <c r="N69" s="2">
        <v>6.1177565272747803</v>
      </c>
      <c r="O69" s="2">
        <v>0.61919707522652401</v>
      </c>
      <c r="P69" s="2">
        <v>-9.4790077715281501E-2</v>
      </c>
      <c r="Q69" s="2">
        <v>6.12629929932966E-2</v>
      </c>
      <c r="R69" s="2"/>
      <c r="S69" s="2"/>
      <c r="T69" s="2">
        <v>-1.6761972260972001E-2</v>
      </c>
      <c r="U69" s="2">
        <v>-9.4507193075801299E-2</v>
      </c>
      <c r="V69" s="2">
        <v>6.1186464724794998E-2</v>
      </c>
      <c r="W69" s="2"/>
      <c r="X69" s="2"/>
      <c r="Y69" s="2">
        <v>1.51512564953304E-2</v>
      </c>
      <c r="Z69" s="2">
        <v>1.51512597050134E-2</v>
      </c>
      <c r="AA69" s="2">
        <v>8.0734292252364597E-3</v>
      </c>
      <c r="AB69" s="2"/>
      <c r="AC69" s="2"/>
      <c r="AD69" s="2"/>
      <c r="AE69" s="2"/>
      <c r="AF69" s="2"/>
      <c r="AG69" s="2"/>
      <c r="AH69" s="2" t="s">
        <v>428</v>
      </c>
      <c r="AI69" s="2"/>
      <c r="AJ69" s="2" t="s">
        <v>595</v>
      </c>
      <c r="AK69" s="2" t="s">
        <v>603</v>
      </c>
    </row>
    <row r="70" spans="1:37" x14ac:dyDescent="0.3">
      <c r="A70" s="2" t="s">
        <v>178</v>
      </c>
      <c r="B70" s="2" t="s">
        <v>440</v>
      </c>
      <c r="C70" s="2" t="s">
        <v>441</v>
      </c>
      <c r="D70" s="2" t="s">
        <v>604</v>
      </c>
      <c r="E70" s="2" t="s">
        <v>426</v>
      </c>
      <c r="F70" s="2" t="s">
        <v>427</v>
      </c>
      <c r="G70" s="2">
        <v>0.6</v>
      </c>
      <c r="H70" s="2">
        <v>483</v>
      </c>
      <c r="I70" s="2">
        <v>24</v>
      </c>
      <c r="J70" s="2">
        <v>24</v>
      </c>
      <c r="K70" s="2">
        <v>-6.22955813964906E-2</v>
      </c>
      <c r="L70" s="2">
        <v>1.9253986965047099E-2</v>
      </c>
      <c r="M70" s="2">
        <v>-3.2354639851776801</v>
      </c>
      <c r="N70" s="2">
        <v>17.584544067387299</v>
      </c>
      <c r="O70" s="2">
        <v>4.6982292190224503E-3</v>
      </c>
      <c r="P70" s="2">
        <v>-0.10281532042705099</v>
      </c>
      <c r="Q70" s="2">
        <v>-2.1775842365930401E-2</v>
      </c>
      <c r="R70" s="2"/>
      <c r="S70" s="2"/>
      <c r="T70" s="2">
        <v>-6.2215121983988403E-2</v>
      </c>
      <c r="U70" s="2">
        <v>-0.102454559212972</v>
      </c>
      <c r="V70" s="2">
        <v>-2.1772401075945101E-2</v>
      </c>
      <c r="W70" s="2"/>
      <c r="X70" s="2"/>
      <c r="Y70" s="2">
        <v>1.51512564953304E-2</v>
      </c>
      <c r="Z70" s="2">
        <v>1.51512597050134E-2</v>
      </c>
      <c r="AA70" s="2">
        <v>8.0734292252364597E-3</v>
      </c>
      <c r="AB70" s="2"/>
      <c r="AC70" s="2"/>
      <c r="AD70" s="2"/>
      <c r="AE70" s="2"/>
      <c r="AF70" s="2"/>
      <c r="AG70" s="2"/>
      <c r="AH70" s="2" t="s">
        <v>428</v>
      </c>
      <c r="AI70" s="2"/>
      <c r="AJ70" s="2" t="s">
        <v>595</v>
      </c>
      <c r="AK70" s="2" t="s">
        <v>605</v>
      </c>
    </row>
    <row r="71" spans="1:37" x14ac:dyDescent="0.3">
      <c r="A71" s="2" t="s">
        <v>178</v>
      </c>
      <c r="B71" s="2" t="s">
        <v>440</v>
      </c>
      <c r="C71" s="2" t="s">
        <v>441</v>
      </c>
      <c r="D71" s="2" t="s">
        <v>606</v>
      </c>
      <c r="E71" s="2" t="s">
        <v>426</v>
      </c>
      <c r="F71" s="2" t="s">
        <v>427</v>
      </c>
      <c r="G71" s="2">
        <v>0.6</v>
      </c>
      <c r="H71" s="2">
        <v>177</v>
      </c>
      <c r="I71" s="2">
        <v>15</v>
      </c>
      <c r="J71" s="2">
        <v>15</v>
      </c>
      <c r="K71" s="2">
        <v>-6.1368358832355301E-2</v>
      </c>
      <c r="L71" s="2">
        <v>2.32864721473879E-2</v>
      </c>
      <c r="M71" s="2">
        <v>-2.6353652216589301</v>
      </c>
      <c r="N71" s="2">
        <v>11.1891058445218</v>
      </c>
      <c r="O71" s="2">
        <v>2.2892832163160601E-2</v>
      </c>
      <c r="P71" s="2">
        <v>-0.112516051618456</v>
      </c>
      <c r="Q71" s="2">
        <v>-1.02206660462547E-2</v>
      </c>
      <c r="R71" s="2"/>
      <c r="S71" s="2"/>
      <c r="T71" s="2">
        <v>-6.1291435419836997E-2</v>
      </c>
      <c r="U71" s="2">
        <v>-0.112043631227789</v>
      </c>
      <c r="V71" s="2">
        <v>-1.02203101706702E-2</v>
      </c>
      <c r="W71" s="2"/>
      <c r="X71" s="2"/>
      <c r="Y71" s="2">
        <v>1.51512564953304E-2</v>
      </c>
      <c r="Z71" s="2">
        <v>1.51512597050134E-2</v>
      </c>
      <c r="AA71" s="2">
        <v>8.0734292252364597E-3</v>
      </c>
      <c r="AB71" s="2"/>
      <c r="AC71" s="2"/>
      <c r="AD71" s="2"/>
      <c r="AE71" s="2"/>
      <c r="AF71" s="2"/>
      <c r="AG71" s="2"/>
      <c r="AH71" s="2" t="s">
        <v>428</v>
      </c>
      <c r="AI71" s="2"/>
      <c r="AJ71" s="2" t="s">
        <v>595</v>
      </c>
      <c r="AK71" s="2" t="s">
        <v>607</v>
      </c>
    </row>
    <row r="72" spans="1:37" x14ac:dyDescent="0.3">
      <c r="A72" s="2" t="s">
        <v>178</v>
      </c>
      <c r="B72" s="2" t="s">
        <v>440</v>
      </c>
      <c r="C72" s="2" t="s">
        <v>441</v>
      </c>
      <c r="D72" s="2" t="s">
        <v>608</v>
      </c>
      <c r="E72" s="2" t="s">
        <v>426</v>
      </c>
      <c r="F72" s="2" t="s">
        <v>427</v>
      </c>
      <c r="G72" s="2">
        <v>0.6</v>
      </c>
      <c r="H72" s="2">
        <v>1919</v>
      </c>
      <c r="I72" s="2">
        <v>89</v>
      </c>
      <c r="J72" s="2">
        <v>89</v>
      </c>
      <c r="K72" s="2">
        <v>3.7225284487187503E-2</v>
      </c>
      <c r="L72" s="2">
        <v>4.3537530830418697E-2</v>
      </c>
      <c r="M72" s="2"/>
      <c r="N72" s="2">
        <v>4.0846497080757</v>
      </c>
      <c r="O72" s="2"/>
      <c r="P72" s="2">
        <v>-8.2672702372266399E-2</v>
      </c>
      <c r="Q72" s="2">
        <v>0.157123271346641</v>
      </c>
      <c r="R72" s="2"/>
      <c r="S72" s="2"/>
      <c r="T72" s="2"/>
      <c r="U72" s="2"/>
      <c r="V72" s="2"/>
      <c r="W72" s="2"/>
      <c r="X72" s="2"/>
      <c r="Y72" s="2">
        <v>1.51512564953304E-2</v>
      </c>
      <c r="Z72" s="2">
        <v>1.51512597050134E-2</v>
      </c>
      <c r="AA72" s="2">
        <v>8.0734292252364597E-3</v>
      </c>
      <c r="AB72" s="2"/>
      <c r="AC72" s="2"/>
      <c r="AD72" s="2"/>
      <c r="AE72" s="2"/>
      <c r="AF72" s="2"/>
      <c r="AG72" s="2"/>
      <c r="AH72" s="2" t="s">
        <v>428</v>
      </c>
      <c r="AI72" s="2"/>
      <c r="AJ72" s="2" t="s">
        <v>609</v>
      </c>
      <c r="AK72" s="2" t="s">
        <v>610</v>
      </c>
    </row>
    <row r="73" spans="1:37" x14ac:dyDescent="0.3">
      <c r="A73" s="2" t="s">
        <v>178</v>
      </c>
      <c r="B73" s="2" t="s">
        <v>440</v>
      </c>
      <c r="C73" s="2" t="s">
        <v>441</v>
      </c>
      <c r="D73" s="2" t="s">
        <v>611</v>
      </c>
      <c r="E73" s="2" t="s">
        <v>426</v>
      </c>
      <c r="F73" s="2" t="s">
        <v>427</v>
      </c>
      <c r="G73" s="2">
        <v>0.6</v>
      </c>
      <c r="H73" s="2">
        <v>1919</v>
      </c>
      <c r="I73" s="2">
        <v>89</v>
      </c>
      <c r="J73" s="2">
        <v>89</v>
      </c>
      <c r="K73" s="2">
        <v>8.8542297740675097E-2</v>
      </c>
      <c r="L73" s="2">
        <v>7.5115146705103095E-2</v>
      </c>
      <c r="M73" s="2">
        <v>1.1787542409826599</v>
      </c>
      <c r="N73" s="2">
        <v>12.711284450201999</v>
      </c>
      <c r="O73" s="2">
        <v>0.260090777993986</v>
      </c>
      <c r="P73" s="2">
        <v>-7.4109584798568703E-2</v>
      </c>
      <c r="Q73" s="2">
        <v>0.25119418027991902</v>
      </c>
      <c r="R73" s="2"/>
      <c r="S73" s="2"/>
      <c r="T73" s="2"/>
      <c r="U73" s="2"/>
      <c r="V73" s="2"/>
      <c r="W73" s="2"/>
      <c r="X73" s="2"/>
      <c r="Y73" s="2">
        <v>1.51512564953304E-2</v>
      </c>
      <c r="Z73" s="2">
        <v>1.51512597050134E-2</v>
      </c>
      <c r="AA73" s="2">
        <v>8.0734292252364597E-3</v>
      </c>
      <c r="AB73" s="2"/>
      <c r="AC73" s="2"/>
      <c r="AD73" s="2"/>
      <c r="AE73" s="2"/>
      <c r="AF73" s="2"/>
      <c r="AG73" s="2"/>
      <c r="AH73" s="2" t="s">
        <v>428</v>
      </c>
      <c r="AI73" s="2"/>
      <c r="AJ73" s="2" t="s">
        <v>612</v>
      </c>
      <c r="AK73" s="2" t="s">
        <v>613</v>
      </c>
    </row>
    <row r="74" spans="1:37" x14ac:dyDescent="0.3">
      <c r="A74" s="2" t="s">
        <v>178</v>
      </c>
      <c r="B74" s="2" t="s">
        <v>440</v>
      </c>
      <c r="C74" s="2" t="s">
        <v>441</v>
      </c>
      <c r="D74" s="2" t="s">
        <v>614</v>
      </c>
      <c r="E74" s="2" t="s">
        <v>426</v>
      </c>
      <c r="F74" s="2" t="s">
        <v>427</v>
      </c>
      <c r="G74" s="2">
        <v>0.6</v>
      </c>
      <c r="H74" s="2">
        <v>1919</v>
      </c>
      <c r="I74" s="2">
        <v>89</v>
      </c>
      <c r="J74" s="2">
        <v>89</v>
      </c>
      <c r="K74" s="2">
        <v>9.2722256413527897E-4</v>
      </c>
      <c r="L74" s="2">
        <v>3.2926022379273799E-2</v>
      </c>
      <c r="M74" s="2"/>
      <c r="N74" s="2">
        <v>2.87329710428501</v>
      </c>
      <c r="O74" s="2"/>
      <c r="P74" s="2">
        <v>-0.10652121985202299</v>
      </c>
      <c r="Q74" s="2">
        <v>0.108375664980294</v>
      </c>
      <c r="R74" s="2"/>
      <c r="S74" s="2"/>
      <c r="T74" s="2"/>
      <c r="U74" s="2"/>
      <c r="V74" s="2"/>
      <c r="W74" s="2"/>
      <c r="X74" s="2"/>
      <c r="Y74" s="2">
        <v>1.51512564953304E-2</v>
      </c>
      <c r="Z74" s="2">
        <v>1.51512597050134E-2</v>
      </c>
      <c r="AA74" s="2">
        <v>8.0734292252364597E-3</v>
      </c>
      <c r="AB74" s="2"/>
      <c r="AC74" s="2"/>
      <c r="AD74" s="2"/>
      <c r="AE74" s="2"/>
      <c r="AF74" s="2"/>
      <c r="AG74" s="2"/>
      <c r="AH74" s="2" t="s">
        <v>428</v>
      </c>
      <c r="AI74" s="2"/>
      <c r="AJ74" s="2" t="s">
        <v>609</v>
      </c>
      <c r="AK74" s="2" t="s">
        <v>615</v>
      </c>
    </row>
    <row r="75" spans="1:37" x14ac:dyDescent="0.3">
      <c r="A75" s="2" t="s">
        <v>178</v>
      </c>
      <c r="B75" s="2" t="s">
        <v>440</v>
      </c>
      <c r="C75" s="2" t="s">
        <v>441</v>
      </c>
      <c r="D75" s="2" t="s">
        <v>456</v>
      </c>
      <c r="E75" s="2" t="s">
        <v>437</v>
      </c>
      <c r="F75" s="2" t="s">
        <v>427</v>
      </c>
      <c r="G75" s="2">
        <v>0.6</v>
      </c>
      <c r="H75" s="2">
        <v>1919</v>
      </c>
      <c r="I75" s="2">
        <v>89</v>
      </c>
      <c r="J75" s="2">
        <v>89</v>
      </c>
      <c r="K75" s="2"/>
      <c r="L75" s="2"/>
      <c r="M75" s="2">
        <v>0.460620685132967</v>
      </c>
      <c r="N75" s="2">
        <v>3.3629018691472798</v>
      </c>
      <c r="O75" s="2">
        <v>0.66557314454793903</v>
      </c>
      <c r="P75" s="2"/>
      <c r="Q75" s="2"/>
      <c r="R75" s="2"/>
      <c r="S75" s="2"/>
      <c r="T75" s="2"/>
      <c r="U75" s="2"/>
      <c r="V75" s="2"/>
      <c r="W75" s="2"/>
      <c r="X75" s="2"/>
      <c r="Y75" s="2">
        <v>1.51512564953304E-2</v>
      </c>
      <c r="Z75" s="2">
        <v>1.51512597050134E-2</v>
      </c>
      <c r="AA75" s="2">
        <v>8.0734292252364597E-3</v>
      </c>
      <c r="AB75" s="2"/>
      <c r="AC75" s="2"/>
      <c r="AD75" s="2"/>
      <c r="AE75" s="2"/>
      <c r="AF75" s="2"/>
      <c r="AG75" s="2"/>
      <c r="AH75" s="2" t="s">
        <v>457</v>
      </c>
      <c r="AI75" s="2" t="s">
        <v>616</v>
      </c>
      <c r="AJ75" s="2" t="s">
        <v>617</v>
      </c>
      <c r="AK75" s="2" t="s">
        <v>618</v>
      </c>
    </row>
    <row r="76" spans="1:37" x14ac:dyDescent="0.3">
      <c r="A76" s="2" t="s">
        <v>180</v>
      </c>
      <c r="B76" s="2" t="s">
        <v>423</v>
      </c>
      <c r="C76" s="2" t="s">
        <v>424</v>
      </c>
      <c r="D76" s="2" t="s">
        <v>619</v>
      </c>
      <c r="E76" s="2" t="s">
        <v>426</v>
      </c>
      <c r="F76" s="2" t="s">
        <v>427</v>
      </c>
      <c r="G76" s="2">
        <v>0.6</v>
      </c>
      <c r="H76" s="2">
        <v>1131</v>
      </c>
      <c r="I76" s="2">
        <v>47</v>
      </c>
      <c r="J76" s="2">
        <v>47</v>
      </c>
      <c r="K76" s="2">
        <v>-2.8932796191826999E-2</v>
      </c>
      <c r="L76" s="2">
        <v>6.9762293418829504E-3</v>
      </c>
      <c r="M76" s="2">
        <v>-4.1473401710182003</v>
      </c>
      <c r="N76" s="2">
        <v>37.814795971853101</v>
      </c>
      <c r="O76" s="2">
        <v>1.83124676378882E-4</v>
      </c>
      <c r="P76" s="2">
        <v>-4.30577059547868E-2</v>
      </c>
      <c r="Q76" s="2">
        <v>-1.48078864288673E-2</v>
      </c>
      <c r="R76" s="2">
        <v>-0.186001324961342</v>
      </c>
      <c r="S76" s="2">
        <v>0.12813573257768801</v>
      </c>
      <c r="T76" s="2">
        <v>-2.8924725615052799E-2</v>
      </c>
      <c r="U76" s="2">
        <v>-4.3031116498095802E-2</v>
      </c>
      <c r="V76" s="2">
        <v>-1.4806804198091701E-2</v>
      </c>
      <c r="W76" s="2">
        <v>-0.18388560095870399</v>
      </c>
      <c r="X76" s="2">
        <v>0.12743903094439399</v>
      </c>
      <c r="Y76" s="2">
        <v>1.4498916077976E-3</v>
      </c>
      <c r="Z76" s="2">
        <v>1.02743856224E-9</v>
      </c>
      <c r="AA76" s="2">
        <v>4.5193883622266602E-3</v>
      </c>
      <c r="AB76" s="2"/>
      <c r="AC76" s="2"/>
      <c r="AD76" s="2"/>
      <c r="AE76" s="2"/>
      <c r="AF76" s="2"/>
      <c r="AG76" s="2"/>
      <c r="AH76" s="2" t="s">
        <v>428</v>
      </c>
      <c r="AI76" s="2"/>
      <c r="AJ76" s="2" t="s">
        <v>620</v>
      </c>
      <c r="AK76" s="2" t="s">
        <v>621</v>
      </c>
    </row>
    <row r="77" spans="1:37" x14ac:dyDescent="0.3">
      <c r="A77" s="2" t="s">
        <v>180</v>
      </c>
      <c r="B77" s="2" t="s">
        <v>423</v>
      </c>
      <c r="C77" s="2" t="s">
        <v>424</v>
      </c>
      <c r="D77" s="2" t="s">
        <v>622</v>
      </c>
      <c r="E77" s="2" t="s">
        <v>426</v>
      </c>
      <c r="F77" s="2" t="s">
        <v>427</v>
      </c>
      <c r="G77" s="2">
        <v>0.6</v>
      </c>
      <c r="H77" s="2">
        <v>491</v>
      </c>
      <c r="I77" s="2">
        <v>35</v>
      </c>
      <c r="J77" s="2">
        <v>34</v>
      </c>
      <c r="K77" s="2">
        <v>-5.0705380390601899E-2</v>
      </c>
      <c r="L77" s="2">
        <v>9.8313937114053104E-3</v>
      </c>
      <c r="M77" s="2">
        <v>-5.1574966763643202</v>
      </c>
      <c r="N77" s="2">
        <v>28.340855804545999</v>
      </c>
      <c r="O77" s="2">
        <v>1.7438938895078801E-5</v>
      </c>
      <c r="P77" s="2">
        <v>-7.0833171239597995E-2</v>
      </c>
      <c r="Q77" s="2">
        <v>-3.0577589541605901E-2</v>
      </c>
      <c r="R77" s="2">
        <v>-0.21015738410850601</v>
      </c>
      <c r="S77" s="2">
        <v>0.10874662332730201</v>
      </c>
      <c r="T77" s="2">
        <v>-5.0661969921292301E-2</v>
      </c>
      <c r="U77" s="2">
        <v>-7.0714943851246395E-2</v>
      </c>
      <c r="V77" s="2">
        <v>-3.0568063201291702E-2</v>
      </c>
      <c r="W77" s="2">
        <v>-0.20711713736089499</v>
      </c>
      <c r="X77" s="2">
        <v>0.108319968475049</v>
      </c>
      <c r="Y77" s="2">
        <v>1.4498916077976E-3</v>
      </c>
      <c r="Z77" s="2">
        <v>1.02743856224E-9</v>
      </c>
      <c r="AA77" s="2">
        <v>4.5193883622266602E-3</v>
      </c>
      <c r="AB77" s="2"/>
      <c r="AC77" s="2"/>
      <c r="AD77" s="2"/>
      <c r="AE77" s="2"/>
      <c r="AF77" s="2"/>
      <c r="AG77" s="2"/>
      <c r="AH77" s="2" t="s">
        <v>428</v>
      </c>
      <c r="AI77" s="2"/>
      <c r="AJ77" s="2" t="s">
        <v>620</v>
      </c>
      <c r="AK77" s="2" t="s">
        <v>623</v>
      </c>
    </row>
    <row r="78" spans="1:37" x14ac:dyDescent="0.3">
      <c r="A78" s="2" t="s">
        <v>180</v>
      </c>
      <c r="B78" s="2" t="s">
        <v>423</v>
      </c>
      <c r="C78" s="2" t="s">
        <v>424</v>
      </c>
      <c r="D78" s="2" t="s">
        <v>624</v>
      </c>
      <c r="E78" s="2" t="s">
        <v>426</v>
      </c>
      <c r="F78" s="2" t="s">
        <v>427</v>
      </c>
      <c r="G78" s="2">
        <v>0.6</v>
      </c>
      <c r="H78" s="2">
        <v>1622</v>
      </c>
      <c r="I78" s="2">
        <v>80</v>
      </c>
      <c r="J78" s="2">
        <v>79</v>
      </c>
      <c r="K78" s="2">
        <v>2.17725841987749E-2</v>
      </c>
      <c r="L78" s="2">
        <v>1.2329500940554799E-2</v>
      </c>
      <c r="M78" s="2">
        <v>1.76589338885238</v>
      </c>
      <c r="N78" s="2">
        <v>39.270894796182397</v>
      </c>
      <c r="O78" s="2">
        <v>8.5187647416852599E-2</v>
      </c>
      <c r="P78" s="2">
        <v>-3.1606862967093201E-3</v>
      </c>
      <c r="Q78" s="2">
        <v>4.67058546942591E-2</v>
      </c>
      <c r="R78" s="2"/>
      <c r="S78" s="2"/>
      <c r="T78" s="2"/>
      <c r="U78" s="2"/>
      <c r="V78" s="2"/>
      <c r="W78" s="2"/>
      <c r="X78" s="2"/>
      <c r="Y78" s="2">
        <v>1.4498916077976E-3</v>
      </c>
      <c r="Z78" s="2">
        <v>1.02743856224E-9</v>
      </c>
      <c r="AA78" s="2">
        <v>4.5193883622266602E-3</v>
      </c>
      <c r="AB78" s="2"/>
      <c r="AC78" s="2"/>
      <c r="AD78" s="2"/>
      <c r="AE78" s="2"/>
      <c r="AF78" s="2"/>
      <c r="AG78" s="2"/>
      <c r="AH78" s="2" t="s">
        <v>428</v>
      </c>
      <c r="AI78" s="2"/>
      <c r="AJ78" s="2" t="s">
        <v>625</v>
      </c>
      <c r="AK78" s="2" t="s">
        <v>626</v>
      </c>
    </row>
    <row r="79" spans="1:37" x14ac:dyDescent="0.3">
      <c r="A79" s="2" t="s">
        <v>180</v>
      </c>
      <c r="B79" s="2" t="s">
        <v>423</v>
      </c>
      <c r="C79" s="2" t="s">
        <v>424</v>
      </c>
      <c r="D79" s="2" t="s">
        <v>436</v>
      </c>
      <c r="E79" s="2" t="s">
        <v>437</v>
      </c>
      <c r="F79" s="2" t="s">
        <v>427</v>
      </c>
      <c r="G79" s="2">
        <v>0.6</v>
      </c>
      <c r="H79" s="2">
        <v>1622</v>
      </c>
      <c r="I79" s="2">
        <v>80</v>
      </c>
      <c r="J79" s="2">
        <v>79</v>
      </c>
      <c r="K79" s="2"/>
      <c r="L79" s="2"/>
      <c r="M79" s="2">
        <v>3.1183794607925299</v>
      </c>
      <c r="N79" s="2">
        <v>39.270894796182397</v>
      </c>
      <c r="O79" s="2">
        <v>8.5187647416852599E-2</v>
      </c>
      <c r="P79" s="2"/>
      <c r="Q79" s="2"/>
      <c r="R79" s="2"/>
      <c r="S79" s="2"/>
      <c r="T79" s="2"/>
      <c r="U79" s="2"/>
      <c r="V79" s="2"/>
      <c r="W79" s="2"/>
      <c r="X79" s="2"/>
      <c r="Y79" s="2">
        <v>1.4498916077976E-3</v>
      </c>
      <c r="Z79" s="2">
        <v>1.02743856224E-9</v>
      </c>
      <c r="AA79" s="2">
        <v>4.5193883622266602E-3</v>
      </c>
      <c r="AB79" s="2"/>
      <c r="AC79" s="2"/>
      <c r="AD79" s="2"/>
      <c r="AE79" s="2"/>
      <c r="AF79" s="2"/>
      <c r="AG79" s="2"/>
      <c r="AH79" s="2" t="s">
        <v>428</v>
      </c>
      <c r="AI79" s="2"/>
      <c r="AJ79" s="2" t="s">
        <v>627</v>
      </c>
      <c r="AK79" s="2" t="s">
        <v>628</v>
      </c>
    </row>
    <row r="80" spans="1:37" x14ac:dyDescent="0.3">
      <c r="A80" s="2" t="s">
        <v>180</v>
      </c>
      <c r="B80" s="2" t="s">
        <v>440</v>
      </c>
      <c r="C80" s="2" t="s">
        <v>441</v>
      </c>
      <c r="D80" s="2" t="s">
        <v>629</v>
      </c>
      <c r="E80" s="2" t="s">
        <v>426</v>
      </c>
      <c r="F80" s="2" t="s">
        <v>427</v>
      </c>
      <c r="G80" s="2">
        <v>0.6</v>
      </c>
      <c r="H80" s="2">
        <v>1105</v>
      </c>
      <c r="I80" s="2">
        <v>43</v>
      </c>
      <c r="J80" s="2">
        <v>43</v>
      </c>
      <c r="K80" s="2">
        <v>-2.5500104945457E-2</v>
      </c>
      <c r="L80" s="2">
        <v>7.0975152621272301E-3</v>
      </c>
      <c r="M80" s="2">
        <v>-3.5928214316814699</v>
      </c>
      <c r="N80" s="2">
        <v>36.156764479284398</v>
      </c>
      <c r="O80" s="2">
        <v>9.6663631405188204E-4</v>
      </c>
      <c r="P80" s="2">
        <v>-3.9892366366083697E-2</v>
      </c>
      <c r="Q80" s="2">
        <v>-1.11078435248303E-2</v>
      </c>
      <c r="R80" s="2"/>
      <c r="S80" s="2"/>
      <c r="T80" s="2">
        <v>-2.5494579189472399E-2</v>
      </c>
      <c r="U80" s="2">
        <v>-3.9871218245533503E-2</v>
      </c>
      <c r="V80" s="2">
        <v>-1.11073867032923E-2</v>
      </c>
      <c r="W80" s="2"/>
      <c r="X80" s="2"/>
      <c r="Y80" s="2">
        <v>1.5436326964079099E-3</v>
      </c>
      <c r="Z80" s="2">
        <v>7.2376202873169703E-10</v>
      </c>
      <c r="AA80" s="2">
        <v>4.5014783992960699E-3</v>
      </c>
      <c r="AB80" s="2"/>
      <c r="AC80" s="2"/>
      <c r="AD80" s="2"/>
      <c r="AE80" s="2"/>
      <c r="AF80" s="2"/>
      <c r="AG80" s="2"/>
      <c r="AH80" s="2" t="s">
        <v>428</v>
      </c>
      <c r="AI80" s="2"/>
      <c r="AJ80" s="2" t="s">
        <v>630</v>
      </c>
      <c r="AK80" s="2" t="s">
        <v>631</v>
      </c>
    </row>
    <row r="81" spans="1:37" x14ac:dyDescent="0.3">
      <c r="A81" s="2" t="s">
        <v>180</v>
      </c>
      <c r="B81" s="2" t="s">
        <v>440</v>
      </c>
      <c r="C81" s="2" t="s">
        <v>441</v>
      </c>
      <c r="D81" s="2" t="s">
        <v>632</v>
      </c>
      <c r="E81" s="2" t="s">
        <v>426</v>
      </c>
      <c r="F81" s="2" t="s">
        <v>427</v>
      </c>
      <c r="G81" s="2">
        <v>0.6</v>
      </c>
      <c r="H81" s="2">
        <v>20</v>
      </c>
      <c r="I81" s="2">
        <v>3</v>
      </c>
      <c r="J81" s="2">
        <v>3</v>
      </c>
      <c r="K81" s="2">
        <v>-6.5177960231044205E-2</v>
      </c>
      <c r="L81" s="2">
        <v>1.3173360294520301E-2</v>
      </c>
      <c r="M81" s="2"/>
      <c r="N81" s="2">
        <v>1.52860931164094</v>
      </c>
      <c r="O81" s="2"/>
      <c r="P81" s="2">
        <v>-0.14239308844496501</v>
      </c>
      <c r="Q81" s="2">
        <v>1.20371679828764E-2</v>
      </c>
      <c r="R81" s="2"/>
      <c r="S81" s="2"/>
      <c r="T81" s="2">
        <v>-6.5085821187615203E-2</v>
      </c>
      <c r="U81" s="2">
        <v>-0.141438452566746</v>
      </c>
      <c r="V81" s="2">
        <v>1.2036586647784901E-2</v>
      </c>
      <c r="W81" s="2"/>
      <c r="X81" s="2"/>
      <c r="Y81" s="2">
        <v>1.5436326964079099E-3</v>
      </c>
      <c r="Z81" s="2">
        <v>7.2376202873169703E-10</v>
      </c>
      <c r="AA81" s="2">
        <v>4.5014783992960699E-3</v>
      </c>
      <c r="AB81" s="2"/>
      <c r="AC81" s="2"/>
      <c r="AD81" s="2"/>
      <c r="AE81" s="2"/>
      <c r="AF81" s="2"/>
      <c r="AG81" s="2"/>
      <c r="AH81" s="2" t="s">
        <v>428</v>
      </c>
      <c r="AI81" s="2"/>
      <c r="AJ81" s="2" t="s">
        <v>633</v>
      </c>
      <c r="AK81" s="2" t="s">
        <v>634</v>
      </c>
    </row>
    <row r="82" spans="1:37" x14ac:dyDescent="0.3">
      <c r="A82" s="2" t="s">
        <v>180</v>
      </c>
      <c r="B82" s="2" t="s">
        <v>440</v>
      </c>
      <c r="C82" s="2" t="s">
        <v>441</v>
      </c>
      <c r="D82" s="2" t="s">
        <v>635</v>
      </c>
      <c r="E82" s="2" t="s">
        <v>426</v>
      </c>
      <c r="F82" s="2" t="s">
        <v>427</v>
      </c>
      <c r="G82" s="2">
        <v>0.6</v>
      </c>
      <c r="H82" s="2">
        <v>295</v>
      </c>
      <c r="I82" s="2">
        <v>18</v>
      </c>
      <c r="J82" s="2">
        <v>17</v>
      </c>
      <c r="K82" s="2">
        <v>-5.28832237808535E-2</v>
      </c>
      <c r="L82" s="2">
        <v>1.4364327108008E-2</v>
      </c>
      <c r="M82" s="2">
        <v>-3.6815663819972202</v>
      </c>
      <c r="N82" s="2">
        <v>13.7059029304032</v>
      </c>
      <c r="O82" s="2">
        <v>2.5474170590952501E-3</v>
      </c>
      <c r="P82" s="2">
        <v>-8.3753776854517195E-2</v>
      </c>
      <c r="Q82" s="2">
        <v>-2.2012670707189898E-2</v>
      </c>
      <c r="R82" s="2"/>
      <c r="S82" s="2"/>
      <c r="T82" s="2">
        <v>-5.2833980501837498E-2</v>
      </c>
      <c r="U82" s="2">
        <v>-8.3558489052896395E-2</v>
      </c>
      <c r="V82" s="2">
        <v>-2.2009115926698498E-2</v>
      </c>
      <c r="W82" s="2"/>
      <c r="X82" s="2"/>
      <c r="Y82" s="2">
        <v>1.5436326964079099E-3</v>
      </c>
      <c r="Z82" s="2">
        <v>7.2376202873169703E-10</v>
      </c>
      <c r="AA82" s="2">
        <v>4.5014783992960699E-3</v>
      </c>
      <c r="AB82" s="2"/>
      <c r="AC82" s="2"/>
      <c r="AD82" s="2"/>
      <c r="AE82" s="2"/>
      <c r="AF82" s="2"/>
      <c r="AG82" s="2"/>
      <c r="AH82" s="2" t="s">
        <v>428</v>
      </c>
      <c r="AI82" s="2"/>
      <c r="AJ82" s="2" t="s">
        <v>630</v>
      </c>
      <c r="AK82" s="2" t="s">
        <v>636</v>
      </c>
    </row>
    <row r="83" spans="1:37" x14ac:dyDescent="0.3">
      <c r="A83" s="2" t="s">
        <v>180</v>
      </c>
      <c r="B83" s="2" t="s">
        <v>440</v>
      </c>
      <c r="C83" s="2" t="s">
        <v>441</v>
      </c>
      <c r="D83" s="2" t="s">
        <v>637</v>
      </c>
      <c r="E83" s="2" t="s">
        <v>426</v>
      </c>
      <c r="F83" s="2" t="s">
        <v>427</v>
      </c>
      <c r="G83" s="2">
        <v>0.6</v>
      </c>
      <c r="H83" s="2">
        <v>194</v>
      </c>
      <c r="I83" s="2">
        <v>17</v>
      </c>
      <c r="J83" s="2">
        <v>17</v>
      </c>
      <c r="K83" s="2">
        <v>-5.3367535727657803E-2</v>
      </c>
      <c r="L83" s="2">
        <v>1.2024445670664401E-2</v>
      </c>
      <c r="M83" s="2">
        <v>-4.43825330408841</v>
      </c>
      <c r="N83" s="2">
        <v>14.276031271693199</v>
      </c>
      <c r="O83" s="2">
        <v>5.3692490105142101E-4</v>
      </c>
      <c r="P83" s="2">
        <v>-7.9110703143625394E-2</v>
      </c>
      <c r="Q83" s="2">
        <v>-2.7624368311690201E-2</v>
      </c>
      <c r="R83" s="2"/>
      <c r="S83" s="2"/>
      <c r="T83" s="2">
        <v>-5.33169281305029E-2</v>
      </c>
      <c r="U83" s="2">
        <v>-7.8946077056249703E-2</v>
      </c>
      <c r="V83" s="2">
        <v>-2.7617343684696399E-2</v>
      </c>
      <c r="W83" s="2"/>
      <c r="X83" s="2"/>
      <c r="Y83" s="2">
        <v>1.5436326964079099E-3</v>
      </c>
      <c r="Z83" s="2">
        <v>7.2376202873169703E-10</v>
      </c>
      <c r="AA83" s="2">
        <v>4.5014783992960699E-3</v>
      </c>
      <c r="AB83" s="2"/>
      <c r="AC83" s="2"/>
      <c r="AD83" s="2"/>
      <c r="AE83" s="2"/>
      <c r="AF83" s="2"/>
      <c r="AG83" s="2"/>
      <c r="AH83" s="2" t="s">
        <v>428</v>
      </c>
      <c r="AI83" s="2"/>
      <c r="AJ83" s="2" t="s">
        <v>630</v>
      </c>
      <c r="AK83" s="2" t="s">
        <v>638</v>
      </c>
    </row>
    <row r="84" spans="1:37" x14ac:dyDescent="0.3">
      <c r="A84" s="2" t="s">
        <v>180</v>
      </c>
      <c r="B84" s="2" t="s">
        <v>440</v>
      </c>
      <c r="C84" s="2" t="s">
        <v>441</v>
      </c>
      <c r="D84" s="2" t="s">
        <v>639</v>
      </c>
      <c r="E84" s="2" t="s">
        <v>426</v>
      </c>
      <c r="F84" s="2" t="s">
        <v>427</v>
      </c>
      <c r="G84" s="2">
        <v>0.6</v>
      </c>
      <c r="H84" s="2">
        <v>1614</v>
      </c>
      <c r="I84" s="2">
        <v>78</v>
      </c>
      <c r="J84" s="2">
        <v>77</v>
      </c>
      <c r="K84" s="2">
        <v>-3.9677855285587198E-2</v>
      </c>
      <c r="L84" s="2">
        <v>1.49636942078276E-2</v>
      </c>
      <c r="M84" s="2"/>
      <c r="N84" s="2">
        <v>1.78951779807511</v>
      </c>
      <c r="O84" s="2"/>
      <c r="P84" s="2">
        <v>-0.11189173072054701</v>
      </c>
      <c r="Q84" s="2">
        <v>3.2536020149372499E-2</v>
      </c>
      <c r="R84" s="2"/>
      <c r="S84" s="2"/>
      <c r="T84" s="2"/>
      <c r="U84" s="2"/>
      <c r="V84" s="2"/>
      <c r="W84" s="2"/>
      <c r="X84" s="2"/>
      <c r="Y84" s="2">
        <v>1.5436326964079099E-3</v>
      </c>
      <c r="Z84" s="2">
        <v>7.2376202873169703E-10</v>
      </c>
      <c r="AA84" s="2">
        <v>4.5014783992960699E-3</v>
      </c>
      <c r="AB84" s="2"/>
      <c r="AC84" s="2"/>
      <c r="AD84" s="2"/>
      <c r="AE84" s="2"/>
      <c r="AF84" s="2"/>
      <c r="AG84" s="2"/>
      <c r="AH84" s="2" t="s">
        <v>428</v>
      </c>
      <c r="AI84" s="2"/>
      <c r="AJ84" s="2" t="s">
        <v>640</v>
      </c>
      <c r="AK84" s="2" t="s">
        <v>641</v>
      </c>
    </row>
    <row r="85" spans="1:37" x14ac:dyDescent="0.3">
      <c r="A85" s="2" t="s">
        <v>180</v>
      </c>
      <c r="B85" s="2" t="s">
        <v>440</v>
      </c>
      <c r="C85" s="2" t="s">
        <v>441</v>
      </c>
      <c r="D85" s="2" t="s">
        <v>642</v>
      </c>
      <c r="E85" s="2" t="s">
        <v>426</v>
      </c>
      <c r="F85" s="2" t="s">
        <v>427</v>
      </c>
      <c r="G85" s="2">
        <v>0.6</v>
      </c>
      <c r="H85" s="2">
        <v>1614</v>
      </c>
      <c r="I85" s="2">
        <v>78</v>
      </c>
      <c r="J85" s="2">
        <v>77</v>
      </c>
      <c r="K85" s="2">
        <v>-4.8431194680427497E-4</v>
      </c>
      <c r="L85" s="2">
        <v>1.7921289428740099E-2</v>
      </c>
      <c r="M85" s="2">
        <v>-2.7024391784420999E-2</v>
      </c>
      <c r="N85" s="2">
        <v>14.5118690955024</v>
      </c>
      <c r="O85" s="2">
        <v>0.97880840404299396</v>
      </c>
      <c r="P85" s="2">
        <v>-3.8794849076803202E-2</v>
      </c>
      <c r="Q85" s="2">
        <v>3.7826225183194603E-2</v>
      </c>
      <c r="R85" s="2"/>
      <c r="S85" s="2"/>
      <c r="T85" s="2"/>
      <c r="U85" s="2"/>
      <c r="V85" s="2"/>
      <c r="W85" s="2"/>
      <c r="X85" s="2"/>
      <c r="Y85" s="2">
        <v>1.5436326964079099E-3</v>
      </c>
      <c r="Z85" s="2">
        <v>7.2376202873169703E-10</v>
      </c>
      <c r="AA85" s="2">
        <v>4.5014783992960699E-3</v>
      </c>
      <c r="AB85" s="2"/>
      <c r="AC85" s="2"/>
      <c r="AD85" s="2"/>
      <c r="AE85" s="2"/>
      <c r="AF85" s="2"/>
      <c r="AG85" s="2"/>
      <c r="AH85" s="2" t="s">
        <v>428</v>
      </c>
      <c r="AI85" s="2"/>
      <c r="AJ85" s="2" t="s">
        <v>643</v>
      </c>
      <c r="AK85" s="2" t="s">
        <v>644</v>
      </c>
    </row>
    <row r="86" spans="1:37" x14ac:dyDescent="0.3">
      <c r="A86" s="2" t="s">
        <v>180</v>
      </c>
      <c r="B86" s="2" t="s">
        <v>440</v>
      </c>
      <c r="C86" s="2" t="s">
        <v>441</v>
      </c>
      <c r="D86" s="2" t="s">
        <v>456</v>
      </c>
      <c r="E86" s="2" t="s">
        <v>437</v>
      </c>
      <c r="F86" s="2" t="s">
        <v>427</v>
      </c>
      <c r="G86" s="2">
        <v>0.6</v>
      </c>
      <c r="H86" s="2">
        <v>1614</v>
      </c>
      <c r="I86" s="2">
        <v>78</v>
      </c>
      <c r="J86" s="2">
        <v>77</v>
      </c>
      <c r="K86" s="2"/>
      <c r="L86" s="2"/>
      <c r="M86" s="2">
        <v>3.4928387564258498</v>
      </c>
      <c r="N86" s="2">
        <v>2.2032508224695602</v>
      </c>
      <c r="O86" s="2">
        <v>0.190734705682579</v>
      </c>
      <c r="P86" s="2"/>
      <c r="Q86" s="2"/>
      <c r="R86" s="2"/>
      <c r="S86" s="2"/>
      <c r="T86" s="2"/>
      <c r="U86" s="2"/>
      <c r="V86" s="2"/>
      <c r="W86" s="2"/>
      <c r="X86" s="2"/>
      <c r="Y86" s="2">
        <v>1.5436326964079099E-3</v>
      </c>
      <c r="Z86" s="2">
        <v>7.2376202873169703E-10</v>
      </c>
      <c r="AA86" s="2">
        <v>4.5014783992960699E-3</v>
      </c>
      <c r="AB86" s="2"/>
      <c r="AC86" s="2"/>
      <c r="AD86" s="2"/>
      <c r="AE86" s="2"/>
      <c r="AF86" s="2"/>
      <c r="AG86" s="2"/>
      <c r="AH86" s="2" t="s">
        <v>457</v>
      </c>
      <c r="AI86" s="2" t="s">
        <v>645</v>
      </c>
      <c r="AJ86" s="2" t="s">
        <v>646</v>
      </c>
      <c r="AK86" s="2" t="s">
        <v>647</v>
      </c>
    </row>
    <row r="87" spans="1:37" x14ac:dyDescent="0.3">
      <c r="A87" s="2" t="s">
        <v>182</v>
      </c>
      <c r="B87" s="2" t="s">
        <v>423</v>
      </c>
      <c r="C87" s="2" t="s">
        <v>424</v>
      </c>
      <c r="D87" s="2" t="s">
        <v>648</v>
      </c>
      <c r="E87" s="2" t="s">
        <v>426</v>
      </c>
      <c r="F87" s="2" t="s">
        <v>427</v>
      </c>
      <c r="G87" s="2">
        <v>0.6</v>
      </c>
      <c r="H87" s="2">
        <v>1330</v>
      </c>
      <c r="I87" s="2">
        <v>57</v>
      </c>
      <c r="J87" s="2">
        <v>57</v>
      </c>
      <c r="K87" s="2">
        <v>-6.07894588064418E-2</v>
      </c>
      <c r="L87" s="2">
        <v>2.80083155609956E-2</v>
      </c>
      <c r="M87" s="2">
        <v>-2.1704075232248998</v>
      </c>
      <c r="N87" s="2">
        <v>40.156221089592201</v>
      </c>
      <c r="O87" s="2">
        <v>3.5946556143121103E-2</v>
      </c>
      <c r="P87" s="2">
        <v>-0.11738951698486701</v>
      </c>
      <c r="Q87" s="2">
        <v>-4.1894006280170397E-3</v>
      </c>
      <c r="R87" s="2">
        <v>-0.45120690095098898</v>
      </c>
      <c r="S87" s="2">
        <v>0.329627983338106</v>
      </c>
      <c r="T87" s="2">
        <v>-6.0714689713508199E-2</v>
      </c>
      <c r="U87" s="2">
        <v>-0.11685325187899701</v>
      </c>
      <c r="V87" s="2">
        <v>-4.1893761186905703E-3</v>
      </c>
      <c r="W87" s="2">
        <v>-0.42289057393683699</v>
      </c>
      <c r="X87" s="2">
        <v>0.318186463772832</v>
      </c>
      <c r="Y87" s="2">
        <v>2.8807123569048701E-2</v>
      </c>
      <c r="Z87" s="2">
        <v>1.8412393690889001E-9</v>
      </c>
      <c r="AA87" s="2">
        <v>7.7333086145599502E-3</v>
      </c>
      <c r="AB87" s="2"/>
      <c r="AC87" s="2"/>
      <c r="AD87" s="2"/>
      <c r="AE87" s="2"/>
      <c r="AF87" s="2"/>
      <c r="AG87" s="2"/>
      <c r="AH87" s="2" t="s">
        <v>428</v>
      </c>
      <c r="AI87" s="2"/>
      <c r="AJ87" s="2" t="s">
        <v>649</v>
      </c>
      <c r="AK87" s="2" t="s">
        <v>650</v>
      </c>
    </row>
    <row r="88" spans="1:37" x14ac:dyDescent="0.3">
      <c r="A88" s="2" t="s">
        <v>182</v>
      </c>
      <c r="B88" s="2" t="s">
        <v>423</v>
      </c>
      <c r="C88" s="2" t="s">
        <v>424</v>
      </c>
      <c r="D88" s="2" t="s">
        <v>651</v>
      </c>
      <c r="E88" s="2" t="s">
        <v>426</v>
      </c>
      <c r="F88" s="2" t="s">
        <v>427</v>
      </c>
      <c r="G88" s="2">
        <v>0.6</v>
      </c>
      <c r="H88" s="2">
        <v>626</v>
      </c>
      <c r="I88" s="2">
        <v>40</v>
      </c>
      <c r="J88" s="2">
        <v>39</v>
      </c>
      <c r="K88" s="2">
        <v>-6.6063501032844293E-2</v>
      </c>
      <c r="L88" s="2">
        <v>1.8434237265667501E-2</v>
      </c>
      <c r="M88" s="2">
        <v>-3.5837393259488501</v>
      </c>
      <c r="N88" s="2">
        <v>20.773208745561899</v>
      </c>
      <c r="O88" s="2">
        <v>1.77278155372338E-3</v>
      </c>
      <c r="P88" s="2">
        <v>-0.10442509652062</v>
      </c>
      <c r="Q88" s="2">
        <v>-2.7701905545068999E-2</v>
      </c>
      <c r="R88" s="2">
        <v>-0.46570303781682099</v>
      </c>
      <c r="S88" s="2">
        <v>0.33357603575113198</v>
      </c>
      <c r="T88" s="2">
        <v>-6.5967559642752804E-2</v>
      </c>
      <c r="U88" s="2">
        <v>-0.104047173544961</v>
      </c>
      <c r="V88" s="2">
        <v>-2.76948216129927E-2</v>
      </c>
      <c r="W88" s="2">
        <v>-0.43472092133310603</v>
      </c>
      <c r="X88" s="2">
        <v>0.32173033470982298</v>
      </c>
      <c r="Y88" s="2">
        <v>2.8807123569048701E-2</v>
      </c>
      <c r="Z88" s="2">
        <v>1.8412393690889001E-9</v>
      </c>
      <c r="AA88" s="2">
        <v>7.7333086145599502E-3</v>
      </c>
      <c r="AB88" s="2"/>
      <c r="AC88" s="2"/>
      <c r="AD88" s="2"/>
      <c r="AE88" s="2"/>
      <c r="AF88" s="2"/>
      <c r="AG88" s="2"/>
      <c r="AH88" s="2" t="s">
        <v>428</v>
      </c>
      <c r="AI88" s="2"/>
      <c r="AJ88" s="2" t="s">
        <v>649</v>
      </c>
      <c r="AK88" s="2" t="s">
        <v>652</v>
      </c>
    </row>
    <row r="89" spans="1:37" x14ac:dyDescent="0.3">
      <c r="A89" s="2" t="s">
        <v>182</v>
      </c>
      <c r="B89" s="2" t="s">
        <v>423</v>
      </c>
      <c r="C89" s="2" t="s">
        <v>424</v>
      </c>
      <c r="D89" s="2" t="s">
        <v>653</v>
      </c>
      <c r="E89" s="2" t="s">
        <v>426</v>
      </c>
      <c r="F89" s="2" t="s">
        <v>427</v>
      </c>
      <c r="G89" s="2">
        <v>0.6</v>
      </c>
      <c r="H89" s="2">
        <v>1956</v>
      </c>
      <c r="I89" s="2">
        <v>96</v>
      </c>
      <c r="J89" s="2">
        <v>95</v>
      </c>
      <c r="K89" s="2">
        <v>5.2740422264024997E-3</v>
      </c>
      <c r="L89" s="2">
        <v>3.3952318313247298E-2</v>
      </c>
      <c r="M89" s="2">
        <v>0.15533673364344899</v>
      </c>
      <c r="N89" s="2">
        <v>9.2585497440398505</v>
      </c>
      <c r="O89" s="2">
        <v>0.87988987226489901</v>
      </c>
      <c r="P89" s="2">
        <v>-7.1205729147172395E-2</v>
      </c>
      <c r="Q89" s="2">
        <v>8.1753813599977396E-2</v>
      </c>
      <c r="R89" s="2"/>
      <c r="S89" s="2"/>
      <c r="T89" s="2"/>
      <c r="U89" s="2"/>
      <c r="V89" s="2"/>
      <c r="W89" s="2"/>
      <c r="X89" s="2"/>
      <c r="Y89" s="2">
        <v>2.8807123569048701E-2</v>
      </c>
      <c r="Z89" s="2">
        <v>1.8412393690889001E-9</v>
      </c>
      <c r="AA89" s="2">
        <v>7.7333086145599502E-3</v>
      </c>
      <c r="AB89" s="2"/>
      <c r="AC89" s="2"/>
      <c r="AD89" s="2"/>
      <c r="AE89" s="2"/>
      <c r="AF89" s="2"/>
      <c r="AG89" s="2"/>
      <c r="AH89" s="2" t="s">
        <v>428</v>
      </c>
      <c r="AI89" s="2"/>
      <c r="AJ89" s="2" t="s">
        <v>654</v>
      </c>
      <c r="AK89" s="2" t="s">
        <v>655</v>
      </c>
    </row>
    <row r="90" spans="1:37" x14ac:dyDescent="0.3">
      <c r="A90" s="2" t="s">
        <v>182</v>
      </c>
      <c r="B90" s="2" t="s">
        <v>423</v>
      </c>
      <c r="C90" s="2" t="s">
        <v>424</v>
      </c>
      <c r="D90" s="2" t="s">
        <v>436</v>
      </c>
      <c r="E90" s="2" t="s">
        <v>437</v>
      </c>
      <c r="F90" s="2" t="s">
        <v>427</v>
      </c>
      <c r="G90" s="2">
        <v>0.6</v>
      </c>
      <c r="H90" s="2">
        <v>1956</v>
      </c>
      <c r="I90" s="2">
        <v>96</v>
      </c>
      <c r="J90" s="2">
        <v>95</v>
      </c>
      <c r="K90" s="2"/>
      <c r="L90" s="2"/>
      <c r="M90" s="2">
        <v>2.4129500819015898E-2</v>
      </c>
      <c r="N90" s="2">
        <v>9.2585497440398505</v>
      </c>
      <c r="O90" s="2">
        <v>0.87988987226489901</v>
      </c>
      <c r="P90" s="2"/>
      <c r="Q90" s="2"/>
      <c r="R90" s="2"/>
      <c r="S90" s="2"/>
      <c r="T90" s="2"/>
      <c r="U90" s="2"/>
      <c r="V90" s="2"/>
      <c r="W90" s="2"/>
      <c r="X90" s="2"/>
      <c r="Y90" s="2">
        <v>2.8807123569048701E-2</v>
      </c>
      <c r="Z90" s="2">
        <v>1.8412393690889001E-9</v>
      </c>
      <c r="AA90" s="2">
        <v>7.7333086145599502E-3</v>
      </c>
      <c r="AB90" s="2"/>
      <c r="AC90" s="2"/>
      <c r="AD90" s="2"/>
      <c r="AE90" s="2"/>
      <c r="AF90" s="2"/>
      <c r="AG90" s="2"/>
      <c r="AH90" s="2" t="s">
        <v>428</v>
      </c>
      <c r="AI90" s="2"/>
      <c r="AJ90" s="2" t="s">
        <v>656</v>
      </c>
      <c r="AK90" s="2" t="s">
        <v>657</v>
      </c>
    </row>
    <row r="91" spans="1:37" x14ac:dyDescent="0.3">
      <c r="A91" s="2" t="s">
        <v>182</v>
      </c>
      <c r="B91" s="2" t="s">
        <v>440</v>
      </c>
      <c r="C91" s="2" t="s">
        <v>441</v>
      </c>
      <c r="D91" s="2" t="s">
        <v>658</v>
      </c>
      <c r="E91" s="2" t="s">
        <v>426</v>
      </c>
      <c r="F91" s="2" t="s">
        <v>427</v>
      </c>
      <c r="G91" s="2">
        <v>0.6</v>
      </c>
      <c r="H91" s="2">
        <v>1133</v>
      </c>
      <c r="I91" s="2">
        <v>47</v>
      </c>
      <c r="J91" s="2">
        <v>47</v>
      </c>
      <c r="K91" s="2">
        <v>-6.3626769958940496E-2</v>
      </c>
      <c r="L91" s="2">
        <v>3.31905839411697E-2</v>
      </c>
      <c r="M91" s="2">
        <v>-1.9170126705730499</v>
      </c>
      <c r="N91" s="2">
        <v>33.734623450328002</v>
      </c>
      <c r="O91" s="2">
        <v>6.3737955322862597E-2</v>
      </c>
      <c r="P91" s="2">
        <v>-0.13109770198294601</v>
      </c>
      <c r="Q91" s="2">
        <v>3.8441620650645899E-3</v>
      </c>
      <c r="R91" s="2"/>
      <c r="S91" s="2"/>
      <c r="T91" s="2">
        <v>-6.35410472899582E-2</v>
      </c>
      <c r="U91" s="2">
        <v>-0.13035178787558999</v>
      </c>
      <c r="V91" s="2">
        <v>3.8441431293698299E-3</v>
      </c>
      <c r="W91" s="2"/>
      <c r="X91" s="2"/>
      <c r="Y91" s="2">
        <v>3.0232905232847902E-2</v>
      </c>
      <c r="Z91" s="2">
        <v>1.7014655886763201E-9</v>
      </c>
      <c r="AA91" s="2">
        <v>7.7226027425730103E-3</v>
      </c>
      <c r="AB91" s="2"/>
      <c r="AC91" s="2"/>
      <c r="AD91" s="2"/>
      <c r="AE91" s="2"/>
      <c r="AF91" s="2"/>
      <c r="AG91" s="2"/>
      <c r="AH91" s="2" t="s">
        <v>428</v>
      </c>
      <c r="AI91" s="2"/>
      <c r="AJ91" s="2" t="s">
        <v>659</v>
      </c>
      <c r="AK91" s="2" t="s">
        <v>660</v>
      </c>
    </row>
    <row r="92" spans="1:37" x14ac:dyDescent="0.3">
      <c r="A92" s="2" t="s">
        <v>182</v>
      </c>
      <c r="B92" s="2" t="s">
        <v>440</v>
      </c>
      <c r="C92" s="2" t="s">
        <v>441</v>
      </c>
      <c r="D92" s="2" t="s">
        <v>661</v>
      </c>
      <c r="E92" s="2" t="s">
        <v>426</v>
      </c>
      <c r="F92" s="2" t="s">
        <v>427</v>
      </c>
      <c r="G92" s="2">
        <v>0.6</v>
      </c>
      <c r="H92" s="2">
        <v>191</v>
      </c>
      <c r="I92" s="2">
        <v>9</v>
      </c>
      <c r="J92" s="2">
        <v>9</v>
      </c>
      <c r="K92" s="2">
        <v>-5.1250270203412003E-2</v>
      </c>
      <c r="L92" s="2">
        <v>1.73704907935394E-2</v>
      </c>
      <c r="M92" s="2">
        <v>-2.95042154033285</v>
      </c>
      <c r="N92" s="2">
        <v>7.9911513966352503</v>
      </c>
      <c r="O92" s="2">
        <v>1.8436301293678899E-2</v>
      </c>
      <c r="P92" s="2">
        <v>-9.1314415610649693E-2</v>
      </c>
      <c r="Q92" s="2">
        <v>-1.11861247961742E-2</v>
      </c>
      <c r="R92" s="2"/>
      <c r="S92" s="2"/>
      <c r="T92" s="2">
        <v>-5.1205446144178601E-2</v>
      </c>
      <c r="U92" s="2">
        <v>-9.1061456264436E-2</v>
      </c>
      <c r="V92" s="2">
        <v>-1.1185658248542601E-2</v>
      </c>
      <c r="W92" s="2"/>
      <c r="X92" s="2"/>
      <c r="Y92" s="2">
        <v>3.0232905232847902E-2</v>
      </c>
      <c r="Z92" s="2">
        <v>1.7014655886763201E-9</v>
      </c>
      <c r="AA92" s="2">
        <v>7.7226027425730103E-3</v>
      </c>
      <c r="AB92" s="2"/>
      <c r="AC92" s="2"/>
      <c r="AD92" s="2"/>
      <c r="AE92" s="2"/>
      <c r="AF92" s="2"/>
      <c r="AG92" s="2"/>
      <c r="AH92" s="2" t="s">
        <v>428</v>
      </c>
      <c r="AI92" s="2"/>
      <c r="AJ92" s="2" t="s">
        <v>659</v>
      </c>
      <c r="AK92" s="2" t="s">
        <v>662</v>
      </c>
    </row>
    <row r="93" spans="1:37" x14ac:dyDescent="0.3">
      <c r="A93" s="2" t="s">
        <v>182</v>
      </c>
      <c r="B93" s="2" t="s">
        <v>440</v>
      </c>
      <c r="C93" s="2" t="s">
        <v>441</v>
      </c>
      <c r="D93" s="2" t="s">
        <v>663</v>
      </c>
      <c r="E93" s="2" t="s">
        <v>426</v>
      </c>
      <c r="F93" s="2" t="s">
        <v>427</v>
      </c>
      <c r="G93" s="2">
        <v>0.6</v>
      </c>
      <c r="H93" s="2">
        <v>399</v>
      </c>
      <c r="I93" s="2">
        <v>24</v>
      </c>
      <c r="J93" s="2">
        <v>23</v>
      </c>
      <c r="K93" s="2">
        <v>-7.4837843058495696E-2</v>
      </c>
      <c r="L93" s="2">
        <v>2.2257903519459301E-2</v>
      </c>
      <c r="M93" s="2">
        <v>-3.3623042256907798</v>
      </c>
      <c r="N93" s="2">
        <v>12.8308852647562</v>
      </c>
      <c r="O93" s="2">
        <v>5.1839713196690602E-3</v>
      </c>
      <c r="P93" s="2">
        <v>-0.122987625124726</v>
      </c>
      <c r="Q93" s="2">
        <v>-2.6688060992265901E-2</v>
      </c>
      <c r="R93" s="2"/>
      <c r="S93" s="2"/>
      <c r="T93" s="2">
        <v>-7.4698440513158298E-2</v>
      </c>
      <c r="U93" s="2">
        <v>-0.12237125234792801</v>
      </c>
      <c r="V93" s="2">
        <v>-2.6681726583333499E-2</v>
      </c>
      <c r="W93" s="2"/>
      <c r="X93" s="2"/>
      <c r="Y93" s="2">
        <v>3.0232905232847902E-2</v>
      </c>
      <c r="Z93" s="2">
        <v>1.7014655886763201E-9</v>
      </c>
      <c r="AA93" s="2">
        <v>7.7226027425730103E-3</v>
      </c>
      <c r="AB93" s="2"/>
      <c r="AC93" s="2"/>
      <c r="AD93" s="2"/>
      <c r="AE93" s="2"/>
      <c r="AF93" s="2"/>
      <c r="AG93" s="2"/>
      <c r="AH93" s="2" t="s">
        <v>428</v>
      </c>
      <c r="AI93" s="2"/>
      <c r="AJ93" s="2" t="s">
        <v>659</v>
      </c>
      <c r="AK93" s="2" t="s">
        <v>664</v>
      </c>
    </row>
    <row r="94" spans="1:37" x14ac:dyDescent="0.3">
      <c r="A94" s="2" t="s">
        <v>182</v>
      </c>
      <c r="B94" s="2" t="s">
        <v>440</v>
      </c>
      <c r="C94" s="2" t="s">
        <v>441</v>
      </c>
      <c r="D94" s="2" t="s">
        <v>665</v>
      </c>
      <c r="E94" s="2" t="s">
        <v>426</v>
      </c>
      <c r="F94" s="2" t="s">
        <v>427</v>
      </c>
      <c r="G94" s="2">
        <v>0.6</v>
      </c>
      <c r="H94" s="2">
        <v>225</v>
      </c>
      <c r="I94" s="2">
        <v>16</v>
      </c>
      <c r="J94" s="2">
        <v>16</v>
      </c>
      <c r="K94" s="2">
        <v>-5.1882169699133403E-2</v>
      </c>
      <c r="L94" s="2">
        <v>1.6399481999902901E-2</v>
      </c>
      <c r="M94" s="2">
        <v>-3.1636468578361501</v>
      </c>
      <c r="N94" s="2">
        <v>8.5513768841566993</v>
      </c>
      <c r="O94" s="2">
        <v>1.2240508096744099E-2</v>
      </c>
      <c r="P94" s="2">
        <v>-8.9279183407107804E-2</v>
      </c>
      <c r="Q94" s="2">
        <v>-1.4485155991159E-2</v>
      </c>
      <c r="R94" s="2"/>
      <c r="S94" s="2"/>
      <c r="T94" s="2">
        <v>-5.1835668325077099E-2</v>
      </c>
      <c r="U94" s="2">
        <v>-8.9042729244797406E-2</v>
      </c>
      <c r="V94" s="2">
        <v>-1.4484142985604E-2</v>
      </c>
      <c r="W94" s="2"/>
      <c r="X94" s="2"/>
      <c r="Y94" s="2">
        <v>3.0232905232847902E-2</v>
      </c>
      <c r="Z94" s="2">
        <v>1.7014655886763201E-9</v>
      </c>
      <c r="AA94" s="2">
        <v>7.7226027425730103E-3</v>
      </c>
      <c r="AB94" s="2"/>
      <c r="AC94" s="2"/>
      <c r="AD94" s="2"/>
      <c r="AE94" s="2"/>
      <c r="AF94" s="2"/>
      <c r="AG94" s="2"/>
      <c r="AH94" s="2" t="s">
        <v>428</v>
      </c>
      <c r="AI94" s="2"/>
      <c r="AJ94" s="2" t="s">
        <v>659</v>
      </c>
      <c r="AK94" s="2" t="s">
        <v>666</v>
      </c>
    </row>
    <row r="95" spans="1:37" x14ac:dyDescent="0.3">
      <c r="A95" s="2" t="s">
        <v>182</v>
      </c>
      <c r="B95" s="2" t="s">
        <v>440</v>
      </c>
      <c r="C95" s="2" t="s">
        <v>441</v>
      </c>
      <c r="D95" s="2" t="s">
        <v>667</v>
      </c>
      <c r="E95" s="2" t="s">
        <v>426</v>
      </c>
      <c r="F95" s="2" t="s">
        <v>427</v>
      </c>
      <c r="G95" s="2">
        <v>0.6</v>
      </c>
      <c r="H95" s="2">
        <v>1948</v>
      </c>
      <c r="I95" s="2">
        <v>94</v>
      </c>
      <c r="J95" s="2">
        <v>93</v>
      </c>
      <c r="K95" s="2">
        <v>1.23764997555285E-2</v>
      </c>
      <c r="L95" s="2">
        <v>3.7461297531776197E-2</v>
      </c>
      <c r="M95" s="2">
        <v>0.33038096838557901</v>
      </c>
      <c r="N95" s="2">
        <v>10.9057473380687</v>
      </c>
      <c r="O95" s="2">
        <v>0.74737192459427504</v>
      </c>
      <c r="P95" s="2">
        <v>-7.0162283658926294E-2</v>
      </c>
      <c r="Q95" s="2">
        <v>9.4915283169983405E-2</v>
      </c>
      <c r="R95" s="2"/>
      <c r="S95" s="2"/>
      <c r="T95" s="2"/>
      <c r="U95" s="2"/>
      <c r="V95" s="2"/>
      <c r="W95" s="2"/>
      <c r="X95" s="2"/>
      <c r="Y95" s="2">
        <v>3.0232905232847902E-2</v>
      </c>
      <c r="Z95" s="2">
        <v>1.7014655886763201E-9</v>
      </c>
      <c r="AA95" s="2">
        <v>7.7226027425730103E-3</v>
      </c>
      <c r="AB95" s="2"/>
      <c r="AC95" s="2"/>
      <c r="AD95" s="2"/>
      <c r="AE95" s="2"/>
      <c r="AF95" s="2"/>
      <c r="AG95" s="2"/>
      <c r="AH95" s="2" t="s">
        <v>428</v>
      </c>
      <c r="AI95" s="2"/>
      <c r="AJ95" s="2" t="s">
        <v>668</v>
      </c>
      <c r="AK95" s="2" t="s">
        <v>669</v>
      </c>
    </row>
    <row r="96" spans="1:37" x14ac:dyDescent="0.3">
      <c r="A96" s="2" t="s">
        <v>182</v>
      </c>
      <c r="B96" s="2" t="s">
        <v>440</v>
      </c>
      <c r="C96" s="2" t="s">
        <v>441</v>
      </c>
      <c r="D96" s="2" t="s">
        <v>670</v>
      </c>
      <c r="E96" s="2" t="s">
        <v>426</v>
      </c>
      <c r="F96" s="2" t="s">
        <v>427</v>
      </c>
      <c r="G96" s="2">
        <v>0.6</v>
      </c>
      <c r="H96" s="2">
        <v>1948</v>
      </c>
      <c r="I96" s="2">
        <v>94</v>
      </c>
      <c r="J96" s="2">
        <v>93</v>
      </c>
      <c r="K96" s="2">
        <v>2.29556733593623E-2</v>
      </c>
      <c r="L96" s="2">
        <v>1.7651537261532398E-2</v>
      </c>
      <c r="M96" s="2"/>
      <c r="N96" s="2">
        <v>2.7103736483817502</v>
      </c>
      <c r="O96" s="2"/>
      <c r="P96" s="2">
        <v>-3.6772813448287998E-2</v>
      </c>
      <c r="Q96" s="2">
        <v>8.2684160167012605E-2</v>
      </c>
      <c r="R96" s="2"/>
      <c r="S96" s="2"/>
      <c r="T96" s="2"/>
      <c r="U96" s="2"/>
      <c r="V96" s="2"/>
      <c r="W96" s="2"/>
      <c r="X96" s="2"/>
      <c r="Y96" s="2">
        <v>3.0232905232847902E-2</v>
      </c>
      <c r="Z96" s="2">
        <v>1.7014655886763201E-9</v>
      </c>
      <c r="AA96" s="2">
        <v>7.7226027425730103E-3</v>
      </c>
      <c r="AB96" s="2"/>
      <c r="AC96" s="2"/>
      <c r="AD96" s="2"/>
      <c r="AE96" s="2"/>
      <c r="AF96" s="2"/>
      <c r="AG96" s="2"/>
      <c r="AH96" s="2" t="s">
        <v>428</v>
      </c>
      <c r="AI96" s="2"/>
      <c r="AJ96" s="2" t="s">
        <v>671</v>
      </c>
      <c r="AK96" s="2" t="s">
        <v>672</v>
      </c>
    </row>
    <row r="97" spans="1:37" x14ac:dyDescent="0.3">
      <c r="A97" s="2" t="s">
        <v>182</v>
      </c>
      <c r="B97" s="2" t="s">
        <v>440</v>
      </c>
      <c r="C97" s="2" t="s">
        <v>441</v>
      </c>
      <c r="D97" s="2" t="s">
        <v>456</v>
      </c>
      <c r="E97" s="2" t="s">
        <v>437</v>
      </c>
      <c r="F97" s="2" t="s">
        <v>427</v>
      </c>
      <c r="G97" s="2">
        <v>0.6</v>
      </c>
      <c r="H97" s="2">
        <v>1948</v>
      </c>
      <c r="I97" s="2">
        <v>94</v>
      </c>
      <c r="J97" s="2">
        <v>93</v>
      </c>
      <c r="K97" s="2"/>
      <c r="L97" s="2"/>
      <c r="M97" s="2">
        <v>6.7668186649652004E-2</v>
      </c>
      <c r="N97" s="2">
        <v>13.146307808171001</v>
      </c>
      <c r="O97" s="2">
        <v>0.79879241700975401</v>
      </c>
      <c r="P97" s="2"/>
      <c r="Q97" s="2"/>
      <c r="R97" s="2"/>
      <c r="S97" s="2"/>
      <c r="T97" s="2"/>
      <c r="U97" s="2"/>
      <c r="V97" s="2"/>
      <c r="W97" s="2"/>
      <c r="X97" s="2"/>
      <c r="Y97" s="2">
        <v>3.0232905232847902E-2</v>
      </c>
      <c r="Z97" s="2">
        <v>1.7014655886763201E-9</v>
      </c>
      <c r="AA97" s="2">
        <v>7.7226027425730103E-3</v>
      </c>
      <c r="AB97" s="2"/>
      <c r="AC97" s="2"/>
      <c r="AD97" s="2"/>
      <c r="AE97" s="2"/>
      <c r="AF97" s="2"/>
      <c r="AG97" s="2"/>
      <c r="AH97" s="2" t="s">
        <v>457</v>
      </c>
      <c r="AI97" s="2" t="s">
        <v>673</v>
      </c>
      <c r="AJ97" s="2" t="s">
        <v>674</v>
      </c>
      <c r="AK97" s="2" t="s">
        <v>675</v>
      </c>
    </row>
    <row r="98" spans="1:37" x14ac:dyDescent="0.3">
      <c r="A98" s="2" t="s">
        <v>184</v>
      </c>
      <c r="B98" s="2" t="s">
        <v>423</v>
      </c>
      <c r="C98" s="2" t="s">
        <v>424</v>
      </c>
      <c r="D98" s="2" t="s">
        <v>676</v>
      </c>
      <c r="E98" s="2" t="s">
        <v>426</v>
      </c>
      <c r="F98" s="2" t="s">
        <v>427</v>
      </c>
      <c r="G98" s="2">
        <v>0.6</v>
      </c>
      <c r="H98" s="2">
        <v>1047</v>
      </c>
      <c r="I98" s="2">
        <v>47</v>
      </c>
      <c r="J98" s="2">
        <v>46</v>
      </c>
      <c r="K98" s="2">
        <v>-6.3801611014221701E-2</v>
      </c>
      <c r="L98" s="2">
        <v>3.4343277783262301E-2</v>
      </c>
      <c r="M98" s="2">
        <v>-1.85776126020552</v>
      </c>
      <c r="N98" s="2">
        <v>30.743132482518099</v>
      </c>
      <c r="O98" s="2">
        <v>7.2803881047531604E-2</v>
      </c>
      <c r="P98" s="2">
        <v>-0.13386891559713701</v>
      </c>
      <c r="Q98" s="2">
        <v>6.2656935686940304E-3</v>
      </c>
      <c r="R98" s="2">
        <v>-0.48720851720201402</v>
      </c>
      <c r="S98" s="2">
        <v>0.35960529517356998</v>
      </c>
      <c r="T98" s="2">
        <v>-6.3715180494330406E-2</v>
      </c>
      <c r="U98" s="2">
        <v>-0.133074923511737</v>
      </c>
      <c r="V98" s="2">
        <v>6.2656115752026701E-3</v>
      </c>
      <c r="W98" s="2">
        <v>-0.45199806087370298</v>
      </c>
      <c r="X98" s="2">
        <v>0.34486631999989797</v>
      </c>
      <c r="Y98" s="2">
        <v>3.3243878149704802E-2</v>
      </c>
      <c r="Z98" s="2">
        <v>1.61865309241763E-9</v>
      </c>
      <c r="AA98" s="2">
        <v>8.6460314130457402E-3</v>
      </c>
      <c r="AB98" s="2"/>
      <c r="AC98" s="2"/>
      <c r="AD98" s="2"/>
      <c r="AE98" s="2"/>
      <c r="AF98" s="2"/>
      <c r="AG98" s="2"/>
      <c r="AH98" s="2" t="s">
        <v>428</v>
      </c>
      <c r="AI98" s="2"/>
      <c r="AJ98" s="2" t="s">
        <v>677</v>
      </c>
      <c r="AK98" s="2" t="s">
        <v>678</v>
      </c>
    </row>
    <row r="99" spans="1:37" x14ac:dyDescent="0.3">
      <c r="A99" s="2" t="s">
        <v>184</v>
      </c>
      <c r="B99" s="2" t="s">
        <v>423</v>
      </c>
      <c r="C99" s="2" t="s">
        <v>424</v>
      </c>
      <c r="D99" s="2" t="s">
        <v>679</v>
      </c>
      <c r="E99" s="2" t="s">
        <v>426</v>
      </c>
      <c r="F99" s="2" t="s">
        <v>427</v>
      </c>
      <c r="G99" s="2">
        <v>0.6</v>
      </c>
      <c r="H99" s="2">
        <v>616</v>
      </c>
      <c r="I99" s="2">
        <v>37</v>
      </c>
      <c r="J99" s="2">
        <v>37</v>
      </c>
      <c r="K99" s="2">
        <v>-6.7476900602734396E-2</v>
      </c>
      <c r="L99" s="2">
        <v>1.99102456799733E-2</v>
      </c>
      <c r="M99" s="2">
        <v>-3.38905414264205</v>
      </c>
      <c r="N99" s="2">
        <v>20.452604604764801</v>
      </c>
      <c r="O99" s="2">
        <v>2.8457519967881898E-3</v>
      </c>
      <c r="P99" s="2">
        <v>-0.108950104225184</v>
      </c>
      <c r="Q99" s="2">
        <v>-2.6003696980284301E-2</v>
      </c>
      <c r="R99" s="2">
        <v>-0.49581919393585799</v>
      </c>
      <c r="S99" s="2">
        <v>0.36086539273038898</v>
      </c>
      <c r="T99" s="2">
        <v>-6.7374676360506799E-2</v>
      </c>
      <c r="U99" s="2">
        <v>-0.108521057452705</v>
      </c>
      <c r="V99" s="2">
        <v>-2.5997837398979901E-2</v>
      </c>
      <c r="W99" s="2">
        <v>-0.458822826282269</v>
      </c>
      <c r="X99" s="2">
        <v>0.34597606780773299</v>
      </c>
      <c r="Y99" s="2">
        <v>3.3243878149704802E-2</v>
      </c>
      <c r="Z99" s="2">
        <v>1.61865309241763E-9</v>
      </c>
      <c r="AA99" s="2">
        <v>8.6460314130457402E-3</v>
      </c>
      <c r="AB99" s="2"/>
      <c r="AC99" s="2"/>
      <c r="AD99" s="2"/>
      <c r="AE99" s="2"/>
      <c r="AF99" s="2"/>
      <c r="AG99" s="2"/>
      <c r="AH99" s="2" t="s">
        <v>428</v>
      </c>
      <c r="AI99" s="2"/>
      <c r="AJ99" s="2" t="s">
        <v>677</v>
      </c>
      <c r="AK99" s="2" t="s">
        <v>680</v>
      </c>
    </row>
    <row r="100" spans="1:37" x14ac:dyDescent="0.3">
      <c r="A100" s="2" t="s">
        <v>184</v>
      </c>
      <c r="B100" s="2" t="s">
        <v>423</v>
      </c>
      <c r="C100" s="2" t="s">
        <v>424</v>
      </c>
      <c r="D100" s="2" t="s">
        <v>681</v>
      </c>
      <c r="E100" s="2" t="s">
        <v>426</v>
      </c>
      <c r="F100" s="2" t="s">
        <v>427</v>
      </c>
      <c r="G100" s="2">
        <v>0.6</v>
      </c>
      <c r="H100" s="2">
        <v>1663</v>
      </c>
      <c r="I100" s="2">
        <v>83</v>
      </c>
      <c r="J100" s="2">
        <v>82</v>
      </c>
      <c r="K100" s="2">
        <v>3.6752895885126501E-3</v>
      </c>
      <c r="L100" s="2">
        <v>3.9805183210460997E-2</v>
      </c>
      <c r="M100" s="2">
        <v>9.2331934991490505E-2</v>
      </c>
      <c r="N100" s="2">
        <v>7.5169366347716204</v>
      </c>
      <c r="O100" s="2">
        <v>0.92884729755819795</v>
      </c>
      <c r="P100" s="2">
        <v>-8.9152600180062394E-2</v>
      </c>
      <c r="Q100" s="2">
        <v>9.6503179357087701E-2</v>
      </c>
      <c r="R100" s="2"/>
      <c r="S100" s="2"/>
      <c r="T100" s="2"/>
      <c r="U100" s="2"/>
      <c r="V100" s="2"/>
      <c r="W100" s="2"/>
      <c r="X100" s="2"/>
      <c r="Y100" s="2">
        <v>3.3243878149704802E-2</v>
      </c>
      <c r="Z100" s="2">
        <v>1.61865309241763E-9</v>
      </c>
      <c r="AA100" s="2">
        <v>8.6460314130457402E-3</v>
      </c>
      <c r="AB100" s="2"/>
      <c r="AC100" s="2"/>
      <c r="AD100" s="2"/>
      <c r="AE100" s="2"/>
      <c r="AF100" s="2"/>
      <c r="AG100" s="2"/>
      <c r="AH100" s="2" t="s">
        <v>428</v>
      </c>
      <c r="AI100" s="2"/>
      <c r="AJ100" s="2" t="s">
        <v>682</v>
      </c>
      <c r="AK100" s="2" t="s">
        <v>683</v>
      </c>
    </row>
    <row r="101" spans="1:37" x14ac:dyDescent="0.3">
      <c r="A101" s="2" t="s">
        <v>184</v>
      </c>
      <c r="B101" s="2" t="s">
        <v>423</v>
      </c>
      <c r="C101" s="2" t="s">
        <v>424</v>
      </c>
      <c r="D101" s="2" t="s">
        <v>436</v>
      </c>
      <c r="E101" s="2" t="s">
        <v>437</v>
      </c>
      <c r="F101" s="2" t="s">
        <v>427</v>
      </c>
      <c r="G101" s="2">
        <v>0.6</v>
      </c>
      <c r="H101" s="2">
        <v>1663</v>
      </c>
      <c r="I101" s="2">
        <v>83</v>
      </c>
      <c r="J101" s="2">
        <v>82</v>
      </c>
      <c r="K101" s="2"/>
      <c r="L101" s="2"/>
      <c r="M101" s="2">
        <v>8.5251862192728192E-3</v>
      </c>
      <c r="N101" s="2">
        <v>7.5169366347716204</v>
      </c>
      <c r="O101" s="2">
        <v>0.92884729755819795</v>
      </c>
      <c r="P101" s="2"/>
      <c r="Q101" s="2"/>
      <c r="R101" s="2"/>
      <c r="S101" s="2"/>
      <c r="T101" s="2"/>
      <c r="U101" s="2"/>
      <c r="V101" s="2"/>
      <c r="W101" s="2"/>
      <c r="X101" s="2"/>
      <c r="Y101" s="2">
        <v>3.3243878149704802E-2</v>
      </c>
      <c r="Z101" s="2">
        <v>1.61865309241763E-9</v>
      </c>
      <c r="AA101" s="2">
        <v>8.6460314130457402E-3</v>
      </c>
      <c r="AB101" s="2"/>
      <c r="AC101" s="2"/>
      <c r="AD101" s="2"/>
      <c r="AE101" s="2"/>
      <c r="AF101" s="2"/>
      <c r="AG101" s="2"/>
      <c r="AH101" s="2" t="s">
        <v>428</v>
      </c>
      <c r="AI101" s="2"/>
      <c r="AJ101" s="2" t="s">
        <v>684</v>
      </c>
      <c r="AK101" s="2" t="s">
        <v>685</v>
      </c>
    </row>
    <row r="102" spans="1:37" x14ac:dyDescent="0.3">
      <c r="A102" s="2" t="s">
        <v>184</v>
      </c>
      <c r="B102" s="2" t="s">
        <v>440</v>
      </c>
      <c r="C102" s="2" t="s">
        <v>441</v>
      </c>
      <c r="D102" s="2" t="s">
        <v>686</v>
      </c>
      <c r="E102" s="2" t="s">
        <v>426</v>
      </c>
      <c r="F102" s="2" t="s">
        <v>427</v>
      </c>
      <c r="G102" s="2">
        <v>0.6</v>
      </c>
      <c r="H102" s="2">
        <v>1033</v>
      </c>
      <c r="I102" s="2">
        <v>43</v>
      </c>
      <c r="J102" s="2">
        <v>42</v>
      </c>
      <c r="K102" s="2">
        <v>-6.4281917806233005E-2</v>
      </c>
      <c r="L102" s="2">
        <v>3.6662262813025003E-2</v>
      </c>
      <c r="M102" s="2">
        <v>-1.7533537996295101</v>
      </c>
      <c r="N102" s="2">
        <v>29.361452865402502</v>
      </c>
      <c r="O102" s="2">
        <v>8.9977142690503498E-2</v>
      </c>
      <c r="P102" s="2">
        <v>-0.139224589624179</v>
      </c>
      <c r="Q102" s="2">
        <v>1.06607540117125E-2</v>
      </c>
      <c r="R102" s="2"/>
      <c r="S102" s="2"/>
      <c r="T102" s="2">
        <v>-6.41935227458411E-2</v>
      </c>
      <c r="U102" s="2">
        <v>-0.13833195727224901</v>
      </c>
      <c r="V102" s="2">
        <v>1.06603501592179E-2</v>
      </c>
      <c r="W102" s="2"/>
      <c r="X102" s="2"/>
      <c r="Y102" s="2">
        <v>3.5113447298378501E-2</v>
      </c>
      <c r="Z102" s="2">
        <v>7.78088864890215E-10</v>
      </c>
      <c r="AA102" s="2">
        <v>8.6358970687497108E-3</v>
      </c>
      <c r="AB102" s="2"/>
      <c r="AC102" s="2"/>
      <c r="AD102" s="2"/>
      <c r="AE102" s="2"/>
      <c r="AF102" s="2"/>
      <c r="AG102" s="2"/>
      <c r="AH102" s="2" t="s">
        <v>428</v>
      </c>
      <c r="AI102" s="2"/>
      <c r="AJ102" s="2" t="s">
        <v>687</v>
      </c>
      <c r="AK102" s="2" t="s">
        <v>688</v>
      </c>
    </row>
    <row r="103" spans="1:37" x14ac:dyDescent="0.3">
      <c r="A103" s="2" t="s">
        <v>184</v>
      </c>
      <c r="B103" s="2" t="s">
        <v>440</v>
      </c>
      <c r="C103" s="2" t="s">
        <v>441</v>
      </c>
      <c r="D103" s="2" t="s">
        <v>689</v>
      </c>
      <c r="E103" s="2" t="s">
        <v>426</v>
      </c>
      <c r="F103" s="2" t="s">
        <v>427</v>
      </c>
      <c r="G103" s="2">
        <v>0.6</v>
      </c>
      <c r="H103" s="2">
        <v>6</v>
      </c>
      <c r="I103" s="2">
        <v>2</v>
      </c>
      <c r="J103" s="2">
        <v>2</v>
      </c>
      <c r="K103" s="2">
        <v>-8.6080788708055106E-2</v>
      </c>
      <c r="L103" s="2">
        <v>5.1760336389833302E-2</v>
      </c>
      <c r="M103" s="2"/>
      <c r="N103" s="2">
        <v>1.00000395533028</v>
      </c>
      <c r="O103" s="2"/>
      <c r="P103" s="2">
        <v>-0.74375207292823098</v>
      </c>
      <c r="Q103" s="2">
        <v>0.57159049551212004</v>
      </c>
      <c r="R103" s="2"/>
      <c r="S103" s="2"/>
      <c r="T103" s="2">
        <v>-8.5868800269894893E-2</v>
      </c>
      <c r="U103" s="2">
        <v>-0.63140672594159897</v>
      </c>
      <c r="V103" s="2">
        <v>0.51652638793221195</v>
      </c>
      <c r="W103" s="2"/>
      <c r="X103" s="2"/>
      <c r="Y103" s="2">
        <v>3.5113447298378501E-2</v>
      </c>
      <c r="Z103" s="2">
        <v>7.78088864890215E-10</v>
      </c>
      <c r="AA103" s="2">
        <v>8.6358970687497108E-3</v>
      </c>
      <c r="AB103" s="2"/>
      <c r="AC103" s="2"/>
      <c r="AD103" s="2"/>
      <c r="AE103" s="2"/>
      <c r="AF103" s="2"/>
      <c r="AG103" s="2"/>
      <c r="AH103" s="2" t="s">
        <v>428</v>
      </c>
      <c r="AI103" s="2"/>
      <c r="AJ103" s="2" t="s">
        <v>690</v>
      </c>
      <c r="AK103" s="2" t="s">
        <v>691</v>
      </c>
    </row>
    <row r="104" spans="1:37" x14ac:dyDescent="0.3">
      <c r="A104" s="2" t="s">
        <v>184</v>
      </c>
      <c r="B104" s="2" t="s">
        <v>440</v>
      </c>
      <c r="C104" s="2" t="s">
        <v>441</v>
      </c>
      <c r="D104" s="2" t="s">
        <v>692</v>
      </c>
      <c r="E104" s="2" t="s">
        <v>426</v>
      </c>
      <c r="F104" s="2" t="s">
        <v>427</v>
      </c>
      <c r="G104" s="2">
        <v>0.6</v>
      </c>
      <c r="H104" s="2">
        <v>429</v>
      </c>
      <c r="I104" s="2">
        <v>23</v>
      </c>
      <c r="J104" s="2">
        <v>23</v>
      </c>
      <c r="K104" s="2">
        <v>-7.4964150690521106E-2</v>
      </c>
      <c r="L104" s="2">
        <v>2.3045140524758E-2</v>
      </c>
      <c r="M104" s="2">
        <v>-3.2529266033324999</v>
      </c>
      <c r="N104" s="2">
        <v>13.2143837107099</v>
      </c>
      <c r="O104" s="2">
        <v>6.1741331600045904E-3</v>
      </c>
      <c r="P104" s="2">
        <v>-0.124668168916665</v>
      </c>
      <c r="Q104" s="2">
        <v>-2.5260132464377399E-2</v>
      </c>
      <c r="R104" s="2"/>
      <c r="S104" s="2"/>
      <c r="T104" s="2">
        <v>-7.4824042180939396E-2</v>
      </c>
      <c r="U104" s="2">
        <v>-0.12402628854474899</v>
      </c>
      <c r="V104" s="2">
        <v>-2.5254761221560298E-2</v>
      </c>
      <c r="W104" s="2"/>
      <c r="X104" s="2"/>
      <c r="Y104" s="2">
        <v>3.5113447298378501E-2</v>
      </c>
      <c r="Z104" s="2">
        <v>7.78088864890215E-10</v>
      </c>
      <c r="AA104" s="2">
        <v>8.6358970687497108E-3</v>
      </c>
      <c r="AB104" s="2"/>
      <c r="AC104" s="2"/>
      <c r="AD104" s="2"/>
      <c r="AE104" s="2"/>
      <c r="AF104" s="2"/>
      <c r="AG104" s="2"/>
      <c r="AH104" s="2" t="s">
        <v>428</v>
      </c>
      <c r="AI104" s="2"/>
      <c r="AJ104" s="2" t="s">
        <v>687</v>
      </c>
      <c r="AK104" s="2" t="s">
        <v>693</v>
      </c>
    </row>
    <row r="105" spans="1:37" x14ac:dyDescent="0.3">
      <c r="A105" s="2" t="s">
        <v>184</v>
      </c>
      <c r="B105" s="2" t="s">
        <v>440</v>
      </c>
      <c r="C105" s="2" t="s">
        <v>441</v>
      </c>
      <c r="D105" s="2" t="s">
        <v>694</v>
      </c>
      <c r="E105" s="2" t="s">
        <v>426</v>
      </c>
      <c r="F105" s="2" t="s">
        <v>427</v>
      </c>
      <c r="G105" s="2">
        <v>0.6</v>
      </c>
      <c r="H105" s="2">
        <v>187</v>
      </c>
      <c r="I105" s="2">
        <v>15</v>
      </c>
      <c r="J105" s="2">
        <v>15</v>
      </c>
      <c r="K105" s="2">
        <v>-5.3127405417396502E-2</v>
      </c>
      <c r="L105" s="2">
        <v>1.78930814583842E-2</v>
      </c>
      <c r="M105" s="2">
        <v>-2.9691590876038001</v>
      </c>
      <c r="N105" s="2">
        <v>7.9489268773909503</v>
      </c>
      <c r="O105" s="2">
        <v>1.8022783325955399E-2</v>
      </c>
      <c r="P105" s="2">
        <v>-9.4435117108290001E-2</v>
      </c>
      <c r="Q105" s="2">
        <v>-1.1819693726502999E-2</v>
      </c>
      <c r="R105" s="2"/>
      <c r="S105" s="2"/>
      <c r="T105" s="2">
        <v>-5.3077477376343898E-2</v>
      </c>
      <c r="U105" s="2">
        <v>-9.4155391051462894E-2</v>
      </c>
      <c r="V105" s="2">
        <v>-1.1819143333193199E-2</v>
      </c>
      <c r="W105" s="2"/>
      <c r="X105" s="2"/>
      <c r="Y105" s="2">
        <v>3.5113447298378501E-2</v>
      </c>
      <c r="Z105" s="2">
        <v>7.78088864890215E-10</v>
      </c>
      <c r="AA105" s="2">
        <v>8.6358970687497108E-3</v>
      </c>
      <c r="AB105" s="2"/>
      <c r="AC105" s="2"/>
      <c r="AD105" s="2"/>
      <c r="AE105" s="2"/>
      <c r="AF105" s="2"/>
      <c r="AG105" s="2"/>
      <c r="AH105" s="2" t="s">
        <v>428</v>
      </c>
      <c r="AI105" s="2"/>
      <c r="AJ105" s="2" t="s">
        <v>687</v>
      </c>
      <c r="AK105" s="2" t="s">
        <v>695</v>
      </c>
    </row>
    <row r="106" spans="1:37" x14ac:dyDescent="0.3">
      <c r="A106" s="2" t="s">
        <v>184</v>
      </c>
      <c r="B106" s="2" t="s">
        <v>440</v>
      </c>
      <c r="C106" s="2" t="s">
        <v>441</v>
      </c>
      <c r="D106" s="2" t="s">
        <v>696</v>
      </c>
      <c r="E106" s="2" t="s">
        <v>426</v>
      </c>
      <c r="F106" s="2" t="s">
        <v>427</v>
      </c>
      <c r="G106" s="2">
        <v>0.6</v>
      </c>
      <c r="H106" s="2">
        <v>1655</v>
      </c>
      <c r="I106" s="2">
        <v>81</v>
      </c>
      <c r="J106" s="2">
        <v>80</v>
      </c>
      <c r="K106" s="2">
        <v>-2.1798870901822101E-2</v>
      </c>
      <c r="L106" s="2">
        <v>6.3429125311326898E-2</v>
      </c>
      <c r="M106" s="2"/>
      <c r="N106" s="2">
        <v>1.0770481871547599</v>
      </c>
      <c r="O106" s="2"/>
      <c r="P106" s="2">
        <v>-0.70348922493089405</v>
      </c>
      <c r="Q106" s="2">
        <v>0.65989148312724999</v>
      </c>
      <c r="R106" s="2"/>
      <c r="S106" s="2"/>
      <c r="T106" s="2"/>
      <c r="U106" s="2"/>
      <c r="V106" s="2"/>
      <c r="W106" s="2"/>
      <c r="X106" s="2"/>
      <c r="Y106" s="2">
        <v>3.5113447298378501E-2</v>
      </c>
      <c r="Z106" s="2">
        <v>7.78088864890215E-10</v>
      </c>
      <c r="AA106" s="2">
        <v>8.6358970687497108E-3</v>
      </c>
      <c r="AB106" s="2"/>
      <c r="AC106" s="2"/>
      <c r="AD106" s="2"/>
      <c r="AE106" s="2"/>
      <c r="AF106" s="2"/>
      <c r="AG106" s="2"/>
      <c r="AH106" s="2" t="s">
        <v>428</v>
      </c>
      <c r="AI106" s="2"/>
      <c r="AJ106" s="2" t="s">
        <v>697</v>
      </c>
      <c r="AK106" s="2" t="s">
        <v>698</v>
      </c>
    </row>
    <row r="107" spans="1:37" x14ac:dyDescent="0.3">
      <c r="A107" s="2" t="s">
        <v>184</v>
      </c>
      <c r="B107" s="2" t="s">
        <v>440</v>
      </c>
      <c r="C107" s="2" t="s">
        <v>441</v>
      </c>
      <c r="D107" s="2" t="s">
        <v>699</v>
      </c>
      <c r="E107" s="2" t="s">
        <v>426</v>
      </c>
      <c r="F107" s="2" t="s">
        <v>427</v>
      </c>
      <c r="G107" s="2">
        <v>0.6</v>
      </c>
      <c r="H107" s="2">
        <v>1655</v>
      </c>
      <c r="I107" s="2">
        <v>81</v>
      </c>
      <c r="J107" s="2">
        <v>80</v>
      </c>
      <c r="K107" s="2">
        <v>2.18367452731245E-2</v>
      </c>
      <c r="L107" s="2">
        <v>1.88509964448665E-2</v>
      </c>
      <c r="M107" s="2"/>
      <c r="N107" s="2">
        <v>2.53756338806319</v>
      </c>
      <c r="O107" s="2"/>
      <c r="P107" s="2">
        <v>-4.4840713818973102E-2</v>
      </c>
      <c r="Q107" s="2">
        <v>8.8514204365222199E-2</v>
      </c>
      <c r="R107" s="2"/>
      <c r="S107" s="2"/>
      <c r="T107" s="2"/>
      <c r="U107" s="2"/>
      <c r="V107" s="2"/>
      <c r="W107" s="2"/>
      <c r="X107" s="2"/>
      <c r="Y107" s="2">
        <v>3.5113447298378501E-2</v>
      </c>
      <c r="Z107" s="2">
        <v>7.78088864890215E-10</v>
      </c>
      <c r="AA107" s="2">
        <v>8.6358970687497108E-3</v>
      </c>
      <c r="AB107" s="2"/>
      <c r="AC107" s="2"/>
      <c r="AD107" s="2"/>
      <c r="AE107" s="2"/>
      <c r="AF107" s="2"/>
      <c r="AG107" s="2"/>
      <c r="AH107" s="2" t="s">
        <v>428</v>
      </c>
      <c r="AI107" s="2"/>
      <c r="AJ107" s="2" t="s">
        <v>697</v>
      </c>
      <c r="AK107" s="2" t="s">
        <v>700</v>
      </c>
    </row>
    <row r="108" spans="1:37" x14ac:dyDescent="0.3">
      <c r="A108" s="2" t="s">
        <v>184</v>
      </c>
      <c r="B108" s="2" t="s">
        <v>440</v>
      </c>
      <c r="C108" s="2" t="s">
        <v>441</v>
      </c>
      <c r="D108" s="2" t="s">
        <v>456</v>
      </c>
      <c r="E108" s="2" t="s">
        <v>437</v>
      </c>
      <c r="F108" s="2" t="s">
        <v>427</v>
      </c>
      <c r="G108" s="2">
        <v>0.6</v>
      </c>
      <c r="H108" s="2">
        <v>1655</v>
      </c>
      <c r="I108" s="2">
        <v>81</v>
      </c>
      <c r="J108" s="2">
        <v>80</v>
      </c>
      <c r="K108" s="2"/>
      <c r="L108" s="2"/>
      <c r="M108" s="2">
        <v>0.44248965342796398</v>
      </c>
      <c r="N108" s="2">
        <v>1.21422097526166</v>
      </c>
      <c r="O108" s="2">
        <v>0.60963824939466005</v>
      </c>
      <c r="P108" s="2"/>
      <c r="Q108" s="2"/>
      <c r="R108" s="2"/>
      <c r="S108" s="2"/>
      <c r="T108" s="2"/>
      <c r="U108" s="2"/>
      <c r="V108" s="2"/>
      <c r="W108" s="2"/>
      <c r="X108" s="2"/>
      <c r="Y108" s="2">
        <v>3.5113447298378501E-2</v>
      </c>
      <c r="Z108" s="2">
        <v>7.78088864890215E-10</v>
      </c>
      <c r="AA108" s="2">
        <v>8.6358970687497108E-3</v>
      </c>
      <c r="AB108" s="2"/>
      <c r="AC108" s="2"/>
      <c r="AD108" s="2"/>
      <c r="AE108" s="2"/>
      <c r="AF108" s="2"/>
      <c r="AG108" s="2"/>
      <c r="AH108" s="2" t="s">
        <v>457</v>
      </c>
      <c r="AI108" s="2" t="s">
        <v>701</v>
      </c>
      <c r="AJ108" s="2" t="s">
        <v>702</v>
      </c>
      <c r="AK108" s="2" t="s">
        <v>703</v>
      </c>
    </row>
    <row r="109" spans="1:37" x14ac:dyDescent="0.3">
      <c r="A109" s="2" t="s">
        <v>704</v>
      </c>
      <c r="B109" s="2" t="s">
        <v>705</v>
      </c>
      <c r="C109" s="2" t="s">
        <v>441</v>
      </c>
      <c r="D109" s="2" t="s">
        <v>706</v>
      </c>
      <c r="E109" s="2" t="s">
        <v>707</v>
      </c>
      <c r="F109" s="2" t="s">
        <v>708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>
        <v>0.61624311683827404</v>
      </c>
      <c r="AH109" s="2" t="s">
        <v>457</v>
      </c>
      <c r="AI109" s="2" t="s">
        <v>709</v>
      </c>
      <c r="AJ109" s="2" t="s">
        <v>710</v>
      </c>
      <c r="AK109" s="2" t="s">
        <v>711</v>
      </c>
    </row>
    <row r="110" spans="1:37" x14ac:dyDescent="0.3">
      <c r="A110" s="2" t="s">
        <v>175</v>
      </c>
      <c r="B110" s="2" t="s">
        <v>712</v>
      </c>
      <c r="C110" s="2" t="s">
        <v>713</v>
      </c>
      <c r="D110" s="2" t="s">
        <v>714</v>
      </c>
      <c r="E110" s="2" t="s">
        <v>426</v>
      </c>
      <c r="F110" s="2" t="s">
        <v>427</v>
      </c>
      <c r="G110" s="2">
        <v>0.6</v>
      </c>
      <c r="H110" s="2">
        <v>1754</v>
      </c>
      <c r="I110" s="2">
        <v>74</v>
      </c>
      <c r="J110" s="2">
        <v>73</v>
      </c>
      <c r="K110" s="2">
        <v>-8.2118427971103899E-2</v>
      </c>
      <c r="L110" s="2">
        <v>3.6255954138374902E-2</v>
      </c>
      <c r="M110" s="2">
        <v>-2.2649639189659601</v>
      </c>
      <c r="N110" s="2">
        <v>44.231165830532802</v>
      </c>
      <c r="O110" s="2">
        <v>2.8465013591663198E-2</v>
      </c>
      <c r="P110" s="2">
        <v>-0.155176717848553</v>
      </c>
      <c r="Q110" s="2">
        <v>-9.0601380936552595E-3</v>
      </c>
      <c r="R110" s="2"/>
      <c r="S110" s="2"/>
      <c r="T110" s="2">
        <v>-8.1934337721874806E-2</v>
      </c>
      <c r="U110" s="2">
        <v>-0.153943056862859</v>
      </c>
      <c r="V110" s="2">
        <v>-9.0598901979873706E-3</v>
      </c>
      <c r="W110" s="2"/>
      <c r="X110" s="2"/>
      <c r="Y110" s="2">
        <v>3.2952941451187198E-2</v>
      </c>
      <c r="Z110" s="2">
        <v>1.42916297400561E-9</v>
      </c>
      <c r="AA110" s="2">
        <v>1.62013033949211E-2</v>
      </c>
      <c r="AB110" s="2"/>
      <c r="AC110" s="2"/>
      <c r="AD110" s="2"/>
      <c r="AE110" s="2"/>
      <c r="AF110" s="2"/>
      <c r="AG110" s="2"/>
      <c r="AH110" s="2" t="s">
        <v>428</v>
      </c>
      <c r="AI110" s="2"/>
      <c r="AJ110" s="2" t="s">
        <v>715</v>
      </c>
      <c r="AK110" s="2" t="s">
        <v>716</v>
      </c>
    </row>
    <row r="111" spans="1:37" x14ac:dyDescent="0.3">
      <c r="A111" s="2" t="s">
        <v>175</v>
      </c>
      <c r="B111" s="2" t="s">
        <v>712</v>
      </c>
      <c r="C111" s="2" t="s">
        <v>713</v>
      </c>
      <c r="D111" s="2" t="s">
        <v>717</v>
      </c>
      <c r="E111" s="2" t="s">
        <v>426</v>
      </c>
      <c r="F111" s="2" t="s">
        <v>427</v>
      </c>
      <c r="G111" s="2">
        <v>0.6</v>
      </c>
      <c r="H111" s="2">
        <v>1754</v>
      </c>
      <c r="I111" s="2">
        <v>74</v>
      </c>
      <c r="J111" s="2">
        <v>73</v>
      </c>
      <c r="K111" s="2">
        <v>-5.45336713626111E-2</v>
      </c>
      <c r="L111" s="2">
        <v>3.2365978337096202E-2</v>
      </c>
      <c r="M111" s="2">
        <v>-1.6849072441016699</v>
      </c>
      <c r="N111" s="2">
        <v>8.2267906360283902</v>
      </c>
      <c r="O111" s="2">
        <v>0.12945565752572599</v>
      </c>
      <c r="P111" s="2">
        <v>-0.12881312488956201</v>
      </c>
      <c r="Q111" s="2">
        <v>1.97457821643394E-2</v>
      </c>
      <c r="R111" s="2"/>
      <c r="S111" s="2"/>
      <c r="T111" s="2">
        <v>-5.4479675977078597E-2</v>
      </c>
      <c r="U111" s="2">
        <v>-0.12810536430251401</v>
      </c>
      <c r="V111" s="2">
        <v>1.97432162979169E-2</v>
      </c>
      <c r="W111" s="2"/>
      <c r="X111" s="2"/>
      <c r="Y111" s="2">
        <v>3.2952941451187198E-2</v>
      </c>
      <c r="Z111" s="2">
        <v>1.42916297400561E-9</v>
      </c>
      <c r="AA111" s="2">
        <v>1.62013033949211E-2</v>
      </c>
      <c r="AB111" s="2"/>
      <c r="AC111" s="2"/>
      <c r="AD111" s="2"/>
      <c r="AE111" s="2"/>
      <c r="AF111" s="2"/>
      <c r="AG111" s="2"/>
      <c r="AH111" s="2" t="s">
        <v>428</v>
      </c>
      <c r="AI111" s="2"/>
      <c r="AJ111" s="2" t="s">
        <v>715</v>
      </c>
      <c r="AK111" s="2" t="s">
        <v>718</v>
      </c>
    </row>
    <row r="112" spans="1:37" x14ac:dyDescent="0.3">
      <c r="A112" s="2" t="s">
        <v>175</v>
      </c>
      <c r="B112" s="2" t="s">
        <v>712</v>
      </c>
      <c r="C112" s="2" t="s">
        <v>713</v>
      </c>
      <c r="D112" s="2" t="s">
        <v>719</v>
      </c>
      <c r="E112" s="2" t="s">
        <v>426</v>
      </c>
      <c r="F112" s="2" t="s">
        <v>427</v>
      </c>
      <c r="G112" s="2">
        <v>0.6</v>
      </c>
      <c r="H112" s="2">
        <v>1754</v>
      </c>
      <c r="I112" s="2">
        <v>74</v>
      </c>
      <c r="J112" s="2">
        <v>73</v>
      </c>
      <c r="K112" s="2">
        <v>-3.4260387312660401E-3</v>
      </c>
      <c r="L112" s="2">
        <v>2.11174974512238E-3</v>
      </c>
      <c r="M112" s="2">
        <v>-1.6223696672294301</v>
      </c>
      <c r="N112" s="2">
        <v>13.158338440736999</v>
      </c>
      <c r="O112" s="2">
        <v>0.128428677457538</v>
      </c>
      <c r="P112" s="2">
        <v>-7.9826224318546996E-3</v>
      </c>
      <c r="Q112" s="2">
        <v>1.13054496932263E-3</v>
      </c>
      <c r="R112" s="2"/>
      <c r="S112" s="2"/>
      <c r="T112" s="2"/>
      <c r="U112" s="2"/>
      <c r="V112" s="2"/>
      <c r="W112" s="2"/>
      <c r="X112" s="2"/>
      <c r="Y112" s="2">
        <v>3.2952941451187198E-2</v>
      </c>
      <c r="Z112" s="2">
        <v>1.42916297400561E-9</v>
      </c>
      <c r="AA112" s="2">
        <v>1.62013033949211E-2</v>
      </c>
      <c r="AB112" s="2"/>
      <c r="AC112" s="2"/>
      <c r="AD112" s="2"/>
      <c r="AE112" s="2"/>
      <c r="AF112" s="2"/>
      <c r="AG112" s="2"/>
      <c r="AH112" s="2" t="s">
        <v>428</v>
      </c>
      <c r="AI112" s="2"/>
      <c r="AJ112" s="2" t="s">
        <v>715</v>
      </c>
      <c r="AK112" s="2" t="s">
        <v>720</v>
      </c>
    </row>
    <row r="113" spans="1:37" x14ac:dyDescent="0.3">
      <c r="A113" s="2" t="s">
        <v>175</v>
      </c>
      <c r="B113" s="2" t="s">
        <v>712</v>
      </c>
      <c r="C113" s="2" t="s">
        <v>713</v>
      </c>
      <c r="D113" s="2" t="s">
        <v>721</v>
      </c>
      <c r="E113" s="2" t="s">
        <v>426</v>
      </c>
      <c r="F113" s="2" t="s">
        <v>427</v>
      </c>
      <c r="G113" s="2">
        <v>0.6</v>
      </c>
      <c r="H113" s="2">
        <v>1754</v>
      </c>
      <c r="I113" s="2">
        <v>74</v>
      </c>
      <c r="J113" s="2">
        <v>73</v>
      </c>
      <c r="K113" s="2">
        <v>1.7175338340212701E-3</v>
      </c>
      <c r="L113" s="2">
        <v>3.8195965248596802E-3</v>
      </c>
      <c r="M113" s="2"/>
      <c r="N113" s="2">
        <v>2.5971720969893699</v>
      </c>
      <c r="O113" s="2"/>
      <c r="P113" s="2">
        <v>-1.1577561051672401E-2</v>
      </c>
      <c r="Q113" s="2">
        <v>1.5012628719714999E-2</v>
      </c>
      <c r="R113" s="2"/>
      <c r="S113" s="2"/>
      <c r="T113" s="2"/>
      <c r="U113" s="2"/>
      <c r="V113" s="2"/>
      <c r="W113" s="2"/>
      <c r="X113" s="2"/>
      <c r="Y113" s="2">
        <v>3.2952941451187198E-2</v>
      </c>
      <c r="Z113" s="2">
        <v>1.42916297400561E-9</v>
      </c>
      <c r="AA113" s="2">
        <v>1.62013033949211E-2</v>
      </c>
      <c r="AB113" s="2"/>
      <c r="AC113" s="2"/>
      <c r="AD113" s="2"/>
      <c r="AE113" s="2"/>
      <c r="AF113" s="2"/>
      <c r="AG113" s="2"/>
      <c r="AH113" s="2" t="s">
        <v>428</v>
      </c>
      <c r="AI113" s="2"/>
      <c r="AJ113" s="2" t="s">
        <v>722</v>
      </c>
      <c r="AK113" s="2" t="s">
        <v>723</v>
      </c>
    </row>
    <row r="114" spans="1:37" x14ac:dyDescent="0.3">
      <c r="A114" s="2" t="s">
        <v>175</v>
      </c>
      <c r="B114" s="2" t="s">
        <v>712</v>
      </c>
      <c r="C114" s="2" t="s">
        <v>713</v>
      </c>
      <c r="D114" s="2" t="s">
        <v>724</v>
      </c>
      <c r="E114" s="2" t="s">
        <v>437</v>
      </c>
      <c r="F114" s="2" t="s">
        <v>427</v>
      </c>
      <c r="G114" s="2">
        <v>0.6</v>
      </c>
      <c r="H114" s="2">
        <v>1754</v>
      </c>
      <c r="I114" s="2">
        <v>74</v>
      </c>
      <c r="J114" s="2">
        <v>73</v>
      </c>
      <c r="K114" s="2"/>
      <c r="L114" s="2"/>
      <c r="M114" s="2">
        <v>1.3888713382108999</v>
      </c>
      <c r="N114" s="2">
        <v>3.59693558628401</v>
      </c>
      <c r="O114" s="2">
        <v>0.31063591307858601</v>
      </c>
      <c r="P114" s="2"/>
      <c r="Q114" s="2"/>
      <c r="R114" s="2"/>
      <c r="S114" s="2"/>
      <c r="T114" s="2"/>
      <c r="U114" s="2"/>
      <c r="V114" s="2"/>
      <c r="W114" s="2"/>
      <c r="X114" s="2"/>
      <c r="Y114" s="2">
        <v>3.2952941451187198E-2</v>
      </c>
      <c r="Z114" s="2">
        <v>1.42916297400561E-9</v>
      </c>
      <c r="AA114" s="2">
        <v>1.62013033949211E-2</v>
      </c>
      <c r="AB114" s="2"/>
      <c r="AC114" s="2"/>
      <c r="AD114" s="2"/>
      <c r="AE114" s="2"/>
      <c r="AF114" s="2"/>
      <c r="AG114" s="2"/>
      <c r="AH114" s="2" t="s">
        <v>428</v>
      </c>
      <c r="AI114" s="2"/>
      <c r="AJ114" s="2" t="s">
        <v>725</v>
      </c>
      <c r="AK114" s="2" t="s">
        <v>726</v>
      </c>
    </row>
    <row r="115" spans="1:37" x14ac:dyDescent="0.3">
      <c r="A115" s="2" t="s">
        <v>177</v>
      </c>
      <c r="B115" s="2" t="s">
        <v>712</v>
      </c>
      <c r="C115" s="2" t="s">
        <v>713</v>
      </c>
      <c r="D115" s="2" t="s">
        <v>727</v>
      </c>
      <c r="E115" s="2" t="s">
        <v>426</v>
      </c>
      <c r="F115" s="2" t="s">
        <v>427</v>
      </c>
      <c r="G115" s="2">
        <v>0.6</v>
      </c>
      <c r="H115" s="2">
        <v>1465</v>
      </c>
      <c r="I115" s="2">
        <v>64</v>
      </c>
      <c r="J115" s="2">
        <v>63</v>
      </c>
      <c r="K115" s="2">
        <v>-8.4391197182684799E-2</v>
      </c>
      <c r="L115" s="2">
        <v>3.6863405771920398E-2</v>
      </c>
      <c r="M115" s="2">
        <v>-2.2892946382877999</v>
      </c>
      <c r="N115" s="2">
        <v>33.9219944586251</v>
      </c>
      <c r="O115" s="2">
        <v>2.8410571748365102E-2</v>
      </c>
      <c r="P115" s="2">
        <v>-0.159312997162249</v>
      </c>
      <c r="Q115" s="2">
        <v>-9.4693972031203999E-3</v>
      </c>
      <c r="R115" s="2"/>
      <c r="S115" s="2"/>
      <c r="T115" s="2">
        <v>-8.4191425101802594E-2</v>
      </c>
      <c r="U115" s="2">
        <v>-0.15797871997745</v>
      </c>
      <c r="V115" s="2">
        <v>-9.4691141746202599E-3</v>
      </c>
      <c r="W115" s="2"/>
      <c r="X115" s="2"/>
      <c r="Y115" s="2">
        <v>4.3580855387909102E-2</v>
      </c>
      <c r="Z115" s="2">
        <v>1.11663588018183E-9</v>
      </c>
      <c r="AA115" s="2">
        <v>8.6400345378478804E-3</v>
      </c>
      <c r="AB115" s="2"/>
      <c r="AC115" s="2"/>
      <c r="AD115" s="2"/>
      <c r="AE115" s="2"/>
      <c r="AF115" s="2"/>
      <c r="AG115" s="2"/>
      <c r="AH115" s="2" t="s">
        <v>428</v>
      </c>
      <c r="AI115" s="2"/>
      <c r="AJ115" s="2" t="s">
        <v>728</v>
      </c>
      <c r="AK115" s="2" t="s">
        <v>729</v>
      </c>
    </row>
    <row r="116" spans="1:37" x14ac:dyDescent="0.3">
      <c r="A116" s="2" t="s">
        <v>177</v>
      </c>
      <c r="B116" s="2" t="s">
        <v>712</v>
      </c>
      <c r="C116" s="2" t="s">
        <v>713</v>
      </c>
      <c r="D116" s="2" t="s">
        <v>730</v>
      </c>
      <c r="E116" s="2" t="s">
        <v>426</v>
      </c>
      <c r="F116" s="2" t="s">
        <v>427</v>
      </c>
      <c r="G116" s="2">
        <v>0.6</v>
      </c>
      <c r="H116" s="2">
        <v>1465</v>
      </c>
      <c r="I116" s="2">
        <v>64</v>
      </c>
      <c r="J116" s="2">
        <v>63</v>
      </c>
      <c r="K116" s="2">
        <v>4.64138746821144E-2</v>
      </c>
      <c r="L116" s="2">
        <v>7.0276360211665306E-2</v>
      </c>
      <c r="M116" s="2">
        <v>0.66044790228635297</v>
      </c>
      <c r="N116" s="2">
        <v>6.5957950261960203</v>
      </c>
      <c r="O116" s="2">
        <v>0.53134480435329101</v>
      </c>
      <c r="P116" s="2">
        <v>-0.121850190994338</v>
      </c>
      <c r="Q116" s="2">
        <v>0.21467794035856699</v>
      </c>
      <c r="R116" s="2"/>
      <c r="S116" s="2"/>
      <c r="T116" s="2">
        <v>4.63805743814239E-2</v>
      </c>
      <c r="U116" s="2">
        <v>-0.121250695492817</v>
      </c>
      <c r="V116" s="2">
        <v>0.21143969642020299</v>
      </c>
      <c r="W116" s="2"/>
      <c r="X116" s="2"/>
      <c r="Y116" s="2">
        <v>4.3580855387909102E-2</v>
      </c>
      <c r="Z116" s="2">
        <v>1.11663588018183E-9</v>
      </c>
      <c r="AA116" s="2">
        <v>8.6400345378478804E-3</v>
      </c>
      <c r="AB116" s="2"/>
      <c r="AC116" s="2"/>
      <c r="AD116" s="2"/>
      <c r="AE116" s="2"/>
      <c r="AF116" s="2"/>
      <c r="AG116" s="2"/>
      <c r="AH116" s="2" t="s">
        <v>428</v>
      </c>
      <c r="AI116" s="2"/>
      <c r="AJ116" s="2" t="s">
        <v>728</v>
      </c>
      <c r="AK116" s="2" t="s">
        <v>731</v>
      </c>
    </row>
    <row r="117" spans="1:37" x14ac:dyDescent="0.3">
      <c r="A117" s="2" t="s">
        <v>177</v>
      </c>
      <c r="B117" s="2" t="s">
        <v>712</v>
      </c>
      <c r="C117" s="2" t="s">
        <v>713</v>
      </c>
      <c r="D117" s="2" t="s">
        <v>732</v>
      </c>
      <c r="E117" s="2" t="s">
        <v>426</v>
      </c>
      <c r="F117" s="2" t="s">
        <v>427</v>
      </c>
      <c r="G117" s="2">
        <v>0.6</v>
      </c>
      <c r="H117" s="2">
        <v>1465</v>
      </c>
      <c r="I117" s="2">
        <v>64</v>
      </c>
      <c r="J117" s="2">
        <v>63</v>
      </c>
      <c r="K117" s="2">
        <v>-3.74549256817829E-3</v>
      </c>
      <c r="L117" s="2">
        <v>2.7685376031066902E-3</v>
      </c>
      <c r="M117" s="2">
        <v>-1.3528776217362299</v>
      </c>
      <c r="N117" s="2">
        <v>16.5336776661055</v>
      </c>
      <c r="O117" s="2">
        <v>0.19430668799347001</v>
      </c>
      <c r="P117" s="2">
        <v>-9.5991712117073792E-3</v>
      </c>
      <c r="Q117" s="2">
        <v>2.1081860753508E-3</v>
      </c>
      <c r="R117" s="2"/>
      <c r="S117" s="2"/>
      <c r="T117" s="2"/>
      <c r="U117" s="2"/>
      <c r="V117" s="2"/>
      <c r="W117" s="2"/>
      <c r="X117" s="2"/>
      <c r="Y117" s="2">
        <v>4.3580855387909102E-2</v>
      </c>
      <c r="Z117" s="2">
        <v>1.11663588018183E-9</v>
      </c>
      <c r="AA117" s="2">
        <v>8.6400345378478804E-3</v>
      </c>
      <c r="AB117" s="2"/>
      <c r="AC117" s="2"/>
      <c r="AD117" s="2"/>
      <c r="AE117" s="2"/>
      <c r="AF117" s="2"/>
      <c r="AG117" s="2"/>
      <c r="AH117" s="2" t="s">
        <v>428</v>
      </c>
      <c r="AI117" s="2"/>
      <c r="AJ117" s="2" t="s">
        <v>728</v>
      </c>
      <c r="AK117" s="2" t="s">
        <v>733</v>
      </c>
    </row>
    <row r="118" spans="1:37" x14ac:dyDescent="0.3">
      <c r="A118" s="2" t="s">
        <v>177</v>
      </c>
      <c r="B118" s="2" t="s">
        <v>712</v>
      </c>
      <c r="C118" s="2" t="s">
        <v>713</v>
      </c>
      <c r="D118" s="2" t="s">
        <v>734</v>
      </c>
      <c r="E118" s="2" t="s">
        <v>426</v>
      </c>
      <c r="F118" s="2" t="s">
        <v>427</v>
      </c>
      <c r="G118" s="2">
        <v>0.6</v>
      </c>
      <c r="H118" s="2">
        <v>1465</v>
      </c>
      <c r="I118" s="2">
        <v>64</v>
      </c>
      <c r="J118" s="2">
        <v>63</v>
      </c>
      <c r="K118" s="2">
        <v>4.6345495881281402E-2</v>
      </c>
      <c r="L118" s="2">
        <v>4.2046831709440999E-2</v>
      </c>
      <c r="M118" s="2">
        <v>1.1022351505946</v>
      </c>
      <c r="N118" s="2">
        <v>6.8931283901035902</v>
      </c>
      <c r="O118" s="2">
        <v>0.30734989151831499</v>
      </c>
      <c r="P118" s="2">
        <v>-5.3392805464388897E-2</v>
      </c>
      <c r="Q118" s="2">
        <v>0.146083797226952</v>
      </c>
      <c r="R118" s="2"/>
      <c r="S118" s="2"/>
      <c r="T118" s="2"/>
      <c r="U118" s="2"/>
      <c r="V118" s="2"/>
      <c r="W118" s="2"/>
      <c r="X118" s="2"/>
      <c r="Y118" s="2">
        <v>4.3580855387909102E-2</v>
      </c>
      <c r="Z118" s="2">
        <v>1.11663588018183E-9</v>
      </c>
      <c r="AA118" s="2">
        <v>8.6400345378478804E-3</v>
      </c>
      <c r="AB118" s="2"/>
      <c r="AC118" s="2"/>
      <c r="AD118" s="2"/>
      <c r="AE118" s="2"/>
      <c r="AF118" s="2"/>
      <c r="AG118" s="2"/>
      <c r="AH118" s="2" t="s">
        <v>428</v>
      </c>
      <c r="AI118" s="2"/>
      <c r="AJ118" s="2" t="s">
        <v>728</v>
      </c>
      <c r="AK118" s="2" t="s">
        <v>735</v>
      </c>
    </row>
    <row r="119" spans="1:37" x14ac:dyDescent="0.3">
      <c r="A119" s="2" t="s">
        <v>177</v>
      </c>
      <c r="B119" s="2" t="s">
        <v>712</v>
      </c>
      <c r="C119" s="2" t="s">
        <v>713</v>
      </c>
      <c r="D119" s="2" t="s">
        <v>724</v>
      </c>
      <c r="E119" s="2" t="s">
        <v>437</v>
      </c>
      <c r="F119" s="2" t="s">
        <v>427</v>
      </c>
      <c r="G119" s="2">
        <v>0.6</v>
      </c>
      <c r="H119" s="2">
        <v>1465</v>
      </c>
      <c r="I119" s="2">
        <v>64</v>
      </c>
      <c r="J119" s="2">
        <v>63</v>
      </c>
      <c r="K119" s="2"/>
      <c r="L119" s="2"/>
      <c r="M119" s="2">
        <v>1.41856092773253</v>
      </c>
      <c r="N119" s="2">
        <v>7.1896245319866896</v>
      </c>
      <c r="O119" s="2">
        <v>0.27147238023342102</v>
      </c>
      <c r="P119" s="2"/>
      <c r="Q119" s="2"/>
      <c r="R119" s="2"/>
      <c r="S119" s="2"/>
      <c r="T119" s="2"/>
      <c r="U119" s="2"/>
      <c r="V119" s="2"/>
      <c r="W119" s="2"/>
      <c r="X119" s="2"/>
      <c r="Y119" s="2">
        <v>4.3580855387909102E-2</v>
      </c>
      <c r="Z119" s="2">
        <v>1.11663588018183E-9</v>
      </c>
      <c r="AA119" s="2">
        <v>8.6400345378478804E-3</v>
      </c>
      <c r="AB119" s="2"/>
      <c r="AC119" s="2"/>
      <c r="AD119" s="2"/>
      <c r="AE119" s="2"/>
      <c r="AF119" s="2"/>
      <c r="AG119" s="2"/>
      <c r="AH119" s="2" t="s">
        <v>428</v>
      </c>
      <c r="AI119" s="2"/>
      <c r="AJ119" s="2" t="s">
        <v>736</v>
      </c>
      <c r="AK119" s="2" t="s">
        <v>737</v>
      </c>
    </row>
    <row r="120" spans="1:37" x14ac:dyDescent="0.3">
      <c r="A120" s="2" t="s">
        <v>177</v>
      </c>
      <c r="B120" s="2" t="s">
        <v>738</v>
      </c>
      <c r="C120" s="2" t="s">
        <v>441</v>
      </c>
      <c r="D120" s="2" t="s">
        <v>559</v>
      </c>
      <c r="E120" s="2" t="s">
        <v>426</v>
      </c>
      <c r="F120" s="2" t="s">
        <v>427</v>
      </c>
      <c r="G120" s="2">
        <v>0.6</v>
      </c>
      <c r="H120" s="2">
        <v>811</v>
      </c>
      <c r="I120" s="2">
        <v>32</v>
      </c>
      <c r="J120" s="2">
        <v>31</v>
      </c>
      <c r="K120" s="2">
        <v>-4.2015871905978802E-2</v>
      </c>
      <c r="L120" s="2">
        <v>8.7927532532868294E-3</v>
      </c>
      <c r="M120" s="2">
        <v>-4.7784659361699697</v>
      </c>
      <c r="N120" s="2">
        <v>29.907029049604201</v>
      </c>
      <c r="O120" s="2">
        <v>4.3821932372751697E-5</v>
      </c>
      <c r="P120" s="2">
        <v>-5.9975410840128397E-2</v>
      </c>
      <c r="Q120" s="2">
        <v>-2.40563329718292E-2</v>
      </c>
      <c r="R120" s="2"/>
      <c r="S120" s="2"/>
      <c r="T120" s="2">
        <v>-4.1991165343337099E-2</v>
      </c>
      <c r="U120" s="2">
        <v>-5.9903602642130502E-2</v>
      </c>
      <c r="V120" s="2">
        <v>-2.40516935217664E-2</v>
      </c>
      <c r="W120" s="2"/>
      <c r="X120" s="2"/>
      <c r="Y120" s="2">
        <v>3.3718205247454398E-2</v>
      </c>
      <c r="Z120" s="2">
        <v>1.55351339123506E-9</v>
      </c>
      <c r="AA120" s="2">
        <v>7.9916868262424091E-3</v>
      </c>
      <c r="AB120" s="2"/>
      <c r="AC120" s="2"/>
      <c r="AD120" s="2"/>
      <c r="AE120" s="2"/>
      <c r="AF120" s="2"/>
      <c r="AG120" s="2"/>
      <c r="AH120" s="2" t="s">
        <v>428</v>
      </c>
      <c r="AI120" s="2"/>
      <c r="AJ120" s="2" t="s">
        <v>739</v>
      </c>
      <c r="AK120" s="2" t="s">
        <v>740</v>
      </c>
    </row>
    <row r="121" spans="1:37" x14ac:dyDescent="0.3">
      <c r="A121" s="2" t="s">
        <v>177</v>
      </c>
      <c r="B121" s="2" t="s">
        <v>738</v>
      </c>
      <c r="C121" s="2" t="s">
        <v>441</v>
      </c>
      <c r="D121" s="2" t="s">
        <v>565</v>
      </c>
      <c r="E121" s="2" t="s">
        <v>426</v>
      </c>
      <c r="F121" s="2" t="s">
        <v>427</v>
      </c>
      <c r="G121" s="2">
        <v>0.6</v>
      </c>
      <c r="H121" s="2">
        <v>654</v>
      </c>
      <c r="I121" s="2">
        <v>32</v>
      </c>
      <c r="J121" s="2">
        <v>32</v>
      </c>
      <c r="K121" s="2">
        <v>-8.9737764331453695E-2</v>
      </c>
      <c r="L121" s="2">
        <v>4.2920518106705198E-2</v>
      </c>
      <c r="M121" s="2">
        <v>-2.0907894007326702</v>
      </c>
      <c r="N121" s="2">
        <v>28.643231543368099</v>
      </c>
      <c r="O121" s="2">
        <v>4.5533832971910201E-2</v>
      </c>
      <c r="P121" s="2">
        <v>-0.17756759774359199</v>
      </c>
      <c r="Q121" s="2">
        <v>-1.90793091931533E-3</v>
      </c>
      <c r="R121" s="2"/>
      <c r="S121" s="2"/>
      <c r="T121" s="2">
        <v>-8.9497655652891903E-2</v>
      </c>
      <c r="U121" s="2">
        <v>-0.17572458812712399</v>
      </c>
      <c r="V121" s="2">
        <v>-1.9079286042350801E-3</v>
      </c>
      <c r="W121" s="2"/>
      <c r="X121" s="2"/>
      <c r="Y121" s="2">
        <v>3.3718205247454398E-2</v>
      </c>
      <c r="Z121" s="2">
        <v>1.55351339123506E-9</v>
      </c>
      <c r="AA121" s="2">
        <v>7.9916868262424091E-3</v>
      </c>
      <c r="AB121" s="2"/>
      <c r="AC121" s="2"/>
      <c r="AD121" s="2"/>
      <c r="AE121" s="2"/>
      <c r="AF121" s="2"/>
      <c r="AG121" s="2"/>
      <c r="AH121" s="2" t="s">
        <v>428</v>
      </c>
      <c r="AI121" s="2"/>
      <c r="AJ121" s="2" t="s">
        <v>739</v>
      </c>
      <c r="AK121" s="2" t="s">
        <v>741</v>
      </c>
    </row>
    <row r="122" spans="1:37" x14ac:dyDescent="0.3">
      <c r="A122" s="2" t="s">
        <v>177</v>
      </c>
      <c r="B122" s="2" t="s">
        <v>738</v>
      </c>
      <c r="C122" s="2" t="s">
        <v>441</v>
      </c>
      <c r="D122" s="2" t="s">
        <v>562</v>
      </c>
      <c r="E122" s="2" t="s">
        <v>426</v>
      </c>
      <c r="F122" s="2" t="s">
        <v>427</v>
      </c>
      <c r="G122" s="2">
        <v>0.6</v>
      </c>
      <c r="H122" s="2">
        <v>88</v>
      </c>
      <c r="I122" s="2">
        <v>6</v>
      </c>
      <c r="J122" s="2">
        <v>6</v>
      </c>
      <c r="K122" s="2">
        <v>-7.6549314291184806E-2</v>
      </c>
      <c r="L122" s="2">
        <v>2.1599167494651499E-2</v>
      </c>
      <c r="M122" s="2"/>
      <c r="N122" s="2">
        <v>4.9939140323642297</v>
      </c>
      <c r="O122" s="2"/>
      <c r="P122" s="2">
        <v>-0.13209209985349701</v>
      </c>
      <c r="Q122" s="2">
        <v>-2.10065287288729E-2</v>
      </c>
      <c r="R122" s="2"/>
      <c r="S122" s="2"/>
      <c r="T122" s="2">
        <v>-7.6400142766761506E-2</v>
      </c>
      <c r="U122" s="2">
        <v>-0.13132916233568301</v>
      </c>
      <c r="V122" s="2">
        <v>-2.1003439394104699E-2</v>
      </c>
      <c r="W122" s="2"/>
      <c r="X122" s="2"/>
      <c r="Y122" s="2">
        <v>3.3718205247454398E-2</v>
      </c>
      <c r="Z122" s="2">
        <v>1.55351339123506E-9</v>
      </c>
      <c r="AA122" s="2">
        <v>7.9916868262424091E-3</v>
      </c>
      <c r="AB122" s="2"/>
      <c r="AC122" s="2"/>
      <c r="AD122" s="2"/>
      <c r="AE122" s="2"/>
      <c r="AF122" s="2"/>
      <c r="AG122" s="2"/>
      <c r="AH122" s="2" t="s">
        <v>428</v>
      </c>
      <c r="AI122" s="2"/>
      <c r="AJ122" s="2" t="s">
        <v>742</v>
      </c>
      <c r="AK122" s="2" t="s">
        <v>743</v>
      </c>
    </row>
    <row r="123" spans="1:37" x14ac:dyDescent="0.3">
      <c r="A123" s="2" t="s">
        <v>177</v>
      </c>
      <c r="B123" s="2" t="s">
        <v>738</v>
      </c>
      <c r="C123" s="2" t="s">
        <v>441</v>
      </c>
      <c r="D123" s="2" t="s">
        <v>567</v>
      </c>
      <c r="E123" s="2" t="s">
        <v>426</v>
      </c>
      <c r="F123" s="2" t="s">
        <v>427</v>
      </c>
      <c r="G123" s="2">
        <v>0.6</v>
      </c>
      <c r="H123" s="2">
        <v>243</v>
      </c>
      <c r="I123" s="2">
        <v>14</v>
      </c>
      <c r="J123" s="2">
        <v>14</v>
      </c>
      <c r="K123" s="2">
        <v>-5.6314619531745498E-2</v>
      </c>
      <c r="L123" s="2">
        <v>2.4613181471061601E-2</v>
      </c>
      <c r="M123" s="2">
        <v>-2.2879861995068</v>
      </c>
      <c r="N123" s="2">
        <v>7.5126777601057597</v>
      </c>
      <c r="O123" s="2">
        <v>5.3483877629436002E-2</v>
      </c>
      <c r="P123" s="2">
        <v>-0.11372000067549699</v>
      </c>
      <c r="Q123" s="2">
        <v>1.0907616120057E-3</v>
      </c>
      <c r="R123" s="2"/>
      <c r="S123" s="2"/>
      <c r="T123" s="2">
        <v>-5.6255164084811002E-2</v>
      </c>
      <c r="U123" s="2">
        <v>-0.113232305258598</v>
      </c>
      <c r="V123" s="2">
        <v>1.09076117942407E-3</v>
      </c>
      <c r="W123" s="2"/>
      <c r="X123" s="2"/>
      <c r="Y123" s="2">
        <v>3.3718205247454398E-2</v>
      </c>
      <c r="Z123" s="2">
        <v>1.55351339123506E-9</v>
      </c>
      <c r="AA123" s="2">
        <v>7.9916868262424091E-3</v>
      </c>
      <c r="AB123" s="2"/>
      <c r="AC123" s="2"/>
      <c r="AD123" s="2"/>
      <c r="AE123" s="2"/>
      <c r="AF123" s="2"/>
      <c r="AG123" s="2"/>
      <c r="AH123" s="2" t="s">
        <v>428</v>
      </c>
      <c r="AI123" s="2"/>
      <c r="AJ123" s="2" t="s">
        <v>739</v>
      </c>
      <c r="AK123" s="2" t="s">
        <v>744</v>
      </c>
    </row>
    <row r="124" spans="1:37" x14ac:dyDescent="0.3">
      <c r="A124" s="2" t="s">
        <v>177</v>
      </c>
      <c r="B124" s="2" t="s">
        <v>738</v>
      </c>
      <c r="C124" s="2" t="s">
        <v>441</v>
      </c>
      <c r="D124" s="2" t="s">
        <v>569</v>
      </c>
      <c r="E124" s="2" t="s">
        <v>426</v>
      </c>
      <c r="F124" s="2" t="s">
        <v>427</v>
      </c>
      <c r="G124" s="2">
        <v>0.6</v>
      </c>
      <c r="H124" s="2">
        <v>1796</v>
      </c>
      <c r="I124" s="2">
        <v>83</v>
      </c>
      <c r="J124" s="2">
        <v>82</v>
      </c>
      <c r="K124" s="2">
        <v>-3.4533442385205997E-2</v>
      </c>
      <c r="L124" s="2">
        <v>2.3320303304957098E-2</v>
      </c>
      <c r="M124" s="2">
        <v>-1.4808316141353699</v>
      </c>
      <c r="N124" s="2">
        <v>7.0883137298810102</v>
      </c>
      <c r="O124" s="2">
        <v>0.18167609803663901</v>
      </c>
      <c r="P124" s="2">
        <v>-8.9538227093560505E-2</v>
      </c>
      <c r="Q124" s="2">
        <v>2.0471342323148501E-2</v>
      </c>
      <c r="R124" s="2"/>
      <c r="S124" s="2"/>
      <c r="T124" s="2"/>
      <c r="U124" s="2"/>
      <c r="V124" s="2"/>
      <c r="W124" s="2"/>
      <c r="X124" s="2"/>
      <c r="Y124" s="2">
        <v>3.3718205247454398E-2</v>
      </c>
      <c r="Z124" s="2">
        <v>1.55351339123506E-9</v>
      </c>
      <c r="AA124" s="2">
        <v>7.9916868262424091E-3</v>
      </c>
      <c r="AB124" s="2"/>
      <c r="AC124" s="2"/>
      <c r="AD124" s="2"/>
      <c r="AE124" s="2"/>
      <c r="AF124" s="2"/>
      <c r="AG124" s="2"/>
      <c r="AH124" s="2" t="s">
        <v>428</v>
      </c>
      <c r="AI124" s="2"/>
      <c r="AJ124" s="2" t="s">
        <v>745</v>
      </c>
      <c r="AK124" s="2" t="s">
        <v>746</v>
      </c>
    </row>
    <row r="125" spans="1:37" x14ac:dyDescent="0.3">
      <c r="A125" s="2" t="s">
        <v>177</v>
      </c>
      <c r="B125" s="2" t="s">
        <v>738</v>
      </c>
      <c r="C125" s="2" t="s">
        <v>441</v>
      </c>
      <c r="D125" s="2" t="s">
        <v>572</v>
      </c>
      <c r="E125" s="2" t="s">
        <v>426</v>
      </c>
      <c r="F125" s="2" t="s">
        <v>427</v>
      </c>
      <c r="G125" s="2">
        <v>0.6</v>
      </c>
      <c r="H125" s="2">
        <v>1796</v>
      </c>
      <c r="I125" s="2">
        <v>83</v>
      </c>
      <c r="J125" s="2">
        <v>82</v>
      </c>
      <c r="K125" s="2">
        <v>3.34231447997081E-2</v>
      </c>
      <c r="L125" s="2">
        <v>2.0881958543706398E-2</v>
      </c>
      <c r="M125" s="2"/>
      <c r="N125" s="2">
        <v>2.4094040464542501</v>
      </c>
      <c r="O125" s="2"/>
      <c r="P125" s="2">
        <v>-4.3269590777768201E-2</v>
      </c>
      <c r="Q125" s="2">
        <v>0.11011588037718401</v>
      </c>
      <c r="R125" s="2"/>
      <c r="S125" s="2"/>
      <c r="T125" s="2"/>
      <c r="U125" s="2"/>
      <c r="V125" s="2"/>
      <c r="W125" s="2"/>
      <c r="X125" s="2"/>
      <c r="Y125" s="2">
        <v>3.3718205247454398E-2</v>
      </c>
      <c r="Z125" s="2">
        <v>1.55351339123506E-9</v>
      </c>
      <c r="AA125" s="2">
        <v>7.9916868262424091E-3</v>
      </c>
      <c r="AB125" s="2"/>
      <c r="AC125" s="2"/>
      <c r="AD125" s="2"/>
      <c r="AE125" s="2"/>
      <c r="AF125" s="2"/>
      <c r="AG125" s="2"/>
      <c r="AH125" s="2" t="s">
        <v>428</v>
      </c>
      <c r="AI125" s="2"/>
      <c r="AJ125" s="2" t="s">
        <v>747</v>
      </c>
      <c r="AK125" s="2" t="s">
        <v>748</v>
      </c>
    </row>
    <row r="126" spans="1:37" x14ac:dyDescent="0.3">
      <c r="A126" s="2" t="s">
        <v>177</v>
      </c>
      <c r="B126" s="2" t="s">
        <v>738</v>
      </c>
      <c r="C126" s="2" t="s">
        <v>441</v>
      </c>
      <c r="D126" s="2" t="s">
        <v>456</v>
      </c>
      <c r="E126" s="2" t="s">
        <v>437</v>
      </c>
      <c r="F126" s="2" t="s">
        <v>427</v>
      </c>
      <c r="G126" s="2">
        <v>0.6</v>
      </c>
      <c r="H126" s="2">
        <v>1796</v>
      </c>
      <c r="I126" s="2">
        <v>83</v>
      </c>
      <c r="J126" s="2">
        <v>82</v>
      </c>
      <c r="K126" s="2"/>
      <c r="L126" s="2"/>
      <c r="M126" s="2">
        <v>4.7128604577793798</v>
      </c>
      <c r="N126" s="2">
        <v>9.1615690956129399</v>
      </c>
      <c r="O126" s="2">
        <v>5.7506907415364301E-2</v>
      </c>
      <c r="P126" s="2"/>
      <c r="Q126" s="2"/>
      <c r="R126" s="2"/>
      <c r="S126" s="2"/>
      <c r="T126" s="2"/>
      <c r="U126" s="2"/>
      <c r="V126" s="2"/>
      <c r="W126" s="2"/>
      <c r="X126" s="2"/>
      <c r="Y126" s="2">
        <v>3.3718205247454398E-2</v>
      </c>
      <c r="Z126" s="2">
        <v>1.55351339123506E-9</v>
      </c>
      <c r="AA126" s="2">
        <v>7.9916868262424091E-3</v>
      </c>
      <c r="AB126" s="2"/>
      <c r="AC126" s="2"/>
      <c r="AD126" s="2"/>
      <c r="AE126" s="2"/>
      <c r="AF126" s="2"/>
      <c r="AG126" s="2"/>
      <c r="AH126" s="2" t="s">
        <v>428</v>
      </c>
      <c r="AI126" s="2"/>
      <c r="AJ126" s="2" t="s">
        <v>749</v>
      </c>
      <c r="AK126" s="2" t="s">
        <v>750</v>
      </c>
    </row>
    <row r="127" spans="1:37" x14ac:dyDescent="0.3">
      <c r="A127" s="2" t="s">
        <v>171</v>
      </c>
      <c r="B127" s="2" t="s">
        <v>751</v>
      </c>
      <c r="C127" s="2" t="s">
        <v>752</v>
      </c>
      <c r="D127" s="2" t="s">
        <v>753</v>
      </c>
      <c r="E127" s="2" t="s">
        <v>754</v>
      </c>
      <c r="F127" s="2" t="s">
        <v>755</v>
      </c>
      <c r="G127" s="2"/>
      <c r="H127" s="2">
        <v>0</v>
      </c>
      <c r="I127" s="2">
        <v>0</v>
      </c>
      <c r="J127" s="2">
        <v>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>
        <v>0</v>
      </c>
      <c r="AH127" s="2" t="s">
        <v>428</v>
      </c>
      <c r="AI127" s="2"/>
      <c r="AJ127" s="2" t="s">
        <v>756</v>
      </c>
      <c r="AK127" s="2" t="s">
        <v>757</v>
      </c>
    </row>
    <row r="128" spans="1:37" x14ac:dyDescent="0.3">
      <c r="A128" s="2" t="s">
        <v>173</v>
      </c>
      <c r="B128" s="2" t="s">
        <v>751</v>
      </c>
      <c r="C128" s="2" t="s">
        <v>752</v>
      </c>
      <c r="D128" s="2" t="s">
        <v>753</v>
      </c>
      <c r="E128" s="2" t="s">
        <v>754</v>
      </c>
      <c r="F128" s="2" t="s">
        <v>755</v>
      </c>
      <c r="G128" s="2"/>
      <c r="H128" s="2">
        <v>0</v>
      </c>
      <c r="I128" s="2">
        <v>0</v>
      </c>
      <c r="J128" s="2">
        <v>0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>
        <v>0</v>
      </c>
      <c r="AH128" s="2" t="s">
        <v>428</v>
      </c>
      <c r="AI128" s="2"/>
      <c r="AJ128" s="2" t="s">
        <v>758</v>
      </c>
      <c r="AK128" s="2" t="s">
        <v>759</v>
      </c>
    </row>
    <row r="129" spans="1:37" x14ac:dyDescent="0.3">
      <c r="A129" s="2" t="s">
        <v>175</v>
      </c>
      <c r="B129" s="2" t="s">
        <v>751</v>
      </c>
      <c r="C129" s="2" t="s">
        <v>752</v>
      </c>
      <c r="D129" s="2" t="s">
        <v>753</v>
      </c>
      <c r="E129" s="2" t="s">
        <v>754</v>
      </c>
      <c r="F129" s="2" t="s">
        <v>755</v>
      </c>
      <c r="G129" s="2"/>
      <c r="H129" s="2">
        <v>453</v>
      </c>
      <c r="I129" s="2">
        <v>21</v>
      </c>
      <c r="J129" s="2">
        <v>21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>
        <v>453</v>
      </c>
      <c r="AH129" s="2" t="s">
        <v>428</v>
      </c>
      <c r="AI129" s="2"/>
      <c r="AJ129" s="2" t="s">
        <v>760</v>
      </c>
      <c r="AK129" s="2" t="s">
        <v>761</v>
      </c>
    </row>
    <row r="130" spans="1:37" x14ac:dyDescent="0.3">
      <c r="A130" s="2" t="s">
        <v>177</v>
      </c>
      <c r="B130" s="2" t="s">
        <v>751</v>
      </c>
      <c r="C130" s="2" t="s">
        <v>752</v>
      </c>
      <c r="D130" s="2" t="s">
        <v>753</v>
      </c>
      <c r="E130" s="2" t="s">
        <v>754</v>
      </c>
      <c r="F130" s="2" t="s">
        <v>755</v>
      </c>
      <c r="G130" s="2"/>
      <c r="H130" s="2">
        <v>909</v>
      </c>
      <c r="I130" s="2">
        <v>30</v>
      </c>
      <c r="J130" s="2">
        <v>30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>
        <v>909</v>
      </c>
      <c r="AH130" s="2" t="s">
        <v>428</v>
      </c>
      <c r="AI130" s="2"/>
      <c r="AJ130" s="2" t="s">
        <v>762</v>
      </c>
      <c r="AK130" s="2" t="s">
        <v>763</v>
      </c>
    </row>
    <row r="131" spans="1:37" x14ac:dyDescent="0.3">
      <c r="A131" s="2" t="s">
        <v>178</v>
      </c>
      <c r="B131" s="2" t="s">
        <v>751</v>
      </c>
      <c r="C131" s="2" t="s">
        <v>752</v>
      </c>
      <c r="D131" s="2" t="s">
        <v>753</v>
      </c>
      <c r="E131" s="2" t="s">
        <v>754</v>
      </c>
      <c r="F131" s="2" t="s">
        <v>755</v>
      </c>
      <c r="G131" s="2"/>
      <c r="H131" s="2">
        <v>786</v>
      </c>
      <c r="I131" s="2">
        <v>30</v>
      </c>
      <c r="J131" s="2">
        <v>29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>
        <v>786</v>
      </c>
      <c r="AH131" s="2" t="s">
        <v>428</v>
      </c>
      <c r="AI131" s="2"/>
      <c r="AJ131" s="2" t="s">
        <v>764</v>
      </c>
      <c r="AK131" s="2" t="s">
        <v>765</v>
      </c>
    </row>
    <row r="132" spans="1:37" x14ac:dyDescent="0.3">
      <c r="A132" s="2" t="s">
        <v>180</v>
      </c>
      <c r="B132" s="2" t="s">
        <v>751</v>
      </c>
      <c r="C132" s="2" t="s">
        <v>752</v>
      </c>
      <c r="D132" s="2" t="s">
        <v>753</v>
      </c>
      <c r="E132" s="2" t="s">
        <v>754</v>
      </c>
      <c r="F132" s="2" t="s">
        <v>755</v>
      </c>
      <c r="G132" s="2"/>
      <c r="H132" s="2">
        <v>1091</v>
      </c>
      <c r="I132" s="2">
        <v>43</v>
      </c>
      <c r="J132" s="2">
        <v>43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>
        <v>1091</v>
      </c>
      <c r="AH132" s="2" t="s">
        <v>428</v>
      </c>
      <c r="AI132" s="2"/>
      <c r="AJ132" s="2" t="s">
        <v>766</v>
      </c>
      <c r="AK132" s="2" t="s">
        <v>767</v>
      </c>
    </row>
    <row r="133" spans="1:37" x14ac:dyDescent="0.3">
      <c r="A133" s="2" t="s">
        <v>182</v>
      </c>
      <c r="B133" s="2" t="s">
        <v>751</v>
      </c>
      <c r="C133" s="2" t="s">
        <v>752</v>
      </c>
      <c r="D133" s="2" t="s">
        <v>753</v>
      </c>
      <c r="E133" s="2" t="s">
        <v>754</v>
      </c>
      <c r="F133" s="2" t="s">
        <v>755</v>
      </c>
      <c r="G133" s="2"/>
      <c r="H133" s="2">
        <v>757</v>
      </c>
      <c r="I133" s="2">
        <v>25</v>
      </c>
      <c r="J133" s="2">
        <v>25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>
        <v>757</v>
      </c>
      <c r="AH133" s="2" t="s">
        <v>428</v>
      </c>
      <c r="AI133" s="2"/>
      <c r="AJ133" s="2" t="s">
        <v>768</v>
      </c>
      <c r="AK133" s="2" t="s">
        <v>769</v>
      </c>
    </row>
    <row r="134" spans="1:37" x14ac:dyDescent="0.3">
      <c r="A134" s="2" t="s">
        <v>184</v>
      </c>
      <c r="B134" s="2" t="s">
        <v>751</v>
      </c>
      <c r="C134" s="2" t="s">
        <v>752</v>
      </c>
      <c r="D134" s="2" t="s">
        <v>753</v>
      </c>
      <c r="E134" s="2" t="s">
        <v>754</v>
      </c>
      <c r="F134" s="2" t="s">
        <v>755</v>
      </c>
      <c r="G134" s="2"/>
      <c r="H134" s="2">
        <v>1050</v>
      </c>
      <c r="I134" s="2">
        <v>36</v>
      </c>
      <c r="J134" s="2">
        <v>36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>
        <v>1050</v>
      </c>
      <c r="AH134" s="2" t="s">
        <v>428</v>
      </c>
      <c r="AI134" s="2"/>
      <c r="AJ134" s="2" t="s">
        <v>770</v>
      </c>
      <c r="AK134" s="2" t="s">
        <v>771</v>
      </c>
    </row>
    <row r="135" spans="1:37" x14ac:dyDescent="0.3">
      <c r="A135" s="2" t="s">
        <v>173</v>
      </c>
      <c r="B135" s="2" t="s">
        <v>751</v>
      </c>
      <c r="C135" s="2" t="s">
        <v>772</v>
      </c>
      <c r="D135" s="2" t="s">
        <v>773</v>
      </c>
      <c r="E135" s="2" t="s">
        <v>754</v>
      </c>
      <c r="F135" s="2" t="s">
        <v>755</v>
      </c>
      <c r="G135" s="2"/>
      <c r="H135" s="2">
        <v>299</v>
      </c>
      <c r="I135" s="2">
        <v>10</v>
      </c>
      <c r="J135" s="2">
        <v>10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>
        <v>10</v>
      </c>
      <c r="AH135" s="2" t="s">
        <v>428</v>
      </c>
      <c r="AI135" s="2"/>
      <c r="AJ135" s="2" t="s">
        <v>774</v>
      </c>
      <c r="AK135" s="2" t="s">
        <v>775</v>
      </c>
    </row>
    <row r="136" spans="1:37" x14ac:dyDescent="0.3">
      <c r="A136" s="2" t="s">
        <v>178</v>
      </c>
      <c r="B136" s="2" t="s">
        <v>751</v>
      </c>
      <c r="C136" s="2" t="s">
        <v>772</v>
      </c>
      <c r="D136" s="2" t="s">
        <v>773</v>
      </c>
      <c r="E136" s="2" t="s">
        <v>754</v>
      </c>
      <c r="F136" s="2" t="s">
        <v>755</v>
      </c>
      <c r="G136" s="2"/>
      <c r="H136" s="2">
        <v>551</v>
      </c>
      <c r="I136" s="2">
        <v>16</v>
      </c>
      <c r="J136" s="2">
        <v>16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>
        <v>15</v>
      </c>
      <c r="AH136" s="2" t="s">
        <v>428</v>
      </c>
      <c r="AI136" s="2"/>
      <c r="AJ136" s="2" t="s">
        <v>776</v>
      </c>
      <c r="AK136" s="2" t="s">
        <v>777</v>
      </c>
    </row>
    <row r="137" spans="1:37" x14ac:dyDescent="0.3">
      <c r="A137" s="2" t="s">
        <v>184</v>
      </c>
      <c r="B137" s="2" t="s">
        <v>751</v>
      </c>
      <c r="C137" s="2" t="s">
        <v>772</v>
      </c>
      <c r="D137" s="2" t="s">
        <v>773</v>
      </c>
      <c r="E137" s="2" t="s">
        <v>754</v>
      </c>
      <c r="F137" s="2" t="s">
        <v>755</v>
      </c>
      <c r="G137" s="2"/>
      <c r="H137" s="2">
        <v>612</v>
      </c>
      <c r="I137" s="2">
        <v>25</v>
      </c>
      <c r="J137" s="2">
        <v>24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>
        <v>22</v>
      </c>
      <c r="AH137" s="2" t="s">
        <v>428</v>
      </c>
      <c r="AI137" s="2"/>
      <c r="AJ137" s="2" t="s">
        <v>778</v>
      </c>
      <c r="AK137" s="2" t="s">
        <v>779</v>
      </c>
    </row>
    <row r="138" spans="1:37" x14ac:dyDescent="0.3">
      <c r="A138" s="2" t="s">
        <v>780</v>
      </c>
      <c r="B138" s="2" t="s">
        <v>781</v>
      </c>
      <c r="C138" s="2" t="s">
        <v>782</v>
      </c>
      <c r="D138" s="2" t="s">
        <v>783</v>
      </c>
      <c r="E138" s="2" t="s">
        <v>784</v>
      </c>
      <c r="F138" s="2" t="s">
        <v>755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>
        <v>6.9056448494129699</v>
      </c>
      <c r="AH138" s="2" t="s">
        <v>428</v>
      </c>
      <c r="AI138" s="2"/>
      <c r="AJ138" s="2" t="s">
        <v>785</v>
      </c>
      <c r="AK138" s="2" t="s">
        <v>786</v>
      </c>
    </row>
    <row r="139" spans="1:37" x14ac:dyDescent="0.3">
      <c r="A139" s="2" t="s">
        <v>780</v>
      </c>
      <c r="B139" s="2" t="s">
        <v>781</v>
      </c>
      <c r="C139" s="2" t="s">
        <v>782</v>
      </c>
      <c r="D139" s="2" t="s">
        <v>787</v>
      </c>
      <c r="E139" s="2" t="s">
        <v>784</v>
      </c>
      <c r="F139" s="2" t="s">
        <v>755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>
        <v>1.3679351623099301</v>
      </c>
      <c r="AH139" s="2" t="s">
        <v>428</v>
      </c>
      <c r="AI139" s="2"/>
      <c r="AJ139" s="2" t="s">
        <v>788</v>
      </c>
      <c r="AK139" s="2" t="s">
        <v>789</v>
      </c>
    </row>
    <row r="140" spans="1:37" x14ac:dyDescent="0.3">
      <c r="A140" s="2" t="s">
        <v>780</v>
      </c>
      <c r="B140" s="2" t="s">
        <v>781</v>
      </c>
      <c r="C140" s="2" t="s">
        <v>782</v>
      </c>
      <c r="D140" s="2" t="s">
        <v>790</v>
      </c>
      <c r="E140" s="2" t="s">
        <v>784</v>
      </c>
      <c r="F140" s="2" t="s">
        <v>755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>
        <v>3.0904763262261801</v>
      </c>
      <c r="AH140" s="2" t="s">
        <v>428</v>
      </c>
      <c r="AI140" s="2"/>
      <c r="AJ140" s="2" t="s">
        <v>791</v>
      </c>
      <c r="AK140" s="2" t="s">
        <v>792</v>
      </c>
    </row>
    <row r="141" spans="1:37" x14ac:dyDescent="0.3">
      <c r="A141" s="2" t="s">
        <v>780</v>
      </c>
      <c r="B141" s="2" t="s">
        <v>781</v>
      </c>
      <c r="C141" s="2" t="s">
        <v>782</v>
      </c>
      <c r="D141" s="2" t="s">
        <v>793</v>
      </c>
      <c r="E141" s="2" t="s">
        <v>784</v>
      </c>
      <c r="F141" s="2" t="s">
        <v>755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>
        <v>9.5760855391399105</v>
      </c>
      <c r="AH141" s="2" t="s">
        <v>428</v>
      </c>
      <c r="AI141" s="2"/>
      <c r="AJ141" s="2" t="s">
        <v>794</v>
      </c>
      <c r="AK141" s="2" t="s">
        <v>795</v>
      </c>
    </row>
    <row r="142" spans="1:37" x14ac:dyDescent="0.3">
      <c r="A142" s="2" t="s">
        <v>780</v>
      </c>
      <c r="B142" s="2" t="s">
        <v>796</v>
      </c>
      <c r="C142" s="2" t="s">
        <v>782</v>
      </c>
      <c r="D142" s="2" t="s">
        <v>299</v>
      </c>
      <c r="E142" s="2" t="s">
        <v>426</v>
      </c>
      <c r="F142" s="2" t="s">
        <v>427</v>
      </c>
      <c r="G142" s="2">
        <v>0.6</v>
      </c>
      <c r="H142" s="2">
        <v>1754</v>
      </c>
      <c r="I142" s="2">
        <v>78</v>
      </c>
      <c r="J142" s="2">
        <v>78</v>
      </c>
      <c r="K142" s="2">
        <v>-7.8837665118354303E-3</v>
      </c>
      <c r="L142" s="2">
        <v>2.33340760260945E-2</v>
      </c>
      <c r="M142" s="2">
        <v>-0.33786495351343698</v>
      </c>
      <c r="N142" s="2">
        <v>25.068769365154999</v>
      </c>
      <c r="O142" s="2">
        <v>0.73827798110530496</v>
      </c>
      <c r="P142" s="2">
        <v>-5.59345119109802E-2</v>
      </c>
      <c r="Q142" s="2">
        <v>4.0166978887309301E-2</v>
      </c>
      <c r="R142" s="2"/>
      <c r="S142" s="2"/>
      <c r="T142" s="2"/>
      <c r="U142" s="2"/>
      <c r="V142" s="2"/>
      <c r="W142" s="2"/>
      <c r="X142" s="2"/>
      <c r="Y142" s="2">
        <v>1.60894857778336E-2</v>
      </c>
      <c r="Z142" s="2">
        <v>1.60895212823115E-2</v>
      </c>
      <c r="AA142" s="2">
        <v>8.0333659378228599E-3</v>
      </c>
      <c r="AB142" s="2"/>
      <c r="AC142" s="2"/>
      <c r="AD142" s="2"/>
      <c r="AE142" s="2"/>
      <c r="AF142" s="2"/>
      <c r="AG142" s="2"/>
      <c r="AH142" s="2" t="s">
        <v>428</v>
      </c>
      <c r="AI142" s="2"/>
      <c r="AJ142" s="2" t="s">
        <v>797</v>
      </c>
      <c r="AK142" s="2" t="s">
        <v>798</v>
      </c>
    </row>
    <row r="143" spans="1:37" x14ac:dyDescent="0.3">
      <c r="A143" s="2" t="s">
        <v>780</v>
      </c>
      <c r="B143" s="2" t="s">
        <v>796</v>
      </c>
      <c r="C143" s="2" t="s">
        <v>782</v>
      </c>
      <c r="D143" s="2" t="s">
        <v>300</v>
      </c>
      <c r="E143" s="2" t="s">
        <v>426</v>
      </c>
      <c r="F143" s="2" t="s">
        <v>427</v>
      </c>
      <c r="G143" s="2">
        <v>0.6</v>
      </c>
      <c r="H143" s="2">
        <v>1754</v>
      </c>
      <c r="I143" s="2">
        <v>78</v>
      </c>
      <c r="J143" s="2">
        <v>78</v>
      </c>
      <c r="K143" s="2">
        <v>7.7591816336107901E-3</v>
      </c>
      <c r="L143" s="2">
        <v>2.5012160677511101E-2</v>
      </c>
      <c r="M143" s="2">
        <v>0.31021636769618299</v>
      </c>
      <c r="N143" s="2">
        <v>5.1326845965205496</v>
      </c>
      <c r="O143" s="2">
        <v>0.76859864989432602</v>
      </c>
      <c r="P143" s="2">
        <v>-5.6039902495960803E-2</v>
      </c>
      <c r="Q143" s="2">
        <v>7.1558265763182402E-2</v>
      </c>
      <c r="R143" s="2"/>
      <c r="S143" s="2"/>
      <c r="T143" s="2"/>
      <c r="U143" s="2"/>
      <c r="V143" s="2"/>
      <c r="W143" s="2"/>
      <c r="X143" s="2"/>
      <c r="Y143" s="2">
        <v>1.60894857778336E-2</v>
      </c>
      <c r="Z143" s="2">
        <v>1.60895212823115E-2</v>
      </c>
      <c r="AA143" s="2">
        <v>8.0333659378228599E-3</v>
      </c>
      <c r="AB143" s="2"/>
      <c r="AC143" s="2"/>
      <c r="AD143" s="2"/>
      <c r="AE143" s="2"/>
      <c r="AF143" s="2"/>
      <c r="AG143" s="2"/>
      <c r="AH143" s="2" t="s">
        <v>457</v>
      </c>
      <c r="AI143" s="2" t="s">
        <v>799</v>
      </c>
      <c r="AJ143" s="2" t="s">
        <v>797</v>
      </c>
      <c r="AK143" s="2" t="s">
        <v>800</v>
      </c>
    </row>
    <row r="144" spans="1:37" x14ac:dyDescent="0.3">
      <c r="A144" s="2" t="s">
        <v>780</v>
      </c>
      <c r="B144" s="2" t="s">
        <v>796</v>
      </c>
      <c r="C144" s="2" t="s">
        <v>782</v>
      </c>
      <c r="D144" s="2" t="s">
        <v>301</v>
      </c>
      <c r="E144" s="2" t="s">
        <v>426</v>
      </c>
      <c r="F144" s="2" t="s">
        <v>427</v>
      </c>
      <c r="G144" s="2">
        <v>0.6</v>
      </c>
      <c r="H144" s="2">
        <v>1754</v>
      </c>
      <c r="I144" s="2">
        <v>78</v>
      </c>
      <c r="J144" s="2">
        <v>78</v>
      </c>
      <c r="K144" s="2">
        <v>7.8403171027325302E-3</v>
      </c>
      <c r="L144" s="2">
        <v>3.3582318194005201E-2</v>
      </c>
      <c r="M144" s="2"/>
      <c r="N144" s="2">
        <v>4.0325634101188701</v>
      </c>
      <c r="O144" s="2"/>
      <c r="P144" s="2">
        <v>-8.5102958780337704E-2</v>
      </c>
      <c r="Q144" s="2">
        <v>0.100783592985803</v>
      </c>
      <c r="R144" s="2"/>
      <c r="S144" s="2"/>
      <c r="T144" s="2"/>
      <c r="U144" s="2"/>
      <c r="V144" s="2"/>
      <c r="W144" s="2"/>
      <c r="X144" s="2"/>
      <c r="Y144" s="2">
        <v>1.60894857778336E-2</v>
      </c>
      <c r="Z144" s="2">
        <v>1.60895212823115E-2</v>
      </c>
      <c r="AA144" s="2">
        <v>8.0333659378228599E-3</v>
      </c>
      <c r="AB144" s="2"/>
      <c r="AC144" s="2"/>
      <c r="AD144" s="2"/>
      <c r="AE144" s="2"/>
      <c r="AF144" s="2"/>
      <c r="AG144" s="2"/>
      <c r="AH144" s="2" t="s">
        <v>428</v>
      </c>
      <c r="AI144" s="2"/>
      <c r="AJ144" s="2" t="s">
        <v>801</v>
      </c>
      <c r="AK144" s="2" t="s">
        <v>802</v>
      </c>
    </row>
    <row r="145" spans="1:37" x14ac:dyDescent="0.3">
      <c r="A145" s="2" t="s">
        <v>780</v>
      </c>
      <c r="B145" s="2" t="s">
        <v>796</v>
      </c>
      <c r="C145" s="2" t="s">
        <v>782</v>
      </c>
      <c r="D145" s="2" t="s">
        <v>302</v>
      </c>
      <c r="E145" s="2" t="s">
        <v>426</v>
      </c>
      <c r="F145" s="2" t="s">
        <v>427</v>
      </c>
      <c r="G145" s="2">
        <v>0.6</v>
      </c>
      <c r="H145" s="2">
        <v>1754</v>
      </c>
      <c r="I145" s="2">
        <v>78</v>
      </c>
      <c r="J145" s="2">
        <v>78</v>
      </c>
      <c r="K145" s="2">
        <v>-5.2026517419185701E-2</v>
      </c>
      <c r="L145" s="2">
        <v>2.0194599900978601E-2</v>
      </c>
      <c r="M145" s="2"/>
      <c r="N145" s="2">
        <v>3.4916214393615599</v>
      </c>
      <c r="O145" s="2"/>
      <c r="P145" s="2">
        <v>-0.111466815709624</v>
      </c>
      <c r="Q145" s="2">
        <v>7.4137808712525701E-3</v>
      </c>
      <c r="R145" s="2"/>
      <c r="S145" s="2"/>
      <c r="T145" s="2"/>
      <c r="U145" s="2"/>
      <c r="V145" s="2"/>
      <c r="W145" s="2"/>
      <c r="X145" s="2"/>
      <c r="Y145" s="2">
        <v>1.60894857778336E-2</v>
      </c>
      <c r="Z145" s="2">
        <v>1.60895212823115E-2</v>
      </c>
      <c r="AA145" s="2">
        <v>8.0333659378228599E-3</v>
      </c>
      <c r="AB145" s="2"/>
      <c r="AC145" s="2"/>
      <c r="AD145" s="2"/>
      <c r="AE145" s="2"/>
      <c r="AF145" s="2"/>
      <c r="AG145" s="2"/>
      <c r="AH145" s="2" t="s">
        <v>428</v>
      </c>
      <c r="AI145" s="2"/>
      <c r="AJ145" s="2" t="s">
        <v>801</v>
      </c>
      <c r="AK145" s="2" t="s">
        <v>803</v>
      </c>
    </row>
    <row r="146" spans="1:37" x14ac:dyDescent="0.3">
      <c r="A146" s="2" t="s">
        <v>780</v>
      </c>
      <c r="B146" s="2" t="s">
        <v>796</v>
      </c>
      <c r="C146" s="2" t="s">
        <v>782</v>
      </c>
      <c r="D146" s="2" t="s">
        <v>303</v>
      </c>
      <c r="E146" s="2" t="s">
        <v>426</v>
      </c>
      <c r="F146" s="2" t="s">
        <v>427</v>
      </c>
      <c r="G146" s="2">
        <v>0.6</v>
      </c>
      <c r="H146" s="2">
        <v>1754</v>
      </c>
      <c r="I146" s="2">
        <v>78</v>
      </c>
      <c r="J146" s="2">
        <v>78</v>
      </c>
      <c r="K146" s="2">
        <v>-6.5533577493805797E-2</v>
      </c>
      <c r="L146" s="2">
        <v>7.6314013105623593E-2</v>
      </c>
      <c r="M146" s="2"/>
      <c r="N146" s="2">
        <v>3.1071594957269801</v>
      </c>
      <c r="O146" s="2"/>
      <c r="P146" s="2">
        <v>-0.30372846919158403</v>
      </c>
      <c r="Q146" s="2">
        <v>0.17266131420397199</v>
      </c>
      <c r="R146" s="2"/>
      <c r="S146" s="2"/>
      <c r="T146" s="2"/>
      <c r="U146" s="2"/>
      <c r="V146" s="2"/>
      <c r="W146" s="2"/>
      <c r="X146" s="2"/>
      <c r="Y146" s="2">
        <v>1.60894857778336E-2</v>
      </c>
      <c r="Z146" s="2">
        <v>1.60895212823115E-2</v>
      </c>
      <c r="AA146" s="2">
        <v>8.0333659378228599E-3</v>
      </c>
      <c r="AB146" s="2"/>
      <c r="AC146" s="2"/>
      <c r="AD146" s="2"/>
      <c r="AE146" s="2"/>
      <c r="AF146" s="2"/>
      <c r="AG146" s="2"/>
      <c r="AH146" s="2" t="s">
        <v>428</v>
      </c>
      <c r="AI146" s="2"/>
      <c r="AJ146" s="2" t="s">
        <v>801</v>
      </c>
      <c r="AK146" s="2" t="s">
        <v>804</v>
      </c>
    </row>
    <row r="147" spans="1:37" x14ac:dyDescent="0.3">
      <c r="A147" s="2" t="s">
        <v>780</v>
      </c>
      <c r="B147" s="2" t="s">
        <v>796</v>
      </c>
      <c r="C147" s="2" t="s">
        <v>782</v>
      </c>
      <c r="D147" s="2" t="s">
        <v>304</v>
      </c>
      <c r="E147" s="2" t="s">
        <v>426</v>
      </c>
      <c r="F147" s="2" t="s">
        <v>427</v>
      </c>
      <c r="G147" s="2">
        <v>0.6</v>
      </c>
      <c r="H147" s="2">
        <v>1754</v>
      </c>
      <c r="I147" s="2">
        <v>78</v>
      </c>
      <c r="J147" s="2">
        <v>78</v>
      </c>
      <c r="K147" s="2">
        <v>-2.5299735067844002E-2</v>
      </c>
      <c r="L147" s="2">
        <v>2.1672817090535298E-2</v>
      </c>
      <c r="M147" s="2"/>
      <c r="N147" s="2">
        <v>2.9433329554943302</v>
      </c>
      <c r="O147" s="2"/>
      <c r="P147" s="2">
        <v>-9.5029656154685796E-2</v>
      </c>
      <c r="Q147" s="2">
        <v>4.4430186018997897E-2</v>
      </c>
      <c r="R147" s="2"/>
      <c r="S147" s="2"/>
      <c r="T147" s="2"/>
      <c r="U147" s="2"/>
      <c r="V147" s="2"/>
      <c r="W147" s="2"/>
      <c r="X147" s="2"/>
      <c r="Y147" s="2">
        <v>1.60894857778336E-2</v>
      </c>
      <c r="Z147" s="2">
        <v>1.60895212823115E-2</v>
      </c>
      <c r="AA147" s="2">
        <v>8.0333659378228599E-3</v>
      </c>
      <c r="AB147" s="2"/>
      <c r="AC147" s="2"/>
      <c r="AD147" s="2"/>
      <c r="AE147" s="2"/>
      <c r="AF147" s="2"/>
      <c r="AG147" s="2"/>
      <c r="AH147" s="2" t="s">
        <v>428</v>
      </c>
      <c r="AI147" s="2"/>
      <c r="AJ147" s="2" t="s">
        <v>801</v>
      </c>
      <c r="AK147" s="2" t="s">
        <v>805</v>
      </c>
    </row>
    <row r="148" spans="1:37" x14ac:dyDescent="0.3">
      <c r="A148" s="2" t="s">
        <v>780</v>
      </c>
      <c r="B148" s="2" t="s">
        <v>796</v>
      </c>
      <c r="C148" s="2" t="s">
        <v>782</v>
      </c>
      <c r="D148" s="2" t="s">
        <v>305</v>
      </c>
      <c r="E148" s="2" t="s">
        <v>426</v>
      </c>
      <c r="F148" s="2" t="s">
        <v>427</v>
      </c>
      <c r="G148" s="2">
        <v>0.6</v>
      </c>
      <c r="H148" s="2">
        <v>1754</v>
      </c>
      <c r="I148" s="2">
        <v>78</v>
      </c>
      <c r="J148" s="2">
        <v>78</v>
      </c>
      <c r="K148" s="2">
        <v>1.75457567449031E-2</v>
      </c>
      <c r="L148" s="2">
        <v>2.1392884954963699E-2</v>
      </c>
      <c r="M148" s="2"/>
      <c r="N148" s="2">
        <v>2.2647870110606201</v>
      </c>
      <c r="O148" s="2"/>
      <c r="P148" s="2">
        <v>-6.4919222652933206E-2</v>
      </c>
      <c r="Q148" s="2">
        <v>0.100010736142739</v>
      </c>
      <c r="R148" s="2"/>
      <c r="S148" s="2"/>
      <c r="T148" s="2"/>
      <c r="U148" s="2"/>
      <c r="V148" s="2"/>
      <c r="W148" s="2"/>
      <c r="X148" s="2"/>
      <c r="Y148" s="2">
        <v>1.60894857778336E-2</v>
      </c>
      <c r="Z148" s="2">
        <v>1.60895212823115E-2</v>
      </c>
      <c r="AA148" s="2">
        <v>8.0333659378228599E-3</v>
      </c>
      <c r="AB148" s="2"/>
      <c r="AC148" s="2"/>
      <c r="AD148" s="2"/>
      <c r="AE148" s="2"/>
      <c r="AF148" s="2"/>
      <c r="AG148" s="2"/>
      <c r="AH148" s="2" t="s">
        <v>428</v>
      </c>
      <c r="AI148" s="2"/>
      <c r="AJ148" s="2" t="s">
        <v>801</v>
      </c>
      <c r="AK148" s="2" t="s">
        <v>806</v>
      </c>
    </row>
    <row r="149" spans="1:37" x14ac:dyDescent="0.3">
      <c r="A149" s="2" t="s">
        <v>780</v>
      </c>
      <c r="B149" s="2" t="s">
        <v>796</v>
      </c>
      <c r="C149" s="2" t="s">
        <v>782</v>
      </c>
      <c r="D149" s="2" t="s">
        <v>306</v>
      </c>
      <c r="E149" s="2" t="s">
        <v>426</v>
      </c>
      <c r="F149" s="2" t="s">
        <v>427</v>
      </c>
      <c r="G149" s="2">
        <v>0.6</v>
      </c>
      <c r="H149" s="2">
        <v>1754</v>
      </c>
      <c r="I149" s="2">
        <v>78</v>
      </c>
      <c r="J149" s="2">
        <v>78</v>
      </c>
      <c r="K149" s="2">
        <v>-0.233055895530102</v>
      </c>
      <c r="L149" s="2">
        <v>0.18337660432766201</v>
      </c>
      <c r="M149" s="2">
        <v>-1.27091400991193</v>
      </c>
      <c r="N149" s="2">
        <v>14.501402738761399</v>
      </c>
      <c r="O149" s="2">
        <v>0.223768997001276</v>
      </c>
      <c r="P149" s="2">
        <v>-0.62508761224082898</v>
      </c>
      <c r="Q149" s="2">
        <v>0.158975821180625</v>
      </c>
      <c r="R149" s="2"/>
      <c r="S149" s="2"/>
      <c r="T149" s="2"/>
      <c r="U149" s="2"/>
      <c r="V149" s="2"/>
      <c r="W149" s="2"/>
      <c r="X149" s="2"/>
      <c r="Y149" s="2">
        <v>1.60894857778336E-2</v>
      </c>
      <c r="Z149" s="2">
        <v>1.60895212823115E-2</v>
      </c>
      <c r="AA149" s="2">
        <v>8.0333659378228599E-3</v>
      </c>
      <c r="AB149" s="2"/>
      <c r="AC149" s="2"/>
      <c r="AD149" s="2"/>
      <c r="AE149" s="2"/>
      <c r="AF149" s="2"/>
      <c r="AG149" s="2"/>
      <c r="AH149" s="2" t="s">
        <v>428</v>
      </c>
      <c r="AI149" s="2"/>
      <c r="AJ149" s="2" t="s">
        <v>797</v>
      </c>
      <c r="AK149" s="2" t="s">
        <v>807</v>
      </c>
    </row>
    <row r="150" spans="1:37" x14ac:dyDescent="0.3">
      <c r="A150" s="2" t="s">
        <v>780</v>
      </c>
      <c r="B150" s="2" t="s">
        <v>796</v>
      </c>
      <c r="C150" s="2" t="s">
        <v>782</v>
      </c>
      <c r="D150" s="2" t="s">
        <v>307</v>
      </c>
      <c r="E150" s="2" t="s">
        <v>426</v>
      </c>
      <c r="F150" s="2" t="s">
        <v>427</v>
      </c>
      <c r="G150" s="2">
        <v>0.6</v>
      </c>
      <c r="H150" s="2">
        <v>1754</v>
      </c>
      <c r="I150" s="2">
        <v>78</v>
      </c>
      <c r="J150" s="2">
        <v>78</v>
      </c>
      <c r="K150" s="2">
        <v>-3.0251193367585302E-2</v>
      </c>
      <c r="L150" s="2">
        <v>2.4442997016445599E-2</v>
      </c>
      <c r="M150" s="2">
        <v>-1.2376221028555501</v>
      </c>
      <c r="N150" s="2">
        <v>45.931381491048697</v>
      </c>
      <c r="O150" s="2">
        <v>0.22214571066782299</v>
      </c>
      <c r="P150" s="2">
        <v>-7.9454378093428396E-2</v>
      </c>
      <c r="Q150" s="2">
        <v>1.8951991358257699E-2</v>
      </c>
      <c r="R150" s="2"/>
      <c r="S150" s="2"/>
      <c r="T150" s="2"/>
      <c r="U150" s="2"/>
      <c r="V150" s="2"/>
      <c r="W150" s="2"/>
      <c r="X150" s="2"/>
      <c r="Y150" s="2">
        <v>1.60894857778336E-2</v>
      </c>
      <c r="Z150" s="2">
        <v>1.60895212823115E-2</v>
      </c>
      <c r="AA150" s="2">
        <v>8.0333659378228599E-3</v>
      </c>
      <c r="AB150" s="2"/>
      <c r="AC150" s="2"/>
      <c r="AD150" s="2"/>
      <c r="AE150" s="2"/>
      <c r="AF150" s="2"/>
      <c r="AG150" s="2"/>
      <c r="AH150" s="2" t="s">
        <v>428</v>
      </c>
      <c r="AI150" s="2"/>
      <c r="AJ150" s="2" t="s">
        <v>797</v>
      </c>
      <c r="AK150" s="2" t="s">
        <v>808</v>
      </c>
    </row>
    <row r="151" spans="1:37" x14ac:dyDescent="0.3">
      <c r="A151" s="2" t="s">
        <v>780</v>
      </c>
      <c r="B151" s="2" t="s">
        <v>796</v>
      </c>
      <c r="C151" s="2" t="s">
        <v>782</v>
      </c>
      <c r="D151" s="2" t="s">
        <v>308</v>
      </c>
      <c r="E151" s="2" t="s">
        <v>426</v>
      </c>
      <c r="F151" s="2" t="s">
        <v>427</v>
      </c>
      <c r="G151" s="2">
        <v>0.6</v>
      </c>
      <c r="H151" s="2">
        <v>1754</v>
      </c>
      <c r="I151" s="2">
        <v>78</v>
      </c>
      <c r="J151" s="2">
        <v>78</v>
      </c>
      <c r="K151" s="2">
        <v>-4.1749810089289303E-2</v>
      </c>
      <c r="L151" s="2">
        <v>3.6051584105643401E-2</v>
      </c>
      <c r="M151" s="2"/>
      <c r="N151" s="2">
        <v>3.3705303353947</v>
      </c>
      <c r="O151" s="2"/>
      <c r="P151" s="2">
        <v>-0.149666498546973</v>
      </c>
      <c r="Q151" s="2">
        <v>6.6166878368394799E-2</v>
      </c>
      <c r="R151" s="2"/>
      <c r="S151" s="2"/>
      <c r="T151" s="2"/>
      <c r="U151" s="2"/>
      <c r="V151" s="2"/>
      <c r="W151" s="2"/>
      <c r="X151" s="2"/>
      <c r="Y151" s="2">
        <v>1.60894857778336E-2</v>
      </c>
      <c r="Z151" s="2">
        <v>1.60895212823115E-2</v>
      </c>
      <c r="AA151" s="2">
        <v>8.0333659378228599E-3</v>
      </c>
      <c r="AB151" s="2"/>
      <c r="AC151" s="2"/>
      <c r="AD151" s="2"/>
      <c r="AE151" s="2"/>
      <c r="AF151" s="2"/>
      <c r="AG151" s="2"/>
      <c r="AH151" s="2" t="s">
        <v>428</v>
      </c>
      <c r="AI151" s="2"/>
      <c r="AJ151" s="2" t="s">
        <v>801</v>
      </c>
      <c r="AK151" s="2" t="s">
        <v>809</v>
      </c>
    </row>
    <row r="152" spans="1:37" x14ac:dyDescent="0.3">
      <c r="A152" s="2" t="s">
        <v>780</v>
      </c>
      <c r="B152" s="2" t="s">
        <v>796</v>
      </c>
      <c r="C152" s="2" t="s">
        <v>782</v>
      </c>
      <c r="D152" s="2" t="s">
        <v>309</v>
      </c>
      <c r="E152" s="2" t="s">
        <v>426</v>
      </c>
      <c r="F152" s="2" t="s">
        <v>427</v>
      </c>
      <c r="G152" s="2">
        <v>0.6</v>
      </c>
      <c r="H152" s="2">
        <v>1754</v>
      </c>
      <c r="I152" s="2">
        <v>78</v>
      </c>
      <c r="J152" s="2">
        <v>78</v>
      </c>
      <c r="K152" s="2">
        <v>0.16787490873521599</v>
      </c>
      <c r="L152" s="2">
        <v>0.174893045844673</v>
      </c>
      <c r="M152" s="2">
        <v>0.95987183437990697</v>
      </c>
      <c r="N152" s="2">
        <v>12.2993414534062</v>
      </c>
      <c r="O152" s="2">
        <v>0.35561021049075903</v>
      </c>
      <c r="P152" s="2">
        <v>-0.212158243121392</v>
      </c>
      <c r="Q152" s="2">
        <v>0.54790806059182295</v>
      </c>
      <c r="R152" s="2"/>
      <c r="S152" s="2"/>
      <c r="T152" s="2"/>
      <c r="U152" s="2"/>
      <c r="V152" s="2"/>
      <c r="W152" s="2"/>
      <c r="X152" s="2"/>
      <c r="Y152" s="2">
        <v>1.60894857778336E-2</v>
      </c>
      <c r="Z152" s="2">
        <v>1.60895212823115E-2</v>
      </c>
      <c r="AA152" s="2">
        <v>8.0333659378228599E-3</v>
      </c>
      <c r="AB152" s="2"/>
      <c r="AC152" s="2"/>
      <c r="AD152" s="2"/>
      <c r="AE152" s="2"/>
      <c r="AF152" s="2"/>
      <c r="AG152" s="2"/>
      <c r="AH152" s="2" t="s">
        <v>428</v>
      </c>
      <c r="AI152" s="2"/>
      <c r="AJ152" s="2" t="s">
        <v>797</v>
      </c>
      <c r="AK152" s="2" t="s">
        <v>810</v>
      </c>
    </row>
    <row r="153" spans="1:37" x14ac:dyDescent="0.3">
      <c r="A153" s="2" t="s">
        <v>780</v>
      </c>
      <c r="B153" s="2" t="s">
        <v>796</v>
      </c>
      <c r="C153" s="2" t="s">
        <v>782</v>
      </c>
      <c r="D153" s="2" t="s">
        <v>310</v>
      </c>
      <c r="E153" s="2" t="s">
        <v>426</v>
      </c>
      <c r="F153" s="2" t="s">
        <v>503</v>
      </c>
      <c r="G153" s="2">
        <v>0.6</v>
      </c>
      <c r="H153" s="2">
        <v>1754</v>
      </c>
      <c r="I153" s="2">
        <v>78</v>
      </c>
      <c r="J153" s="2">
        <v>78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 t="s">
        <v>428</v>
      </c>
      <c r="AI153" s="2"/>
      <c r="AJ153" s="2" t="s">
        <v>811</v>
      </c>
      <c r="AK153" s="2" t="s">
        <v>812</v>
      </c>
    </row>
    <row r="154" spans="1:37" x14ac:dyDescent="0.3">
      <c r="A154" s="2" t="s">
        <v>780</v>
      </c>
      <c r="B154" s="2" t="s">
        <v>796</v>
      </c>
      <c r="C154" s="2" t="s">
        <v>782</v>
      </c>
      <c r="D154" s="2" t="s">
        <v>317</v>
      </c>
      <c r="E154" s="2" t="s">
        <v>437</v>
      </c>
      <c r="F154" s="2" t="s">
        <v>427</v>
      </c>
      <c r="G154" s="2">
        <v>0.6</v>
      </c>
      <c r="H154" s="2">
        <v>1754</v>
      </c>
      <c r="I154" s="2">
        <v>78</v>
      </c>
      <c r="J154" s="2">
        <v>78</v>
      </c>
      <c r="K154" s="2"/>
      <c r="L154" s="2"/>
      <c r="M154" s="2">
        <v>1.3410973486209501</v>
      </c>
      <c r="N154" s="2">
        <v>3.3705303353947</v>
      </c>
      <c r="O154" s="2">
        <v>0.32226313994821199</v>
      </c>
      <c r="P154" s="2"/>
      <c r="Q154" s="2"/>
      <c r="R154" s="2"/>
      <c r="S154" s="2"/>
      <c r="T154" s="2"/>
      <c r="U154" s="2"/>
      <c r="V154" s="2"/>
      <c r="W154" s="2"/>
      <c r="X154" s="2"/>
      <c r="Y154" s="2">
        <v>1.60894857778336E-2</v>
      </c>
      <c r="Z154" s="2">
        <v>1.60895212823115E-2</v>
      </c>
      <c r="AA154" s="2">
        <v>8.0333659378228599E-3</v>
      </c>
      <c r="AB154" s="2"/>
      <c r="AC154" s="2"/>
      <c r="AD154" s="2"/>
      <c r="AE154" s="2"/>
      <c r="AF154" s="2"/>
      <c r="AG154" s="2"/>
      <c r="AH154" s="2" t="s">
        <v>428</v>
      </c>
      <c r="AI154" s="2"/>
      <c r="AJ154" s="2" t="s">
        <v>813</v>
      </c>
      <c r="AK154" s="2" t="s">
        <v>814</v>
      </c>
    </row>
    <row r="155" spans="1:37" x14ac:dyDescent="0.3">
      <c r="A155" s="2" t="s">
        <v>780</v>
      </c>
      <c r="B155" s="2" t="s">
        <v>796</v>
      </c>
      <c r="C155" s="2" t="s">
        <v>782</v>
      </c>
      <c r="D155" s="2" t="s">
        <v>311</v>
      </c>
      <c r="E155" s="2" t="s">
        <v>426</v>
      </c>
      <c r="F155" s="2" t="s">
        <v>503</v>
      </c>
      <c r="G155" s="2">
        <v>0.6</v>
      </c>
      <c r="H155" s="2">
        <v>1754</v>
      </c>
      <c r="I155" s="2">
        <v>78</v>
      </c>
      <c r="J155" s="2">
        <v>78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 t="s">
        <v>428</v>
      </c>
      <c r="AI155" s="2"/>
      <c r="AJ155" s="2" t="s">
        <v>815</v>
      </c>
      <c r="AK155" s="2" t="s">
        <v>816</v>
      </c>
    </row>
    <row r="156" spans="1:37" x14ac:dyDescent="0.3">
      <c r="A156" s="2" t="s">
        <v>780</v>
      </c>
      <c r="B156" s="2" t="s">
        <v>796</v>
      </c>
      <c r="C156" s="2" t="s">
        <v>782</v>
      </c>
      <c r="D156" s="2" t="s">
        <v>312</v>
      </c>
      <c r="E156" s="2" t="s">
        <v>426</v>
      </c>
      <c r="F156" s="2" t="s">
        <v>503</v>
      </c>
      <c r="G156" s="2">
        <v>0.6</v>
      </c>
      <c r="H156" s="2">
        <v>1754</v>
      </c>
      <c r="I156" s="2">
        <v>78</v>
      </c>
      <c r="J156" s="2">
        <v>78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 t="s">
        <v>428</v>
      </c>
      <c r="AI156" s="2"/>
      <c r="AJ156" s="2" t="s">
        <v>815</v>
      </c>
      <c r="AK156" s="2" t="s">
        <v>817</v>
      </c>
    </row>
    <row r="157" spans="1:37" x14ac:dyDescent="0.3">
      <c r="A157" s="2" t="s">
        <v>780</v>
      </c>
      <c r="B157" s="2" t="s">
        <v>796</v>
      </c>
      <c r="C157" s="2" t="s">
        <v>782</v>
      </c>
      <c r="D157" s="2" t="s">
        <v>313</v>
      </c>
      <c r="E157" s="2" t="s">
        <v>426</v>
      </c>
      <c r="F157" s="2" t="s">
        <v>503</v>
      </c>
      <c r="G157" s="2">
        <v>0.6</v>
      </c>
      <c r="H157" s="2">
        <v>1754</v>
      </c>
      <c r="I157" s="2">
        <v>78</v>
      </c>
      <c r="J157" s="2">
        <v>78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 t="s">
        <v>428</v>
      </c>
      <c r="AI157" s="2"/>
      <c r="AJ157" s="2" t="s">
        <v>815</v>
      </c>
      <c r="AK157" s="2" t="s">
        <v>818</v>
      </c>
    </row>
    <row r="158" spans="1:37" x14ac:dyDescent="0.3">
      <c r="A158" s="2" t="s">
        <v>780</v>
      </c>
      <c r="B158" s="2" t="s">
        <v>796</v>
      </c>
      <c r="C158" s="2" t="s">
        <v>782</v>
      </c>
      <c r="D158" s="2" t="s">
        <v>318</v>
      </c>
      <c r="E158" s="2" t="s">
        <v>437</v>
      </c>
      <c r="F158" s="2" t="s">
        <v>503</v>
      </c>
      <c r="G158" s="2">
        <v>0.6</v>
      </c>
      <c r="H158" s="2">
        <v>1754</v>
      </c>
      <c r="I158" s="2">
        <v>78</v>
      </c>
      <c r="J158" s="2">
        <v>78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 t="s">
        <v>428</v>
      </c>
      <c r="AI158" s="2"/>
      <c r="AJ158" s="2" t="s">
        <v>819</v>
      </c>
      <c r="AK158" s="2" t="s">
        <v>820</v>
      </c>
    </row>
    <row r="159" spans="1:37" x14ac:dyDescent="0.3">
      <c r="A159" s="2" t="s">
        <v>780</v>
      </c>
      <c r="B159" s="2" t="s">
        <v>796</v>
      </c>
      <c r="C159" s="2" t="s">
        <v>782</v>
      </c>
      <c r="D159" s="2" t="s">
        <v>314</v>
      </c>
      <c r="E159" s="2" t="s">
        <v>426</v>
      </c>
      <c r="F159" s="2" t="s">
        <v>503</v>
      </c>
      <c r="G159" s="2">
        <v>0.6</v>
      </c>
      <c r="H159" s="2">
        <v>1754</v>
      </c>
      <c r="I159" s="2">
        <v>78</v>
      </c>
      <c r="J159" s="2">
        <v>78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 t="s">
        <v>428</v>
      </c>
      <c r="AI159" s="2"/>
      <c r="AJ159" s="2" t="s">
        <v>815</v>
      </c>
      <c r="AK159" s="2" t="s">
        <v>821</v>
      </c>
    </row>
    <row r="160" spans="1:37" x14ac:dyDescent="0.3">
      <c r="A160" s="2" t="s">
        <v>780</v>
      </c>
      <c r="B160" s="2" t="s">
        <v>796</v>
      </c>
      <c r="C160" s="2" t="s">
        <v>782</v>
      </c>
      <c r="D160" s="2" t="s">
        <v>319</v>
      </c>
      <c r="E160" s="2" t="s">
        <v>437</v>
      </c>
      <c r="F160" s="2" t="s">
        <v>503</v>
      </c>
      <c r="G160" s="2">
        <v>0.6</v>
      </c>
      <c r="H160" s="2">
        <v>1754</v>
      </c>
      <c r="I160" s="2">
        <v>78</v>
      </c>
      <c r="J160" s="2">
        <v>78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 t="s">
        <v>428</v>
      </c>
      <c r="AI160" s="2"/>
      <c r="AJ160" s="2" t="s">
        <v>819</v>
      </c>
      <c r="AK160" s="2" t="s">
        <v>822</v>
      </c>
    </row>
    <row r="161" spans="1:37" x14ac:dyDescent="0.3">
      <c r="A161" s="2" t="s">
        <v>780</v>
      </c>
      <c r="B161" s="2" t="s">
        <v>796</v>
      </c>
      <c r="C161" s="2" t="s">
        <v>782</v>
      </c>
      <c r="D161" s="2" t="s">
        <v>320</v>
      </c>
      <c r="E161" s="2" t="s">
        <v>437</v>
      </c>
      <c r="F161" s="2" t="s">
        <v>427</v>
      </c>
      <c r="G161" s="2">
        <v>0.6</v>
      </c>
      <c r="H161" s="2">
        <v>1754</v>
      </c>
      <c r="I161" s="2">
        <v>78</v>
      </c>
      <c r="J161" s="2">
        <v>78</v>
      </c>
      <c r="K161" s="2"/>
      <c r="L161" s="2"/>
      <c r="M161" s="2">
        <v>0.92135393843584801</v>
      </c>
      <c r="N161" s="2">
        <v>12.2993414534062</v>
      </c>
      <c r="O161" s="2">
        <v>0.35561021049075903</v>
      </c>
      <c r="P161" s="2"/>
      <c r="Q161" s="2"/>
      <c r="R161" s="2"/>
      <c r="S161" s="2"/>
      <c r="T161" s="2"/>
      <c r="U161" s="2"/>
      <c r="V161" s="2"/>
      <c r="W161" s="2"/>
      <c r="X161" s="2"/>
      <c r="Y161" s="2">
        <v>1.60894857778336E-2</v>
      </c>
      <c r="Z161" s="2">
        <v>1.60895212823115E-2</v>
      </c>
      <c r="AA161" s="2">
        <v>8.0333659378228599E-3</v>
      </c>
      <c r="AB161" s="2"/>
      <c r="AC161" s="2"/>
      <c r="AD161" s="2"/>
      <c r="AE161" s="2"/>
      <c r="AF161" s="2"/>
      <c r="AG161" s="2"/>
      <c r="AH161" s="2" t="s">
        <v>428</v>
      </c>
      <c r="AI161" s="2"/>
      <c r="AJ161" s="2" t="s">
        <v>823</v>
      </c>
      <c r="AK161" s="2" t="s">
        <v>824</v>
      </c>
    </row>
    <row r="162" spans="1:37" x14ac:dyDescent="0.3">
      <c r="A162" s="2" t="s">
        <v>780</v>
      </c>
      <c r="B162" s="2" t="s">
        <v>781</v>
      </c>
      <c r="C162" s="2" t="s">
        <v>825</v>
      </c>
      <c r="D162" s="2" t="s">
        <v>783</v>
      </c>
      <c r="E162" s="2" t="s">
        <v>784</v>
      </c>
      <c r="F162" s="2" t="s">
        <v>755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>
        <v>3.4105756095431499</v>
      </c>
      <c r="AH162" s="2" t="s">
        <v>428</v>
      </c>
      <c r="AI162" s="2"/>
      <c r="AJ162" s="2" t="s">
        <v>826</v>
      </c>
      <c r="AK162" s="2" t="s">
        <v>827</v>
      </c>
    </row>
    <row r="163" spans="1:37" x14ac:dyDescent="0.3">
      <c r="A163" s="2" t="s">
        <v>780</v>
      </c>
      <c r="B163" s="2" t="s">
        <v>781</v>
      </c>
      <c r="C163" s="2" t="s">
        <v>825</v>
      </c>
      <c r="D163" s="2" t="s">
        <v>787</v>
      </c>
      <c r="E163" s="2" t="s">
        <v>784</v>
      </c>
      <c r="F163" s="2" t="s">
        <v>755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>
        <v>3.5753430966061601</v>
      </c>
      <c r="AH163" s="2" t="s">
        <v>428</v>
      </c>
      <c r="AI163" s="2"/>
      <c r="AJ163" s="2" t="s">
        <v>828</v>
      </c>
      <c r="AK163" s="2" t="s">
        <v>829</v>
      </c>
    </row>
    <row r="164" spans="1:37" x14ac:dyDescent="0.3">
      <c r="A164" s="2" t="s">
        <v>780</v>
      </c>
      <c r="B164" s="2" t="s">
        <v>781</v>
      </c>
      <c r="C164" s="2" t="s">
        <v>825</v>
      </c>
      <c r="D164" s="2" t="s">
        <v>830</v>
      </c>
      <c r="E164" s="2" t="s">
        <v>784</v>
      </c>
      <c r="F164" s="2" t="s">
        <v>755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>
        <v>4.2870894106251098</v>
      </c>
      <c r="AH164" s="2" t="s">
        <v>428</v>
      </c>
      <c r="AI164" s="2"/>
      <c r="AJ164" s="2" t="s">
        <v>831</v>
      </c>
      <c r="AK164" s="2" t="s">
        <v>832</v>
      </c>
    </row>
    <row r="165" spans="1:37" x14ac:dyDescent="0.3">
      <c r="A165" s="2" t="s">
        <v>780</v>
      </c>
      <c r="B165" s="2" t="s">
        <v>781</v>
      </c>
      <c r="C165" s="2" t="s">
        <v>825</v>
      </c>
      <c r="D165" s="2" t="s">
        <v>790</v>
      </c>
      <c r="E165" s="2" t="s">
        <v>784</v>
      </c>
      <c r="F165" s="2" t="s">
        <v>755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>
        <v>4.0494971194846601</v>
      </c>
      <c r="AH165" s="2" t="s">
        <v>428</v>
      </c>
      <c r="AI165" s="2"/>
      <c r="AJ165" s="2" t="s">
        <v>833</v>
      </c>
      <c r="AK165" s="2" t="s">
        <v>834</v>
      </c>
    </row>
    <row r="166" spans="1:37" x14ac:dyDescent="0.3">
      <c r="A166" s="2" t="s">
        <v>780</v>
      </c>
      <c r="B166" s="2" t="s">
        <v>781</v>
      </c>
      <c r="C166" s="2" t="s">
        <v>825</v>
      </c>
      <c r="D166" s="2" t="s">
        <v>793</v>
      </c>
      <c r="E166" s="2" t="s">
        <v>784</v>
      </c>
      <c r="F166" s="2" t="s">
        <v>755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 t="s">
        <v>428</v>
      </c>
      <c r="AI166" s="2"/>
      <c r="AJ166" s="2" t="s">
        <v>835</v>
      </c>
      <c r="AK166" s="2" t="s">
        <v>836</v>
      </c>
    </row>
    <row r="167" spans="1:37" x14ac:dyDescent="0.3">
      <c r="A167" s="2" t="s">
        <v>780</v>
      </c>
      <c r="B167" s="2" t="s">
        <v>781</v>
      </c>
      <c r="C167" s="2" t="s">
        <v>825</v>
      </c>
      <c r="D167" s="2" t="s">
        <v>837</v>
      </c>
      <c r="E167" s="2" t="s">
        <v>784</v>
      </c>
      <c r="F167" s="2" t="s">
        <v>755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 t="s">
        <v>428</v>
      </c>
      <c r="AI167" s="2"/>
      <c r="AJ167" s="2" t="s">
        <v>838</v>
      </c>
      <c r="AK167" s="2" t="s">
        <v>839</v>
      </c>
    </row>
    <row r="168" spans="1:37" x14ac:dyDescent="0.3">
      <c r="A168" s="2" t="s">
        <v>780</v>
      </c>
      <c r="B168" s="2" t="s">
        <v>781</v>
      </c>
      <c r="C168" s="2" t="s">
        <v>825</v>
      </c>
      <c r="D168" s="2" t="s">
        <v>840</v>
      </c>
      <c r="E168" s="2" t="s">
        <v>784</v>
      </c>
      <c r="F168" s="2" t="s">
        <v>755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 t="s">
        <v>428</v>
      </c>
      <c r="AI168" s="2"/>
      <c r="AJ168" s="2" t="s">
        <v>841</v>
      </c>
      <c r="AK168" s="2" t="s">
        <v>842</v>
      </c>
    </row>
    <row r="169" spans="1:37" x14ac:dyDescent="0.3">
      <c r="A169" s="2" t="s">
        <v>780</v>
      </c>
      <c r="B169" s="2" t="s">
        <v>781</v>
      </c>
      <c r="C169" s="2" t="s">
        <v>825</v>
      </c>
      <c r="D169" s="2" t="s">
        <v>843</v>
      </c>
      <c r="E169" s="2" t="s">
        <v>784</v>
      </c>
      <c r="F169" s="2" t="s">
        <v>755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 t="s">
        <v>428</v>
      </c>
      <c r="AI169" s="2"/>
      <c r="AJ169" s="2" t="s">
        <v>844</v>
      </c>
      <c r="AK169" s="2" t="s">
        <v>845</v>
      </c>
    </row>
    <row r="170" spans="1:37" x14ac:dyDescent="0.3">
      <c r="A170" s="2" t="s">
        <v>780</v>
      </c>
      <c r="B170" s="2" t="s">
        <v>846</v>
      </c>
      <c r="C170" s="2" t="s">
        <v>825</v>
      </c>
      <c r="D170" s="2" t="s">
        <v>299</v>
      </c>
      <c r="E170" s="2" t="s">
        <v>426</v>
      </c>
      <c r="F170" s="2" t="s">
        <v>427</v>
      </c>
      <c r="G170" s="2">
        <v>0.6</v>
      </c>
      <c r="H170" s="2">
        <v>1324</v>
      </c>
      <c r="I170" s="2">
        <v>57</v>
      </c>
      <c r="J170" s="2">
        <v>57</v>
      </c>
      <c r="K170" s="2">
        <v>-2.70096386324328E-2</v>
      </c>
      <c r="L170" s="2">
        <v>1.2422315844544901E-2</v>
      </c>
      <c r="M170" s="2">
        <v>-2.17428368191859</v>
      </c>
      <c r="N170" s="2">
        <v>12.4440117192527</v>
      </c>
      <c r="O170" s="2">
        <v>4.9634066440755603E-2</v>
      </c>
      <c r="P170" s="2">
        <v>-5.39688181138425E-2</v>
      </c>
      <c r="Q170" s="2">
        <v>-5.04591510230301E-5</v>
      </c>
      <c r="R170" s="2"/>
      <c r="S170" s="2"/>
      <c r="T170" s="2"/>
      <c r="U170" s="2"/>
      <c r="V170" s="2"/>
      <c r="W170" s="2"/>
      <c r="X170" s="2"/>
      <c r="Y170" s="2">
        <v>7.1991750350340296E-4</v>
      </c>
      <c r="Z170" s="2">
        <v>7.1991763211503895E-4</v>
      </c>
      <c r="AA170" s="2">
        <v>4.5227920091704598E-3</v>
      </c>
      <c r="AB170" s="2"/>
      <c r="AC170" s="2"/>
      <c r="AD170" s="2"/>
      <c r="AE170" s="2"/>
      <c r="AF170" s="2"/>
      <c r="AG170" s="2"/>
      <c r="AH170" s="2" t="s">
        <v>428</v>
      </c>
      <c r="AI170" s="2"/>
      <c r="AJ170" s="2" t="s">
        <v>847</v>
      </c>
      <c r="AK170" s="2" t="s">
        <v>848</v>
      </c>
    </row>
    <row r="171" spans="1:37" x14ac:dyDescent="0.3">
      <c r="A171" s="2" t="s">
        <v>780</v>
      </c>
      <c r="B171" s="2" t="s">
        <v>846</v>
      </c>
      <c r="C171" s="2" t="s">
        <v>825</v>
      </c>
      <c r="D171" s="2" t="s">
        <v>300</v>
      </c>
      <c r="E171" s="2" t="s">
        <v>426</v>
      </c>
      <c r="F171" s="2" t="s">
        <v>427</v>
      </c>
      <c r="G171" s="2">
        <v>0.6</v>
      </c>
      <c r="H171" s="2">
        <v>1324</v>
      </c>
      <c r="I171" s="2">
        <v>57</v>
      </c>
      <c r="J171" s="2">
        <v>57</v>
      </c>
      <c r="K171" s="2">
        <v>1.2958478813934299E-2</v>
      </c>
      <c r="L171" s="2">
        <v>1.57107308763932E-2</v>
      </c>
      <c r="M171" s="2">
        <v>0.82481705758232104</v>
      </c>
      <c r="N171" s="2">
        <v>12.045239017852801</v>
      </c>
      <c r="O171" s="2">
        <v>0.42550866547813199</v>
      </c>
      <c r="P171" s="2">
        <v>-2.12580098560614E-2</v>
      </c>
      <c r="Q171" s="2">
        <v>4.7174967483930103E-2</v>
      </c>
      <c r="R171" s="2"/>
      <c r="S171" s="2"/>
      <c r="T171" s="2"/>
      <c r="U171" s="2"/>
      <c r="V171" s="2"/>
      <c r="W171" s="2"/>
      <c r="X171" s="2"/>
      <c r="Y171" s="2">
        <v>7.1991750350340296E-4</v>
      </c>
      <c r="Z171" s="2">
        <v>7.1991763211503895E-4</v>
      </c>
      <c r="AA171" s="2">
        <v>4.5227920091704598E-3</v>
      </c>
      <c r="AB171" s="2"/>
      <c r="AC171" s="2"/>
      <c r="AD171" s="2"/>
      <c r="AE171" s="2"/>
      <c r="AF171" s="2"/>
      <c r="AG171" s="2"/>
      <c r="AH171" s="2" t="s">
        <v>428</v>
      </c>
      <c r="AI171" s="2"/>
      <c r="AJ171" s="2" t="s">
        <v>847</v>
      </c>
      <c r="AK171" s="2" t="s">
        <v>849</v>
      </c>
    </row>
    <row r="172" spans="1:37" x14ac:dyDescent="0.3">
      <c r="A172" s="2" t="s">
        <v>780</v>
      </c>
      <c r="B172" s="2" t="s">
        <v>846</v>
      </c>
      <c r="C172" s="2" t="s">
        <v>825</v>
      </c>
      <c r="D172" s="2" t="s">
        <v>301</v>
      </c>
      <c r="E172" s="2" t="s">
        <v>426</v>
      </c>
      <c r="F172" s="2" t="s">
        <v>427</v>
      </c>
      <c r="G172" s="2">
        <v>0.6</v>
      </c>
      <c r="H172" s="2">
        <v>1324</v>
      </c>
      <c r="I172" s="2">
        <v>57</v>
      </c>
      <c r="J172" s="2">
        <v>57</v>
      </c>
      <c r="K172" s="2">
        <v>-3.9006254929810601E-3</v>
      </c>
      <c r="L172" s="2">
        <v>1.9774451464620701E-2</v>
      </c>
      <c r="M172" s="2">
        <v>-0.19725581263074901</v>
      </c>
      <c r="N172" s="2">
        <v>7.9884881910576402</v>
      </c>
      <c r="O172" s="2">
        <v>0.84855381371604399</v>
      </c>
      <c r="P172" s="2">
        <v>-4.9512032898627802E-2</v>
      </c>
      <c r="Q172" s="2">
        <v>4.1710781912665702E-2</v>
      </c>
      <c r="R172" s="2"/>
      <c r="S172" s="2"/>
      <c r="T172" s="2"/>
      <c r="U172" s="2"/>
      <c r="V172" s="2"/>
      <c r="W172" s="2"/>
      <c r="X172" s="2"/>
      <c r="Y172" s="2">
        <v>7.1991750350340296E-4</v>
      </c>
      <c r="Z172" s="2">
        <v>7.1991763211503895E-4</v>
      </c>
      <c r="AA172" s="2">
        <v>4.5227920091704598E-3</v>
      </c>
      <c r="AB172" s="2"/>
      <c r="AC172" s="2"/>
      <c r="AD172" s="2"/>
      <c r="AE172" s="2"/>
      <c r="AF172" s="2"/>
      <c r="AG172" s="2"/>
      <c r="AH172" s="2" t="s">
        <v>428</v>
      </c>
      <c r="AI172" s="2"/>
      <c r="AJ172" s="2" t="s">
        <v>847</v>
      </c>
      <c r="AK172" s="2" t="s">
        <v>850</v>
      </c>
    </row>
    <row r="173" spans="1:37" x14ac:dyDescent="0.3">
      <c r="A173" s="2" t="s">
        <v>780</v>
      </c>
      <c r="B173" s="2" t="s">
        <v>846</v>
      </c>
      <c r="C173" s="2" t="s">
        <v>825</v>
      </c>
      <c r="D173" s="2" t="s">
        <v>302</v>
      </c>
      <c r="E173" s="2" t="s">
        <v>426</v>
      </c>
      <c r="F173" s="2" t="s">
        <v>427</v>
      </c>
      <c r="G173" s="2">
        <v>0.6</v>
      </c>
      <c r="H173" s="2">
        <v>1324</v>
      </c>
      <c r="I173" s="2">
        <v>57</v>
      </c>
      <c r="J173" s="2">
        <v>57</v>
      </c>
      <c r="K173" s="2">
        <v>-4.0224745030622497E-2</v>
      </c>
      <c r="L173" s="2">
        <v>1.2767245692016101E-2</v>
      </c>
      <c r="M173" s="2">
        <v>-3.15062042361859</v>
      </c>
      <c r="N173" s="2">
        <v>6.3090256441724204</v>
      </c>
      <c r="O173" s="2">
        <v>1.8512461921280102E-2</v>
      </c>
      <c r="P173" s="2">
        <v>-7.1097868084093505E-2</v>
      </c>
      <c r="Q173" s="2">
        <v>-9.3516219771514492E-3</v>
      </c>
      <c r="R173" s="2"/>
      <c r="S173" s="2"/>
      <c r="T173" s="2"/>
      <c r="U173" s="2"/>
      <c r="V173" s="2"/>
      <c r="W173" s="2"/>
      <c r="X173" s="2"/>
      <c r="Y173" s="2">
        <v>7.1991750350340296E-4</v>
      </c>
      <c r="Z173" s="2">
        <v>7.1991763211503895E-4</v>
      </c>
      <c r="AA173" s="2">
        <v>4.5227920091704598E-3</v>
      </c>
      <c r="AB173" s="2"/>
      <c r="AC173" s="2"/>
      <c r="AD173" s="2"/>
      <c r="AE173" s="2"/>
      <c r="AF173" s="2"/>
      <c r="AG173" s="2"/>
      <c r="AH173" s="2" t="s">
        <v>428</v>
      </c>
      <c r="AI173" s="2"/>
      <c r="AJ173" s="2" t="s">
        <v>847</v>
      </c>
      <c r="AK173" s="2" t="s">
        <v>851</v>
      </c>
    </row>
    <row r="174" spans="1:37" x14ac:dyDescent="0.3">
      <c r="A174" s="2" t="s">
        <v>780</v>
      </c>
      <c r="B174" s="2" t="s">
        <v>846</v>
      </c>
      <c r="C174" s="2" t="s">
        <v>825</v>
      </c>
      <c r="D174" s="2" t="s">
        <v>303</v>
      </c>
      <c r="E174" s="2" t="s">
        <v>426</v>
      </c>
      <c r="F174" s="2" t="s">
        <v>427</v>
      </c>
      <c r="G174" s="2">
        <v>0.6</v>
      </c>
      <c r="H174" s="2">
        <v>1324</v>
      </c>
      <c r="I174" s="2">
        <v>57</v>
      </c>
      <c r="J174" s="2">
        <v>57</v>
      </c>
      <c r="K174" s="2">
        <v>7.3684061905173997E-3</v>
      </c>
      <c r="L174" s="2">
        <v>1.5015730907281E-2</v>
      </c>
      <c r="M174" s="2">
        <v>0.490712455891477</v>
      </c>
      <c r="N174" s="2">
        <v>7.6639918923697703</v>
      </c>
      <c r="O174" s="2">
        <v>0.63736956597568595</v>
      </c>
      <c r="P174" s="2">
        <v>-2.7523966049992899E-2</v>
      </c>
      <c r="Q174" s="2">
        <v>4.2260778431027698E-2</v>
      </c>
      <c r="R174" s="2"/>
      <c r="S174" s="2"/>
      <c r="T174" s="2"/>
      <c r="U174" s="2"/>
      <c r="V174" s="2"/>
      <c r="W174" s="2"/>
      <c r="X174" s="2"/>
      <c r="Y174" s="2">
        <v>7.1991750350340296E-4</v>
      </c>
      <c r="Z174" s="2">
        <v>7.1991763211503895E-4</v>
      </c>
      <c r="AA174" s="2">
        <v>4.5227920091704598E-3</v>
      </c>
      <c r="AB174" s="2"/>
      <c r="AC174" s="2"/>
      <c r="AD174" s="2"/>
      <c r="AE174" s="2"/>
      <c r="AF174" s="2"/>
      <c r="AG174" s="2"/>
      <c r="AH174" s="2" t="s">
        <v>428</v>
      </c>
      <c r="AI174" s="2"/>
      <c r="AJ174" s="2" t="s">
        <v>847</v>
      </c>
      <c r="AK174" s="2" t="s">
        <v>852</v>
      </c>
    </row>
    <row r="175" spans="1:37" x14ac:dyDescent="0.3">
      <c r="A175" s="2" t="s">
        <v>780</v>
      </c>
      <c r="B175" s="2" t="s">
        <v>846</v>
      </c>
      <c r="C175" s="2" t="s">
        <v>825</v>
      </c>
      <c r="D175" s="2" t="s">
        <v>304</v>
      </c>
      <c r="E175" s="2" t="s">
        <v>426</v>
      </c>
      <c r="F175" s="2" t="s">
        <v>427</v>
      </c>
      <c r="G175" s="2">
        <v>0.6</v>
      </c>
      <c r="H175" s="2">
        <v>1324</v>
      </c>
      <c r="I175" s="2">
        <v>57</v>
      </c>
      <c r="J175" s="2">
        <v>57</v>
      </c>
      <c r="K175" s="2">
        <v>-1.4806858413679199E-2</v>
      </c>
      <c r="L175" s="2">
        <v>1.1024714402735E-2</v>
      </c>
      <c r="M175" s="2"/>
      <c r="N175" s="2">
        <v>4.3051849211597304</v>
      </c>
      <c r="O175" s="2"/>
      <c r="P175" s="2">
        <v>-4.45793308173466E-2</v>
      </c>
      <c r="Q175" s="2">
        <v>1.49656139899882E-2</v>
      </c>
      <c r="R175" s="2"/>
      <c r="S175" s="2"/>
      <c r="T175" s="2"/>
      <c r="U175" s="2"/>
      <c r="V175" s="2"/>
      <c r="W175" s="2"/>
      <c r="X175" s="2"/>
      <c r="Y175" s="2">
        <v>7.1991750350340296E-4</v>
      </c>
      <c r="Z175" s="2">
        <v>7.1991763211503895E-4</v>
      </c>
      <c r="AA175" s="2">
        <v>4.5227920091704598E-3</v>
      </c>
      <c r="AB175" s="2"/>
      <c r="AC175" s="2"/>
      <c r="AD175" s="2"/>
      <c r="AE175" s="2"/>
      <c r="AF175" s="2"/>
      <c r="AG175" s="2"/>
      <c r="AH175" s="2" t="s">
        <v>428</v>
      </c>
      <c r="AI175" s="2"/>
      <c r="AJ175" s="2" t="s">
        <v>853</v>
      </c>
      <c r="AK175" s="2" t="s">
        <v>854</v>
      </c>
    </row>
    <row r="176" spans="1:37" x14ac:dyDescent="0.3">
      <c r="A176" s="2" t="s">
        <v>780</v>
      </c>
      <c r="B176" s="2" t="s">
        <v>846</v>
      </c>
      <c r="C176" s="2" t="s">
        <v>825</v>
      </c>
      <c r="D176" s="2" t="s">
        <v>322</v>
      </c>
      <c r="E176" s="2" t="s">
        <v>426</v>
      </c>
      <c r="F176" s="2" t="s">
        <v>427</v>
      </c>
      <c r="G176" s="2">
        <v>0.6</v>
      </c>
      <c r="H176" s="2">
        <v>1324</v>
      </c>
      <c r="I176" s="2">
        <v>57</v>
      </c>
      <c r="J176" s="2">
        <v>57</v>
      </c>
      <c r="K176" s="2">
        <v>5.1253765573420398E-3</v>
      </c>
      <c r="L176" s="2">
        <v>1.6733122577441299E-2</v>
      </c>
      <c r="M176" s="2">
        <v>0.30630126168153499</v>
      </c>
      <c r="N176" s="2">
        <v>13.652460433509701</v>
      </c>
      <c r="O176" s="2">
        <v>0.76399656264723903</v>
      </c>
      <c r="P176" s="2">
        <v>-3.0849501897356399E-2</v>
      </c>
      <c r="Q176" s="2">
        <v>4.1100255012040503E-2</v>
      </c>
      <c r="R176" s="2"/>
      <c r="S176" s="2"/>
      <c r="T176" s="2"/>
      <c r="U176" s="2"/>
      <c r="V176" s="2"/>
      <c r="W176" s="2"/>
      <c r="X176" s="2"/>
      <c r="Y176" s="2">
        <v>7.1991750350340296E-4</v>
      </c>
      <c r="Z176" s="2">
        <v>7.1991763211503895E-4</v>
      </c>
      <c r="AA176" s="2">
        <v>4.5227920091704598E-3</v>
      </c>
      <c r="AB176" s="2"/>
      <c r="AC176" s="2"/>
      <c r="AD176" s="2"/>
      <c r="AE176" s="2"/>
      <c r="AF176" s="2"/>
      <c r="AG176" s="2"/>
      <c r="AH176" s="2" t="s">
        <v>428</v>
      </c>
      <c r="AI176" s="2"/>
      <c r="AJ176" s="2" t="s">
        <v>847</v>
      </c>
      <c r="AK176" s="2" t="s">
        <v>855</v>
      </c>
    </row>
    <row r="177" spans="1:37" x14ac:dyDescent="0.3">
      <c r="A177" s="2" t="s">
        <v>780</v>
      </c>
      <c r="B177" s="2" t="s">
        <v>846</v>
      </c>
      <c r="C177" s="2" t="s">
        <v>825</v>
      </c>
      <c r="D177" s="2" t="s">
        <v>305</v>
      </c>
      <c r="E177" s="2" t="s">
        <v>426</v>
      </c>
      <c r="F177" s="2" t="s">
        <v>427</v>
      </c>
      <c r="G177" s="2">
        <v>0.6</v>
      </c>
      <c r="H177" s="2">
        <v>1324</v>
      </c>
      <c r="I177" s="2">
        <v>57</v>
      </c>
      <c r="J177" s="2">
        <v>57</v>
      </c>
      <c r="K177" s="2">
        <v>1.7440879997592099E-2</v>
      </c>
      <c r="L177" s="2">
        <v>8.1952973082466494E-3</v>
      </c>
      <c r="M177" s="2">
        <v>2.12815708101791</v>
      </c>
      <c r="N177" s="2">
        <v>8.57671418247266</v>
      </c>
      <c r="O177" s="2">
        <v>6.3695215510929201E-2</v>
      </c>
      <c r="P177" s="2">
        <v>-1.23858424288829E-3</v>
      </c>
      <c r="Q177" s="2">
        <v>3.6120344238072498E-2</v>
      </c>
      <c r="R177" s="2"/>
      <c r="S177" s="2"/>
      <c r="T177" s="2"/>
      <c r="U177" s="2"/>
      <c r="V177" s="2"/>
      <c r="W177" s="2"/>
      <c r="X177" s="2"/>
      <c r="Y177" s="2">
        <v>7.1991750350340296E-4</v>
      </c>
      <c r="Z177" s="2">
        <v>7.1991763211503895E-4</v>
      </c>
      <c r="AA177" s="2">
        <v>4.5227920091704598E-3</v>
      </c>
      <c r="AB177" s="2"/>
      <c r="AC177" s="2"/>
      <c r="AD177" s="2"/>
      <c r="AE177" s="2"/>
      <c r="AF177" s="2"/>
      <c r="AG177" s="2"/>
      <c r="AH177" s="2" t="s">
        <v>428</v>
      </c>
      <c r="AI177" s="2"/>
      <c r="AJ177" s="2" t="s">
        <v>847</v>
      </c>
      <c r="AK177" s="2" t="s">
        <v>856</v>
      </c>
    </row>
    <row r="178" spans="1:37" x14ac:dyDescent="0.3">
      <c r="A178" s="2" t="s">
        <v>780</v>
      </c>
      <c r="B178" s="2" t="s">
        <v>846</v>
      </c>
      <c r="C178" s="2" t="s">
        <v>825</v>
      </c>
      <c r="D178" s="2" t="s">
        <v>306</v>
      </c>
      <c r="E178" s="2" t="s">
        <v>426</v>
      </c>
      <c r="F178" s="2" t="s">
        <v>427</v>
      </c>
      <c r="G178" s="2">
        <v>0.6</v>
      </c>
      <c r="H178" s="2">
        <v>1324</v>
      </c>
      <c r="I178" s="2">
        <v>57</v>
      </c>
      <c r="J178" s="2">
        <v>57</v>
      </c>
      <c r="K178" s="2">
        <v>-3.0315513740452198E-2</v>
      </c>
      <c r="L178" s="2">
        <v>3.3303097283986602E-2</v>
      </c>
      <c r="M178" s="2"/>
      <c r="N178" s="2">
        <v>2.57114438623399</v>
      </c>
      <c r="O178" s="2"/>
      <c r="P178" s="2">
        <v>-0.147038579184813</v>
      </c>
      <c r="Q178" s="2">
        <v>8.6407551703908195E-2</v>
      </c>
      <c r="R178" s="2"/>
      <c r="S178" s="2"/>
      <c r="T178" s="2"/>
      <c r="U178" s="2"/>
      <c r="V178" s="2"/>
      <c r="W178" s="2"/>
      <c r="X178" s="2"/>
      <c r="Y178" s="2">
        <v>7.1991750350340296E-4</v>
      </c>
      <c r="Z178" s="2">
        <v>7.1991763211503895E-4</v>
      </c>
      <c r="AA178" s="2">
        <v>4.5227920091704598E-3</v>
      </c>
      <c r="AB178" s="2"/>
      <c r="AC178" s="2"/>
      <c r="AD178" s="2"/>
      <c r="AE178" s="2"/>
      <c r="AF178" s="2"/>
      <c r="AG178" s="2"/>
      <c r="AH178" s="2" t="s">
        <v>428</v>
      </c>
      <c r="AI178" s="2"/>
      <c r="AJ178" s="2" t="s">
        <v>853</v>
      </c>
      <c r="AK178" s="2" t="s">
        <v>857</v>
      </c>
    </row>
    <row r="179" spans="1:37" x14ac:dyDescent="0.3">
      <c r="A179" s="2" t="s">
        <v>780</v>
      </c>
      <c r="B179" s="2" t="s">
        <v>846</v>
      </c>
      <c r="C179" s="2" t="s">
        <v>825</v>
      </c>
      <c r="D179" s="2" t="s">
        <v>307</v>
      </c>
      <c r="E179" s="2" t="s">
        <v>426</v>
      </c>
      <c r="F179" s="2" t="s">
        <v>427</v>
      </c>
      <c r="G179" s="2">
        <v>0.6</v>
      </c>
      <c r="H179" s="2">
        <v>1324</v>
      </c>
      <c r="I179" s="2">
        <v>57</v>
      </c>
      <c r="J179" s="2">
        <v>57</v>
      </c>
      <c r="K179" s="2">
        <v>-5.4198690675380801E-2</v>
      </c>
      <c r="L179" s="2">
        <v>1.8905089849788399E-2</v>
      </c>
      <c r="M179" s="2"/>
      <c r="N179" s="2">
        <v>1.30578772507258</v>
      </c>
      <c r="O179" s="2"/>
      <c r="P179" s="2">
        <v>-0.19494007012317399</v>
      </c>
      <c r="Q179" s="2">
        <v>8.6542688772412196E-2</v>
      </c>
      <c r="R179" s="2"/>
      <c r="S179" s="2"/>
      <c r="T179" s="2"/>
      <c r="U179" s="2"/>
      <c r="V179" s="2"/>
      <c r="W179" s="2"/>
      <c r="X179" s="2"/>
      <c r="Y179" s="2">
        <v>7.1991750350340296E-4</v>
      </c>
      <c r="Z179" s="2">
        <v>7.1991763211503895E-4</v>
      </c>
      <c r="AA179" s="2">
        <v>4.5227920091704598E-3</v>
      </c>
      <c r="AB179" s="2"/>
      <c r="AC179" s="2"/>
      <c r="AD179" s="2"/>
      <c r="AE179" s="2"/>
      <c r="AF179" s="2"/>
      <c r="AG179" s="2"/>
      <c r="AH179" s="2" t="s">
        <v>428</v>
      </c>
      <c r="AI179" s="2"/>
      <c r="AJ179" s="2" t="s">
        <v>853</v>
      </c>
      <c r="AK179" s="2" t="s">
        <v>858</v>
      </c>
    </row>
    <row r="180" spans="1:37" x14ac:dyDescent="0.3">
      <c r="A180" s="2" t="s">
        <v>780</v>
      </c>
      <c r="B180" s="2" t="s">
        <v>846</v>
      </c>
      <c r="C180" s="2" t="s">
        <v>825</v>
      </c>
      <c r="D180" s="2" t="s">
        <v>323</v>
      </c>
      <c r="E180" s="2" t="s">
        <v>426</v>
      </c>
      <c r="F180" s="2" t="s">
        <v>427</v>
      </c>
      <c r="G180" s="2">
        <v>0.6</v>
      </c>
      <c r="H180" s="2">
        <v>1324</v>
      </c>
      <c r="I180" s="2">
        <v>57</v>
      </c>
      <c r="J180" s="2">
        <v>57</v>
      </c>
      <c r="K180" s="2">
        <v>-7.4197353119609996E-2</v>
      </c>
      <c r="L180" s="2">
        <v>3.3748280204351201E-2</v>
      </c>
      <c r="M180" s="2">
        <v>-2.1985521238514401</v>
      </c>
      <c r="N180" s="2">
        <v>10.218931040907</v>
      </c>
      <c r="O180" s="2">
        <v>5.2012848623434402E-2</v>
      </c>
      <c r="P180" s="2">
        <v>-0.149175409650636</v>
      </c>
      <c r="Q180" s="2">
        <v>7.8070341141644995E-4</v>
      </c>
      <c r="R180" s="2"/>
      <c r="S180" s="2"/>
      <c r="T180" s="2"/>
      <c r="U180" s="2"/>
      <c r="V180" s="2"/>
      <c r="W180" s="2"/>
      <c r="X180" s="2"/>
      <c r="Y180" s="2">
        <v>7.1991750350340296E-4</v>
      </c>
      <c r="Z180" s="2">
        <v>7.1991763211503895E-4</v>
      </c>
      <c r="AA180" s="2">
        <v>4.5227920091704598E-3</v>
      </c>
      <c r="AB180" s="2"/>
      <c r="AC180" s="2"/>
      <c r="AD180" s="2"/>
      <c r="AE180" s="2"/>
      <c r="AF180" s="2"/>
      <c r="AG180" s="2"/>
      <c r="AH180" s="2" t="s">
        <v>428</v>
      </c>
      <c r="AI180" s="2"/>
      <c r="AJ180" s="2" t="s">
        <v>847</v>
      </c>
      <c r="AK180" s="2" t="s">
        <v>859</v>
      </c>
    </row>
    <row r="181" spans="1:37" x14ac:dyDescent="0.3">
      <c r="A181" s="2" t="s">
        <v>780</v>
      </c>
      <c r="B181" s="2" t="s">
        <v>846</v>
      </c>
      <c r="C181" s="2" t="s">
        <v>825</v>
      </c>
      <c r="D181" s="2" t="s">
        <v>324</v>
      </c>
      <c r="E181" s="2" t="s">
        <v>426</v>
      </c>
      <c r="F181" s="2" t="s">
        <v>427</v>
      </c>
      <c r="G181" s="2">
        <v>0.6</v>
      </c>
      <c r="H181" s="2">
        <v>1324</v>
      </c>
      <c r="I181" s="2">
        <v>57</v>
      </c>
      <c r="J181" s="2">
        <v>57</v>
      </c>
      <c r="K181" s="2">
        <v>3.3786560875433198E-2</v>
      </c>
      <c r="L181" s="2">
        <v>0.10013923572184399</v>
      </c>
      <c r="M181" s="2"/>
      <c r="N181" s="2">
        <v>3.8990756652947498</v>
      </c>
      <c r="O181" s="2"/>
      <c r="P181" s="2">
        <v>-0.24710585574485</v>
      </c>
      <c r="Q181" s="2">
        <v>0.31467897749571599</v>
      </c>
      <c r="R181" s="2"/>
      <c r="S181" s="2"/>
      <c r="T181" s="2"/>
      <c r="U181" s="2"/>
      <c r="V181" s="2"/>
      <c r="W181" s="2"/>
      <c r="X181" s="2"/>
      <c r="Y181" s="2">
        <v>7.1991750350340296E-4</v>
      </c>
      <c r="Z181" s="2">
        <v>7.1991763211503895E-4</v>
      </c>
      <c r="AA181" s="2">
        <v>4.5227920091704598E-3</v>
      </c>
      <c r="AB181" s="2"/>
      <c r="AC181" s="2"/>
      <c r="AD181" s="2"/>
      <c r="AE181" s="2"/>
      <c r="AF181" s="2"/>
      <c r="AG181" s="2"/>
      <c r="AH181" s="2" t="s">
        <v>428</v>
      </c>
      <c r="AI181" s="2"/>
      <c r="AJ181" s="2" t="s">
        <v>853</v>
      </c>
      <c r="AK181" s="2" t="s">
        <v>860</v>
      </c>
    </row>
    <row r="182" spans="1:37" x14ac:dyDescent="0.3">
      <c r="A182" s="2" t="s">
        <v>780</v>
      </c>
      <c r="B182" s="2" t="s">
        <v>846</v>
      </c>
      <c r="C182" s="2" t="s">
        <v>825</v>
      </c>
      <c r="D182" s="2" t="s">
        <v>325</v>
      </c>
      <c r="E182" s="2" t="s">
        <v>426</v>
      </c>
      <c r="F182" s="2" t="s">
        <v>427</v>
      </c>
      <c r="G182" s="2">
        <v>0.6</v>
      </c>
      <c r="H182" s="2">
        <v>1324</v>
      </c>
      <c r="I182" s="2">
        <v>57</v>
      </c>
      <c r="J182" s="2">
        <v>57</v>
      </c>
      <c r="K182" s="2">
        <v>6.9597420875559798E-2</v>
      </c>
      <c r="L182" s="2">
        <v>9.4740170443034205E-2</v>
      </c>
      <c r="M182" s="2"/>
      <c r="N182" s="2">
        <v>2.0181147898084202</v>
      </c>
      <c r="O182" s="2"/>
      <c r="P182" s="2">
        <v>-0.33455027859778602</v>
      </c>
      <c r="Q182" s="2">
        <v>0.47374512034890598</v>
      </c>
      <c r="R182" s="2"/>
      <c r="S182" s="2"/>
      <c r="T182" s="2"/>
      <c r="U182" s="2"/>
      <c r="V182" s="2"/>
      <c r="W182" s="2"/>
      <c r="X182" s="2"/>
      <c r="Y182" s="2">
        <v>7.1991750350340296E-4</v>
      </c>
      <c r="Z182" s="2">
        <v>7.1991763211503895E-4</v>
      </c>
      <c r="AA182" s="2">
        <v>4.5227920091704598E-3</v>
      </c>
      <c r="AB182" s="2"/>
      <c r="AC182" s="2"/>
      <c r="AD182" s="2"/>
      <c r="AE182" s="2"/>
      <c r="AF182" s="2"/>
      <c r="AG182" s="2"/>
      <c r="AH182" s="2" t="s">
        <v>428</v>
      </c>
      <c r="AI182" s="2"/>
      <c r="AJ182" s="2" t="s">
        <v>853</v>
      </c>
      <c r="AK182" s="2" t="s">
        <v>861</v>
      </c>
    </row>
    <row r="183" spans="1:37" x14ac:dyDescent="0.3">
      <c r="A183" s="2" t="s">
        <v>780</v>
      </c>
      <c r="B183" s="2" t="s">
        <v>846</v>
      </c>
      <c r="C183" s="2" t="s">
        <v>825</v>
      </c>
      <c r="D183" s="2" t="s">
        <v>326</v>
      </c>
      <c r="E183" s="2" t="s">
        <v>426</v>
      </c>
      <c r="F183" s="2" t="s">
        <v>503</v>
      </c>
      <c r="G183" s="2">
        <v>0.6</v>
      </c>
      <c r="H183" s="2">
        <v>1324</v>
      </c>
      <c r="I183" s="2">
        <v>57</v>
      </c>
      <c r="J183" s="2">
        <v>57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 t="s">
        <v>428</v>
      </c>
      <c r="AI183" s="2"/>
      <c r="AJ183" s="2" t="s">
        <v>862</v>
      </c>
      <c r="AK183" s="2" t="s">
        <v>863</v>
      </c>
    </row>
    <row r="184" spans="1:37" x14ac:dyDescent="0.3">
      <c r="A184" s="2" t="s">
        <v>780</v>
      </c>
      <c r="B184" s="2" t="s">
        <v>846</v>
      </c>
      <c r="C184" s="2" t="s">
        <v>825</v>
      </c>
      <c r="D184" s="2" t="s">
        <v>317</v>
      </c>
      <c r="E184" s="2" t="s">
        <v>437</v>
      </c>
      <c r="F184" s="2" t="s">
        <v>503</v>
      </c>
      <c r="G184" s="2">
        <v>0.6</v>
      </c>
      <c r="H184" s="2">
        <v>1324</v>
      </c>
      <c r="I184" s="2">
        <v>57</v>
      </c>
      <c r="J184" s="2">
        <v>57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 t="s">
        <v>428</v>
      </c>
      <c r="AI184" s="2"/>
      <c r="AJ184" s="2" t="s">
        <v>819</v>
      </c>
      <c r="AK184" s="2" t="s">
        <v>864</v>
      </c>
    </row>
    <row r="185" spans="1:37" x14ac:dyDescent="0.3">
      <c r="A185" s="2" t="s">
        <v>780</v>
      </c>
      <c r="B185" s="2" t="s">
        <v>846</v>
      </c>
      <c r="C185" s="2" t="s">
        <v>825</v>
      </c>
      <c r="D185" s="2" t="s">
        <v>311</v>
      </c>
      <c r="E185" s="2" t="s">
        <v>426</v>
      </c>
      <c r="F185" s="2" t="s">
        <v>503</v>
      </c>
      <c r="G185" s="2">
        <v>0.6</v>
      </c>
      <c r="H185" s="2">
        <v>1324</v>
      </c>
      <c r="I185" s="2">
        <v>57</v>
      </c>
      <c r="J185" s="2">
        <v>57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 t="s">
        <v>428</v>
      </c>
      <c r="AI185" s="2"/>
      <c r="AJ185" s="2" t="s">
        <v>862</v>
      </c>
      <c r="AK185" s="2" t="s">
        <v>865</v>
      </c>
    </row>
    <row r="186" spans="1:37" x14ac:dyDescent="0.3">
      <c r="A186" s="2" t="s">
        <v>780</v>
      </c>
      <c r="B186" s="2" t="s">
        <v>846</v>
      </c>
      <c r="C186" s="2" t="s">
        <v>825</v>
      </c>
      <c r="D186" s="2" t="s">
        <v>312</v>
      </c>
      <c r="E186" s="2" t="s">
        <v>426</v>
      </c>
      <c r="F186" s="2" t="s">
        <v>503</v>
      </c>
      <c r="G186" s="2">
        <v>0.6</v>
      </c>
      <c r="H186" s="2">
        <v>1324</v>
      </c>
      <c r="I186" s="2">
        <v>57</v>
      </c>
      <c r="J186" s="2">
        <v>57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 t="s">
        <v>428</v>
      </c>
      <c r="AI186" s="2"/>
      <c r="AJ186" s="2" t="s">
        <v>862</v>
      </c>
      <c r="AK186" s="2" t="s">
        <v>866</v>
      </c>
    </row>
    <row r="187" spans="1:37" x14ac:dyDescent="0.3">
      <c r="A187" s="2" t="s">
        <v>780</v>
      </c>
      <c r="B187" s="2" t="s">
        <v>846</v>
      </c>
      <c r="C187" s="2" t="s">
        <v>825</v>
      </c>
      <c r="D187" s="2" t="s">
        <v>313</v>
      </c>
      <c r="E187" s="2" t="s">
        <v>426</v>
      </c>
      <c r="F187" s="2" t="s">
        <v>503</v>
      </c>
      <c r="G187" s="2">
        <v>0.6</v>
      </c>
      <c r="H187" s="2">
        <v>1324</v>
      </c>
      <c r="I187" s="2">
        <v>57</v>
      </c>
      <c r="J187" s="2">
        <v>57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 t="s">
        <v>428</v>
      </c>
      <c r="AI187" s="2"/>
      <c r="AJ187" s="2" t="s">
        <v>862</v>
      </c>
      <c r="AK187" s="2" t="s">
        <v>867</v>
      </c>
    </row>
    <row r="188" spans="1:37" x14ac:dyDescent="0.3">
      <c r="A188" s="2" t="s">
        <v>780</v>
      </c>
      <c r="B188" s="2" t="s">
        <v>846</v>
      </c>
      <c r="C188" s="2" t="s">
        <v>825</v>
      </c>
      <c r="D188" s="2" t="s">
        <v>318</v>
      </c>
      <c r="E188" s="2" t="s">
        <v>437</v>
      </c>
      <c r="F188" s="2" t="s">
        <v>503</v>
      </c>
      <c r="G188" s="2">
        <v>0.6</v>
      </c>
      <c r="H188" s="2">
        <v>1324</v>
      </c>
      <c r="I188" s="2">
        <v>57</v>
      </c>
      <c r="J188" s="2">
        <v>57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 t="s">
        <v>428</v>
      </c>
      <c r="AI188" s="2"/>
      <c r="AJ188" s="2" t="s">
        <v>819</v>
      </c>
      <c r="AK188" s="2" t="s">
        <v>868</v>
      </c>
    </row>
    <row r="189" spans="1:37" x14ac:dyDescent="0.3">
      <c r="A189" s="2" t="s">
        <v>780</v>
      </c>
      <c r="B189" s="2" t="s">
        <v>846</v>
      </c>
      <c r="C189" s="2" t="s">
        <v>825</v>
      </c>
      <c r="D189" s="2" t="s">
        <v>327</v>
      </c>
      <c r="E189" s="2" t="s">
        <v>426</v>
      </c>
      <c r="F189" s="2" t="s">
        <v>503</v>
      </c>
      <c r="G189" s="2">
        <v>0.6</v>
      </c>
      <c r="H189" s="2">
        <v>1324</v>
      </c>
      <c r="I189" s="2">
        <v>57</v>
      </c>
      <c r="J189" s="2">
        <v>57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 t="s">
        <v>428</v>
      </c>
      <c r="AI189" s="2"/>
      <c r="AJ189" s="2" t="s">
        <v>862</v>
      </c>
      <c r="AK189" s="2" t="s">
        <v>869</v>
      </c>
    </row>
    <row r="190" spans="1:37" x14ac:dyDescent="0.3">
      <c r="A190" s="2" t="s">
        <v>780</v>
      </c>
      <c r="B190" s="2" t="s">
        <v>846</v>
      </c>
      <c r="C190" s="2" t="s">
        <v>825</v>
      </c>
      <c r="D190" s="2" t="s">
        <v>333</v>
      </c>
      <c r="E190" s="2" t="s">
        <v>437</v>
      </c>
      <c r="F190" s="2" t="s">
        <v>503</v>
      </c>
      <c r="G190" s="2">
        <v>0.6</v>
      </c>
      <c r="H190" s="2">
        <v>1324</v>
      </c>
      <c r="I190" s="2">
        <v>57</v>
      </c>
      <c r="J190" s="2">
        <v>57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 t="s">
        <v>428</v>
      </c>
      <c r="AI190" s="2"/>
      <c r="AJ190" s="2" t="s">
        <v>819</v>
      </c>
      <c r="AK190" s="2" t="s">
        <v>870</v>
      </c>
    </row>
    <row r="191" spans="1:37" x14ac:dyDescent="0.3">
      <c r="A191" s="2" t="s">
        <v>780</v>
      </c>
      <c r="B191" s="2" t="s">
        <v>846</v>
      </c>
      <c r="C191" s="2" t="s">
        <v>825</v>
      </c>
      <c r="D191" s="2" t="s">
        <v>314</v>
      </c>
      <c r="E191" s="2" t="s">
        <v>426</v>
      </c>
      <c r="F191" s="2" t="s">
        <v>503</v>
      </c>
      <c r="G191" s="2">
        <v>0.6</v>
      </c>
      <c r="H191" s="2">
        <v>1324</v>
      </c>
      <c r="I191" s="2">
        <v>57</v>
      </c>
      <c r="J191" s="2">
        <v>57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 t="s">
        <v>428</v>
      </c>
      <c r="AI191" s="2"/>
      <c r="AJ191" s="2" t="s">
        <v>862</v>
      </c>
      <c r="AK191" s="2" t="s">
        <v>871</v>
      </c>
    </row>
    <row r="192" spans="1:37" x14ac:dyDescent="0.3">
      <c r="A192" s="2" t="s">
        <v>780</v>
      </c>
      <c r="B192" s="2" t="s">
        <v>846</v>
      </c>
      <c r="C192" s="2" t="s">
        <v>825</v>
      </c>
      <c r="D192" s="2" t="s">
        <v>319</v>
      </c>
      <c r="E192" s="2" t="s">
        <v>437</v>
      </c>
      <c r="F192" s="2" t="s">
        <v>503</v>
      </c>
      <c r="G192" s="2">
        <v>0.6</v>
      </c>
      <c r="H192" s="2">
        <v>1324</v>
      </c>
      <c r="I192" s="2">
        <v>57</v>
      </c>
      <c r="J192" s="2">
        <v>57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 t="s">
        <v>428</v>
      </c>
      <c r="AI192" s="2"/>
      <c r="AJ192" s="2" t="s">
        <v>819</v>
      </c>
      <c r="AK192" s="2" t="s">
        <v>872</v>
      </c>
    </row>
    <row r="193" spans="1:37" x14ac:dyDescent="0.3">
      <c r="A193" s="2" t="s">
        <v>780</v>
      </c>
      <c r="B193" s="2" t="s">
        <v>846</v>
      </c>
      <c r="C193" s="2" t="s">
        <v>825</v>
      </c>
      <c r="D193" s="2" t="s">
        <v>328</v>
      </c>
      <c r="E193" s="2" t="s">
        <v>426</v>
      </c>
      <c r="F193" s="2" t="s">
        <v>503</v>
      </c>
      <c r="G193" s="2">
        <v>0.6</v>
      </c>
      <c r="H193" s="2">
        <v>1324</v>
      </c>
      <c r="I193" s="2">
        <v>57</v>
      </c>
      <c r="J193" s="2">
        <v>57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 t="s">
        <v>428</v>
      </c>
      <c r="AI193" s="2"/>
      <c r="AJ193" s="2" t="s">
        <v>873</v>
      </c>
      <c r="AK193" s="2" t="s">
        <v>874</v>
      </c>
    </row>
    <row r="194" spans="1:37" x14ac:dyDescent="0.3">
      <c r="A194" s="2" t="s">
        <v>780</v>
      </c>
      <c r="B194" s="2" t="s">
        <v>846</v>
      </c>
      <c r="C194" s="2" t="s">
        <v>825</v>
      </c>
      <c r="D194" s="2" t="s">
        <v>329</v>
      </c>
      <c r="E194" s="2" t="s">
        <v>426</v>
      </c>
      <c r="F194" s="2" t="s">
        <v>503</v>
      </c>
      <c r="G194" s="2">
        <v>0.6</v>
      </c>
      <c r="H194" s="2">
        <v>1324</v>
      </c>
      <c r="I194" s="2">
        <v>57</v>
      </c>
      <c r="J194" s="2">
        <v>57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 t="s">
        <v>428</v>
      </c>
      <c r="AI194" s="2"/>
      <c r="AJ194" s="2" t="s">
        <v>873</v>
      </c>
      <c r="AK194" s="2" t="s">
        <v>875</v>
      </c>
    </row>
    <row r="195" spans="1:37" x14ac:dyDescent="0.3">
      <c r="A195" s="2" t="s">
        <v>780</v>
      </c>
      <c r="B195" s="2" t="s">
        <v>846</v>
      </c>
      <c r="C195" s="2" t="s">
        <v>825</v>
      </c>
      <c r="D195" s="2" t="s">
        <v>320</v>
      </c>
      <c r="E195" s="2" t="s">
        <v>437</v>
      </c>
      <c r="F195" s="2" t="s">
        <v>503</v>
      </c>
      <c r="G195" s="2">
        <v>0.6</v>
      </c>
      <c r="H195" s="2">
        <v>1324</v>
      </c>
      <c r="I195" s="2">
        <v>57</v>
      </c>
      <c r="J195" s="2">
        <v>57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 t="s">
        <v>428</v>
      </c>
      <c r="AI195" s="2"/>
      <c r="AJ195" s="2" t="s">
        <v>876</v>
      </c>
      <c r="AK195" s="2" t="s">
        <v>877</v>
      </c>
    </row>
    <row r="196" spans="1:37" x14ac:dyDescent="0.3">
      <c r="A196" s="2" t="s">
        <v>780</v>
      </c>
      <c r="B196" s="2" t="s">
        <v>846</v>
      </c>
      <c r="C196" s="2" t="s">
        <v>825</v>
      </c>
      <c r="D196" s="2" t="s">
        <v>330</v>
      </c>
      <c r="E196" s="2" t="s">
        <v>426</v>
      </c>
      <c r="F196" s="2" t="s">
        <v>503</v>
      </c>
      <c r="G196" s="2">
        <v>0.6</v>
      </c>
      <c r="H196" s="2">
        <v>1324</v>
      </c>
      <c r="I196" s="2">
        <v>57</v>
      </c>
      <c r="J196" s="2">
        <v>57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 t="s">
        <v>428</v>
      </c>
      <c r="AI196" s="2"/>
      <c r="AJ196" s="2" t="s">
        <v>873</v>
      </c>
      <c r="AK196" s="2" t="s">
        <v>878</v>
      </c>
    </row>
    <row r="197" spans="1:37" x14ac:dyDescent="0.3">
      <c r="A197" s="2" t="s">
        <v>780</v>
      </c>
      <c r="B197" s="2" t="s">
        <v>846</v>
      </c>
      <c r="C197" s="2" t="s">
        <v>825</v>
      </c>
      <c r="D197" s="2" t="s">
        <v>334</v>
      </c>
      <c r="E197" s="2" t="s">
        <v>437</v>
      </c>
      <c r="F197" s="2" t="s">
        <v>503</v>
      </c>
      <c r="G197" s="2">
        <v>0.6</v>
      </c>
      <c r="H197" s="2">
        <v>1324</v>
      </c>
      <c r="I197" s="2">
        <v>57</v>
      </c>
      <c r="J197" s="2">
        <v>57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 t="s">
        <v>428</v>
      </c>
      <c r="AI197" s="2"/>
      <c r="AJ197" s="2" t="s">
        <v>876</v>
      </c>
      <c r="AK197" s="2" t="s">
        <v>879</v>
      </c>
    </row>
    <row r="198" spans="1:37" x14ac:dyDescent="0.3">
      <c r="A198" s="2" t="s">
        <v>780</v>
      </c>
      <c r="B198" s="2" t="s">
        <v>846</v>
      </c>
      <c r="C198" s="2" t="s">
        <v>825</v>
      </c>
      <c r="D198" s="2" t="s">
        <v>331</v>
      </c>
      <c r="E198" s="2" t="s">
        <v>426</v>
      </c>
      <c r="F198" s="2" t="s">
        <v>503</v>
      </c>
      <c r="G198" s="2">
        <v>0.6</v>
      </c>
      <c r="H198" s="2">
        <v>1324</v>
      </c>
      <c r="I198" s="2">
        <v>57</v>
      </c>
      <c r="J198" s="2">
        <v>57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 t="s">
        <v>428</v>
      </c>
      <c r="AI198" s="2"/>
      <c r="AJ198" s="2" t="s">
        <v>873</v>
      </c>
      <c r="AK198" s="2" t="s">
        <v>880</v>
      </c>
    </row>
    <row r="199" spans="1:37" x14ac:dyDescent="0.3">
      <c r="A199" s="2" t="s">
        <v>780</v>
      </c>
      <c r="B199" s="2" t="s">
        <v>846</v>
      </c>
      <c r="C199" s="2" t="s">
        <v>825</v>
      </c>
      <c r="D199" s="2" t="s">
        <v>335</v>
      </c>
      <c r="E199" s="2" t="s">
        <v>437</v>
      </c>
      <c r="F199" s="2" t="s">
        <v>503</v>
      </c>
      <c r="G199" s="2">
        <v>0.6</v>
      </c>
      <c r="H199" s="2">
        <v>1324</v>
      </c>
      <c r="I199" s="2">
        <v>57</v>
      </c>
      <c r="J199" s="2">
        <v>57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 t="s">
        <v>428</v>
      </c>
      <c r="AI199" s="2"/>
      <c r="AJ199" s="2" t="s">
        <v>876</v>
      </c>
      <c r="AK199" s="2" t="s">
        <v>881</v>
      </c>
    </row>
    <row r="200" spans="1:37" x14ac:dyDescent="0.3">
      <c r="A200" s="2" t="s">
        <v>780</v>
      </c>
      <c r="B200" s="2" t="s">
        <v>846</v>
      </c>
      <c r="C200" s="2" t="s">
        <v>825</v>
      </c>
      <c r="D200" s="2" t="s">
        <v>332</v>
      </c>
      <c r="E200" s="2" t="s">
        <v>426</v>
      </c>
      <c r="F200" s="2" t="s">
        <v>503</v>
      </c>
      <c r="G200" s="2">
        <v>0.6</v>
      </c>
      <c r="H200" s="2">
        <v>1324</v>
      </c>
      <c r="I200" s="2">
        <v>57</v>
      </c>
      <c r="J200" s="2">
        <v>57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 t="s">
        <v>428</v>
      </c>
      <c r="AI200" s="2"/>
      <c r="AJ200" s="2" t="s">
        <v>873</v>
      </c>
      <c r="AK200" s="2" t="s">
        <v>882</v>
      </c>
    </row>
    <row r="201" spans="1:37" x14ac:dyDescent="0.3">
      <c r="A201" s="2" t="s">
        <v>780</v>
      </c>
      <c r="B201" s="2" t="s">
        <v>846</v>
      </c>
      <c r="C201" s="2" t="s">
        <v>825</v>
      </c>
      <c r="D201" s="2" t="s">
        <v>336</v>
      </c>
      <c r="E201" s="2" t="s">
        <v>437</v>
      </c>
      <c r="F201" s="2" t="s">
        <v>503</v>
      </c>
      <c r="G201" s="2">
        <v>0.6</v>
      </c>
      <c r="H201" s="2">
        <v>1324</v>
      </c>
      <c r="I201" s="2">
        <v>57</v>
      </c>
      <c r="J201" s="2">
        <v>57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 t="s">
        <v>428</v>
      </c>
      <c r="AI201" s="2"/>
      <c r="AJ201" s="2" t="s">
        <v>876</v>
      </c>
      <c r="AK201" s="2" t="s">
        <v>883</v>
      </c>
    </row>
  </sheetData>
  <autoFilter ref="A1:AK20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5"/>
  <sheetViews>
    <sheetView workbookViewId="0"/>
  </sheetViews>
  <sheetFormatPr baseColWidth="10" defaultColWidth="8.88671875" defaultRowHeight="14.4" x14ac:dyDescent="0.3"/>
  <cols>
    <col min="1" max="1" width="30" customWidth="1"/>
    <col min="2" max="2" width="10" customWidth="1"/>
    <col min="3" max="3" width="34" customWidth="1"/>
    <col min="4" max="4" width="64" customWidth="1"/>
    <col min="5" max="5" width="40" customWidth="1"/>
  </cols>
  <sheetData>
    <row r="1" spans="1:5" x14ac:dyDescent="0.3">
      <c r="A1" s="3" t="s">
        <v>884</v>
      </c>
    </row>
    <row r="2" spans="1:5" x14ac:dyDescent="0.3">
      <c r="A2" s="4" t="s">
        <v>885</v>
      </c>
    </row>
    <row r="3" spans="1:5" x14ac:dyDescent="0.3">
      <c r="A3" s="4" t="s">
        <v>886</v>
      </c>
    </row>
    <row r="5" spans="1:5" x14ac:dyDescent="0.3">
      <c r="A5" s="1" t="s">
        <v>420</v>
      </c>
      <c r="B5" s="1" t="s">
        <v>887</v>
      </c>
      <c r="C5" s="1" t="s">
        <v>888</v>
      </c>
      <c r="D5" s="1" t="s">
        <v>889</v>
      </c>
      <c r="E5" s="1" t="s">
        <v>890</v>
      </c>
    </row>
    <row r="6" spans="1:5" x14ac:dyDescent="0.3">
      <c r="A6" s="4" t="str">
        <f>INDEX(Results_Long!$AI$2:$AI$201,MATCH("C1|paris_mid|defined_classified|interaction_HTZ",Results_Long!$AK$2:$AK$201,0))</f>
        <v>c1_paris_mid_interaction_htz</v>
      </c>
      <c r="B6" s="4" t="str">
        <f>INDEX(Results_Long!$A$2:$A$201,MATCH("C1|paris_mid|defined_classified|interaction_HTZ",Results_Long!$AK$2:$AK$201,0))</f>
        <v>C1</v>
      </c>
      <c r="C6" s="4" t="s">
        <v>891</v>
      </c>
      <c r="D6" s="5" t="str">
        <f>"F = "&amp;IF(ROUND(INDEX(Results_Long!$M$2:$M$201,MATCH("C1|paris_mid|defined_classified|interaction_HTZ",Results_Long!$AK$2:$AK$201,0)),2)&lt;0,"-","")&amp;INT(ABS(ROUND(INDEX(Results_Long!$M$2:$M$201,MATCH("C1|paris_mid|defined_classified|interaction_HTZ",Results_Long!$AK$2:$AK$201,0)),2)))&amp;"."&amp;REPT("0",2-LEN(ROUND((ABS(ROUND(INDEX(Results_Long!$M$2:$M$201,MATCH("C1|paris_mid|defined_classified|interaction_HTZ",Results_Long!$AK$2:$AK$201,0)),2))-INT(ABS(ROUND(INDEX(Results_Long!$M$2:$M$201,MATCH("C1|paris_mid|defined_classified|interaction_HTZ",Results_Long!$AK$2:$AK$201,0)),2))))*10^2,0)))&amp;ROUND((ABS(ROUND(INDEX(Results_Long!$M$2:$M$201,MATCH("C1|paris_mid|defined_classified|interaction_HTZ",Results_Long!$AK$2:$AK$201,0)),2))-INT(ABS(ROUND(INDEX(Results_Long!$M$2:$M$201,MATCH("C1|paris_mid|defined_classified|interaction_HTZ",Results_Long!$AK$2:$AK$201,0)),2))))*10^2,0)&amp;" (df = "&amp;IF(ROUND(INDEX(Results_Long!$N$2:$N$201,MATCH("C1|paris_mid|defined_classified|interaction_HTZ",Results_Long!$AK$2:$AK$201,0)),1)&lt;0,"-","")&amp;INT(ABS(ROUND(INDEX(Results_Long!$N$2:$N$201,MATCH("C1|paris_mid|defined_classified|interaction_HTZ",Results_Long!$AK$2:$AK$201,0)),1)))&amp;"."&amp;REPT("0",1-LEN(ROUND((ABS(ROUND(INDEX(Results_Long!$N$2:$N$201,MATCH("C1|paris_mid|defined_classified|interaction_HTZ",Results_Long!$AK$2:$AK$201,0)),1))-INT(ABS(ROUND(INDEX(Results_Long!$N$2:$N$201,MATCH("C1|paris_mid|defined_classified|interaction_HTZ",Results_Long!$AK$2:$AK$201,0)),1))))*10^1,0)))&amp;ROUND((ABS(ROUND(INDEX(Results_Long!$N$2:$N$201,MATCH("C1|paris_mid|defined_classified|interaction_HTZ",Results_Long!$AK$2:$AK$201,0)),1))-INT(ABS(ROUND(INDEX(Results_Long!$N$2:$N$201,MATCH("C1|paris_mid|defined_classified|interaction_HTZ",Results_Long!$AK$2:$AK$201,0)),1))))*10^1,0)&amp;"), p "&amp;IF(INDEX(Results_Long!$O$2:$O$201,MATCH("C1|paris_mid|defined_classified|interaction_HTZ",Results_Long!$AK$2:$AK$201,0))&lt;0.0001,"&lt; 0.0001","= "&amp;IF(ROUND(INDEX(Results_Long!$O$2:$O$201,MATCH("C1|paris_mid|defined_classified|interaction_HTZ",Results_Long!$AK$2:$AK$201,0)),4)&lt;0,"-","")&amp;INT(ABS(ROUND(INDEX(Results_Long!$O$2:$O$201,MATCH("C1|paris_mid|defined_classified|interaction_HTZ",Results_Long!$AK$2:$AK$201,0)),4)))&amp;"."&amp;REPT("0",4-LEN(ROUND((ABS(ROUND(INDEX(Results_Long!$O$2:$O$201,MATCH("C1|paris_mid|defined_classified|interaction_HTZ",Results_Long!$AK$2:$AK$201,0)),4))-INT(ABS(ROUND(INDEX(Results_Long!$O$2:$O$201,MATCH("C1|paris_mid|defined_classified|interaction_HTZ",Results_Long!$AK$2:$AK$201,0)),4))))*10^4,0)))&amp;ROUND((ABS(ROUND(INDEX(Results_Long!$O$2:$O$201,MATCH("C1|paris_mid|defined_classified|interaction_HTZ",Results_Long!$AK$2:$AK$201,0)),4))-INT(ABS(ROUND(INDEX(Results_Long!$O$2:$O$201,MATCH("C1|paris_mid|defined_classified|interaction_HTZ",Results_Long!$AK$2:$AK$201,0)),4))))*10^4,0))</f>
        <v>F = 4.54 (df = 6.0), p = 0.0770</v>
      </c>
      <c r="E6" s="4" t="str">
        <f>INDEX(Results_Long!$H$2:$H$201,MATCH("C1|paris_mid|defined_classified|interaction_HTZ",Results_Long!$AK$2:$AK$201,0))&amp;" ES / "&amp;INDEX(Results_Long!$I$2:$I$201,MATCH("C1|paris_mid|defined_classified|interaction_HTZ",Results_Long!$AK$2:$AK$201,0))&amp;" studies / "&amp;INDEX(Results_Long!$J$2:$J$201,MATCH("C1|paris_mid|defined_classified|interaction_HTZ",Results_Long!$AK$2:$AK$201,0))&amp;" clusters"</f>
        <v>2705 ES / 113 studies / 112 clusters</v>
      </c>
    </row>
    <row r="7" spans="1:5" x14ac:dyDescent="0.3">
      <c r="A7" s="4" t="str">
        <f>INDEX(Results_Long!$AI$2:$AI$201,MATCH("C2|paris_mid|defined_classified|interaction_HTZ",Results_Long!$AK$2:$AK$201,0))</f>
        <v>c2_paris_mid_interaction_htz</v>
      </c>
      <c r="B7" s="4" t="str">
        <f>INDEX(Results_Long!$A$2:$A$201,MATCH("C2|paris_mid|defined_classified|interaction_HTZ",Results_Long!$AK$2:$AK$201,0))</f>
        <v>C2</v>
      </c>
      <c r="C7" s="4" t="s">
        <v>891</v>
      </c>
      <c r="D7" s="5" t="str">
        <f>"F = "&amp;IF(ROUND(INDEX(Results_Long!$M$2:$M$201,MATCH("C2|paris_mid|defined_classified|interaction_HTZ",Results_Long!$AK$2:$AK$201,0)),2)&lt;0,"-","")&amp;INT(ABS(ROUND(INDEX(Results_Long!$M$2:$M$201,MATCH("C2|paris_mid|defined_classified|interaction_HTZ",Results_Long!$AK$2:$AK$201,0)),2)))&amp;"."&amp;REPT("0",2-LEN(ROUND((ABS(ROUND(INDEX(Results_Long!$M$2:$M$201,MATCH("C2|paris_mid|defined_classified|interaction_HTZ",Results_Long!$AK$2:$AK$201,0)),2))-INT(ABS(ROUND(INDEX(Results_Long!$M$2:$M$201,MATCH("C2|paris_mid|defined_classified|interaction_HTZ",Results_Long!$AK$2:$AK$201,0)),2))))*10^2,0)))&amp;ROUND((ABS(ROUND(INDEX(Results_Long!$M$2:$M$201,MATCH("C2|paris_mid|defined_classified|interaction_HTZ",Results_Long!$AK$2:$AK$201,0)),2))-INT(ABS(ROUND(INDEX(Results_Long!$M$2:$M$201,MATCH("C2|paris_mid|defined_classified|interaction_HTZ",Results_Long!$AK$2:$AK$201,0)),2))))*10^2,0)&amp;" (df = "&amp;IF(ROUND(INDEX(Results_Long!$N$2:$N$201,MATCH("C2|paris_mid|defined_classified|interaction_HTZ",Results_Long!$AK$2:$AK$201,0)),1)&lt;0,"-","")&amp;INT(ABS(ROUND(INDEX(Results_Long!$N$2:$N$201,MATCH("C2|paris_mid|defined_classified|interaction_HTZ",Results_Long!$AK$2:$AK$201,0)),1)))&amp;"."&amp;REPT("0",1-LEN(ROUND((ABS(ROUND(INDEX(Results_Long!$N$2:$N$201,MATCH("C2|paris_mid|defined_classified|interaction_HTZ",Results_Long!$AK$2:$AK$201,0)),1))-INT(ABS(ROUND(INDEX(Results_Long!$N$2:$N$201,MATCH("C2|paris_mid|defined_classified|interaction_HTZ",Results_Long!$AK$2:$AK$201,0)),1))))*10^1,0)))&amp;ROUND((ABS(ROUND(INDEX(Results_Long!$N$2:$N$201,MATCH("C2|paris_mid|defined_classified|interaction_HTZ",Results_Long!$AK$2:$AK$201,0)),1))-INT(ABS(ROUND(INDEX(Results_Long!$N$2:$N$201,MATCH("C2|paris_mid|defined_classified|interaction_HTZ",Results_Long!$AK$2:$AK$201,0)),1))))*10^1,0)&amp;"), p "&amp;IF(INDEX(Results_Long!$O$2:$O$201,MATCH("C2|paris_mid|defined_classified|interaction_HTZ",Results_Long!$AK$2:$AK$201,0))&lt;0.0001,"&lt; 0.0001","= "&amp;IF(ROUND(INDEX(Results_Long!$O$2:$O$201,MATCH("C2|paris_mid|defined_classified|interaction_HTZ",Results_Long!$AK$2:$AK$201,0)),4)&lt;0,"-","")&amp;INT(ABS(ROUND(INDEX(Results_Long!$O$2:$O$201,MATCH("C2|paris_mid|defined_classified|interaction_HTZ",Results_Long!$AK$2:$AK$201,0)),4)))&amp;"."&amp;REPT("0",4-LEN(ROUND((ABS(ROUND(INDEX(Results_Long!$O$2:$O$201,MATCH("C2|paris_mid|defined_classified|interaction_HTZ",Results_Long!$AK$2:$AK$201,0)),4))-INT(ABS(ROUND(INDEX(Results_Long!$O$2:$O$201,MATCH("C2|paris_mid|defined_classified|interaction_HTZ",Results_Long!$AK$2:$AK$201,0)),4))))*10^4,0)))&amp;ROUND((ABS(ROUND(INDEX(Results_Long!$O$2:$O$201,MATCH("C2|paris_mid|defined_classified|interaction_HTZ",Results_Long!$AK$2:$AK$201,0)),4))-INT(ABS(ROUND(INDEX(Results_Long!$O$2:$O$201,MATCH("C2|paris_mid|defined_classified|interaction_HTZ",Results_Long!$AK$2:$AK$201,0)),4))))*10^4,0))</f>
        <v>F = 0.39 (df = 3.1), p = 0.7069</v>
      </c>
      <c r="E7" s="4" t="str">
        <f>INDEX(Results_Long!$H$2:$H$201,MATCH("C2|paris_mid|defined_classified|interaction_HTZ",Results_Long!$AK$2:$AK$201,0))&amp;" ES / "&amp;INDEX(Results_Long!$I$2:$I$201,MATCH("C2|paris_mid|defined_classified|interaction_HTZ",Results_Long!$AK$2:$AK$201,0))&amp;" studies / "&amp;INDEX(Results_Long!$J$2:$J$201,MATCH("C2|paris_mid|defined_classified|interaction_HTZ",Results_Long!$AK$2:$AK$201,0))&amp;" clusters"</f>
        <v>2705 ES / 113 studies / 112 clusters</v>
      </c>
    </row>
    <row r="8" spans="1:5" x14ac:dyDescent="0.3">
      <c r="A8" s="4" t="str">
        <f>INDEX(Results_Long!$AI$2:$AI$201,MATCH("C3|paris_mid|defined_classified|interaction_HTZ",Results_Long!$AK$2:$AK$201,0))</f>
        <v>c3_paris_mid_interaction_htz</v>
      </c>
      <c r="B8" s="4" t="str">
        <f>INDEX(Results_Long!$A$2:$A$201,MATCH("C3|paris_mid|defined_classified|interaction_HTZ",Results_Long!$AK$2:$AK$201,0))</f>
        <v>C3</v>
      </c>
      <c r="C8" s="4" t="s">
        <v>891</v>
      </c>
      <c r="D8" s="5" t="str">
        <f>"F = "&amp;IF(ROUND(INDEX(Results_Long!$M$2:$M$201,MATCH("C3|paris_mid|defined_classified|interaction_HTZ",Results_Long!$AK$2:$AK$201,0)),2)&lt;0,"-","")&amp;INT(ABS(ROUND(INDEX(Results_Long!$M$2:$M$201,MATCH("C3|paris_mid|defined_classified|interaction_HTZ",Results_Long!$AK$2:$AK$201,0)),2)))&amp;"."&amp;REPT("0",2-LEN(ROUND((ABS(ROUND(INDEX(Results_Long!$M$2:$M$201,MATCH("C3|paris_mid|defined_classified|interaction_HTZ",Results_Long!$AK$2:$AK$201,0)),2))-INT(ABS(ROUND(INDEX(Results_Long!$M$2:$M$201,MATCH("C3|paris_mid|defined_classified|interaction_HTZ",Results_Long!$AK$2:$AK$201,0)),2))))*10^2,0)))&amp;ROUND((ABS(ROUND(INDEX(Results_Long!$M$2:$M$201,MATCH("C3|paris_mid|defined_classified|interaction_HTZ",Results_Long!$AK$2:$AK$201,0)),2))-INT(ABS(ROUND(INDEX(Results_Long!$M$2:$M$201,MATCH("C3|paris_mid|defined_classified|interaction_HTZ",Results_Long!$AK$2:$AK$201,0)),2))))*10^2,0)&amp;" (df = "&amp;IF(ROUND(INDEX(Results_Long!$N$2:$N$201,MATCH("C3|paris_mid|defined_classified|interaction_HTZ",Results_Long!$AK$2:$AK$201,0)),1)&lt;0,"-","")&amp;INT(ABS(ROUND(INDEX(Results_Long!$N$2:$N$201,MATCH("C3|paris_mid|defined_classified|interaction_HTZ",Results_Long!$AK$2:$AK$201,0)),1)))&amp;"."&amp;REPT("0",1-LEN(ROUND((ABS(ROUND(INDEX(Results_Long!$N$2:$N$201,MATCH("C3|paris_mid|defined_classified|interaction_HTZ",Results_Long!$AK$2:$AK$201,0)),1))-INT(ABS(ROUND(INDEX(Results_Long!$N$2:$N$201,MATCH("C3|paris_mid|defined_classified|interaction_HTZ",Results_Long!$AK$2:$AK$201,0)),1))))*10^1,0)))&amp;ROUND((ABS(ROUND(INDEX(Results_Long!$N$2:$N$201,MATCH("C3|paris_mid|defined_classified|interaction_HTZ",Results_Long!$AK$2:$AK$201,0)),1))-INT(ABS(ROUND(INDEX(Results_Long!$N$2:$N$201,MATCH("C3|paris_mid|defined_classified|interaction_HTZ",Results_Long!$AK$2:$AK$201,0)),1))))*10^1,0)&amp;"), p "&amp;IF(INDEX(Results_Long!$O$2:$O$201,MATCH("C3|paris_mid|defined_classified|interaction_HTZ",Results_Long!$AK$2:$AK$201,0))&lt;0.0001,"&lt; 0.0001","= "&amp;IF(ROUND(INDEX(Results_Long!$O$2:$O$201,MATCH("C3|paris_mid|defined_classified|interaction_HTZ",Results_Long!$AK$2:$AK$201,0)),4)&lt;0,"-","")&amp;INT(ABS(ROUND(INDEX(Results_Long!$O$2:$O$201,MATCH("C3|paris_mid|defined_classified|interaction_HTZ",Results_Long!$AK$2:$AK$201,0)),4)))&amp;"."&amp;REPT("0",4-LEN(ROUND((ABS(ROUND(INDEX(Results_Long!$O$2:$O$201,MATCH("C3|paris_mid|defined_classified|interaction_HTZ",Results_Long!$AK$2:$AK$201,0)),4))-INT(ABS(ROUND(INDEX(Results_Long!$O$2:$O$201,MATCH("C3|paris_mid|defined_classified|interaction_HTZ",Results_Long!$AK$2:$AK$201,0)),4))))*10^4,0)))&amp;ROUND((ABS(ROUND(INDEX(Results_Long!$O$2:$O$201,MATCH("C3|paris_mid|defined_classified|interaction_HTZ",Results_Long!$AK$2:$AK$201,0)),4))-INT(ABS(ROUND(INDEX(Results_Long!$O$2:$O$201,MATCH("C3|paris_mid|defined_classified|interaction_HTZ",Results_Long!$AK$2:$AK$201,0)),4))))*10^4,0))</f>
        <v>F = 0.16 (df = 8.8), p = 0.7004</v>
      </c>
      <c r="E8" s="4" t="str">
        <f>INDEX(Results_Long!$H$2:$H$201,MATCH("C3|paris_mid|defined_classified|interaction_HTZ",Results_Long!$AK$2:$AK$201,0))&amp;" ES / "&amp;INDEX(Results_Long!$I$2:$I$201,MATCH("C3|paris_mid|defined_classified|interaction_HTZ",Results_Long!$AK$2:$AK$201,0))&amp;" studies / "&amp;INDEX(Results_Long!$J$2:$J$201,MATCH("C3|paris_mid|defined_classified|interaction_HTZ",Results_Long!$AK$2:$AK$201,0))&amp;" clusters"</f>
        <v>2254 ES / 93 studies / 92 clusters</v>
      </c>
    </row>
    <row r="9" spans="1:5" x14ac:dyDescent="0.3">
      <c r="A9" s="4" t="str">
        <f>INDEX(Results_Long!$AI$2:$AI$201,MATCH("C4|paris_mid|defined_classified|interaction_HTZ",Results_Long!$AK$2:$AK$201,0))</f>
        <v>c4_paris_mid_interaction_htz</v>
      </c>
      <c r="B9" s="4" t="str">
        <f>INDEX(Results_Long!$A$2:$A$201,MATCH("C4|paris_mid|defined_classified|interaction_HTZ",Results_Long!$AK$2:$AK$201,0))</f>
        <v>C4</v>
      </c>
      <c r="C9" s="4" t="s">
        <v>891</v>
      </c>
      <c r="D9" s="5" t="str">
        <f>"F = "&amp;IF(ROUND(INDEX(Results_Long!$M$2:$M$201,MATCH("C4|paris_mid|defined_classified|interaction_HTZ",Results_Long!$AK$2:$AK$201,0)),2)&lt;0,"-","")&amp;INT(ABS(ROUND(INDEX(Results_Long!$M$2:$M$201,MATCH("C4|paris_mid|defined_classified|interaction_HTZ",Results_Long!$AK$2:$AK$201,0)),2)))&amp;"."&amp;REPT("0",2-LEN(ROUND((ABS(ROUND(INDEX(Results_Long!$M$2:$M$201,MATCH("C4|paris_mid|defined_classified|interaction_HTZ",Results_Long!$AK$2:$AK$201,0)),2))-INT(ABS(ROUND(INDEX(Results_Long!$M$2:$M$201,MATCH("C4|paris_mid|defined_classified|interaction_HTZ",Results_Long!$AK$2:$AK$201,0)),2))))*10^2,0)))&amp;ROUND((ABS(ROUND(INDEX(Results_Long!$M$2:$M$201,MATCH("C4|paris_mid|defined_classified|interaction_HTZ",Results_Long!$AK$2:$AK$201,0)),2))-INT(ABS(ROUND(INDEX(Results_Long!$M$2:$M$201,MATCH("C4|paris_mid|defined_classified|interaction_HTZ",Results_Long!$AK$2:$AK$201,0)),2))))*10^2,0)&amp;" (df = "&amp;IF(ROUND(INDEX(Results_Long!$N$2:$N$201,MATCH("C4|paris_mid|defined_classified|interaction_HTZ",Results_Long!$AK$2:$AK$201,0)),1)&lt;0,"-","")&amp;INT(ABS(ROUND(INDEX(Results_Long!$N$2:$N$201,MATCH("C4|paris_mid|defined_classified|interaction_HTZ",Results_Long!$AK$2:$AK$201,0)),1)))&amp;"."&amp;REPT("0",1-LEN(ROUND((ABS(ROUND(INDEX(Results_Long!$N$2:$N$201,MATCH("C4|paris_mid|defined_classified|interaction_HTZ",Results_Long!$AK$2:$AK$201,0)),1))-INT(ABS(ROUND(INDEX(Results_Long!$N$2:$N$201,MATCH("C4|paris_mid|defined_classified|interaction_HTZ",Results_Long!$AK$2:$AK$201,0)),1))))*10^1,0)))&amp;ROUND((ABS(ROUND(INDEX(Results_Long!$N$2:$N$201,MATCH("C4|paris_mid|defined_classified|interaction_HTZ",Results_Long!$AK$2:$AK$201,0)),1))-INT(ABS(ROUND(INDEX(Results_Long!$N$2:$N$201,MATCH("C4|paris_mid|defined_classified|interaction_HTZ",Results_Long!$AK$2:$AK$201,0)),1))))*10^1,0)&amp;"), p "&amp;IF(INDEX(Results_Long!$O$2:$O$201,MATCH("C4|paris_mid|defined_classified|interaction_HTZ",Results_Long!$AK$2:$AK$201,0))&lt;0.0001,"&lt; 0.0001","= "&amp;IF(ROUND(INDEX(Results_Long!$O$2:$O$201,MATCH("C4|paris_mid|defined_classified|interaction_HTZ",Results_Long!$AK$2:$AK$201,0)),4)&lt;0,"-","")&amp;INT(ABS(ROUND(INDEX(Results_Long!$O$2:$O$201,MATCH("C4|paris_mid|defined_classified|interaction_HTZ",Results_Long!$AK$2:$AK$201,0)),4)))&amp;"."&amp;REPT("0",4-LEN(ROUND((ABS(ROUND(INDEX(Results_Long!$O$2:$O$201,MATCH("C4|paris_mid|defined_classified|interaction_HTZ",Results_Long!$AK$2:$AK$201,0)),4))-INT(ABS(ROUND(INDEX(Results_Long!$O$2:$O$201,MATCH("C4|paris_mid|defined_classified|interaction_HTZ",Results_Long!$AK$2:$AK$201,0)),4))))*10^4,0)))&amp;ROUND((ABS(ROUND(INDEX(Results_Long!$O$2:$O$201,MATCH("C4|paris_mid|defined_classified|interaction_HTZ",Results_Long!$AK$2:$AK$201,0)),4))-INT(ABS(ROUND(INDEX(Results_Long!$O$2:$O$201,MATCH("C4|paris_mid|defined_classified|interaction_HTZ",Results_Long!$AK$2:$AK$201,0)),4))))*10^4,0))</f>
        <v>F = 0.84 (df = 9.5), p = 0.3830</v>
      </c>
      <c r="E9" s="4" t="str">
        <f>INDEX(Results_Long!$H$2:$H$201,MATCH("C4|paris_mid|defined_classified|interaction_HTZ",Results_Long!$AK$2:$AK$201,0))&amp;" ES / "&amp;INDEX(Results_Long!$I$2:$I$201,MATCH("C4|paris_mid|defined_classified|interaction_HTZ",Results_Long!$AK$2:$AK$201,0))&amp;" studies / "&amp;INDEX(Results_Long!$J$2:$J$201,MATCH("C4|paris_mid|defined_classified|interaction_HTZ",Results_Long!$AK$2:$AK$201,0))&amp;" clusters"</f>
        <v>1796 ES / 83 studies / 82 clusters</v>
      </c>
    </row>
    <row r="10" spans="1:5" x14ac:dyDescent="0.3">
      <c r="A10" s="4" t="str">
        <f>INDEX(Results_Long!$AI$2:$AI$201,MATCH("C5|paris_mid|defined_classified|interaction_HTZ",Results_Long!$AK$2:$AK$201,0))</f>
        <v>c5_paris_mid_interaction_htz</v>
      </c>
      <c r="B10" s="4" t="str">
        <f>INDEX(Results_Long!$A$2:$A$201,MATCH("C5|paris_mid|defined_classified|interaction_HTZ",Results_Long!$AK$2:$AK$201,0))</f>
        <v>C5</v>
      </c>
      <c r="C10" s="4" t="s">
        <v>891</v>
      </c>
      <c r="D10" s="5" t="str">
        <f>"F = "&amp;IF(ROUND(INDEX(Results_Long!$M$2:$M$201,MATCH("C5|paris_mid|defined_classified|interaction_HTZ",Results_Long!$AK$2:$AK$201,0)),2)&lt;0,"-","")&amp;INT(ABS(ROUND(INDEX(Results_Long!$M$2:$M$201,MATCH("C5|paris_mid|defined_classified|interaction_HTZ",Results_Long!$AK$2:$AK$201,0)),2)))&amp;"."&amp;REPT("0",2-LEN(ROUND((ABS(ROUND(INDEX(Results_Long!$M$2:$M$201,MATCH("C5|paris_mid|defined_classified|interaction_HTZ",Results_Long!$AK$2:$AK$201,0)),2))-INT(ABS(ROUND(INDEX(Results_Long!$M$2:$M$201,MATCH("C5|paris_mid|defined_classified|interaction_HTZ",Results_Long!$AK$2:$AK$201,0)),2))))*10^2,0)))&amp;ROUND((ABS(ROUND(INDEX(Results_Long!$M$2:$M$201,MATCH("C5|paris_mid|defined_classified|interaction_HTZ",Results_Long!$AK$2:$AK$201,0)),2))-INT(ABS(ROUND(INDEX(Results_Long!$M$2:$M$201,MATCH("C5|paris_mid|defined_classified|interaction_HTZ",Results_Long!$AK$2:$AK$201,0)),2))))*10^2,0)&amp;" (df = "&amp;IF(ROUND(INDEX(Results_Long!$N$2:$N$201,MATCH("C5|paris_mid|defined_classified|interaction_HTZ",Results_Long!$AK$2:$AK$201,0)),1)&lt;0,"-","")&amp;INT(ABS(ROUND(INDEX(Results_Long!$N$2:$N$201,MATCH("C5|paris_mid|defined_classified|interaction_HTZ",Results_Long!$AK$2:$AK$201,0)),1)))&amp;"."&amp;REPT("0",1-LEN(ROUND((ABS(ROUND(INDEX(Results_Long!$N$2:$N$201,MATCH("C5|paris_mid|defined_classified|interaction_HTZ",Results_Long!$AK$2:$AK$201,0)),1))-INT(ABS(ROUND(INDEX(Results_Long!$N$2:$N$201,MATCH("C5|paris_mid|defined_classified|interaction_HTZ",Results_Long!$AK$2:$AK$201,0)),1))))*10^1,0)))&amp;ROUND((ABS(ROUND(INDEX(Results_Long!$N$2:$N$201,MATCH("C5|paris_mid|defined_classified|interaction_HTZ",Results_Long!$AK$2:$AK$201,0)),1))-INT(ABS(ROUND(INDEX(Results_Long!$N$2:$N$201,MATCH("C5|paris_mid|defined_classified|interaction_HTZ",Results_Long!$AK$2:$AK$201,0)),1))))*10^1,0)&amp;"), p "&amp;IF(INDEX(Results_Long!$O$2:$O$201,MATCH("C5|paris_mid|defined_classified|interaction_HTZ",Results_Long!$AK$2:$AK$201,0))&lt;0.0001,"&lt; 0.0001","= "&amp;IF(ROUND(INDEX(Results_Long!$O$2:$O$201,MATCH("C5|paris_mid|defined_classified|interaction_HTZ",Results_Long!$AK$2:$AK$201,0)),4)&lt;0,"-","")&amp;INT(ABS(ROUND(INDEX(Results_Long!$O$2:$O$201,MATCH("C5|paris_mid|defined_classified|interaction_HTZ",Results_Long!$AK$2:$AK$201,0)),4)))&amp;"."&amp;REPT("0",4-LEN(ROUND((ABS(ROUND(INDEX(Results_Long!$O$2:$O$201,MATCH("C5|paris_mid|defined_classified|interaction_HTZ",Results_Long!$AK$2:$AK$201,0)),4))-INT(ABS(ROUND(INDEX(Results_Long!$O$2:$O$201,MATCH("C5|paris_mid|defined_classified|interaction_HTZ",Results_Long!$AK$2:$AK$201,0)),4))))*10^4,0)))&amp;ROUND((ABS(ROUND(INDEX(Results_Long!$O$2:$O$201,MATCH("C5|paris_mid|defined_classified|interaction_HTZ",Results_Long!$AK$2:$AK$201,0)),4))-INT(ABS(ROUND(INDEX(Results_Long!$O$2:$O$201,MATCH("C5|paris_mid|defined_classified|interaction_HTZ",Results_Long!$AK$2:$AK$201,0)),4))))*10^4,0))</f>
        <v>F = 0.46 (df = 3.4), p = 0.6656</v>
      </c>
      <c r="E10" s="4" t="str">
        <f>INDEX(Results_Long!$H$2:$H$201,MATCH("C5|paris_mid|defined_classified|interaction_HTZ",Results_Long!$AK$2:$AK$201,0))&amp;" ES / "&amp;INDEX(Results_Long!$I$2:$I$201,MATCH("C5|paris_mid|defined_classified|interaction_HTZ",Results_Long!$AK$2:$AK$201,0))&amp;" studies / "&amp;INDEX(Results_Long!$J$2:$J$201,MATCH("C5|paris_mid|defined_classified|interaction_HTZ",Results_Long!$AK$2:$AK$201,0))&amp;" clusters"</f>
        <v>1919 ES / 89 studies / 89 clusters</v>
      </c>
    </row>
    <row r="11" spans="1:5" x14ac:dyDescent="0.3">
      <c r="A11" s="4" t="str">
        <f>INDEX(Results_Long!$AI$2:$AI$201,MATCH("C6|paris_mid|defined_classified|interaction_HTZ",Results_Long!$AK$2:$AK$201,0))</f>
        <v>c6_paris_mid_interaction_htz</v>
      </c>
      <c r="B11" s="4" t="str">
        <f>INDEX(Results_Long!$A$2:$A$201,MATCH("C6|paris_mid|defined_classified|interaction_HTZ",Results_Long!$AK$2:$AK$201,0))</f>
        <v>C6</v>
      </c>
      <c r="C11" s="4" t="s">
        <v>891</v>
      </c>
      <c r="D11" s="5" t="str">
        <f>"F = "&amp;IF(ROUND(INDEX(Results_Long!$M$2:$M$201,MATCH("C6|paris_mid|defined_classified|interaction_HTZ",Results_Long!$AK$2:$AK$201,0)),2)&lt;0,"-","")&amp;INT(ABS(ROUND(INDEX(Results_Long!$M$2:$M$201,MATCH("C6|paris_mid|defined_classified|interaction_HTZ",Results_Long!$AK$2:$AK$201,0)),2)))&amp;"."&amp;REPT("0",2-LEN(ROUND((ABS(ROUND(INDEX(Results_Long!$M$2:$M$201,MATCH("C6|paris_mid|defined_classified|interaction_HTZ",Results_Long!$AK$2:$AK$201,0)),2))-INT(ABS(ROUND(INDEX(Results_Long!$M$2:$M$201,MATCH("C6|paris_mid|defined_classified|interaction_HTZ",Results_Long!$AK$2:$AK$201,0)),2))))*10^2,0)))&amp;ROUND((ABS(ROUND(INDEX(Results_Long!$M$2:$M$201,MATCH("C6|paris_mid|defined_classified|interaction_HTZ",Results_Long!$AK$2:$AK$201,0)),2))-INT(ABS(ROUND(INDEX(Results_Long!$M$2:$M$201,MATCH("C6|paris_mid|defined_classified|interaction_HTZ",Results_Long!$AK$2:$AK$201,0)),2))))*10^2,0)&amp;" (df = "&amp;IF(ROUND(INDEX(Results_Long!$N$2:$N$201,MATCH("C6|paris_mid|defined_classified|interaction_HTZ",Results_Long!$AK$2:$AK$201,0)),1)&lt;0,"-","")&amp;INT(ABS(ROUND(INDEX(Results_Long!$N$2:$N$201,MATCH("C6|paris_mid|defined_classified|interaction_HTZ",Results_Long!$AK$2:$AK$201,0)),1)))&amp;"."&amp;REPT("0",1-LEN(ROUND((ABS(ROUND(INDEX(Results_Long!$N$2:$N$201,MATCH("C6|paris_mid|defined_classified|interaction_HTZ",Results_Long!$AK$2:$AK$201,0)),1))-INT(ABS(ROUND(INDEX(Results_Long!$N$2:$N$201,MATCH("C6|paris_mid|defined_classified|interaction_HTZ",Results_Long!$AK$2:$AK$201,0)),1))))*10^1,0)))&amp;ROUND((ABS(ROUND(INDEX(Results_Long!$N$2:$N$201,MATCH("C6|paris_mid|defined_classified|interaction_HTZ",Results_Long!$AK$2:$AK$201,0)),1))-INT(ABS(ROUND(INDEX(Results_Long!$N$2:$N$201,MATCH("C6|paris_mid|defined_classified|interaction_HTZ",Results_Long!$AK$2:$AK$201,0)),1))))*10^1,0)&amp;"), p "&amp;IF(INDEX(Results_Long!$O$2:$O$201,MATCH("C6|paris_mid|defined_classified|interaction_HTZ",Results_Long!$AK$2:$AK$201,0))&lt;0.0001,"&lt; 0.0001","= "&amp;IF(ROUND(INDEX(Results_Long!$O$2:$O$201,MATCH("C6|paris_mid|defined_classified|interaction_HTZ",Results_Long!$AK$2:$AK$201,0)),4)&lt;0,"-","")&amp;INT(ABS(ROUND(INDEX(Results_Long!$O$2:$O$201,MATCH("C6|paris_mid|defined_classified|interaction_HTZ",Results_Long!$AK$2:$AK$201,0)),4)))&amp;"."&amp;REPT("0",4-LEN(ROUND((ABS(ROUND(INDEX(Results_Long!$O$2:$O$201,MATCH("C6|paris_mid|defined_classified|interaction_HTZ",Results_Long!$AK$2:$AK$201,0)),4))-INT(ABS(ROUND(INDEX(Results_Long!$O$2:$O$201,MATCH("C6|paris_mid|defined_classified|interaction_HTZ",Results_Long!$AK$2:$AK$201,0)),4))))*10^4,0)))&amp;ROUND((ABS(ROUND(INDEX(Results_Long!$O$2:$O$201,MATCH("C6|paris_mid|defined_classified|interaction_HTZ",Results_Long!$AK$2:$AK$201,0)),4))-INT(ABS(ROUND(INDEX(Results_Long!$O$2:$O$201,MATCH("C6|paris_mid|defined_classified|interaction_HTZ",Results_Long!$AK$2:$AK$201,0)),4))))*10^4,0))</f>
        <v>F = 3.49 (df = 2.2), p = 0.1907</v>
      </c>
      <c r="E11" s="4" t="str">
        <f>INDEX(Results_Long!$H$2:$H$201,MATCH("C6|paris_mid|defined_classified|interaction_HTZ",Results_Long!$AK$2:$AK$201,0))&amp;" ES / "&amp;INDEX(Results_Long!$I$2:$I$201,MATCH("C6|paris_mid|defined_classified|interaction_HTZ",Results_Long!$AK$2:$AK$201,0))&amp;" studies / "&amp;INDEX(Results_Long!$J$2:$J$201,MATCH("C6|paris_mid|defined_classified|interaction_HTZ",Results_Long!$AK$2:$AK$201,0))&amp;" clusters"</f>
        <v>1614 ES / 78 studies / 77 clusters</v>
      </c>
    </row>
    <row r="12" spans="1:5" x14ac:dyDescent="0.3">
      <c r="A12" s="4" t="str">
        <f>INDEX(Results_Long!$AI$2:$AI$201,MATCH("C7|paris_mid|defined_classified|interaction_HTZ",Results_Long!$AK$2:$AK$201,0))</f>
        <v>c7_paris_mid_interaction_htz</v>
      </c>
      <c r="B12" s="4" t="str">
        <f>INDEX(Results_Long!$A$2:$A$201,MATCH("C7|paris_mid|defined_classified|interaction_HTZ",Results_Long!$AK$2:$AK$201,0))</f>
        <v>C7</v>
      </c>
      <c r="C12" s="4" t="s">
        <v>891</v>
      </c>
      <c r="D12" s="5" t="str">
        <f>"F = "&amp;IF(ROUND(INDEX(Results_Long!$M$2:$M$201,MATCH("C7|paris_mid|defined_classified|interaction_HTZ",Results_Long!$AK$2:$AK$201,0)),2)&lt;0,"-","")&amp;INT(ABS(ROUND(INDEX(Results_Long!$M$2:$M$201,MATCH("C7|paris_mid|defined_classified|interaction_HTZ",Results_Long!$AK$2:$AK$201,0)),2)))&amp;"."&amp;REPT("0",2-LEN(ROUND((ABS(ROUND(INDEX(Results_Long!$M$2:$M$201,MATCH("C7|paris_mid|defined_classified|interaction_HTZ",Results_Long!$AK$2:$AK$201,0)),2))-INT(ABS(ROUND(INDEX(Results_Long!$M$2:$M$201,MATCH("C7|paris_mid|defined_classified|interaction_HTZ",Results_Long!$AK$2:$AK$201,0)),2))))*10^2,0)))&amp;ROUND((ABS(ROUND(INDEX(Results_Long!$M$2:$M$201,MATCH("C7|paris_mid|defined_classified|interaction_HTZ",Results_Long!$AK$2:$AK$201,0)),2))-INT(ABS(ROUND(INDEX(Results_Long!$M$2:$M$201,MATCH("C7|paris_mid|defined_classified|interaction_HTZ",Results_Long!$AK$2:$AK$201,0)),2))))*10^2,0)&amp;" (df = "&amp;IF(ROUND(INDEX(Results_Long!$N$2:$N$201,MATCH("C7|paris_mid|defined_classified|interaction_HTZ",Results_Long!$AK$2:$AK$201,0)),1)&lt;0,"-","")&amp;INT(ABS(ROUND(INDEX(Results_Long!$N$2:$N$201,MATCH("C7|paris_mid|defined_classified|interaction_HTZ",Results_Long!$AK$2:$AK$201,0)),1)))&amp;"."&amp;REPT("0",1-LEN(ROUND((ABS(ROUND(INDEX(Results_Long!$N$2:$N$201,MATCH("C7|paris_mid|defined_classified|interaction_HTZ",Results_Long!$AK$2:$AK$201,0)),1))-INT(ABS(ROUND(INDEX(Results_Long!$N$2:$N$201,MATCH("C7|paris_mid|defined_classified|interaction_HTZ",Results_Long!$AK$2:$AK$201,0)),1))))*10^1,0)))&amp;ROUND((ABS(ROUND(INDEX(Results_Long!$N$2:$N$201,MATCH("C7|paris_mid|defined_classified|interaction_HTZ",Results_Long!$AK$2:$AK$201,0)),1))-INT(ABS(ROUND(INDEX(Results_Long!$N$2:$N$201,MATCH("C7|paris_mid|defined_classified|interaction_HTZ",Results_Long!$AK$2:$AK$201,0)),1))))*10^1,0)&amp;"), p "&amp;IF(INDEX(Results_Long!$O$2:$O$201,MATCH("C7|paris_mid|defined_classified|interaction_HTZ",Results_Long!$AK$2:$AK$201,0))&lt;0.0001,"&lt; 0.0001","= "&amp;IF(ROUND(INDEX(Results_Long!$O$2:$O$201,MATCH("C7|paris_mid|defined_classified|interaction_HTZ",Results_Long!$AK$2:$AK$201,0)),4)&lt;0,"-","")&amp;INT(ABS(ROUND(INDEX(Results_Long!$O$2:$O$201,MATCH("C7|paris_mid|defined_classified|interaction_HTZ",Results_Long!$AK$2:$AK$201,0)),4)))&amp;"."&amp;REPT("0",4-LEN(ROUND((ABS(ROUND(INDEX(Results_Long!$O$2:$O$201,MATCH("C7|paris_mid|defined_classified|interaction_HTZ",Results_Long!$AK$2:$AK$201,0)),4))-INT(ABS(ROUND(INDEX(Results_Long!$O$2:$O$201,MATCH("C7|paris_mid|defined_classified|interaction_HTZ",Results_Long!$AK$2:$AK$201,0)),4))))*10^4,0)))&amp;ROUND((ABS(ROUND(INDEX(Results_Long!$O$2:$O$201,MATCH("C7|paris_mid|defined_classified|interaction_HTZ",Results_Long!$AK$2:$AK$201,0)),4))-INT(ABS(ROUND(INDEX(Results_Long!$O$2:$O$201,MATCH("C7|paris_mid|defined_classified|interaction_HTZ",Results_Long!$AK$2:$AK$201,0)),4))))*10^4,0))</f>
        <v>F = 0.07 (df = 13.1), p = 0.7988</v>
      </c>
      <c r="E12" s="4" t="str">
        <f>INDEX(Results_Long!$H$2:$H$201,MATCH("C7|paris_mid|defined_classified|interaction_HTZ",Results_Long!$AK$2:$AK$201,0))&amp;" ES / "&amp;INDEX(Results_Long!$I$2:$I$201,MATCH("C7|paris_mid|defined_classified|interaction_HTZ",Results_Long!$AK$2:$AK$201,0))&amp;" studies / "&amp;INDEX(Results_Long!$J$2:$J$201,MATCH("C7|paris_mid|defined_classified|interaction_HTZ",Results_Long!$AK$2:$AK$201,0))&amp;" clusters"</f>
        <v>1948 ES / 94 studies / 93 clusters</v>
      </c>
    </row>
    <row r="13" spans="1:5" x14ac:dyDescent="0.3">
      <c r="A13" s="4" t="str">
        <f>INDEX(Results_Long!$AI$2:$AI$201,MATCH("C8|paris_mid|defined_classified|interaction_HTZ",Results_Long!$AK$2:$AK$201,0))</f>
        <v>c8_paris_mid_interaction_htz</v>
      </c>
      <c r="B13" s="4" t="str">
        <f>INDEX(Results_Long!$A$2:$A$201,MATCH("C8|paris_mid|defined_classified|interaction_HTZ",Results_Long!$AK$2:$AK$201,0))</f>
        <v>C8</v>
      </c>
      <c r="C13" s="4" t="s">
        <v>891</v>
      </c>
      <c r="D13" s="5" t="str">
        <f>"F = "&amp;IF(ROUND(INDEX(Results_Long!$M$2:$M$201,MATCH("C8|paris_mid|defined_classified|interaction_HTZ",Results_Long!$AK$2:$AK$201,0)),2)&lt;0,"-","")&amp;INT(ABS(ROUND(INDEX(Results_Long!$M$2:$M$201,MATCH("C8|paris_mid|defined_classified|interaction_HTZ",Results_Long!$AK$2:$AK$201,0)),2)))&amp;"."&amp;REPT("0",2-LEN(ROUND((ABS(ROUND(INDEX(Results_Long!$M$2:$M$201,MATCH("C8|paris_mid|defined_classified|interaction_HTZ",Results_Long!$AK$2:$AK$201,0)),2))-INT(ABS(ROUND(INDEX(Results_Long!$M$2:$M$201,MATCH("C8|paris_mid|defined_classified|interaction_HTZ",Results_Long!$AK$2:$AK$201,0)),2))))*10^2,0)))&amp;ROUND((ABS(ROUND(INDEX(Results_Long!$M$2:$M$201,MATCH("C8|paris_mid|defined_classified|interaction_HTZ",Results_Long!$AK$2:$AK$201,0)),2))-INT(ABS(ROUND(INDEX(Results_Long!$M$2:$M$201,MATCH("C8|paris_mid|defined_classified|interaction_HTZ",Results_Long!$AK$2:$AK$201,0)),2))))*10^2,0)&amp;" (df = "&amp;IF(ROUND(INDEX(Results_Long!$N$2:$N$201,MATCH("C8|paris_mid|defined_classified|interaction_HTZ",Results_Long!$AK$2:$AK$201,0)),1)&lt;0,"-","")&amp;INT(ABS(ROUND(INDEX(Results_Long!$N$2:$N$201,MATCH("C8|paris_mid|defined_classified|interaction_HTZ",Results_Long!$AK$2:$AK$201,0)),1)))&amp;"."&amp;REPT("0",1-LEN(ROUND((ABS(ROUND(INDEX(Results_Long!$N$2:$N$201,MATCH("C8|paris_mid|defined_classified|interaction_HTZ",Results_Long!$AK$2:$AK$201,0)),1))-INT(ABS(ROUND(INDEX(Results_Long!$N$2:$N$201,MATCH("C8|paris_mid|defined_classified|interaction_HTZ",Results_Long!$AK$2:$AK$201,0)),1))))*10^1,0)))&amp;ROUND((ABS(ROUND(INDEX(Results_Long!$N$2:$N$201,MATCH("C8|paris_mid|defined_classified|interaction_HTZ",Results_Long!$AK$2:$AK$201,0)),1))-INT(ABS(ROUND(INDEX(Results_Long!$N$2:$N$201,MATCH("C8|paris_mid|defined_classified|interaction_HTZ",Results_Long!$AK$2:$AK$201,0)),1))))*10^1,0)&amp;"), p "&amp;IF(INDEX(Results_Long!$O$2:$O$201,MATCH("C8|paris_mid|defined_classified|interaction_HTZ",Results_Long!$AK$2:$AK$201,0))&lt;0.0001,"&lt; 0.0001","= "&amp;IF(ROUND(INDEX(Results_Long!$O$2:$O$201,MATCH("C8|paris_mid|defined_classified|interaction_HTZ",Results_Long!$AK$2:$AK$201,0)),4)&lt;0,"-","")&amp;INT(ABS(ROUND(INDEX(Results_Long!$O$2:$O$201,MATCH("C8|paris_mid|defined_classified|interaction_HTZ",Results_Long!$AK$2:$AK$201,0)),4)))&amp;"."&amp;REPT("0",4-LEN(ROUND((ABS(ROUND(INDEX(Results_Long!$O$2:$O$201,MATCH("C8|paris_mid|defined_classified|interaction_HTZ",Results_Long!$AK$2:$AK$201,0)),4))-INT(ABS(ROUND(INDEX(Results_Long!$O$2:$O$201,MATCH("C8|paris_mid|defined_classified|interaction_HTZ",Results_Long!$AK$2:$AK$201,0)),4))))*10^4,0)))&amp;ROUND((ABS(ROUND(INDEX(Results_Long!$O$2:$O$201,MATCH("C8|paris_mid|defined_classified|interaction_HTZ",Results_Long!$AK$2:$AK$201,0)),4))-INT(ABS(ROUND(INDEX(Results_Long!$O$2:$O$201,MATCH("C8|paris_mid|defined_classified|interaction_HTZ",Results_Long!$AK$2:$AK$201,0)),4))))*10^4,0))</f>
        <v>F = 0.44 (df = 1.2), p = 0.6096</v>
      </c>
      <c r="E13" s="4" t="str">
        <f>INDEX(Results_Long!$H$2:$H$201,MATCH("C8|paris_mid|defined_classified|interaction_HTZ",Results_Long!$AK$2:$AK$201,0))&amp;" ES / "&amp;INDEX(Results_Long!$I$2:$I$201,MATCH("C8|paris_mid|defined_classified|interaction_HTZ",Results_Long!$AK$2:$AK$201,0))&amp;" studies / "&amp;INDEX(Results_Long!$J$2:$J$201,MATCH("C8|paris_mid|defined_classified|interaction_HTZ",Results_Long!$AK$2:$AK$201,0))&amp;" clusters"</f>
        <v>1655 ES / 81 studies / 80 clusters</v>
      </c>
    </row>
    <row r="14" spans="1:5" x14ac:dyDescent="0.3">
      <c r="A14" s="4" t="str">
        <f>INDEX(Results_Long!$AI$2:$AI$201,MATCH("C_family|multiplicity|defined_classified|interaction_HTZ_holm",Results_Long!$AK$2:$AK$201,0))</f>
        <v>c_family_multiplicity_interaction_htz_holm</v>
      </c>
      <c r="B14" s="4" t="str">
        <f>INDEX(Results_Long!$A$2:$A$201,MATCH("C_family|multiplicity|defined_classified|interaction_HTZ_holm",Results_Long!$AK$2:$AK$201,0))</f>
        <v>C_family</v>
      </c>
      <c r="C14" s="4" t="s">
        <v>892</v>
      </c>
      <c r="D14" s="5" t="str">
        <f>"minimum Holm-adjusted p = "&amp;IF(ROUND(INDEX(Results_Long!$AG$2:$AG$201,MATCH("C_family|multiplicity|defined_classified|interaction_HTZ_holm",Results_Long!$AK$2:$AK$201,0)),4)&lt;0,"-","")&amp;INT(ABS(ROUND(INDEX(Results_Long!$AG$2:$AG$201,MATCH("C_family|multiplicity|defined_classified|interaction_HTZ_holm",Results_Long!$AK$2:$AK$201,0)),4)))&amp;"."&amp;REPT("0",4-LEN(ROUND((ABS(ROUND(INDEX(Results_Long!$AG$2:$AG$201,MATCH("C_family|multiplicity|defined_classified|interaction_HTZ_holm",Results_Long!$AK$2:$AK$201,0)),4))-INT(ABS(ROUND(INDEX(Results_Long!$AG$2:$AG$201,MATCH("C_family|multiplicity|defined_classified|interaction_HTZ_holm",Results_Long!$AK$2:$AK$201,0)),4))))*10^4,0)))&amp;ROUND((ABS(ROUND(INDEX(Results_Long!$AG$2:$AG$201,MATCH("C_family|multiplicity|defined_classified|interaction_HTZ_holm",Results_Long!$AK$2:$AK$201,0)),4))-INT(ABS(ROUND(INDEX(Results_Long!$AG$2:$AG$201,MATCH("C_family|multiplicity|defined_classified|interaction_HTZ_holm",Results_Long!$AK$2:$AK$201,0)),4))))*10^4,0)&amp;" (family of eight pre-registered tests)"</f>
        <v>minimum Holm-adjusted p = 0.6162 (family of eight pre-registered tests)</v>
      </c>
      <c r="E14" s="4" t="s">
        <v>893</v>
      </c>
    </row>
    <row r="15" spans="1:5" x14ac:dyDescent="0.3">
      <c r="A15" s="4" t="str">
        <f>INDEX(Results_Long!$AI$2:$AI$201,MATCH("C9|unified_cc_v1|cc_v1|pp_mid_lag0",Results_Long!$AK$2:$AK$201,0))</f>
        <v>c9_unified_cc_v1_pp_mid_lag0</v>
      </c>
      <c r="B15" s="4" t="str">
        <f>INDEX(Results_Long!$A$2:$A$201,MATCH("C9|unified_cc_v1|cc_v1|pp_mid_lag0",Results_Long!$AK$2:$AK$201,0))</f>
        <v>C9</v>
      </c>
      <c r="C15" s="4" t="s">
        <v>894</v>
      </c>
      <c r="D15" s="5" t="str">
        <f>"b = "&amp;IF(ROUND(INDEX(Results_Long!$K$2:$K$201,MATCH("C9|unified_cc_v1|cc_v1|pp_mid_lag0",Results_Long!$AK$2:$AK$201,0)),4)&lt;0,"-","+")&amp;INT(ABS(ROUND(INDEX(Results_Long!$K$2:$K$201,MATCH("C9|unified_cc_v1|cc_v1|pp_mid_lag0",Results_Long!$AK$2:$AK$201,0)),4)))&amp;"."&amp;REPT("0",4-LEN(ROUND((ABS(ROUND(INDEX(Results_Long!$K$2:$K$201,MATCH("C9|unified_cc_v1|cc_v1|pp_mid_lag0",Results_Long!$AK$2:$AK$201,0)),4))-INT(ABS(ROUND(INDEX(Results_Long!$K$2:$K$201,MATCH("C9|unified_cc_v1|cc_v1|pp_mid_lag0",Results_Long!$AK$2:$AK$201,0)),4))))*10^4,0)))&amp;ROUND((ABS(ROUND(INDEX(Results_Long!$K$2:$K$201,MATCH("C9|unified_cc_v1|cc_v1|pp_mid_lag0",Results_Long!$AK$2:$AK$201,0)),4))-INT(ABS(ROUND(INDEX(Results_Long!$K$2:$K$201,MATCH("C9|unified_cc_v1|cc_v1|pp_mid_lag0",Results_Long!$AK$2:$AK$201,0)),4))))*10^4,0)&amp;" (SE = "&amp;IF(ROUND(INDEX(Results_Long!$L$2:$L$201,MATCH("C9|unified_cc_v1|cc_v1|pp_mid_lag0",Results_Long!$AK$2:$AK$201,0)),4)&lt;0,"-","")&amp;INT(ABS(ROUND(INDEX(Results_Long!$L$2:$L$201,MATCH("C9|unified_cc_v1|cc_v1|pp_mid_lag0",Results_Long!$AK$2:$AK$201,0)),4)))&amp;"."&amp;REPT("0",4-LEN(ROUND((ABS(ROUND(INDEX(Results_Long!$L$2:$L$201,MATCH("C9|unified_cc_v1|cc_v1|pp_mid_lag0",Results_Long!$AK$2:$AK$201,0)),4))-INT(ABS(ROUND(INDEX(Results_Long!$L$2:$L$201,MATCH("C9|unified_cc_v1|cc_v1|pp_mid_lag0",Results_Long!$AK$2:$AK$201,0)),4))))*10^4,0)))&amp;ROUND((ABS(ROUND(INDEX(Results_Long!$L$2:$L$201,MATCH("C9|unified_cc_v1|cc_v1|pp_mid_lag0",Results_Long!$AK$2:$AK$201,0)),4))-INT(ABS(ROUND(INDEX(Results_Long!$L$2:$L$201,MATCH("C9|unified_cc_v1|cc_v1|pp_mid_lag0",Results_Long!$AK$2:$AK$201,0)),4))))*10^4,0)&amp;", df = "&amp;IF(ROUND(INDEX(Results_Long!$N$2:$N$201,MATCH("C9|unified_cc_v1|cc_v1|pp_mid_lag0",Results_Long!$AK$2:$AK$201,0)),1)&lt;0,"-","")&amp;INT(ABS(ROUND(INDEX(Results_Long!$N$2:$N$201,MATCH("C9|unified_cc_v1|cc_v1|pp_mid_lag0",Results_Long!$AK$2:$AK$201,0)),1)))&amp;"."&amp;REPT("0",1-LEN(ROUND((ABS(ROUND(INDEX(Results_Long!$N$2:$N$201,MATCH("C9|unified_cc_v1|cc_v1|pp_mid_lag0",Results_Long!$AK$2:$AK$201,0)),1))-INT(ABS(ROUND(INDEX(Results_Long!$N$2:$N$201,MATCH("C9|unified_cc_v1|cc_v1|pp_mid_lag0",Results_Long!$AK$2:$AK$201,0)),1))))*10^1,0)))&amp;ROUND((ABS(ROUND(INDEX(Results_Long!$N$2:$N$201,MATCH("C9|unified_cc_v1|cc_v1|pp_mid_lag0",Results_Long!$AK$2:$AK$201,0)),1))-INT(ABS(ROUND(INDEX(Results_Long!$N$2:$N$201,MATCH("C9|unified_cc_v1|cc_v1|pp_mid_lag0",Results_Long!$AK$2:$AK$201,0)),1))))*10^1,0)&amp;"), p = "&amp;IF(ROUND(INDEX(Results_Long!$O$2:$O$201,MATCH("C9|unified_cc_v1|cc_v1|pp_mid_lag0",Results_Long!$AK$2:$AK$201,0)),4)&lt;0,"-","")&amp;INT(ABS(ROUND(INDEX(Results_Long!$O$2:$O$201,MATCH("C9|unified_cc_v1|cc_v1|pp_mid_lag0",Results_Long!$AK$2:$AK$201,0)),4)))&amp;"."&amp;REPT("0",4-LEN(ROUND((ABS(ROUND(INDEX(Results_Long!$O$2:$O$201,MATCH("C9|unified_cc_v1|cc_v1|pp_mid_lag0",Results_Long!$AK$2:$AK$201,0)),4))-INT(ABS(ROUND(INDEX(Results_Long!$O$2:$O$201,MATCH("C9|unified_cc_v1|cc_v1|pp_mid_lag0",Results_Long!$AK$2:$AK$201,0)),4))))*10^4,0)))&amp;ROUND((ABS(ROUND(INDEX(Results_Long!$O$2:$O$201,MATCH("C9|unified_cc_v1|cc_v1|pp_mid_lag0",Results_Long!$AK$2:$AK$201,0)),4))-INT(ABS(ROUND(INDEX(Results_Long!$O$2:$O$201,MATCH("C9|unified_cc_v1|cc_v1|pp_mid_lag0",Results_Long!$AK$2:$AK$201,0)),4))))*10^4,0)</f>
        <v>b = +0.0078 (SE = 0.0250, df = 5.1), p = 0.7686</v>
      </c>
      <c r="E15" s="4" t="str">
        <f>INDEX(Results_Long!$H$2:$H$201,MATCH("C9|unified_cc_v1|cc_v1|pp_mid_lag0",Results_Long!$AK$2:$AK$201,0))&amp;" ES / "&amp;INDEX(Results_Long!$I$2:$I$201,MATCH("C9|unified_cc_v1|cc_v1|pp_mid_lag0",Results_Long!$AK$2:$AK$201,0))&amp;" studies / "&amp;INDEX(Results_Long!$J$2:$J$201,MATCH("C9|unified_cc_v1|cc_v1|pp_mid_lag0",Results_Long!$AK$2:$AK$201,0))&amp;" clusters"</f>
        <v>1754 ES / 78 studies / 78 clusters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3"/>
  <sheetViews>
    <sheetView workbookViewId="0"/>
  </sheetViews>
  <sheetFormatPr baseColWidth="10" defaultColWidth="8.88671875" defaultRowHeight="14.4" x14ac:dyDescent="0.3"/>
  <cols>
    <col min="1" max="1" width="8" customWidth="1"/>
    <col min="2" max="2" width="22" customWidth="1"/>
    <col min="3" max="3" width="12" customWidth="1"/>
    <col min="4" max="4" width="110" customWidth="1"/>
    <col min="5" max="5" width="30" customWidth="1"/>
    <col min="6" max="6" width="26" customWidth="1"/>
  </cols>
  <sheetData>
    <row r="1" spans="1:6" x14ac:dyDescent="0.3">
      <c r="A1" s="3" t="s">
        <v>895</v>
      </c>
    </row>
    <row r="2" spans="1:6" x14ac:dyDescent="0.3">
      <c r="A2" s="4" t="s">
        <v>896</v>
      </c>
    </row>
    <row r="3" spans="1:6" x14ac:dyDescent="0.3">
      <c r="A3" s="4" t="s">
        <v>897</v>
      </c>
    </row>
    <row r="5" spans="1:6" x14ac:dyDescent="0.3">
      <c r="A5" s="1" t="s">
        <v>898</v>
      </c>
      <c r="B5" s="1" t="s">
        <v>899</v>
      </c>
      <c r="C5" s="1" t="s">
        <v>900</v>
      </c>
      <c r="D5" s="1" t="s">
        <v>901</v>
      </c>
      <c r="E5" s="1" t="s">
        <v>902</v>
      </c>
      <c r="F5" s="1" t="s">
        <v>903</v>
      </c>
    </row>
    <row r="6" spans="1:6" ht="92.4" x14ac:dyDescent="0.3">
      <c r="A6" s="3" t="s">
        <v>904</v>
      </c>
      <c r="B6" s="4" t="s">
        <v>905</v>
      </c>
      <c r="C6" s="13" t="s">
        <v>906</v>
      </c>
      <c r="D6" s="5" t="s">
        <v>907</v>
      </c>
      <c r="E6" s="5" t="s">
        <v>908</v>
      </c>
      <c r="F6" s="5"/>
    </row>
    <row r="7" spans="1:6" ht="39.6" x14ac:dyDescent="0.3">
      <c r="A7" s="3" t="s">
        <v>909</v>
      </c>
      <c r="B7" s="4" t="s">
        <v>910</v>
      </c>
      <c r="C7" s="13" t="s">
        <v>906</v>
      </c>
      <c r="D7" s="5" t="s">
        <v>911</v>
      </c>
      <c r="E7" s="5" t="s">
        <v>912</v>
      </c>
      <c r="F7" s="5"/>
    </row>
    <row r="8" spans="1:6" ht="39.6" x14ac:dyDescent="0.3">
      <c r="A8" s="3" t="s">
        <v>913</v>
      </c>
      <c r="B8" s="4" t="s">
        <v>914</v>
      </c>
      <c r="C8" s="13" t="s">
        <v>906</v>
      </c>
      <c r="D8" s="5" t="s">
        <v>915</v>
      </c>
      <c r="E8" s="5" t="s">
        <v>916</v>
      </c>
      <c r="F8" s="5"/>
    </row>
    <row r="9" spans="1:6" ht="66" x14ac:dyDescent="0.3">
      <c r="A9" s="3" t="s">
        <v>917</v>
      </c>
      <c r="B9" s="4" t="s">
        <v>918</v>
      </c>
      <c r="C9" s="13" t="s">
        <v>906</v>
      </c>
      <c r="D9" s="5" t="s">
        <v>919</v>
      </c>
      <c r="E9" s="5" t="s">
        <v>920</v>
      </c>
      <c r="F9" s="5"/>
    </row>
    <row r="10" spans="1:6" ht="66" x14ac:dyDescent="0.3">
      <c r="A10" s="3" t="s">
        <v>921</v>
      </c>
      <c r="B10" s="4" t="s">
        <v>922</v>
      </c>
      <c r="C10" s="13" t="s">
        <v>906</v>
      </c>
      <c r="D10" s="5" t="s">
        <v>923</v>
      </c>
      <c r="E10" s="5" t="s">
        <v>924</v>
      </c>
      <c r="F10" s="5"/>
    </row>
    <row r="11" spans="1:6" ht="52.8" x14ac:dyDescent="0.3">
      <c r="A11" s="3" t="s">
        <v>925</v>
      </c>
      <c r="B11" s="4" t="s">
        <v>926</v>
      </c>
      <c r="C11" s="13" t="s">
        <v>906</v>
      </c>
      <c r="D11" s="5" t="s">
        <v>927</v>
      </c>
      <c r="E11" s="5" t="s">
        <v>928</v>
      </c>
      <c r="F11" s="5"/>
    </row>
    <row r="12" spans="1:6" ht="39.6" x14ac:dyDescent="0.3">
      <c r="A12" s="3" t="s">
        <v>929</v>
      </c>
      <c r="B12" s="4" t="s">
        <v>930</v>
      </c>
      <c r="C12" s="13" t="s">
        <v>906</v>
      </c>
      <c r="D12" s="5" t="s">
        <v>931</v>
      </c>
      <c r="E12" s="5" t="s">
        <v>932</v>
      </c>
      <c r="F12" s="5"/>
    </row>
    <row r="13" spans="1:6" ht="92.4" x14ac:dyDescent="0.3">
      <c r="A13" s="3" t="s">
        <v>933</v>
      </c>
      <c r="B13" s="4" t="s">
        <v>934</v>
      </c>
      <c r="C13" s="14" t="s">
        <v>906</v>
      </c>
      <c r="D13" s="5" t="s">
        <v>935</v>
      </c>
      <c r="E13" s="5" t="s">
        <v>936</v>
      </c>
      <c r="F13" s="5" t="s">
        <v>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1_README</vt:lpstr>
      <vt:lpstr>2_Methodology</vt:lpstr>
      <vt:lpstr>3_Interpretation_Guide</vt:lpstr>
      <vt:lpstr>4_Formula_Reference</vt:lpstr>
      <vt:lpstr>5_Data_Provenance</vt:lpstr>
      <vt:lpstr>6_Moderation_Overview</vt:lpstr>
      <vt:lpstr>7_Featured_Panels</vt:lpstr>
      <vt:lpstr>8_Other_Panels</vt:lpstr>
      <vt:lpstr>9_C9_Unified</vt:lpstr>
      <vt:lpstr>10_Guards_Sensitivity</vt:lpstr>
      <vt:lpstr>Results_Long</vt:lpstr>
      <vt:lpstr>Manuscript_Inputs</vt:lpstr>
      <vt:lpstr>Manuscript_Text_Blocks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Witte</cp:lastModifiedBy>
  <dcterms:created xsi:type="dcterms:W3CDTF">2026-07-29T07:59:30Z</dcterms:created>
  <dcterms:modified xsi:type="dcterms:W3CDTF">2026-08-04T21:34:07Z</dcterms:modified>
</cp:coreProperties>
</file>