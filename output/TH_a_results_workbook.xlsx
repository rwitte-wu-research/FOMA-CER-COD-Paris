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Methodology" sheetId="2" state="visible" r:id="rId4"/>
    <sheet name="3_Interpretation_Guide" sheetId="3" state="visible" r:id="rId5"/>
    <sheet name="4_Formula_Reference" sheetId="4" state="visible" r:id="rId6"/>
    <sheet name="5_Data_Provenance" sheetId="5" state="visible" r:id="rId7"/>
    <sheet name="6_E_TOST_Battery" sheetId="6" state="visible" r:id="rId8"/>
    <sheet name="7_H4_Break_Grid" sheetId="7" state="visible" r:id="rId9"/>
    <sheet name="8_H6_H7_Transpl_Cumul" sheetId="8" state="visible" r:id="rId10"/>
    <sheet name="9_H8_H9_Rolling_External" sheetId="9" state="visible" r:id="rId11"/>
    <sheet name="10_H10_H11_pcurve_within" sheetId="10" state="visible" r:id="rId12"/>
    <sheet name="Results_Long" sheetId="11" state="visible" r:id="rId13"/>
    <sheet name="Manuscript_Inputs" sheetId="12" state="visible" r:id="rId14"/>
    <sheet name="Manuscript_Text_Blocks" sheetId="13" state="visible" r:id="rId15"/>
  </sheets>
  <definedNames>
    <definedName function="false" hidden="true" localSheetId="10" name="_xlnm._FilterDatabase" vbProcedure="false">Results_Long!$A$1:$AJ$178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<sst xmlns="http://schemas.openxmlformats.org/spreadsheetml/2006/main" count="2867" uniqueCount="1011">
  <si>
    <t xml:space="preserve">TH-a (Block E/H fast frequentist battery) · README</t>
  </si>
  <si>
    <t xml:space="preserve">Template: docs/results_workbook_template.md (binding; 13-tab SOMA)</t>
  </si>
  <si>
    <t xml:space="preserve">Run 2026-07-24 22:46 (canonical) · verifier R/06_verify_outputs.R 17/17 PASS · chat artefact check 2026-07-26 18/18 PASS · output/TH_a_results.csv 177x36</t>
  </si>
  <si>
    <t xml:space="preserve">Item</t>
  </si>
  <si>
    <t xml:space="preserve">Value</t>
  </si>
  <si>
    <t xml:space="preserve">Workbook version</t>
  </si>
  <si>
    <t xml:space="preserve">v1.0 (built post-run by project chat; verifier never reads this file)</t>
  </si>
  <si>
    <t xml:space="preserve">Method one-liner</t>
  </si>
  <si>
    <t xml:space="preserve">Fast frequentist E/H battery on the 3L-RVE spine: TOST equivalence (E1/E2), gate configuration (E3), sup-break grid (H4), Zarea transplant (H6), cumulative MA (H7), rolling windows (H8), external comparison (H9), conditional p-curve (H10), within-study display (H11).</t>
  </si>
  <si>
    <t xml:space="preserve">Scope</t>
  </si>
  <si>
    <t xml:space="preserve">Block E (E1-E3) + Block H fast analyses (H4 grid, H6-H11); estimation set 2,713 ES / 115 studies / 114 clusters; period domain 2,705 / 113 / 112.</t>
  </si>
  <si>
    <t xml:space="preserve">Repo / commit basis</t>
  </si>
  <si>
    <t xml:space="preserve">rwitte-wu-research/FOMA-CER-COD-Paris; chain 5a99de6 -&gt; e44fce7 (#12) -&gt; fce9d3a (#13) -&gt; dafd95e (#14); family commit lands on dafd95e (main = origin)</t>
  </si>
  <si>
    <t xml:space="preserve">Computational stack</t>
  </si>
  <si>
    <t xml:space="preserve">R 4.6.1 (ucrt) · metafor 5.0-1 · clubSandwich 0.7.0 · Matrix 1.7-5 · Windows 11 x64 (26200) · reference BLAS single-threaded + per-worker thread guards</t>
  </si>
  <si>
    <t xml:space="preserve">Scripts</t>
  </si>
  <si>
    <t xml:space="preserve">R/06_e_h_fast.R + R/06_verify_outputs.R (paired verifier, 17/17 PASS)</t>
  </si>
  <si>
    <t xml:space="preserve">Decision basis</t>
  </si>
  <si>
    <t xml:space="preserve">DEC-045 (E/H execution spec incl. supersessions S1-S9) · DEC-031f (optimizer ladder) · DEC-044 (framing A; language gate UNRESOLVED - see 3_Interpretation_Guide)</t>
  </si>
  <si>
    <t xml:space="preserve">Framing gate</t>
  </si>
  <si>
    <t xml:space="preserve">Framing gate [DEC-044]: all TOST flags and permutation p-values in this workbook are MECHANICAL values; no evidence-of-absence or verdict language is used anywhere; adjudication happens as the documented gate-resolution step after TH-b (H2a/H2b RoBMA).</t>
  </si>
  <si>
    <t xml:space="preserve">TAB-INDEX</t>
  </si>
  <si>
    <t xml:space="preserve">1_README | 2_Methodology | 3_Interpretation_Guide | 4_Formula_Reference | 5_Data_Provenance | 6_E_TOST_Battery | 7_H4_Break_Grid | 8_H6_H7_Transpl_Cumul | 9_H8_H9_Rolling_External | 10_H10_H11_pcurve_within | Results_Long | Manuscript_Inputs | Manuscript_Text_Blocks</t>
  </si>
  <si>
    <t xml:space="preserve">TH-a (Block E/H fast frequentist battery) · Methodology</t>
  </si>
  <si>
    <t xml:space="preserve">Quantity | Formula / Construction | Reference (project notation)</t>
  </si>
  <si>
    <t xml:space="preserve">Quantity</t>
  </si>
  <si>
    <t xml:space="preserve">Formula / Construction</t>
  </si>
  <si>
    <t xml:space="preserve">Reference</t>
  </si>
  <si>
    <t xml:space="preserve">Cell-means Paris model</t>
  </si>
  <si>
    <t xml:space="preserve">rma.mv with mods = ~ 0 + pp_cell on the period domain (2,705 ES / 113 studies / 112 clusters); diff = post - pre linear contrast; estimand identical to the T2/B1 moderator parameterization</t>
  </si>
  <si>
    <t xml:space="preserve">[DEC-024] [DEC-045 E-pins] [plan A.13]</t>
  </si>
  <si>
    <t xml:space="preserve">TOST equivalence machinery</t>
  </si>
  <si>
    <t xml:space="preserve">Two one-sided tests, each alpha = .05, equivalent to: 90% CI inside the band; TOST p = max(arm p); flag value = 1{90% CI inside band}; bands: E1 primary |r| = 0.070 (z = atanh = 0.070115), secondary 0.050; E2 secondary-SESOI band ±0.050 on the contrast</t>
  </si>
  <si>
    <t xml:space="preserve">Lakens (2017); Lakens et al. (2018) [PK]; [F27v2] [DEC-044 ladder]</t>
  </si>
  <si>
    <t xml:space="preserve">Inference spine</t>
  </si>
  <si>
    <t xml:space="preserve">3-level REML (random = ~1 | cluster_id/study/esid), CR2 cluster-robust SEs, Satterthwaite df; inference unit = cluster_id; rho = 0.6 CS working correlation in V</t>
  </si>
  <si>
    <t xml:space="preserve">Hedges et al. (2010); Pustejovsky &amp; Tipton (2022); Tipton &amp; Pustejovsky (2015) [PK]; [DEC-031]</t>
  </si>
  <si>
    <t xml:space="preserve">Optimizer ladder</t>
  </si>
  <si>
    <t xml:space="preserve">nlminb -&gt; BFGS -&gt; Nelder-Mead with metafor convergence certification on EVERY spine fit (148 certificates this run; 148/0 rung-1/fallback)</t>
  </si>
  <si>
    <t xml:space="preserve">[DEC-031f R2/R3] [DEC-045 every-spine-fit pin]</t>
  </si>
  <si>
    <t xml:space="preserve">H4 sup-break grid</t>
  </si>
  <si>
    <t xml:space="preserve">Cell-means break model per candidate year 2008-2019; admissible = Satterthwaite df &gt;= 5 on the break coefficient, computed ONCE on the observed design and held fixed for the TH-c permutation; observed statistic = sup |t|</t>
  </si>
  <si>
    <t xml:space="preserve">[DEC-024 transfer rule] [H-Q6/H-Q20] [DEC-045]</t>
  </si>
  <si>
    <t xml:space="preserve">H6 Zarea transplantation</t>
  </si>
  <si>
    <t xml:space="preserve">Zarea's Paris operationalization (study-midpoint rule WITH tie exclusion) applied within our 3L-RVE framework - the CODING is transplanted into the D31.1 spine, never the naive ES-level RE machinery</t>
  </si>
  <si>
    <t xml:space="preserve">[DEC-045/N8] (pinned wording)</t>
  </si>
  <si>
    <t xml:space="preserve">H7 cumulative MA</t>
  </si>
  <si>
    <t xml:space="preserve">Study-wise chronological refits; order = study median sample_mid, ties alphabetical; 113 steps; CI band from the first step with &gt;= 10 clusters (step 10)</t>
  </si>
  <si>
    <t xml:space="preserve">[DEC-045/H-Q17] [Annex H N10]</t>
  </si>
  <si>
    <t xml:space="preserve">H8 rolling windows</t>
  </si>
  <si>
    <t xml:space="preserve">Width 6 y, step 1 y, anchor 1998 (min sample_mid 1998.5); tiers: &gt;= 10 clusters full CR2 inference, 5-9 clusters descriptive point only, &lt; 5 not estimated</t>
  </si>
  <si>
    <t xml:space="preserve">[DEC-045 S6]</t>
  </si>
  <si>
    <t xml:space="preserve">H9 external comparison</t>
  </si>
  <si>
    <t xml:space="preserve">Descriptive channel comparison against the COE companion STUDY-LEVEL estimate (Table 3, 75 units); explicitly NO test (SE provenance incompatible)</t>
  </si>
  <si>
    <t xml:space="preserve">[DEC-045/H-Q10/N12]</t>
  </si>
  <si>
    <t xml:space="preserve">H10 conditional p-curve</t>
  </si>
  <si>
    <t xml:space="preserve">N13 rule: conditional on &gt;= 5 significant post-cell studies; selection = first-reported ES per post study (dat_prep row order); p reconstructed as 2*pnorm(-|zi|/sqrt(vi)); right-skew binomial + Stouffer, flatness vs. 33% power</t>
  </si>
  <si>
    <t xml:space="preserve">Simonsohn et al. (2014) [PK]; [Annex H/DEC-045 N13]</t>
  </si>
  <si>
    <t xml:space="preserve">H11 within-study display</t>
  </si>
  <si>
    <t xml:space="preserve">Studies with own pre- AND post-Paris ES, descriptive only, explicitly NO p-values; straddle inventory from pp_window_class == 'mixed'</t>
  </si>
  <si>
    <t xml:space="preserve">[DEC-045/N15/H-Q11]</t>
  </si>
  <si>
    <t xml:space="preserve">TH-a (Block E/H fast frequentist battery) · Interpretation Guide</t>
  </si>
  <si>
    <t xml:space="preserve">How to read each reported quantity; thresholds with citations</t>
  </si>
  <si>
    <t xml:space="preserve">Meaning</t>
  </si>
  <si>
    <t xml:space="preserve">Decision rule</t>
  </si>
  <si>
    <t xml:space="preserve">TOST flag ('value')</t>
  </si>
  <si>
    <t xml:space="preserve">1 = 90% CI inside the band, 0 = not; purely mechanical</t>
  </si>
  <si>
    <t xml:space="preserve">No equivalence language attached; gate-resolution step decides wording [DEC-044]</t>
  </si>
  <si>
    <t xml:space="preserve">TOST p</t>
  </si>
  <si>
    <t xml:space="preserve">max of the two one-sided arm p-values</t>
  </si>
  <si>
    <t xml:space="preserve">Compare to alpha = .05 mechanically; adjudication deferred</t>
  </si>
  <si>
    <t xml:space="preserve">diff rows</t>
  </si>
  <si>
    <t xml:space="preserve">Difference-of-z contrasts are z-only by convention; est_r = NA</t>
  </si>
  <si>
    <t xml:space="preserve">[template rule]</t>
  </si>
  <si>
    <t xml:space="preserve">Satterthwaite df</t>
  </si>
  <si>
    <t xml:space="preserve">Small-sample honest df per coefficient</t>
  </si>
  <si>
    <t xml:space="preserve">df &gt;= 4 required for trustworthy CR2 t-inference (Tipton &amp; Pustejovsky 2015 [PK]); H4 admissibility uses df &gt;= 5 [H-Q6]</t>
  </si>
  <si>
    <t xml:space="preserve">H4 sup |t|</t>
  </si>
  <si>
    <t xml:space="preserve">Largest absolute break statistic over the admissible candidate set</t>
  </si>
  <si>
    <t xml:space="preserve">Significance is NOT read from the pointwise p column; the reference distribution is the TH-c cluster time-translation permutation (single-home: TH_c workbook Tab '9_H4_Perm_Sup')</t>
  </si>
  <si>
    <t xml:space="preserve">H7 steps 1-9</t>
  </si>
  <si>
    <t xml:space="preserve">Cumulative estimates below the 10-cluster floor</t>
  </si>
  <si>
    <t xml:space="preserve">Point-only display; step_001 not_estimable by rule (single cluster; vcovCR guard, ERROR_LOG #12)</t>
  </si>
  <si>
    <t xml:space="preserve">H8 descriptive tier</t>
  </si>
  <si>
    <t xml:space="preserve">5-9 cluster windows</t>
  </si>
  <si>
    <t xml:space="preserve">Point estimate only, no CI/p by design [DEC-045 S6]</t>
  </si>
  <si>
    <t xml:space="preserve">H9 rows</t>
  </si>
  <si>
    <t xml:space="preserve">Own pooled (debt) vs. COE companion study-level</t>
  </si>
  <si>
    <t xml:space="preserve">Descriptive size comparison only; no formal test [N12]</t>
  </si>
  <si>
    <t xml:space="preserve">H10 tests</t>
  </si>
  <si>
    <t xml:space="preserve">Right-skew = evidential value; flatness = test against 33% power</t>
  </si>
  <si>
    <t xml:space="preserve">Read per Simonsohn et al. (2014); conditional battery, N13</t>
  </si>
  <si>
    <t xml:space="preserve">[DEC-044]</t>
  </si>
  <si>
    <t xml:space="preserve">TH-a (Block E/H fast frequentist battery) · Formula Reference</t>
  </si>
  <si>
    <t xml:space="preserve">Exact calls as implemented (from run notes / run_meta)</t>
  </si>
  <si>
    <t xml:space="preserve">R call</t>
  </si>
  <si>
    <t xml:space="preserve">Reference / script section</t>
  </si>
  <si>
    <t xml:space="preserve">Spine fit</t>
  </si>
  <si>
    <t xml:space="preserve">rma.mv(zi, V, mods = ~ 0 + pp_cell, random = ~ 1 | cluster_id/study/esid, method = 'REML', test = 't', sparse = TRUE) with optimizer ladder</t>
  </si>
  <si>
    <t xml:space="preserve">R/06 spine block</t>
  </si>
  <si>
    <t xml:space="preserve">CR2 inference</t>
  </si>
  <si>
    <t xml:space="preserve">clubSandwich::coef_test(fit, vcov = 'CR2', test = 'Satterthwaite'); CIs via conf_int(..., vcov = 'CR2')</t>
  </si>
  <si>
    <t xml:space="preserve">R/06</t>
  </si>
  <si>
    <t xml:space="preserve">Contrast (diff)</t>
  </si>
  <si>
    <t xml:space="preserve">clubSandwich::Wald_test / linear contrast c(-1, +1) on cell means, CR2, Satterthwaite df</t>
  </si>
  <si>
    <t xml:space="preserve">R/06 E2/H4/H6</t>
  </si>
  <si>
    <t xml:space="preserve">TOST arms</t>
  </si>
  <si>
    <t xml:space="preserve">pt((b - band)/se, df) upper arm; pt((b + band)/se, df, lower.tail = FALSE) lower arm; TOST p = max</t>
  </si>
  <si>
    <t xml:space="preserve">R/06 E-block [DEC-045 E-pins]</t>
  </si>
  <si>
    <t xml:space="preserve">90% CI (TOST rows)</t>
  </si>
  <si>
    <t xml:space="preserve">b ± qt(.95, df) * se</t>
  </si>
  <si>
    <t xml:space="preserve">Back-transform</t>
  </si>
  <si>
    <t xml:space="preserve">est_r = tanh(est_z); CI_r = tanh(CI_z) (never on diff rows)</t>
  </si>
  <si>
    <t xml:space="preserve">R/06 output writer</t>
  </si>
  <si>
    <t xml:space="preserve">H10 p reconstruction</t>
  </si>
  <si>
    <t xml:space="preserve">p_i = 2 * pnorm(-abs(zi)/sqrt(vi)); binomial: pbinom on p &lt; .025 half-share; Stouffer on pp-values; flatness vs. 33%-power NCP (sign-corrected, ERROR_LOG #11)</t>
  </si>
  <si>
    <t xml:space="preserve">R/06 H10 [N13]</t>
  </si>
  <si>
    <t xml:space="preserve">H7/H8 refits</t>
  </si>
  <si>
    <t xml:space="preserve">Same spine per cumulative step / rolling window subset; window filter on sample_mid in [a, a+6)</t>
  </si>
  <si>
    <t xml:space="preserve">R/06 H7/H8</t>
  </si>
  <si>
    <t xml:space="preserve">TH-a (Block E/H fast frequentist battery) · Data Provenance</t>
  </si>
  <si>
    <t xml:space="preserve">Estimation set, anchors, counters, environment, disclosures</t>
  </si>
  <si>
    <t xml:space="preserve">Source</t>
  </si>
  <si>
    <t xml:space="preserve">Estimation set / domain</t>
  </si>
  <si>
    <t xml:space="preserve">2,713 ES / 115 studies / 114 clusters (E1 pooled, full estimation set); period domain 2,705 / 113 / 112 for all Paris-cell analyses</t>
  </si>
  <si>
    <t xml:space="preserve">TH_a_results.csv; [DEC-045]</t>
  </si>
  <si>
    <t xml:space="preserve">dat_prep md5</t>
  </si>
  <si>
    <t xml:space="preserve">6702ef3dc45fe0b693b13f50ebd1576b (identical in TH_a_run_meta and TH_c_run_meta - cross-run anchor)</t>
  </si>
  <si>
    <t xml:space="preserve">run_meta both runs</t>
  </si>
  <si>
    <t xml:space="preserve">Run stamp / verifier</t>
  </si>
  <si>
    <t xml:space="preserve">2026-07-24 22:46:16 · R/06_verify_outputs.R 17/17 PASS · chat-side artefact check 2026-07-26 18/18 PASS (anchors, arithmetic, inventories, cross-run)</t>
  </si>
  <si>
    <t xml:space="preserve">session log §1</t>
  </si>
  <si>
    <t xml:space="preserve">Runtime</t>
  </si>
  <si>
    <t xml:space="preserve">Not recorded in run_meta; projected 45-70 min per plan A.13 (fast frequentist batch)</t>
  </si>
  <si>
    <t xml:space="preserve">plan A.13</t>
  </si>
  <si>
    <t xml:space="preserve">Ladder balance</t>
  </si>
  <si>
    <t xml:space="preserve">148 spine fits, ALL converged at rung 1 (nlminb, metafor-certified); zero fallbacks, zero failures [§6(ii)]</t>
  </si>
  <si>
    <t xml:space="preserve">TH_a_run_meta certificates</t>
  </si>
  <si>
    <t xml:space="preserve">H7 step_001</t>
  </si>
  <si>
    <t xml:space="preserve">not_estimable by rule: single cluster, vcovCR guard fires (ERROR_LOG #12 lesson); all downstream steps estimable</t>
  </si>
  <si>
    <t xml:space="preserve">TH_a_results.csv H7</t>
  </si>
  <si>
    <t xml:space="preserve">H6 tie inventory</t>
  </si>
  <si>
    <t xml:space="preserve">79 ES / 5 studies / 5 clusters tied at sample_mid = 2015.5 (Ho &amp; Wong 2023; Kordschia 2020; Owolabi et al 2024; Ririmasse et al 2026; Xiang &amp; Gong 2026); post cell 31 -&gt; 26 studies under tie exclusion</t>
  </si>
  <si>
    <t xml:space="preserve">TH_design h6_tie_inventory</t>
  </si>
  <si>
    <t xml:space="preserve">H4 admissible set</t>
  </si>
  <si>
    <t xml:space="preserve">12 years (2008-2019), Satterthwaite df &gt;= 5 rule, computed once and held fixed for the TH-c permutation</t>
  </si>
  <si>
    <t xml:space="preserve">TH_design h4_admissible_years [H-Q20]</t>
  </si>
  <si>
    <t xml:space="preserve">H11 inventory</t>
  </si>
  <si>
    <t xml:space="preserve">73 straddling studies; 72 pool across the break; single within-split study = Li et al (2022)</t>
  </si>
  <si>
    <t xml:space="preserve">TH_design h11_* rows</t>
  </si>
  <si>
    <t xml:space="preserve">Repo basis</t>
  </si>
  <si>
    <t xml:space="preserve">5a99de6 -&gt; e44fce7 (#12) -&gt; fce9d3a (#13) -&gt; dafd95e (#14); family commit lands on dafd95e (main = origin)</t>
  </si>
  <si>
    <t xml:space="preserve">Environment</t>
  </si>
  <si>
    <t xml:space="preserve">R 4.6.1 ucrt · Windows 11 x64 (26200) · locale German_Austria.utf8 / LC_NUMERIC = C · TZ Europe/Vienna · metafor 5.0-1, clubSandwich 0.7.0, Matrix 1.7-5, readr 2.2.0, here 1.0.2</t>
  </si>
  <si>
    <t xml:space="preserve">TH_a_run_meta sessionInfo</t>
  </si>
  <si>
    <t xml:space="preserve">Companion caveat</t>
  </si>
  <si>
    <t xml:space="preserve">COE between-study variance (~0.00045) is a best-case lower bound vs. COD (~0.029): factor ~65 in variance, ~8 in MDE units - disclose whenever comparing across companions</t>
  </si>
  <si>
    <t xml:space="preserve">[project pin; see TH_c H1 S4 mapping]</t>
  </si>
  <si>
    <t xml:space="preserve">TH-a (Block E/H fast frequentist battery) · Block E - equivalence battery (E1 pooled TOST · E2 Paris-contrast TOST · E3 gate configuration)</t>
  </si>
  <si>
    <t xml:space="preserve">Mechanical flags only; CI columns on tost rows carry the 90% CI (TOST convention); mean rows carry 95% CIs.</t>
  </si>
  <si>
    <t xml:space="preserve">Panel row</t>
  </si>
  <si>
    <t xml:space="preserve">analysis_id</t>
  </si>
  <si>
    <t xml:space="preserve">spec</t>
  </si>
  <si>
    <t xml:space="preserve">subset</t>
  </si>
  <si>
    <t xml:space="preserve">term</t>
  </si>
  <si>
    <t xml:space="preserve">RL row</t>
  </si>
  <si>
    <t xml:space="preserve">k_es</t>
  </si>
  <si>
    <t xml:space="preserve">k_st</t>
  </si>
  <si>
    <t xml:space="preserve">k_cl</t>
  </si>
  <si>
    <t xml:space="preserve">est_z</t>
  </si>
  <si>
    <t xml:space="preserve">ci_lb_z</t>
  </si>
  <si>
    <t xml:space="preserve">ci_ub_z</t>
  </si>
  <si>
    <t xml:space="preserve">est_r</t>
  </si>
  <si>
    <t xml:space="preserve">ci_lb_r</t>
  </si>
  <si>
    <t xml:space="preserve">ci_ub_r</t>
  </si>
  <si>
    <t xml:space="preserve">se_z</t>
  </si>
  <si>
    <t xml:space="preserve">t</t>
  </si>
  <si>
    <t xml:space="preserve">df</t>
  </si>
  <si>
    <t xml:space="preserve">p</t>
  </si>
  <si>
    <t xml:space="preserve">value</t>
  </si>
  <si>
    <t xml:space="preserve">note (verbatim)</t>
  </si>
  <si>
    <t xml:space="preserve">E1 pooled mean (full estimation set)</t>
  </si>
  <si>
    <t xml:space="preserve">E1</t>
  </si>
  <si>
    <t xml:space="preserve">tost_pooled</t>
  </si>
  <si>
    <t xml:space="preserve">defined</t>
  </si>
  <si>
    <t xml:space="preserve">pooled_mean</t>
  </si>
  <si>
    <t xml:space="preserve">E1 TOST band |r| = 0.070 (PRIMARY)</t>
  </si>
  <si>
    <t xml:space="preserve">tost_band_0.070</t>
  </si>
  <si>
    <t xml:space="preserve">E1 TOST band |r| = 0.050 (secondary)</t>
  </si>
  <si>
    <t xml:space="preserve">tost_band_0.050</t>
  </si>
  <si>
    <t xml:space="preserve">E2 cell pre (headline coding)</t>
  </si>
  <si>
    <t xml:space="preserve">E2</t>
  </si>
  <si>
    <t xml:space="preserve">tost_paris</t>
  </si>
  <si>
    <t xml:space="preserve">cell_pre</t>
  </si>
  <si>
    <t xml:space="preserve">E2 cell post</t>
  </si>
  <si>
    <t xml:space="preserve">cell_post</t>
  </si>
  <si>
    <t xml:space="preserve">E2 diff = post - pre (z-only)</t>
  </si>
  <si>
    <t xml:space="preserve">diff</t>
  </si>
  <si>
    <t xml:space="preserve">E2 TOST band ±0.050 on diff</t>
  </si>
  <si>
    <t xml:space="preserve">E3 gate config: E2 requirement</t>
  </si>
  <si>
    <t xml:space="preserve">E3</t>
  </si>
  <si>
    <t xml:space="preserve">gate</t>
  </si>
  <si>
    <t xml:space="preserve">config_e2_requirement</t>
  </si>
  <si>
    <t xml:space="preserve">E3 gate config: BF01 ladder</t>
  </si>
  <si>
    <t xml:space="preserve">config_bf_ladder</t>
  </si>
  <si>
    <t xml:space="preserve">E3 gate status</t>
  </si>
  <si>
    <t xml:space="preserve">status</t>
  </si>
  <si>
    <t xml:space="preserve">Interpretation</t>
  </si>
  <si>
    <t xml:space="preserve">Mechanical reading only: 'value' = 1{90% CI inside band}; TOST p = max of the two one-sided arms.</t>
  </si>
  <si>
    <t xml:space="preserve">Ex-ante expectation pinned result-blind [DEC-044/DEC-045]: the E1 primary-band arm was EXPECTED to fail (T1 CI edge -0.086); E2 adjudicates Tier 1, E1 calibrates the Tier-2 wording only (see row notes, verbatim).</t>
  </si>
  <si>
    <t xml:space="preserve">E1/E2 flags feed the documented gate-resolution step together with the TH-b Bayes factors (H2b); no equivalence language is attached in this workbook.</t>
  </si>
  <si>
    <t xml:space="preserve">Question</t>
  </si>
  <si>
    <t xml:space="preserve">Answer</t>
  </si>
  <si>
    <t xml:space="preserve">Why a 90% CI on the TOST rows?</t>
  </si>
  <si>
    <t xml:space="preserve">Two one-sided tests at alpha = .05 each are jointly equivalent to the 90% two-sided CI lying inside the band (Lakens 2017; Lakens et al. 2018); the mean rows keep conventional 95% CIs.</t>
  </si>
  <si>
    <t xml:space="preserve">Why bands 0.070 and 0.050?</t>
  </si>
  <si>
    <t xml:space="preserve">|r| = 0.070 is the pre-registered primary SESOI (F27v2); ±0.05 is the secondary band of the DEC-044 claim ladder; both were pinned before any Block-E estimate existed [DEC-045 E-pins].</t>
  </si>
  <si>
    <t xml:space="preserve">Does an E2 pass already license 'evidence of absence'?</t>
  </si>
  <si>
    <t xml:space="preserve">No. The language gate combines E2 with the H2b BF01 ladder and resolves only as a documented post-TH-b step [DEC-044]; this workbook reports mechanical flags.</t>
  </si>
  <si>
    <t xml:space="preserve">Verdict: Mechanical outcome: E1 equivalence flags = 0 at both bands; E2 secondary-band flag = 1 (see 'value' column); adjudication deferred to the documented gate-resolution step [DEC-044].</t>
  </si>
  <si>
    <t xml:space="preserve">TH-a (Block E/H fast frequentist battery) · H4 - sup-break grid over admissible candidate years (2008-2019)</t>
  </si>
  <si>
    <t xml:space="preserve">Break coefficient per candidate year, cell-means parameterization; observed statistic = sup |t|; reference distribution single-homed in the TH-c workbook (Tab '9_H4_Perm_Sup').</t>
  </si>
  <si>
    <t xml:space="preserve">year</t>
  </si>
  <si>
    <t xml:space="preserve">|t| (helper)</t>
  </si>
  <si>
    <t xml:space="preserve">break 2008</t>
  </si>
  <si>
    <t xml:space="preserve">H4</t>
  </si>
  <si>
    <t xml:space="preserve">break_2008</t>
  </si>
  <si>
    <t xml:space="preserve">break</t>
  </si>
  <si>
    <t xml:space="preserve">break 2009</t>
  </si>
  <si>
    <t xml:space="preserve">break_2009</t>
  </si>
  <si>
    <t xml:space="preserve">break 2010</t>
  </si>
  <si>
    <t xml:space="preserve">break_2010</t>
  </si>
  <si>
    <t xml:space="preserve">break 2011</t>
  </si>
  <si>
    <t xml:space="preserve">break_2011</t>
  </si>
  <si>
    <t xml:space="preserve">break 2012</t>
  </si>
  <si>
    <t xml:space="preserve">break_2012</t>
  </si>
  <si>
    <t xml:space="preserve">break 2013</t>
  </si>
  <si>
    <t xml:space="preserve">break_2013</t>
  </si>
  <si>
    <t xml:space="preserve">break 2014</t>
  </si>
  <si>
    <t xml:space="preserve">break_2014</t>
  </si>
  <si>
    <t xml:space="preserve">break 2015</t>
  </si>
  <si>
    <t xml:space="preserve">break_2015</t>
  </si>
  <si>
    <t xml:space="preserve">break 2016</t>
  </si>
  <si>
    <t xml:space="preserve">break_2016</t>
  </si>
  <si>
    <t xml:space="preserve">break 2017</t>
  </si>
  <si>
    <t xml:space="preserve">break_2017</t>
  </si>
  <si>
    <t xml:space="preserve">break 2018</t>
  </si>
  <si>
    <t xml:space="preserve">break_2018</t>
  </si>
  <si>
    <t xml:space="preserve">break 2019</t>
  </si>
  <si>
    <t xml:space="preserve">break_2019</t>
  </si>
  <si>
    <t xml:space="preserve">observed sup |t| (over admissible set)</t>
  </si>
  <si>
    <t xml:space="preserve">sup_break</t>
  </si>
  <si>
    <t xml:space="preserve">observed_sup</t>
  </si>
  <si>
    <t xml:space="preserve">max |t| over grid (helper):</t>
  </si>
  <si>
    <t xml:space="preserve">argmax year:</t>
  </si>
  <si>
    <t xml:space="preserve">identity check vs. observed_sup (must be 0):</t>
  </si>
  <si>
    <t xml:space="preserve">Admissibility = Satterthwaite df &gt;= 5 on the break coefficient [DEC-024 transfer rule / H-Q6]; the set (12 years) was computed once on the observed design and held fixed for the TH-c permutation [H-Q20].</t>
  </si>
  <si>
    <t xml:space="preserve">Pointwise p-values in the grid are NOT the inferential object; the sup statistic is referred to the cluster time-translation permutation distribution (TH-c, single-home).</t>
  </si>
  <si>
    <t xml:space="preserve">The per-year |t| and df listing is carried verbatim in the observed_sup row note.</t>
  </si>
  <si>
    <t xml:space="preserve">Why is the largest |t| at 2009 not read against its pointwise p?</t>
  </si>
  <si>
    <t xml:space="preserve">A supremum over 12 candidate years inflates the pointwise error rate; the pre-registered reference is the joint permutation distribution of the sup statistic [H-Q16/H-Q20], reported in the TH-c workbook.</t>
  </si>
  <si>
    <t xml:space="preserve">Several early years have low df - are those t-statistics trustworthy?</t>
  </si>
  <si>
    <t xml:space="preserve">Satterthwaite df are reported per year; low-df years (e.g. 2009: df 6.3) remain above the df &gt;= 5 admissibility floor but below comfortable territory - exactly why the permutation, not the t-reference, carries the inference.</t>
  </si>
  <si>
    <t xml:space="preserve">Verdict: Mechanical outcome: observed supremum attained at the argmax year shown in the helper block (identity check = 0 vs. Results_Long); reference distribution single-homed in TH_c workbook Tab '9_H4_Perm_Sup'; adjudication deferred to the documented gate-resolution step [DEC-044].</t>
  </si>
  <si>
    <t xml:space="preserve">TH-a (Block E/H fast frequentist battery) · H6 - Zarea-operationalization transplant · H7 - cumulative meta-analysis (113 steps)</t>
  </si>
  <si>
    <t xml:space="preserve">H6: midpoint rule WITH tie exclusion, run on the D31.1 3L-RVE spine (coding transplant, never Zarea's naive ES-level machinery). H7: chronological study-wise refits; CI band from step 10 (&gt;= 10 clusters).</t>
  </si>
  <si>
    <t xml:space="preserve">H6 cell pre (midpoint rule)</t>
  </si>
  <si>
    <t xml:space="preserve">H6</t>
  </si>
  <si>
    <t xml:space="preserve">zarea_transplant</t>
  </si>
  <si>
    <t xml:space="preserve">H6 cell post (ties excluded)</t>
  </si>
  <si>
    <t xml:space="preserve">H6 diff = post - pre (z-only)</t>
  </si>
  <si>
    <t xml:space="preserve">df_Satt</t>
  </si>
  <si>
    <t xml:space="preserve">H6 tie inventory (design)</t>
  </si>
  <si>
    <t xml:space="preserve">TH_design</t>
  </si>
  <si>
    <t xml:space="preserve">design</t>
  </si>
  <si>
    <t xml:space="preserve">h6_tie_inventory</t>
  </si>
  <si>
    <t xml:space="preserve">step_001 (+ Nandy, Lodh (2012))</t>
  </si>
  <si>
    <t xml:space="preserve">H7</t>
  </si>
  <si>
    <t xml:space="preserve">cumulative</t>
  </si>
  <si>
    <t xml:space="preserve">Nandy, Lodh (2012)</t>
  </si>
  <si>
    <t xml:space="preserve">step_001</t>
  </si>
  <si>
    <t xml:space="preserve">step_002 (+ Chava (2010))</t>
  </si>
  <si>
    <t xml:space="preserve">Chava (2010)</t>
  </si>
  <si>
    <t xml:space="preserve">step_002</t>
  </si>
  <si>
    <t xml:space="preserve">step_003 (+ Schneider (2010))</t>
  </si>
  <si>
    <t xml:space="preserve">Schneider (2010)</t>
  </si>
  <si>
    <t xml:space="preserve">step_003</t>
  </si>
  <si>
    <t xml:space="preserve">step_004 (+ Chava (2014))</t>
  </si>
  <si>
    <t xml:space="preserve">Chava (2014)</t>
  </si>
  <si>
    <t xml:space="preserve">step_004</t>
  </si>
  <si>
    <t xml:space="preserve">step_005 (+ Oikonomou et al (2014))</t>
  </si>
  <si>
    <t xml:space="preserve">Oikonomou et al (2014)</t>
  </si>
  <si>
    <t xml:space="preserve">step_005</t>
  </si>
  <si>
    <t xml:space="preserve">step_006 (+ Bauer, Hann (2010))</t>
  </si>
  <si>
    <t xml:space="preserve">Bauer, Hann (2010)</t>
  </si>
  <si>
    <t xml:space="preserve">step_006</t>
  </si>
  <si>
    <t xml:space="preserve">step_007 (+ Ge, Liu (2015))</t>
  </si>
  <si>
    <t xml:space="preserve">Ge, Liu (2015)</t>
  </si>
  <si>
    <t xml:space="preserve">step_007</t>
  </si>
  <si>
    <t xml:space="preserve">step_008 (+ Jiraporn et al (2014))</t>
  </si>
  <si>
    <t xml:space="preserve">Jiraporn et al (2014)</t>
  </si>
  <si>
    <t xml:space="preserve">step_008</t>
  </si>
  <si>
    <t xml:space="preserve">step_009 (+ Chen et al (2020))</t>
  </si>
  <si>
    <t xml:space="preserve">Chen et al (2020)</t>
  </si>
  <si>
    <t xml:space="preserve">step_009</t>
  </si>
  <si>
    <t xml:space="preserve">step_010 (+ Chen, Gao (2011))</t>
  </si>
  <si>
    <t xml:space="preserve">Chen, Gao (2011)</t>
  </si>
  <si>
    <t xml:space="preserve">step_010</t>
  </si>
  <si>
    <t xml:space="preserve">step_011 (+ Chodnicka-Jaworska (2022))</t>
  </si>
  <si>
    <t xml:space="preserve">Chodnicka-Jaworska (2022)</t>
  </si>
  <si>
    <t xml:space="preserve">step_011</t>
  </si>
  <si>
    <t xml:space="preserve">step_012 (+ Erragragui (2018))</t>
  </si>
  <si>
    <t xml:space="preserve">Erragragui (2018)</t>
  </si>
  <si>
    <t xml:space="preserve">step_012</t>
  </si>
  <si>
    <t xml:space="preserve">step_013 (+ Zheng (2021))</t>
  </si>
  <si>
    <t xml:space="preserve">Zheng (2021)</t>
  </si>
  <si>
    <t xml:space="preserve">step_013</t>
  </si>
  <si>
    <t xml:space="preserve">step_014 (+ Li et al (2014))</t>
  </si>
  <si>
    <t xml:space="preserve">Li et al (2014)</t>
  </si>
  <si>
    <t xml:space="preserve">step_014</t>
  </si>
  <si>
    <t xml:space="preserve">step_015 (+ Hoepner et al (2016))</t>
  </si>
  <si>
    <t xml:space="preserve">Hoepner et al (2016)</t>
  </si>
  <si>
    <t xml:space="preserve">step_015</t>
  </si>
  <si>
    <t xml:space="preserve">step_016 (+ Wang et al (2020))</t>
  </si>
  <si>
    <t xml:space="preserve">Wang et al (2020)</t>
  </si>
  <si>
    <t xml:space="preserve">step_016</t>
  </si>
  <si>
    <t xml:space="preserve">step_017 (+ D'Arcangelo et al (2025))</t>
  </si>
  <si>
    <t xml:space="preserve">D'Arcangelo et al (2025)</t>
  </si>
  <si>
    <t xml:space="preserve">step_017</t>
  </si>
  <si>
    <t xml:space="preserve">step_018 (+ Du et al (2015))</t>
  </si>
  <si>
    <t xml:space="preserve">Du et al (2015)</t>
  </si>
  <si>
    <t xml:space="preserve">step_018</t>
  </si>
  <si>
    <t xml:space="preserve">step_019 (+ Hansen &amp; Marcet (2025))</t>
  </si>
  <si>
    <t xml:space="preserve">Hansen &amp; Marcet (2025)</t>
  </si>
  <si>
    <t xml:space="preserve">step_019</t>
  </si>
  <si>
    <t xml:space="preserve">step_020 (+ Trinh et al (2024))</t>
  </si>
  <si>
    <t xml:space="preserve">Trinh et al (2024)</t>
  </si>
  <si>
    <t xml:space="preserve">step_020</t>
  </si>
  <si>
    <t xml:space="preserve">step_021 (+ Al-Fakir Al Rabab'a et al (2023))</t>
  </si>
  <si>
    <t xml:space="preserve">Al-Fakir Al Rabab'a et al (2023)</t>
  </si>
  <si>
    <t xml:space="preserve">step_021</t>
  </si>
  <si>
    <t xml:space="preserve">step_022 (+ Attig et al (2025))</t>
  </si>
  <si>
    <t xml:space="preserve">Attig et al (2025)</t>
  </si>
  <si>
    <t xml:space="preserve">step_022</t>
  </si>
  <si>
    <t xml:space="preserve">step_023 (+ Bannier et al (2022))</t>
  </si>
  <si>
    <t xml:space="preserve">Bannier et al (2022)</t>
  </si>
  <si>
    <t xml:space="preserve">step_023</t>
  </si>
  <si>
    <t xml:space="preserve">step_024 (+ Drago, Carnevale (2020))</t>
  </si>
  <si>
    <t xml:space="preserve">Drago, Carnevale (2020)</t>
  </si>
  <si>
    <t xml:space="preserve">step_024</t>
  </si>
  <si>
    <t xml:space="preserve">step_025 (+ Eichholtz et al (2019))</t>
  </si>
  <si>
    <t xml:space="preserve">Eichholtz et al (2019)</t>
  </si>
  <si>
    <t xml:space="preserve">step_025</t>
  </si>
  <si>
    <t xml:space="preserve">step_026 (+ Eliwa et al (2021))</t>
  </si>
  <si>
    <t xml:space="preserve">Eliwa et al (2021)</t>
  </si>
  <si>
    <t xml:space="preserve">step_026</t>
  </si>
  <si>
    <t xml:space="preserve">step_027 (+ Salvi et al (2021))</t>
  </si>
  <si>
    <t xml:space="preserve">Salvi et al (2021)</t>
  </si>
  <si>
    <t xml:space="preserve">step_027</t>
  </si>
  <si>
    <t xml:space="preserve">step_028 (+ Fonseka et al (2019a))</t>
  </si>
  <si>
    <t xml:space="preserve">Fonseka et al (2019a)</t>
  </si>
  <si>
    <t xml:space="preserve">step_028</t>
  </si>
  <si>
    <t xml:space="preserve">step_029 (+ Fonseka et al (2019b))</t>
  </si>
  <si>
    <t xml:space="preserve">Fonseka et al (2019b)</t>
  </si>
  <si>
    <t xml:space="preserve">step_029</t>
  </si>
  <si>
    <t xml:space="preserve">step_030 (+ Jung et al (2016))</t>
  </si>
  <si>
    <t xml:space="preserve">Jung et al (2016)</t>
  </si>
  <si>
    <t xml:space="preserve">step_030</t>
  </si>
  <si>
    <t xml:space="preserve">step_031 (+ Li &amp; Qiu (2026))</t>
  </si>
  <si>
    <t xml:space="preserve">Li &amp; Qiu (2026)</t>
  </si>
  <si>
    <t xml:space="preserve">step_031</t>
  </si>
  <si>
    <t xml:space="preserve">step_032 (+ Safiullah et al (2021))</t>
  </si>
  <si>
    <t xml:space="preserve">Safiullah et al (2021)</t>
  </si>
  <si>
    <t xml:space="preserve">step_032</t>
  </si>
  <si>
    <t xml:space="preserve">step_033 (+ Atif, Ali (2021))</t>
  </si>
  <si>
    <t xml:space="preserve">Atif, Ali (2021)</t>
  </si>
  <si>
    <t xml:space="preserve">step_033</t>
  </si>
  <si>
    <t xml:space="preserve">step_034 (+ Delis et al (2021))</t>
  </si>
  <si>
    <t xml:space="preserve">Delis et al (2021)</t>
  </si>
  <si>
    <t xml:space="preserve">step_034</t>
  </si>
  <si>
    <t xml:space="preserve">step_035 (+ Höck et al (2020))</t>
  </si>
  <si>
    <t xml:space="preserve">Höck et al (2020)</t>
  </si>
  <si>
    <t xml:space="preserve">step_035</t>
  </si>
  <si>
    <t xml:space="preserve">step_036 (+ Yang et al (2024))</t>
  </si>
  <si>
    <t xml:space="preserve">Yang et al (2024)</t>
  </si>
  <si>
    <t xml:space="preserve">step_036</t>
  </si>
  <si>
    <t xml:space="preserve">step_037 (+ Cubas, Martinez (2018))</t>
  </si>
  <si>
    <t xml:space="preserve">Cubas, Martinez (2018)</t>
  </si>
  <si>
    <t xml:space="preserve">step_037</t>
  </si>
  <si>
    <t xml:space="preserve">step_038 (+ Drago et al (2018))</t>
  </si>
  <si>
    <t xml:space="preserve">Drago et al (2018)</t>
  </si>
  <si>
    <t xml:space="preserve">step_038</t>
  </si>
  <si>
    <t xml:space="preserve">step_039 (+ Ehlers et al (2021))</t>
  </si>
  <si>
    <t xml:space="preserve">Ehlers et al (2021)</t>
  </si>
  <si>
    <t xml:space="preserve">step_039</t>
  </si>
  <si>
    <t xml:space="preserve">step_040 (+ Li et al (2022))</t>
  </si>
  <si>
    <t xml:space="preserve">Li et al (2022)</t>
  </si>
  <si>
    <t xml:space="preserve">step_040</t>
  </si>
  <si>
    <t xml:space="preserve">step_041 (+ Ofogbe et al (2021))</t>
  </si>
  <si>
    <t xml:space="preserve">Ofogbe et al (2021)</t>
  </si>
  <si>
    <t xml:space="preserve">step_041</t>
  </si>
  <si>
    <t xml:space="preserve">step_042 (+ Okimoto &amp; Takaoka (2024))</t>
  </si>
  <si>
    <t xml:space="preserve">Okimoto &amp; Takaoka (2024)</t>
  </si>
  <si>
    <t xml:space="preserve">step_042</t>
  </si>
  <si>
    <t xml:space="preserve">step_043 (+ Safiullah et al (2025))</t>
  </si>
  <si>
    <t xml:space="preserve">Safiullah et al (2025)</t>
  </si>
  <si>
    <t xml:space="preserve">step_043</t>
  </si>
  <si>
    <t xml:space="preserve">step_044 (+ Truong, Kim (2019))</t>
  </si>
  <si>
    <t xml:space="preserve">Truong, Kim (2019)</t>
  </si>
  <si>
    <t xml:space="preserve">step_044</t>
  </si>
  <si>
    <t xml:space="preserve">step_045 (+ Wu et al (2020))</t>
  </si>
  <si>
    <t xml:space="preserve">Wu et al (2020)</t>
  </si>
  <si>
    <t xml:space="preserve">step_045</t>
  </si>
  <si>
    <t xml:space="preserve">step_046 (+ Zhou et al (2024))</t>
  </si>
  <si>
    <t xml:space="preserve">Zhou et al (2024)</t>
  </si>
  <si>
    <t xml:space="preserve">step_046</t>
  </si>
  <si>
    <t xml:space="preserve">step_047 (+ Ali et al (2023))</t>
  </si>
  <si>
    <t xml:space="preserve">Ali et al (2023)</t>
  </si>
  <si>
    <t xml:space="preserve">step_047</t>
  </si>
  <si>
    <t xml:space="preserve">step_048 (+ Hamrouni et al (2019a))</t>
  </si>
  <si>
    <t xml:space="preserve">Hamrouni et al (2019a)</t>
  </si>
  <si>
    <t xml:space="preserve">step_048</t>
  </si>
  <si>
    <t xml:space="preserve">step_049 (+ Hu et al (2024))</t>
  </si>
  <si>
    <t xml:space="preserve">Hu et al (2024)</t>
  </si>
  <si>
    <t xml:space="preserve">step_049</t>
  </si>
  <si>
    <t xml:space="preserve">step_050 (+ Jang et al (2020))</t>
  </si>
  <si>
    <t xml:space="preserve">Jang et al (2020)</t>
  </si>
  <si>
    <t xml:space="preserve">step_050</t>
  </si>
  <si>
    <t xml:space="preserve">step_051 (+ Kleimeier, Viehs (2021))</t>
  </si>
  <si>
    <t xml:space="preserve">Kleimeier, Viehs (2021)</t>
  </si>
  <si>
    <t xml:space="preserve">step_051</t>
  </si>
  <si>
    <t xml:space="preserve">step_052 (+ Lemma et al (2017))</t>
  </si>
  <si>
    <t xml:space="preserve">Lemma et al (2017)</t>
  </si>
  <si>
    <t xml:space="preserve">step_052</t>
  </si>
  <si>
    <t xml:space="preserve">step_053 (+ Mahmoudian et al (2023))</t>
  </si>
  <si>
    <t xml:space="preserve">Mahmoudian et al (2023)</t>
  </si>
  <si>
    <t xml:space="preserve">step_053</t>
  </si>
  <si>
    <t xml:space="preserve">step_054 (+ Okimoto, Takaoka (2022))</t>
  </si>
  <si>
    <t xml:space="preserve">Okimoto, Takaoka (2022)</t>
  </si>
  <si>
    <t xml:space="preserve">step_054</t>
  </si>
  <si>
    <t xml:space="preserve">step_055 (+ Sandra et al (2021))</t>
  </si>
  <si>
    <t xml:space="preserve">Sandra et al (2021)</t>
  </si>
  <si>
    <t xml:space="preserve">step_055</t>
  </si>
  <si>
    <t xml:space="preserve">step_056 (+ Shad et al (2022))</t>
  </si>
  <si>
    <t xml:space="preserve">Shad et al (2022)</t>
  </si>
  <si>
    <t xml:space="preserve">step_056</t>
  </si>
  <si>
    <t xml:space="preserve">step_057 (+ Maaloul, Wegener (2021))</t>
  </si>
  <si>
    <t xml:space="preserve">Maaloul, Wegener (2021)</t>
  </si>
  <si>
    <t xml:space="preserve">step_057</t>
  </si>
  <si>
    <t xml:space="preserve">step_058 (+ Seltzer et al (2022))</t>
  </si>
  <si>
    <t xml:space="preserve">Seltzer et al (2022)</t>
  </si>
  <si>
    <t xml:space="preserve">step_058</t>
  </si>
  <si>
    <t xml:space="preserve">step_059 (+ Zhou et al (2018))</t>
  </si>
  <si>
    <t xml:space="preserve">Zhou et al (2018)</t>
  </si>
  <si>
    <t xml:space="preserve">step_059</t>
  </si>
  <si>
    <t xml:space="preserve">step_060 (+ Caragnano et al (2020))</t>
  </si>
  <si>
    <t xml:space="preserve">Caragnano et al (2020)</t>
  </si>
  <si>
    <t xml:space="preserve">step_060</t>
  </si>
  <si>
    <t xml:space="preserve">step_061 (+ Dumrose &amp; Höck (2023))</t>
  </si>
  <si>
    <t xml:space="preserve">Dumrose &amp; Höck (2023)</t>
  </si>
  <si>
    <t xml:space="preserve">step_061</t>
  </si>
  <si>
    <t xml:space="preserve">step_062 (+ Duong et al (2025))</t>
  </si>
  <si>
    <t xml:space="preserve">Duong et al (2025)</t>
  </si>
  <si>
    <t xml:space="preserve">step_062</t>
  </si>
  <si>
    <t xml:space="preserve">step_063 (+ Kim &amp; Pouget (2026))</t>
  </si>
  <si>
    <t xml:space="preserve">Kim &amp; Pouget (2026)</t>
  </si>
  <si>
    <t xml:space="preserve">step_063</t>
  </si>
  <si>
    <t xml:space="preserve">step_064 (+ Pizzutilo et al (2020))</t>
  </si>
  <si>
    <t xml:space="preserve">Pizzutilo et al (2020)</t>
  </si>
  <si>
    <t xml:space="preserve">step_064</t>
  </si>
  <si>
    <t xml:space="preserve">step_065 (+ Srivisal et al (2021))</t>
  </si>
  <si>
    <t xml:space="preserve">Srivisal et al (2021)</t>
  </si>
  <si>
    <t xml:space="preserve">step_065</t>
  </si>
  <si>
    <t xml:space="preserve">step_066 (+ Sze et al (2021))</t>
  </si>
  <si>
    <t xml:space="preserve">Sze et al (2021)</t>
  </si>
  <si>
    <t xml:space="preserve">step_066</t>
  </si>
  <si>
    <t xml:space="preserve">step_067 (+ Zhang et al (2023))</t>
  </si>
  <si>
    <t xml:space="preserve">Zhang et al (2023)</t>
  </si>
  <si>
    <t xml:space="preserve">step_067</t>
  </si>
  <si>
    <t xml:space="preserve">step_068 (+ Azmi et al (2021))</t>
  </si>
  <si>
    <t xml:space="preserve">Azmi et al (2021)</t>
  </si>
  <si>
    <t xml:space="preserve">step_068</t>
  </si>
  <si>
    <t xml:space="preserve">step_069 (+ Borsuk &amp; Shrimali (2026))</t>
  </si>
  <si>
    <t xml:space="preserve">Borsuk &amp; Shrimali (2026)</t>
  </si>
  <si>
    <t xml:space="preserve">step_069</t>
  </si>
  <si>
    <t xml:space="preserve">step_070 (+ Christ et al (2022))</t>
  </si>
  <si>
    <t xml:space="preserve">Christ et al (2022)</t>
  </si>
  <si>
    <t xml:space="preserve">step_070</t>
  </si>
  <si>
    <t xml:space="preserve">step_071 (+ Hui et al (2024))</t>
  </si>
  <si>
    <t xml:space="preserve">Hui et al (2024)</t>
  </si>
  <si>
    <t xml:space="preserve">step_071</t>
  </si>
  <si>
    <t xml:space="preserve">step_072 (+ Kölbel et al (2020))</t>
  </si>
  <si>
    <t xml:space="preserve">Kölbel et al (2020)</t>
  </si>
  <si>
    <t xml:space="preserve">step_072</t>
  </si>
  <si>
    <t xml:space="preserve">step_073 (+ Ma et al (2022))</t>
  </si>
  <si>
    <t xml:space="preserve">Ma et al (2022)</t>
  </si>
  <si>
    <t xml:space="preserve">step_073</t>
  </si>
  <si>
    <t xml:space="preserve">step_074 (+ Palea, Drogo (2020))</t>
  </si>
  <si>
    <t xml:space="preserve">Palea, Drogo (2020)</t>
  </si>
  <si>
    <t xml:space="preserve">step_074</t>
  </si>
  <si>
    <t xml:space="preserve">step_075 (+ Yilmaz (2022))</t>
  </si>
  <si>
    <t xml:space="preserve">Yilmaz (2022)</t>
  </si>
  <si>
    <t xml:space="preserve">step_075</t>
  </si>
  <si>
    <t xml:space="preserve">step_076 (+ Zhu, Zhao (2022))</t>
  </si>
  <si>
    <t xml:space="preserve">Zhu, Zhao (2022)</t>
  </si>
  <si>
    <t xml:space="preserve">step_076</t>
  </si>
  <si>
    <t xml:space="preserve">step_077 (+ Apergis et al (2022))</t>
  </si>
  <si>
    <t xml:space="preserve">Apergis et al (2022)</t>
  </si>
  <si>
    <t xml:space="preserve">step_077</t>
  </si>
  <si>
    <t xml:space="preserve">step_078 (+ Ben Slimane et al (2019))</t>
  </si>
  <si>
    <t xml:space="preserve">Ben Slimane et al (2019)</t>
  </si>
  <si>
    <t xml:space="preserve">step_078</t>
  </si>
  <si>
    <t xml:space="preserve">step_079 (+ Devalle et al (2017))</t>
  </si>
  <si>
    <t xml:space="preserve">Devalle et al (2017)</t>
  </si>
  <si>
    <t xml:space="preserve">step_079</t>
  </si>
  <si>
    <t xml:space="preserve">step_080 (+ Ding et al (2022))</t>
  </si>
  <si>
    <t xml:space="preserve">Ding et al (2022)</t>
  </si>
  <si>
    <t xml:space="preserve">step_080</t>
  </si>
  <si>
    <t xml:space="preserve">step_081 (+ Kim, Kim (2022))</t>
  </si>
  <si>
    <t xml:space="preserve">Kim, Kim (2022)</t>
  </si>
  <si>
    <t xml:space="preserve">step_081</t>
  </si>
  <si>
    <t xml:space="preserve">step_082 (+ Lee (2022))</t>
  </si>
  <si>
    <t xml:space="preserve">Lee (2022)</t>
  </si>
  <si>
    <t xml:space="preserve">step_082</t>
  </si>
  <si>
    <t xml:space="preserve">step_083 (+ Luo et al (2019))</t>
  </si>
  <si>
    <t xml:space="preserve">Luo et al (2019)</t>
  </si>
  <si>
    <t xml:space="preserve">step_083</t>
  </si>
  <si>
    <t xml:space="preserve">step_084 (+ Ho &amp; Wong (2023))</t>
  </si>
  <si>
    <t xml:space="preserve">Ho &amp; Wong (2023)</t>
  </si>
  <si>
    <t xml:space="preserve">step_084</t>
  </si>
  <si>
    <t xml:space="preserve">step_085 (+ Kordschia (2020))</t>
  </si>
  <si>
    <t xml:space="preserve">Kordschia (2020)</t>
  </si>
  <si>
    <t xml:space="preserve">step_085</t>
  </si>
  <si>
    <t xml:space="preserve">step_086 (+ Owolabi et al (2024))</t>
  </si>
  <si>
    <t xml:space="preserve">Owolabi et al (2024)</t>
  </si>
  <si>
    <t xml:space="preserve">step_086</t>
  </si>
  <si>
    <t xml:space="preserve">step_087 (+ Ririmasse et al (2026))</t>
  </si>
  <si>
    <t xml:space="preserve">Ririmasse et al (2026)</t>
  </si>
  <si>
    <t xml:space="preserve">step_087</t>
  </si>
  <si>
    <t xml:space="preserve">step_088 (+ Xiang &amp; Gong (2026))</t>
  </si>
  <si>
    <t xml:space="preserve">Xiang &amp; Gong (2026)</t>
  </si>
  <si>
    <t xml:space="preserve">step_088</t>
  </si>
  <si>
    <t xml:space="preserve">step_089 (+ Du et al (2022))</t>
  </si>
  <si>
    <t xml:space="preserve">Du et al (2022)</t>
  </si>
  <si>
    <t xml:space="preserve">step_089</t>
  </si>
  <si>
    <t xml:space="preserve">step_090 (+ Tan et al (2021))</t>
  </si>
  <si>
    <t xml:space="preserve">Tan et al (2021)</t>
  </si>
  <si>
    <t xml:space="preserve">step_090</t>
  </si>
  <si>
    <t xml:space="preserve">step_091 (+ Wang et al (2022a))</t>
  </si>
  <si>
    <t xml:space="preserve">Wang et al (2022a)</t>
  </si>
  <si>
    <t xml:space="preserve">step_091</t>
  </si>
  <si>
    <t xml:space="preserve">step_092 (+ Lin et al (2025))</t>
  </si>
  <si>
    <t xml:space="preserve">Lin et al (2025)</t>
  </si>
  <si>
    <t xml:space="preserve">step_092</t>
  </si>
  <si>
    <t xml:space="preserve">step_093 (+ Liu et al (2023))</t>
  </si>
  <si>
    <t xml:space="preserve">Liu et al (2023)</t>
  </si>
  <si>
    <t xml:space="preserve">step_093</t>
  </si>
  <si>
    <t xml:space="preserve">step_094 (+ Nasih et al (2024))</t>
  </si>
  <si>
    <t xml:space="preserve">Nasih et al (2024)</t>
  </si>
  <si>
    <t xml:space="preserve">step_094</t>
  </si>
  <si>
    <t xml:space="preserve">step_095 (+ Ratajczak &amp; Mikolajewicz (2021))</t>
  </si>
  <si>
    <t xml:space="preserve">Ratajczak &amp; Mikolajewicz (2021)</t>
  </si>
  <si>
    <t xml:space="preserve">step_095</t>
  </si>
  <si>
    <t xml:space="preserve">step_096 (+ Tan et al (2026))</t>
  </si>
  <si>
    <t xml:space="preserve">Tan et al (2026)</t>
  </si>
  <si>
    <t xml:space="preserve">step_096</t>
  </si>
  <si>
    <t xml:space="preserve">step_097 (+ Temiz (2022))</t>
  </si>
  <si>
    <t xml:space="preserve">Temiz (2022)</t>
  </si>
  <si>
    <t xml:space="preserve">step_097</t>
  </si>
  <si>
    <t xml:space="preserve">step_098 (+ Wang et al (2025a))</t>
  </si>
  <si>
    <t xml:space="preserve">Wang et al (2025a)</t>
  </si>
  <si>
    <t xml:space="preserve">step_098</t>
  </si>
  <si>
    <t xml:space="preserve">step_099 (+ Panjwani et al (2023))</t>
  </si>
  <si>
    <t xml:space="preserve">Panjwani et al (2023)</t>
  </si>
  <si>
    <t xml:space="preserve">step_099</t>
  </si>
  <si>
    <t xml:space="preserve">step_100 (+ Tang et al (2023))</t>
  </si>
  <si>
    <t xml:space="preserve">Tang et al (2023)</t>
  </si>
  <si>
    <t xml:space="preserve">step_100</t>
  </si>
  <si>
    <t xml:space="preserve">step_101 (+ Boermans et al (2023))</t>
  </si>
  <si>
    <t xml:space="preserve">Boermans et al (2023)</t>
  </si>
  <si>
    <t xml:space="preserve">step_101</t>
  </si>
  <si>
    <t xml:space="preserve">step_102 (+ Boubaker et al (2026))</t>
  </si>
  <si>
    <t xml:space="preserve">Boubaker et al (2026)</t>
  </si>
  <si>
    <t xml:space="preserve">step_102</t>
  </si>
  <si>
    <t xml:space="preserve">step_103 (+ Gonzales Sanches et al (2026))</t>
  </si>
  <si>
    <t xml:space="preserve">Gonzales Sanches et al (2026)</t>
  </si>
  <si>
    <t xml:space="preserve">step_103</t>
  </si>
  <si>
    <t xml:space="preserve">step_104 (+ Shi et al (2025))</t>
  </si>
  <si>
    <t xml:space="preserve">Shi et al (2025)</t>
  </si>
  <si>
    <t xml:space="preserve">step_104</t>
  </si>
  <si>
    <t xml:space="preserve">step_105 (+ Wang &amp; Wijethilake (2026))</t>
  </si>
  <si>
    <t xml:space="preserve">Wang &amp; Wijethilake (2026)</t>
  </si>
  <si>
    <t xml:space="preserve">step_105</t>
  </si>
  <si>
    <t xml:space="preserve">step_106 (+ Ali et al (2026))</t>
  </si>
  <si>
    <t xml:space="preserve">Ali et al (2026)</t>
  </si>
  <si>
    <t xml:space="preserve">step_106</t>
  </si>
  <si>
    <t xml:space="preserve">step_107 (+ Kozak (2021))</t>
  </si>
  <si>
    <t xml:space="preserve">Kozak (2021)</t>
  </si>
  <si>
    <t xml:space="preserve">step_107</t>
  </si>
  <si>
    <t xml:space="preserve">step_108 (+ Altavilla et al (2024))</t>
  </si>
  <si>
    <t xml:space="preserve">Altavilla et al (2024)</t>
  </si>
  <si>
    <t xml:space="preserve">step_108</t>
  </si>
  <si>
    <t xml:space="preserve">step_109 (+ Brinette et al (2026))</t>
  </si>
  <si>
    <t xml:space="preserve">Brinette et al (2026)</t>
  </si>
  <si>
    <t xml:space="preserve">step_109</t>
  </si>
  <si>
    <t xml:space="preserve">step_110 (+ Ferriani (2022))</t>
  </si>
  <si>
    <t xml:space="preserve">Ferriani (2022)</t>
  </si>
  <si>
    <t xml:space="preserve">step_110</t>
  </si>
  <si>
    <t xml:space="preserve">step_111 (+ Wang et al (2025b))</t>
  </si>
  <si>
    <t xml:space="preserve">Wang et al (2025b)</t>
  </si>
  <si>
    <t xml:space="preserve">step_111</t>
  </si>
  <si>
    <t xml:space="preserve">step_112 (+ Almutairi (2026))</t>
  </si>
  <si>
    <t xml:space="preserve">Almutairi (2026)</t>
  </si>
  <si>
    <t xml:space="preserve">step_112</t>
  </si>
  <si>
    <t xml:space="preserve">step_113 (+ Cicchini et al (2026))</t>
  </si>
  <si>
    <t xml:space="preserve">Cicchini et al (2026)</t>
  </si>
  <si>
    <t xml:space="preserve">step_113</t>
  </si>
  <si>
    <t xml:space="preserve">H7 floor step (design)</t>
  </si>
  <si>
    <t xml:space="preserve">h7_floor_step</t>
  </si>
  <si>
    <t xml:space="preserve">H7 ordering rule (design)</t>
  </si>
  <si>
    <t xml:space="preserve">h7_order_head</t>
  </si>
  <si>
    <t xml:space="preserve">H6: the pinned claim wording is 'under Zarea's Paris operationalization (midpoint + tie-exclusion), applied within our 3L-RVE framework' - NEVER 'under Zarea's method' [DEC-045/N8].</t>
  </si>
  <si>
    <t xml:space="preserve">H7: step_001 is not_estimable by rule (single cluster; vcovCR guard, ERROR_LOG #12); steps 1-9 are point-only in the figure, the CI band starts at step 10 (floor study Chen, Gao 2011).</t>
  </si>
  <si>
    <t xml:space="preserve">H7: the final step reproduces the period-domain pooled value by construction (visible in the last table row).</t>
  </si>
  <si>
    <t xml:space="preserve">Why exclude ties in H6?</t>
  </si>
  <si>
    <t xml:space="preserve">The tie exclusion is part of Zarea's operationalization being transplanted; the inventory row quantifies it on v12 (79 ES / 5 studies at sample_mid = 2015.5; post cell 31 -&gt; 26 studies).</t>
  </si>
  <si>
    <t xml:space="preserve">Is the cumulative trajectory an inferential claim?</t>
  </si>
  <si>
    <t xml:space="preserve">No - it is a stability display; inference lives in the pre-registered E/H tests. The 10-cluster floor prevents over-reading early low-df refits.</t>
  </si>
  <si>
    <t xml:space="preserve">Verdict: Mechanical outcome: H6 contrast tabulated with its design inventory; H7 trajectory tabulated in full with the floor rule applied; adjudication deferred to the documented gate-resolution step [DEC-044].</t>
  </si>
  <si>
    <t xml:space="preserve">TH-a (Block E/H fast frequentist battery) · H8 - rolling 6-year windows (21 windows) · H9 - external size comparison (COE companion)</t>
  </si>
  <si>
    <t xml:space="preserve">H8 tiers [DEC-045 S6]: &gt;= 10 clusters full CR2 inference; 5-9 clusters descriptive point-only; &lt; 5 not estimated. H9: descriptive channel comparison, explicitly no test.</t>
  </si>
  <si>
    <t xml:space="preserve">tier (derived)</t>
  </si>
  <si>
    <t xml:space="preserve">window 1998-2003</t>
  </si>
  <si>
    <t xml:space="preserve">H8</t>
  </si>
  <si>
    <t xml:space="preserve">rolling</t>
  </si>
  <si>
    <t xml:space="preserve">1998-2003</t>
  </si>
  <si>
    <t xml:space="preserve">window_mean</t>
  </si>
  <si>
    <t xml:space="preserve">window 1999-2004</t>
  </si>
  <si>
    <t xml:space="preserve">1999-2004</t>
  </si>
  <si>
    <t xml:space="preserve">window 2000-2005</t>
  </si>
  <si>
    <t xml:space="preserve">2000-2005</t>
  </si>
  <si>
    <t xml:space="preserve">window 2001-2006</t>
  </si>
  <si>
    <t xml:space="preserve">2001-2006</t>
  </si>
  <si>
    <t xml:space="preserve">window 2002-2007</t>
  </si>
  <si>
    <t xml:space="preserve">2002-2007</t>
  </si>
  <si>
    <t xml:space="preserve">window 2003-2008</t>
  </si>
  <si>
    <t xml:space="preserve">2003-2008</t>
  </si>
  <si>
    <t xml:space="preserve">window 2004-2009</t>
  </si>
  <si>
    <t xml:space="preserve">2004-2009</t>
  </si>
  <si>
    <t xml:space="preserve">window 2005-2010</t>
  </si>
  <si>
    <t xml:space="preserve">2005-2010</t>
  </si>
  <si>
    <t xml:space="preserve">window 2006-2011</t>
  </si>
  <si>
    <t xml:space="preserve">2006-2011</t>
  </si>
  <si>
    <t xml:space="preserve">window 2007-2012</t>
  </si>
  <si>
    <t xml:space="preserve">2007-2012</t>
  </si>
  <si>
    <t xml:space="preserve">window 2008-2013</t>
  </si>
  <si>
    <t xml:space="preserve">2008-2013</t>
  </si>
  <si>
    <t xml:space="preserve">window 2009-2014</t>
  </si>
  <si>
    <t xml:space="preserve">2009-2014</t>
  </si>
  <si>
    <t xml:space="preserve">window 2010-2015</t>
  </si>
  <si>
    <t xml:space="preserve">2010-2015</t>
  </si>
  <si>
    <t xml:space="preserve">window 2011-2016</t>
  </si>
  <si>
    <t xml:space="preserve">2011-2016</t>
  </si>
  <si>
    <t xml:space="preserve">window 2012-2017</t>
  </si>
  <si>
    <t xml:space="preserve">2012-2017</t>
  </si>
  <si>
    <t xml:space="preserve">window 2013-2018</t>
  </si>
  <si>
    <t xml:space="preserve">2013-2018</t>
  </si>
  <si>
    <t xml:space="preserve">window 2014-2019</t>
  </si>
  <si>
    <t xml:space="preserve">2014-2019</t>
  </si>
  <si>
    <t xml:space="preserve">window 2015-2020</t>
  </si>
  <si>
    <t xml:space="preserve">2015-2020</t>
  </si>
  <si>
    <t xml:space="preserve">window 2016-2021</t>
  </si>
  <si>
    <t xml:space="preserve">2016-2021</t>
  </si>
  <si>
    <t xml:space="preserve">window 2017-2022</t>
  </si>
  <si>
    <t xml:space="preserve">2017-2022</t>
  </si>
  <si>
    <t xml:space="preserve">window 2018-2023</t>
  </si>
  <si>
    <t xml:space="preserve">2018-2023</t>
  </si>
  <si>
    <t xml:space="preserve">H9 own pooled (debt side, descriptive channel)</t>
  </si>
  <si>
    <t xml:space="preserve">H9</t>
  </si>
  <si>
    <t xml:space="preserve">external_size</t>
  </si>
  <si>
    <t xml:space="preserve">own_pooled</t>
  </si>
  <si>
    <t xml:space="preserve">H9 COE companion study-level (Table 3)</t>
  </si>
  <si>
    <t xml:space="preserve">coe_study_level</t>
  </si>
  <si>
    <t xml:space="preserve">H8: window means are displayed on both scales; CI/p columns show NA in the descriptive tier by design.</t>
  </si>
  <si>
    <t xml:space="preserve">H9: size comparison only. SE provenance disclosure (row note, verbatim): the COE main model is naive inverse-variance at ES level (k = 1,139) without cluster-robust inference; overlap 7/120 corpus, 6/115 estimation set, 5/113 period domain; 60/2,713 ES (2.2%); 0 shared effect sizes.</t>
  </si>
  <si>
    <t xml:space="preserve">Companion caveat [project pin]: COE between-study variance is a best-case lower bound (factor ~65 in variance, ~8 in MDE units vs. COD) - any cross-channel comparison must carry this disclosure.</t>
  </si>
  <si>
    <t xml:space="preserve">Why no test in H9?</t>
  </si>
  <si>
    <t xml:space="preserve">The two channels differ in inference machinery (naive IV vs. CR2 3L-RVE), unit structure and overlap; a formal contrast would be uninterpretable - N12 was reduced to a descriptive size comparison by author ruling [H-Q10].</t>
  </si>
  <si>
    <t xml:space="preserve">Why do some windows lack CIs?</t>
  </si>
  <si>
    <t xml:space="preserve">5-9-cluster windows are descriptive-tier by design [DEC-045 S6]; CR2 small-sample inference below ~10 clusters is not trustworthy (Tipton &amp; Pustejovsky 2015).</t>
  </si>
  <si>
    <t xml:space="preserve">Verdict: Mechanical outcome: 21 window means tabulated with tier flags; H9 descriptive comparison tabulated with full SE-provenance disclosure; adjudication deferred to the documented gate-resolution step [DEC-044].</t>
  </si>
  <si>
    <t xml:space="preserve">TH-a (Block E/H fast frequentist battery) · H10 - conditional p-curve (post cell) · H11 - within-study display (Li et al 2022)</t>
  </si>
  <si>
    <t xml:space="preserve">H10: N13 rule, first-reported ES per significant post study, p reconstructed in z-metric. H11: descriptive only, explicitly no p-values [N15].</t>
  </si>
  <si>
    <t xml:space="preserve">H10 significant post studies (of 31)</t>
  </si>
  <si>
    <t xml:space="preserve">H10</t>
  </si>
  <si>
    <t xml:space="preserve">pcurve</t>
  </si>
  <si>
    <t xml:space="preserve">count_significant</t>
  </si>
  <si>
    <t xml:space="preserve">H10 right-skew binomial p</t>
  </si>
  <si>
    <t xml:space="preserve">right_skew_binomial</t>
  </si>
  <si>
    <t xml:space="preserve">H10 right-skew Stouffer p</t>
  </si>
  <si>
    <t xml:space="preserve">right_skew_stouffer</t>
  </si>
  <si>
    <t xml:space="preserve">H10 flatness vs. 33% power (pp)</t>
  </si>
  <si>
    <t xml:space="preserve">flatness_vs_33</t>
  </si>
  <si>
    <t xml:space="preserve">H11 pre mean (12 ES)</t>
  </si>
  <si>
    <t xml:space="preserve">H11</t>
  </si>
  <si>
    <t xml:space="preserve">within_study</t>
  </si>
  <si>
    <t xml:space="preserve">pre_mean</t>
  </si>
  <si>
    <t xml:space="preserve">H11 post mean (5 ES)</t>
  </si>
  <si>
    <t xml:space="preserve">post_mean</t>
  </si>
  <si>
    <t xml:space="preserve">H11 within diff (z-only, descriptive)</t>
  </si>
  <si>
    <t xml:space="preserve">within_diff</t>
  </si>
  <si>
    <t xml:space="preserve">H11 straddle inventory (design)</t>
  </si>
  <si>
    <t xml:space="preserve">h11_straddle_studies</t>
  </si>
  <si>
    <t xml:space="preserve">H11 pool-across count (design)</t>
  </si>
  <si>
    <t xml:space="preserve">h11_pool_across</t>
  </si>
  <si>
    <t xml:space="preserve">H10 selection rule (design)</t>
  </si>
  <si>
    <t xml:space="preserve">h10_selection_rule</t>
  </si>
  <si>
    <t xml:space="preserve">H10 is a conditional battery (&gt;= 5 significant post studies required; condition met at 28/31); it speaks to evidential value of the significant post-cell literature, not to the Paris contrast itself.</t>
  </si>
  <si>
    <t xml:space="preserve">H11: exactly one study reports own pre- AND post-Paris effect sizes; 73 studies straddle the break, 72 pool across it without period-specific estimates (design rows above).</t>
  </si>
  <si>
    <t xml:space="preserve">The H10 flatness pp-value of 1 is a mechanical test outcome (sign-corrected NCP per ERROR_LOG #11), tabulated without verdict language.</t>
  </si>
  <si>
    <t xml:space="preserve">Why reconstruct p-values instead of using reported ones?</t>
  </si>
  <si>
    <t xml:space="preserve">Uniform z-metric reconstruction (2*pnorm(-|zi|/sqrt(vi))) avoids heterogeneous rounding/reporting conventions; the converted-r accuracy caveat is carried in the row note [N13].</t>
  </si>
  <si>
    <t xml:space="preserve">Why only one within-study contrast?</t>
  </si>
  <si>
    <t xml:space="preserve">Inventory fact of the literature: a single study (Li et al 2022) splits its own design at the break - the display motivates the pooled-across-the-break framing module without testing anything [N15].</t>
  </si>
  <si>
    <t xml:space="preserve">Verdict: Mechanical outcome: p-curve battery and within-study display tabulated with their design inventories; adjudication deferred to the documented gate-resolution step [DEC-044].</t>
  </si>
  <si>
    <t xml:space="preserve">metric</t>
  </si>
  <si>
    <t xml:space="preserve">estimator</t>
  </si>
  <si>
    <t xml:space="preserve">rho</t>
  </si>
  <si>
    <t xml:space="preserve">k_study</t>
  </si>
  <si>
    <t xml:space="preserve">k_cluster</t>
  </si>
  <si>
    <t xml:space="preserve">t_stat</t>
  </si>
  <si>
    <t xml:space="preserve">pi_lb_z</t>
  </si>
  <si>
    <t xml:space="preserve">pi_ub_z</t>
  </si>
  <si>
    <t xml:space="preserve">pi_lb_r</t>
  </si>
  <si>
    <t xml:space="preserve">pi_ub_r</t>
  </si>
  <si>
    <t xml:space="preserve">sigma2_cluster</t>
  </si>
  <si>
    <t xml:space="preserve">sigma2_study</t>
  </si>
  <si>
    <t xml:space="preserve">sigma2_esid</t>
  </si>
  <si>
    <t xml:space="preserve">pct_cluster</t>
  </si>
  <si>
    <t xml:space="preserve">pct_study</t>
  </si>
  <si>
    <t xml:space="preserve">pct_esid</t>
  </si>
  <si>
    <t xml:space="preserve">pct_sampling</t>
  </si>
  <si>
    <t xml:space="preserve">typical_v</t>
  </si>
  <si>
    <t xml:space="preserve">ms_input</t>
  </si>
  <si>
    <t xml:space="preserve">ms_label</t>
  </si>
  <si>
    <t xml:space="preserve">note</t>
  </si>
  <si>
    <t xml:space="preserve">Fisher_z</t>
  </si>
  <si>
    <t xml:space="preserve">3LMA-RVE_CR2</t>
  </si>
  <si>
    <t xml:space="preserve">FALSE</t>
  </si>
  <si>
    <t xml:space="preserve">rma.mv mods=~ 1; random ~1|cluster_id/study/esid; V blocks within cluster_id, rho=0.6; CR2/Satterthwaite on cluster_id [D31.1/A.2]; domain estimation set 2713/115/114 [DEC-042a]; TH-a refit of T1/A1; verifier identity vs committed output/T1_results.csv at 1e-6 [F65]; 95% CI on this row (TOST rows carry 90%)</t>
  </si>
  <si>
    <t xml:space="preserve">TRUE</t>
  </si>
  <si>
    <t xml:space="preserve">e1_tost_primary</t>
  </si>
  <si>
    <t xml:space="preserve">TOST, two one-sided tests each alpha=.05 &lt;=&gt; 90% CI inside band [DEC-045 E-pins]; PRIMARY level band |r| = 0.070 (F27v2) -&gt; z band atanh = 0.070114671; arm p (lower/upper) = 0.204826 / 7.26341e-16; TOST p = max(arms); CI columns carry the 90% CI (TOST convention); value = 1{90%-CI inside band} (mechanical flag, no verdict language); ex-ante expectation [DEC-044/DEC-045]: this arm is expected to FAIL (T1 CI edge -0.086); E2 adjudicates Tier 1; E1 calibrates the Tier-2 wording only</t>
  </si>
  <si>
    <t xml:space="preserve">TOST, two one-sided tests each alpha=.05 &lt;=&gt; 90% CI inside band [DEC-045 E-pins]; SECONDARY level band |r| = 0.05 -&gt; z band atanh = 0.050041729; arm p (lower/upper) = 0.73207 / 1.41843e-12; TOST p = max(arms); CI columns carry the 90% CI (TOST convention); value = 1{90%-CI inside band} (mechanical flag, no verdict language)</t>
  </si>
  <si>
    <t xml:space="preserve">rma.mv mods=~ 0 + pp_cell (cell-means; estimand identical to ~ pp_mid_lag0); random ~1|cluster_id/study/esid; V blocks within cluster_id, rho=0.6; CR2/Satterthwaite on cluster_id [D31.1/A.2]; domain period domain 2705/113/112 [DEC-042b]; cell mean at coding = 0 (pre)</t>
  </si>
  <si>
    <t xml:space="preserve">rma.mv mods=~ 0 + pp_cell (cell-means; estimand identical to ~ pp_mid_lag0); random ~1|cluster_id/study/esid; V blocks within cluster_id, rho=0.6; CR2/Satterthwaite on cluster_id [D31.1/A.2]; domain period domain 2705/113/112 [DEC-042b]; cell mean at coding = 1 (post)</t>
  </si>
  <si>
    <t xml:space="preserve">rma.mv mods=~ 0 + pp_cell (cell-means; estimand identical to ~ pp_mid_lag0); random ~1|cluster_id/study/esid; V blocks within cluster_id, rho=0.6; CR2/Satterthwaite on cluster_id [D31.1/A.2]; domain period domain 2705/113/112 [DEC-042b]; post-minus-pre contrast (-1, +1); cell-means parameterization [DEC-031e/A.11]; difference of Fisher-z means; no tanh transform of differences; TH-a refit of T2/B1 paris_mid; verifier identity vs committed output/T2_results.csv at 1e-6 [F65]</t>
  </si>
  <si>
    <t xml:space="preserve">e2_tost_contrast</t>
  </si>
  <si>
    <t xml:space="preserve">TOST, two one-sided tests each alpha=.05 &lt;=&gt; 90% CI inside band [DEC-045 E-pins]; contrast band |dr| = 0.05 (secondary SESOI = the contrast band [DEC-031 Block E]); applied on the z-difference directly; |dz| read as |dr| (third-order approx, T8/B8 convention); arm p (lower/upper) = 0.00231753 / 0.0219798; TOST p = max(arms); CI columns carry the 90% CI (TOST convention); value = 1{90%-CI inside band} (mechanical flag, no verdict language); E2 adjudicates Tier 1 (the Paris null) [DEC-045 E-pins]; dose transfer NOT triggered (design df 31.9 [DEC-024/A.3])</t>
  </si>
  <si>
    <t xml:space="preserve">count</t>
  </si>
  <si>
    <t xml:space="preserve">descriptive</t>
  </si>
  <si>
    <t xml:space="preserve">Tier-1 evidence-of-absence wording REQUIRES an E2 PASS; E2 FAIL -&gt; no Tier-1 EoA regardless of BF [DEC-045 ladder / H-Q21]</t>
  </si>
  <si>
    <t xml:space="preserve">with H2b: BF01 &gt;= 3 full EoA; 1 &lt; BF01 &lt; 3 equivalence-based, BF disclosed as directionally supportive, not strong; BF01 &lt;= 1 conflict disclosure, conservative wording; without RoBMA.reg: pre-registered configuration E2 + level BF (H2a) [DEC-045; Jeffreys/Lee-Wagenmakers bands pinned]</t>
  </si>
  <si>
    <t xml:space="preserve">resolution deferred: documented post-run step after TH-b (N3), never an automatic rewrite [DEC-044/DEC-045]; ex-ante expectation carried on the E1 primary-band row</t>
  </si>
  <si>
    <t xml:space="preserve">rma.mv mods=~ 0 + pp_cell (break 2008, cell-means); random ~1|cluster_id/study/esid; V blocks within cluster_id, rho=0.6; CR2/Satterthwaite on cluster_id [D31.1/A.2]; domain period domain 2705/113/112; post cell: 2367 ES / 100 studies / 99 clusters; rule: share_2008 &gt;= 0.5, ties to Post [F60/DEC-024]; candidate year of the sup-break grid [DEC-045/H-Q6]; difference of Fisher-z means</t>
  </si>
  <si>
    <t xml:space="preserve">rma.mv mods=~ 0 + pp_cell (break 2009, cell-means); random ~1|cluster_id/study/esid; V blocks within cluster_id, rho=0.6; CR2/Satterthwaite on cluster_id [D31.1/A.2]; domain period domain 2705/113/112; post cell: 2345 ES / 99 studies / 98 clusters; rule: share_2009 &gt;= 0.5, ties to Post [F60/DEC-024]; candidate year of the sup-break grid [DEC-045/H-Q6]; difference of Fisher-z means</t>
  </si>
  <si>
    <t xml:space="preserve">rma.mv mods=~ 0 + pp_cell (break 2010, cell-means); random ~1|cluster_id/study/esid; V blocks within cluster_id, rho=0.6; CR2/Satterthwaite on cluster_id [D31.1/A.2]; domain period domain 2705/113/112; post cell: 2326 ES / 98 studies / 97 clusters; rule: share_2010 &gt;= 0.5, ties to Post [F60/DEC-024]; candidate year of the sup-break grid [DEC-045/H-Q6]; difference of Fisher-z means</t>
  </si>
  <si>
    <t xml:space="preserve">rma.mv mods=~ 0 + pp_cell (break 2011, cell-means); random ~1|cluster_id/study/esid; V blocks within cluster_id, rho=0.6; CR2/Satterthwaite on cluster_id [D31.1/A.2]; domain period domain 2705/113/112; post cell: 2077 ES / 93 studies / 92 clusters; rule: share_2011 &gt;= 0.5, ties to Post [F60/DEC-024]; candidate year of the sup-break grid [DEC-045/H-Q6]; difference of Fisher-z means</t>
  </si>
  <si>
    <t xml:space="preserve">rma.mv mods=~ 0 + pp_cell (break 2012, cell-means); random ~1|cluster_id/study/esid; V blocks within cluster_id, rho=0.6; CR2/Satterthwaite on cluster_id [D31.1/A.2]; domain period domain 2705/113/112; post cell: 1769 ES / 82 studies / 81 clusters; rule: share_2012 &gt;= 0.5, ties to Post [F60/DEC-024]; candidate year of the sup-break grid [DEC-045/H-Q6]; difference of Fisher-z means</t>
  </si>
  <si>
    <t xml:space="preserve">rma.mv mods=~ 0 + pp_cell (break 2013, cell-means); random ~1|cluster_id/study/esid; V blocks within cluster_id, rho=0.6; CR2/Satterthwaite on cluster_id [D31.1/A.2]; domain period domain 2705/113/112; post cell: 1486 ES / 69 studies / 69 clusters; rule: share_2013 &gt;= 0.5, ties to Post [F60/DEC-024]; candidate year of the sup-break grid [DEC-045/H-Q6]; difference of Fisher-z means</t>
  </si>
  <si>
    <t xml:space="preserve">rma.mv mods=~ 0 + pp_cell (break 2014, cell-means); random ~1|cluster_id/study/esid; V blocks within cluster_id, rho=0.6; CR2/Satterthwaite on cluster_id [D31.1/A.2]; domain period domain 2705/113/112; post cell: 1269 ES / 55 studies / 55 clusters; rule: share_2014 &gt;= 0.5, ties to Post [F60/DEC-024]; candidate year of the sup-break grid [DEC-045/H-Q6]; difference of Fisher-z means</t>
  </si>
  <si>
    <t xml:space="preserve">rma.mv mods=~ 0 + pp_cell (break 2015, cell-means); random ~1|cluster_id/study/esid; V blocks within cluster_id, rho=0.6; CR2/Satterthwaite on cluster_id [D31.1/A.2]; domain period domain 2705/113/112; post cell: 784 ES / 38 studies / 38 clusters; rule: share_2015 &gt;= 0.5, ties to Post [F60/DEC-024]; candidate year of the sup-break grid [DEC-045/H-Q6]; difference of Fisher-z means</t>
  </si>
  <si>
    <t xml:space="preserve">rma.mv mods=~ 0 + pp_cell (break 2016, cell-means); random ~1|cluster_id/study/esid; V blocks within cluster_id, rho=0.6; CR2/Satterthwaite on cluster_id [D31.1/A.2]; domain period domain 2705/113/112; post cell: 711 ES / 31 studies / 31 clusters; rule: share_2016 &gt;= 0.5, ties to Post [F60/DEC-024]; candidate year of the sup-break grid [DEC-045/H-Q6]; difference of Fisher-z means</t>
  </si>
  <si>
    <t xml:space="preserve">rma.mv mods=~ 0 + pp_cell (break 2017, cell-means); random ~1|cluster_id/study/esid; V blocks within cluster_id, rho=0.6; CR2/Satterthwaite on cluster_id [D31.1/A.2]; domain period domain 2705/113/112; post cell: 623 ES / 23 studies / 23 clusters; rule: share_2017 &gt;= 0.5, ties to Post [F60/DEC-024]; candidate year of the sup-break grid [DEC-045/H-Q6]; difference of Fisher-z means</t>
  </si>
  <si>
    <t xml:space="preserve">rma.mv mods=~ 0 + pp_cell (break 2018, cell-means); random ~1|cluster_id/study/esid; V blocks within cluster_id, rho=0.6; CR2/Satterthwaite on cluster_id [D31.1/A.2]; domain period domain 2705/113/112; post cell: 506 ES / 15 studies / 15 clusters; rule: share_2018 &gt;= 0.5, ties to Post [F60/DEC-024]; candidate year of the sup-break grid [DEC-045/H-Q6]; difference of Fisher-z means</t>
  </si>
  <si>
    <t xml:space="preserve">rma.mv mods=~ 0 + pp_cell (break 2019, cell-means); random ~1|cluster_id/study/esid; V blocks within cluster_id, rho=0.6; CR2/Satterthwaite on cluster_id [D31.1/A.2]; domain period domain 2705/113/112; post cell: 323 ES / 13 studies / 13 clusters; rule: share_2019 &gt;= 0.5, ties to Post [F60/DEC-024]; candidate year of the sup-break grid [DEC-045/H-Q6]; difference of Fisher-z means</t>
  </si>
  <si>
    <t xml:space="preserve">rank</t>
  </si>
  <si>
    <t xml:space="preserve">h4_sup_observed</t>
  </si>
  <si>
    <t xml:space="preserve">sup |t| over the ADMISSIBLE candidate years (df &gt;= 5 on the break coefficient [DEC-024 transfer rule / H-Q6]); attained at 2009; admissible set computed ONCE on the observed design and held fixed for the TH-c permutation [H-Q20]; |t| by year: 2008=1.3633(df 14.9), 2009=2.1225(df 6.3), 2010=1.8934(df 6.8), 2011=1.7640(df 9.6), 2012=0.0553(df 11.7), 2013=1.2038(df 14.3), 2014=1.0159(df 22.6), 2015=0.1171(df 18.2), 2016=0.5620(df 15.0), 2017=0.4463(df 10.9), 2018=0.1404(df 18.8), 2019=0.1846(df 15.4); p_perm from TH-c</t>
  </si>
  <si>
    <t xml:space="preserve">rma.mv mods=~ 0 + pp_cell (midpoint rule, ties EXCLUDED); random ~1|cluster_id/study/esid; V blocks within cluster_id, rho=0.6; CR2/Satterthwaite on cluster_id [D31.1/A.2]; domain tie-excluded domain 2626/108/107 (79 tie ES / 5 studies / 5 clusters at sample_mid = 2015.5 removed [DEC-045/H-Q8]); cell mean at coding = 0 (pre)</t>
  </si>
  <si>
    <t xml:space="preserve">rma.mv mods=~ 0 + pp_cell (midpoint rule, ties EXCLUDED); random ~1|cluster_id/study/esid; V blocks within cluster_id, rho=0.6; CR2/Satterthwaite on cluster_id [D31.1/A.2]; domain tie-excluded domain 2626/108/107 (79 tie ES / 5 studies / 5 clusters at sample_mid = 2015.5 removed [DEC-045/H-Q8]); cell mean at coding = 1 (post)</t>
  </si>
  <si>
    <t xml:space="preserve">h6_zarea_diff</t>
  </si>
  <si>
    <t xml:space="preserve">rma.mv mods=~ 0 + pp_cell (midpoint rule, ties EXCLUDED); random ~1|cluster_id/study/esid; V blocks within cluster_id, rho=0.6; CR2/Satterthwaite on cluster_id [D31.1/A.2]; domain tie-excluded domain 2626/108/107 (79 tie ES / 5 studies / 5 clusters at sample_mid = 2015.5 removed [DEC-045/H-Q8]); post-minus-pre contrast (-1, +1); cell-means parameterization [DEC-031e/A.11]; difference of Fisher-z means; no tanh transform of differences; under Zarea's Paris operationalization (midpoint + tie-exclusion), applied within our 3L-RVE framework [DEC-045 wording pin]; post cell 31 -&gt; 26 studies under the tie-exclusion rule</t>
  </si>
  <si>
    <t xml:space="preserve">cumulative 3L refit after adding study 'Nandy, Lodh (2012)' (median sample_mid = 1998.50); ordering: study-wise median sample_mid, ties alphabetical [DEC-045/H-Q17]; not_estimable: Cluster-robust variance estimation will not work when the data only includes a single cluster.; planned key retained (budget 177) [DEC-045; package-review robustness fix 2026-07-22 + runtime fix 2026-07-24]</t>
  </si>
  <si>
    <t xml:space="preserve">cumulative 3L refit after adding study 'Chava (2010)' (median sample_mid = 1999.00); ordering: study-wise median sample_mid, ties alphabetical [DEC-045/H-Q17]; display floor: point-only in the figure (clusters = 2 &lt; 10) [DEC-045/H-Q17; presentational only, CI retained here]</t>
  </si>
  <si>
    <t xml:space="preserve">cumulative 3L refit after adding study 'Schneider (2010)' (median sample_mid = 1999.00); ordering: study-wise median sample_mid, ties alphabetical [DEC-045/H-Q17]; display floor: point-only in the figure (clusters = 3 &lt; 10) [DEC-045/H-Q17; presentational only, CI retained here]</t>
  </si>
  <si>
    <t xml:space="preserve">cumulative 3L refit after adding study 'Chava (2014)' (median sample_mid = 1999.50); ordering: study-wise median sample_mid, ties alphabetical [DEC-045/H-Q17]; display floor: point-only in the figure (clusters = 4 &lt; 10) [DEC-045/H-Q17; presentational only, CI retained here]</t>
  </si>
  <si>
    <t xml:space="preserve">cumulative 3L refit after adding study 'Oikonomou et al (2014)' (median sample_mid = 2000.00); ordering: study-wise median sample_mid, ties alphabetical [DEC-045/H-Q17]; display floor: point-only in the figure (clusters = 5 &lt; 10) [DEC-045/H-Q17; presentational only, CI retained here]</t>
  </si>
  <si>
    <t xml:space="preserve">cumulative 3L refit after adding study 'Bauer, Hann (2010)' (median sample_mid = 2000.50); ordering: study-wise median sample_mid, ties alphabetical [DEC-045/H-Q17]; display floor: point-only in the figure (clusters = 6 &lt; 10) [DEC-045/H-Q17; presentational only, CI retained here]</t>
  </si>
  <si>
    <t xml:space="preserve">cumulative 3L refit after adding study 'Ge, Liu (2015)' (median sample_mid = 2000.50); ordering: study-wise median sample_mid, ties alphabetical [DEC-045/H-Q17]; display floor: point-only in the figure (clusters = 7 &lt; 10) [DEC-045/H-Q17; presentational only, CI retained here]</t>
  </si>
  <si>
    <t xml:space="preserve">cumulative 3L refit after adding study 'Jiraporn et al (2014)' (median sample_mid = 2001.00); ordering: study-wise median sample_mid, ties alphabetical [DEC-045/H-Q17]; display floor: point-only in the figure (clusters = 8 &lt; 10) [DEC-045/H-Q17; presentational only, CI retained here]</t>
  </si>
  <si>
    <t xml:space="preserve">cumulative 3L refit after adding study 'Chen et al (2020)' (median sample_mid = 2001.50); ordering: study-wise median sample_mid, ties alphabetical [DEC-045/H-Q17]; display floor: point-only in the figure (clusters = 9 &lt; 10) [DEC-045/H-Q17; presentational only, CI retained here]</t>
  </si>
  <si>
    <t xml:space="preserve">cumulative 3L refit after adding study 'Chen, Gao (2011)' (median sample_mid = 2005.00); ordering: study-wise median sample_mid, ties alphabetical [DEC-045/H-Q17]; full display (CI band)</t>
  </si>
  <si>
    <t xml:space="preserve">cumulative 3L refit after adding study 'Chodnicka-Jaworska (2022)' (median sample_mid = 2005.50); ordering: study-wise median sample_mid, ties alphabetical [DEC-045/H-Q17]; full display (CI band)</t>
  </si>
  <si>
    <t xml:space="preserve">cumulative 3L refit after adding study 'Erragragui (2018)' (median sample_mid = 2005.50); ordering: study-wise median sample_mid, ties alphabetical [DEC-045/H-Q17]; full display (CI band)</t>
  </si>
  <si>
    <t xml:space="preserve">cumulative 3L refit after adding study 'Zheng (2021)' (median sample_mid = 2006.50); ordering: study-wise median sample_mid, ties alphabetical [DEC-045/H-Q17]; full display (CI band)</t>
  </si>
  <si>
    <t xml:space="preserve">cumulative 3L refit after adding study 'Li et al (2014)' (median sample_mid = 2008.00); ordering: study-wise median sample_mid, ties alphabetical [DEC-045/H-Q17]; full display (CI band)</t>
  </si>
  <si>
    <t xml:space="preserve">cumulative 3L refit after adding study 'Hoepner et al (2016)' (median sample_mid = 2008.50); ordering: study-wise median sample_mid, ties alphabetical [DEC-045/H-Q17]; full display (CI band)</t>
  </si>
  <si>
    <t xml:space="preserve">cumulative 3L refit after adding study 'Wang et al (2020)' (median sample_mid = 2009.50); ordering: study-wise median sample_mid, ties alphabetical [DEC-045/H-Q17]; full display (CI band)</t>
  </si>
  <si>
    <t xml:space="preserve">cumulative 3L refit after adding study 'D'Arcangelo et al (2025)' (median sample_mid = 2010.00); ordering: study-wise median sample_mid, ties alphabetical [DEC-045/H-Q17]; full display (CI band)</t>
  </si>
  <si>
    <t xml:space="preserve">cumulative 3L refit after adding study 'Du et al (2015)' (median sample_mid = 2010.00); ordering: study-wise median sample_mid, ties alphabetical [DEC-045/H-Q17]; full display (CI band)</t>
  </si>
  <si>
    <t xml:space="preserve">cumulative 3L refit after adding study 'Hansen &amp; Marcet (2025)' (median sample_mid = 2010.00); ordering: study-wise median sample_mid, ties alphabetical [DEC-045/H-Q17]; full display (CI band)</t>
  </si>
  <si>
    <t xml:space="preserve">cumulative 3L refit after adding study 'Trinh et al (2024)' (median sample_mid = 2010.00); ordering: study-wise median sample_mid, ties alphabetical [DEC-045/H-Q17]; full display (CI band)</t>
  </si>
  <si>
    <t xml:space="preserve">cumulative 3L refit after adding study 'Al-Fakir Al Rabab'a et al (2023)' (median sample_mid = 2010.50); ordering: study-wise median sample_mid, ties alphabetical [DEC-045/H-Q17]; full display (CI band)</t>
  </si>
  <si>
    <t xml:space="preserve">cumulative 3L refit after adding study 'Attig et al (2025)' (median sample_mid = 2010.50); ordering: study-wise median sample_mid, ties alphabetical [DEC-045/H-Q17]; full display (CI band)</t>
  </si>
  <si>
    <t xml:space="preserve">cumulative 3L refit after adding study 'Bannier et al (2022)' (median sample_mid = 2010.50); ordering: study-wise median sample_mid, ties alphabetical [DEC-045/H-Q17]; full display (CI band)</t>
  </si>
  <si>
    <t xml:space="preserve">cumulative 3L refit after adding study 'Drago, Carnevale (2020)' (median sample_mid = 2010.50); ordering: study-wise median sample_mid, ties alphabetical [DEC-045/H-Q17]; full display (CI band)</t>
  </si>
  <si>
    <t xml:space="preserve">cumulative 3L refit after adding study 'Eichholtz et al (2019)' (median sample_mid = 2010.50); ordering: study-wise median sample_mid, ties alphabetical [DEC-045/H-Q17]; full display (CI band)</t>
  </si>
  <si>
    <t xml:space="preserve">cumulative 3L refit after adding study 'Eliwa et al (2021)' (median sample_mid = 2010.50); ordering: study-wise median sample_mid, ties alphabetical [DEC-045/H-Q17]; full display (CI band)</t>
  </si>
  <si>
    <t xml:space="preserve">cumulative 3L refit after adding study 'Salvi et al (2021)' (median sample_mid = 2010.50); ordering: study-wise median sample_mid, ties alphabetical [DEC-045/H-Q17]; full display (CI band)</t>
  </si>
  <si>
    <t xml:space="preserve">cumulative 3L refit after adding study 'Fonseka et al (2019a)' (median sample_mid = 2011.00); ordering: study-wise median sample_mid, ties alphabetical [DEC-045/H-Q17]; full display (CI band)</t>
  </si>
  <si>
    <t xml:space="preserve">cumulative 3L refit after adding study 'Fonseka et al (2019b)' (median sample_mid = 2011.00); ordering: study-wise median sample_mid, ties alphabetical [DEC-045/H-Q17]; full display (CI band)</t>
  </si>
  <si>
    <t xml:space="preserve">cumulative 3L refit after adding study 'Jung et al (2016)' (median sample_mid = 2011.00); ordering: study-wise median sample_mid, ties alphabetical [DEC-045/H-Q17]; full display (CI band)</t>
  </si>
  <si>
    <t xml:space="preserve">cumulative 3L refit after adding study 'Li &amp; Qiu (2026)' (median sample_mid = 2011.00); ordering: study-wise median sample_mid, ties alphabetical [DEC-045/H-Q17]; full display (CI band)</t>
  </si>
  <si>
    <t xml:space="preserve">cumulative 3L refit after adding study 'Safiullah et al (2021)' (median sample_mid = 2011.00); ordering: study-wise median sample_mid, ties alphabetical [DEC-045/H-Q17]; full display (CI band)</t>
  </si>
  <si>
    <t xml:space="preserve">cumulative 3L refit after adding study 'Atif, Ali (2021)' (median sample_mid = 2011.50); ordering: study-wise median sample_mid, ties alphabetical [DEC-045/H-Q17]; full display (CI band)</t>
  </si>
  <si>
    <t xml:space="preserve">cumulative 3L refit after adding study 'Delis et al (2021)' (median sample_mid = 2011.50); ordering: study-wise median sample_mid, ties alphabetical [DEC-045/H-Q17]; full display (CI band)</t>
  </si>
  <si>
    <t xml:space="preserve">cumulative 3L refit after adding study 'Höck et al (2020)' (median sample_mid = 2011.50); ordering: study-wise median sample_mid, ties alphabetical [DEC-045/H-Q17]; full display (CI band)</t>
  </si>
  <si>
    <t xml:space="preserve">cumulative 3L refit after adding study 'Yang et al (2024)' (median sample_mid = 2011.50); ordering: study-wise median sample_mid, ties alphabetical [DEC-045/H-Q17]; full display (CI band)</t>
  </si>
  <si>
    <t xml:space="preserve">cumulative 3L refit after adding study 'Cubas, Martinez (2018)' (median sample_mid = 2012.00); ordering: study-wise median sample_mid, ties alphabetical [DEC-045/H-Q17]; full display (CI band)</t>
  </si>
  <si>
    <t xml:space="preserve">cumulative 3L refit after adding study 'Drago et al (2018)' (median sample_mid = 2012.00); ordering: study-wise median sample_mid, ties alphabetical [DEC-045/H-Q17]; full display (CI band)</t>
  </si>
  <si>
    <t xml:space="preserve">cumulative 3L refit after adding study 'Ehlers et al (2021)' (median sample_mid = 2012.00); ordering: study-wise median sample_mid, ties alphabetical [DEC-045/H-Q17]; full display (CI band)</t>
  </si>
  <si>
    <t xml:space="preserve">cumulative 3L refit after adding study 'Li et al (2022)' (median sample_mid = 2012.00); ordering: study-wise median sample_mid, ties alphabetical [DEC-045/H-Q17]; full display (CI band)</t>
  </si>
  <si>
    <t xml:space="preserve">cumulative 3L refit after adding study 'Ofogbe et al (2021)' (median sample_mid = 2012.00); ordering: study-wise median sample_mid, ties alphabetical [DEC-045/H-Q17]; full display (CI band)</t>
  </si>
  <si>
    <t xml:space="preserve">cumulative 3L refit after adding study 'Okimoto &amp; Takaoka (2024)' (median sample_mid = 2012.00); ordering: study-wise median sample_mid, ties alphabetical [DEC-045/H-Q17]; full display (CI band)</t>
  </si>
  <si>
    <t xml:space="preserve">cumulative 3L refit after adding study 'Safiullah et al (2025)' (median sample_mid = 2012.00); ordering: study-wise median sample_mid, ties alphabetical [DEC-045/H-Q17]; full display (CI band)</t>
  </si>
  <si>
    <t xml:space="preserve">cumulative 3L refit after adding study 'Truong, Kim (2019)' (median sample_mid = 2012.00); ordering: study-wise median sample_mid, ties alphabetical [DEC-045/H-Q17]; full display (CI band)</t>
  </si>
  <si>
    <t xml:space="preserve">cumulative 3L refit after adding study 'Wu et al (2020)' (median sample_mid = 2012.00); ordering: study-wise median sample_mid, ties alphabetical [DEC-045/H-Q17]; full display (CI band)</t>
  </si>
  <si>
    <t xml:space="preserve">cumulative 3L refit after adding study 'Zhou et al (2024)' (median sample_mid = 2012.00); ordering: study-wise median sample_mid, ties alphabetical [DEC-045/H-Q17]; full display (CI band)</t>
  </si>
  <si>
    <t xml:space="preserve">cumulative 3L refit after adding study 'Ali et al (2023)' (median sample_mid = 2012.50); ordering: study-wise median sample_mid, ties alphabetical [DEC-045/H-Q17]; full display (CI band)</t>
  </si>
  <si>
    <t xml:space="preserve">cumulative 3L refit after adding study 'Hamrouni et al (2019a)' (median sample_mid = 2012.50); ordering: study-wise median sample_mid, ties alphabetical [DEC-045/H-Q17]; full display (CI band)</t>
  </si>
  <si>
    <t xml:space="preserve">cumulative 3L refit after adding study 'Hu et al (2024)' (median sample_mid = 2012.50); ordering: study-wise median sample_mid, ties alphabetical [DEC-045/H-Q17]; full display (CI band)</t>
  </si>
  <si>
    <t xml:space="preserve">cumulative 3L refit after adding study 'Jang et al (2020)' (median sample_mid = 2012.50); ordering: study-wise median sample_mid, ties alphabetical [DEC-045/H-Q17]; full display (CI band)</t>
  </si>
  <si>
    <t xml:space="preserve">cumulative 3L refit after adding study 'Kleimeier, Viehs (2021)' (median sample_mid = 2012.50); ordering: study-wise median sample_mid, ties alphabetical [DEC-045/H-Q17]; full display (CI band)</t>
  </si>
  <si>
    <t xml:space="preserve">cumulative 3L refit after adding study 'Lemma et al (2017)' (median sample_mid = 2012.50); ordering: study-wise median sample_mid, ties alphabetical [DEC-045/H-Q17]; full display (CI band)</t>
  </si>
  <si>
    <t xml:space="preserve">cumulative 3L refit after adding study 'Mahmoudian et al (2023)' (median sample_mid = 2012.50); ordering: study-wise median sample_mid, ties alphabetical [DEC-045/H-Q17]; full display (CI band)</t>
  </si>
  <si>
    <t xml:space="preserve">cumulative 3L refit after adding study 'Okimoto, Takaoka (2022)' (median sample_mid = 2012.50); ordering: study-wise median sample_mid, ties alphabetical [DEC-045/H-Q17]; full display (CI band)</t>
  </si>
  <si>
    <t xml:space="preserve">cumulative 3L refit after adding study 'Sandra et al (2021)' (median sample_mid = 2012.50); ordering: study-wise median sample_mid, ties alphabetical [DEC-045/H-Q17]; full display (CI band)</t>
  </si>
  <si>
    <t xml:space="preserve">cumulative 3L refit after adding study 'Shad et al (2022)' (median sample_mid = 2012.50); ordering: study-wise median sample_mid, ties alphabetical [DEC-045/H-Q17]; full display (CI band)</t>
  </si>
  <si>
    <t xml:space="preserve">cumulative 3L refit after adding study 'Maaloul, Wegener (2021)' (median sample_mid = 2013.00); ordering: study-wise median sample_mid, ties alphabetical [DEC-045/H-Q17]; full display (CI band)</t>
  </si>
  <si>
    <t xml:space="preserve">cumulative 3L refit after adding study 'Seltzer et al (2022)' (median sample_mid = 2013.00); ordering: study-wise median sample_mid, ties alphabetical [DEC-045/H-Q17]; full display (CI band)</t>
  </si>
  <si>
    <t xml:space="preserve">cumulative 3L refit after adding study 'Zhou et al (2018)' (median sample_mid = 2013.00); ordering: study-wise median sample_mid, ties alphabetical [DEC-045/H-Q17]; full display (CI band)</t>
  </si>
  <si>
    <t xml:space="preserve">cumulative 3L refit after adding study 'Caragnano et al (2020)' (median sample_mid = 2013.50); ordering: study-wise median sample_mid, ties alphabetical [DEC-045/H-Q17]; full display (CI band)</t>
  </si>
  <si>
    <t xml:space="preserve">cumulative 3L refit after adding study 'Dumrose &amp; Höck (2023)' (median sample_mid = 2013.50); ordering: study-wise median sample_mid, ties alphabetical [DEC-045/H-Q17]; full display (CI band)</t>
  </si>
  <si>
    <t xml:space="preserve">cumulative 3L refit after adding study 'Duong et al (2025)' (median sample_mid = 2013.50); ordering: study-wise median sample_mid, ties alphabetical [DEC-045/H-Q17]; full display (CI band)</t>
  </si>
  <si>
    <t xml:space="preserve">cumulative 3L refit after adding study 'Kim &amp; Pouget (2026)' (median sample_mid = 2013.50); ordering: study-wise median sample_mid, ties alphabetical [DEC-045/H-Q17]; full display (CI band)</t>
  </si>
  <si>
    <t xml:space="preserve">cumulative 3L refit after adding study 'Pizzutilo et al (2020)' (median sample_mid = 2013.50); ordering: study-wise median sample_mid, ties alphabetical [DEC-045/H-Q17]; full display (CI band)</t>
  </si>
  <si>
    <t xml:space="preserve">cumulative 3L refit after adding study 'Srivisal et al (2021)' (median sample_mid = 2013.50); ordering: study-wise median sample_mid, ties alphabetical [DEC-045/H-Q17]; full display (CI band)</t>
  </si>
  <si>
    <t xml:space="preserve">cumulative 3L refit after adding study 'Sze et al (2021)' (median sample_mid = 2013.50); ordering: study-wise median sample_mid, ties alphabetical [DEC-045/H-Q17]; full display (CI band)</t>
  </si>
  <si>
    <t xml:space="preserve">cumulative 3L refit after adding study 'Zhang et al (2023)' (median sample_mid = 2013.50); ordering: study-wise median sample_mid, ties alphabetical [DEC-045/H-Q17]; full display (CI band)</t>
  </si>
  <si>
    <t xml:space="preserve">cumulative 3L refit after adding study 'Azmi et al (2021)' (median sample_mid = 2014.00); ordering: study-wise median sample_mid, ties alphabetical [DEC-045/H-Q17]; full display (CI band)</t>
  </si>
  <si>
    <t xml:space="preserve">cumulative 3L refit after adding study 'Borsuk &amp; Shrimali (2026)' (median sample_mid = 2014.00); ordering: study-wise median sample_mid, ties alphabetical [DEC-045/H-Q17]; full display (CI band)</t>
  </si>
  <si>
    <t xml:space="preserve">cumulative 3L refit after adding study 'Christ et al (2022)' (median sample_mid = 2014.00); ordering: study-wise median sample_mid, ties alphabetical [DEC-045/H-Q17]; full display (CI band)</t>
  </si>
  <si>
    <t xml:space="preserve">cumulative 3L refit after adding study 'Hui et al (2024)' (median sample_mid = 2014.00); ordering: study-wise median sample_mid, ties alphabetical [DEC-045/H-Q17]; full display (CI band)</t>
  </si>
  <si>
    <t xml:space="preserve">cumulative 3L refit after adding study 'Kölbel et al (2020)' (median sample_mid = 2014.00); ordering: study-wise median sample_mid, ties alphabetical [DEC-045/H-Q17]; full display (CI band)</t>
  </si>
  <si>
    <t xml:space="preserve">cumulative 3L refit after adding study 'Ma et al (2022)' (median sample_mid = 2014.00); ordering: study-wise median sample_mid, ties alphabetical [DEC-045/H-Q17]; full display (CI band)</t>
  </si>
  <si>
    <t xml:space="preserve">cumulative 3L refit after adding study 'Palea, Drogo (2020)' (median sample_mid = 2014.00); ordering: study-wise median sample_mid, ties alphabetical [DEC-045/H-Q17]; full display (CI band)</t>
  </si>
  <si>
    <t xml:space="preserve">cumulative 3L refit after adding study 'Yilmaz (2022)' (median sample_mid = 2014.00); ordering: study-wise median sample_mid, ties alphabetical [DEC-045/H-Q17]; full display (CI band)</t>
  </si>
  <si>
    <t xml:space="preserve">cumulative 3L refit after adding study 'Zhu, Zhao (2022)' (median sample_mid = 2014.00); ordering: study-wise median sample_mid, ties alphabetical [DEC-045/H-Q17]; full display (CI band)</t>
  </si>
  <si>
    <t xml:space="preserve">cumulative 3L refit after adding study 'Apergis et al (2022)' (median sample_mid = 2014.50); ordering: study-wise median sample_mid, ties alphabetical [DEC-045/H-Q17]; full display (CI band)</t>
  </si>
  <si>
    <t xml:space="preserve">cumulative 3L refit after adding study 'Ben Slimane et al (2019)' (median sample_mid = 2014.50); ordering: study-wise median sample_mid, ties alphabetical [DEC-045/H-Q17]; full display (CI band)</t>
  </si>
  <si>
    <t xml:space="preserve">cumulative 3L refit after adding study 'Devalle et al (2017)' (median sample_mid = 2015.00); ordering: study-wise median sample_mid, ties alphabetical [DEC-045/H-Q17]; full display (CI band)</t>
  </si>
  <si>
    <t xml:space="preserve">cumulative 3L refit after adding study 'Ding et al (2022)' (median sample_mid = 2015.00); ordering: study-wise median sample_mid, ties alphabetical [DEC-045/H-Q17]; full display (CI band)</t>
  </si>
  <si>
    <t xml:space="preserve">cumulative 3L refit after adding study 'Kim, Kim (2022)' (median sample_mid = 2015.00); ordering: study-wise median sample_mid, ties alphabetical [DEC-045/H-Q17]; full display (CI band)</t>
  </si>
  <si>
    <t xml:space="preserve">cumulative 3L refit after adding study 'Lee (2022)' (median sample_mid = 2015.00); ordering: study-wise median sample_mid, ties alphabetical [DEC-045/H-Q17]; full display (CI band)</t>
  </si>
  <si>
    <t xml:space="preserve">cumulative 3L refit after adding study 'Luo et al (2019)' (median sample_mid = 2015.00); ordering: study-wise median sample_mid, ties alphabetical [DEC-045/H-Q17]; full display (CI band)</t>
  </si>
  <si>
    <t xml:space="preserve">cumulative 3L refit after adding study 'Ho &amp; Wong (2023)' (median sample_mid = 2015.50); ordering: study-wise median sample_mid, ties alphabetical [DEC-045/H-Q17]; full display (CI band)</t>
  </si>
  <si>
    <t xml:space="preserve">cumulative 3L refit after adding study 'Kordschia (2020)' (median sample_mid = 2015.50); ordering: study-wise median sample_mid, ties alphabetical [DEC-045/H-Q17]; full display (CI band)</t>
  </si>
  <si>
    <t xml:space="preserve">cumulative 3L refit after adding study 'Owolabi et al (2024)' (median sample_mid = 2015.50); ordering: study-wise median sample_mid, ties alphabetical [DEC-045/H-Q17]; full display (CI band)</t>
  </si>
  <si>
    <t xml:space="preserve">cumulative 3L refit after adding study 'Ririmasse et al (2026)' (median sample_mid = 2015.50); ordering: study-wise median sample_mid, ties alphabetical [DEC-045/H-Q17]; full display (CI band)</t>
  </si>
  <si>
    <t xml:space="preserve">cumulative 3L refit after adding study 'Xiang &amp; Gong (2026)' (median sample_mid = 2015.50); ordering: study-wise median sample_mid, ties alphabetical [DEC-045/H-Q17]; full display (CI band)</t>
  </si>
  <si>
    <t xml:space="preserve">cumulative 3L refit after adding study 'Du et al (2022)' (median sample_mid = 2016.00); ordering: study-wise median sample_mid, ties alphabetical [DEC-045/H-Q17]; full display (CI band)</t>
  </si>
  <si>
    <t xml:space="preserve">cumulative 3L refit after adding study 'Tan et al (2021)' (median sample_mid = 2016.00); ordering: study-wise median sample_mid, ties alphabetical [DEC-045/H-Q17]; full display (CI band)</t>
  </si>
  <si>
    <t xml:space="preserve">cumulative 3L refit after adding study 'Wang et al (2022a)' (median sample_mid = 2016.00); ordering: study-wise median sample_mid, ties alphabetical [DEC-045/H-Q17]; full display (CI band)</t>
  </si>
  <si>
    <t xml:space="preserve">cumulative 3L refit after adding study 'Lin et al (2025)' (median sample_mid = 2017.00); ordering: study-wise median sample_mid, ties alphabetical [DEC-045/H-Q17]; full display (CI band)</t>
  </si>
  <si>
    <t xml:space="preserve">cumulative 3L refit after adding study 'Liu et al (2023)' (median sample_mid = 2017.00); ordering: study-wise median sample_mid, ties alphabetical [DEC-045/H-Q17]; full display (CI band)</t>
  </si>
  <si>
    <t xml:space="preserve">cumulative 3L refit after adding study 'Nasih et al (2024)' (median sample_mid = 2017.00); ordering: study-wise median sample_mid, ties alphabetical [DEC-045/H-Q17]; full display (CI band)</t>
  </si>
  <si>
    <t xml:space="preserve">cumulative 3L refit after adding study 'Ratajczak &amp; Mikolajewicz (2021)' (median sample_mid = 2017.00); ordering: study-wise median sample_mid, ties alphabetical [DEC-045/H-Q17]; full display (CI band)</t>
  </si>
  <si>
    <t xml:space="preserve">cumulative 3L refit after adding study 'Tan et al (2026)' (median sample_mid = 2017.00); ordering: study-wise median sample_mid, ties alphabetical [DEC-045/H-Q17]; full display (CI band)</t>
  </si>
  <si>
    <t xml:space="preserve">cumulative 3L refit after adding study 'Temiz (2022)' (median sample_mid = 2017.00); ordering: study-wise median sample_mid, ties alphabetical [DEC-045/H-Q17]; full display (CI band)</t>
  </si>
  <si>
    <t xml:space="preserve">cumulative 3L refit after adding study 'Wang et al (2025a)' (median sample_mid = 2017.00); ordering: study-wise median sample_mid, ties alphabetical [DEC-045/H-Q17]; full display (CI band)</t>
  </si>
  <si>
    <t xml:space="preserve">cumulative 3L refit after adding study 'Panjwani et al (2023)' (median sample_mid = 2017.50); ordering: study-wise median sample_mid, ties alphabetical [DEC-045/H-Q17]; full display (CI band)</t>
  </si>
  <si>
    <t xml:space="preserve">cumulative 3L refit after adding study 'Tang et al (2023)' (median sample_mid = 2018.00); ordering: study-wise median sample_mid, ties alphabetical [DEC-045/H-Q17]; full display (CI band)</t>
  </si>
  <si>
    <t xml:space="preserve">cumulative 3L refit after adding study 'Boermans et al (2023)' (median sample_mid = 2018.50); ordering: study-wise median sample_mid, ties alphabetical [DEC-045/H-Q17]; full display (CI band)</t>
  </si>
  <si>
    <t xml:space="preserve">cumulative 3L refit after adding study 'Boubaker et al (2026)' (median sample_mid = 2019.00); ordering: study-wise median sample_mid, ties alphabetical [DEC-045/H-Q17]; full display (CI band)</t>
  </si>
  <si>
    <t xml:space="preserve">cumulative 3L refit after adding study 'Gonzales Sanches et al (2026)' (median sample_mid = 2019.00); ordering: study-wise median sample_mid, ties alphabetical [DEC-045/H-Q17]; full display (CI band)</t>
  </si>
  <si>
    <t xml:space="preserve">cumulative 3L refit after adding study 'Shi et al (2025)' (median sample_mid = 2019.00); ordering: study-wise median sample_mid, ties alphabetical [DEC-045/H-Q17]; full display (CI band)</t>
  </si>
  <si>
    <t xml:space="preserve">cumulative 3L refit after adding study 'Wang &amp; Wijethilake (2026)' (median sample_mid = 2019.00); ordering: study-wise median sample_mid, ties alphabetical [DEC-045/H-Q17]; full display (CI band)</t>
  </si>
  <si>
    <t xml:space="preserve">cumulative 3L refit after adding study 'Ali et al (2026)' (median sample_mid = 2019.50); ordering: study-wise median sample_mid, ties alphabetical [DEC-045/H-Q17]; full display (CI band)</t>
  </si>
  <si>
    <t xml:space="preserve">cumulative 3L refit after adding study 'Kozak (2021)' (median sample_mid = 2019.50); ordering: study-wise median sample_mid, ties alphabetical [DEC-045/H-Q17]; full display (CI band)</t>
  </si>
  <si>
    <t xml:space="preserve">cumulative 3L refit after adding study 'Altavilla et al (2024)' (median sample_mid = 2020.00); ordering: study-wise median sample_mid, ties alphabetical [DEC-045/H-Q17]; full display (CI band)</t>
  </si>
  <si>
    <t xml:space="preserve">cumulative 3L refit after adding study 'Brinette et al (2026)' (median sample_mid = 2020.00); ordering: study-wise median sample_mid, ties alphabetical [DEC-045/H-Q17]; full display (CI band)</t>
  </si>
  <si>
    <t xml:space="preserve">cumulative 3L refit after adding study 'Ferriani (2022)' (median sample_mid = 2020.00); ordering: study-wise median sample_mid, ties alphabetical [DEC-045/H-Q17]; full display (CI band)</t>
  </si>
  <si>
    <t xml:space="preserve">cumulative 3L refit after adding study 'Wang et al (2025b)' (median sample_mid = 2020.00); ordering: study-wise median sample_mid, ties alphabetical [DEC-045/H-Q17]; full display (CI band)</t>
  </si>
  <si>
    <t xml:space="preserve">cumulative 3L refit after adding study 'Almutairi (2026)' (median sample_mid = 2020.50); ordering: study-wise median sample_mid, ties alphabetical [DEC-045/H-Q17]; full display (CI band)</t>
  </si>
  <si>
    <t xml:space="preserve">cumulative 3L refit after adding study 'Cicchini et al (2026)' (median sample_mid = 2022.50); ordering: study-wise median sample_mid, ties alphabetical [DEC-045/H-Q17]; full display (CI band)</t>
  </si>
  <si>
    <t xml:space="preserve">descriptive tier (5-9 clusters: 9) [DEC-045 S6]: estimate only; se/CI/p suppressed by rule; window [1998, 2004) on sample_mid</t>
  </si>
  <si>
    <t xml:space="preserve">descriptive tier (5-9 clusters: 8) [DEC-045 S6]: estimate only; se/CI/p suppressed by rule; window [1999, 2005) on sample_mid</t>
  </si>
  <si>
    <t xml:space="preserve">descriptive tier (5-9 clusters: 8) [DEC-045 S6]: estimate only; se/CI/p suppressed by rule; window [2000, 2006) on sample_mid</t>
  </si>
  <si>
    <t xml:space="preserve">descriptive tier (5-9 clusters: 6) [DEC-045 S6]: estimate only; se/CI/p suppressed by rule; window [2001, 2007) on sample_mid</t>
  </si>
  <si>
    <t xml:space="preserve">not_estimable: 4 clusters &lt; 5 [DEC-045 S6 tier]; window [2002, 2008); no fit attempted</t>
  </si>
  <si>
    <t xml:space="preserve">descriptive tier (5-9 clusters: 7) [DEC-045 S6]: estimate only; se/CI/p suppressed by rule; window [2003, 2009) on sample_mid</t>
  </si>
  <si>
    <t xml:space="preserve">descriptive tier (5-9 clusters: 8) [DEC-045 S6]: estimate only; se/CI/p suppressed by rule; window [2004, 2010) on sample_mid</t>
  </si>
  <si>
    <t xml:space="preserve">full-inference tier (&gt;= 10 clusters: 18) [DEC-045 S6]; window [2005, 2011) on sample_mid; width 6 y, step 1 y, anchor 1998</t>
  </si>
  <si>
    <t xml:space="preserve">full-inference tier (&gt;= 10 clusters: 24) [DEC-045 S6]; window [2006, 2012) on sample_mid; width 6 y, step 1 y, anchor 1998</t>
  </si>
  <si>
    <t xml:space="preserve">full-inference tier (&gt;= 10 clusters: 42) [DEC-045 S6]; window [2007, 2013) on sample_mid; width 6 y, step 1 y, anchor 1998</t>
  </si>
  <si>
    <t xml:space="preserve">full-inference tier (&gt;= 10 clusters: 53) [DEC-045 S6]; window [2008, 2014) on sample_mid; width 6 y, step 1 y, anchor 1998</t>
  </si>
  <si>
    <t xml:space="preserve">full-inference tier (&gt;= 10 clusters: 62) [DEC-045 S6]; window [2009, 2015) on sample_mid; width 6 y, step 1 y, anchor 1998</t>
  </si>
  <si>
    <t xml:space="preserve">full-inference tier (&gt;= 10 clusters: 71) [DEC-045 S6]; window [2010, 2016) on sample_mid; width 6 y, step 1 y, anchor 1998</t>
  </si>
  <si>
    <t xml:space="preserve">full-inference tier (&gt;= 10 clusters: 64) [DEC-045 S6]; window [2011, 2017) on sample_mid; width 6 y, step 1 y, anchor 1998</t>
  </si>
  <si>
    <t xml:space="preserve">full-inference tier (&gt;= 10 clusters: 63) [DEC-045 S6]; window [2012, 2018) on sample_mid; width 6 y, step 1 y, anchor 1998</t>
  </si>
  <si>
    <t xml:space="preserve">full-inference tier (&gt;= 10 clusters: 46) [DEC-045 S6]; window [2013, 2019) on sample_mid; width 6 y, step 1 y, anchor 1998</t>
  </si>
  <si>
    <t xml:space="preserve">full-inference tier (&gt;= 10 clusters: 41) [DEC-045 S6]; window [2014, 2020) on sample_mid; width 6 y, step 1 y, anchor 1998</t>
  </si>
  <si>
    <t xml:space="preserve">full-inference tier (&gt;= 10 clusters: 35) [DEC-045 S6]; window [2015, 2021) on sample_mid; width 6 y, step 1 y, anchor 1998</t>
  </si>
  <si>
    <t xml:space="preserve">full-inference tier (&gt;= 10 clusters: 25) [DEC-045 S6]; window [2016, 2022) on sample_mid; width 6 y, step 1 y, anchor 1998</t>
  </si>
  <si>
    <t xml:space="preserve">full-inference tier (&gt;= 10 clusters: 22) [DEC-045 S6]; window [2017, 2023) on sample_mid; width 6 y, step 1 y, anchor 1998</t>
  </si>
  <si>
    <t xml:space="preserve">full-inference tier (&gt;= 10 clusters: 14) [DEC-045 S6]; window [2018, 2024) on sample_mid; width 6 y, step 1 y, anchor 1998</t>
  </si>
  <si>
    <t xml:space="preserve">debt-side pooled mean (E1 refit of T1/A1); descriptive channel-level size comparison, NO formal z-test [DEC-045/H-Q9; N12 scope shift disclosed]</t>
  </si>
  <si>
    <t xml:space="preserve">COE companion STUDY-LEVEL row (Table 3, 75 units; NOT the ES-level -0.041 figure); SE provenance disclosure: COE main model = naive inverse variance at ES level, k = 1,139, no cluster-robust inference; overlap disclosure: 7/120 corpus, 6/115 estimation set, 5/113 period domain; 60/2,713 est ES (2.2%); 0 shared effect sizes [DEC-045/H-Q10]</t>
  </si>
  <si>
    <t xml:space="preserve">N13 rule [Annex H/DEC-045]: conditional on &gt;= 5 significant study-level post-cell p; selection = first-reported ES per post study (dat_prep row order); p reconstructed as 2*pnorm(-|zi|/sqrt(vi)) (z-metric; converted-r accuracy caveat)</t>
  </si>
  <si>
    <t xml:space="preserve">N13 rule [Annex H/DEC-045]: conditional on &gt;= 5 significant study-level post-cell p; selection = first-reported ES per post study (dat_prep row order); p reconstructed as 2*pnorm(-|zi|/sqrt(vi)) (z-metric; converted-r accuracy caveat); share of significant p &lt; .025: 26/28; one-sided binomial vs 0.5 [Simonsohn et al. 2014]</t>
  </si>
  <si>
    <t xml:space="preserve">N13 rule [Annex H/DEC-045]: conditional on &gt;= 5 significant study-level post-cell p; selection = first-reported ES per post study (dat_prep row order); p reconstructed as 2*pnorm(-|zi|/sqrt(vi)) (z-metric; converted-r accuracy caveat); Stouffer z on pp = p/.05: z = -23.2043; right-skew p = pnorm(z)</t>
  </si>
  <si>
    <t xml:space="preserve">N13 rule [Annex H/DEC-045]: conditional on &gt;= 5 significant study-level post-cell p; selection = first-reported ES per post study (dat_prep row order); p reconstructed as 2*pnorm(-|zi|/sqrt(vi)) (z-metric; converted-r accuracy caveat); NCP_33 = 1.529236685 (= qnorm(.975) - qnorm(2/3)); Stouffer z on pp33: z = -20.0115; flatter-than-33% p = 1 - pnorm(z); pp33 clip share (upper/lower) = 0/9 of 28</t>
  </si>
  <si>
    <t xml:space="preserve">N15 within-study display: descriptive only, explicitly NO p-values (single both-period cluster) [DEC-045/H-Q11; DEC-008 partial reopen]; unweighted mean of Fisher-z within cell; value = SD</t>
  </si>
  <si>
    <t xml:space="preserve">N15 within-study display: descriptive only, explicitly NO p-values (single both-period cluster) [DEC-045/H-Q11; DEC-008 partial reopen]; unweighted mean of Fisher-z within cell; value = SD; post-minus-pre difference of unweighted cell means; z-only, no CI/p by rule</t>
  </si>
  <si>
    <t xml:space="preserve">tie ES at sample_mid = 2015.5: 79 ES / 5 studies / 5 clusters (Ho &amp; Wong 2023; Kordschia 2020; Owolabi et al 2024; Ririmasse et al 2026; Xiang &amp; Gong 2026); post cell 31 -&gt; 26 studies under the Zarea tie-exclusion rule [DEC-045/H-Q8]</t>
  </si>
  <si>
    <t xml:space="preserve">h4_admissible_years</t>
  </si>
  <si>
    <t xml:space="preserve">candidate years with break-coefficient Satterthwaite df &gt;= 5, computed ONCE on the observed design and held fixed for the TH-c permutation [DEC-045/H-Q6/H-Q20]: 2008, 2009, 2010, 2011, 2012, 2013, 2014, 2015, 2016, 2017, 2018, 2019</t>
  </si>
  <si>
    <t xml:space="preserve">first cumulative step with &gt;= 10 clusters (CI band from here; steps 1-9 point-only in the figure) [DEC-045/H-Q17]; floor study = 'Chen, Gao (2011)'</t>
  </si>
  <si>
    <t xml:space="preserve">ordering: study-wise median sample_mid, ties alphabetical; first 5: Nandy, Lodh (2012) (1998.50); Chava (2010) (1999.00); Schneider (2010) (1999.00); Chava (2014) (1999.50); Oikonomou et al (2014) (2000.00)</t>
  </si>
  <si>
    <t xml:space="preserve">h8_window_anchor</t>
  </si>
  <si>
    <t xml:space="preserve">derived design constant: min sample_mid = 1998.5 -&gt; anchor 1998; width 6 y, step 1 y -&gt; 21 windows [DEC-045 S6]</t>
  </si>
  <si>
    <t xml:space="preserve">first-reported ES per post study = first occurrence in dat_prep row order (pinned) [DEC-045/N13]</t>
  </si>
  <si>
    <t xml:space="preserve">studies with any pp_window_class == 'mixed' on the estimation set (straddle the break) [DEC-045/H-Q11]</t>
  </si>
  <si>
    <t xml:space="preserve">straddling studies minus the single within-split study (Li et al 2022) = studies that pool across the break ('Paris blindness' introduction module)</t>
  </si>
  <si>
    <t xml:space="preserve">TH-a (Block E/H fast frequentist battery) · Manuscript Inputs (ms_input = TRUE rows; every cell formula-derived from Results_Long)</t>
  </si>
  <si>
    <t xml:space="preserve">Paste-ready strings via locale-neutral digit arithmetic (no TEXT format codes, no CONCAT) - pinned convention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</si>
  <si>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</si>
  <si>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</si>
  <si>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</si>
  <si>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</si>
  <si>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</si>
  <si>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Paste-ready string (formula-derived)</t>
  </si>
  <si>
    <t xml:space="preserve">Source pointer</t>
  </si>
  <si>
    <t xml:space="preserve">E1 TOST at the primary band (p, 90% CI, flag) + pooled z</t>
  </si>
  <si>
    <t xml:space="preserve">TH_a_results.csv E1 (band 0.070 + pooled_mean)</t>
  </si>
  <si>
    <t xml:space="preserve">E2 contrast + TOST at ±0.050 (diff, TOST p, 90% CI, flag)</t>
  </si>
  <si>
    <t xml:space="preserve">TH_a_results.csv E2 (diff + band 0.050)</t>
  </si>
  <si>
    <t xml:space="preserve">Observed sup |t| + argmax year (year via Tab 7 helper argmax)</t>
  </si>
  <si>
    <t xml:space="preserve">TH_a_results.csv H4 sup_break; '7_H4_Break_Grid' helper block</t>
  </si>
  <si>
    <t xml:space="preserve">H6 transplant contrast (diff, t, df, p)</t>
  </si>
  <si>
    <t xml:space="preserve">TH_a_results.csv H6 diff</t>
  </si>
  <si>
    <t xml:space="preserve">TH-a (Block E/H fast frequentist battery) · Manuscript Text Blocks (TB-nn continue across runs; T1=TB-01..12, T2=TB-13..19, ..., this run: TB-36..TB-45)</t>
  </si>
  <si>
    <t xml:space="preserve">Numbers hardcoded WITH provenance: source = output/TH_a_results.csv (this workbook's Results_Long); REGENERATE ON ANY RE-RUN. Prose framing-neutral pending DEC-044 gate resolution.</t>
  </si>
  <si>
    <t xml:space="preserve">ID</t>
  </si>
  <si>
    <t xml:space="preserve">Target section</t>
  </si>
  <si>
    <t xml:space="preserve">Status</t>
  </si>
  <si>
    <t xml:space="preserve">Text (EN)</t>
  </si>
  <si>
    <t xml:space="preserve">Source pointers</t>
  </si>
  <si>
    <t xml:space="preserve">Note</t>
  </si>
  <si>
    <t xml:space="preserve">TB-36</t>
  </si>
  <si>
    <t xml:space="preserve">Results - equivalence battery (E1)</t>
  </si>
  <si>
    <t xml:space="preserve">BLOCKED - DEC-044</t>
  </si>
  <si>
    <t xml:space="preserve">For the pooled CER-COD association, the two one-sided tests procedure (TOST; Lakens, 2017) against the pre-registered primary smallest-effect-size-of-interest band of |r| = 0.070 yields p_TOST = 0.205, with the 90% confidence interval [-0.082; -0.036] extending beyond the lower band edge (mechanical flag = 0); against the secondary +/-0.05 band, p_TOST = 0.732. The pooled estimate (z = -0.059, 95% CI [-0.086; -0.031]) is thus statistically distinguishable from zero and not statistically equivalent to zero at either band.</t>
  </si>
  <si>
    <t xml:space="preserve">[TH_a xlsx Tab 6]; [R/06]; [DEC-044/045]</t>
  </si>
  <si>
    <t xml:space="preserve">Tier-2 embedding sentence set at gate resolution; ex-ante FAIL expectation pinned.</t>
  </si>
  <si>
    <t xml:space="preserve">TB-37</t>
  </si>
  <si>
    <t xml:space="preserve">Results - equivalence battery (E2)</t>
  </si>
  <si>
    <t xml:space="preserve">For the Paris-Agreement contrast (post- minus pre-majority exposure windows, headline coding), diff_z = +0.010 (t(15.0) = 0.56, p = 0.582). The TOST procedure against the +/-0.05 z band yields p_TOST = 0.022; the 90% confidence interval [-0.022; +0.042] lies entirely within the band (mechanical flag = 1).</t>
  </si>
  <si>
    <t xml:space="preserve">Equivalence language pending gate resolution.</t>
  </si>
  <si>
    <t xml:space="preserve">TB-38</t>
  </si>
  <si>
    <t xml:space="preserve">Methods - inference plan (gate)</t>
  </si>
  <si>
    <t xml:space="preserve">READY</t>
  </si>
  <si>
    <t xml:space="preserve">Tier-1 wording is governed by a pre-registered language gate: an equivalence conclusion for the Paris contrast requires the E2 TOST pass in combination with the Bayes-factor ladder of the robust Bayesian moderation model (BF01 &gt;= 3: full evidence-of-absence register; 1 &lt; BF01 &lt; 3: equivalence-based register only). The gate is resolved as a documented post-estimation step after the Bayesian battery [DEC-044; DEC-045].</t>
  </si>
  <si>
    <t xml:space="preserve">[TH_a xlsx Tab 6 E3 rows]; [DECISION_LOG DEC-044]</t>
  </si>
  <si>
    <t xml:space="preserve">Gate description is outcome-independent.</t>
  </si>
  <si>
    <t xml:space="preserve">TB-39</t>
  </si>
  <si>
    <t xml:space="preserve">Results - structural-break search (H4)</t>
  </si>
  <si>
    <t xml:space="preserve">Across the twelve admissible candidate break years (2008-2019; Satterthwaite df &gt;= 5 on the break coefficient), the largest absolute break statistic is |t| = 2.12, attained at 2009. Referred to the cluster time-translation permutation distribution of the supremum statistic, this is unremarkable (p_perm = 0.341; B_eff = 500).</t>
  </si>
  <si>
    <t xml:space="preserve">[TH_a xlsx Tab 7]; [TH_c xlsx Tab 9]; [DEC-045 H-Q16/H-Q20]</t>
  </si>
  <si>
    <t xml:space="preserve">Cross-run pair; single-home for p_perm = TH-c.</t>
  </si>
  <si>
    <t xml:space="preserve">TB-40</t>
  </si>
  <si>
    <t xml:space="preserve">Results - competing operationalization (H6)</t>
  </si>
  <si>
    <t xml:space="preserve">Under Zarea et al.'s Paris operationalization (study-midpoint rule with tie exclusion), applied within our three-level RVE framework, the post-minus-pre contrast is +0.011 (t(11.6) = 0.58, p = 0.574; 2,626 effect sizes from 108 studies; 79 tied effect sizes from 5 studies at sample_mid = 2015.5 excluded, post cell 31 -&gt; 26 studies).</t>
  </si>
  <si>
    <t xml:space="preserve">[TH_a xlsx Tab 8]; [DEC-045/N8]</t>
  </si>
  <si>
    <t xml:space="preserve">Pinned wording: never 'under Zarea's method'.</t>
  </si>
  <si>
    <t xml:space="preserve">TB-41</t>
  </si>
  <si>
    <t xml:space="preserve">Results - cumulative meta-analysis (H7)</t>
  </si>
  <si>
    <t xml:space="preserve">DRAFT</t>
  </si>
  <si>
    <t xml:space="preserve">In the chronological cumulative meta-analysis (studies ordered by median sample-window midpoint, ties alphabetical; 113 steps), the pooled estimate moves within [-0.095; -0.015] once the 10-cluster confidence floor is reached (step 10) and ends at -0.059 (95% CI [-0.087; -0.031]), reproducing the period-domain pooled value. Steps 1-9 are displayed point-only; step 1 is not estimable by rule (single cluster).</t>
  </si>
  <si>
    <t xml:space="preserve">[TH_a xlsx Tab 8]; [DEC-045/H-Q17]</t>
  </si>
  <si>
    <t xml:space="preserve">Final phrasing follows the figure; range hardcoded from Results_Long - regenerate on re-run.</t>
  </si>
  <si>
    <t xml:space="preserve">TB-42</t>
  </si>
  <si>
    <t xml:space="preserve">Results - rolling windows (H8)</t>
  </si>
  <si>
    <t xml:space="preserve">Rolling six-year windows (step one year, anchor 1998; 21 windows, of which 20 estimable - the 2002-2007 window falls below the 5-cluster floor) yield window means between -0.087 and -0.015. Windows with at least 10 clusters carry full cluster-robust inference; 5-9-cluster windows are displayed descriptively [DEC-045 S6].</t>
  </si>
  <si>
    <t xml:space="preserve">[TH_a xlsx Tab 9]</t>
  </si>
  <si>
    <t xml:space="preserve">Range hardcoded from Results_Long - regenerate on re-run.</t>
  </si>
  <si>
    <t xml:space="preserve">TB-43</t>
  </si>
  <si>
    <t xml:space="preserve">Results - external comparison (H9)</t>
  </si>
  <si>
    <t xml:space="preserve">As a descriptive cross-channel comparison, the debt-side pooled estimate (r = -0.059) is larger in magnitude than the equity-side companion's study-level estimate (r = -0.039, 95% CI [-0.046; -0.032]; Witte et al., BSE). The companion contains no Paris moderator, and its main model is a naive inverse-variance ES-level analysis without cluster-robust inference; no formal test is therefore attached [N12]. Corpus overlap is minimal (6/115 estimation-set studies; 0 shared effect sizes).</t>
  </si>
  <si>
    <t xml:space="preserve">[TH_a xlsx Tab 9]; [DEC-045/H-Q10]</t>
  </si>
  <si>
    <t xml:space="preserve">TB-44</t>
  </si>
  <si>
    <t xml:space="preserve">Results - p-curve (H10)</t>
  </si>
  <si>
    <t xml:space="preserve">A conditional p-curve on the post-Paris cell (first-reported effect size per study; 28 of 31 studies significant) indicates evidential value: the right-skew tests are strongly significant (binomial p = 1.5e-06; Stouffer p = 2.1e-119), and the flatness test against 33% power does not indicate inadequate evidential value (pp = 1.000; Simonsohn et al., 2014; N13 selection rule).</t>
  </si>
  <si>
    <t xml:space="preserve">[TH_a xlsx Tab 10]</t>
  </si>
  <si>
    <t xml:space="preserve">Sign-corrected NCP per ERROR_LOG #11.</t>
  </si>
  <si>
    <t xml:space="preserve">TB-45</t>
  </si>
  <si>
    <t xml:space="preserve">Introduction/Results - within-study inventory (H11)</t>
  </si>
  <si>
    <t xml:space="preserve">Only one primary study reports both pre- and post-Paris effect sizes within its own design (Li et al., 2022: 12 pre / 5 post effect sizes; within-study difference +0.036 in z, descriptive display only). Seventy-three studies straddle the 2016 break, of which 72 pool across it without reporting period-specific estimates.</t>
  </si>
  <si>
    <t xml:space="preserve">[TH_a xlsx Tab 10]; [DEC-045/N15]</t>
  </si>
  <si>
    <t xml:space="preserve">Feeds the pooled-across-the-break motivation module; no test attached.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</si>
</sst>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0"/>
    <numFmt numFmtId="167" formatCode="0.00"/>
    <numFmt numFmtId="168" formatCode="0.0"/>
    <numFmt numFmtId="169" formatCode="0.00E+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23.8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23.85" hidden="false" customHeight="false" outlineLevel="0" collapsed="false">
      <c r="A12" s="4" t="s">
        <v>17</v>
      </c>
      <c r="B12" s="5" t="s">
        <v>18</v>
      </c>
    </row>
    <row r="13" customFormat="false" ht="23.85" hidden="false" customHeight="false" outlineLevel="0" collapsed="false">
      <c r="A13" s="4" t="s">
        <v>19</v>
      </c>
      <c r="B13" s="5" t="s">
        <v>20</v>
      </c>
    </row>
    <row r="14" customFormat="false" ht="23.85" hidden="false" customHeight="false" outlineLevel="0" collapsed="false">
      <c r="A14" s="4" t="s">
        <v>21</v>
      </c>
      <c r="B14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25</v>
      </c>
      <c r="B5" s="3" t="s">
        <v>26</v>
      </c>
      <c r="C5" s="3" t="s">
        <v>27</v>
      </c>
    </row>
    <row r="6" customFormat="false" ht="23.85" hidden="false" customHeight="false" outlineLevel="0" collapsed="false">
      <c r="A6" s="5" t="s">
        <v>28</v>
      </c>
      <c r="B6" s="5" t="s">
        <v>29</v>
      </c>
      <c r="C6" s="5" t="s">
        <v>30</v>
      </c>
    </row>
    <row r="7" customFormat="false" ht="35.05" hidden="false" customHeight="false" outlineLevel="0" collapsed="false">
      <c r="A7" s="5" t="s">
        <v>31</v>
      </c>
      <c r="B7" s="5" t="s">
        <v>32</v>
      </c>
      <c r="C7" s="5" t="s">
        <v>33</v>
      </c>
    </row>
    <row r="8" customFormat="false" ht="35.05" hidden="false" customHeight="false" outlineLevel="0" collapsed="false">
      <c r="A8" s="5" t="s">
        <v>34</v>
      </c>
      <c r="B8" s="5" t="s">
        <v>35</v>
      </c>
      <c r="C8" s="5" t="s">
        <v>36</v>
      </c>
    </row>
    <row r="9" customFormat="false" ht="23.85" hidden="false" customHeight="false" outlineLevel="0" collapsed="false">
      <c r="A9" s="5" t="s">
        <v>37</v>
      </c>
      <c r="B9" s="5" t="s">
        <v>38</v>
      </c>
      <c r="C9" s="5" t="s">
        <v>39</v>
      </c>
    </row>
    <row r="10" customFormat="false" ht="23.85" hidden="false" customHeight="false" outlineLevel="0" collapsed="false">
      <c r="A10" s="5" t="s">
        <v>40</v>
      </c>
      <c r="B10" s="5" t="s">
        <v>41</v>
      </c>
      <c r="C10" s="5" t="s">
        <v>42</v>
      </c>
    </row>
    <row r="11" customFormat="false" ht="23.85" hidden="false" customHeight="false" outlineLevel="0" collapsed="false">
      <c r="A11" s="5" t="s">
        <v>43</v>
      </c>
      <c r="B11" s="5" t="s">
        <v>44</v>
      </c>
      <c r="C11" s="5" t="s">
        <v>45</v>
      </c>
    </row>
    <row r="12" customFormat="false" ht="23.85" hidden="false" customHeight="false" outlineLevel="0" collapsed="false">
      <c r="A12" s="5" t="s">
        <v>46</v>
      </c>
      <c r="B12" s="5" t="s">
        <v>47</v>
      </c>
      <c r="C12" s="5" t="s">
        <v>48</v>
      </c>
    </row>
    <row r="13" customFormat="false" ht="23.85" hidden="false" customHeight="false" outlineLevel="0" collapsed="false">
      <c r="A13" s="5" t="s">
        <v>49</v>
      </c>
      <c r="B13" s="5" t="s">
        <v>50</v>
      </c>
      <c r="C13" s="5" t="s">
        <v>51</v>
      </c>
    </row>
    <row r="14" customFormat="false" ht="23.85" hidden="false" customHeight="false" outlineLevel="0" collapsed="false">
      <c r="A14" s="5" t="s">
        <v>52</v>
      </c>
      <c r="B14" s="5" t="s">
        <v>53</v>
      </c>
      <c r="C14" s="5" t="s">
        <v>54</v>
      </c>
    </row>
    <row r="15" customFormat="false" ht="23.85" hidden="false" customHeight="false" outlineLevel="0" collapsed="false">
      <c r="A15" s="5" t="s">
        <v>55</v>
      </c>
      <c r="B15" s="5" t="s">
        <v>56</v>
      </c>
      <c r="C15" s="5" t="s">
        <v>57</v>
      </c>
    </row>
    <row r="16" customFormat="false" ht="23.85" hidden="false" customHeight="false" outlineLevel="0" collapsed="false">
      <c r="A16" s="5" t="s">
        <v>58</v>
      </c>
      <c r="B16" s="5" t="s">
        <v>59</v>
      </c>
      <c r="C16" s="5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3" customFormat="false" ht="15" hidden="false" customHeight="false" outlineLevel="0" collapsed="false">
      <c r="A3" s="2" t="s">
        <v>20</v>
      </c>
    </row>
    <row r="5" customFormat="false" ht="15" hidden="false" customHeight="false" outlineLevel="0" collapsed="false">
      <c r="A5" s="3" t="s">
        <v>25</v>
      </c>
      <c r="B5" s="3" t="s">
        <v>63</v>
      </c>
      <c r="C5" s="3" t="s">
        <v>64</v>
      </c>
    </row>
    <row r="6" customFormat="false" ht="23.85" hidden="false" customHeight="false" outlineLevel="0" collapsed="false">
      <c r="A6" s="5" t="s">
        <v>65</v>
      </c>
      <c r="B6" s="5" t="s">
        <v>66</v>
      </c>
      <c r="C6" s="5" t="s">
        <v>67</v>
      </c>
    </row>
    <row r="7" customFormat="false" ht="15" hidden="false" customHeight="false" outlineLevel="0" collapsed="false">
      <c r="A7" s="5" t="s">
        <v>68</v>
      </c>
      <c r="B7" s="5" t="s">
        <v>69</v>
      </c>
      <c r="C7" s="5" t="s">
        <v>70</v>
      </c>
    </row>
    <row r="8" customFormat="false" ht="15" hidden="false" customHeight="false" outlineLevel="0" collapsed="false">
      <c r="A8" s="5" t="s">
        <v>71</v>
      </c>
      <c r="B8" s="5" t="s">
        <v>72</v>
      </c>
      <c r="C8" s="5" t="s">
        <v>73</v>
      </c>
    </row>
    <row r="9" customFormat="false" ht="23.85" hidden="false" customHeight="false" outlineLevel="0" collapsed="false">
      <c r="A9" s="5" t="s">
        <v>74</v>
      </c>
      <c r="B9" s="5" t="s">
        <v>75</v>
      </c>
      <c r="C9" s="5" t="s">
        <v>76</v>
      </c>
    </row>
    <row r="10" customFormat="false" ht="35.05" hidden="false" customHeight="false" outlineLevel="0" collapsed="false">
      <c r="A10" s="5" t="s">
        <v>77</v>
      </c>
      <c r="B10" s="5" t="s">
        <v>78</v>
      </c>
      <c r="C10" s="5" t="s">
        <v>79</v>
      </c>
    </row>
    <row r="11" customFormat="false" ht="23.85" hidden="false" customHeight="false" outlineLevel="0" collapsed="false">
      <c r="A11" s="5" t="s">
        <v>80</v>
      </c>
      <c r="B11" s="5" t="s">
        <v>81</v>
      </c>
      <c r="C11" s="5" t="s">
        <v>82</v>
      </c>
    </row>
    <row r="12" customFormat="false" ht="15" hidden="false" customHeight="false" outlineLevel="0" collapsed="false">
      <c r="A12" s="5" t="s">
        <v>83</v>
      </c>
      <c r="B12" s="5" t="s">
        <v>84</v>
      </c>
      <c r="C12" s="5" t="s">
        <v>85</v>
      </c>
    </row>
    <row r="13" customFormat="false" ht="15" hidden="false" customHeight="false" outlineLevel="0" collapsed="false">
      <c r="A13" s="5" t="s">
        <v>86</v>
      </c>
      <c r="B13" s="5" t="s">
        <v>87</v>
      </c>
      <c r="C13" s="5" t="s">
        <v>88</v>
      </c>
    </row>
    <row r="14" customFormat="false" ht="15" hidden="false" customHeight="false" outlineLevel="0" collapsed="false">
      <c r="A14" s="5" t="s">
        <v>89</v>
      </c>
      <c r="B14" s="5" t="s">
        <v>90</v>
      </c>
      <c r="C14" s="5" t="s">
        <v>91</v>
      </c>
    </row>
    <row r="15" customFormat="false" ht="35.05" hidden="false" customHeight="false" outlineLevel="0" collapsed="false">
      <c r="A15" s="5" t="s">
        <v>19</v>
      </c>
      <c r="B15" s="5" t="s">
        <v>20</v>
      </c>
      <c r="C15" s="5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25</v>
      </c>
      <c r="B5" s="3" t="s">
        <v>95</v>
      </c>
      <c r="C5" s="3" t="s">
        <v>96</v>
      </c>
    </row>
    <row r="6" customFormat="false" ht="23.85" hidden="false" customHeight="false" outlineLevel="0" collapsed="false">
      <c r="A6" s="5" t="s">
        <v>97</v>
      </c>
      <c r="B6" s="5" t="s">
        <v>98</v>
      </c>
      <c r="C6" s="5" t="s">
        <v>99</v>
      </c>
    </row>
    <row r="7" customFormat="false" ht="15" hidden="false" customHeight="false" outlineLevel="0" collapsed="false">
      <c r="A7" s="5" t="s">
        <v>100</v>
      </c>
      <c r="B7" s="5" t="s">
        <v>101</v>
      </c>
      <c r="C7" s="5" t="s">
        <v>102</v>
      </c>
    </row>
    <row r="8" customFormat="false" ht="15" hidden="false" customHeight="false" outlineLevel="0" collapsed="false">
      <c r="A8" s="5" t="s">
        <v>103</v>
      </c>
      <c r="B8" s="5" t="s">
        <v>104</v>
      </c>
      <c r="C8" s="5" t="s">
        <v>105</v>
      </c>
    </row>
    <row r="9" customFormat="false" ht="15" hidden="false" customHeight="false" outlineLevel="0" collapsed="false">
      <c r="A9" s="5" t="s">
        <v>106</v>
      </c>
      <c r="B9" s="5" t="s">
        <v>107</v>
      </c>
      <c r="C9" s="5" t="s">
        <v>108</v>
      </c>
    </row>
    <row r="10" customFormat="false" ht="15" hidden="false" customHeight="false" outlineLevel="0" collapsed="false">
      <c r="A10" s="5" t="s">
        <v>109</v>
      </c>
      <c r="B10" s="5" t="s">
        <v>110</v>
      </c>
      <c r="C10" s="5" t="s">
        <v>102</v>
      </c>
    </row>
    <row r="11" customFormat="false" ht="15" hidden="false" customHeight="false" outlineLevel="0" collapsed="false">
      <c r="A11" s="5" t="s">
        <v>111</v>
      </c>
      <c r="B11" s="5" t="s">
        <v>112</v>
      </c>
      <c r="C11" s="5" t="s">
        <v>113</v>
      </c>
    </row>
    <row r="12" customFormat="false" ht="23.85" hidden="false" customHeight="false" outlineLevel="0" collapsed="false">
      <c r="A12" s="5" t="s">
        <v>114</v>
      </c>
      <c r="B12" s="5" t="s">
        <v>115</v>
      </c>
      <c r="C12" s="5" t="s">
        <v>116</v>
      </c>
    </row>
    <row r="13" customFormat="false" ht="15" hidden="false" customHeight="false" outlineLevel="0" collapsed="false">
      <c r="A13" s="5" t="s">
        <v>117</v>
      </c>
      <c r="B13" s="5" t="s">
        <v>118</v>
      </c>
      <c r="C13" s="5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122</v>
      </c>
    </row>
    <row r="6" customFormat="false" ht="23.85" hidden="false" customHeight="false" outlineLevel="0" collapsed="false">
      <c r="A6" s="5" t="s">
        <v>123</v>
      </c>
      <c r="B6" s="5" t="s">
        <v>124</v>
      </c>
      <c r="C6" s="5" t="s">
        <v>125</v>
      </c>
    </row>
    <row r="7" customFormat="false" ht="15" hidden="false" customHeight="false" outlineLevel="0" collapsed="false">
      <c r="A7" s="5" t="s">
        <v>126</v>
      </c>
      <c r="B7" s="5" t="s">
        <v>127</v>
      </c>
      <c r="C7" s="5" t="s">
        <v>128</v>
      </c>
    </row>
    <row r="8" customFormat="false" ht="23.85" hidden="false" customHeight="false" outlineLevel="0" collapsed="false">
      <c r="A8" s="5" t="s">
        <v>129</v>
      </c>
      <c r="B8" s="5" t="s">
        <v>130</v>
      </c>
      <c r="C8" s="5" t="s">
        <v>131</v>
      </c>
    </row>
    <row r="9" customFormat="false" ht="15" hidden="false" customHeight="false" outlineLevel="0" collapsed="false">
      <c r="A9" s="5" t="s">
        <v>132</v>
      </c>
      <c r="B9" s="5" t="s">
        <v>133</v>
      </c>
      <c r="C9" s="5" t="s">
        <v>134</v>
      </c>
    </row>
    <row r="10" customFormat="false" ht="15" hidden="false" customHeight="false" outlineLevel="0" collapsed="false">
      <c r="A10" s="5" t="s">
        <v>135</v>
      </c>
      <c r="B10" s="5" t="s">
        <v>136</v>
      </c>
      <c r="C10" s="5" t="s">
        <v>137</v>
      </c>
    </row>
    <row r="11" customFormat="false" ht="15" hidden="false" customHeight="false" outlineLevel="0" collapsed="false">
      <c r="A11" s="5" t="s">
        <v>138</v>
      </c>
      <c r="B11" s="5" t="s">
        <v>139</v>
      </c>
      <c r="C11" s="5" t="s">
        <v>140</v>
      </c>
    </row>
    <row r="12" customFormat="false" ht="23.85" hidden="false" customHeight="false" outlineLevel="0" collapsed="false">
      <c r="A12" s="5" t="s">
        <v>141</v>
      </c>
      <c r="B12" s="5" t="s">
        <v>142</v>
      </c>
      <c r="C12" s="5" t="s">
        <v>143</v>
      </c>
    </row>
    <row r="13" customFormat="false" ht="15" hidden="false" customHeight="false" outlineLevel="0" collapsed="false">
      <c r="A13" s="5" t="s">
        <v>144</v>
      </c>
      <c r="B13" s="5" t="s">
        <v>145</v>
      </c>
      <c r="C13" s="5" t="s">
        <v>146</v>
      </c>
    </row>
    <row r="14" customFormat="false" ht="15" hidden="false" customHeight="false" outlineLevel="0" collapsed="false">
      <c r="A14" s="5" t="s">
        <v>147</v>
      </c>
      <c r="B14" s="5" t="s">
        <v>148</v>
      </c>
      <c r="C14" s="5" t="s">
        <v>149</v>
      </c>
    </row>
    <row r="15" customFormat="false" ht="15" hidden="false" customHeight="false" outlineLevel="0" collapsed="false">
      <c r="A15" s="5" t="s">
        <v>150</v>
      </c>
      <c r="B15" s="5" t="s">
        <v>151</v>
      </c>
      <c r="C15" s="5" t="s">
        <v>131</v>
      </c>
    </row>
    <row r="16" customFormat="false" ht="23.85" hidden="false" customHeight="false" outlineLevel="0" collapsed="false">
      <c r="A16" s="5" t="s">
        <v>152</v>
      </c>
      <c r="B16" s="5" t="s">
        <v>153</v>
      </c>
      <c r="C16" s="5" t="s">
        <v>154</v>
      </c>
    </row>
    <row r="17" customFormat="false" ht="23.85" hidden="false" customHeight="false" outlineLevel="0" collapsed="false">
      <c r="A17" s="5" t="s">
        <v>155</v>
      </c>
      <c r="B17" s="5" t="s">
        <v>156</v>
      </c>
      <c r="C17" s="5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20" min="7" style="0" width="9"/>
    <col collapsed="false" customWidth="true" hidden="false" outlineLevel="0" max="21" min="21" style="0" width="60"/>
  </cols>
  <sheetData>
    <row r="1" customFormat="false" ht="1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160</v>
      </c>
      <c r="B5" s="3" t="s">
        <v>161</v>
      </c>
      <c r="C5" s="3" t="s">
        <v>162</v>
      </c>
      <c r="D5" s="3" t="s">
        <v>163</v>
      </c>
      <c r="E5" s="3" t="s">
        <v>164</v>
      </c>
      <c r="F5" s="3" t="s">
        <v>165</v>
      </c>
      <c r="G5" s="3" t="s">
        <v>166</v>
      </c>
      <c r="H5" s="3" t="s">
        <v>167</v>
      </c>
      <c r="I5" s="3" t="s">
        <v>168</v>
      </c>
      <c r="J5" s="3" t="s">
        <v>169</v>
      </c>
      <c r="K5" s="3" t="s">
        <v>170</v>
      </c>
      <c r="L5" s="3" t="s">
        <v>171</v>
      </c>
      <c r="M5" s="3" t="s">
        <v>172</v>
      </c>
      <c r="N5" s="3" t="s">
        <v>173</v>
      </c>
      <c r="O5" s="3" t="s">
        <v>174</v>
      </c>
      <c r="P5" s="3" t="s">
        <v>175</v>
      </c>
      <c r="Q5" s="3" t="s">
        <v>176</v>
      </c>
      <c r="R5" s="3" t="s">
        <v>177</v>
      </c>
      <c r="S5" s="3" t="s">
        <v>178</v>
      </c>
      <c r="T5" s="3" t="s">
        <v>179</v>
      </c>
      <c r="U5" s="3" t="s">
        <v>180</v>
      </c>
    </row>
    <row r="6" customFormat="false" ht="57.45" hidden="false" customHeight="false" outlineLevel="0" collapsed="false">
      <c r="A6" s="6" t="s">
        <v>181</v>
      </c>
      <c r="B6" s="7" t="s">
        <v>182</v>
      </c>
      <c r="C6" s="7" t="s">
        <v>183</v>
      </c>
      <c r="D6" s="7" t="s">
        <v>184</v>
      </c>
      <c r="E6" s="7" t="s">
        <v>185</v>
      </c>
      <c r="F6" s="8" t="n">
        <f aca="false">SUMPRODUCT((Results_Long!$A$2:$A$178=$B6)*(Results_Long!$B$2:$B$178=$C6)*(Results_Long!$C$2:$C$178=$D6)*(Results_Long!$D$2:$D$178=$E6)*ROW(Results_Long!$A$2:$A$178))</f>
        <v>2</v>
      </c>
      <c r="G6" s="9" t="n">
        <f aca="false">IF(INDEX(Results_Long!$H:$H,$F6)="","NA",INDEX(Results_Long!$H:$H,$F6))</f>
        <v>2713</v>
      </c>
      <c r="H6" s="9" t="n">
        <f aca="false">IF(INDEX(Results_Long!$I:$I,$F6)="","NA",INDEX(Results_Long!$I:$I,$F6))</f>
        <v>115</v>
      </c>
      <c r="I6" s="9" t="n">
        <f aca="false">IF(INDEX(Results_Long!$J:$J,$F6)="","NA",INDEX(Results_Long!$J:$J,$F6))</f>
        <v>114</v>
      </c>
      <c r="J6" s="10" t="n">
        <f aca="false">IF(INDEX(Results_Long!$K:$K,$F6)="","NA",INDEX(Results_Long!$K:$K,$F6))</f>
        <v>-0.058646736610098</v>
      </c>
      <c r="K6" s="10" t="n">
        <f aca="false">IF(INDEX(Results_Long!$P:$P,$F6)="","NA",INDEX(Results_Long!$P:$P,$F6))</f>
        <v>-0.0861025946387978</v>
      </c>
      <c r="L6" s="10" t="n">
        <f aca="false">IF(INDEX(Results_Long!$Q:$Q,$F6)="","NA",INDEX(Results_Long!$Q:$Q,$F6))</f>
        <v>-0.0311908785813981</v>
      </c>
      <c r="M6" s="10" t="n">
        <f aca="false">IF(INDEX(Results_Long!$T:$T,$F6)="","NA",INDEX(Results_Long!$T:$T,$F6))</f>
        <v>-0.0585795916799434</v>
      </c>
      <c r="N6" s="10" t="n">
        <f aca="false">IF(INDEX(Results_Long!$U:$U,$F6)="","NA",INDEX(Results_Long!$U:$U,$F6))</f>
        <v>-0.085890445375146</v>
      </c>
      <c r="O6" s="10" t="n">
        <f aca="false">IF(INDEX(Results_Long!$V:$V,$F6)="","NA",INDEX(Results_Long!$V:$V,$F6))</f>
        <v>-0.0311807676166034</v>
      </c>
      <c r="P6" s="10" t="n">
        <f aca="false">IF(INDEX(Results_Long!$L:$L,$F6)="","NA",INDEX(Results_Long!$L:$L,$F6))</f>
        <v>0.013856549617299</v>
      </c>
      <c r="Q6" s="11" t="n">
        <f aca="false">IF(INDEX(Results_Long!$M:$M,$F6)="","NA",INDEX(Results_Long!$M:$M,$F6))</f>
        <v>-4.23241991908876</v>
      </c>
      <c r="R6" s="12" t="n">
        <f aca="false">IF(INDEX(Results_Long!$N:$N,$F6)="","NA",INDEX(Results_Long!$N:$N,$F6))</f>
        <v>111.671795029272</v>
      </c>
      <c r="S6" s="10" t="n">
        <f aca="false">IF(INDEX(Results_Long!$O:$O,$F6)="","NA",INDEX(Results_Long!$O:$O,$F6))</f>
        <v>4.76198354846184E-005</v>
      </c>
      <c r="T6" s="6" t="str">
        <f aca="false">IF(INDEX(Results_Long!$AG:$AG,$F6)="","NA",INDEX(Results_Long!$AG:$AG,$F6))</f>
        <v>NA</v>
      </c>
      <c r="U6" s="5" t="str">
        <f aca="false">IF(INDEX(Results_Long!$AJ:$AJ,$F6)="","NA",INDEX(Results_Long!$AJ:$AJ,$F6))</f>
        <v>rma.mv mods=~ 1; random ~1|cluster_id/study/esid; V blocks within cluster_id, rho=0.6; CR2/Satterthwaite on cluster_id [D31.1/A.2]; domain estimation set 2713/115/114 [DEC-042a]; TH-a refit of T1/A1; verifier identity vs committed output/T1_results.csv at 1e-6 [F65]; 95% CI on this row (TOST rows carry 90%)</v>
      </c>
    </row>
    <row r="7" customFormat="false" ht="79.85" hidden="false" customHeight="false" outlineLevel="0" collapsed="false">
      <c r="A7" s="6" t="s">
        <v>186</v>
      </c>
      <c r="B7" s="7" t="s">
        <v>182</v>
      </c>
      <c r="C7" s="7" t="s">
        <v>183</v>
      </c>
      <c r="D7" s="7" t="s">
        <v>184</v>
      </c>
      <c r="E7" s="7" t="s">
        <v>187</v>
      </c>
      <c r="F7" s="8" t="n">
        <f aca="false">SUMPRODUCT((Results_Long!$A$2:$A$178=$B7)*(Results_Long!$B$2:$B$178=$C7)*(Results_Long!$C$2:$C$178=$D7)*(Results_Long!$D$2:$D$178=$E7)*ROW(Results_Long!$A$2:$A$178))</f>
        <v>3</v>
      </c>
      <c r="G7" s="9" t="n">
        <f aca="false">IF(INDEX(Results_Long!$H:$H,$F7)="","NA",INDEX(Results_Long!$H:$H,$F7))</f>
        <v>2713</v>
      </c>
      <c r="H7" s="9" t="n">
        <f aca="false">IF(INDEX(Results_Long!$I:$I,$F7)="","NA",INDEX(Results_Long!$I:$I,$F7))</f>
        <v>115</v>
      </c>
      <c r="I7" s="9" t="n">
        <f aca="false">IF(INDEX(Results_Long!$J:$J,$F7)="","NA",INDEX(Results_Long!$J:$J,$F7))</f>
        <v>114</v>
      </c>
      <c r="J7" s="10" t="n">
        <f aca="false">IF(INDEX(Results_Long!$K:$K,$F7)="","NA",INDEX(Results_Long!$K:$K,$F7))</f>
        <v>-0.058646736610098</v>
      </c>
      <c r="K7" s="10" t="n">
        <f aca="false">IF(INDEX(Results_Long!$P:$P,$F7)="","NA",INDEX(Results_Long!$P:$P,$F7))</f>
        <v>-0.0816293939174436</v>
      </c>
      <c r="L7" s="10" t="n">
        <f aca="false">IF(INDEX(Results_Long!$Q:$Q,$F7)="","NA",INDEX(Results_Long!$Q:$Q,$F7))</f>
        <v>-0.0356640793027524</v>
      </c>
      <c r="M7" s="10" t="str">
        <f aca="false">IF(INDEX(Results_Long!$T:$T,$F7)="","NA",INDEX(Results_Long!$T:$T,$F7))</f>
        <v>NA</v>
      </c>
      <c r="N7" s="10" t="str">
        <f aca="false">IF(INDEX(Results_Long!$U:$U,$F7)="","NA",INDEX(Results_Long!$U:$U,$F7))</f>
        <v>NA</v>
      </c>
      <c r="O7" s="10" t="str">
        <f aca="false">IF(INDEX(Results_Long!$V:$V,$F7)="","NA",INDEX(Results_Long!$V:$V,$F7))</f>
        <v>NA</v>
      </c>
      <c r="P7" s="10" t="n">
        <f aca="false">IF(INDEX(Results_Long!$L:$L,$F7)="","NA",INDEX(Results_Long!$L:$L,$F7))</f>
        <v>0.013856549617299</v>
      </c>
      <c r="Q7" s="11" t="str">
        <f aca="false">IF(INDEX(Results_Long!$M:$M,$F7)="","NA",INDEX(Results_Long!$M:$M,$F7))</f>
        <v>NA</v>
      </c>
      <c r="R7" s="12" t="n">
        <f aca="false">IF(INDEX(Results_Long!$N:$N,$F7)="","NA",INDEX(Results_Long!$N:$N,$F7))</f>
        <v>111.671795029272</v>
      </c>
      <c r="S7" s="10" t="n">
        <f aca="false">IF(INDEX(Results_Long!$O:$O,$F7)="","NA",INDEX(Results_Long!$O:$O,$F7))</f>
        <v>0.204825910701868</v>
      </c>
      <c r="T7" s="6" t="n">
        <f aca="false">IF(INDEX(Results_Long!$AG:$AG,$F7)="","NA",INDEX(Results_Long!$AG:$AG,$F7))</f>
        <v>0</v>
      </c>
      <c r="U7" s="5" t="str">
        <f aca="false">IF(INDEX(Results_Long!$AJ:$AJ,$F7)="","NA",INDEX(Results_Long!$AJ:$AJ,$F7))</f>
        <v>TOST, two one-sided tests each alpha=.05 &lt;=&gt; 90% CI inside band [DEC-045 E-pins]; PRIMARY level band |r| = 0.070 (F27v2) -&gt; z band atanh = 0.070114671; arm p (lower/upper) = 0.204826 / 7.26341e-16; TOST p = max(arms); CI columns carry the 90% CI (TOST convention); value = 1{90%-CI inside band} (mechanical flag, no verdict language); ex-ante expectation [DEC-044/DEC-045]: this arm is expected to FAIL (T1 CI edge -0.086); E2 adjudicates Tier 1; E1 calibrates the Tier-2 wording only</v>
      </c>
    </row>
    <row r="8" customFormat="false" ht="57.45" hidden="false" customHeight="false" outlineLevel="0" collapsed="false">
      <c r="A8" s="6" t="s">
        <v>188</v>
      </c>
      <c r="B8" s="7" t="s">
        <v>182</v>
      </c>
      <c r="C8" s="7" t="s">
        <v>183</v>
      </c>
      <c r="D8" s="7" t="s">
        <v>184</v>
      </c>
      <c r="E8" s="7" t="s">
        <v>189</v>
      </c>
      <c r="F8" s="8" t="n">
        <f aca="false">SUMPRODUCT((Results_Long!$A$2:$A$178=$B8)*(Results_Long!$B$2:$B$178=$C8)*(Results_Long!$C$2:$C$178=$D8)*(Results_Long!$D$2:$D$178=$E8)*ROW(Results_Long!$A$2:$A$178))</f>
        <v>4</v>
      </c>
      <c r="G8" s="9" t="n">
        <f aca="false">IF(INDEX(Results_Long!$H:$H,$F8)="","NA",INDEX(Results_Long!$H:$H,$F8))</f>
        <v>2713</v>
      </c>
      <c r="H8" s="9" t="n">
        <f aca="false">IF(INDEX(Results_Long!$I:$I,$F8)="","NA",INDEX(Results_Long!$I:$I,$F8))</f>
        <v>115</v>
      </c>
      <c r="I8" s="9" t="n">
        <f aca="false">IF(INDEX(Results_Long!$J:$J,$F8)="","NA",INDEX(Results_Long!$J:$J,$F8))</f>
        <v>114</v>
      </c>
      <c r="J8" s="10" t="n">
        <f aca="false">IF(INDEX(Results_Long!$K:$K,$F8)="","NA",INDEX(Results_Long!$K:$K,$F8))</f>
        <v>-0.058646736610098</v>
      </c>
      <c r="K8" s="10" t="n">
        <f aca="false">IF(INDEX(Results_Long!$P:$P,$F8)="","NA",INDEX(Results_Long!$P:$P,$F8))</f>
        <v>-0.0816293939174436</v>
      </c>
      <c r="L8" s="10" t="n">
        <f aca="false">IF(INDEX(Results_Long!$Q:$Q,$F8)="","NA",INDEX(Results_Long!$Q:$Q,$F8))</f>
        <v>-0.0356640793027524</v>
      </c>
      <c r="M8" s="10" t="str">
        <f aca="false">IF(INDEX(Results_Long!$T:$T,$F8)="","NA",INDEX(Results_Long!$T:$T,$F8))</f>
        <v>NA</v>
      </c>
      <c r="N8" s="10" t="str">
        <f aca="false">IF(INDEX(Results_Long!$U:$U,$F8)="","NA",INDEX(Results_Long!$U:$U,$F8))</f>
        <v>NA</v>
      </c>
      <c r="O8" s="10" t="str">
        <f aca="false">IF(INDEX(Results_Long!$V:$V,$F8)="","NA",INDEX(Results_Long!$V:$V,$F8))</f>
        <v>NA</v>
      </c>
      <c r="P8" s="10" t="n">
        <f aca="false">IF(INDEX(Results_Long!$L:$L,$F8)="","NA",INDEX(Results_Long!$L:$L,$F8))</f>
        <v>0.013856549617299</v>
      </c>
      <c r="Q8" s="11" t="str">
        <f aca="false">IF(INDEX(Results_Long!$M:$M,$F8)="","NA",INDEX(Results_Long!$M:$M,$F8))</f>
        <v>NA</v>
      </c>
      <c r="R8" s="12" t="n">
        <f aca="false">IF(INDEX(Results_Long!$N:$N,$F8)="","NA",INDEX(Results_Long!$N:$N,$F8))</f>
        <v>111.671795029272</v>
      </c>
      <c r="S8" s="10" t="n">
        <f aca="false">IF(INDEX(Results_Long!$O:$O,$F8)="","NA",INDEX(Results_Long!$O:$O,$F8))</f>
        <v>0.732069577278798</v>
      </c>
      <c r="T8" s="6" t="n">
        <f aca="false">IF(INDEX(Results_Long!$AG:$AG,$F8)="","NA",INDEX(Results_Long!$AG:$AG,$F8))</f>
        <v>0</v>
      </c>
      <c r="U8" s="5" t="str">
        <f aca="false">IF(INDEX(Results_Long!$AJ:$AJ,$F8)="","NA",INDEX(Results_Long!$AJ:$AJ,$F8))</f>
        <v>TOST, two one-sided tests each alpha=.05 &lt;=&gt; 90% CI inside band [DEC-045 E-pins]; SECONDARY level band |r| = 0.05 -&gt; z band atanh = 0.050041729; arm p (lower/upper) = 0.73207 / 1.41843e-12; TOST p = max(arms); CI columns carry the 90% CI (TOST convention); value = 1{90%-CI inside band} (mechanical flag, no verdict language)</v>
      </c>
    </row>
    <row r="9" customFormat="false" ht="46.25" hidden="false" customHeight="false" outlineLevel="0" collapsed="false">
      <c r="A9" s="6" t="s">
        <v>190</v>
      </c>
      <c r="B9" s="7" t="s">
        <v>191</v>
      </c>
      <c r="C9" s="7" t="s">
        <v>192</v>
      </c>
      <c r="D9" s="7" t="s">
        <v>184</v>
      </c>
      <c r="E9" s="7" t="s">
        <v>193</v>
      </c>
      <c r="F9" s="8" t="n">
        <f aca="false">SUMPRODUCT((Results_Long!$A$2:$A$178=$B9)*(Results_Long!$B$2:$B$178=$C9)*(Results_Long!$C$2:$C$178=$D9)*(Results_Long!$D$2:$D$178=$E9)*ROW(Results_Long!$A$2:$A$178))</f>
        <v>5</v>
      </c>
      <c r="G9" s="9" t="n">
        <f aca="false">IF(INDEX(Results_Long!$H:$H,$F9)="","NA",INDEX(Results_Long!$H:$H,$F9))</f>
        <v>1994</v>
      </c>
      <c r="H9" s="9" t="n">
        <f aca="false">IF(INDEX(Results_Long!$I:$I,$F9)="","NA",INDEX(Results_Long!$I:$I,$F9))</f>
        <v>83</v>
      </c>
      <c r="I9" s="9" t="n">
        <f aca="false">IF(INDEX(Results_Long!$J:$J,$F9)="","NA",INDEX(Results_Long!$J:$J,$F9))</f>
        <v>82</v>
      </c>
      <c r="J9" s="10" t="n">
        <f aca="false">IF(INDEX(Results_Long!$K:$K,$F9)="","NA",INDEX(Results_Long!$K:$K,$F9))</f>
        <v>-0.0615991565189955</v>
      </c>
      <c r="K9" s="10" t="n">
        <f aca="false">IF(INDEX(Results_Long!$P:$P,$F9)="","NA",INDEX(Results_Long!$P:$P,$F9))</f>
        <v>-0.0976039423484408</v>
      </c>
      <c r="L9" s="10" t="n">
        <f aca="false">IF(INDEX(Results_Long!$Q:$Q,$F9)="","NA",INDEX(Results_Long!$Q:$Q,$F9))</f>
        <v>-0.0255943706895502</v>
      </c>
      <c r="M9" s="10" t="n">
        <f aca="false">IF(INDEX(Results_Long!$T:$T,$F9)="","NA",INDEX(Results_Long!$T:$T,$F9))</f>
        <v>-0.0615213628260252</v>
      </c>
      <c r="N9" s="10" t="n">
        <f aca="false">IF(INDEX(Results_Long!$U:$U,$F9)="","NA",INDEX(Results_Long!$U:$U,$F9))</f>
        <v>-0.097295176600782</v>
      </c>
      <c r="O9" s="10" t="n">
        <f aca="false">IF(INDEX(Results_Long!$V:$V,$F9)="","NA",INDEX(Results_Long!$V:$V,$F9))</f>
        <v>-0.0255887834366468</v>
      </c>
      <c r="P9" s="10" t="n">
        <f aca="false">IF(INDEX(Results_Long!$L:$L,$F9)="","NA",INDEX(Results_Long!$L:$L,$F9))</f>
        <v>0.0180461144532684</v>
      </c>
      <c r="Q9" s="11" t="n">
        <f aca="false">IF(INDEX(Results_Long!$M:$M,$F9)="","NA",INDEX(Results_Long!$M:$M,$F9))</f>
        <v>-3.41343044667652</v>
      </c>
      <c r="R9" s="12" t="n">
        <f aca="false">IF(INDEX(Results_Long!$N:$N,$F9)="","NA",INDEX(Results_Long!$N:$N,$F9))</f>
        <v>68.5971129071262</v>
      </c>
      <c r="S9" s="10" t="n">
        <f aca="false">IF(INDEX(Results_Long!$O:$O,$F9)="","NA",INDEX(Results_Long!$O:$O,$F9))</f>
        <v>0.00108046964427755</v>
      </c>
      <c r="T9" s="6" t="str">
        <f aca="false">IF(INDEX(Results_Long!$AG:$AG,$F9)="","NA",INDEX(Results_Long!$AG:$AG,$F9))</f>
        <v>NA</v>
      </c>
      <c r="U9" s="5" t="str">
        <f aca="false">IF(INDEX(Results_Long!$AJ:$AJ,$F9)="","NA",INDEX(Results_Long!$AJ:$AJ,$F9))</f>
        <v>rma.mv mods=~ 0 + pp_cell (cell-means; estimand identical to ~ pp_mid_lag0); random ~1|cluster_id/study/esid; V blocks within cluster_id, rho=0.6; CR2/Satterthwaite on cluster_id [D31.1/A.2]; domain period domain 2705/113/112 [DEC-042b]; cell mean at coding = 0 (pre)</v>
      </c>
    </row>
    <row r="10" customFormat="false" ht="46.25" hidden="false" customHeight="false" outlineLevel="0" collapsed="false">
      <c r="A10" s="6" t="s">
        <v>194</v>
      </c>
      <c r="B10" s="7" t="s">
        <v>191</v>
      </c>
      <c r="C10" s="7" t="s">
        <v>192</v>
      </c>
      <c r="D10" s="7" t="s">
        <v>184</v>
      </c>
      <c r="E10" s="7" t="s">
        <v>195</v>
      </c>
      <c r="F10" s="8" t="n">
        <f aca="false">SUMPRODUCT((Results_Long!$A$2:$A$178=$B10)*(Results_Long!$B$2:$B$178=$C10)*(Results_Long!$C$2:$C$178=$D10)*(Results_Long!$D$2:$D$178=$E10)*ROW(Results_Long!$A$2:$A$178))</f>
        <v>6</v>
      </c>
      <c r="G10" s="9" t="n">
        <f aca="false">IF(INDEX(Results_Long!$H:$H,$F10)="","NA",INDEX(Results_Long!$H:$H,$F10))</f>
        <v>711</v>
      </c>
      <c r="H10" s="9" t="n">
        <f aca="false">IF(INDEX(Results_Long!$I:$I,$F10)="","NA",INDEX(Results_Long!$I:$I,$F10))</f>
        <v>31</v>
      </c>
      <c r="I10" s="9" t="n">
        <f aca="false">IF(INDEX(Results_Long!$J:$J,$F10)="","NA",INDEX(Results_Long!$J:$J,$F10))</f>
        <v>31</v>
      </c>
      <c r="J10" s="10" t="n">
        <f aca="false">IF(INDEX(Results_Long!$K:$K,$F10)="","NA",INDEX(Results_Long!$K:$K,$F10))</f>
        <v>-0.051423249808593</v>
      </c>
      <c r="K10" s="10" t="n">
        <f aca="false">IF(INDEX(Results_Long!$P:$P,$F10)="","NA",INDEX(Results_Long!$P:$P,$F10))</f>
        <v>-0.0729869232775503</v>
      </c>
      <c r="L10" s="10" t="n">
        <f aca="false">IF(INDEX(Results_Long!$Q:$Q,$F10)="","NA",INDEX(Results_Long!$Q:$Q,$F10))</f>
        <v>-0.0298595763396356</v>
      </c>
      <c r="M10" s="10" t="n">
        <f aca="false">IF(INDEX(Results_Long!$T:$T,$F10)="","NA",INDEX(Results_Long!$T:$T,$F10))</f>
        <v>-0.0513779706673737</v>
      </c>
      <c r="N10" s="10" t="n">
        <f aca="false">IF(INDEX(Results_Long!$U:$U,$F10)="","NA",INDEX(Results_Long!$U:$U,$F10))</f>
        <v>-0.0728575961854734</v>
      </c>
      <c r="O10" s="10" t="n">
        <f aca="false">IF(INDEX(Results_Long!$V:$V,$F10)="","NA",INDEX(Results_Long!$V:$V,$F10))</f>
        <v>-0.0298507052940249</v>
      </c>
      <c r="P10" s="10" t="n">
        <f aca="false">IF(INDEX(Results_Long!$L:$L,$F10)="","NA",INDEX(Results_Long!$L:$L,$F10))</f>
        <v>0.0103293523654357</v>
      </c>
      <c r="Q10" s="11" t="n">
        <f aca="false">IF(INDEX(Results_Long!$M:$M,$F10)="","NA",INDEX(Results_Long!$M:$M,$F10))</f>
        <v>-4.97836146830142</v>
      </c>
      <c r="R10" s="12" t="n">
        <f aca="false">IF(INDEX(Results_Long!$N:$N,$F10)="","NA",INDEX(Results_Long!$N:$N,$F10))</f>
        <v>19.7567151023143</v>
      </c>
      <c r="S10" s="10" t="n">
        <f aca="false">IF(INDEX(Results_Long!$O:$O,$F10)="","NA",INDEX(Results_Long!$O:$O,$F10))</f>
        <v>7.47529519688623E-005</v>
      </c>
      <c r="T10" s="6" t="str">
        <f aca="false">IF(INDEX(Results_Long!$AG:$AG,$F10)="","NA",INDEX(Results_Long!$AG:$AG,$F10))</f>
        <v>NA</v>
      </c>
      <c r="U10" s="5" t="str">
        <f aca="false">IF(INDEX(Results_Long!$AJ:$AJ,$F10)="","NA",INDEX(Results_Long!$AJ:$AJ,$F10))</f>
        <v>rma.mv mods=~ 0 + pp_cell (cell-means; estimand identical to ~ pp_mid_lag0); random ~1|cluster_id/study/esid; V blocks within cluster_id, rho=0.6; CR2/Satterthwaite on cluster_id [D31.1/A.2]; domain period domain 2705/113/112 [DEC-042b]; cell mean at coding = 1 (post)</v>
      </c>
    </row>
    <row r="11" customFormat="false" ht="79.85" hidden="false" customHeight="false" outlineLevel="0" collapsed="false">
      <c r="A11" s="6" t="s">
        <v>196</v>
      </c>
      <c r="B11" s="7" t="s">
        <v>191</v>
      </c>
      <c r="C11" s="7" t="s">
        <v>192</v>
      </c>
      <c r="D11" s="7" t="s">
        <v>184</v>
      </c>
      <c r="E11" s="7" t="s">
        <v>197</v>
      </c>
      <c r="F11" s="8" t="n">
        <f aca="false">SUMPRODUCT((Results_Long!$A$2:$A$178=$B11)*(Results_Long!$B$2:$B$178=$C11)*(Results_Long!$C$2:$C$178=$D11)*(Results_Long!$D$2:$D$178=$E11)*ROW(Results_Long!$A$2:$A$178))</f>
        <v>7</v>
      </c>
      <c r="G11" s="9" t="n">
        <f aca="false">IF(INDEX(Results_Long!$H:$H,$F11)="","NA",INDEX(Results_Long!$H:$H,$F11))</f>
        <v>2705</v>
      </c>
      <c r="H11" s="9" t="n">
        <f aca="false">IF(INDEX(Results_Long!$I:$I,$F11)="","NA",INDEX(Results_Long!$I:$I,$F11))</f>
        <v>113</v>
      </c>
      <c r="I11" s="9" t="n">
        <f aca="false">IF(INDEX(Results_Long!$J:$J,$F11)="","NA",INDEX(Results_Long!$J:$J,$F11))</f>
        <v>112</v>
      </c>
      <c r="J11" s="10" t="n">
        <f aca="false">IF(INDEX(Results_Long!$K:$K,$F11)="","NA",INDEX(Results_Long!$K:$K,$F11))</f>
        <v>0.0101759067104026</v>
      </c>
      <c r="K11" s="10" t="n">
        <f aca="false">IF(INDEX(Results_Long!$P:$P,$F11)="","NA",INDEX(Results_Long!$P:$P,$F11))</f>
        <v>-0.0284206311144901</v>
      </c>
      <c r="L11" s="10" t="n">
        <f aca="false">IF(INDEX(Results_Long!$Q:$Q,$F11)="","NA",INDEX(Results_Long!$Q:$Q,$F11))</f>
        <v>0.0487724445352953</v>
      </c>
      <c r="M11" s="10" t="str">
        <f aca="false">IF(INDEX(Results_Long!$T:$T,$F11)="","NA",INDEX(Results_Long!$T:$T,$F11))</f>
        <v>NA</v>
      </c>
      <c r="N11" s="10" t="str">
        <f aca="false">IF(INDEX(Results_Long!$U:$U,$F11)="","NA",INDEX(Results_Long!$U:$U,$F11))</f>
        <v>NA</v>
      </c>
      <c r="O11" s="10" t="str">
        <f aca="false">IF(INDEX(Results_Long!$V:$V,$F11)="","NA",INDEX(Results_Long!$V:$V,$F11))</f>
        <v>NA</v>
      </c>
      <c r="P11" s="10" t="n">
        <f aca="false">IF(INDEX(Results_Long!$L:$L,$F11)="","NA",INDEX(Results_Long!$L:$L,$F11))</f>
        <v>0.0181072824212575</v>
      </c>
      <c r="Q11" s="11" t="n">
        <f aca="false">IF(INDEX(Results_Long!$M:$M,$F11)="","NA",INDEX(Results_Long!$M:$M,$F11))</f>
        <v>0.561978682038798</v>
      </c>
      <c r="R11" s="12" t="n">
        <f aca="false">IF(INDEX(Results_Long!$N:$N,$F11)="","NA",INDEX(Results_Long!$N:$N,$F11))</f>
        <v>14.9920663728925</v>
      </c>
      <c r="S11" s="10" t="n">
        <f aca="false">IF(INDEX(Results_Long!$O:$O,$F11)="","NA",INDEX(Results_Long!$O:$O,$F11))</f>
        <v>0.582435725630516</v>
      </c>
      <c r="T11" s="6" t="str">
        <f aca="false">IF(INDEX(Results_Long!$AG:$AG,$F11)="","NA",INDEX(Results_Long!$AG:$AG,$F11))</f>
        <v>NA</v>
      </c>
      <c r="U11" s="5" t="str">
        <f aca="false">IF(INDEX(Results_Long!$AJ:$AJ,$F11)="","NA",INDEX(Results_Long!$AJ:$AJ,$F11))</f>
        <v>rma.mv mods=~ 0 + pp_cell (cell-means; estimand identical to ~ pp_mid_lag0); random ~1|cluster_id/study/esid; V blocks within cluster_id, rho=0.6; CR2/Satterthwaite on cluster_id [D31.1/A.2]; domain period domain 2705/113/112 [DEC-042b]; post-minus-pre contrast (-1, +1); cell-means parameterization [DEC-031e/A.11]; difference of Fisher-z means; no tanh transform of differences; TH-a refit of T2/B1 paris_mid; verifier identity vs committed output/T2_results.csv at 1e-6 [F65]</v>
      </c>
    </row>
    <row r="12" customFormat="false" ht="102.2" hidden="false" customHeight="false" outlineLevel="0" collapsed="false">
      <c r="A12" s="6" t="s">
        <v>198</v>
      </c>
      <c r="B12" s="7" t="s">
        <v>191</v>
      </c>
      <c r="C12" s="7" t="s">
        <v>192</v>
      </c>
      <c r="D12" s="7" t="s">
        <v>184</v>
      </c>
      <c r="E12" s="7" t="s">
        <v>189</v>
      </c>
      <c r="F12" s="8" t="n">
        <f aca="false">SUMPRODUCT((Results_Long!$A$2:$A$178=$B12)*(Results_Long!$B$2:$B$178=$C12)*(Results_Long!$C$2:$C$178=$D12)*(Results_Long!$D$2:$D$178=$E12)*ROW(Results_Long!$A$2:$A$178))</f>
        <v>8</v>
      </c>
      <c r="G12" s="9" t="n">
        <f aca="false">IF(INDEX(Results_Long!$H:$H,$F12)="","NA",INDEX(Results_Long!$H:$H,$F12))</f>
        <v>2705</v>
      </c>
      <c r="H12" s="9" t="n">
        <f aca="false">IF(INDEX(Results_Long!$I:$I,$F12)="","NA",INDEX(Results_Long!$I:$I,$F12))</f>
        <v>113</v>
      </c>
      <c r="I12" s="9" t="n">
        <f aca="false">IF(INDEX(Results_Long!$J:$J,$F12)="","NA",INDEX(Results_Long!$J:$J,$F12))</f>
        <v>112</v>
      </c>
      <c r="J12" s="10" t="n">
        <f aca="false">IF(INDEX(Results_Long!$K:$K,$F12)="","NA",INDEX(Results_Long!$K:$K,$F12))</f>
        <v>0.0101759067104026</v>
      </c>
      <c r="K12" s="10" t="n">
        <f aca="false">IF(INDEX(Results_Long!$P:$P,$F12)="","NA",INDEX(Results_Long!$P:$P,$F12))</f>
        <v>-0.0215681742958865</v>
      </c>
      <c r="L12" s="10" t="n">
        <f aca="false">IF(INDEX(Results_Long!$Q:$Q,$F12)="","NA",INDEX(Results_Long!$Q:$Q,$F12))</f>
        <v>0.0419199877166916</v>
      </c>
      <c r="M12" s="10" t="str">
        <f aca="false">IF(INDEX(Results_Long!$T:$T,$F12)="","NA",INDEX(Results_Long!$T:$T,$F12))</f>
        <v>NA</v>
      </c>
      <c r="N12" s="10" t="str">
        <f aca="false">IF(INDEX(Results_Long!$U:$U,$F12)="","NA",INDEX(Results_Long!$U:$U,$F12))</f>
        <v>NA</v>
      </c>
      <c r="O12" s="10" t="str">
        <f aca="false">IF(INDEX(Results_Long!$V:$V,$F12)="","NA",INDEX(Results_Long!$V:$V,$F12))</f>
        <v>NA</v>
      </c>
      <c r="P12" s="10" t="n">
        <f aca="false">IF(INDEX(Results_Long!$L:$L,$F12)="","NA",INDEX(Results_Long!$L:$L,$F12))</f>
        <v>0.0181072824212575</v>
      </c>
      <c r="Q12" s="11" t="str">
        <f aca="false">IF(INDEX(Results_Long!$M:$M,$F12)="","NA",INDEX(Results_Long!$M:$M,$F12))</f>
        <v>NA</v>
      </c>
      <c r="R12" s="12" t="n">
        <f aca="false">IF(INDEX(Results_Long!$N:$N,$F12)="","NA",INDEX(Results_Long!$N:$N,$F12))</f>
        <v>14.9920663728925</v>
      </c>
      <c r="S12" s="10" t="n">
        <f aca="false">IF(INDEX(Results_Long!$O:$O,$F12)="","NA",INDEX(Results_Long!$O:$O,$F12))</f>
        <v>0.0219798496977043</v>
      </c>
      <c r="T12" s="6" t="n">
        <f aca="false">IF(INDEX(Results_Long!$AG:$AG,$F12)="","NA",INDEX(Results_Long!$AG:$AG,$F12))</f>
        <v>1</v>
      </c>
      <c r="U12" s="5" t="str">
        <f aca="false">IF(INDEX(Results_Long!$AJ:$AJ,$F12)="","NA",INDEX(Results_Long!$AJ:$AJ,$F12))</f>
        <v>TOST, two one-sided tests each alpha=.05 &lt;=&gt; 90% CI inside band [DEC-045 E-pins]; contrast band |dr| = 0.05 (secondary SESOI = the contrast band [DEC-031 Block E]); applied on the z-difference directly; |dz| read as |dr| (third-order approx, T8/B8 convention); arm p (lower/upper) = 0.00231753 / 0.0219798; TOST p = max(arms); CI columns carry the 90% CI (TOST convention); value = 1{90%-CI inside band} (mechanical flag, no verdict language); E2 adjudicates Tier 1 (the Paris null) [DEC-045 E-pins]; dose transfer NOT triggered (design df 31.9 [DEC-024/A.3])</v>
      </c>
    </row>
    <row r="13" customFormat="false" ht="23.85" hidden="false" customHeight="false" outlineLevel="0" collapsed="false">
      <c r="A13" s="6" t="s">
        <v>199</v>
      </c>
      <c r="B13" s="7" t="s">
        <v>200</v>
      </c>
      <c r="C13" s="7" t="s">
        <v>201</v>
      </c>
      <c r="D13" s="7" t="s">
        <v>184</v>
      </c>
      <c r="E13" s="7" t="s">
        <v>202</v>
      </c>
      <c r="F13" s="8" t="n">
        <f aca="false">SUMPRODUCT((Results_Long!$A$2:$A$178=$B13)*(Results_Long!$B$2:$B$178=$C13)*(Results_Long!$C$2:$C$178=$D13)*(Results_Long!$D$2:$D$178=$E13)*ROW(Results_Long!$A$2:$A$178))</f>
        <v>9</v>
      </c>
      <c r="G13" s="9" t="str">
        <f aca="false">IF(INDEX(Results_Long!$H:$H,$F13)="","NA",INDEX(Results_Long!$H:$H,$F13))</f>
        <v>NA</v>
      </c>
      <c r="H13" s="9" t="str">
        <f aca="false">IF(INDEX(Results_Long!$I:$I,$F13)="","NA",INDEX(Results_Long!$I:$I,$F13))</f>
        <v>NA</v>
      </c>
      <c r="I13" s="9" t="str">
        <f aca="false">IF(INDEX(Results_Long!$J:$J,$F13)="","NA",INDEX(Results_Long!$J:$J,$F13))</f>
        <v>NA</v>
      </c>
      <c r="J13" s="10" t="str">
        <f aca="false">IF(INDEX(Results_Long!$K:$K,$F13)="","NA",INDEX(Results_Long!$K:$K,$F13))</f>
        <v>NA</v>
      </c>
      <c r="K13" s="10" t="str">
        <f aca="false">IF(INDEX(Results_Long!$P:$P,$F13)="","NA",INDEX(Results_Long!$P:$P,$F13))</f>
        <v>NA</v>
      </c>
      <c r="L13" s="10" t="str">
        <f aca="false">IF(INDEX(Results_Long!$Q:$Q,$F13)="","NA",INDEX(Results_Long!$Q:$Q,$F13))</f>
        <v>NA</v>
      </c>
      <c r="M13" s="10" t="str">
        <f aca="false">IF(INDEX(Results_Long!$T:$T,$F13)="","NA",INDEX(Results_Long!$T:$T,$F13))</f>
        <v>NA</v>
      </c>
      <c r="N13" s="10" t="str">
        <f aca="false">IF(INDEX(Results_Long!$U:$U,$F13)="","NA",INDEX(Results_Long!$U:$U,$F13))</f>
        <v>NA</v>
      </c>
      <c r="O13" s="10" t="str">
        <f aca="false">IF(INDEX(Results_Long!$V:$V,$F13)="","NA",INDEX(Results_Long!$V:$V,$F13))</f>
        <v>NA</v>
      </c>
      <c r="P13" s="10" t="str">
        <f aca="false">IF(INDEX(Results_Long!$L:$L,$F13)="","NA",INDEX(Results_Long!$L:$L,$F13))</f>
        <v>NA</v>
      </c>
      <c r="Q13" s="11" t="str">
        <f aca="false">IF(INDEX(Results_Long!$M:$M,$F13)="","NA",INDEX(Results_Long!$M:$M,$F13))</f>
        <v>NA</v>
      </c>
      <c r="R13" s="12" t="str">
        <f aca="false">IF(INDEX(Results_Long!$N:$N,$F13)="","NA",INDEX(Results_Long!$N:$N,$F13))</f>
        <v>NA</v>
      </c>
      <c r="S13" s="10" t="str">
        <f aca="false">IF(INDEX(Results_Long!$O:$O,$F13)="","NA",INDEX(Results_Long!$O:$O,$F13))</f>
        <v>NA</v>
      </c>
      <c r="T13" s="6" t="str">
        <f aca="false">IF(INDEX(Results_Long!$AG:$AG,$F13)="","NA",INDEX(Results_Long!$AG:$AG,$F13))</f>
        <v>NA</v>
      </c>
      <c r="U13" s="5" t="str">
        <f aca="false">IF(INDEX(Results_Long!$AJ:$AJ,$F13)="","NA",INDEX(Results_Long!$AJ:$AJ,$F13))</f>
        <v>Tier-1 evidence-of-absence wording REQUIRES an E2 PASS; E2 FAIL -&gt; no Tier-1 EoA regardless of BF [DEC-045 ladder / H-Q21]</v>
      </c>
    </row>
    <row r="14" customFormat="false" ht="57.45" hidden="false" customHeight="false" outlineLevel="0" collapsed="false">
      <c r="A14" s="6" t="s">
        <v>203</v>
      </c>
      <c r="B14" s="7" t="s">
        <v>200</v>
      </c>
      <c r="C14" s="7" t="s">
        <v>201</v>
      </c>
      <c r="D14" s="7" t="s">
        <v>184</v>
      </c>
      <c r="E14" s="7" t="s">
        <v>204</v>
      </c>
      <c r="F14" s="8" t="n">
        <f aca="false">SUMPRODUCT((Results_Long!$A$2:$A$178=$B14)*(Results_Long!$B$2:$B$178=$C14)*(Results_Long!$C$2:$C$178=$D14)*(Results_Long!$D$2:$D$178=$E14)*ROW(Results_Long!$A$2:$A$178))</f>
        <v>10</v>
      </c>
      <c r="G14" s="9" t="str">
        <f aca="false">IF(INDEX(Results_Long!$H:$H,$F14)="","NA",INDEX(Results_Long!$H:$H,$F14))</f>
        <v>NA</v>
      </c>
      <c r="H14" s="9" t="str">
        <f aca="false">IF(INDEX(Results_Long!$I:$I,$F14)="","NA",INDEX(Results_Long!$I:$I,$F14))</f>
        <v>NA</v>
      </c>
      <c r="I14" s="9" t="str">
        <f aca="false">IF(INDEX(Results_Long!$J:$J,$F14)="","NA",INDEX(Results_Long!$J:$J,$F14))</f>
        <v>NA</v>
      </c>
      <c r="J14" s="10" t="str">
        <f aca="false">IF(INDEX(Results_Long!$K:$K,$F14)="","NA",INDEX(Results_Long!$K:$K,$F14))</f>
        <v>NA</v>
      </c>
      <c r="K14" s="10" t="str">
        <f aca="false">IF(INDEX(Results_Long!$P:$P,$F14)="","NA",INDEX(Results_Long!$P:$P,$F14))</f>
        <v>NA</v>
      </c>
      <c r="L14" s="10" t="str">
        <f aca="false">IF(INDEX(Results_Long!$Q:$Q,$F14)="","NA",INDEX(Results_Long!$Q:$Q,$F14))</f>
        <v>NA</v>
      </c>
      <c r="M14" s="10" t="str">
        <f aca="false">IF(INDEX(Results_Long!$T:$T,$F14)="","NA",INDEX(Results_Long!$T:$T,$F14))</f>
        <v>NA</v>
      </c>
      <c r="N14" s="10" t="str">
        <f aca="false">IF(INDEX(Results_Long!$U:$U,$F14)="","NA",INDEX(Results_Long!$U:$U,$F14))</f>
        <v>NA</v>
      </c>
      <c r="O14" s="10" t="str">
        <f aca="false">IF(INDEX(Results_Long!$V:$V,$F14)="","NA",INDEX(Results_Long!$V:$V,$F14))</f>
        <v>NA</v>
      </c>
      <c r="P14" s="10" t="str">
        <f aca="false">IF(INDEX(Results_Long!$L:$L,$F14)="","NA",INDEX(Results_Long!$L:$L,$F14))</f>
        <v>NA</v>
      </c>
      <c r="Q14" s="11" t="str">
        <f aca="false">IF(INDEX(Results_Long!$M:$M,$F14)="","NA",INDEX(Results_Long!$M:$M,$F14))</f>
        <v>NA</v>
      </c>
      <c r="R14" s="12" t="str">
        <f aca="false">IF(INDEX(Results_Long!$N:$N,$F14)="","NA",INDEX(Results_Long!$N:$N,$F14))</f>
        <v>NA</v>
      </c>
      <c r="S14" s="10" t="str">
        <f aca="false">IF(INDEX(Results_Long!$O:$O,$F14)="","NA",INDEX(Results_Long!$O:$O,$F14))</f>
        <v>NA</v>
      </c>
      <c r="T14" s="6" t="str">
        <f aca="false">IF(INDEX(Results_Long!$AG:$AG,$F14)="","NA",INDEX(Results_Long!$AG:$AG,$F14))</f>
        <v>NA</v>
      </c>
      <c r="U14" s="5" t="str">
        <f aca="false">IF(INDEX(Results_Long!$AJ:$AJ,$F14)="","NA",INDEX(Results_Long!$AJ:$AJ,$F14))</f>
        <v>with H2b: BF01 &gt;= 3 full EoA; 1 &lt; BF01 &lt; 3 equivalence-based, BF disclosed as directionally supportive, not strong; BF01 &lt;= 1 conflict disclosure, conservative wording; without RoBMA.reg: pre-registered configuration E2 + level BF (H2a) [DEC-045; Jeffreys/Lee-Wagenmakers bands pinned]</v>
      </c>
    </row>
    <row r="15" customFormat="false" ht="35.05" hidden="false" customHeight="false" outlineLevel="0" collapsed="false">
      <c r="A15" s="6" t="s">
        <v>205</v>
      </c>
      <c r="B15" s="7" t="s">
        <v>200</v>
      </c>
      <c r="C15" s="7" t="s">
        <v>201</v>
      </c>
      <c r="D15" s="7" t="s">
        <v>184</v>
      </c>
      <c r="E15" s="7" t="s">
        <v>206</v>
      </c>
      <c r="F15" s="8" t="n">
        <f aca="false">SUMPRODUCT((Results_Long!$A$2:$A$178=$B15)*(Results_Long!$B$2:$B$178=$C15)*(Results_Long!$C$2:$C$178=$D15)*(Results_Long!$D$2:$D$178=$E15)*ROW(Results_Long!$A$2:$A$178))</f>
        <v>11</v>
      </c>
      <c r="G15" s="9" t="str">
        <f aca="false">IF(INDEX(Results_Long!$H:$H,$F15)="","NA",INDEX(Results_Long!$H:$H,$F15))</f>
        <v>NA</v>
      </c>
      <c r="H15" s="9" t="str">
        <f aca="false">IF(INDEX(Results_Long!$I:$I,$F15)="","NA",INDEX(Results_Long!$I:$I,$F15))</f>
        <v>NA</v>
      </c>
      <c r="I15" s="9" t="str">
        <f aca="false">IF(INDEX(Results_Long!$J:$J,$F15)="","NA",INDEX(Results_Long!$J:$J,$F15))</f>
        <v>NA</v>
      </c>
      <c r="J15" s="10" t="str">
        <f aca="false">IF(INDEX(Results_Long!$K:$K,$F15)="","NA",INDEX(Results_Long!$K:$K,$F15))</f>
        <v>NA</v>
      </c>
      <c r="K15" s="10" t="str">
        <f aca="false">IF(INDEX(Results_Long!$P:$P,$F15)="","NA",INDEX(Results_Long!$P:$P,$F15))</f>
        <v>NA</v>
      </c>
      <c r="L15" s="10" t="str">
        <f aca="false">IF(INDEX(Results_Long!$Q:$Q,$F15)="","NA",INDEX(Results_Long!$Q:$Q,$F15))</f>
        <v>NA</v>
      </c>
      <c r="M15" s="10" t="str">
        <f aca="false">IF(INDEX(Results_Long!$T:$T,$F15)="","NA",INDEX(Results_Long!$T:$T,$F15))</f>
        <v>NA</v>
      </c>
      <c r="N15" s="10" t="str">
        <f aca="false">IF(INDEX(Results_Long!$U:$U,$F15)="","NA",INDEX(Results_Long!$U:$U,$F15))</f>
        <v>NA</v>
      </c>
      <c r="O15" s="10" t="str">
        <f aca="false">IF(INDEX(Results_Long!$V:$V,$F15)="","NA",INDEX(Results_Long!$V:$V,$F15))</f>
        <v>NA</v>
      </c>
      <c r="P15" s="10" t="str">
        <f aca="false">IF(INDEX(Results_Long!$L:$L,$F15)="","NA",INDEX(Results_Long!$L:$L,$F15))</f>
        <v>NA</v>
      </c>
      <c r="Q15" s="11" t="str">
        <f aca="false">IF(INDEX(Results_Long!$M:$M,$F15)="","NA",INDEX(Results_Long!$M:$M,$F15))</f>
        <v>NA</v>
      </c>
      <c r="R15" s="12" t="str">
        <f aca="false">IF(INDEX(Results_Long!$N:$N,$F15)="","NA",INDEX(Results_Long!$N:$N,$F15))</f>
        <v>NA</v>
      </c>
      <c r="S15" s="10" t="str">
        <f aca="false">IF(INDEX(Results_Long!$O:$O,$F15)="","NA",INDEX(Results_Long!$O:$O,$F15))</f>
        <v>NA</v>
      </c>
      <c r="T15" s="6" t="str">
        <f aca="false">IF(INDEX(Results_Long!$AG:$AG,$F15)="","NA",INDEX(Results_Long!$AG:$AG,$F15))</f>
        <v>NA</v>
      </c>
      <c r="U15" s="5" t="str">
        <f aca="false">IF(INDEX(Results_Long!$AJ:$AJ,$F15)="","NA",INDEX(Results_Long!$AJ:$AJ,$F15))</f>
        <v>resolution deferred: documented post-run step after TH-b (N3), never an automatic rewrite [DEC-044/DEC-045]; ex-ante expectation carried on the E1 primary-band row</v>
      </c>
    </row>
    <row r="17" customFormat="false" ht="15" hidden="false" customHeight="false" outlineLevel="0" collapsed="false">
      <c r="A17" s="13" t="s">
        <v>207</v>
      </c>
    </row>
    <row r="18" customFormat="false" ht="15" hidden="false" customHeight="true" outlineLevel="0" collapsed="false">
      <c r="A18" s="14" t="s">
        <v>208</v>
      </c>
      <c r="B18" s="14"/>
      <c r="C18" s="14"/>
      <c r="D18" s="14"/>
      <c r="E18" s="14"/>
      <c r="F18" s="14"/>
      <c r="G18" s="14"/>
      <c r="H18" s="14"/>
      <c r="I18" s="14"/>
      <c r="J18" s="14"/>
    </row>
    <row r="19" customFormat="false" ht="15" hidden="false" customHeight="true" outlineLevel="0" collapsed="false">
      <c r="A19" s="14" t="s">
        <v>209</v>
      </c>
      <c r="B19" s="14"/>
      <c r="C19" s="14"/>
      <c r="D19" s="14"/>
      <c r="E19" s="14"/>
      <c r="F19" s="14"/>
      <c r="G19" s="14"/>
      <c r="H19" s="14"/>
      <c r="I19" s="14"/>
      <c r="J19" s="14"/>
    </row>
    <row r="20" customFormat="false" ht="15" hidden="false" customHeight="true" outlineLevel="0" collapsed="false">
      <c r="A20" s="14" t="s">
        <v>210</v>
      </c>
      <c r="B20" s="14"/>
      <c r="C20" s="14"/>
      <c r="D20" s="14"/>
      <c r="E20" s="14"/>
      <c r="F20" s="14"/>
      <c r="G20" s="14"/>
      <c r="H20" s="14"/>
      <c r="I20" s="14"/>
      <c r="J20" s="14"/>
    </row>
    <row r="22" customFormat="false" ht="15" hidden="false" customHeight="false" outlineLevel="0" collapsed="false">
      <c r="A22" s="3" t="s">
        <v>211</v>
      </c>
      <c r="B22" s="3" t="s">
        <v>212</v>
      </c>
    </row>
    <row r="23" customFormat="false" ht="15" hidden="false" customHeight="true" outlineLevel="0" collapsed="false">
      <c r="A23" s="15" t="s">
        <v>213</v>
      </c>
      <c r="B23" s="14" t="s">
        <v>214</v>
      </c>
      <c r="C23" s="14"/>
      <c r="D23" s="14"/>
      <c r="E23" s="14"/>
      <c r="F23" s="14"/>
      <c r="G23" s="14"/>
      <c r="H23" s="14"/>
      <c r="I23" s="14"/>
      <c r="J23" s="14"/>
    </row>
    <row r="24" customFormat="false" ht="15" hidden="false" customHeight="true" outlineLevel="0" collapsed="false">
      <c r="A24" s="15" t="s">
        <v>215</v>
      </c>
      <c r="B24" s="14" t="s">
        <v>216</v>
      </c>
      <c r="C24" s="14"/>
      <c r="D24" s="14"/>
      <c r="E24" s="14"/>
      <c r="F24" s="14"/>
      <c r="G24" s="14"/>
      <c r="H24" s="14"/>
      <c r="I24" s="14"/>
      <c r="J24" s="14"/>
    </row>
    <row r="25" customFormat="false" ht="15" hidden="false" customHeight="true" outlineLevel="0" collapsed="false">
      <c r="A25" s="15" t="s">
        <v>217</v>
      </c>
      <c r="B25" s="14" t="s">
        <v>218</v>
      </c>
      <c r="C25" s="14"/>
      <c r="D25" s="14"/>
      <c r="E25" s="14"/>
      <c r="F25" s="14"/>
      <c r="G25" s="14"/>
      <c r="H25" s="14"/>
      <c r="I25" s="14"/>
      <c r="J25" s="14"/>
    </row>
    <row r="27" customFormat="false" ht="15" hidden="false" customHeight="true" outlineLevel="0" collapsed="false">
      <c r="A27" s="16" t="s">
        <v>219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</sheetData>
  <mergeCells count="7">
    <mergeCell ref="A18:J18"/>
    <mergeCell ref="A19:J19"/>
    <mergeCell ref="A20:J20"/>
    <mergeCell ref="B23:J23"/>
    <mergeCell ref="B24:J24"/>
    <mergeCell ref="B25:J25"/>
    <mergeCell ref="A27:L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20" min="7" style="0" width="9"/>
    <col collapsed="false" customWidth="true" hidden="false" outlineLevel="0" max="21" min="21" style="0" width="60"/>
  </cols>
  <sheetData>
    <row r="1" customFormat="false" ht="15" hidden="false" customHeight="false" outlineLevel="0" collapsed="false">
      <c r="A1" s="1" t="s">
        <v>220</v>
      </c>
    </row>
    <row r="2" customFormat="false" ht="15" hidden="false" customHeight="false" outlineLevel="0" collapsed="false">
      <c r="A2" s="2" t="s">
        <v>221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160</v>
      </c>
      <c r="B5" s="3" t="s">
        <v>161</v>
      </c>
      <c r="C5" s="3" t="s">
        <v>162</v>
      </c>
      <c r="D5" s="3" t="s">
        <v>163</v>
      </c>
      <c r="E5" s="3" t="s">
        <v>164</v>
      </c>
      <c r="F5" s="3" t="s">
        <v>165</v>
      </c>
      <c r="G5" s="3" t="s">
        <v>166</v>
      </c>
      <c r="H5" s="3" t="s">
        <v>167</v>
      </c>
      <c r="I5" s="3" t="s">
        <v>168</v>
      </c>
      <c r="J5" s="3" t="s">
        <v>169</v>
      </c>
      <c r="K5" s="3" t="s">
        <v>170</v>
      </c>
      <c r="L5" s="3" t="s">
        <v>171</v>
      </c>
      <c r="M5" s="3" t="s">
        <v>172</v>
      </c>
      <c r="N5" s="3" t="s">
        <v>173</v>
      </c>
      <c r="O5" s="3" t="s">
        <v>174</v>
      </c>
      <c r="P5" s="3" t="s">
        <v>175</v>
      </c>
      <c r="Q5" s="3" t="s">
        <v>176</v>
      </c>
      <c r="R5" s="3" t="s">
        <v>177</v>
      </c>
      <c r="S5" s="3" t="s">
        <v>178</v>
      </c>
      <c r="T5" s="3" t="s">
        <v>179</v>
      </c>
      <c r="U5" s="3" t="s">
        <v>180</v>
      </c>
      <c r="V5" s="17" t="s">
        <v>222</v>
      </c>
      <c r="W5" s="17" t="s">
        <v>223</v>
      </c>
    </row>
    <row r="6" customFormat="false" ht="68.65" hidden="false" customHeight="false" outlineLevel="0" collapsed="false">
      <c r="A6" s="6" t="s">
        <v>224</v>
      </c>
      <c r="B6" s="7" t="s">
        <v>225</v>
      </c>
      <c r="C6" s="7" t="s">
        <v>226</v>
      </c>
      <c r="D6" s="7" t="s">
        <v>184</v>
      </c>
      <c r="E6" s="7" t="s">
        <v>227</v>
      </c>
      <c r="F6" s="8" t="n">
        <f aca="false">SUMPRODUCT((Results_Long!$A$2:$A$178=$B6)*(Results_Long!$B$2:$B$178=$C6)*(Results_Long!$C$2:$C$178=$D6)*(Results_Long!$D$2:$D$178=$E6)*ROW(Results_Long!$A$2:$A$178))</f>
        <v>12</v>
      </c>
      <c r="G6" s="9" t="n">
        <f aca="false">IF(INDEX(Results_Long!$H:$H,$F6)="","NA",INDEX(Results_Long!$H:$H,$F6))</f>
        <v>2705</v>
      </c>
      <c r="H6" s="9" t="n">
        <f aca="false">IF(INDEX(Results_Long!$I:$I,$F6)="","NA",INDEX(Results_Long!$I:$I,$F6))</f>
        <v>113</v>
      </c>
      <c r="I6" s="9" t="n">
        <f aca="false">IF(INDEX(Results_Long!$J:$J,$F6)="","NA",INDEX(Results_Long!$J:$J,$F6))</f>
        <v>112</v>
      </c>
      <c r="J6" s="10" t="n">
        <f aca="false">IF(INDEX(Results_Long!$K:$K,$F6)="","NA",INDEX(Results_Long!$K:$K,$F6))</f>
        <v>-0.0240266759452193</v>
      </c>
      <c r="K6" s="10" t="n">
        <f aca="false">IF(INDEX(Results_Long!$P:$P,$F6)="","NA",INDEX(Results_Long!$P:$P,$F6))</f>
        <v>-0.0616046648927065</v>
      </c>
      <c r="L6" s="10" t="n">
        <f aca="false">IF(INDEX(Results_Long!$Q:$Q,$F6)="","NA",INDEX(Results_Long!$Q:$Q,$F6))</f>
        <v>0.013551313002268</v>
      </c>
      <c r="M6" s="10" t="str">
        <f aca="false">IF(INDEX(Results_Long!$T:$T,$F6)="","NA",INDEX(Results_Long!$T:$T,$F6))</f>
        <v>NA</v>
      </c>
      <c r="N6" s="10" t="str">
        <f aca="false">IF(INDEX(Results_Long!$U:$U,$F6)="","NA",INDEX(Results_Long!$U:$U,$F6))</f>
        <v>NA</v>
      </c>
      <c r="O6" s="10" t="str">
        <f aca="false">IF(INDEX(Results_Long!$V:$V,$F6)="","NA",INDEX(Results_Long!$V:$V,$F6))</f>
        <v>NA</v>
      </c>
      <c r="P6" s="10" t="n">
        <f aca="false">IF(INDEX(Results_Long!$L:$L,$F6)="","NA",INDEX(Results_Long!$L:$L,$F6))</f>
        <v>0.0176243003236253</v>
      </c>
      <c r="Q6" s="11" t="n">
        <f aca="false">IF(INDEX(Results_Long!$M:$M,$F6)="","NA",INDEX(Results_Long!$M:$M,$F6))</f>
        <v>-1.36326977548219</v>
      </c>
      <c r="R6" s="12" t="n">
        <f aca="false">IF(INDEX(Results_Long!$N:$N,$F6)="","NA",INDEX(Results_Long!$N:$N,$F6))</f>
        <v>14.9421005915616</v>
      </c>
      <c r="S6" s="10" t="n">
        <f aca="false">IF(INDEX(Results_Long!$O:$O,$F6)="","NA",INDEX(Results_Long!$O:$O,$F6))</f>
        <v>0.192987644808958</v>
      </c>
      <c r="T6" s="6" t="str">
        <f aca="false">IF(INDEX(Results_Long!$AG:$AG,$F6)="","NA",INDEX(Results_Long!$AG:$AG,$F6))</f>
        <v>NA</v>
      </c>
      <c r="U6" s="5" t="str">
        <f aca="false">IF(INDEX(Results_Long!$AJ:$AJ,$F6)="","NA",INDEX(Results_Long!$AJ:$AJ,$F6))</f>
        <v>rma.mv mods=~ 0 + pp_cell (break 2008, cell-means); random ~1|cluster_id/study/esid; V blocks within cluster_id, rho=0.6; CR2/Satterthwaite on cluster_id [D31.1/A.2]; domain period domain 2705/113/112; post cell: 2367 ES / 100 studies / 99 clusters; rule: share_2008 &gt;= 0.5, ties to Post [F60/DEC-024]; candidate year of the sup-break grid [DEC-045/H-Q6]; difference of Fisher-z means</v>
      </c>
      <c r="V6" s="18" t="n">
        <v>2008</v>
      </c>
      <c r="W6" s="19" t="n">
        <f aca="false">IF($Q6="NA","NA",ABS($Q6))</f>
        <v>1.36326977548219</v>
      </c>
    </row>
    <row r="7" customFormat="false" ht="68.65" hidden="false" customHeight="false" outlineLevel="0" collapsed="false">
      <c r="A7" s="6" t="s">
        <v>228</v>
      </c>
      <c r="B7" s="7" t="s">
        <v>225</v>
      </c>
      <c r="C7" s="7" t="s">
        <v>229</v>
      </c>
      <c r="D7" s="7" t="s">
        <v>184</v>
      </c>
      <c r="E7" s="7" t="s">
        <v>227</v>
      </c>
      <c r="F7" s="8" t="n">
        <f aca="false">SUMPRODUCT((Results_Long!$A$2:$A$178=$B7)*(Results_Long!$B$2:$B$178=$C7)*(Results_Long!$C$2:$C$178=$D7)*(Results_Long!$D$2:$D$178=$E7)*ROW(Results_Long!$A$2:$A$178))</f>
        <v>13</v>
      </c>
      <c r="G7" s="9" t="n">
        <f aca="false">IF(INDEX(Results_Long!$H:$H,$F7)="","NA",INDEX(Results_Long!$H:$H,$F7))</f>
        <v>2705</v>
      </c>
      <c r="H7" s="9" t="n">
        <f aca="false">IF(INDEX(Results_Long!$I:$I,$F7)="","NA",INDEX(Results_Long!$I:$I,$F7))</f>
        <v>113</v>
      </c>
      <c r="I7" s="9" t="n">
        <f aca="false">IF(INDEX(Results_Long!$J:$J,$F7)="","NA",INDEX(Results_Long!$J:$J,$F7))</f>
        <v>112</v>
      </c>
      <c r="J7" s="10" t="n">
        <f aca="false">IF(INDEX(Results_Long!$K:$K,$F7)="","NA",INDEX(Results_Long!$K:$K,$F7))</f>
        <v>-0.0395267552729416</v>
      </c>
      <c r="K7" s="10" t="n">
        <f aca="false">IF(INDEX(Results_Long!$P:$P,$F7)="","NA",INDEX(Results_Long!$P:$P,$F7))</f>
        <v>-0.0846035248879966</v>
      </c>
      <c r="L7" s="10" t="n">
        <f aca="false">IF(INDEX(Results_Long!$Q:$Q,$F7)="","NA",INDEX(Results_Long!$Q:$Q,$F7))</f>
        <v>0.00555001434211339</v>
      </c>
      <c r="M7" s="10" t="str">
        <f aca="false">IF(INDEX(Results_Long!$T:$T,$F7)="","NA",INDEX(Results_Long!$T:$T,$F7))</f>
        <v>NA</v>
      </c>
      <c r="N7" s="10" t="str">
        <f aca="false">IF(INDEX(Results_Long!$U:$U,$F7)="","NA",INDEX(Results_Long!$U:$U,$F7))</f>
        <v>NA</v>
      </c>
      <c r="O7" s="10" t="str">
        <f aca="false">IF(INDEX(Results_Long!$V:$V,$F7)="","NA",INDEX(Results_Long!$V:$V,$F7))</f>
        <v>NA</v>
      </c>
      <c r="P7" s="10" t="n">
        <f aca="false">IF(INDEX(Results_Long!$L:$L,$F7)="","NA",INDEX(Results_Long!$L:$L,$F7))</f>
        <v>0.0186224439175496</v>
      </c>
      <c r="Q7" s="11" t="n">
        <f aca="false">IF(INDEX(Results_Long!$M:$M,$F7)="","NA",INDEX(Results_Long!$M:$M,$F7))</f>
        <v>-2.12253318887389</v>
      </c>
      <c r="R7" s="12" t="n">
        <f aca="false">IF(INDEX(Results_Long!$N:$N,$F7)="","NA",INDEX(Results_Long!$N:$N,$F7))</f>
        <v>6.28165426169003</v>
      </c>
      <c r="S7" s="10" t="n">
        <f aca="false">IF(INDEX(Results_Long!$O:$O,$F7)="","NA",INDEX(Results_Long!$O:$O,$F7))</f>
        <v>0.0759488616717987</v>
      </c>
      <c r="T7" s="6" t="str">
        <f aca="false">IF(INDEX(Results_Long!$AG:$AG,$F7)="","NA",INDEX(Results_Long!$AG:$AG,$F7))</f>
        <v>NA</v>
      </c>
      <c r="U7" s="5" t="str">
        <f aca="false">IF(INDEX(Results_Long!$AJ:$AJ,$F7)="","NA",INDEX(Results_Long!$AJ:$AJ,$F7))</f>
        <v>rma.mv mods=~ 0 + pp_cell (break 2009, cell-means); random ~1|cluster_id/study/esid; V blocks within cluster_id, rho=0.6; CR2/Satterthwaite on cluster_id [D31.1/A.2]; domain period domain 2705/113/112; post cell: 2345 ES / 99 studies / 98 clusters; rule: share_2009 &gt;= 0.5, ties to Post [F60/DEC-024]; candidate year of the sup-break grid [DEC-045/H-Q6]; difference of Fisher-z means</v>
      </c>
      <c r="V7" s="18" t="n">
        <v>2009</v>
      </c>
      <c r="W7" s="19" t="n">
        <f aca="false">IF($Q7="NA","NA",ABS($Q7))</f>
        <v>2.12253318887389</v>
      </c>
    </row>
    <row r="8" customFormat="false" ht="68.65" hidden="false" customHeight="false" outlineLevel="0" collapsed="false">
      <c r="A8" s="6" t="s">
        <v>230</v>
      </c>
      <c r="B8" s="7" t="s">
        <v>225</v>
      </c>
      <c r="C8" s="7" t="s">
        <v>231</v>
      </c>
      <c r="D8" s="7" t="s">
        <v>184</v>
      </c>
      <c r="E8" s="7" t="s">
        <v>227</v>
      </c>
      <c r="F8" s="8" t="n">
        <f aca="false">SUMPRODUCT((Results_Long!$A$2:$A$178=$B8)*(Results_Long!$B$2:$B$178=$C8)*(Results_Long!$C$2:$C$178=$D8)*(Results_Long!$D$2:$D$178=$E8)*ROW(Results_Long!$A$2:$A$178))</f>
        <v>14</v>
      </c>
      <c r="G8" s="9" t="n">
        <f aca="false">IF(INDEX(Results_Long!$H:$H,$F8)="","NA",INDEX(Results_Long!$H:$H,$F8))</f>
        <v>2705</v>
      </c>
      <c r="H8" s="9" t="n">
        <f aca="false">IF(INDEX(Results_Long!$I:$I,$F8)="","NA",INDEX(Results_Long!$I:$I,$F8))</f>
        <v>113</v>
      </c>
      <c r="I8" s="9" t="n">
        <f aca="false">IF(INDEX(Results_Long!$J:$J,$F8)="","NA",INDEX(Results_Long!$J:$J,$F8))</f>
        <v>112</v>
      </c>
      <c r="J8" s="10" t="n">
        <f aca="false">IF(INDEX(Results_Long!$K:$K,$F8)="","NA",INDEX(Results_Long!$K:$K,$F8))</f>
        <v>-0.0365343906347448</v>
      </c>
      <c r="K8" s="10" t="n">
        <f aca="false">IF(INDEX(Results_Long!$P:$P,$F8)="","NA",INDEX(Results_Long!$P:$P,$F8))</f>
        <v>-0.0824613624169921</v>
      </c>
      <c r="L8" s="10" t="n">
        <f aca="false">IF(INDEX(Results_Long!$Q:$Q,$F8)="","NA",INDEX(Results_Long!$Q:$Q,$F8))</f>
        <v>0.00939258114750249</v>
      </c>
      <c r="M8" s="10" t="str">
        <f aca="false">IF(INDEX(Results_Long!$T:$T,$F8)="","NA",INDEX(Results_Long!$T:$T,$F8))</f>
        <v>NA</v>
      </c>
      <c r="N8" s="10" t="str">
        <f aca="false">IF(INDEX(Results_Long!$U:$U,$F8)="","NA",INDEX(Results_Long!$U:$U,$F8))</f>
        <v>NA</v>
      </c>
      <c r="O8" s="10" t="str">
        <f aca="false">IF(INDEX(Results_Long!$V:$V,$F8)="","NA",INDEX(Results_Long!$V:$V,$F8))</f>
        <v>NA</v>
      </c>
      <c r="P8" s="10" t="n">
        <f aca="false">IF(INDEX(Results_Long!$L:$L,$F8)="","NA",INDEX(Results_Long!$L:$L,$F8))</f>
        <v>0.0192951617160184</v>
      </c>
      <c r="Q8" s="11" t="n">
        <f aca="false">IF(INDEX(Results_Long!$M:$M,$F8)="","NA",INDEX(Results_Long!$M:$M,$F8))</f>
        <v>-1.8934482733262</v>
      </c>
      <c r="R8" s="12" t="n">
        <f aca="false">IF(INDEX(Results_Long!$N:$N,$F8)="","NA",INDEX(Results_Long!$N:$N,$F8))</f>
        <v>6.78047645343023</v>
      </c>
      <c r="S8" s="10" t="n">
        <f aca="false">IF(INDEX(Results_Long!$O:$O,$F8)="","NA",INDEX(Results_Long!$O:$O,$F8))</f>
        <v>0.101522928897328</v>
      </c>
      <c r="T8" s="6" t="str">
        <f aca="false">IF(INDEX(Results_Long!$AG:$AG,$F8)="","NA",INDEX(Results_Long!$AG:$AG,$F8))</f>
        <v>NA</v>
      </c>
      <c r="U8" s="5" t="str">
        <f aca="false">IF(INDEX(Results_Long!$AJ:$AJ,$F8)="","NA",INDEX(Results_Long!$AJ:$AJ,$F8))</f>
        <v>rma.mv mods=~ 0 + pp_cell (break 2010, cell-means); random ~1|cluster_id/study/esid; V blocks within cluster_id, rho=0.6; CR2/Satterthwaite on cluster_id [D31.1/A.2]; domain period domain 2705/113/112; post cell: 2326 ES / 98 studies / 97 clusters; rule: share_2010 &gt;= 0.5, ties to Post [F60/DEC-024]; candidate year of the sup-break grid [DEC-045/H-Q6]; difference of Fisher-z means</v>
      </c>
      <c r="V8" s="18" t="n">
        <v>2010</v>
      </c>
      <c r="W8" s="19" t="n">
        <f aca="false">IF($Q8="NA","NA",ABS($Q8))</f>
        <v>1.8934482733262</v>
      </c>
    </row>
    <row r="9" customFormat="false" ht="68.65" hidden="false" customHeight="false" outlineLevel="0" collapsed="false">
      <c r="A9" s="6" t="s">
        <v>232</v>
      </c>
      <c r="B9" s="7" t="s">
        <v>225</v>
      </c>
      <c r="C9" s="7" t="s">
        <v>233</v>
      </c>
      <c r="D9" s="7" t="s">
        <v>184</v>
      </c>
      <c r="E9" s="7" t="s">
        <v>227</v>
      </c>
      <c r="F9" s="8" t="n">
        <f aca="false">SUMPRODUCT((Results_Long!$A$2:$A$178=$B9)*(Results_Long!$B$2:$B$178=$C9)*(Results_Long!$C$2:$C$178=$D9)*(Results_Long!$D$2:$D$178=$E9)*ROW(Results_Long!$A$2:$A$178))</f>
        <v>15</v>
      </c>
      <c r="G9" s="9" t="n">
        <f aca="false">IF(INDEX(Results_Long!$H:$H,$F9)="","NA",INDEX(Results_Long!$H:$H,$F9))</f>
        <v>2705</v>
      </c>
      <c r="H9" s="9" t="n">
        <f aca="false">IF(INDEX(Results_Long!$I:$I,$F9)="","NA",INDEX(Results_Long!$I:$I,$F9))</f>
        <v>113</v>
      </c>
      <c r="I9" s="9" t="n">
        <f aca="false">IF(INDEX(Results_Long!$J:$J,$F9)="","NA",INDEX(Results_Long!$J:$J,$F9))</f>
        <v>112</v>
      </c>
      <c r="J9" s="10" t="n">
        <f aca="false">IF(INDEX(Results_Long!$K:$K,$F9)="","NA",INDEX(Results_Long!$K:$K,$F9))</f>
        <v>-0.0333308354922605</v>
      </c>
      <c r="K9" s="10" t="n">
        <f aca="false">IF(INDEX(Results_Long!$P:$P,$F9)="","NA",INDEX(Results_Long!$P:$P,$F9))</f>
        <v>-0.0756932210506348</v>
      </c>
      <c r="L9" s="10" t="n">
        <f aca="false">IF(INDEX(Results_Long!$Q:$Q,$F9)="","NA",INDEX(Results_Long!$Q:$Q,$F9))</f>
        <v>0.00903155006611369</v>
      </c>
      <c r="M9" s="10" t="str">
        <f aca="false">IF(INDEX(Results_Long!$T:$T,$F9)="","NA",INDEX(Results_Long!$T:$T,$F9))</f>
        <v>NA</v>
      </c>
      <c r="N9" s="10" t="str">
        <f aca="false">IF(INDEX(Results_Long!$U:$U,$F9)="","NA",INDEX(Results_Long!$U:$U,$F9))</f>
        <v>NA</v>
      </c>
      <c r="O9" s="10" t="str">
        <f aca="false">IF(INDEX(Results_Long!$V:$V,$F9)="","NA",INDEX(Results_Long!$V:$V,$F9))</f>
        <v>NA</v>
      </c>
      <c r="P9" s="10" t="n">
        <f aca="false">IF(INDEX(Results_Long!$L:$L,$F9)="","NA",INDEX(Results_Long!$L:$L,$F9))</f>
        <v>0.0188951560152014</v>
      </c>
      <c r="Q9" s="11" t="n">
        <f aca="false">IF(INDEX(Results_Long!$M:$M,$F9)="","NA",INDEX(Results_Long!$M:$M,$F9))</f>
        <v>-1.76398837169937</v>
      </c>
      <c r="R9" s="12" t="n">
        <f aca="false">IF(INDEX(Results_Long!$N:$N,$F9)="","NA",INDEX(Results_Long!$N:$N,$F9))</f>
        <v>9.56440894453075</v>
      </c>
      <c r="S9" s="10" t="n">
        <f aca="false">IF(INDEX(Results_Long!$O:$O,$F9)="","NA",INDEX(Results_Long!$O:$O,$F9))</f>
        <v>0.109579111797793</v>
      </c>
      <c r="T9" s="6" t="str">
        <f aca="false">IF(INDEX(Results_Long!$AG:$AG,$F9)="","NA",INDEX(Results_Long!$AG:$AG,$F9))</f>
        <v>NA</v>
      </c>
      <c r="U9" s="5" t="str">
        <f aca="false">IF(INDEX(Results_Long!$AJ:$AJ,$F9)="","NA",INDEX(Results_Long!$AJ:$AJ,$F9))</f>
        <v>rma.mv mods=~ 0 + pp_cell (break 2011, cell-means); random ~1|cluster_id/study/esid; V blocks within cluster_id, rho=0.6; CR2/Satterthwaite on cluster_id [D31.1/A.2]; domain period domain 2705/113/112; post cell: 2077 ES / 93 studies / 92 clusters; rule: share_2011 &gt;= 0.5, ties to Post [F60/DEC-024]; candidate year of the sup-break grid [DEC-045/H-Q6]; difference of Fisher-z means</v>
      </c>
      <c r="V9" s="18" t="n">
        <v>2011</v>
      </c>
      <c r="W9" s="19" t="n">
        <f aca="false">IF($Q9="NA","NA",ABS($Q9))</f>
        <v>1.76398837169937</v>
      </c>
    </row>
    <row r="10" customFormat="false" ht="68.65" hidden="false" customHeight="false" outlineLevel="0" collapsed="false">
      <c r="A10" s="6" t="s">
        <v>234</v>
      </c>
      <c r="B10" s="7" t="s">
        <v>225</v>
      </c>
      <c r="C10" s="7" t="s">
        <v>235</v>
      </c>
      <c r="D10" s="7" t="s">
        <v>184</v>
      </c>
      <c r="E10" s="7" t="s">
        <v>227</v>
      </c>
      <c r="F10" s="8" t="n">
        <f aca="false">SUMPRODUCT((Results_Long!$A$2:$A$178=$B10)*(Results_Long!$B$2:$B$178=$C10)*(Results_Long!$C$2:$C$178=$D10)*(Results_Long!$D$2:$D$178=$E10)*ROW(Results_Long!$A$2:$A$178))</f>
        <v>16</v>
      </c>
      <c r="G10" s="9" t="n">
        <f aca="false">IF(INDEX(Results_Long!$H:$H,$F10)="","NA",INDEX(Results_Long!$H:$H,$F10))</f>
        <v>2705</v>
      </c>
      <c r="H10" s="9" t="n">
        <f aca="false">IF(INDEX(Results_Long!$I:$I,$F10)="","NA",INDEX(Results_Long!$I:$I,$F10))</f>
        <v>113</v>
      </c>
      <c r="I10" s="9" t="n">
        <f aca="false">IF(INDEX(Results_Long!$J:$J,$F10)="","NA",INDEX(Results_Long!$J:$J,$F10))</f>
        <v>112</v>
      </c>
      <c r="J10" s="10" t="n">
        <f aca="false">IF(INDEX(Results_Long!$K:$K,$F10)="","NA",INDEX(Results_Long!$K:$K,$F10))</f>
        <v>-0.000946434333391567</v>
      </c>
      <c r="K10" s="10" t="n">
        <f aca="false">IF(INDEX(Results_Long!$P:$P,$F10)="","NA",INDEX(Results_Long!$P:$P,$F10))</f>
        <v>-0.0383875157720026</v>
      </c>
      <c r="L10" s="10" t="n">
        <f aca="false">IF(INDEX(Results_Long!$Q:$Q,$F10)="","NA",INDEX(Results_Long!$Q:$Q,$F10))</f>
        <v>0.0364946471052195</v>
      </c>
      <c r="M10" s="10" t="str">
        <f aca="false">IF(INDEX(Results_Long!$T:$T,$F10)="","NA",INDEX(Results_Long!$T:$T,$F10))</f>
        <v>NA</v>
      </c>
      <c r="N10" s="10" t="str">
        <f aca="false">IF(INDEX(Results_Long!$U:$U,$F10)="","NA",INDEX(Results_Long!$U:$U,$F10))</f>
        <v>NA</v>
      </c>
      <c r="O10" s="10" t="str">
        <f aca="false">IF(INDEX(Results_Long!$V:$V,$F10)="","NA",INDEX(Results_Long!$V:$V,$F10))</f>
        <v>NA</v>
      </c>
      <c r="P10" s="10" t="n">
        <f aca="false">IF(INDEX(Results_Long!$L:$L,$F10)="","NA",INDEX(Results_Long!$L:$L,$F10))</f>
        <v>0.0171286747828481</v>
      </c>
      <c r="Q10" s="11" t="n">
        <f aca="false">IF(INDEX(Results_Long!$M:$M,$F10)="","NA",INDEX(Results_Long!$M:$M,$F10))</f>
        <v>-0.0552543816372346</v>
      </c>
      <c r="R10" s="12" t="n">
        <f aca="false">IF(INDEX(Results_Long!$N:$N,$F10)="","NA",INDEX(Results_Long!$N:$N,$F10))</f>
        <v>11.6604045607698</v>
      </c>
      <c r="S10" s="10" t="n">
        <f aca="false">IF(INDEX(Results_Long!$O:$O,$F10)="","NA",INDEX(Results_Long!$O:$O,$F10))</f>
        <v>0.956871244691957</v>
      </c>
      <c r="T10" s="6" t="str">
        <f aca="false">IF(INDEX(Results_Long!$AG:$AG,$F10)="","NA",INDEX(Results_Long!$AG:$AG,$F10))</f>
        <v>NA</v>
      </c>
      <c r="U10" s="5" t="str">
        <f aca="false">IF(INDEX(Results_Long!$AJ:$AJ,$F10)="","NA",INDEX(Results_Long!$AJ:$AJ,$F10))</f>
        <v>rma.mv mods=~ 0 + pp_cell (break 2012, cell-means); random ~1|cluster_id/study/esid; V blocks within cluster_id, rho=0.6; CR2/Satterthwaite on cluster_id [D31.1/A.2]; domain period domain 2705/113/112; post cell: 1769 ES / 82 studies / 81 clusters; rule: share_2012 &gt;= 0.5, ties to Post [F60/DEC-024]; candidate year of the sup-break grid [DEC-045/H-Q6]; difference of Fisher-z means</v>
      </c>
      <c r="V10" s="18" t="n">
        <v>2012</v>
      </c>
      <c r="W10" s="19" t="n">
        <f aca="false">IF($Q10="NA","NA",ABS($Q10))</f>
        <v>0.0552543816372346</v>
      </c>
    </row>
    <row r="11" customFormat="false" ht="68.65" hidden="false" customHeight="false" outlineLevel="0" collapsed="false">
      <c r="A11" s="6" t="s">
        <v>236</v>
      </c>
      <c r="B11" s="7" t="s">
        <v>225</v>
      </c>
      <c r="C11" s="7" t="s">
        <v>237</v>
      </c>
      <c r="D11" s="7" t="s">
        <v>184</v>
      </c>
      <c r="E11" s="7" t="s">
        <v>227</v>
      </c>
      <c r="F11" s="8" t="n">
        <f aca="false">SUMPRODUCT((Results_Long!$A$2:$A$178=$B11)*(Results_Long!$B$2:$B$178=$C11)*(Results_Long!$C$2:$C$178=$D11)*(Results_Long!$D$2:$D$178=$E11)*ROW(Results_Long!$A$2:$A$178))</f>
        <v>17</v>
      </c>
      <c r="G11" s="9" t="n">
        <f aca="false">IF(INDEX(Results_Long!$H:$H,$F11)="","NA",INDEX(Results_Long!$H:$H,$F11))</f>
        <v>2705</v>
      </c>
      <c r="H11" s="9" t="n">
        <f aca="false">IF(INDEX(Results_Long!$I:$I,$F11)="","NA",INDEX(Results_Long!$I:$I,$F11))</f>
        <v>113</v>
      </c>
      <c r="I11" s="9" t="n">
        <f aca="false">IF(INDEX(Results_Long!$J:$J,$F11)="","NA",INDEX(Results_Long!$J:$J,$F11))</f>
        <v>112</v>
      </c>
      <c r="J11" s="10" t="n">
        <f aca="false">IF(INDEX(Results_Long!$K:$K,$F11)="","NA",INDEX(Results_Long!$K:$K,$F11))</f>
        <v>0.025954304620495</v>
      </c>
      <c r="K11" s="10" t="n">
        <f aca="false">IF(INDEX(Results_Long!$P:$P,$F11)="","NA",INDEX(Results_Long!$P:$P,$F11))</f>
        <v>-0.0202029888333669</v>
      </c>
      <c r="L11" s="10" t="n">
        <f aca="false">IF(INDEX(Results_Long!$Q:$Q,$F11)="","NA",INDEX(Results_Long!$Q:$Q,$F11))</f>
        <v>0.0721115980743568</v>
      </c>
      <c r="M11" s="10" t="str">
        <f aca="false">IF(INDEX(Results_Long!$T:$T,$F11)="","NA",INDEX(Results_Long!$T:$T,$F11))</f>
        <v>NA</v>
      </c>
      <c r="N11" s="10" t="str">
        <f aca="false">IF(INDEX(Results_Long!$U:$U,$F11)="","NA",INDEX(Results_Long!$U:$U,$F11))</f>
        <v>NA</v>
      </c>
      <c r="O11" s="10" t="str">
        <f aca="false">IF(INDEX(Results_Long!$V:$V,$F11)="","NA",INDEX(Results_Long!$V:$V,$F11))</f>
        <v>NA</v>
      </c>
      <c r="P11" s="10" t="n">
        <f aca="false">IF(INDEX(Results_Long!$L:$L,$F11)="","NA",INDEX(Results_Long!$L:$L,$F11))</f>
        <v>0.0215606167029519</v>
      </c>
      <c r="Q11" s="11" t="n">
        <f aca="false">IF(INDEX(Results_Long!$M:$M,$F11)="","NA",INDEX(Results_Long!$M:$M,$F11))</f>
        <v>1.20378303543338</v>
      </c>
      <c r="R11" s="12" t="n">
        <f aca="false">IF(INDEX(Results_Long!$N:$N,$F11)="","NA",INDEX(Results_Long!$N:$N,$F11))</f>
        <v>14.2823897191898</v>
      </c>
      <c r="S11" s="10" t="n">
        <f aca="false">IF(INDEX(Results_Long!$O:$O,$F11)="","NA",INDEX(Results_Long!$O:$O,$F11))</f>
        <v>0.24824615664966</v>
      </c>
      <c r="T11" s="6" t="str">
        <f aca="false">IF(INDEX(Results_Long!$AG:$AG,$F11)="","NA",INDEX(Results_Long!$AG:$AG,$F11))</f>
        <v>NA</v>
      </c>
      <c r="U11" s="5" t="str">
        <f aca="false">IF(INDEX(Results_Long!$AJ:$AJ,$F11)="","NA",INDEX(Results_Long!$AJ:$AJ,$F11))</f>
        <v>rma.mv mods=~ 0 + pp_cell (break 2013, cell-means); random ~1|cluster_id/study/esid; V blocks within cluster_id, rho=0.6; CR2/Satterthwaite on cluster_id [D31.1/A.2]; domain period domain 2705/113/112; post cell: 1486 ES / 69 studies / 69 clusters; rule: share_2013 &gt;= 0.5, ties to Post [F60/DEC-024]; candidate year of the sup-break grid [DEC-045/H-Q6]; difference of Fisher-z means</v>
      </c>
      <c r="V11" s="18" t="n">
        <v>2013</v>
      </c>
      <c r="W11" s="19" t="n">
        <f aca="false">IF($Q11="NA","NA",ABS($Q11))</f>
        <v>1.20378303543338</v>
      </c>
    </row>
    <row r="12" customFormat="false" ht="68.65" hidden="false" customHeight="false" outlineLevel="0" collapsed="false">
      <c r="A12" s="6" t="s">
        <v>238</v>
      </c>
      <c r="B12" s="7" t="s">
        <v>225</v>
      </c>
      <c r="C12" s="7" t="s">
        <v>239</v>
      </c>
      <c r="D12" s="7" t="s">
        <v>184</v>
      </c>
      <c r="E12" s="7" t="s">
        <v>227</v>
      </c>
      <c r="F12" s="8" t="n">
        <f aca="false">SUMPRODUCT((Results_Long!$A$2:$A$178=$B12)*(Results_Long!$B$2:$B$178=$C12)*(Results_Long!$C$2:$C$178=$D12)*(Results_Long!$D$2:$D$178=$E12)*ROW(Results_Long!$A$2:$A$178))</f>
        <v>18</v>
      </c>
      <c r="G12" s="9" t="n">
        <f aca="false">IF(INDEX(Results_Long!$H:$H,$F12)="","NA",INDEX(Results_Long!$H:$H,$F12))</f>
        <v>2705</v>
      </c>
      <c r="H12" s="9" t="n">
        <f aca="false">IF(INDEX(Results_Long!$I:$I,$F12)="","NA",INDEX(Results_Long!$I:$I,$F12))</f>
        <v>113</v>
      </c>
      <c r="I12" s="9" t="n">
        <f aca="false">IF(INDEX(Results_Long!$J:$J,$F12)="","NA",INDEX(Results_Long!$J:$J,$F12))</f>
        <v>112</v>
      </c>
      <c r="J12" s="10" t="n">
        <f aca="false">IF(INDEX(Results_Long!$K:$K,$F12)="","NA",INDEX(Results_Long!$K:$K,$F12))</f>
        <v>0.0231494455037478</v>
      </c>
      <c r="K12" s="10" t="n">
        <f aca="false">IF(INDEX(Results_Long!$P:$P,$F12)="","NA",INDEX(Results_Long!$P:$P,$F12))</f>
        <v>-0.0240373982166141</v>
      </c>
      <c r="L12" s="10" t="n">
        <f aca="false">IF(INDEX(Results_Long!$Q:$Q,$F12)="","NA",INDEX(Results_Long!$Q:$Q,$F12))</f>
        <v>0.0703362892241096</v>
      </c>
      <c r="M12" s="10" t="str">
        <f aca="false">IF(INDEX(Results_Long!$T:$T,$F12)="","NA",INDEX(Results_Long!$T:$T,$F12))</f>
        <v>NA</v>
      </c>
      <c r="N12" s="10" t="str">
        <f aca="false">IF(INDEX(Results_Long!$U:$U,$F12)="","NA",INDEX(Results_Long!$U:$U,$F12))</f>
        <v>NA</v>
      </c>
      <c r="O12" s="10" t="str">
        <f aca="false">IF(INDEX(Results_Long!$V:$V,$F12)="","NA",INDEX(Results_Long!$V:$V,$F12))</f>
        <v>NA</v>
      </c>
      <c r="P12" s="10" t="n">
        <f aca="false">IF(INDEX(Results_Long!$L:$L,$F12)="","NA",INDEX(Results_Long!$L:$L,$F12))</f>
        <v>0.0227860926301075</v>
      </c>
      <c r="Q12" s="11" t="n">
        <f aca="false">IF(INDEX(Results_Long!$M:$M,$F12)="","NA",INDEX(Results_Long!$M:$M,$F12))</f>
        <v>1.01594625632129</v>
      </c>
      <c r="R12" s="12" t="n">
        <f aca="false">IF(INDEX(Results_Long!$N:$N,$F12)="","NA",INDEX(Results_Long!$N:$N,$F12))</f>
        <v>22.5659487547742</v>
      </c>
      <c r="S12" s="10" t="n">
        <f aca="false">IF(INDEX(Results_Long!$O:$O,$F12)="","NA",INDEX(Results_Long!$O:$O,$F12))</f>
        <v>0.320424655193509</v>
      </c>
      <c r="T12" s="6" t="str">
        <f aca="false">IF(INDEX(Results_Long!$AG:$AG,$F12)="","NA",INDEX(Results_Long!$AG:$AG,$F12))</f>
        <v>NA</v>
      </c>
      <c r="U12" s="5" t="str">
        <f aca="false">IF(INDEX(Results_Long!$AJ:$AJ,$F12)="","NA",INDEX(Results_Long!$AJ:$AJ,$F12))</f>
        <v>rma.mv mods=~ 0 + pp_cell (break 2014, cell-means); random ~1|cluster_id/study/esid; V blocks within cluster_id, rho=0.6; CR2/Satterthwaite on cluster_id [D31.1/A.2]; domain period domain 2705/113/112; post cell: 1269 ES / 55 studies / 55 clusters; rule: share_2014 &gt;= 0.5, ties to Post [F60/DEC-024]; candidate year of the sup-break grid [DEC-045/H-Q6]; difference of Fisher-z means</v>
      </c>
      <c r="V12" s="18" t="n">
        <v>2014</v>
      </c>
      <c r="W12" s="19" t="n">
        <f aca="false">IF($Q12="NA","NA",ABS($Q12))</f>
        <v>1.01594625632129</v>
      </c>
    </row>
    <row r="13" customFormat="false" ht="68.65" hidden="false" customHeight="false" outlineLevel="0" collapsed="false">
      <c r="A13" s="6" t="s">
        <v>240</v>
      </c>
      <c r="B13" s="7" t="s">
        <v>225</v>
      </c>
      <c r="C13" s="7" t="s">
        <v>241</v>
      </c>
      <c r="D13" s="7" t="s">
        <v>184</v>
      </c>
      <c r="E13" s="7" t="s">
        <v>227</v>
      </c>
      <c r="F13" s="8" t="n">
        <f aca="false">SUMPRODUCT((Results_Long!$A$2:$A$178=$B13)*(Results_Long!$B$2:$B$178=$C13)*(Results_Long!$C$2:$C$178=$D13)*(Results_Long!$D$2:$D$178=$E13)*ROW(Results_Long!$A$2:$A$178))</f>
        <v>19</v>
      </c>
      <c r="G13" s="9" t="n">
        <f aca="false">IF(INDEX(Results_Long!$H:$H,$F13)="","NA",INDEX(Results_Long!$H:$H,$F13))</f>
        <v>2705</v>
      </c>
      <c r="H13" s="9" t="n">
        <f aca="false">IF(INDEX(Results_Long!$I:$I,$F13)="","NA",INDEX(Results_Long!$I:$I,$F13))</f>
        <v>113</v>
      </c>
      <c r="I13" s="9" t="n">
        <f aca="false">IF(INDEX(Results_Long!$J:$J,$F13)="","NA",INDEX(Results_Long!$J:$J,$F13))</f>
        <v>112</v>
      </c>
      <c r="J13" s="10" t="n">
        <f aca="false">IF(INDEX(Results_Long!$K:$K,$F13)="","NA",INDEX(Results_Long!$K:$K,$F13))</f>
        <v>0.00237986463780539</v>
      </c>
      <c r="K13" s="10" t="n">
        <f aca="false">IF(INDEX(Results_Long!$P:$P,$F13)="","NA",INDEX(Results_Long!$P:$P,$F13))</f>
        <v>-0.0402901363033214</v>
      </c>
      <c r="L13" s="10" t="n">
        <f aca="false">IF(INDEX(Results_Long!$Q:$Q,$F13)="","NA",INDEX(Results_Long!$Q:$Q,$F13))</f>
        <v>0.0450498655789322</v>
      </c>
      <c r="M13" s="10" t="str">
        <f aca="false">IF(INDEX(Results_Long!$T:$T,$F13)="","NA",INDEX(Results_Long!$T:$T,$F13))</f>
        <v>NA</v>
      </c>
      <c r="N13" s="10" t="str">
        <f aca="false">IF(INDEX(Results_Long!$U:$U,$F13)="","NA",INDEX(Results_Long!$U:$U,$F13))</f>
        <v>NA</v>
      </c>
      <c r="O13" s="10" t="str">
        <f aca="false">IF(INDEX(Results_Long!$V:$V,$F13)="","NA",INDEX(Results_Long!$V:$V,$F13))</f>
        <v>NA</v>
      </c>
      <c r="P13" s="10" t="n">
        <f aca="false">IF(INDEX(Results_Long!$L:$L,$F13)="","NA",INDEX(Results_Long!$L:$L,$F13))</f>
        <v>0.0203234412625793</v>
      </c>
      <c r="Q13" s="11" t="n">
        <f aca="false">IF(INDEX(Results_Long!$M:$M,$F13)="","NA",INDEX(Results_Long!$M:$M,$F13))</f>
        <v>0.117099491521022</v>
      </c>
      <c r="R13" s="12" t="n">
        <f aca="false">IF(INDEX(Results_Long!$N:$N,$F13)="","NA",INDEX(Results_Long!$N:$N,$F13))</f>
        <v>18.1660874811074</v>
      </c>
      <c r="S13" s="10" t="n">
        <f aca="false">IF(INDEX(Results_Long!$O:$O,$F13)="","NA",INDEX(Results_Long!$O:$O,$F13))</f>
        <v>0.908066151863356</v>
      </c>
      <c r="T13" s="6" t="str">
        <f aca="false">IF(INDEX(Results_Long!$AG:$AG,$F13)="","NA",INDEX(Results_Long!$AG:$AG,$F13))</f>
        <v>NA</v>
      </c>
      <c r="U13" s="5" t="str">
        <f aca="false">IF(INDEX(Results_Long!$AJ:$AJ,$F13)="","NA",INDEX(Results_Long!$AJ:$AJ,$F13))</f>
        <v>rma.mv mods=~ 0 + pp_cell (break 2015, cell-means); random ~1|cluster_id/study/esid; V blocks within cluster_id, rho=0.6; CR2/Satterthwaite on cluster_id [D31.1/A.2]; domain period domain 2705/113/112; post cell: 784 ES / 38 studies / 38 clusters; rule: share_2015 &gt;= 0.5, ties to Post [F60/DEC-024]; candidate year of the sup-break grid [DEC-045/H-Q6]; difference of Fisher-z means</v>
      </c>
      <c r="V13" s="18" t="n">
        <v>2015</v>
      </c>
      <c r="W13" s="19" t="n">
        <f aca="false">IF($Q13="NA","NA",ABS($Q13))</f>
        <v>0.117099491521022</v>
      </c>
    </row>
    <row r="14" customFormat="false" ht="68.65" hidden="false" customHeight="false" outlineLevel="0" collapsed="false">
      <c r="A14" s="6" t="s">
        <v>242</v>
      </c>
      <c r="B14" s="7" t="s">
        <v>225</v>
      </c>
      <c r="C14" s="7" t="s">
        <v>243</v>
      </c>
      <c r="D14" s="7" t="s">
        <v>184</v>
      </c>
      <c r="E14" s="7" t="s">
        <v>227</v>
      </c>
      <c r="F14" s="8" t="n">
        <f aca="false">SUMPRODUCT((Results_Long!$A$2:$A$178=$B14)*(Results_Long!$B$2:$B$178=$C14)*(Results_Long!$C$2:$C$178=$D14)*(Results_Long!$D$2:$D$178=$E14)*ROW(Results_Long!$A$2:$A$178))</f>
        <v>20</v>
      </c>
      <c r="G14" s="9" t="n">
        <f aca="false">IF(INDEX(Results_Long!$H:$H,$F14)="","NA",INDEX(Results_Long!$H:$H,$F14))</f>
        <v>2705</v>
      </c>
      <c r="H14" s="9" t="n">
        <f aca="false">IF(INDEX(Results_Long!$I:$I,$F14)="","NA",INDEX(Results_Long!$I:$I,$F14))</f>
        <v>113</v>
      </c>
      <c r="I14" s="9" t="n">
        <f aca="false">IF(INDEX(Results_Long!$J:$J,$F14)="","NA",INDEX(Results_Long!$J:$J,$F14))</f>
        <v>112</v>
      </c>
      <c r="J14" s="10" t="n">
        <f aca="false">IF(INDEX(Results_Long!$K:$K,$F14)="","NA",INDEX(Results_Long!$K:$K,$F14))</f>
        <v>0.0101759067104026</v>
      </c>
      <c r="K14" s="10" t="n">
        <f aca="false">IF(INDEX(Results_Long!$P:$P,$F14)="","NA",INDEX(Results_Long!$P:$P,$F14))</f>
        <v>-0.0284206311144901</v>
      </c>
      <c r="L14" s="10" t="n">
        <f aca="false">IF(INDEX(Results_Long!$Q:$Q,$F14)="","NA",INDEX(Results_Long!$Q:$Q,$F14))</f>
        <v>0.0487724445352953</v>
      </c>
      <c r="M14" s="10" t="str">
        <f aca="false">IF(INDEX(Results_Long!$T:$T,$F14)="","NA",INDEX(Results_Long!$T:$T,$F14))</f>
        <v>NA</v>
      </c>
      <c r="N14" s="10" t="str">
        <f aca="false">IF(INDEX(Results_Long!$U:$U,$F14)="","NA",INDEX(Results_Long!$U:$U,$F14))</f>
        <v>NA</v>
      </c>
      <c r="O14" s="10" t="str">
        <f aca="false">IF(INDEX(Results_Long!$V:$V,$F14)="","NA",INDEX(Results_Long!$V:$V,$F14))</f>
        <v>NA</v>
      </c>
      <c r="P14" s="10" t="n">
        <f aca="false">IF(INDEX(Results_Long!$L:$L,$F14)="","NA",INDEX(Results_Long!$L:$L,$F14))</f>
        <v>0.0181072824212575</v>
      </c>
      <c r="Q14" s="11" t="n">
        <f aca="false">IF(INDEX(Results_Long!$M:$M,$F14)="","NA",INDEX(Results_Long!$M:$M,$F14))</f>
        <v>0.561978682038798</v>
      </c>
      <c r="R14" s="12" t="n">
        <f aca="false">IF(INDEX(Results_Long!$N:$N,$F14)="","NA",INDEX(Results_Long!$N:$N,$F14))</f>
        <v>14.9920663728925</v>
      </c>
      <c r="S14" s="10" t="n">
        <f aca="false">IF(INDEX(Results_Long!$O:$O,$F14)="","NA",INDEX(Results_Long!$O:$O,$F14))</f>
        <v>0.582435725630516</v>
      </c>
      <c r="T14" s="6" t="str">
        <f aca="false">IF(INDEX(Results_Long!$AG:$AG,$F14)="","NA",INDEX(Results_Long!$AG:$AG,$F14))</f>
        <v>NA</v>
      </c>
      <c r="U14" s="5" t="str">
        <f aca="false">IF(INDEX(Results_Long!$AJ:$AJ,$F14)="","NA",INDEX(Results_Long!$AJ:$AJ,$F14))</f>
        <v>rma.mv mods=~ 0 + pp_cell (break 2016, cell-means); random ~1|cluster_id/study/esid; V blocks within cluster_id, rho=0.6; CR2/Satterthwaite on cluster_id [D31.1/A.2]; domain period domain 2705/113/112; post cell: 711 ES / 31 studies / 31 clusters; rule: share_2016 &gt;= 0.5, ties to Post [F60/DEC-024]; candidate year of the sup-break grid [DEC-045/H-Q6]; difference of Fisher-z means</v>
      </c>
      <c r="V14" s="18" t="n">
        <v>2016</v>
      </c>
      <c r="W14" s="19" t="n">
        <f aca="false">IF($Q14="NA","NA",ABS($Q14))</f>
        <v>0.561978682038798</v>
      </c>
    </row>
    <row r="15" customFormat="false" ht="68.65" hidden="false" customHeight="false" outlineLevel="0" collapsed="false">
      <c r="A15" s="6" t="s">
        <v>244</v>
      </c>
      <c r="B15" s="7" t="s">
        <v>225</v>
      </c>
      <c r="C15" s="7" t="s">
        <v>245</v>
      </c>
      <c r="D15" s="7" t="s">
        <v>184</v>
      </c>
      <c r="E15" s="7" t="s">
        <v>227</v>
      </c>
      <c r="F15" s="8" t="n">
        <f aca="false">SUMPRODUCT((Results_Long!$A$2:$A$178=$B15)*(Results_Long!$B$2:$B$178=$C15)*(Results_Long!$C$2:$C$178=$D15)*(Results_Long!$D$2:$D$178=$E15)*ROW(Results_Long!$A$2:$A$178))</f>
        <v>21</v>
      </c>
      <c r="G15" s="9" t="n">
        <f aca="false">IF(INDEX(Results_Long!$H:$H,$F15)="","NA",INDEX(Results_Long!$H:$H,$F15))</f>
        <v>2705</v>
      </c>
      <c r="H15" s="9" t="n">
        <f aca="false">IF(INDEX(Results_Long!$I:$I,$F15)="","NA",INDEX(Results_Long!$I:$I,$F15))</f>
        <v>113</v>
      </c>
      <c r="I15" s="9" t="n">
        <f aca="false">IF(INDEX(Results_Long!$J:$J,$F15)="","NA",INDEX(Results_Long!$J:$J,$F15))</f>
        <v>112</v>
      </c>
      <c r="J15" s="10" t="n">
        <f aca="false">IF(INDEX(Results_Long!$K:$K,$F15)="","NA",INDEX(Results_Long!$K:$K,$F15))</f>
        <v>0.00803406938025233</v>
      </c>
      <c r="K15" s="10" t="n">
        <f aca="false">IF(INDEX(Results_Long!$P:$P,$F15)="","NA",INDEX(Results_Long!$P:$P,$F15))</f>
        <v>-0.0316498941585884</v>
      </c>
      <c r="L15" s="10" t="n">
        <f aca="false">IF(INDEX(Results_Long!$Q:$Q,$F15)="","NA",INDEX(Results_Long!$Q:$Q,$F15))</f>
        <v>0.0477180329190931</v>
      </c>
      <c r="M15" s="10" t="str">
        <f aca="false">IF(INDEX(Results_Long!$T:$T,$F15)="","NA",INDEX(Results_Long!$T:$T,$F15))</f>
        <v>NA</v>
      </c>
      <c r="N15" s="10" t="str">
        <f aca="false">IF(INDEX(Results_Long!$U:$U,$F15)="","NA",INDEX(Results_Long!$U:$U,$F15))</f>
        <v>NA</v>
      </c>
      <c r="O15" s="10" t="str">
        <f aca="false">IF(INDEX(Results_Long!$V:$V,$F15)="","NA",INDEX(Results_Long!$V:$V,$F15))</f>
        <v>NA</v>
      </c>
      <c r="P15" s="10" t="n">
        <f aca="false">IF(INDEX(Results_Long!$L:$L,$F15)="","NA",INDEX(Results_Long!$L:$L,$F15))</f>
        <v>0.01800013275341</v>
      </c>
      <c r="Q15" s="11" t="n">
        <f aca="false">IF(INDEX(Results_Long!$M:$M,$F15)="","NA",INDEX(Results_Long!$M:$M,$F15))</f>
        <v>0.446333895994757</v>
      </c>
      <c r="R15" s="12" t="n">
        <f aca="false">IF(INDEX(Results_Long!$N:$N,$F15)="","NA",INDEX(Results_Long!$N:$N,$F15))</f>
        <v>10.8521828308988</v>
      </c>
      <c r="S15" s="10" t="n">
        <f aca="false">IF(INDEX(Results_Long!$O:$O,$F15)="","NA",INDEX(Results_Long!$O:$O,$F15))</f>
        <v>0.664130799693444</v>
      </c>
      <c r="T15" s="6" t="str">
        <f aca="false">IF(INDEX(Results_Long!$AG:$AG,$F15)="","NA",INDEX(Results_Long!$AG:$AG,$F15))</f>
        <v>NA</v>
      </c>
      <c r="U15" s="5" t="str">
        <f aca="false">IF(INDEX(Results_Long!$AJ:$AJ,$F15)="","NA",INDEX(Results_Long!$AJ:$AJ,$F15))</f>
        <v>rma.mv mods=~ 0 + pp_cell (break 2017, cell-means); random ~1|cluster_id/study/esid; V blocks within cluster_id, rho=0.6; CR2/Satterthwaite on cluster_id [D31.1/A.2]; domain period domain 2705/113/112; post cell: 623 ES / 23 studies / 23 clusters; rule: share_2017 &gt;= 0.5, ties to Post [F60/DEC-024]; candidate year of the sup-break grid [DEC-045/H-Q6]; difference of Fisher-z means</v>
      </c>
      <c r="V15" s="18" t="n">
        <v>2017</v>
      </c>
      <c r="W15" s="19" t="n">
        <f aca="false">IF($Q15="NA","NA",ABS($Q15))</f>
        <v>0.446333895994757</v>
      </c>
    </row>
    <row r="16" customFormat="false" ht="68.65" hidden="false" customHeight="false" outlineLevel="0" collapsed="false">
      <c r="A16" s="6" t="s">
        <v>246</v>
      </c>
      <c r="B16" s="7" t="s">
        <v>225</v>
      </c>
      <c r="C16" s="7" t="s">
        <v>247</v>
      </c>
      <c r="D16" s="7" t="s">
        <v>184</v>
      </c>
      <c r="E16" s="7" t="s">
        <v>227</v>
      </c>
      <c r="F16" s="8" t="n">
        <f aca="false">SUMPRODUCT((Results_Long!$A$2:$A$178=$B16)*(Results_Long!$B$2:$B$178=$C16)*(Results_Long!$C$2:$C$178=$D16)*(Results_Long!$D$2:$D$178=$E16)*ROW(Results_Long!$A$2:$A$178))</f>
        <v>22</v>
      </c>
      <c r="G16" s="9" t="n">
        <f aca="false">IF(INDEX(Results_Long!$H:$H,$F16)="","NA",INDEX(Results_Long!$H:$H,$F16))</f>
        <v>2705</v>
      </c>
      <c r="H16" s="9" t="n">
        <f aca="false">IF(INDEX(Results_Long!$I:$I,$F16)="","NA",INDEX(Results_Long!$I:$I,$F16))</f>
        <v>113</v>
      </c>
      <c r="I16" s="9" t="n">
        <f aca="false">IF(INDEX(Results_Long!$J:$J,$F16)="","NA",INDEX(Results_Long!$J:$J,$F16))</f>
        <v>112</v>
      </c>
      <c r="J16" s="10" t="n">
        <f aca="false">IF(INDEX(Results_Long!$K:$K,$F16)="","NA",INDEX(Results_Long!$K:$K,$F16))</f>
        <v>0.00312304259512057</v>
      </c>
      <c r="K16" s="10" t="n">
        <f aca="false">IF(INDEX(Results_Long!$P:$P,$F16)="","NA",INDEX(Results_Long!$P:$P,$F16))</f>
        <v>-0.0434597701736126</v>
      </c>
      <c r="L16" s="10" t="n">
        <f aca="false">IF(INDEX(Results_Long!$Q:$Q,$F16)="","NA",INDEX(Results_Long!$Q:$Q,$F16))</f>
        <v>0.0497058553638537</v>
      </c>
      <c r="M16" s="10" t="str">
        <f aca="false">IF(INDEX(Results_Long!$T:$T,$F16)="","NA",INDEX(Results_Long!$T:$T,$F16))</f>
        <v>NA</v>
      </c>
      <c r="N16" s="10" t="str">
        <f aca="false">IF(INDEX(Results_Long!$U:$U,$F16)="","NA",INDEX(Results_Long!$U:$U,$F16))</f>
        <v>NA</v>
      </c>
      <c r="O16" s="10" t="str">
        <f aca="false">IF(INDEX(Results_Long!$V:$V,$F16)="","NA",INDEX(Results_Long!$V:$V,$F16))</f>
        <v>NA</v>
      </c>
      <c r="P16" s="10" t="n">
        <f aca="false">IF(INDEX(Results_Long!$L:$L,$F16)="","NA",INDEX(Results_Long!$L:$L,$F16))</f>
        <v>0.0222382657452244</v>
      </c>
      <c r="Q16" s="11" t="n">
        <f aca="false">IF(INDEX(Results_Long!$M:$M,$F16)="","NA",INDEX(Results_Long!$M:$M,$F16))</f>
        <v>0.140435528152245</v>
      </c>
      <c r="R16" s="12" t="n">
        <f aca="false">IF(INDEX(Results_Long!$N:$N,$F16)="","NA",INDEX(Results_Long!$N:$N,$F16))</f>
        <v>18.7761441211637</v>
      </c>
      <c r="S16" s="10" t="n">
        <f aca="false">IF(INDEX(Results_Long!$O:$O,$F16)="","NA",INDEX(Results_Long!$O:$O,$F16))</f>
        <v>0.889811509138402</v>
      </c>
      <c r="T16" s="6" t="str">
        <f aca="false">IF(INDEX(Results_Long!$AG:$AG,$F16)="","NA",INDEX(Results_Long!$AG:$AG,$F16))</f>
        <v>NA</v>
      </c>
      <c r="U16" s="5" t="str">
        <f aca="false">IF(INDEX(Results_Long!$AJ:$AJ,$F16)="","NA",INDEX(Results_Long!$AJ:$AJ,$F16))</f>
        <v>rma.mv mods=~ 0 + pp_cell (break 2018, cell-means); random ~1|cluster_id/study/esid; V blocks within cluster_id, rho=0.6; CR2/Satterthwaite on cluster_id [D31.1/A.2]; domain period domain 2705/113/112; post cell: 506 ES / 15 studies / 15 clusters; rule: share_2018 &gt;= 0.5, ties to Post [F60/DEC-024]; candidate year of the sup-break grid [DEC-045/H-Q6]; difference of Fisher-z means</v>
      </c>
      <c r="V16" s="18" t="n">
        <v>2018</v>
      </c>
      <c r="W16" s="19" t="n">
        <f aca="false">IF($Q16="NA","NA",ABS($Q16))</f>
        <v>0.140435528152245</v>
      </c>
    </row>
    <row r="17" customFormat="false" ht="68.65" hidden="false" customHeight="false" outlineLevel="0" collapsed="false">
      <c r="A17" s="6" t="s">
        <v>248</v>
      </c>
      <c r="B17" s="7" t="s">
        <v>225</v>
      </c>
      <c r="C17" s="7" t="s">
        <v>249</v>
      </c>
      <c r="D17" s="7" t="s">
        <v>184</v>
      </c>
      <c r="E17" s="7" t="s">
        <v>227</v>
      </c>
      <c r="F17" s="8" t="n">
        <f aca="false">SUMPRODUCT((Results_Long!$A$2:$A$178=$B17)*(Results_Long!$B$2:$B$178=$C17)*(Results_Long!$C$2:$C$178=$D17)*(Results_Long!$D$2:$D$178=$E17)*ROW(Results_Long!$A$2:$A$178))</f>
        <v>23</v>
      </c>
      <c r="G17" s="9" t="n">
        <f aca="false">IF(INDEX(Results_Long!$H:$H,$F17)="","NA",INDEX(Results_Long!$H:$H,$F17))</f>
        <v>2705</v>
      </c>
      <c r="H17" s="9" t="n">
        <f aca="false">IF(INDEX(Results_Long!$I:$I,$F17)="","NA",INDEX(Results_Long!$I:$I,$F17))</f>
        <v>113</v>
      </c>
      <c r="I17" s="9" t="n">
        <f aca="false">IF(INDEX(Results_Long!$J:$J,$F17)="","NA",INDEX(Results_Long!$J:$J,$F17))</f>
        <v>112</v>
      </c>
      <c r="J17" s="10" t="n">
        <f aca="false">IF(INDEX(Results_Long!$K:$K,$F17)="","NA",INDEX(Results_Long!$K:$K,$F17))</f>
        <v>0.0042056665621965</v>
      </c>
      <c r="K17" s="10" t="n">
        <f aca="false">IF(INDEX(Results_Long!$P:$P,$F17)="","NA",INDEX(Results_Long!$P:$P,$F17))</f>
        <v>-0.0442369541248785</v>
      </c>
      <c r="L17" s="10" t="n">
        <f aca="false">IF(INDEX(Results_Long!$Q:$Q,$F17)="","NA",INDEX(Results_Long!$Q:$Q,$F17))</f>
        <v>0.0526482872492715</v>
      </c>
      <c r="M17" s="10" t="str">
        <f aca="false">IF(INDEX(Results_Long!$T:$T,$F17)="","NA",INDEX(Results_Long!$T:$T,$F17))</f>
        <v>NA</v>
      </c>
      <c r="N17" s="10" t="str">
        <f aca="false">IF(INDEX(Results_Long!$U:$U,$F17)="","NA",INDEX(Results_Long!$U:$U,$F17))</f>
        <v>NA</v>
      </c>
      <c r="O17" s="10" t="str">
        <f aca="false">IF(INDEX(Results_Long!$V:$V,$F17)="","NA",INDEX(Results_Long!$V:$V,$F17))</f>
        <v>NA</v>
      </c>
      <c r="P17" s="10" t="n">
        <f aca="false">IF(INDEX(Results_Long!$L:$L,$F17)="","NA",INDEX(Results_Long!$L:$L,$F17))</f>
        <v>0.0227844543571598</v>
      </c>
      <c r="Q17" s="11" t="n">
        <f aca="false">IF(INDEX(Results_Long!$M:$M,$F17)="","NA",INDEX(Results_Long!$M:$M,$F17))</f>
        <v>0.184584914620741</v>
      </c>
      <c r="R17" s="12" t="n">
        <f aca="false">IF(INDEX(Results_Long!$N:$N,$F17)="","NA",INDEX(Results_Long!$N:$N,$F17))</f>
        <v>15.4439041670781</v>
      </c>
      <c r="S17" s="10" t="n">
        <f aca="false">IF(INDEX(Results_Long!$O:$O,$F17)="","NA",INDEX(Results_Long!$O:$O,$F17))</f>
        <v>0.855956667967861</v>
      </c>
      <c r="T17" s="6" t="str">
        <f aca="false">IF(INDEX(Results_Long!$AG:$AG,$F17)="","NA",INDEX(Results_Long!$AG:$AG,$F17))</f>
        <v>NA</v>
      </c>
      <c r="U17" s="5" t="str">
        <f aca="false">IF(INDEX(Results_Long!$AJ:$AJ,$F17)="","NA",INDEX(Results_Long!$AJ:$AJ,$F17))</f>
        <v>rma.mv mods=~ 0 + pp_cell (break 2019, cell-means); random ~1|cluster_id/study/esid; V blocks within cluster_id, rho=0.6; CR2/Satterthwaite on cluster_id [D31.1/A.2]; domain period domain 2705/113/112; post cell: 323 ES / 13 studies / 13 clusters; rule: share_2019 &gt;= 0.5, ties to Post [F60/DEC-024]; candidate year of the sup-break grid [DEC-045/H-Q6]; difference of Fisher-z means</v>
      </c>
      <c r="V17" s="18" t="n">
        <v>2019</v>
      </c>
      <c r="W17" s="19" t="n">
        <f aca="false">IF($Q17="NA","NA",ABS($Q17))</f>
        <v>0.184584914620741</v>
      </c>
    </row>
    <row r="18" customFormat="false" ht="91" hidden="false" customHeight="false" outlineLevel="0" collapsed="false">
      <c r="A18" s="6" t="s">
        <v>250</v>
      </c>
      <c r="B18" s="7" t="s">
        <v>225</v>
      </c>
      <c r="C18" s="7" t="s">
        <v>251</v>
      </c>
      <c r="D18" s="7" t="s">
        <v>184</v>
      </c>
      <c r="E18" s="7" t="s">
        <v>252</v>
      </c>
      <c r="F18" s="8" t="n">
        <f aca="false">SUMPRODUCT((Results_Long!$A$2:$A$178=$B18)*(Results_Long!$B$2:$B$178=$C18)*(Results_Long!$C$2:$C$178=$D18)*(Results_Long!$D$2:$D$178=$E18)*ROW(Results_Long!$A$2:$A$178))</f>
        <v>24</v>
      </c>
      <c r="G18" s="9" t="n">
        <f aca="false">IF(INDEX(Results_Long!$H:$H,$F18)="","NA",INDEX(Results_Long!$H:$H,$F18))</f>
        <v>2705</v>
      </c>
      <c r="H18" s="9" t="n">
        <f aca="false">IF(INDEX(Results_Long!$I:$I,$F18)="","NA",INDEX(Results_Long!$I:$I,$F18))</f>
        <v>113</v>
      </c>
      <c r="I18" s="9" t="n">
        <f aca="false">IF(INDEX(Results_Long!$J:$J,$F18)="","NA",INDEX(Results_Long!$J:$J,$F18))</f>
        <v>112</v>
      </c>
      <c r="J18" s="10" t="str">
        <f aca="false">IF(INDEX(Results_Long!$K:$K,$F18)="","NA",INDEX(Results_Long!$K:$K,$F18))</f>
        <v>NA</v>
      </c>
      <c r="K18" s="10" t="str">
        <f aca="false">IF(INDEX(Results_Long!$P:$P,$F18)="","NA",INDEX(Results_Long!$P:$P,$F18))</f>
        <v>NA</v>
      </c>
      <c r="L18" s="10" t="str">
        <f aca="false">IF(INDEX(Results_Long!$Q:$Q,$F18)="","NA",INDEX(Results_Long!$Q:$Q,$F18))</f>
        <v>NA</v>
      </c>
      <c r="M18" s="10" t="str">
        <f aca="false">IF(INDEX(Results_Long!$T:$T,$F18)="","NA",INDEX(Results_Long!$T:$T,$F18))</f>
        <v>NA</v>
      </c>
      <c r="N18" s="10" t="str">
        <f aca="false">IF(INDEX(Results_Long!$U:$U,$F18)="","NA",INDEX(Results_Long!$U:$U,$F18))</f>
        <v>NA</v>
      </c>
      <c r="O18" s="10" t="str">
        <f aca="false">IF(INDEX(Results_Long!$V:$V,$F18)="","NA",INDEX(Results_Long!$V:$V,$F18))</f>
        <v>NA</v>
      </c>
      <c r="P18" s="10" t="str">
        <f aca="false">IF(INDEX(Results_Long!$L:$L,$F18)="","NA",INDEX(Results_Long!$L:$L,$F18))</f>
        <v>NA</v>
      </c>
      <c r="Q18" s="11" t="str">
        <f aca="false">IF(INDEX(Results_Long!$M:$M,$F18)="","NA",INDEX(Results_Long!$M:$M,$F18))</f>
        <v>NA</v>
      </c>
      <c r="R18" s="12" t="str">
        <f aca="false">IF(INDEX(Results_Long!$N:$N,$F18)="","NA",INDEX(Results_Long!$N:$N,$F18))</f>
        <v>NA</v>
      </c>
      <c r="S18" s="10" t="str">
        <f aca="false">IF(INDEX(Results_Long!$O:$O,$F18)="","NA",INDEX(Results_Long!$O:$O,$F18))</f>
        <v>NA</v>
      </c>
      <c r="T18" s="6" t="n">
        <f aca="false">IF(INDEX(Results_Long!$AG:$AG,$F18)="","NA",INDEX(Results_Long!$AG:$AG,$F18))</f>
        <v>2.12253318887389</v>
      </c>
      <c r="U18" s="5" t="str">
        <f aca="false">IF(INDEX(Results_Long!$AJ:$AJ,$F18)="","NA",INDEX(Results_Long!$AJ:$AJ,$F18))</f>
        <v>sup |t| over the ADMISSIBLE candidate years (df &gt;= 5 on the break coefficient [DEC-024 transfer rule / H-Q6]); attained at 2009; admissible set computed ONCE on the observed design and held fixed for the TH-c permutation [H-Q20]; |t| by year: 2008=1.3633(df 14.9), 2009=2.1225(df 6.3), 2010=1.8934(df 6.8), 2011=1.7640(df 9.6), 2012=0.0553(df 11.7), 2013=1.2038(df 14.3), 2014=1.0159(df 22.6), 2015=0.1171(df 18.2), 2016=0.5620(df 15.0), 2017=0.4463(df 10.9), 2018=0.1404(df 18.8), 2019=0.1846(df 15.4); p_perm from TH-c</v>
      </c>
    </row>
    <row r="20" customFormat="false" ht="15" hidden="false" customHeight="false" outlineLevel="0" collapsed="false">
      <c r="U20" s="13" t="s">
        <v>253</v>
      </c>
      <c r="W20" s="20" t="n">
        <f aca="false">MAX($W$6:$W$17)</f>
        <v>2.12253318887389</v>
      </c>
    </row>
    <row r="21" customFormat="false" ht="15" hidden="false" customHeight="false" outlineLevel="0" collapsed="false">
      <c r="U21" s="13" t="s">
        <v>254</v>
      </c>
      <c r="W21" s="21" t="n">
        <f aca="false">INDEX($V$6:$V$17,MATCH($W$20,$W$6:$W$17,0))</f>
        <v>2009</v>
      </c>
    </row>
    <row r="22" customFormat="false" ht="15" hidden="false" customHeight="false" outlineLevel="0" collapsed="false">
      <c r="U22" s="13" t="s">
        <v>255</v>
      </c>
      <c r="W22" s="22" t="n">
        <f aca="false">$T$18-$W$20</f>
        <v>0</v>
      </c>
    </row>
    <row r="24" customFormat="false" ht="15" hidden="false" customHeight="false" outlineLevel="0" collapsed="false">
      <c r="A24" s="13" t="s">
        <v>207</v>
      </c>
    </row>
    <row r="25" customFormat="false" ht="15" hidden="false" customHeight="true" outlineLevel="0" collapsed="false">
      <c r="A25" s="14" t="s">
        <v>256</v>
      </c>
      <c r="B25" s="14"/>
      <c r="C25" s="14"/>
      <c r="D25" s="14"/>
      <c r="E25" s="14"/>
      <c r="F25" s="14"/>
      <c r="G25" s="14"/>
      <c r="H25" s="14"/>
      <c r="I25" s="14"/>
      <c r="J25" s="14"/>
    </row>
    <row r="26" customFormat="false" ht="15" hidden="false" customHeight="true" outlineLevel="0" collapsed="false">
      <c r="A26" s="14" t="s">
        <v>257</v>
      </c>
      <c r="B26" s="14"/>
      <c r="C26" s="14"/>
      <c r="D26" s="14"/>
      <c r="E26" s="14"/>
      <c r="F26" s="14"/>
      <c r="G26" s="14"/>
      <c r="H26" s="14"/>
      <c r="I26" s="14"/>
      <c r="J26" s="14"/>
    </row>
    <row r="27" customFormat="false" ht="15" hidden="false" customHeight="true" outlineLevel="0" collapsed="false">
      <c r="A27" s="14" t="s">
        <v>258</v>
      </c>
      <c r="B27" s="14"/>
      <c r="C27" s="14"/>
      <c r="D27" s="14"/>
      <c r="E27" s="14"/>
      <c r="F27" s="14"/>
      <c r="G27" s="14"/>
      <c r="H27" s="14"/>
      <c r="I27" s="14"/>
      <c r="J27" s="14"/>
    </row>
    <row r="29" customFormat="false" ht="15" hidden="false" customHeight="false" outlineLevel="0" collapsed="false">
      <c r="A29" s="3" t="s">
        <v>211</v>
      </c>
      <c r="B29" s="3" t="s">
        <v>212</v>
      </c>
    </row>
    <row r="30" customFormat="false" ht="15" hidden="false" customHeight="true" outlineLevel="0" collapsed="false">
      <c r="A30" s="15" t="s">
        <v>259</v>
      </c>
      <c r="B30" s="14" t="s">
        <v>260</v>
      </c>
      <c r="C30" s="14"/>
      <c r="D30" s="14"/>
      <c r="E30" s="14"/>
      <c r="F30" s="14"/>
      <c r="G30" s="14"/>
      <c r="H30" s="14"/>
      <c r="I30" s="14"/>
      <c r="J30" s="14"/>
    </row>
    <row r="31" customFormat="false" ht="15" hidden="false" customHeight="true" outlineLevel="0" collapsed="false">
      <c r="A31" s="15" t="s">
        <v>261</v>
      </c>
      <c r="B31" s="14" t="s">
        <v>262</v>
      </c>
      <c r="C31" s="14"/>
      <c r="D31" s="14"/>
      <c r="E31" s="14"/>
      <c r="F31" s="14"/>
      <c r="G31" s="14"/>
      <c r="H31" s="14"/>
      <c r="I31" s="14"/>
      <c r="J31" s="14"/>
    </row>
    <row r="33" customFormat="false" ht="15" hidden="false" customHeight="true" outlineLevel="0" collapsed="false">
      <c r="A33" s="16" t="s">
        <v>263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</sheetData>
  <mergeCells count="6">
    <mergeCell ref="A25:J25"/>
    <mergeCell ref="A26:J26"/>
    <mergeCell ref="A27:J27"/>
    <mergeCell ref="B30:J30"/>
    <mergeCell ref="B31:J31"/>
    <mergeCell ref="A33:L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60"/>
    <col collapsed="false" customWidth="true" hidden="false" outlineLevel="0" max="20" min="10" style="0" width="9"/>
    <col collapsed="false" customWidth="true" hidden="false" outlineLevel="0" max="21" min="21" style="0" width="60"/>
  </cols>
  <sheetData>
    <row r="1" customFormat="false" ht="1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2" t="s">
        <v>265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160</v>
      </c>
      <c r="B5" s="3" t="s">
        <v>161</v>
      </c>
      <c r="C5" s="3" t="s">
        <v>162</v>
      </c>
      <c r="D5" s="3" t="s">
        <v>163</v>
      </c>
      <c r="E5" s="3" t="s">
        <v>164</v>
      </c>
      <c r="F5" s="3" t="s">
        <v>165</v>
      </c>
      <c r="G5" s="3" t="s">
        <v>166</v>
      </c>
      <c r="H5" s="3" t="s">
        <v>167</v>
      </c>
      <c r="I5" s="3" t="s">
        <v>168</v>
      </c>
      <c r="J5" s="3" t="s">
        <v>169</v>
      </c>
      <c r="K5" s="3" t="s">
        <v>170</v>
      </c>
      <c r="L5" s="3" t="s">
        <v>171</v>
      </c>
      <c r="M5" s="3" t="s">
        <v>172</v>
      </c>
      <c r="N5" s="3" t="s">
        <v>173</v>
      </c>
      <c r="O5" s="3" t="s">
        <v>174</v>
      </c>
      <c r="P5" s="3" t="s">
        <v>175</v>
      </c>
      <c r="Q5" s="3" t="s">
        <v>176</v>
      </c>
      <c r="R5" s="3" t="s">
        <v>177</v>
      </c>
      <c r="S5" s="3" t="s">
        <v>178</v>
      </c>
      <c r="T5" s="3" t="s">
        <v>179</v>
      </c>
      <c r="U5" s="3" t="s">
        <v>180</v>
      </c>
    </row>
    <row r="6" customFormat="false" ht="57.45" hidden="false" customHeight="false" outlineLevel="0" collapsed="false">
      <c r="A6" s="6" t="s">
        <v>266</v>
      </c>
      <c r="B6" s="7" t="s">
        <v>267</v>
      </c>
      <c r="C6" s="7" t="s">
        <v>268</v>
      </c>
      <c r="D6" s="7" t="s">
        <v>184</v>
      </c>
      <c r="E6" s="7" t="s">
        <v>193</v>
      </c>
      <c r="F6" s="8" t="n">
        <f aca="false">SUMPRODUCT((Results_Long!$A$2:$A$178=$B6)*(Results_Long!$B$2:$B$178=$C6)*(Results_Long!$C$2:$C$178=$D6)*(Results_Long!$D$2:$D$178=$E6)*ROW(Results_Long!$A$2:$A$178))</f>
        <v>25</v>
      </c>
      <c r="G6" s="9" t="n">
        <f aca="false">IF(INDEX(Results_Long!$H:$H,$F6)="","NA",INDEX(Results_Long!$H:$H,$F6))</f>
        <v>1994</v>
      </c>
      <c r="H6" s="9" t="n">
        <f aca="false">IF(INDEX(Results_Long!$I:$I,$F6)="","NA",INDEX(Results_Long!$I:$I,$F6))</f>
        <v>83</v>
      </c>
      <c r="I6" s="9" t="n">
        <f aca="false">IF(INDEX(Results_Long!$J:$J,$F6)="","NA",INDEX(Results_Long!$J:$J,$F6))</f>
        <v>82</v>
      </c>
      <c r="J6" s="10" t="n">
        <f aca="false">IF(INDEX(Results_Long!$K:$K,$F6)="","NA",INDEX(Results_Long!$K:$K,$F6))</f>
        <v>-0.0618221150595844</v>
      </c>
      <c r="K6" s="10" t="n">
        <f aca="false">IF(INDEX(Results_Long!$P:$P,$F6)="","NA",INDEX(Results_Long!$P:$P,$F6))</f>
        <v>-0.0980268952614414</v>
      </c>
      <c r="L6" s="10" t="n">
        <f aca="false">IF(INDEX(Results_Long!$Q:$Q,$F6)="","NA",INDEX(Results_Long!$Q:$Q,$F6))</f>
        <v>-0.0256173348577273</v>
      </c>
      <c r="M6" s="10" t="n">
        <f aca="false">IF(INDEX(Results_Long!$T:$T,$F6)="","NA",INDEX(Results_Long!$T:$T,$F6))</f>
        <v>-0.0617434744453983</v>
      </c>
      <c r="N6" s="10" t="n">
        <f aca="false">IF(INDEX(Results_Long!$U:$U,$F6)="","NA",INDEX(Results_Long!$U:$U,$F6))</f>
        <v>-0.0977141084283258</v>
      </c>
      <c r="O6" s="10" t="n">
        <f aca="false">IF(INDEX(Results_Long!$V:$V,$F6)="","NA",INDEX(Results_Long!$V:$V,$F6))</f>
        <v>-0.0256117325547222</v>
      </c>
      <c r="P6" s="10" t="n">
        <f aca="false">IF(INDEX(Results_Long!$L:$L,$F6)="","NA",INDEX(Results_Long!$L:$L,$F6))</f>
        <v>0.0181521359522013</v>
      </c>
      <c r="Q6" s="11" t="n">
        <f aca="false">IF(INDEX(Results_Long!$M:$M,$F6)="","NA",INDEX(Results_Long!$M:$M,$F6))</f>
        <v>-3.40577633521344</v>
      </c>
      <c r="R6" s="12" t="n">
        <f aca="false">IF(INDEX(Results_Long!$N:$N,$F6)="","NA",INDEX(Results_Long!$N:$N,$F6))</f>
        <v>69.8368940963975</v>
      </c>
      <c r="S6" s="10" t="n">
        <f aca="false">IF(INDEX(Results_Long!$O:$O,$F6)="","NA",INDEX(Results_Long!$O:$O,$F6))</f>
        <v>0.00109750216911765</v>
      </c>
      <c r="T6" s="6" t="str">
        <f aca="false">IF(INDEX(Results_Long!$AG:$AG,$F6)="","NA",INDEX(Results_Long!$AG:$AG,$F6))</f>
        <v>NA</v>
      </c>
      <c r="U6" s="5" t="str">
        <f aca="false">IF(INDEX(Results_Long!$AJ:$AJ,$F6)="","NA",INDEX(Results_Long!$AJ:$AJ,$F6))</f>
        <v>rma.mv mods=~ 0 + pp_cell (midpoint rule, ties EXCLUDED); random ~1|cluster_id/study/esid; V blocks within cluster_id, rho=0.6; CR2/Satterthwaite on cluster_id [D31.1/A.2]; domain tie-excluded domain 2626/108/107 (79 tie ES / 5 studies / 5 clusters at sample_mid = 2015.5 removed [DEC-045/H-Q8]); cell mean at coding = 0 (pre)</v>
      </c>
    </row>
    <row r="7" customFormat="false" ht="57.45" hidden="false" customHeight="false" outlineLevel="0" collapsed="false">
      <c r="A7" s="6" t="s">
        <v>269</v>
      </c>
      <c r="B7" s="7" t="s">
        <v>267</v>
      </c>
      <c r="C7" s="7" t="s">
        <v>268</v>
      </c>
      <c r="D7" s="7" t="s">
        <v>184</v>
      </c>
      <c r="E7" s="7" t="s">
        <v>195</v>
      </c>
      <c r="F7" s="8" t="n">
        <f aca="false">SUMPRODUCT((Results_Long!$A$2:$A$178=$B7)*(Results_Long!$B$2:$B$178=$C7)*(Results_Long!$C$2:$C$178=$D7)*(Results_Long!$D$2:$D$178=$E7)*ROW(Results_Long!$A$2:$A$178))</f>
        <v>26</v>
      </c>
      <c r="G7" s="9" t="n">
        <f aca="false">IF(INDEX(Results_Long!$H:$H,$F7)="","NA",INDEX(Results_Long!$H:$H,$F7))</f>
        <v>632</v>
      </c>
      <c r="H7" s="9" t="n">
        <f aca="false">IF(INDEX(Results_Long!$I:$I,$F7)="","NA",INDEX(Results_Long!$I:$I,$F7))</f>
        <v>26</v>
      </c>
      <c r="I7" s="9" t="n">
        <f aca="false">IF(INDEX(Results_Long!$J:$J,$F7)="","NA",INDEX(Results_Long!$J:$J,$F7))</f>
        <v>26</v>
      </c>
      <c r="J7" s="10" t="n">
        <f aca="false">IF(INDEX(Results_Long!$K:$K,$F7)="","NA",INDEX(Results_Long!$K:$K,$F7))</f>
        <v>-0.0512314399234986</v>
      </c>
      <c r="K7" s="10" t="n">
        <f aca="false">IF(INDEX(Results_Long!$P:$P,$F7)="","NA",INDEX(Results_Long!$P:$P,$F7))</f>
        <v>-0.0756483139618094</v>
      </c>
      <c r="L7" s="10" t="n">
        <f aca="false">IF(INDEX(Results_Long!$Q:$Q,$F7)="","NA",INDEX(Results_Long!$Q:$Q,$F7))</f>
        <v>-0.0268145658851877</v>
      </c>
      <c r="M7" s="10" t="n">
        <f aca="false">IF(INDEX(Results_Long!$T:$T,$F7)="","NA",INDEX(Results_Long!$T:$T,$F7))</f>
        <v>-0.0511866652191095</v>
      </c>
      <c r="N7" s="10" t="n">
        <f aca="false">IF(INDEX(Results_Long!$U:$U,$F7)="","NA",INDEX(Results_Long!$U:$U,$F7))</f>
        <v>-0.0755043401383626</v>
      </c>
      <c r="O7" s="10" t="n">
        <f aca="false">IF(INDEX(Results_Long!$V:$V,$F7)="","NA",INDEX(Results_Long!$V:$V,$F7))</f>
        <v>-0.0268081409882138</v>
      </c>
      <c r="P7" s="10" t="n">
        <f aca="false">IF(INDEX(Results_Long!$L:$L,$F7)="","NA",INDEX(Results_Long!$L:$L,$F7))</f>
        <v>0.0114795537140967</v>
      </c>
      <c r="Q7" s="11" t="n">
        <f aca="false">IF(INDEX(Results_Long!$M:$M,$F7)="","NA",INDEX(Results_Long!$M:$M,$F7))</f>
        <v>-4.46284247623558</v>
      </c>
      <c r="R7" s="12" t="n">
        <f aca="false">IF(INDEX(Results_Long!$N:$N,$F7)="","NA",INDEX(Results_Long!$N:$N,$F7))</f>
        <v>15.3701010197199</v>
      </c>
      <c r="S7" s="10" t="n">
        <f aca="false">IF(INDEX(Results_Long!$O:$O,$F7)="","NA",INDEX(Results_Long!$O:$O,$F7))</f>
        <v>0.000430746668534455</v>
      </c>
      <c r="T7" s="6" t="str">
        <f aca="false">IF(INDEX(Results_Long!$AG:$AG,$F7)="","NA",INDEX(Results_Long!$AG:$AG,$F7))</f>
        <v>NA</v>
      </c>
      <c r="U7" s="5" t="str">
        <f aca="false">IF(INDEX(Results_Long!$AJ:$AJ,$F7)="","NA",INDEX(Results_Long!$AJ:$AJ,$F7))</f>
        <v>rma.mv mods=~ 0 + pp_cell (midpoint rule, ties EXCLUDED); random ~1|cluster_id/study/esid; V blocks within cluster_id, rho=0.6; CR2/Satterthwaite on cluster_id [D31.1/A.2]; domain tie-excluded domain 2626/108/107 (79 tie ES / 5 studies / 5 clusters at sample_mid = 2015.5 removed [DEC-045/H-Q8]); cell mean at coding = 1 (post)</v>
      </c>
    </row>
    <row r="8" customFormat="false" ht="102.2" hidden="false" customHeight="false" outlineLevel="0" collapsed="false">
      <c r="A8" s="6" t="s">
        <v>270</v>
      </c>
      <c r="B8" s="7" t="s">
        <v>267</v>
      </c>
      <c r="C8" s="7" t="s">
        <v>268</v>
      </c>
      <c r="D8" s="7" t="s">
        <v>184</v>
      </c>
      <c r="E8" s="7" t="s">
        <v>197</v>
      </c>
      <c r="F8" s="8" t="n">
        <f aca="false">SUMPRODUCT((Results_Long!$A$2:$A$178=$B8)*(Results_Long!$B$2:$B$178=$C8)*(Results_Long!$C$2:$C$178=$D8)*(Results_Long!$D$2:$D$178=$E8)*ROW(Results_Long!$A$2:$A$178))</f>
        <v>27</v>
      </c>
      <c r="G8" s="9" t="n">
        <f aca="false">IF(INDEX(Results_Long!$H:$H,$F8)="","NA",INDEX(Results_Long!$H:$H,$F8))</f>
        <v>2626</v>
      </c>
      <c r="H8" s="9" t="n">
        <f aca="false">IF(INDEX(Results_Long!$I:$I,$F8)="","NA",INDEX(Results_Long!$I:$I,$F8))</f>
        <v>108</v>
      </c>
      <c r="I8" s="9" t="n">
        <f aca="false">IF(INDEX(Results_Long!$J:$J,$F8)="","NA",INDEX(Results_Long!$J:$J,$F8))</f>
        <v>107</v>
      </c>
      <c r="J8" s="10" t="n">
        <f aca="false">IF(INDEX(Results_Long!$K:$K,$F8)="","NA",INDEX(Results_Long!$K:$K,$F8))</f>
        <v>0.0105906751360858</v>
      </c>
      <c r="K8" s="10" t="n">
        <f aca="false">IF(INDEX(Results_Long!$P:$P,$F8)="","NA",INDEX(Results_Long!$P:$P,$F8))</f>
        <v>-0.0294412304168728</v>
      </c>
      <c r="L8" s="10" t="n">
        <f aca="false">IF(INDEX(Results_Long!$Q:$Q,$F8)="","NA",INDEX(Results_Long!$Q:$Q,$F8))</f>
        <v>0.0506225806890444</v>
      </c>
      <c r="M8" s="10" t="str">
        <f aca="false">IF(INDEX(Results_Long!$T:$T,$F8)="","NA",INDEX(Results_Long!$T:$T,$F8))</f>
        <v>NA</v>
      </c>
      <c r="N8" s="10" t="str">
        <f aca="false">IF(INDEX(Results_Long!$U:$U,$F8)="","NA",INDEX(Results_Long!$U:$U,$F8))</f>
        <v>NA</v>
      </c>
      <c r="O8" s="10" t="str">
        <f aca="false">IF(INDEX(Results_Long!$V:$V,$F8)="","NA",INDEX(Results_Long!$V:$V,$F8))</f>
        <v>NA</v>
      </c>
      <c r="P8" s="10" t="n">
        <f aca="false">IF(INDEX(Results_Long!$L:$L,$F8)="","NA",INDEX(Results_Long!$L:$L,$F8))</f>
        <v>0.018297041614266</v>
      </c>
      <c r="Q8" s="11" t="n">
        <f aca="false">IF(INDEX(Results_Long!$M:$M,$F8)="","NA",INDEX(Results_Long!$M:$M,$F8))</f>
        <v>0.578818989394895</v>
      </c>
      <c r="R8" s="12" t="n">
        <f aca="false">IF(INDEX(Results_Long!$N:$N,$F8)="","NA",INDEX(Results_Long!$N:$N,$F8))</f>
        <v>11.5671715294422</v>
      </c>
      <c r="S8" s="10" t="n">
        <f aca="false">IF(INDEX(Results_Long!$O:$O,$F8)="","NA",INDEX(Results_Long!$O:$O,$F8))</f>
        <v>0.57380955546528</v>
      </c>
      <c r="T8" s="6" t="str">
        <f aca="false">IF(INDEX(Results_Long!$AG:$AG,$F8)="","NA",INDEX(Results_Long!$AG:$AG,$F8))</f>
        <v>NA</v>
      </c>
      <c r="U8" s="5" t="str">
        <f aca="false">IF(INDEX(Results_Long!$AJ:$AJ,$F8)="","NA",INDEX(Results_Long!$AJ:$AJ,$F8))</f>
        <v>rma.mv mods=~ 0 + pp_cell (midpoint rule, ties EXCLUDED); random ~1|cluster_id/study/esid; V blocks within cluster_id, rho=0.6; CR2/Satterthwaite on cluster_id [D31.1/A.2]; domain tie-excluded domain 2626/108/107 (79 tie ES / 5 studies / 5 clusters at sample_mid = 2015.5 removed [DEC-045/H-Q8]); post-minus-pre contrast (-1, +1); cell-means parameterization [DEC-031e/A.11]; difference of Fisher-z means; no tanh transform of differences; under Zarea's Paris operationalization (midpoint + tie-exclusion), applied within our 3L-RVE framework [DEC-045 wording pin]; post cell 31 -&gt; 26 studies under the tie-exclusion rule</v>
      </c>
    </row>
    <row r="10" customFormat="false" ht="15" hidden="false" customHeight="false" outlineLevel="0" collapsed="false">
      <c r="A10" s="3" t="s">
        <v>160</v>
      </c>
      <c r="B10" s="3" t="s">
        <v>161</v>
      </c>
      <c r="C10" s="3" t="s">
        <v>162</v>
      </c>
      <c r="D10" s="3" t="s">
        <v>163</v>
      </c>
      <c r="E10" s="3" t="s">
        <v>164</v>
      </c>
      <c r="F10" s="3" t="s">
        <v>165</v>
      </c>
      <c r="G10" s="3" t="s">
        <v>271</v>
      </c>
      <c r="H10" s="3" t="s">
        <v>179</v>
      </c>
      <c r="I10" s="3" t="s">
        <v>180</v>
      </c>
    </row>
    <row r="11" customFormat="false" ht="46.25" hidden="false" customHeight="false" outlineLevel="0" collapsed="false">
      <c r="A11" s="6" t="s">
        <v>272</v>
      </c>
      <c r="B11" s="7" t="s">
        <v>273</v>
      </c>
      <c r="C11" s="7" t="s">
        <v>274</v>
      </c>
      <c r="D11" s="7" t="s">
        <v>184</v>
      </c>
      <c r="E11" s="7" t="s">
        <v>275</v>
      </c>
      <c r="F11" s="8" t="n">
        <f aca="false">SUMPRODUCT((Results_Long!$A$2:$A$178=$B11)*(Results_Long!$B$2:$B$178=$C11)*(Results_Long!$C$2:$C$178=$D11)*(Results_Long!$D$2:$D$178=$E11)*ROW(Results_Long!$A$2:$A$178))</f>
        <v>171</v>
      </c>
      <c r="G11" s="10" t="str">
        <f aca="false">IF(INDEX(Results_Long!$N:$N,$F11)="","NA",INDEX(Results_Long!$N:$N,$F11))</f>
        <v>NA</v>
      </c>
      <c r="H11" s="6" t="n">
        <f aca="false">IF(INDEX(Results_Long!$AG:$AG,$F11)="","NA",INDEX(Results_Long!$AG:$AG,$F11))</f>
        <v>79</v>
      </c>
      <c r="I11" s="5" t="str">
        <f aca="false">IF(INDEX(Results_Long!$AJ:$AJ,$F11)="","NA",INDEX(Results_Long!$AJ:$AJ,$F11))</f>
        <v>tie ES at sample_mid = 2015.5: 79 ES / 5 studies / 5 clusters (Ho &amp; Wong 2023; Kordschia 2020; Owolabi et al 2024; Ririmasse et al 2026; Xiang &amp; Gong 2026); post cell 31 -&gt; 26 studies under the Zarea tie-exclusion rule [DEC-045/H-Q8]</v>
      </c>
    </row>
    <row r="13" customFormat="false" ht="15" hidden="false" customHeight="false" outlineLevel="0" collapsed="false">
      <c r="A13" s="3" t="s">
        <v>160</v>
      </c>
      <c r="B13" s="3" t="s">
        <v>161</v>
      </c>
      <c r="C13" s="3" t="s">
        <v>162</v>
      </c>
      <c r="D13" s="3" t="s">
        <v>163</v>
      </c>
      <c r="E13" s="3" t="s">
        <v>164</v>
      </c>
      <c r="F13" s="3" t="s">
        <v>165</v>
      </c>
      <c r="G13" s="3" t="s">
        <v>166</v>
      </c>
      <c r="H13" s="3" t="s">
        <v>167</v>
      </c>
      <c r="I13" s="3" t="s">
        <v>168</v>
      </c>
      <c r="J13" s="3" t="s">
        <v>169</v>
      </c>
      <c r="K13" s="3" t="s">
        <v>170</v>
      </c>
      <c r="L13" s="3" t="s">
        <v>171</v>
      </c>
      <c r="M13" s="3" t="s">
        <v>172</v>
      </c>
      <c r="N13" s="3" t="s">
        <v>173</v>
      </c>
      <c r="O13" s="3" t="s">
        <v>174</v>
      </c>
      <c r="P13" s="3" t="s">
        <v>175</v>
      </c>
      <c r="Q13" s="3" t="s">
        <v>176</v>
      </c>
      <c r="R13" s="3" t="s">
        <v>177</v>
      </c>
      <c r="S13" s="3" t="s">
        <v>178</v>
      </c>
      <c r="T13" s="3" t="s">
        <v>179</v>
      </c>
      <c r="U13" s="3" t="s">
        <v>180</v>
      </c>
    </row>
    <row r="14" customFormat="false" ht="68.65" hidden="false" customHeight="false" outlineLevel="0" collapsed="false">
      <c r="A14" s="6" t="s">
        <v>276</v>
      </c>
      <c r="B14" s="7" t="s">
        <v>277</v>
      </c>
      <c r="C14" s="7" t="s">
        <v>278</v>
      </c>
      <c r="D14" s="7" t="s">
        <v>279</v>
      </c>
      <c r="E14" s="7" t="s">
        <v>280</v>
      </c>
      <c r="F14" s="8" t="n">
        <f aca="false">SUMPRODUCT((Results_Long!$A$2:$A$178=$B14)*(Results_Long!$B$2:$B$178=$C14)*(Results_Long!$C$2:$C$178=$D14)*(Results_Long!$D$2:$D$178=$E14)*ROW(Results_Long!$A$2:$A$178))</f>
        <v>28</v>
      </c>
      <c r="G14" s="9" t="n">
        <f aca="false">IF(INDEX(Results_Long!$H:$H,$F14)="","NA",INDEX(Results_Long!$H:$H,$F14))</f>
        <v>6</v>
      </c>
      <c r="H14" s="9" t="n">
        <f aca="false">IF(INDEX(Results_Long!$I:$I,$F14)="","NA",INDEX(Results_Long!$I:$I,$F14))</f>
        <v>1</v>
      </c>
      <c r="I14" s="9" t="n">
        <f aca="false">IF(INDEX(Results_Long!$J:$J,$F14)="","NA",INDEX(Results_Long!$J:$J,$F14))</f>
        <v>1</v>
      </c>
      <c r="J14" s="10" t="str">
        <f aca="false">IF(INDEX(Results_Long!$K:$K,$F14)="","NA",INDEX(Results_Long!$K:$K,$F14))</f>
        <v>NA</v>
      </c>
      <c r="K14" s="10" t="str">
        <f aca="false">IF(INDEX(Results_Long!$P:$P,$F14)="","NA",INDEX(Results_Long!$P:$P,$F14))</f>
        <v>NA</v>
      </c>
      <c r="L14" s="10" t="str">
        <f aca="false">IF(INDEX(Results_Long!$Q:$Q,$F14)="","NA",INDEX(Results_Long!$Q:$Q,$F14))</f>
        <v>NA</v>
      </c>
      <c r="M14" s="10" t="str">
        <f aca="false">IF(INDEX(Results_Long!$T:$T,$F14)="","NA",INDEX(Results_Long!$T:$T,$F14))</f>
        <v>NA</v>
      </c>
      <c r="N14" s="10" t="str">
        <f aca="false">IF(INDEX(Results_Long!$U:$U,$F14)="","NA",INDEX(Results_Long!$U:$U,$F14))</f>
        <v>NA</v>
      </c>
      <c r="O14" s="10" t="str">
        <f aca="false">IF(INDEX(Results_Long!$V:$V,$F14)="","NA",INDEX(Results_Long!$V:$V,$F14))</f>
        <v>NA</v>
      </c>
      <c r="P14" s="10" t="str">
        <f aca="false">IF(INDEX(Results_Long!$L:$L,$F14)="","NA",INDEX(Results_Long!$L:$L,$F14))</f>
        <v>NA</v>
      </c>
      <c r="Q14" s="11" t="str">
        <f aca="false">IF(INDEX(Results_Long!$M:$M,$F14)="","NA",INDEX(Results_Long!$M:$M,$F14))</f>
        <v>NA</v>
      </c>
      <c r="R14" s="12" t="str">
        <f aca="false">IF(INDEX(Results_Long!$N:$N,$F14)="","NA",INDEX(Results_Long!$N:$N,$F14))</f>
        <v>NA</v>
      </c>
      <c r="S14" s="10" t="str">
        <f aca="false">IF(INDEX(Results_Long!$O:$O,$F14)="","NA",INDEX(Results_Long!$O:$O,$F14))</f>
        <v>NA</v>
      </c>
      <c r="T14" s="6" t="str">
        <f aca="false">IF(INDEX(Results_Long!$AG:$AG,$F14)="","NA",INDEX(Results_Long!$AG:$AG,$F14))</f>
        <v>NA</v>
      </c>
      <c r="U14" s="5" t="str">
        <f aca="false">IF(INDEX(Results_Long!$AJ:$AJ,$F14)="","NA",INDEX(Results_Long!$AJ:$AJ,$F14))</f>
        <v>cumulative 3L refit after adding study 'Nandy, Lodh (2012)' (median sample_mid = 1998.50); ordering: study-wise median sample_mid, ties alphabetical [DEC-045/H-Q17]; not_estimable: Cluster-robust variance estimation will not work when the data only includes a single cluster.; planned key retained (budget 177) [DEC-045; package-review robustness fix 2026-07-22 + runtime fix 2026-07-24]</v>
      </c>
    </row>
    <row r="15" customFormat="false" ht="46.25" hidden="false" customHeight="false" outlineLevel="0" collapsed="false">
      <c r="A15" s="6" t="s">
        <v>281</v>
      </c>
      <c r="B15" s="7" t="s">
        <v>277</v>
      </c>
      <c r="C15" s="7" t="s">
        <v>278</v>
      </c>
      <c r="D15" s="7" t="s">
        <v>282</v>
      </c>
      <c r="E15" s="7" t="s">
        <v>283</v>
      </c>
      <c r="F15" s="8" t="n">
        <f aca="false">SUMPRODUCT((Results_Long!$A$2:$A$178=$B15)*(Results_Long!$B$2:$B$178=$C15)*(Results_Long!$C$2:$C$178=$D15)*(Results_Long!$D$2:$D$178=$E15)*ROW(Results_Long!$A$2:$A$178))</f>
        <v>29</v>
      </c>
      <c r="G15" s="9" t="n">
        <f aca="false">IF(INDEX(Results_Long!$H:$H,$F15)="","NA",INDEX(Results_Long!$H:$H,$F15))</f>
        <v>56</v>
      </c>
      <c r="H15" s="9" t="n">
        <f aca="false">IF(INDEX(Results_Long!$I:$I,$F15)="","NA",INDEX(Results_Long!$I:$I,$F15))</f>
        <v>2</v>
      </c>
      <c r="I15" s="9" t="n">
        <f aca="false">IF(INDEX(Results_Long!$J:$J,$F15)="","NA",INDEX(Results_Long!$J:$J,$F15))</f>
        <v>2</v>
      </c>
      <c r="J15" s="10" t="n">
        <f aca="false">IF(INDEX(Results_Long!$K:$K,$F15)="","NA",INDEX(Results_Long!$K:$K,$F15))</f>
        <v>-0.00720151851604686</v>
      </c>
      <c r="K15" s="10" t="n">
        <f aca="false">IF(INDEX(Results_Long!$P:$P,$F15)="","NA",INDEX(Results_Long!$P:$P,$F15))</f>
        <v>-0.191121233444549</v>
      </c>
      <c r="L15" s="10" t="n">
        <f aca="false">IF(INDEX(Results_Long!$Q:$Q,$F15)="","NA",INDEX(Results_Long!$Q:$Q,$F15))</f>
        <v>0.176718196412456</v>
      </c>
      <c r="M15" s="10" t="n">
        <f aca="false">IF(INDEX(Results_Long!$T:$T,$F15)="","NA",INDEX(Results_Long!$T:$T,$F15))</f>
        <v>-0.00720139402389294</v>
      </c>
      <c r="N15" s="10" t="n">
        <f aca="false">IF(INDEX(Results_Long!$U:$U,$F15)="","NA",INDEX(Results_Long!$U:$U,$F15))</f>
        <v>-0.188827689247864</v>
      </c>
      <c r="O15" s="10" t="n">
        <f aca="false">IF(INDEX(Results_Long!$V:$V,$F15)="","NA",INDEX(Results_Long!$V:$V,$F15))</f>
        <v>0.174901292883229</v>
      </c>
      <c r="P15" s="10" t="n">
        <f aca="false">IF(INDEX(Results_Long!$L:$L,$F15)="","NA",INDEX(Results_Long!$L:$L,$F15))</f>
        <v>0.01466231919871</v>
      </c>
      <c r="Q15" s="11" t="n">
        <f aca="false">IF(INDEX(Results_Long!$M:$M,$F15)="","NA",INDEX(Results_Long!$M:$M,$F15))</f>
        <v>-0.49115821436219</v>
      </c>
      <c r="R15" s="12" t="n">
        <f aca="false">IF(INDEX(Results_Long!$N:$N,$F15)="","NA",INDEX(Results_Long!$N:$N,$F15))</f>
        <v>1.00548076595946</v>
      </c>
      <c r="S15" s="10" t="n">
        <f aca="false">IF(INDEX(Results_Long!$O:$O,$F15)="","NA",INDEX(Results_Long!$O:$O,$F15))</f>
        <v>0.708995898919324</v>
      </c>
      <c r="T15" s="6" t="str">
        <f aca="false">IF(INDEX(Results_Long!$AG:$AG,$F15)="","NA",INDEX(Results_Long!$AG:$AG,$F15))</f>
        <v>NA</v>
      </c>
      <c r="U15" s="5" t="str">
        <f aca="false">IF(INDEX(Results_Long!$AJ:$AJ,$F15)="","NA",INDEX(Results_Long!$AJ:$AJ,$F15))</f>
        <v>cumulative 3L refit after adding study 'Chava (2010)' (median sample_mid = 1999.00); ordering: study-wise median sample_mid, ties alphabetical [DEC-045/H-Q17]; display floor: point-only in the figure (clusters = 2 &lt; 10) [DEC-045/H-Q17; presentational only, CI retained here]</v>
      </c>
    </row>
    <row r="16" customFormat="false" ht="46.25" hidden="false" customHeight="false" outlineLevel="0" collapsed="false">
      <c r="A16" s="6" t="s">
        <v>284</v>
      </c>
      <c r="B16" s="7" t="s">
        <v>277</v>
      </c>
      <c r="C16" s="7" t="s">
        <v>278</v>
      </c>
      <c r="D16" s="7" t="s">
        <v>285</v>
      </c>
      <c r="E16" s="7" t="s">
        <v>286</v>
      </c>
      <c r="F16" s="8" t="n">
        <f aca="false">SUMPRODUCT((Results_Long!$A$2:$A$178=$B16)*(Results_Long!$B$2:$B$178=$C16)*(Results_Long!$C$2:$C$178=$D16)*(Results_Long!$D$2:$D$178=$E16)*ROW(Results_Long!$A$2:$A$178))</f>
        <v>30</v>
      </c>
      <c r="G16" s="9" t="n">
        <f aca="false">IF(INDEX(Results_Long!$H:$H,$F16)="","NA",INDEX(Results_Long!$H:$H,$F16))</f>
        <v>66</v>
      </c>
      <c r="H16" s="9" t="n">
        <f aca="false">IF(INDEX(Results_Long!$I:$I,$F16)="","NA",INDEX(Results_Long!$I:$I,$F16))</f>
        <v>3</v>
      </c>
      <c r="I16" s="9" t="n">
        <f aca="false">IF(INDEX(Results_Long!$J:$J,$F16)="","NA",INDEX(Results_Long!$J:$J,$F16))</f>
        <v>3</v>
      </c>
      <c r="J16" s="10" t="n">
        <f aca="false">IF(INDEX(Results_Long!$K:$K,$F16)="","NA",INDEX(Results_Long!$K:$K,$F16))</f>
        <v>-0.0185528832448146</v>
      </c>
      <c r="K16" s="10" t="n">
        <f aca="false">IF(INDEX(Results_Long!$P:$P,$F16)="","NA",INDEX(Results_Long!$P:$P,$F16))</f>
        <v>-0.062860906300942</v>
      </c>
      <c r="L16" s="10" t="n">
        <f aca="false">IF(INDEX(Results_Long!$Q:$Q,$F16)="","NA",INDEX(Results_Long!$Q:$Q,$F16))</f>
        <v>0.0257551398113128</v>
      </c>
      <c r="M16" s="10" t="n">
        <f aca="false">IF(INDEX(Results_Long!$T:$T,$F16)="","NA",INDEX(Results_Long!$T:$T,$F16))</f>
        <v>-0.018550754845116</v>
      </c>
      <c r="N16" s="10" t="n">
        <f aca="false">IF(INDEX(Results_Long!$U:$U,$F16)="","NA",INDEX(Results_Long!$U:$U,$F16))</f>
        <v>-0.0627782388074344</v>
      </c>
      <c r="O16" s="10" t="n">
        <f aca="false">IF(INDEX(Results_Long!$V:$V,$F16)="","NA",INDEX(Results_Long!$V:$V,$F16))</f>
        <v>0.025749446626731</v>
      </c>
      <c r="P16" s="10" t="n">
        <f aca="false">IF(INDEX(Results_Long!$L:$L,$F16)="","NA",INDEX(Results_Long!$L:$L,$F16))</f>
        <v>0.00495579716747783</v>
      </c>
      <c r="Q16" s="11" t="n">
        <f aca="false">IF(INDEX(Results_Long!$M:$M,$F16)="","NA",INDEX(Results_Long!$M:$M,$F16))</f>
        <v>-3.74367283765506</v>
      </c>
      <c r="R16" s="12" t="n">
        <f aca="false">IF(INDEX(Results_Long!$N:$N,$F16)="","NA",INDEX(Results_Long!$N:$N,$F16))</f>
        <v>1.17916577672168</v>
      </c>
      <c r="S16" s="10" t="n">
        <f aca="false">IF(INDEX(Results_Long!$O:$O,$F16)="","NA",INDEX(Results_Long!$O:$O,$F16))</f>
        <v>0.1358635516812</v>
      </c>
      <c r="T16" s="6" t="str">
        <f aca="false">IF(INDEX(Results_Long!$AG:$AG,$F16)="","NA",INDEX(Results_Long!$AG:$AG,$F16))</f>
        <v>NA</v>
      </c>
      <c r="U16" s="5" t="str">
        <f aca="false">IF(INDEX(Results_Long!$AJ:$AJ,$F16)="","NA",INDEX(Results_Long!$AJ:$AJ,$F16))</f>
        <v>cumulative 3L refit after adding study 'Schneider (2010)' (median sample_mid = 1999.00); ordering: study-wise median sample_mid, ties alphabetical [DEC-045/H-Q17]; display floor: point-only in the figure (clusters = 3 &lt; 10) [DEC-045/H-Q17; presentational only, CI retained here]</v>
      </c>
    </row>
    <row r="17" customFormat="false" ht="46.25" hidden="false" customHeight="false" outlineLevel="0" collapsed="false">
      <c r="A17" s="6" t="s">
        <v>287</v>
      </c>
      <c r="B17" s="7" t="s">
        <v>277</v>
      </c>
      <c r="C17" s="7" t="s">
        <v>278</v>
      </c>
      <c r="D17" s="7" t="s">
        <v>288</v>
      </c>
      <c r="E17" s="7" t="s">
        <v>289</v>
      </c>
      <c r="F17" s="8" t="n">
        <f aca="false">SUMPRODUCT((Results_Long!$A$2:$A$178=$B17)*(Results_Long!$B$2:$B$178=$C17)*(Results_Long!$C$2:$C$178=$D17)*(Results_Long!$D$2:$D$178=$E17)*ROW(Results_Long!$A$2:$A$178))</f>
        <v>31</v>
      </c>
      <c r="G17" s="9" t="n">
        <f aca="false">IF(INDEX(Results_Long!$H:$H,$F17)="","NA",INDEX(Results_Long!$H:$H,$F17))</f>
        <v>88</v>
      </c>
      <c r="H17" s="9" t="n">
        <f aca="false">IF(INDEX(Results_Long!$I:$I,$F17)="","NA",INDEX(Results_Long!$I:$I,$F17))</f>
        <v>4</v>
      </c>
      <c r="I17" s="9" t="n">
        <f aca="false">IF(INDEX(Results_Long!$J:$J,$F17)="","NA",INDEX(Results_Long!$J:$J,$F17))</f>
        <v>4</v>
      </c>
      <c r="J17" s="10" t="n">
        <f aca="false">IF(INDEX(Results_Long!$K:$K,$F17)="","NA",INDEX(Results_Long!$K:$K,$F17))</f>
        <v>-0.0189327565850565</v>
      </c>
      <c r="K17" s="10" t="n">
        <f aca="false">IF(INDEX(Results_Long!$P:$P,$F17)="","NA",INDEX(Results_Long!$P:$P,$F17))</f>
        <v>-0.0377099651623109</v>
      </c>
      <c r="L17" s="10" t="n">
        <f aca="false">IF(INDEX(Results_Long!$Q:$Q,$F17)="","NA",INDEX(Results_Long!$Q:$Q,$F17))</f>
        <v>-0.00015554800780216</v>
      </c>
      <c r="M17" s="10" t="n">
        <f aca="false">IF(INDEX(Results_Long!$T:$T,$F17)="","NA",INDEX(Results_Long!$T:$T,$F17))</f>
        <v>-0.018930494765084</v>
      </c>
      <c r="N17" s="10" t="n">
        <f aca="false">IF(INDEX(Results_Long!$U:$U,$F17)="","NA",INDEX(Results_Long!$U:$U,$F17))</f>
        <v>-0.0376921002792876</v>
      </c>
      <c r="O17" s="10" t="n">
        <f aca="false">IF(INDEX(Results_Long!$V:$V,$F17)="","NA",INDEX(Results_Long!$V:$V,$F17))</f>
        <v>-0.000155548006547656</v>
      </c>
      <c r="P17" s="10" t="n">
        <f aca="false">IF(INDEX(Results_Long!$L:$L,$F17)="","NA",INDEX(Results_Long!$L:$L,$F17))</f>
        <v>0.00310503502007086</v>
      </c>
      <c r="Q17" s="11" t="n">
        <f aca="false">IF(INDEX(Results_Long!$M:$M,$F17)="","NA",INDEX(Results_Long!$M:$M,$F17))</f>
        <v>-6.09743737596378</v>
      </c>
      <c r="R17" s="12" t="n">
        <f aca="false">IF(INDEX(Results_Long!$N:$N,$F17)="","NA",INDEX(Results_Long!$N:$N,$F17))</f>
        <v>1.49457543817703</v>
      </c>
      <c r="S17" s="10" t="n">
        <f aca="false">IF(INDEX(Results_Long!$O:$O,$F17)="","NA",INDEX(Results_Long!$O:$O,$F17))</f>
        <v>0.0494042972335642</v>
      </c>
      <c r="T17" s="6" t="str">
        <f aca="false">IF(INDEX(Results_Long!$AG:$AG,$F17)="","NA",INDEX(Results_Long!$AG:$AG,$F17))</f>
        <v>NA</v>
      </c>
      <c r="U17" s="5" t="str">
        <f aca="false">IF(INDEX(Results_Long!$AJ:$AJ,$F17)="","NA",INDEX(Results_Long!$AJ:$AJ,$F17))</f>
        <v>cumulative 3L refit after adding study 'Chava (2014)' (median sample_mid = 1999.50); ordering: study-wise median sample_mid, ties alphabetical [DEC-045/H-Q17]; display floor: point-only in the figure (clusters = 4 &lt; 10) [DEC-045/H-Q17; presentational only, CI retained here]</v>
      </c>
    </row>
    <row r="18" customFormat="false" ht="46.25" hidden="false" customHeight="false" outlineLevel="0" collapsed="false">
      <c r="A18" s="6" t="s">
        <v>290</v>
      </c>
      <c r="B18" s="7" t="s">
        <v>277</v>
      </c>
      <c r="C18" s="7" t="s">
        <v>278</v>
      </c>
      <c r="D18" s="7" t="s">
        <v>291</v>
      </c>
      <c r="E18" s="7" t="s">
        <v>292</v>
      </c>
      <c r="F18" s="8" t="n">
        <f aca="false">SUMPRODUCT((Results_Long!$A$2:$A$178=$B18)*(Results_Long!$B$2:$B$178=$C18)*(Results_Long!$C$2:$C$178=$D18)*(Results_Long!$D$2:$D$178=$E18)*ROW(Results_Long!$A$2:$A$178))</f>
        <v>32</v>
      </c>
      <c r="G18" s="9" t="n">
        <f aca="false">IF(INDEX(Results_Long!$H:$H,$F18)="","NA",INDEX(Results_Long!$H:$H,$F18))</f>
        <v>93</v>
      </c>
      <c r="H18" s="9" t="n">
        <f aca="false">IF(INDEX(Results_Long!$I:$I,$F18)="","NA",INDEX(Results_Long!$I:$I,$F18))</f>
        <v>5</v>
      </c>
      <c r="I18" s="9" t="n">
        <f aca="false">IF(INDEX(Results_Long!$J:$J,$F18)="","NA",INDEX(Results_Long!$J:$J,$F18))</f>
        <v>5</v>
      </c>
      <c r="J18" s="10" t="n">
        <f aca="false">IF(INDEX(Results_Long!$K:$K,$F18)="","NA",INDEX(Results_Long!$K:$K,$F18))</f>
        <v>-0.0190434966952471</v>
      </c>
      <c r="K18" s="10" t="n">
        <f aca="false">IF(INDEX(Results_Long!$P:$P,$F18)="","NA",INDEX(Results_Long!$P:$P,$F18))</f>
        <v>-0.0319299878416305</v>
      </c>
      <c r="L18" s="10" t="n">
        <f aca="false">IF(INDEX(Results_Long!$Q:$Q,$F18)="","NA",INDEX(Results_Long!$Q:$Q,$F18))</f>
        <v>-0.00615700554886366</v>
      </c>
      <c r="M18" s="10" t="n">
        <f aca="false">IF(INDEX(Results_Long!$T:$T,$F18)="","NA",INDEX(Results_Long!$T:$T,$F18))</f>
        <v>-0.0190411949575259</v>
      </c>
      <c r="N18" s="10" t="n">
        <f aca="false">IF(INDEX(Results_Long!$U:$U,$F18)="","NA",INDEX(Results_Long!$U:$U,$F18))</f>
        <v>-0.0319191411340444</v>
      </c>
      <c r="O18" s="10" t="n">
        <f aca="false">IF(INDEX(Results_Long!$V:$V,$F18)="","NA",INDEX(Results_Long!$V:$V,$F18))</f>
        <v>-0.00615692774864907</v>
      </c>
      <c r="P18" s="10" t="n">
        <f aca="false">IF(INDEX(Results_Long!$L:$L,$F18)="","NA",INDEX(Results_Long!$L:$L,$F18))</f>
        <v>0.00284423975684919</v>
      </c>
      <c r="Q18" s="11" t="n">
        <f aca="false">IF(INDEX(Results_Long!$M:$M,$F18)="","NA",INDEX(Results_Long!$M:$M,$F18))</f>
        <v>-6.69546111553661</v>
      </c>
      <c r="R18" s="12" t="n">
        <f aca="false">IF(INDEX(Results_Long!$N:$N,$F18)="","NA",INDEX(Results_Long!$N:$N,$F18))</f>
        <v>1.89852223570832</v>
      </c>
      <c r="S18" s="10" t="n">
        <f aca="false">IF(INDEX(Results_Long!$O:$O,$F18)="","NA",INDEX(Results_Long!$O:$O,$F18))</f>
        <v>0.0246285359067347</v>
      </c>
      <c r="T18" s="6" t="str">
        <f aca="false">IF(INDEX(Results_Long!$AG:$AG,$F18)="","NA",INDEX(Results_Long!$AG:$AG,$F18))</f>
        <v>NA</v>
      </c>
      <c r="U18" s="5" t="str">
        <f aca="false">IF(INDEX(Results_Long!$AJ:$AJ,$F18)="","NA",INDEX(Results_Long!$AJ:$AJ,$F18))</f>
        <v>cumulative 3L refit after adding study 'Oikonomou et al (2014)' (median sample_mid = 2000.00); ordering: study-wise median sample_mid, ties alphabetical [DEC-045/H-Q17]; display floor: point-only in the figure (clusters = 5 &lt; 10) [DEC-045/H-Q17; presentational only, CI retained here]</v>
      </c>
    </row>
    <row r="19" customFormat="false" ht="46.25" hidden="false" customHeight="false" outlineLevel="0" collapsed="false">
      <c r="A19" s="6" t="s">
        <v>293</v>
      </c>
      <c r="B19" s="7" t="s">
        <v>277</v>
      </c>
      <c r="C19" s="7" t="s">
        <v>278</v>
      </c>
      <c r="D19" s="7" t="s">
        <v>294</v>
      </c>
      <c r="E19" s="7" t="s">
        <v>295</v>
      </c>
      <c r="F19" s="8" t="n">
        <f aca="false">SUMPRODUCT((Results_Long!$A$2:$A$178=$B19)*(Results_Long!$B$2:$B$178=$C19)*(Results_Long!$C$2:$C$178=$D19)*(Results_Long!$D$2:$D$178=$E19)*ROW(Results_Long!$A$2:$A$178))</f>
        <v>33</v>
      </c>
      <c r="G19" s="9" t="n">
        <f aca="false">IF(INDEX(Results_Long!$H:$H,$F19)="","NA",INDEX(Results_Long!$H:$H,$F19))</f>
        <v>259</v>
      </c>
      <c r="H19" s="9" t="n">
        <f aca="false">IF(INDEX(Results_Long!$I:$I,$F19)="","NA",INDEX(Results_Long!$I:$I,$F19))</f>
        <v>6</v>
      </c>
      <c r="I19" s="9" t="n">
        <f aca="false">IF(INDEX(Results_Long!$J:$J,$F19)="","NA",INDEX(Results_Long!$J:$J,$F19))</f>
        <v>6</v>
      </c>
      <c r="J19" s="10" t="n">
        <f aca="false">IF(INDEX(Results_Long!$K:$K,$F19)="","NA",INDEX(Results_Long!$K:$K,$F19))</f>
        <v>-0.0145475886072046</v>
      </c>
      <c r="K19" s="10" t="n">
        <f aca="false">IF(INDEX(Results_Long!$P:$P,$F19)="","NA",INDEX(Results_Long!$P:$P,$F19))</f>
        <v>-0.0278041051028796</v>
      </c>
      <c r="L19" s="10" t="n">
        <f aca="false">IF(INDEX(Results_Long!$Q:$Q,$F19)="","NA",INDEX(Results_Long!$Q:$Q,$F19))</f>
        <v>-0.00129107211152957</v>
      </c>
      <c r="M19" s="10" t="n">
        <f aca="false">IF(INDEX(Results_Long!$T:$T,$F19)="","NA",INDEX(Results_Long!$T:$T,$F19))</f>
        <v>-0.0145465624473602</v>
      </c>
      <c r="N19" s="10" t="n">
        <f aca="false">IF(INDEX(Results_Long!$U:$U,$F19)="","NA",INDEX(Results_Long!$U:$U,$F19))</f>
        <v>-0.0277969424940228</v>
      </c>
      <c r="O19" s="10" t="n">
        <f aca="false">IF(INDEX(Results_Long!$V:$V,$F19)="","NA",INDEX(Results_Long!$V:$V,$F19))</f>
        <v>-0.00129107139418147</v>
      </c>
      <c r="P19" s="10" t="n">
        <f aca="false">IF(INDEX(Results_Long!$L:$L,$F19)="","NA",INDEX(Results_Long!$L:$L,$F19))</f>
        <v>0.00413809104281528</v>
      </c>
      <c r="Q19" s="11" t="n">
        <f aca="false">IF(INDEX(Results_Long!$M:$M,$F19)="","NA",INDEX(Results_Long!$M:$M,$F19))</f>
        <v>-3.51553130578476</v>
      </c>
      <c r="R19" s="12" t="n">
        <f aca="false">IF(INDEX(Results_Long!$N:$N,$F19)="","NA",INDEX(Results_Long!$N:$N,$F19))</f>
        <v>2.96543568051999</v>
      </c>
      <c r="S19" s="10" t="n">
        <f aca="false">IF(INDEX(Results_Long!$O:$O,$F19)="","NA",INDEX(Results_Long!$O:$O,$F19))</f>
        <v>0.039763827976478</v>
      </c>
      <c r="T19" s="6" t="str">
        <f aca="false">IF(INDEX(Results_Long!$AG:$AG,$F19)="","NA",INDEX(Results_Long!$AG:$AG,$F19))</f>
        <v>NA</v>
      </c>
      <c r="U19" s="5" t="str">
        <f aca="false">IF(INDEX(Results_Long!$AJ:$AJ,$F19)="","NA",INDEX(Results_Long!$AJ:$AJ,$F19))</f>
        <v>cumulative 3L refit after adding study 'Bauer, Hann (2010)' (median sample_mid = 2000.50); ordering: study-wise median sample_mid, ties alphabetical [DEC-045/H-Q17]; display floor: point-only in the figure (clusters = 6 &lt; 10) [DEC-045/H-Q17; presentational only, CI retained here]</v>
      </c>
    </row>
    <row r="20" customFormat="false" ht="46.25" hidden="false" customHeight="false" outlineLevel="0" collapsed="false">
      <c r="A20" s="6" t="s">
        <v>296</v>
      </c>
      <c r="B20" s="7" t="s">
        <v>277</v>
      </c>
      <c r="C20" s="7" t="s">
        <v>278</v>
      </c>
      <c r="D20" s="7" t="s">
        <v>297</v>
      </c>
      <c r="E20" s="7" t="s">
        <v>298</v>
      </c>
      <c r="F20" s="8" t="n">
        <f aca="false">SUMPRODUCT((Results_Long!$A$2:$A$178=$B20)*(Results_Long!$B$2:$B$178=$C20)*(Results_Long!$C$2:$C$178=$D20)*(Results_Long!$D$2:$D$178=$E20)*ROW(Results_Long!$A$2:$A$178))</f>
        <v>34</v>
      </c>
      <c r="G20" s="9" t="n">
        <f aca="false">IF(INDEX(Results_Long!$H:$H,$F20)="","NA",INDEX(Results_Long!$H:$H,$F20))</f>
        <v>263</v>
      </c>
      <c r="H20" s="9" t="n">
        <f aca="false">IF(INDEX(Results_Long!$I:$I,$F20)="","NA",INDEX(Results_Long!$I:$I,$F20))</f>
        <v>7</v>
      </c>
      <c r="I20" s="9" t="n">
        <f aca="false">IF(INDEX(Results_Long!$J:$J,$F20)="","NA",INDEX(Results_Long!$J:$J,$F20))</f>
        <v>7</v>
      </c>
      <c r="J20" s="10" t="n">
        <f aca="false">IF(INDEX(Results_Long!$K:$K,$F20)="","NA",INDEX(Results_Long!$K:$K,$F20))</f>
        <v>-0.0169671730839148</v>
      </c>
      <c r="K20" s="10" t="n">
        <f aca="false">IF(INDEX(Results_Long!$P:$P,$F20)="","NA",INDEX(Results_Long!$P:$P,$F20))</f>
        <v>-0.0299593558487598</v>
      </c>
      <c r="L20" s="10" t="n">
        <f aca="false">IF(INDEX(Results_Long!$Q:$Q,$F20)="","NA",INDEX(Results_Long!$Q:$Q,$F20))</f>
        <v>-0.00397499031906981</v>
      </c>
      <c r="M20" s="10" t="n">
        <f aca="false">IF(INDEX(Results_Long!$T:$T,$F20)="","NA",INDEX(Results_Long!$T:$T,$F20))</f>
        <v>-0.016965545073391</v>
      </c>
      <c r="N20" s="10" t="n">
        <f aca="false">IF(INDEX(Results_Long!$U:$U,$F20)="","NA",INDEX(Results_Long!$U:$U,$F20))</f>
        <v>-0.0299503955959027</v>
      </c>
      <c r="O20" s="10" t="n">
        <f aca="false">IF(INDEX(Results_Long!$V:$V,$F20)="","NA",INDEX(Results_Long!$V:$V,$F20))</f>
        <v>-0.00397496938352697</v>
      </c>
      <c r="P20" s="10" t="n">
        <f aca="false">IF(INDEX(Results_Long!$L:$L,$F20)="","NA",INDEX(Results_Long!$L:$L,$F20))</f>
        <v>0.00442536373260865</v>
      </c>
      <c r="Q20" s="11" t="n">
        <f aca="false">IF(INDEX(Results_Long!$M:$M,$F20)="","NA",INDEX(Results_Long!$M:$M,$F20))</f>
        <v>-3.83407423866446</v>
      </c>
      <c r="R20" s="12" t="n">
        <f aca="false">IF(INDEX(Results_Long!$N:$N,$F20)="","NA",INDEX(Results_Long!$N:$N,$F20))</f>
        <v>3.51089700308549</v>
      </c>
      <c r="S20" s="10" t="n">
        <f aca="false">IF(INDEX(Results_Long!$O:$O,$F20)="","NA",INDEX(Results_Long!$O:$O,$F20))</f>
        <v>0.0235843927346562</v>
      </c>
      <c r="T20" s="6" t="str">
        <f aca="false">IF(INDEX(Results_Long!$AG:$AG,$F20)="","NA",INDEX(Results_Long!$AG:$AG,$F20))</f>
        <v>NA</v>
      </c>
      <c r="U20" s="5" t="str">
        <f aca="false">IF(INDEX(Results_Long!$AJ:$AJ,$F20)="","NA",INDEX(Results_Long!$AJ:$AJ,$F20))</f>
        <v>cumulative 3L refit after adding study 'Ge, Liu (2015)' (median sample_mid = 2000.50); ordering: study-wise median sample_mid, ties alphabetical [DEC-045/H-Q17]; display floor: point-only in the figure (clusters = 7 &lt; 10) [DEC-045/H-Q17; presentational only, CI retained here]</v>
      </c>
    </row>
    <row r="21" customFormat="false" ht="46.25" hidden="false" customHeight="false" outlineLevel="0" collapsed="false">
      <c r="A21" s="6" t="s">
        <v>299</v>
      </c>
      <c r="B21" s="7" t="s">
        <v>277</v>
      </c>
      <c r="C21" s="7" t="s">
        <v>278</v>
      </c>
      <c r="D21" s="7" t="s">
        <v>300</v>
      </c>
      <c r="E21" s="7" t="s">
        <v>301</v>
      </c>
      <c r="F21" s="8" t="n">
        <f aca="false">SUMPRODUCT((Results_Long!$A$2:$A$178=$B21)*(Results_Long!$B$2:$B$178=$C21)*(Results_Long!$C$2:$C$178=$D21)*(Results_Long!$D$2:$D$178=$E21)*ROW(Results_Long!$A$2:$A$178))</f>
        <v>35</v>
      </c>
      <c r="G21" s="9" t="n">
        <f aca="false">IF(INDEX(Results_Long!$H:$H,$F21)="","NA",INDEX(Results_Long!$H:$H,$F21))</f>
        <v>264</v>
      </c>
      <c r="H21" s="9" t="n">
        <f aca="false">IF(INDEX(Results_Long!$I:$I,$F21)="","NA",INDEX(Results_Long!$I:$I,$F21))</f>
        <v>8</v>
      </c>
      <c r="I21" s="9" t="n">
        <f aca="false">IF(INDEX(Results_Long!$J:$J,$F21)="","NA",INDEX(Results_Long!$J:$J,$F21))</f>
        <v>8</v>
      </c>
      <c r="J21" s="10" t="n">
        <f aca="false">IF(INDEX(Results_Long!$K:$K,$F21)="","NA",INDEX(Results_Long!$K:$K,$F21))</f>
        <v>-0.0173436214426382</v>
      </c>
      <c r="K21" s="10" t="n">
        <f aca="false">IF(INDEX(Results_Long!$P:$P,$F21)="","NA",INDEX(Results_Long!$P:$P,$F21))</f>
        <v>-0.0299930991047622</v>
      </c>
      <c r="L21" s="10" t="n">
        <f aca="false">IF(INDEX(Results_Long!$Q:$Q,$F21)="","NA",INDEX(Results_Long!$Q:$Q,$F21))</f>
        <v>-0.00469414378051421</v>
      </c>
      <c r="M21" s="10" t="n">
        <f aca="false">IF(INDEX(Results_Long!$T:$T,$F21)="","NA",INDEX(Results_Long!$T:$T,$F21))</f>
        <v>-0.0173418826577745</v>
      </c>
      <c r="N21" s="10" t="n">
        <f aca="false">IF(INDEX(Results_Long!$U:$U,$F21)="","NA",INDEX(Results_Long!$U:$U,$F21))</f>
        <v>-0.0299841085492367</v>
      </c>
      <c r="O21" s="10" t="n">
        <f aca="false">IF(INDEX(Results_Long!$V:$V,$F21)="","NA",INDEX(Results_Long!$V:$V,$F21))</f>
        <v>-0.0046941093023542</v>
      </c>
      <c r="P21" s="10" t="n">
        <f aca="false">IF(INDEX(Results_Long!$L:$L,$F21)="","NA",INDEX(Results_Long!$L:$L,$F21))</f>
        <v>0.00438905406321675</v>
      </c>
      <c r="Q21" s="11" t="n">
        <f aca="false">IF(INDEX(Results_Long!$M:$M,$F21)="","NA",INDEX(Results_Long!$M:$M,$F21))</f>
        <v>-3.95156249907914</v>
      </c>
      <c r="R21" s="12" t="n">
        <f aca="false">IF(INDEX(Results_Long!$N:$N,$F21)="","NA",INDEX(Results_Long!$N:$N,$F21))</f>
        <v>3.65749777868978</v>
      </c>
      <c r="S21" s="10" t="n">
        <f aca="false">IF(INDEX(Results_Long!$O:$O,$F21)="","NA",INDEX(Results_Long!$O:$O,$F21))</f>
        <v>0.0199514659890615</v>
      </c>
      <c r="T21" s="6" t="str">
        <f aca="false">IF(INDEX(Results_Long!$AG:$AG,$F21)="","NA",INDEX(Results_Long!$AG:$AG,$F21))</f>
        <v>NA</v>
      </c>
      <c r="U21" s="5" t="str">
        <f aca="false">IF(INDEX(Results_Long!$AJ:$AJ,$F21)="","NA",INDEX(Results_Long!$AJ:$AJ,$F21))</f>
        <v>cumulative 3L refit after adding study 'Jiraporn et al (2014)' (median sample_mid = 2001.00); ordering: study-wise median sample_mid, ties alphabetical [DEC-045/H-Q17]; display floor: point-only in the figure (clusters = 8 &lt; 10) [DEC-045/H-Q17; presentational only, CI retained here]</v>
      </c>
    </row>
    <row r="22" customFormat="false" ht="46.25" hidden="false" customHeight="false" outlineLevel="0" collapsed="false">
      <c r="A22" s="6" t="s">
        <v>302</v>
      </c>
      <c r="B22" s="7" t="s">
        <v>277</v>
      </c>
      <c r="C22" s="7" t="s">
        <v>278</v>
      </c>
      <c r="D22" s="7" t="s">
        <v>303</v>
      </c>
      <c r="E22" s="7" t="s">
        <v>304</v>
      </c>
      <c r="F22" s="8" t="n">
        <f aca="false">SUMPRODUCT((Results_Long!$A$2:$A$178=$B22)*(Results_Long!$B$2:$B$178=$C22)*(Results_Long!$C$2:$C$178=$D22)*(Results_Long!$D$2:$D$178=$E22)*ROW(Results_Long!$A$2:$A$178))</f>
        <v>36</v>
      </c>
      <c r="G22" s="9" t="n">
        <f aca="false">IF(INDEX(Results_Long!$H:$H,$F22)="","NA",INDEX(Results_Long!$H:$H,$F22))</f>
        <v>312</v>
      </c>
      <c r="H22" s="9" t="n">
        <f aca="false">IF(INDEX(Results_Long!$I:$I,$F22)="","NA",INDEX(Results_Long!$I:$I,$F22))</f>
        <v>9</v>
      </c>
      <c r="I22" s="9" t="n">
        <f aca="false">IF(INDEX(Results_Long!$J:$J,$F22)="","NA",INDEX(Results_Long!$J:$J,$F22))</f>
        <v>9</v>
      </c>
      <c r="J22" s="10" t="n">
        <f aca="false">IF(INDEX(Results_Long!$K:$K,$F22)="","NA",INDEX(Results_Long!$K:$K,$F22))</f>
        <v>-0.0148714200641961</v>
      </c>
      <c r="K22" s="10" t="n">
        <f aca="false">IF(INDEX(Results_Long!$P:$P,$F22)="","NA",INDEX(Results_Long!$P:$P,$F22))</f>
        <v>-0.0248358379969843</v>
      </c>
      <c r="L22" s="10" t="n">
        <f aca="false">IF(INDEX(Results_Long!$Q:$Q,$F22)="","NA",INDEX(Results_Long!$Q:$Q,$F22))</f>
        <v>-0.00490700213140791</v>
      </c>
      <c r="M22" s="10" t="n">
        <f aca="false">IF(INDEX(Results_Long!$T:$T,$F22)="","NA",INDEX(Results_Long!$T:$T,$F22))</f>
        <v>-0.0148703238443738</v>
      </c>
      <c r="N22" s="10" t="n">
        <f aca="false">IF(INDEX(Results_Long!$U:$U,$F22)="","NA",INDEX(Results_Long!$U:$U,$F22))</f>
        <v>-0.0248307328522245</v>
      </c>
      <c r="O22" s="10" t="n">
        <f aca="false">IF(INDEX(Results_Long!$V:$V,$F22)="","NA",INDEX(Results_Long!$V:$V,$F22))</f>
        <v>-0.00490696274709237</v>
      </c>
      <c r="P22" s="10" t="n">
        <f aca="false">IF(INDEX(Results_Long!$L:$L,$F22)="","NA",INDEX(Results_Long!$L:$L,$F22))</f>
        <v>0.00368127780940975</v>
      </c>
      <c r="Q22" s="11" t="n">
        <f aca="false">IF(INDEX(Results_Long!$M:$M,$F22)="","NA",INDEX(Results_Long!$M:$M,$F22))</f>
        <v>-4.03974403295049</v>
      </c>
      <c r="R22" s="12" t="n">
        <f aca="false">IF(INDEX(Results_Long!$N:$N,$F22)="","NA",INDEX(Results_Long!$N:$N,$F22))</f>
        <v>4.27771496479352</v>
      </c>
      <c r="S22" s="10" t="n">
        <f aca="false">IF(INDEX(Results_Long!$O:$O,$F22)="","NA",INDEX(Results_Long!$O:$O,$F22))</f>
        <v>0.0136400215697344</v>
      </c>
      <c r="T22" s="6" t="str">
        <f aca="false">IF(INDEX(Results_Long!$AG:$AG,$F22)="","NA",INDEX(Results_Long!$AG:$AG,$F22))</f>
        <v>NA</v>
      </c>
      <c r="U22" s="5" t="str">
        <f aca="false">IF(INDEX(Results_Long!$AJ:$AJ,$F22)="","NA",INDEX(Results_Long!$AJ:$AJ,$F22))</f>
        <v>cumulative 3L refit after adding study 'Chen et al (2020)' (median sample_mid = 2001.50); ordering: study-wise median sample_mid, ties alphabetical [DEC-045/H-Q17]; display floor: point-only in the figure (clusters = 9 &lt; 10) [DEC-045/H-Q17; presentational only, CI retained here]</v>
      </c>
    </row>
    <row r="23" customFormat="false" ht="35.05" hidden="false" customHeight="false" outlineLevel="0" collapsed="false">
      <c r="A23" s="6" t="s">
        <v>305</v>
      </c>
      <c r="B23" s="7" t="s">
        <v>277</v>
      </c>
      <c r="C23" s="7" t="s">
        <v>278</v>
      </c>
      <c r="D23" s="7" t="s">
        <v>306</v>
      </c>
      <c r="E23" s="7" t="s">
        <v>307</v>
      </c>
      <c r="F23" s="8" t="n">
        <f aca="false">SUMPRODUCT((Results_Long!$A$2:$A$178=$B23)*(Results_Long!$B$2:$B$178=$C23)*(Results_Long!$C$2:$C$178=$D23)*(Results_Long!$D$2:$D$178=$E23)*ROW(Results_Long!$A$2:$A$178))</f>
        <v>37</v>
      </c>
      <c r="G23" s="9" t="n">
        <f aca="false">IF(INDEX(Results_Long!$H:$H,$F23)="","NA",INDEX(Results_Long!$H:$H,$F23))</f>
        <v>316</v>
      </c>
      <c r="H23" s="9" t="n">
        <f aca="false">IF(INDEX(Results_Long!$I:$I,$F23)="","NA",INDEX(Results_Long!$I:$I,$F23))</f>
        <v>10</v>
      </c>
      <c r="I23" s="9" t="n">
        <f aca="false">IF(INDEX(Results_Long!$J:$J,$F23)="","NA",INDEX(Results_Long!$J:$J,$F23))</f>
        <v>10</v>
      </c>
      <c r="J23" s="10" t="n">
        <f aca="false">IF(INDEX(Results_Long!$K:$K,$F23)="","NA",INDEX(Results_Long!$K:$K,$F23))</f>
        <v>-0.0153549266042124</v>
      </c>
      <c r="K23" s="10" t="n">
        <f aca="false">IF(INDEX(Results_Long!$P:$P,$F23)="","NA",INDEX(Results_Long!$P:$P,$F23))</f>
        <v>-0.0251244746616037</v>
      </c>
      <c r="L23" s="10" t="n">
        <f aca="false">IF(INDEX(Results_Long!$Q:$Q,$F23)="","NA",INDEX(Results_Long!$Q:$Q,$F23))</f>
        <v>-0.00558537854682117</v>
      </c>
      <c r="M23" s="10" t="n">
        <f aca="false">IF(INDEX(Results_Long!$T:$T,$F23)="","NA",INDEX(Results_Long!$T:$T,$F23))</f>
        <v>-0.0153537199550277</v>
      </c>
      <c r="N23" s="10" t="n">
        <f aca="false">IF(INDEX(Results_Long!$U:$U,$F23)="","NA",INDEX(Results_Long!$U:$U,$F23))</f>
        <v>-0.0251191894780975</v>
      </c>
      <c r="O23" s="10" t="n">
        <f aca="false">IF(INDEX(Results_Long!$V:$V,$F23)="","NA",INDEX(Results_Long!$V:$V,$F23))</f>
        <v>-0.00558532046621187</v>
      </c>
      <c r="P23" s="10" t="n">
        <f aca="false">IF(INDEX(Results_Long!$L:$L,$F23)="","NA",INDEX(Results_Long!$L:$L,$F23))</f>
        <v>0.00361936890348861</v>
      </c>
      <c r="Q23" s="11" t="n">
        <f aca="false">IF(INDEX(Results_Long!$M:$M,$F23)="","NA",INDEX(Results_Long!$M:$M,$F23))</f>
        <v>-4.24243204095948</v>
      </c>
      <c r="R23" s="12" t="n">
        <f aca="false">IF(INDEX(Results_Long!$N:$N,$F23)="","NA",INDEX(Results_Long!$N:$N,$F23))</f>
        <v>4.31085767834888</v>
      </c>
      <c r="S23" s="10" t="n">
        <f aca="false">IF(INDEX(Results_Long!$O:$O,$F23)="","NA",INDEX(Results_Long!$O:$O,$F23))</f>
        <v>0.0112728969074789</v>
      </c>
      <c r="T23" s="6" t="str">
        <f aca="false">IF(INDEX(Results_Long!$AG:$AG,$F23)="","NA",INDEX(Results_Long!$AG:$AG,$F23))</f>
        <v>NA</v>
      </c>
      <c r="U23" s="5" t="str">
        <f aca="false">IF(INDEX(Results_Long!$AJ:$AJ,$F23)="","NA",INDEX(Results_Long!$AJ:$AJ,$F23))</f>
        <v>cumulative 3L refit after adding study 'Chen, Gao (2011)' (median sample_mid = 2005.00); ordering: study-wise median sample_mid, ties alphabetical [DEC-045/H-Q17]; full display (CI band)</v>
      </c>
    </row>
    <row r="24" customFormat="false" ht="35.05" hidden="false" customHeight="false" outlineLevel="0" collapsed="false">
      <c r="A24" s="6" t="s">
        <v>308</v>
      </c>
      <c r="B24" s="7" t="s">
        <v>277</v>
      </c>
      <c r="C24" s="7" t="s">
        <v>278</v>
      </c>
      <c r="D24" s="7" t="s">
        <v>309</v>
      </c>
      <c r="E24" s="7" t="s">
        <v>310</v>
      </c>
      <c r="F24" s="8" t="n">
        <f aca="false">SUMPRODUCT((Results_Long!$A$2:$A$178=$B24)*(Results_Long!$B$2:$B$178=$C24)*(Results_Long!$C$2:$C$178=$D24)*(Results_Long!$D$2:$D$178=$E24)*ROW(Results_Long!$A$2:$A$178))</f>
        <v>38</v>
      </c>
      <c r="G24" s="9" t="n">
        <f aca="false">IF(INDEX(Results_Long!$H:$H,$F24)="","NA",INDEX(Results_Long!$H:$H,$F24))</f>
        <v>326</v>
      </c>
      <c r="H24" s="9" t="n">
        <f aca="false">IF(INDEX(Results_Long!$I:$I,$F24)="","NA",INDEX(Results_Long!$I:$I,$F24))</f>
        <v>11</v>
      </c>
      <c r="I24" s="9" t="n">
        <f aca="false">IF(INDEX(Results_Long!$J:$J,$F24)="","NA",INDEX(Results_Long!$J:$J,$F24))</f>
        <v>11</v>
      </c>
      <c r="J24" s="10" t="n">
        <f aca="false">IF(INDEX(Results_Long!$K:$K,$F24)="","NA",INDEX(Results_Long!$K:$K,$F24))</f>
        <v>-0.0168598441771849</v>
      </c>
      <c r="K24" s="10" t="n">
        <f aca="false">IF(INDEX(Results_Long!$P:$P,$F24)="","NA",INDEX(Results_Long!$P:$P,$F24))</f>
        <v>-0.0249983291379269</v>
      </c>
      <c r="L24" s="10" t="n">
        <f aca="false">IF(INDEX(Results_Long!$Q:$Q,$F24)="","NA",INDEX(Results_Long!$Q:$Q,$F24))</f>
        <v>-0.00872135921644295</v>
      </c>
      <c r="M24" s="10" t="n">
        <f aca="false">IF(INDEX(Results_Long!$T:$T,$F24)="","NA",INDEX(Results_Long!$T:$T,$F24))</f>
        <v>-0.0168582468641437</v>
      </c>
      <c r="N24" s="10" t="n">
        <f aca="false">IF(INDEX(Results_Long!$U:$U,$F24)="","NA",INDEX(Results_Long!$U:$U,$F24))</f>
        <v>-0.0249931231501317</v>
      </c>
      <c r="O24" s="10" t="n">
        <f aca="false">IF(INDEX(Results_Long!$V:$V,$F24)="","NA",INDEX(Results_Long!$V:$V,$F24))</f>
        <v>-0.00872113810151891</v>
      </c>
      <c r="P24" s="10" t="n">
        <f aca="false">IF(INDEX(Results_Long!$L:$L,$F24)="","NA",INDEX(Results_Long!$L:$L,$F24))</f>
        <v>0.0030612449799534</v>
      </c>
      <c r="Q24" s="11" t="n">
        <f aca="false">IF(INDEX(Results_Long!$M:$M,$F24)="","NA",INDEX(Results_Long!$M:$M,$F24))</f>
        <v>-5.50751223361469</v>
      </c>
      <c r="R24" s="12" t="n">
        <f aca="false">IF(INDEX(Results_Long!$N:$N,$F24)="","NA",INDEX(Results_Long!$N:$N,$F24))</f>
        <v>4.50177703868729</v>
      </c>
      <c r="S24" s="10" t="n">
        <f aca="false">IF(INDEX(Results_Long!$O:$O,$F24)="","NA",INDEX(Results_Long!$O:$O,$F24))</f>
        <v>0.00372939995786309</v>
      </c>
      <c r="T24" s="6" t="str">
        <f aca="false">IF(INDEX(Results_Long!$AG:$AG,$F24)="","NA",INDEX(Results_Long!$AG:$AG,$F24))</f>
        <v>NA</v>
      </c>
      <c r="U24" s="5" t="str">
        <f aca="false">IF(INDEX(Results_Long!$AJ:$AJ,$F24)="","NA",INDEX(Results_Long!$AJ:$AJ,$F24))</f>
        <v>cumulative 3L refit after adding study 'Chodnicka-Jaworska (2022)' (median sample_mid = 2005.50); ordering: study-wise median sample_mid, ties alphabetical [DEC-045/H-Q17]; full display (CI band)</v>
      </c>
    </row>
    <row r="25" customFormat="false" ht="35.05" hidden="false" customHeight="false" outlineLevel="0" collapsed="false">
      <c r="A25" s="6" t="s">
        <v>311</v>
      </c>
      <c r="B25" s="7" t="s">
        <v>277</v>
      </c>
      <c r="C25" s="7" t="s">
        <v>278</v>
      </c>
      <c r="D25" s="7" t="s">
        <v>312</v>
      </c>
      <c r="E25" s="7" t="s">
        <v>313</v>
      </c>
      <c r="F25" s="8" t="n">
        <f aca="false">SUMPRODUCT((Results_Long!$A$2:$A$178=$B25)*(Results_Long!$B$2:$B$178=$C25)*(Results_Long!$C$2:$C$178=$D25)*(Results_Long!$D$2:$D$178=$E25)*ROW(Results_Long!$A$2:$A$178))</f>
        <v>39</v>
      </c>
      <c r="G25" s="9" t="n">
        <f aca="false">IF(INDEX(Results_Long!$H:$H,$F25)="","NA",INDEX(Results_Long!$H:$H,$F25))</f>
        <v>330</v>
      </c>
      <c r="H25" s="9" t="n">
        <f aca="false">IF(INDEX(Results_Long!$I:$I,$F25)="","NA",INDEX(Results_Long!$I:$I,$F25))</f>
        <v>12</v>
      </c>
      <c r="I25" s="9" t="n">
        <f aca="false">IF(INDEX(Results_Long!$J:$J,$F25)="","NA",INDEX(Results_Long!$J:$J,$F25))</f>
        <v>12</v>
      </c>
      <c r="J25" s="10" t="n">
        <f aca="false">IF(INDEX(Results_Long!$K:$K,$F25)="","NA",INDEX(Results_Long!$K:$K,$F25))</f>
        <v>-0.0180184105776104</v>
      </c>
      <c r="K25" s="10" t="n">
        <f aca="false">IF(INDEX(Results_Long!$P:$P,$F25)="","NA",INDEX(Results_Long!$P:$P,$F25))</f>
        <v>-0.0268231713854585</v>
      </c>
      <c r="L25" s="10" t="n">
        <f aca="false">IF(INDEX(Results_Long!$Q:$Q,$F25)="","NA",INDEX(Results_Long!$Q:$Q,$F25))</f>
        <v>-0.00921364976976222</v>
      </c>
      <c r="M25" s="10" t="n">
        <f aca="false">IF(INDEX(Results_Long!$T:$T,$F25)="","NA",INDEX(Results_Long!$T:$T,$F25))</f>
        <v>-0.0180164608596803</v>
      </c>
      <c r="N25" s="10" t="n">
        <f aca="false">IF(INDEX(Results_Long!$U:$U,$F25)="","NA",INDEX(Results_Long!$U:$U,$F25))</f>
        <v>-0.0268167403019304</v>
      </c>
      <c r="O25" s="10" t="n">
        <f aca="false">IF(INDEX(Results_Long!$V:$V,$F25)="","NA",INDEX(Results_Long!$V:$V,$F25))</f>
        <v>-0.00921338905891691</v>
      </c>
      <c r="P25" s="10" t="n">
        <f aca="false">IF(INDEX(Results_Long!$L:$L,$F25)="","NA",INDEX(Results_Long!$L:$L,$F25))</f>
        <v>0.00338113369503863</v>
      </c>
      <c r="Q25" s="11" t="n">
        <f aca="false">IF(INDEX(Results_Long!$M:$M,$F25)="","NA",INDEX(Results_Long!$M:$M,$F25))</f>
        <v>-5.32910325434632</v>
      </c>
      <c r="R25" s="12" t="n">
        <f aca="false">IF(INDEX(Results_Long!$N:$N,$F25)="","NA",INDEX(Results_Long!$N:$N,$F25))</f>
        <v>4.79445371197206</v>
      </c>
      <c r="S25" s="10" t="n">
        <f aca="false">IF(INDEX(Results_Long!$O:$O,$F25)="","NA",INDEX(Results_Long!$O:$O,$F25))</f>
        <v>0.00353335493297732</v>
      </c>
      <c r="T25" s="6" t="str">
        <f aca="false">IF(INDEX(Results_Long!$AG:$AG,$F25)="","NA",INDEX(Results_Long!$AG:$AG,$F25))</f>
        <v>NA</v>
      </c>
      <c r="U25" s="5" t="str">
        <f aca="false">IF(INDEX(Results_Long!$AJ:$AJ,$F25)="","NA",INDEX(Results_Long!$AJ:$AJ,$F25))</f>
        <v>cumulative 3L refit after adding study 'Erragragui (2018)' (median sample_mid = 2005.50); ordering: study-wise median sample_mid, ties alphabetical [DEC-045/H-Q17]; full display (CI band)</v>
      </c>
    </row>
    <row r="26" customFormat="false" ht="35.05" hidden="false" customHeight="false" outlineLevel="0" collapsed="false">
      <c r="A26" s="6" t="s">
        <v>314</v>
      </c>
      <c r="B26" s="7" t="s">
        <v>277</v>
      </c>
      <c r="C26" s="7" t="s">
        <v>278</v>
      </c>
      <c r="D26" s="7" t="s">
        <v>315</v>
      </c>
      <c r="E26" s="7" t="s">
        <v>316</v>
      </c>
      <c r="F26" s="8" t="n">
        <f aca="false">SUMPRODUCT((Results_Long!$A$2:$A$178=$B26)*(Results_Long!$B$2:$B$178=$C26)*(Results_Long!$C$2:$C$178=$D26)*(Results_Long!$D$2:$D$178=$E26)*ROW(Results_Long!$A$2:$A$178))</f>
        <v>40</v>
      </c>
      <c r="G26" s="9" t="n">
        <f aca="false">IF(INDEX(Results_Long!$H:$H,$F26)="","NA",INDEX(Results_Long!$H:$H,$F26))</f>
        <v>338</v>
      </c>
      <c r="H26" s="9" t="n">
        <f aca="false">IF(INDEX(Results_Long!$I:$I,$F26)="","NA",INDEX(Results_Long!$I:$I,$F26))</f>
        <v>13</v>
      </c>
      <c r="I26" s="9" t="n">
        <f aca="false">IF(INDEX(Results_Long!$J:$J,$F26)="","NA",INDEX(Results_Long!$J:$J,$F26))</f>
        <v>13</v>
      </c>
      <c r="J26" s="10" t="n">
        <f aca="false">IF(INDEX(Results_Long!$K:$K,$F26)="","NA",INDEX(Results_Long!$K:$K,$F26))</f>
        <v>-0.021172503632348</v>
      </c>
      <c r="K26" s="10" t="n">
        <f aca="false">IF(INDEX(Results_Long!$P:$P,$F26)="","NA",INDEX(Results_Long!$P:$P,$F26))</f>
        <v>-0.0334627669272593</v>
      </c>
      <c r="L26" s="10" t="n">
        <f aca="false">IF(INDEX(Results_Long!$Q:$Q,$F26)="","NA",INDEX(Results_Long!$Q:$Q,$F26))</f>
        <v>-0.00888224033743674</v>
      </c>
      <c r="M26" s="10" t="n">
        <f aca="false">IF(INDEX(Results_Long!$T:$T,$F26)="","NA",INDEX(Results_Long!$T:$T,$F26))</f>
        <v>-0.0211693404988076</v>
      </c>
      <c r="N26" s="10" t="n">
        <f aca="false">IF(INDEX(Results_Long!$U:$U,$F26)="","NA",INDEX(Results_Long!$U:$U,$F26))</f>
        <v>-0.0334502824657789</v>
      </c>
      <c r="O26" s="10" t="n">
        <f aca="false">IF(INDEX(Results_Long!$V:$V,$F26)="","NA",INDEX(Results_Long!$V:$V,$F26))</f>
        <v>-0.00888200675907889</v>
      </c>
      <c r="P26" s="10" t="n">
        <f aca="false">IF(INDEX(Results_Long!$L:$L,$F26)="","NA",INDEX(Results_Long!$L:$L,$F26))</f>
        <v>0.00492124296868484</v>
      </c>
      <c r="Q26" s="11" t="n">
        <f aca="false">IF(INDEX(Results_Long!$M:$M,$F26)="","NA",INDEX(Results_Long!$M:$M,$F26))</f>
        <v>-4.30226748954974</v>
      </c>
      <c r="R26" s="12" t="n">
        <f aca="false">IF(INDEX(Results_Long!$N:$N,$F26)="","NA",INDEX(Results_Long!$N:$N,$F26))</f>
        <v>5.53688305540375</v>
      </c>
      <c r="S26" s="10" t="n">
        <f aca="false">IF(INDEX(Results_Long!$O:$O,$F26)="","NA",INDEX(Results_Long!$O:$O,$F26))</f>
        <v>0.00610755455189451</v>
      </c>
      <c r="T26" s="6" t="str">
        <f aca="false">IF(INDEX(Results_Long!$AG:$AG,$F26)="","NA",INDEX(Results_Long!$AG:$AG,$F26))</f>
        <v>NA</v>
      </c>
      <c r="U26" s="5" t="str">
        <f aca="false">IF(INDEX(Results_Long!$AJ:$AJ,$F26)="","NA",INDEX(Results_Long!$AJ:$AJ,$F26))</f>
        <v>cumulative 3L refit after adding study 'Zheng (2021)' (median sample_mid = 2006.50); ordering: study-wise median sample_mid, ties alphabetical [DEC-045/H-Q17]; full display (CI band)</v>
      </c>
    </row>
    <row r="27" customFormat="false" ht="35.05" hidden="false" customHeight="false" outlineLevel="0" collapsed="false">
      <c r="A27" s="6" t="s">
        <v>317</v>
      </c>
      <c r="B27" s="7" t="s">
        <v>277</v>
      </c>
      <c r="C27" s="7" t="s">
        <v>278</v>
      </c>
      <c r="D27" s="7" t="s">
        <v>318</v>
      </c>
      <c r="E27" s="7" t="s">
        <v>319</v>
      </c>
      <c r="F27" s="8" t="n">
        <f aca="false">SUMPRODUCT((Results_Long!$A$2:$A$178=$B27)*(Results_Long!$B$2:$B$178=$C27)*(Results_Long!$C$2:$C$178=$D27)*(Results_Long!$D$2:$D$178=$E27)*ROW(Results_Long!$A$2:$A$178))</f>
        <v>41</v>
      </c>
      <c r="G27" s="9" t="n">
        <f aca="false">IF(INDEX(Results_Long!$H:$H,$F27)="","NA",INDEX(Results_Long!$H:$H,$F27))</f>
        <v>356</v>
      </c>
      <c r="H27" s="9" t="n">
        <f aca="false">IF(INDEX(Results_Long!$I:$I,$F27)="","NA",INDEX(Results_Long!$I:$I,$F27))</f>
        <v>14</v>
      </c>
      <c r="I27" s="9" t="n">
        <f aca="false">IF(INDEX(Results_Long!$J:$J,$F27)="","NA",INDEX(Results_Long!$J:$J,$F27))</f>
        <v>14</v>
      </c>
      <c r="J27" s="10" t="n">
        <f aca="false">IF(INDEX(Results_Long!$K:$K,$F27)="","NA",INDEX(Results_Long!$K:$K,$F27))</f>
        <v>-0.0264954411441496</v>
      </c>
      <c r="K27" s="10" t="n">
        <f aca="false">IF(INDEX(Results_Long!$P:$P,$F27)="","NA",INDEX(Results_Long!$P:$P,$F27))</f>
        <v>-0.0416598497785641</v>
      </c>
      <c r="L27" s="10" t="n">
        <f aca="false">IF(INDEX(Results_Long!$Q:$Q,$F27)="","NA",INDEX(Results_Long!$Q:$Q,$F27))</f>
        <v>-0.0113310325097351</v>
      </c>
      <c r="M27" s="10" t="n">
        <f aca="false">IF(INDEX(Results_Long!$T:$T,$F27)="","NA",INDEX(Results_Long!$T:$T,$F27))</f>
        <v>-0.0264892428772104</v>
      </c>
      <c r="N27" s="10" t="n">
        <f aca="false">IF(INDEX(Results_Long!$U:$U,$F27)="","NA",INDEX(Results_Long!$U:$U,$F27))</f>
        <v>-0.0416357656766426</v>
      </c>
      <c r="O27" s="10" t="n">
        <f aca="false">IF(INDEX(Results_Long!$V:$V,$F27)="","NA",INDEX(Results_Long!$V:$V,$F27))</f>
        <v>-0.0113305475955389</v>
      </c>
      <c r="P27" s="10" t="n">
        <f aca="false">IF(INDEX(Results_Long!$L:$L,$F27)="","NA",INDEX(Results_Long!$L:$L,$F27))</f>
        <v>0.00665673762597561</v>
      </c>
      <c r="Q27" s="11" t="n">
        <f aca="false">IF(INDEX(Results_Long!$M:$M,$F27)="","NA",INDEX(Results_Long!$M:$M,$F27))</f>
        <v>-3.98024417257492</v>
      </c>
      <c r="R27" s="12" t="n">
        <f aca="false">IF(INDEX(Results_Long!$N:$N,$F27)="","NA",INDEX(Results_Long!$N:$N,$F27))</f>
        <v>8.60574208431064</v>
      </c>
      <c r="S27" s="10" t="n">
        <f aca="false">IF(INDEX(Results_Long!$O:$O,$F27)="","NA",INDEX(Results_Long!$O:$O,$F27))</f>
        <v>0.00350536836837522</v>
      </c>
      <c r="T27" s="6" t="str">
        <f aca="false">IF(INDEX(Results_Long!$AG:$AG,$F27)="","NA",INDEX(Results_Long!$AG:$AG,$F27))</f>
        <v>NA</v>
      </c>
      <c r="U27" s="5" t="str">
        <f aca="false">IF(INDEX(Results_Long!$AJ:$AJ,$F27)="","NA",INDEX(Results_Long!$AJ:$AJ,$F27))</f>
        <v>cumulative 3L refit after adding study 'Li et al (2014)' (median sample_mid = 2008.00); ordering: study-wise median sample_mid, ties alphabetical [DEC-045/H-Q17]; full display (CI band)</v>
      </c>
    </row>
    <row r="28" customFormat="false" ht="35.05" hidden="false" customHeight="false" outlineLevel="0" collapsed="false">
      <c r="A28" s="6" t="s">
        <v>320</v>
      </c>
      <c r="B28" s="7" t="s">
        <v>277</v>
      </c>
      <c r="C28" s="7" t="s">
        <v>278</v>
      </c>
      <c r="D28" s="7" t="s">
        <v>321</v>
      </c>
      <c r="E28" s="7" t="s">
        <v>322</v>
      </c>
      <c r="F28" s="8" t="n">
        <f aca="false">SUMPRODUCT((Results_Long!$A$2:$A$178=$B28)*(Results_Long!$B$2:$B$178=$C28)*(Results_Long!$C$2:$C$178=$D28)*(Results_Long!$D$2:$D$178=$E28)*ROW(Results_Long!$A$2:$A$178))</f>
        <v>42</v>
      </c>
      <c r="G28" s="9" t="n">
        <f aca="false">IF(INDEX(Results_Long!$H:$H,$F28)="","NA",INDEX(Results_Long!$H:$H,$F28))</f>
        <v>375</v>
      </c>
      <c r="H28" s="9" t="n">
        <f aca="false">IF(INDEX(Results_Long!$I:$I,$F28)="","NA",INDEX(Results_Long!$I:$I,$F28))</f>
        <v>15</v>
      </c>
      <c r="I28" s="9" t="n">
        <f aca="false">IF(INDEX(Results_Long!$J:$J,$F28)="","NA",INDEX(Results_Long!$J:$J,$F28))</f>
        <v>15</v>
      </c>
      <c r="J28" s="10" t="n">
        <f aca="false">IF(INDEX(Results_Long!$K:$K,$F28)="","NA",INDEX(Results_Long!$K:$K,$F28))</f>
        <v>-0.0317888848342706</v>
      </c>
      <c r="K28" s="10" t="n">
        <f aca="false">IF(INDEX(Results_Long!$P:$P,$F28)="","NA",INDEX(Results_Long!$P:$P,$F28))</f>
        <v>-0.0492105953886204</v>
      </c>
      <c r="L28" s="10" t="n">
        <f aca="false">IF(INDEX(Results_Long!$Q:$Q,$F28)="","NA",INDEX(Results_Long!$Q:$Q,$F28))</f>
        <v>-0.0143671742799209</v>
      </c>
      <c r="M28" s="10" t="n">
        <f aca="false">IF(INDEX(Results_Long!$T:$T,$F28)="","NA",INDEX(Results_Long!$T:$T,$F28))</f>
        <v>-0.0317781812529514</v>
      </c>
      <c r="N28" s="10" t="n">
        <f aca="false">IF(INDEX(Results_Long!$U:$U,$F28)="","NA",INDEX(Results_Long!$U:$U,$F28))</f>
        <v>-0.049170909681508</v>
      </c>
      <c r="O28" s="10" t="n">
        <f aca="false">IF(INDEX(Results_Long!$V:$V,$F28)="","NA",INDEX(Results_Long!$V:$V,$F28))</f>
        <v>-0.0143661858247706</v>
      </c>
      <c r="P28" s="10" t="n">
        <f aca="false">IF(INDEX(Results_Long!$L:$L,$F28)="","NA",INDEX(Results_Long!$L:$L,$F28))</f>
        <v>0.00783511595219722</v>
      </c>
      <c r="Q28" s="11" t="n">
        <f aca="false">IF(INDEX(Results_Long!$M:$M,$F28)="","NA",INDEX(Results_Long!$M:$M,$F28))</f>
        <v>-4.05723221305436</v>
      </c>
      <c r="R28" s="12" t="n">
        <f aca="false">IF(INDEX(Results_Long!$N:$N,$F28)="","NA",INDEX(Results_Long!$N:$N,$F28))</f>
        <v>10.154843225589</v>
      </c>
      <c r="S28" s="10" t="n">
        <f aca="false">IF(INDEX(Results_Long!$O:$O,$F28)="","NA",INDEX(Results_Long!$O:$O,$F28))</f>
        <v>0.00222567702021553</v>
      </c>
      <c r="T28" s="6" t="str">
        <f aca="false">IF(INDEX(Results_Long!$AG:$AG,$F28)="","NA",INDEX(Results_Long!$AG:$AG,$F28))</f>
        <v>NA</v>
      </c>
      <c r="U28" s="5" t="str">
        <f aca="false">IF(INDEX(Results_Long!$AJ:$AJ,$F28)="","NA",INDEX(Results_Long!$AJ:$AJ,$F28))</f>
        <v>cumulative 3L refit after adding study 'Hoepner et al (2016)' (median sample_mid = 2008.50); ordering: study-wise median sample_mid, ties alphabetical [DEC-045/H-Q17]; full display (CI band)</v>
      </c>
    </row>
    <row r="29" customFormat="false" ht="35.05" hidden="false" customHeight="false" outlineLevel="0" collapsed="false">
      <c r="A29" s="6" t="s">
        <v>323</v>
      </c>
      <c r="B29" s="7" t="s">
        <v>277</v>
      </c>
      <c r="C29" s="7" t="s">
        <v>278</v>
      </c>
      <c r="D29" s="7" t="s">
        <v>324</v>
      </c>
      <c r="E29" s="7" t="s">
        <v>325</v>
      </c>
      <c r="F29" s="8" t="n">
        <f aca="false">SUMPRODUCT((Results_Long!$A$2:$A$178=$B29)*(Results_Long!$B$2:$B$178=$C29)*(Results_Long!$C$2:$C$178=$D29)*(Results_Long!$D$2:$D$178=$E29)*ROW(Results_Long!$A$2:$A$178))</f>
        <v>43</v>
      </c>
      <c r="G29" s="9" t="n">
        <f aca="false">IF(INDEX(Results_Long!$H:$H,$F29)="","NA",INDEX(Results_Long!$H:$H,$F29))</f>
        <v>393</v>
      </c>
      <c r="H29" s="9" t="n">
        <f aca="false">IF(INDEX(Results_Long!$I:$I,$F29)="","NA",INDEX(Results_Long!$I:$I,$F29))</f>
        <v>16</v>
      </c>
      <c r="I29" s="9" t="n">
        <f aca="false">IF(INDEX(Results_Long!$J:$J,$F29)="","NA",INDEX(Results_Long!$J:$J,$F29))</f>
        <v>16</v>
      </c>
      <c r="J29" s="10" t="n">
        <f aca="false">IF(INDEX(Results_Long!$K:$K,$F29)="","NA",INDEX(Results_Long!$K:$K,$F29))</f>
        <v>-0.0328241755191025</v>
      </c>
      <c r="K29" s="10" t="n">
        <f aca="false">IF(INDEX(Results_Long!$P:$P,$F29)="","NA",INDEX(Results_Long!$P:$P,$F29))</f>
        <v>-0.0492558913888496</v>
      </c>
      <c r="L29" s="10" t="n">
        <f aca="false">IF(INDEX(Results_Long!$Q:$Q,$F29)="","NA",INDEX(Results_Long!$Q:$Q,$F29))</f>
        <v>-0.0163924596493553</v>
      </c>
      <c r="M29" s="10" t="n">
        <f aca="false">IF(INDEX(Results_Long!$T:$T,$F29)="","NA",INDEX(Results_Long!$T:$T,$F29))</f>
        <v>-0.0328123920519057</v>
      </c>
      <c r="N29" s="10" t="n">
        <f aca="false">IF(INDEX(Results_Long!$U:$U,$F29)="","NA",INDEX(Results_Long!$U:$U,$F29))</f>
        <v>-0.0492160960653761</v>
      </c>
      <c r="O29" s="10" t="n">
        <f aca="false">IF(INDEX(Results_Long!$V:$V,$F29)="","NA",INDEX(Results_Long!$V:$V,$F29))</f>
        <v>-0.0163909915196109</v>
      </c>
      <c r="P29" s="10" t="n">
        <f aca="false">IF(INDEX(Results_Long!$L:$L,$F29)="","NA",INDEX(Results_Long!$L:$L,$F29))</f>
        <v>0.00733826165532518</v>
      </c>
      <c r="Q29" s="11" t="n">
        <f aca="false">IF(INDEX(Results_Long!$M:$M,$F29)="","NA",INDEX(Results_Long!$M:$M,$F29))</f>
        <v>-4.47301787001324</v>
      </c>
      <c r="R29" s="12" t="n">
        <f aca="false">IF(INDEX(Results_Long!$N:$N,$F29)="","NA",INDEX(Results_Long!$N:$N,$F29))</f>
        <v>9.64871705777049</v>
      </c>
      <c r="S29" s="10" t="n">
        <f aca="false">IF(INDEX(Results_Long!$O:$O,$F29)="","NA",INDEX(Results_Long!$O:$O,$F29))</f>
        <v>0.00130223531169592</v>
      </c>
      <c r="T29" s="6" t="str">
        <f aca="false">IF(INDEX(Results_Long!$AG:$AG,$F29)="","NA",INDEX(Results_Long!$AG:$AG,$F29))</f>
        <v>NA</v>
      </c>
      <c r="U29" s="5" t="str">
        <f aca="false">IF(INDEX(Results_Long!$AJ:$AJ,$F29)="","NA",INDEX(Results_Long!$AJ:$AJ,$F29))</f>
        <v>cumulative 3L refit after adding study 'Wang et al (2020)' (median sample_mid = 2009.50); ordering: study-wise median sample_mid, ties alphabetical [DEC-045/H-Q17]; full display (CI band)</v>
      </c>
    </row>
    <row r="30" customFormat="false" ht="35.05" hidden="false" customHeight="false" outlineLevel="0" collapsed="false">
      <c r="A30" s="6" t="s">
        <v>326</v>
      </c>
      <c r="B30" s="7" t="s">
        <v>277</v>
      </c>
      <c r="C30" s="7" t="s">
        <v>278</v>
      </c>
      <c r="D30" s="7" t="s">
        <v>327</v>
      </c>
      <c r="E30" s="7" t="s">
        <v>328</v>
      </c>
      <c r="F30" s="8" t="n">
        <f aca="false">SUMPRODUCT((Results_Long!$A$2:$A$178=$B30)*(Results_Long!$B$2:$B$178=$C30)*(Results_Long!$C$2:$C$178=$D30)*(Results_Long!$D$2:$D$178=$E30)*ROW(Results_Long!$A$2:$A$178))</f>
        <v>44</v>
      </c>
      <c r="G30" s="9" t="n">
        <f aca="false">IF(INDEX(Results_Long!$H:$H,$F30)="","NA",INDEX(Results_Long!$H:$H,$F30))</f>
        <v>452</v>
      </c>
      <c r="H30" s="9" t="n">
        <f aca="false">IF(INDEX(Results_Long!$I:$I,$F30)="","NA",INDEX(Results_Long!$I:$I,$F30))</f>
        <v>17</v>
      </c>
      <c r="I30" s="9" t="n">
        <f aca="false">IF(INDEX(Results_Long!$J:$J,$F30)="","NA",INDEX(Results_Long!$J:$J,$F30))</f>
        <v>17</v>
      </c>
      <c r="J30" s="10" t="n">
        <f aca="false">IF(INDEX(Results_Long!$K:$K,$F30)="","NA",INDEX(Results_Long!$K:$K,$F30))</f>
        <v>-0.02932850519164</v>
      </c>
      <c r="K30" s="10" t="n">
        <f aca="false">IF(INDEX(Results_Long!$P:$P,$F30)="","NA",INDEX(Results_Long!$P:$P,$F30))</f>
        <v>-0.0486817133729574</v>
      </c>
      <c r="L30" s="10" t="n">
        <f aca="false">IF(INDEX(Results_Long!$Q:$Q,$F30)="","NA",INDEX(Results_Long!$Q:$Q,$F30))</f>
        <v>-0.00997529701032257</v>
      </c>
      <c r="M30" s="10" t="n">
        <f aca="false">IF(INDEX(Results_Long!$T:$T,$F30)="","NA",INDEX(Results_Long!$T:$T,$F30))</f>
        <v>-0.0293200990029952</v>
      </c>
      <c r="N30" s="10" t="n">
        <f aca="false">IF(INDEX(Results_Long!$U:$U,$F30)="","NA",INDEX(Results_Long!$U:$U,$F30))</f>
        <v>-0.0486432927135303</v>
      </c>
      <c r="O30" s="10" t="n">
        <f aca="false">IF(INDEX(Results_Long!$V:$V,$F30)="","NA",INDEX(Results_Long!$V:$V,$F30))</f>
        <v>-0.00997496615435978</v>
      </c>
      <c r="P30" s="10" t="n">
        <f aca="false">IF(INDEX(Results_Long!$L:$L,$F30)="","NA",INDEX(Results_Long!$L:$L,$F30))</f>
        <v>0.00895460581417768</v>
      </c>
      <c r="Q30" s="11" t="n">
        <f aca="false">IF(INDEX(Results_Long!$M:$M,$F30)="","NA",INDEX(Results_Long!$M:$M,$F30))</f>
        <v>-3.27524246184066</v>
      </c>
      <c r="R30" s="12" t="n">
        <f aca="false">IF(INDEX(Results_Long!$N:$N,$F30)="","NA",INDEX(Results_Long!$N:$N,$F30))</f>
        <v>12.947620740944</v>
      </c>
      <c r="S30" s="10" t="n">
        <f aca="false">IF(INDEX(Results_Long!$O:$O,$F30)="","NA",INDEX(Results_Long!$O:$O,$F30))</f>
        <v>0.00605711672111832</v>
      </c>
      <c r="T30" s="6" t="str">
        <f aca="false">IF(INDEX(Results_Long!$AG:$AG,$F30)="","NA",INDEX(Results_Long!$AG:$AG,$F30))</f>
        <v>NA</v>
      </c>
      <c r="U30" s="5" t="str">
        <f aca="false">IF(INDEX(Results_Long!$AJ:$AJ,$F30)="","NA",INDEX(Results_Long!$AJ:$AJ,$F30))</f>
        <v>cumulative 3L refit after adding study 'D'Arcangelo et al (2025)' (median sample_mid = 2010.00); ordering: study-wise median sample_mid, ties alphabetical [DEC-045/H-Q17]; full display (CI band)</v>
      </c>
    </row>
    <row r="31" customFormat="false" ht="35.05" hidden="false" customHeight="false" outlineLevel="0" collapsed="false">
      <c r="A31" s="6" t="s">
        <v>329</v>
      </c>
      <c r="B31" s="7" t="s">
        <v>277</v>
      </c>
      <c r="C31" s="7" t="s">
        <v>278</v>
      </c>
      <c r="D31" s="7" t="s">
        <v>330</v>
      </c>
      <c r="E31" s="7" t="s">
        <v>331</v>
      </c>
      <c r="F31" s="8" t="n">
        <f aca="false">SUMPRODUCT((Results_Long!$A$2:$A$178=$B31)*(Results_Long!$B$2:$B$178=$C31)*(Results_Long!$C$2:$C$178=$D31)*(Results_Long!$D$2:$D$178=$E31)*ROW(Results_Long!$A$2:$A$178))</f>
        <v>45</v>
      </c>
      <c r="G31" s="9" t="n">
        <f aca="false">IF(INDEX(Results_Long!$H:$H,$F31)="","NA",INDEX(Results_Long!$H:$H,$F31))</f>
        <v>484</v>
      </c>
      <c r="H31" s="9" t="n">
        <f aca="false">IF(INDEX(Results_Long!$I:$I,$F31)="","NA",INDEX(Results_Long!$I:$I,$F31))</f>
        <v>18</v>
      </c>
      <c r="I31" s="9" t="n">
        <f aca="false">IF(INDEX(Results_Long!$J:$J,$F31)="","NA",INDEX(Results_Long!$J:$J,$F31))</f>
        <v>18</v>
      </c>
      <c r="J31" s="10" t="n">
        <f aca="false">IF(INDEX(Results_Long!$K:$K,$F31)="","NA",INDEX(Results_Long!$K:$K,$F31))</f>
        <v>-0.0285963747647617</v>
      </c>
      <c r="K31" s="10" t="n">
        <f aca="false">IF(INDEX(Results_Long!$P:$P,$F31)="","NA",INDEX(Results_Long!$P:$P,$F31))</f>
        <v>-0.0462984576491703</v>
      </c>
      <c r="L31" s="10" t="n">
        <f aca="false">IF(INDEX(Results_Long!$Q:$Q,$F31)="","NA",INDEX(Results_Long!$Q:$Q,$F31))</f>
        <v>-0.010894291880353</v>
      </c>
      <c r="M31" s="10" t="n">
        <f aca="false">IF(INDEX(Results_Long!$T:$T,$F31)="","NA",INDEX(Results_Long!$T:$T,$F31))</f>
        <v>-0.0285885823932329</v>
      </c>
      <c r="N31" s="10" t="n">
        <f aca="false">IF(INDEX(Results_Long!$U:$U,$F31)="","NA",INDEX(Results_Long!$U:$U,$F31))</f>
        <v>-0.0462654050127139</v>
      </c>
      <c r="O31" s="10" t="n">
        <f aca="false">IF(INDEX(Results_Long!$V:$V,$F31)="","NA",INDEX(Results_Long!$V:$V,$F31))</f>
        <v>-0.0108938609023066</v>
      </c>
      <c r="P31" s="10" t="n">
        <f aca="false">IF(INDEX(Results_Long!$L:$L,$F31)="","NA",INDEX(Results_Long!$L:$L,$F31))</f>
        <v>0.00822362320084919</v>
      </c>
      <c r="Q31" s="11" t="n">
        <f aca="false">IF(INDEX(Results_Long!$M:$M,$F31)="","NA",INDEX(Results_Long!$M:$M,$F31))</f>
        <v>-3.47734496904099</v>
      </c>
      <c r="R31" s="12" t="n">
        <f aca="false">IF(INDEX(Results_Long!$N:$N,$F31)="","NA",INDEX(Results_Long!$N:$N,$F31))</f>
        <v>13.4790727029146</v>
      </c>
      <c r="S31" s="10" t="n">
        <f aca="false">IF(INDEX(Results_Long!$O:$O,$F31)="","NA",INDEX(Results_Long!$O:$O,$F31))</f>
        <v>0.00389131197737028</v>
      </c>
      <c r="T31" s="6" t="str">
        <f aca="false">IF(INDEX(Results_Long!$AG:$AG,$F31)="","NA",INDEX(Results_Long!$AG:$AG,$F31))</f>
        <v>NA</v>
      </c>
      <c r="U31" s="5" t="str">
        <f aca="false">IF(INDEX(Results_Long!$AJ:$AJ,$F31)="","NA",INDEX(Results_Long!$AJ:$AJ,$F31))</f>
        <v>cumulative 3L refit after adding study 'Du et al (2015)' (median sample_mid = 2010.00); ordering: study-wise median sample_mid, ties alphabetical [DEC-045/H-Q17]; full display (CI band)</v>
      </c>
    </row>
    <row r="32" customFormat="false" ht="35.05" hidden="false" customHeight="false" outlineLevel="0" collapsed="false">
      <c r="A32" s="6" t="s">
        <v>332</v>
      </c>
      <c r="B32" s="7" t="s">
        <v>277</v>
      </c>
      <c r="C32" s="7" t="s">
        <v>278</v>
      </c>
      <c r="D32" s="7" t="s">
        <v>333</v>
      </c>
      <c r="E32" s="7" t="s">
        <v>334</v>
      </c>
      <c r="F32" s="8" t="n">
        <f aca="false">SUMPRODUCT((Results_Long!$A$2:$A$178=$B32)*(Results_Long!$B$2:$B$178=$C32)*(Results_Long!$C$2:$C$178=$D32)*(Results_Long!$D$2:$D$178=$E32)*ROW(Results_Long!$A$2:$A$178))</f>
        <v>46</v>
      </c>
      <c r="G32" s="9" t="n">
        <f aca="false">IF(INDEX(Results_Long!$H:$H,$F32)="","NA",INDEX(Results_Long!$H:$H,$F32))</f>
        <v>520</v>
      </c>
      <c r="H32" s="9" t="n">
        <f aca="false">IF(INDEX(Results_Long!$I:$I,$F32)="","NA",INDEX(Results_Long!$I:$I,$F32))</f>
        <v>19</v>
      </c>
      <c r="I32" s="9" t="n">
        <f aca="false">IF(INDEX(Results_Long!$J:$J,$F32)="","NA",INDEX(Results_Long!$J:$J,$F32))</f>
        <v>19</v>
      </c>
      <c r="J32" s="10" t="n">
        <f aca="false">IF(INDEX(Results_Long!$K:$K,$F32)="","NA",INDEX(Results_Long!$K:$K,$F32))</f>
        <v>-0.0309724245104086</v>
      </c>
      <c r="K32" s="10" t="n">
        <f aca="false">IF(INDEX(Results_Long!$P:$P,$F32)="","NA",INDEX(Results_Long!$P:$P,$F32))</f>
        <v>-0.0487121643950637</v>
      </c>
      <c r="L32" s="10" t="n">
        <f aca="false">IF(INDEX(Results_Long!$Q:$Q,$F32)="","NA",INDEX(Results_Long!$Q:$Q,$F32))</f>
        <v>-0.0132326846257535</v>
      </c>
      <c r="M32" s="10" t="n">
        <f aca="false">IF(INDEX(Results_Long!$T:$T,$F32)="","NA",INDEX(Results_Long!$T:$T,$F32))</f>
        <v>-0.0309625244523527</v>
      </c>
      <c r="N32" s="10" t="n">
        <f aca="false">IF(INDEX(Results_Long!$U:$U,$F32)="","NA",INDEX(Results_Long!$U:$U,$F32))</f>
        <v>-0.048673671638336</v>
      </c>
      <c r="O32" s="10" t="n">
        <f aca="false">IF(INDEX(Results_Long!$V:$V,$F32)="","NA",INDEX(Results_Long!$V:$V,$F32))</f>
        <v>-0.0132319123147651</v>
      </c>
      <c r="P32" s="10" t="n">
        <f aca="false">IF(INDEX(Results_Long!$L:$L,$F32)="","NA",INDEX(Results_Long!$L:$L,$F32))</f>
        <v>0.00831815427484082</v>
      </c>
      <c r="Q32" s="11" t="n">
        <f aca="false">IF(INDEX(Results_Long!$M:$M,$F32)="","NA",INDEX(Results_Long!$M:$M,$F32))</f>
        <v>-3.72347319934762</v>
      </c>
      <c r="R32" s="12" t="n">
        <f aca="false">IF(INDEX(Results_Long!$N:$N,$F32)="","NA",INDEX(Results_Long!$N:$N,$F32))</f>
        <v>14.903406336752</v>
      </c>
      <c r="S32" s="10" t="n">
        <f aca="false">IF(INDEX(Results_Long!$O:$O,$F32)="","NA",INDEX(Results_Long!$O:$O,$F32))</f>
        <v>0.00205904761361459</v>
      </c>
      <c r="T32" s="6" t="str">
        <f aca="false">IF(INDEX(Results_Long!$AG:$AG,$F32)="","NA",INDEX(Results_Long!$AG:$AG,$F32))</f>
        <v>NA</v>
      </c>
      <c r="U32" s="5" t="str">
        <f aca="false">IF(INDEX(Results_Long!$AJ:$AJ,$F32)="","NA",INDEX(Results_Long!$AJ:$AJ,$F32))</f>
        <v>cumulative 3L refit after adding study 'Hansen &amp; Marcet (2025)' (median sample_mid = 2010.00); ordering: study-wise median sample_mid, ties alphabetical [DEC-045/H-Q17]; full display (CI band)</v>
      </c>
    </row>
    <row r="33" customFormat="false" ht="35.05" hidden="false" customHeight="false" outlineLevel="0" collapsed="false">
      <c r="A33" s="6" t="s">
        <v>335</v>
      </c>
      <c r="B33" s="7" t="s">
        <v>277</v>
      </c>
      <c r="C33" s="7" t="s">
        <v>278</v>
      </c>
      <c r="D33" s="7" t="s">
        <v>336</v>
      </c>
      <c r="E33" s="7" t="s">
        <v>337</v>
      </c>
      <c r="F33" s="8" t="n">
        <f aca="false">SUMPRODUCT((Results_Long!$A$2:$A$178=$B33)*(Results_Long!$B$2:$B$178=$C33)*(Results_Long!$C$2:$C$178=$D33)*(Results_Long!$D$2:$D$178=$E33)*ROW(Results_Long!$A$2:$A$178))</f>
        <v>47</v>
      </c>
      <c r="G33" s="9" t="n">
        <f aca="false">IF(INDEX(Results_Long!$H:$H,$F33)="","NA",INDEX(Results_Long!$H:$H,$F33))</f>
        <v>624</v>
      </c>
      <c r="H33" s="9" t="n">
        <f aca="false">IF(INDEX(Results_Long!$I:$I,$F33)="","NA",INDEX(Results_Long!$I:$I,$F33))</f>
        <v>20</v>
      </c>
      <c r="I33" s="9" t="n">
        <f aca="false">IF(INDEX(Results_Long!$J:$J,$F33)="","NA",INDEX(Results_Long!$J:$J,$F33))</f>
        <v>20</v>
      </c>
      <c r="J33" s="10" t="n">
        <f aca="false">IF(INDEX(Results_Long!$K:$K,$F33)="","NA",INDEX(Results_Long!$K:$K,$F33))</f>
        <v>-0.0307828514533944</v>
      </c>
      <c r="K33" s="10" t="n">
        <f aca="false">IF(INDEX(Results_Long!$P:$P,$F33)="","NA",INDEX(Results_Long!$P:$P,$F33))</f>
        <v>-0.0470950198483294</v>
      </c>
      <c r="L33" s="10" t="n">
        <f aca="false">IF(INDEX(Results_Long!$Q:$Q,$F33)="","NA",INDEX(Results_Long!$Q:$Q,$F33))</f>
        <v>-0.0144706830584595</v>
      </c>
      <c r="M33" s="10" t="n">
        <f aca="false">IF(INDEX(Results_Long!$T:$T,$F33)="","NA",INDEX(Results_Long!$T:$T,$F33))</f>
        <v>-0.0307731320254422</v>
      </c>
      <c r="N33" s="10" t="n">
        <f aca="false">IF(INDEX(Results_Long!$U:$U,$F33)="","NA",INDEX(Results_Long!$U:$U,$F33))</f>
        <v>-0.0470602327201713</v>
      </c>
      <c r="O33" s="10" t="n">
        <f aca="false">IF(INDEX(Results_Long!$V:$V,$F33)="","NA",INDEX(Results_Long!$V:$V,$F33))</f>
        <v>-0.0144696730861544</v>
      </c>
      <c r="P33" s="10" t="n">
        <f aca="false">IF(INDEX(Results_Long!$L:$L,$F33)="","NA",INDEX(Results_Long!$L:$L,$F33))</f>
        <v>0.00768253251842083</v>
      </c>
      <c r="Q33" s="11" t="n">
        <f aca="false">IF(INDEX(Results_Long!$M:$M,$F33)="","NA",INDEX(Results_Long!$M:$M,$F33))</f>
        <v>-4.0068625000395</v>
      </c>
      <c r="R33" s="12" t="n">
        <f aca="false">IF(INDEX(Results_Long!$N:$N,$F33)="","NA",INDEX(Results_Long!$N:$N,$F33))</f>
        <v>15.6930619416886</v>
      </c>
      <c r="S33" s="10" t="n">
        <f aca="false">IF(INDEX(Results_Long!$O:$O,$F33)="","NA",INDEX(Results_Long!$O:$O,$F33))</f>
        <v>0.00105327287129681</v>
      </c>
      <c r="T33" s="6" t="str">
        <f aca="false">IF(INDEX(Results_Long!$AG:$AG,$F33)="","NA",INDEX(Results_Long!$AG:$AG,$F33))</f>
        <v>NA</v>
      </c>
      <c r="U33" s="5" t="str">
        <f aca="false">IF(INDEX(Results_Long!$AJ:$AJ,$F33)="","NA",INDEX(Results_Long!$AJ:$AJ,$F33))</f>
        <v>cumulative 3L refit after adding study 'Trinh et al (2024)' (median sample_mid = 2010.00); ordering: study-wise median sample_mid, ties alphabetical [DEC-045/H-Q17]; full display (CI band)</v>
      </c>
    </row>
    <row r="34" customFormat="false" ht="35.05" hidden="false" customHeight="false" outlineLevel="0" collapsed="false">
      <c r="A34" s="6" t="s">
        <v>338</v>
      </c>
      <c r="B34" s="7" t="s">
        <v>277</v>
      </c>
      <c r="C34" s="7" t="s">
        <v>278</v>
      </c>
      <c r="D34" s="7" t="s">
        <v>339</v>
      </c>
      <c r="E34" s="7" t="s">
        <v>340</v>
      </c>
      <c r="F34" s="8" t="n">
        <f aca="false">SUMPRODUCT((Results_Long!$A$2:$A$178=$B34)*(Results_Long!$B$2:$B$178=$C34)*(Results_Long!$C$2:$C$178=$D34)*(Results_Long!$D$2:$D$178=$E34)*ROW(Results_Long!$A$2:$A$178))</f>
        <v>48</v>
      </c>
      <c r="G34" s="9" t="n">
        <f aca="false">IF(INDEX(Results_Long!$H:$H,$F34)="","NA",INDEX(Results_Long!$H:$H,$F34))</f>
        <v>680</v>
      </c>
      <c r="H34" s="9" t="n">
        <f aca="false">IF(INDEX(Results_Long!$I:$I,$F34)="","NA",INDEX(Results_Long!$I:$I,$F34))</f>
        <v>21</v>
      </c>
      <c r="I34" s="9" t="n">
        <f aca="false">IF(INDEX(Results_Long!$J:$J,$F34)="","NA",INDEX(Results_Long!$J:$J,$F34))</f>
        <v>21</v>
      </c>
      <c r="J34" s="10" t="n">
        <f aca="false">IF(INDEX(Results_Long!$K:$K,$F34)="","NA",INDEX(Results_Long!$K:$K,$F34))</f>
        <v>-0.0353875668053365</v>
      </c>
      <c r="K34" s="10" t="n">
        <f aca="false">IF(INDEX(Results_Long!$P:$P,$F34)="","NA",INDEX(Results_Long!$P:$P,$F34))</f>
        <v>-0.0523027938575524</v>
      </c>
      <c r="L34" s="10" t="n">
        <f aca="false">IF(INDEX(Results_Long!$Q:$Q,$F34)="","NA",INDEX(Results_Long!$Q:$Q,$F34))</f>
        <v>-0.0184723397531207</v>
      </c>
      <c r="M34" s="10" t="n">
        <f aca="false">IF(INDEX(Results_Long!$T:$T,$F34)="","NA",INDEX(Results_Long!$T:$T,$F34))</f>
        <v>-0.0353728024882259</v>
      </c>
      <c r="N34" s="10" t="n">
        <f aca="false">IF(INDEX(Results_Long!$U:$U,$F34)="","NA",INDEX(Results_Long!$U:$U,$F34))</f>
        <v>-0.0522551531221811</v>
      </c>
      <c r="O34" s="10" t="n">
        <f aca="false">IF(INDEX(Results_Long!$V:$V,$F34)="","NA",INDEX(Results_Long!$V:$V,$F34))</f>
        <v>-0.0184702389507664</v>
      </c>
      <c r="P34" s="10" t="n">
        <f aca="false">IF(INDEX(Results_Long!$L:$L,$F34)="","NA",INDEX(Results_Long!$L:$L,$F34))</f>
        <v>0.00801377466887705</v>
      </c>
      <c r="Q34" s="11" t="n">
        <f aca="false">IF(INDEX(Results_Long!$M:$M,$F34)="","NA",INDEX(Results_Long!$M:$M,$F34))</f>
        <v>-4.41584250462776</v>
      </c>
      <c r="R34" s="12" t="n">
        <f aca="false">IF(INDEX(Results_Long!$N:$N,$F34)="","NA",INDEX(Results_Long!$N:$N,$F34))</f>
        <v>16.8997893185356</v>
      </c>
      <c r="S34" s="10" t="n">
        <f aca="false">IF(INDEX(Results_Long!$O:$O,$F34)="","NA",INDEX(Results_Long!$O:$O,$F34))</f>
        <v>0.00038308908497325</v>
      </c>
      <c r="T34" s="6" t="str">
        <f aca="false">IF(INDEX(Results_Long!$AG:$AG,$F34)="","NA",INDEX(Results_Long!$AG:$AG,$F34))</f>
        <v>NA</v>
      </c>
      <c r="U34" s="5" t="str">
        <f aca="false">IF(INDEX(Results_Long!$AJ:$AJ,$F34)="","NA",INDEX(Results_Long!$AJ:$AJ,$F34))</f>
        <v>cumulative 3L refit after adding study 'Al-Fakir Al Rabab'a et al (2023)' (median sample_mid = 2010.50); ordering: study-wise median sample_mid, ties alphabetical [DEC-045/H-Q17]; full display (CI band)</v>
      </c>
    </row>
    <row r="35" customFormat="false" ht="35.05" hidden="false" customHeight="false" outlineLevel="0" collapsed="false">
      <c r="A35" s="6" t="s">
        <v>341</v>
      </c>
      <c r="B35" s="7" t="s">
        <v>277</v>
      </c>
      <c r="C35" s="7" t="s">
        <v>278</v>
      </c>
      <c r="D35" s="7" t="s">
        <v>342</v>
      </c>
      <c r="E35" s="7" t="s">
        <v>343</v>
      </c>
      <c r="F35" s="8" t="n">
        <f aca="false">SUMPRODUCT((Results_Long!$A$2:$A$178=$B35)*(Results_Long!$B$2:$B$178=$C35)*(Results_Long!$C$2:$C$178=$D35)*(Results_Long!$D$2:$D$178=$E35)*ROW(Results_Long!$A$2:$A$178))</f>
        <v>49</v>
      </c>
      <c r="G35" s="9" t="n">
        <f aca="false">IF(INDEX(Results_Long!$H:$H,$F35)="","NA",INDEX(Results_Long!$H:$H,$F35))</f>
        <v>696</v>
      </c>
      <c r="H35" s="9" t="n">
        <f aca="false">IF(INDEX(Results_Long!$I:$I,$F35)="","NA",INDEX(Results_Long!$I:$I,$F35))</f>
        <v>22</v>
      </c>
      <c r="I35" s="9" t="n">
        <f aca="false">IF(INDEX(Results_Long!$J:$J,$F35)="","NA",INDEX(Results_Long!$J:$J,$F35))</f>
        <v>22</v>
      </c>
      <c r="J35" s="10" t="n">
        <f aca="false">IF(INDEX(Results_Long!$K:$K,$F35)="","NA",INDEX(Results_Long!$K:$K,$F35))</f>
        <v>-0.032301845147585</v>
      </c>
      <c r="K35" s="10" t="n">
        <f aca="false">IF(INDEX(Results_Long!$P:$P,$F35)="","NA",INDEX(Results_Long!$P:$P,$F35))</f>
        <v>-0.0496042580763511</v>
      </c>
      <c r="L35" s="10" t="n">
        <f aca="false">IF(INDEX(Results_Long!$Q:$Q,$F35)="","NA",INDEX(Results_Long!$Q:$Q,$F35))</f>
        <v>-0.0149994322188189</v>
      </c>
      <c r="M35" s="10" t="n">
        <f aca="false">IF(INDEX(Results_Long!$T:$T,$F35)="","NA",INDEX(Results_Long!$T:$T,$F35))</f>
        <v>-0.0322906151537526</v>
      </c>
      <c r="N35" s="10" t="n">
        <f aca="false">IF(INDEX(Results_Long!$U:$U,$F35)="","NA",INDEX(Results_Long!$U:$U,$F35))</f>
        <v>-0.0495636129583657</v>
      </c>
      <c r="O35" s="10" t="n">
        <f aca="false">IF(INDEX(Results_Long!$V:$V,$F35)="","NA",INDEX(Results_Long!$V:$V,$F35))</f>
        <v>-0.0149983074477864</v>
      </c>
      <c r="P35" s="10" t="n">
        <f aca="false">IF(INDEX(Results_Long!$L:$L,$F35)="","NA",INDEX(Results_Long!$L:$L,$F35))</f>
        <v>0.00824094459658414</v>
      </c>
      <c r="Q35" s="11" t="n">
        <f aca="false">IF(INDEX(Results_Long!$M:$M,$F35)="","NA",INDEX(Results_Long!$M:$M,$F35))</f>
        <v>-3.91967750407812</v>
      </c>
      <c r="R35" s="12" t="n">
        <f aca="false">IF(INDEX(Results_Long!$N:$N,$F35)="","NA",INDEX(Results_Long!$N:$N,$F35))</f>
        <v>18.1635703133508</v>
      </c>
      <c r="S35" s="10" t="n">
        <f aca="false">IF(INDEX(Results_Long!$O:$O,$F35)="","NA",INDEX(Results_Long!$O:$O,$F35))</f>
        <v>0.000989718060709669</v>
      </c>
      <c r="T35" s="6" t="str">
        <f aca="false">IF(INDEX(Results_Long!$AG:$AG,$F35)="","NA",INDEX(Results_Long!$AG:$AG,$F35))</f>
        <v>NA</v>
      </c>
      <c r="U35" s="5" t="str">
        <f aca="false">IF(INDEX(Results_Long!$AJ:$AJ,$F35)="","NA",INDEX(Results_Long!$AJ:$AJ,$F35))</f>
        <v>cumulative 3L refit after adding study 'Attig et al (2025)' (median sample_mid = 2010.50); ordering: study-wise median sample_mid, ties alphabetical [DEC-045/H-Q17]; full display (CI band)</v>
      </c>
    </row>
    <row r="36" customFormat="false" ht="35.05" hidden="false" customHeight="false" outlineLevel="0" collapsed="false">
      <c r="A36" s="6" t="s">
        <v>344</v>
      </c>
      <c r="B36" s="7" t="s">
        <v>277</v>
      </c>
      <c r="C36" s="7" t="s">
        <v>278</v>
      </c>
      <c r="D36" s="7" t="s">
        <v>345</v>
      </c>
      <c r="E36" s="7" t="s">
        <v>346</v>
      </c>
      <c r="F36" s="8" t="n">
        <f aca="false">SUMPRODUCT((Results_Long!$A$2:$A$178=$B36)*(Results_Long!$B$2:$B$178=$C36)*(Results_Long!$C$2:$C$178=$D36)*(Results_Long!$D$2:$D$178=$E36)*ROW(Results_Long!$A$2:$A$178))</f>
        <v>50</v>
      </c>
      <c r="G36" s="9" t="n">
        <f aca="false">IF(INDEX(Results_Long!$H:$H,$F36)="","NA",INDEX(Results_Long!$H:$H,$F36))</f>
        <v>709</v>
      </c>
      <c r="H36" s="9" t="n">
        <f aca="false">IF(INDEX(Results_Long!$I:$I,$F36)="","NA",INDEX(Results_Long!$I:$I,$F36))</f>
        <v>23</v>
      </c>
      <c r="I36" s="9" t="n">
        <f aca="false">IF(INDEX(Results_Long!$J:$J,$F36)="","NA",INDEX(Results_Long!$J:$J,$F36))</f>
        <v>23</v>
      </c>
      <c r="J36" s="10" t="n">
        <f aca="false">IF(INDEX(Results_Long!$K:$K,$F36)="","NA",INDEX(Results_Long!$K:$K,$F36))</f>
        <v>-0.0308042764373465</v>
      </c>
      <c r="K36" s="10" t="n">
        <f aca="false">IF(INDEX(Results_Long!$P:$P,$F36)="","NA",INDEX(Results_Long!$P:$P,$F36))</f>
        <v>-0.047325851164811</v>
      </c>
      <c r="L36" s="10" t="n">
        <f aca="false">IF(INDEX(Results_Long!$Q:$Q,$F36)="","NA",INDEX(Results_Long!$Q:$Q,$F36))</f>
        <v>-0.0142827017098821</v>
      </c>
      <c r="M36" s="10" t="n">
        <f aca="false">IF(INDEX(Results_Long!$T:$T,$F36)="","NA",INDEX(Results_Long!$T:$T,$F36))</f>
        <v>-0.0307945367061262</v>
      </c>
      <c r="N36" s="10" t="n">
        <f aca="false">IF(INDEX(Results_Long!$U:$U,$F36)="","NA",INDEX(Results_Long!$U:$U,$F36))</f>
        <v>-0.047290550316474</v>
      </c>
      <c r="O36" s="10" t="n">
        <f aca="false">IF(INDEX(Results_Long!$V:$V,$F36)="","NA",INDEX(Results_Long!$V:$V,$F36))</f>
        <v>-0.0142817305865074</v>
      </c>
      <c r="P36" s="10" t="n">
        <f aca="false">IF(INDEX(Results_Long!$L:$L,$F36)="","NA",INDEX(Results_Long!$L:$L,$F36))</f>
        <v>0.00789636947499358</v>
      </c>
      <c r="Q36" s="11" t="n">
        <f aca="false">IF(INDEX(Results_Long!$M:$M,$F36)="","NA",INDEX(Results_Long!$M:$M,$F36))</f>
        <v>-3.9010682738312</v>
      </c>
      <c r="R36" s="12" t="n">
        <f aca="false">IF(INDEX(Results_Long!$N:$N,$F36)="","NA",INDEX(Results_Long!$N:$N,$F36))</f>
        <v>19.0976276598769</v>
      </c>
      <c r="S36" s="10" t="n">
        <f aca="false">IF(INDEX(Results_Long!$O:$O,$F36)="","NA",INDEX(Results_Long!$O:$O,$F36))</f>
        <v>0.000952738173820049</v>
      </c>
      <c r="T36" s="6" t="str">
        <f aca="false">IF(INDEX(Results_Long!$AG:$AG,$F36)="","NA",INDEX(Results_Long!$AG:$AG,$F36))</f>
        <v>NA</v>
      </c>
      <c r="U36" s="5" t="str">
        <f aca="false">IF(INDEX(Results_Long!$AJ:$AJ,$F36)="","NA",INDEX(Results_Long!$AJ:$AJ,$F36))</f>
        <v>cumulative 3L refit after adding study 'Bannier et al (2022)' (median sample_mid = 2010.50); ordering: study-wise median sample_mid, ties alphabetical [DEC-045/H-Q17]; full display (CI band)</v>
      </c>
    </row>
    <row r="37" customFormat="false" ht="35.05" hidden="false" customHeight="false" outlineLevel="0" collapsed="false">
      <c r="A37" s="6" t="s">
        <v>347</v>
      </c>
      <c r="B37" s="7" t="s">
        <v>277</v>
      </c>
      <c r="C37" s="7" t="s">
        <v>278</v>
      </c>
      <c r="D37" s="7" t="s">
        <v>348</v>
      </c>
      <c r="E37" s="7" t="s">
        <v>349</v>
      </c>
      <c r="F37" s="8" t="n">
        <f aca="false">SUMPRODUCT((Results_Long!$A$2:$A$178=$B37)*(Results_Long!$B$2:$B$178=$C37)*(Results_Long!$C$2:$C$178=$D37)*(Results_Long!$D$2:$D$178=$E37)*ROW(Results_Long!$A$2:$A$178))</f>
        <v>51</v>
      </c>
      <c r="G37" s="9" t="n">
        <f aca="false">IF(INDEX(Results_Long!$H:$H,$F37)="","NA",INDEX(Results_Long!$H:$H,$F37))</f>
        <v>710</v>
      </c>
      <c r="H37" s="9" t="n">
        <f aca="false">IF(INDEX(Results_Long!$I:$I,$F37)="","NA",INDEX(Results_Long!$I:$I,$F37))</f>
        <v>24</v>
      </c>
      <c r="I37" s="9" t="n">
        <f aca="false">IF(INDEX(Results_Long!$J:$J,$F37)="","NA",INDEX(Results_Long!$J:$J,$F37))</f>
        <v>24</v>
      </c>
      <c r="J37" s="10" t="n">
        <f aca="false">IF(INDEX(Results_Long!$K:$K,$F37)="","NA",INDEX(Results_Long!$K:$K,$F37))</f>
        <v>-0.0327509323620079</v>
      </c>
      <c r="K37" s="10" t="n">
        <f aca="false">IF(INDEX(Results_Long!$P:$P,$F37)="","NA",INDEX(Results_Long!$P:$P,$F37))</f>
        <v>-0.0495346996022057</v>
      </c>
      <c r="L37" s="10" t="n">
        <f aca="false">IF(INDEX(Results_Long!$Q:$Q,$F37)="","NA",INDEX(Results_Long!$Q:$Q,$F37))</f>
        <v>-0.0159671651218101</v>
      </c>
      <c r="M37" s="10" t="n">
        <f aca="false">IF(INDEX(Results_Long!$T:$T,$F37)="","NA",INDEX(Results_Long!$T:$T,$F37))</f>
        <v>-0.0327392275765771</v>
      </c>
      <c r="N37" s="10" t="n">
        <f aca="false">IF(INDEX(Results_Long!$U:$U,$F37)="","NA",INDEX(Results_Long!$U:$U,$F37))</f>
        <v>-0.0494942251191028</v>
      </c>
      <c r="O37" s="10" t="n">
        <f aca="false">IF(INDEX(Results_Long!$V:$V,$F37)="","NA",INDEX(Results_Long!$V:$V,$F37))</f>
        <v>-0.0159658083153344</v>
      </c>
      <c r="P37" s="10" t="n">
        <f aca="false">IF(INDEX(Results_Long!$L:$L,$F37)="","NA",INDEX(Results_Long!$L:$L,$F37))</f>
        <v>0.00803953205358455</v>
      </c>
      <c r="Q37" s="11" t="n">
        <f aca="false">IF(INDEX(Results_Long!$M:$M,$F37)="","NA",INDEX(Results_Long!$M:$M,$F37))</f>
        <v>-4.07373615077576</v>
      </c>
      <c r="R37" s="12" t="n">
        <f aca="false">IF(INDEX(Results_Long!$N:$N,$F37)="","NA",INDEX(Results_Long!$N:$N,$F37))</f>
        <v>19.7503966995263</v>
      </c>
      <c r="S37" s="10" t="n">
        <f aca="false">IF(INDEX(Results_Long!$O:$O,$F37)="","NA",INDEX(Results_Long!$O:$O,$F37))</f>
        <v>0.000605096314591342</v>
      </c>
      <c r="T37" s="6" t="str">
        <f aca="false">IF(INDEX(Results_Long!$AG:$AG,$F37)="","NA",INDEX(Results_Long!$AG:$AG,$F37))</f>
        <v>NA</v>
      </c>
      <c r="U37" s="5" t="str">
        <f aca="false">IF(INDEX(Results_Long!$AJ:$AJ,$F37)="","NA",INDEX(Results_Long!$AJ:$AJ,$F37))</f>
        <v>cumulative 3L refit after adding study 'Drago, Carnevale (2020)' (median sample_mid = 2010.50); ordering: study-wise median sample_mid, ties alphabetical [DEC-045/H-Q17]; full display (CI band)</v>
      </c>
    </row>
    <row r="38" customFormat="false" ht="35.05" hidden="false" customHeight="false" outlineLevel="0" collapsed="false">
      <c r="A38" s="6" t="s">
        <v>350</v>
      </c>
      <c r="B38" s="7" t="s">
        <v>277</v>
      </c>
      <c r="C38" s="7" t="s">
        <v>278</v>
      </c>
      <c r="D38" s="7" t="s">
        <v>351</v>
      </c>
      <c r="E38" s="7" t="s">
        <v>352</v>
      </c>
      <c r="F38" s="8" t="n">
        <f aca="false">SUMPRODUCT((Results_Long!$A$2:$A$178=$B38)*(Results_Long!$B$2:$B$178=$C38)*(Results_Long!$C$2:$C$178=$D38)*(Results_Long!$D$2:$D$178=$E38)*ROW(Results_Long!$A$2:$A$178))</f>
        <v>52</v>
      </c>
      <c r="G38" s="9" t="n">
        <f aca="false">IF(INDEX(Results_Long!$H:$H,$F38)="","NA",INDEX(Results_Long!$H:$H,$F38))</f>
        <v>746</v>
      </c>
      <c r="H38" s="9" t="n">
        <f aca="false">IF(INDEX(Results_Long!$I:$I,$F38)="","NA",INDEX(Results_Long!$I:$I,$F38))</f>
        <v>25</v>
      </c>
      <c r="I38" s="9" t="n">
        <f aca="false">IF(INDEX(Results_Long!$J:$J,$F38)="","NA",INDEX(Results_Long!$J:$J,$F38))</f>
        <v>25</v>
      </c>
      <c r="J38" s="10" t="n">
        <f aca="false">IF(INDEX(Results_Long!$K:$K,$F38)="","NA",INDEX(Results_Long!$K:$K,$F38))</f>
        <v>-0.0322553776481369</v>
      </c>
      <c r="K38" s="10" t="n">
        <f aca="false">IF(INDEX(Results_Long!$P:$P,$F38)="","NA",INDEX(Results_Long!$P:$P,$F38))</f>
        <v>-0.0480283471400437</v>
      </c>
      <c r="L38" s="10" t="n">
        <f aca="false">IF(INDEX(Results_Long!$Q:$Q,$F38)="","NA",INDEX(Results_Long!$Q:$Q,$F38))</f>
        <v>-0.0164824081562302</v>
      </c>
      <c r="M38" s="10" t="n">
        <f aca="false">IF(INDEX(Results_Long!$T:$T,$F38)="","NA",INDEX(Results_Long!$T:$T,$F38))</f>
        <v>-0.0322441960355979</v>
      </c>
      <c r="N38" s="10" t="n">
        <f aca="false">IF(INDEX(Results_Long!$U:$U,$F38)="","NA",INDEX(Results_Long!$U:$U,$F38))</f>
        <v>-0.0479914518321699</v>
      </c>
      <c r="O38" s="10" t="n">
        <f aca="false">IF(INDEX(Results_Long!$V:$V,$F38)="","NA",INDEX(Results_Long!$V:$V,$F38))</f>
        <v>-0.0164809157276841</v>
      </c>
      <c r="P38" s="10" t="n">
        <f aca="false">IF(INDEX(Results_Long!$L:$L,$F38)="","NA",INDEX(Results_Long!$L:$L,$F38))</f>
        <v>0.00757340965069823</v>
      </c>
      <c r="Q38" s="11" t="n">
        <f aca="false">IF(INDEX(Results_Long!$M:$M,$F38)="","NA",INDEX(Results_Long!$M:$M,$F38))</f>
        <v>-4.2590298340937</v>
      </c>
      <c r="R38" s="12" t="n">
        <f aca="false">IF(INDEX(Results_Long!$N:$N,$F38)="","NA",INDEX(Results_Long!$N:$N,$F38))</f>
        <v>20.5046031231398</v>
      </c>
      <c r="S38" s="10" t="n">
        <f aca="false">IF(INDEX(Results_Long!$O:$O,$F38)="","NA",INDEX(Results_Long!$O:$O,$F38))</f>
        <v>0.000365985686124034</v>
      </c>
      <c r="T38" s="6" t="str">
        <f aca="false">IF(INDEX(Results_Long!$AG:$AG,$F38)="","NA",INDEX(Results_Long!$AG:$AG,$F38))</f>
        <v>NA</v>
      </c>
      <c r="U38" s="5" t="str">
        <f aca="false">IF(INDEX(Results_Long!$AJ:$AJ,$F38)="","NA",INDEX(Results_Long!$AJ:$AJ,$F38))</f>
        <v>cumulative 3L refit after adding study 'Eichholtz et al (2019)' (median sample_mid = 2010.50); ordering: study-wise median sample_mid, ties alphabetical [DEC-045/H-Q17]; full display (CI band)</v>
      </c>
    </row>
    <row r="39" customFormat="false" ht="35.05" hidden="false" customHeight="false" outlineLevel="0" collapsed="false">
      <c r="A39" s="6" t="s">
        <v>353</v>
      </c>
      <c r="B39" s="7" t="s">
        <v>277</v>
      </c>
      <c r="C39" s="7" t="s">
        <v>278</v>
      </c>
      <c r="D39" s="7" t="s">
        <v>354</v>
      </c>
      <c r="E39" s="7" t="s">
        <v>355</v>
      </c>
      <c r="F39" s="8" t="n">
        <f aca="false">SUMPRODUCT((Results_Long!$A$2:$A$178=$B39)*(Results_Long!$B$2:$B$178=$C39)*(Results_Long!$C$2:$C$178=$D39)*(Results_Long!$D$2:$D$178=$E39)*ROW(Results_Long!$A$2:$A$178))</f>
        <v>53</v>
      </c>
      <c r="G39" s="9" t="n">
        <f aca="false">IF(INDEX(Results_Long!$H:$H,$F39)="","NA",INDEX(Results_Long!$H:$H,$F39))</f>
        <v>748</v>
      </c>
      <c r="H39" s="9" t="n">
        <f aca="false">IF(INDEX(Results_Long!$I:$I,$F39)="","NA",INDEX(Results_Long!$I:$I,$F39))</f>
        <v>26</v>
      </c>
      <c r="I39" s="9" t="n">
        <f aca="false">IF(INDEX(Results_Long!$J:$J,$F39)="","NA",INDEX(Results_Long!$J:$J,$F39))</f>
        <v>26</v>
      </c>
      <c r="J39" s="10" t="n">
        <f aca="false">IF(INDEX(Results_Long!$K:$K,$F39)="","NA",INDEX(Results_Long!$K:$K,$F39))</f>
        <v>-0.0324289655603452</v>
      </c>
      <c r="K39" s="10" t="n">
        <f aca="false">IF(INDEX(Results_Long!$P:$P,$F39)="","NA",INDEX(Results_Long!$P:$P,$F39))</f>
        <v>-0.0477925336269227</v>
      </c>
      <c r="L39" s="10" t="n">
        <f aca="false">IF(INDEX(Results_Long!$Q:$Q,$F39)="","NA",INDEX(Results_Long!$Q:$Q,$F39))</f>
        <v>-0.0170653974937676</v>
      </c>
      <c r="M39" s="10" t="n">
        <f aca="false">IF(INDEX(Results_Long!$T:$T,$F39)="","NA",INDEX(Results_Long!$T:$T,$F39))</f>
        <v>-0.0324176024981731</v>
      </c>
      <c r="N39" s="10" t="n">
        <f aca="false">IF(INDEX(Results_Long!$U:$U,$F39)="","NA",INDEX(Results_Long!$U:$U,$F39))</f>
        <v>-0.0477561787816543</v>
      </c>
      <c r="O39" s="10" t="n">
        <f aca="false">IF(INDEX(Results_Long!$V:$V,$F39)="","NA",INDEX(Results_Long!$V:$V,$F39))</f>
        <v>-0.0170637410473869</v>
      </c>
      <c r="P39" s="10" t="n">
        <f aca="false">IF(INDEX(Results_Long!$L:$L,$F39)="","NA",INDEX(Results_Long!$L:$L,$F39))</f>
        <v>0.0073918391343762</v>
      </c>
      <c r="Q39" s="11" t="n">
        <f aca="false">IF(INDEX(Results_Long!$M:$M,$F39)="","NA",INDEX(Results_Long!$M:$M,$F39))</f>
        <v>-4.38713085753345</v>
      </c>
      <c r="R39" s="12" t="n">
        <f aca="false">IF(INDEX(Results_Long!$N:$N,$F39)="","NA",INDEX(Results_Long!$N:$N,$F39))</f>
        <v>21.1949071668246</v>
      </c>
      <c r="S39" s="10" t="n">
        <f aca="false">IF(INDEX(Results_Long!$O:$O,$F39)="","NA",INDEX(Results_Long!$O:$O,$F39))</f>
        <v>0.000252667974457659</v>
      </c>
      <c r="T39" s="6" t="str">
        <f aca="false">IF(INDEX(Results_Long!$AG:$AG,$F39)="","NA",INDEX(Results_Long!$AG:$AG,$F39))</f>
        <v>NA</v>
      </c>
      <c r="U39" s="5" t="str">
        <f aca="false">IF(INDEX(Results_Long!$AJ:$AJ,$F39)="","NA",INDEX(Results_Long!$AJ:$AJ,$F39))</f>
        <v>cumulative 3L refit after adding study 'Eliwa et al (2021)' (median sample_mid = 2010.50); ordering: study-wise median sample_mid, ties alphabetical [DEC-045/H-Q17]; full display (CI band)</v>
      </c>
    </row>
    <row r="40" customFormat="false" ht="35.05" hidden="false" customHeight="false" outlineLevel="0" collapsed="false">
      <c r="A40" s="6" t="s">
        <v>356</v>
      </c>
      <c r="B40" s="7" t="s">
        <v>277</v>
      </c>
      <c r="C40" s="7" t="s">
        <v>278</v>
      </c>
      <c r="D40" s="7" t="s">
        <v>357</v>
      </c>
      <c r="E40" s="7" t="s">
        <v>358</v>
      </c>
      <c r="F40" s="8" t="n">
        <f aca="false">SUMPRODUCT((Results_Long!$A$2:$A$178=$B40)*(Results_Long!$B$2:$B$178=$C40)*(Results_Long!$C$2:$C$178=$D40)*(Results_Long!$D$2:$D$178=$E40)*ROW(Results_Long!$A$2:$A$178))</f>
        <v>54</v>
      </c>
      <c r="G40" s="9" t="n">
        <f aca="false">IF(INDEX(Results_Long!$H:$H,$F40)="","NA",INDEX(Results_Long!$H:$H,$F40))</f>
        <v>753</v>
      </c>
      <c r="H40" s="9" t="n">
        <f aca="false">IF(INDEX(Results_Long!$I:$I,$F40)="","NA",INDEX(Results_Long!$I:$I,$F40))</f>
        <v>27</v>
      </c>
      <c r="I40" s="9" t="n">
        <f aca="false">IF(INDEX(Results_Long!$J:$J,$F40)="","NA",INDEX(Results_Long!$J:$J,$F40))</f>
        <v>27</v>
      </c>
      <c r="J40" s="10" t="n">
        <f aca="false">IF(INDEX(Results_Long!$K:$K,$F40)="","NA",INDEX(Results_Long!$K:$K,$F40))</f>
        <v>-0.0312240256879862</v>
      </c>
      <c r="K40" s="10" t="n">
        <f aca="false">IF(INDEX(Results_Long!$P:$P,$F40)="","NA",INDEX(Results_Long!$P:$P,$F40))</f>
        <v>-0.0461472947416826</v>
      </c>
      <c r="L40" s="10" t="n">
        <f aca="false">IF(INDEX(Results_Long!$Q:$Q,$F40)="","NA",INDEX(Results_Long!$Q:$Q,$F40))</f>
        <v>-0.0163007566342897</v>
      </c>
      <c r="M40" s="10" t="n">
        <f aca="false">IF(INDEX(Results_Long!$T:$T,$F40)="","NA",INDEX(Results_Long!$T:$T,$F40))</f>
        <v>-0.0312138824620016</v>
      </c>
      <c r="N40" s="10" t="n">
        <f aca="false">IF(INDEX(Results_Long!$U:$U,$F40)="","NA",INDEX(Results_Long!$U:$U,$F40))</f>
        <v>-0.0461145646138</v>
      </c>
      <c r="O40" s="10" t="n">
        <f aca="false">IF(INDEX(Results_Long!$V:$V,$F40)="","NA",INDEX(Results_Long!$V:$V,$F40))</f>
        <v>-0.0162993130043542</v>
      </c>
      <c r="P40" s="10" t="n">
        <f aca="false">IF(INDEX(Results_Long!$L:$L,$F40)="","NA",INDEX(Results_Long!$L:$L,$F40))</f>
        <v>0.00719659782383989</v>
      </c>
      <c r="Q40" s="11" t="n">
        <f aca="false">IF(INDEX(Results_Long!$M:$M,$F40)="","NA",INDEX(Results_Long!$M:$M,$F40))</f>
        <v>-4.33872038597899</v>
      </c>
      <c r="R40" s="12" t="n">
        <f aca="false">IF(INDEX(Results_Long!$N:$N,$F40)="","NA",INDEX(Results_Long!$N:$N,$F40))</f>
        <v>22.0397712269406</v>
      </c>
      <c r="S40" s="10" t="n">
        <f aca="false">IF(INDEX(Results_Long!$O:$O,$F40)="","NA",INDEX(Results_Long!$O:$O,$F40))</f>
        <v>0.000262844562996962</v>
      </c>
      <c r="T40" s="6" t="str">
        <f aca="false">IF(INDEX(Results_Long!$AG:$AG,$F40)="","NA",INDEX(Results_Long!$AG:$AG,$F40))</f>
        <v>NA</v>
      </c>
      <c r="U40" s="5" t="str">
        <f aca="false">IF(INDEX(Results_Long!$AJ:$AJ,$F40)="","NA",INDEX(Results_Long!$AJ:$AJ,$F40))</f>
        <v>cumulative 3L refit after adding study 'Salvi et al (2021)' (median sample_mid = 2010.50); ordering: study-wise median sample_mid, ties alphabetical [DEC-045/H-Q17]; full display (CI band)</v>
      </c>
    </row>
    <row r="41" customFormat="false" ht="35.05" hidden="false" customHeight="false" outlineLevel="0" collapsed="false">
      <c r="A41" s="6" t="s">
        <v>359</v>
      </c>
      <c r="B41" s="7" t="s">
        <v>277</v>
      </c>
      <c r="C41" s="7" t="s">
        <v>278</v>
      </c>
      <c r="D41" s="7" t="s">
        <v>360</v>
      </c>
      <c r="E41" s="7" t="s">
        <v>361</v>
      </c>
      <c r="F41" s="8" t="n">
        <f aca="false">SUMPRODUCT((Results_Long!$A$2:$A$178=$B41)*(Results_Long!$B$2:$B$178=$C41)*(Results_Long!$C$2:$C$178=$D41)*(Results_Long!$D$2:$D$178=$E41)*ROW(Results_Long!$A$2:$A$178))</f>
        <v>55</v>
      </c>
      <c r="G41" s="9" t="n">
        <f aca="false">IF(INDEX(Results_Long!$H:$H,$F41)="","NA",INDEX(Results_Long!$H:$H,$F41))</f>
        <v>824</v>
      </c>
      <c r="H41" s="9" t="n">
        <f aca="false">IF(INDEX(Results_Long!$I:$I,$F41)="","NA",INDEX(Results_Long!$I:$I,$F41))</f>
        <v>28</v>
      </c>
      <c r="I41" s="9" t="n">
        <f aca="false">IF(INDEX(Results_Long!$J:$J,$F41)="","NA",INDEX(Results_Long!$J:$J,$F41))</f>
        <v>28</v>
      </c>
      <c r="J41" s="10" t="n">
        <f aca="false">IF(INDEX(Results_Long!$K:$K,$F41)="","NA",INDEX(Results_Long!$K:$K,$F41))</f>
        <v>-0.0364095863268162</v>
      </c>
      <c r="K41" s="10" t="n">
        <f aca="false">IF(INDEX(Results_Long!$P:$P,$F41)="","NA",INDEX(Results_Long!$P:$P,$F41))</f>
        <v>-0.0525233176576224</v>
      </c>
      <c r="L41" s="10" t="n">
        <f aca="false">IF(INDEX(Results_Long!$Q:$Q,$F41)="","NA",INDEX(Results_Long!$Q:$Q,$F41))</f>
        <v>-0.02029585499601</v>
      </c>
      <c r="M41" s="10" t="n">
        <f aca="false">IF(INDEX(Results_Long!$T:$T,$F41)="","NA",INDEX(Results_Long!$T:$T,$F41))</f>
        <v>-0.0363935059674068</v>
      </c>
      <c r="N41" s="10" t="n">
        <f aca="false">IF(INDEX(Results_Long!$U:$U,$F41)="","NA",INDEX(Results_Long!$U:$U,$F41))</f>
        <v>-0.0524750722219322</v>
      </c>
      <c r="O41" s="10" t="n">
        <f aca="false">IF(INDEX(Results_Long!$V:$V,$F41)="","NA",INDEX(Results_Long!$V:$V,$F41))</f>
        <v>-0.0202930686872049</v>
      </c>
      <c r="P41" s="10" t="n">
        <f aca="false">IF(INDEX(Results_Long!$L:$L,$F41)="","NA",INDEX(Results_Long!$L:$L,$F41))</f>
        <v>0.00774744993768537</v>
      </c>
      <c r="Q41" s="11" t="n">
        <f aca="false">IF(INDEX(Results_Long!$M:$M,$F41)="","NA",INDEX(Results_Long!$M:$M,$F41))</f>
        <v>-4.69955748274173</v>
      </c>
      <c r="R41" s="12" t="n">
        <f aca="false">IF(INDEX(Results_Long!$N:$N,$F41)="","NA",INDEX(Results_Long!$N:$N,$F41))</f>
        <v>20.9567010603042</v>
      </c>
      <c r="S41" s="10" t="n">
        <f aca="false">IF(INDEX(Results_Long!$O:$O,$F41)="","NA",INDEX(Results_Long!$O:$O,$F41))</f>
        <v>0.00012280418174711</v>
      </c>
      <c r="T41" s="6" t="str">
        <f aca="false">IF(INDEX(Results_Long!$AG:$AG,$F41)="","NA",INDEX(Results_Long!$AG:$AG,$F41))</f>
        <v>NA</v>
      </c>
      <c r="U41" s="5" t="str">
        <f aca="false">IF(INDEX(Results_Long!$AJ:$AJ,$F41)="","NA",INDEX(Results_Long!$AJ:$AJ,$F41))</f>
        <v>cumulative 3L refit after adding study 'Fonseka et al (2019a)' (median sample_mid = 2011.00); ordering: study-wise median sample_mid, ties alphabetical [DEC-045/H-Q17]; full display (CI band)</v>
      </c>
    </row>
    <row r="42" customFormat="false" ht="35.05" hidden="false" customHeight="false" outlineLevel="0" collapsed="false">
      <c r="A42" s="6" t="s">
        <v>362</v>
      </c>
      <c r="B42" s="7" t="s">
        <v>277</v>
      </c>
      <c r="C42" s="7" t="s">
        <v>278</v>
      </c>
      <c r="D42" s="7" t="s">
        <v>363</v>
      </c>
      <c r="E42" s="7" t="s">
        <v>364</v>
      </c>
      <c r="F42" s="8" t="n">
        <f aca="false">SUMPRODUCT((Results_Long!$A$2:$A$178=$B42)*(Results_Long!$B$2:$B$178=$C42)*(Results_Long!$C$2:$C$178=$D42)*(Results_Long!$D$2:$D$178=$E42)*ROW(Results_Long!$A$2:$A$178))</f>
        <v>56</v>
      </c>
      <c r="G42" s="9" t="n">
        <f aca="false">IF(INDEX(Results_Long!$H:$H,$F42)="","NA",INDEX(Results_Long!$H:$H,$F42))</f>
        <v>829</v>
      </c>
      <c r="H42" s="9" t="n">
        <f aca="false">IF(INDEX(Results_Long!$I:$I,$F42)="","NA",INDEX(Results_Long!$I:$I,$F42))</f>
        <v>29</v>
      </c>
      <c r="I42" s="9" t="n">
        <f aca="false">IF(INDEX(Results_Long!$J:$J,$F42)="","NA",INDEX(Results_Long!$J:$J,$F42))</f>
        <v>29</v>
      </c>
      <c r="J42" s="10" t="n">
        <f aca="false">IF(INDEX(Results_Long!$K:$K,$F42)="","NA",INDEX(Results_Long!$K:$K,$F42))</f>
        <v>-0.0436517878444975</v>
      </c>
      <c r="K42" s="10" t="n">
        <f aca="false">IF(INDEX(Results_Long!$P:$P,$F42)="","NA",INDEX(Results_Long!$P:$P,$F42))</f>
        <v>-0.063003349334591</v>
      </c>
      <c r="L42" s="10" t="n">
        <f aca="false">IF(INDEX(Results_Long!$Q:$Q,$F42)="","NA",INDEX(Results_Long!$Q:$Q,$F42))</f>
        <v>-0.024300226354404</v>
      </c>
      <c r="M42" s="10" t="n">
        <f aca="false">IF(INDEX(Results_Long!$T:$T,$F42)="","NA",INDEX(Results_Long!$T:$T,$F42))</f>
        <v>-0.043624083111681</v>
      </c>
      <c r="N42" s="10" t="n">
        <f aca="false">IF(INDEX(Results_Long!$U:$U,$F42)="","NA",INDEX(Results_Long!$U:$U,$F42))</f>
        <v>-0.0629201191881085</v>
      </c>
      <c r="O42" s="10" t="n">
        <f aca="false">IF(INDEX(Results_Long!$V:$V,$F42)="","NA",INDEX(Results_Long!$V:$V,$F42))</f>
        <v>-0.0242954443812435</v>
      </c>
      <c r="P42" s="10" t="n">
        <f aca="false">IF(INDEX(Results_Long!$L:$L,$F42)="","NA",INDEX(Results_Long!$L:$L,$F42))</f>
        <v>0.00937170632029642</v>
      </c>
      <c r="Q42" s="11" t="n">
        <f aca="false">IF(INDEX(Results_Long!$M:$M,$F42)="","NA",INDEX(Results_Long!$M:$M,$F42))</f>
        <v>-4.65782711841495</v>
      </c>
      <c r="R42" s="12" t="n">
        <f aca="false">IF(INDEX(Results_Long!$N:$N,$F42)="","NA",INDEX(Results_Long!$N:$N,$F42))</f>
        <v>23.7837641003094</v>
      </c>
      <c r="S42" s="10" t="n">
        <f aca="false">IF(INDEX(Results_Long!$O:$O,$F42)="","NA",INDEX(Results_Long!$O:$O,$F42))</f>
        <v>0.000101178525210119</v>
      </c>
      <c r="T42" s="6" t="str">
        <f aca="false">IF(INDEX(Results_Long!$AG:$AG,$F42)="","NA",INDEX(Results_Long!$AG:$AG,$F42))</f>
        <v>NA</v>
      </c>
      <c r="U42" s="5" t="str">
        <f aca="false">IF(INDEX(Results_Long!$AJ:$AJ,$F42)="","NA",INDEX(Results_Long!$AJ:$AJ,$F42))</f>
        <v>cumulative 3L refit after adding study 'Fonseka et al (2019b)' (median sample_mid = 2011.00); ordering: study-wise median sample_mid, ties alphabetical [DEC-045/H-Q17]; full display (CI band)</v>
      </c>
    </row>
    <row r="43" customFormat="false" ht="35.05" hidden="false" customHeight="false" outlineLevel="0" collapsed="false">
      <c r="A43" s="6" t="s">
        <v>365</v>
      </c>
      <c r="B43" s="7" t="s">
        <v>277</v>
      </c>
      <c r="C43" s="7" t="s">
        <v>278</v>
      </c>
      <c r="D43" s="7" t="s">
        <v>366</v>
      </c>
      <c r="E43" s="7" t="s">
        <v>367</v>
      </c>
      <c r="F43" s="8" t="n">
        <f aca="false">SUMPRODUCT((Results_Long!$A$2:$A$178=$B43)*(Results_Long!$B$2:$B$178=$C43)*(Results_Long!$C$2:$C$178=$D43)*(Results_Long!$D$2:$D$178=$E43)*ROW(Results_Long!$A$2:$A$178))</f>
        <v>57</v>
      </c>
      <c r="G43" s="9" t="n">
        <f aca="false">IF(INDEX(Results_Long!$H:$H,$F43)="","NA",INDEX(Results_Long!$H:$H,$F43))</f>
        <v>846</v>
      </c>
      <c r="H43" s="9" t="n">
        <f aca="false">IF(INDEX(Results_Long!$I:$I,$F43)="","NA",INDEX(Results_Long!$I:$I,$F43))</f>
        <v>30</v>
      </c>
      <c r="I43" s="9" t="n">
        <f aca="false">IF(INDEX(Results_Long!$J:$J,$F43)="","NA",INDEX(Results_Long!$J:$J,$F43))</f>
        <v>30</v>
      </c>
      <c r="J43" s="10" t="n">
        <f aca="false">IF(INDEX(Results_Long!$K:$K,$F43)="","NA",INDEX(Results_Long!$K:$K,$F43))</f>
        <v>-0.0448350463347669</v>
      </c>
      <c r="K43" s="10" t="n">
        <f aca="false">IF(INDEX(Results_Long!$P:$P,$F43)="","NA",INDEX(Results_Long!$P:$P,$F43))</f>
        <v>-0.0639073918636227</v>
      </c>
      <c r="L43" s="10" t="n">
        <f aca="false">IF(INDEX(Results_Long!$Q:$Q,$F43)="","NA",INDEX(Results_Long!$Q:$Q,$F43))</f>
        <v>-0.0257627008059111</v>
      </c>
      <c r="M43" s="10" t="n">
        <f aca="false">IF(INDEX(Results_Long!$T:$T,$F43)="","NA",INDEX(Results_Long!$T:$T,$F43))</f>
        <v>-0.0448050282794614</v>
      </c>
      <c r="N43" s="10" t="n">
        <f aca="false">IF(INDEX(Results_Long!$U:$U,$F43)="","NA",INDEX(Results_Long!$U:$U,$F43))</f>
        <v>-0.0638205312027921</v>
      </c>
      <c r="O43" s="10" t="n">
        <f aca="false">IF(INDEX(Results_Long!$V:$V,$F43)="","NA",INDEX(Results_Long!$V:$V,$F43))</f>
        <v>-0.0257570026066616</v>
      </c>
      <c r="P43" s="10" t="n">
        <f aca="false">IF(INDEX(Results_Long!$L:$L,$F43)="","NA",INDEX(Results_Long!$L:$L,$F43))</f>
        <v>0.00925418849012119</v>
      </c>
      <c r="Q43" s="11" t="n">
        <f aca="false">IF(INDEX(Results_Long!$M:$M,$F43)="","NA",INDEX(Results_Long!$M:$M,$F43))</f>
        <v>-4.84483824623068</v>
      </c>
      <c r="R43" s="12" t="n">
        <f aca="false">IF(INDEX(Results_Long!$N:$N,$F43)="","NA",INDEX(Results_Long!$N:$N,$F43))</f>
        <v>24.6686949757751</v>
      </c>
      <c r="S43" s="10" t="n">
        <f aca="false">IF(INDEX(Results_Long!$O:$O,$F43)="","NA",INDEX(Results_Long!$O:$O,$F43))</f>
        <v>5.7562115603475E-005</v>
      </c>
      <c r="T43" s="6" t="str">
        <f aca="false">IF(INDEX(Results_Long!$AG:$AG,$F43)="","NA",INDEX(Results_Long!$AG:$AG,$F43))</f>
        <v>NA</v>
      </c>
      <c r="U43" s="5" t="str">
        <f aca="false">IF(INDEX(Results_Long!$AJ:$AJ,$F43)="","NA",INDEX(Results_Long!$AJ:$AJ,$F43))</f>
        <v>cumulative 3L refit after adding study 'Jung et al (2016)' (median sample_mid = 2011.00); ordering: study-wise median sample_mid, ties alphabetical [DEC-045/H-Q17]; full display (CI band)</v>
      </c>
    </row>
    <row r="44" customFormat="false" ht="35.05" hidden="false" customHeight="false" outlineLevel="0" collapsed="false">
      <c r="A44" s="6" t="s">
        <v>368</v>
      </c>
      <c r="B44" s="7" t="s">
        <v>277</v>
      </c>
      <c r="C44" s="7" t="s">
        <v>278</v>
      </c>
      <c r="D44" s="7" t="s">
        <v>369</v>
      </c>
      <c r="E44" s="7" t="s">
        <v>370</v>
      </c>
      <c r="F44" s="8" t="n">
        <f aca="false">SUMPRODUCT((Results_Long!$A$2:$A$178=$B44)*(Results_Long!$B$2:$B$178=$C44)*(Results_Long!$C$2:$C$178=$D44)*(Results_Long!$D$2:$D$178=$E44)*ROW(Results_Long!$A$2:$A$178))</f>
        <v>58</v>
      </c>
      <c r="G44" s="9" t="n">
        <f aca="false">IF(INDEX(Results_Long!$H:$H,$F44)="","NA",INDEX(Results_Long!$H:$H,$F44))</f>
        <v>908</v>
      </c>
      <c r="H44" s="9" t="n">
        <f aca="false">IF(INDEX(Results_Long!$I:$I,$F44)="","NA",INDEX(Results_Long!$I:$I,$F44))</f>
        <v>31</v>
      </c>
      <c r="I44" s="9" t="n">
        <f aca="false">IF(INDEX(Results_Long!$J:$J,$F44)="","NA",INDEX(Results_Long!$J:$J,$F44))</f>
        <v>31</v>
      </c>
      <c r="J44" s="10" t="n">
        <f aca="false">IF(INDEX(Results_Long!$K:$K,$F44)="","NA",INDEX(Results_Long!$K:$K,$F44))</f>
        <v>-0.043203175034758</v>
      </c>
      <c r="K44" s="10" t="n">
        <f aca="false">IF(INDEX(Results_Long!$P:$P,$F44)="","NA",INDEX(Results_Long!$P:$P,$F44))</f>
        <v>-0.0614782606064504</v>
      </c>
      <c r="L44" s="10" t="n">
        <f aca="false">IF(INDEX(Results_Long!$Q:$Q,$F44)="","NA",INDEX(Results_Long!$Q:$Q,$F44))</f>
        <v>-0.0249280894630656</v>
      </c>
      <c r="M44" s="10" t="n">
        <f aca="false">IF(INDEX(Results_Long!$T:$T,$F44)="","NA",INDEX(Results_Long!$T:$T,$F44))</f>
        <v>-0.0431763153063946</v>
      </c>
      <c r="N44" s="10" t="n">
        <f aca="false">IF(INDEX(Results_Long!$U:$U,$F44)="","NA",INDEX(Results_Long!$U:$U,$F44))</f>
        <v>-0.0614009235945681</v>
      </c>
      <c r="O44" s="10" t="n">
        <f aca="false">IF(INDEX(Results_Long!$V:$V,$F44)="","NA",INDEX(Results_Long!$V:$V,$F44))</f>
        <v>-0.0249229272278049</v>
      </c>
      <c r="P44" s="10" t="n">
        <f aca="false">IF(INDEX(Results_Long!$L:$L,$F44)="","NA",INDEX(Results_Long!$L:$L,$F44))</f>
        <v>0.00888531732225117</v>
      </c>
      <c r="Q44" s="11" t="n">
        <f aca="false">IF(INDEX(Results_Long!$M:$M,$F44)="","NA",INDEX(Results_Long!$M:$M,$F44))</f>
        <v>-4.86231087398149</v>
      </c>
      <c r="R44" s="12" t="n">
        <f aca="false">IF(INDEX(Results_Long!$N:$N,$F44)="","NA",INDEX(Results_Long!$N:$N,$F44))</f>
        <v>25.6808230757477</v>
      </c>
      <c r="S44" s="10" t="n">
        <f aca="false">IF(INDEX(Results_Long!$O:$O,$F44)="","NA",INDEX(Results_Long!$O:$O,$F44))</f>
        <v>4.98188693136468E-005</v>
      </c>
      <c r="T44" s="6" t="str">
        <f aca="false">IF(INDEX(Results_Long!$AG:$AG,$F44)="","NA",INDEX(Results_Long!$AG:$AG,$F44))</f>
        <v>NA</v>
      </c>
      <c r="U44" s="5" t="str">
        <f aca="false">IF(INDEX(Results_Long!$AJ:$AJ,$F44)="","NA",INDEX(Results_Long!$AJ:$AJ,$F44))</f>
        <v>cumulative 3L refit after adding study 'Li &amp; Qiu (2026)' (median sample_mid = 2011.00); ordering: study-wise median sample_mid, ties alphabetical [DEC-045/H-Q17]; full display (CI band)</v>
      </c>
    </row>
    <row r="45" customFormat="false" ht="35.05" hidden="false" customHeight="false" outlineLevel="0" collapsed="false">
      <c r="A45" s="6" t="s">
        <v>371</v>
      </c>
      <c r="B45" s="7" t="s">
        <v>277</v>
      </c>
      <c r="C45" s="7" t="s">
        <v>278</v>
      </c>
      <c r="D45" s="7" t="s">
        <v>372</v>
      </c>
      <c r="E45" s="7" t="s">
        <v>373</v>
      </c>
      <c r="F45" s="8" t="n">
        <f aca="false">SUMPRODUCT((Results_Long!$A$2:$A$178=$B45)*(Results_Long!$B$2:$B$178=$C45)*(Results_Long!$C$2:$C$178=$D45)*(Results_Long!$D$2:$D$178=$E45)*ROW(Results_Long!$A$2:$A$178))</f>
        <v>59</v>
      </c>
      <c r="G45" s="9" t="n">
        <f aca="false">IF(INDEX(Results_Long!$H:$H,$F45)="","NA",INDEX(Results_Long!$H:$H,$F45))</f>
        <v>941</v>
      </c>
      <c r="H45" s="9" t="n">
        <f aca="false">IF(INDEX(Results_Long!$I:$I,$F45)="","NA",INDEX(Results_Long!$I:$I,$F45))</f>
        <v>32</v>
      </c>
      <c r="I45" s="9" t="n">
        <f aca="false">IF(INDEX(Results_Long!$J:$J,$F45)="","NA",INDEX(Results_Long!$J:$J,$F45))</f>
        <v>32</v>
      </c>
      <c r="J45" s="10" t="n">
        <f aca="false">IF(INDEX(Results_Long!$K:$K,$F45)="","NA",INDEX(Results_Long!$K:$K,$F45))</f>
        <v>-0.0448793275095768</v>
      </c>
      <c r="K45" s="10" t="n">
        <f aca="false">IF(INDEX(Results_Long!$P:$P,$F45)="","NA",INDEX(Results_Long!$P:$P,$F45))</f>
        <v>-0.0628075493519119</v>
      </c>
      <c r="L45" s="10" t="n">
        <f aca="false">IF(INDEX(Results_Long!$Q:$Q,$F45)="","NA",INDEX(Results_Long!$Q:$Q,$F45))</f>
        <v>-0.0269511056672417</v>
      </c>
      <c r="M45" s="10" t="n">
        <f aca="false">IF(INDEX(Results_Long!$T:$T,$F45)="","NA",INDEX(Results_Long!$T:$T,$F45))</f>
        <v>-0.0448492204725239</v>
      </c>
      <c r="N45" s="10" t="n">
        <f aca="false">IF(INDEX(Results_Long!$U:$U,$F45)="","NA",INDEX(Results_Long!$U:$U,$F45))</f>
        <v>-0.0627250919658908</v>
      </c>
      <c r="O45" s="10" t="n">
        <f aca="false">IF(INDEX(Results_Long!$V:$V,$F45)="","NA",INDEX(Results_Long!$V:$V,$F45))</f>
        <v>-0.0269445821420716</v>
      </c>
      <c r="P45" s="10" t="n">
        <f aca="false">IF(INDEX(Results_Long!$L:$L,$F45)="","NA",INDEX(Results_Long!$L:$L,$F45))</f>
        <v>0.00873420220995966</v>
      </c>
      <c r="Q45" s="11" t="n">
        <f aca="false">IF(INDEX(Results_Long!$M:$M,$F45)="","NA",INDEX(Results_Long!$M:$M,$F45))</f>
        <v>-5.1383430828291</v>
      </c>
      <c r="R45" s="12" t="n">
        <f aca="false">IF(INDEX(Results_Long!$N:$N,$F45)="","NA",INDEX(Results_Long!$N:$N,$F45))</f>
        <v>26.7727864373598</v>
      </c>
      <c r="S45" s="10" t="n">
        <f aca="false">IF(INDEX(Results_Long!$O:$O,$F45)="","NA",INDEX(Results_Long!$O:$O,$F45))</f>
        <v>2.15021613031928E-005</v>
      </c>
      <c r="T45" s="6" t="str">
        <f aca="false">IF(INDEX(Results_Long!$AG:$AG,$F45)="","NA",INDEX(Results_Long!$AG:$AG,$F45))</f>
        <v>NA</v>
      </c>
      <c r="U45" s="5" t="str">
        <f aca="false">IF(INDEX(Results_Long!$AJ:$AJ,$F45)="","NA",INDEX(Results_Long!$AJ:$AJ,$F45))</f>
        <v>cumulative 3L refit after adding study 'Safiullah et al (2021)' (median sample_mid = 2011.00); ordering: study-wise median sample_mid, ties alphabetical [DEC-045/H-Q17]; full display (CI band)</v>
      </c>
    </row>
    <row r="46" customFormat="false" ht="35.05" hidden="false" customHeight="false" outlineLevel="0" collapsed="false">
      <c r="A46" s="6" t="s">
        <v>374</v>
      </c>
      <c r="B46" s="7" t="s">
        <v>277</v>
      </c>
      <c r="C46" s="7" t="s">
        <v>278</v>
      </c>
      <c r="D46" s="7" t="s">
        <v>375</v>
      </c>
      <c r="E46" s="7" t="s">
        <v>376</v>
      </c>
      <c r="F46" s="8" t="n">
        <f aca="false">SUMPRODUCT((Results_Long!$A$2:$A$178=$B46)*(Results_Long!$B$2:$B$178=$C46)*(Results_Long!$C$2:$C$178=$D46)*(Results_Long!$D$2:$D$178=$E46)*ROW(Results_Long!$A$2:$A$178))</f>
        <v>60</v>
      </c>
      <c r="G46" s="9" t="n">
        <f aca="false">IF(INDEX(Results_Long!$H:$H,$F46)="","NA",INDEX(Results_Long!$H:$H,$F46))</f>
        <v>943</v>
      </c>
      <c r="H46" s="9" t="n">
        <f aca="false">IF(INDEX(Results_Long!$I:$I,$F46)="","NA",INDEX(Results_Long!$I:$I,$F46))</f>
        <v>33</v>
      </c>
      <c r="I46" s="9" t="n">
        <f aca="false">IF(INDEX(Results_Long!$J:$J,$F46)="","NA",INDEX(Results_Long!$J:$J,$F46))</f>
        <v>33</v>
      </c>
      <c r="J46" s="10" t="n">
        <f aca="false">IF(INDEX(Results_Long!$K:$K,$F46)="","NA",INDEX(Results_Long!$K:$K,$F46))</f>
        <v>-0.0448026991968647</v>
      </c>
      <c r="K46" s="10" t="n">
        <f aca="false">IF(INDEX(Results_Long!$P:$P,$F46)="","NA",INDEX(Results_Long!$P:$P,$F46))</f>
        <v>-0.0623943475693236</v>
      </c>
      <c r="L46" s="10" t="n">
        <f aca="false">IF(INDEX(Results_Long!$Q:$Q,$F46)="","NA",INDEX(Results_Long!$Q:$Q,$F46))</f>
        <v>-0.0272110508244057</v>
      </c>
      <c r="M46" s="10" t="n">
        <f aca="false">IF(INDEX(Results_Long!$T:$T,$F46)="","NA",INDEX(Results_Long!$T:$T,$F46))</f>
        <v>-0.0447727460313573</v>
      </c>
      <c r="N46" s="10" t="n">
        <f aca="false">IF(INDEX(Results_Long!$U:$U,$F46)="","NA",INDEX(Results_Long!$U:$U,$F46))</f>
        <v>-0.0623135052556219</v>
      </c>
      <c r="O46" s="10" t="n">
        <f aca="false">IF(INDEX(Results_Long!$V:$V,$F46)="","NA",INDEX(Results_Long!$V:$V,$F46))</f>
        <v>-0.0272043367511188</v>
      </c>
      <c r="P46" s="10" t="n">
        <f aca="false">IF(INDEX(Results_Long!$L:$L,$F46)="","NA",INDEX(Results_Long!$L:$L,$F46))</f>
        <v>0.00857900257390451</v>
      </c>
      <c r="Q46" s="11" t="n">
        <f aca="false">IF(INDEX(Results_Long!$M:$M,$F46)="","NA",INDEX(Results_Long!$M:$M,$F46))</f>
        <v>-5.22236691397493</v>
      </c>
      <c r="R46" s="12" t="n">
        <f aca="false">IF(INDEX(Results_Long!$N:$N,$F46)="","NA",INDEX(Results_Long!$N:$N,$F46))</f>
        <v>27.3660614615112</v>
      </c>
      <c r="S46" s="10" t="n">
        <f aca="false">IF(INDEX(Results_Long!$O:$O,$F46)="","NA",INDEX(Results_Long!$O:$O,$F46))</f>
        <v>1.61263868350821E-005</v>
      </c>
      <c r="T46" s="6" t="str">
        <f aca="false">IF(INDEX(Results_Long!$AG:$AG,$F46)="","NA",INDEX(Results_Long!$AG:$AG,$F46))</f>
        <v>NA</v>
      </c>
      <c r="U46" s="5" t="str">
        <f aca="false">IF(INDEX(Results_Long!$AJ:$AJ,$F46)="","NA",INDEX(Results_Long!$AJ:$AJ,$F46))</f>
        <v>cumulative 3L refit after adding study 'Atif, Ali (2021)' (median sample_mid = 2011.50); ordering: study-wise median sample_mid, ties alphabetical [DEC-045/H-Q17]; full display (CI band)</v>
      </c>
    </row>
    <row r="47" customFormat="false" ht="35.05" hidden="false" customHeight="false" outlineLevel="0" collapsed="false">
      <c r="A47" s="6" t="s">
        <v>377</v>
      </c>
      <c r="B47" s="7" t="s">
        <v>277</v>
      </c>
      <c r="C47" s="7" t="s">
        <v>278</v>
      </c>
      <c r="D47" s="7" t="s">
        <v>378</v>
      </c>
      <c r="E47" s="7" t="s">
        <v>379</v>
      </c>
      <c r="F47" s="8" t="n">
        <f aca="false">SUMPRODUCT((Results_Long!$A$2:$A$178=$B47)*(Results_Long!$B$2:$B$178=$C47)*(Results_Long!$C$2:$C$178=$D47)*(Results_Long!$D$2:$D$178=$E47)*ROW(Results_Long!$A$2:$A$178))</f>
        <v>61</v>
      </c>
      <c r="G47" s="9" t="n">
        <f aca="false">IF(INDEX(Results_Long!$H:$H,$F47)="","NA",INDEX(Results_Long!$H:$H,$F47))</f>
        <v>975</v>
      </c>
      <c r="H47" s="9" t="n">
        <f aca="false">IF(INDEX(Results_Long!$I:$I,$F47)="","NA",INDEX(Results_Long!$I:$I,$F47))</f>
        <v>34</v>
      </c>
      <c r="I47" s="9" t="n">
        <f aca="false">IF(INDEX(Results_Long!$J:$J,$F47)="","NA",INDEX(Results_Long!$J:$J,$F47))</f>
        <v>34</v>
      </c>
      <c r="J47" s="10" t="n">
        <f aca="false">IF(INDEX(Results_Long!$K:$K,$F47)="","NA",INDEX(Results_Long!$K:$K,$F47))</f>
        <v>-0.0435755501698844</v>
      </c>
      <c r="K47" s="10" t="n">
        <f aca="false">IF(INDEX(Results_Long!$P:$P,$F47)="","NA",INDEX(Results_Long!$P:$P,$F47))</f>
        <v>-0.0603346814897817</v>
      </c>
      <c r="L47" s="10" t="n">
        <f aca="false">IF(INDEX(Results_Long!$Q:$Q,$F47)="","NA",INDEX(Results_Long!$Q:$Q,$F47))</f>
        <v>-0.0268164188499871</v>
      </c>
      <c r="M47" s="10" t="n">
        <f aca="false">IF(INDEX(Results_Long!$T:$T,$F47)="","NA",INDEX(Results_Long!$T:$T,$F47))</f>
        <v>-0.0435479902690628</v>
      </c>
      <c r="N47" s="10" t="n">
        <f aca="false">IF(INDEX(Results_Long!$U:$U,$F47)="","NA",INDEX(Results_Long!$U:$U,$F47))</f>
        <v>-0.0602615763504645</v>
      </c>
      <c r="O47" s="10" t="n">
        <f aca="false">IF(INDEX(Results_Long!$V:$V,$F47)="","NA",INDEX(Results_Long!$V:$V,$F47))</f>
        <v>-0.0268099926212391</v>
      </c>
      <c r="P47" s="10" t="n">
        <f aca="false">IF(INDEX(Results_Long!$L:$L,$F47)="","NA",INDEX(Results_Long!$L:$L,$F47))</f>
        <v>0.00818212970308827</v>
      </c>
      <c r="Q47" s="11" t="n">
        <f aca="false">IF(INDEX(Results_Long!$M:$M,$F47)="","NA",INDEX(Results_Long!$M:$M,$F47))</f>
        <v>-5.32569780132393</v>
      </c>
      <c r="R47" s="12" t="n">
        <f aca="false">IF(INDEX(Results_Long!$N:$N,$F47)="","NA",INDEX(Results_Long!$N:$N,$F47))</f>
        <v>28.0446319512788</v>
      </c>
      <c r="S47" s="10" t="n">
        <f aca="false">IF(INDEX(Results_Long!$O:$O,$F47)="","NA",INDEX(Results_Long!$O:$O,$F47))</f>
        <v>1.13367960797676E-005</v>
      </c>
      <c r="T47" s="6" t="str">
        <f aca="false">IF(INDEX(Results_Long!$AG:$AG,$F47)="","NA",INDEX(Results_Long!$AG:$AG,$F47))</f>
        <v>NA</v>
      </c>
      <c r="U47" s="5" t="str">
        <f aca="false">IF(INDEX(Results_Long!$AJ:$AJ,$F47)="","NA",INDEX(Results_Long!$AJ:$AJ,$F47))</f>
        <v>cumulative 3L refit after adding study 'Delis et al (2021)' (median sample_mid = 2011.50); ordering: study-wise median sample_mid, ties alphabetical [DEC-045/H-Q17]; full display (CI band)</v>
      </c>
    </row>
    <row r="48" customFormat="false" ht="35.05" hidden="false" customHeight="false" outlineLevel="0" collapsed="false">
      <c r="A48" s="6" t="s">
        <v>380</v>
      </c>
      <c r="B48" s="7" t="s">
        <v>277</v>
      </c>
      <c r="C48" s="7" t="s">
        <v>278</v>
      </c>
      <c r="D48" s="7" t="s">
        <v>381</v>
      </c>
      <c r="E48" s="7" t="s">
        <v>382</v>
      </c>
      <c r="F48" s="8" t="n">
        <f aca="false">SUMPRODUCT((Results_Long!$A$2:$A$178=$B48)*(Results_Long!$B$2:$B$178=$C48)*(Results_Long!$C$2:$C$178=$D48)*(Results_Long!$D$2:$D$178=$E48)*ROW(Results_Long!$A$2:$A$178))</f>
        <v>62</v>
      </c>
      <c r="G48" s="9" t="n">
        <f aca="false">IF(INDEX(Results_Long!$H:$H,$F48)="","NA",INDEX(Results_Long!$H:$H,$F48))</f>
        <v>985</v>
      </c>
      <c r="H48" s="9" t="n">
        <f aca="false">IF(INDEX(Results_Long!$I:$I,$F48)="","NA",INDEX(Results_Long!$I:$I,$F48))</f>
        <v>35</v>
      </c>
      <c r="I48" s="9" t="n">
        <f aca="false">IF(INDEX(Results_Long!$J:$J,$F48)="","NA",INDEX(Results_Long!$J:$J,$F48))</f>
        <v>35</v>
      </c>
      <c r="J48" s="10" t="n">
        <f aca="false">IF(INDEX(Results_Long!$K:$K,$F48)="","NA",INDEX(Results_Long!$K:$K,$F48))</f>
        <v>-0.0435577882637981</v>
      </c>
      <c r="K48" s="10" t="n">
        <f aca="false">IF(INDEX(Results_Long!$P:$P,$F48)="","NA",INDEX(Results_Long!$P:$P,$F48))</f>
        <v>-0.059873320237778</v>
      </c>
      <c r="L48" s="10" t="n">
        <f aca="false">IF(INDEX(Results_Long!$Q:$Q,$F48)="","NA",INDEX(Results_Long!$Q:$Q,$F48))</f>
        <v>-0.0272422562898181</v>
      </c>
      <c r="M48" s="10" t="n">
        <f aca="false">IF(INDEX(Results_Long!$T:$T,$F48)="","NA",INDEX(Results_Long!$T:$T,$F48))</f>
        <v>-0.043530262033432</v>
      </c>
      <c r="N48" s="10" t="n">
        <f aca="false">IF(INDEX(Results_Long!$U:$U,$F48)="","NA",INDEX(Results_Long!$U:$U,$F48))</f>
        <v>-0.0598018777641909</v>
      </c>
      <c r="O48" s="10" t="n">
        <f aca="false">IF(INDEX(Results_Long!$V:$V,$F48)="","NA",INDEX(Results_Long!$V:$V,$F48))</f>
        <v>-0.0272355190956356</v>
      </c>
      <c r="P48" s="10" t="n">
        <f aca="false">IF(INDEX(Results_Long!$L:$L,$F48)="","NA",INDEX(Results_Long!$L:$L,$F48))</f>
        <v>0.00797504234111399</v>
      </c>
      <c r="Q48" s="11" t="n">
        <f aca="false">IF(INDEX(Results_Long!$M:$M,$F48)="","NA",INDEX(Results_Long!$M:$M,$F48))</f>
        <v>-5.46176263406693</v>
      </c>
      <c r="R48" s="12" t="n">
        <f aca="false">IF(INDEX(Results_Long!$N:$N,$F48)="","NA",INDEX(Results_Long!$N:$N,$F48))</f>
        <v>28.8073650960819</v>
      </c>
      <c r="S48" s="10" t="n">
        <f aca="false">IF(INDEX(Results_Long!$O:$O,$F48)="","NA",INDEX(Results_Long!$O:$O,$F48))</f>
        <v>7.18374936700453E-006</v>
      </c>
      <c r="T48" s="6" t="str">
        <f aca="false">IF(INDEX(Results_Long!$AG:$AG,$F48)="","NA",INDEX(Results_Long!$AG:$AG,$F48))</f>
        <v>NA</v>
      </c>
      <c r="U48" s="5" t="str">
        <f aca="false">IF(INDEX(Results_Long!$AJ:$AJ,$F48)="","NA",INDEX(Results_Long!$AJ:$AJ,$F48))</f>
        <v>cumulative 3L refit after adding study 'Höck et al (2020)' (median sample_mid = 2011.50); ordering: study-wise median sample_mid, ties alphabetical [DEC-045/H-Q17]; full display (CI band)</v>
      </c>
    </row>
    <row r="49" customFormat="false" ht="35.05" hidden="false" customHeight="false" outlineLevel="0" collapsed="false">
      <c r="A49" s="6" t="s">
        <v>383</v>
      </c>
      <c r="B49" s="7" t="s">
        <v>277</v>
      </c>
      <c r="C49" s="7" t="s">
        <v>278</v>
      </c>
      <c r="D49" s="7" t="s">
        <v>384</v>
      </c>
      <c r="E49" s="7" t="s">
        <v>385</v>
      </c>
      <c r="F49" s="8" t="n">
        <f aca="false">SUMPRODUCT((Results_Long!$A$2:$A$178=$B49)*(Results_Long!$B$2:$B$178=$C49)*(Results_Long!$C$2:$C$178=$D49)*(Results_Long!$D$2:$D$178=$E49)*ROW(Results_Long!$A$2:$A$178))</f>
        <v>63</v>
      </c>
      <c r="G49" s="9" t="n">
        <f aca="false">IF(INDEX(Results_Long!$H:$H,$F49)="","NA",INDEX(Results_Long!$H:$H,$F49))</f>
        <v>1009</v>
      </c>
      <c r="H49" s="9" t="n">
        <f aca="false">IF(INDEX(Results_Long!$I:$I,$F49)="","NA",INDEX(Results_Long!$I:$I,$F49))</f>
        <v>36</v>
      </c>
      <c r="I49" s="9" t="n">
        <f aca="false">IF(INDEX(Results_Long!$J:$J,$F49)="","NA",INDEX(Results_Long!$J:$J,$F49))</f>
        <v>36</v>
      </c>
      <c r="J49" s="10" t="n">
        <f aca="false">IF(INDEX(Results_Long!$K:$K,$F49)="","NA",INDEX(Results_Long!$K:$K,$F49))</f>
        <v>-0.0434789975693626</v>
      </c>
      <c r="K49" s="10" t="n">
        <f aca="false">IF(INDEX(Results_Long!$P:$P,$F49)="","NA",INDEX(Results_Long!$P:$P,$F49))</f>
        <v>-0.0591589572612386</v>
      </c>
      <c r="L49" s="10" t="n">
        <f aca="false">IF(INDEX(Results_Long!$Q:$Q,$F49)="","NA",INDEX(Results_Long!$Q:$Q,$F49))</f>
        <v>-0.0277990378774866</v>
      </c>
      <c r="M49" s="10" t="n">
        <f aca="false">IF(INDEX(Results_Long!$T:$T,$F49)="","NA",INDEX(Results_Long!$T:$T,$F49))</f>
        <v>-0.0434516203686393</v>
      </c>
      <c r="N49" s="10" t="n">
        <f aca="false">IF(INDEX(Results_Long!$U:$U,$F49)="","NA",INDEX(Results_Long!$U:$U,$F49))</f>
        <v>-0.0590900392498343</v>
      </c>
      <c r="O49" s="10" t="n">
        <f aca="false">IF(INDEX(Results_Long!$V:$V,$F49)="","NA",INDEX(Results_Long!$V:$V,$F49))</f>
        <v>-0.0277918791832098</v>
      </c>
      <c r="P49" s="10" t="n">
        <f aca="false">IF(INDEX(Results_Long!$L:$L,$F49)="","NA",INDEX(Results_Long!$L:$L,$F49))</f>
        <v>0.00767411468343177</v>
      </c>
      <c r="Q49" s="11" t="n">
        <f aca="false">IF(INDEX(Results_Long!$M:$M,$F49)="","NA",INDEX(Results_Long!$M:$M,$F49))</f>
        <v>-5.66566950885328</v>
      </c>
      <c r="R49" s="12" t="n">
        <f aca="false">IF(INDEX(Results_Long!$N:$N,$F49)="","NA",INDEX(Results_Long!$N:$N,$F49))</f>
        <v>29.6693904230586</v>
      </c>
      <c r="S49" s="10" t="n">
        <f aca="false">IF(INDEX(Results_Long!$O:$O,$F49)="","NA",INDEX(Results_Long!$O:$O,$F49))</f>
        <v>3.6986722910548E-006</v>
      </c>
      <c r="T49" s="6" t="str">
        <f aca="false">IF(INDEX(Results_Long!$AG:$AG,$F49)="","NA",INDEX(Results_Long!$AG:$AG,$F49))</f>
        <v>NA</v>
      </c>
      <c r="U49" s="5" t="str">
        <f aca="false">IF(INDEX(Results_Long!$AJ:$AJ,$F49)="","NA",INDEX(Results_Long!$AJ:$AJ,$F49))</f>
        <v>cumulative 3L refit after adding study 'Yang et al (2024)' (median sample_mid = 2011.50); ordering: study-wise median sample_mid, ties alphabetical [DEC-045/H-Q17]; full display (CI band)</v>
      </c>
    </row>
    <row r="50" customFormat="false" ht="35.05" hidden="false" customHeight="false" outlineLevel="0" collapsed="false">
      <c r="A50" s="6" t="s">
        <v>386</v>
      </c>
      <c r="B50" s="7" t="s">
        <v>277</v>
      </c>
      <c r="C50" s="7" t="s">
        <v>278</v>
      </c>
      <c r="D50" s="7" t="s">
        <v>387</v>
      </c>
      <c r="E50" s="7" t="s">
        <v>388</v>
      </c>
      <c r="F50" s="8" t="n">
        <f aca="false">SUMPRODUCT((Results_Long!$A$2:$A$178=$B50)*(Results_Long!$B$2:$B$178=$C50)*(Results_Long!$C$2:$C$178=$D50)*(Results_Long!$D$2:$D$178=$E50)*ROW(Results_Long!$A$2:$A$178))</f>
        <v>64</v>
      </c>
      <c r="G50" s="9" t="n">
        <f aca="false">IF(INDEX(Results_Long!$H:$H,$F50)="","NA",INDEX(Results_Long!$H:$H,$F50))</f>
        <v>1044</v>
      </c>
      <c r="H50" s="9" t="n">
        <f aca="false">IF(INDEX(Results_Long!$I:$I,$F50)="","NA",INDEX(Results_Long!$I:$I,$F50))</f>
        <v>37</v>
      </c>
      <c r="I50" s="9" t="n">
        <f aca="false">IF(INDEX(Results_Long!$J:$J,$F50)="","NA",INDEX(Results_Long!$J:$J,$F50))</f>
        <v>37</v>
      </c>
      <c r="J50" s="10" t="n">
        <f aca="false">IF(INDEX(Results_Long!$K:$K,$F50)="","NA",INDEX(Results_Long!$K:$K,$F50))</f>
        <v>-0.0426011425212819</v>
      </c>
      <c r="K50" s="10" t="n">
        <f aca="false">IF(INDEX(Results_Long!$P:$P,$F50)="","NA",INDEX(Results_Long!$P:$P,$F50))</f>
        <v>-0.0577034269811309</v>
      </c>
      <c r="L50" s="10" t="n">
        <f aca="false">IF(INDEX(Results_Long!$Q:$Q,$F50)="","NA",INDEX(Results_Long!$Q:$Q,$F50))</f>
        <v>-0.0274988580614329</v>
      </c>
      <c r="M50" s="10" t="n">
        <f aca="false">IF(INDEX(Results_Long!$T:$T,$F50)="","NA",INDEX(Results_Long!$T:$T,$F50))</f>
        <v>-0.0425753895508499</v>
      </c>
      <c r="N50" s="10" t="n">
        <f aca="false">IF(INDEX(Results_Long!$U:$U,$F50)="","NA",INDEX(Results_Long!$U:$U,$F50))</f>
        <v>-0.0576394674114558</v>
      </c>
      <c r="O50" s="10" t="n">
        <f aca="false">IF(INDEX(Results_Long!$V:$V,$F50)="","NA",INDEX(Results_Long!$V:$V,$F50))</f>
        <v>-0.0274919287292628</v>
      </c>
      <c r="P50" s="10" t="n">
        <f aca="false">IF(INDEX(Results_Long!$L:$L,$F50)="","NA",INDEX(Results_Long!$L:$L,$F50))</f>
        <v>0.0074003330800283</v>
      </c>
      <c r="Q50" s="11" t="n">
        <f aca="false">IF(INDEX(Results_Long!$M:$M,$F50)="","NA",INDEX(Results_Long!$M:$M,$F50))</f>
        <v>-5.7566520399267</v>
      </c>
      <c r="R50" s="12" t="n">
        <f aca="false">IF(INDEX(Results_Long!$N:$N,$F50)="","NA",INDEX(Results_Long!$N:$N,$F50))</f>
        <v>30.5406805084109</v>
      </c>
      <c r="S50" s="10" t="n">
        <f aca="false">IF(INDEX(Results_Long!$O:$O,$F50)="","NA",INDEX(Results_Long!$O:$O,$F50))</f>
        <v>2.58876989315239E-006</v>
      </c>
      <c r="T50" s="6" t="str">
        <f aca="false">IF(INDEX(Results_Long!$AG:$AG,$F50)="","NA",INDEX(Results_Long!$AG:$AG,$F50))</f>
        <v>NA</v>
      </c>
      <c r="U50" s="5" t="str">
        <f aca="false">IF(INDEX(Results_Long!$AJ:$AJ,$F50)="","NA",INDEX(Results_Long!$AJ:$AJ,$F50))</f>
        <v>cumulative 3L refit after adding study 'Cubas, Martinez (2018)' (median sample_mid = 2012.00); ordering: study-wise median sample_mid, ties alphabetical [DEC-045/H-Q17]; full display (CI band)</v>
      </c>
    </row>
    <row r="51" customFormat="false" ht="35.05" hidden="false" customHeight="false" outlineLevel="0" collapsed="false">
      <c r="A51" s="6" t="s">
        <v>389</v>
      </c>
      <c r="B51" s="7" t="s">
        <v>277</v>
      </c>
      <c r="C51" s="7" t="s">
        <v>278</v>
      </c>
      <c r="D51" s="7" t="s">
        <v>390</v>
      </c>
      <c r="E51" s="7" t="s">
        <v>391</v>
      </c>
      <c r="F51" s="8" t="n">
        <f aca="false">SUMPRODUCT((Results_Long!$A$2:$A$178=$B51)*(Results_Long!$B$2:$B$178=$C51)*(Results_Long!$C$2:$C$178=$D51)*(Results_Long!$D$2:$D$178=$E51)*ROW(Results_Long!$A$2:$A$178))</f>
        <v>65</v>
      </c>
      <c r="G51" s="9" t="n">
        <f aca="false">IF(INDEX(Results_Long!$H:$H,$F51)="","NA",INDEX(Results_Long!$H:$H,$F51))</f>
        <v>1046</v>
      </c>
      <c r="H51" s="9" t="n">
        <f aca="false">IF(INDEX(Results_Long!$I:$I,$F51)="","NA",INDEX(Results_Long!$I:$I,$F51))</f>
        <v>38</v>
      </c>
      <c r="I51" s="9" t="n">
        <f aca="false">IF(INDEX(Results_Long!$J:$J,$F51)="","NA",INDEX(Results_Long!$J:$J,$F51))</f>
        <v>38</v>
      </c>
      <c r="J51" s="10" t="n">
        <f aca="false">IF(INDEX(Results_Long!$K:$K,$F51)="","NA",INDEX(Results_Long!$K:$K,$F51))</f>
        <v>-0.0948227622996191</v>
      </c>
      <c r="K51" s="10" t="n">
        <f aca="false">IF(INDEX(Results_Long!$P:$P,$F51)="","NA",INDEX(Results_Long!$P:$P,$F51))</f>
        <v>-0.182836091001669</v>
      </c>
      <c r="L51" s="10" t="n">
        <f aca="false">IF(INDEX(Results_Long!$Q:$Q,$F51)="","NA",INDEX(Results_Long!$Q:$Q,$F51))</f>
        <v>-0.00680943359756947</v>
      </c>
      <c r="M51" s="10" t="n">
        <f aca="false">IF(INDEX(Results_Long!$T:$T,$F51)="","NA",INDEX(Results_Long!$T:$T,$F51))</f>
        <v>-0.0945395856341237</v>
      </c>
      <c r="N51" s="10" t="n">
        <f aca="false">IF(INDEX(Results_Long!$U:$U,$F51)="","NA",INDEX(Results_Long!$U:$U,$F51))</f>
        <v>-0.180825625136453</v>
      </c>
      <c r="O51" s="10" t="n">
        <f aca="false">IF(INDEX(Results_Long!$V:$V,$F51)="","NA",INDEX(Results_Long!$V:$V,$F51))</f>
        <v>-0.00680932835203985</v>
      </c>
      <c r="P51" s="10" t="n">
        <f aca="false">IF(INDEX(Results_Long!$L:$L,$F51)="","NA",INDEX(Results_Long!$L:$L,$F51))</f>
        <v>0.0434353999018394</v>
      </c>
      <c r="Q51" s="11" t="n">
        <f aca="false">IF(INDEX(Results_Long!$M:$M,$F51)="","NA",INDEX(Results_Long!$M:$M,$F51))</f>
        <v>-2.18307561376</v>
      </c>
      <c r="R51" s="12" t="n">
        <f aca="false">IF(INDEX(Results_Long!$N:$N,$F51)="","NA",INDEX(Results_Long!$N:$N,$F51))</f>
        <v>36.9397101620557</v>
      </c>
      <c r="S51" s="10" t="n">
        <f aca="false">IF(INDEX(Results_Long!$O:$O,$F51)="","NA",INDEX(Results_Long!$O:$O,$F51))</f>
        <v>0.0354604755300385</v>
      </c>
      <c r="T51" s="6" t="str">
        <f aca="false">IF(INDEX(Results_Long!$AG:$AG,$F51)="","NA",INDEX(Results_Long!$AG:$AG,$F51))</f>
        <v>NA</v>
      </c>
      <c r="U51" s="5" t="str">
        <f aca="false">IF(INDEX(Results_Long!$AJ:$AJ,$F51)="","NA",INDEX(Results_Long!$AJ:$AJ,$F51))</f>
        <v>cumulative 3L refit after adding study 'Drago et al (2018)' (median sample_mid = 2012.00); ordering: study-wise median sample_mid, ties alphabetical [DEC-045/H-Q17]; full display (CI band)</v>
      </c>
    </row>
    <row r="52" customFormat="false" ht="35.05" hidden="false" customHeight="false" outlineLevel="0" collapsed="false">
      <c r="A52" s="6" t="s">
        <v>392</v>
      </c>
      <c r="B52" s="7" t="s">
        <v>277</v>
      </c>
      <c r="C52" s="7" t="s">
        <v>278</v>
      </c>
      <c r="D52" s="7" t="s">
        <v>393</v>
      </c>
      <c r="E52" s="7" t="s">
        <v>394</v>
      </c>
      <c r="F52" s="8" t="n">
        <f aca="false">SUMPRODUCT((Results_Long!$A$2:$A$178=$B52)*(Results_Long!$B$2:$B$178=$C52)*(Results_Long!$C$2:$C$178=$D52)*(Results_Long!$D$2:$D$178=$E52)*ROW(Results_Long!$A$2:$A$178))</f>
        <v>66</v>
      </c>
      <c r="G52" s="9" t="n">
        <f aca="false">IF(INDEX(Results_Long!$H:$H,$F52)="","NA",INDEX(Results_Long!$H:$H,$F52))</f>
        <v>1068</v>
      </c>
      <c r="H52" s="9" t="n">
        <f aca="false">IF(INDEX(Results_Long!$I:$I,$F52)="","NA",INDEX(Results_Long!$I:$I,$F52))</f>
        <v>39</v>
      </c>
      <c r="I52" s="9" t="n">
        <f aca="false">IF(INDEX(Results_Long!$J:$J,$F52)="","NA",INDEX(Results_Long!$J:$J,$F52))</f>
        <v>39</v>
      </c>
      <c r="J52" s="10" t="n">
        <f aca="false">IF(INDEX(Results_Long!$K:$K,$F52)="","NA",INDEX(Results_Long!$K:$K,$F52))</f>
        <v>-0.091481523313858</v>
      </c>
      <c r="K52" s="10" t="n">
        <f aca="false">IF(INDEX(Results_Long!$P:$P,$F52)="","NA",INDEX(Results_Long!$P:$P,$F52))</f>
        <v>-0.177362572121818</v>
      </c>
      <c r="L52" s="10" t="n">
        <f aca="false">IF(INDEX(Results_Long!$Q:$Q,$F52)="","NA",INDEX(Results_Long!$Q:$Q,$F52))</f>
        <v>-0.00560047450589851</v>
      </c>
      <c r="M52" s="10" t="n">
        <f aca="false">IF(INDEX(Results_Long!$T:$T,$F52)="","NA",INDEX(Results_Long!$T:$T,$F52))</f>
        <v>-0.0912271757557087</v>
      </c>
      <c r="N52" s="10" t="n">
        <f aca="false">IF(INDEX(Results_Long!$U:$U,$F52)="","NA",INDEX(Results_Long!$U:$U,$F52))</f>
        <v>-0.175525886362305</v>
      </c>
      <c r="O52" s="10" t="n">
        <f aca="false">IF(INDEX(Results_Long!$V:$V,$F52)="","NA",INDEX(Results_Long!$V:$V,$F52))</f>
        <v>-0.00560041595308469</v>
      </c>
      <c r="P52" s="10" t="n">
        <f aca="false">IF(INDEX(Results_Long!$L:$L,$F52)="","NA",INDEX(Results_Long!$L:$L,$F52))</f>
        <v>0.0424208461235097</v>
      </c>
      <c r="Q52" s="11" t="n">
        <f aca="false">IF(INDEX(Results_Long!$M:$M,$F52)="","NA",INDEX(Results_Long!$M:$M,$F52))</f>
        <v>-2.15652283425716</v>
      </c>
      <c r="R52" s="12" t="n">
        <f aca="false">IF(INDEX(Results_Long!$N:$N,$F52)="","NA",INDEX(Results_Long!$N:$N,$F52))</f>
        <v>37.9389879876926</v>
      </c>
      <c r="S52" s="10" t="n">
        <f aca="false">IF(INDEX(Results_Long!$O:$O,$F52)="","NA",INDEX(Results_Long!$O:$O,$F52))</f>
        <v>0.0374457141005588</v>
      </c>
      <c r="T52" s="6" t="str">
        <f aca="false">IF(INDEX(Results_Long!$AG:$AG,$F52)="","NA",INDEX(Results_Long!$AG:$AG,$F52))</f>
        <v>NA</v>
      </c>
      <c r="U52" s="5" t="str">
        <f aca="false">IF(INDEX(Results_Long!$AJ:$AJ,$F52)="","NA",INDEX(Results_Long!$AJ:$AJ,$F52))</f>
        <v>cumulative 3L refit after adding study 'Ehlers et al (2021)' (median sample_mid = 2012.00); ordering: study-wise median sample_mid, ties alphabetical [DEC-045/H-Q17]; full display (CI band)</v>
      </c>
    </row>
    <row r="53" customFormat="false" ht="35.05" hidden="false" customHeight="false" outlineLevel="0" collapsed="false">
      <c r="A53" s="6" t="s">
        <v>395</v>
      </c>
      <c r="B53" s="7" t="s">
        <v>277</v>
      </c>
      <c r="C53" s="7" t="s">
        <v>278</v>
      </c>
      <c r="D53" s="7" t="s">
        <v>396</v>
      </c>
      <c r="E53" s="7" t="s">
        <v>397</v>
      </c>
      <c r="F53" s="8" t="n">
        <f aca="false">SUMPRODUCT((Results_Long!$A$2:$A$178=$B53)*(Results_Long!$B$2:$B$178=$C53)*(Results_Long!$C$2:$C$178=$D53)*(Results_Long!$D$2:$D$178=$E53)*ROW(Results_Long!$A$2:$A$178))</f>
        <v>67</v>
      </c>
      <c r="G53" s="9" t="n">
        <f aca="false">IF(INDEX(Results_Long!$H:$H,$F53)="","NA",INDEX(Results_Long!$H:$H,$F53))</f>
        <v>1085</v>
      </c>
      <c r="H53" s="9" t="n">
        <f aca="false">IF(INDEX(Results_Long!$I:$I,$F53)="","NA",INDEX(Results_Long!$I:$I,$F53))</f>
        <v>40</v>
      </c>
      <c r="I53" s="9" t="n">
        <f aca="false">IF(INDEX(Results_Long!$J:$J,$F53)="","NA",INDEX(Results_Long!$J:$J,$F53))</f>
        <v>40</v>
      </c>
      <c r="J53" s="10" t="n">
        <f aca="false">IF(INDEX(Results_Long!$K:$K,$F53)="","NA",INDEX(Results_Long!$K:$K,$F53))</f>
        <v>-0.0901498373179723</v>
      </c>
      <c r="K53" s="10" t="n">
        <f aca="false">IF(INDEX(Results_Long!$P:$P,$F53)="","NA",INDEX(Results_Long!$P:$P,$F53))</f>
        <v>-0.173740371341413</v>
      </c>
      <c r="L53" s="10" t="n">
        <f aca="false">IF(INDEX(Results_Long!$Q:$Q,$F53)="","NA",INDEX(Results_Long!$Q:$Q,$F53))</f>
        <v>-0.00655930329453128</v>
      </c>
      <c r="M53" s="10" t="n">
        <f aca="false">IF(INDEX(Results_Long!$T:$T,$F53)="","NA",INDEX(Results_Long!$T:$T,$F53))</f>
        <v>-0.089906412906763</v>
      </c>
      <c r="N53" s="10" t="n">
        <f aca="false">IF(INDEX(Results_Long!$U:$U,$F53)="","NA",INDEX(Results_Long!$U:$U,$F53))</f>
        <v>-0.172013065132143</v>
      </c>
      <c r="O53" s="10" t="n">
        <f aca="false">IF(INDEX(Results_Long!$V:$V,$F53)="","NA",INDEX(Results_Long!$V:$V,$F53))</f>
        <v>-0.00655920922599007</v>
      </c>
      <c r="P53" s="10" t="n">
        <f aca="false">IF(INDEX(Results_Long!$L:$L,$F53)="","NA",INDEX(Results_Long!$L:$L,$F53))</f>
        <v>0.0413242581085503</v>
      </c>
      <c r="Q53" s="11" t="n">
        <f aca="false">IF(INDEX(Results_Long!$M:$M,$F53)="","NA",INDEX(Results_Long!$M:$M,$F53))</f>
        <v>-2.18152343064859</v>
      </c>
      <c r="R53" s="12" t="n">
        <f aca="false">IF(INDEX(Results_Long!$N:$N,$F53)="","NA",INDEX(Results_Long!$N:$N,$F53))</f>
        <v>38.9368823001937</v>
      </c>
      <c r="S53" s="10" t="n">
        <f aca="false">IF(INDEX(Results_Long!$O:$O,$F53)="","NA",INDEX(Results_Long!$O:$O,$F53))</f>
        <v>0.0352463851199924</v>
      </c>
      <c r="T53" s="6" t="str">
        <f aca="false">IF(INDEX(Results_Long!$AG:$AG,$F53)="","NA",INDEX(Results_Long!$AG:$AG,$F53))</f>
        <v>NA</v>
      </c>
      <c r="U53" s="5" t="str">
        <f aca="false">IF(INDEX(Results_Long!$AJ:$AJ,$F53)="","NA",INDEX(Results_Long!$AJ:$AJ,$F53))</f>
        <v>cumulative 3L refit after adding study 'Li et al (2022)' (median sample_mid = 2012.00); ordering: study-wise median sample_mid, ties alphabetical [DEC-045/H-Q17]; full display (CI band)</v>
      </c>
    </row>
    <row r="54" customFormat="false" ht="35.05" hidden="false" customHeight="false" outlineLevel="0" collapsed="false">
      <c r="A54" s="6" t="s">
        <v>398</v>
      </c>
      <c r="B54" s="7" t="s">
        <v>277</v>
      </c>
      <c r="C54" s="7" t="s">
        <v>278</v>
      </c>
      <c r="D54" s="7" t="s">
        <v>399</v>
      </c>
      <c r="E54" s="7" t="s">
        <v>400</v>
      </c>
      <c r="F54" s="8" t="n">
        <f aca="false">SUMPRODUCT((Results_Long!$A$2:$A$178=$B54)*(Results_Long!$B$2:$B$178=$C54)*(Results_Long!$C$2:$C$178=$D54)*(Results_Long!$D$2:$D$178=$E54)*ROW(Results_Long!$A$2:$A$178))</f>
        <v>68</v>
      </c>
      <c r="G54" s="9" t="n">
        <f aca="false">IF(INDEX(Results_Long!$H:$H,$F54)="","NA",INDEX(Results_Long!$H:$H,$F54))</f>
        <v>1087</v>
      </c>
      <c r="H54" s="9" t="n">
        <f aca="false">IF(INDEX(Results_Long!$I:$I,$F54)="","NA",INDEX(Results_Long!$I:$I,$F54))</f>
        <v>41</v>
      </c>
      <c r="I54" s="9" t="n">
        <f aca="false">IF(INDEX(Results_Long!$J:$J,$F54)="","NA",INDEX(Results_Long!$J:$J,$F54))</f>
        <v>41</v>
      </c>
      <c r="J54" s="10" t="n">
        <f aca="false">IF(INDEX(Results_Long!$K:$K,$F54)="","NA",INDEX(Results_Long!$K:$K,$F54))</f>
        <v>-0.0877715454988228</v>
      </c>
      <c r="K54" s="10" t="n">
        <f aca="false">IF(INDEX(Results_Long!$P:$P,$F54)="","NA",INDEX(Results_Long!$P:$P,$F54))</f>
        <v>-0.16938184760959</v>
      </c>
      <c r="L54" s="10" t="n">
        <f aca="false">IF(INDEX(Results_Long!$Q:$Q,$F54)="","NA",INDEX(Results_Long!$Q:$Q,$F54))</f>
        <v>-0.00616124338805561</v>
      </c>
      <c r="M54" s="10" t="n">
        <f aca="false">IF(INDEX(Results_Long!$T:$T,$F54)="","NA",INDEX(Results_Long!$T:$T,$F54))</f>
        <v>-0.0875468451255467</v>
      </c>
      <c r="N54" s="10" t="n">
        <f aca="false">IF(INDEX(Results_Long!$U:$U,$F54)="","NA",INDEX(Results_Long!$U:$U,$F54))</f>
        <v>-0.16778035699987</v>
      </c>
      <c r="O54" s="10" t="n">
        <f aca="false">IF(INDEX(Results_Long!$V:$V,$F54)="","NA",INDEX(Results_Long!$V:$V,$F54))</f>
        <v>-0.00616116542708344</v>
      </c>
      <c r="P54" s="10" t="n">
        <f aca="false">IF(INDEX(Results_Long!$L:$L,$F54)="","NA",INDEX(Results_Long!$L:$L,$F54))</f>
        <v>0.0403774660290368</v>
      </c>
      <c r="Q54" s="11" t="n">
        <f aca="false">IF(INDEX(Results_Long!$M:$M,$F54)="","NA",INDEX(Results_Long!$M:$M,$F54))</f>
        <v>-2.17377547753252</v>
      </c>
      <c r="R54" s="12" t="n">
        <f aca="false">IF(INDEX(Results_Long!$N:$N,$F54)="","NA",INDEX(Results_Long!$N:$N,$F54))</f>
        <v>39.9309004426544</v>
      </c>
      <c r="S54" s="10" t="n">
        <f aca="false">IF(INDEX(Results_Long!$O:$O,$F54)="","NA",INDEX(Results_Long!$O:$O,$F54))</f>
        <v>0.0357092987786514</v>
      </c>
      <c r="T54" s="6" t="str">
        <f aca="false">IF(INDEX(Results_Long!$AG:$AG,$F54)="","NA",INDEX(Results_Long!$AG:$AG,$F54))</f>
        <v>NA</v>
      </c>
      <c r="U54" s="5" t="str">
        <f aca="false">IF(INDEX(Results_Long!$AJ:$AJ,$F54)="","NA",INDEX(Results_Long!$AJ:$AJ,$F54))</f>
        <v>cumulative 3L refit after adding study 'Ofogbe et al (2021)' (median sample_mid = 2012.00); ordering: study-wise median sample_mid, ties alphabetical [DEC-045/H-Q17]; full display (CI band)</v>
      </c>
    </row>
    <row r="55" customFormat="false" ht="35.05" hidden="false" customHeight="false" outlineLevel="0" collapsed="false">
      <c r="A55" s="6" t="s">
        <v>401</v>
      </c>
      <c r="B55" s="7" t="s">
        <v>277</v>
      </c>
      <c r="C55" s="7" t="s">
        <v>278</v>
      </c>
      <c r="D55" s="7" t="s">
        <v>402</v>
      </c>
      <c r="E55" s="7" t="s">
        <v>403</v>
      </c>
      <c r="F55" s="8" t="n">
        <f aca="false">SUMPRODUCT((Results_Long!$A$2:$A$178=$B55)*(Results_Long!$B$2:$B$178=$C55)*(Results_Long!$C$2:$C$178=$D55)*(Results_Long!$D$2:$D$178=$E55)*ROW(Results_Long!$A$2:$A$178))</f>
        <v>69</v>
      </c>
      <c r="G55" s="9" t="n">
        <f aca="false">IF(INDEX(Results_Long!$H:$H,$F55)="","NA",INDEX(Results_Long!$H:$H,$F55))</f>
        <v>1119</v>
      </c>
      <c r="H55" s="9" t="n">
        <f aca="false">IF(INDEX(Results_Long!$I:$I,$F55)="","NA",INDEX(Results_Long!$I:$I,$F55))</f>
        <v>42</v>
      </c>
      <c r="I55" s="9" t="n">
        <f aca="false">IF(INDEX(Results_Long!$J:$J,$F55)="","NA",INDEX(Results_Long!$J:$J,$F55))</f>
        <v>42</v>
      </c>
      <c r="J55" s="10" t="n">
        <f aca="false">IF(INDEX(Results_Long!$K:$K,$F55)="","NA",INDEX(Results_Long!$K:$K,$F55))</f>
        <v>-0.0832111390450783</v>
      </c>
      <c r="K55" s="10" t="n">
        <f aca="false">IF(INDEX(Results_Long!$P:$P,$F55)="","NA",INDEX(Results_Long!$P:$P,$F55))</f>
        <v>-0.163366557732653</v>
      </c>
      <c r="L55" s="10" t="n">
        <f aca="false">IF(INDEX(Results_Long!$Q:$Q,$F55)="","NA",INDEX(Results_Long!$Q:$Q,$F55))</f>
        <v>-0.00305572035750318</v>
      </c>
      <c r="M55" s="10" t="n">
        <f aca="false">IF(INDEX(Results_Long!$T:$T,$F55)="","NA",INDEX(Results_Long!$T:$T,$F55))</f>
        <v>-0.0830196155713812</v>
      </c>
      <c r="N55" s="10" t="n">
        <f aca="false">IF(INDEX(Results_Long!$U:$U,$F55)="","NA",INDEX(Results_Long!$U:$U,$F55))</f>
        <v>-0.161928563697971</v>
      </c>
      <c r="O55" s="10" t="n">
        <f aca="false">IF(INDEX(Results_Long!$V:$V,$F55)="","NA",INDEX(Results_Long!$V:$V,$F55))</f>
        <v>-0.00305571084668354</v>
      </c>
      <c r="P55" s="10" t="n">
        <f aca="false">IF(INDEX(Results_Long!$L:$L,$F55)="","NA",INDEX(Results_Long!$L:$L,$F55))</f>
        <v>0.0396879177432019</v>
      </c>
      <c r="Q55" s="11" t="n">
        <f aca="false">IF(INDEX(Results_Long!$M:$M,$F55)="","NA",INDEX(Results_Long!$M:$M,$F55))</f>
        <v>-2.09663655280407</v>
      </c>
      <c r="R55" s="12" t="n">
        <f aca="false">IF(INDEX(Results_Long!$N:$N,$F55)="","NA",INDEX(Results_Long!$N:$N,$F55))</f>
        <v>40.9320207136971</v>
      </c>
      <c r="S55" s="10" t="n">
        <f aca="false">IF(INDEX(Results_Long!$O:$O,$F55)="","NA",INDEX(Results_Long!$O:$O,$F55))</f>
        <v>0.0422483482744475</v>
      </c>
      <c r="T55" s="6" t="str">
        <f aca="false">IF(INDEX(Results_Long!$AG:$AG,$F55)="","NA",INDEX(Results_Long!$AG:$AG,$F55))</f>
        <v>NA</v>
      </c>
      <c r="U55" s="5" t="str">
        <f aca="false">IF(INDEX(Results_Long!$AJ:$AJ,$F55)="","NA",INDEX(Results_Long!$AJ:$AJ,$F55))</f>
        <v>cumulative 3L refit after adding study 'Okimoto &amp; Takaoka (2024)' (median sample_mid = 2012.00); ordering: study-wise median sample_mid, ties alphabetical [DEC-045/H-Q17]; full display (CI band)</v>
      </c>
    </row>
    <row r="56" customFormat="false" ht="35.05" hidden="false" customHeight="false" outlineLevel="0" collapsed="false">
      <c r="A56" s="6" t="s">
        <v>404</v>
      </c>
      <c r="B56" s="7" t="s">
        <v>277</v>
      </c>
      <c r="C56" s="7" t="s">
        <v>278</v>
      </c>
      <c r="D56" s="7" t="s">
        <v>405</v>
      </c>
      <c r="E56" s="7" t="s">
        <v>406</v>
      </c>
      <c r="F56" s="8" t="n">
        <f aca="false">SUMPRODUCT((Results_Long!$A$2:$A$178=$B56)*(Results_Long!$B$2:$B$178=$C56)*(Results_Long!$C$2:$C$178=$D56)*(Results_Long!$D$2:$D$178=$E56)*ROW(Results_Long!$A$2:$A$178))</f>
        <v>70</v>
      </c>
      <c r="G56" s="9" t="n">
        <f aca="false">IF(INDEX(Results_Long!$H:$H,$F56)="","NA",INDEX(Results_Long!$H:$H,$F56))</f>
        <v>1175</v>
      </c>
      <c r="H56" s="9" t="n">
        <f aca="false">IF(INDEX(Results_Long!$I:$I,$F56)="","NA",INDEX(Results_Long!$I:$I,$F56))</f>
        <v>43</v>
      </c>
      <c r="I56" s="9" t="n">
        <f aca="false">IF(INDEX(Results_Long!$J:$J,$F56)="","NA",INDEX(Results_Long!$J:$J,$F56))</f>
        <v>43</v>
      </c>
      <c r="J56" s="10" t="n">
        <f aca="false">IF(INDEX(Results_Long!$K:$K,$F56)="","NA",INDEX(Results_Long!$K:$K,$F56))</f>
        <v>-0.0815065328344965</v>
      </c>
      <c r="K56" s="10" t="n">
        <f aca="false">IF(INDEX(Results_Long!$P:$P,$F56)="","NA",INDEX(Results_Long!$P:$P,$F56))</f>
        <v>-0.159865731091386</v>
      </c>
      <c r="L56" s="10" t="n">
        <f aca="false">IF(INDEX(Results_Long!$Q:$Q,$F56)="","NA",INDEX(Results_Long!$Q:$Q,$F56))</f>
        <v>-0.00314733457760714</v>
      </c>
      <c r="M56" s="10" t="n">
        <f aca="false">IF(INDEX(Results_Long!$T:$T,$F56)="","NA",INDEX(Results_Long!$T:$T,$F56))</f>
        <v>-0.0813265199843229</v>
      </c>
      <c r="N56" s="10" t="n">
        <f aca="false">IF(INDEX(Results_Long!$U:$U,$F56)="","NA",INDEX(Results_Long!$U:$U,$F56))</f>
        <v>-0.158517612062338</v>
      </c>
      <c r="O56" s="10" t="n">
        <f aca="false">IF(INDEX(Results_Long!$V:$V,$F56)="","NA",INDEX(Results_Long!$V:$V,$F56))</f>
        <v>-0.0031473241854486</v>
      </c>
      <c r="P56" s="10" t="n">
        <f aca="false">IF(INDEX(Results_Long!$L:$L,$F56)="","NA",INDEX(Results_Long!$L:$L,$F56))</f>
        <v>0.0388267205518324</v>
      </c>
      <c r="Q56" s="11" t="n">
        <f aca="false">IF(INDEX(Results_Long!$M:$M,$F56)="","NA",INDEX(Results_Long!$M:$M,$F56))</f>
        <v>-2.09923814517602</v>
      </c>
      <c r="R56" s="12" t="n">
        <f aca="false">IF(INDEX(Results_Long!$N:$N,$F56)="","NA",INDEX(Results_Long!$N:$N,$F56))</f>
        <v>41.9330958716907</v>
      </c>
      <c r="S56" s="10" t="n">
        <f aca="false">IF(INDEX(Results_Long!$O:$O,$F56)="","NA",INDEX(Results_Long!$O:$O,$F56))</f>
        <v>0.0418554630007403</v>
      </c>
      <c r="T56" s="6" t="str">
        <f aca="false">IF(INDEX(Results_Long!$AG:$AG,$F56)="","NA",INDEX(Results_Long!$AG:$AG,$F56))</f>
        <v>NA</v>
      </c>
      <c r="U56" s="5" t="str">
        <f aca="false">IF(INDEX(Results_Long!$AJ:$AJ,$F56)="","NA",INDEX(Results_Long!$AJ:$AJ,$F56))</f>
        <v>cumulative 3L refit after adding study 'Safiullah et al (2025)' (median sample_mid = 2012.00); ordering: study-wise median sample_mid, ties alphabetical [DEC-045/H-Q17]; full display (CI band)</v>
      </c>
    </row>
    <row r="57" customFormat="false" ht="35.05" hidden="false" customHeight="false" outlineLevel="0" collapsed="false">
      <c r="A57" s="6" t="s">
        <v>407</v>
      </c>
      <c r="B57" s="7" t="s">
        <v>277</v>
      </c>
      <c r="C57" s="7" t="s">
        <v>278</v>
      </c>
      <c r="D57" s="7" t="s">
        <v>408</v>
      </c>
      <c r="E57" s="7" t="s">
        <v>409</v>
      </c>
      <c r="F57" s="8" t="n">
        <f aca="false">SUMPRODUCT((Results_Long!$A$2:$A$178=$B57)*(Results_Long!$B$2:$B$178=$C57)*(Results_Long!$C$2:$C$178=$D57)*(Results_Long!$D$2:$D$178=$E57)*ROW(Results_Long!$A$2:$A$178))</f>
        <v>71</v>
      </c>
      <c r="G57" s="9" t="n">
        <f aca="false">IF(INDEX(Results_Long!$H:$H,$F57)="","NA",INDEX(Results_Long!$H:$H,$F57))</f>
        <v>1185</v>
      </c>
      <c r="H57" s="9" t="n">
        <f aca="false">IF(INDEX(Results_Long!$I:$I,$F57)="","NA",INDEX(Results_Long!$I:$I,$F57))</f>
        <v>44</v>
      </c>
      <c r="I57" s="9" t="n">
        <f aca="false">IF(INDEX(Results_Long!$J:$J,$F57)="","NA",INDEX(Results_Long!$J:$J,$F57))</f>
        <v>44</v>
      </c>
      <c r="J57" s="10" t="n">
        <f aca="false">IF(INDEX(Results_Long!$K:$K,$F57)="","NA",INDEX(Results_Long!$K:$K,$F57))</f>
        <v>-0.0805343733590419</v>
      </c>
      <c r="K57" s="10" t="n">
        <f aca="false">IF(INDEX(Results_Long!$P:$P,$F57)="","NA",INDEX(Results_Long!$P:$P,$F57))</f>
        <v>-0.15698139965213</v>
      </c>
      <c r="L57" s="10" t="n">
        <f aca="false">IF(INDEX(Results_Long!$Q:$Q,$F57)="","NA",INDEX(Results_Long!$Q:$Q,$F57))</f>
        <v>-0.00408734706595404</v>
      </c>
      <c r="M57" s="10" t="n">
        <f aca="false">IF(INDEX(Results_Long!$T:$T,$F57)="","NA",INDEX(Results_Long!$T:$T,$F57))</f>
        <v>-0.0803607143198088</v>
      </c>
      <c r="N57" s="10" t="n">
        <f aca="false">IF(INDEX(Results_Long!$U:$U,$F57)="","NA",INDEX(Results_Long!$U:$U,$F57))</f>
        <v>-0.155704479210828</v>
      </c>
      <c r="O57" s="10" t="n">
        <f aca="false">IF(INDEX(Results_Long!$V:$V,$F57)="","NA",INDEX(Results_Long!$V:$V,$F57))</f>
        <v>-0.00408732430447958</v>
      </c>
      <c r="P57" s="10" t="n">
        <f aca="false">IF(INDEX(Results_Long!$L:$L,$F57)="","NA",INDEX(Results_Long!$L:$L,$F57))</f>
        <v>0.0379053670093525</v>
      </c>
      <c r="Q57" s="11" t="n">
        <f aca="false">IF(INDEX(Results_Long!$M:$M,$F57)="","NA",INDEX(Results_Long!$M:$M,$F57))</f>
        <v>-2.12461663645603</v>
      </c>
      <c r="R57" s="12" t="n">
        <f aca="false">IF(INDEX(Results_Long!$N:$N,$F57)="","NA",INDEX(Results_Long!$N:$N,$F57))</f>
        <v>42.9307064320736</v>
      </c>
      <c r="S57" s="10" t="n">
        <f aca="false">IF(INDEX(Results_Long!$O:$O,$F57)="","NA",INDEX(Results_Long!$O:$O,$F57))</f>
        <v>0.0394164566018191</v>
      </c>
      <c r="T57" s="6" t="str">
        <f aca="false">IF(INDEX(Results_Long!$AG:$AG,$F57)="","NA",INDEX(Results_Long!$AG:$AG,$F57))</f>
        <v>NA</v>
      </c>
      <c r="U57" s="5" t="str">
        <f aca="false">IF(INDEX(Results_Long!$AJ:$AJ,$F57)="","NA",INDEX(Results_Long!$AJ:$AJ,$F57))</f>
        <v>cumulative 3L refit after adding study 'Truong, Kim (2019)' (median sample_mid = 2012.00); ordering: study-wise median sample_mid, ties alphabetical [DEC-045/H-Q17]; full display (CI band)</v>
      </c>
    </row>
    <row r="58" customFormat="false" ht="35.05" hidden="false" customHeight="false" outlineLevel="0" collapsed="false">
      <c r="A58" s="6" t="s">
        <v>410</v>
      </c>
      <c r="B58" s="7" t="s">
        <v>277</v>
      </c>
      <c r="C58" s="7" t="s">
        <v>278</v>
      </c>
      <c r="D58" s="7" t="s">
        <v>411</v>
      </c>
      <c r="E58" s="7" t="s">
        <v>412</v>
      </c>
      <c r="F58" s="8" t="n">
        <f aca="false">SUMPRODUCT((Results_Long!$A$2:$A$178=$B58)*(Results_Long!$B$2:$B$178=$C58)*(Results_Long!$C$2:$C$178=$D58)*(Results_Long!$D$2:$D$178=$E58)*ROW(Results_Long!$A$2:$A$178))</f>
        <v>72</v>
      </c>
      <c r="G58" s="9" t="n">
        <f aca="false">IF(INDEX(Results_Long!$H:$H,$F58)="","NA",INDEX(Results_Long!$H:$H,$F58))</f>
        <v>1197</v>
      </c>
      <c r="H58" s="9" t="n">
        <f aca="false">IF(INDEX(Results_Long!$I:$I,$F58)="","NA",INDEX(Results_Long!$I:$I,$F58))</f>
        <v>45</v>
      </c>
      <c r="I58" s="9" t="n">
        <f aca="false">IF(INDEX(Results_Long!$J:$J,$F58)="","NA",INDEX(Results_Long!$J:$J,$F58))</f>
        <v>45</v>
      </c>
      <c r="J58" s="10" t="n">
        <f aca="false">IF(INDEX(Results_Long!$K:$K,$F58)="","NA",INDEX(Results_Long!$K:$K,$F58))</f>
        <v>-0.080737562175196</v>
      </c>
      <c r="K58" s="10" t="n">
        <f aca="false">IF(INDEX(Results_Long!$P:$P,$F58)="","NA",INDEX(Results_Long!$P:$P,$F58))</f>
        <v>-0.155390173565421</v>
      </c>
      <c r="L58" s="10" t="n">
        <f aca="false">IF(INDEX(Results_Long!$Q:$Q,$F58)="","NA",INDEX(Results_Long!$Q:$Q,$F58))</f>
        <v>-0.00608495078497147</v>
      </c>
      <c r="M58" s="10" t="n">
        <f aca="false">IF(INDEX(Results_Long!$T:$T,$F58)="","NA",INDEX(Results_Long!$T:$T,$F58))</f>
        <v>-0.0805625876751564</v>
      </c>
      <c r="N58" s="10" t="n">
        <f aca="false">IF(INDEX(Results_Long!$U:$U,$F58)="","NA",INDEX(Results_Long!$U:$U,$F58))</f>
        <v>-0.154151447156068</v>
      </c>
      <c r="O58" s="10" t="n">
        <f aca="false">IF(INDEX(Results_Long!$V:$V,$F58)="","NA",INDEX(Results_Long!$V:$V,$F58))</f>
        <v>-0.00608487568435133</v>
      </c>
      <c r="P58" s="10" t="n">
        <f aca="false">IF(INDEX(Results_Long!$L:$L,$F58)="","NA",INDEX(Results_Long!$L:$L,$F58))</f>
        <v>0.0370399740382042</v>
      </c>
      <c r="Q58" s="11" t="n">
        <f aca="false">IF(INDEX(Results_Long!$M:$M,$F58)="","NA",INDEX(Results_Long!$M:$M,$F58))</f>
        <v>-2.17974132735409</v>
      </c>
      <c r="R58" s="12" t="n">
        <f aca="false">IF(INDEX(Results_Long!$N:$N,$F58)="","NA",INDEX(Results_Long!$N:$N,$F58))</f>
        <v>43.9281496151702</v>
      </c>
      <c r="S58" s="10" t="n">
        <f aca="false">IF(INDEX(Results_Long!$O:$O,$F58)="","NA",INDEX(Results_Long!$O:$O,$F58))</f>
        <v>0.0346802033348657</v>
      </c>
      <c r="T58" s="6" t="str">
        <f aca="false">IF(INDEX(Results_Long!$AG:$AG,$F58)="","NA",INDEX(Results_Long!$AG:$AG,$F58))</f>
        <v>NA</v>
      </c>
      <c r="U58" s="5" t="str">
        <f aca="false">IF(INDEX(Results_Long!$AJ:$AJ,$F58)="","NA",INDEX(Results_Long!$AJ:$AJ,$F58))</f>
        <v>cumulative 3L refit after adding study 'Wu et al (2020)' (median sample_mid = 2012.00); ordering: study-wise median sample_mid, ties alphabetical [DEC-045/H-Q17]; full display (CI band)</v>
      </c>
    </row>
    <row r="59" customFormat="false" ht="35.05" hidden="false" customHeight="false" outlineLevel="0" collapsed="false">
      <c r="A59" s="6" t="s">
        <v>413</v>
      </c>
      <c r="B59" s="7" t="s">
        <v>277</v>
      </c>
      <c r="C59" s="7" t="s">
        <v>278</v>
      </c>
      <c r="D59" s="7" t="s">
        <v>414</v>
      </c>
      <c r="E59" s="7" t="s">
        <v>415</v>
      </c>
      <c r="F59" s="8" t="n">
        <f aca="false">SUMPRODUCT((Results_Long!$A$2:$A$178=$B59)*(Results_Long!$B$2:$B$178=$C59)*(Results_Long!$C$2:$C$178=$D59)*(Results_Long!$D$2:$D$178=$E59)*ROW(Results_Long!$A$2:$A$178))</f>
        <v>73</v>
      </c>
      <c r="G59" s="9" t="n">
        <f aca="false">IF(INDEX(Results_Long!$H:$H,$F59)="","NA",INDEX(Results_Long!$H:$H,$F59))</f>
        <v>1229</v>
      </c>
      <c r="H59" s="9" t="n">
        <f aca="false">IF(INDEX(Results_Long!$I:$I,$F59)="","NA",INDEX(Results_Long!$I:$I,$F59))</f>
        <v>46</v>
      </c>
      <c r="I59" s="9" t="n">
        <f aca="false">IF(INDEX(Results_Long!$J:$J,$F59)="","NA",INDEX(Results_Long!$J:$J,$F59))</f>
        <v>46</v>
      </c>
      <c r="J59" s="10" t="n">
        <f aca="false">IF(INDEX(Results_Long!$K:$K,$F59)="","NA",INDEX(Results_Long!$K:$K,$F59))</f>
        <v>-0.0793612249064559</v>
      </c>
      <c r="K59" s="10" t="n">
        <f aca="false">IF(INDEX(Results_Long!$P:$P,$F59)="","NA",INDEX(Results_Long!$P:$P,$F59))</f>
        <v>-0.152375488171464</v>
      </c>
      <c r="L59" s="10" t="n">
        <f aca="false">IF(INDEX(Results_Long!$Q:$Q,$F59)="","NA",INDEX(Results_Long!$Q:$Q,$F59))</f>
        <v>-0.00634696164144812</v>
      </c>
      <c r="M59" s="10" t="n">
        <f aca="false">IF(INDEX(Results_Long!$T:$T,$F59)="","NA",INDEX(Results_Long!$T:$T,$F59))</f>
        <v>-0.0791950325174543</v>
      </c>
      <c r="N59" s="10" t="n">
        <f aca="false">IF(INDEX(Results_Long!$U:$U,$F59)="","NA",INDEX(Results_Long!$U:$U,$F59))</f>
        <v>-0.151207039332495</v>
      </c>
      <c r="O59" s="10" t="n">
        <f aca="false">IF(INDEX(Results_Long!$V:$V,$F59)="","NA",INDEX(Results_Long!$V:$V,$F59))</f>
        <v>-0.00634687641598534</v>
      </c>
      <c r="P59" s="10" t="n">
        <f aca="false">IF(INDEX(Results_Long!$L:$L,$F59)="","NA",INDEX(Results_Long!$L:$L,$F59))</f>
        <v>0.0362498803804473</v>
      </c>
      <c r="Q59" s="11" t="n">
        <f aca="false">IF(INDEX(Results_Long!$M:$M,$F59)="","NA",INDEX(Results_Long!$M:$M,$F59))</f>
        <v>-2.18928239413618</v>
      </c>
      <c r="R59" s="12" t="n">
        <f aca="false">IF(INDEX(Results_Long!$N:$N,$F59)="","NA",INDEX(Results_Long!$N:$N,$F59))</f>
        <v>44.9274034906512</v>
      </c>
      <c r="S59" s="10" t="n">
        <f aca="false">IF(INDEX(Results_Long!$O:$O,$F59)="","NA",INDEX(Results_Long!$O:$O,$F59))</f>
        <v>0.033812349071732</v>
      </c>
      <c r="T59" s="6" t="str">
        <f aca="false">IF(INDEX(Results_Long!$AG:$AG,$F59)="","NA",INDEX(Results_Long!$AG:$AG,$F59))</f>
        <v>NA</v>
      </c>
      <c r="U59" s="5" t="str">
        <f aca="false">IF(INDEX(Results_Long!$AJ:$AJ,$F59)="","NA",INDEX(Results_Long!$AJ:$AJ,$F59))</f>
        <v>cumulative 3L refit after adding study 'Zhou et al (2024)' (median sample_mid = 2012.00); ordering: study-wise median sample_mid, ties alphabetical [DEC-045/H-Q17]; full display (CI band)</v>
      </c>
    </row>
    <row r="60" customFormat="false" ht="35.05" hidden="false" customHeight="false" outlineLevel="0" collapsed="false">
      <c r="A60" s="6" t="s">
        <v>416</v>
      </c>
      <c r="B60" s="7" t="s">
        <v>277</v>
      </c>
      <c r="C60" s="7" t="s">
        <v>278</v>
      </c>
      <c r="D60" s="7" t="s">
        <v>417</v>
      </c>
      <c r="E60" s="7" t="s">
        <v>418</v>
      </c>
      <c r="F60" s="8" t="n">
        <f aca="false">SUMPRODUCT((Results_Long!$A$2:$A$178=$B60)*(Results_Long!$B$2:$B$178=$C60)*(Results_Long!$C$2:$C$178=$D60)*(Results_Long!$D$2:$D$178=$E60)*ROW(Results_Long!$A$2:$A$178))</f>
        <v>74</v>
      </c>
      <c r="G60" s="9" t="n">
        <f aca="false">IF(INDEX(Results_Long!$H:$H,$F60)="","NA",INDEX(Results_Long!$H:$H,$F60))</f>
        <v>1239</v>
      </c>
      <c r="H60" s="9" t="n">
        <f aca="false">IF(INDEX(Results_Long!$I:$I,$F60)="","NA",INDEX(Results_Long!$I:$I,$F60))</f>
        <v>47</v>
      </c>
      <c r="I60" s="9" t="n">
        <f aca="false">IF(INDEX(Results_Long!$J:$J,$F60)="","NA",INDEX(Results_Long!$J:$J,$F60))</f>
        <v>47</v>
      </c>
      <c r="J60" s="10" t="n">
        <f aca="false">IF(INDEX(Results_Long!$K:$K,$F60)="","NA",INDEX(Results_Long!$K:$K,$F60))</f>
        <v>-0.0803868480713499</v>
      </c>
      <c r="K60" s="10" t="n">
        <f aca="false">IF(INDEX(Results_Long!$P:$P,$F60)="","NA",INDEX(Results_Long!$P:$P,$F60))</f>
        <v>-0.151737915445898</v>
      </c>
      <c r="L60" s="10" t="n">
        <f aca="false">IF(INDEX(Results_Long!$Q:$Q,$F60)="","NA",INDEX(Results_Long!$Q:$Q,$F60))</f>
        <v>-0.00903578069680139</v>
      </c>
      <c r="M60" s="10" t="n">
        <f aca="false">IF(INDEX(Results_Long!$T:$T,$F60)="","NA",INDEX(Results_Long!$T:$T,$F60))</f>
        <v>-0.0802141399908605</v>
      </c>
      <c r="N60" s="10" t="n">
        <f aca="false">IF(INDEX(Results_Long!$U:$U,$F60)="","NA",INDEX(Results_Long!$U:$U,$F60))</f>
        <v>-0.150583983813225</v>
      </c>
      <c r="O60" s="10" t="n">
        <f aca="false">IF(INDEX(Results_Long!$V:$V,$F60)="","NA",INDEX(Results_Long!$V:$V,$F60))</f>
        <v>-0.00903553479505804</v>
      </c>
      <c r="P60" s="10" t="n">
        <f aca="false">IF(INDEX(Results_Long!$L:$L,$F60)="","NA",INDEX(Results_Long!$L:$L,$F60))</f>
        <v>0.0354454073705136</v>
      </c>
      <c r="Q60" s="11" t="n">
        <f aca="false">IF(INDEX(Results_Long!$M:$M,$F60)="","NA",INDEX(Results_Long!$M:$M,$F60))</f>
        <v>-2.26790588780826</v>
      </c>
      <c r="R60" s="12" t="n">
        <f aca="false">IF(INDEX(Results_Long!$N:$N,$F60)="","NA",INDEX(Results_Long!$N:$N,$F60))</f>
        <v>45.9245609552216</v>
      </c>
      <c r="S60" s="10" t="n">
        <f aca="false">IF(INDEX(Results_Long!$O:$O,$F60)="","NA",INDEX(Results_Long!$O:$O,$F60))</f>
        <v>0.0280839761223308</v>
      </c>
      <c r="T60" s="6" t="str">
        <f aca="false">IF(INDEX(Results_Long!$AG:$AG,$F60)="","NA",INDEX(Results_Long!$AG:$AG,$F60))</f>
        <v>NA</v>
      </c>
      <c r="U60" s="5" t="str">
        <f aca="false">IF(INDEX(Results_Long!$AJ:$AJ,$F60)="","NA",INDEX(Results_Long!$AJ:$AJ,$F60))</f>
        <v>cumulative 3L refit after adding study 'Ali et al (2023)' (median sample_mid = 2012.50); ordering: study-wise median sample_mid, ties alphabetical [DEC-045/H-Q17]; full display (CI band)</v>
      </c>
    </row>
    <row r="61" customFormat="false" ht="35.05" hidden="false" customHeight="false" outlineLevel="0" collapsed="false">
      <c r="A61" s="6" t="s">
        <v>419</v>
      </c>
      <c r="B61" s="7" t="s">
        <v>277</v>
      </c>
      <c r="C61" s="7" t="s">
        <v>278</v>
      </c>
      <c r="D61" s="7" t="s">
        <v>420</v>
      </c>
      <c r="E61" s="7" t="s">
        <v>421</v>
      </c>
      <c r="F61" s="8" t="n">
        <f aca="false">SUMPRODUCT((Results_Long!$A$2:$A$178=$B61)*(Results_Long!$B$2:$B$178=$C61)*(Results_Long!$C$2:$C$178=$D61)*(Results_Long!$D$2:$D$178=$E61)*ROW(Results_Long!$A$2:$A$178))</f>
        <v>75</v>
      </c>
      <c r="G61" s="9" t="n">
        <f aca="false">IF(INDEX(Results_Long!$H:$H,$F61)="","NA",INDEX(Results_Long!$H:$H,$F61))</f>
        <v>1241</v>
      </c>
      <c r="H61" s="9" t="n">
        <f aca="false">IF(INDEX(Results_Long!$I:$I,$F61)="","NA",INDEX(Results_Long!$I:$I,$F61))</f>
        <v>48</v>
      </c>
      <c r="I61" s="9" t="n">
        <f aca="false">IF(INDEX(Results_Long!$J:$J,$F61)="","NA",INDEX(Results_Long!$J:$J,$F61))</f>
        <v>48</v>
      </c>
      <c r="J61" s="10" t="n">
        <f aca="false">IF(INDEX(Results_Long!$K:$K,$F61)="","NA",INDEX(Results_Long!$K:$K,$F61))</f>
        <v>-0.0799580200081231</v>
      </c>
      <c r="K61" s="10" t="n">
        <f aca="false">IF(INDEX(Results_Long!$P:$P,$F61)="","NA",INDEX(Results_Long!$P:$P,$F61))</f>
        <v>-0.149781414647748</v>
      </c>
      <c r="L61" s="10" t="n">
        <f aca="false">IF(INDEX(Results_Long!$Q:$Q,$F61)="","NA",INDEX(Results_Long!$Q:$Q,$F61))</f>
        <v>-0.010134625368498</v>
      </c>
      <c r="M61" s="10" t="n">
        <f aca="false">IF(INDEX(Results_Long!$T:$T,$F61)="","NA",INDEX(Results_Long!$T:$T,$F61))</f>
        <v>-0.0797880565092474</v>
      </c>
      <c r="N61" s="10" t="n">
        <f aca="false">IF(INDEX(Results_Long!$U:$U,$F61)="","NA",INDEX(Results_Long!$U:$U,$F61))</f>
        <v>-0.148671286645835</v>
      </c>
      <c r="O61" s="10" t="n">
        <f aca="false">IF(INDEX(Results_Long!$V:$V,$F61)="","NA",INDEX(Results_Long!$V:$V,$F61))</f>
        <v>-0.0101342784048293</v>
      </c>
      <c r="P61" s="10" t="n">
        <f aca="false">IF(INDEX(Results_Long!$L:$L,$F61)="","NA",INDEX(Results_Long!$L:$L,$F61))</f>
        <v>0.0347063420072461</v>
      </c>
      <c r="Q61" s="11" t="n">
        <f aca="false">IF(INDEX(Results_Long!$M:$M,$F61)="","NA",INDEX(Results_Long!$M:$M,$F61))</f>
        <v>-2.30384464002082</v>
      </c>
      <c r="R61" s="12" t="n">
        <f aca="false">IF(INDEX(Results_Long!$N:$N,$F61)="","NA",INDEX(Results_Long!$N:$N,$F61))</f>
        <v>46.9175166740569</v>
      </c>
      <c r="S61" s="10" t="n">
        <f aca="false">IF(INDEX(Results_Long!$O:$O,$F61)="","NA",INDEX(Results_Long!$O:$O,$F61))</f>
        <v>0.0257082556816832</v>
      </c>
      <c r="T61" s="6" t="str">
        <f aca="false">IF(INDEX(Results_Long!$AG:$AG,$F61)="","NA",INDEX(Results_Long!$AG:$AG,$F61))</f>
        <v>NA</v>
      </c>
      <c r="U61" s="5" t="str">
        <f aca="false">IF(INDEX(Results_Long!$AJ:$AJ,$F61)="","NA",INDEX(Results_Long!$AJ:$AJ,$F61))</f>
        <v>cumulative 3L refit after adding study 'Hamrouni et al (2019a)' (median sample_mid = 2012.50); ordering: study-wise median sample_mid, ties alphabetical [DEC-045/H-Q17]; full display (CI band)</v>
      </c>
    </row>
    <row r="62" customFormat="false" ht="35.05" hidden="false" customHeight="false" outlineLevel="0" collapsed="false">
      <c r="A62" s="6" t="s">
        <v>422</v>
      </c>
      <c r="B62" s="7" t="s">
        <v>277</v>
      </c>
      <c r="C62" s="7" t="s">
        <v>278</v>
      </c>
      <c r="D62" s="7" t="s">
        <v>423</v>
      </c>
      <c r="E62" s="7" t="s">
        <v>424</v>
      </c>
      <c r="F62" s="8" t="n">
        <f aca="false">SUMPRODUCT((Results_Long!$A$2:$A$178=$B62)*(Results_Long!$B$2:$B$178=$C62)*(Results_Long!$C$2:$C$178=$D62)*(Results_Long!$D$2:$D$178=$E62)*ROW(Results_Long!$A$2:$A$178))</f>
        <v>76</v>
      </c>
      <c r="G62" s="9" t="n">
        <f aca="false">IF(INDEX(Results_Long!$H:$H,$F62)="","NA",INDEX(Results_Long!$H:$H,$F62))</f>
        <v>1290</v>
      </c>
      <c r="H62" s="9" t="n">
        <f aca="false">IF(INDEX(Results_Long!$I:$I,$F62)="","NA",INDEX(Results_Long!$I:$I,$F62))</f>
        <v>49</v>
      </c>
      <c r="I62" s="9" t="n">
        <f aca="false">IF(INDEX(Results_Long!$J:$J,$F62)="","NA",INDEX(Results_Long!$J:$J,$F62))</f>
        <v>49</v>
      </c>
      <c r="J62" s="10" t="n">
        <f aca="false">IF(INDEX(Results_Long!$K:$K,$F62)="","NA",INDEX(Results_Long!$K:$K,$F62))</f>
        <v>-0.0778834172287155</v>
      </c>
      <c r="K62" s="10" t="n">
        <f aca="false">IF(INDEX(Results_Long!$P:$P,$F62)="","NA",INDEX(Results_Long!$P:$P,$F62))</f>
        <v>-0.146224909331518</v>
      </c>
      <c r="L62" s="10" t="n">
        <f aca="false">IF(INDEX(Results_Long!$Q:$Q,$F62)="","NA",INDEX(Results_Long!$Q:$Q,$F62))</f>
        <v>-0.00954192512591265</v>
      </c>
      <c r="M62" s="10" t="n">
        <f aca="false">IF(INDEX(Results_Long!$T:$T,$F62)="","NA",INDEX(Results_Long!$T:$T,$F62))</f>
        <v>-0.0777263226111659</v>
      </c>
      <c r="N62" s="10" t="n">
        <f aca="false">IF(INDEX(Results_Long!$U:$U,$F62)="","NA",INDEX(Results_Long!$U:$U,$F62))</f>
        <v>-0.145191566073637</v>
      </c>
      <c r="O62" s="10" t="n">
        <f aca="false">IF(INDEX(Results_Long!$V:$V,$F62)="","NA",INDEX(Results_Long!$V:$V,$F62))</f>
        <v>-0.00954163554432687</v>
      </c>
      <c r="P62" s="10" t="n">
        <f aca="false">IF(INDEX(Results_Long!$L:$L,$F62)="","NA",INDEX(Results_Long!$L:$L,$F62))</f>
        <v>0.0339884197854394</v>
      </c>
      <c r="Q62" s="11" t="n">
        <f aca="false">IF(INDEX(Results_Long!$M:$M,$F62)="","NA",INDEX(Results_Long!$M:$M,$F62))</f>
        <v>-2.291469203934</v>
      </c>
      <c r="R62" s="12" t="n">
        <f aca="false">IF(INDEX(Results_Long!$N:$N,$F62)="","NA",INDEX(Results_Long!$N:$N,$F62))</f>
        <v>47.9133229935463</v>
      </c>
      <c r="S62" s="10" t="n">
        <f aca="false">IF(INDEX(Results_Long!$O:$O,$F62)="","NA",INDEX(Results_Long!$O:$O,$F62))</f>
        <v>0.0263748919631887</v>
      </c>
      <c r="T62" s="6" t="str">
        <f aca="false">IF(INDEX(Results_Long!$AG:$AG,$F62)="","NA",INDEX(Results_Long!$AG:$AG,$F62))</f>
        <v>NA</v>
      </c>
      <c r="U62" s="5" t="str">
        <f aca="false">IF(INDEX(Results_Long!$AJ:$AJ,$F62)="","NA",INDEX(Results_Long!$AJ:$AJ,$F62))</f>
        <v>cumulative 3L refit after adding study 'Hu et al (2024)' (median sample_mid = 2012.50); ordering: study-wise median sample_mid, ties alphabetical [DEC-045/H-Q17]; full display (CI band)</v>
      </c>
    </row>
    <row r="63" customFormat="false" ht="35.05" hidden="false" customHeight="false" outlineLevel="0" collapsed="false">
      <c r="A63" s="6" t="s">
        <v>425</v>
      </c>
      <c r="B63" s="7" t="s">
        <v>277</v>
      </c>
      <c r="C63" s="7" t="s">
        <v>278</v>
      </c>
      <c r="D63" s="7" t="s">
        <v>426</v>
      </c>
      <c r="E63" s="7" t="s">
        <v>427</v>
      </c>
      <c r="F63" s="8" t="n">
        <f aca="false">SUMPRODUCT((Results_Long!$A$2:$A$178=$B63)*(Results_Long!$B$2:$B$178=$C63)*(Results_Long!$C$2:$C$178=$D63)*(Results_Long!$D$2:$D$178=$E63)*ROW(Results_Long!$A$2:$A$178))</f>
        <v>77</v>
      </c>
      <c r="G63" s="9" t="n">
        <f aca="false">IF(INDEX(Results_Long!$H:$H,$F63)="","NA",INDEX(Results_Long!$H:$H,$F63))</f>
        <v>1291</v>
      </c>
      <c r="H63" s="9" t="n">
        <f aca="false">IF(INDEX(Results_Long!$I:$I,$F63)="","NA",INDEX(Results_Long!$I:$I,$F63))</f>
        <v>50</v>
      </c>
      <c r="I63" s="9" t="n">
        <f aca="false">IF(INDEX(Results_Long!$J:$J,$F63)="","NA",INDEX(Results_Long!$J:$J,$F63))</f>
        <v>50</v>
      </c>
      <c r="J63" s="10" t="n">
        <f aca="false">IF(INDEX(Results_Long!$K:$K,$F63)="","NA",INDEX(Results_Long!$K:$K,$F63))</f>
        <v>-0.0734540028836897</v>
      </c>
      <c r="K63" s="10" t="n">
        <f aca="false">IF(INDEX(Results_Long!$P:$P,$F63)="","NA",INDEX(Results_Long!$P:$P,$F63))</f>
        <v>-0.141122560209062</v>
      </c>
      <c r="L63" s="10" t="n">
        <f aca="false">IF(INDEX(Results_Long!$Q:$Q,$F63)="","NA",INDEX(Results_Long!$Q:$Q,$F63))</f>
        <v>-0.00578544555831759</v>
      </c>
      <c r="M63" s="10" t="n">
        <f aca="false">IF(INDEX(Results_Long!$T:$T,$F63)="","NA",INDEX(Results_Long!$T:$T,$F63))</f>
        <v>-0.0733221805822216</v>
      </c>
      <c r="N63" s="10" t="n">
        <f aca="false">IF(INDEX(Results_Long!$U:$U,$F63)="","NA",INDEX(Results_Long!$U:$U,$F63))</f>
        <v>-0.140193117921191</v>
      </c>
      <c r="O63" s="10" t="n">
        <f aca="false">IF(INDEX(Results_Long!$V:$V,$F63)="","NA",INDEX(Results_Long!$V:$V,$F63))</f>
        <v>-0.00578538101023228</v>
      </c>
      <c r="P63" s="10" t="n">
        <f aca="false">IF(INDEX(Results_Long!$L:$L,$F63)="","NA",INDEX(Results_Long!$L:$L,$F63))</f>
        <v>0.0336712723008022</v>
      </c>
      <c r="Q63" s="11" t="n">
        <f aca="false">IF(INDEX(Results_Long!$M:$M,$F63)="","NA",INDEX(Results_Long!$M:$M,$F63))</f>
        <v>-2.18150363394316</v>
      </c>
      <c r="R63" s="12" t="n">
        <f aca="false">IF(INDEX(Results_Long!$N:$N,$F63)="","NA",INDEX(Results_Long!$N:$N,$F63))</f>
        <v>48.897091213142</v>
      </c>
      <c r="S63" s="10" t="n">
        <f aca="false">IF(INDEX(Results_Long!$O:$O,$F63)="","NA",INDEX(Results_Long!$O:$O,$F63))</f>
        <v>0.0339833344575028</v>
      </c>
      <c r="T63" s="6" t="str">
        <f aca="false">IF(INDEX(Results_Long!$AG:$AG,$F63)="","NA",INDEX(Results_Long!$AG:$AG,$F63))</f>
        <v>NA</v>
      </c>
      <c r="U63" s="5" t="str">
        <f aca="false">IF(INDEX(Results_Long!$AJ:$AJ,$F63)="","NA",INDEX(Results_Long!$AJ:$AJ,$F63))</f>
        <v>cumulative 3L refit after adding study 'Jang et al (2020)' (median sample_mid = 2012.50); ordering: study-wise median sample_mid, ties alphabetical [DEC-045/H-Q17]; full display (CI band)</v>
      </c>
    </row>
    <row r="64" customFormat="false" ht="35.05" hidden="false" customHeight="false" outlineLevel="0" collapsed="false">
      <c r="A64" s="6" t="s">
        <v>428</v>
      </c>
      <c r="B64" s="7" t="s">
        <v>277</v>
      </c>
      <c r="C64" s="7" t="s">
        <v>278</v>
      </c>
      <c r="D64" s="7" t="s">
        <v>429</v>
      </c>
      <c r="E64" s="7" t="s">
        <v>430</v>
      </c>
      <c r="F64" s="8" t="n">
        <f aca="false">SUMPRODUCT((Results_Long!$A$2:$A$178=$B64)*(Results_Long!$B$2:$B$178=$C64)*(Results_Long!$C$2:$C$178=$D64)*(Results_Long!$D$2:$D$178=$E64)*ROW(Results_Long!$A$2:$A$178))</f>
        <v>78</v>
      </c>
      <c r="G64" s="9" t="n">
        <f aca="false">IF(INDEX(Results_Long!$H:$H,$F64)="","NA",INDEX(Results_Long!$H:$H,$F64))</f>
        <v>1320</v>
      </c>
      <c r="H64" s="9" t="n">
        <f aca="false">IF(INDEX(Results_Long!$I:$I,$F64)="","NA",INDEX(Results_Long!$I:$I,$F64))</f>
        <v>51</v>
      </c>
      <c r="I64" s="9" t="n">
        <f aca="false">IF(INDEX(Results_Long!$J:$J,$F64)="","NA",INDEX(Results_Long!$J:$J,$F64))</f>
        <v>51</v>
      </c>
      <c r="J64" s="10" t="n">
        <f aca="false">IF(INDEX(Results_Long!$K:$K,$F64)="","NA",INDEX(Results_Long!$K:$K,$F64))</f>
        <v>-0.07238815000159</v>
      </c>
      <c r="K64" s="10" t="n">
        <f aca="false">IF(INDEX(Results_Long!$P:$P,$F64)="","NA",INDEX(Results_Long!$P:$P,$F64))</f>
        <v>-0.138702382616003</v>
      </c>
      <c r="L64" s="10" t="n">
        <f aca="false">IF(INDEX(Results_Long!$Q:$Q,$F64)="","NA",INDEX(Results_Long!$Q:$Q,$F64))</f>
        <v>-0.00607391738717723</v>
      </c>
      <c r="M64" s="10" t="n">
        <f aca="false">IF(INDEX(Results_Long!$T:$T,$F64)="","NA",INDEX(Results_Long!$T:$T,$F64))</f>
        <v>-0.0722619754224924</v>
      </c>
      <c r="N64" s="10" t="n">
        <f aca="false">IF(INDEX(Results_Long!$U:$U,$F64)="","NA",INDEX(Results_Long!$U:$U,$F64))</f>
        <v>-0.137819706119203</v>
      </c>
      <c r="O64" s="10" t="n">
        <f aca="false">IF(INDEX(Results_Long!$V:$V,$F64)="","NA",INDEX(Results_Long!$V:$V,$F64))</f>
        <v>-0.00607384269433623</v>
      </c>
      <c r="P64" s="10" t="n">
        <f aca="false">IF(INDEX(Results_Long!$L:$L,$F64)="","NA",INDEX(Results_Long!$L:$L,$F64))</f>
        <v>0.0330141188787947</v>
      </c>
      <c r="Q64" s="11" t="n">
        <f aca="false">IF(INDEX(Results_Long!$M:$M,$F64)="","NA",INDEX(Results_Long!$M:$M,$F64))</f>
        <v>-2.19264219249194</v>
      </c>
      <c r="R64" s="12" t="n">
        <f aca="false">IF(INDEX(Results_Long!$N:$N,$F64)="","NA",INDEX(Results_Long!$N:$N,$F64))</f>
        <v>49.8960414253453</v>
      </c>
      <c r="S64" s="10" t="n">
        <f aca="false">IF(INDEX(Results_Long!$O:$O,$F64)="","NA",INDEX(Results_Long!$O:$O,$F64))</f>
        <v>0.0330240801796883</v>
      </c>
      <c r="T64" s="6" t="str">
        <f aca="false">IF(INDEX(Results_Long!$AG:$AG,$F64)="","NA",INDEX(Results_Long!$AG:$AG,$F64))</f>
        <v>NA</v>
      </c>
      <c r="U64" s="5" t="str">
        <f aca="false">IF(INDEX(Results_Long!$AJ:$AJ,$F64)="","NA",INDEX(Results_Long!$AJ:$AJ,$F64))</f>
        <v>cumulative 3L refit after adding study 'Kleimeier, Viehs (2021)' (median sample_mid = 2012.50); ordering: study-wise median sample_mid, ties alphabetical [DEC-045/H-Q17]; full display (CI band)</v>
      </c>
    </row>
    <row r="65" customFormat="false" ht="35.05" hidden="false" customHeight="false" outlineLevel="0" collapsed="false">
      <c r="A65" s="6" t="s">
        <v>431</v>
      </c>
      <c r="B65" s="7" t="s">
        <v>277</v>
      </c>
      <c r="C65" s="7" t="s">
        <v>278</v>
      </c>
      <c r="D65" s="7" t="s">
        <v>432</v>
      </c>
      <c r="E65" s="7" t="s">
        <v>433</v>
      </c>
      <c r="F65" s="8" t="n">
        <f aca="false">SUMPRODUCT((Results_Long!$A$2:$A$178=$B65)*(Results_Long!$B$2:$B$178=$C65)*(Results_Long!$C$2:$C$178=$D65)*(Results_Long!$D$2:$D$178=$E65)*ROW(Results_Long!$A$2:$A$178))</f>
        <v>79</v>
      </c>
      <c r="G65" s="9" t="n">
        <f aca="false">IF(INDEX(Results_Long!$H:$H,$F65)="","NA",INDEX(Results_Long!$H:$H,$F65))</f>
        <v>1328</v>
      </c>
      <c r="H65" s="9" t="n">
        <f aca="false">IF(INDEX(Results_Long!$I:$I,$F65)="","NA",INDEX(Results_Long!$I:$I,$F65))</f>
        <v>52</v>
      </c>
      <c r="I65" s="9" t="n">
        <f aca="false">IF(INDEX(Results_Long!$J:$J,$F65)="","NA",INDEX(Results_Long!$J:$J,$F65))</f>
        <v>52</v>
      </c>
      <c r="J65" s="10" t="n">
        <f aca="false">IF(INDEX(Results_Long!$K:$K,$F65)="","NA",INDEX(Results_Long!$K:$K,$F65))</f>
        <v>-0.0716405747062513</v>
      </c>
      <c r="K65" s="10" t="n">
        <f aca="false">IF(INDEX(Results_Long!$P:$P,$F65)="","NA",INDEX(Results_Long!$P:$P,$F65))</f>
        <v>-0.136600747998201</v>
      </c>
      <c r="L65" s="10" t="n">
        <f aca="false">IF(INDEX(Results_Long!$Q:$Q,$F65)="","NA",INDEX(Results_Long!$Q:$Q,$F65))</f>
        <v>-0.00668040141430187</v>
      </c>
      <c r="M65" s="10" t="n">
        <f aca="false">IF(INDEX(Results_Long!$T:$T,$F65)="","NA",INDEX(Results_Long!$T:$T,$F65))</f>
        <v>-0.0715182637729663</v>
      </c>
      <c r="N65" s="10" t="n">
        <f aca="false">IF(INDEX(Results_Long!$U:$U,$F65)="","NA",INDEX(Results_Long!$U:$U,$F65))</f>
        <v>-0.135757396214833</v>
      </c>
      <c r="O65" s="10" t="n">
        <f aca="false">IF(INDEX(Results_Long!$V:$V,$F65)="","NA",INDEX(Results_Long!$V:$V,$F65))</f>
        <v>-0.00668030203895202</v>
      </c>
      <c r="P65" s="10" t="n">
        <f aca="false">IF(INDEX(Results_Long!$L:$L,$F65)="","NA",INDEX(Results_Long!$L:$L,$F65))</f>
        <v>0.0323557248332351</v>
      </c>
      <c r="Q65" s="11" t="n">
        <f aca="false">IF(INDEX(Results_Long!$M:$M,$F65)="","NA",INDEX(Results_Long!$M:$M,$F65))</f>
        <v>-2.21415452985506</v>
      </c>
      <c r="R65" s="12" t="n">
        <f aca="false">IF(INDEX(Results_Long!$N:$N,$F65)="","NA",INDEX(Results_Long!$N:$N,$F65))</f>
        <v>50.8920601875388</v>
      </c>
      <c r="S65" s="10" t="n">
        <f aca="false">IF(INDEX(Results_Long!$O:$O,$F65)="","NA",INDEX(Results_Long!$O:$O,$F65))</f>
        <v>0.0313244494249871</v>
      </c>
      <c r="T65" s="6" t="str">
        <f aca="false">IF(INDEX(Results_Long!$AG:$AG,$F65)="","NA",INDEX(Results_Long!$AG:$AG,$F65))</f>
        <v>NA</v>
      </c>
      <c r="U65" s="5" t="str">
        <f aca="false">IF(INDEX(Results_Long!$AJ:$AJ,$F65)="","NA",INDEX(Results_Long!$AJ:$AJ,$F65))</f>
        <v>cumulative 3L refit after adding study 'Lemma et al (2017)' (median sample_mid = 2012.50); ordering: study-wise median sample_mid, ties alphabetical [DEC-045/H-Q17]; full display (CI band)</v>
      </c>
    </row>
    <row r="66" customFormat="false" ht="35.05" hidden="false" customHeight="false" outlineLevel="0" collapsed="false">
      <c r="A66" s="6" t="s">
        <v>434</v>
      </c>
      <c r="B66" s="7" t="s">
        <v>277</v>
      </c>
      <c r="C66" s="7" t="s">
        <v>278</v>
      </c>
      <c r="D66" s="7" t="s">
        <v>435</v>
      </c>
      <c r="E66" s="7" t="s">
        <v>436</v>
      </c>
      <c r="F66" s="8" t="n">
        <f aca="false">SUMPRODUCT((Results_Long!$A$2:$A$178=$B66)*(Results_Long!$B$2:$B$178=$C66)*(Results_Long!$C$2:$C$178=$D66)*(Results_Long!$D$2:$D$178=$E66)*ROW(Results_Long!$A$2:$A$178))</f>
        <v>80</v>
      </c>
      <c r="G66" s="9" t="n">
        <f aca="false">IF(INDEX(Results_Long!$H:$H,$F66)="","NA",INDEX(Results_Long!$H:$H,$F66))</f>
        <v>1336</v>
      </c>
      <c r="H66" s="9" t="n">
        <f aca="false">IF(INDEX(Results_Long!$I:$I,$F66)="","NA",INDEX(Results_Long!$I:$I,$F66))</f>
        <v>53</v>
      </c>
      <c r="I66" s="9" t="n">
        <f aca="false">IF(INDEX(Results_Long!$J:$J,$F66)="","NA",INDEX(Results_Long!$J:$J,$F66))</f>
        <v>53</v>
      </c>
      <c r="J66" s="10" t="n">
        <f aca="false">IF(INDEX(Results_Long!$K:$K,$F66)="","NA",INDEX(Results_Long!$K:$K,$F66))</f>
        <v>-0.0726412101101059</v>
      </c>
      <c r="K66" s="10" t="n">
        <f aca="false">IF(INDEX(Results_Long!$P:$P,$F66)="","NA",INDEX(Results_Long!$P:$P,$F66))</f>
        <v>-0.136311157671345</v>
      </c>
      <c r="L66" s="10" t="n">
        <f aca="false">IF(INDEX(Results_Long!$Q:$Q,$F66)="","NA",INDEX(Results_Long!$Q:$Q,$F66))</f>
        <v>-0.00897126254886656</v>
      </c>
      <c r="M66" s="10" t="n">
        <f aca="false">IF(INDEX(Results_Long!$T:$T,$F66)="","NA",INDEX(Results_Long!$T:$T,$F66))</f>
        <v>-0.072513709494742</v>
      </c>
      <c r="N66" s="10" t="n">
        <f aca="false">IF(INDEX(Results_Long!$U:$U,$F66)="","NA",INDEX(Results_Long!$U:$U,$F66))</f>
        <v>-0.135473131890525</v>
      </c>
      <c r="O66" s="10" t="n">
        <f aca="false">IF(INDEX(Results_Long!$V:$V,$F66)="","NA",INDEX(Results_Long!$V:$V,$F66))</f>
        <v>-0.00897102187692349</v>
      </c>
      <c r="P66" s="10" t="n">
        <f aca="false">IF(INDEX(Results_Long!$L:$L,$F66)="","NA",INDEX(Results_Long!$L:$L,$F66))</f>
        <v>0.03172790404364</v>
      </c>
      <c r="Q66" s="11" t="n">
        <f aca="false">IF(INDEX(Results_Long!$M:$M,$F66)="","NA",INDEX(Results_Long!$M:$M,$F66))</f>
        <v>-2.28950547789705</v>
      </c>
      <c r="R66" s="12" t="n">
        <f aca="false">IF(INDEX(Results_Long!$N:$N,$F66)="","NA",INDEX(Results_Long!$N:$N,$F66))</f>
        <v>51.8887158303405</v>
      </c>
      <c r="S66" s="10" t="n">
        <f aca="false">IF(INDEX(Results_Long!$O:$O,$F66)="","NA",INDEX(Results_Long!$O:$O,$F66))</f>
        <v>0.0261488322743955</v>
      </c>
      <c r="T66" s="6" t="str">
        <f aca="false">IF(INDEX(Results_Long!$AG:$AG,$F66)="","NA",INDEX(Results_Long!$AG:$AG,$F66))</f>
        <v>NA</v>
      </c>
      <c r="U66" s="5" t="str">
        <f aca="false">IF(INDEX(Results_Long!$AJ:$AJ,$F66)="","NA",INDEX(Results_Long!$AJ:$AJ,$F66))</f>
        <v>cumulative 3L refit after adding study 'Mahmoudian et al (2023)' (median sample_mid = 2012.50); ordering: study-wise median sample_mid, ties alphabetical [DEC-045/H-Q17]; full display (CI band)</v>
      </c>
    </row>
    <row r="67" customFormat="false" ht="35.05" hidden="false" customHeight="false" outlineLevel="0" collapsed="false">
      <c r="A67" s="6" t="s">
        <v>437</v>
      </c>
      <c r="B67" s="7" t="s">
        <v>277</v>
      </c>
      <c r="C67" s="7" t="s">
        <v>278</v>
      </c>
      <c r="D67" s="7" t="s">
        <v>438</v>
      </c>
      <c r="E67" s="7" t="s">
        <v>439</v>
      </c>
      <c r="F67" s="8" t="n">
        <f aca="false">SUMPRODUCT((Results_Long!$A$2:$A$178=$B67)*(Results_Long!$B$2:$B$178=$C67)*(Results_Long!$C$2:$C$178=$D67)*(Results_Long!$D$2:$D$178=$E67)*ROW(Results_Long!$A$2:$A$178))</f>
        <v>81</v>
      </c>
      <c r="G67" s="9" t="n">
        <f aca="false">IF(INDEX(Results_Long!$H:$H,$F67)="","NA",INDEX(Results_Long!$H:$H,$F67))</f>
        <v>1346</v>
      </c>
      <c r="H67" s="9" t="n">
        <f aca="false">IF(INDEX(Results_Long!$I:$I,$F67)="","NA",INDEX(Results_Long!$I:$I,$F67))</f>
        <v>54</v>
      </c>
      <c r="I67" s="9" t="n">
        <f aca="false">IF(INDEX(Results_Long!$J:$J,$F67)="","NA",INDEX(Results_Long!$J:$J,$F67))</f>
        <v>54</v>
      </c>
      <c r="J67" s="10" t="n">
        <f aca="false">IF(INDEX(Results_Long!$K:$K,$F67)="","NA",INDEX(Results_Long!$K:$K,$F67))</f>
        <v>-0.0716703705263045</v>
      </c>
      <c r="K67" s="10" t="n">
        <f aca="false">IF(INDEX(Results_Long!$P:$P,$F67)="","NA",INDEX(Results_Long!$P:$P,$F67))</f>
        <v>-0.134082080203352</v>
      </c>
      <c r="L67" s="10" t="n">
        <f aca="false">IF(INDEX(Results_Long!$Q:$Q,$F67)="","NA",INDEX(Results_Long!$Q:$Q,$F67))</f>
        <v>-0.00925866084925686</v>
      </c>
      <c r="M67" s="10" t="n">
        <f aca="false">IF(INDEX(Results_Long!$T:$T,$F67)="","NA",INDEX(Results_Long!$T:$T,$F67))</f>
        <v>-0.0715479071283331</v>
      </c>
      <c r="N67" s="10" t="n">
        <f aca="false">IF(INDEX(Results_Long!$U:$U,$F67)="","NA",INDEX(Results_Long!$U:$U,$F67))</f>
        <v>-0.133284307257007</v>
      </c>
      <c r="O67" s="10" t="n">
        <f aca="false">IF(INDEX(Results_Long!$V:$V,$F67)="","NA",INDEX(Results_Long!$V:$V,$F67))</f>
        <v>-0.00925839629888175</v>
      </c>
      <c r="P67" s="10" t="n">
        <f aca="false">IF(INDEX(Results_Long!$L:$L,$F67)="","NA",INDEX(Results_Long!$L:$L,$F67))</f>
        <v>0.0311148802533784</v>
      </c>
      <c r="Q67" s="11" t="n">
        <f aca="false">IF(INDEX(Results_Long!$M:$M,$F67)="","NA",INDEX(Results_Long!$M:$M,$F67))</f>
        <v>-2.30341142060229</v>
      </c>
      <c r="R67" s="12" t="n">
        <f aca="false">IF(INDEX(Results_Long!$N:$N,$F67)="","NA",INDEX(Results_Long!$N:$N,$F67))</f>
        <v>52.885177933893</v>
      </c>
      <c r="S67" s="10" t="n">
        <f aca="false">IF(INDEX(Results_Long!$O:$O,$F67)="","NA",INDEX(Results_Long!$O:$O,$F67))</f>
        <v>0.0252169831810749</v>
      </c>
      <c r="T67" s="6" t="str">
        <f aca="false">IF(INDEX(Results_Long!$AG:$AG,$F67)="","NA",INDEX(Results_Long!$AG:$AG,$F67))</f>
        <v>NA</v>
      </c>
      <c r="U67" s="5" t="str">
        <f aca="false">IF(INDEX(Results_Long!$AJ:$AJ,$F67)="","NA",INDEX(Results_Long!$AJ:$AJ,$F67))</f>
        <v>cumulative 3L refit after adding study 'Okimoto, Takaoka (2022)' (median sample_mid = 2012.50); ordering: study-wise median sample_mid, ties alphabetical [DEC-045/H-Q17]; full display (CI band)</v>
      </c>
    </row>
    <row r="68" customFormat="false" ht="35.05" hidden="false" customHeight="false" outlineLevel="0" collapsed="false">
      <c r="A68" s="6" t="s">
        <v>440</v>
      </c>
      <c r="B68" s="7" t="s">
        <v>277</v>
      </c>
      <c r="C68" s="7" t="s">
        <v>278</v>
      </c>
      <c r="D68" s="7" t="s">
        <v>441</v>
      </c>
      <c r="E68" s="7" t="s">
        <v>442</v>
      </c>
      <c r="F68" s="8" t="n">
        <f aca="false">SUMPRODUCT((Results_Long!$A$2:$A$178=$B68)*(Results_Long!$B$2:$B$178=$C68)*(Results_Long!$C$2:$C$178=$D68)*(Results_Long!$D$2:$D$178=$E68)*ROW(Results_Long!$A$2:$A$178))</f>
        <v>82</v>
      </c>
      <c r="G68" s="9" t="n">
        <f aca="false">IF(INDEX(Results_Long!$H:$H,$F68)="","NA",INDEX(Results_Long!$H:$H,$F68))</f>
        <v>1349</v>
      </c>
      <c r="H68" s="9" t="n">
        <f aca="false">IF(INDEX(Results_Long!$I:$I,$F68)="","NA",INDEX(Results_Long!$I:$I,$F68))</f>
        <v>55</v>
      </c>
      <c r="I68" s="9" t="n">
        <f aca="false">IF(INDEX(Results_Long!$J:$J,$F68)="","NA",INDEX(Results_Long!$J:$J,$F68))</f>
        <v>54</v>
      </c>
      <c r="J68" s="10" t="n">
        <f aca="false">IF(INDEX(Results_Long!$K:$K,$F68)="","NA",INDEX(Results_Long!$K:$K,$F68))</f>
        <v>-0.0718639820046765</v>
      </c>
      <c r="K68" s="10" t="n">
        <f aca="false">IF(INDEX(Results_Long!$P:$P,$F68)="","NA",INDEX(Results_Long!$P:$P,$F68))</f>
        <v>-0.134192919873908</v>
      </c>
      <c r="L68" s="10" t="n">
        <f aca="false">IF(INDEX(Results_Long!$Q:$Q,$F68)="","NA",INDEX(Results_Long!$Q:$Q,$F68))</f>
        <v>-0.00953504413544504</v>
      </c>
      <c r="M68" s="10" t="n">
        <f aca="false">IF(INDEX(Results_Long!$T:$T,$F68)="","NA",INDEX(Results_Long!$T:$T,$F68))</f>
        <v>-0.0717405248189599</v>
      </c>
      <c r="N68" s="10" t="n">
        <f aca="false">IF(INDEX(Results_Long!$U:$U,$F68)="","NA",INDEX(Results_Long!$U:$U,$F68))</f>
        <v>-0.133393176284552</v>
      </c>
      <c r="O68" s="10" t="n">
        <f aca="false">IF(INDEX(Results_Long!$V:$V,$F68)="","NA",INDEX(Results_Long!$V:$V,$F68))</f>
        <v>-0.00953475517987233</v>
      </c>
      <c r="P68" s="10" t="n">
        <f aca="false">IF(INDEX(Results_Long!$L:$L,$F68)="","NA",INDEX(Results_Long!$L:$L,$F68))</f>
        <v>0.0310736697993972</v>
      </c>
      <c r="Q68" s="11" t="n">
        <f aca="false">IF(INDEX(Results_Long!$M:$M,$F68)="","NA",INDEX(Results_Long!$M:$M,$F68))</f>
        <v>-2.3126969704129</v>
      </c>
      <c r="R68" s="12" t="n">
        <f aca="false">IF(INDEX(Results_Long!$N:$N,$F68)="","NA",INDEX(Results_Long!$N:$N,$F68))</f>
        <v>52.889164513986</v>
      </c>
      <c r="S68" s="10" t="n">
        <f aca="false">IF(INDEX(Results_Long!$O:$O,$F68)="","NA",INDEX(Results_Long!$O:$O,$F68))</f>
        <v>0.0246611418701373</v>
      </c>
      <c r="T68" s="6" t="str">
        <f aca="false">IF(INDEX(Results_Long!$AG:$AG,$F68)="","NA",INDEX(Results_Long!$AG:$AG,$F68))</f>
        <v>NA</v>
      </c>
      <c r="U68" s="5" t="str">
        <f aca="false">IF(INDEX(Results_Long!$AJ:$AJ,$F68)="","NA",INDEX(Results_Long!$AJ:$AJ,$F68))</f>
        <v>cumulative 3L refit after adding study 'Sandra et al (2021)' (median sample_mid = 2012.50); ordering: study-wise median sample_mid, ties alphabetical [DEC-045/H-Q17]; full display (CI band)</v>
      </c>
    </row>
    <row r="69" customFormat="false" ht="35.05" hidden="false" customHeight="false" outlineLevel="0" collapsed="false">
      <c r="A69" s="6" t="s">
        <v>443</v>
      </c>
      <c r="B69" s="7" t="s">
        <v>277</v>
      </c>
      <c r="C69" s="7" t="s">
        <v>278</v>
      </c>
      <c r="D69" s="7" t="s">
        <v>444</v>
      </c>
      <c r="E69" s="7" t="s">
        <v>445</v>
      </c>
      <c r="F69" s="8" t="n">
        <f aca="false">SUMPRODUCT((Results_Long!$A$2:$A$178=$B69)*(Results_Long!$B$2:$B$178=$C69)*(Results_Long!$C$2:$C$178=$D69)*(Results_Long!$D$2:$D$178=$E69)*ROW(Results_Long!$A$2:$A$178))</f>
        <v>83</v>
      </c>
      <c r="G69" s="9" t="n">
        <f aca="false">IF(INDEX(Results_Long!$H:$H,$F69)="","NA",INDEX(Results_Long!$H:$H,$F69))</f>
        <v>1351</v>
      </c>
      <c r="H69" s="9" t="n">
        <f aca="false">IF(INDEX(Results_Long!$I:$I,$F69)="","NA",INDEX(Results_Long!$I:$I,$F69))</f>
        <v>56</v>
      </c>
      <c r="I69" s="9" t="n">
        <f aca="false">IF(INDEX(Results_Long!$J:$J,$F69)="","NA",INDEX(Results_Long!$J:$J,$F69))</f>
        <v>55</v>
      </c>
      <c r="J69" s="10" t="n">
        <f aca="false">IF(INDEX(Results_Long!$K:$K,$F69)="","NA",INDEX(Results_Long!$K:$K,$F69))</f>
        <v>-0.074657799550723</v>
      </c>
      <c r="K69" s="10" t="n">
        <f aca="false">IF(INDEX(Results_Long!$P:$P,$F69)="","NA",INDEX(Results_Long!$P:$P,$F69))</f>
        <v>-0.136136582208411</v>
      </c>
      <c r="L69" s="10" t="n">
        <f aca="false">IF(INDEX(Results_Long!$Q:$Q,$F69)="","NA",INDEX(Results_Long!$Q:$Q,$F69))</f>
        <v>-0.0131790168930355</v>
      </c>
      <c r="M69" s="10" t="n">
        <f aca="false">IF(INDEX(Results_Long!$T:$T,$F69)="","NA",INDEX(Results_Long!$T:$T,$F69))</f>
        <v>-0.0745193992164291</v>
      </c>
      <c r="N69" s="10" t="n">
        <f aca="false">IF(INDEX(Results_Long!$U:$U,$F69)="","NA",INDEX(Results_Long!$U:$U,$F69))</f>
        <v>-0.135301756354392</v>
      </c>
      <c r="O69" s="10" t="n">
        <f aca="false">IF(INDEX(Results_Long!$V:$V,$F69)="","NA",INDEX(Results_Long!$V:$V,$F69))</f>
        <v>-0.0131782539403291</v>
      </c>
      <c r="P69" s="10" t="n">
        <f aca="false">IF(INDEX(Results_Long!$L:$L,$F69)="","NA",INDEX(Results_Long!$L:$L,$F69))</f>
        <v>0.0306630111019434</v>
      </c>
      <c r="Q69" s="11" t="n">
        <f aca="false">IF(INDEX(Results_Long!$M:$M,$F69)="","NA",INDEX(Results_Long!$M:$M,$F69))</f>
        <v>-2.4347836976125</v>
      </c>
      <c r="R69" s="12" t="n">
        <f aca="false">IF(INDEX(Results_Long!$N:$N,$F69)="","NA",INDEX(Results_Long!$N:$N,$F69))</f>
        <v>53.8795828014923</v>
      </c>
      <c r="S69" s="10" t="n">
        <f aca="false">IF(INDEX(Results_Long!$O:$O,$F69)="","NA",INDEX(Results_Long!$O:$O,$F69))</f>
        <v>0.0182430526855869</v>
      </c>
      <c r="T69" s="6" t="str">
        <f aca="false">IF(INDEX(Results_Long!$AG:$AG,$F69)="","NA",INDEX(Results_Long!$AG:$AG,$F69))</f>
        <v>NA</v>
      </c>
      <c r="U69" s="5" t="str">
        <f aca="false">IF(INDEX(Results_Long!$AJ:$AJ,$F69)="","NA",INDEX(Results_Long!$AJ:$AJ,$F69))</f>
        <v>cumulative 3L refit after adding study 'Shad et al (2022)' (median sample_mid = 2012.50); ordering: study-wise median sample_mid, ties alphabetical [DEC-045/H-Q17]; full display (CI band)</v>
      </c>
    </row>
    <row r="70" customFormat="false" ht="35.05" hidden="false" customHeight="false" outlineLevel="0" collapsed="false">
      <c r="A70" s="6" t="s">
        <v>446</v>
      </c>
      <c r="B70" s="7" t="s">
        <v>277</v>
      </c>
      <c r="C70" s="7" t="s">
        <v>278</v>
      </c>
      <c r="D70" s="7" t="s">
        <v>447</v>
      </c>
      <c r="E70" s="7" t="s">
        <v>448</v>
      </c>
      <c r="F70" s="8" t="n">
        <f aca="false">SUMPRODUCT((Results_Long!$A$2:$A$178=$B70)*(Results_Long!$B$2:$B$178=$C70)*(Results_Long!$C$2:$C$178=$D70)*(Results_Long!$D$2:$D$178=$E70)*ROW(Results_Long!$A$2:$A$178))</f>
        <v>84</v>
      </c>
      <c r="G70" s="9" t="n">
        <f aca="false">IF(INDEX(Results_Long!$H:$H,$F70)="","NA",INDEX(Results_Long!$H:$H,$F70))</f>
        <v>1407</v>
      </c>
      <c r="H70" s="9" t="n">
        <f aca="false">IF(INDEX(Results_Long!$I:$I,$F70)="","NA",INDEX(Results_Long!$I:$I,$F70))</f>
        <v>57</v>
      </c>
      <c r="I70" s="9" t="n">
        <f aca="false">IF(INDEX(Results_Long!$J:$J,$F70)="","NA",INDEX(Results_Long!$J:$J,$F70))</f>
        <v>56</v>
      </c>
      <c r="J70" s="10" t="n">
        <f aca="false">IF(INDEX(Results_Long!$K:$K,$F70)="","NA",INDEX(Results_Long!$K:$K,$F70))</f>
        <v>-0.0738009455337463</v>
      </c>
      <c r="K70" s="10" t="n">
        <f aca="false">IF(INDEX(Results_Long!$P:$P,$F70)="","NA",INDEX(Results_Long!$P:$P,$F70))</f>
        <v>-0.134138647469999</v>
      </c>
      <c r="L70" s="10" t="n">
        <f aca="false">IF(INDEX(Results_Long!$Q:$Q,$F70)="","NA",INDEX(Results_Long!$Q:$Q,$F70))</f>
        <v>-0.0134632435974937</v>
      </c>
      <c r="M70" s="10" t="n">
        <f aca="false">IF(INDEX(Results_Long!$T:$T,$F70)="","NA",INDEX(Results_Long!$T:$T,$F70))</f>
        <v>-0.0736672492273627</v>
      </c>
      <c r="N70" s="10" t="n">
        <f aca="false">IF(INDEX(Results_Long!$U:$U,$F70)="","NA",INDEX(Results_Long!$U:$U,$F70))</f>
        <v>-0.133339869203791</v>
      </c>
      <c r="O70" s="10" t="n">
        <f aca="false">IF(INDEX(Results_Long!$V:$V,$F70)="","NA",INDEX(Results_Long!$V:$V,$F70))</f>
        <v>-0.013462430212099</v>
      </c>
      <c r="P70" s="10" t="n">
        <f aca="false">IF(INDEX(Results_Long!$L:$L,$F70)="","NA",INDEX(Results_Long!$L:$L,$F70))</f>
        <v>0.0301064497122162</v>
      </c>
      <c r="Q70" s="11" t="n">
        <f aca="false">IF(INDEX(Results_Long!$M:$M,$F70)="","NA",INDEX(Results_Long!$M:$M,$F70))</f>
        <v>-2.45133339331606</v>
      </c>
      <c r="R70" s="12" t="n">
        <f aca="false">IF(INDEX(Results_Long!$N:$N,$F70)="","NA",INDEX(Results_Long!$N:$N,$F70))</f>
        <v>54.8774577900658</v>
      </c>
      <c r="S70" s="10" t="n">
        <f aca="false">IF(INDEX(Results_Long!$O:$O,$F70)="","NA",INDEX(Results_Long!$O:$O,$F70))</f>
        <v>0.0174456227867381</v>
      </c>
      <c r="T70" s="6" t="str">
        <f aca="false">IF(INDEX(Results_Long!$AG:$AG,$F70)="","NA",INDEX(Results_Long!$AG:$AG,$F70))</f>
        <v>NA</v>
      </c>
      <c r="U70" s="5" t="str">
        <f aca="false">IF(INDEX(Results_Long!$AJ:$AJ,$F70)="","NA",INDEX(Results_Long!$AJ:$AJ,$F70))</f>
        <v>cumulative 3L refit after adding study 'Maaloul, Wegener (2021)' (median sample_mid = 2013.00); ordering: study-wise median sample_mid, ties alphabetical [DEC-045/H-Q17]; full display (CI band)</v>
      </c>
    </row>
    <row r="71" customFormat="false" ht="35.05" hidden="false" customHeight="false" outlineLevel="0" collapsed="false">
      <c r="A71" s="6" t="s">
        <v>449</v>
      </c>
      <c r="B71" s="7" t="s">
        <v>277</v>
      </c>
      <c r="C71" s="7" t="s">
        <v>278</v>
      </c>
      <c r="D71" s="7" t="s">
        <v>450</v>
      </c>
      <c r="E71" s="7" t="s">
        <v>451</v>
      </c>
      <c r="F71" s="8" t="n">
        <f aca="false">SUMPRODUCT((Results_Long!$A$2:$A$178=$B71)*(Results_Long!$B$2:$B$178=$C71)*(Results_Long!$C$2:$C$178=$D71)*(Results_Long!$D$2:$D$178=$E71)*ROW(Results_Long!$A$2:$A$178))</f>
        <v>85</v>
      </c>
      <c r="G71" s="9" t="n">
        <f aca="false">IF(INDEX(Results_Long!$H:$H,$F71)="","NA",INDEX(Results_Long!$H:$H,$F71))</f>
        <v>1419</v>
      </c>
      <c r="H71" s="9" t="n">
        <f aca="false">IF(INDEX(Results_Long!$I:$I,$F71)="","NA",INDEX(Results_Long!$I:$I,$F71))</f>
        <v>58</v>
      </c>
      <c r="I71" s="9" t="n">
        <f aca="false">IF(INDEX(Results_Long!$J:$J,$F71)="","NA",INDEX(Results_Long!$J:$J,$F71))</f>
        <v>57</v>
      </c>
      <c r="J71" s="10" t="n">
        <f aca="false">IF(INDEX(Results_Long!$K:$K,$F71)="","NA",INDEX(Results_Long!$K:$K,$F71))</f>
        <v>-0.0735002107053432</v>
      </c>
      <c r="K71" s="10" t="n">
        <f aca="false">IF(INDEX(Results_Long!$P:$P,$F71)="","NA",INDEX(Results_Long!$P:$P,$F71))</f>
        <v>-0.132699224611872</v>
      </c>
      <c r="L71" s="10" t="n">
        <f aca="false">IF(INDEX(Results_Long!$Q:$Q,$F71)="","NA",INDEX(Results_Long!$Q:$Q,$F71))</f>
        <v>-0.0143011967988142</v>
      </c>
      <c r="M71" s="10" t="n">
        <f aca="false">IF(INDEX(Results_Long!$T:$T,$F71)="","NA",INDEX(Results_Long!$T:$T,$F71))</f>
        <v>-0.0733681398283114</v>
      </c>
      <c r="N71" s="10" t="n">
        <f aca="false">IF(INDEX(Results_Long!$U:$U,$F71)="","NA",INDEX(Results_Long!$U:$U,$F71))</f>
        <v>-0.131925768158951</v>
      </c>
      <c r="O71" s="10" t="n">
        <f aca="false">IF(INDEX(Results_Long!$V:$V,$F71)="","NA",INDEX(Results_Long!$V:$V,$F71))</f>
        <v>-0.0143002218981499</v>
      </c>
      <c r="P71" s="10" t="n">
        <f aca="false">IF(INDEX(Results_Long!$L:$L,$F71)="","NA",INDEX(Results_Long!$L:$L,$F71))</f>
        <v>0.0295501565680231</v>
      </c>
      <c r="Q71" s="11" t="n">
        <f aca="false">IF(INDEX(Results_Long!$M:$M,$F71)="","NA",INDEX(Results_Long!$M:$M,$F71))</f>
        <v>-2.48730359638363</v>
      </c>
      <c r="R71" s="12" t="n">
        <f aca="false">IF(INDEX(Results_Long!$N:$N,$F71)="","NA",INDEX(Results_Long!$N:$N,$F71))</f>
        <v>55.8743812815848</v>
      </c>
      <c r="S71" s="10" t="n">
        <f aca="false">IF(INDEX(Results_Long!$O:$O,$F71)="","NA",INDEX(Results_Long!$O:$O,$F71))</f>
        <v>0.0158836098513333</v>
      </c>
      <c r="T71" s="6" t="str">
        <f aca="false">IF(INDEX(Results_Long!$AG:$AG,$F71)="","NA",INDEX(Results_Long!$AG:$AG,$F71))</f>
        <v>NA</v>
      </c>
      <c r="U71" s="5" t="str">
        <f aca="false">IF(INDEX(Results_Long!$AJ:$AJ,$F71)="","NA",INDEX(Results_Long!$AJ:$AJ,$F71))</f>
        <v>cumulative 3L refit after adding study 'Seltzer et al (2022)' (median sample_mid = 2013.00); ordering: study-wise median sample_mid, ties alphabetical [DEC-045/H-Q17]; full display (CI band)</v>
      </c>
    </row>
    <row r="72" customFormat="false" ht="35.05" hidden="false" customHeight="false" outlineLevel="0" collapsed="false">
      <c r="A72" s="6" t="s">
        <v>452</v>
      </c>
      <c r="B72" s="7" t="s">
        <v>277</v>
      </c>
      <c r="C72" s="7" t="s">
        <v>278</v>
      </c>
      <c r="D72" s="7" t="s">
        <v>453</v>
      </c>
      <c r="E72" s="7" t="s">
        <v>454</v>
      </c>
      <c r="F72" s="8" t="n">
        <f aca="false">SUMPRODUCT((Results_Long!$A$2:$A$178=$B72)*(Results_Long!$B$2:$B$178=$C72)*(Results_Long!$C$2:$C$178=$D72)*(Results_Long!$D$2:$D$178=$E72)*ROW(Results_Long!$A$2:$A$178))</f>
        <v>86</v>
      </c>
      <c r="G72" s="9" t="n">
        <f aca="false">IF(INDEX(Results_Long!$H:$H,$F72)="","NA",INDEX(Results_Long!$H:$H,$F72))</f>
        <v>1441</v>
      </c>
      <c r="H72" s="9" t="n">
        <f aca="false">IF(INDEX(Results_Long!$I:$I,$F72)="","NA",INDEX(Results_Long!$I:$I,$F72))</f>
        <v>59</v>
      </c>
      <c r="I72" s="9" t="n">
        <f aca="false">IF(INDEX(Results_Long!$J:$J,$F72)="","NA",INDEX(Results_Long!$J:$J,$F72))</f>
        <v>58</v>
      </c>
      <c r="J72" s="10" t="n">
        <f aca="false">IF(INDEX(Results_Long!$K:$K,$F72)="","NA",INDEX(Results_Long!$K:$K,$F72))</f>
        <v>-0.071489744354765</v>
      </c>
      <c r="K72" s="10" t="n">
        <f aca="false">IF(INDEX(Results_Long!$P:$P,$F72)="","NA",INDEX(Results_Long!$P:$P,$F72))</f>
        <v>-0.129759558397809</v>
      </c>
      <c r="L72" s="10" t="n">
        <f aca="false">IF(INDEX(Results_Long!$Q:$Q,$F72)="","NA",INDEX(Results_Long!$Q:$Q,$F72))</f>
        <v>-0.0132199303117212</v>
      </c>
      <c r="M72" s="10" t="n">
        <f aca="false">IF(INDEX(Results_Long!$T:$T,$F72)="","NA",INDEX(Results_Long!$T:$T,$F72))</f>
        <v>-0.0713682032803379</v>
      </c>
      <c r="N72" s="10" t="n">
        <f aca="false">IF(INDEX(Results_Long!$U:$U,$F72)="","NA",INDEX(Results_Long!$U:$U,$F72))</f>
        <v>-0.129036152775561</v>
      </c>
      <c r="O72" s="10" t="n">
        <f aca="false">IF(INDEX(Results_Long!$V:$V,$F72)="","NA",INDEX(Results_Long!$V:$V,$F72))</f>
        <v>-0.0132191602316515</v>
      </c>
      <c r="P72" s="10" t="n">
        <f aca="false">IF(INDEX(Results_Long!$L:$L,$F72)="","NA",INDEX(Results_Long!$L:$L,$F72))</f>
        <v>0.029097632386218</v>
      </c>
      <c r="Q72" s="11" t="n">
        <f aca="false">IF(INDEX(Results_Long!$M:$M,$F72)="","NA",INDEX(Results_Long!$M:$M,$F72))</f>
        <v>-2.45689214180278</v>
      </c>
      <c r="R72" s="12" t="n">
        <f aca="false">IF(INDEX(Results_Long!$N:$N,$F72)="","NA",INDEX(Results_Long!$N:$N,$F72))</f>
        <v>56.8734380953518</v>
      </c>
      <c r="S72" s="10" t="n">
        <f aca="false">IF(INDEX(Results_Long!$O:$O,$F72)="","NA",INDEX(Results_Long!$O:$O,$F72))</f>
        <v>0.0170891272451363</v>
      </c>
      <c r="T72" s="6" t="str">
        <f aca="false">IF(INDEX(Results_Long!$AG:$AG,$F72)="","NA",INDEX(Results_Long!$AG:$AG,$F72))</f>
        <v>NA</v>
      </c>
      <c r="U72" s="5" t="str">
        <f aca="false">IF(INDEX(Results_Long!$AJ:$AJ,$F72)="","NA",INDEX(Results_Long!$AJ:$AJ,$F72))</f>
        <v>cumulative 3L refit after adding study 'Zhou et al (2018)' (median sample_mid = 2013.00); ordering: study-wise median sample_mid, ties alphabetical [DEC-045/H-Q17]; full display (CI band)</v>
      </c>
    </row>
    <row r="73" customFormat="false" ht="35.05" hidden="false" customHeight="false" outlineLevel="0" collapsed="false">
      <c r="A73" s="6" t="s">
        <v>455</v>
      </c>
      <c r="B73" s="7" t="s">
        <v>277</v>
      </c>
      <c r="C73" s="7" t="s">
        <v>278</v>
      </c>
      <c r="D73" s="7" t="s">
        <v>456</v>
      </c>
      <c r="E73" s="7" t="s">
        <v>457</v>
      </c>
      <c r="F73" s="8" t="n">
        <f aca="false">SUMPRODUCT((Results_Long!$A$2:$A$178=$B73)*(Results_Long!$B$2:$B$178=$C73)*(Results_Long!$C$2:$C$178=$D73)*(Results_Long!$D$2:$D$178=$E73)*ROW(Results_Long!$A$2:$A$178))</f>
        <v>87</v>
      </c>
      <c r="G73" s="9" t="n">
        <f aca="false">IF(INDEX(Results_Long!$H:$H,$F73)="","NA",INDEX(Results_Long!$H:$H,$F73))</f>
        <v>1446</v>
      </c>
      <c r="H73" s="9" t="n">
        <f aca="false">IF(INDEX(Results_Long!$I:$I,$F73)="","NA",INDEX(Results_Long!$I:$I,$F73))</f>
        <v>60</v>
      </c>
      <c r="I73" s="9" t="n">
        <f aca="false">IF(INDEX(Results_Long!$J:$J,$F73)="","NA",INDEX(Results_Long!$J:$J,$F73))</f>
        <v>59</v>
      </c>
      <c r="J73" s="10" t="n">
        <f aca="false">IF(INDEX(Results_Long!$K:$K,$F73)="","NA",INDEX(Results_Long!$K:$K,$F73))</f>
        <v>-0.0705467034228004</v>
      </c>
      <c r="K73" s="10" t="n">
        <f aca="false">IF(INDEX(Results_Long!$P:$P,$F73)="","NA",INDEX(Results_Long!$P:$P,$F73))</f>
        <v>-0.12776573867416</v>
      </c>
      <c r="L73" s="10" t="n">
        <f aca="false">IF(INDEX(Results_Long!$Q:$Q,$F73)="","NA",INDEX(Results_Long!$Q:$Q,$F73))</f>
        <v>-0.0133276681714405</v>
      </c>
      <c r="M73" s="10" t="n">
        <f aca="false">IF(INDEX(Results_Long!$T:$T,$F73)="","NA",INDEX(Results_Long!$T:$T,$F73))</f>
        <v>-0.0704299027799161</v>
      </c>
      <c r="N73" s="10" t="n">
        <f aca="false">IF(INDEX(Results_Long!$U:$U,$F73)="","NA",INDEX(Results_Long!$U:$U,$F73))</f>
        <v>-0.127075028856606</v>
      </c>
      <c r="O73" s="10" t="n">
        <f aca="false">IF(INDEX(Results_Long!$V:$V,$F73)="","NA",INDEX(Results_Long!$V:$V,$F73))</f>
        <v>-0.013326879110759</v>
      </c>
      <c r="P73" s="10" t="n">
        <f aca="false">IF(INDEX(Results_Long!$L:$L,$F73)="","NA",INDEX(Results_Long!$L:$L,$F73))</f>
        <v>0.0285835957703382</v>
      </c>
      <c r="Q73" s="11" t="n">
        <f aca="false">IF(INDEX(Results_Long!$M:$M,$F73)="","NA",INDEX(Results_Long!$M:$M,$F73))</f>
        <v>-2.46808358156283</v>
      </c>
      <c r="R73" s="12" t="n">
        <f aca="false">IF(INDEX(Results_Long!$N:$N,$F73)="","NA",INDEX(Results_Long!$N:$N,$F73))</f>
        <v>57.8692839061674</v>
      </c>
      <c r="S73" s="10" t="n">
        <f aca="false">IF(INDEX(Results_Long!$O:$O,$F73)="","NA",INDEX(Results_Long!$O:$O,$F73))</f>
        <v>0.0165611724748229</v>
      </c>
      <c r="T73" s="6" t="str">
        <f aca="false">IF(INDEX(Results_Long!$AG:$AG,$F73)="","NA",INDEX(Results_Long!$AG:$AG,$F73))</f>
        <v>NA</v>
      </c>
      <c r="U73" s="5" t="str">
        <f aca="false">IF(INDEX(Results_Long!$AJ:$AJ,$F73)="","NA",INDEX(Results_Long!$AJ:$AJ,$F73))</f>
        <v>cumulative 3L refit after adding study 'Caragnano et al (2020)' (median sample_mid = 2013.50); ordering: study-wise median sample_mid, ties alphabetical [DEC-045/H-Q17]; full display (CI band)</v>
      </c>
    </row>
    <row r="74" customFormat="false" ht="35.05" hidden="false" customHeight="false" outlineLevel="0" collapsed="false">
      <c r="A74" s="6" t="s">
        <v>458</v>
      </c>
      <c r="B74" s="7" t="s">
        <v>277</v>
      </c>
      <c r="C74" s="7" t="s">
        <v>278</v>
      </c>
      <c r="D74" s="7" t="s">
        <v>459</v>
      </c>
      <c r="E74" s="7" t="s">
        <v>460</v>
      </c>
      <c r="F74" s="8" t="n">
        <f aca="false">SUMPRODUCT((Results_Long!$A$2:$A$178=$B74)*(Results_Long!$B$2:$B$178=$C74)*(Results_Long!$C$2:$C$178=$D74)*(Results_Long!$D$2:$D$178=$E74)*ROW(Results_Long!$A$2:$A$178))</f>
        <v>88</v>
      </c>
      <c r="G74" s="9" t="n">
        <f aca="false">IF(INDEX(Results_Long!$H:$H,$F74)="","NA",INDEX(Results_Long!$H:$H,$F74))</f>
        <v>1477</v>
      </c>
      <c r="H74" s="9" t="n">
        <f aca="false">IF(INDEX(Results_Long!$I:$I,$F74)="","NA",INDEX(Results_Long!$I:$I,$F74))</f>
        <v>61</v>
      </c>
      <c r="I74" s="9" t="n">
        <f aca="false">IF(INDEX(Results_Long!$J:$J,$F74)="","NA",INDEX(Results_Long!$J:$J,$F74))</f>
        <v>60</v>
      </c>
      <c r="J74" s="10" t="n">
        <f aca="false">IF(INDEX(Results_Long!$K:$K,$F74)="","NA",INDEX(Results_Long!$K:$K,$F74))</f>
        <v>-0.0704676053559475</v>
      </c>
      <c r="K74" s="10" t="n">
        <f aca="false">IF(INDEX(Results_Long!$P:$P,$F74)="","NA",INDEX(Results_Long!$P:$P,$F74))</f>
        <v>-0.12664657700974</v>
      </c>
      <c r="L74" s="10" t="n">
        <f aca="false">IF(INDEX(Results_Long!$Q:$Q,$F74)="","NA",INDEX(Results_Long!$Q:$Q,$F74))</f>
        <v>-0.0142886337021547</v>
      </c>
      <c r="M74" s="10" t="n">
        <f aca="false">IF(INDEX(Results_Long!$T:$T,$F74)="","NA",INDEX(Results_Long!$T:$T,$F74))</f>
        <v>-0.0703511966305389</v>
      </c>
      <c r="N74" s="10" t="n">
        <f aca="false">IF(INDEX(Results_Long!$U:$U,$F74)="","NA",INDEX(Results_Long!$U:$U,$F74))</f>
        <v>-0.125973783328596</v>
      </c>
      <c r="O74" s="10" t="n">
        <f aca="false">IF(INDEX(Results_Long!$V:$V,$F74)="","NA",INDEX(Results_Long!$V:$V,$F74))</f>
        <v>-0.0142876613683418</v>
      </c>
      <c r="P74" s="10" t="n">
        <f aca="false">IF(INDEX(Results_Long!$L:$L,$F74)="","NA",INDEX(Results_Long!$L:$L,$F74))</f>
        <v>0.0280741697542153</v>
      </c>
      <c r="Q74" s="11" t="n">
        <f aca="false">IF(INDEX(Results_Long!$M:$M,$F74)="","NA",INDEX(Results_Long!$M:$M,$F74))</f>
        <v>-2.51005126680075</v>
      </c>
      <c r="R74" s="12" t="n">
        <f aca="false">IF(INDEX(Results_Long!$N:$N,$F74)="","NA",INDEX(Results_Long!$N:$N,$F74))</f>
        <v>58.8654009896063</v>
      </c>
      <c r="S74" s="10" t="n">
        <f aca="false">IF(INDEX(Results_Long!$O:$O,$F74)="","NA",INDEX(Results_Long!$O:$O,$F74))</f>
        <v>0.0148407063517169</v>
      </c>
      <c r="T74" s="6" t="str">
        <f aca="false">IF(INDEX(Results_Long!$AG:$AG,$F74)="","NA",INDEX(Results_Long!$AG:$AG,$F74))</f>
        <v>NA</v>
      </c>
      <c r="U74" s="5" t="str">
        <f aca="false">IF(INDEX(Results_Long!$AJ:$AJ,$F74)="","NA",INDEX(Results_Long!$AJ:$AJ,$F74))</f>
        <v>cumulative 3L refit after adding study 'Dumrose &amp; Höck (2023)' (median sample_mid = 2013.50); ordering: study-wise median sample_mid, ties alphabetical [DEC-045/H-Q17]; full display (CI band)</v>
      </c>
    </row>
    <row r="75" customFormat="false" ht="35.05" hidden="false" customHeight="false" outlineLevel="0" collapsed="false">
      <c r="A75" s="6" t="s">
        <v>461</v>
      </c>
      <c r="B75" s="7" t="s">
        <v>277</v>
      </c>
      <c r="C75" s="7" t="s">
        <v>278</v>
      </c>
      <c r="D75" s="7" t="s">
        <v>462</v>
      </c>
      <c r="E75" s="7" t="s">
        <v>463</v>
      </c>
      <c r="F75" s="8" t="n">
        <f aca="false">SUMPRODUCT((Results_Long!$A$2:$A$178=$B75)*(Results_Long!$B$2:$B$178=$C75)*(Results_Long!$C$2:$C$178=$D75)*(Results_Long!$D$2:$D$178=$E75)*ROW(Results_Long!$A$2:$A$178))</f>
        <v>89</v>
      </c>
      <c r="G75" s="9" t="n">
        <f aca="false">IF(INDEX(Results_Long!$H:$H,$F75)="","NA",INDEX(Results_Long!$H:$H,$F75))</f>
        <v>1512</v>
      </c>
      <c r="H75" s="9" t="n">
        <f aca="false">IF(INDEX(Results_Long!$I:$I,$F75)="","NA",INDEX(Results_Long!$I:$I,$F75))</f>
        <v>62</v>
      </c>
      <c r="I75" s="9" t="n">
        <f aca="false">IF(INDEX(Results_Long!$J:$J,$F75)="","NA",INDEX(Results_Long!$J:$J,$F75))</f>
        <v>61</v>
      </c>
      <c r="J75" s="10" t="n">
        <f aca="false">IF(INDEX(Results_Long!$K:$K,$F75)="","NA",INDEX(Results_Long!$K:$K,$F75))</f>
        <v>-0.0698115893116697</v>
      </c>
      <c r="K75" s="10" t="n">
        <f aca="false">IF(INDEX(Results_Long!$P:$P,$F75)="","NA",INDEX(Results_Long!$P:$P,$F75))</f>
        <v>-0.125070360607682</v>
      </c>
      <c r="L75" s="10" t="n">
        <f aca="false">IF(INDEX(Results_Long!$Q:$Q,$F75)="","NA",INDEX(Results_Long!$Q:$Q,$F75))</f>
        <v>-0.0145528180156577</v>
      </c>
      <c r="M75" s="10" t="n">
        <f aca="false">IF(INDEX(Results_Long!$T:$T,$F75)="","NA",INDEX(Results_Long!$T:$T,$F75))</f>
        <v>-0.0696983973664493</v>
      </c>
      <c r="N75" s="10" t="n">
        <f aca="false">IF(INDEX(Results_Long!$U:$U,$F75)="","NA",INDEX(Results_Long!$U:$U,$F75))</f>
        <v>-0.124422273739914</v>
      </c>
      <c r="O75" s="10" t="n">
        <f aca="false">IF(INDEX(Results_Long!$V:$V,$F75)="","NA",INDEX(Results_Long!$V:$V,$F75))</f>
        <v>-0.0145517907488598</v>
      </c>
      <c r="P75" s="10" t="n">
        <f aca="false">IF(INDEX(Results_Long!$L:$L,$F75)="","NA",INDEX(Results_Long!$L:$L,$F75))</f>
        <v>0.0276239926852414</v>
      </c>
      <c r="Q75" s="11" t="n">
        <f aca="false">IF(INDEX(Results_Long!$M:$M,$F75)="","NA",INDEX(Results_Long!$M:$M,$F75))</f>
        <v>-2.52720850700804</v>
      </c>
      <c r="R75" s="12" t="n">
        <f aca="false">IF(INDEX(Results_Long!$N:$N,$F75)="","NA",INDEX(Results_Long!$N:$N,$F75))</f>
        <v>59.8652166425163</v>
      </c>
      <c r="S75" s="10" t="n">
        <f aca="false">IF(INDEX(Results_Long!$O:$O,$F75)="","NA",INDEX(Results_Long!$O:$O,$F75))</f>
        <v>0.0141567268715441</v>
      </c>
      <c r="T75" s="6" t="str">
        <f aca="false">IF(INDEX(Results_Long!$AG:$AG,$F75)="","NA",INDEX(Results_Long!$AG:$AG,$F75))</f>
        <v>NA</v>
      </c>
      <c r="U75" s="5" t="str">
        <f aca="false">IF(INDEX(Results_Long!$AJ:$AJ,$F75)="","NA",INDEX(Results_Long!$AJ:$AJ,$F75))</f>
        <v>cumulative 3L refit after adding study 'Duong et al (2025)' (median sample_mid = 2013.50); ordering: study-wise median sample_mid, ties alphabetical [DEC-045/H-Q17]; full display (CI band)</v>
      </c>
    </row>
    <row r="76" customFormat="false" ht="35.05" hidden="false" customHeight="false" outlineLevel="0" collapsed="false">
      <c r="A76" s="6" t="s">
        <v>464</v>
      </c>
      <c r="B76" s="7" t="s">
        <v>277</v>
      </c>
      <c r="C76" s="7" t="s">
        <v>278</v>
      </c>
      <c r="D76" s="7" t="s">
        <v>465</v>
      </c>
      <c r="E76" s="7" t="s">
        <v>466</v>
      </c>
      <c r="F76" s="8" t="n">
        <f aca="false">SUMPRODUCT((Results_Long!$A$2:$A$178=$B76)*(Results_Long!$B$2:$B$178=$C76)*(Results_Long!$C$2:$C$178=$D76)*(Results_Long!$D$2:$D$178=$E76)*ROW(Results_Long!$A$2:$A$178))</f>
        <v>90</v>
      </c>
      <c r="G76" s="9" t="n">
        <f aca="false">IF(INDEX(Results_Long!$H:$H,$F76)="","NA",INDEX(Results_Long!$H:$H,$F76))</f>
        <v>1545</v>
      </c>
      <c r="H76" s="9" t="n">
        <f aca="false">IF(INDEX(Results_Long!$I:$I,$F76)="","NA",INDEX(Results_Long!$I:$I,$F76))</f>
        <v>63</v>
      </c>
      <c r="I76" s="9" t="n">
        <f aca="false">IF(INDEX(Results_Long!$J:$J,$F76)="","NA",INDEX(Results_Long!$J:$J,$F76))</f>
        <v>62</v>
      </c>
      <c r="J76" s="10" t="n">
        <f aca="false">IF(INDEX(Results_Long!$K:$K,$F76)="","NA",INDEX(Results_Long!$K:$K,$F76))</f>
        <v>-0.0687320848668653</v>
      </c>
      <c r="K76" s="10" t="n">
        <f aca="false">IF(INDEX(Results_Long!$P:$P,$F76)="","NA",INDEX(Results_Long!$P:$P,$F76))</f>
        <v>-0.123125126148664</v>
      </c>
      <c r="L76" s="10" t="n">
        <f aca="false">IF(INDEX(Results_Long!$Q:$Q,$F76)="","NA",INDEX(Results_Long!$Q:$Q,$F76))</f>
        <v>-0.0143390435850669</v>
      </c>
      <c r="M76" s="10" t="n">
        <f aca="false">IF(INDEX(Results_Long!$T:$T,$F76)="","NA",INDEX(Results_Long!$T:$T,$F76))</f>
        <v>-0.068624056594438</v>
      </c>
      <c r="N76" s="10" t="n">
        <f aca="false">IF(INDEX(Results_Long!$U:$U,$F76)="","NA",INDEX(Results_Long!$U:$U,$F76))</f>
        <v>-0.12250669205228</v>
      </c>
      <c r="O76" s="10" t="n">
        <f aca="false">IF(INDEX(Results_Long!$V:$V,$F76)="","NA",INDEX(Results_Long!$V:$V,$F76))</f>
        <v>-0.0143380609243759</v>
      </c>
      <c r="P76" s="10" t="n">
        <f aca="false">IF(INDEX(Results_Long!$L:$L,$F76)="","NA",INDEX(Results_Long!$L:$L,$F76))</f>
        <v>0.0272004194018923</v>
      </c>
      <c r="Q76" s="11" t="n">
        <f aca="false">IF(INDEX(Results_Long!$M:$M,$F76)="","NA",INDEX(Results_Long!$M:$M,$F76))</f>
        <v>-2.52687592243831</v>
      </c>
      <c r="R76" s="12" t="n">
        <f aca="false">IF(INDEX(Results_Long!$N:$N,$F76)="","NA",INDEX(Results_Long!$N:$N,$F76))</f>
        <v>60.8649356864582</v>
      </c>
      <c r="S76" s="10" t="n">
        <f aca="false">IF(INDEX(Results_Long!$O:$O,$F76)="","NA",INDEX(Results_Long!$O:$O,$F76))</f>
        <v>0.0141234446107798</v>
      </c>
      <c r="T76" s="6" t="str">
        <f aca="false">IF(INDEX(Results_Long!$AG:$AG,$F76)="","NA",INDEX(Results_Long!$AG:$AG,$F76))</f>
        <v>NA</v>
      </c>
      <c r="U76" s="5" t="str">
        <f aca="false">IF(INDEX(Results_Long!$AJ:$AJ,$F76)="","NA",INDEX(Results_Long!$AJ:$AJ,$F76))</f>
        <v>cumulative 3L refit after adding study 'Kim &amp; Pouget (2026)' (median sample_mid = 2013.50); ordering: study-wise median sample_mid, ties alphabetical [DEC-045/H-Q17]; full display (CI band)</v>
      </c>
    </row>
    <row r="77" customFormat="false" ht="35.05" hidden="false" customHeight="false" outlineLevel="0" collapsed="false">
      <c r="A77" s="6" t="s">
        <v>467</v>
      </c>
      <c r="B77" s="7" t="s">
        <v>277</v>
      </c>
      <c r="C77" s="7" t="s">
        <v>278</v>
      </c>
      <c r="D77" s="7" t="s">
        <v>468</v>
      </c>
      <c r="E77" s="7" t="s">
        <v>469</v>
      </c>
      <c r="F77" s="8" t="n">
        <f aca="false">SUMPRODUCT((Results_Long!$A$2:$A$178=$B77)*(Results_Long!$B$2:$B$178=$C77)*(Results_Long!$C$2:$C$178=$D77)*(Results_Long!$D$2:$D$178=$E77)*ROW(Results_Long!$A$2:$A$178))</f>
        <v>91</v>
      </c>
      <c r="G77" s="9" t="n">
        <f aca="false">IF(INDEX(Results_Long!$H:$H,$F77)="","NA",INDEX(Results_Long!$H:$H,$F77))</f>
        <v>1565</v>
      </c>
      <c r="H77" s="9" t="n">
        <f aca="false">IF(INDEX(Results_Long!$I:$I,$F77)="","NA",INDEX(Results_Long!$I:$I,$F77))</f>
        <v>64</v>
      </c>
      <c r="I77" s="9" t="n">
        <f aca="false">IF(INDEX(Results_Long!$J:$J,$F77)="","NA",INDEX(Results_Long!$J:$J,$F77))</f>
        <v>63</v>
      </c>
      <c r="J77" s="10" t="n">
        <f aca="false">IF(INDEX(Results_Long!$K:$K,$F77)="","NA",INDEX(Results_Long!$K:$K,$F77))</f>
        <v>-0.068857113447951</v>
      </c>
      <c r="K77" s="10" t="n">
        <f aca="false">IF(INDEX(Results_Long!$P:$P,$F77)="","NA",INDEX(Results_Long!$P:$P,$F77))</f>
        <v>-0.122339939448882</v>
      </c>
      <c r="L77" s="10" t="n">
        <f aca="false">IF(INDEX(Results_Long!$Q:$Q,$F77)="","NA",INDEX(Results_Long!$Q:$Q,$F77))</f>
        <v>-0.0153742874470202</v>
      </c>
      <c r="M77" s="10" t="n">
        <f aca="false">IF(INDEX(Results_Long!$T:$T,$F77)="","NA",INDEX(Results_Long!$T:$T,$F77))</f>
        <v>-0.0687484953149563</v>
      </c>
      <c r="N77" s="10" t="n">
        <f aca="false">IF(INDEX(Results_Long!$U:$U,$F77)="","NA",INDEX(Results_Long!$U:$U,$F77))</f>
        <v>-0.121733215105525</v>
      </c>
      <c r="O77" s="10" t="n">
        <f aca="false">IF(INDEX(Results_Long!$V:$V,$F77)="","NA",INDEX(Results_Long!$V:$V,$F77))</f>
        <v>-0.0153730762280177</v>
      </c>
      <c r="P77" s="10" t="n">
        <f aca="false">IF(INDEX(Results_Long!$L:$L,$F77)="","NA",INDEX(Results_Long!$L:$L,$F77))</f>
        <v>0.0267539905264952</v>
      </c>
      <c r="Q77" s="11" t="n">
        <f aca="false">IF(INDEX(Results_Long!$M:$M,$F77)="","NA",INDEX(Results_Long!$M:$M,$F77))</f>
        <v>-2.57371375607538</v>
      </c>
      <c r="R77" s="12" t="n">
        <f aca="false">IF(INDEX(Results_Long!$N:$N,$F77)="","NA",INDEX(Results_Long!$N:$N,$F77))</f>
        <v>61.8627136981855</v>
      </c>
      <c r="S77" s="10" t="n">
        <f aca="false">IF(INDEX(Results_Long!$O:$O,$F77)="","NA",INDEX(Results_Long!$O:$O,$F77))</f>
        <v>0.0124714213647954</v>
      </c>
      <c r="T77" s="6" t="str">
        <f aca="false">IF(INDEX(Results_Long!$AG:$AG,$F77)="","NA",INDEX(Results_Long!$AG:$AG,$F77))</f>
        <v>NA</v>
      </c>
      <c r="U77" s="5" t="str">
        <f aca="false">IF(INDEX(Results_Long!$AJ:$AJ,$F77)="","NA",INDEX(Results_Long!$AJ:$AJ,$F77))</f>
        <v>cumulative 3L refit after adding study 'Pizzutilo et al (2020)' (median sample_mid = 2013.50); ordering: study-wise median sample_mid, ties alphabetical [DEC-045/H-Q17]; full display (CI band)</v>
      </c>
    </row>
    <row r="78" customFormat="false" ht="35.05" hidden="false" customHeight="false" outlineLevel="0" collapsed="false">
      <c r="A78" s="6" t="s">
        <v>470</v>
      </c>
      <c r="B78" s="7" t="s">
        <v>277</v>
      </c>
      <c r="C78" s="7" t="s">
        <v>278</v>
      </c>
      <c r="D78" s="7" t="s">
        <v>471</v>
      </c>
      <c r="E78" s="7" t="s">
        <v>472</v>
      </c>
      <c r="F78" s="8" t="n">
        <f aca="false">SUMPRODUCT((Results_Long!$A$2:$A$178=$B78)*(Results_Long!$B$2:$B$178=$C78)*(Results_Long!$C$2:$C$178=$D78)*(Results_Long!$D$2:$D$178=$E78)*ROW(Results_Long!$A$2:$A$178))</f>
        <v>92</v>
      </c>
      <c r="G78" s="9" t="n">
        <f aca="false">IF(INDEX(Results_Long!$H:$H,$F78)="","NA",INDEX(Results_Long!$H:$H,$F78))</f>
        <v>1573</v>
      </c>
      <c r="H78" s="9" t="n">
        <f aca="false">IF(INDEX(Results_Long!$I:$I,$F78)="","NA",INDEX(Results_Long!$I:$I,$F78))</f>
        <v>65</v>
      </c>
      <c r="I78" s="9" t="n">
        <f aca="false">IF(INDEX(Results_Long!$J:$J,$F78)="","NA",INDEX(Results_Long!$J:$J,$F78))</f>
        <v>64</v>
      </c>
      <c r="J78" s="10" t="n">
        <f aca="false">IF(INDEX(Results_Long!$K:$K,$F78)="","NA",INDEX(Results_Long!$K:$K,$F78))</f>
        <v>-0.0671955877570492</v>
      </c>
      <c r="K78" s="10" t="n">
        <f aca="false">IF(INDEX(Results_Long!$P:$P,$F78)="","NA",INDEX(Results_Long!$P:$P,$F78))</f>
        <v>-0.119875120253241</v>
      </c>
      <c r="L78" s="10" t="n">
        <f aca="false">IF(INDEX(Results_Long!$Q:$Q,$F78)="","NA",INDEX(Results_Long!$Q:$Q,$F78))</f>
        <v>-0.0145160552608578</v>
      </c>
      <c r="M78" s="10" t="n">
        <f aca="false">IF(INDEX(Results_Long!$T:$T,$F78)="","NA",INDEX(Results_Long!$T:$T,$F78))</f>
        <v>-0.0670946351911134</v>
      </c>
      <c r="N78" s="10" t="n">
        <f aca="false">IF(INDEX(Results_Long!$U:$U,$F78)="","NA",INDEX(Results_Long!$U:$U,$F78))</f>
        <v>-0.119304198097137</v>
      </c>
      <c r="O78" s="10" t="n">
        <f aca="false">IF(INDEX(Results_Long!$V:$V,$F78)="","NA",INDEX(Results_Long!$V:$V,$F78))</f>
        <v>-0.0145150357590968</v>
      </c>
      <c r="P78" s="10" t="n">
        <f aca="false">IF(INDEX(Results_Long!$L:$L,$F78)="","NA",INDEX(Results_Long!$L:$L,$F78))</f>
        <v>0.0263604867948857</v>
      </c>
      <c r="Q78" s="11" t="n">
        <f aca="false">IF(INDEX(Results_Long!$M:$M,$F78)="","NA",INDEX(Results_Long!$M:$M,$F78))</f>
        <v>-2.54910268842554</v>
      </c>
      <c r="R78" s="12" t="n">
        <f aca="false">IF(INDEX(Results_Long!$N:$N,$F78)="","NA",INDEX(Results_Long!$N:$N,$F78))</f>
        <v>62.8595810954711</v>
      </c>
      <c r="S78" s="10" t="n">
        <f aca="false">IF(INDEX(Results_Long!$O:$O,$F78)="","NA",INDEX(Results_Long!$O:$O,$F78))</f>
        <v>0.0132533443957627</v>
      </c>
      <c r="T78" s="6" t="str">
        <f aca="false">IF(INDEX(Results_Long!$AG:$AG,$F78)="","NA",INDEX(Results_Long!$AG:$AG,$F78))</f>
        <v>NA</v>
      </c>
      <c r="U78" s="5" t="str">
        <f aca="false">IF(INDEX(Results_Long!$AJ:$AJ,$F78)="","NA",INDEX(Results_Long!$AJ:$AJ,$F78))</f>
        <v>cumulative 3L refit after adding study 'Srivisal et al (2021)' (median sample_mid = 2013.50); ordering: study-wise median sample_mid, ties alphabetical [DEC-045/H-Q17]; full display (CI band)</v>
      </c>
    </row>
    <row r="79" customFormat="false" ht="35.05" hidden="false" customHeight="false" outlineLevel="0" collapsed="false">
      <c r="A79" s="6" t="s">
        <v>473</v>
      </c>
      <c r="B79" s="7" t="s">
        <v>277</v>
      </c>
      <c r="C79" s="7" t="s">
        <v>278</v>
      </c>
      <c r="D79" s="7" t="s">
        <v>474</v>
      </c>
      <c r="E79" s="7" t="s">
        <v>475</v>
      </c>
      <c r="F79" s="8" t="n">
        <f aca="false">SUMPRODUCT((Results_Long!$A$2:$A$178=$B79)*(Results_Long!$B$2:$B$178=$C79)*(Results_Long!$C$2:$C$178=$D79)*(Results_Long!$D$2:$D$178=$E79)*ROW(Results_Long!$A$2:$A$178))</f>
        <v>93</v>
      </c>
      <c r="G79" s="9" t="n">
        <f aca="false">IF(INDEX(Results_Long!$H:$H,$F79)="","NA",INDEX(Results_Long!$H:$H,$F79))</f>
        <v>1591</v>
      </c>
      <c r="H79" s="9" t="n">
        <f aca="false">IF(INDEX(Results_Long!$I:$I,$F79)="","NA",INDEX(Results_Long!$I:$I,$F79))</f>
        <v>66</v>
      </c>
      <c r="I79" s="9" t="n">
        <f aca="false">IF(INDEX(Results_Long!$J:$J,$F79)="","NA",INDEX(Results_Long!$J:$J,$F79))</f>
        <v>65</v>
      </c>
      <c r="J79" s="10" t="n">
        <f aca="false">IF(INDEX(Results_Long!$K:$K,$F79)="","NA",INDEX(Results_Long!$K:$K,$F79))</f>
        <v>-0.0663709031352939</v>
      </c>
      <c r="K79" s="10" t="n">
        <f aca="false">IF(INDEX(Results_Long!$P:$P,$F79)="","NA",INDEX(Results_Long!$P:$P,$F79))</f>
        <v>-0.118202753217815</v>
      </c>
      <c r="L79" s="10" t="n">
        <f aca="false">IF(INDEX(Results_Long!$Q:$Q,$F79)="","NA",INDEX(Results_Long!$Q:$Q,$F79))</f>
        <v>-0.0145390530527727</v>
      </c>
      <c r="M79" s="10" t="n">
        <f aca="false">IF(INDEX(Results_Long!$T:$T,$F79)="","NA",INDEX(Results_Long!$T:$T,$F79))</f>
        <v>-0.0662736178015944</v>
      </c>
      <c r="N79" s="10" t="n">
        <f aca="false">IF(INDEX(Results_Long!$U:$U,$F79)="","NA",INDEX(Results_Long!$U:$U,$F79))</f>
        <v>-0.117655307233836</v>
      </c>
      <c r="O79" s="10" t="n">
        <f aca="false">IF(INDEX(Results_Long!$V:$V,$F79)="","NA",INDEX(Results_Long!$V:$V,$F79))</f>
        <v>-0.0145380286980134</v>
      </c>
      <c r="P79" s="10" t="n">
        <f aca="false">IF(INDEX(Results_Long!$L:$L,$F79)="","NA",INDEX(Results_Long!$L:$L,$F79))</f>
        <v>0.0259442557021496</v>
      </c>
      <c r="Q79" s="11" t="n">
        <f aca="false">IF(INDEX(Results_Long!$M:$M,$F79)="","NA",INDEX(Results_Long!$M:$M,$F79))</f>
        <v>-2.55821187924056</v>
      </c>
      <c r="R79" s="12" t="n">
        <f aca="false">IF(INDEX(Results_Long!$N:$N,$F79)="","NA",INDEX(Results_Long!$N:$N,$F79))</f>
        <v>63.8566374358986</v>
      </c>
      <c r="S79" s="10" t="n">
        <f aca="false">IF(INDEX(Results_Long!$O:$O,$F79)="","NA",INDEX(Results_Long!$O:$O,$F79))</f>
        <v>0.0129043268128472</v>
      </c>
      <c r="T79" s="6" t="str">
        <f aca="false">IF(INDEX(Results_Long!$AG:$AG,$F79)="","NA",INDEX(Results_Long!$AG:$AG,$F79))</f>
        <v>NA</v>
      </c>
      <c r="U79" s="5" t="str">
        <f aca="false">IF(INDEX(Results_Long!$AJ:$AJ,$F79)="","NA",INDEX(Results_Long!$AJ:$AJ,$F79))</f>
        <v>cumulative 3L refit after adding study 'Sze et al (2021)' (median sample_mid = 2013.50); ordering: study-wise median sample_mid, ties alphabetical [DEC-045/H-Q17]; full display (CI band)</v>
      </c>
    </row>
    <row r="80" customFormat="false" ht="35.05" hidden="false" customHeight="false" outlineLevel="0" collapsed="false">
      <c r="A80" s="6" t="s">
        <v>476</v>
      </c>
      <c r="B80" s="7" t="s">
        <v>277</v>
      </c>
      <c r="C80" s="7" t="s">
        <v>278</v>
      </c>
      <c r="D80" s="7" t="s">
        <v>477</v>
      </c>
      <c r="E80" s="7" t="s">
        <v>478</v>
      </c>
      <c r="F80" s="8" t="n">
        <f aca="false">SUMPRODUCT((Results_Long!$A$2:$A$178=$B80)*(Results_Long!$B$2:$B$178=$C80)*(Results_Long!$C$2:$C$178=$D80)*(Results_Long!$D$2:$D$178=$E80)*ROW(Results_Long!$A$2:$A$178))</f>
        <v>94</v>
      </c>
      <c r="G80" s="9" t="n">
        <f aca="false">IF(INDEX(Results_Long!$H:$H,$F80)="","NA",INDEX(Results_Long!$H:$H,$F80))</f>
        <v>1711</v>
      </c>
      <c r="H80" s="9" t="n">
        <f aca="false">IF(INDEX(Results_Long!$I:$I,$F80)="","NA",INDEX(Results_Long!$I:$I,$F80))</f>
        <v>67</v>
      </c>
      <c r="I80" s="9" t="n">
        <f aca="false">IF(INDEX(Results_Long!$J:$J,$F80)="","NA",INDEX(Results_Long!$J:$J,$F80))</f>
        <v>66</v>
      </c>
      <c r="J80" s="10" t="n">
        <f aca="false">IF(INDEX(Results_Long!$K:$K,$F80)="","NA",INDEX(Results_Long!$K:$K,$F80))</f>
        <v>-0.0656374110688086</v>
      </c>
      <c r="K80" s="10" t="n">
        <f aca="false">IF(INDEX(Results_Long!$P:$P,$F80)="","NA",INDEX(Results_Long!$P:$P,$F80))</f>
        <v>-0.116958430574326</v>
      </c>
      <c r="L80" s="10" t="n">
        <f aca="false">IF(INDEX(Results_Long!$Q:$Q,$F80)="","NA",INDEX(Results_Long!$Q:$Q,$F80))</f>
        <v>-0.0143163915632916</v>
      </c>
      <c r="M80" s="10" t="n">
        <f aca="false">IF(INDEX(Results_Long!$T:$T,$F80)="","NA",INDEX(Results_Long!$T:$T,$F80))</f>
        <v>-0.0655433120033504</v>
      </c>
      <c r="N80" s="10" t="n">
        <f aca="false">IF(INDEX(Results_Long!$U:$U,$F80)="","NA",INDEX(Results_Long!$U:$U,$F80))</f>
        <v>-0.11642803042281</v>
      </c>
      <c r="O80" s="10" t="n">
        <f aca="false">IF(INDEX(Results_Long!$V:$V,$F80)="","NA",INDEX(Results_Long!$V:$V,$F80))</f>
        <v>-0.0143154135520513</v>
      </c>
      <c r="P80" s="10" t="n">
        <f aca="false">IF(INDEX(Results_Long!$L:$L,$F80)="","NA",INDEX(Results_Long!$L:$L,$F80))</f>
        <v>0.0256963077829649</v>
      </c>
      <c r="Q80" s="11" t="n">
        <f aca="false">IF(INDEX(Results_Long!$M:$M,$F80)="","NA",INDEX(Results_Long!$M:$M,$F80))</f>
        <v>-2.55435184008506</v>
      </c>
      <c r="R80" s="12" t="n">
        <f aca="false">IF(INDEX(Results_Long!$N:$N,$F80)="","NA",INDEX(Results_Long!$N:$N,$F80))</f>
        <v>64.8700407940891</v>
      </c>
      <c r="S80" s="10" t="n">
        <f aca="false">IF(INDEX(Results_Long!$O:$O,$F80)="","NA",INDEX(Results_Long!$O:$O,$F80))</f>
        <v>0.0129956882040386</v>
      </c>
      <c r="T80" s="6" t="str">
        <f aca="false">IF(INDEX(Results_Long!$AG:$AG,$F80)="","NA",INDEX(Results_Long!$AG:$AG,$F80))</f>
        <v>NA</v>
      </c>
      <c r="U80" s="5" t="str">
        <f aca="false">IF(INDEX(Results_Long!$AJ:$AJ,$F80)="","NA",INDEX(Results_Long!$AJ:$AJ,$F80))</f>
        <v>cumulative 3L refit after adding study 'Zhang et al (2023)' (median sample_mid = 2013.50); ordering: study-wise median sample_mid, ties alphabetical [DEC-045/H-Q17]; full display (CI band)</v>
      </c>
    </row>
    <row r="81" customFormat="false" ht="35.05" hidden="false" customHeight="false" outlineLevel="0" collapsed="false">
      <c r="A81" s="6" t="s">
        <v>479</v>
      </c>
      <c r="B81" s="7" t="s">
        <v>277</v>
      </c>
      <c r="C81" s="7" t="s">
        <v>278</v>
      </c>
      <c r="D81" s="7" t="s">
        <v>480</v>
      </c>
      <c r="E81" s="7" t="s">
        <v>481</v>
      </c>
      <c r="F81" s="8" t="n">
        <f aca="false">SUMPRODUCT((Results_Long!$A$2:$A$178=$B81)*(Results_Long!$B$2:$B$178=$C81)*(Results_Long!$C$2:$C$178=$D81)*(Results_Long!$D$2:$D$178=$E81)*ROW(Results_Long!$A$2:$A$178))</f>
        <v>95</v>
      </c>
      <c r="G81" s="9" t="n">
        <f aca="false">IF(INDEX(Results_Long!$H:$H,$F81)="","NA",INDEX(Results_Long!$H:$H,$F81))</f>
        <v>1714</v>
      </c>
      <c r="H81" s="9" t="n">
        <f aca="false">IF(INDEX(Results_Long!$I:$I,$F81)="","NA",INDEX(Results_Long!$I:$I,$F81))</f>
        <v>68</v>
      </c>
      <c r="I81" s="9" t="n">
        <f aca="false">IF(INDEX(Results_Long!$J:$J,$F81)="","NA",INDEX(Results_Long!$J:$J,$F81))</f>
        <v>67</v>
      </c>
      <c r="J81" s="10" t="n">
        <f aca="false">IF(INDEX(Results_Long!$K:$K,$F81)="","NA",INDEX(Results_Long!$K:$K,$F81))</f>
        <v>-0.0640094999350868</v>
      </c>
      <c r="K81" s="10" t="n">
        <f aca="false">IF(INDEX(Results_Long!$P:$P,$F81)="","NA",INDEX(Results_Long!$P:$P,$F81))</f>
        <v>-0.11467378592798</v>
      </c>
      <c r="L81" s="10" t="n">
        <f aca="false">IF(INDEX(Results_Long!$Q:$Q,$F81)="","NA",INDEX(Results_Long!$Q:$Q,$F81))</f>
        <v>-0.0133452139421941</v>
      </c>
      <c r="M81" s="10" t="n">
        <f aca="false">IF(INDEX(Results_Long!$T:$T,$F81)="","NA",INDEX(Results_Long!$T:$T,$F81))</f>
        <v>-0.0639222227188984</v>
      </c>
      <c r="N81" s="10" t="n">
        <f aca="false">IF(INDEX(Results_Long!$U:$U,$F81)="","NA",INDEX(Results_Long!$U:$U,$F81))</f>
        <v>-0.114173759539163</v>
      </c>
      <c r="O81" s="10" t="n">
        <f aca="false">IF(INDEX(Results_Long!$V:$V,$F81)="","NA",INDEX(Results_Long!$V:$V,$F81))</f>
        <v>-0.0133444217611798</v>
      </c>
      <c r="P81" s="10" t="n">
        <f aca="false">IF(INDEX(Results_Long!$L:$L,$F81)="","NA",INDEX(Results_Long!$L:$L,$F81))</f>
        <v>0.0253747283749434</v>
      </c>
      <c r="Q81" s="11" t="n">
        <f aca="false">IF(INDEX(Results_Long!$M:$M,$F81)="","NA",INDEX(Results_Long!$M:$M,$F81))</f>
        <v>-2.52256887203938</v>
      </c>
      <c r="R81" s="12" t="n">
        <f aca="false">IF(INDEX(Results_Long!$N:$N,$F81)="","NA",INDEX(Results_Long!$N:$N,$F81))</f>
        <v>65.8602803750082</v>
      </c>
      <c r="S81" s="10" t="n">
        <f aca="false">IF(INDEX(Results_Long!$O:$O,$F81)="","NA",INDEX(Results_Long!$O:$O,$F81))</f>
        <v>0.0140740826330006</v>
      </c>
      <c r="T81" s="6" t="str">
        <f aca="false">IF(INDEX(Results_Long!$AG:$AG,$F81)="","NA",INDEX(Results_Long!$AG:$AG,$F81))</f>
        <v>NA</v>
      </c>
      <c r="U81" s="5" t="str">
        <f aca="false">IF(INDEX(Results_Long!$AJ:$AJ,$F81)="","NA",INDEX(Results_Long!$AJ:$AJ,$F81))</f>
        <v>cumulative 3L refit after adding study 'Azmi et al (2021)' (median sample_mid = 2014.00); ordering: study-wise median sample_mid, ties alphabetical [DEC-045/H-Q17]; full display (CI band)</v>
      </c>
    </row>
    <row r="82" customFormat="false" ht="35.05" hidden="false" customHeight="false" outlineLevel="0" collapsed="false">
      <c r="A82" s="6" t="s">
        <v>482</v>
      </c>
      <c r="B82" s="7" t="s">
        <v>277</v>
      </c>
      <c r="C82" s="7" t="s">
        <v>278</v>
      </c>
      <c r="D82" s="7" t="s">
        <v>483</v>
      </c>
      <c r="E82" s="7" t="s">
        <v>484</v>
      </c>
      <c r="F82" s="8" t="n">
        <f aca="false">SUMPRODUCT((Results_Long!$A$2:$A$178=$B82)*(Results_Long!$B$2:$B$178=$C82)*(Results_Long!$C$2:$C$178=$D82)*(Results_Long!$D$2:$D$178=$E82)*ROW(Results_Long!$A$2:$A$178))</f>
        <v>96</v>
      </c>
      <c r="G82" s="9" t="n">
        <f aca="false">IF(INDEX(Results_Long!$H:$H,$F82)="","NA",INDEX(Results_Long!$H:$H,$F82))</f>
        <v>1719</v>
      </c>
      <c r="H82" s="9" t="n">
        <f aca="false">IF(INDEX(Results_Long!$I:$I,$F82)="","NA",INDEX(Results_Long!$I:$I,$F82))</f>
        <v>69</v>
      </c>
      <c r="I82" s="9" t="n">
        <f aca="false">IF(INDEX(Results_Long!$J:$J,$F82)="","NA",INDEX(Results_Long!$J:$J,$F82))</f>
        <v>68</v>
      </c>
      <c r="J82" s="10" t="n">
        <f aca="false">IF(INDEX(Results_Long!$K:$K,$F82)="","NA",INDEX(Results_Long!$K:$K,$F82))</f>
        <v>-0.0630011013440417</v>
      </c>
      <c r="K82" s="10" t="n">
        <f aca="false">IF(INDEX(Results_Long!$P:$P,$F82)="","NA",INDEX(Results_Long!$P:$P,$F82))</f>
        <v>-0.112902235649803</v>
      </c>
      <c r="L82" s="10" t="n">
        <f aca="false">IF(INDEX(Results_Long!$Q:$Q,$F82)="","NA",INDEX(Results_Long!$Q:$Q,$F82))</f>
        <v>-0.0130999670382805</v>
      </c>
      <c r="M82" s="10" t="n">
        <f aca="false">IF(INDEX(Results_Long!$T:$T,$F82)="","NA",INDEX(Results_Long!$T:$T,$F82))</f>
        <v>-0.0629178800969054</v>
      </c>
      <c r="N82" s="10" t="n">
        <f aca="false">IF(INDEX(Results_Long!$U:$U,$F82)="","NA",INDEX(Results_Long!$U:$U,$F82))</f>
        <v>-0.11242495067314</v>
      </c>
      <c r="O82" s="10" t="n">
        <f aca="false">IF(INDEX(Results_Long!$V:$V,$F82)="","NA",INDEX(Results_Long!$V:$V,$F82))</f>
        <v>-0.0130992177317054</v>
      </c>
      <c r="P82" s="10" t="n">
        <f aca="false">IF(INDEX(Results_Long!$L:$L,$F82)="","NA",INDEX(Results_Long!$L:$L,$F82))</f>
        <v>0.0249994802335072</v>
      </c>
      <c r="Q82" s="11" t="n">
        <f aca="false">IF(INDEX(Results_Long!$M:$M,$F82)="","NA",INDEX(Results_Long!$M:$M,$F82))</f>
        <v>-2.52009644822937</v>
      </c>
      <c r="R82" s="12" t="n">
        <f aca="false">IF(INDEX(Results_Long!$N:$N,$F82)="","NA",INDEX(Results_Long!$N:$N,$F82))</f>
        <v>66.8569301910507</v>
      </c>
      <c r="S82" s="10" t="n">
        <f aca="false">IF(INDEX(Results_Long!$O:$O,$F82)="","NA",INDEX(Results_Long!$O:$O,$F82))</f>
        <v>0.0141268534300243</v>
      </c>
      <c r="T82" s="6" t="str">
        <f aca="false">IF(INDEX(Results_Long!$AG:$AG,$F82)="","NA",INDEX(Results_Long!$AG:$AG,$F82))</f>
        <v>NA</v>
      </c>
      <c r="U82" s="5" t="str">
        <f aca="false">IF(INDEX(Results_Long!$AJ:$AJ,$F82)="","NA",INDEX(Results_Long!$AJ:$AJ,$F82))</f>
        <v>cumulative 3L refit after adding study 'Borsuk &amp; Shrimali (2026)' (median sample_mid = 2014.00); ordering: study-wise median sample_mid, ties alphabetical [DEC-045/H-Q17]; full display (CI band)</v>
      </c>
    </row>
    <row r="83" customFormat="false" ht="35.05" hidden="false" customHeight="false" outlineLevel="0" collapsed="false">
      <c r="A83" s="6" t="s">
        <v>485</v>
      </c>
      <c r="B83" s="7" t="s">
        <v>277</v>
      </c>
      <c r="C83" s="7" t="s">
        <v>278</v>
      </c>
      <c r="D83" s="7" t="s">
        <v>486</v>
      </c>
      <c r="E83" s="7" t="s">
        <v>487</v>
      </c>
      <c r="F83" s="8" t="n">
        <f aca="false">SUMPRODUCT((Results_Long!$A$2:$A$178=$B83)*(Results_Long!$B$2:$B$178=$C83)*(Results_Long!$C$2:$C$178=$D83)*(Results_Long!$D$2:$D$178=$E83)*ROW(Results_Long!$A$2:$A$178))</f>
        <v>97</v>
      </c>
      <c r="G83" s="9" t="n">
        <f aca="false">IF(INDEX(Results_Long!$H:$H,$F83)="","NA",INDEX(Results_Long!$H:$H,$F83))</f>
        <v>1754</v>
      </c>
      <c r="H83" s="9" t="n">
        <f aca="false">IF(INDEX(Results_Long!$I:$I,$F83)="","NA",INDEX(Results_Long!$I:$I,$F83))</f>
        <v>70</v>
      </c>
      <c r="I83" s="9" t="n">
        <f aca="false">IF(INDEX(Results_Long!$J:$J,$F83)="","NA",INDEX(Results_Long!$J:$J,$F83))</f>
        <v>69</v>
      </c>
      <c r="J83" s="10" t="n">
        <f aca="false">IF(INDEX(Results_Long!$K:$K,$F83)="","NA",INDEX(Results_Long!$K:$K,$F83))</f>
        <v>-0.0627290498366058</v>
      </c>
      <c r="K83" s="10" t="n">
        <f aca="false">IF(INDEX(Results_Long!$P:$P,$F83)="","NA",INDEX(Results_Long!$P:$P,$F83))</f>
        <v>-0.111903450473692</v>
      </c>
      <c r="L83" s="10" t="n">
        <f aca="false">IF(INDEX(Results_Long!$Q:$Q,$F83)="","NA",INDEX(Results_Long!$Q:$Q,$F83))</f>
        <v>-0.0135546491995196</v>
      </c>
      <c r="M83" s="10" t="n">
        <f aca="false">IF(INDEX(Results_Long!$T:$T,$F83)="","NA",INDEX(Results_Long!$T:$T,$F83))</f>
        <v>-0.0626469009171515</v>
      </c>
      <c r="N83" s="10" t="n">
        <f aca="false">IF(INDEX(Results_Long!$U:$U,$F83)="","NA",INDEX(Results_Long!$U:$U,$F83))</f>
        <v>-0.111438679093081</v>
      </c>
      <c r="O83" s="10" t="n">
        <f aca="false">IF(INDEX(Results_Long!$V:$V,$F83)="","NA",INDEX(Results_Long!$V:$V,$F83))</f>
        <v>-0.0135538191353329</v>
      </c>
      <c r="P83" s="10" t="n">
        <f aca="false">IF(INDEX(Results_Long!$L:$L,$F83)="","NA",INDEX(Results_Long!$L:$L,$F83))</f>
        <v>0.0246420865187052</v>
      </c>
      <c r="Q83" s="11" t="n">
        <f aca="false">IF(INDEX(Results_Long!$M:$M,$F83)="","NA",INDEX(Results_Long!$M:$M,$F83))</f>
        <v>-2.54560626548364</v>
      </c>
      <c r="R83" s="12" t="n">
        <f aca="false">IF(INDEX(Results_Long!$N:$N,$F83)="","NA",INDEX(Results_Long!$N:$N,$F83))</f>
        <v>67.8565296095345</v>
      </c>
      <c r="S83" s="10" t="n">
        <f aca="false">IF(INDEX(Results_Long!$O:$O,$F83)="","NA",INDEX(Results_Long!$O:$O,$F83))</f>
        <v>0.0131859126425662</v>
      </c>
      <c r="T83" s="6" t="str">
        <f aca="false">IF(INDEX(Results_Long!$AG:$AG,$F83)="","NA",INDEX(Results_Long!$AG:$AG,$F83))</f>
        <v>NA</v>
      </c>
      <c r="U83" s="5" t="str">
        <f aca="false">IF(INDEX(Results_Long!$AJ:$AJ,$F83)="","NA",INDEX(Results_Long!$AJ:$AJ,$F83))</f>
        <v>cumulative 3L refit after adding study 'Christ et al (2022)' (median sample_mid = 2014.00); ordering: study-wise median sample_mid, ties alphabetical [DEC-045/H-Q17]; full display (CI band)</v>
      </c>
    </row>
    <row r="84" customFormat="false" ht="35.05" hidden="false" customHeight="false" outlineLevel="0" collapsed="false">
      <c r="A84" s="6" t="s">
        <v>488</v>
      </c>
      <c r="B84" s="7" t="s">
        <v>277</v>
      </c>
      <c r="C84" s="7" t="s">
        <v>278</v>
      </c>
      <c r="D84" s="7" t="s">
        <v>489</v>
      </c>
      <c r="E84" s="7" t="s">
        <v>490</v>
      </c>
      <c r="F84" s="8" t="n">
        <f aca="false">SUMPRODUCT((Results_Long!$A$2:$A$178=$B84)*(Results_Long!$B$2:$B$178=$C84)*(Results_Long!$C$2:$C$178=$D84)*(Results_Long!$D$2:$D$178=$E84)*ROW(Results_Long!$A$2:$A$178))</f>
        <v>98</v>
      </c>
      <c r="G84" s="9" t="n">
        <f aca="false">IF(INDEX(Results_Long!$H:$H,$F84)="","NA",INDEX(Results_Long!$H:$H,$F84))</f>
        <v>1790</v>
      </c>
      <c r="H84" s="9" t="n">
        <f aca="false">IF(INDEX(Results_Long!$I:$I,$F84)="","NA",INDEX(Results_Long!$I:$I,$F84))</f>
        <v>71</v>
      </c>
      <c r="I84" s="9" t="n">
        <f aca="false">IF(INDEX(Results_Long!$J:$J,$F84)="","NA",INDEX(Results_Long!$J:$J,$F84))</f>
        <v>70</v>
      </c>
      <c r="J84" s="10" t="n">
        <f aca="false">IF(INDEX(Results_Long!$K:$K,$F84)="","NA",INDEX(Results_Long!$K:$K,$F84))</f>
        <v>-0.0621076219863615</v>
      </c>
      <c r="K84" s="10" t="n">
        <f aca="false">IF(INDEX(Results_Long!$P:$P,$F84)="","NA",INDEX(Results_Long!$P:$P,$F84))</f>
        <v>-0.110598030625216</v>
      </c>
      <c r="L84" s="10" t="n">
        <f aca="false">IF(INDEX(Results_Long!$Q:$Q,$F84)="","NA",INDEX(Results_Long!$Q:$Q,$F84))</f>
        <v>-0.0136172133475067</v>
      </c>
      <c r="M84" s="10" t="n">
        <f aca="false">IF(INDEX(Results_Long!$T:$T,$F84)="","NA",INDEX(Results_Long!$T:$T,$F84))</f>
        <v>-0.0620278879250764</v>
      </c>
      <c r="N84" s="10" t="n">
        <f aca="false">IF(INDEX(Results_Long!$U:$U,$F84)="","NA",INDEX(Results_Long!$U:$U,$F84))</f>
        <v>-0.110149283862987</v>
      </c>
      <c r="O84" s="10" t="n">
        <f aca="false">IF(INDEX(Results_Long!$V:$V,$F84)="","NA",INDEX(Results_Long!$V:$V,$F84))</f>
        <v>-0.0136163717367846</v>
      </c>
      <c r="P84" s="10" t="n">
        <f aca="false">IF(INDEX(Results_Long!$L:$L,$F84)="","NA",INDEX(Results_Long!$L:$L,$F84))</f>
        <v>0.0243057308010925</v>
      </c>
      <c r="Q84" s="11" t="n">
        <f aca="false">IF(INDEX(Results_Long!$M:$M,$F84)="","NA",INDEX(Results_Long!$M:$M,$F84))</f>
        <v>-2.55526659513443</v>
      </c>
      <c r="R84" s="12" t="n">
        <f aca="false">IF(INDEX(Results_Long!$N:$N,$F84)="","NA",INDEX(Results_Long!$N:$N,$F84))</f>
        <v>68.8565345103352</v>
      </c>
      <c r="S84" s="10" t="n">
        <f aca="false">IF(INDEX(Results_Long!$O:$O,$F84)="","NA",INDEX(Results_Long!$O:$O,$F84))</f>
        <v>0.0128235121339403</v>
      </c>
      <c r="T84" s="6" t="str">
        <f aca="false">IF(INDEX(Results_Long!$AG:$AG,$F84)="","NA",INDEX(Results_Long!$AG:$AG,$F84))</f>
        <v>NA</v>
      </c>
      <c r="U84" s="5" t="str">
        <f aca="false">IF(INDEX(Results_Long!$AJ:$AJ,$F84)="","NA",INDEX(Results_Long!$AJ:$AJ,$F84))</f>
        <v>cumulative 3L refit after adding study 'Hui et al (2024)' (median sample_mid = 2014.00); ordering: study-wise median sample_mid, ties alphabetical [DEC-045/H-Q17]; full display (CI band)</v>
      </c>
    </row>
    <row r="85" customFormat="false" ht="35.05" hidden="false" customHeight="false" outlineLevel="0" collapsed="false">
      <c r="A85" s="6" t="s">
        <v>491</v>
      </c>
      <c r="B85" s="7" t="s">
        <v>277</v>
      </c>
      <c r="C85" s="7" t="s">
        <v>278</v>
      </c>
      <c r="D85" s="7" t="s">
        <v>492</v>
      </c>
      <c r="E85" s="7" t="s">
        <v>493</v>
      </c>
      <c r="F85" s="8" t="n">
        <f aca="false">SUMPRODUCT((Results_Long!$A$2:$A$178=$B85)*(Results_Long!$B$2:$B$178=$C85)*(Results_Long!$C$2:$C$178=$D85)*(Results_Long!$D$2:$D$178=$E85)*ROW(Results_Long!$A$2:$A$178))</f>
        <v>99</v>
      </c>
      <c r="G85" s="9" t="n">
        <f aca="false">IF(INDEX(Results_Long!$H:$H,$F85)="","NA",INDEX(Results_Long!$H:$H,$F85))</f>
        <v>1844</v>
      </c>
      <c r="H85" s="9" t="n">
        <f aca="false">IF(INDEX(Results_Long!$I:$I,$F85)="","NA",INDEX(Results_Long!$I:$I,$F85))</f>
        <v>72</v>
      </c>
      <c r="I85" s="9" t="n">
        <f aca="false">IF(INDEX(Results_Long!$J:$J,$F85)="","NA",INDEX(Results_Long!$J:$J,$F85))</f>
        <v>71</v>
      </c>
      <c r="J85" s="10" t="n">
        <f aca="false">IF(INDEX(Results_Long!$K:$K,$F85)="","NA",INDEX(Results_Long!$K:$K,$F85))</f>
        <v>-0.0611510281824199</v>
      </c>
      <c r="K85" s="10" t="n">
        <f aca="false">IF(INDEX(Results_Long!$P:$P,$F85)="","NA",INDEX(Results_Long!$P:$P,$F85))</f>
        <v>-0.109054134590465</v>
      </c>
      <c r="L85" s="10" t="n">
        <f aca="false">IF(INDEX(Results_Long!$Q:$Q,$F85)="","NA",INDEX(Results_Long!$Q:$Q,$F85))</f>
        <v>-0.0132479217743749</v>
      </c>
      <c r="M85" s="10" t="n">
        <f aca="false">IF(INDEX(Results_Long!$T:$T,$F85)="","NA",INDEX(Results_Long!$T:$T,$F85))</f>
        <v>-0.0610749183222178</v>
      </c>
      <c r="N85" s="10" t="n">
        <f aca="false">IF(INDEX(Results_Long!$U:$U,$F85)="","NA",INDEX(Results_Long!$U:$U,$F85))</f>
        <v>-0.108623861510133</v>
      </c>
      <c r="O85" s="10" t="n">
        <f aca="false">IF(INDEX(Results_Long!$V:$V,$F85)="","NA",INDEX(Results_Long!$V:$V,$F85))</f>
        <v>-0.0132471467925405</v>
      </c>
      <c r="P85" s="10" t="n">
        <f aca="false">IF(INDEX(Results_Long!$L:$L,$F85)="","NA",INDEX(Results_Long!$L:$L,$F85))</f>
        <v>0.0240175105808929</v>
      </c>
      <c r="Q85" s="11" t="n">
        <f aca="false">IF(INDEX(Results_Long!$M:$M,$F85)="","NA",INDEX(Results_Long!$M:$M,$F85))</f>
        <v>-2.54610185249876</v>
      </c>
      <c r="R85" s="12" t="n">
        <f aca="false">IF(INDEX(Results_Long!$N:$N,$F85)="","NA",INDEX(Results_Long!$N:$N,$F85))</f>
        <v>69.8596499985997</v>
      </c>
      <c r="S85" s="10" t="n">
        <f aca="false">IF(INDEX(Results_Long!$O:$O,$F85)="","NA",INDEX(Results_Long!$O:$O,$F85))</f>
        <v>0.0131013246159266</v>
      </c>
      <c r="T85" s="6" t="str">
        <f aca="false">IF(INDEX(Results_Long!$AG:$AG,$F85)="","NA",INDEX(Results_Long!$AG:$AG,$F85))</f>
        <v>NA</v>
      </c>
      <c r="U85" s="5" t="str">
        <f aca="false">IF(INDEX(Results_Long!$AJ:$AJ,$F85)="","NA",INDEX(Results_Long!$AJ:$AJ,$F85))</f>
        <v>cumulative 3L refit after adding study 'Kölbel et al (2020)' (median sample_mid = 2014.00); ordering: study-wise median sample_mid, ties alphabetical [DEC-045/H-Q17]; full display (CI band)</v>
      </c>
    </row>
    <row r="86" customFormat="false" ht="35.05" hidden="false" customHeight="false" outlineLevel="0" collapsed="false">
      <c r="A86" s="6" t="s">
        <v>494</v>
      </c>
      <c r="B86" s="7" t="s">
        <v>277</v>
      </c>
      <c r="C86" s="7" t="s">
        <v>278</v>
      </c>
      <c r="D86" s="7" t="s">
        <v>495</v>
      </c>
      <c r="E86" s="7" t="s">
        <v>496</v>
      </c>
      <c r="F86" s="8" t="n">
        <f aca="false">SUMPRODUCT((Results_Long!$A$2:$A$178=$B86)*(Results_Long!$B$2:$B$178=$C86)*(Results_Long!$C$2:$C$178=$D86)*(Results_Long!$D$2:$D$178=$E86)*ROW(Results_Long!$A$2:$A$178))</f>
        <v>100</v>
      </c>
      <c r="G86" s="9" t="n">
        <f aca="false">IF(INDEX(Results_Long!$H:$H,$F86)="","NA",INDEX(Results_Long!$H:$H,$F86))</f>
        <v>1858</v>
      </c>
      <c r="H86" s="9" t="n">
        <f aca="false">IF(INDEX(Results_Long!$I:$I,$F86)="","NA",INDEX(Results_Long!$I:$I,$F86))</f>
        <v>73</v>
      </c>
      <c r="I86" s="9" t="n">
        <f aca="false">IF(INDEX(Results_Long!$J:$J,$F86)="","NA",INDEX(Results_Long!$J:$J,$F86))</f>
        <v>72</v>
      </c>
      <c r="J86" s="10" t="n">
        <f aca="false">IF(INDEX(Results_Long!$K:$K,$F86)="","NA",INDEX(Results_Long!$K:$K,$F86))</f>
        <v>-0.060786376629729</v>
      </c>
      <c r="K86" s="10" t="n">
        <f aca="false">IF(INDEX(Results_Long!$P:$P,$F86)="","NA",INDEX(Results_Long!$P:$P,$F86))</f>
        <v>-0.107983176705175</v>
      </c>
      <c r="L86" s="10" t="n">
        <f aca="false">IF(INDEX(Results_Long!$Q:$Q,$F86)="","NA",INDEX(Results_Long!$Q:$Q,$F86))</f>
        <v>-0.013589576554283</v>
      </c>
      <c r="M86" s="10" t="n">
        <f aca="false">IF(INDEX(Results_Long!$T:$T,$F86)="","NA",INDEX(Results_Long!$T:$T,$F86))</f>
        <v>-0.0607116188979672</v>
      </c>
      <c r="N86" s="10" t="n">
        <f aca="false">IF(INDEX(Results_Long!$U:$U,$F86)="","NA",INDEX(Results_Long!$U:$U,$F86))</f>
        <v>-0.107565417284559</v>
      </c>
      <c r="O86" s="10" t="n">
        <f aca="false">IF(INDEX(Results_Long!$V:$V,$F86)="","NA",INDEX(Results_Long!$V:$V,$F86))</f>
        <v>-0.0135887400571854</v>
      </c>
      <c r="P86" s="10" t="n">
        <f aca="false">IF(INDEX(Results_Long!$L:$L,$F86)="","NA",INDEX(Results_Long!$L:$L,$F86))</f>
        <v>0.0236692514932136</v>
      </c>
      <c r="Q86" s="11" t="n">
        <f aca="false">IF(INDEX(Results_Long!$M:$M,$F86)="","NA",INDEX(Results_Long!$M:$M,$F86))</f>
        <v>-2.56815796000805</v>
      </c>
      <c r="R86" s="12" t="n">
        <f aca="false">IF(INDEX(Results_Long!$N:$N,$F86)="","NA",INDEX(Results_Long!$N:$N,$F86))</f>
        <v>70.8567911542306</v>
      </c>
      <c r="S86" s="10" t="n">
        <f aca="false">IF(INDEX(Results_Long!$O:$O,$F86)="","NA",INDEX(Results_Long!$O:$O,$F86))</f>
        <v>0.0123335540246349</v>
      </c>
      <c r="T86" s="6" t="str">
        <f aca="false">IF(INDEX(Results_Long!$AG:$AG,$F86)="","NA",INDEX(Results_Long!$AG:$AG,$F86))</f>
        <v>NA</v>
      </c>
      <c r="U86" s="5" t="str">
        <f aca="false">IF(INDEX(Results_Long!$AJ:$AJ,$F86)="","NA",INDEX(Results_Long!$AJ:$AJ,$F86))</f>
        <v>cumulative 3L refit after adding study 'Ma et al (2022)' (median sample_mid = 2014.00); ordering: study-wise median sample_mid, ties alphabetical [DEC-045/H-Q17]; full display (CI band)</v>
      </c>
    </row>
    <row r="87" customFormat="false" ht="35.05" hidden="false" customHeight="false" outlineLevel="0" collapsed="false">
      <c r="A87" s="6" t="s">
        <v>497</v>
      </c>
      <c r="B87" s="7" t="s">
        <v>277</v>
      </c>
      <c r="C87" s="7" t="s">
        <v>278</v>
      </c>
      <c r="D87" s="7" t="s">
        <v>498</v>
      </c>
      <c r="E87" s="7" t="s">
        <v>499</v>
      </c>
      <c r="F87" s="8" t="n">
        <f aca="false">SUMPRODUCT((Results_Long!$A$2:$A$178=$B87)*(Results_Long!$B$2:$B$178=$C87)*(Results_Long!$C$2:$C$178=$D87)*(Results_Long!$D$2:$D$178=$E87)*ROW(Results_Long!$A$2:$A$178))</f>
        <v>101</v>
      </c>
      <c r="G87" s="9" t="n">
        <f aca="false">IF(INDEX(Results_Long!$H:$H,$F87)="","NA",INDEX(Results_Long!$H:$H,$F87))</f>
        <v>1894</v>
      </c>
      <c r="H87" s="9" t="n">
        <f aca="false">IF(INDEX(Results_Long!$I:$I,$F87)="","NA",INDEX(Results_Long!$I:$I,$F87))</f>
        <v>74</v>
      </c>
      <c r="I87" s="9" t="n">
        <f aca="false">IF(INDEX(Results_Long!$J:$J,$F87)="","NA",INDEX(Results_Long!$J:$J,$F87))</f>
        <v>73</v>
      </c>
      <c r="J87" s="10" t="n">
        <f aca="false">IF(INDEX(Results_Long!$K:$K,$F87)="","NA",INDEX(Results_Long!$K:$K,$F87))</f>
        <v>-0.0601082555573741</v>
      </c>
      <c r="K87" s="10" t="n">
        <f aca="false">IF(INDEX(Results_Long!$P:$P,$F87)="","NA",INDEX(Results_Long!$P:$P,$F87))</f>
        <v>-0.106516077208467</v>
      </c>
      <c r="L87" s="10" t="n">
        <f aca="false">IF(INDEX(Results_Long!$Q:$Q,$F87)="","NA",INDEX(Results_Long!$Q:$Q,$F87))</f>
        <v>-0.0137004339062814</v>
      </c>
      <c r="M87" s="10" t="n">
        <f aca="false">IF(INDEX(Results_Long!$T:$T,$F87)="","NA",INDEX(Results_Long!$T:$T,$F87))</f>
        <v>-0.0600359695997266</v>
      </c>
      <c r="N87" s="10" t="n">
        <f aca="false">IF(INDEX(Results_Long!$U:$U,$F87)="","NA",INDEX(Results_Long!$U:$U,$F87))</f>
        <v>-0.106115064758669</v>
      </c>
      <c r="O87" s="10" t="n">
        <f aca="false">IF(INDEX(Results_Long!$V:$V,$F87)="","NA",INDEX(Results_Long!$V:$V,$F87))</f>
        <v>-0.0136995767715265</v>
      </c>
      <c r="P87" s="10" t="n">
        <f aca="false">IF(INDEX(Results_Long!$L:$L,$F87)="","NA",INDEX(Results_Long!$L:$L,$F87))</f>
        <v>0.0232791485409457</v>
      </c>
      <c r="Q87" s="11" t="n">
        <f aca="false">IF(INDEX(Results_Long!$M:$M,$F87)="","NA",INDEX(Results_Long!$M:$M,$F87))</f>
        <v>-2.582064178664</v>
      </c>
      <c r="R87" s="12" t="n">
        <f aca="false">IF(INDEX(Results_Long!$N:$N,$F87)="","NA",INDEX(Results_Long!$N:$N,$F87))</f>
        <v>71.8471138704243</v>
      </c>
      <c r="S87" s="10" t="n">
        <f aca="false">IF(INDEX(Results_Long!$O:$O,$F87)="","NA",INDEX(Results_Long!$O:$O,$F87))</f>
        <v>0.0118596493882659</v>
      </c>
      <c r="T87" s="6" t="str">
        <f aca="false">IF(INDEX(Results_Long!$AG:$AG,$F87)="","NA",INDEX(Results_Long!$AG:$AG,$F87))</f>
        <v>NA</v>
      </c>
      <c r="U87" s="5" t="str">
        <f aca="false">IF(INDEX(Results_Long!$AJ:$AJ,$F87)="","NA",INDEX(Results_Long!$AJ:$AJ,$F87))</f>
        <v>cumulative 3L refit after adding study 'Palea, Drogo (2020)' (median sample_mid = 2014.00); ordering: study-wise median sample_mid, ties alphabetical [DEC-045/H-Q17]; full display (CI band)</v>
      </c>
    </row>
    <row r="88" customFormat="false" ht="35.05" hidden="false" customHeight="false" outlineLevel="0" collapsed="false">
      <c r="A88" s="6" t="s">
        <v>500</v>
      </c>
      <c r="B88" s="7" t="s">
        <v>277</v>
      </c>
      <c r="C88" s="7" t="s">
        <v>278</v>
      </c>
      <c r="D88" s="7" t="s">
        <v>501</v>
      </c>
      <c r="E88" s="7" t="s">
        <v>502</v>
      </c>
      <c r="F88" s="8" t="n">
        <f aca="false">SUMPRODUCT((Results_Long!$A$2:$A$178=$B88)*(Results_Long!$B$2:$B$178=$C88)*(Results_Long!$C$2:$C$178=$D88)*(Results_Long!$D$2:$D$178=$E88)*ROW(Results_Long!$A$2:$A$178))</f>
        <v>102</v>
      </c>
      <c r="G88" s="9" t="n">
        <f aca="false">IF(INDEX(Results_Long!$H:$H,$F88)="","NA",INDEX(Results_Long!$H:$H,$F88))</f>
        <v>1898</v>
      </c>
      <c r="H88" s="9" t="n">
        <f aca="false">IF(INDEX(Results_Long!$I:$I,$F88)="","NA",INDEX(Results_Long!$I:$I,$F88))</f>
        <v>75</v>
      </c>
      <c r="I88" s="9" t="n">
        <f aca="false">IF(INDEX(Results_Long!$J:$J,$F88)="","NA",INDEX(Results_Long!$J:$J,$F88))</f>
        <v>74</v>
      </c>
      <c r="J88" s="10" t="n">
        <f aca="false">IF(INDEX(Results_Long!$K:$K,$F88)="","NA",INDEX(Results_Long!$K:$K,$F88))</f>
        <v>-0.0588893705125639</v>
      </c>
      <c r="K88" s="10" t="n">
        <f aca="false">IF(INDEX(Results_Long!$P:$P,$F88)="","NA",INDEX(Results_Long!$P:$P,$F88))</f>
        <v>-0.104620484867964</v>
      </c>
      <c r="L88" s="10" t="n">
        <f aca="false">IF(INDEX(Results_Long!$Q:$Q,$F88)="","NA",INDEX(Results_Long!$Q:$Q,$F88))</f>
        <v>-0.0131582561571635</v>
      </c>
      <c r="M88" s="10" t="n">
        <f aca="false">IF(INDEX(Results_Long!$T:$T,$F88)="","NA",INDEX(Results_Long!$T:$T,$F88))</f>
        <v>-0.0588213895260245</v>
      </c>
      <c r="N88" s="10" t="n">
        <f aca="false">IF(INDEX(Results_Long!$U:$U,$F88)="","NA",INDEX(Results_Long!$U:$U,$F88))</f>
        <v>-0.104240442722791</v>
      </c>
      <c r="O88" s="10" t="n">
        <f aca="false">IF(INDEX(Results_Long!$V:$V,$F88)="","NA",INDEX(Results_Long!$V:$V,$F88))</f>
        <v>-0.0131574968042229</v>
      </c>
      <c r="P88" s="10" t="n">
        <f aca="false">IF(INDEX(Results_Long!$L:$L,$F88)="","NA",INDEX(Results_Long!$L:$L,$F88))</f>
        <v>0.0229450486063056</v>
      </c>
      <c r="Q88" s="11" t="n">
        <f aca="false">IF(INDEX(Results_Long!$M:$M,$F88)="","NA",INDEX(Results_Long!$M:$M,$F88))</f>
        <v>-2.56653936642263</v>
      </c>
      <c r="R88" s="12" t="n">
        <f aca="false">IF(INDEX(Results_Long!$N:$N,$F88)="","NA",INDEX(Results_Long!$N:$N,$F88))</f>
        <v>72.8394245443203</v>
      </c>
      <c r="S88" s="10" t="n">
        <f aca="false">IF(INDEX(Results_Long!$O:$O,$F88)="","NA",INDEX(Results_Long!$O:$O,$F88))</f>
        <v>0.0123266398155946</v>
      </c>
      <c r="T88" s="6" t="str">
        <f aca="false">IF(INDEX(Results_Long!$AG:$AG,$F88)="","NA",INDEX(Results_Long!$AG:$AG,$F88))</f>
        <v>NA</v>
      </c>
      <c r="U88" s="5" t="str">
        <f aca="false">IF(INDEX(Results_Long!$AJ:$AJ,$F88)="","NA",INDEX(Results_Long!$AJ:$AJ,$F88))</f>
        <v>cumulative 3L refit after adding study 'Yilmaz (2022)' (median sample_mid = 2014.00); ordering: study-wise median sample_mid, ties alphabetical [DEC-045/H-Q17]; full display (CI band)</v>
      </c>
    </row>
    <row r="89" customFormat="false" ht="35.05" hidden="false" customHeight="false" outlineLevel="0" collapsed="false">
      <c r="A89" s="6" t="s">
        <v>503</v>
      </c>
      <c r="B89" s="7" t="s">
        <v>277</v>
      </c>
      <c r="C89" s="7" t="s">
        <v>278</v>
      </c>
      <c r="D89" s="7" t="s">
        <v>504</v>
      </c>
      <c r="E89" s="7" t="s">
        <v>505</v>
      </c>
      <c r="F89" s="8" t="n">
        <f aca="false">SUMPRODUCT((Results_Long!$A$2:$A$178=$B89)*(Results_Long!$B$2:$B$178=$C89)*(Results_Long!$C$2:$C$178=$D89)*(Results_Long!$D$2:$D$178=$E89)*ROW(Results_Long!$A$2:$A$178))</f>
        <v>103</v>
      </c>
      <c r="G89" s="9" t="n">
        <f aca="false">IF(INDEX(Results_Long!$H:$H,$F89)="","NA",INDEX(Results_Long!$H:$H,$F89))</f>
        <v>1926</v>
      </c>
      <c r="H89" s="9" t="n">
        <f aca="false">IF(INDEX(Results_Long!$I:$I,$F89)="","NA",INDEX(Results_Long!$I:$I,$F89))</f>
        <v>76</v>
      </c>
      <c r="I89" s="9" t="n">
        <f aca="false">IF(INDEX(Results_Long!$J:$J,$F89)="","NA",INDEX(Results_Long!$J:$J,$F89))</f>
        <v>75</v>
      </c>
      <c r="J89" s="10" t="n">
        <f aca="false">IF(INDEX(Results_Long!$K:$K,$F89)="","NA",INDEX(Results_Long!$K:$K,$F89))</f>
        <v>-0.0583390345991679</v>
      </c>
      <c r="K89" s="10" t="n">
        <f aca="false">IF(INDEX(Results_Long!$P:$P,$F89)="","NA",INDEX(Results_Long!$P:$P,$F89))</f>
        <v>-0.103460746138852</v>
      </c>
      <c r="L89" s="10" t="n">
        <f aca="false">IF(INDEX(Results_Long!$Q:$Q,$F89)="","NA",INDEX(Results_Long!$Q:$Q,$F89))</f>
        <v>-0.0132173230594842</v>
      </c>
      <c r="M89" s="10" t="n">
        <f aca="false">IF(INDEX(Results_Long!$T:$T,$F89)="","NA",INDEX(Results_Long!$T:$T,$F89))</f>
        <v>-0.0582729400518249</v>
      </c>
      <c r="N89" s="10" t="n">
        <f aca="false">IF(INDEX(Results_Long!$U:$U,$F89)="","NA",INDEX(Results_Long!$U:$U,$F89))</f>
        <v>-0.103093167614119</v>
      </c>
      <c r="O89" s="10" t="n">
        <f aca="false">IF(INDEX(Results_Long!$V:$V,$F89)="","NA",INDEX(Results_Long!$V:$V,$F89))</f>
        <v>-0.013216553434932</v>
      </c>
      <c r="P89" s="10" t="n">
        <f aca="false">IF(INDEX(Results_Long!$L:$L,$F89)="","NA",INDEX(Results_Long!$L:$L,$F89))</f>
        <v>0.0226444592342342</v>
      </c>
      <c r="Q89" s="11" t="n">
        <f aca="false">IF(INDEX(Results_Long!$M:$M,$F89)="","NA",INDEX(Results_Long!$M:$M,$F89))</f>
        <v>-2.57630504644466</v>
      </c>
      <c r="R89" s="12" t="n">
        <f aca="false">IF(INDEX(Results_Long!$N:$N,$F89)="","NA",INDEX(Results_Long!$N:$N,$F89))</f>
        <v>73.8383260052575</v>
      </c>
      <c r="S89" s="10" t="n">
        <f aca="false">IF(INDEX(Results_Long!$O:$O,$F89)="","NA",INDEX(Results_Long!$O:$O,$F89))</f>
        <v>0.0119842306851695</v>
      </c>
      <c r="T89" s="6" t="str">
        <f aca="false">IF(INDEX(Results_Long!$AG:$AG,$F89)="","NA",INDEX(Results_Long!$AG:$AG,$F89))</f>
        <v>NA</v>
      </c>
      <c r="U89" s="5" t="str">
        <f aca="false">IF(INDEX(Results_Long!$AJ:$AJ,$F89)="","NA",INDEX(Results_Long!$AJ:$AJ,$F89))</f>
        <v>cumulative 3L refit after adding study 'Zhu, Zhao (2022)' (median sample_mid = 2014.00); ordering: study-wise median sample_mid, ties alphabetical [DEC-045/H-Q17]; full display (CI band)</v>
      </c>
    </row>
    <row r="90" customFormat="false" ht="35.05" hidden="false" customHeight="false" outlineLevel="0" collapsed="false">
      <c r="A90" s="6" t="s">
        <v>506</v>
      </c>
      <c r="B90" s="7" t="s">
        <v>277</v>
      </c>
      <c r="C90" s="7" t="s">
        <v>278</v>
      </c>
      <c r="D90" s="7" t="s">
        <v>507</v>
      </c>
      <c r="E90" s="7" t="s">
        <v>508</v>
      </c>
      <c r="F90" s="8" t="n">
        <f aca="false">SUMPRODUCT((Results_Long!$A$2:$A$178=$B90)*(Results_Long!$B$2:$B$178=$C90)*(Results_Long!$C$2:$C$178=$D90)*(Results_Long!$D$2:$D$178=$E90)*ROW(Results_Long!$A$2:$A$178))</f>
        <v>104</v>
      </c>
      <c r="G90" s="9" t="n">
        <f aca="false">IF(INDEX(Results_Long!$H:$H,$F90)="","NA",INDEX(Results_Long!$H:$H,$F90))</f>
        <v>1928</v>
      </c>
      <c r="H90" s="9" t="n">
        <f aca="false">IF(INDEX(Results_Long!$I:$I,$F90)="","NA",INDEX(Results_Long!$I:$I,$F90))</f>
        <v>77</v>
      </c>
      <c r="I90" s="9" t="n">
        <f aca="false">IF(INDEX(Results_Long!$J:$J,$F90)="","NA",INDEX(Results_Long!$J:$J,$F90))</f>
        <v>76</v>
      </c>
      <c r="J90" s="10" t="n">
        <f aca="false">IF(INDEX(Results_Long!$K:$K,$F90)="","NA",INDEX(Results_Long!$K:$K,$F90))</f>
        <v>-0.0586581584712739</v>
      </c>
      <c r="K90" s="10" t="n">
        <f aca="false">IF(INDEX(Results_Long!$P:$P,$F90)="","NA",INDEX(Results_Long!$P:$P,$F90))</f>
        <v>-0.103180361003162</v>
      </c>
      <c r="L90" s="10" t="n">
        <f aca="false">IF(INDEX(Results_Long!$Q:$Q,$F90)="","NA",INDEX(Results_Long!$Q:$Q,$F90))</f>
        <v>-0.0141359559393854</v>
      </c>
      <c r="M90" s="10" t="n">
        <f aca="false">IF(INDEX(Results_Long!$T:$T,$F90)="","NA",INDEX(Results_Long!$T:$T,$F90))</f>
        <v>-0.0585909743386031</v>
      </c>
      <c r="N90" s="10" t="n">
        <f aca="false">IF(INDEX(Results_Long!$U:$U,$F90)="","NA",INDEX(Results_Long!$U:$U,$F90))</f>
        <v>-0.10281575445649</v>
      </c>
      <c r="O90" s="10" t="n">
        <f aca="false">IF(INDEX(Results_Long!$V:$V,$F90)="","NA",INDEX(Results_Long!$V:$V,$F90))</f>
        <v>-0.0141350144409947</v>
      </c>
      <c r="P90" s="10" t="n">
        <f aca="false">IF(INDEX(Results_Long!$L:$L,$F90)="","NA",INDEX(Results_Long!$L:$L,$F90))</f>
        <v>0.0223485228043189</v>
      </c>
      <c r="Q90" s="11" t="n">
        <f aca="false">IF(INDEX(Results_Long!$M:$M,$F90)="","NA",INDEX(Results_Long!$M:$M,$F90))</f>
        <v>-2.62469958237858</v>
      </c>
      <c r="R90" s="12" t="n">
        <f aca="false">IF(INDEX(Results_Long!$N:$N,$F90)="","NA",INDEX(Results_Long!$N:$N,$F90))</f>
        <v>74.8295657160434</v>
      </c>
      <c r="S90" s="10" t="n">
        <f aca="false">IF(INDEX(Results_Long!$O:$O,$F90)="","NA",INDEX(Results_Long!$O:$O,$F90))</f>
        <v>0.0105085846756176</v>
      </c>
      <c r="T90" s="6" t="str">
        <f aca="false">IF(INDEX(Results_Long!$AG:$AG,$F90)="","NA",INDEX(Results_Long!$AG:$AG,$F90))</f>
        <v>NA</v>
      </c>
      <c r="U90" s="5" t="str">
        <f aca="false">IF(INDEX(Results_Long!$AJ:$AJ,$F90)="","NA",INDEX(Results_Long!$AJ:$AJ,$F90))</f>
        <v>cumulative 3L refit after adding study 'Apergis et al (2022)' (median sample_mid = 2014.50); ordering: study-wise median sample_mid, ties alphabetical [DEC-045/H-Q17]; full display (CI band)</v>
      </c>
    </row>
    <row r="91" customFormat="false" ht="35.05" hidden="false" customHeight="false" outlineLevel="0" collapsed="false">
      <c r="A91" s="6" t="s">
        <v>509</v>
      </c>
      <c r="B91" s="7" t="s">
        <v>277</v>
      </c>
      <c r="C91" s="7" t="s">
        <v>278</v>
      </c>
      <c r="D91" s="7" t="s">
        <v>510</v>
      </c>
      <c r="E91" s="7" t="s">
        <v>511</v>
      </c>
      <c r="F91" s="8" t="n">
        <f aca="false">SUMPRODUCT((Results_Long!$A$2:$A$178=$B91)*(Results_Long!$B$2:$B$178=$C91)*(Results_Long!$C$2:$C$178=$D91)*(Results_Long!$D$2:$D$178=$E91)*ROW(Results_Long!$A$2:$A$178))</f>
        <v>105</v>
      </c>
      <c r="G91" s="9" t="n">
        <f aca="false">IF(INDEX(Results_Long!$H:$H,$F91)="","NA",INDEX(Results_Long!$H:$H,$F91))</f>
        <v>1936</v>
      </c>
      <c r="H91" s="9" t="n">
        <f aca="false">IF(INDEX(Results_Long!$I:$I,$F91)="","NA",INDEX(Results_Long!$I:$I,$F91))</f>
        <v>78</v>
      </c>
      <c r="I91" s="9" t="n">
        <f aca="false">IF(INDEX(Results_Long!$J:$J,$F91)="","NA",INDEX(Results_Long!$J:$J,$F91))</f>
        <v>77</v>
      </c>
      <c r="J91" s="10" t="n">
        <f aca="false">IF(INDEX(Results_Long!$K:$K,$F91)="","NA",INDEX(Results_Long!$K:$K,$F91))</f>
        <v>-0.0617120200636748</v>
      </c>
      <c r="K91" s="10" t="n">
        <f aca="false">IF(INDEX(Results_Long!$P:$P,$F91)="","NA",INDEX(Results_Long!$P:$P,$F91))</f>
        <v>-0.102894884540054</v>
      </c>
      <c r="L91" s="10" t="n">
        <f aca="false">IF(INDEX(Results_Long!$Q:$Q,$F91)="","NA",INDEX(Results_Long!$Q:$Q,$F91))</f>
        <v>-0.0205291555872951</v>
      </c>
      <c r="M91" s="10" t="n">
        <f aca="false">IF(INDEX(Results_Long!$T:$T,$F91)="","NA",INDEX(Results_Long!$T:$T,$F91))</f>
        <v>-0.0616337984147716</v>
      </c>
      <c r="N91" s="10" t="n">
        <f aca="false">IF(INDEX(Results_Long!$U:$U,$F91)="","NA",INDEX(Results_Long!$U:$U,$F91))</f>
        <v>-0.102533287504581</v>
      </c>
      <c r="O91" s="10" t="n">
        <f aca="false">IF(INDEX(Results_Long!$V:$V,$F91)="","NA",INDEX(Results_Long!$V:$V,$F91))</f>
        <v>-0.0205262720949858</v>
      </c>
      <c r="P91" s="10" t="n">
        <f aca="false">IF(INDEX(Results_Long!$L:$L,$F91)="","NA",INDEX(Results_Long!$L:$L,$F91))</f>
        <v>0.0206751134768499</v>
      </c>
      <c r="Q91" s="11" t="n">
        <f aca="false">IF(INDEX(Results_Long!$M:$M,$F91)="","NA",INDEX(Results_Long!$M:$M,$F91))</f>
        <v>-2.98484553097008</v>
      </c>
      <c r="R91" s="12" t="n">
        <f aca="false">IF(INDEX(Results_Long!$N:$N,$F91)="","NA",INDEX(Results_Long!$N:$N,$F91))</f>
        <v>75.455356212207</v>
      </c>
      <c r="S91" s="10" t="n">
        <f aca="false">IF(INDEX(Results_Long!$O:$O,$F91)="","NA",INDEX(Results_Long!$O:$O,$F91))</f>
        <v>0.00382247683898479</v>
      </c>
      <c r="T91" s="6" t="str">
        <f aca="false">IF(INDEX(Results_Long!$AG:$AG,$F91)="","NA",INDEX(Results_Long!$AG:$AG,$F91))</f>
        <v>NA</v>
      </c>
      <c r="U91" s="5" t="str">
        <f aca="false">IF(INDEX(Results_Long!$AJ:$AJ,$F91)="","NA",INDEX(Results_Long!$AJ:$AJ,$F91))</f>
        <v>cumulative 3L refit after adding study 'Ben Slimane et al (2019)' (median sample_mid = 2014.50); ordering: study-wise median sample_mid, ties alphabetical [DEC-045/H-Q17]; full display (CI band)</v>
      </c>
    </row>
    <row r="92" customFormat="false" ht="35.05" hidden="false" customHeight="false" outlineLevel="0" collapsed="false">
      <c r="A92" s="6" t="s">
        <v>512</v>
      </c>
      <c r="B92" s="7" t="s">
        <v>277</v>
      </c>
      <c r="C92" s="7" t="s">
        <v>278</v>
      </c>
      <c r="D92" s="7" t="s">
        <v>513</v>
      </c>
      <c r="E92" s="7" t="s">
        <v>514</v>
      </c>
      <c r="F92" s="8" t="n">
        <f aca="false">SUMPRODUCT((Results_Long!$A$2:$A$178=$B92)*(Results_Long!$B$2:$B$178=$C92)*(Results_Long!$C$2:$C$178=$D92)*(Results_Long!$D$2:$D$178=$E92)*ROW(Results_Long!$A$2:$A$178))</f>
        <v>106</v>
      </c>
      <c r="G92" s="9" t="n">
        <f aca="false">IF(INDEX(Results_Long!$H:$H,$F92)="","NA",INDEX(Results_Long!$H:$H,$F92))</f>
        <v>1939</v>
      </c>
      <c r="H92" s="9" t="n">
        <f aca="false">IF(INDEX(Results_Long!$I:$I,$F92)="","NA",INDEX(Results_Long!$I:$I,$F92))</f>
        <v>79</v>
      </c>
      <c r="I92" s="9" t="n">
        <f aca="false">IF(INDEX(Results_Long!$J:$J,$F92)="","NA",INDEX(Results_Long!$J:$J,$F92))</f>
        <v>78</v>
      </c>
      <c r="J92" s="10" t="n">
        <f aca="false">IF(INDEX(Results_Long!$K:$K,$F92)="","NA",INDEX(Results_Long!$K:$K,$F92))</f>
        <v>-0.0613333337316548</v>
      </c>
      <c r="K92" s="10" t="n">
        <f aca="false">IF(INDEX(Results_Long!$P:$P,$F92)="","NA",INDEX(Results_Long!$P:$P,$F92))</f>
        <v>-0.102085042659521</v>
      </c>
      <c r="L92" s="10" t="n">
        <f aca="false">IF(INDEX(Results_Long!$Q:$Q,$F92)="","NA",INDEX(Results_Long!$Q:$Q,$F92))</f>
        <v>-0.0205816248037883</v>
      </c>
      <c r="M92" s="10" t="n">
        <f aca="false">IF(INDEX(Results_Long!$T:$T,$F92)="","NA",INDEX(Results_Long!$T:$T,$F92))</f>
        <v>-0.0612565418209396</v>
      </c>
      <c r="N92" s="10" t="n">
        <f aca="false">IF(INDEX(Results_Long!$U:$U,$F92)="","NA",INDEX(Results_Long!$U:$U,$F92))</f>
        <v>-0.101731893183332</v>
      </c>
      <c r="O92" s="10" t="n">
        <f aca="false">IF(INDEX(Results_Long!$V:$V,$F92)="","NA",INDEX(Results_Long!$V:$V,$F92))</f>
        <v>-0.0205787191482035</v>
      </c>
      <c r="P92" s="10" t="n">
        <f aca="false">IF(INDEX(Results_Long!$L:$L,$F92)="","NA",INDEX(Results_Long!$L:$L,$F92))</f>
        <v>0.0204624820557076</v>
      </c>
      <c r="Q92" s="11" t="n">
        <f aca="false">IF(INDEX(Results_Long!$M:$M,$F92)="","NA",INDEX(Results_Long!$M:$M,$F92))</f>
        <v>-2.99735552924026</v>
      </c>
      <c r="R92" s="12" t="n">
        <f aca="false">IF(INDEX(Results_Long!$N:$N,$F92)="","NA",INDEX(Results_Long!$N:$N,$F92))</f>
        <v>76.3308014999426</v>
      </c>
      <c r="S92" s="10" t="n">
        <f aca="false">IF(INDEX(Results_Long!$O:$O,$F92)="","NA",INDEX(Results_Long!$O:$O,$F92))</f>
        <v>0.00367334006965386</v>
      </c>
      <c r="T92" s="6" t="str">
        <f aca="false">IF(INDEX(Results_Long!$AG:$AG,$F92)="","NA",INDEX(Results_Long!$AG:$AG,$F92))</f>
        <v>NA</v>
      </c>
      <c r="U92" s="5" t="str">
        <f aca="false">IF(INDEX(Results_Long!$AJ:$AJ,$F92)="","NA",INDEX(Results_Long!$AJ:$AJ,$F92))</f>
        <v>cumulative 3L refit after adding study 'Devalle et al (2017)' (median sample_mid = 2015.00); ordering: study-wise median sample_mid, ties alphabetical [DEC-045/H-Q17]; full display (CI band)</v>
      </c>
    </row>
    <row r="93" customFormat="false" ht="35.05" hidden="false" customHeight="false" outlineLevel="0" collapsed="false">
      <c r="A93" s="6" t="s">
        <v>515</v>
      </c>
      <c r="B93" s="7" t="s">
        <v>277</v>
      </c>
      <c r="C93" s="7" t="s">
        <v>278</v>
      </c>
      <c r="D93" s="7" t="s">
        <v>516</v>
      </c>
      <c r="E93" s="7" t="s">
        <v>517</v>
      </c>
      <c r="F93" s="8" t="n">
        <f aca="false">SUMPRODUCT((Results_Long!$A$2:$A$178=$B93)*(Results_Long!$B$2:$B$178=$C93)*(Results_Long!$C$2:$C$178=$D93)*(Results_Long!$D$2:$D$178=$E93)*ROW(Results_Long!$A$2:$A$178))</f>
        <v>107</v>
      </c>
      <c r="G93" s="9" t="n">
        <f aca="false">IF(INDEX(Results_Long!$H:$H,$F93)="","NA",INDEX(Results_Long!$H:$H,$F93))</f>
        <v>1947</v>
      </c>
      <c r="H93" s="9" t="n">
        <f aca="false">IF(INDEX(Results_Long!$I:$I,$F93)="","NA",INDEX(Results_Long!$I:$I,$F93))</f>
        <v>80</v>
      </c>
      <c r="I93" s="9" t="n">
        <f aca="false">IF(INDEX(Results_Long!$J:$J,$F93)="","NA",INDEX(Results_Long!$J:$J,$F93))</f>
        <v>79</v>
      </c>
      <c r="J93" s="10" t="n">
        <f aca="false">IF(INDEX(Results_Long!$K:$K,$F93)="","NA",INDEX(Results_Long!$K:$K,$F93))</f>
        <v>-0.0609444874695196</v>
      </c>
      <c r="K93" s="10" t="n">
        <f aca="false">IF(INDEX(Results_Long!$P:$P,$F93)="","NA",INDEX(Results_Long!$P:$P,$F93))</f>
        <v>-0.10105071480939</v>
      </c>
      <c r="L93" s="10" t="n">
        <f aca="false">IF(INDEX(Results_Long!$Q:$Q,$F93)="","NA",INDEX(Results_Long!$Q:$Q,$F93))</f>
        <v>-0.020838260129649</v>
      </c>
      <c r="M93" s="10" t="n">
        <f aca="false">IF(INDEX(Results_Long!$T:$T,$F93)="","NA",INDEX(Results_Long!$T:$T,$F93))</f>
        <v>-0.0608691454434717</v>
      </c>
      <c r="N93" s="10" t="n">
        <f aca="false">IF(INDEX(Results_Long!$U:$U,$F93)="","NA",INDEX(Results_Long!$U:$U,$F93))</f>
        <v>-0.100708162627108</v>
      </c>
      <c r="O93" s="10" t="n">
        <f aca="false">IF(INDEX(Results_Long!$V:$V,$F93)="","NA",INDEX(Results_Long!$V:$V,$F93))</f>
        <v>-0.0208352444327917</v>
      </c>
      <c r="P93" s="10" t="n">
        <f aca="false">IF(INDEX(Results_Long!$L:$L,$F93)="","NA",INDEX(Results_Long!$L:$L,$F93))</f>
        <v>0.0201424633645581</v>
      </c>
      <c r="Q93" s="11" t="n">
        <f aca="false">IF(INDEX(Results_Long!$M:$M,$F93)="","NA",INDEX(Results_Long!$M:$M,$F93))</f>
        <v>-3.0256720027976</v>
      </c>
      <c r="R93" s="12" t="n">
        <f aca="false">IF(INDEX(Results_Long!$N:$N,$F93)="","NA",INDEX(Results_Long!$N:$N,$F93))</f>
        <v>77.3069563989545</v>
      </c>
      <c r="S93" s="10" t="n">
        <f aca="false">IF(INDEX(Results_Long!$O:$O,$F93)="","NA",INDEX(Results_Long!$O:$O,$F93))</f>
        <v>0.0033677135239143</v>
      </c>
      <c r="T93" s="6" t="str">
        <f aca="false">IF(INDEX(Results_Long!$AG:$AG,$F93)="","NA",INDEX(Results_Long!$AG:$AG,$F93))</f>
        <v>NA</v>
      </c>
      <c r="U93" s="5" t="str">
        <f aca="false">IF(INDEX(Results_Long!$AJ:$AJ,$F93)="","NA",INDEX(Results_Long!$AJ:$AJ,$F93))</f>
        <v>cumulative 3L refit after adding study 'Ding et al (2022)' (median sample_mid = 2015.00); ordering: study-wise median sample_mid, ties alphabetical [DEC-045/H-Q17]; full display (CI band)</v>
      </c>
    </row>
    <row r="94" customFormat="false" ht="35.05" hidden="false" customHeight="false" outlineLevel="0" collapsed="false">
      <c r="A94" s="6" t="s">
        <v>518</v>
      </c>
      <c r="B94" s="7" t="s">
        <v>277</v>
      </c>
      <c r="C94" s="7" t="s">
        <v>278</v>
      </c>
      <c r="D94" s="7" t="s">
        <v>519</v>
      </c>
      <c r="E94" s="7" t="s">
        <v>520</v>
      </c>
      <c r="F94" s="8" t="n">
        <f aca="false">SUMPRODUCT((Results_Long!$A$2:$A$178=$B94)*(Results_Long!$B$2:$B$178=$C94)*(Results_Long!$C$2:$C$178=$D94)*(Results_Long!$D$2:$D$178=$E94)*ROW(Results_Long!$A$2:$A$178))</f>
        <v>108</v>
      </c>
      <c r="G94" s="9" t="n">
        <f aca="false">IF(INDEX(Results_Long!$H:$H,$F94)="","NA",INDEX(Results_Long!$H:$H,$F94))</f>
        <v>1980</v>
      </c>
      <c r="H94" s="9" t="n">
        <f aca="false">IF(INDEX(Results_Long!$I:$I,$F94)="","NA",INDEX(Results_Long!$I:$I,$F94))</f>
        <v>81</v>
      </c>
      <c r="I94" s="9" t="n">
        <f aca="false">IF(INDEX(Results_Long!$J:$J,$F94)="","NA",INDEX(Results_Long!$J:$J,$F94))</f>
        <v>80</v>
      </c>
      <c r="J94" s="10" t="n">
        <f aca="false">IF(INDEX(Results_Long!$K:$K,$F94)="","NA",INDEX(Results_Long!$K:$K,$F94))</f>
        <v>-0.0613492866901421</v>
      </c>
      <c r="K94" s="10" t="n">
        <f aca="false">IF(INDEX(Results_Long!$P:$P,$F94)="","NA",INDEX(Results_Long!$P:$P,$F94))</f>
        <v>-0.100952292007104</v>
      </c>
      <c r="L94" s="10" t="n">
        <f aca="false">IF(INDEX(Results_Long!$Q:$Q,$F94)="","NA",INDEX(Results_Long!$Q:$Q,$F94))</f>
        <v>-0.02174628137318</v>
      </c>
      <c r="M94" s="10" t="n">
        <f aca="false">IF(INDEX(Results_Long!$T:$T,$F94)="","NA",INDEX(Results_Long!$T:$T,$F94))</f>
        <v>-0.0612724349025886</v>
      </c>
      <c r="N94" s="10" t="n">
        <f aca="false">IF(INDEX(Results_Long!$U:$U,$F94)="","NA",INDEX(Results_Long!$U:$U,$F94))</f>
        <v>-0.100610737076708</v>
      </c>
      <c r="O94" s="10" t="n">
        <f aca="false">IF(INDEX(Results_Long!$V:$V,$F94)="","NA",INDEX(Results_Long!$V:$V,$F94))</f>
        <v>-0.021742854077204</v>
      </c>
      <c r="P94" s="10" t="n">
        <f aca="false">IF(INDEX(Results_Long!$L:$L,$F94)="","NA",INDEX(Results_Long!$L:$L,$F94))</f>
        <v>0.0198937588189649</v>
      </c>
      <c r="Q94" s="11" t="n">
        <f aca="false">IF(INDEX(Results_Long!$M:$M,$F94)="","NA",INDEX(Results_Long!$M:$M,$F94))</f>
        <v>-3.08384590606664</v>
      </c>
      <c r="R94" s="12" t="n">
        <f aca="false">IF(INDEX(Results_Long!$N:$N,$F94)="","NA",INDEX(Results_Long!$N:$N,$F94))</f>
        <v>78.3045512710827</v>
      </c>
      <c r="S94" s="10" t="n">
        <f aca="false">IF(INDEX(Results_Long!$O:$O,$F94)="","NA",INDEX(Results_Long!$O:$O,$F94))</f>
        <v>0.00282234658564592</v>
      </c>
      <c r="T94" s="6" t="str">
        <f aca="false">IF(INDEX(Results_Long!$AG:$AG,$F94)="","NA",INDEX(Results_Long!$AG:$AG,$F94))</f>
        <v>NA</v>
      </c>
      <c r="U94" s="5" t="str">
        <f aca="false">IF(INDEX(Results_Long!$AJ:$AJ,$F94)="","NA",INDEX(Results_Long!$AJ:$AJ,$F94))</f>
        <v>cumulative 3L refit after adding study 'Kim, Kim (2022)' (median sample_mid = 2015.00); ordering: study-wise median sample_mid, ties alphabetical [DEC-045/H-Q17]; full display (CI band)</v>
      </c>
    </row>
    <row r="95" customFormat="false" ht="35.05" hidden="false" customHeight="false" outlineLevel="0" collapsed="false">
      <c r="A95" s="6" t="s">
        <v>521</v>
      </c>
      <c r="B95" s="7" t="s">
        <v>277</v>
      </c>
      <c r="C95" s="7" t="s">
        <v>278</v>
      </c>
      <c r="D95" s="7" t="s">
        <v>522</v>
      </c>
      <c r="E95" s="7" t="s">
        <v>523</v>
      </c>
      <c r="F95" s="8" t="n">
        <f aca="false">SUMPRODUCT((Results_Long!$A$2:$A$178=$B95)*(Results_Long!$B$2:$B$178=$C95)*(Results_Long!$C$2:$C$178=$D95)*(Results_Long!$D$2:$D$178=$E95)*ROW(Results_Long!$A$2:$A$178))</f>
        <v>109</v>
      </c>
      <c r="G95" s="9" t="n">
        <f aca="false">IF(INDEX(Results_Long!$H:$H,$F95)="","NA",INDEX(Results_Long!$H:$H,$F95))</f>
        <v>1989</v>
      </c>
      <c r="H95" s="9" t="n">
        <f aca="false">IF(INDEX(Results_Long!$I:$I,$F95)="","NA",INDEX(Results_Long!$I:$I,$F95))</f>
        <v>82</v>
      </c>
      <c r="I95" s="9" t="n">
        <f aca="false">IF(INDEX(Results_Long!$J:$J,$F95)="","NA",INDEX(Results_Long!$J:$J,$F95))</f>
        <v>81</v>
      </c>
      <c r="J95" s="10" t="n">
        <f aca="false">IF(INDEX(Results_Long!$K:$K,$F95)="","NA",INDEX(Results_Long!$K:$K,$F95))</f>
        <v>-0.0609001111776785</v>
      </c>
      <c r="K95" s="10" t="n">
        <f aca="false">IF(INDEX(Results_Long!$P:$P,$F95)="","NA",INDEX(Results_Long!$P:$P,$F95))</f>
        <v>-0.0999417820771801</v>
      </c>
      <c r="L95" s="10" t="n">
        <f aca="false">IF(INDEX(Results_Long!$Q:$Q,$F95)="","NA",INDEX(Results_Long!$Q:$Q,$F95))</f>
        <v>-0.0218584402781769</v>
      </c>
      <c r="M95" s="10" t="n">
        <f aca="false">IF(INDEX(Results_Long!$T:$T,$F95)="","NA",INDEX(Results_Long!$T:$T,$F95))</f>
        <v>-0.0608249334487438</v>
      </c>
      <c r="N95" s="10" t="n">
        <f aca="false">IF(INDEX(Results_Long!$U:$U,$F95)="","NA",INDEX(Results_Long!$U:$U,$F95))</f>
        <v>-0.0996103546876602</v>
      </c>
      <c r="O95" s="10" t="n">
        <f aca="false">IF(INDEX(Results_Long!$V:$V,$F95)="","NA",INDEX(Results_Long!$V:$V,$F95))</f>
        <v>-0.0218549596850306</v>
      </c>
      <c r="P95" s="10" t="n">
        <f aca="false">IF(INDEX(Results_Long!$L:$L,$F95)="","NA",INDEX(Results_Long!$L:$L,$F95))</f>
        <v>0.0196156088860179</v>
      </c>
      <c r="Q95" s="11" t="n">
        <f aca="false">IF(INDEX(Results_Long!$M:$M,$F95)="","NA",INDEX(Results_Long!$M:$M,$F95))</f>
        <v>-3.10467605321639</v>
      </c>
      <c r="R95" s="12" t="n">
        <f aca="false">IF(INDEX(Results_Long!$N:$N,$F95)="","NA",INDEX(Results_Long!$N:$N,$F95))</f>
        <v>79.290219343113</v>
      </c>
      <c r="S95" s="10" t="n">
        <f aca="false">IF(INDEX(Results_Long!$O:$O,$F95)="","NA",INDEX(Results_Long!$O:$O,$F95))</f>
        <v>0.00264131683131968</v>
      </c>
      <c r="T95" s="6" t="str">
        <f aca="false">IF(INDEX(Results_Long!$AG:$AG,$F95)="","NA",INDEX(Results_Long!$AG:$AG,$F95))</f>
        <v>NA</v>
      </c>
      <c r="U95" s="5" t="str">
        <f aca="false">IF(INDEX(Results_Long!$AJ:$AJ,$F95)="","NA",INDEX(Results_Long!$AJ:$AJ,$F95))</f>
        <v>cumulative 3L refit after adding study 'Lee (2022)' (median sample_mid = 2015.00); ordering: study-wise median sample_mid, ties alphabetical [DEC-045/H-Q17]; full display (CI band)</v>
      </c>
    </row>
    <row r="96" customFormat="false" ht="35.05" hidden="false" customHeight="false" outlineLevel="0" collapsed="false">
      <c r="A96" s="6" t="s">
        <v>524</v>
      </c>
      <c r="B96" s="7" t="s">
        <v>277</v>
      </c>
      <c r="C96" s="7" t="s">
        <v>278</v>
      </c>
      <c r="D96" s="7" t="s">
        <v>525</v>
      </c>
      <c r="E96" s="7" t="s">
        <v>526</v>
      </c>
      <c r="F96" s="8" t="n">
        <f aca="false">SUMPRODUCT((Results_Long!$A$2:$A$178=$B96)*(Results_Long!$B$2:$B$178=$C96)*(Results_Long!$C$2:$C$178=$D96)*(Results_Long!$D$2:$D$178=$E96)*ROW(Results_Long!$A$2:$A$178))</f>
        <v>110</v>
      </c>
      <c r="G96" s="9" t="n">
        <f aca="false">IF(INDEX(Results_Long!$H:$H,$F96)="","NA",INDEX(Results_Long!$H:$H,$F96))</f>
        <v>1999</v>
      </c>
      <c r="H96" s="9" t="n">
        <f aca="false">IF(INDEX(Results_Long!$I:$I,$F96)="","NA",INDEX(Results_Long!$I:$I,$F96))</f>
        <v>83</v>
      </c>
      <c r="I96" s="9" t="n">
        <f aca="false">IF(INDEX(Results_Long!$J:$J,$F96)="","NA",INDEX(Results_Long!$J:$J,$F96))</f>
        <v>82</v>
      </c>
      <c r="J96" s="10" t="n">
        <f aca="false">IF(INDEX(Results_Long!$K:$K,$F96)="","NA",INDEX(Results_Long!$K:$K,$F96))</f>
        <v>-0.0601527066098577</v>
      </c>
      <c r="K96" s="10" t="n">
        <f aca="false">IF(INDEX(Results_Long!$P:$P,$F96)="","NA",INDEX(Results_Long!$P:$P,$F96))</f>
        <v>-0.0986626114197314</v>
      </c>
      <c r="L96" s="10" t="n">
        <f aca="false">IF(INDEX(Results_Long!$Q:$Q,$F96)="","NA",INDEX(Results_Long!$Q:$Q,$F96))</f>
        <v>-0.021642801799984</v>
      </c>
      <c r="M96" s="10" t="n">
        <f aca="false">IF(INDEX(Results_Long!$T:$T,$F96)="","NA",INDEX(Results_Long!$T:$T,$F96))</f>
        <v>-0.0600802603182713</v>
      </c>
      <c r="N96" s="10" t="n">
        <f aca="false">IF(INDEX(Results_Long!$U:$U,$F96)="","NA",INDEX(Results_Long!$U:$U,$F96))</f>
        <v>-0.098343715543841</v>
      </c>
      <c r="O96" s="10" t="n">
        <f aca="false">IF(INDEX(Results_Long!$V:$V,$F96)="","NA",INDEX(Results_Long!$V:$V,$F96))</f>
        <v>-0.0216394231918083</v>
      </c>
      <c r="P96" s="10" t="n">
        <f aca="false">IF(INDEX(Results_Long!$L:$L,$F96)="","NA",INDEX(Results_Long!$L:$L,$F96))</f>
        <v>0.0193521126216293</v>
      </c>
      <c r="Q96" s="11" t="n">
        <f aca="false">IF(INDEX(Results_Long!$M:$M,$F96)="","NA",INDEX(Results_Long!$M:$M,$F96))</f>
        <v>-3.1083276428759</v>
      </c>
      <c r="R96" s="12" t="n">
        <f aca="false">IF(INDEX(Results_Long!$N:$N,$F96)="","NA",INDEX(Results_Long!$N:$N,$F96))</f>
        <v>80.2751903781731</v>
      </c>
      <c r="S96" s="10" t="n">
        <f aca="false">IF(INDEX(Results_Long!$O:$O,$F96)="","NA",INDEX(Results_Long!$O:$O,$F96))</f>
        <v>0.00260267235944747</v>
      </c>
      <c r="T96" s="6" t="str">
        <f aca="false">IF(INDEX(Results_Long!$AG:$AG,$F96)="","NA",INDEX(Results_Long!$AG:$AG,$F96))</f>
        <v>NA</v>
      </c>
      <c r="U96" s="5" t="str">
        <f aca="false">IF(INDEX(Results_Long!$AJ:$AJ,$F96)="","NA",INDEX(Results_Long!$AJ:$AJ,$F96))</f>
        <v>cumulative 3L refit after adding study 'Luo et al (2019)' (median sample_mid = 2015.00); ordering: study-wise median sample_mid, ties alphabetical [DEC-045/H-Q17]; full display (CI band)</v>
      </c>
    </row>
    <row r="97" customFormat="false" ht="35.05" hidden="false" customHeight="false" outlineLevel="0" collapsed="false">
      <c r="A97" s="6" t="s">
        <v>527</v>
      </c>
      <c r="B97" s="7" t="s">
        <v>277</v>
      </c>
      <c r="C97" s="7" t="s">
        <v>278</v>
      </c>
      <c r="D97" s="7" t="s">
        <v>528</v>
      </c>
      <c r="E97" s="7" t="s">
        <v>529</v>
      </c>
      <c r="F97" s="8" t="n">
        <f aca="false">SUMPRODUCT((Results_Long!$A$2:$A$178=$B97)*(Results_Long!$B$2:$B$178=$C97)*(Results_Long!$C$2:$C$178=$D97)*(Results_Long!$D$2:$D$178=$E97)*ROW(Results_Long!$A$2:$A$178))</f>
        <v>111</v>
      </c>
      <c r="G97" s="9" t="n">
        <f aca="false">IF(INDEX(Results_Long!$H:$H,$F97)="","NA",INDEX(Results_Long!$H:$H,$F97))</f>
        <v>2037</v>
      </c>
      <c r="H97" s="9" t="n">
        <f aca="false">IF(INDEX(Results_Long!$I:$I,$F97)="","NA",INDEX(Results_Long!$I:$I,$F97))</f>
        <v>84</v>
      </c>
      <c r="I97" s="9" t="n">
        <f aca="false">IF(INDEX(Results_Long!$J:$J,$F97)="","NA",INDEX(Results_Long!$J:$J,$F97))</f>
        <v>83</v>
      </c>
      <c r="J97" s="10" t="n">
        <f aca="false">IF(INDEX(Results_Long!$K:$K,$F97)="","NA",INDEX(Results_Long!$K:$K,$F97))</f>
        <v>-0.0595722078033399</v>
      </c>
      <c r="K97" s="10" t="n">
        <f aca="false">IF(INDEX(Results_Long!$P:$P,$F97)="","NA",INDEX(Results_Long!$P:$P,$F97))</f>
        <v>-0.0976488910496514</v>
      </c>
      <c r="L97" s="10" t="n">
        <f aca="false">IF(INDEX(Results_Long!$Q:$Q,$F97)="","NA",INDEX(Results_Long!$Q:$Q,$F97))</f>
        <v>-0.0214955245570283</v>
      </c>
      <c r="M97" s="10" t="n">
        <f aca="false">IF(INDEX(Results_Long!$T:$T,$F97)="","NA",INDEX(Results_Long!$T:$T,$F97))</f>
        <v>-0.0595018367936915</v>
      </c>
      <c r="N97" s="10" t="n">
        <f aca="false">IF(INDEX(Results_Long!$U:$U,$F97)="","NA",INDEX(Results_Long!$U:$U,$F97))</f>
        <v>-0.0973396996070503</v>
      </c>
      <c r="O97" s="10" t="n">
        <f aca="false">IF(INDEX(Results_Long!$V:$V,$F97)="","NA",INDEX(Results_Long!$V:$V,$F97))</f>
        <v>-0.021492214445488</v>
      </c>
      <c r="P97" s="10" t="n">
        <f aca="false">IF(INDEX(Results_Long!$L:$L,$F97)="","NA",INDEX(Results_Long!$L:$L,$F97))</f>
        <v>0.0191380204491497</v>
      </c>
      <c r="Q97" s="11" t="n">
        <f aca="false">IF(INDEX(Results_Long!$M:$M,$F97)="","NA",INDEX(Results_Long!$M:$M,$F97))</f>
        <v>-3.11276748614754</v>
      </c>
      <c r="R97" s="12" t="n">
        <f aca="false">IF(INDEX(Results_Long!$N:$N,$F97)="","NA",INDEX(Results_Long!$N:$N,$F97))</f>
        <v>81.2780014161225</v>
      </c>
      <c r="S97" s="10" t="n">
        <f aca="false">IF(INDEX(Results_Long!$O:$O,$F97)="","NA",INDEX(Results_Long!$O:$O,$F97))</f>
        <v>0.00255844153569608</v>
      </c>
      <c r="T97" s="6" t="str">
        <f aca="false">IF(INDEX(Results_Long!$AG:$AG,$F97)="","NA",INDEX(Results_Long!$AG:$AG,$F97))</f>
        <v>NA</v>
      </c>
      <c r="U97" s="5" t="str">
        <f aca="false">IF(INDEX(Results_Long!$AJ:$AJ,$F97)="","NA",INDEX(Results_Long!$AJ:$AJ,$F97))</f>
        <v>cumulative 3L refit after adding study 'Ho &amp; Wong (2023)' (median sample_mid = 2015.50); ordering: study-wise median sample_mid, ties alphabetical [DEC-045/H-Q17]; full display (CI band)</v>
      </c>
    </row>
    <row r="98" customFormat="false" ht="35.05" hidden="false" customHeight="false" outlineLevel="0" collapsed="false">
      <c r="A98" s="6" t="s">
        <v>530</v>
      </c>
      <c r="B98" s="7" t="s">
        <v>277</v>
      </c>
      <c r="C98" s="7" t="s">
        <v>278</v>
      </c>
      <c r="D98" s="7" t="s">
        <v>531</v>
      </c>
      <c r="E98" s="7" t="s">
        <v>532</v>
      </c>
      <c r="F98" s="8" t="n">
        <f aca="false">SUMPRODUCT((Results_Long!$A$2:$A$178=$B98)*(Results_Long!$B$2:$B$178=$C98)*(Results_Long!$C$2:$C$178=$D98)*(Results_Long!$D$2:$D$178=$E98)*ROW(Results_Long!$A$2:$A$178))</f>
        <v>112</v>
      </c>
      <c r="G98" s="9" t="n">
        <f aca="false">IF(INDEX(Results_Long!$H:$H,$F98)="","NA",INDEX(Results_Long!$H:$H,$F98))</f>
        <v>2042</v>
      </c>
      <c r="H98" s="9" t="n">
        <f aca="false">IF(INDEX(Results_Long!$I:$I,$F98)="","NA",INDEX(Results_Long!$I:$I,$F98))</f>
        <v>85</v>
      </c>
      <c r="I98" s="9" t="n">
        <f aca="false">IF(INDEX(Results_Long!$J:$J,$F98)="","NA",INDEX(Results_Long!$J:$J,$F98))</f>
        <v>84</v>
      </c>
      <c r="J98" s="10" t="n">
        <f aca="false">IF(INDEX(Results_Long!$K:$K,$F98)="","NA",INDEX(Results_Long!$K:$K,$F98))</f>
        <v>-0.0603729866539109</v>
      </c>
      <c r="K98" s="10" t="n">
        <f aca="false">IF(INDEX(Results_Long!$P:$P,$F98)="","NA",INDEX(Results_Long!$P:$P,$F98))</f>
        <v>-0.0978820392669569</v>
      </c>
      <c r="L98" s="10" t="n">
        <f aca="false">IF(INDEX(Results_Long!$Q:$Q,$F98)="","NA",INDEX(Results_Long!$Q:$Q,$F98))</f>
        <v>-0.0228639340408648</v>
      </c>
      <c r="M98" s="10" t="n">
        <f aca="false">IF(INDEX(Results_Long!$T:$T,$F98)="","NA",INDEX(Results_Long!$T:$T,$F98))</f>
        <v>-0.0602997423228966</v>
      </c>
      <c r="N98" s="10" t="n">
        <f aca="false">IF(INDEX(Results_Long!$U:$U,$F98)="","NA",INDEX(Results_Long!$U:$U,$F98))</f>
        <v>-0.0975706334958741</v>
      </c>
      <c r="O98" s="10" t="n">
        <f aca="false">IF(INDEX(Results_Long!$V:$V,$F98)="","NA",INDEX(Results_Long!$V:$V,$F98))</f>
        <v>-0.0228599507610264</v>
      </c>
      <c r="P98" s="10" t="n">
        <f aca="false">IF(INDEX(Results_Long!$L:$L,$F98)="","NA",INDEX(Results_Long!$L:$L,$F98))</f>
        <v>0.0188560680106653</v>
      </c>
      <c r="Q98" s="11" t="n">
        <f aca="false">IF(INDEX(Results_Long!$M:$M,$F98)="","NA",INDEX(Results_Long!$M:$M,$F98))</f>
        <v>-3.20178027676623</v>
      </c>
      <c r="R98" s="12" t="n">
        <f aca="false">IF(INDEX(Results_Long!$N:$N,$F98)="","NA",INDEX(Results_Long!$N:$N,$F98))</f>
        <v>82.2450740167446</v>
      </c>
      <c r="S98" s="10" t="n">
        <f aca="false">IF(INDEX(Results_Long!$O:$O,$F98)="","NA",INDEX(Results_Long!$O:$O,$F98))</f>
        <v>0.0019424888974834</v>
      </c>
      <c r="T98" s="6" t="str">
        <f aca="false">IF(INDEX(Results_Long!$AG:$AG,$F98)="","NA",INDEX(Results_Long!$AG:$AG,$F98))</f>
        <v>NA</v>
      </c>
      <c r="U98" s="5" t="str">
        <f aca="false">IF(INDEX(Results_Long!$AJ:$AJ,$F98)="","NA",INDEX(Results_Long!$AJ:$AJ,$F98))</f>
        <v>cumulative 3L refit after adding study 'Kordschia (2020)' (median sample_mid = 2015.50); ordering: study-wise median sample_mid, ties alphabetical [DEC-045/H-Q17]; full display (CI band)</v>
      </c>
    </row>
    <row r="99" customFormat="false" ht="35.05" hidden="false" customHeight="false" outlineLevel="0" collapsed="false">
      <c r="A99" s="6" t="s">
        <v>533</v>
      </c>
      <c r="B99" s="7" t="s">
        <v>277</v>
      </c>
      <c r="C99" s="7" t="s">
        <v>278</v>
      </c>
      <c r="D99" s="7" t="s">
        <v>534</v>
      </c>
      <c r="E99" s="7" t="s">
        <v>535</v>
      </c>
      <c r="F99" s="8" t="n">
        <f aca="false">SUMPRODUCT((Results_Long!$A$2:$A$178=$B99)*(Results_Long!$B$2:$B$178=$C99)*(Results_Long!$C$2:$C$178=$D99)*(Results_Long!$D$2:$D$178=$E99)*ROW(Results_Long!$A$2:$A$178))</f>
        <v>113</v>
      </c>
      <c r="G99" s="9" t="n">
        <f aca="false">IF(INDEX(Results_Long!$H:$H,$F99)="","NA",INDEX(Results_Long!$H:$H,$F99))</f>
        <v>2048</v>
      </c>
      <c r="H99" s="9" t="n">
        <f aca="false">IF(INDEX(Results_Long!$I:$I,$F99)="","NA",INDEX(Results_Long!$I:$I,$F99))</f>
        <v>86</v>
      </c>
      <c r="I99" s="9" t="n">
        <f aca="false">IF(INDEX(Results_Long!$J:$J,$F99)="","NA",INDEX(Results_Long!$J:$J,$F99))</f>
        <v>85</v>
      </c>
      <c r="J99" s="10" t="n">
        <f aca="false">IF(INDEX(Results_Long!$K:$K,$F99)="","NA",INDEX(Results_Long!$K:$K,$F99))</f>
        <v>-0.0596872700158691</v>
      </c>
      <c r="K99" s="10" t="n">
        <f aca="false">IF(INDEX(Results_Long!$P:$P,$F99)="","NA",INDEX(Results_Long!$P:$P,$F99))</f>
        <v>-0.096704354221465</v>
      </c>
      <c r="L99" s="10" t="n">
        <f aca="false">IF(INDEX(Results_Long!$Q:$Q,$F99)="","NA",INDEX(Results_Long!$Q:$Q,$F99))</f>
        <v>-0.0226701858102732</v>
      </c>
      <c r="M99" s="10" t="n">
        <f aca="false">IF(INDEX(Results_Long!$T:$T,$F99)="","NA",INDEX(Results_Long!$T:$T,$F99))</f>
        <v>-0.0596164908465973</v>
      </c>
      <c r="N99" s="10" t="n">
        <f aca="false">IF(INDEX(Results_Long!$U:$U,$F99)="","NA",INDEX(Results_Long!$U:$U,$F99))</f>
        <v>-0.0964040265330809</v>
      </c>
      <c r="O99" s="10" t="n">
        <f aca="false">IF(INDEX(Results_Long!$V:$V,$F99)="","NA",INDEX(Results_Long!$V:$V,$F99))</f>
        <v>-0.0226663029236137</v>
      </c>
      <c r="P99" s="10" t="n">
        <f aca="false">IF(INDEX(Results_Long!$L:$L,$F99)="","NA",INDEX(Results_Long!$L:$L,$F99))</f>
        <v>0.018612037517521</v>
      </c>
      <c r="Q99" s="11" t="n">
        <f aca="false">IF(INDEX(Results_Long!$M:$M,$F99)="","NA",INDEX(Results_Long!$M:$M,$F99))</f>
        <v>-3.20691756395186</v>
      </c>
      <c r="R99" s="12" t="n">
        <f aca="false">IF(INDEX(Results_Long!$N:$N,$F99)="","NA",INDEX(Results_Long!$N:$N,$F99))</f>
        <v>83.2295465189857</v>
      </c>
      <c r="S99" s="10" t="n">
        <f aca="false">IF(INDEX(Results_Long!$O:$O,$F99)="","NA",INDEX(Results_Long!$O:$O,$F99))</f>
        <v>0.00190453724341262</v>
      </c>
      <c r="T99" s="6" t="str">
        <f aca="false">IF(INDEX(Results_Long!$AG:$AG,$F99)="","NA",INDEX(Results_Long!$AG:$AG,$F99))</f>
        <v>NA</v>
      </c>
      <c r="U99" s="5" t="str">
        <f aca="false">IF(INDEX(Results_Long!$AJ:$AJ,$F99)="","NA",INDEX(Results_Long!$AJ:$AJ,$F99))</f>
        <v>cumulative 3L refit after adding study 'Owolabi et al (2024)' (median sample_mid = 2015.50); ordering: study-wise median sample_mid, ties alphabetical [DEC-045/H-Q17]; full display (CI band)</v>
      </c>
    </row>
    <row r="100" customFormat="false" ht="35.05" hidden="false" customHeight="false" outlineLevel="0" collapsed="false">
      <c r="A100" s="6" t="s">
        <v>536</v>
      </c>
      <c r="B100" s="7" t="s">
        <v>277</v>
      </c>
      <c r="C100" s="7" t="s">
        <v>278</v>
      </c>
      <c r="D100" s="7" t="s">
        <v>537</v>
      </c>
      <c r="E100" s="7" t="s">
        <v>538</v>
      </c>
      <c r="F100" s="8" t="n">
        <f aca="false">SUMPRODUCT((Results_Long!$A$2:$A$178=$B100)*(Results_Long!$B$2:$B$178=$C100)*(Results_Long!$C$2:$C$178=$D100)*(Results_Long!$D$2:$D$178=$E100)*ROW(Results_Long!$A$2:$A$178))</f>
        <v>114</v>
      </c>
      <c r="G100" s="9" t="n">
        <f aca="false">IF(INDEX(Results_Long!$H:$H,$F100)="","NA",INDEX(Results_Long!$H:$H,$F100))</f>
        <v>2066</v>
      </c>
      <c r="H100" s="9" t="n">
        <f aca="false">IF(INDEX(Results_Long!$I:$I,$F100)="","NA",INDEX(Results_Long!$I:$I,$F100))</f>
        <v>87</v>
      </c>
      <c r="I100" s="9" t="n">
        <f aca="false">IF(INDEX(Results_Long!$J:$J,$F100)="","NA",INDEX(Results_Long!$J:$J,$F100))</f>
        <v>86</v>
      </c>
      <c r="J100" s="10" t="n">
        <f aca="false">IF(INDEX(Results_Long!$K:$K,$F100)="","NA",INDEX(Results_Long!$K:$K,$F100))</f>
        <v>-0.0590108848859296</v>
      </c>
      <c r="K100" s="10" t="n">
        <f aca="false">IF(INDEX(Results_Long!$P:$P,$F100)="","NA",INDEX(Results_Long!$P:$P,$F100))</f>
        <v>-0.0955717312693439</v>
      </c>
      <c r="L100" s="10" t="n">
        <f aca="false">IF(INDEX(Results_Long!$Q:$Q,$F100)="","NA",INDEX(Results_Long!$Q:$Q,$F100))</f>
        <v>-0.0224500385025153</v>
      </c>
      <c r="M100" s="10" t="n">
        <f aca="false">IF(INDEX(Results_Long!$T:$T,$F100)="","NA",INDEX(Results_Long!$T:$T,$F100))</f>
        <v>-0.058942482598895</v>
      </c>
      <c r="N100" s="10" t="n">
        <f aca="false">IF(INDEX(Results_Long!$U:$U,$F100)="","NA",INDEX(Results_Long!$U:$U,$F100))</f>
        <v>-0.0952818078255117</v>
      </c>
      <c r="O100" s="10" t="n">
        <f aca="false">IF(INDEX(Results_Long!$V:$V,$F100)="","NA",INDEX(Results_Long!$V:$V,$F100))</f>
        <v>-0.0224462676246151</v>
      </c>
      <c r="P100" s="10" t="n">
        <f aca="false">IF(INDEX(Results_Long!$L:$L,$F100)="","NA",INDEX(Results_Long!$L:$L,$F100))</f>
        <v>0.0183858335193576</v>
      </c>
      <c r="Q100" s="11" t="n">
        <f aca="false">IF(INDEX(Results_Long!$M:$M,$F100)="","NA",INDEX(Results_Long!$M:$M,$F100))</f>
        <v>-3.20958442399687</v>
      </c>
      <c r="R100" s="12" t="n">
        <f aca="false">IF(INDEX(Results_Long!$N:$N,$F100)="","NA",INDEX(Results_Long!$N:$N,$F100))</f>
        <v>84.2207156311007</v>
      </c>
      <c r="S100" s="10" t="n">
        <f aca="false">IF(INDEX(Results_Long!$O:$O,$F100)="","NA",INDEX(Results_Long!$O:$O,$F100))</f>
        <v>0.00188166546707938</v>
      </c>
      <c r="T100" s="6" t="str">
        <f aca="false">IF(INDEX(Results_Long!$AG:$AG,$F100)="","NA",INDEX(Results_Long!$AG:$AG,$F100))</f>
        <v>NA</v>
      </c>
      <c r="U100" s="5" t="str">
        <f aca="false">IF(INDEX(Results_Long!$AJ:$AJ,$F100)="","NA",INDEX(Results_Long!$AJ:$AJ,$F100))</f>
        <v>cumulative 3L refit after adding study 'Ririmasse et al (2026)' (median sample_mid = 2015.50); ordering: study-wise median sample_mid, ties alphabetical [DEC-045/H-Q17]; full display (CI band)</v>
      </c>
    </row>
    <row r="101" customFormat="false" ht="35.05" hidden="false" customHeight="false" outlineLevel="0" collapsed="false">
      <c r="A101" s="6" t="s">
        <v>539</v>
      </c>
      <c r="B101" s="7" t="s">
        <v>277</v>
      </c>
      <c r="C101" s="7" t="s">
        <v>278</v>
      </c>
      <c r="D101" s="7" t="s">
        <v>540</v>
      </c>
      <c r="E101" s="7" t="s">
        <v>541</v>
      </c>
      <c r="F101" s="8" t="n">
        <f aca="false">SUMPRODUCT((Results_Long!$A$2:$A$178=$B101)*(Results_Long!$B$2:$B$178=$C101)*(Results_Long!$C$2:$C$178=$D101)*(Results_Long!$D$2:$D$178=$E101)*ROW(Results_Long!$A$2:$A$178))</f>
        <v>115</v>
      </c>
      <c r="G101" s="9" t="n">
        <f aca="false">IF(INDEX(Results_Long!$H:$H,$F101)="","NA",INDEX(Results_Long!$H:$H,$F101))</f>
        <v>2078</v>
      </c>
      <c r="H101" s="9" t="n">
        <f aca="false">IF(INDEX(Results_Long!$I:$I,$F101)="","NA",INDEX(Results_Long!$I:$I,$F101))</f>
        <v>88</v>
      </c>
      <c r="I101" s="9" t="n">
        <f aca="false">IF(INDEX(Results_Long!$J:$J,$F101)="","NA",INDEX(Results_Long!$J:$J,$F101))</f>
        <v>87</v>
      </c>
      <c r="J101" s="10" t="n">
        <f aca="false">IF(INDEX(Results_Long!$K:$K,$F101)="","NA",INDEX(Results_Long!$K:$K,$F101))</f>
        <v>-0.0594906796853139</v>
      </c>
      <c r="K101" s="10" t="n">
        <f aca="false">IF(INDEX(Results_Long!$P:$P,$F101)="","NA",INDEX(Results_Long!$P:$P,$F101))</f>
        <v>-0.0955620299806694</v>
      </c>
      <c r="L101" s="10" t="n">
        <f aca="false">IF(INDEX(Results_Long!$Q:$Q,$F101)="","NA",INDEX(Results_Long!$Q:$Q,$F101))</f>
        <v>-0.0234193293899584</v>
      </c>
      <c r="M101" s="10" t="n">
        <f aca="false">IF(INDEX(Results_Long!$T:$T,$F101)="","NA",INDEX(Results_Long!$T:$T,$F101))</f>
        <v>-0.0594205969294854</v>
      </c>
      <c r="N101" s="10" t="n">
        <f aca="false">IF(INDEX(Results_Long!$U:$U,$F101)="","NA",INDEX(Results_Long!$U:$U,$F101))</f>
        <v>-0.0952721946022931</v>
      </c>
      <c r="O101" s="10" t="n">
        <f aca="false">IF(INDEX(Results_Long!$V:$V,$F101)="","NA",INDEX(Results_Long!$V:$V,$F101))</f>
        <v>-0.0234150487683184</v>
      </c>
      <c r="P101" s="10" t="n">
        <f aca="false">IF(INDEX(Results_Long!$L:$L,$F101)="","NA",INDEX(Results_Long!$L:$L,$F101))</f>
        <v>0.0181427226957654</v>
      </c>
      <c r="Q101" s="11" t="n">
        <f aca="false">IF(INDEX(Results_Long!$M:$M,$F101)="","NA",INDEX(Results_Long!$M:$M,$F101))</f>
        <v>-3.27903814013534</v>
      </c>
      <c r="R101" s="12" t="n">
        <f aca="false">IF(INDEX(Results_Long!$N:$N,$F101)="","NA",INDEX(Results_Long!$N:$N,$F101))</f>
        <v>85.203381315516</v>
      </c>
      <c r="S101" s="10" t="n">
        <f aca="false">IF(INDEX(Results_Long!$O:$O,$F101)="","NA",INDEX(Results_Long!$O:$O,$F101))</f>
        <v>0.00150933944077959</v>
      </c>
      <c r="T101" s="6" t="str">
        <f aca="false">IF(INDEX(Results_Long!$AG:$AG,$F101)="","NA",INDEX(Results_Long!$AG:$AG,$F101))</f>
        <v>NA</v>
      </c>
      <c r="U101" s="5" t="str">
        <f aca="false">IF(INDEX(Results_Long!$AJ:$AJ,$F101)="","NA",INDEX(Results_Long!$AJ:$AJ,$F101))</f>
        <v>cumulative 3L refit after adding study 'Xiang &amp; Gong (2026)' (median sample_mid = 2015.50); ordering: study-wise median sample_mid, ties alphabetical [DEC-045/H-Q17]; full display (CI band)</v>
      </c>
    </row>
    <row r="102" customFormat="false" ht="35.05" hidden="false" customHeight="false" outlineLevel="0" collapsed="false">
      <c r="A102" s="6" t="s">
        <v>542</v>
      </c>
      <c r="B102" s="7" t="s">
        <v>277</v>
      </c>
      <c r="C102" s="7" t="s">
        <v>278</v>
      </c>
      <c r="D102" s="7" t="s">
        <v>543</v>
      </c>
      <c r="E102" s="7" t="s">
        <v>544</v>
      </c>
      <c r="F102" s="8" t="n">
        <f aca="false">SUMPRODUCT((Results_Long!$A$2:$A$178=$B102)*(Results_Long!$B$2:$B$178=$C102)*(Results_Long!$C$2:$C$178=$D102)*(Results_Long!$D$2:$D$178=$E102)*ROW(Results_Long!$A$2:$A$178))</f>
        <v>116</v>
      </c>
      <c r="G102" s="9" t="n">
        <f aca="false">IF(INDEX(Results_Long!$H:$H,$F102)="","NA",INDEX(Results_Long!$H:$H,$F102))</f>
        <v>2080</v>
      </c>
      <c r="H102" s="9" t="n">
        <f aca="false">IF(INDEX(Results_Long!$I:$I,$F102)="","NA",INDEX(Results_Long!$I:$I,$F102))</f>
        <v>89</v>
      </c>
      <c r="I102" s="9" t="n">
        <f aca="false">IF(INDEX(Results_Long!$J:$J,$F102)="","NA",INDEX(Results_Long!$J:$J,$F102))</f>
        <v>88</v>
      </c>
      <c r="J102" s="10" t="n">
        <f aca="false">IF(INDEX(Results_Long!$K:$K,$F102)="","NA",INDEX(Results_Long!$K:$K,$F102))</f>
        <v>-0.0586357694663528</v>
      </c>
      <c r="K102" s="10" t="n">
        <f aca="false">IF(INDEX(Results_Long!$P:$P,$F102)="","NA",INDEX(Results_Long!$P:$P,$F102))</f>
        <v>-0.0943293884643021</v>
      </c>
      <c r="L102" s="10" t="n">
        <f aca="false">IF(INDEX(Results_Long!$Q:$Q,$F102)="","NA",INDEX(Results_Long!$Q:$Q,$F102))</f>
        <v>-0.0229421504684034</v>
      </c>
      <c r="M102" s="10" t="n">
        <f aca="false">IF(INDEX(Results_Long!$T:$T,$F102)="","NA",INDEX(Results_Long!$T:$T,$F102))</f>
        <v>-0.0585686621636827</v>
      </c>
      <c r="N102" s="10" t="n">
        <f aca="false">IF(INDEX(Results_Long!$U:$U,$F102)="","NA",INDEX(Results_Long!$U:$U,$F102))</f>
        <v>-0.0940505986742225</v>
      </c>
      <c r="O102" s="10" t="n">
        <f aca="false">IF(INDEX(Results_Long!$V:$V,$F102)="","NA",INDEX(Results_Long!$V:$V,$F102))</f>
        <v>-0.0229381261744927</v>
      </c>
      <c r="P102" s="10" t="n">
        <f aca="false">IF(INDEX(Results_Long!$L:$L,$F102)="","NA",INDEX(Results_Long!$L:$L,$F102))</f>
        <v>0.0179556295187293</v>
      </c>
      <c r="Q102" s="11" t="n">
        <f aca="false">IF(INDEX(Results_Long!$M:$M,$F102)="","NA",INDEX(Results_Long!$M:$M,$F102))</f>
        <v>-3.26559252100799</v>
      </c>
      <c r="R102" s="12" t="n">
        <f aca="false">IF(INDEX(Results_Long!$N:$N,$F102)="","NA",INDEX(Results_Long!$N:$N,$F102))</f>
        <v>86.1677161089062</v>
      </c>
      <c r="S102" s="10" t="n">
        <f aca="false">IF(INDEX(Results_Long!$O:$O,$F102)="","NA",INDEX(Results_Long!$O:$O,$F102))</f>
        <v>0.00156842744780641</v>
      </c>
      <c r="T102" s="6" t="str">
        <f aca="false">IF(INDEX(Results_Long!$AG:$AG,$F102)="","NA",INDEX(Results_Long!$AG:$AG,$F102))</f>
        <v>NA</v>
      </c>
      <c r="U102" s="5" t="str">
        <f aca="false">IF(INDEX(Results_Long!$AJ:$AJ,$F102)="","NA",INDEX(Results_Long!$AJ:$AJ,$F102))</f>
        <v>cumulative 3L refit after adding study 'Du et al (2022)' (median sample_mid = 2016.00); ordering: study-wise median sample_mid, ties alphabetical [DEC-045/H-Q17]; full display (CI band)</v>
      </c>
    </row>
    <row r="103" customFormat="false" ht="35.05" hidden="false" customHeight="false" outlineLevel="0" collapsed="false">
      <c r="A103" s="6" t="s">
        <v>545</v>
      </c>
      <c r="B103" s="7" t="s">
        <v>277</v>
      </c>
      <c r="C103" s="7" t="s">
        <v>278</v>
      </c>
      <c r="D103" s="7" t="s">
        <v>546</v>
      </c>
      <c r="E103" s="7" t="s">
        <v>547</v>
      </c>
      <c r="F103" s="8" t="n">
        <f aca="false">SUMPRODUCT((Results_Long!$A$2:$A$178=$B103)*(Results_Long!$B$2:$B$178=$C103)*(Results_Long!$C$2:$C$178=$D103)*(Results_Long!$D$2:$D$178=$E103)*ROW(Results_Long!$A$2:$A$178))</f>
        <v>117</v>
      </c>
      <c r="G103" s="9" t="n">
        <f aca="false">IF(INDEX(Results_Long!$H:$H,$F103)="","NA",INDEX(Results_Long!$H:$H,$F103))</f>
        <v>2086</v>
      </c>
      <c r="H103" s="9" t="n">
        <f aca="false">IF(INDEX(Results_Long!$I:$I,$F103)="","NA",INDEX(Results_Long!$I:$I,$F103))</f>
        <v>90</v>
      </c>
      <c r="I103" s="9" t="n">
        <f aca="false">IF(INDEX(Results_Long!$J:$J,$F103)="","NA",INDEX(Results_Long!$J:$J,$F103))</f>
        <v>89</v>
      </c>
      <c r="J103" s="10" t="n">
        <f aca="false">IF(INDEX(Results_Long!$K:$K,$F103)="","NA",INDEX(Results_Long!$K:$K,$F103))</f>
        <v>-0.0589034583848358</v>
      </c>
      <c r="K103" s="10" t="n">
        <f aca="false">IF(INDEX(Results_Long!$P:$P,$F103)="","NA",INDEX(Results_Long!$P:$P,$F103))</f>
        <v>-0.0941394964429097</v>
      </c>
      <c r="L103" s="10" t="n">
        <f aca="false">IF(INDEX(Results_Long!$Q:$Q,$F103)="","NA",INDEX(Results_Long!$Q:$Q,$F103))</f>
        <v>-0.0236674203267619</v>
      </c>
      <c r="M103" s="10" t="n">
        <f aca="false">IF(INDEX(Results_Long!$T:$T,$F103)="","NA",INDEX(Results_Long!$T:$T,$F103))</f>
        <v>-0.0588354286432454</v>
      </c>
      <c r="N103" s="10" t="n">
        <f aca="false">IF(INDEX(Results_Long!$U:$U,$F103)="","NA",INDEX(Results_Long!$U:$U,$F103))</f>
        <v>-0.0938623829864068</v>
      </c>
      <c r="O103" s="10" t="n">
        <f aca="false">IF(INDEX(Results_Long!$V:$V,$F103)="","NA",INDEX(Results_Long!$V:$V,$F103))</f>
        <v>-0.0236630022402022</v>
      </c>
      <c r="P103" s="10" t="n">
        <f aca="false">IF(INDEX(Results_Long!$L:$L,$F103)="","NA",INDEX(Results_Long!$L:$L,$F103))</f>
        <v>0.0177282912264483</v>
      </c>
      <c r="Q103" s="11" t="n">
        <f aca="false">IF(INDEX(Results_Long!$M:$M,$F103)="","NA",INDEX(Results_Long!$M:$M,$F103))</f>
        <v>-3.32256829676621</v>
      </c>
      <c r="R103" s="12" t="n">
        <f aca="false">IF(INDEX(Results_Long!$N:$N,$F103)="","NA",INDEX(Results_Long!$N:$N,$F103))</f>
        <v>87.150928258731</v>
      </c>
      <c r="S103" s="10" t="n">
        <f aca="false">IF(INDEX(Results_Long!$O:$O,$F103)="","NA",INDEX(Results_Long!$O:$O,$F103))</f>
        <v>0.00130506165990772</v>
      </c>
      <c r="T103" s="6" t="str">
        <f aca="false">IF(INDEX(Results_Long!$AG:$AG,$F103)="","NA",INDEX(Results_Long!$AG:$AG,$F103))</f>
        <v>NA</v>
      </c>
      <c r="U103" s="5" t="str">
        <f aca="false">IF(INDEX(Results_Long!$AJ:$AJ,$F103)="","NA",INDEX(Results_Long!$AJ:$AJ,$F103))</f>
        <v>cumulative 3L refit after adding study 'Tan et al (2021)' (median sample_mid = 2016.00); ordering: study-wise median sample_mid, ties alphabetical [DEC-045/H-Q17]; full display (CI band)</v>
      </c>
    </row>
    <row r="104" customFormat="false" ht="35.05" hidden="false" customHeight="false" outlineLevel="0" collapsed="false">
      <c r="A104" s="6" t="s">
        <v>548</v>
      </c>
      <c r="B104" s="7" t="s">
        <v>277</v>
      </c>
      <c r="C104" s="7" t="s">
        <v>278</v>
      </c>
      <c r="D104" s="7" t="s">
        <v>549</v>
      </c>
      <c r="E104" s="7" t="s">
        <v>550</v>
      </c>
      <c r="F104" s="8" t="n">
        <f aca="false">SUMPRODUCT((Results_Long!$A$2:$A$178=$B104)*(Results_Long!$B$2:$B$178=$C104)*(Results_Long!$C$2:$C$178=$D104)*(Results_Long!$D$2:$D$178=$E104)*ROW(Results_Long!$A$2:$A$178))</f>
        <v>118</v>
      </c>
      <c r="G104" s="9" t="n">
        <f aca="false">IF(INDEX(Results_Long!$H:$H,$F104)="","NA",INDEX(Results_Long!$H:$H,$F104))</f>
        <v>2087</v>
      </c>
      <c r="H104" s="9" t="n">
        <f aca="false">IF(INDEX(Results_Long!$I:$I,$F104)="","NA",INDEX(Results_Long!$I:$I,$F104))</f>
        <v>91</v>
      </c>
      <c r="I104" s="9" t="n">
        <f aca="false">IF(INDEX(Results_Long!$J:$J,$F104)="","NA",INDEX(Results_Long!$J:$J,$F104))</f>
        <v>90</v>
      </c>
      <c r="J104" s="10" t="n">
        <f aca="false">IF(INDEX(Results_Long!$K:$K,$F104)="","NA",INDEX(Results_Long!$K:$K,$F104))</f>
        <v>-0.058707853235752</v>
      </c>
      <c r="K104" s="10" t="n">
        <f aca="false">IF(INDEX(Results_Long!$P:$P,$F104)="","NA",INDEX(Results_Long!$P:$P,$F104))</f>
        <v>-0.0936085209615052</v>
      </c>
      <c r="L104" s="10" t="n">
        <f aca="false">IF(INDEX(Results_Long!$Q:$Q,$F104)="","NA",INDEX(Results_Long!$Q:$Q,$F104))</f>
        <v>-0.0238071855099988</v>
      </c>
      <c r="M104" s="10" t="n">
        <f aca="false">IF(INDEX(Results_Long!$T:$T,$F104)="","NA",INDEX(Results_Long!$T:$T,$F104))</f>
        <v>-0.0586404983615731</v>
      </c>
      <c r="N104" s="10" t="n">
        <f aca="false">IF(INDEX(Results_Long!$U:$U,$F104)="","NA",INDEX(Results_Long!$U:$U,$F104))</f>
        <v>-0.0933360592952294</v>
      </c>
      <c r="O104" s="10" t="n">
        <f aca="false">IF(INDEX(Results_Long!$V:$V,$F104)="","NA",INDEX(Results_Long!$V:$V,$F104))</f>
        <v>-0.0238026887007578</v>
      </c>
      <c r="P104" s="10" t="n">
        <f aca="false">IF(INDEX(Results_Long!$L:$L,$F104)="","NA",INDEX(Results_Long!$L:$L,$F104))</f>
        <v>0.0175620640490028</v>
      </c>
      <c r="Q104" s="11" t="n">
        <f aca="false">IF(INDEX(Results_Long!$M:$M,$F104)="","NA",INDEX(Results_Long!$M:$M,$F104))</f>
        <v>-3.34287889350258</v>
      </c>
      <c r="R104" s="12" t="n">
        <f aca="false">IF(INDEX(Results_Long!$N:$N,$F104)="","NA",INDEX(Results_Long!$N:$N,$F104))</f>
        <v>88.0441939630955</v>
      </c>
      <c r="S104" s="10" t="n">
        <f aca="false">IF(INDEX(Results_Long!$O:$O,$F104)="","NA",INDEX(Results_Long!$O:$O,$F104))</f>
        <v>0.00121887861436874</v>
      </c>
      <c r="T104" s="6" t="str">
        <f aca="false">IF(INDEX(Results_Long!$AG:$AG,$F104)="","NA",INDEX(Results_Long!$AG:$AG,$F104))</f>
        <v>NA</v>
      </c>
      <c r="U104" s="5" t="str">
        <f aca="false">IF(INDEX(Results_Long!$AJ:$AJ,$F104)="","NA",INDEX(Results_Long!$AJ:$AJ,$F104))</f>
        <v>cumulative 3L refit after adding study 'Wang et al (2022a)' (median sample_mid = 2016.00); ordering: study-wise median sample_mid, ties alphabetical [DEC-045/H-Q17]; full display (CI band)</v>
      </c>
    </row>
    <row r="105" customFormat="false" ht="35.05" hidden="false" customHeight="false" outlineLevel="0" collapsed="false">
      <c r="A105" s="6" t="s">
        <v>551</v>
      </c>
      <c r="B105" s="7" t="s">
        <v>277</v>
      </c>
      <c r="C105" s="7" t="s">
        <v>278</v>
      </c>
      <c r="D105" s="7" t="s">
        <v>552</v>
      </c>
      <c r="E105" s="7" t="s">
        <v>553</v>
      </c>
      <c r="F105" s="8" t="n">
        <f aca="false">SUMPRODUCT((Results_Long!$A$2:$A$178=$B105)*(Results_Long!$B$2:$B$178=$C105)*(Results_Long!$C$2:$C$178=$D105)*(Results_Long!$D$2:$D$178=$E105)*ROW(Results_Long!$A$2:$A$178))</f>
        <v>119</v>
      </c>
      <c r="G105" s="9" t="n">
        <f aca="false">IF(INDEX(Results_Long!$H:$H,$F105)="","NA",INDEX(Results_Long!$H:$H,$F105))</f>
        <v>2116</v>
      </c>
      <c r="H105" s="9" t="n">
        <f aca="false">IF(INDEX(Results_Long!$I:$I,$F105)="","NA",INDEX(Results_Long!$I:$I,$F105))</f>
        <v>92</v>
      </c>
      <c r="I105" s="9" t="n">
        <f aca="false">IF(INDEX(Results_Long!$J:$J,$F105)="","NA",INDEX(Results_Long!$J:$J,$F105))</f>
        <v>91</v>
      </c>
      <c r="J105" s="10" t="n">
        <f aca="false">IF(INDEX(Results_Long!$K:$K,$F105)="","NA",INDEX(Results_Long!$K:$K,$F105))</f>
        <v>-0.0585742370256638</v>
      </c>
      <c r="K105" s="10" t="n">
        <f aca="false">IF(INDEX(Results_Long!$P:$P,$F105)="","NA",INDEX(Results_Long!$P:$P,$F105))</f>
        <v>-0.0930676256144191</v>
      </c>
      <c r="L105" s="10" t="n">
        <f aca="false">IF(INDEX(Results_Long!$Q:$Q,$F105)="","NA",INDEX(Results_Long!$Q:$Q,$F105))</f>
        <v>-0.0240808484369085</v>
      </c>
      <c r="M105" s="10" t="n">
        <f aca="false">IF(INDEX(Results_Long!$T:$T,$F105)="","NA",INDEX(Results_Long!$T:$T,$F105))</f>
        <v>-0.0585073405760804</v>
      </c>
      <c r="N105" s="10" t="n">
        <f aca="false">IF(INDEX(Results_Long!$U:$U,$F105)="","NA",INDEX(Results_Long!$U:$U,$F105))</f>
        <v>-0.0927998490045423</v>
      </c>
      <c r="O105" s="10" t="n">
        <f aca="false">IF(INDEX(Results_Long!$V:$V,$F105)="","NA",INDEX(Results_Long!$V:$V,$F105))</f>
        <v>-0.0240761947905905</v>
      </c>
      <c r="P105" s="10" t="n">
        <f aca="false">IF(INDEX(Results_Long!$L:$L,$F105)="","NA",INDEX(Results_Long!$L:$L,$F105))</f>
        <v>0.0173598209490168</v>
      </c>
      <c r="Q105" s="11" t="n">
        <f aca="false">IF(INDEX(Results_Long!$M:$M,$F105)="","NA",INDEX(Results_Long!$M:$M,$F105))</f>
        <v>-3.37412679529861</v>
      </c>
      <c r="R105" s="12" t="n">
        <f aca="false">IF(INDEX(Results_Long!$N:$N,$F105)="","NA",INDEX(Results_Long!$N:$N,$F105))</f>
        <v>89.038566354743</v>
      </c>
      <c r="S105" s="10" t="n">
        <f aca="false">IF(INDEX(Results_Long!$O:$O,$F105)="","NA",INDEX(Results_Long!$O:$O,$F105))</f>
        <v>0.00109824627567228</v>
      </c>
      <c r="T105" s="6" t="str">
        <f aca="false">IF(INDEX(Results_Long!$AG:$AG,$F105)="","NA",INDEX(Results_Long!$AG:$AG,$F105))</f>
        <v>NA</v>
      </c>
      <c r="U105" s="5" t="str">
        <f aca="false">IF(INDEX(Results_Long!$AJ:$AJ,$F105)="","NA",INDEX(Results_Long!$AJ:$AJ,$F105))</f>
        <v>cumulative 3L refit after adding study 'Lin et al (2025)' (median sample_mid = 2017.00); ordering: study-wise median sample_mid, ties alphabetical [DEC-045/H-Q17]; full display (CI band)</v>
      </c>
    </row>
    <row r="106" customFormat="false" ht="35.05" hidden="false" customHeight="false" outlineLevel="0" collapsed="false">
      <c r="A106" s="6" t="s">
        <v>554</v>
      </c>
      <c r="B106" s="7" t="s">
        <v>277</v>
      </c>
      <c r="C106" s="7" t="s">
        <v>278</v>
      </c>
      <c r="D106" s="7" t="s">
        <v>555</v>
      </c>
      <c r="E106" s="7" t="s">
        <v>556</v>
      </c>
      <c r="F106" s="8" t="n">
        <f aca="false">SUMPRODUCT((Results_Long!$A$2:$A$178=$B106)*(Results_Long!$B$2:$B$178=$C106)*(Results_Long!$C$2:$C$178=$D106)*(Results_Long!$D$2:$D$178=$E106)*ROW(Results_Long!$A$2:$A$178))</f>
        <v>120</v>
      </c>
      <c r="G106" s="9" t="n">
        <f aca="false">IF(INDEX(Results_Long!$H:$H,$F106)="","NA",INDEX(Results_Long!$H:$H,$F106))</f>
        <v>2126</v>
      </c>
      <c r="H106" s="9" t="n">
        <f aca="false">IF(INDEX(Results_Long!$I:$I,$F106)="","NA",INDEX(Results_Long!$I:$I,$F106))</f>
        <v>93</v>
      </c>
      <c r="I106" s="9" t="n">
        <f aca="false">IF(INDEX(Results_Long!$J:$J,$F106)="","NA",INDEX(Results_Long!$J:$J,$F106))</f>
        <v>92</v>
      </c>
      <c r="J106" s="10" t="n">
        <f aca="false">IF(INDEX(Results_Long!$K:$K,$F106)="","NA",INDEX(Results_Long!$K:$K,$F106))</f>
        <v>-0.0582575296015761</v>
      </c>
      <c r="K106" s="10" t="n">
        <f aca="false">IF(INDEX(Results_Long!$P:$P,$F106)="","NA",INDEX(Results_Long!$P:$P,$F106))</f>
        <v>-0.0923146578957997</v>
      </c>
      <c r="L106" s="10" t="n">
        <f aca="false">IF(INDEX(Results_Long!$Q:$Q,$F106)="","NA",INDEX(Results_Long!$Q:$Q,$F106))</f>
        <v>-0.0242004013073525</v>
      </c>
      <c r="M106" s="10" t="n">
        <f aca="false">IF(INDEX(Results_Long!$T:$T,$F106)="","NA",INDEX(Results_Long!$T:$T,$F106))</f>
        <v>-0.058191711438032</v>
      </c>
      <c r="N106" s="10" t="n">
        <f aca="false">IF(INDEX(Results_Long!$U:$U,$F106)="","NA",INDEX(Results_Long!$U:$U,$F106))</f>
        <v>-0.0920533136790517</v>
      </c>
      <c r="O106" s="10" t="n">
        <f aca="false">IF(INDEX(Results_Long!$V:$V,$F106)="","NA",INDEX(Results_Long!$V:$V,$F106))</f>
        <v>-0.0241956780161532</v>
      </c>
      <c r="P106" s="10" t="n">
        <f aca="false">IF(INDEX(Results_Long!$L:$L,$F106)="","NA",INDEX(Results_Long!$L:$L,$F106))</f>
        <v>0.0171428390760739</v>
      </c>
      <c r="Q106" s="11" t="n">
        <f aca="false">IF(INDEX(Results_Long!$M:$M,$F106)="","NA",INDEX(Results_Long!$M:$M,$F106))</f>
        <v>-3.39835947494168</v>
      </c>
      <c r="R106" s="12" t="n">
        <f aca="false">IF(INDEX(Results_Long!$N:$N,$F106)="","NA",INDEX(Results_Long!$N:$N,$F106))</f>
        <v>90.0220508376261</v>
      </c>
      <c r="S106" s="10" t="n">
        <f aca="false">IF(INDEX(Results_Long!$O:$O,$F106)="","NA",INDEX(Results_Long!$O:$O,$F106))</f>
        <v>0.00101155134405808</v>
      </c>
      <c r="T106" s="6" t="str">
        <f aca="false">IF(INDEX(Results_Long!$AG:$AG,$F106)="","NA",INDEX(Results_Long!$AG:$AG,$F106))</f>
        <v>NA</v>
      </c>
      <c r="U106" s="5" t="str">
        <f aca="false">IF(INDEX(Results_Long!$AJ:$AJ,$F106)="","NA",INDEX(Results_Long!$AJ:$AJ,$F106))</f>
        <v>cumulative 3L refit after adding study 'Liu et al (2023)' (median sample_mid = 2017.00); ordering: study-wise median sample_mid, ties alphabetical [DEC-045/H-Q17]; full display (CI band)</v>
      </c>
    </row>
    <row r="107" customFormat="false" ht="35.05" hidden="false" customHeight="false" outlineLevel="0" collapsed="false">
      <c r="A107" s="6" t="s">
        <v>557</v>
      </c>
      <c r="B107" s="7" t="s">
        <v>277</v>
      </c>
      <c r="C107" s="7" t="s">
        <v>278</v>
      </c>
      <c r="D107" s="7" t="s">
        <v>558</v>
      </c>
      <c r="E107" s="7" t="s">
        <v>559</v>
      </c>
      <c r="F107" s="8" t="n">
        <f aca="false">SUMPRODUCT((Results_Long!$A$2:$A$178=$B107)*(Results_Long!$B$2:$B$178=$C107)*(Results_Long!$C$2:$C$178=$D107)*(Results_Long!$D$2:$D$178=$E107)*ROW(Results_Long!$A$2:$A$178))</f>
        <v>121</v>
      </c>
      <c r="G107" s="9" t="n">
        <f aca="false">IF(INDEX(Results_Long!$H:$H,$F107)="","NA",INDEX(Results_Long!$H:$H,$F107))</f>
        <v>2131</v>
      </c>
      <c r="H107" s="9" t="n">
        <f aca="false">IF(INDEX(Results_Long!$I:$I,$F107)="","NA",INDEX(Results_Long!$I:$I,$F107))</f>
        <v>94</v>
      </c>
      <c r="I107" s="9" t="n">
        <f aca="false">IF(INDEX(Results_Long!$J:$J,$F107)="","NA",INDEX(Results_Long!$J:$J,$F107))</f>
        <v>93</v>
      </c>
      <c r="J107" s="10" t="n">
        <f aca="false">IF(INDEX(Results_Long!$K:$K,$F107)="","NA",INDEX(Results_Long!$K:$K,$F107))</f>
        <v>-0.059317267509403</v>
      </c>
      <c r="K107" s="10" t="n">
        <f aca="false">IF(INDEX(Results_Long!$P:$P,$F107)="","NA",INDEX(Results_Long!$P:$P,$F107))</f>
        <v>-0.093080942074972</v>
      </c>
      <c r="L107" s="10" t="n">
        <f aca="false">IF(INDEX(Results_Long!$Q:$Q,$F107)="","NA",INDEX(Results_Long!$Q:$Q,$F107))</f>
        <v>-0.025553592943834</v>
      </c>
      <c r="M107" s="10" t="n">
        <f aca="false">IF(INDEX(Results_Long!$T:$T,$F107)="","NA",INDEX(Results_Long!$T:$T,$F107))</f>
        <v>-0.0592477952596977</v>
      </c>
      <c r="N107" s="10" t="n">
        <f aca="false">IF(INDEX(Results_Long!$U:$U,$F107)="","NA",INDEX(Results_Long!$U:$U,$F107))</f>
        <v>-0.0928130507699257</v>
      </c>
      <c r="O107" s="10" t="n">
        <f aca="false">IF(INDEX(Results_Long!$V:$V,$F107)="","NA",INDEX(Results_Long!$V:$V,$F107))</f>
        <v>-0.0255480323491217</v>
      </c>
      <c r="P107" s="10" t="n">
        <f aca="false">IF(INDEX(Results_Long!$L:$L,$F107)="","NA",INDEX(Results_Long!$L:$L,$F107))</f>
        <v>0.0169976198155446</v>
      </c>
      <c r="Q107" s="11" t="n">
        <f aca="false">IF(INDEX(Results_Long!$M:$M,$F107)="","NA",INDEX(Results_Long!$M:$M,$F107))</f>
        <v>-3.48973963137807</v>
      </c>
      <c r="R107" s="12" t="n">
        <f aca="false">IF(INDEX(Results_Long!$N:$N,$F107)="","NA",INDEX(Results_Long!$N:$N,$F107))</f>
        <v>91.001823658509</v>
      </c>
      <c r="S107" s="10" t="n">
        <f aca="false">IF(INDEX(Results_Long!$O:$O,$F107)="","NA",INDEX(Results_Long!$O:$O,$F107))</f>
        <v>0.000747386118006695</v>
      </c>
      <c r="T107" s="6" t="str">
        <f aca="false">IF(INDEX(Results_Long!$AG:$AG,$F107)="","NA",INDEX(Results_Long!$AG:$AG,$F107))</f>
        <v>NA</v>
      </c>
      <c r="U107" s="5" t="str">
        <f aca="false">IF(INDEX(Results_Long!$AJ:$AJ,$F107)="","NA",INDEX(Results_Long!$AJ:$AJ,$F107))</f>
        <v>cumulative 3L refit after adding study 'Nasih et al (2024)' (median sample_mid = 2017.00); ordering: study-wise median sample_mid, ties alphabetical [DEC-045/H-Q17]; full display (CI band)</v>
      </c>
    </row>
    <row r="108" customFormat="false" ht="35.05" hidden="false" customHeight="false" outlineLevel="0" collapsed="false">
      <c r="A108" s="6" t="s">
        <v>560</v>
      </c>
      <c r="B108" s="7" t="s">
        <v>277</v>
      </c>
      <c r="C108" s="7" t="s">
        <v>278</v>
      </c>
      <c r="D108" s="7" t="s">
        <v>561</v>
      </c>
      <c r="E108" s="7" t="s">
        <v>562</v>
      </c>
      <c r="F108" s="8" t="n">
        <f aca="false">SUMPRODUCT((Results_Long!$A$2:$A$178=$B108)*(Results_Long!$B$2:$B$178=$C108)*(Results_Long!$C$2:$C$178=$D108)*(Results_Long!$D$2:$D$178=$E108)*ROW(Results_Long!$A$2:$A$178))</f>
        <v>122</v>
      </c>
      <c r="G108" s="9" t="n">
        <f aca="false">IF(INDEX(Results_Long!$H:$H,$F108)="","NA",INDEX(Results_Long!$H:$H,$F108))</f>
        <v>2137</v>
      </c>
      <c r="H108" s="9" t="n">
        <f aca="false">IF(INDEX(Results_Long!$I:$I,$F108)="","NA",INDEX(Results_Long!$I:$I,$F108))</f>
        <v>95</v>
      </c>
      <c r="I108" s="9" t="n">
        <f aca="false">IF(INDEX(Results_Long!$J:$J,$F108)="","NA",INDEX(Results_Long!$J:$J,$F108))</f>
        <v>94</v>
      </c>
      <c r="J108" s="10" t="n">
        <f aca="false">IF(INDEX(Results_Long!$K:$K,$F108)="","NA",INDEX(Results_Long!$K:$K,$F108))</f>
        <v>-0.0600773123005149</v>
      </c>
      <c r="K108" s="10" t="n">
        <f aca="false">IF(INDEX(Results_Long!$P:$P,$F108)="","NA",INDEX(Results_Long!$P:$P,$F108))</f>
        <v>-0.0935035053018121</v>
      </c>
      <c r="L108" s="10" t="n">
        <f aca="false">IF(INDEX(Results_Long!$Q:$Q,$F108)="","NA",INDEX(Results_Long!$Q:$Q,$F108))</f>
        <v>-0.0266511192992178</v>
      </c>
      <c r="M108" s="10" t="n">
        <f aca="false">IF(INDEX(Results_Long!$T:$T,$F108)="","NA",INDEX(Results_Long!$T:$T,$F108))</f>
        <v>-0.0600051378149276</v>
      </c>
      <c r="N108" s="10" t="n">
        <f aca="false">IF(INDEX(Results_Long!$U:$U,$F108)="","NA",INDEX(Results_Long!$U:$U,$F108))</f>
        <v>-0.0932319574720568</v>
      </c>
      <c r="O108" s="10" t="n">
        <f aca="false">IF(INDEX(Results_Long!$V:$V,$F108)="","NA",INDEX(Results_Long!$V:$V,$F108))</f>
        <v>-0.0266448111532439</v>
      </c>
      <c r="P108" s="10" t="n">
        <f aca="false">IF(INDEX(Results_Long!$L:$L,$F108)="","NA",INDEX(Results_Long!$L:$L,$F108))</f>
        <v>0.0168301385370097</v>
      </c>
      <c r="Q108" s="11" t="n">
        <f aca="false">IF(INDEX(Results_Long!$M:$M,$F108)="","NA",INDEX(Results_Long!$M:$M,$F108))</f>
        <v>-3.56962672460503</v>
      </c>
      <c r="R108" s="12" t="n">
        <f aca="false">IF(INDEX(Results_Long!$N:$N,$F108)="","NA",INDEX(Results_Long!$N:$N,$F108))</f>
        <v>91.9824157968514</v>
      </c>
      <c r="S108" s="10" t="n">
        <f aca="false">IF(INDEX(Results_Long!$O:$O,$F108)="","NA",INDEX(Results_Long!$O:$O,$F108))</f>
        <v>0.000570594354242623</v>
      </c>
      <c r="T108" s="6" t="str">
        <f aca="false">IF(INDEX(Results_Long!$AG:$AG,$F108)="","NA",INDEX(Results_Long!$AG:$AG,$F108))</f>
        <v>NA</v>
      </c>
      <c r="U108" s="5" t="str">
        <f aca="false">IF(INDEX(Results_Long!$AJ:$AJ,$F108)="","NA",INDEX(Results_Long!$AJ:$AJ,$F108))</f>
        <v>cumulative 3L refit after adding study 'Ratajczak &amp; Mikolajewicz (2021)' (median sample_mid = 2017.00); ordering: study-wise median sample_mid, ties alphabetical [DEC-045/H-Q17]; full display (CI band)</v>
      </c>
    </row>
    <row r="109" customFormat="false" ht="35.05" hidden="false" customHeight="false" outlineLevel="0" collapsed="false">
      <c r="A109" s="6" t="s">
        <v>563</v>
      </c>
      <c r="B109" s="7" t="s">
        <v>277</v>
      </c>
      <c r="C109" s="7" t="s">
        <v>278</v>
      </c>
      <c r="D109" s="7" t="s">
        <v>564</v>
      </c>
      <c r="E109" s="7" t="s">
        <v>565</v>
      </c>
      <c r="F109" s="8" t="n">
        <f aca="false">SUMPRODUCT((Results_Long!$A$2:$A$178=$B109)*(Results_Long!$B$2:$B$178=$C109)*(Results_Long!$C$2:$C$178=$D109)*(Results_Long!$D$2:$D$178=$E109)*ROW(Results_Long!$A$2:$A$178))</f>
        <v>123</v>
      </c>
      <c r="G109" s="9" t="n">
        <f aca="false">IF(INDEX(Results_Long!$H:$H,$F109)="","NA",INDEX(Results_Long!$H:$H,$F109))</f>
        <v>2162</v>
      </c>
      <c r="H109" s="9" t="n">
        <f aca="false">IF(INDEX(Results_Long!$I:$I,$F109)="","NA",INDEX(Results_Long!$I:$I,$F109))</f>
        <v>96</v>
      </c>
      <c r="I109" s="9" t="n">
        <f aca="false">IF(INDEX(Results_Long!$J:$J,$F109)="","NA",INDEX(Results_Long!$J:$J,$F109))</f>
        <v>95</v>
      </c>
      <c r="J109" s="10" t="n">
        <f aca="false">IF(INDEX(Results_Long!$K:$K,$F109)="","NA",INDEX(Results_Long!$K:$K,$F109))</f>
        <v>-0.0596298005827161</v>
      </c>
      <c r="K109" s="10" t="n">
        <f aca="false">IF(INDEX(Results_Long!$P:$P,$F109)="","NA",INDEX(Results_Long!$P:$P,$F109))</f>
        <v>-0.0926945028391614</v>
      </c>
      <c r="L109" s="10" t="n">
        <f aca="false">IF(INDEX(Results_Long!$Q:$Q,$F109)="","NA",INDEX(Results_Long!$Q:$Q,$F109))</f>
        <v>-0.0265650983262708</v>
      </c>
      <c r="M109" s="10" t="n">
        <f aca="false">IF(INDEX(Results_Long!$T:$T,$F109)="","NA",INDEX(Results_Long!$T:$T,$F109))</f>
        <v>-0.0595592254709145</v>
      </c>
      <c r="N109" s="10" t="n">
        <f aca="false">IF(INDEX(Results_Long!$U:$U,$F109)="","NA",INDEX(Results_Long!$U:$U,$F109))</f>
        <v>-0.0924299267008033</v>
      </c>
      <c r="O109" s="10" t="n">
        <f aca="false">IF(INDEX(Results_Long!$V:$V,$F109)="","NA",INDEX(Results_Long!$V:$V,$F109))</f>
        <v>-0.0265588510537297</v>
      </c>
      <c r="P109" s="10" t="n">
        <f aca="false">IF(INDEX(Results_Long!$L:$L,$F109)="","NA",INDEX(Results_Long!$L:$L,$F109))</f>
        <v>0.0166505013046912</v>
      </c>
      <c r="Q109" s="11" t="n">
        <f aca="false">IF(INDEX(Results_Long!$M:$M,$F109)="","NA",INDEX(Results_Long!$M:$M,$F109))</f>
        <v>-3.58126157834754</v>
      </c>
      <c r="R109" s="12" t="n">
        <f aca="false">IF(INDEX(Results_Long!$N:$N,$F109)="","NA",INDEX(Results_Long!$N:$N,$F109))</f>
        <v>92.9772641181607</v>
      </c>
      <c r="S109" s="10" t="n">
        <f aca="false">IF(INDEX(Results_Long!$O:$O,$F109)="","NA",INDEX(Results_Long!$O:$O,$F109))</f>
        <v>0.000546216362988665</v>
      </c>
      <c r="T109" s="6" t="str">
        <f aca="false">IF(INDEX(Results_Long!$AG:$AG,$F109)="","NA",INDEX(Results_Long!$AG:$AG,$F109))</f>
        <v>NA</v>
      </c>
      <c r="U109" s="5" t="str">
        <f aca="false">IF(INDEX(Results_Long!$AJ:$AJ,$F109)="","NA",INDEX(Results_Long!$AJ:$AJ,$F109))</f>
        <v>cumulative 3L refit after adding study 'Tan et al (2026)' (median sample_mid = 2017.00); ordering: study-wise median sample_mid, ties alphabetical [DEC-045/H-Q17]; full display (CI band)</v>
      </c>
    </row>
    <row r="110" customFormat="false" ht="35.05" hidden="false" customHeight="false" outlineLevel="0" collapsed="false">
      <c r="A110" s="6" t="s">
        <v>566</v>
      </c>
      <c r="B110" s="7" t="s">
        <v>277</v>
      </c>
      <c r="C110" s="7" t="s">
        <v>278</v>
      </c>
      <c r="D110" s="7" t="s">
        <v>567</v>
      </c>
      <c r="E110" s="7" t="s">
        <v>568</v>
      </c>
      <c r="F110" s="8" t="n">
        <f aca="false">SUMPRODUCT((Results_Long!$A$2:$A$178=$B110)*(Results_Long!$B$2:$B$178=$C110)*(Results_Long!$C$2:$C$178=$D110)*(Results_Long!$D$2:$D$178=$E110)*ROW(Results_Long!$A$2:$A$178))</f>
        <v>124</v>
      </c>
      <c r="G110" s="9" t="n">
        <f aca="false">IF(INDEX(Results_Long!$H:$H,$F110)="","NA",INDEX(Results_Long!$H:$H,$F110))</f>
        <v>2175</v>
      </c>
      <c r="H110" s="9" t="n">
        <f aca="false">IF(INDEX(Results_Long!$I:$I,$F110)="","NA",INDEX(Results_Long!$I:$I,$F110))</f>
        <v>97</v>
      </c>
      <c r="I110" s="9" t="n">
        <f aca="false">IF(INDEX(Results_Long!$J:$J,$F110)="","NA",INDEX(Results_Long!$J:$J,$F110))</f>
        <v>96</v>
      </c>
      <c r="J110" s="10" t="n">
        <f aca="false">IF(INDEX(Results_Long!$K:$K,$F110)="","NA",INDEX(Results_Long!$K:$K,$F110))</f>
        <v>-0.0595146256511814</v>
      </c>
      <c r="K110" s="10" t="n">
        <f aca="false">IF(INDEX(Results_Long!$P:$P,$F110)="","NA",INDEX(Results_Long!$P:$P,$F110))</f>
        <v>-0.0921791600278267</v>
      </c>
      <c r="L110" s="10" t="n">
        <f aca="false">IF(INDEX(Results_Long!$Q:$Q,$F110)="","NA",INDEX(Results_Long!$Q:$Q,$F110))</f>
        <v>-0.0268500912745361</v>
      </c>
      <c r="M110" s="10" t="n">
        <f aca="false">IF(INDEX(Results_Long!$T:$T,$F110)="","NA",INDEX(Results_Long!$T:$T,$F110))</f>
        <v>-0.0594444583128044</v>
      </c>
      <c r="N110" s="10" t="n">
        <f aca="false">IF(INDEX(Results_Long!$U:$U,$F110)="","NA",INDEX(Results_Long!$U:$U,$F110))</f>
        <v>-0.091918962319668</v>
      </c>
      <c r="O110" s="10" t="n">
        <f aca="false">IF(INDEX(Results_Long!$V:$V,$F110)="","NA",INDEX(Results_Long!$V:$V,$F110))</f>
        <v>-0.0268436408124786</v>
      </c>
      <c r="P110" s="10" t="n">
        <f aca="false">IF(INDEX(Results_Long!$L:$L,$F110)="","NA",INDEX(Results_Long!$L:$L,$F110))</f>
        <v>0.0164512589620218</v>
      </c>
      <c r="Q110" s="11" t="n">
        <f aca="false">IF(INDEX(Results_Long!$M:$M,$F110)="","NA",INDEX(Results_Long!$M:$M,$F110))</f>
        <v>-3.61763350686853</v>
      </c>
      <c r="R110" s="12" t="n">
        <f aca="false">IF(INDEX(Results_Long!$N:$N,$F110)="","NA",INDEX(Results_Long!$N:$N,$F110))</f>
        <v>93.9615942394939</v>
      </c>
      <c r="S110" s="10" t="n">
        <f aca="false">IF(INDEX(Results_Long!$O:$O,$F110)="","NA",INDEX(Results_Long!$O:$O,$F110))</f>
        <v>0.000480925335406597</v>
      </c>
      <c r="T110" s="6" t="str">
        <f aca="false">IF(INDEX(Results_Long!$AG:$AG,$F110)="","NA",INDEX(Results_Long!$AG:$AG,$F110))</f>
        <v>NA</v>
      </c>
      <c r="U110" s="5" t="str">
        <f aca="false">IF(INDEX(Results_Long!$AJ:$AJ,$F110)="","NA",INDEX(Results_Long!$AJ:$AJ,$F110))</f>
        <v>cumulative 3L refit after adding study 'Temiz (2022)' (median sample_mid = 2017.00); ordering: study-wise median sample_mid, ties alphabetical [DEC-045/H-Q17]; full display (CI band)</v>
      </c>
    </row>
    <row r="111" customFormat="false" ht="35.05" hidden="false" customHeight="false" outlineLevel="0" collapsed="false">
      <c r="A111" s="6" t="s">
        <v>569</v>
      </c>
      <c r="B111" s="7" t="s">
        <v>277</v>
      </c>
      <c r="C111" s="7" t="s">
        <v>278</v>
      </c>
      <c r="D111" s="7" t="s">
        <v>570</v>
      </c>
      <c r="E111" s="7" t="s">
        <v>571</v>
      </c>
      <c r="F111" s="8" t="n">
        <f aca="false">SUMPRODUCT((Results_Long!$A$2:$A$178=$B111)*(Results_Long!$B$2:$B$178=$C111)*(Results_Long!$C$2:$C$178=$D111)*(Results_Long!$D$2:$D$178=$E111)*ROW(Results_Long!$A$2:$A$178))</f>
        <v>125</v>
      </c>
      <c r="G111" s="9" t="n">
        <f aca="false">IF(INDEX(Results_Long!$H:$H,$F111)="","NA",INDEX(Results_Long!$H:$H,$F111))</f>
        <v>2199</v>
      </c>
      <c r="H111" s="9" t="n">
        <f aca="false">IF(INDEX(Results_Long!$I:$I,$F111)="","NA",INDEX(Results_Long!$I:$I,$F111))</f>
        <v>98</v>
      </c>
      <c r="I111" s="9" t="n">
        <f aca="false">IF(INDEX(Results_Long!$J:$J,$F111)="","NA",INDEX(Results_Long!$J:$J,$F111))</f>
        <v>97</v>
      </c>
      <c r="J111" s="10" t="n">
        <f aca="false">IF(INDEX(Results_Long!$K:$K,$F111)="","NA",INDEX(Results_Long!$K:$K,$F111))</f>
        <v>-0.0594981424354119</v>
      </c>
      <c r="K111" s="10" t="n">
        <f aca="false">IF(INDEX(Results_Long!$P:$P,$F111)="","NA",INDEX(Results_Long!$P:$P,$F111))</f>
        <v>-0.0917858103309255</v>
      </c>
      <c r="L111" s="10" t="n">
        <f aca="false">IF(INDEX(Results_Long!$Q:$Q,$F111)="","NA",INDEX(Results_Long!$Q:$Q,$F111))</f>
        <v>-0.0272104745398983</v>
      </c>
      <c r="M111" s="10" t="n">
        <f aca="false">IF(INDEX(Results_Long!$T:$T,$F111)="","NA",INDEX(Results_Long!$T:$T,$F111))</f>
        <v>-0.0594280333267529</v>
      </c>
      <c r="N111" s="10" t="n">
        <f aca="false">IF(INDEX(Results_Long!$U:$U,$F111)="","NA",INDEX(Results_Long!$U:$U,$F111))</f>
        <v>-0.0915289219896761</v>
      </c>
      <c r="O111" s="10" t="n">
        <f aca="false">IF(INDEX(Results_Long!$V:$V,$F111)="","NA",INDEX(Results_Long!$V:$V,$F111))</f>
        <v>-0.0272037608930967</v>
      </c>
      <c r="P111" s="10" t="n">
        <f aca="false">IF(INDEX(Results_Long!$L:$L,$F111)="","NA",INDEX(Results_Long!$L:$L,$F111))</f>
        <v>0.0162636607612801</v>
      </c>
      <c r="Q111" s="11" t="n">
        <f aca="false">IF(INDEX(Results_Long!$M:$M,$F111)="","NA",INDEX(Results_Long!$M:$M,$F111))</f>
        <v>-3.65834871427365</v>
      </c>
      <c r="R111" s="12" t="n">
        <f aca="false">IF(INDEX(Results_Long!$N:$N,$F111)="","NA",INDEX(Results_Long!$N:$N,$F111))</f>
        <v>94.9500568067472</v>
      </c>
      <c r="S111" s="10" t="n">
        <f aca="false">IF(INDEX(Results_Long!$O:$O,$F111)="","NA",INDEX(Results_Long!$O:$O,$F111))</f>
        <v>0.000416770162980609</v>
      </c>
      <c r="T111" s="6" t="str">
        <f aca="false">IF(INDEX(Results_Long!$AG:$AG,$F111)="","NA",INDEX(Results_Long!$AG:$AG,$F111))</f>
        <v>NA</v>
      </c>
      <c r="U111" s="5" t="str">
        <f aca="false">IF(INDEX(Results_Long!$AJ:$AJ,$F111)="","NA",INDEX(Results_Long!$AJ:$AJ,$F111))</f>
        <v>cumulative 3L refit after adding study 'Wang et al (2025a)' (median sample_mid = 2017.00); ordering: study-wise median sample_mid, ties alphabetical [DEC-045/H-Q17]; full display (CI band)</v>
      </c>
    </row>
    <row r="112" customFormat="false" ht="35.05" hidden="false" customHeight="false" outlineLevel="0" collapsed="false">
      <c r="A112" s="6" t="s">
        <v>572</v>
      </c>
      <c r="B112" s="7" t="s">
        <v>277</v>
      </c>
      <c r="C112" s="7" t="s">
        <v>278</v>
      </c>
      <c r="D112" s="7" t="s">
        <v>573</v>
      </c>
      <c r="E112" s="7" t="s">
        <v>574</v>
      </c>
      <c r="F112" s="8" t="n">
        <f aca="false">SUMPRODUCT((Results_Long!$A$2:$A$178=$B112)*(Results_Long!$B$2:$B$178=$C112)*(Results_Long!$C$2:$C$178=$D112)*(Results_Long!$D$2:$D$178=$E112)*ROW(Results_Long!$A$2:$A$178))</f>
        <v>126</v>
      </c>
      <c r="G112" s="9" t="n">
        <f aca="false">IF(INDEX(Results_Long!$H:$H,$F112)="","NA",INDEX(Results_Long!$H:$H,$F112))</f>
        <v>2369</v>
      </c>
      <c r="H112" s="9" t="n">
        <f aca="false">IF(INDEX(Results_Long!$I:$I,$F112)="","NA",INDEX(Results_Long!$I:$I,$F112))</f>
        <v>99</v>
      </c>
      <c r="I112" s="9" t="n">
        <f aca="false">IF(INDEX(Results_Long!$J:$J,$F112)="","NA",INDEX(Results_Long!$J:$J,$F112))</f>
        <v>98</v>
      </c>
      <c r="J112" s="10" t="n">
        <f aca="false">IF(INDEX(Results_Long!$K:$K,$F112)="","NA",INDEX(Results_Long!$K:$K,$F112))</f>
        <v>-0.0589379015337317</v>
      </c>
      <c r="K112" s="10" t="n">
        <f aca="false">IF(INDEX(Results_Long!$P:$P,$F112)="","NA",INDEX(Results_Long!$P:$P,$F112))</f>
        <v>-0.0910077866106727</v>
      </c>
      <c r="L112" s="10" t="n">
        <f aca="false">IF(INDEX(Results_Long!$Q:$Q,$F112)="","NA",INDEX(Results_Long!$Q:$Q,$F112))</f>
        <v>-0.0268680164567906</v>
      </c>
      <c r="M112" s="10" t="n">
        <f aca="false">IF(INDEX(Results_Long!$T:$T,$F112)="","NA",INDEX(Results_Long!$T:$T,$F112))</f>
        <v>-0.058869752493903</v>
      </c>
      <c r="N112" s="10" t="n">
        <f aca="false">IF(INDEX(Results_Long!$U:$U,$F112)="","NA",INDEX(Results_Long!$U:$U,$F112))</f>
        <v>-0.0907573614085921</v>
      </c>
      <c r="O112" s="10" t="n">
        <f aca="false">IF(INDEX(Results_Long!$V:$V,$F112)="","NA",INDEX(Results_Long!$V:$V,$F112))</f>
        <v>-0.0268615530695655</v>
      </c>
      <c r="P112" s="10" t="n">
        <f aca="false">IF(INDEX(Results_Long!$L:$L,$F112)="","NA",INDEX(Results_Long!$L:$L,$F112))</f>
        <v>0.0161561903673193</v>
      </c>
      <c r="Q112" s="11" t="n">
        <f aca="false">IF(INDEX(Results_Long!$M:$M,$F112)="","NA",INDEX(Results_Long!$M:$M,$F112))</f>
        <v>-3.64800737016265</v>
      </c>
      <c r="R112" s="12" t="n">
        <f aca="false">IF(INDEX(Results_Long!$N:$N,$F112)="","NA",INDEX(Results_Long!$N:$N,$F112))</f>
        <v>95.9763940800941</v>
      </c>
      <c r="S112" s="10" t="n">
        <f aca="false">IF(INDEX(Results_Long!$O:$O,$F112)="","NA",INDEX(Results_Long!$O:$O,$F112))</f>
        <v>0.000429662068783375</v>
      </c>
      <c r="T112" s="6" t="str">
        <f aca="false">IF(INDEX(Results_Long!$AG:$AG,$F112)="","NA",INDEX(Results_Long!$AG:$AG,$F112))</f>
        <v>NA</v>
      </c>
      <c r="U112" s="5" t="str">
        <f aca="false">IF(INDEX(Results_Long!$AJ:$AJ,$F112)="","NA",INDEX(Results_Long!$AJ:$AJ,$F112))</f>
        <v>cumulative 3L refit after adding study 'Panjwani et al (2023)' (median sample_mid = 2017.50); ordering: study-wise median sample_mid, ties alphabetical [DEC-045/H-Q17]; full display (CI band)</v>
      </c>
    </row>
    <row r="113" customFormat="false" ht="35.05" hidden="false" customHeight="false" outlineLevel="0" collapsed="false">
      <c r="A113" s="6" t="s">
        <v>575</v>
      </c>
      <c r="B113" s="7" t="s">
        <v>277</v>
      </c>
      <c r="C113" s="7" t="s">
        <v>278</v>
      </c>
      <c r="D113" s="7" t="s">
        <v>576</v>
      </c>
      <c r="E113" s="7" t="s">
        <v>577</v>
      </c>
      <c r="F113" s="8" t="n">
        <f aca="false">SUMPRODUCT((Results_Long!$A$2:$A$178=$B113)*(Results_Long!$B$2:$B$178=$C113)*(Results_Long!$C$2:$C$178=$D113)*(Results_Long!$D$2:$D$178=$E113)*ROW(Results_Long!$A$2:$A$178))</f>
        <v>127</v>
      </c>
      <c r="G113" s="9" t="n">
        <f aca="false">IF(INDEX(Results_Long!$H:$H,$F113)="","NA",INDEX(Results_Long!$H:$H,$F113))</f>
        <v>2382</v>
      </c>
      <c r="H113" s="9" t="n">
        <f aca="false">IF(INDEX(Results_Long!$I:$I,$F113)="","NA",INDEX(Results_Long!$I:$I,$F113))</f>
        <v>100</v>
      </c>
      <c r="I113" s="9" t="n">
        <f aca="false">IF(INDEX(Results_Long!$J:$J,$F113)="","NA",INDEX(Results_Long!$J:$J,$F113))</f>
        <v>99</v>
      </c>
      <c r="J113" s="10" t="n">
        <f aca="false">IF(INDEX(Results_Long!$K:$K,$F113)="","NA",INDEX(Results_Long!$K:$K,$F113))</f>
        <v>-0.0595741512458866</v>
      </c>
      <c r="K113" s="10" t="n">
        <f aca="false">IF(INDEX(Results_Long!$P:$P,$F113)="","NA",INDEX(Results_Long!$P:$P,$F113))</f>
        <v>-0.0913122545378783</v>
      </c>
      <c r="L113" s="10" t="n">
        <f aca="false">IF(INDEX(Results_Long!$Q:$Q,$F113)="","NA",INDEX(Results_Long!$Q:$Q,$F113))</f>
        <v>-0.0278360479538949</v>
      </c>
      <c r="M113" s="10" t="n">
        <f aca="false">IF(INDEX(Results_Long!$T:$T,$F113)="","NA",INDEX(Results_Long!$T:$T,$F113))</f>
        <v>-0.059503773355317</v>
      </c>
      <c r="N113" s="10" t="n">
        <f aca="false">IF(INDEX(Results_Long!$U:$U,$F113)="","NA",INDEX(Results_Long!$U:$U,$F113))</f>
        <v>-0.0910593131112663</v>
      </c>
      <c r="O113" s="10" t="n">
        <f aca="false">IF(INDEX(Results_Long!$V:$V,$F113)="","NA",INDEX(Results_Long!$V:$V,$F113))</f>
        <v>-0.0278288606354036</v>
      </c>
      <c r="P113" s="10" t="n">
        <f aca="false">IF(INDEX(Results_Long!$L:$L,$F113)="","NA",INDEX(Results_Long!$L:$L,$F113))</f>
        <v>0.0159911222878452</v>
      </c>
      <c r="Q113" s="11" t="n">
        <f aca="false">IF(INDEX(Results_Long!$M:$M,$F113)="","NA",INDEX(Results_Long!$M:$M,$F113))</f>
        <v>-3.72545154577229</v>
      </c>
      <c r="R113" s="12" t="n">
        <f aca="false">IF(INDEX(Results_Long!$N:$N,$F113)="","NA",INDEX(Results_Long!$N:$N,$F113))</f>
        <v>96.9632007774675</v>
      </c>
      <c r="S113" s="10" t="n">
        <f aca="false">IF(INDEX(Results_Long!$O:$O,$F113)="","NA",INDEX(Results_Long!$O:$O,$F113))</f>
        <v>0.000327639948611896</v>
      </c>
      <c r="T113" s="6" t="str">
        <f aca="false">IF(INDEX(Results_Long!$AG:$AG,$F113)="","NA",INDEX(Results_Long!$AG:$AG,$F113))</f>
        <v>NA</v>
      </c>
      <c r="U113" s="5" t="str">
        <f aca="false">IF(INDEX(Results_Long!$AJ:$AJ,$F113)="","NA",INDEX(Results_Long!$AJ:$AJ,$F113))</f>
        <v>cumulative 3L refit after adding study 'Tang et al (2023)' (median sample_mid = 2018.00); ordering: study-wise median sample_mid, ties alphabetical [DEC-045/H-Q17]; full display (CI band)</v>
      </c>
    </row>
    <row r="114" customFormat="false" ht="35.05" hidden="false" customHeight="false" outlineLevel="0" collapsed="false">
      <c r="A114" s="6" t="s">
        <v>578</v>
      </c>
      <c r="B114" s="7" t="s">
        <v>277</v>
      </c>
      <c r="C114" s="7" t="s">
        <v>278</v>
      </c>
      <c r="D114" s="7" t="s">
        <v>579</v>
      </c>
      <c r="E114" s="7" t="s">
        <v>580</v>
      </c>
      <c r="F114" s="8" t="n">
        <f aca="false">SUMPRODUCT((Results_Long!$A$2:$A$178=$B114)*(Results_Long!$B$2:$B$178=$C114)*(Results_Long!$C$2:$C$178=$D114)*(Results_Long!$D$2:$D$178=$E114)*ROW(Results_Long!$A$2:$A$178))</f>
        <v>128</v>
      </c>
      <c r="G114" s="9" t="n">
        <f aca="false">IF(INDEX(Results_Long!$H:$H,$F114)="","NA",INDEX(Results_Long!$H:$H,$F114))</f>
        <v>2443</v>
      </c>
      <c r="H114" s="9" t="n">
        <f aca="false">IF(INDEX(Results_Long!$I:$I,$F114)="","NA",INDEX(Results_Long!$I:$I,$F114))</f>
        <v>101</v>
      </c>
      <c r="I114" s="9" t="n">
        <f aca="false">IF(INDEX(Results_Long!$J:$J,$F114)="","NA",INDEX(Results_Long!$J:$J,$F114))</f>
        <v>100</v>
      </c>
      <c r="J114" s="10" t="n">
        <f aca="false">IF(INDEX(Results_Long!$K:$K,$F114)="","NA",INDEX(Results_Long!$K:$K,$F114))</f>
        <v>-0.0590897344306841</v>
      </c>
      <c r="K114" s="10" t="n">
        <f aca="false">IF(INDEX(Results_Long!$P:$P,$F114)="","NA",INDEX(Results_Long!$P:$P,$F114))</f>
        <v>-0.0906133882214888</v>
      </c>
      <c r="L114" s="10" t="n">
        <f aca="false">IF(INDEX(Results_Long!$Q:$Q,$F114)="","NA",INDEX(Results_Long!$Q:$Q,$F114))</f>
        <v>-0.0275660806398793</v>
      </c>
      <c r="M114" s="10" t="n">
        <f aca="false">IF(INDEX(Results_Long!$T:$T,$F114)="","NA",INDEX(Results_Long!$T:$T,$F114))</f>
        <v>-0.0590210578379313</v>
      </c>
      <c r="N114" s="10" t="n">
        <f aca="false">IF(INDEX(Results_Long!$U:$U,$F114)="","NA",INDEX(Results_Long!$U:$U,$F114))</f>
        <v>-0.0903661976577163</v>
      </c>
      <c r="O114" s="10" t="n">
        <f aca="false">IF(INDEX(Results_Long!$V:$V,$F114)="","NA",INDEX(Results_Long!$V:$V,$F114))</f>
        <v>-0.0275591003762317</v>
      </c>
      <c r="P114" s="10" t="n">
        <f aca="false">IF(INDEX(Results_Long!$L:$L,$F114)="","NA",INDEX(Results_Long!$L:$L,$F114))</f>
        <v>0.0158851720647908</v>
      </c>
      <c r="Q114" s="11" t="n">
        <f aca="false">IF(INDEX(Results_Long!$M:$M,$F114)="","NA",INDEX(Results_Long!$M:$M,$F114))</f>
        <v>-3.71980449375524</v>
      </c>
      <c r="R114" s="12" t="n">
        <f aca="false">IF(INDEX(Results_Long!$N:$N,$F114)="","NA",INDEX(Results_Long!$N:$N,$F114))</f>
        <v>97.9883559984418</v>
      </c>
      <c r="S114" s="10" t="n">
        <f aca="false">IF(INDEX(Results_Long!$O:$O,$F114)="","NA",INDEX(Results_Long!$O:$O,$F114))</f>
        <v>0.000332457733539547</v>
      </c>
      <c r="T114" s="6" t="str">
        <f aca="false">IF(INDEX(Results_Long!$AG:$AG,$F114)="","NA",INDEX(Results_Long!$AG:$AG,$F114))</f>
        <v>NA</v>
      </c>
      <c r="U114" s="5" t="str">
        <f aca="false">IF(INDEX(Results_Long!$AJ:$AJ,$F114)="","NA",INDEX(Results_Long!$AJ:$AJ,$F114))</f>
        <v>cumulative 3L refit after adding study 'Boermans et al (2023)' (median sample_mid = 2018.50); ordering: study-wise median sample_mid, ties alphabetical [DEC-045/H-Q17]; full display (CI band)</v>
      </c>
    </row>
    <row r="115" customFormat="false" ht="35.05" hidden="false" customHeight="false" outlineLevel="0" collapsed="false">
      <c r="A115" s="6" t="s">
        <v>581</v>
      </c>
      <c r="B115" s="7" t="s">
        <v>277</v>
      </c>
      <c r="C115" s="7" t="s">
        <v>278</v>
      </c>
      <c r="D115" s="7" t="s">
        <v>582</v>
      </c>
      <c r="E115" s="7" t="s">
        <v>583</v>
      </c>
      <c r="F115" s="8" t="n">
        <f aca="false">SUMPRODUCT((Results_Long!$A$2:$A$178=$B115)*(Results_Long!$B$2:$B$178=$C115)*(Results_Long!$C$2:$C$178=$D115)*(Results_Long!$D$2:$D$178=$E115)*ROW(Results_Long!$A$2:$A$178))</f>
        <v>129</v>
      </c>
      <c r="G115" s="9" t="n">
        <f aca="false">IF(INDEX(Results_Long!$H:$H,$F115)="","NA",INDEX(Results_Long!$H:$H,$F115))</f>
        <v>2459</v>
      </c>
      <c r="H115" s="9" t="n">
        <f aca="false">IF(INDEX(Results_Long!$I:$I,$F115)="","NA",INDEX(Results_Long!$I:$I,$F115))</f>
        <v>102</v>
      </c>
      <c r="I115" s="9" t="n">
        <f aca="false">IF(INDEX(Results_Long!$J:$J,$F115)="","NA",INDEX(Results_Long!$J:$J,$F115))</f>
        <v>101</v>
      </c>
      <c r="J115" s="10" t="n">
        <f aca="false">IF(INDEX(Results_Long!$K:$K,$F115)="","NA",INDEX(Results_Long!$K:$K,$F115))</f>
        <v>-0.0590559821651748</v>
      </c>
      <c r="K115" s="10" t="n">
        <f aca="false">IF(INDEX(Results_Long!$P:$P,$F115)="","NA",INDEX(Results_Long!$P:$P,$F115))</f>
        <v>-0.0902156540497084</v>
      </c>
      <c r="L115" s="10" t="n">
        <f aca="false">IF(INDEX(Results_Long!$Q:$Q,$F115)="","NA",INDEX(Results_Long!$Q:$Q,$F115))</f>
        <v>-0.0278963102806413</v>
      </c>
      <c r="M115" s="10" t="n">
        <f aca="false">IF(INDEX(Results_Long!$T:$T,$F115)="","NA",INDEX(Results_Long!$T:$T,$F115))</f>
        <v>-0.0589874230809508</v>
      </c>
      <c r="N115" s="10" t="n">
        <f aca="false">IF(INDEX(Results_Long!$U:$U,$F115)="","NA",INDEX(Results_Long!$U:$U,$F115))</f>
        <v>-0.0899716972447187</v>
      </c>
      <c r="O115" s="10" t="n">
        <f aca="false">IF(INDEX(Results_Long!$V:$V,$F115)="","NA",INDEX(Results_Long!$V:$V,$F115))</f>
        <v>-0.0278890761912069</v>
      </c>
      <c r="P115" s="10" t="n">
        <f aca="false">IF(INDEX(Results_Long!$L:$L,$F115)="","NA",INDEX(Results_Long!$L:$L,$F115))</f>
        <v>0.0157037089364238</v>
      </c>
      <c r="Q115" s="11" t="n">
        <f aca="false">IF(INDEX(Results_Long!$M:$M,$F115)="","NA",INDEX(Results_Long!$M:$M,$F115))</f>
        <v>-3.76063912062187</v>
      </c>
      <c r="R115" s="12" t="n">
        <f aca="false">IF(INDEX(Results_Long!$N:$N,$F115)="","NA",INDEX(Results_Long!$N:$N,$F115))</f>
        <v>98.9726782151705</v>
      </c>
      <c r="S115" s="10" t="n">
        <f aca="false">IF(INDEX(Results_Long!$O:$O,$F115)="","NA",INDEX(Results_Long!$O:$O,$F115))</f>
        <v>0.000287042089141684</v>
      </c>
      <c r="T115" s="6" t="str">
        <f aca="false">IF(INDEX(Results_Long!$AG:$AG,$F115)="","NA",INDEX(Results_Long!$AG:$AG,$F115))</f>
        <v>NA</v>
      </c>
      <c r="U115" s="5" t="str">
        <f aca="false">IF(INDEX(Results_Long!$AJ:$AJ,$F115)="","NA",INDEX(Results_Long!$AJ:$AJ,$F115))</f>
        <v>cumulative 3L refit after adding study 'Boubaker et al (2026)' (median sample_mid = 2019.00); ordering: study-wise median sample_mid, ties alphabetical [DEC-045/H-Q17]; full display (CI band)</v>
      </c>
    </row>
    <row r="116" customFormat="false" ht="35.05" hidden="false" customHeight="false" outlineLevel="0" collapsed="false">
      <c r="A116" s="6" t="s">
        <v>584</v>
      </c>
      <c r="B116" s="7" t="s">
        <v>277</v>
      </c>
      <c r="C116" s="7" t="s">
        <v>278</v>
      </c>
      <c r="D116" s="7" t="s">
        <v>585</v>
      </c>
      <c r="E116" s="7" t="s">
        <v>586</v>
      </c>
      <c r="F116" s="8" t="n">
        <f aca="false">SUMPRODUCT((Results_Long!$A$2:$A$178=$B116)*(Results_Long!$B$2:$B$178=$C116)*(Results_Long!$C$2:$C$178=$D116)*(Results_Long!$D$2:$D$178=$E116)*ROW(Results_Long!$A$2:$A$178))</f>
        <v>130</v>
      </c>
      <c r="G116" s="9" t="n">
        <f aca="false">IF(INDEX(Results_Long!$H:$H,$F116)="","NA",INDEX(Results_Long!$H:$H,$F116))</f>
        <v>2476</v>
      </c>
      <c r="H116" s="9" t="n">
        <f aca="false">IF(INDEX(Results_Long!$I:$I,$F116)="","NA",INDEX(Results_Long!$I:$I,$F116))</f>
        <v>103</v>
      </c>
      <c r="I116" s="9" t="n">
        <f aca="false">IF(INDEX(Results_Long!$J:$J,$F116)="","NA",INDEX(Results_Long!$J:$J,$F116))</f>
        <v>102</v>
      </c>
      <c r="J116" s="10" t="n">
        <f aca="false">IF(INDEX(Results_Long!$K:$K,$F116)="","NA",INDEX(Results_Long!$K:$K,$F116))</f>
        <v>-0.0588531834555877</v>
      </c>
      <c r="K116" s="10" t="n">
        <f aca="false">IF(INDEX(Results_Long!$P:$P,$F116)="","NA",INDEX(Results_Long!$P:$P,$F116))</f>
        <v>-0.0896673232507903</v>
      </c>
      <c r="L116" s="10" t="n">
        <f aca="false">IF(INDEX(Results_Long!$Q:$Q,$F116)="","NA",INDEX(Results_Long!$Q:$Q,$F116))</f>
        <v>-0.0280390436603852</v>
      </c>
      <c r="M116" s="10" t="n">
        <f aca="false">IF(INDEX(Results_Long!$T:$T,$F116)="","NA",INDEX(Results_Long!$T:$T,$F116))</f>
        <v>-0.0587853275979237</v>
      </c>
      <c r="N116" s="10" t="n">
        <f aca="false">IF(INDEX(Results_Long!$U:$U,$F116)="","NA",INDEX(Results_Long!$U:$U,$F116))</f>
        <v>-0.0894277783529228</v>
      </c>
      <c r="O116" s="10" t="n">
        <f aca="false">IF(INDEX(Results_Long!$V:$V,$F116)="","NA",INDEX(Results_Long!$V:$V,$F116))</f>
        <v>-0.0280316979841431</v>
      </c>
      <c r="P116" s="10" t="n">
        <f aca="false">IF(INDEX(Results_Long!$L:$L,$F116)="","NA",INDEX(Results_Long!$L:$L,$F116))</f>
        <v>0.0155314671054335</v>
      </c>
      <c r="Q116" s="11" t="n">
        <f aca="false">IF(INDEX(Results_Long!$M:$M,$F116)="","NA",INDEX(Results_Long!$M:$M,$F116))</f>
        <v>-3.78928681083829</v>
      </c>
      <c r="R116" s="12" t="n">
        <f aca="false">IF(INDEX(Results_Long!$N:$N,$F116)="","NA",INDEX(Results_Long!$N:$N,$F116))</f>
        <v>99.9598883674951</v>
      </c>
      <c r="S116" s="10" t="n">
        <f aca="false">IF(INDEX(Results_Long!$O:$O,$F116)="","NA",INDEX(Results_Long!$O:$O,$F116))</f>
        <v>0.000258361987956986</v>
      </c>
      <c r="T116" s="6" t="str">
        <f aca="false">IF(INDEX(Results_Long!$AG:$AG,$F116)="","NA",INDEX(Results_Long!$AG:$AG,$F116))</f>
        <v>NA</v>
      </c>
      <c r="U116" s="5" t="str">
        <f aca="false">IF(INDEX(Results_Long!$AJ:$AJ,$F116)="","NA",INDEX(Results_Long!$AJ:$AJ,$F116))</f>
        <v>cumulative 3L refit after adding study 'Gonzales Sanches et al (2026)' (median sample_mid = 2019.00); ordering: study-wise median sample_mid, ties alphabetical [DEC-045/H-Q17]; full display (CI band)</v>
      </c>
    </row>
    <row r="117" customFormat="false" ht="35.05" hidden="false" customHeight="false" outlineLevel="0" collapsed="false">
      <c r="A117" s="6" t="s">
        <v>587</v>
      </c>
      <c r="B117" s="7" t="s">
        <v>277</v>
      </c>
      <c r="C117" s="7" t="s">
        <v>278</v>
      </c>
      <c r="D117" s="7" t="s">
        <v>588</v>
      </c>
      <c r="E117" s="7" t="s">
        <v>589</v>
      </c>
      <c r="F117" s="8" t="n">
        <f aca="false">SUMPRODUCT((Results_Long!$A$2:$A$178=$B117)*(Results_Long!$B$2:$B$178=$C117)*(Results_Long!$C$2:$C$178=$D117)*(Results_Long!$D$2:$D$178=$E117)*ROW(Results_Long!$A$2:$A$178))</f>
        <v>131</v>
      </c>
      <c r="G117" s="9" t="n">
        <f aca="false">IF(INDEX(Results_Long!$H:$H,$F117)="","NA",INDEX(Results_Long!$H:$H,$F117))</f>
        <v>2491</v>
      </c>
      <c r="H117" s="9" t="n">
        <f aca="false">IF(INDEX(Results_Long!$I:$I,$F117)="","NA",INDEX(Results_Long!$I:$I,$F117))</f>
        <v>104</v>
      </c>
      <c r="I117" s="9" t="n">
        <f aca="false">IF(INDEX(Results_Long!$J:$J,$F117)="","NA",INDEX(Results_Long!$J:$J,$F117))</f>
        <v>103</v>
      </c>
      <c r="J117" s="10" t="n">
        <f aca="false">IF(INDEX(Results_Long!$K:$K,$F117)="","NA",INDEX(Results_Long!$K:$K,$F117))</f>
        <v>-0.0585325422070277</v>
      </c>
      <c r="K117" s="10" t="n">
        <f aca="false">IF(INDEX(Results_Long!$P:$P,$F117)="","NA",INDEX(Results_Long!$P:$P,$F117))</f>
        <v>-0.0890095669239071</v>
      </c>
      <c r="L117" s="10" t="n">
        <f aca="false">IF(INDEX(Results_Long!$Q:$Q,$F117)="","NA",INDEX(Results_Long!$Q:$Q,$F117))</f>
        <v>-0.0280555174901482</v>
      </c>
      <c r="M117" s="10" t="n">
        <f aca="false">IF(INDEX(Results_Long!$T:$T,$F117)="","NA",INDEX(Results_Long!$T:$T,$F117))</f>
        <v>-0.0584657883820085</v>
      </c>
      <c r="N117" s="10" t="n">
        <f aca="false">IF(INDEX(Results_Long!$U:$U,$F117)="","NA",INDEX(Results_Long!$U:$U,$F117))</f>
        <v>-0.0887752440297631</v>
      </c>
      <c r="O117" s="10" t="n">
        <f aca="false">IF(INDEX(Results_Long!$V:$V,$F117)="","NA",INDEX(Results_Long!$V:$V,$F117))</f>
        <v>-0.0280481588615617</v>
      </c>
      <c r="P117" s="10" t="n">
        <f aca="false">IF(INDEX(Results_Long!$L:$L,$F117)="","NA",INDEX(Results_Long!$L:$L,$F117))</f>
        <v>0.0153633882229757</v>
      </c>
      <c r="Q117" s="11" t="n">
        <f aca="false">IF(INDEX(Results_Long!$M:$M,$F117)="","NA",INDEX(Results_Long!$M:$M,$F117))</f>
        <v>-3.80987197339018</v>
      </c>
      <c r="R117" s="12" t="n">
        <f aca="false">IF(INDEX(Results_Long!$N:$N,$F117)="","NA",INDEX(Results_Long!$N:$N,$F117))</f>
        <v>100.946670846373</v>
      </c>
      <c r="S117" s="10" t="n">
        <f aca="false">IF(INDEX(Results_Long!$O:$O,$F117)="","NA",INDEX(Results_Long!$O:$O,$F117))</f>
        <v>0.000239115682193052</v>
      </c>
      <c r="T117" s="6" t="str">
        <f aca="false">IF(INDEX(Results_Long!$AG:$AG,$F117)="","NA",INDEX(Results_Long!$AG:$AG,$F117))</f>
        <v>NA</v>
      </c>
      <c r="U117" s="5" t="str">
        <f aca="false">IF(INDEX(Results_Long!$AJ:$AJ,$F117)="","NA",INDEX(Results_Long!$AJ:$AJ,$F117))</f>
        <v>cumulative 3L refit after adding study 'Shi et al (2025)' (median sample_mid = 2019.00); ordering: study-wise median sample_mid, ties alphabetical [DEC-045/H-Q17]; full display (CI band)</v>
      </c>
    </row>
    <row r="118" customFormat="false" ht="35.05" hidden="false" customHeight="false" outlineLevel="0" collapsed="false">
      <c r="A118" s="6" t="s">
        <v>590</v>
      </c>
      <c r="B118" s="7" t="s">
        <v>277</v>
      </c>
      <c r="C118" s="7" t="s">
        <v>278</v>
      </c>
      <c r="D118" s="7" t="s">
        <v>591</v>
      </c>
      <c r="E118" s="7" t="s">
        <v>592</v>
      </c>
      <c r="F118" s="8" t="n">
        <f aca="false">SUMPRODUCT((Results_Long!$A$2:$A$178=$B118)*(Results_Long!$B$2:$B$178=$C118)*(Results_Long!$C$2:$C$178=$D118)*(Results_Long!$D$2:$D$178=$E118)*ROW(Results_Long!$A$2:$A$178))</f>
        <v>132</v>
      </c>
      <c r="G118" s="9" t="n">
        <f aca="false">IF(INDEX(Results_Long!$H:$H,$F118)="","NA",INDEX(Results_Long!$H:$H,$F118))</f>
        <v>2499</v>
      </c>
      <c r="H118" s="9" t="n">
        <f aca="false">IF(INDEX(Results_Long!$I:$I,$F118)="","NA",INDEX(Results_Long!$I:$I,$F118))</f>
        <v>105</v>
      </c>
      <c r="I118" s="9" t="n">
        <f aca="false">IF(INDEX(Results_Long!$J:$J,$F118)="","NA",INDEX(Results_Long!$J:$J,$F118))</f>
        <v>104</v>
      </c>
      <c r="J118" s="10" t="n">
        <f aca="false">IF(INDEX(Results_Long!$K:$K,$F118)="","NA",INDEX(Results_Long!$K:$K,$F118))</f>
        <v>-0.0581987950031435</v>
      </c>
      <c r="K118" s="10" t="n">
        <f aca="false">IF(INDEX(Results_Long!$P:$P,$F118)="","NA",INDEX(Results_Long!$P:$P,$F118))</f>
        <v>-0.0883379697366041</v>
      </c>
      <c r="L118" s="10" t="n">
        <f aca="false">IF(INDEX(Results_Long!$Q:$Q,$F118)="","NA",INDEX(Results_Long!$Q:$Q,$F118))</f>
        <v>-0.0280596202696829</v>
      </c>
      <c r="M118" s="10" t="n">
        <f aca="false">IF(INDEX(Results_Long!$T:$T,$F118)="","NA",INDEX(Results_Long!$T:$T,$F118))</f>
        <v>-0.0581331755311175</v>
      </c>
      <c r="N118" s="10" t="n">
        <f aca="false">IF(INDEX(Results_Long!$U:$U,$F118)="","NA",INDEX(Results_Long!$U:$U,$F118))</f>
        <v>-0.0881089001013674</v>
      </c>
      <c r="O118" s="10" t="n">
        <f aca="false">IF(INDEX(Results_Long!$V:$V,$F118)="","NA",INDEX(Results_Long!$V:$V,$F118))</f>
        <v>-0.0280522584129711</v>
      </c>
      <c r="P118" s="10" t="n">
        <f aca="false">IF(INDEX(Results_Long!$L:$L,$F118)="","NA",INDEX(Results_Long!$L:$L,$F118))</f>
        <v>0.0151948366222739</v>
      </c>
      <c r="Q118" s="11" t="n">
        <f aca="false">IF(INDEX(Results_Long!$M:$M,$F118)="","NA",INDEX(Results_Long!$M:$M,$F118))</f>
        <v>-3.83016918509217</v>
      </c>
      <c r="R118" s="12" t="n">
        <f aca="false">IF(INDEX(Results_Long!$N:$N,$F118)="","NA",INDEX(Results_Long!$N:$N,$F118))</f>
        <v>101.918764783781</v>
      </c>
      <c r="S118" s="10" t="n">
        <f aca="false">IF(INDEX(Results_Long!$O:$O,$F118)="","NA",INDEX(Results_Long!$O:$O,$F118))</f>
        <v>0.000221468792543698</v>
      </c>
      <c r="T118" s="6" t="str">
        <f aca="false">IF(INDEX(Results_Long!$AG:$AG,$F118)="","NA",INDEX(Results_Long!$AG:$AG,$F118))</f>
        <v>NA</v>
      </c>
      <c r="U118" s="5" t="str">
        <f aca="false">IF(INDEX(Results_Long!$AJ:$AJ,$F118)="","NA",INDEX(Results_Long!$AJ:$AJ,$F118))</f>
        <v>cumulative 3L refit after adding study 'Wang &amp; Wijethilake (2026)' (median sample_mid = 2019.00); ordering: study-wise median sample_mid, ties alphabetical [DEC-045/H-Q17]; full display (CI band)</v>
      </c>
    </row>
    <row r="119" customFormat="false" ht="35.05" hidden="false" customHeight="false" outlineLevel="0" collapsed="false">
      <c r="A119" s="6" t="s">
        <v>593</v>
      </c>
      <c r="B119" s="7" t="s">
        <v>277</v>
      </c>
      <c r="C119" s="7" t="s">
        <v>278</v>
      </c>
      <c r="D119" s="7" t="s">
        <v>594</v>
      </c>
      <c r="E119" s="7" t="s">
        <v>595</v>
      </c>
      <c r="F119" s="8" t="n">
        <f aca="false">SUMPRODUCT((Results_Long!$A$2:$A$178=$B119)*(Results_Long!$B$2:$B$178=$C119)*(Results_Long!$C$2:$C$178=$D119)*(Results_Long!$D$2:$D$178=$E119)*ROW(Results_Long!$A$2:$A$178))</f>
        <v>133</v>
      </c>
      <c r="G119" s="9" t="n">
        <f aca="false">IF(INDEX(Results_Long!$H:$H,$F119)="","NA",INDEX(Results_Long!$H:$H,$F119))</f>
        <v>2508</v>
      </c>
      <c r="H119" s="9" t="n">
        <f aca="false">IF(INDEX(Results_Long!$I:$I,$F119)="","NA",INDEX(Results_Long!$I:$I,$F119))</f>
        <v>106</v>
      </c>
      <c r="I119" s="9" t="n">
        <f aca="false">IF(INDEX(Results_Long!$J:$J,$F119)="","NA",INDEX(Results_Long!$J:$J,$F119))</f>
        <v>105</v>
      </c>
      <c r="J119" s="10" t="n">
        <f aca="false">IF(INDEX(Results_Long!$K:$K,$F119)="","NA",INDEX(Results_Long!$K:$K,$F119))</f>
        <v>-0.0578797977085012</v>
      </c>
      <c r="K119" s="10" t="n">
        <f aca="false">IF(INDEX(Results_Long!$P:$P,$F119)="","NA",INDEX(Results_Long!$P:$P,$F119))</f>
        <v>-0.0876847084941809</v>
      </c>
      <c r="L119" s="10" t="n">
        <f aca="false">IF(INDEX(Results_Long!$Q:$Q,$F119)="","NA",INDEX(Results_Long!$Q:$Q,$F119))</f>
        <v>-0.0280748869228214</v>
      </c>
      <c r="M119" s="10" t="n">
        <f aca="false">IF(INDEX(Results_Long!$T:$T,$F119)="","NA",INDEX(Results_Long!$T:$T,$F119))</f>
        <v>-0.0578152503920941</v>
      </c>
      <c r="N119" s="10" t="n">
        <f aca="false">IF(INDEX(Results_Long!$U:$U,$F119)="","NA",INDEX(Results_Long!$U:$U,$F119))</f>
        <v>-0.0874606730239029</v>
      </c>
      <c r="O119" s="10" t="n">
        <f aca="false">IF(INDEX(Results_Long!$V:$V,$F119)="","NA",INDEX(Results_Long!$V:$V,$F119))</f>
        <v>-0.0280675130458003</v>
      </c>
      <c r="P119" s="10" t="n">
        <f aca="false">IF(INDEX(Results_Long!$L:$L,$F119)="","NA",INDEX(Results_Long!$L:$L,$F119))</f>
        <v>0.0150280394991096</v>
      </c>
      <c r="Q119" s="11" t="n">
        <f aca="false">IF(INDEX(Results_Long!$M:$M,$F119)="","NA",INDEX(Results_Long!$M:$M,$F119))</f>
        <v>-3.85145365847159</v>
      </c>
      <c r="R119" s="12" t="n">
        <f aca="false">IF(INDEX(Results_Long!$N:$N,$F119)="","NA",INDEX(Results_Long!$N:$N,$F119))</f>
        <v>102.901556929438</v>
      </c>
      <c r="S119" s="10" t="n">
        <f aca="false">IF(INDEX(Results_Long!$O:$O,$F119)="","NA",INDEX(Results_Long!$O:$O,$F119))</f>
        <v>0.000204323762645779</v>
      </c>
      <c r="T119" s="6" t="str">
        <f aca="false">IF(INDEX(Results_Long!$AG:$AG,$F119)="","NA",INDEX(Results_Long!$AG:$AG,$F119))</f>
        <v>NA</v>
      </c>
      <c r="U119" s="5" t="str">
        <f aca="false">IF(INDEX(Results_Long!$AJ:$AJ,$F119)="","NA",INDEX(Results_Long!$AJ:$AJ,$F119))</f>
        <v>cumulative 3L refit after adding study 'Ali et al (2026)' (median sample_mid = 2019.50); ordering: study-wise median sample_mid, ties alphabetical [DEC-045/H-Q17]; full display (CI band)</v>
      </c>
    </row>
    <row r="120" customFormat="false" ht="35.05" hidden="false" customHeight="false" outlineLevel="0" collapsed="false">
      <c r="A120" s="6" t="s">
        <v>596</v>
      </c>
      <c r="B120" s="7" t="s">
        <v>277</v>
      </c>
      <c r="C120" s="7" t="s">
        <v>278</v>
      </c>
      <c r="D120" s="7" t="s">
        <v>597</v>
      </c>
      <c r="E120" s="7" t="s">
        <v>598</v>
      </c>
      <c r="F120" s="8" t="n">
        <f aca="false">SUMPRODUCT((Results_Long!$A$2:$A$178=$B120)*(Results_Long!$B$2:$B$178=$C120)*(Results_Long!$C$2:$C$178=$D120)*(Results_Long!$D$2:$D$178=$E120)*ROW(Results_Long!$A$2:$A$178))</f>
        <v>134</v>
      </c>
      <c r="G120" s="9" t="n">
        <f aca="false">IF(INDEX(Results_Long!$H:$H,$F120)="","NA",INDEX(Results_Long!$H:$H,$F120))</f>
        <v>2529</v>
      </c>
      <c r="H120" s="9" t="n">
        <f aca="false">IF(INDEX(Results_Long!$I:$I,$F120)="","NA",INDEX(Results_Long!$I:$I,$F120))</f>
        <v>107</v>
      </c>
      <c r="I120" s="9" t="n">
        <f aca="false">IF(INDEX(Results_Long!$J:$J,$F120)="","NA",INDEX(Results_Long!$J:$J,$F120))</f>
        <v>106</v>
      </c>
      <c r="J120" s="10" t="n">
        <f aca="false">IF(INDEX(Results_Long!$K:$K,$F120)="","NA",INDEX(Results_Long!$K:$K,$F120))</f>
        <v>-0.0577215013118813</v>
      </c>
      <c r="K120" s="10" t="n">
        <f aca="false">IF(INDEX(Results_Long!$P:$P,$F120)="","NA",INDEX(Results_Long!$P:$P,$F120))</f>
        <v>-0.0871282663234397</v>
      </c>
      <c r="L120" s="10" t="n">
        <f aca="false">IF(INDEX(Results_Long!$Q:$Q,$F120)="","NA",INDEX(Results_Long!$Q:$Q,$F120))</f>
        <v>-0.0283147363003229</v>
      </c>
      <c r="M120" s="10" t="n">
        <f aca="false">IF(INDEX(Results_Long!$T:$T,$F120)="","NA",INDEX(Results_Long!$T:$T,$F120))</f>
        <v>-0.0576574816749397</v>
      </c>
      <c r="N120" s="10" t="n">
        <f aca="false">IF(INDEX(Results_Long!$U:$U,$F120)="","NA",INDEX(Results_Long!$U:$U,$F120))</f>
        <v>-0.0869084604674059</v>
      </c>
      <c r="O120" s="10" t="n">
        <f aca="false">IF(INDEX(Results_Long!$V:$V,$F120)="","NA",INDEX(Results_Long!$V:$V,$F120))</f>
        <v>-0.0283071718555177</v>
      </c>
      <c r="P120" s="10" t="n">
        <f aca="false">IF(INDEX(Results_Long!$L:$L,$F120)="","NA",INDEX(Results_Long!$L:$L,$F120))</f>
        <v>0.0148289212968656</v>
      </c>
      <c r="Q120" s="11" t="n">
        <f aca="false">IF(INDEX(Results_Long!$M:$M,$F120)="","NA",INDEX(Results_Long!$M:$M,$F120))</f>
        <v>-3.892494953364</v>
      </c>
      <c r="R120" s="12" t="n">
        <f aca="false">IF(INDEX(Results_Long!$N:$N,$F120)="","NA",INDEX(Results_Long!$N:$N,$F120))</f>
        <v>103.862675492903</v>
      </c>
      <c r="S120" s="10" t="n">
        <f aca="false">IF(INDEX(Results_Long!$O:$O,$F120)="","NA",INDEX(Results_Long!$O:$O,$F120))</f>
        <v>0.000175555019891311</v>
      </c>
      <c r="T120" s="6" t="str">
        <f aca="false">IF(INDEX(Results_Long!$AG:$AG,$F120)="","NA",INDEX(Results_Long!$AG:$AG,$F120))</f>
        <v>NA</v>
      </c>
      <c r="U120" s="5" t="str">
        <f aca="false">IF(INDEX(Results_Long!$AJ:$AJ,$F120)="","NA",INDEX(Results_Long!$AJ:$AJ,$F120))</f>
        <v>cumulative 3L refit after adding study 'Kozak (2021)' (median sample_mid = 2019.50); ordering: study-wise median sample_mid, ties alphabetical [DEC-045/H-Q17]; full display (CI band)</v>
      </c>
    </row>
    <row r="121" customFormat="false" ht="35.05" hidden="false" customHeight="false" outlineLevel="0" collapsed="false">
      <c r="A121" s="6" t="s">
        <v>599</v>
      </c>
      <c r="B121" s="7" t="s">
        <v>277</v>
      </c>
      <c r="C121" s="7" t="s">
        <v>278</v>
      </c>
      <c r="D121" s="7" t="s">
        <v>600</v>
      </c>
      <c r="E121" s="7" t="s">
        <v>601</v>
      </c>
      <c r="F121" s="8" t="n">
        <f aca="false">SUMPRODUCT((Results_Long!$A$2:$A$178=$B121)*(Results_Long!$B$2:$B$178=$C121)*(Results_Long!$C$2:$C$178=$D121)*(Results_Long!$D$2:$D$178=$E121)*ROW(Results_Long!$A$2:$A$178))</f>
        <v>135</v>
      </c>
      <c r="G121" s="9" t="n">
        <f aca="false">IF(INDEX(Results_Long!$H:$H,$F121)="","NA",INDEX(Results_Long!$H:$H,$F121))</f>
        <v>2611</v>
      </c>
      <c r="H121" s="9" t="n">
        <f aca="false">IF(INDEX(Results_Long!$I:$I,$F121)="","NA",INDEX(Results_Long!$I:$I,$F121))</f>
        <v>108</v>
      </c>
      <c r="I121" s="9" t="n">
        <f aca="false">IF(INDEX(Results_Long!$J:$J,$F121)="","NA",INDEX(Results_Long!$J:$J,$F121))</f>
        <v>107</v>
      </c>
      <c r="J121" s="10" t="n">
        <f aca="false">IF(INDEX(Results_Long!$K:$K,$F121)="","NA",INDEX(Results_Long!$K:$K,$F121))</f>
        <v>-0.0574042514037858</v>
      </c>
      <c r="K121" s="10" t="n">
        <f aca="false">IF(INDEX(Results_Long!$P:$P,$F121)="","NA",INDEX(Results_Long!$P:$P,$F121))</f>
        <v>-0.0866774312495601</v>
      </c>
      <c r="L121" s="10" t="n">
        <f aca="false">IF(INDEX(Results_Long!$Q:$Q,$F121)="","NA",INDEX(Results_Long!$Q:$Q,$F121))</f>
        <v>-0.0281310715580115</v>
      </c>
      <c r="M121" s="10" t="n">
        <f aca="false">IF(INDEX(Results_Long!$T:$T,$F121)="","NA",INDEX(Results_Long!$T:$T,$F121))</f>
        <v>-0.0573412806544539</v>
      </c>
      <c r="N121" s="10" t="n">
        <f aca="false">IF(INDEX(Results_Long!$U:$U,$F121)="","NA",INDEX(Results_Long!$U:$U,$F121))</f>
        <v>-0.0864610130858399</v>
      </c>
      <c r="O121" s="10" t="n">
        <f aca="false">IF(INDEX(Results_Long!$V:$V,$F121)="","NA",INDEX(Results_Long!$V:$V,$F121))</f>
        <v>-0.0281236533309711</v>
      </c>
      <c r="P121" s="10" t="n">
        <f aca="false">IF(INDEX(Results_Long!$L:$L,$F121)="","NA",INDEX(Results_Long!$L:$L,$F121))</f>
        <v>0.0147632859388168</v>
      </c>
      <c r="Q121" s="11" t="n">
        <f aca="false">IF(INDEX(Results_Long!$M:$M,$F121)="","NA",INDEX(Results_Long!$M:$M,$F121))</f>
        <v>-3.88831129070352</v>
      </c>
      <c r="R121" s="12" t="n">
        <f aca="false">IF(INDEX(Results_Long!$N:$N,$F121)="","NA",INDEX(Results_Long!$N:$N,$F121))</f>
        <v>104.904384904598</v>
      </c>
      <c r="S121" s="10" t="n">
        <f aca="false">IF(INDEX(Results_Long!$O:$O,$F121)="","NA",INDEX(Results_Long!$O:$O,$F121))</f>
        <v>0.000177295122390085</v>
      </c>
      <c r="T121" s="6" t="str">
        <f aca="false">IF(INDEX(Results_Long!$AG:$AG,$F121)="","NA",INDEX(Results_Long!$AG:$AG,$F121))</f>
        <v>NA</v>
      </c>
      <c r="U121" s="5" t="str">
        <f aca="false">IF(INDEX(Results_Long!$AJ:$AJ,$F121)="","NA",INDEX(Results_Long!$AJ:$AJ,$F121))</f>
        <v>cumulative 3L refit after adding study 'Altavilla et al (2024)' (median sample_mid = 2020.00); ordering: study-wise median sample_mid, ties alphabetical [DEC-045/H-Q17]; full display (CI band)</v>
      </c>
    </row>
    <row r="122" customFormat="false" ht="35.05" hidden="false" customHeight="false" outlineLevel="0" collapsed="false">
      <c r="A122" s="6" t="s">
        <v>602</v>
      </c>
      <c r="B122" s="7" t="s">
        <v>277</v>
      </c>
      <c r="C122" s="7" t="s">
        <v>278</v>
      </c>
      <c r="D122" s="7" t="s">
        <v>603</v>
      </c>
      <c r="E122" s="7" t="s">
        <v>604</v>
      </c>
      <c r="F122" s="8" t="n">
        <f aca="false">SUMPRODUCT((Results_Long!$A$2:$A$178=$B122)*(Results_Long!$B$2:$B$178=$C122)*(Results_Long!$C$2:$C$178=$D122)*(Results_Long!$D$2:$D$178=$E122)*ROW(Results_Long!$A$2:$A$178))</f>
        <v>136</v>
      </c>
      <c r="G122" s="9" t="n">
        <f aca="false">IF(INDEX(Results_Long!$H:$H,$F122)="","NA",INDEX(Results_Long!$H:$H,$F122))</f>
        <v>2623</v>
      </c>
      <c r="H122" s="9" t="n">
        <f aca="false">IF(INDEX(Results_Long!$I:$I,$F122)="","NA",INDEX(Results_Long!$I:$I,$F122))</f>
        <v>109</v>
      </c>
      <c r="I122" s="9" t="n">
        <f aca="false">IF(INDEX(Results_Long!$J:$J,$F122)="","NA",INDEX(Results_Long!$J:$J,$F122))</f>
        <v>108</v>
      </c>
      <c r="J122" s="10" t="n">
        <f aca="false">IF(INDEX(Results_Long!$K:$K,$F122)="","NA",INDEX(Results_Long!$K:$K,$F122))</f>
        <v>-0.0585549027192455</v>
      </c>
      <c r="K122" s="10" t="n">
        <f aca="false">IF(INDEX(Results_Long!$P:$P,$F122)="","NA",INDEX(Results_Long!$P:$P,$F122))</f>
        <v>-0.0875954110115965</v>
      </c>
      <c r="L122" s="10" t="n">
        <f aca="false">IF(INDEX(Results_Long!$Q:$Q,$F122)="","NA",INDEX(Results_Long!$Q:$Q,$F122))</f>
        <v>-0.0295143944268945</v>
      </c>
      <c r="M122" s="10" t="n">
        <f aca="false">IF(INDEX(Results_Long!$T:$T,$F122)="","NA",INDEX(Results_Long!$T:$T,$F122))</f>
        <v>-0.0584880724313047</v>
      </c>
      <c r="N122" s="10" t="n">
        <f aca="false">IF(INDEX(Results_Long!$U:$U,$F122)="","NA",INDEX(Results_Long!$U:$U,$F122))</f>
        <v>-0.0873720579188927</v>
      </c>
      <c r="O122" s="10" t="n">
        <f aca="false">IF(INDEX(Results_Long!$V:$V,$F122)="","NA",INDEX(Results_Long!$V:$V,$F122))</f>
        <v>-0.0295058274207712</v>
      </c>
      <c r="P122" s="10" t="n">
        <f aca="false">IF(INDEX(Results_Long!$L:$L,$F122)="","NA",INDEX(Results_Long!$L:$L,$F122))</f>
        <v>0.0146475256186284</v>
      </c>
      <c r="Q122" s="11" t="n">
        <f aca="false">IF(INDEX(Results_Long!$M:$M,$F122)="","NA",INDEX(Results_Long!$M:$M,$F122))</f>
        <v>-3.99759688044353</v>
      </c>
      <c r="R122" s="12" t="n">
        <f aca="false">IF(INDEX(Results_Long!$N:$N,$F122)="","NA",INDEX(Results_Long!$N:$N,$F122))</f>
        <v>105.885006476875</v>
      </c>
      <c r="S122" s="10" t="n">
        <f aca="false">IF(INDEX(Results_Long!$O:$O,$F122)="","NA",INDEX(Results_Long!$O:$O,$F122))</f>
        <v>0.000118613040580036</v>
      </c>
      <c r="T122" s="6" t="str">
        <f aca="false">IF(INDEX(Results_Long!$AG:$AG,$F122)="","NA",INDEX(Results_Long!$AG:$AG,$F122))</f>
        <v>NA</v>
      </c>
      <c r="U122" s="5" t="str">
        <f aca="false">IF(INDEX(Results_Long!$AJ:$AJ,$F122)="","NA",INDEX(Results_Long!$AJ:$AJ,$F122))</f>
        <v>cumulative 3L refit after adding study 'Brinette et al (2026)' (median sample_mid = 2020.00); ordering: study-wise median sample_mid, ties alphabetical [DEC-045/H-Q17]; full display (CI band)</v>
      </c>
    </row>
    <row r="123" customFormat="false" ht="35.05" hidden="false" customHeight="false" outlineLevel="0" collapsed="false">
      <c r="A123" s="6" t="s">
        <v>605</v>
      </c>
      <c r="B123" s="7" t="s">
        <v>277</v>
      </c>
      <c r="C123" s="7" t="s">
        <v>278</v>
      </c>
      <c r="D123" s="7" t="s">
        <v>606</v>
      </c>
      <c r="E123" s="7" t="s">
        <v>607</v>
      </c>
      <c r="F123" s="8" t="n">
        <f aca="false">SUMPRODUCT((Results_Long!$A$2:$A$178=$B123)*(Results_Long!$B$2:$B$178=$C123)*(Results_Long!$C$2:$C$178=$D123)*(Results_Long!$D$2:$D$178=$E123)*ROW(Results_Long!$A$2:$A$178))</f>
        <v>137</v>
      </c>
      <c r="G123" s="9" t="n">
        <f aca="false">IF(INDEX(Results_Long!$H:$H,$F123)="","NA",INDEX(Results_Long!$H:$H,$F123))</f>
        <v>2653</v>
      </c>
      <c r="H123" s="9" t="n">
        <f aca="false">IF(INDEX(Results_Long!$I:$I,$F123)="","NA",INDEX(Results_Long!$I:$I,$F123))</f>
        <v>110</v>
      </c>
      <c r="I123" s="9" t="n">
        <f aca="false">IF(INDEX(Results_Long!$J:$J,$F123)="","NA",INDEX(Results_Long!$J:$J,$F123))</f>
        <v>109</v>
      </c>
      <c r="J123" s="10" t="n">
        <f aca="false">IF(INDEX(Results_Long!$K:$K,$F123)="","NA",INDEX(Results_Long!$K:$K,$F123))</f>
        <v>-0.0578688835292018</v>
      </c>
      <c r="K123" s="10" t="n">
        <f aca="false">IF(INDEX(Results_Long!$P:$P,$F123)="","NA",INDEX(Results_Long!$P:$P,$F123))</f>
        <v>-0.0866307555199354</v>
      </c>
      <c r="L123" s="10" t="n">
        <f aca="false">IF(INDEX(Results_Long!$Q:$Q,$F123)="","NA",INDEX(Results_Long!$Q:$Q,$F123))</f>
        <v>-0.0291070115384682</v>
      </c>
      <c r="M123" s="10" t="n">
        <f aca="false">IF(INDEX(Results_Long!$T:$T,$F123)="","NA",INDEX(Results_Long!$T:$T,$F123))</f>
        <v>-0.0578043726877017</v>
      </c>
      <c r="N123" s="10" t="n">
        <f aca="false">IF(INDEX(Results_Long!$U:$U,$F123)="","NA",INDEX(Results_Long!$U:$U,$F123))</f>
        <v>-0.0864146860940236</v>
      </c>
      <c r="O123" s="10" t="n">
        <f aca="false">IF(INDEX(Results_Long!$V:$V,$F123)="","NA",INDEX(Results_Long!$V:$V,$F123))</f>
        <v>-0.0290987943272934</v>
      </c>
      <c r="P123" s="10" t="n">
        <f aca="false">IF(INDEX(Results_Long!$L:$L,$F123)="","NA",INDEX(Results_Long!$L:$L,$F123))</f>
        <v>0.0145085341228199</v>
      </c>
      <c r="Q123" s="11" t="n">
        <f aca="false">IF(INDEX(Results_Long!$M:$M,$F123)="","NA",INDEX(Results_Long!$M:$M,$F123))</f>
        <v>-3.98860994772603</v>
      </c>
      <c r="R123" s="12" t="n">
        <f aca="false">IF(INDEX(Results_Long!$N:$N,$F123)="","NA",INDEX(Results_Long!$N:$N,$F123))</f>
        <v>106.871584347259</v>
      </c>
      <c r="S123" s="10" t="n">
        <f aca="false">IF(INDEX(Results_Long!$O:$O,$F123)="","NA",INDEX(Results_Long!$O:$O,$F123))</f>
        <v>0.000121952195197085</v>
      </c>
      <c r="T123" s="6" t="str">
        <f aca="false">IF(INDEX(Results_Long!$AG:$AG,$F123)="","NA",INDEX(Results_Long!$AG:$AG,$F123))</f>
        <v>NA</v>
      </c>
      <c r="U123" s="5" t="str">
        <f aca="false">IF(INDEX(Results_Long!$AJ:$AJ,$F123)="","NA",INDEX(Results_Long!$AJ:$AJ,$F123))</f>
        <v>cumulative 3L refit after adding study 'Ferriani (2022)' (median sample_mid = 2020.00); ordering: study-wise median sample_mid, ties alphabetical [DEC-045/H-Q17]; full display (CI band)</v>
      </c>
    </row>
    <row r="124" customFormat="false" ht="35.05" hidden="false" customHeight="false" outlineLevel="0" collapsed="false">
      <c r="A124" s="6" t="s">
        <v>608</v>
      </c>
      <c r="B124" s="7" t="s">
        <v>277</v>
      </c>
      <c r="C124" s="7" t="s">
        <v>278</v>
      </c>
      <c r="D124" s="7" t="s">
        <v>609</v>
      </c>
      <c r="E124" s="7" t="s">
        <v>610</v>
      </c>
      <c r="F124" s="8" t="n">
        <f aca="false">SUMPRODUCT((Results_Long!$A$2:$A$178=$B124)*(Results_Long!$B$2:$B$178=$C124)*(Results_Long!$C$2:$C$178=$D124)*(Results_Long!$D$2:$D$178=$E124)*ROW(Results_Long!$A$2:$A$178))</f>
        <v>138</v>
      </c>
      <c r="G124" s="9" t="n">
        <f aca="false">IF(INDEX(Results_Long!$H:$H,$F124)="","NA",INDEX(Results_Long!$H:$H,$F124))</f>
        <v>2669</v>
      </c>
      <c r="H124" s="9" t="n">
        <f aca="false">IF(INDEX(Results_Long!$I:$I,$F124)="","NA",INDEX(Results_Long!$I:$I,$F124))</f>
        <v>111</v>
      </c>
      <c r="I124" s="9" t="n">
        <f aca="false">IF(INDEX(Results_Long!$J:$J,$F124)="","NA",INDEX(Results_Long!$J:$J,$F124))</f>
        <v>110</v>
      </c>
      <c r="J124" s="10" t="n">
        <f aca="false">IF(INDEX(Results_Long!$K:$K,$F124)="","NA",INDEX(Results_Long!$K:$K,$F124))</f>
        <v>-0.0590319045404268</v>
      </c>
      <c r="K124" s="10" t="n">
        <f aca="false">IF(INDEX(Results_Long!$P:$P,$F124)="","NA",INDEX(Results_Long!$P:$P,$F124))</f>
        <v>-0.0876388229797557</v>
      </c>
      <c r="L124" s="10" t="n">
        <f aca="false">IF(INDEX(Results_Long!$Q:$Q,$F124)="","NA",INDEX(Results_Long!$Q:$Q,$F124))</f>
        <v>-0.0304249861010979</v>
      </c>
      <c r="M124" s="10" t="n">
        <f aca="false">IF(INDEX(Results_Long!$T:$T,$F124)="","NA",INDEX(Results_Long!$T:$T,$F124))</f>
        <v>-0.058963429200612</v>
      </c>
      <c r="N124" s="10" t="n">
        <f aca="false">IF(INDEX(Results_Long!$U:$U,$F124)="","NA",INDEX(Results_Long!$U:$U,$F124))</f>
        <v>-0.0874151383220174</v>
      </c>
      <c r="O124" s="10" t="n">
        <f aca="false">IF(INDEX(Results_Long!$V:$V,$F124)="","NA",INDEX(Results_Long!$V:$V,$F124))</f>
        <v>-0.0304156016444107</v>
      </c>
      <c r="P124" s="10" t="n">
        <f aca="false">IF(INDEX(Results_Long!$L:$L,$F124)="","NA",INDEX(Results_Long!$L:$L,$F124))</f>
        <v>0.014431903349053</v>
      </c>
      <c r="Q124" s="11" t="n">
        <f aca="false">IF(INDEX(Results_Long!$M:$M,$F124)="","NA",INDEX(Results_Long!$M:$M,$F124))</f>
        <v>-4.0903755459463</v>
      </c>
      <c r="R124" s="12" t="n">
        <f aca="false">IF(INDEX(Results_Long!$N:$N,$F124)="","NA",INDEX(Results_Long!$N:$N,$F124))</f>
        <v>107.872746211685</v>
      </c>
      <c r="S124" s="10" t="n">
        <f aca="false">IF(INDEX(Results_Long!$O:$O,$F124)="","NA",INDEX(Results_Long!$O:$O,$F124))</f>
        <v>8.32562035935852E-005</v>
      </c>
      <c r="T124" s="6" t="str">
        <f aca="false">IF(INDEX(Results_Long!$AG:$AG,$F124)="","NA",INDEX(Results_Long!$AG:$AG,$F124))</f>
        <v>NA</v>
      </c>
      <c r="U124" s="5" t="str">
        <f aca="false">IF(INDEX(Results_Long!$AJ:$AJ,$F124)="","NA",INDEX(Results_Long!$AJ:$AJ,$F124))</f>
        <v>cumulative 3L refit after adding study 'Wang et al (2025b)' (median sample_mid = 2020.00); ordering: study-wise median sample_mid, ties alphabetical [DEC-045/H-Q17]; full display (CI band)</v>
      </c>
    </row>
    <row r="125" customFormat="false" ht="35.05" hidden="false" customHeight="false" outlineLevel="0" collapsed="false">
      <c r="A125" s="6" t="s">
        <v>611</v>
      </c>
      <c r="B125" s="7" t="s">
        <v>277</v>
      </c>
      <c r="C125" s="7" t="s">
        <v>278</v>
      </c>
      <c r="D125" s="7" t="s">
        <v>612</v>
      </c>
      <c r="E125" s="7" t="s">
        <v>613</v>
      </c>
      <c r="F125" s="8" t="n">
        <f aca="false">SUMPRODUCT((Results_Long!$A$2:$A$178=$B125)*(Results_Long!$B$2:$B$178=$C125)*(Results_Long!$C$2:$C$178=$D125)*(Results_Long!$D$2:$D$178=$E125)*ROW(Results_Long!$A$2:$A$178))</f>
        <v>139</v>
      </c>
      <c r="G125" s="9" t="n">
        <f aca="false">IF(INDEX(Results_Long!$H:$H,$F125)="","NA",INDEX(Results_Long!$H:$H,$F125))</f>
        <v>2685</v>
      </c>
      <c r="H125" s="9" t="n">
        <f aca="false">IF(INDEX(Results_Long!$I:$I,$F125)="","NA",INDEX(Results_Long!$I:$I,$F125))</f>
        <v>112</v>
      </c>
      <c r="I125" s="9" t="n">
        <f aca="false">IF(INDEX(Results_Long!$J:$J,$F125)="","NA",INDEX(Results_Long!$J:$J,$F125))</f>
        <v>111</v>
      </c>
      <c r="J125" s="10" t="n">
        <f aca="false">IF(INDEX(Results_Long!$K:$K,$F125)="","NA",INDEX(Results_Long!$K:$K,$F125))</f>
        <v>-0.0590667678376807</v>
      </c>
      <c r="K125" s="10" t="n">
        <f aca="false">IF(INDEX(Results_Long!$P:$P,$F125)="","NA",INDEX(Results_Long!$P:$P,$F125))</f>
        <v>-0.0873594427898898</v>
      </c>
      <c r="L125" s="10" t="n">
        <f aca="false">IF(INDEX(Results_Long!$Q:$Q,$F125)="","NA",INDEX(Results_Long!$Q:$Q,$F125))</f>
        <v>-0.0307740928854716</v>
      </c>
      <c r="M125" s="10" t="n">
        <f aca="false">IF(INDEX(Results_Long!$T:$T,$F125)="","NA",INDEX(Results_Long!$T:$T,$F125))</f>
        <v>-0.0589981712176972</v>
      </c>
      <c r="N125" s="10" t="n">
        <f aca="false">IF(INDEX(Results_Long!$U:$U,$F125)="","NA",INDEX(Results_Long!$U:$U,$F125))</f>
        <v>-0.0871378862258713</v>
      </c>
      <c r="O125" s="10" t="n">
        <f aca="false">IF(INDEX(Results_Long!$V:$V,$F125)="","NA",INDEX(Results_Long!$V:$V,$F125))</f>
        <v>-0.0307643817493993</v>
      </c>
      <c r="P125" s="10" t="n">
        <f aca="false">IF(INDEX(Results_Long!$L:$L,$F125)="","NA",INDEX(Results_Long!$L:$L,$F125))</f>
        <v>0.0142748265272451</v>
      </c>
      <c r="Q125" s="11" t="n">
        <f aca="false">IF(INDEX(Results_Long!$M:$M,$F125)="","NA",INDEX(Results_Long!$M:$M,$F125))</f>
        <v>-4.1378273651834</v>
      </c>
      <c r="R125" s="12" t="n">
        <f aca="false">IF(INDEX(Results_Long!$N:$N,$F125)="","NA",INDEX(Results_Long!$N:$N,$F125))</f>
        <v>108.851623469735</v>
      </c>
      <c r="S125" s="10" t="n">
        <f aca="false">IF(INDEX(Results_Long!$O:$O,$F125)="","NA",INDEX(Results_Long!$O:$O,$F125))</f>
        <v>6.93143615355393E-005</v>
      </c>
      <c r="T125" s="6" t="str">
        <f aca="false">IF(INDEX(Results_Long!$AG:$AG,$F125)="","NA",INDEX(Results_Long!$AG:$AG,$F125))</f>
        <v>NA</v>
      </c>
      <c r="U125" s="5" t="str">
        <f aca="false">IF(INDEX(Results_Long!$AJ:$AJ,$F125)="","NA",INDEX(Results_Long!$AJ:$AJ,$F125))</f>
        <v>cumulative 3L refit after adding study 'Almutairi (2026)' (median sample_mid = 2020.50); ordering: study-wise median sample_mid, ties alphabetical [DEC-045/H-Q17]; full display (CI band)</v>
      </c>
    </row>
    <row r="126" customFormat="false" ht="35.05" hidden="false" customHeight="false" outlineLevel="0" collapsed="false">
      <c r="A126" s="6" t="s">
        <v>614</v>
      </c>
      <c r="B126" s="7" t="s">
        <v>277</v>
      </c>
      <c r="C126" s="7" t="s">
        <v>278</v>
      </c>
      <c r="D126" s="7" t="s">
        <v>615</v>
      </c>
      <c r="E126" s="7" t="s">
        <v>616</v>
      </c>
      <c r="F126" s="8" t="n">
        <f aca="false">SUMPRODUCT((Results_Long!$A$2:$A$178=$B126)*(Results_Long!$B$2:$B$178=$C126)*(Results_Long!$C$2:$C$178=$D126)*(Results_Long!$D$2:$D$178=$E126)*ROW(Results_Long!$A$2:$A$178))</f>
        <v>140</v>
      </c>
      <c r="G126" s="9" t="n">
        <f aca="false">IF(INDEX(Results_Long!$H:$H,$F126)="","NA",INDEX(Results_Long!$H:$H,$F126))</f>
        <v>2705</v>
      </c>
      <c r="H126" s="9" t="n">
        <f aca="false">IF(INDEX(Results_Long!$I:$I,$F126)="","NA",INDEX(Results_Long!$I:$I,$F126))</f>
        <v>113</v>
      </c>
      <c r="I126" s="9" t="n">
        <f aca="false">IF(INDEX(Results_Long!$J:$J,$F126)="","NA",INDEX(Results_Long!$J:$J,$F126))</f>
        <v>112</v>
      </c>
      <c r="J126" s="10" t="n">
        <f aca="false">IF(INDEX(Results_Long!$K:$K,$F126)="","NA",INDEX(Results_Long!$K:$K,$F126))</f>
        <v>-0.0587790597371448</v>
      </c>
      <c r="K126" s="10" t="n">
        <f aca="false">IF(INDEX(Results_Long!$P:$P,$F126)="","NA",INDEX(Results_Long!$P:$P,$F126))</f>
        <v>-0.0867417524071105</v>
      </c>
      <c r="L126" s="10" t="n">
        <f aca="false">IF(INDEX(Results_Long!$Q:$Q,$F126)="","NA",INDEX(Results_Long!$Q:$Q,$F126))</f>
        <v>-0.030816367067179</v>
      </c>
      <c r="M126" s="10" t="n">
        <f aca="false">IF(INDEX(Results_Long!$T:$T,$F126)="","NA",INDEX(Results_Long!$T:$T,$F126))</f>
        <v>-0.0587114597081715</v>
      </c>
      <c r="N126" s="10" t="n">
        <f aca="false">IF(INDEX(Results_Long!$U:$U,$F126)="","NA",INDEX(Results_Long!$U:$U,$F126))</f>
        <v>-0.0865248530550212</v>
      </c>
      <c r="O126" s="10" t="n">
        <f aca="false">IF(INDEX(Results_Long!$V:$V,$F126)="","NA",INDEX(Results_Long!$V:$V,$F126))</f>
        <v>-0.0308066158658742</v>
      </c>
      <c r="P126" s="10" t="n">
        <f aca="false">IF(INDEX(Results_Long!$L:$L,$F126)="","NA",INDEX(Results_Long!$L:$L,$F126))</f>
        <v>0.0141097385556259</v>
      </c>
      <c r="Q126" s="11" t="n">
        <f aca="false">IF(INDEX(Results_Long!$M:$M,$F126)="","NA",INDEX(Results_Long!$M:$M,$F126))</f>
        <v>-4.16585038095608</v>
      </c>
      <c r="R126" s="12" t="n">
        <f aca="false">IF(INDEX(Results_Long!$N:$N,$F126)="","NA",INDEX(Results_Long!$N:$N,$F126))</f>
        <v>109.822475369779</v>
      </c>
      <c r="S126" s="10" t="n">
        <f aca="false">IF(INDEX(Results_Long!$O:$O,$F126)="","NA",INDEX(Results_Long!$O:$O,$F126))</f>
        <v>6.20155414494902E-005</v>
      </c>
      <c r="T126" s="6" t="str">
        <f aca="false">IF(INDEX(Results_Long!$AG:$AG,$F126)="","NA",INDEX(Results_Long!$AG:$AG,$F126))</f>
        <v>NA</v>
      </c>
      <c r="U126" s="5" t="str">
        <f aca="false">IF(INDEX(Results_Long!$AJ:$AJ,$F126)="","NA",INDEX(Results_Long!$AJ:$AJ,$F126))</f>
        <v>cumulative 3L refit after adding study 'Cicchini et al (2026)' (median sample_mid = 2022.50); ordering: study-wise median sample_mid, ties alphabetical [DEC-045/H-Q17]; full display (CI band)</v>
      </c>
    </row>
    <row r="128" customFormat="false" ht="15" hidden="false" customHeight="false" outlineLevel="0" collapsed="false">
      <c r="A128" s="3" t="s">
        <v>160</v>
      </c>
      <c r="B128" s="3" t="s">
        <v>161</v>
      </c>
      <c r="C128" s="3" t="s">
        <v>162</v>
      </c>
      <c r="D128" s="3" t="s">
        <v>163</v>
      </c>
      <c r="E128" s="3" t="s">
        <v>164</v>
      </c>
      <c r="F128" s="3" t="s">
        <v>165</v>
      </c>
      <c r="G128" s="3" t="s">
        <v>271</v>
      </c>
      <c r="H128" s="3" t="s">
        <v>179</v>
      </c>
      <c r="I128" s="3" t="s">
        <v>180</v>
      </c>
    </row>
    <row r="129" customFormat="false" ht="35.05" hidden="false" customHeight="false" outlineLevel="0" collapsed="false">
      <c r="A129" s="6" t="s">
        <v>617</v>
      </c>
      <c r="B129" s="7" t="s">
        <v>273</v>
      </c>
      <c r="C129" s="7" t="s">
        <v>274</v>
      </c>
      <c r="D129" s="7" t="s">
        <v>184</v>
      </c>
      <c r="E129" s="7" t="s">
        <v>618</v>
      </c>
      <c r="F129" s="8" t="n">
        <f aca="false">SUMPRODUCT((Results_Long!$A$2:$A$178=$B129)*(Results_Long!$B$2:$B$178=$C129)*(Results_Long!$C$2:$C$178=$D129)*(Results_Long!$D$2:$D$178=$E129)*ROW(Results_Long!$A$2:$A$178))</f>
        <v>173</v>
      </c>
      <c r="G129" s="10" t="str">
        <f aca="false">IF(INDEX(Results_Long!$N:$N,$F129)="","NA",INDEX(Results_Long!$N:$N,$F129))</f>
        <v>NA</v>
      </c>
      <c r="H129" s="6" t="n">
        <f aca="false">IF(INDEX(Results_Long!$AG:$AG,$F129)="","NA",INDEX(Results_Long!$AG:$AG,$F129))</f>
        <v>10</v>
      </c>
      <c r="I129" s="5" t="str">
        <f aca="false">IF(INDEX(Results_Long!$AJ:$AJ,$F129)="","NA",INDEX(Results_Long!$AJ:$AJ,$F129))</f>
        <v>first cumulative step with &gt;= 10 clusters (CI band from here; steps 1-9 point-only in the figure) [DEC-045/H-Q17]; floor study = 'Chen, Gao (2011)'</v>
      </c>
    </row>
    <row r="130" customFormat="false" ht="35.05" hidden="false" customHeight="false" outlineLevel="0" collapsed="false">
      <c r="A130" s="6" t="s">
        <v>619</v>
      </c>
      <c r="B130" s="7" t="s">
        <v>273</v>
      </c>
      <c r="C130" s="7" t="s">
        <v>274</v>
      </c>
      <c r="D130" s="7" t="s">
        <v>184</v>
      </c>
      <c r="E130" s="7" t="s">
        <v>620</v>
      </c>
      <c r="F130" s="8" t="n">
        <f aca="false">SUMPRODUCT((Results_Long!$A$2:$A$178=$B130)*(Results_Long!$B$2:$B$178=$C130)*(Results_Long!$C$2:$C$178=$D130)*(Results_Long!$D$2:$D$178=$E130)*ROW(Results_Long!$A$2:$A$178))</f>
        <v>174</v>
      </c>
      <c r="G130" s="10" t="str">
        <f aca="false">IF(INDEX(Results_Long!$N:$N,$F130)="","NA",INDEX(Results_Long!$N:$N,$F130))</f>
        <v>NA</v>
      </c>
      <c r="H130" s="6" t="str">
        <f aca="false">IF(INDEX(Results_Long!$AG:$AG,$F130)="","NA",INDEX(Results_Long!$AG:$AG,$F130))</f>
        <v>NA</v>
      </c>
      <c r="I130" s="5" t="str">
        <f aca="false">IF(INDEX(Results_Long!$AJ:$AJ,$F130)="","NA",INDEX(Results_Long!$AJ:$AJ,$F130))</f>
        <v>ordering: study-wise median sample_mid, ties alphabetical; first 5: Nandy, Lodh (2012) (1998.50); Chava (2010) (1999.00); Schneider (2010) (1999.00); Chava (2014) (1999.50); Oikonomou et al (2014) (2000.00)</v>
      </c>
    </row>
    <row r="132" customFormat="false" ht="15" hidden="false" customHeight="false" outlineLevel="0" collapsed="false">
      <c r="A132" s="13" t="s">
        <v>207</v>
      </c>
    </row>
    <row r="133" customFormat="false" ht="15" hidden="false" customHeight="true" outlineLevel="0" collapsed="false">
      <c r="A133" s="14" t="s">
        <v>621</v>
      </c>
      <c r="B133" s="14"/>
      <c r="C133" s="14"/>
      <c r="D133" s="14"/>
      <c r="E133" s="14"/>
      <c r="F133" s="14"/>
      <c r="G133" s="14"/>
      <c r="H133" s="14"/>
      <c r="I133" s="14"/>
      <c r="J133" s="14"/>
    </row>
    <row r="134" customFormat="false" ht="15" hidden="false" customHeight="true" outlineLevel="0" collapsed="false">
      <c r="A134" s="14" t="s">
        <v>622</v>
      </c>
      <c r="B134" s="14"/>
      <c r="C134" s="14"/>
      <c r="D134" s="14"/>
      <c r="E134" s="14"/>
      <c r="F134" s="14"/>
      <c r="G134" s="14"/>
      <c r="H134" s="14"/>
      <c r="I134" s="14"/>
      <c r="J134" s="14"/>
    </row>
    <row r="135" customFormat="false" ht="15" hidden="false" customHeight="true" outlineLevel="0" collapsed="false">
      <c r="A135" s="14" t="s">
        <v>623</v>
      </c>
      <c r="B135" s="14"/>
      <c r="C135" s="14"/>
      <c r="D135" s="14"/>
      <c r="E135" s="14"/>
      <c r="F135" s="14"/>
      <c r="G135" s="14"/>
      <c r="H135" s="14"/>
      <c r="I135" s="14"/>
      <c r="J135" s="14"/>
    </row>
    <row r="137" customFormat="false" ht="15" hidden="false" customHeight="false" outlineLevel="0" collapsed="false">
      <c r="A137" s="3" t="s">
        <v>211</v>
      </c>
      <c r="B137" s="3" t="s">
        <v>212</v>
      </c>
    </row>
    <row r="138" customFormat="false" ht="15" hidden="false" customHeight="true" outlineLevel="0" collapsed="false">
      <c r="A138" s="15" t="s">
        <v>624</v>
      </c>
      <c r="B138" s="14" t="s">
        <v>625</v>
      </c>
      <c r="C138" s="14"/>
      <c r="D138" s="14"/>
      <c r="E138" s="14"/>
      <c r="F138" s="14"/>
      <c r="G138" s="14"/>
      <c r="H138" s="14"/>
      <c r="I138" s="14"/>
      <c r="J138" s="14"/>
    </row>
    <row r="139" customFormat="false" ht="15" hidden="false" customHeight="true" outlineLevel="0" collapsed="false">
      <c r="A139" s="15" t="s">
        <v>626</v>
      </c>
      <c r="B139" s="14" t="s">
        <v>627</v>
      </c>
      <c r="C139" s="14"/>
      <c r="D139" s="14"/>
      <c r="E139" s="14"/>
      <c r="F139" s="14"/>
      <c r="G139" s="14"/>
      <c r="H139" s="14"/>
      <c r="I139" s="14"/>
      <c r="J139" s="14"/>
    </row>
    <row r="141" customFormat="false" ht="15" hidden="false" customHeight="true" outlineLevel="0" collapsed="false">
      <c r="A141" s="16" t="s">
        <v>628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</row>
  </sheetData>
  <mergeCells count="6">
    <mergeCell ref="A133:J133"/>
    <mergeCell ref="A134:J134"/>
    <mergeCell ref="A135:J135"/>
    <mergeCell ref="B138:J138"/>
    <mergeCell ref="B139:J139"/>
    <mergeCell ref="A141:L1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20" min="7" style="0" width="9"/>
    <col collapsed="false" customWidth="true" hidden="false" outlineLevel="0" max="21" min="21" style="0" width="60"/>
  </cols>
  <sheetData>
    <row r="1" customFormat="false" ht="15" hidden="false" customHeight="false" outlineLevel="0" collapsed="false">
      <c r="A1" s="1" t="s">
        <v>629</v>
      </c>
    </row>
    <row r="2" customFormat="false" ht="15" hidden="false" customHeight="false" outlineLevel="0" collapsed="false">
      <c r="A2" s="2" t="s">
        <v>630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160</v>
      </c>
      <c r="B5" s="3" t="s">
        <v>161</v>
      </c>
      <c r="C5" s="3" t="s">
        <v>162</v>
      </c>
      <c r="D5" s="3" t="s">
        <v>163</v>
      </c>
      <c r="E5" s="3" t="s">
        <v>164</v>
      </c>
      <c r="F5" s="3" t="s">
        <v>165</v>
      </c>
      <c r="G5" s="3" t="s">
        <v>166</v>
      </c>
      <c r="H5" s="3" t="s">
        <v>167</v>
      </c>
      <c r="I5" s="3" t="s">
        <v>168</v>
      </c>
      <c r="J5" s="3" t="s">
        <v>169</v>
      </c>
      <c r="K5" s="3" t="s">
        <v>170</v>
      </c>
      <c r="L5" s="3" t="s">
        <v>171</v>
      </c>
      <c r="M5" s="3" t="s">
        <v>172</v>
      </c>
      <c r="N5" s="3" t="s">
        <v>173</v>
      </c>
      <c r="O5" s="3" t="s">
        <v>174</v>
      </c>
      <c r="P5" s="3" t="s">
        <v>175</v>
      </c>
      <c r="Q5" s="3" t="s">
        <v>176</v>
      </c>
      <c r="R5" s="3" t="s">
        <v>177</v>
      </c>
      <c r="S5" s="3" t="s">
        <v>178</v>
      </c>
      <c r="T5" s="3" t="s">
        <v>179</v>
      </c>
      <c r="U5" s="3" t="s">
        <v>180</v>
      </c>
      <c r="V5" s="17" t="s">
        <v>631</v>
      </c>
    </row>
    <row r="6" customFormat="false" ht="23.85" hidden="false" customHeight="false" outlineLevel="0" collapsed="false">
      <c r="A6" s="6" t="s">
        <v>632</v>
      </c>
      <c r="B6" s="7" t="s">
        <v>633</v>
      </c>
      <c r="C6" s="7" t="s">
        <v>634</v>
      </c>
      <c r="D6" s="7" t="s">
        <v>635</v>
      </c>
      <c r="E6" s="7" t="s">
        <v>636</v>
      </c>
      <c r="F6" s="8" t="n">
        <f aca="false">SUMPRODUCT((Results_Long!$A$2:$A$178=$B6)*(Results_Long!$B$2:$B$178=$C6)*(Results_Long!$C$2:$C$178=$D6)*(Results_Long!$D$2:$D$178=$E6)*ROW(Results_Long!$A$2:$A$178))</f>
        <v>141</v>
      </c>
      <c r="G6" s="9" t="n">
        <f aca="false">IF(INDEX(Results_Long!$H:$H,$F6)="","NA",INDEX(Results_Long!$H:$H,$F6))</f>
        <v>312</v>
      </c>
      <c r="H6" s="9" t="n">
        <f aca="false">IF(INDEX(Results_Long!$I:$I,$F6)="","NA",INDEX(Results_Long!$I:$I,$F6))</f>
        <v>9</v>
      </c>
      <c r="I6" s="9" t="n">
        <f aca="false">IF(INDEX(Results_Long!$J:$J,$F6)="","NA",INDEX(Results_Long!$J:$J,$F6))</f>
        <v>9</v>
      </c>
      <c r="J6" s="10" t="n">
        <f aca="false">IF(INDEX(Results_Long!$K:$K,$F6)="","NA",INDEX(Results_Long!$K:$K,$F6))</f>
        <v>-0.0148714200641961</v>
      </c>
      <c r="K6" s="10" t="str">
        <f aca="false">IF(INDEX(Results_Long!$P:$P,$F6)="","NA",INDEX(Results_Long!$P:$P,$F6))</f>
        <v>NA</v>
      </c>
      <c r="L6" s="10" t="str">
        <f aca="false">IF(INDEX(Results_Long!$Q:$Q,$F6)="","NA",INDEX(Results_Long!$Q:$Q,$F6))</f>
        <v>NA</v>
      </c>
      <c r="M6" s="10" t="n">
        <f aca="false">IF(INDEX(Results_Long!$T:$T,$F6)="","NA",INDEX(Results_Long!$T:$T,$F6))</f>
        <v>-0.0148703238443738</v>
      </c>
      <c r="N6" s="10" t="str">
        <f aca="false">IF(INDEX(Results_Long!$U:$U,$F6)="","NA",INDEX(Results_Long!$U:$U,$F6))</f>
        <v>NA</v>
      </c>
      <c r="O6" s="10" t="str">
        <f aca="false">IF(INDEX(Results_Long!$V:$V,$F6)="","NA",INDEX(Results_Long!$V:$V,$F6))</f>
        <v>NA</v>
      </c>
      <c r="P6" s="10" t="str">
        <f aca="false">IF(INDEX(Results_Long!$L:$L,$F6)="","NA",INDEX(Results_Long!$L:$L,$F6))</f>
        <v>NA</v>
      </c>
      <c r="Q6" s="11" t="str">
        <f aca="false">IF(INDEX(Results_Long!$M:$M,$F6)="","NA",INDEX(Results_Long!$M:$M,$F6))</f>
        <v>NA</v>
      </c>
      <c r="R6" s="12" t="str">
        <f aca="false">IF(INDEX(Results_Long!$N:$N,$F6)="","NA",INDEX(Results_Long!$N:$N,$F6))</f>
        <v>NA</v>
      </c>
      <c r="S6" s="10" t="str">
        <f aca="false">IF(INDEX(Results_Long!$O:$O,$F6)="","NA",INDEX(Results_Long!$O:$O,$F6))</f>
        <v>NA</v>
      </c>
      <c r="T6" s="6" t="str">
        <f aca="false">IF(INDEX(Results_Long!$AG:$AG,$F6)="","NA",INDEX(Results_Long!$AG:$AG,$F6))</f>
        <v>NA</v>
      </c>
      <c r="U6" s="5" t="str">
        <f aca="false">IF(INDEX(Results_Long!$AJ:$AJ,$F6)="","NA",INDEX(Results_Long!$AJ:$AJ,$F6))</f>
        <v>descriptive tier (5-9 clusters: 9) [DEC-045 S6]: estimate only; se/CI/p suppressed by rule; window [1998, 2004) on sample_mid</v>
      </c>
      <c r="V6" s="23" t="str">
        <f aca="false">IF($I6="NA","NA",IF($I6&gt;=10,"full CR2",IF($I6&gt;=5,"descriptive (5-9)","not estimable (&lt;5)")))</f>
        <v>descriptive (5-9)</v>
      </c>
    </row>
    <row r="7" customFormat="false" ht="23.85" hidden="false" customHeight="false" outlineLevel="0" collapsed="false">
      <c r="A7" s="6" t="s">
        <v>637</v>
      </c>
      <c r="B7" s="7" t="s">
        <v>633</v>
      </c>
      <c r="C7" s="7" t="s">
        <v>634</v>
      </c>
      <c r="D7" s="7" t="s">
        <v>638</v>
      </c>
      <c r="E7" s="7" t="s">
        <v>636</v>
      </c>
      <c r="F7" s="8" t="n">
        <f aca="false">SUMPRODUCT((Results_Long!$A$2:$A$178=$B7)*(Results_Long!$B$2:$B$178=$C7)*(Results_Long!$C$2:$C$178=$D7)*(Results_Long!$D$2:$D$178=$E7)*ROW(Results_Long!$A$2:$A$178))</f>
        <v>142</v>
      </c>
      <c r="G7" s="9" t="n">
        <f aca="false">IF(INDEX(Results_Long!$H:$H,$F7)="","NA",INDEX(Results_Long!$H:$H,$F7))</f>
        <v>306</v>
      </c>
      <c r="H7" s="9" t="n">
        <f aca="false">IF(INDEX(Results_Long!$I:$I,$F7)="","NA",INDEX(Results_Long!$I:$I,$F7))</f>
        <v>8</v>
      </c>
      <c r="I7" s="9" t="n">
        <f aca="false">IF(INDEX(Results_Long!$J:$J,$F7)="","NA",INDEX(Results_Long!$J:$J,$F7))</f>
        <v>8</v>
      </c>
      <c r="J7" s="10" t="n">
        <f aca="false">IF(INDEX(Results_Long!$K:$K,$F7)="","NA",INDEX(Results_Long!$K:$K,$F7))</f>
        <v>-0.0151867203135413</v>
      </c>
      <c r="K7" s="10" t="str">
        <f aca="false">IF(INDEX(Results_Long!$P:$P,$F7)="","NA",INDEX(Results_Long!$P:$P,$F7))</f>
        <v>NA</v>
      </c>
      <c r="L7" s="10" t="str">
        <f aca="false">IF(INDEX(Results_Long!$Q:$Q,$F7)="","NA",INDEX(Results_Long!$Q:$Q,$F7))</f>
        <v>NA</v>
      </c>
      <c r="M7" s="10" t="n">
        <f aca="false">IF(INDEX(Results_Long!$T:$T,$F7)="","NA",INDEX(Results_Long!$T:$T,$F7))</f>
        <v>-0.0151855528840342</v>
      </c>
      <c r="N7" s="10" t="str">
        <f aca="false">IF(INDEX(Results_Long!$U:$U,$F7)="","NA",INDEX(Results_Long!$U:$U,$F7))</f>
        <v>NA</v>
      </c>
      <c r="O7" s="10" t="str">
        <f aca="false">IF(INDEX(Results_Long!$V:$V,$F7)="","NA",INDEX(Results_Long!$V:$V,$F7))</f>
        <v>NA</v>
      </c>
      <c r="P7" s="10" t="str">
        <f aca="false">IF(INDEX(Results_Long!$L:$L,$F7)="","NA",INDEX(Results_Long!$L:$L,$F7))</f>
        <v>NA</v>
      </c>
      <c r="Q7" s="11" t="str">
        <f aca="false">IF(INDEX(Results_Long!$M:$M,$F7)="","NA",INDEX(Results_Long!$M:$M,$F7))</f>
        <v>NA</v>
      </c>
      <c r="R7" s="12" t="str">
        <f aca="false">IF(INDEX(Results_Long!$N:$N,$F7)="","NA",INDEX(Results_Long!$N:$N,$F7))</f>
        <v>NA</v>
      </c>
      <c r="S7" s="10" t="str">
        <f aca="false">IF(INDEX(Results_Long!$O:$O,$F7)="","NA",INDEX(Results_Long!$O:$O,$F7))</f>
        <v>NA</v>
      </c>
      <c r="T7" s="6" t="str">
        <f aca="false">IF(INDEX(Results_Long!$AG:$AG,$F7)="","NA",INDEX(Results_Long!$AG:$AG,$F7))</f>
        <v>NA</v>
      </c>
      <c r="U7" s="5" t="str">
        <f aca="false">IF(INDEX(Results_Long!$AJ:$AJ,$F7)="","NA",INDEX(Results_Long!$AJ:$AJ,$F7))</f>
        <v>descriptive tier (5-9 clusters: 8) [DEC-045 S6]: estimate only; se/CI/p suppressed by rule; window [1999, 2005) on sample_mid</v>
      </c>
      <c r="V7" s="23" t="str">
        <f aca="false">IF($I7="NA","NA",IF($I7&gt;=10,"full CR2",IF($I7&gt;=5,"descriptive (5-9)","not estimable (&lt;5)")))</f>
        <v>descriptive (5-9)</v>
      </c>
    </row>
    <row r="8" customFormat="false" ht="23.85" hidden="false" customHeight="false" outlineLevel="0" collapsed="false">
      <c r="A8" s="6" t="s">
        <v>639</v>
      </c>
      <c r="B8" s="7" t="s">
        <v>633</v>
      </c>
      <c r="C8" s="7" t="s">
        <v>634</v>
      </c>
      <c r="D8" s="7" t="s">
        <v>640</v>
      </c>
      <c r="E8" s="7" t="s">
        <v>636</v>
      </c>
      <c r="F8" s="8" t="n">
        <f aca="false">SUMPRODUCT((Results_Long!$A$2:$A$178=$B8)*(Results_Long!$B$2:$B$178=$C8)*(Results_Long!$C$2:$C$178=$D8)*(Results_Long!$D$2:$D$178=$E8)*ROW(Results_Long!$A$2:$A$178))</f>
        <v>143</v>
      </c>
      <c r="G8" s="9" t="n">
        <f aca="false">IF(INDEX(Results_Long!$H:$H,$F8)="","NA",INDEX(Results_Long!$H:$H,$F8))</f>
        <v>242</v>
      </c>
      <c r="H8" s="9" t="n">
        <f aca="false">IF(INDEX(Results_Long!$I:$I,$F8)="","NA",INDEX(Results_Long!$I:$I,$F8))</f>
        <v>8</v>
      </c>
      <c r="I8" s="9" t="n">
        <f aca="false">IF(INDEX(Results_Long!$J:$J,$F8)="","NA",INDEX(Results_Long!$J:$J,$F8))</f>
        <v>8</v>
      </c>
      <c r="J8" s="10" t="n">
        <f aca="false">IF(INDEX(Results_Long!$K:$K,$F8)="","NA",INDEX(Results_Long!$K:$K,$F8))</f>
        <v>-0.0163557163547174</v>
      </c>
      <c r="K8" s="10" t="str">
        <f aca="false">IF(INDEX(Results_Long!$P:$P,$F8)="","NA",INDEX(Results_Long!$P:$P,$F8))</f>
        <v>NA</v>
      </c>
      <c r="L8" s="10" t="str">
        <f aca="false">IF(INDEX(Results_Long!$Q:$Q,$F8)="","NA",INDEX(Results_Long!$Q:$Q,$F8))</f>
        <v>NA</v>
      </c>
      <c r="M8" s="10" t="n">
        <f aca="false">IF(INDEX(Results_Long!$T:$T,$F8)="","NA",INDEX(Results_Long!$T:$T,$F8))</f>
        <v>-0.0163542580744891</v>
      </c>
      <c r="N8" s="10" t="str">
        <f aca="false">IF(INDEX(Results_Long!$U:$U,$F8)="","NA",INDEX(Results_Long!$U:$U,$F8))</f>
        <v>NA</v>
      </c>
      <c r="O8" s="10" t="str">
        <f aca="false">IF(INDEX(Results_Long!$V:$V,$F8)="","NA",INDEX(Results_Long!$V:$V,$F8))</f>
        <v>NA</v>
      </c>
      <c r="P8" s="10" t="str">
        <f aca="false">IF(INDEX(Results_Long!$L:$L,$F8)="","NA",INDEX(Results_Long!$L:$L,$F8))</f>
        <v>NA</v>
      </c>
      <c r="Q8" s="11" t="str">
        <f aca="false">IF(INDEX(Results_Long!$M:$M,$F8)="","NA",INDEX(Results_Long!$M:$M,$F8))</f>
        <v>NA</v>
      </c>
      <c r="R8" s="12" t="str">
        <f aca="false">IF(INDEX(Results_Long!$N:$N,$F8)="","NA",INDEX(Results_Long!$N:$N,$F8))</f>
        <v>NA</v>
      </c>
      <c r="S8" s="10" t="str">
        <f aca="false">IF(INDEX(Results_Long!$O:$O,$F8)="","NA",INDEX(Results_Long!$O:$O,$F8))</f>
        <v>NA</v>
      </c>
      <c r="T8" s="6" t="str">
        <f aca="false">IF(INDEX(Results_Long!$AG:$AG,$F8)="","NA",INDEX(Results_Long!$AG:$AG,$F8))</f>
        <v>NA</v>
      </c>
      <c r="U8" s="5" t="str">
        <f aca="false">IF(INDEX(Results_Long!$AJ:$AJ,$F8)="","NA",INDEX(Results_Long!$AJ:$AJ,$F8))</f>
        <v>descriptive tier (5-9 clusters: 8) [DEC-045 S6]: estimate only; se/CI/p suppressed by rule; window [2000, 2006) on sample_mid</v>
      </c>
      <c r="V8" s="23" t="str">
        <f aca="false">IF($I8="NA","NA",IF($I8&gt;=10,"full CR2",IF($I8&gt;=5,"descriptive (5-9)","not estimable (&lt;5)")))</f>
        <v>descriptive (5-9)</v>
      </c>
    </row>
    <row r="9" customFormat="false" ht="23.85" hidden="false" customHeight="false" outlineLevel="0" collapsed="false">
      <c r="A9" s="6" t="s">
        <v>641</v>
      </c>
      <c r="B9" s="7" t="s">
        <v>633</v>
      </c>
      <c r="C9" s="7" t="s">
        <v>634</v>
      </c>
      <c r="D9" s="7" t="s">
        <v>642</v>
      </c>
      <c r="E9" s="7" t="s">
        <v>636</v>
      </c>
      <c r="F9" s="8" t="n">
        <f aca="false">SUMPRODUCT((Results_Long!$A$2:$A$178=$B9)*(Results_Long!$B$2:$B$178=$C9)*(Results_Long!$C$2:$C$178=$D9)*(Results_Long!$D$2:$D$178=$E9)*ROW(Results_Long!$A$2:$A$178))</f>
        <v>144</v>
      </c>
      <c r="G9" s="9" t="n">
        <f aca="false">IF(INDEX(Results_Long!$H:$H,$F9)="","NA",INDEX(Results_Long!$H:$H,$F9))</f>
        <v>75</v>
      </c>
      <c r="H9" s="9" t="n">
        <f aca="false">IF(INDEX(Results_Long!$I:$I,$F9)="","NA",INDEX(Results_Long!$I:$I,$F9))</f>
        <v>6</v>
      </c>
      <c r="I9" s="9" t="n">
        <f aca="false">IF(INDEX(Results_Long!$J:$J,$F9)="","NA",INDEX(Results_Long!$J:$J,$F9))</f>
        <v>6</v>
      </c>
      <c r="J9" s="10" t="n">
        <f aca="false">IF(INDEX(Results_Long!$K:$K,$F9)="","NA",INDEX(Results_Long!$K:$K,$F9))</f>
        <v>-0.0390457980034247</v>
      </c>
      <c r="K9" s="10" t="str">
        <f aca="false">IF(INDEX(Results_Long!$P:$P,$F9)="","NA",INDEX(Results_Long!$P:$P,$F9))</f>
        <v>NA</v>
      </c>
      <c r="L9" s="10" t="str">
        <f aca="false">IF(INDEX(Results_Long!$Q:$Q,$F9)="","NA",INDEX(Results_Long!$Q:$Q,$F9))</f>
        <v>NA</v>
      </c>
      <c r="M9" s="10" t="n">
        <f aca="false">IF(INDEX(Results_Long!$T:$T,$F9)="","NA",INDEX(Results_Long!$T:$T,$F9))</f>
        <v>-0.0390259673560593</v>
      </c>
      <c r="N9" s="10" t="str">
        <f aca="false">IF(INDEX(Results_Long!$U:$U,$F9)="","NA",INDEX(Results_Long!$U:$U,$F9))</f>
        <v>NA</v>
      </c>
      <c r="O9" s="10" t="str">
        <f aca="false">IF(INDEX(Results_Long!$V:$V,$F9)="","NA",INDEX(Results_Long!$V:$V,$F9))</f>
        <v>NA</v>
      </c>
      <c r="P9" s="10" t="str">
        <f aca="false">IF(INDEX(Results_Long!$L:$L,$F9)="","NA",INDEX(Results_Long!$L:$L,$F9))</f>
        <v>NA</v>
      </c>
      <c r="Q9" s="11" t="str">
        <f aca="false">IF(INDEX(Results_Long!$M:$M,$F9)="","NA",INDEX(Results_Long!$M:$M,$F9))</f>
        <v>NA</v>
      </c>
      <c r="R9" s="12" t="str">
        <f aca="false">IF(INDEX(Results_Long!$N:$N,$F9)="","NA",INDEX(Results_Long!$N:$N,$F9))</f>
        <v>NA</v>
      </c>
      <c r="S9" s="10" t="str">
        <f aca="false">IF(INDEX(Results_Long!$O:$O,$F9)="","NA",INDEX(Results_Long!$O:$O,$F9))</f>
        <v>NA</v>
      </c>
      <c r="T9" s="6" t="str">
        <f aca="false">IF(INDEX(Results_Long!$AG:$AG,$F9)="","NA",INDEX(Results_Long!$AG:$AG,$F9))</f>
        <v>NA</v>
      </c>
      <c r="U9" s="5" t="str">
        <f aca="false">IF(INDEX(Results_Long!$AJ:$AJ,$F9)="","NA",INDEX(Results_Long!$AJ:$AJ,$F9))</f>
        <v>descriptive tier (5-9 clusters: 6) [DEC-045 S6]: estimate only; se/CI/p suppressed by rule; window [2001, 2007) on sample_mid</v>
      </c>
      <c r="V9" s="23" t="str">
        <f aca="false">IF($I9="NA","NA",IF($I9&gt;=10,"full CR2",IF($I9&gt;=5,"descriptive (5-9)","not estimable (&lt;5)")))</f>
        <v>descriptive (5-9)</v>
      </c>
    </row>
    <row r="10" customFormat="false" ht="23.85" hidden="false" customHeight="false" outlineLevel="0" collapsed="false">
      <c r="A10" s="6" t="s">
        <v>643</v>
      </c>
      <c r="B10" s="7" t="s">
        <v>633</v>
      </c>
      <c r="C10" s="7" t="s">
        <v>634</v>
      </c>
      <c r="D10" s="7" t="s">
        <v>644</v>
      </c>
      <c r="E10" s="7" t="s">
        <v>636</v>
      </c>
      <c r="F10" s="8" t="n">
        <f aca="false">SUMPRODUCT((Results_Long!$A$2:$A$178=$B10)*(Results_Long!$B$2:$B$178=$C10)*(Results_Long!$C$2:$C$178=$D10)*(Results_Long!$D$2:$D$178=$E10)*ROW(Results_Long!$A$2:$A$178))</f>
        <v>145</v>
      </c>
      <c r="G10" s="9" t="n">
        <f aca="false">IF(INDEX(Results_Long!$H:$H,$F10)="","NA",INDEX(Results_Long!$H:$H,$F10))</f>
        <v>26</v>
      </c>
      <c r="H10" s="9" t="n">
        <f aca="false">IF(INDEX(Results_Long!$I:$I,$F10)="","NA",INDEX(Results_Long!$I:$I,$F10))</f>
        <v>4</v>
      </c>
      <c r="I10" s="9" t="n">
        <f aca="false">IF(INDEX(Results_Long!$J:$J,$F10)="","NA",INDEX(Results_Long!$J:$J,$F10))</f>
        <v>4</v>
      </c>
      <c r="J10" s="10" t="str">
        <f aca="false">IF(INDEX(Results_Long!$K:$K,$F10)="","NA",INDEX(Results_Long!$K:$K,$F10))</f>
        <v>NA</v>
      </c>
      <c r="K10" s="10" t="str">
        <f aca="false">IF(INDEX(Results_Long!$P:$P,$F10)="","NA",INDEX(Results_Long!$P:$P,$F10))</f>
        <v>NA</v>
      </c>
      <c r="L10" s="10" t="str">
        <f aca="false">IF(INDEX(Results_Long!$Q:$Q,$F10)="","NA",INDEX(Results_Long!$Q:$Q,$F10))</f>
        <v>NA</v>
      </c>
      <c r="M10" s="10" t="str">
        <f aca="false">IF(INDEX(Results_Long!$T:$T,$F10)="","NA",INDEX(Results_Long!$T:$T,$F10))</f>
        <v>NA</v>
      </c>
      <c r="N10" s="10" t="str">
        <f aca="false">IF(INDEX(Results_Long!$U:$U,$F10)="","NA",INDEX(Results_Long!$U:$U,$F10))</f>
        <v>NA</v>
      </c>
      <c r="O10" s="10" t="str">
        <f aca="false">IF(INDEX(Results_Long!$V:$V,$F10)="","NA",INDEX(Results_Long!$V:$V,$F10))</f>
        <v>NA</v>
      </c>
      <c r="P10" s="10" t="str">
        <f aca="false">IF(INDEX(Results_Long!$L:$L,$F10)="","NA",INDEX(Results_Long!$L:$L,$F10))</f>
        <v>NA</v>
      </c>
      <c r="Q10" s="11" t="str">
        <f aca="false">IF(INDEX(Results_Long!$M:$M,$F10)="","NA",INDEX(Results_Long!$M:$M,$F10))</f>
        <v>NA</v>
      </c>
      <c r="R10" s="12" t="str">
        <f aca="false">IF(INDEX(Results_Long!$N:$N,$F10)="","NA",INDEX(Results_Long!$N:$N,$F10))</f>
        <v>NA</v>
      </c>
      <c r="S10" s="10" t="str">
        <f aca="false">IF(INDEX(Results_Long!$O:$O,$F10)="","NA",INDEX(Results_Long!$O:$O,$F10))</f>
        <v>NA</v>
      </c>
      <c r="T10" s="6" t="str">
        <f aca="false">IF(INDEX(Results_Long!$AG:$AG,$F10)="","NA",INDEX(Results_Long!$AG:$AG,$F10))</f>
        <v>NA</v>
      </c>
      <c r="U10" s="5" t="str">
        <f aca="false">IF(INDEX(Results_Long!$AJ:$AJ,$F10)="","NA",INDEX(Results_Long!$AJ:$AJ,$F10))</f>
        <v>not_estimable: 4 clusters &lt; 5 [DEC-045 S6 tier]; window [2002, 2008); no fit attempted</v>
      </c>
      <c r="V10" s="23" t="str">
        <f aca="false">IF($I10="NA","NA",IF($I10&gt;=10,"full CR2",IF($I10&gt;=5,"descriptive (5-9)","not estimable (&lt;5)")))</f>
        <v>not estimable (&lt;5)</v>
      </c>
    </row>
    <row r="11" customFormat="false" ht="23.85" hidden="false" customHeight="false" outlineLevel="0" collapsed="false">
      <c r="A11" s="6" t="s">
        <v>645</v>
      </c>
      <c r="B11" s="7" t="s">
        <v>633</v>
      </c>
      <c r="C11" s="7" t="s">
        <v>634</v>
      </c>
      <c r="D11" s="7" t="s">
        <v>646</v>
      </c>
      <c r="E11" s="7" t="s">
        <v>636</v>
      </c>
      <c r="F11" s="8" t="n">
        <f aca="false">SUMPRODUCT((Results_Long!$A$2:$A$178=$B11)*(Results_Long!$B$2:$B$178=$C11)*(Results_Long!$C$2:$C$178=$D11)*(Results_Long!$D$2:$D$178=$E11)*ROW(Results_Long!$A$2:$A$178))</f>
        <v>146</v>
      </c>
      <c r="G11" s="9" t="n">
        <f aca="false">IF(INDEX(Results_Long!$H:$H,$F11)="","NA",INDEX(Results_Long!$H:$H,$F11))</f>
        <v>67</v>
      </c>
      <c r="H11" s="9" t="n">
        <f aca="false">IF(INDEX(Results_Long!$I:$I,$F11)="","NA",INDEX(Results_Long!$I:$I,$F11))</f>
        <v>7</v>
      </c>
      <c r="I11" s="9" t="n">
        <f aca="false">IF(INDEX(Results_Long!$J:$J,$F11)="","NA",INDEX(Results_Long!$J:$J,$F11))</f>
        <v>7</v>
      </c>
      <c r="J11" s="10" t="n">
        <f aca="false">IF(INDEX(Results_Long!$K:$K,$F11)="","NA",INDEX(Results_Long!$K:$K,$F11))</f>
        <v>-0.0647975129023523</v>
      </c>
      <c r="K11" s="10" t="str">
        <f aca="false">IF(INDEX(Results_Long!$P:$P,$F11)="","NA",INDEX(Results_Long!$P:$P,$F11))</f>
        <v>NA</v>
      </c>
      <c r="L11" s="10" t="str">
        <f aca="false">IF(INDEX(Results_Long!$Q:$Q,$F11)="","NA",INDEX(Results_Long!$Q:$Q,$F11))</f>
        <v>NA</v>
      </c>
      <c r="M11" s="10" t="n">
        <f aca="false">IF(INDEX(Results_Long!$T:$T,$F11)="","NA",INDEX(Results_Long!$T:$T,$F11))</f>
        <v>-0.0647069761336669</v>
      </c>
      <c r="N11" s="10" t="str">
        <f aca="false">IF(INDEX(Results_Long!$U:$U,$F11)="","NA",INDEX(Results_Long!$U:$U,$F11))</f>
        <v>NA</v>
      </c>
      <c r="O11" s="10" t="str">
        <f aca="false">IF(INDEX(Results_Long!$V:$V,$F11)="","NA",INDEX(Results_Long!$V:$V,$F11))</f>
        <v>NA</v>
      </c>
      <c r="P11" s="10" t="str">
        <f aca="false">IF(INDEX(Results_Long!$L:$L,$F11)="","NA",INDEX(Results_Long!$L:$L,$F11))</f>
        <v>NA</v>
      </c>
      <c r="Q11" s="11" t="str">
        <f aca="false">IF(INDEX(Results_Long!$M:$M,$F11)="","NA",INDEX(Results_Long!$M:$M,$F11))</f>
        <v>NA</v>
      </c>
      <c r="R11" s="12" t="str">
        <f aca="false">IF(INDEX(Results_Long!$N:$N,$F11)="","NA",INDEX(Results_Long!$N:$N,$F11))</f>
        <v>NA</v>
      </c>
      <c r="S11" s="10" t="str">
        <f aca="false">IF(INDEX(Results_Long!$O:$O,$F11)="","NA",INDEX(Results_Long!$O:$O,$F11))</f>
        <v>NA</v>
      </c>
      <c r="T11" s="6" t="str">
        <f aca="false">IF(INDEX(Results_Long!$AG:$AG,$F11)="","NA",INDEX(Results_Long!$AG:$AG,$F11))</f>
        <v>NA</v>
      </c>
      <c r="U11" s="5" t="str">
        <f aca="false">IF(INDEX(Results_Long!$AJ:$AJ,$F11)="","NA",INDEX(Results_Long!$AJ:$AJ,$F11))</f>
        <v>descriptive tier (5-9 clusters: 7) [DEC-045 S6]: estimate only; se/CI/p suppressed by rule; window [2003, 2009) on sample_mid</v>
      </c>
      <c r="V11" s="23" t="str">
        <f aca="false">IF($I11="NA","NA",IF($I11&gt;=10,"full CR2",IF($I11&gt;=5,"descriptive (5-9)","not estimable (&lt;5)")))</f>
        <v>descriptive (5-9)</v>
      </c>
    </row>
    <row r="12" customFormat="false" ht="23.85" hidden="false" customHeight="false" outlineLevel="0" collapsed="false">
      <c r="A12" s="6" t="s">
        <v>647</v>
      </c>
      <c r="B12" s="7" t="s">
        <v>633</v>
      </c>
      <c r="C12" s="7" t="s">
        <v>634</v>
      </c>
      <c r="D12" s="7" t="s">
        <v>648</v>
      </c>
      <c r="E12" s="7" t="s">
        <v>636</v>
      </c>
      <c r="F12" s="8" t="n">
        <f aca="false">SUMPRODUCT((Results_Long!$A$2:$A$178=$B12)*(Results_Long!$B$2:$B$178=$C12)*(Results_Long!$C$2:$C$178=$D12)*(Results_Long!$D$2:$D$178=$E12)*ROW(Results_Long!$A$2:$A$178))</f>
        <v>147</v>
      </c>
      <c r="G12" s="9" t="n">
        <f aca="false">IF(INDEX(Results_Long!$H:$H,$F12)="","NA",INDEX(Results_Long!$H:$H,$F12))</f>
        <v>85</v>
      </c>
      <c r="H12" s="9" t="n">
        <f aca="false">IF(INDEX(Results_Long!$I:$I,$F12)="","NA",INDEX(Results_Long!$I:$I,$F12))</f>
        <v>8</v>
      </c>
      <c r="I12" s="9" t="n">
        <f aca="false">IF(INDEX(Results_Long!$J:$J,$F12)="","NA",INDEX(Results_Long!$J:$J,$F12))</f>
        <v>8</v>
      </c>
      <c r="J12" s="10" t="n">
        <f aca="false">IF(INDEX(Results_Long!$K:$K,$F12)="","NA",INDEX(Results_Long!$K:$K,$F12))</f>
        <v>-0.071015842557823</v>
      </c>
      <c r="K12" s="10" t="str">
        <f aca="false">IF(INDEX(Results_Long!$P:$P,$F12)="","NA",INDEX(Results_Long!$P:$P,$F12))</f>
        <v>NA</v>
      </c>
      <c r="L12" s="10" t="str">
        <f aca="false">IF(INDEX(Results_Long!$Q:$Q,$F12)="","NA",INDEX(Results_Long!$Q:$Q,$F12))</f>
        <v>NA</v>
      </c>
      <c r="M12" s="10" t="n">
        <f aca="false">IF(INDEX(Results_Long!$T:$T,$F12)="","NA",INDEX(Results_Long!$T:$T,$F12))</f>
        <v>-0.0708966993528127</v>
      </c>
      <c r="N12" s="10" t="str">
        <f aca="false">IF(INDEX(Results_Long!$U:$U,$F12)="","NA",INDEX(Results_Long!$U:$U,$F12))</f>
        <v>NA</v>
      </c>
      <c r="O12" s="10" t="str">
        <f aca="false">IF(INDEX(Results_Long!$V:$V,$F12)="","NA",INDEX(Results_Long!$V:$V,$F12))</f>
        <v>NA</v>
      </c>
      <c r="P12" s="10" t="str">
        <f aca="false">IF(INDEX(Results_Long!$L:$L,$F12)="","NA",INDEX(Results_Long!$L:$L,$F12))</f>
        <v>NA</v>
      </c>
      <c r="Q12" s="11" t="str">
        <f aca="false">IF(INDEX(Results_Long!$M:$M,$F12)="","NA",INDEX(Results_Long!$M:$M,$F12))</f>
        <v>NA</v>
      </c>
      <c r="R12" s="12" t="str">
        <f aca="false">IF(INDEX(Results_Long!$N:$N,$F12)="","NA",INDEX(Results_Long!$N:$N,$F12))</f>
        <v>NA</v>
      </c>
      <c r="S12" s="10" t="str">
        <f aca="false">IF(INDEX(Results_Long!$O:$O,$F12)="","NA",INDEX(Results_Long!$O:$O,$F12))</f>
        <v>NA</v>
      </c>
      <c r="T12" s="6" t="str">
        <f aca="false">IF(INDEX(Results_Long!$AG:$AG,$F12)="","NA",INDEX(Results_Long!$AG:$AG,$F12))</f>
        <v>NA</v>
      </c>
      <c r="U12" s="5" t="str">
        <f aca="false">IF(INDEX(Results_Long!$AJ:$AJ,$F12)="","NA",INDEX(Results_Long!$AJ:$AJ,$F12))</f>
        <v>descriptive tier (5-9 clusters: 8) [DEC-045 S6]: estimate only; se/CI/p suppressed by rule; window [2004, 2010) on sample_mid</v>
      </c>
      <c r="V12" s="23" t="str">
        <f aca="false">IF($I12="NA","NA",IF($I12&gt;=10,"full CR2",IF($I12&gt;=5,"descriptive (5-9)","not estimable (&lt;5)")))</f>
        <v>descriptive (5-9)</v>
      </c>
    </row>
    <row r="13" customFormat="false" ht="23.85" hidden="false" customHeight="false" outlineLevel="0" collapsed="false">
      <c r="A13" s="6" t="s">
        <v>649</v>
      </c>
      <c r="B13" s="7" t="s">
        <v>633</v>
      </c>
      <c r="C13" s="7" t="s">
        <v>634</v>
      </c>
      <c r="D13" s="7" t="s">
        <v>650</v>
      </c>
      <c r="E13" s="7" t="s">
        <v>636</v>
      </c>
      <c r="F13" s="8" t="n">
        <f aca="false">SUMPRODUCT((Results_Long!$A$2:$A$178=$B13)*(Results_Long!$B$2:$B$178=$C13)*(Results_Long!$C$2:$C$178=$D13)*(Results_Long!$D$2:$D$178=$E13)*ROW(Results_Long!$A$2:$A$178))</f>
        <v>148</v>
      </c>
      <c r="G13" s="9" t="n">
        <f aca="false">IF(INDEX(Results_Long!$H:$H,$F13)="","NA",INDEX(Results_Long!$H:$H,$F13))</f>
        <v>436</v>
      </c>
      <c r="H13" s="9" t="n">
        <f aca="false">IF(INDEX(Results_Long!$I:$I,$F13)="","NA",INDEX(Results_Long!$I:$I,$F13))</f>
        <v>18</v>
      </c>
      <c r="I13" s="9" t="n">
        <f aca="false">IF(INDEX(Results_Long!$J:$J,$F13)="","NA",INDEX(Results_Long!$J:$J,$F13))</f>
        <v>18</v>
      </c>
      <c r="J13" s="10" t="n">
        <f aca="false">IF(INDEX(Results_Long!$K:$K,$F13)="","NA",INDEX(Results_Long!$K:$K,$F13))</f>
        <v>-0.0413009891868406</v>
      </c>
      <c r="K13" s="10" t="n">
        <f aca="false">IF(INDEX(Results_Long!$P:$P,$F13)="","NA",INDEX(Results_Long!$P:$P,$F13))</f>
        <v>-0.063075731140246</v>
      </c>
      <c r="L13" s="10" t="n">
        <f aca="false">IF(INDEX(Results_Long!$Q:$Q,$F13)="","NA",INDEX(Results_Long!$Q:$Q,$F13))</f>
        <v>-0.0195262472334352</v>
      </c>
      <c r="M13" s="10" t="n">
        <f aca="false">IF(INDEX(Results_Long!$T:$T,$F13)="","NA",INDEX(Results_Long!$T:$T,$F13))</f>
        <v>-0.041277521845728</v>
      </c>
      <c r="N13" s="10" t="n">
        <f aca="false">IF(INDEX(Results_Long!$U:$U,$F13)="","NA",INDEX(Results_Long!$U:$U,$F13))</f>
        <v>-0.0629922141099708</v>
      </c>
      <c r="O13" s="10" t="n">
        <f aca="false">IF(INDEX(Results_Long!$V:$V,$F13)="","NA",INDEX(Results_Long!$V:$V,$F13))</f>
        <v>-0.0195237659928974</v>
      </c>
      <c r="P13" s="10" t="n">
        <f aca="false">IF(INDEX(Results_Long!$L:$L,$F13)="","NA",INDEX(Results_Long!$L:$L,$F13))</f>
        <v>0.0102055137453229</v>
      </c>
      <c r="Q13" s="11" t="n">
        <f aca="false">IF(INDEX(Results_Long!$M:$M,$F13)="","NA",INDEX(Results_Long!$M:$M,$F13))</f>
        <v>-4.04692896580229</v>
      </c>
      <c r="R13" s="12" t="n">
        <f aca="false">IF(INDEX(Results_Long!$N:$N,$F13)="","NA",INDEX(Results_Long!$N:$N,$F13))</f>
        <v>14.8264004632891</v>
      </c>
      <c r="S13" s="10" t="n">
        <f aca="false">IF(INDEX(Results_Long!$O:$O,$F13)="","NA",INDEX(Results_Long!$O:$O,$F13))</f>
        <v>0.00107707738147215</v>
      </c>
      <c r="T13" s="6" t="str">
        <f aca="false">IF(INDEX(Results_Long!$AG:$AG,$F13)="","NA",INDEX(Results_Long!$AG:$AG,$F13))</f>
        <v>NA</v>
      </c>
      <c r="U13" s="5" t="str">
        <f aca="false">IF(INDEX(Results_Long!$AJ:$AJ,$F13)="","NA",INDEX(Results_Long!$AJ:$AJ,$F13))</f>
        <v>full-inference tier (&gt;= 10 clusters: 18) [DEC-045 S6]; window [2005, 2011) on sample_mid; width 6 y, step 1 y, anchor 1998</v>
      </c>
      <c r="V13" s="23" t="str">
        <f aca="false">IF($I13="NA","NA",IF($I13&gt;=10,"full CR2",IF($I13&gt;=5,"descriptive (5-9)","not estimable (&lt;5)")))</f>
        <v>full CR2</v>
      </c>
    </row>
    <row r="14" customFormat="false" ht="23.85" hidden="false" customHeight="false" outlineLevel="0" collapsed="false">
      <c r="A14" s="6" t="s">
        <v>651</v>
      </c>
      <c r="B14" s="7" t="s">
        <v>633</v>
      </c>
      <c r="C14" s="7" t="s">
        <v>634</v>
      </c>
      <c r="D14" s="7" t="s">
        <v>652</v>
      </c>
      <c r="E14" s="7" t="s">
        <v>636</v>
      </c>
      <c r="F14" s="8" t="n">
        <f aca="false">SUMPRODUCT((Results_Long!$A$2:$A$178=$B14)*(Results_Long!$B$2:$B$178=$C14)*(Results_Long!$C$2:$C$178=$D14)*(Results_Long!$D$2:$D$178=$E14)*ROW(Results_Long!$A$2:$A$178))</f>
        <v>149</v>
      </c>
      <c r="G14" s="9" t="n">
        <f aca="false">IF(INDEX(Results_Long!$H:$H,$F14)="","NA",INDEX(Results_Long!$H:$H,$F14))</f>
        <v>674</v>
      </c>
      <c r="H14" s="9" t="n">
        <f aca="false">IF(INDEX(Results_Long!$I:$I,$F14)="","NA",INDEX(Results_Long!$I:$I,$F14))</f>
        <v>24</v>
      </c>
      <c r="I14" s="9" t="n">
        <f aca="false">IF(INDEX(Results_Long!$J:$J,$F14)="","NA",INDEX(Results_Long!$J:$J,$F14))</f>
        <v>24</v>
      </c>
      <c r="J14" s="10" t="n">
        <f aca="false">IF(INDEX(Results_Long!$K:$K,$F14)="","NA",INDEX(Results_Long!$K:$K,$F14))</f>
        <v>-0.0529028642889355</v>
      </c>
      <c r="K14" s="10" t="n">
        <f aca="false">IF(INDEX(Results_Long!$P:$P,$F14)="","NA",INDEX(Results_Long!$P:$P,$F14))</f>
        <v>-0.0752346533835998</v>
      </c>
      <c r="L14" s="10" t="n">
        <f aca="false">IF(INDEX(Results_Long!$Q:$Q,$F14)="","NA",INDEX(Results_Long!$Q:$Q,$F14))</f>
        <v>-0.0305710751942711</v>
      </c>
      <c r="M14" s="10" t="n">
        <f aca="false">IF(INDEX(Results_Long!$T:$T,$F14)="","NA",INDEX(Results_Long!$T:$T,$F14))</f>
        <v>-0.0528535661644996</v>
      </c>
      <c r="N14" s="10" t="n">
        <f aca="false">IF(INDEX(Results_Long!$U:$U,$F14)="","NA",INDEX(Results_Long!$U:$U,$F14))</f>
        <v>-0.0750930249767535</v>
      </c>
      <c r="O14" s="10" t="n">
        <f aca="false">IF(INDEX(Results_Long!$V:$V,$F14)="","NA",INDEX(Results_Long!$V:$V,$F14))</f>
        <v>-0.0305615549397094</v>
      </c>
      <c r="P14" s="10" t="n">
        <f aca="false">IF(INDEX(Results_Long!$L:$L,$F14)="","NA",INDEX(Results_Long!$L:$L,$F14))</f>
        <v>0.010733015214344</v>
      </c>
      <c r="Q14" s="11" t="n">
        <f aca="false">IF(INDEX(Results_Long!$M:$M,$F14)="","NA",INDEX(Results_Long!$M:$M,$F14))</f>
        <v>-4.92898437507421</v>
      </c>
      <c r="R14" s="12" t="n">
        <f aca="false">IF(INDEX(Results_Long!$N:$N,$F14)="","NA",INDEX(Results_Long!$N:$N,$F14))</f>
        <v>20.8274960998527</v>
      </c>
      <c r="S14" s="10" t="n">
        <f aca="false">IF(INDEX(Results_Long!$O:$O,$F14)="","NA",INDEX(Results_Long!$O:$O,$F14))</f>
        <v>7.24897851100334E-005</v>
      </c>
      <c r="T14" s="6" t="str">
        <f aca="false">IF(INDEX(Results_Long!$AG:$AG,$F14)="","NA",INDEX(Results_Long!$AG:$AG,$F14))</f>
        <v>NA</v>
      </c>
      <c r="U14" s="5" t="str">
        <f aca="false">IF(INDEX(Results_Long!$AJ:$AJ,$F14)="","NA",INDEX(Results_Long!$AJ:$AJ,$F14))</f>
        <v>full-inference tier (&gt;= 10 clusters: 24) [DEC-045 S6]; window [2006, 2012) on sample_mid; width 6 y, step 1 y, anchor 1998</v>
      </c>
      <c r="V14" s="23" t="str">
        <f aca="false">IF($I14="NA","NA",IF($I14&gt;=10,"full CR2",IF($I14&gt;=5,"descriptive (5-9)","not estimable (&lt;5)")))</f>
        <v>full CR2</v>
      </c>
    </row>
    <row r="15" customFormat="false" ht="23.85" hidden="false" customHeight="false" outlineLevel="0" collapsed="false">
      <c r="A15" s="6" t="s">
        <v>653</v>
      </c>
      <c r="B15" s="7" t="s">
        <v>633</v>
      </c>
      <c r="C15" s="7" t="s">
        <v>634</v>
      </c>
      <c r="D15" s="7" t="s">
        <v>654</v>
      </c>
      <c r="E15" s="7" t="s">
        <v>636</v>
      </c>
      <c r="F15" s="8" t="n">
        <f aca="false">SUMPRODUCT((Results_Long!$A$2:$A$178=$B15)*(Results_Long!$B$2:$B$178=$C15)*(Results_Long!$C$2:$C$178=$D15)*(Results_Long!$D$2:$D$178=$E15)*ROW(Results_Long!$A$2:$A$178))</f>
        <v>150</v>
      </c>
      <c r="G15" s="9" t="n">
        <f aca="false">IF(INDEX(Results_Long!$H:$H,$F15)="","NA",INDEX(Results_Long!$H:$H,$F15))</f>
        <v>1008</v>
      </c>
      <c r="H15" s="9" t="n">
        <f aca="false">IF(INDEX(Results_Long!$I:$I,$F15)="","NA",INDEX(Results_Long!$I:$I,$F15))</f>
        <v>43</v>
      </c>
      <c r="I15" s="9" t="n">
        <f aca="false">IF(INDEX(Results_Long!$J:$J,$F15)="","NA",INDEX(Results_Long!$J:$J,$F15))</f>
        <v>42</v>
      </c>
      <c r="J15" s="10" t="n">
        <f aca="false">IF(INDEX(Results_Long!$K:$K,$F15)="","NA",INDEX(Results_Long!$K:$K,$F15))</f>
        <v>-0.0868017253807189</v>
      </c>
      <c r="K15" s="10" t="n">
        <f aca="false">IF(INDEX(Results_Long!$P:$P,$F15)="","NA",INDEX(Results_Long!$P:$P,$F15))</f>
        <v>-0.167633561827241</v>
      </c>
      <c r="L15" s="10" t="n">
        <f aca="false">IF(INDEX(Results_Long!$Q:$Q,$F15)="","NA",INDEX(Results_Long!$Q:$Q,$F15))</f>
        <v>-0.00596988893419723</v>
      </c>
      <c r="M15" s="10" t="n">
        <f aca="false">IF(INDEX(Results_Long!$T:$T,$F15)="","NA",INDEX(Results_Long!$T:$T,$F15))</f>
        <v>-0.0865843767290034</v>
      </c>
      <c r="N15" s="10" t="n">
        <f aca="false">IF(INDEX(Results_Long!$U:$U,$F15)="","NA",INDEX(Results_Long!$U:$U,$F15))</f>
        <v>-0.166080789096912</v>
      </c>
      <c r="O15" s="10" t="n">
        <f aca="false">IF(INDEX(Results_Long!$V:$V,$F15)="","NA",INDEX(Results_Long!$V:$V,$F15))</f>
        <v>-0.00596981801377567</v>
      </c>
      <c r="P15" s="10" t="n">
        <f aca="false">IF(INDEX(Results_Long!$L:$L,$F15)="","NA",INDEX(Results_Long!$L:$L,$F15))</f>
        <v>0.0400228752135967</v>
      </c>
      <c r="Q15" s="11" t="n">
        <f aca="false">IF(INDEX(Results_Long!$M:$M,$F15)="","NA",INDEX(Results_Long!$M:$M,$F15))</f>
        <v>-2.1688028388133</v>
      </c>
      <c r="R15" s="12" t="n">
        <f aca="false">IF(INDEX(Results_Long!$N:$N,$F15)="","NA",INDEX(Results_Long!$N:$N,$F15))</f>
        <v>40.9332974233585</v>
      </c>
      <c r="S15" s="10" t="n">
        <f aca="false">IF(INDEX(Results_Long!$O:$O,$F15)="","NA",INDEX(Results_Long!$O:$O,$F15))</f>
        <v>0.0359608271253813</v>
      </c>
      <c r="T15" s="6" t="str">
        <f aca="false">IF(INDEX(Results_Long!$AG:$AG,$F15)="","NA",INDEX(Results_Long!$AG:$AG,$F15))</f>
        <v>NA</v>
      </c>
      <c r="U15" s="5" t="str">
        <f aca="false">IF(INDEX(Results_Long!$AJ:$AJ,$F15)="","NA",INDEX(Results_Long!$AJ:$AJ,$F15))</f>
        <v>full-inference tier (&gt;= 10 clusters: 42) [DEC-045 S6]; window [2007, 2013) on sample_mid; width 6 y, step 1 y, anchor 1998</v>
      </c>
      <c r="V15" s="23" t="str">
        <f aca="false">IF($I15="NA","NA",IF($I15&gt;=10,"full CR2",IF($I15&gt;=5,"descriptive (5-9)","not estimable (&lt;5)")))</f>
        <v>full CR2</v>
      </c>
    </row>
    <row r="16" customFormat="false" ht="23.85" hidden="false" customHeight="false" outlineLevel="0" collapsed="false">
      <c r="A16" s="6" t="s">
        <v>655</v>
      </c>
      <c r="B16" s="7" t="s">
        <v>633</v>
      </c>
      <c r="C16" s="7" t="s">
        <v>634</v>
      </c>
      <c r="D16" s="7" t="s">
        <v>656</v>
      </c>
      <c r="E16" s="7" t="s">
        <v>636</v>
      </c>
      <c r="F16" s="8" t="n">
        <f aca="false">SUMPRODUCT((Results_Long!$A$2:$A$178=$B16)*(Results_Long!$B$2:$B$178=$C16)*(Results_Long!$C$2:$C$178=$D16)*(Results_Long!$D$2:$D$178=$E16)*ROW(Results_Long!$A$2:$A$178))</f>
        <v>151</v>
      </c>
      <c r="G16" s="9" t="n">
        <f aca="false">IF(INDEX(Results_Long!$H:$H,$F16)="","NA",INDEX(Results_Long!$H:$H,$F16))</f>
        <v>1368</v>
      </c>
      <c r="H16" s="9" t="n">
        <f aca="false">IF(INDEX(Results_Long!$I:$I,$F16)="","NA",INDEX(Results_Long!$I:$I,$F16))</f>
        <v>54</v>
      </c>
      <c r="I16" s="9" t="n">
        <f aca="false">IF(INDEX(Results_Long!$J:$J,$F16)="","NA",INDEX(Results_Long!$J:$J,$F16))</f>
        <v>53</v>
      </c>
      <c r="J16" s="10" t="n">
        <f aca="false">IF(INDEX(Results_Long!$K:$K,$F16)="","NA",INDEX(Results_Long!$K:$K,$F16))</f>
        <v>-0.0735286798305864</v>
      </c>
      <c r="K16" s="10" t="n">
        <f aca="false">IF(INDEX(Results_Long!$P:$P,$F16)="","NA",INDEX(Results_Long!$P:$P,$F16))</f>
        <v>-0.137615130835367</v>
      </c>
      <c r="L16" s="10" t="n">
        <f aca="false">IF(INDEX(Results_Long!$Q:$Q,$F16)="","NA",INDEX(Results_Long!$Q:$Q,$F16))</f>
        <v>-0.00944222882580624</v>
      </c>
      <c r="M16" s="10" t="n">
        <f aca="false">IF(INDEX(Results_Long!$T:$T,$F16)="","NA",INDEX(Results_Long!$T:$T,$F16))</f>
        <v>-0.0733964556484058</v>
      </c>
      <c r="N16" s="10" t="n">
        <f aca="false">IF(INDEX(Results_Long!$U:$U,$F16)="","NA",INDEX(Results_Long!$U:$U,$F16))</f>
        <v>-0.136752946466005</v>
      </c>
      <c r="O16" s="10" t="n">
        <f aca="false">IF(INDEX(Results_Long!$V:$V,$F16)="","NA",INDEX(Results_Long!$V:$V,$F16))</f>
        <v>-0.0094419482263528</v>
      </c>
      <c r="P16" s="10" t="n">
        <f aca="false">IF(INDEX(Results_Long!$L:$L,$F16)="","NA",INDEX(Results_Long!$L:$L,$F16))</f>
        <v>0.0319360718287606</v>
      </c>
      <c r="Q16" s="11" t="n">
        <f aca="false">IF(INDEX(Results_Long!$M:$M,$F16)="","NA",INDEX(Results_Long!$M:$M,$F16))</f>
        <v>-2.30237081832866</v>
      </c>
      <c r="R16" s="12" t="n">
        <f aca="false">IF(INDEX(Results_Long!$N:$N,$F16)="","NA",INDEX(Results_Long!$N:$N,$F16))</f>
        <v>51.930738722037</v>
      </c>
      <c r="S16" s="10" t="n">
        <f aca="false">IF(INDEX(Results_Long!$O:$O,$F16)="","NA",INDEX(Results_Long!$O:$O,$F16))</f>
        <v>0.0253546231111798</v>
      </c>
      <c r="T16" s="6" t="str">
        <f aca="false">IF(INDEX(Results_Long!$AG:$AG,$F16)="","NA",INDEX(Results_Long!$AG:$AG,$F16))</f>
        <v>NA</v>
      </c>
      <c r="U16" s="5" t="str">
        <f aca="false">IF(INDEX(Results_Long!$AJ:$AJ,$F16)="","NA",INDEX(Results_Long!$AJ:$AJ,$F16))</f>
        <v>full-inference tier (&gt;= 10 clusters: 53) [DEC-045 S6]; window [2008, 2014) on sample_mid; width 6 y, step 1 y, anchor 1998</v>
      </c>
      <c r="V16" s="23" t="str">
        <f aca="false">IF($I16="NA","NA",IF($I16&gt;=10,"full CR2",IF($I16&gt;=5,"descriptive (5-9)","not estimable (&lt;5)")))</f>
        <v>full CR2</v>
      </c>
    </row>
    <row r="17" customFormat="false" ht="23.85" hidden="false" customHeight="false" outlineLevel="0" collapsed="false">
      <c r="A17" s="6" t="s">
        <v>657</v>
      </c>
      <c r="B17" s="7" t="s">
        <v>633</v>
      </c>
      <c r="C17" s="7" t="s">
        <v>634</v>
      </c>
      <c r="D17" s="7" t="s">
        <v>658</v>
      </c>
      <c r="E17" s="7" t="s">
        <v>636</v>
      </c>
      <c r="F17" s="8" t="n">
        <f aca="false">SUMPRODUCT((Results_Long!$A$2:$A$178=$B17)*(Results_Long!$B$2:$B$178=$C17)*(Results_Long!$C$2:$C$178=$D17)*(Results_Long!$D$2:$D$178=$E17)*ROW(Results_Long!$A$2:$A$178))</f>
        <v>152</v>
      </c>
      <c r="G17" s="9" t="n">
        <f aca="false">IF(INDEX(Results_Long!$H:$H,$F17)="","NA",INDEX(Results_Long!$H:$H,$F17))</f>
        <v>1552</v>
      </c>
      <c r="H17" s="9" t="n">
        <f aca="false">IF(INDEX(Results_Long!$I:$I,$F17)="","NA",INDEX(Results_Long!$I:$I,$F17))</f>
        <v>63</v>
      </c>
      <c r="I17" s="9" t="n">
        <f aca="false">IF(INDEX(Results_Long!$J:$J,$F17)="","NA",INDEX(Results_Long!$J:$J,$F17))</f>
        <v>62</v>
      </c>
      <c r="J17" s="10" t="n">
        <f aca="false">IF(INDEX(Results_Long!$K:$K,$F17)="","NA",INDEX(Results_Long!$K:$K,$F17))</f>
        <v>-0.0664722263466644</v>
      </c>
      <c r="K17" s="10" t="n">
        <f aca="false">IF(INDEX(Results_Long!$P:$P,$F17)="","NA",INDEX(Results_Long!$P:$P,$F17))</f>
        <v>-0.117909969476232</v>
      </c>
      <c r="L17" s="10" t="n">
        <f aca="false">IF(INDEX(Results_Long!$Q:$Q,$F17)="","NA",INDEX(Results_Long!$Q:$Q,$F17))</f>
        <v>-0.0150344832170971</v>
      </c>
      <c r="M17" s="10" t="n">
        <f aca="false">IF(INDEX(Results_Long!$T:$T,$F17)="","NA",INDEX(Results_Long!$T:$T,$F17))</f>
        <v>-0.066374495304181</v>
      </c>
      <c r="N17" s="10" t="n">
        <f aca="false">IF(INDEX(Results_Long!$U:$U,$F17)="","NA",INDEX(Results_Long!$U:$U,$F17))</f>
        <v>-0.11736656649247</v>
      </c>
      <c r="O17" s="10" t="n">
        <f aca="false">IF(INDEX(Results_Long!$V:$V,$F17)="","NA",INDEX(Results_Long!$V:$V,$F17))</f>
        <v>-0.015033350542933</v>
      </c>
      <c r="P17" s="10" t="n">
        <f aca="false">IF(INDEX(Results_Long!$L:$L,$F17)="","NA",INDEX(Results_Long!$L:$L,$F17))</f>
        <v>0.0257207336653234</v>
      </c>
      <c r="Q17" s="11" t="n">
        <f aca="false">IF(INDEX(Results_Long!$M:$M,$F17)="","NA",INDEX(Results_Long!$M:$M,$F17))</f>
        <v>-2.5843829811232</v>
      </c>
      <c r="R17" s="12" t="n">
        <f aca="false">IF(INDEX(Results_Long!$N:$N,$F17)="","NA",INDEX(Results_Long!$N:$N,$F17))</f>
        <v>60.6526577546012</v>
      </c>
      <c r="S17" s="10" t="n">
        <f aca="false">IF(INDEX(Results_Long!$O:$O,$F17)="","NA",INDEX(Results_Long!$O:$O,$F17))</f>
        <v>0.0121786406101609</v>
      </c>
      <c r="T17" s="6" t="str">
        <f aca="false">IF(INDEX(Results_Long!$AG:$AG,$F17)="","NA",INDEX(Results_Long!$AG:$AG,$F17))</f>
        <v>NA</v>
      </c>
      <c r="U17" s="5" t="str">
        <f aca="false">IF(INDEX(Results_Long!$AJ:$AJ,$F17)="","NA",INDEX(Results_Long!$AJ:$AJ,$F17))</f>
        <v>full-inference tier (&gt;= 10 clusters: 62) [DEC-045 S6]; window [2009, 2015) on sample_mid; width 6 y, step 1 y, anchor 1998</v>
      </c>
      <c r="V17" s="23" t="str">
        <f aca="false">IF($I17="NA","NA",IF($I17&gt;=10,"full CR2",IF($I17&gt;=5,"descriptive (5-9)","not estimable (&lt;5)")))</f>
        <v>full CR2</v>
      </c>
    </row>
    <row r="18" customFormat="false" ht="23.85" hidden="false" customHeight="false" outlineLevel="0" collapsed="false">
      <c r="A18" s="6" t="s">
        <v>659</v>
      </c>
      <c r="B18" s="7" t="s">
        <v>633</v>
      </c>
      <c r="C18" s="7" t="s">
        <v>634</v>
      </c>
      <c r="D18" s="7" t="s">
        <v>660</v>
      </c>
      <c r="E18" s="7" t="s">
        <v>636</v>
      </c>
      <c r="F18" s="8" t="n">
        <f aca="false">SUMPRODUCT((Results_Long!$A$2:$A$178=$B18)*(Results_Long!$B$2:$B$178=$C18)*(Results_Long!$C$2:$C$178=$D18)*(Results_Long!$D$2:$D$178=$E18)*ROW(Results_Long!$A$2:$A$178))</f>
        <v>153</v>
      </c>
      <c r="G18" s="9" t="n">
        <f aca="false">IF(INDEX(Results_Long!$H:$H,$F18)="","NA",INDEX(Results_Long!$H:$H,$F18))</f>
        <v>1676</v>
      </c>
      <c r="H18" s="9" t="n">
        <f aca="false">IF(INDEX(Results_Long!$I:$I,$F18)="","NA",INDEX(Results_Long!$I:$I,$F18))</f>
        <v>72</v>
      </c>
      <c r="I18" s="9" t="n">
        <f aca="false">IF(INDEX(Results_Long!$J:$J,$F18)="","NA",INDEX(Results_Long!$J:$J,$F18))</f>
        <v>71</v>
      </c>
      <c r="J18" s="10" t="n">
        <f aca="false">IF(INDEX(Results_Long!$K:$K,$F18)="","NA",INDEX(Results_Long!$K:$K,$F18))</f>
        <v>-0.0624324184390401</v>
      </c>
      <c r="K18" s="10" t="n">
        <f aca="false">IF(INDEX(Results_Long!$P:$P,$F18)="","NA",INDEX(Results_Long!$P:$P,$F18))</f>
        <v>-0.106857030455107</v>
      </c>
      <c r="L18" s="10" t="n">
        <f aca="false">IF(INDEX(Results_Long!$Q:$Q,$F18)="","NA",INDEX(Results_Long!$Q:$Q,$F18))</f>
        <v>-0.0180078064229735</v>
      </c>
      <c r="M18" s="10" t="n">
        <f aca="false">IF(INDEX(Results_Long!$T:$T,$F18)="","NA",INDEX(Results_Long!$T:$T,$F18))</f>
        <v>-0.0623514282071975</v>
      </c>
      <c r="N18" s="10" t="n">
        <f aca="false">IF(INDEX(Results_Long!$U:$U,$F18)="","NA",INDEX(Results_Long!$U:$U,$F18))</f>
        <v>-0.106452166523497</v>
      </c>
      <c r="O18" s="10" t="n">
        <f aca="false">IF(INDEX(Results_Long!$V:$V,$F18)="","NA",INDEX(Results_Long!$V:$V,$F18))</f>
        <v>-0.0180058601450514</v>
      </c>
      <c r="P18" s="10" t="n">
        <f aca="false">IF(INDEX(Results_Long!$L:$L,$F18)="","NA",INDEX(Results_Long!$L:$L,$F18))</f>
        <v>0.0222712712514535</v>
      </c>
      <c r="Q18" s="11" t="n">
        <f aca="false">IF(INDEX(Results_Long!$M:$M,$F18)="","NA",INDEX(Results_Long!$M:$M,$F18))</f>
        <v>-2.80327143134973</v>
      </c>
      <c r="R18" s="12" t="n">
        <f aca="false">IF(INDEX(Results_Long!$N:$N,$F18)="","NA",INDEX(Results_Long!$N:$N,$F18))</f>
        <v>69.4696911616631</v>
      </c>
      <c r="S18" s="10" t="n">
        <f aca="false">IF(INDEX(Results_Long!$O:$O,$F18)="","NA",INDEX(Results_Long!$O:$O,$F18))</f>
        <v>0.00655194306576479</v>
      </c>
      <c r="T18" s="6" t="str">
        <f aca="false">IF(INDEX(Results_Long!$AG:$AG,$F18)="","NA",INDEX(Results_Long!$AG:$AG,$F18))</f>
        <v>NA</v>
      </c>
      <c r="U18" s="5" t="str">
        <f aca="false">IF(INDEX(Results_Long!$AJ:$AJ,$F18)="","NA",INDEX(Results_Long!$AJ:$AJ,$F18))</f>
        <v>full-inference tier (&gt;= 10 clusters: 71) [DEC-045 S6]; window [2010, 2016) on sample_mid; width 6 y, step 1 y, anchor 1998</v>
      </c>
      <c r="V18" s="23" t="str">
        <f aca="false">IF($I18="NA","NA",IF($I18&gt;=10,"full CR2",IF($I18&gt;=5,"descriptive (5-9)","not estimable (&lt;5)")))</f>
        <v>full CR2</v>
      </c>
    </row>
    <row r="19" customFormat="false" ht="23.85" hidden="false" customHeight="false" outlineLevel="0" collapsed="false">
      <c r="A19" s="6" t="s">
        <v>661</v>
      </c>
      <c r="B19" s="7" t="s">
        <v>633</v>
      </c>
      <c r="C19" s="7" t="s">
        <v>634</v>
      </c>
      <c r="D19" s="7" t="s">
        <v>662</v>
      </c>
      <c r="E19" s="7" t="s">
        <v>636</v>
      </c>
      <c r="F19" s="8" t="n">
        <f aca="false">SUMPRODUCT((Results_Long!$A$2:$A$178=$B19)*(Results_Long!$B$2:$B$178=$C19)*(Results_Long!$C$2:$C$178=$D19)*(Results_Long!$D$2:$D$178=$E19)*ROW(Results_Long!$A$2:$A$178))</f>
        <v>154</v>
      </c>
      <c r="G19" s="9" t="n">
        <f aca="false">IF(INDEX(Results_Long!$H:$H,$F19)="","NA",INDEX(Results_Long!$H:$H,$F19))</f>
        <v>1339</v>
      </c>
      <c r="H19" s="9" t="n">
        <f aca="false">IF(INDEX(Results_Long!$I:$I,$F19)="","NA",INDEX(Results_Long!$I:$I,$F19))</f>
        <v>65</v>
      </c>
      <c r="I19" s="9" t="n">
        <f aca="false">IF(INDEX(Results_Long!$J:$J,$F19)="","NA",INDEX(Results_Long!$J:$J,$F19))</f>
        <v>64</v>
      </c>
      <c r="J19" s="10" t="n">
        <f aca="false">IF(INDEX(Results_Long!$K:$K,$F19)="","NA",INDEX(Results_Long!$K:$K,$F19))</f>
        <v>-0.0654683988288487</v>
      </c>
      <c r="K19" s="10" t="n">
        <f aca="false">IF(INDEX(Results_Long!$P:$P,$F19)="","NA",INDEX(Results_Long!$P:$P,$F19))</f>
        <v>-0.114006861699504</v>
      </c>
      <c r="L19" s="10" t="n">
        <f aca="false">IF(INDEX(Results_Long!$Q:$Q,$F19)="","NA",INDEX(Results_Long!$Q:$Q,$F19))</f>
        <v>-0.0169299359581939</v>
      </c>
      <c r="M19" s="10" t="n">
        <f aca="false">IF(INDEX(Results_Long!$T:$T,$F19)="","NA",INDEX(Results_Long!$T:$T,$F19))</f>
        <v>-0.0653750239647951</v>
      </c>
      <c r="N19" s="10" t="n">
        <f aca="false">IF(INDEX(Results_Long!$U:$U,$F19)="","NA",INDEX(Results_Long!$U:$U,$F19))</f>
        <v>-0.11351547907242</v>
      </c>
      <c r="O19" s="10" t="n">
        <f aca="false">IF(INDEX(Results_Long!$V:$V,$F19)="","NA",INDEX(Results_Long!$V:$V,$F19))</f>
        <v>-0.016928318642121</v>
      </c>
      <c r="P19" s="10" t="n">
        <f aca="false">IF(INDEX(Results_Long!$L:$L,$F19)="","NA",INDEX(Results_Long!$L:$L,$F19))</f>
        <v>0.0242848542226083</v>
      </c>
      <c r="Q19" s="11" t="n">
        <f aca="false">IF(INDEX(Results_Long!$M:$M,$F19)="","NA",INDEX(Results_Long!$M:$M,$F19))</f>
        <v>-2.6958530707547</v>
      </c>
      <c r="R19" s="12" t="n">
        <f aca="false">IF(INDEX(Results_Long!$N:$N,$F19)="","NA",INDEX(Results_Long!$N:$N,$F19))</f>
        <v>62.4051852094434</v>
      </c>
      <c r="S19" s="10" t="n">
        <f aca="false">IF(INDEX(Results_Long!$O:$O,$F19)="","NA",INDEX(Results_Long!$O:$O,$F19))</f>
        <v>0.00901268235353841</v>
      </c>
      <c r="T19" s="6" t="str">
        <f aca="false">IF(INDEX(Results_Long!$AG:$AG,$F19)="","NA",INDEX(Results_Long!$AG:$AG,$F19))</f>
        <v>NA</v>
      </c>
      <c r="U19" s="5" t="str">
        <f aca="false">IF(INDEX(Results_Long!$AJ:$AJ,$F19)="","NA",INDEX(Results_Long!$AJ:$AJ,$F19))</f>
        <v>full-inference tier (&gt;= 10 clusters: 64) [DEC-045 S6]; window [2011, 2017) on sample_mid; width 6 y, step 1 y, anchor 1998</v>
      </c>
      <c r="V19" s="23" t="str">
        <f aca="false">IF($I19="NA","NA",IF($I19&gt;=10,"full CR2",IF($I19&gt;=5,"descriptive (5-9)","not estimable (&lt;5)")))</f>
        <v>full CR2</v>
      </c>
    </row>
    <row r="20" customFormat="false" ht="23.85" hidden="false" customHeight="false" outlineLevel="0" collapsed="false">
      <c r="A20" s="6" t="s">
        <v>663</v>
      </c>
      <c r="B20" s="7" t="s">
        <v>633</v>
      </c>
      <c r="C20" s="7" t="s">
        <v>634</v>
      </c>
      <c r="D20" s="7" t="s">
        <v>664</v>
      </c>
      <c r="E20" s="7" t="s">
        <v>636</v>
      </c>
      <c r="F20" s="8" t="n">
        <f aca="false">SUMPRODUCT((Results_Long!$A$2:$A$178=$B20)*(Results_Long!$B$2:$B$178=$C20)*(Results_Long!$C$2:$C$178=$D20)*(Results_Long!$D$2:$D$178=$E20)*ROW(Results_Long!$A$2:$A$178))</f>
        <v>155</v>
      </c>
      <c r="G20" s="9" t="n">
        <f aca="false">IF(INDEX(Results_Long!$H:$H,$F20)="","NA",INDEX(Results_Long!$H:$H,$F20))</f>
        <v>1365</v>
      </c>
      <c r="H20" s="9" t="n">
        <f aca="false">IF(INDEX(Results_Long!$I:$I,$F20)="","NA",INDEX(Results_Long!$I:$I,$F20))</f>
        <v>64</v>
      </c>
      <c r="I20" s="9" t="n">
        <f aca="false">IF(INDEX(Results_Long!$J:$J,$F20)="","NA",INDEX(Results_Long!$J:$J,$F20))</f>
        <v>63</v>
      </c>
      <c r="J20" s="10" t="n">
        <f aca="false">IF(INDEX(Results_Long!$K:$K,$F20)="","NA",INDEX(Results_Long!$K:$K,$F20))</f>
        <v>-0.0633697492029874</v>
      </c>
      <c r="K20" s="10" t="n">
        <f aca="false">IF(INDEX(Results_Long!$P:$P,$F20)="","NA",INDEX(Results_Long!$P:$P,$F20))</f>
        <v>-0.113534019753939</v>
      </c>
      <c r="L20" s="10" t="n">
        <f aca="false">IF(INDEX(Results_Long!$Q:$Q,$F20)="","NA",INDEX(Results_Long!$Q:$Q,$F20))</f>
        <v>-0.0132054786520361</v>
      </c>
      <c r="M20" s="10" t="n">
        <f aca="false">IF(INDEX(Results_Long!$T:$T,$F20)="","NA",INDEX(Results_Long!$T:$T,$F20))</f>
        <v>-0.0632850600712474</v>
      </c>
      <c r="N20" s="10" t="n">
        <f aca="false">IF(INDEX(Results_Long!$U:$U,$F20)="","NA",INDEX(Results_Long!$U:$U,$F20))</f>
        <v>-0.113048705037317</v>
      </c>
      <c r="O20" s="10" t="n">
        <f aca="false">IF(INDEX(Results_Long!$V:$V,$F20)="","NA",INDEX(Results_Long!$V:$V,$F20))</f>
        <v>-0.0132047110945796</v>
      </c>
      <c r="P20" s="10" t="n">
        <f aca="false">IF(INDEX(Results_Long!$L:$L,$F20)="","NA",INDEX(Results_Long!$L:$L,$F20))</f>
        <v>0.0250912743386745</v>
      </c>
      <c r="Q20" s="11" t="n">
        <f aca="false">IF(INDEX(Results_Long!$M:$M,$F20)="","NA",INDEX(Results_Long!$M:$M,$F20))</f>
        <v>-2.52556918184551</v>
      </c>
      <c r="R20" s="12" t="n">
        <f aca="false">IF(INDEX(Results_Long!$N:$N,$F20)="","NA",INDEX(Results_Long!$N:$N,$F20))</f>
        <v>61.5357779516379</v>
      </c>
      <c r="S20" s="10" t="n">
        <f aca="false">IF(INDEX(Results_Long!$O:$O,$F20)="","NA",INDEX(Results_Long!$O:$O,$F20))</f>
        <v>0.0141413216225099</v>
      </c>
      <c r="T20" s="6" t="str">
        <f aca="false">IF(INDEX(Results_Long!$AG:$AG,$F20)="","NA",INDEX(Results_Long!$AG:$AG,$F20))</f>
        <v>NA</v>
      </c>
      <c r="U20" s="5" t="str">
        <f aca="false">IF(INDEX(Results_Long!$AJ:$AJ,$F20)="","NA",INDEX(Results_Long!$AJ:$AJ,$F20))</f>
        <v>full-inference tier (&gt;= 10 clusters: 63) [DEC-045 S6]; window [2012, 2018) on sample_mid; width 6 y, step 1 y, anchor 1998</v>
      </c>
      <c r="V20" s="23" t="str">
        <f aca="false">IF($I20="NA","NA",IF($I20&gt;=10,"full CR2",IF($I20&gt;=5,"descriptive (5-9)","not estimable (&lt;5)")))</f>
        <v>full CR2</v>
      </c>
    </row>
    <row r="21" customFormat="false" ht="23.85" hidden="false" customHeight="false" outlineLevel="0" collapsed="false">
      <c r="A21" s="6" t="s">
        <v>665</v>
      </c>
      <c r="B21" s="7" t="s">
        <v>633</v>
      </c>
      <c r="C21" s="7" t="s">
        <v>634</v>
      </c>
      <c r="D21" s="7" t="s">
        <v>666</v>
      </c>
      <c r="E21" s="7" t="s">
        <v>636</v>
      </c>
      <c r="F21" s="8" t="n">
        <f aca="false">SUMPRODUCT((Results_Long!$A$2:$A$178=$B21)*(Results_Long!$B$2:$B$178=$C21)*(Results_Long!$C$2:$C$178=$D21)*(Results_Long!$D$2:$D$178=$E21)*ROW(Results_Long!$A$2:$A$178))</f>
        <v>156</v>
      </c>
      <c r="G21" s="9" t="n">
        <f aca="false">IF(INDEX(Results_Long!$H:$H,$F21)="","NA",INDEX(Results_Long!$H:$H,$F21))</f>
        <v>1097</v>
      </c>
      <c r="H21" s="9" t="n">
        <f aca="false">IF(INDEX(Results_Long!$I:$I,$F21)="","NA",INDEX(Results_Long!$I:$I,$F21))</f>
        <v>46</v>
      </c>
      <c r="I21" s="9" t="n">
        <f aca="false">IF(INDEX(Results_Long!$J:$J,$F21)="","NA",INDEX(Results_Long!$J:$J,$F21))</f>
        <v>46</v>
      </c>
      <c r="J21" s="10" t="n">
        <f aca="false">IF(INDEX(Results_Long!$K:$K,$F21)="","NA",INDEX(Results_Long!$K:$K,$F21))</f>
        <v>-0.0389319660839073</v>
      </c>
      <c r="K21" s="10" t="n">
        <f aca="false">IF(INDEX(Results_Long!$P:$P,$F21)="","NA",INDEX(Results_Long!$P:$P,$F21))</f>
        <v>-0.0543940163693887</v>
      </c>
      <c r="L21" s="10" t="n">
        <f aca="false">IF(INDEX(Results_Long!$Q:$Q,$F21)="","NA",INDEX(Results_Long!$Q:$Q,$F21))</f>
        <v>-0.0234699157984258</v>
      </c>
      <c r="M21" s="10" t="n">
        <f aca="false">IF(INDEX(Results_Long!$T:$T,$F21)="","NA",INDEX(Results_Long!$T:$T,$F21))</f>
        <v>-0.0389123083011014</v>
      </c>
      <c r="N21" s="10" t="n">
        <f aca="false">IF(INDEX(Results_Long!$U:$U,$F21)="","NA",INDEX(Results_Long!$U:$U,$F21))</f>
        <v>-0.0543404344262828</v>
      </c>
      <c r="O21" s="10" t="n">
        <f aca="false">IF(INDEX(Results_Long!$V:$V,$F21)="","NA",INDEX(Results_Long!$V:$V,$F21))</f>
        <v>-0.0234656073821244</v>
      </c>
      <c r="P21" s="10" t="n">
        <f aca="false">IF(INDEX(Results_Long!$L:$L,$F21)="","NA",INDEX(Results_Long!$L:$L,$F21))</f>
        <v>0.0076260060655318</v>
      </c>
      <c r="Q21" s="11" t="n">
        <f aca="false">IF(INDEX(Results_Long!$M:$M,$F21)="","NA",INDEX(Results_Long!$M:$M,$F21))</f>
        <v>-5.10515802759099</v>
      </c>
      <c r="R21" s="12" t="n">
        <f aca="false">IF(INDEX(Results_Long!$N:$N,$F21)="","NA",INDEX(Results_Long!$N:$N,$F21))</f>
        <v>36.284312556996</v>
      </c>
      <c r="S21" s="10" t="n">
        <f aca="false">IF(INDEX(Results_Long!$O:$O,$F21)="","NA",INDEX(Results_Long!$O:$O,$F21))</f>
        <v>1.06834473035893E-005</v>
      </c>
      <c r="T21" s="6" t="str">
        <f aca="false">IF(INDEX(Results_Long!$AG:$AG,$F21)="","NA",INDEX(Results_Long!$AG:$AG,$F21))</f>
        <v>NA</v>
      </c>
      <c r="U21" s="5" t="str">
        <f aca="false">IF(INDEX(Results_Long!$AJ:$AJ,$F21)="","NA",INDEX(Results_Long!$AJ:$AJ,$F21))</f>
        <v>full-inference tier (&gt;= 10 clusters: 46) [DEC-045 S6]; window [2013, 2019) on sample_mid; width 6 y, step 1 y, anchor 1998</v>
      </c>
      <c r="V21" s="23" t="str">
        <f aca="false">IF($I21="NA","NA",IF($I21&gt;=10,"full CR2",IF($I21&gt;=5,"descriptive (5-9)","not estimable (&lt;5)")))</f>
        <v>full CR2</v>
      </c>
    </row>
    <row r="22" customFormat="false" ht="23.85" hidden="false" customHeight="false" outlineLevel="0" collapsed="false">
      <c r="A22" s="6" t="s">
        <v>667</v>
      </c>
      <c r="B22" s="7" t="s">
        <v>633</v>
      </c>
      <c r="C22" s="7" t="s">
        <v>634</v>
      </c>
      <c r="D22" s="7" t="s">
        <v>668</v>
      </c>
      <c r="E22" s="7" t="s">
        <v>636</v>
      </c>
      <c r="F22" s="8" t="n">
        <f aca="false">SUMPRODUCT((Results_Long!$A$2:$A$178=$B22)*(Results_Long!$B$2:$B$178=$C22)*(Results_Long!$C$2:$C$178=$D22)*(Results_Long!$D$2:$D$178=$E22)*ROW(Results_Long!$A$2:$A$178))</f>
        <v>157</v>
      </c>
      <c r="G22" s="9" t="n">
        <f aca="false">IF(INDEX(Results_Long!$H:$H,$F22)="","NA",INDEX(Results_Long!$H:$H,$F22))</f>
        <v>823</v>
      </c>
      <c r="H22" s="9" t="n">
        <f aca="false">IF(INDEX(Results_Long!$I:$I,$F22)="","NA",INDEX(Results_Long!$I:$I,$F22))</f>
        <v>41</v>
      </c>
      <c r="I22" s="9" t="n">
        <f aca="false">IF(INDEX(Results_Long!$J:$J,$F22)="","NA",INDEX(Results_Long!$J:$J,$F22))</f>
        <v>41</v>
      </c>
      <c r="J22" s="10" t="n">
        <f aca="false">IF(INDEX(Results_Long!$K:$K,$F22)="","NA",INDEX(Results_Long!$K:$K,$F22))</f>
        <v>-0.0412595981582178</v>
      </c>
      <c r="K22" s="10" t="n">
        <f aca="false">IF(INDEX(Results_Long!$P:$P,$F22)="","NA",INDEX(Results_Long!$P:$P,$F22))</f>
        <v>-0.0573239740549265</v>
      </c>
      <c r="L22" s="10" t="n">
        <f aca="false">IF(INDEX(Results_Long!$Q:$Q,$F22)="","NA",INDEX(Results_Long!$Q:$Q,$F22))</f>
        <v>-0.0251952222615092</v>
      </c>
      <c r="M22" s="10" t="n">
        <f aca="false">IF(INDEX(Results_Long!$T:$T,$F22)="","NA",INDEX(Results_Long!$T:$T,$F22))</f>
        <v>-0.0412362012699658</v>
      </c>
      <c r="N22" s="10" t="n">
        <f aca="false">IF(INDEX(Results_Long!$U:$U,$F22)="","NA",INDEX(Results_Long!$U:$U,$F22))</f>
        <v>-0.0572612668911733</v>
      </c>
      <c r="O22" s="10" t="n">
        <f aca="false">IF(INDEX(Results_Long!$V:$V,$F22)="","NA",INDEX(Results_Long!$V:$V,$F22))</f>
        <v>-0.025189892312364</v>
      </c>
      <c r="P22" s="10" t="n">
        <f aca="false">IF(INDEX(Results_Long!$L:$L,$F22)="","NA",INDEX(Results_Long!$L:$L,$F22))</f>
        <v>0.00784801375276585</v>
      </c>
      <c r="Q22" s="11" t="n">
        <f aca="false">IF(INDEX(Results_Long!$M:$M,$F22)="","NA",INDEX(Results_Long!$M:$M,$F22))</f>
        <v>-5.25733000196092</v>
      </c>
      <c r="R22" s="12" t="n">
        <f aca="false">IF(INDEX(Results_Long!$N:$N,$F22)="","NA",INDEX(Results_Long!$N:$N,$F22))</f>
        <v>28.4541466321901</v>
      </c>
      <c r="S22" s="10" t="n">
        <f aca="false">IF(INDEX(Results_Long!$O:$O,$F22)="","NA",INDEX(Results_Long!$O:$O,$F22))</f>
        <v>1.31033504320179E-005</v>
      </c>
      <c r="T22" s="6" t="str">
        <f aca="false">IF(INDEX(Results_Long!$AG:$AG,$F22)="","NA",INDEX(Results_Long!$AG:$AG,$F22))</f>
        <v>NA</v>
      </c>
      <c r="U22" s="5" t="str">
        <f aca="false">IF(INDEX(Results_Long!$AJ:$AJ,$F22)="","NA",INDEX(Results_Long!$AJ:$AJ,$F22))</f>
        <v>full-inference tier (&gt;= 10 clusters: 41) [DEC-045 S6]; window [2014, 2020) on sample_mid; width 6 y, step 1 y, anchor 1998</v>
      </c>
      <c r="V22" s="23" t="str">
        <f aca="false">IF($I22="NA","NA",IF($I22&gt;=10,"full CR2",IF($I22&gt;=5,"descriptive (5-9)","not estimable (&lt;5)")))</f>
        <v>full CR2</v>
      </c>
    </row>
    <row r="23" customFormat="false" ht="23.85" hidden="false" customHeight="false" outlineLevel="0" collapsed="false">
      <c r="A23" s="6" t="s">
        <v>669</v>
      </c>
      <c r="B23" s="7" t="s">
        <v>633</v>
      </c>
      <c r="C23" s="7" t="s">
        <v>634</v>
      </c>
      <c r="D23" s="7" t="s">
        <v>670</v>
      </c>
      <c r="E23" s="7" t="s">
        <v>636</v>
      </c>
      <c r="F23" s="8" t="n">
        <f aca="false">SUMPRODUCT((Results_Long!$A$2:$A$178=$B23)*(Results_Long!$B$2:$B$178=$C23)*(Results_Long!$C$2:$C$178=$D23)*(Results_Long!$D$2:$D$178=$E23)*ROW(Results_Long!$A$2:$A$178))</f>
        <v>158</v>
      </c>
      <c r="G23" s="9" t="n">
        <f aca="false">IF(INDEX(Results_Long!$H:$H,$F23)="","NA",INDEX(Results_Long!$H:$H,$F23))</f>
        <v>754</v>
      </c>
      <c r="H23" s="9" t="n">
        <f aca="false">IF(INDEX(Results_Long!$I:$I,$F23)="","NA",INDEX(Results_Long!$I:$I,$F23))</f>
        <v>35</v>
      </c>
      <c r="I23" s="9" t="n">
        <f aca="false">IF(INDEX(Results_Long!$J:$J,$F23)="","NA",INDEX(Results_Long!$J:$J,$F23))</f>
        <v>35</v>
      </c>
      <c r="J23" s="10" t="n">
        <f aca="false">IF(INDEX(Results_Long!$K:$K,$F23)="","NA",INDEX(Results_Long!$K:$K,$F23))</f>
        <v>-0.0478369836085354</v>
      </c>
      <c r="K23" s="10" t="n">
        <f aca="false">IF(INDEX(Results_Long!$P:$P,$F23)="","NA",INDEX(Results_Long!$P:$P,$F23))</f>
        <v>-0.0636977666871574</v>
      </c>
      <c r="L23" s="10" t="n">
        <f aca="false">IF(INDEX(Results_Long!$Q:$Q,$F23)="","NA",INDEX(Results_Long!$Q:$Q,$F23))</f>
        <v>-0.0319762005299134</v>
      </c>
      <c r="M23" s="10" t="n">
        <f aca="false">IF(INDEX(Results_Long!$T:$T,$F23)="","NA",INDEX(Results_Long!$T:$T,$F23))</f>
        <v>-0.0478005272941298</v>
      </c>
      <c r="N23" s="10" t="n">
        <f aca="false">IF(INDEX(Results_Long!$U:$U,$F23)="","NA",INDEX(Results_Long!$U:$U,$F23))</f>
        <v>-0.0636117570522866</v>
      </c>
      <c r="O23" s="10" t="n">
        <f aca="false">IF(INDEX(Results_Long!$V:$V,$F23)="","NA",INDEX(Results_Long!$V:$V,$F23))</f>
        <v>-0.0319653066712513</v>
      </c>
      <c r="P23" s="10" t="n">
        <f aca="false">IF(INDEX(Results_Long!$L:$L,$F23)="","NA",INDEX(Results_Long!$L:$L,$F23))</f>
        <v>0.00776818012628498</v>
      </c>
      <c r="Q23" s="11" t="n">
        <f aca="false">IF(INDEX(Results_Long!$M:$M,$F23)="","NA",INDEX(Results_Long!$M:$M,$F23))</f>
        <v>-6.15806827736534</v>
      </c>
      <c r="R23" s="12" t="n">
        <f aca="false">IF(INDEX(Results_Long!$N:$N,$F23)="","NA",INDEX(Results_Long!$N:$N,$F23))</f>
        <v>30.1795610434519</v>
      </c>
      <c r="S23" s="10" t="n">
        <f aca="false">IF(INDEX(Results_Long!$O:$O,$F23)="","NA",INDEX(Results_Long!$O:$O,$F23))</f>
        <v>8.75111169316348E-007</v>
      </c>
      <c r="T23" s="6" t="str">
        <f aca="false">IF(INDEX(Results_Long!$AG:$AG,$F23)="","NA",INDEX(Results_Long!$AG:$AG,$F23))</f>
        <v>NA</v>
      </c>
      <c r="U23" s="5" t="str">
        <f aca="false">IF(INDEX(Results_Long!$AJ:$AJ,$F23)="","NA",INDEX(Results_Long!$AJ:$AJ,$F23))</f>
        <v>full-inference tier (&gt;= 10 clusters: 35) [DEC-045 S6]; window [2015, 2021) on sample_mid; width 6 y, step 1 y, anchor 1998</v>
      </c>
      <c r="V23" s="23" t="str">
        <f aca="false">IF($I23="NA","NA",IF($I23&gt;=10,"full CR2",IF($I23&gt;=5,"descriptive (5-9)","not estimable (&lt;5)")))</f>
        <v>full CR2</v>
      </c>
    </row>
    <row r="24" customFormat="false" ht="23.85" hidden="false" customHeight="false" outlineLevel="0" collapsed="false">
      <c r="A24" s="6" t="s">
        <v>671</v>
      </c>
      <c r="B24" s="7" t="s">
        <v>633</v>
      </c>
      <c r="C24" s="7" t="s">
        <v>634</v>
      </c>
      <c r="D24" s="7" t="s">
        <v>672</v>
      </c>
      <c r="E24" s="7" t="s">
        <v>636</v>
      </c>
      <c r="F24" s="8" t="n">
        <f aca="false">SUMPRODUCT((Results_Long!$A$2:$A$178=$B24)*(Results_Long!$B$2:$B$178=$C24)*(Results_Long!$C$2:$C$178=$D24)*(Results_Long!$D$2:$D$178=$E24)*ROW(Results_Long!$A$2:$A$178))</f>
        <v>159</v>
      </c>
      <c r="G24" s="9" t="n">
        <f aca="false">IF(INDEX(Results_Long!$H:$H,$F24)="","NA",INDEX(Results_Long!$H:$H,$F24))</f>
        <v>612</v>
      </c>
      <c r="H24" s="9" t="n">
        <f aca="false">IF(INDEX(Results_Long!$I:$I,$F24)="","NA",INDEX(Results_Long!$I:$I,$F24))</f>
        <v>25</v>
      </c>
      <c r="I24" s="9" t="n">
        <f aca="false">IF(INDEX(Results_Long!$J:$J,$F24)="","NA",INDEX(Results_Long!$J:$J,$F24))</f>
        <v>25</v>
      </c>
      <c r="J24" s="10" t="n">
        <f aca="false">IF(INDEX(Results_Long!$K:$K,$F24)="","NA",INDEX(Results_Long!$K:$K,$F24))</f>
        <v>-0.050845322510934</v>
      </c>
      <c r="K24" s="10" t="n">
        <f aca="false">IF(INDEX(Results_Long!$P:$P,$F24)="","NA",INDEX(Results_Long!$P:$P,$F24))</f>
        <v>-0.070433451923273</v>
      </c>
      <c r="L24" s="10" t="n">
        <f aca="false">IF(INDEX(Results_Long!$Q:$Q,$F24)="","NA",INDEX(Results_Long!$Q:$Q,$F24))</f>
        <v>-0.0312571930985951</v>
      </c>
      <c r="M24" s="10" t="n">
        <f aca="false">IF(INDEX(Results_Long!$T:$T,$F24)="","NA",INDEX(Results_Long!$T:$T,$F24))</f>
        <v>-0.0508015518707414</v>
      </c>
      <c r="N24" s="10" t="n">
        <f aca="false">IF(INDEX(Results_Long!$U:$U,$F24)="","NA",INDEX(Results_Long!$U:$U,$F24))</f>
        <v>-0.0703172121514944</v>
      </c>
      <c r="O24" s="10" t="n">
        <f aca="false">IF(INDEX(Results_Long!$V:$V,$F24)="","NA",INDEX(Results_Long!$V:$V,$F24))</f>
        <v>-0.0312470175230718</v>
      </c>
      <c r="P24" s="10" t="n">
        <f aca="false">IF(INDEX(Results_Long!$L:$L,$F24)="","NA",INDEX(Results_Long!$L:$L,$F24))</f>
        <v>0.00943868950330153</v>
      </c>
      <c r="Q24" s="11" t="n">
        <f aca="false">IF(INDEX(Results_Long!$M:$M,$F24)="","NA",INDEX(Results_Long!$M:$M,$F24))</f>
        <v>-5.38690487627006</v>
      </c>
      <c r="R24" s="12" t="n">
        <f aca="false">IF(INDEX(Results_Long!$N:$N,$F24)="","NA",INDEX(Results_Long!$N:$N,$F24))</f>
        <v>21.7418263306794</v>
      </c>
      <c r="S24" s="10" t="n">
        <f aca="false">IF(INDEX(Results_Long!$O:$O,$F24)="","NA",INDEX(Results_Long!$O:$O,$F24))</f>
        <v>2.15718877737549E-005</v>
      </c>
      <c r="T24" s="6" t="str">
        <f aca="false">IF(INDEX(Results_Long!$AG:$AG,$F24)="","NA",INDEX(Results_Long!$AG:$AG,$F24))</f>
        <v>NA</v>
      </c>
      <c r="U24" s="5" t="str">
        <f aca="false">IF(INDEX(Results_Long!$AJ:$AJ,$F24)="","NA",INDEX(Results_Long!$AJ:$AJ,$F24))</f>
        <v>full-inference tier (&gt;= 10 clusters: 25) [DEC-045 S6]; window [2016, 2022) on sample_mid; width 6 y, step 1 y, anchor 1998</v>
      </c>
      <c r="V24" s="23" t="str">
        <f aca="false">IF($I24="NA","NA",IF($I24&gt;=10,"full CR2",IF($I24&gt;=5,"descriptive (5-9)","not estimable (&lt;5)")))</f>
        <v>full CR2</v>
      </c>
    </row>
    <row r="25" customFormat="false" ht="23.85" hidden="false" customHeight="false" outlineLevel="0" collapsed="false">
      <c r="A25" s="6" t="s">
        <v>673</v>
      </c>
      <c r="B25" s="7" t="s">
        <v>633</v>
      </c>
      <c r="C25" s="7" t="s">
        <v>634</v>
      </c>
      <c r="D25" s="7" t="s">
        <v>674</v>
      </c>
      <c r="E25" s="7" t="s">
        <v>636</v>
      </c>
      <c r="F25" s="8" t="n">
        <f aca="false">SUMPRODUCT((Results_Long!$A$2:$A$178=$B25)*(Results_Long!$B$2:$B$178=$C25)*(Results_Long!$C$2:$C$178=$D25)*(Results_Long!$D$2:$D$178=$E25)*ROW(Results_Long!$A$2:$A$178))</f>
        <v>160</v>
      </c>
      <c r="G25" s="9" t="n">
        <f aca="false">IF(INDEX(Results_Long!$H:$H,$F25)="","NA",INDEX(Results_Long!$H:$H,$F25))</f>
        <v>618</v>
      </c>
      <c r="H25" s="9" t="n">
        <f aca="false">IF(INDEX(Results_Long!$I:$I,$F25)="","NA",INDEX(Results_Long!$I:$I,$F25))</f>
        <v>22</v>
      </c>
      <c r="I25" s="9" t="n">
        <f aca="false">IF(INDEX(Results_Long!$J:$J,$F25)="","NA",INDEX(Results_Long!$J:$J,$F25))</f>
        <v>22</v>
      </c>
      <c r="J25" s="10" t="n">
        <f aca="false">IF(INDEX(Results_Long!$K:$K,$F25)="","NA",INDEX(Results_Long!$K:$K,$F25))</f>
        <v>-0.0509534822667775</v>
      </c>
      <c r="K25" s="10" t="n">
        <f aca="false">IF(INDEX(Results_Long!$P:$P,$F25)="","NA",INDEX(Results_Long!$P:$P,$F25))</f>
        <v>-0.0719809939246451</v>
      </c>
      <c r="L25" s="10" t="n">
        <f aca="false">IF(INDEX(Results_Long!$Q:$Q,$F25)="","NA",INDEX(Results_Long!$Q:$Q,$F25))</f>
        <v>-0.0299259706089098</v>
      </c>
      <c r="M25" s="10" t="n">
        <f aca="false">IF(INDEX(Results_Long!$T:$T,$F25)="","NA",INDEX(Results_Long!$T:$T,$F25))</f>
        <v>-0.0509094318949515</v>
      </c>
      <c r="N25" s="10" t="n">
        <f aca="false">IF(INDEX(Results_Long!$U:$U,$F25)="","NA",INDEX(Results_Long!$U:$U,$F25))</f>
        <v>-0.0718569335356167</v>
      </c>
      <c r="O25" s="10" t="n">
        <f aca="false">IF(INDEX(Results_Long!$V:$V,$F25)="","NA",INDEX(Results_Long!$V:$V,$F25))</f>
        <v>-0.0299170402701478</v>
      </c>
      <c r="P25" s="10" t="n">
        <f aca="false">IF(INDEX(Results_Long!$L:$L,$F25)="","NA",INDEX(Results_Long!$L:$L,$F25))</f>
        <v>0.0100632609446794</v>
      </c>
      <c r="Q25" s="11" t="n">
        <f aca="false">IF(INDEX(Results_Long!$M:$M,$F25)="","NA",INDEX(Results_Long!$M:$M,$F25))</f>
        <v>-5.06331720372583</v>
      </c>
      <c r="R25" s="12" t="n">
        <f aca="false">IF(INDEX(Results_Long!$N:$N,$F25)="","NA",INDEX(Results_Long!$N:$N,$F25))</f>
        <v>19.480890625887</v>
      </c>
      <c r="S25" s="10" t="n">
        <f aca="false">IF(INDEX(Results_Long!$O:$O,$F25)="","NA",INDEX(Results_Long!$O:$O,$F25))</f>
        <v>6.41603765782818E-005</v>
      </c>
      <c r="T25" s="6" t="str">
        <f aca="false">IF(INDEX(Results_Long!$AG:$AG,$F25)="","NA",INDEX(Results_Long!$AG:$AG,$F25))</f>
        <v>NA</v>
      </c>
      <c r="U25" s="5" t="str">
        <f aca="false">IF(INDEX(Results_Long!$AJ:$AJ,$F25)="","NA",INDEX(Results_Long!$AJ:$AJ,$F25))</f>
        <v>full-inference tier (&gt;= 10 clusters: 22) [DEC-045 S6]; window [2017, 2023) on sample_mid; width 6 y, step 1 y, anchor 1998</v>
      </c>
      <c r="V25" s="23" t="str">
        <f aca="false">IF($I25="NA","NA",IF($I25&gt;=10,"full CR2",IF($I25&gt;=5,"descriptive (5-9)","not estimable (&lt;5)")))</f>
        <v>full CR2</v>
      </c>
    </row>
    <row r="26" customFormat="false" ht="23.85" hidden="false" customHeight="false" outlineLevel="0" collapsed="false">
      <c r="A26" s="6" t="s">
        <v>675</v>
      </c>
      <c r="B26" s="7" t="s">
        <v>633</v>
      </c>
      <c r="C26" s="7" t="s">
        <v>634</v>
      </c>
      <c r="D26" s="7" t="s">
        <v>676</v>
      </c>
      <c r="E26" s="7" t="s">
        <v>636</v>
      </c>
      <c r="F26" s="8" t="n">
        <f aca="false">SUMPRODUCT((Results_Long!$A$2:$A$178=$B26)*(Results_Long!$B$2:$B$178=$C26)*(Results_Long!$C$2:$C$178=$D26)*(Results_Long!$D$2:$D$178=$E26)*ROW(Results_Long!$A$2:$A$178))</f>
        <v>161</v>
      </c>
      <c r="G26" s="9" t="n">
        <f aca="false">IF(INDEX(Results_Long!$H:$H,$F26)="","NA",INDEX(Results_Long!$H:$H,$F26))</f>
        <v>336</v>
      </c>
      <c r="H26" s="9" t="n">
        <f aca="false">IF(INDEX(Results_Long!$I:$I,$F26)="","NA",INDEX(Results_Long!$I:$I,$F26))</f>
        <v>14</v>
      </c>
      <c r="I26" s="9" t="n">
        <f aca="false">IF(INDEX(Results_Long!$J:$J,$F26)="","NA",INDEX(Results_Long!$J:$J,$F26))</f>
        <v>14</v>
      </c>
      <c r="J26" s="10" t="n">
        <f aca="false">IF(INDEX(Results_Long!$K:$K,$F26)="","NA",INDEX(Results_Long!$K:$K,$F26))</f>
        <v>-0.0533834695525452</v>
      </c>
      <c r="K26" s="10" t="n">
        <f aca="false">IF(INDEX(Results_Long!$P:$P,$F26)="","NA",INDEX(Results_Long!$P:$P,$F26))</f>
        <v>-0.086601890755344</v>
      </c>
      <c r="L26" s="10" t="n">
        <f aca="false">IF(INDEX(Results_Long!$Q:$Q,$F26)="","NA",INDEX(Results_Long!$Q:$Q,$F26))</f>
        <v>-0.0201650483497465</v>
      </c>
      <c r="M26" s="10" t="n">
        <f aca="false">IF(INDEX(Results_Long!$T:$T,$F26)="","NA",INDEX(Results_Long!$T:$T,$F26))</f>
        <v>-0.0533328166468894</v>
      </c>
      <c r="N26" s="10" t="n">
        <f aca="false">IF(INDEX(Results_Long!$U:$U,$F26)="","NA",INDEX(Results_Long!$U:$U,$F26))</f>
        <v>-0.0863860368055502</v>
      </c>
      <c r="O26" s="10" t="n">
        <f aca="false">IF(INDEX(Results_Long!$V:$V,$F26)="","NA",INDEX(Results_Long!$V:$V,$F26))</f>
        <v>-0.0201623155619137</v>
      </c>
      <c r="P26" s="10" t="n">
        <f aca="false">IF(INDEX(Results_Long!$L:$L,$F26)="","NA",INDEX(Results_Long!$L:$L,$F26))</f>
        <v>0.0153241125341996</v>
      </c>
      <c r="Q26" s="11" t="n">
        <f aca="false">IF(INDEX(Results_Long!$M:$M,$F26)="","NA",INDEX(Results_Long!$M:$M,$F26))</f>
        <v>-3.48362552372326</v>
      </c>
      <c r="R26" s="12" t="n">
        <f aca="false">IF(INDEX(Results_Long!$N:$N,$F26)="","NA",INDEX(Results_Long!$N:$N,$F26))</f>
        <v>12.5800643946962</v>
      </c>
      <c r="S26" s="10" t="n">
        <f aca="false">IF(INDEX(Results_Long!$O:$O,$F26)="","NA",INDEX(Results_Long!$O:$O,$F26))</f>
        <v>0.00422671557354885</v>
      </c>
      <c r="T26" s="6" t="str">
        <f aca="false">IF(INDEX(Results_Long!$AG:$AG,$F26)="","NA",INDEX(Results_Long!$AG:$AG,$F26))</f>
        <v>NA</v>
      </c>
      <c r="U26" s="5" t="str">
        <f aca="false">IF(INDEX(Results_Long!$AJ:$AJ,$F26)="","NA",INDEX(Results_Long!$AJ:$AJ,$F26))</f>
        <v>full-inference tier (&gt;= 10 clusters: 14) [DEC-045 S6]; window [2018, 2024) on sample_mid; width 6 y, step 1 y, anchor 1998</v>
      </c>
      <c r="V26" s="23" t="str">
        <f aca="false">IF($I26="NA","NA",IF($I26&gt;=10,"full CR2",IF($I26&gt;=5,"descriptive (5-9)","not estimable (&lt;5)")))</f>
        <v>full CR2</v>
      </c>
    </row>
    <row r="28" customFormat="false" ht="15" hidden="false" customHeight="false" outlineLevel="0" collapsed="false">
      <c r="A28" s="3" t="s">
        <v>160</v>
      </c>
      <c r="B28" s="3" t="s">
        <v>161</v>
      </c>
      <c r="C28" s="3" t="s">
        <v>162</v>
      </c>
      <c r="D28" s="3" t="s">
        <v>163</v>
      </c>
      <c r="E28" s="3" t="s">
        <v>164</v>
      </c>
      <c r="F28" s="3" t="s">
        <v>165</v>
      </c>
      <c r="G28" s="3" t="s">
        <v>166</v>
      </c>
      <c r="H28" s="3" t="s">
        <v>167</v>
      </c>
      <c r="I28" s="3" t="s">
        <v>168</v>
      </c>
      <c r="J28" s="3" t="s">
        <v>169</v>
      </c>
      <c r="K28" s="3" t="s">
        <v>170</v>
      </c>
      <c r="L28" s="3" t="s">
        <v>171</v>
      </c>
      <c r="M28" s="3" t="s">
        <v>172</v>
      </c>
      <c r="N28" s="3" t="s">
        <v>173</v>
      </c>
      <c r="O28" s="3" t="s">
        <v>174</v>
      </c>
      <c r="P28" s="3" t="s">
        <v>175</v>
      </c>
      <c r="Q28" s="3" t="s">
        <v>176</v>
      </c>
      <c r="R28" s="3" t="s">
        <v>177</v>
      </c>
      <c r="S28" s="3" t="s">
        <v>178</v>
      </c>
      <c r="T28" s="3" t="s">
        <v>179</v>
      </c>
      <c r="U28" s="3" t="s">
        <v>180</v>
      </c>
    </row>
    <row r="29" customFormat="false" ht="23.85" hidden="false" customHeight="false" outlineLevel="0" collapsed="false">
      <c r="A29" s="6" t="s">
        <v>677</v>
      </c>
      <c r="B29" s="7" t="s">
        <v>678</v>
      </c>
      <c r="C29" s="7" t="s">
        <v>679</v>
      </c>
      <c r="D29" s="7" t="s">
        <v>184</v>
      </c>
      <c r="E29" s="7" t="s">
        <v>680</v>
      </c>
      <c r="F29" s="8" t="n">
        <f aca="false">SUMPRODUCT((Results_Long!$A$2:$A$178=$B29)*(Results_Long!$B$2:$B$178=$C29)*(Results_Long!$C$2:$C$178=$D29)*(Results_Long!$D$2:$D$178=$E29)*ROW(Results_Long!$A$2:$A$178))</f>
        <v>162</v>
      </c>
      <c r="G29" s="9" t="n">
        <f aca="false">IF(INDEX(Results_Long!$H:$H,$F29)="","NA",INDEX(Results_Long!$H:$H,$F29))</f>
        <v>2713</v>
      </c>
      <c r="H29" s="9" t="n">
        <f aca="false">IF(INDEX(Results_Long!$I:$I,$F29)="","NA",INDEX(Results_Long!$I:$I,$F29))</f>
        <v>115</v>
      </c>
      <c r="I29" s="9" t="n">
        <f aca="false">IF(INDEX(Results_Long!$J:$J,$F29)="","NA",INDEX(Results_Long!$J:$J,$F29))</f>
        <v>114</v>
      </c>
      <c r="J29" s="10" t="n">
        <f aca="false">IF(INDEX(Results_Long!$K:$K,$F29)="","NA",INDEX(Results_Long!$K:$K,$F29))</f>
        <v>-0.058646736610098</v>
      </c>
      <c r="K29" s="10" t="str">
        <f aca="false">IF(INDEX(Results_Long!$P:$P,$F29)="","NA",INDEX(Results_Long!$P:$P,$F29))</f>
        <v>NA</v>
      </c>
      <c r="L29" s="10" t="str">
        <f aca="false">IF(INDEX(Results_Long!$Q:$Q,$F29)="","NA",INDEX(Results_Long!$Q:$Q,$F29))</f>
        <v>NA</v>
      </c>
      <c r="M29" s="10" t="n">
        <f aca="false">IF(INDEX(Results_Long!$T:$T,$F29)="","NA",INDEX(Results_Long!$T:$T,$F29))</f>
        <v>-0.0585795916799434</v>
      </c>
      <c r="N29" s="10" t="n">
        <f aca="false">IF(INDEX(Results_Long!$U:$U,$F29)="","NA",INDEX(Results_Long!$U:$U,$F29))</f>
        <v>-0.085890445375146</v>
      </c>
      <c r="O29" s="10" t="n">
        <f aca="false">IF(INDEX(Results_Long!$V:$V,$F29)="","NA",INDEX(Results_Long!$V:$V,$F29))</f>
        <v>-0.0311807676166034</v>
      </c>
      <c r="P29" s="10" t="str">
        <f aca="false">IF(INDEX(Results_Long!$L:$L,$F29)="","NA",INDEX(Results_Long!$L:$L,$F29))</f>
        <v>NA</v>
      </c>
      <c r="Q29" s="11" t="str">
        <f aca="false">IF(INDEX(Results_Long!$M:$M,$F29)="","NA",INDEX(Results_Long!$M:$M,$F29))</f>
        <v>NA</v>
      </c>
      <c r="R29" s="12" t="str">
        <f aca="false">IF(INDEX(Results_Long!$N:$N,$F29)="","NA",INDEX(Results_Long!$N:$N,$F29))</f>
        <v>NA</v>
      </c>
      <c r="S29" s="10" t="str">
        <f aca="false">IF(INDEX(Results_Long!$O:$O,$F29)="","NA",INDEX(Results_Long!$O:$O,$F29))</f>
        <v>NA</v>
      </c>
      <c r="T29" s="6" t="str">
        <f aca="false">IF(INDEX(Results_Long!$AG:$AG,$F29)="","NA",INDEX(Results_Long!$AG:$AG,$F29))</f>
        <v>NA</v>
      </c>
      <c r="U29" s="5" t="str">
        <f aca="false">IF(INDEX(Results_Long!$AJ:$AJ,$F29)="","NA",INDEX(Results_Long!$AJ:$AJ,$F29))</f>
        <v>debt-side pooled mean (E1 refit of T1/A1); descriptive channel-level size comparison, NO formal z-test [DEC-045/H-Q9; N12 scope shift disclosed]</v>
      </c>
    </row>
    <row r="30" customFormat="false" ht="57.45" hidden="false" customHeight="false" outlineLevel="0" collapsed="false">
      <c r="A30" s="6" t="s">
        <v>681</v>
      </c>
      <c r="B30" s="7" t="s">
        <v>678</v>
      </c>
      <c r="C30" s="7" t="s">
        <v>679</v>
      </c>
      <c r="D30" s="7" t="s">
        <v>184</v>
      </c>
      <c r="E30" s="7" t="s">
        <v>682</v>
      </c>
      <c r="F30" s="8" t="n">
        <f aca="false">SUMPRODUCT((Results_Long!$A$2:$A$178=$B30)*(Results_Long!$B$2:$B$178=$C30)*(Results_Long!$C$2:$C$178=$D30)*(Results_Long!$D$2:$D$178=$E30)*ROW(Results_Long!$A$2:$A$178))</f>
        <v>163</v>
      </c>
      <c r="G30" s="9" t="str">
        <f aca="false">IF(INDEX(Results_Long!$H:$H,$F30)="","NA",INDEX(Results_Long!$H:$H,$F30))</f>
        <v>NA</v>
      </c>
      <c r="H30" s="9" t="n">
        <f aca="false">IF(INDEX(Results_Long!$I:$I,$F30)="","NA",INDEX(Results_Long!$I:$I,$F30))</f>
        <v>75</v>
      </c>
      <c r="I30" s="9" t="str">
        <f aca="false">IF(INDEX(Results_Long!$J:$J,$F30)="","NA",INDEX(Results_Long!$J:$J,$F30))</f>
        <v>NA</v>
      </c>
      <c r="J30" s="10" t="str">
        <f aca="false">IF(INDEX(Results_Long!$K:$K,$F30)="","NA",INDEX(Results_Long!$K:$K,$F30))</f>
        <v>NA</v>
      </c>
      <c r="K30" s="10" t="str">
        <f aca="false">IF(INDEX(Results_Long!$P:$P,$F30)="","NA",INDEX(Results_Long!$P:$P,$F30))</f>
        <v>NA</v>
      </c>
      <c r="L30" s="10" t="str">
        <f aca="false">IF(INDEX(Results_Long!$Q:$Q,$F30)="","NA",INDEX(Results_Long!$Q:$Q,$F30))</f>
        <v>NA</v>
      </c>
      <c r="M30" s="10" t="n">
        <f aca="false">IF(INDEX(Results_Long!$T:$T,$F30)="","NA",INDEX(Results_Long!$T:$T,$F30))</f>
        <v>-0.039</v>
      </c>
      <c r="N30" s="10" t="n">
        <f aca="false">IF(INDEX(Results_Long!$U:$U,$F30)="","NA",INDEX(Results_Long!$U:$U,$F30))</f>
        <v>-0.046</v>
      </c>
      <c r="O30" s="10" t="n">
        <f aca="false">IF(INDEX(Results_Long!$V:$V,$F30)="","NA",INDEX(Results_Long!$V:$V,$F30))</f>
        <v>-0.032</v>
      </c>
      <c r="P30" s="10" t="str">
        <f aca="false">IF(INDEX(Results_Long!$L:$L,$F30)="","NA",INDEX(Results_Long!$L:$L,$F30))</f>
        <v>NA</v>
      </c>
      <c r="Q30" s="11" t="str">
        <f aca="false">IF(INDEX(Results_Long!$M:$M,$F30)="","NA",INDEX(Results_Long!$M:$M,$F30))</f>
        <v>NA</v>
      </c>
      <c r="R30" s="12" t="str">
        <f aca="false">IF(INDEX(Results_Long!$N:$N,$F30)="","NA",INDEX(Results_Long!$N:$N,$F30))</f>
        <v>NA</v>
      </c>
      <c r="S30" s="10" t="str">
        <f aca="false">IF(INDEX(Results_Long!$O:$O,$F30)="","NA",INDEX(Results_Long!$O:$O,$F30))</f>
        <v>NA</v>
      </c>
      <c r="T30" s="6" t="str">
        <f aca="false">IF(INDEX(Results_Long!$AG:$AG,$F30)="","NA",INDEX(Results_Long!$AG:$AG,$F30))</f>
        <v>NA</v>
      </c>
      <c r="U30" s="5" t="str">
        <f aca="false">IF(INDEX(Results_Long!$AJ:$AJ,$F30)="","NA",INDEX(Results_Long!$AJ:$AJ,$F30))</f>
        <v>COE companion STUDY-LEVEL row (Table 3, 75 units; NOT the ES-level -0.041 figure); SE provenance disclosure: COE main model = naive inverse variance at ES level, k = 1,139, no cluster-robust inference; overlap disclosure: 7/120 corpus, 6/115 estimation set, 5/113 period domain; 60/2,713 est ES (2.2%); 0 shared effect sizes [DEC-045/H-Q10]</v>
      </c>
    </row>
    <row r="32" customFormat="false" ht="15" hidden="false" customHeight="false" outlineLevel="0" collapsed="false">
      <c r="A32" s="13" t="s">
        <v>207</v>
      </c>
    </row>
    <row r="33" customFormat="false" ht="15" hidden="false" customHeight="true" outlineLevel="0" collapsed="false">
      <c r="A33" s="14" t="s">
        <v>683</v>
      </c>
      <c r="B33" s="14"/>
      <c r="C33" s="14"/>
      <c r="D33" s="14"/>
      <c r="E33" s="14"/>
      <c r="F33" s="14"/>
      <c r="G33" s="14"/>
      <c r="H33" s="14"/>
      <c r="I33" s="14"/>
      <c r="J33" s="14"/>
    </row>
    <row r="34" customFormat="false" ht="15" hidden="false" customHeight="true" outlineLevel="0" collapsed="false">
      <c r="A34" s="14" t="s">
        <v>684</v>
      </c>
      <c r="B34" s="14"/>
      <c r="C34" s="14"/>
      <c r="D34" s="14"/>
      <c r="E34" s="14"/>
      <c r="F34" s="14"/>
      <c r="G34" s="14"/>
      <c r="H34" s="14"/>
      <c r="I34" s="14"/>
      <c r="J34" s="14"/>
    </row>
    <row r="35" customFormat="false" ht="15" hidden="false" customHeight="true" outlineLevel="0" collapsed="false">
      <c r="A35" s="14" t="s">
        <v>685</v>
      </c>
      <c r="B35" s="14"/>
      <c r="C35" s="14"/>
      <c r="D35" s="14"/>
      <c r="E35" s="14"/>
      <c r="F35" s="14"/>
      <c r="G35" s="14"/>
      <c r="H35" s="14"/>
      <c r="I35" s="14"/>
      <c r="J35" s="14"/>
    </row>
    <row r="37" customFormat="false" ht="15" hidden="false" customHeight="false" outlineLevel="0" collapsed="false">
      <c r="A37" s="3" t="s">
        <v>211</v>
      </c>
      <c r="B37" s="3" t="s">
        <v>212</v>
      </c>
    </row>
    <row r="38" customFormat="false" ht="15" hidden="false" customHeight="true" outlineLevel="0" collapsed="false">
      <c r="A38" s="15" t="s">
        <v>686</v>
      </c>
      <c r="B38" s="14" t="s">
        <v>687</v>
      </c>
      <c r="C38" s="14"/>
      <c r="D38" s="14"/>
      <c r="E38" s="14"/>
      <c r="F38" s="14"/>
      <c r="G38" s="14"/>
      <c r="H38" s="14"/>
      <c r="I38" s="14"/>
      <c r="J38" s="14"/>
    </row>
    <row r="39" customFormat="false" ht="15" hidden="false" customHeight="true" outlineLevel="0" collapsed="false">
      <c r="A39" s="15" t="s">
        <v>688</v>
      </c>
      <c r="B39" s="14" t="s">
        <v>689</v>
      </c>
      <c r="C39" s="14"/>
      <c r="D39" s="14"/>
      <c r="E39" s="14"/>
      <c r="F39" s="14"/>
      <c r="G39" s="14"/>
      <c r="H39" s="14"/>
      <c r="I39" s="14"/>
      <c r="J39" s="14"/>
    </row>
    <row r="41" customFormat="false" ht="15" hidden="false" customHeight="true" outlineLevel="0" collapsed="false">
      <c r="A41" s="16" t="s">
        <v>690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</sheetData>
  <mergeCells count="6">
    <mergeCell ref="A33:J33"/>
    <mergeCell ref="A34:J34"/>
    <mergeCell ref="A35:J35"/>
    <mergeCell ref="B38:J38"/>
    <mergeCell ref="B39:J39"/>
    <mergeCell ref="A41:L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60"/>
    <col collapsed="false" customWidth="true" hidden="false" outlineLevel="0" max="20" min="10" style="0" width="9"/>
    <col collapsed="false" customWidth="true" hidden="false" outlineLevel="0" max="21" min="21" style="0" width="60"/>
  </cols>
  <sheetData>
    <row r="1" customFormat="false" ht="15" hidden="false" customHeight="false" outlineLevel="0" collapsed="false">
      <c r="A1" s="1" t="s">
        <v>691</v>
      </c>
    </row>
    <row r="2" customFormat="false" ht="15" hidden="false" customHeight="false" outlineLevel="0" collapsed="false">
      <c r="A2" s="2" t="s">
        <v>692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160</v>
      </c>
      <c r="B5" s="3" t="s">
        <v>161</v>
      </c>
      <c r="C5" s="3" t="s">
        <v>162</v>
      </c>
      <c r="D5" s="3" t="s">
        <v>163</v>
      </c>
      <c r="E5" s="3" t="s">
        <v>164</v>
      </c>
      <c r="F5" s="3" t="s">
        <v>165</v>
      </c>
      <c r="G5" s="3" t="s">
        <v>166</v>
      </c>
      <c r="H5" s="3" t="s">
        <v>167</v>
      </c>
      <c r="I5" s="3" t="s">
        <v>168</v>
      </c>
      <c r="J5" s="3" t="s">
        <v>169</v>
      </c>
      <c r="K5" s="3" t="s">
        <v>170</v>
      </c>
      <c r="L5" s="3" t="s">
        <v>171</v>
      </c>
      <c r="M5" s="3" t="s">
        <v>172</v>
      </c>
      <c r="N5" s="3" t="s">
        <v>173</v>
      </c>
      <c r="O5" s="3" t="s">
        <v>174</v>
      </c>
      <c r="P5" s="3" t="s">
        <v>175</v>
      </c>
      <c r="Q5" s="3" t="s">
        <v>176</v>
      </c>
      <c r="R5" s="3" t="s">
        <v>177</v>
      </c>
      <c r="S5" s="3" t="s">
        <v>178</v>
      </c>
      <c r="T5" s="3" t="s">
        <v>179</v>
      </c>
      <c r="U5" s="3" t="s">
        <v>180</v>
      </c>
    </row>
    <row r="6" customFormat="false" ht="46.25" hidden="false" customHeight="false" outlineLevel="0" collapsed="false">
      <c r="A6" s="6" t="s">
        <v>693</v>
      </c>
      <c r="B6" s="7" t="s">
        <v>694</v>
      </c>
      <c r="C6" s="7" t="s">
        <v>695</v>
      </c>
      <c r="D6" s="7" t="s">
        <v>184</v>
      </c>
      <c r="E6" s="7" t="s">
        <v>696</v>
      </c>
      <c r="F6" s="8" t="n">
        <f aca="false">SUMPRODUCT((Results_Long!$A$2:$A$178=$B6)*(Results_Long!$B$2:$B$178=$C6)*(Results_Long!$C$2:$C$178=$D6)*(Results_Long!$D$2:$D$178=$E6)*ROW(Results_Long!$A$2:$A$178))</f>
        <v>164</v>
      </c>
      <c r="G6" s="9" t="n">
        <f aca="false">IF(INDEX(Results_Long!$H:$H,$F6)="","NA",INDEX(Results_Long!$H:$H,$F6))</f>
        <v>31</v>
      </c>
      <c r="H6" s="9" t="n">
        <f aca="false">IF(INDEX(Results_Long!$I:$I,$F6)="","NA",INDEX(Results_Long!$I:$I,$F6))</f>
        <v>31</v>
      </c>
      <c r="I6" s="9" t="n">
        <f aca="false">IF(INDEX(Results_Long!$J:$J,$F6)="","NA",INDEX(Results_Long!$J:$J,$F6))</f>
        <v>31</v>
      </c>
      <c r="J6" s="10" t="str">
        <f aca="false">IF(INDEX(Results_Long!$K:$K,$F6)="","NA",INDEX(Results_Long!$K:$K,$F6))</f>
        <v>NA</v>
      </c>
      <c r="K6" s="10" t="str">
        <f aca="false">IF(INDEX(Results_Long!$P:$P,$F6)="","NA",INDEX(Results_Long!$P:$P,$F6))</f>
        <v>NA</v>
      </c>
      <c r="L6" s="10" t="str">
        <f aca="false">IF(INDEX(Results_Long!$Q:$Q,$F6)="","NA",INDEX(Results_Long!$Q:$Q,$F6))</f>
        <v>NA</v>
      </c>
      <c r="M6" s="10" t="str">
        <f aca="false">IF(INDEX(Results_Long!$T:$T,$F6)="","NA",INDEX(Results_Long!$T:$T,$F6))</f>
        <v>NA</v>
      </c>
      <c r="N6" s="10" t="str">
        <f aca="false">IF(INDEX(Results_Long!$U:$U,$F6)="","NA",INDEX(Results_Long!$U:$U,$F6))</f>
        <v>NA</v>
      </c>
      <c r="O6" s="10" t="str">
        <f aca="false">IF(INDEX(Results_Long!$V:$V,$F6)="","NA",INDEX(Results_Long!$V:$V,$F6))</f>
        <v>NA</v>
      </c>
      <c r="P6" s="10" t="str">
        <f aca="false">IF(INDEX(Results_Long!$L:$L,$F6)="","NA",INDEX(Results_Long!$L:$L,$F6))</f>
        <v>NA</v>
      </c>
      <c r="Q6" s="11" t="str">
        <f aca="false">IF(INDEX(Results_Long!$M:$M,$F6)="","NA",INDEX(Results_Long!$M:$M,$F6))</f>
        <v>NA</v>
      </c>
      <c r="R6" s="12" t="str">
        <f aca="false">IF(INDEX(Results_Long!$N:$N,$F6)="","NA",INDEX(Results_Long!$N:$N,$F6))</f>
        <v>NA</v>
      </c>
      <c r="S6" s="10" t="str">
        <f aca="false">IF(INDEX(Results_Long!$O:$O,$F6)="","NA",INDEX(Results_Long!$O:$O,$F6))</f>
        <v>NA</v>
      </c>
      <c r="T6" s="6" t="n">
        <f aca="false">IF(INDEX(Results_Long!$AG:$AG,$F6)="","NA",INDEX(Results_Long!$AG:$AG,$F6))</f>
        <v>28</v>
      </c>
      <c r="U6" s="5" t="str">
        <f aca="false">IF(INDEX(Results_Long!$AJ:$AJ,$F6)="","NA",INDEX(Results_Long!$AJ:$AJ,$F6))</f>
        <v>N13 rule [Annex H/DEC-045]: conditional on &gt;= 5 significant study-level post-cell p; selection = first-reported ES per post study (dat_prep row order); p reconstructed as 2*pnorm(-|zi|/sqrt(vi)) (z-metric; converted-r accuracy caveat)</v>
      </c>
    </row>
    <row r="7" customFormat="false" ht="57.45" hidden="false" customHeight="false" outlineLevel="0" collapsed="false">
      <c r="A7" s="6" t="s">
        <v>697</v>
      </c>
      <c r="B7" s="7" t="s">
        <v>694</v>
      </c>
      <c r="C7" s="7" t="s">
        <v>695</v>
      </c>
      <c r="D7" s="7" t="s">
        <v>184</v>
      </c>
      <c r="E7" s="7" t="s">
        <v>698</v>
      </c>
      <c r="F7" s="8" t="n">
        <f aca="false">SUMPRODUCT((Results_Long!$A$2:$A$178=$B7)*(Results_Long!$B$2:$B$178=$C7)*(Results_Long!$C$2:$C$178=$D7)*(Results_Long!$D$2:$D$178=$E7)*ROW(Results_Long!$A$2:$A$178))</f>
        <v>165</v>
      </c>
      <c r="G7" s="9" t="str">
        <f aca="false">IF(INDEX(Results_Long!$H:$H,$F7)="","NA",INDEX(Results_Long!$H:$H,$F7))</f>
        <v>NA</v>
      </c>
      <c r="H7" s="9" t="n">
        <f aca="false">IF(INDEX(Results_Long!$I:$I,$F7)="","NA",INDEX(Results_Long!$I:$I,$F7))</f>
        <v>28</v>
      </c>
      <c r="I7" s="9" t="str">
        <f aca="false">IF(INDEX(Results_Long!$J:$J,$F7)="","NA",INDEX(Results_Long!$J:$J,$F7))</f>
        <v>NA</v>
      </c>
      <c r="J7" s="10" t="str">
        <f aca="false">IF(INDEX(Results_Long!$K:$K,$F7)="","NA",INDEX(Results_Long!$K:$K,$F7))</f>
        <v>NA</v>
      </c>
      <c r="K7" s="10" t="str">
        <f aca="false">IF(INDEX(Results_Long!$P:$P,$F7)="","NA",INDEX(Results_Long!$P:$P,$F7))</f>
        <v>NA</v>
      </c>
      <c r="L7" s="10" t="str">
        <f aca="false">IF(INDEX(Results_Long!$Q:$Q,$F7)="","NA",INDEX(Results_Long!$Q:$Q,$F7))</f>
        <v>NA</v>
      </c>
      <c r="M7" s="10" t="str">
        <f aca="false">IF(INDEX(Results_Long!$T:$T,$F7)="","NA",INDEX(Results_Long!$T:$T,$F7))</f>
        <v>NA</v>
      </c>
      <c r="N7" s="10" t="str">
        <f aca="false">IF(INDEX(Results_Long!$U:$U,$F7)="","NA",INDEX(Results_Long!$U:$U,$F7))</f>
        <v>NA</v>
      </c>
      <c r="O7" s="10" t="str">
        <f aca="false">IF(INDEX(Results_Long!$V:$V,$F7)="","NA",INDEX(Results_Long!$V:$V,$F7))</f>
        <v>NA</v>
      </c>
      <c r="P7" s="10" t="str">
        <f aca="false">IF(INDEX(Results_Long!$L:$L,$F7)="","NA",INDEX(Results_Long!$L:$L,$F7))</f>
        <v>NA</v>
      </c>
      <c r="Q7" s="11" t="str">
        <f aca="false">IF(INDEX(Results_Long!$M:$M,$F7)="","NA",INDEX(Results_Long!$M:$M,$F7))</f>
        <v>NA</v>
      </c>
      <c r="R7" s="12" t="str">
        <f aca="false">IF(INDEX(Results_Long!$N:$N,$F7)="","NA",INDEX(Results_Long!$N:$N,$F7))</f>
        <v>NA</v>
      </c>
      <c r="S7" s="10" t="str">
        <f aca="false">IF(INDEX(Results_Long!$O:$O,$F7)="","NA",INDEX(Results_Long!$O:$O,$F7))</f>
        <v>NA</v>
      </c>
      <c r="T7" s="6" t="n">
        <f aca="false">IF(INDEX(Results_Long!$AG:$AG,$F7)="","NA",INDEX(Results_Long!$AG:$AG,$F7))</f>
        <v>1.516193151474E-006</v>
      </c>
      <c r="U7" s="5" t="str">
        <f aca="false">IF(INDEX(Results_Long!$AJ:$AJ,$F7)="","NA",INDEX(Results_Long!$AJ:$AJ,$F7))</f>
        <v>N13 rule [Annex H/DEC-045]: conditional on &gt;= 5 significant study-level post-cell p; selection = first-reported ES per post study (dat_prep row order); p reconstructed as 2*pnorm(-|zi|/sqrt(vi)) (z-metric; converted-r accuracy caveat); share of significant p &lt; .025: 26/28; one-sided binomial vs 0.5 [Simonsohn et al. 2014]</v>
      </c>
    </row>
    <row r="8" customFormat="false" ht="57.45" hidden="false" customHeight="false" outlineLevel="0" collapsed="false">
      <c r="A8" s="6" t="s">
        <v>699</v>
      </c>
      <c r="B8" s="7" t="s">
        <v>694</v>
      </c>
      <c r="C8" s="7" t="s">
        <v>695</v>
      </c>
      <c r="D8" s="7" t="s">
        <v>184</v>
      </c>
      <c r="E8" s="7" t="s">
        <v>700</v>
      </c>
      <c r="F8" s="8" t="n">
        <f aca="false">SUMPRODUCT((Results_Long!$A$2:$A$178=$B8)*(Results_Long!$B$2:$B$178=$C8)*(Results_Long!$C$2:$C$178=$D8)*(Results_Long!$D$2:$D$178=$E8)*ROW(Results_Long!$A$2:$A$178))</f>
        <v>166</v>
      </c>
      <c r="G8" s="9" t="str">
        <f aca="false">IF(INDEX(Results_Long!$H:$H,$F8)="","NA",INDEX(Results_Long!$H:$H,$F8))</f>
        <v>NA</v>
      </c>
      <c r="H8" s="9" t="n">
        <f aca="false">IF(INDEX(Results_Long!$I:$I,$F8)="","NA",INDEX(Results_Long!$I:$I,$F8))</f>
        <v>28</v>
      </c>
      <c r="I8" s="9" t="str">
        <f aca="false">IF(INDEX(Results_Long!$J:$J,$F8)="","NA",INDEX(Results_Long!$J:$J,$F8))</f>
        <v>NA</v>
      </c>
      <c r="J8" s="10" t="str">
        <f aca="false">IF(INDEX(Results_Long!$K:$K,$F8)="","NA",INDEX(Results_Long!$K:$K,$F8))</f>
        <v>NA</v>
      </c>
      <c r="K8" s="10" t="str">
        <f aca="false">IF(INDEX(Results_Long!$P:$P,$F8)="","NA",INDEX(Results_Long!$P:$P,$F8))</f>
        <v>NA</v>
      </c>
      <c r="L8" s="10" t="str">
        <f aca="false">IF(INDEX(Results_Long!$Q:$Q,$F8)="","NA",INDEX(Results_Long!$Q:$Q,$F8))</f>
        <v>NA</v>
      </c>
      <c r="M8" s="10" t="str">
        <f aca="false">IF(INDEX(Results_Long!$T:$T,$F8)="","NA",INDEX(Results_Long!$T:$T,$F8))</f>
        <v>NA</v>
      </c>
      <c r="N8" s="10" t="str">
        <f aca="false">IF(INDEX(Results_Long!$U:$U,$F8)="","NA",INDEX(Results_Long!$U:$U,$F8))</f>
        <v>NA</v>
      </c>
      <c r="O8" s="10" t="str">
        <f aca="false">IF(INDEX(Results_Long!$V:$V,$F8)="","NA",INDEX(Results_Long!$V:$V,$F8))</f>
        <v>NA</v>
      </c>
      <c r="P8" s="10" t="str">
        <f aca="false">IF(INDEX(Results_Long!$L:$L,$F8)="","NA",INDEX(Results_Long!$L:$L,$F8))</f>
        <v>NA</v>
      </c>
      <c r="Q8" s="11" t="str">
        <f aca="false">IF(INDEX(Results_Long!$M:$M,$F8)="","NA",INDEX(Results_Long!$M:$M,$F8))</f>
        <v>NA</v>
      </c>
      <c r="R8" s="12" t="str">
        <f aca="false">IF(INDEX(Results_Long!$N:$N,$F8)="","NA",INDEX(Results_Long!$N:$N,$F8))</f>
        <v>NA</v>
      </c>
      <c r="S8" s="10" t="str">
        <f aca="false">IF(INDEX(Results_Long!$O:$O,$F8)="","NA",INDEX(Results_Long!$O:$O,$F8))</f>
        <v>NA</v>
      </c>
      <c r="T8" s="6" t="n">
        <f aca="false">IF(INDEX(Results_Long!$AG:$AG,$F8)="","NA",INDEX(Results_Long!$AG:$AG,$F8))</f>
        <v>2.05864521899557E-119</v>
      </c>
      <c r="U8" s="5" t="str">
        <f aca="false">IF(INDEX(Results_Long!$AJ:$AJ,$F8)="","NA",INDEX(Results_Long!$AJ:$AJ,$F8))</f>
        <v>N13 rule [Annex H/DEC-045]: conditional on &gt;= 5 significant study-level post-cell p; selection = first-reported ES per post study (dat_prep row order); p reconstructed as 2*pnorm(-|zi|/sqrt(vi)) (z-metric; converted-r accuracy caveat); Stouffer z on pp = p/.05: z = -23.2043; right-skew p = pnorm(z)</v>
      </c>
    </row>
    <row r="9" customFormat="false" ht="68.65" hidden="false" customHeight="false" outlineLevel="0" collapsed="false">
      <c r="A9" s="6" t="s">
        <v>701</v>
      </c>
      <c r="B9" s="7" t="s">
        <v>694</v>
      </c>
      <c r="C9" s="7" t="s">
        <v>695</v>
      </c>
      <c r="D9" s="7" t="s">
        <v>184</v>
      </c>
      <c r="E9" s="7" t="s">
        <v>702</v>
      </c>
      <c r="F9" s="8" t="n">
        <f aca="false">SUMPRODUCT((Results_Long!$A$2:$A$178=$B9)*(Results_Long!$B$2:$B$178=$C9)*(Results_Long!$C$2:$C$178=$D9)*(Results_Long!$D$2:$D$178=$E9)*ROW(Results_Long!$A$2:$A$178))</f>
        <v>167</v>
      </c>
      <c r="G9" s="9" t="str">
        <f aca="false">IF(INDEX(Results_Long!$H:$H,$F9)="","NA",INDEX(Results_Long!$H:$H,$F9))</f>
        <v>NA</v>
      </c>
      <c r="H9" s="9" t="n">
        <f aca="false">IF(INDEX(Results_Long!$I:$I,$F9)="","NA",INDEX(Results_Long!$I:$I,$F9))</f>
        <v>28</v>
      </c>
      <c r="I9" s="9" t="str">
        <f aca="false">IF(INDEX(Results_Long!$J:$J,$F9)="","NA",INDEX(Results_Long!$J:$J,$F9))</f>
        <v>NA</v>
      </c>
      <c r="J9" s="10" t="str">
        <f aca="false">IF(INDEX(Results_Long!$K:$K,$F9)="","NA",INDEX(Results_Long!$K:$K,$F9))</f>
        <v>NA</v>
      </c>
      <c r="K9" s="10" t="str">
        <f aca="false">IF(INDEX(Results_Long!$P:$P,$F9)="","NA",INDEX(Results_Long!$P:$P,$F9))</f>
        <v>NA</v>
      </c>
      <c r="L9" s="10" t="str">
        <f aca="false">IF(INDEX(Results_Long!$Q:$Q,$F9)="","NA",INDEX(Results_Long!$Q:$Q,$F9))</f>
        <v>NA</v>
      </c>
      <c r="M9" s="10" t="str">
        <f aca="false">IF(INDEX(Results_Long!$T:$T,$F9)="","NA",INDEX(Results_Long!$T:$T,$F9))</f>
        <v>NA</v>
      </c>
      <c r="N9" s="10" t="str">
        <f aca="false">IF(INDEX(Results_Long!$U:$U,$F9)="","NA",INDEX(Results_Long!$U:$U,$F9))</f>
        <v>NA</v>
      </c>
      <c r="O9" s="10" t="str">
        <f aca="false">IF(INDEX(Results_Long!$V:$V,$F9)="","NA",INDEX(Results_Long!$V:$V,$F9))</f>
        <v>NA</v>
      </c>
      <c r="P9" s="10" t="str">
        <f aca="false">IF(INDEX(Results_Long!$L:$L,$F9)="","NA",INDEX(Results_Long!$L:$L,$F9))</f>
        <v>NA</v>
      </c>
      <c r="Q9" s="11" t="str">
        <f aca="false">IF(INDEX(Results_Long!$M:$M,$F9)="","NA",INDEX(Results_Long!$M:$M,$F9))</f>
        <v>NA</v>
      </c>
      <c r="R9" s="12" t="str">
        <f aca="false">IF(INDEX(Results_Long!$N:$N,$F9)="","NA",INDEX(Results_Long!$N:$N,$F9))</f>
        <v>NA</v>
      </c>
      <c r="S9" s="10" t="str">
        <f aca="false">IF(INDEX(Results_Long!$O:$O,$F9)="","NA",INDEX(Results_Long!$O:$O,$F9))</f>
        <v>NA</v>
      </c>
      <c r="T9" s="6" t="n">
        <f aca="false">IF(INDEX(Results_Long!$AG:$AG,$F9)="","NA",INDEX(Results_Long!$AG:$AG,$F9))</f>
        <v>1</v>
      </c>
      <c r="U9" s="5" t="str">
        <f aca="false">IF(INDEX(Results_Long!$AJ:$AJ,$F9)="","NA",INDEX(Results_Long!$AJ:$AJ,$F9))</f>
        <v>N13 rule [Annex H/DEC-045]: conditional on &gt;= 5 significant study-level post-cell p; selection = first-reported ES per post study (dat_prep row order); p reconstructed as 2*pnorm(-|zi|/sqrt(vi)) (z-metric; converted-r accuracy caveat); NCP_33 = 1.529236685 (= qnorm(.975) - qnorm(2/3)); Stouffer z on pp33: z = -20.0115; flatter-than-33% p = 1 - pnorm(z); pp33 clip share (upper/lower) = 0/9 of 28</v>
      </c>
    </row>
    <row r="11" customFormat="false" ht="15" hidden="false" customHeight="false" outlineLevel="0" collapsed="false">
      <c r="A11" s="3" t="s">
        <v>160</v>
      </c>
      <c r="B11" s="3" t="s">
        <v>161</v>
      </c>
      <c r="C11" s="3" t="s">
        <v>162</v>
      </c>
      <c r="D11" s="3" t="s">
        <v>163</v>
      </c>
      <c r="E11" s="3" t="s">
        <v>164</v>
      </c>
      <c r="F11" s="3" t="s">
        <v>165</v>
      </c>
      <c r="G11" s="3" t="s">
        <v>166</v>
      </c>
      <c r="H11" s="3" t="s">
        <v>167</v>
      </c>
      <c r="I11" s="3" t="s">
        <v>168</v>
      </c>
      <c r="J11" s="3" t="s">
        <v>169</v>
      </c>
      <c r="K11" s="3" t="s">
        <v>170</v>
      </c>
      <c r="L11" s="3" t="s">
        <v>171</v>
      </c>
      <c r="M11" s="3" t="s">
        <v>172</v>
      </c>
      <c r="N11" s="3" t="s">
        <v>173</v>
      </c>
      <c r="O11" s="3" t="s">
        <v>174</v>
      </c>
      <c r="P11" s="3" t="s">
        <v>175</v>
      </c>
      <c r="Q11" s="3" t="s">
        <v>176</v>
      </c>
      <c r="R11" s="3" t="s">
        <v>177</v>
      </c>
      <c r="S11" s="3" t="s">
        <v>178</v>
      </c>
      <c r="T11" s="3" t="s">
        <v>179</v>
      </c>
      <c r="U11" s="3" t="s">
        <v>180</v>
      </c>
    </row>
    <row r="12" customFormat="false" ht="35.05" hidden="false" customHeight="false" outlineLevel="0" collapsed="false">
      <c r="A12" s="6" t="s">
        <v>703</v>
      </c>
      <c r="B12" s="7" t="s">
        <v>704</v>
      </c>
      <c r="C12" s="7" t="s">
        <v>705</v>
      </c>
      <c r="D12" s="7" t="s">
        <v>396</v>
      </c>
      <c r="E12" s="7" t="s">
        <v>706</v>
      </c>
      <c r="F12" s="8" t="n">
        <f aca="false">SUMPRODUCT((Results_Long!$A$2:$A$178=$B12)*(Results_Long!$B$2:$B$178=$C12)*(Results_Long!$C$2:$C$178=$D12)*(Results_Long!$D$2:$D$178=$E12)*ROW(Results_Long!$A$2:$A$178))</f>
        <v>168</v>
      </c>
      <c r="G12" s="9" t="n">
        <f aca="false">IF(INDEX(Results_Long!$H:$H,$F12)="","NA",INDEX(Results_Long!$H:$H,$F12))</f>
        <v>12</v>
      </c>
      <c r="H12" s="9" t="n">
        <f aca="false">IF(INDEX(Results_Long!$I:$I,$F12)="","NA",INDEX(Results_Long!$I:$I,$F12))</f>
        <v>1</v>
      </c>
      <c r="I12" s="9" t="n">
        <f aca="false">IF(INDEX(Results_Long!$J:$J,$F12)="","NA",INDEX(Results_Long!$J:$J,$F12))</f>
        <v>1</v>
      </c>
      <c r="J12" s="10" t="n">
        <f aca="false">IF(INDEX(Results_Long!$K:$K,$F12)="","NA",INDEX(Results_Long!$K:$K,$F12))</f>
        <v>-0.0523480826850689</v>
      </c>
      <c r="K12" s="10" t="str">
        <f aca="false">IF(INDEX(Results_Long!$P:$P,$F12)="","NA",INDEX(Results_Long!$P:$P,$F12))</f>
        <v>NA</v>
      </c>
      <c r="L12" s="10" t="str">
        <f aca="false">IF(INDEX(Results_Long!$Q:$Q,$F12)="","NA",INDEX(Results_Long!$Q:$Q,$F12))</f>
        <v>NA</v>
      </c>
      <c r="M12" s="10" t="n">
        <f aca="false">IF(INDEX(Results_Long!$T:$T,$F12)="","NA",INDEX(Results_Long!$T:$T,$F12))</f>
        <v>-0.0523003181770613</v>
      </c>
      <c r="N12" s="10" t="str">
        <f aca="false">IF(INDEX(Results_Long!$U:$U,$F12)="","NA",INDEX(Results_Long!$U:$U,$F12))</f>
        <v>NA</v>
      </c>
      <c r="O12" s="10" t="str">
        <f aca="false">IF(INDEX(Results_Long!$V:$V,$F12)="","NA",INDEX(Results_Long!$V:$V,$F12))</f>
        <v>NA</v>
      </c>
      <c r="P12" s="10" t="str">
        <f aca="false">IF(INDEX(Results_Long!$L:$L,$F12)="","NA",INDEX(Results_Long!$L:$L,$F12))</f>
        <v>NA</v>
      </c>
      <c r="Q12" s="11" t="str">
        <f aca="false">IF(INDEX(Results_Long!$M:$M,$F12)="","NA",INDEX(Results_Long!$M:$M,$F12))</f>
        <v>NA</v>
      </c>
      <c r="R12" s="12" t="str">
        <f aca="false">IF(INDEX(Results_Long!$N:$N,$F12)="","NA",INDEX(Results_Long!$N:$N,$F12))</f>
        <v>NA</v>
      </c>
      <c r="S12" s="10" t="str">
        <f aca="false">IF(INDEX(Results_Long!$O:$O,$F12)="","NA",INDEX(Results_Long!$O:$O,$F12))</f>
        <v>NA</v>
      </c>
      <c r="T12" s="6" t="n">
        <f aca="false">IF(INDEX(Results_Long!$AG:$AG,$F12)="","NA",INDEX(Results_Long!$AG:$AG,$F12))</f>
        <v>0.0342919273728801</v>
      </c>
      <c r="U12" s="5" t="str">
        <f aca="false">IF(INDEX(Results_Long!$AJ:$AJ,$F12)="","NA",INDEX(Results_Long!$AJ:$AJ,$F12))</f>
        <v>N15 within-study display: descriptive only, explicitly NO p-values (single both-period cluster) [DEC-045/H-Q11; DEC-008 partial reopen]; unweighted mean of Fisher-z within cell; value = SD</v>
      </c>
    </row>
    <row r="13" customFormat="false" ht="35.05" hidden="false" customHeight="false" outlineLevel="0" collapsed="false">
      <c r="A13" s="6" t="s">
        <v>707</v>
      </c>
      <c r="B13" s="7" t="s">
        <v>704</v>
      </c>
      <c r="C13" s="7" t="s">
        <v>705</v>
      </c>
      <c r="D13" s="7" t="s">
        <v>396</v>
      </c>
      <c r="E13" s="7" t="s">
        <v>708</v>
      </c>
      <c r="F13" s="8" t="n">
        <f aca="false">SUMPRODUCT((Results_Long!$A$2:$A$178=$B13)*(Results_Long!$B$2:$B$178=$C13)*(Results_Long!$C$2:$C$178=$D13)*(Results_Long!$D$2:$D$178=$E13)*ROW(Results_Long!$A$2:$A$178))</f>
        <v>169</v>
      </c>
      <c r="G13" s="9" t="n">
        <f aca="false">IF(INDEX(Results_Long!$H:$H,$F13)="","NA",INDEX(Results_Long!$H:$H,$F13))</f>
        <v>5</v>
      </c>
      <c r="H13" s="9" t="n">
        <f aca="false">IF(INDEX(Results_Long!$I:$I,$F13)="","NA",INDEX(Results_Long!$I:$I,$F13))</f>
        <v>1</v>
      </c>
      <c r="I13" s="9" t="n">
        <f aca="false">IF(INDEX(Results_Long!$J:$J,$F13)="","NA",INDEX(Results_Long!$J:$J,$F13))</f>
        <v>1</v>
      </c>
      <c r="J13" s="10" t="n">
        <f aca="false">IF(INDEX(Results_Long!$K:$K,$F13)="","NA",INDEX(Results_Long!$K:$K,$F13))</f>
        <v>-0.016230795425782</v>
      </c>
      <c r="K13" s="10" t="str">
        <f aca="false">IF(INDEX(Results_Long!$P:$P,$F13)="","NA",INDEX(Results_Long!$P:$P,$F13))</f>
        <v>NA</v>
      </c>
      <c r="L13" s="10" t="str">
        <f aca="false">IF(INDEX(Results_Long!$Q:$Q,$F13)="","NA",INDEX(Results_Long!$Q:$Q,$F13))</f>
        <v>NA</v>
      </c>
      <c r="M13" s="10" t="n">
        <f aca="false">IF(INDEX(Results_Long!$T:$T,$F13)="","NA",INDEX(Results_Long!$T:$T,$F13))</f>
        <v>-0.0162293703026302</v>
      </c>
      <c r="N13" s="10" t="str">
        <f aca="false">IF(INDEX(Results_Long!$U:$U,$F13)="","NA",INDEX(Results_Long!$U:$U,$F13))</f>
        <v>NA</v>
      </c>
      <c r="O13" s="10" t="str">
        <f aca="false">IF(INDEX(Results_Long!$V:$V,$F13)="","NA",INDEX(Results_Long!$V:$V,$F13))</f>
        <v>NA</v>
      </c>
      <c r="P13" s="10" t="str">
        <f aca="false">IF(INDEX(Results_Long!$L:$L,$F13)="","NA",INDEX(Results_Long!$L:$L,$F13))</f>
        <v>NA</v>
      </c>
      <c r="Q13" s="11" t="str">
        <f aca="false">IF(INDEX(Results_Long!$M:$M,$F13)="","NA",INDEX(Results_Long!$M:$M,$F13))</f>
        <v>NA</v>
      </c>
      <c r="R13" s="12" t="str">
        <f aca="false">IF(INDEX(Results_Long!$N:$N,$F13)="","NA",INDEX(Results_Long!$N:$N,$F13))</f>
        <v>NA</v>
      </c>
      <c r="S13" s="10" t="str">
        <f aca="false">IF(INDEX(Results_Long!$O:$O,$F13)="","NA",INDEX(Results_Long!$O:$O,$F13))</f>
        <v>NA</v>
      </c>
      <c r="T13" s="6" t="n">
        <f aca="false">IF(INDEX(Results_Long!$AG:$AG,$F13)="","NA",INDEX(Results_Long!$AG:$AG,$F13))</f>
        <v>0.0325492596890103</v>
      </c>
      <c r="U13" s="5" t="str">
        <f aca="false">IF(INDEX(Results_Long!$AJ:$AJ,$F13)="","NA",INDEX(Results_Long!$AJ:$AJ,$F13))</f>
        <v>N15 within-study display: descriptive only, explicitly NO p-values (single both-period cluster) [DEC-045/H-Q11; DEC-008 partial reopen]; unweighted mean of Fisher-z within cell; value = SD</v>
      </c>
    </row>
    <row r="14" customFormat="false" ht="46.25" hidden="false" customHeight="false" outlineLevel="0" collapsed="false">
      <c r="A14" s="6" t="s">
        <v>709</v>
      </c>
      <c r="B14" s="7" t="s">
        <v>704</v>
      </c>
      <c r="C14" s="7" t="s">
        <v>705</v>
      </c>
      <c r="D14" s="7" t="s">
        <v>396</v>
      </c>
      <c r="E14" s="7" t="s">
        <v>710</v>
      </c>
      <c r="F14" s="8" t="n">
        <f aca="false">SUMPRODUCT((Results_Long!$A$2:$A$178=$B14)*(Results_Long!$B$2:$B$178=$C14)*(Results_Long!$C$2:$C$178=$D14)*(Results_Long!$D$2:$D$178=$E14)*ROW(Results_Long!$A$2:$A$178))</f>
        <v>170</v>
      </c>
      <c r="G14" s="9" t="n">
        <f aca="false">IF(INDEX(Results_Long!$H:$H,$F14)="","NA",INDEX(Results_Long!$H:$H,$F14))</f>
        <v>17</v>
      </c>
      <c r="H14" s="9" t="n">
        <f aca="false">IF(INDEX(Results_Long!$I:$I,$F14)="","NA",INDEX(Results_Long!$I:$I,$F14))</f>
        <v>1</v>
      </c>
      <c r="I14" s="9" t="n">
        <f aca="false">IF(INDEX(Results_Long!$J:$J,$F14)="","NA",INDEX(Results_Long!$J:$J,$F14))</f>
        <v>1</v>
      </c>
      <c r="J14" s="10" t="n">
        <f aca="false">IF(INDEX(Results_Long!$K:$K,$F14)="","NA",INDEX(Results_Long!$K:$K,$F14))</f>
        <v>0.0361172872592869</v>
      </c>
      <c r="K14" s="10" t="str">
        <f aca="false">IF(INDEX(Results_Long!$P:$P,$F14)="","NA",INDEX(Results_Long!$P:$P,$F14))</f>
        <v>NA</v>
      </c>
      <c r="L14" s="10" t="str">
        <f aca="false">IF(INDEX(Results_Long!$Q:$Q,$F14)="","NA",INDEX(Results_Long!$Q:$Q,$F14))</f>
        <v>NA</v>
      </c>
      <c r="M14" s="10" t="str">
        <f aca="false">IF(INDEX(Results_Long!$T:$T,$F14)="","NA",INDEX(Results_Long!$T:$T,$F14))</f>
        <v>NA</v>
      </c>
      <c r="N14" s="10" t="str">
        <f aca="false">IF(INDEX(Results_Long!$U:$U,$F14)="","NA",INDEX(Results_Long!$U:$U,$F14))</f>
        <v>NA</v>
      </c>
      <c r="O14" s="10" t="str">
        <f aca="false">IF(INDEX(Results_Long!$V:$V,$F14)="","NA",INDEX(Results_Long!$V:$V,$F14))</f>
        <v>NA</v>
      </c>
      <c r="P14" s="10" t="str">
        <f aca="false">IF(INDEX(Results_Long!$L:$L,$F14)="","NA",INDEX(Results_Long!$L:$L,$F14))</f>
        <v>NA</v>
      </c>
      <c r="Q14" s="11" t="str">
        <f aca="false">IF(INDEX(Results_Long!$M:$M,$F14)="","NA",INDEX(Results_Long!$M:$M,$F14))</f>
        <v>NA</v>
      </c>
      <c r="R14" s="12" t="str">
        <f aca="false">IF(INDEX(Results_Long!$N:$N,$F14)="","NA",INDEX(Results_Long!$N:$N,$F14))</f>
        <v>NA</v>
      </c>
      <c r="S14" s="10" t="str">
        <f aca="false">IF(INDEX(Results_Long!$O:$O,$F14)="","NA",INDEX(Results_Long!$O:$O,$F14))</f>
        <v>NA</v>
      </c>
      <c r="T14" s="6" t="str">
        <f aca="false">IF(INDEX(Results_Long!$AG:$AG,$F14)="","NA",INDEX(Results_Long!$AG:$AG,$F14))</f>
        <v>NA</v>
      </c>
      <c r="U14" s="5" t="str">
        <f aca="false">IF(INDEX(Results_Long!$AJ:$AJ,$F14)="","NA",INDEX(Results_Long!$AJ:$AJ,$F14))</f>
        <v>N15 within-study display: descriptive only, explicitly NO p-values (single both-period cluster) [DEC-045/H-Q11; DEC-008 partial reopen]; unweighted mean of Fisher-z within cell; value = SD; post-minus-pre difference of unweighted cell means; z-only, no CI/p by rule</v>
      </c>
    </row>
    <row r="16" customFormat="false" ht="15" hidden="false" customHeight="false" outlineLevel="0" collapsed="false">
      <c r="A16" s="3" t="s">
        <v>160</v>
      </c>
      <c r="B16" s="3" t="s">
        <v>161</v>
      </c>
      <c r="C16" s="3" t="s">
        <v>162</v>
      </c>
      <c r="D16" s="3" t="s">
        <v>163</v>
      </c>
      <c r="E16" s="3" t="s">
        <v>164</v>
      </c>
      <c r="F16" s="3" t="s">
        <v>165</v>
      </c>
      <c r="G16" s="3" t="s">
        <v>271</v>
      </c>
      <c r="H16" s="3" t="s">
        <v>179</v>
      </c>
      <c r="I16" s="3" t="s">
        <v>180</v>
      </c>
    </row>
    <row r="17" customFormat="false" ht="23.85" hidden="false" customHeight="false" outlineLevel="0" collapsed="false">
      <c r="A17" s="6" t="s">
        <v>711</v>
      </c>
      <c r="B17" s="7" t="s">
        <v>273</v>
      </c>
      <c r="C17" s="7" t="s">
        <v>274</v>
      </c>
      <c r="D17" s="7" t="s">
        <v>184</v>
      </c>
      <c r="E17" s="7" t="s">
        <v>712</v>
      </c>
      <c r="F17" s="8" t="n">
        <f aca="false">SUMPRODUCT((Results_Long!$A$2:$A$178=$B17)*(Results_Long!$B$2:$B$178=$C17)*(Results_Long!$C$2:$C$178=$D17)*(Results_Long!$D$2:$D$178=$E17)*ROW(Results_Long!$A$2:$A$178))</f>
        <v>177</v>
      </c>
      <c r="G17" s="10" t="str">
        <f aca="false">IF(INDEX(Results_Long!$N:$N,$F17)="","NA",INDEX(Results_Long!$N:$N,$F17))</f>
        <v>NA</v>
      </c>
      <c r="H17" s="6" t="n">
        <f aca="false">IF(INDEX(Results_Long!$AG:$AG,$F17)="","NA",INDEX(Results_Long!$AG:$AG,$F17))</f>
        <v>73</v>
      </c>
      <c r="I17" s="5" t="str">
        <f aca="false">IF(INDEX(Results_Long!$AJ:$AJ,$F17)="","NA",INDEX(Results_Long!$AJ:$AJ,$F17))</f>
        <v>studies with any pp_window_class == 'mixed' on the estimation set (straddle the break) [DEC-045/H-Q11]</v>
      </c>
    </row>
    <row r="18" customFormat="false" ht="23.85" hidden="false" customHeight="false" outlineLevel="0" collapsed="false">
      <c r="A18" s="6" t="s">
        <v>713</v>
      </c>
      <c r="B18" s="7" t="s">
        <v>273</v>
      </c>
      <c r="C18" s="7" t="s">
        <v>274</v>
      </c>
      <c r="D18" s="7" t="s">
        <v>184</v>
      </c>
      <c r="E18" s="7" t="s">
        <v>714</v>
      </c>
      <c r="F18" s="8" t="n">
        <f aca="false">SUMPRODUCT((Results_Long!$A$2:$A$178=$B18)*(Results_Long!$B$2:$B$178=$C18)*(Results_Long!$C$2:$C$178=$D18)*(Results_Long!$D$2:$D$178=$E18)*ROW(Results_Long!$A$2:$A$178))</f>
        <v>178</v>
      </c>
      <c r="G18" s="10" t="str">
        <f aca="false">IF(INDEX(Results_Long!$N:$N,$F18)="","NA",INDEX(Results_Long!$N:$N,$F18))</f>
        <v>NA</v>
      </c>
      <c r="H18" s="6" t="n">
        <f aca="false">IF(INDEX(Results_Long!$AG:$AG,$F18)="","NA",INDEX(Results_Long!$AG:$AG,$F18))</f>
        <v>72</v>
      </c>
      <c r="I18" s="5" t="str">
        <f aca="false">IF(INDEX(Results_Long!$AJ:$AJ,$F18)="","NA",INDEX(Results_Long!$AJ:$AJ,$F18))</f>
        <v>straddling studies minus the single within-split study (Li et al 2022) = studies that pool across the break ('Paris blindness' introduction module)</v>
      </c>
    </row>
    <row r="19" customFormat="false" ht="23.85" hidden="false" customHeight="false" outlineLevel="0" collapsed="false">
      <c r="A19" s="6" t="s">
        <v>715</v>
      </c>
      <c r="B19" s="7" t="s">
        <v>273</v>
      </c>
      <c r="C19" s="7" t="s">
        <v>274</v>
      </c>
      <c r="D19" s="7" t="s">
        <v>184</v>
      </c>
      <c r="E19" s="7" t="s">
        <v>716</v>
      </c>
      <c r="F19" s="8" t="n">
        <f aca="false">SUMPRODUCT((Results_Long!$A$2:$A$178=$B19)*(Results_Long!$B$2:$B$178=$C19)*(Results_Long!$C$2:$C$178=$D19)*(Results_Long!$D$2:$D$178=$E19)*ROW(Results_Long!$A$2:$A$178))</f>
        <v>176</v>
      </c>
      <c r="G19" s="10" t="str">
        <f aca="false">IF(INDEX(Results_Long!$N:$N,$F19)="","NA",INDEX(Results_Long!$N:$N,$F19))</f>
        <v>NA</v>
      </c>
      <c r="H19" s="6" t="str">
        <f aca="false">IF(INDEX(Results_Long!$AG:$AG,$F19)="","NA",INDEX(Results_Long!$AG:$AG,$F19))</f>
        <v>NA</v>
      </c>
      <c r="I19" s="5" t="str">
        <f aca="false">IF(INDEX(Results_Long!$AJ:$AJ,$F19)="","NA",INDEX(Results_Long!$AJ:$AJ,$F19))</f>
        <v>first-reported ES per post study = first occurrence in dat_prep row order (pinned) [DEC-045/N13]</v>
      </c>
    </row>
    <row r="21" customFormat="false" ht="15" hidden="false" customHeight="false" outlineLevel="0" collapsed="false">
      <c r="A21" s="13" t="s">
        <v>207</v>
      </c>
    </row>
    <row r="22" customFormat="false" ht="15" hidden="false" customHeight="true" outlineLevel="0" collapsed="false">
      <c r="A22" s="14" t="s">
        <v>717</v>
      </c>
      <c r="B22" s="14"/>
      <c r="C22" s="14"/>
      <c r="D22" s="14"/>
      <c r="E22" s="14"/>
      <c r="F22" s="14"/>
      <c r="G22" s="14"/>
      <c r="H22" s="14"/>
      <c r="I22" s="14"/>
      <c r="J22" s="14"/>
    </row>
    <row r="23" customFormat="false" ht="15" hidden="false" customHeight="true" outlineLevel="0" collapsed="false">
      <c r="A23" s="14" t="s">
        <v>718</v>
      </c>
      <c r="B23" s="14"/>
      <c r="C23" s="14"/>
      <c r="D23" s="14"/>
      <c r="E23" s="14"/>
      <c r="F23" s="14"/>
      <c r="G23" s="14"/>
      <c r="H23" s="14"/>
      <c r="I23" s="14"/>
      <c r="J23" s="14"/>
    </row>
    <row r="24" customFormat="false" ht="15" hidden="false" customHeight="true" outlineLevel="0" collapsed="false">
      <c r="A24" s="14" t="s">
        <v>719</v>
      </c>
      <c r="B24" s="14"/>
      <c r="C24" s="14"/>
      <c r="D24" s="14"/>
      <c r="E24" s="14"/>
      <c r="F24" s="14"/>
      <c r="G24" s="14"/>
      <c r="H24" s="14"/>
      <c r="I24" s="14"/>
      <c r="J24" s="14"/>
    </row>
    <row r="26" customFormat="false" ht="15" hidden="false" customHeight="false" outlineLevel="0" collapsed="false">
      <c r="A26" s="3" t="s">
        <v>211</v>
      </c>
      <c r="B26" s="3" t="s">
        <v>212</v>
      </c>
    </row>
    <row r="27" customFormat="false" ht="15" hidden="false" customHeight="true" outlineLevel="0" collapsed="false">
      <c r="A27" s="15" t="s">
        <v>720</v>
      </c>
      <c r="B27" s="14" t="s">
        <v>721</v>
      </c>
      <c r="C27" s="14"/>
      <c r="D27" s="14"/>
      <c r="E27" s="14"/>
      <c r="F27" s="14"/>
      <c r="G27" s="14"/>
      <c r="H27" s="14"/>
      <c r="I27" s="14"/>
      <c r="J27" s="14"/>
    </row>
    <row r="28" customFormat="false" ht="15" hidden="false" customHeight="true" outlineLevel="0" collapsed="false">
      <c r="A28" s="15" t="s">
        <v>722</v>
      </c>
      <c r="B28" s="14" t="s">
        <v>723</v>
      </c>
      <c r="C28" s="14"/>
      <c r="D28" s="14"/>
      <c r="E28" s="14"/>
      <c r="F28" s="14"/>
      <c r="G28" s="14"/>
      <c r="H28" s="14"/>
      <c r="I28" s="14"/>
      <c r="J28" s="14"/>
    </row>
    <row r="30" customFormat="false" ht="15" hidden="false" customHeight="true" outlineLevel="0" collapsed="false">
      <c r="A30" s="16" t="s">
        <v>724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</sheetData>
  <mergeCells count="6">
    <mergeCell ref="A22:J22"/>
    <mergeCell ref="A23:J23"/>
    <mergeCell ref="A24:J24"/>
    <mergeCell ref="B27:J27"/>
    <mergeCell ref="B28:J28"/>
    <mergeCell ref="A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5" min="1" style="0" width="13"/>
    <col collapsed="false" customWidth="true" hidden="false" outlineLevel="0" max="36" min="36" style="0" width="60"/>
  </cols>
  <sheetData>
    <row r="1" customFormat="false" ht="15" hidden="false" customHeight="false" outlineLevel="0" collapsed="false">
      <c r="A1" s="17" t="s">
        <v>161</v>
      </c>
      <c r="B1" s="17" t="s">
        <v>162</v>
      </c>
      <c r="C1" s="17" t="s">
        <v>163</v>
      </c>
      <c r="D1" s="17" t="s">
        <v>164</v>
      </c>
      <c r="E1" s="17" t="s">
        <v>725</v>
      </c>
      <c r="F1" s="17" t="s">
        <v>726</v>
      </c>
      <c r="G1" s="17" t="s">
        <v>727</v>
      </c>
      <c r="H1" s="17" t="s">
        <v>166</v>
      </c>
      <c r="I1" s="17" t="s">
        <v>728</v>
      </c>
      <c r="J1" s="17" t="s">
        <v>729</v>
      </c>
      <c r="K1" s="17" t="s">
        <v>169</v>
      </c>
      <c r="L1" s="17" t="s">
        <v>175</v>
      </c>
      <c r="M1" s="17" t="s">
        <v>730</v>
      </c>
      <c r="N1" s="17" t="s">
        <v>177</v>
      </c>
      <c r="O1" s="17" t="s">
        <v>178</v>
      </c>
      <c r="P1" s="17" t="s">
        <v>170</v>
      </c>
      <c r="Q1" s="17" t="s">
        <v>171</v>
      </c>
      <c r="R1" s="17" t="s">
        <v>731</v>
      </c>
      <c r="S1" s="17" t="s">
        <v>732</v>
      </c>
      <c r="T1" s="17" t="s">
        <v>172</v>
      </c>
      <c r="U1" s="17" t="s">
        <v>173</v>
      </c>
      <c r="V1" s="17" t="s">
        <v>174</v>
      </c>
      <c r="W1" s="17" t="s">
        <v>733</v>
      </c>
      <c r="X1" s="17" t="s">
        <v>734</v>
      </c>
      <c r="Y1" s="17" t="s">
        <v>735</v>
      </c>
      <c r="Z1" s="17" t="s">
        <v>736</v>
      </c>
      <c r="AA1" s="17" t="s">
        <v>737</v>
      </c>
      <c r="AB1" s="17" t="s">
        <v>738</v>
      </c>
      <c r="AC1" s="17" t="s">
        <v>739</v>
      </c>
      <c r="AD1" s="17" t="s">
        <v>740</v>
      </c>
      <c r="AE1" s="17" t="s">
        <v>741</v>
      </c>
      <c r="AF1" s="17" t="s">
        <v>742</v>
      </c>
      <c r="AG1" s="17" t="s">
        <v>179</v>
      </c>
      <c r="AH1" s="17" t="s">
        <v>743</v>
      </c>
      <c r="AI1" s="17" t="s">
        <v>744</v>
      </c>
      <c r="AJ1" s="17" t="s">
        <v>745</v>
      </c>
    </row>
    <row r="2" customFormat="false" ht="15" hidden="false" customHeight="false" outlineLevel="0" collapsed="false">
      <c r="A2" s="24" t="s">
        <v>182</v>
      </c>
      <c r="B2" s="24" t="s">
        <v>183</v>
      </c>
      <c r="C2" s="24" t="s">
        <v>184</v>
      </c>
      <c r="D2" s="24" t="s">
        <v>185</v>
      </c>
      <c r="E2" s="24" t="s">
        <v>746</v>
      </c>
      <c r="F2" s="24" t="s">
        <v>747</v>
      </c>
      <c r="G2" s="24" t="n">
        <v>0.6</v>
      </c>
      <c r="H2" s="24" t="n">
        <v>2713</v>
      </c>
      <c r="I2" s="24" t="n">
        <v>115</v>
      </c>
      <c r="J2" s="24" t="n">
        <v>114</v>
      </c>
      <c r="K2" s="24" t="n">
        <v>-0.058646736610098</v>
      </c>
      <c r="L2" s="24" t="n">
        <v>0.013856549617299</v>
      </c>
      <c r="M2" s="24" t="n">
        <v>-4.23241991908876</v>
      </c>
      <c r="N2" s="24" t="n">
        <v>111.671795029272</v>
      </c>
      <c r="O2" s="24" t="n">
        <v>4.76198354846184E-005</v>
      </c>
      <c r="P2" s="24" t="n">
        <v>-0.0861025946387978</v>
      </c>
      <c r="Q2" s="24" t="n">
        <v>-0.0311908785813981</v>
      </c>
      <c r="R2" s="24"/>
      <c r="S2" s="24"/>
      <c r="T2" s="24" t="n">
        <v>-0.0585795916799434</v>
      </c>
      <c r="U2" s="24" t="n">
        <v>-0.085890445375146</v>
      </c>
      <c r="V2" s="24" t="n">
        <v>-0.0311807676166034</v>
      </c>
      <c r="W2" s="24"/>
      <c r="X2" s="24"/>
      <c r="Y2" s="24" t="n">
        <v>0.0197455486661123</v>
      </c>
      <c r="Z2" s="24" t="n">
        <v>1.02092128749543E-009</v>
      </c>
      <c r="AA2" s="24" t="n">
        <v>0.0118831792865472</v>
      </c>
      <c r="AB2" s="24"/>
      <c r="AC2" s="24"/>
      <c r="AD2" s="24"/>
      <c r="AE2" s="24"/>
      <c r="AF2" s="24"/>
      <c r="AG2" s="24"/>
      <c r="AH2" s="24" t="s">
        <v>748</v>
      </c>
      <c r="AI2" s="24"/>
      <c r="AJ2" s="24" t="s">
        <v>749</v>
      </c>
    </row>
    <row r="3" customFormat="false" ht="15" hidden="false" customHeight="false" outlineLevel="0" collapsed="false">
      <c r="A3" s="24" t="s">
        <v>182</v>
      </c>
      <c r="B3" s="24" t="s">
        <v>183</v>
      </c>
      <c r="C3" s="24" t="s">
        <v>184</v>
      </c>
      <c r="D3" s="24" t="s">
        <v>187</v>
      </c>
      <c r="E3" s="24" t="s">
        <v>746</v>
      </c>
      <c r="F3" s="24" t="s">
        <v>747</v>
      </c>
      <c r="G3" s="24" t="n">
        <v>0.6</v>
      </c>
      <c r="H3" s="24" t="n">
        <v>2713</v>
      </c>
      <c r="I3" s="24" t="n">
        <v>115</v>
      </c>
      <c r="J3" s="24" t="n">
        <v>114</v>
      </c>
      <c r="K3" s="24" t="n">
        <v>-0.058646736610098</v>
      </c>
      <c r="L3" s="24" t="n">
        <v>0.013856549617299</v>
      </c>
      <c r="M3" s="24"/>
      <c r="N3" s="24" t="n">
        <v>111.671795029272</v>
      </c>
      <c r="O3" s="24" t="n">
        <v>0.204825910701868</v>
      </c>
      <c r="P3" s="24" t="n">
        <v>-0.0816293939174436</v>
      </c>
      <c r="Q3" s="24" t="n">
        <v>-0.0356640793027524</v>
      </c>
      <c r="R3" s="24"/>
      <c r="S3" s="24"/>
      <c r="T3" s="24"/>
      <c r="U3" s="24"/>
      <c r="V3" s="24"/>
      <c r="W3" s="24"/>
      <c r="X3" s="24"/>
      <c r="Y3" s="24" t="n">
        <v>0.0197455486661123</v>
      </c>
      <c r="Z3" s="24" t="n">
        <v>1.02092128749543E-009</v>
      </c>
      <c r="AA3" s="24" t="n">
        <v>0.0118831792865472</v>
      </c>
      <c r="AB3" s="24"/>
      <c r="AC3" s="24"/>
      <c r="AD3" s="24"/>
      <c r="AE3" s="24"/>
      <c r="AF3" s="24"/>
      <c r="AG3" s="24" t="n">
        <v>0</v>
      </c>
      <c r="AH3" s="24" t="s">
        <v>750</v>
      </c>
      <c r="AI3" s="24" t="s">
        <v>751</v>
      </c>
      <c r="AJ3" s="24" t="s">
        <v>752</v>
      </c>
    </row>
    <row r="4" customFormat="false" ht="15" hidden="false" customHeight="false" outlineLevel="0" collapsed="false">
      <c r="A4" s="24" t="s">
        <v>182</v>
      </c>
      <c r="B4" s="24" t="s">
        <v>183</v>
      </c>
      <c r="C4" s="24" t="s">
        <v>184</v>
      </c>
      <c r="D4" s="24" t="s">
        <v>189</v>
      </c>
      <c r="E4" s="24" t="s">
        <v>746</v>
      </c>
      <c r="F4" s="24" t="s">
        <v>747</v>
      </c>
      <c r="G4" s="24" t="n">
        <v>0.6</v>
      </c>
      <c r="H4" s="24" t="n">
        <v>2713</v>
      </c>
      <c r="I4" s="24" t="n">
        <v>115</v>
      </c>
      <c r="J4" s="24" t="n">
        <v>114</v>
      </c>
      <c r="K4" s="24" t="n">
        <v>-0.058646736610098</v>
      </c>
      <c r="L4" s="24" t="n">
        <v>0.013856549617299</v>
      </c>
      <c r="M4" s="24"/>
      <c r="N4" s="24" t="n">
        <v>111.671795029272</v>
      </c>
      <c r="O4" s="24" t="n">
        <v>0.732069577278798</v>
      </c>
      <c r="P4" s="24" t="n">
        <v>-0.0816293939174436</v>
      </c>
      <c r="Q4" s="24" t="n">
        <v>-0.0356640793027524</v>
      </c>
      <c r="R4" s="24"/>
      <c r="S4" s="24"/>
      <c r="T4" s="24"/>
      <c r="U4" s="24"/>
      <c r="V4" s="24"/>
      <c r="W4" s="24"/>
      <c r="X4" s="24"/>
      <c r="Y4" s="24" t="n">
        <v>0.0197455486661123</v>
      </c>
      <c r="Z4" s="24" t="n">
        <v>1.02092128749543E-009</v>
      </c>
      <c r="AA4" s="24" t="n">
        <v>0.0118831792865472</v>
      </c>
      <c r="AB4" s="24"/>
      <c r="AC4" s="24"/>
      <c r="AD4" s="24"/>
      <c r="AE4" s="24"/>
      <c r="AF4" s="24"/>
      <c r="AG4" s="24" t="n">
        <v>0</v>
      </c>
      <c r="AH4" s="24" t="s">
        <v>748</v>
      </c>
      <c r="AI4" s="24"/>
      <c r="AJ4" s="24" t="s">
        <v>753</v>
      </c>
    </row>
    <row r="5" customFormat="false" ht="15" hidden="false" customHeight="false" outlineLevel="0" collapsed="false">
      <c r="A5" s="24" t="s">
        <v>191</v>
      </c>
      <c r="B5" s="24" t="s">
        <v>192</v>
      </c>
      <c r="C5" s="24" t="s">
        <v>184</v>
      </c>
      <c r="D5" s="24" t="s">
        <v>193</v>
      </c>
      <c r="E5" s="24" t="s">
        <v>746</v>
      </c>
      <c r="F5" s="24" t="s">
        <v>747</v>
      </c>
      <c r="G5" s="24" t="n">
        <v>0.6</v>
      </c>
      <c r="H5" s="24" t="n">
        <v>1994</v>
      </c>
      <c r="I5" s="24" t="n">
        <v>83</v>
      </c>
      <c r="J5" s="24" t="n">
        <v>82</v>
      </c>
      <c r="K5" s="24" t="n">
        <v>-0.0615991565189955</v>
      </c>
      <c r="L5" s="24" t="n">
        <v>0.0180461144532684</v>
      </c>
      <c r="M5" s="24" t="n">
        <v>-3.41343044667652</v>
      </c>
      <c r="N5" s="24" t="n">
        <v>68.5971129071262</v>
      </c>
      <c r="O5" s="24" t="n">
        <v>0.00108046964427755</v>
      </c>
      <c r="P5" s="24" t="n">
        <v>-0.0976039423484408</v>
      </c>
      <c r="Q5" s="24" t="n">
        <v>-0.0255943706895502</v>
      </c>
      <c r="R5" s="24"/>
      <c r="S5" s="24"/>
      <c r="T5" s="24" t="n">
        <v>-0.0615213628260252</v>
      </c>
      <c r="U5" s="24" t="n">
        <v>-0.097295176600782</v>
      </c>
      <c r="V5" s="24" t="n">
        <v>-0.0255887834366468</v>
      </c>
      <c r="W5" s="24"/>
      <c r="X5" s="24"/>
      <c r="Y5" s="24" t="n">
        <v>0.0204666038894258</v>
      </c>
      <c r="Z5" s="24" t="n">
        <v>1.86472794854943E-009</v>
      </c>
      <c r="AA5" s="24" t="n">
        <v>0.011878550872389</v>
      </c>
      <c r="AB5" s="24"/>
      <c r="AC5" s="24"/>
      <c r="AD5" s="24"/>
      <c r="AE5" s="24"/>
      <c r="AF5" s="24"/>
      <c r="AG5" s="24"/>
      <c r="AH5" s="24" t="s">
        <v>748</v>
      </c>
      <c r="AI5" s="24"/>
      <c r="AJ5" s="24" t="s">
        <v>754</v>
      </c>
    </row>
    <row r="6" customFormat="false" ht="15" hidden="false" customHeight="false" outlineLevel="0" collapsed="false">
      <c r="A6" s="24" t="s">
        <v>191</v>
      </c>
      <c r="B6" s="24" t="s">
        <v>192</v>
      </c>
      <c r="C6" s="24" t="s">
        <v>184</v>
      </c>
      <c r="D6" s="24" t="s">
        <v>195</v>
      </c>
      <c r="E6" s="24" t="s">
        <v>746</v>
      </c>
      <c r="F6" s="24" t="s">
        <v>747</v>
      </c>
      <c r="G6" s="24" t="n">
        <v>0.6</v>
      </c>
      <c r="H6" s="24" t="n">
        <v>711</v>
      </c>
      <c r="I6" s="24" t="n">
        <v>31</v>
      </c>
      <c r="J6" s="24" t="n">
        <v>31</v>
      </c>
      <c r="K6" s="24" t="n">
        <v>-0.051423249808593</v>
      </c>
      <c r="L6" s="24" t="n">
        <v>0.0103293523654357</v>
      </c>
      <c r="M6" s="24" t="n">
        <v>-4.97836146830142</v>
      </c>
      <c r="N6" s="24" t="n">
        <v>19.7567151023143</v>
      </c>
      <c r="O6" s="24" t="n">
        <v>7.47529519688623E-005</v>
      </c>
      <c r="P6" s="24" t="n">
        <v>-0.0729869232775503</v>
      </c>
      <c r="Q6" s="24" t="n">
        <v>-0.0298595763396356</v>
      </c>
      <c r="R6" s="24"/>
      <c r="S6" s="24"/>
      <c r="T6" s="24" t="n">
        <v>-0.0513779706673737</v>
      </c>
      <c r="U6" s="24" t="n">
        <v>-0.0728575961854734</v>
      </c>
      <c r="V6" s="24" t="n">
        <v>-0.0298507052940249</v>
      </c>
      <c r="W6" s="24"/>
      <c r="X6" s="24"/>
      <c r="Y6" s="24" t="n">
        <v>0.0204666038894258</v>
      </c>
      <c r="Z6" s="24" t="n">
        <v>1.86472794854943E-009</v>
      </c>
      <c r="AA6" s="24" t="n">
        <v>0.011878550872389</v>
      </c>
      <c r="AB6" s="24"/>
      <c r="AC6" s="24"/>
      <c r="AD6" s="24"/>
      <c r="AE6" s="24"/>
      <c r="AF6" s="24"/>
      <c r="AG6" s="24"/>
      <c r="AH6" s="24" t="s">
        <v>748</v>
      </c>
      <c r="AI6" s="24"/>
      <c r="AJ6" s="24" t="s">
        <v>755</v>
      </c>
    </row>
    <row r="7" customFormat="false" ht="15" hidden="false" customHeight="false" outlineLevel="0" collapsed="false">
      <c r="A7" s="24" t="s">
        <v>191</v>
      </c>
      <c r="B7" s="24" t="s">
        <v>192</v>
      </c>
      <c r="C7" s="24" t="s">
        <v>184</v>
      </c>
      <c r="D7" s="24" t="s">
        <v>197</v>
      </c>
      <c r="E7" s="24" t="s">
        <v>746</v>
      </c>
      <c r="F7" s="24" t="s">
        <v>747</v>
      </c>
      <c r="G7" s="24" t="n">
        <v>0.6</v>
      </c>
      <c r="H7" s="24" t="n">
        <v>2705</v>
      </c>
      <c r="I7" s="24" t="n">
        <v>113</v>
      </c>
      <c r="J7" s="24" t="n">
        <v>112</v>
      </c>
      <c r="K7" s="24" t="n">
        <v>0.0101759067104026</v>
      </c>
      <c r="L7" s="24" t="n">
        <v>0.0181072824212575</v>
      </c>
      <c r="M7" s="24" t="n">
        <v>0.561978682038798</v>
      </c>
      <c r="N7" s="24" t="n">
        <v>14.9920663728925</v>
      </c>
      <c r="O7" s="24" t="n">
        <v>0.582435725630516</v>
      </c>
      <c r="P7" s="24" t="n">
        <v>-0.0284206311144901</v>
      </c>
      <c r="Q7" s="24" t="n">
        <v>0.0487724445352953</v>
      </c>
      <c r="R7" s="24"/>
      <c r="S7" s="24"/>
      <c r="T7" s="24"/>
      <c r="U7" s="24"/>
      <c r="V7" s="24"/>
      <c r="W7" s="24"/>
      <c r="X7" s="24"/>
      <c r="Y7" s="24" t="n">
        <v>0.0204666038894258</v>
      </c>
      <c r="Z7" s="24" t="n">
        <v>1.86472794854943E-009</v>
      </c>
      <c r="AA7" s="24" t="n">
        <v>0.011878550872389</v>
      </c>
      <c r="AB7" s="24"/>
      <c r="AC7" s="24"/>
      <c r="AD7" s="24"/>
      <c r="AE7" s="24"/>
      <c r="AF7" s="24"/>
      <c r="AG7" s="24"/>
      <c r="AH7" s="24" t="s">
        <v>748</v>
      </c>
      <c r="AI7" s="24"/>
      <c r="AJ7" s="24" t="s">
        <v>756</v>
      </c>
    </row>
    <row r="8" customFormat="false" ht="15" hidden="false" customHeight="false" outlineLevel="0" collapsed="false">
      <c r="A8" s="24" t="s">
        <v>191</v>
      </c>
      <c r="B8" s="24" t="s">
        <v>192</v>
      </c>
      <c r="C8" s="24" t="s">
        <v>184</v>
      </c>
      <c r="D8" s="24" t="s">
        <v>189</v>
      </c>
      <c r="E8" s="24" t="s">
        <v>746</v>
      </c>
      <c r="F8" s="24" t="s">
        <v>747</v>
      </c>
      <c r="G8" s="24" t="n">
        <v>0.6</v>
      </c>
      <c r="H8" s="24" t="n">
        <v>2705</v>
      </c>
      <c r="I8" s="24" t="n">
        <v>113</v>
      </c>
      <c r="J8" s="24" t="n">
        <v>112</v>
      </c>
      <c r="K8" s="24" t="n">
        <v>0.0101759067104026</v>
      </c>
      <c r="L8" s="24" t="n">
        <v>0.0181072824212575</v>
      </c>
      <c r="M8" s="24"/>
      <c r="N8" s="24" t="n">
        <v>14.9920663728925</v>
      </c>
      <c r="O8" s="24" t="n">
        <v>0.0219798496977043</v>
      </c>
      <c r="P8" s="24" t="n">
        <v>-0.0215681742958865</v>
      </c>
      <c r="Q8" s="24" t="n">
        <v>0.0419199877166916</v>
      </c>
      <c r="R8" s="24"/>
      <c r="S8" s="24"/>
      <c r="T8" s="24"/>
      <c r="U8" s="24"/>
      <c r="V8" s="24"/>
      <c r="W8" s="24"/>
      <c r="X8" s="24"/>
      <c r="Y8" s="24" t="n">
        <v>0.0204666038894258</v>
      </c>
      <c r="Z8" s="24" t="n">
        <v>1.86472794854943E-009</v>
      </c>
      <c r="AA8" s="24" t="n">
        <v>0.011878550872389</v>
      </c>
      <c r="AB8" s="24"/>
      <c r="AC8" s="24"/>
      <c r="AD8" s="24"/>
      <c r="AE8" s="24"/>
      <c r="AF8" s="24"/>
      <c r="AG8" s="24" t="n">
        <v>1</v>
      </c>
      <c r="AH8" s="24" t="s">
        <v>750</v>
      </c>
      <c r="AI8" s="24" t="s">
        <v>757</v>
      </c>
      <c r="AJ8" s="24" t="s">
        <v>758</v>
      </c>
    </row>
    <row r="9" customFormat="false" ht="15" hidden="false" customHeight="false" outlineLevel="0" collapsed="false">
      <c r="A9" s="24" t="s">
        <v>200</v>
      </c>
      <c r="B9" s="24" t="s">
        <v>201</v>
      </c>
      <c r="C9" s="24" t="s">
        <v>184</v>
      </c>
      <c r="D9" s="24" t="s">
        <v>202</v>
      </c>
      <c r="E9" s="24" t="s">
        <v>759</v>
      </c>
      <c r="F9" s="24" t="s">
        <v>760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 t="s">
        <v>748</v>
      </c>
      <c r="AI9" s="24"/>
      <c r="AJ9" s="24" t="s">
        <v>761</v>
      </c>
    </row>
    <row r="10" customFormat="false" ht="15" hidden="false" customHeight="false" outlineLevel="0" collapsed="false">
      <c r="A10" s="24" t="s">
        <v>200</v>
      </c>
      <c r="B10" s="24" t="s">
        <v>201</v>
      </c>
      <c r="C10" s="24" t="s">
        <v>184</v>
      </c>
      <c r="D10" s="24" t="s">
        <v>204</v>
      </c>
      <c r="E10" s="24" t="s">
        <v>759</v>
      </c>
      <c r="F10" s="24" t="s">
        <v>760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 t="s">
        <v>748</v>
      </c>
      <c r="AI10" s="24"/>
      <c r="AJ10" s="24" t="s">
        <v>762</v>
      </c>
    </row>
    <row r="11" customFormat="false" ht="15" hidden="false" customHeight="false" outlineLevel="0" collapsed="false">
      <c r="A11" s="24" t="s">
        <v>200</v>
      </c>
      <c r="B11" s="24" t="s">
        <v>201</v>
      </c>
      <c r="C11" s="24" t="s">
        <v>184</v>
      </c>
      <c r="D11" s="24" t="s">
        <v>206</v>
      </c>
      <c r="E11" s="24" t="s">
        <v>759</v>
      </c>
      <c r="F11" s="24" t="s">
        <v>760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 t="s">
        <v>748</v>
      </c>
      <c r="AI11" s="24"/>
      <c r="AJ11" s="24" t="s">
        <v>763</v>
      </c>
    </row>
    <row r="12" customFormat="false" ht="15" hidden="false" customHeight="false" outlineLevel="0" collapsed="false">
      <c r="A12" s="24" t="s">
        <v>225</v>
      </c>
      <c r="B12" s="24" t="s">
        <v>226</v>
      </c>
      <c r="C12" s="24" t="s">
        <v>184</v>
      </c>
      <c r="D12" s="24" t="s">
        <v>227</v>
      </c>
      <c r="E12" s="24" t="s">
        <v>746</v>
      </c>
      <c r="F12" s="24" t="s">
        <v>747</v>
      </c>
      <c r="G12" s="24" t="n">
        <v>0.6</v>
      </c>
      <c r="H12" s="24" t="n">
        <v>2705</v>
      </c>
      <c r="I12" s="24" t="n">
        <v>113</v>
      </c>
      <c r="J12" s="24" t="n">
        <v>112</v>
      </c>
      <c r="K12" s="24" t="n">
        <v>-0.0240266759452193</v>
      </c>
      <c r="L12" s="24" t="n">
        <v>0.0176243003236253</v>
      </c>
      <c r="M12" s="24" t="n">
        <v>-1.36326977548219</v>
      </c>
      <c r="N12" s="24" t="n">
        <v>14.9421005915616</v>
      </c>
      <c r="O12" s="24" t="n">
        <v>0.192987644808958</v>
      </c>
      <c r="P12" s="24" t="n">
        <v>-0.0616046648927065</v>
      </c>
      <c r="Q12" s="24" t="n">
        <v>0.013551313002268</v>
      </c>
      <c r="R12" s="24"/>
      <c r="S12" s="24"/>
      <c r="T12" s="24"/>
      <c r="U12" s="24"/>
      <c r="V12" s="24"/>
      <c r="W12" s="24"/>
      <c r="X12" s="24"/>
      <c r="Y12" s="24" t="n">
        <v>0.0204305191744259</v>
      </c>
      <c r="Z12" s="24" t="n">
        <v>2.86988965974269E-009</v>
      </c>
      <c r="AA12" s="24" t="n">
        <v>0.011877720214562</v>
      </c>
      <c r="AB12" s="24"/>
      <c r="AC12" s="24"/>
      <c r="AD12" s="24"/>
      <c r="AE12" s="24"/>
      <c r="AF12" s="24"/>
      <c r="AG12" s="24"/>
      <c r="AH12" s="24" t="s">
        <v>748</v>
      </c>
      <c r="AI12" s="24"/>
      <c r="AJ12" s="24" t="s">
        <v>764</v>
      </c>
    </row>
    <row r="13" customFormat="false" ht="15" hidden="false" customHeight="false" outlineLevel="0" collapsed="false">
      <c r="A13" s="24" t="s">
        <v>225</v>
      </c>
      <c r="B13" s="24" t="s">
        <v>229</v>
      </c>
      <c r="C13" s="24" t="s">
        <v>184</v>
      </c>
      <c r="D13" s="24" t="s">
        <v>227</v>
      </c>
      <c r="E13" s="24" t="s">
        <v>746</v>
      </c>
      <c r="F13" s="24" t="s">
        <v>747</v>
      </c>
      <c r="G13" s="24" t="n">
        <v>0.6</v>
      </c>
      <c r="H13" s="24" t="n">
        <v>2705</v>
      </c>
      <c r="I13" s="24" t="n">
        <v>113</v>
      </c>
      <c r="J13" s="24" t="n">
        <v>112</v>
      </c>
      <c r="K13" s="24" t="n">
        <v>-0.0395267552729416</v>
      </c>
      <c r="L13" s="24" t="n">
        <v>0.0186224439175496</v>
      </c>
      <c r="M13" s="24" t="n">
        <v>-2.12253318887389</v>
      </c>
      <c r="N13" s="24" t="n">
        <v>6.28165426169003</v>
      </c>
      <c r="O13" s="24" t="n">
        <v>0.0759488616717987</v>
      </c>
      <c r="P13" s="24" t="n">
        <v>-0.0846035248879966</v>
      </c>
      <c r="Q13" s="24" t="n">
        <v>0.00555001434211339</v>
      </c>
      <c r="R13" s="24"/>
      <c r="S13" s="24"/>
      <c r="T13" s="24"/>
      <c r="U13" s="24"/>
      <c r="V13" s="24"/>
      <c r="W13" s="24"/>
      <c r="X13" s="24"/>
      <c r="Y13" s="24" t="n">
        <v>0.0204114558126364</v>
      </c>
      <c r="Z13" s="24" t="n">
        <v>2.34693289674837E-009</v>
      </c>
      <c r="AA13" s="24" t="n">
        <v>0.0118726550907431</v>
      </c>
      <c r="AB13" s="24"/>
      <c r="AC13" s="24"/>
      <c r="AD13" s="24"/>
      <c r="AE13" s="24"/>
      <c r="AF13" s="24"/>
      <c r="AG13" s="24"/>
      <c r="AH13" s="24" t="s">
        <v>748</v>
      </c>
      <c r="AI13" s="24"/>
      <c r="AJ13" s="24" t="s">
        <v>765</v>
      </c>
    </row>
    <row r="14" customFormat="false" ht="15" hidden="false" customHeight="false" outlineLevel="0" collapsed="false">
      <c r="A14" s="24" t="s">
        <v>225</v>
      </c>
      <c r="B14" s="24" t="s">
        <v>231</v>
      </c>
      <c r="C14" s="24" t="s">
        <v>184</v>
      </c>
      <c r="D14" s="24" t="s">
        <v>227</v>
      </c>
      <c r="E14" s="24" t="s">
        <v>746</v>
      </c>
      <c r="F14" s="24" t="s">
        <v>747</v>
      </c>
      <c r="G14" s="24" t="n">
        <v>0.6</v>
      </c>
      <c r="H14" s="24" t="n">
        <v>2705</v>
      </c>
      <c r="I14" s="24" t="n">
        <v>113</v>
      </c>
      <c r="J14" s="24" t="n">
        <v>112</v>
      </c>
      <c r="K14" s="24" t="n">
        <v>-0.0365343906347448</v>
      </c>
      <c r="L14" s="24" t="n">
        <v>0.0192951617160184</v>
      </c>
      <c r="M14" s="24" t="n">
        <v>-1.8934482733262</v>
      </c>
      <c r="N14" s="24" t="n">
        <v>6.78047645343023</v>
      </c>
      <c r="O14" s="24" t="n">
        <v>0.101522928897328</v>
      </c>
      <c r="P14" s="24" t="n">
        <v>-0.0824613624169921</v>
      </c>
      <c r="Q14" s="24" t="n">
        <v>0.00939258114750249</v>
      </c>
      <c r="R14" s="24"/>
      <c r="S14" s="24"/>
      <c r="T14" s="24"/>
      <c r="U14" s="24"/>
      <c r="V14" s="24"/>
      <c r="W14" s="24"/>
      <c r="X14" s="24"/>
      <c r="Y14" s="24" t="n">
        <v>0.0204386175911189</v>
      </c>
      <c r="Z14" s="24" t="n">
        <v>3.07233960757736E-009</v>
      </c>
      <c r="AA14" s="24" t="n">
        <v>0.0118732758088483</v>
      </c>
      <c r="AB14" s="24"/>
      <c r="AC14" s="24"/>
      <c r="AD14" s="24"/>
      <c r="AE14" s="24"/>
      <c r="AF14" s="24"/>
      <c r="AG14" s="24"/>
      <c r="AH14" s="24" t="s">
        <v>748</v>
      </c>
      <c r="AI14" s="24"/>
      <c r="AJ14" s="24" t="s">
        <v>766</v>
      </c>
    </row>
    <row r="15" customFormat="false" ht="15" hidden="false" customHeight="false" outlineLevel="0" collapsed="false">
      <c r="A15" s="24" t="s">
        <v>225</v>
      </c>
      <c r="B15" s="24" t="s">
        <v>233</v>
      </c>
      <c r="C15" s="24" t="s">
        <v>184</v>
      </c>
      <c r="D15" s="24" t="s">
        <v>227</v>
      </c>
      <c r="E15" s="24" t="s">
        <v>746</v>
      </c>
      <c r="F15" s="24" t="s">
        <v>747</v>
      </c>
      <c r="G15" s="24" t="n">
        <v>0.6</v>
      </c>
      <c r="H15" s="24" t="n">
        <v>2705</v>
      </c>
      <c r="I15" s="24" t="n">
        <v>113</v>
      </c>
      <c r="J15" s="24" t="n">
        <v>112</v>
      </c>
      <c r="K15" s="24" t="n">
        <v>-0.0333308354922605</v>
      </c>
      <c r="L15" s="24" t="n">
        <v>0.0188951560152014</v>
      </c>
      <c r="M15" s="24" t="n">
        <v>-1.76398837169937</v>
      </c>
      <c r="N15" s="24" t="n">
        <v>9.56440894453075</v>
      </c>
      <c r="O15" s="24" t="n">
        <v>0.109579111797793</v>
      </c>
      <c r="P15" s="24" t="n">
        <v>-0.0756932210506348</v>
      </c>
      <c r="Q15" s="24" t="n">
        <v>0.00903155006611369</v>
      </c>
      <c r="R15" s="24"/>
      <c r="S15" s="24"/>
      <c r="T15" s="24"/>
      <c r="U15" s="24"/>
      <c r="V15" s="24"/>
      <c r="W15" s="24"/>
      <c r="X15" s="24"/>
      <c r="Y15" s="24" t="n">
        <v>0.0204455999528168</v>
      </c>
      <c r="Z15" s="24" t="n">
        <v>2.61427933901598E-009</v>
      </c>
      <c r="AA15" s="24" t="n">
        <v>0.0118730267343403</v>
      </c>
      <c r="AB15" s="24"/>
      <c r="AC15" s="24"/>
      <c r="AD15" s="24"/>
      <c r="AE15" s="24"/>
      <c r="AF15" s="24"/>
      <c r="AG15" s="24"/>
      <c r="AH15" s="24" t="s">
        <v>748</v>
      </c>
      <c r="AI15" s="24"/>
      <c r="AJ15" s="24" t="s">
        <v>767</v>
      </c>
    </row>
    <row r="16" customFormat="false" ht="15" hidden="false" customHeight="false" outlineLevel="0" collapsed="false">
      <c r="A16" s="24" t="s">
        <v>225</v>
      </c>
      <c r="B16" s="24" t="s">
        <v>235</v>
      </c>
      <c r="C16" s="24" t="s">
        <v>184</v>
      </c>
      <c r="D16" s="24" t="s">
        <v>227</v>
      </c>
      <c r="E16" s="24" t="s">
        <v>746</v>
      </c>
      <c r="F16" s="24" t="s">
        <v>747</v>
      </c>
      <c r="G16" s="24" t="n">
        <v>0.6</v>
      </c>
      <c r="H16" s="24" t="n">
        <v>2705</v>
      </c>
      <c r="I16" s="24" t="n">
        <v>113</v>
      </c>
      <c r="J16" s="24" t="n">
        <v>112</v>
      </c>
      <c r="K16" s="24" t="n">
        <v>-0.000946434333391567</v>
      </c>
      <c r="L16" s="24" t="n">
        <v>0.0171286747828481</v>
      </c>
      <c r="M16" s="24" t="n">
        <v>-0.0552543816372346</v>
      </c>
      <c r="N16" s="24" t="n">
        <v>11.6604045607698</v>
      </c>
      <c r="O16" s="24" t="n">
        <v>0.956871244691957</v>
      </c>
      <c r="P16" s="24" t="n">
        <v>-0.0383875157720026</v>
      </c>
      <c r="Q16" s="24" t="n">
        <v>0.0364946471052195</v>
      </c>
      <c r="R16" s="24"/>
      <c r="S16" s="24"/>
      <c r="T16" s="24"/>
      <c r="U16" s="24"/>
      <c r="V16" s="24"/>
      <c r="W16" s="24"/>
      <c r="X16" s="24"/>
      <c r="Y16" s="24" t="n">
        <v>0.0204206496958256</v>
      </c>
      <c r="Z16" s="24" t="n">
        <v>2.18398957531339E-009</v>
      </c>
      <c r="AA16" s="24" t="n">
        <v>0.0118803041001802</v>
      </c>
      <c r="AB16" s="24"/>
      <c r="AC16" s="24"/>
      <c r="AD16" s="24"/>
      <c r="AE16" s="24"/>
      <c r="AF16" s="24"/>
      <c r="AG16" s="24"/>
      <c r="AH16" s="24" t="s">
        <v>748</v>
      </c>
      <c r="AI16" s="24"/>
      <c r="AJ16" s="24" t="s">
        <v>768</v>
      </c>
    </row>
    <row r="17" customFormat="false" ht="15" hidden="false" customHeight="false" outlineLevel="0" collapsed="false">
      <c r="A17" s="24" t="s">
        <v>225</v>
      </c>
      <c r="B17" s="24" t="s">
        <v>237</v>
      </c>
      <c r="C17" s="24" t="s">
        <v>184</v>
      </c>
      <c r="D17" s="24" t="s">
        <v>227</v>
      </c>
      <c r="E17" s="24" t="s">
        <v>746</v>
      </c>
      <c r="F17" s="24" t="s">
        <v>747</v>
      </c>
      <c r="G17" s="24" t="n">
        <v>0.6</v>
      </c>
      <c r="H17" s="24" t="n">
        <v>2705</v>
      </c>
      <c r="I17" s="24" t="n">
        <v>113</v>
      </c>
      <c r="J17" s="24" t="n">
        <v>112</v>
      </c>
      <c r="K17" s="24" t="n">
        <v>0.025954304620495</v>
      </c>
      <c r="L17" s="24" t="n">
        <v>0.0215606167029519</v>
      </c>
      <c r="M17" s="24" t="n">
        <v>1.20378303543338</v>
      </c>
      <c r="N17" s="24" t="n">
        <v>14.2823897191898</v>
      </c>
      <c r="O17" s="24" t="n">
        <v>0.24824615664966</v>
      </c>
      <c r="P17" s="24" t="n">
        <v>-0.0202029888333669</v>
      </c>
      <c r="Q17" s="24" t="n">
        <v>0.0721115980743568</v>
      </c>
      <c r="R17" s="24"/>
      <c r="S17" s="24"/>
      <c r="T17" s="24"/>
      <c r="U17" s="24"/>
      <c r="V17" s="24"/>
      <c r="W17" s="24"/>
      <c r="X17" s="24"/>
      <c r="Y17" s="24" t="n">
        <v>0.0202213830668962</v>
      </c>
      <c r="Z17" s="24" t="n">
        <v>2.92517831372378E-009</v>
      </c>
      <c r="AA17" s="24" t="n">
        <v>0.0118793077081256</v>
      </c>
      <c r="AB17" s="24"/>
      <c r="AC17" s="24"/>
      <c r="AD17" s="24"/>
      <c r="AE17" s="24"/>
      <c r="AF17" s="24"/>
      <c r="AG17" s="24"/>
      <c r="AH17" s="24" t="s">
        <v>748</v>
      </c>
      <c r="AI17" s="24"/>
      <c r="AJ17" s="24" t="s">
        <v>769</v>
      </c>
    </row>
    <row r="18" customFormat="false" ht="15" hidden="false" customHeight="false" outlineLevel="0" collapsed="false">
      <c r="A18" s="24" t="s">
        <v>225</v>
      </c>
      <c r="B18" s="24" t="s">
        <v>239</v>
      </c>
      <c r="C18" s="24" t="s">
        <v>184</v>
      </c>
      <c r="D18" s="24" t="s">
        <v>227</v>
      </c>
      <c r="E18" s="24" t="s">
        <v>746</v>
      </c>
      <c r="F18" s="24" t="s">
        <v>747</v>
      </c>
      <c r="G18" s="24" t="n">
        <v>0.6</v>
      </c>
      <c r="H18" s="24" t="n">
        <v>2705</v>
      </c>
      <c r="I18" s="24" t="n">
        <v>113</v>
      </c>
      <c r="J18" s="24" t="n">
        <v>112</v>
      </c>
      <c r="K18" s="24" t="n">
        <v>0.0231494455037478</v>
      </c>
      <c r="L18" s="24" t="n">
        <v>0.0227860926301075</v>
      </c>
      <c r="M18" s="24" t="n">
        <v>1.01594625632129</v>
      </c>
      <c r="N18" s="24" t="n">
        <v>22.5659487547742</v>
      </c>
      <c r="O18" s="24" t="n">
        <v>0.320424655193509</v>
      </c>
      <c r="P18" s="24" t="n">
        <v>-0.0240373982166141</v>
      </c>
      <c r="Q18" s="24" t="n">
        <v>0.0703362892241096</v>
      </c>
      <c r="R18" s="24"/>
      <c r="S18" s="24"/>
      <c r="T18" s="24"/>
      <c r="U18" s="24"/>
      <c r="V18" s="24"/>
      <c r="W18" s="24"/>
      <c r="X18" s="24"/>
      <c r="Y18" s="24" t="n">
        <v>0.0203879737970544</v>
      </c>
      <c r="Z18" s="24" t="n">
        <v>2.38812686423658E-009</v>
      </c>
      <c r="AA18" s="24" t="n">
        <v>0.011877072971681</v>
      </c>
      <c r="AB18" s="24"/>
      <c r="AC18" s="24"/>
      <c r="AD18" s="24"/>
      <c r="AE18" s="24"/>
      <c r="AF18" s="24"/>
      <c r="AG18" s="24"/>
      <c r="AH18" s="24" t="s">
        <v>748</v>
      </c>
      <c r="AI18" s="24"/>
      <c r="AJ18" s="24" t="s">
        <v>770</v>
      </c>
    </row>
    <row r="19" customFormat="false" ht="15" hidden="false" customHeight="false" outlineLevel="0" collapsed="false">
      <c r="A19" s="24" t="s">
        <v>225</v>
      </c>
      <c r="B19" s="24" t="s">
        <v>241</v>
      </c>
      <c r="C19" s="24" t="s">
        <v>184</v>
      </c>
      <c r="D19" s="24" t="s">
        <v>227</v>
      </c>
      <c r="E19" s="24" t="s">
        <v>746</v>
      </c>
      <c r="F19" s="24" t="s">
        <v>747</v>
      </c>
      <c r="G19" s="24" t="n">
        <v>0.6</v>
      </c>
      <c r="H19" s="24" t="n">
        <v>2705</v>
      </c>
      <c r="I19" s="24" t="n">
        <v>113</v>
      </c>
      <c r="J19" s="24" t="n">
        <v>112</v>
      </c>
      <c r="K19" s="24" t="n">
        <v>0.00237986463780539</v>
      </c>
      <c r="L19" s="24" t="n">
        <v>0.0203234412625793</v>
      </c>
      <c r="M19" s="24" t="n">
        <v>0.117099491521022</v>
      </c>
      <c r="N19" s="24" t="n">
        <v>18.1660874811074</v>
      </c>
      <c r="O19" s="24" t="n">
        <v>0.908066151863356</v>
      </c>
      <c r="P19" s="24" t="n">
        <v>-0.0402901363033214</v>
      </c>
      <c r="Q19" s="24" t="n">
        <v>0.0450498655789322</v>
      </c>
      <c r="R19" s="24"/>
      <c r="S19" s="24"/>
      <c r="T19" s="24"/>
      <c r="U19" s="24"/>
      <c r="V19" s="24"/>
      <c r="W19" s="24"/>
      <c r="X19" s="24"/>
      <c r="Y19" s="24" t="n">
        <v>0.0204560372251228</v>
      </c>
      <c r="Z19" s="24" t="n">
        <v>1.89196270868677E-009</v>
      </c>
      <c r="AA19" s="24" t="n">
        <v>0.011879430637836</v>
      </c>
      <c r="AB19" s="24"/>
      <c r="AC19" s="24"/>
      <c r="AD19" s="24"/>
      <c r="AE19" s="24"/>
      <c r="AF19" s="24"/>
      <c r="AG19" s="24"/>
      <c r="AH19" s="24" t="s">
        <v>748</v>
      </c>
      <c r="AI19" s="24"/>
      <c r="AJ19" s="24" t="s">
        <v>771</v>
      </c>
    </row>
    <row r="20" customFormat="false" ht="15" hidden="false" customHeight="false" outlineLevel="0" collapsed="false">
      <c r="A20" s="24" t="s">
        <v>225</v>
      </c>
      <c r="B20" s="24" t="s">
        <v>243</v>
      </c>
      <c r="C20" s="24" t="s">
        <v>184</v>
      </c>
      <c r="D20" s="24" t="s">
        <v>227</v>
      </c>
      <c r="E20" s="24" t="s">
        <v>746</v>
      </c>
      <c r="F20" s="24" t="s">
        <v>747</v>
      </c>
      <c r="G20" s="24" t="n">
        <v>0.6</v>
      </c>
      <c r="H20" s="24" t="n">
        <v>2705</v>
      </c>
      <c r="I20" s="24" t="n">
        <v>113</v>
      </c>
      <c r="J20" s="24" t="n">
        <v>112</v>
      </c>
      <c r="K20" s="24" t="n">
        <v>0.0101759067104026</v>
      </c>
      <c r="L20" s="24" t="n">
        <v>0.0181072824212575</v>
      </c>
      <c r="M20" s="24" t="n">
        <v>0.561978682038798</v>
      </c>
      <c r="N20" s="24" t="n">
        <v>14.9920663728925</v>
      </c>
      <c r="O20" s="24" t="n">
        <v>0.582435725630516</v>
      </c>
      <c r="P20" s="24" t="n">
        <v>-0.0284206311144901</v>
      </c>
      <c r="Q20" s="24" t="n">
        <v>0.0487724445352953</v>
      </c>
      <c r="R20" s="24"/>
      <c r="S20" s="24"/>
      <c r="T20" s="24"/>
      <c r="U20" s="24"/>
      <c r="V20" s="24"/>
      <c r="W20" s="24"/>
      <c r="X20" s="24"/>
      <c r="Y20" s="24" t="n">
        <v>0.0204666038894258</v>
      </c>
      <c r="Z20" s="24" t="n">
        <v>1.86472794854943E-009</v>
      </c>
      <c r="AA20" s="24" t="n">
        <v>0.011878550872389</v>
      </c>
      <c r="AB20" s="24"/>
      <c r="AC20" s="24"/>
      <c r="AD20" s="24"/>
      <c r="AE20" s="24"/>
      <c r="AF20" s="24"/>
      <c r="AG20" s="24"/>
      <c r="AH20" s="24" t="s">
        <v>748</v>
      </c>
      <c r="AI20" s="24"/>
      <c r="AJ20" s="24" t="s">
        <v>772</v>
      </c>
    </row>
    <row r="21" customFormat="false" ht="15" hidden="false" customHeight="false" outlineLevel="0" collapsed="false">
      <c r="A21" s="24" t="s">
        <v>225</v>
      </c>
      <c r="B21" s="24" t="s">
        <v>245</v>
      </c>
      <c r="C21" s="24" t="s">
        <v>184</v>
      </c>
      <c r="D21" s="24" t="s">
        <v>227</v>
      </c>
      <c r="E21" s="24" t="s">
        <v>746</v>
      </c>
      <c r="F21" s="24" t="s">
        <v>747</v>
      </c>
      <c r="G21" s="24" t="n">
        <v>0.6</v>
      </c>
      <c r="H21" s="24" t="n">
        <v>2705</v>
      </c>
      <c r="I21" s="24" t="n">
        <v>113</v>
      </c>
      <c r="J21" s="24" t="n">
        <v>112</v>
      </c>
      <c r="K21" s="24" t="n">
        <v>0.00803406938025233</v>
      </c>
      <c r="L21" s="24" t="n">
        <v>0.01800013275341</v>
      </c>
      <c r="M21" s="24" t="n">
        <v>0.446333895994757</v>
      </c>
      <c r="N21" s="24" t="n">
        <v>10.8521828308988</v>
      </c>
      <c r="O21" s="24" t="n">
        <v>0.664130799693444</v>
      </c>
      <c r="P21" s="24" t="n">
        <v>-0.0316498941585884</v>
      </c>
      <c r="Q21" s="24" t="n">
        <v>0.0477180329190931</v>
      </c>
      <c r="R21" s="24"/>
      <c r="S21" s="24"/>
      <c r="T21" s="24"/>
      <c r="U21" s="24"/>
      <c r="V21" s="24"/>
      <c r="W21" s="24"/>
      <c r="X21" s="24"/>
      <c r="Y21" s="24" t="n">
        <v>0.0204557732304027</v>
      </c>
      <c r="Z21" s="24" t="n">
        <v>2.75377029366802E-009</v>
      </c>
      <c r="AA21" s="24" t="n">
        <v>0.0118790830586157</v>
      </c>
      <c r="AB21" s="24"/>
      <c r="AC21" s="24"/>
      <c r="AD21" s="24"/>
      <c r="AE21" s="24"/>
      <c r="AF21" s="24"/>
      <c r="AG21" s="24"/>
      <c r="AH21" s="24" t="s">
        <v>748</v>
      </c>
      <c r="AI21" s="24"/>
      <c r="AJ21" s="24" t="s">
        <v>773</v>
      </c>
    </row>
    <row r="22" customFormat="false" ht="15" hidden="false" customHeight="false" outlineLevel="0" collapsed="false">
      <c r="A22" s="24" t="s">
        <v>225</v>
      </c>
      <c r="B22" s="24" t="s">
        <v>247</v>
      </c>
      <c r="C22" s="24" t="s">
        <v>184</v>
      </c>
      <c r="D22" s="24" t="s">
        <v>227</v>
      </c>
      <c r="E22" s="24" t="s">
        <v>746</v>
      </c>
      <c r="F22" s="24" t="s">
        <v>747</v>
      </c>
      <c r="G22" s="24" t="n">
        <v>0.6</v>
      </c>
      <c r="H22" s="24" t="n">
        <v>2705</v>
      </c>
      <c r="I22" s="24" t="n">
        <v>113</v>
      </c>
      <c r="J22" s="24" t="n">
        <v>112</v>
      </c>
      <c r="K22" s="24" t="n">
        <v>0.00312304259512057</v>
      </c>
      <c r="L22" s="24" t="n">
        <v>0.0222382657452244</v>
      </c>
      <c r="M22" s="24" t="n">
        <v>0.140435528152245</v>
      </c>
      <c r="N22" s="24" t="n">
        <v>18.7761441211637</v>
      </c>
      <c r="O22" s="24" t="n">
        <v>0.889811509138402</v>
      </c>
      <c r="P22" s="24" t="n">
        <v>-0.0434597701736126</v>
      </c>
      <c r="Q22" s="24" t="n">
        <v>0.0497058553638537</v>
      </c>
      <c r="R22" s="24"/>
      <c r="S22" s="24"/>
      <c r="T22" s="24"/>
      <c r="U22" s="24"/>
      <c r="V22" s="24"/>
      <c r="W22" s="24"/>
      <c r="X22" s="24"/>
      <c r="Y22" s="24" t="n">
        <v>0.0205096434783448</v>
      </c>
      <c r="Z22" s="24" t="n">
        <v>2.03819679457842E-009</v>
      </c>
      <c r="AA22" s="24" t="n">
        <v>0.011878094579736</v>
      </c>
      <c r="AB22" s="24"/>
      <c r="AC22" s="24"/>
      <c r="AD22" s="24"/>
      <c r="AE22" s="24"/>
      <c r="AF22" s="24"/>
      <c r="AG22" s="24"/>
      <c r="AH22" s="24" t="s">
        <v>748</v>
      </c>
      <c r="AI22" s="24"/>
      <c r="AJ22" s="24" t="s">
        <v>774</v>
      </c>
    </row>
    <row r="23" customFormat="false" ht="15" hidden="false" customHeight="false" outlineLevel="0" collapsed="false">
      <c r="A23" s="24" t="s">
        <v>225</v>
      </c>
      <c r="B23" s="24" t="s">
        <v>249</v>
      </c>
      <c r="C23" s="24" t="s">
        <v>184</v>
      </c>
      <c r="D23" s="24" t="s">
        <v>227</v>
      </c>
      <c r="E23" s="24" t="s">
        <v>746</v>
      </c>
      <c r="F23" s="24" t="s">
        <v>747</v>
      </c>
      <c r="G23" s="24" t="n">
        <v>0.6</v>
      </c>
      <c r="H23" s="24" t="n">
        <v>2705</v>
      </c>
      <c r="I23" s="24" t="n">
        <v>113</v>
      </c>
      <c r="J23" s="24" t="n">
        <v>112</v>
      </c>
      <c r="K23" s="24" t="n">
        <v>0.0042056665621965</v>
      </c>
      <c r="L23" s="24" t="n">
        <v>0.0227844543571598</v>
      </c>
      <c r="M23" s="24" t="n">
        <v>0.184584914620741</v>
      </c>
      <c r="N23" s="24" t="n">
        <v>15.4439041670781</v>
      </c>
      <c r="O23" s="24" t="n">
        <v>0.855956667967861</v>
      </c>
      <c r="P23" s="24" t="n">
        <v>-0.0442369541248785</v>
      </c>
      <c r="Q23" s="24" t="n">
        <v>0.0526482872492715</v>
      </c>
      <c r="R23" s="24"/>
      <c r="S23" s="24"/>
      <c r="T23" s="24"/>
      <c r="U23" s="24"/>
      <c r="V23" s="24"/>
      <c r="W23" s="24"/>
      <c r="X23" s="24"/>
      <c r="Y23" s="24" t="n">
        <v>0.0205092329530316</v>
      </c>
      <c r="Z23" s="24" t="n">
        <v>1.2185734250331E-009</v>
      </c>
      <c r="AA23" s="24" t="n">
        <v>0.0118780847374474</v>
      </c>
      <c r="AB23" s="24"/>
      <c r="AC23" s="24"/>
      <c r="AD23" s="24"/>
      <c r="AE23" s="24"/>
      <c r="AF23" s="24"/>
      <c r="AG23" s="24"/>
      <c r="AH23" s="24" t="s">
        <v>748</v>
      </c>
      <c r="AI23" s="24"/>
      <c r="AJ23" s="24" t="s">
        <v>775</v>
      </c>
    </row>
    <row r="24" customFormat="false" ht="15" hidden="false" customHeight="false" outlineLevel="0" collapsed="false">
      <c r="A24" s="24" t="s">
        <v>225</v>
      </c>
      <c r="B24" s="24" t="s">
        <v>251</v>
      </c>
      <c r="C24" s="24" t="s">
        <v>184</v>
      </c>
      <c r="D24" s="24" t="s">
        <v>252</v>
      </c>
      <c r="E24" s="24" t="s">
        <v>776</v>
      </c>
      <c r="F24" s="24" t="s">
        <v>747</v>
      </c>
      <c r="G24" s="24" t="n">
        <v>0.6</v>
      </c>
      <c r="H24" s="24" t="n">
        <v>2705</v>
      </c>
      <c r="I24" s="24" t="n">
        <v>113</v>
      </c>
      <c r="J24" s="24" t="n">
        <v>112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 t="n">
        <v>2.12253318887389</v>
      </c>
      <c r="AH24" s="24" t="s">
        <v>750</v>
      </c>
      <c r="AI24" s="24" t="s">
        <v>777</v>
      </c>
      <c r="AJ24" s="24" t="s">
        <v>778</v>
      </c>
    </row>
    <row r="25" customFormat="false" ht="15" hidden="false" customHeight="false" outlineLevel="0" collapsed="false">
      <c r="A25" s="24" t="s">
        <v>267</v>
      </c>
      <c r="B25" s="24" t="s">
        <v>268</v>
      </c>
      <c r="C25" s="24" t="s">
        <v>184</v>
      </c>
      <c r="D25" s="24" t="s">
        <v>193</v>
      </c>
      <c r="E25" s="24" t="s">
        <v>746</v>
      </c>
      <c r="F25" s="24" t="s">
        <v>747</v>
      </c>
      <c r="G25" s="24" t="n">
        <v>0.6</v>
      </c>
      <c r="H25" s="24" t="n">
        <v>1994</v>
      </c>
      <c r="I25" s="24" t="n">
        <v>83</v>
      </c>
      <c r="J25" s="24" t="n">
        <v>82</v>
      </c>
      <c r="K25" s="24" t="n">
        <v>-0.0618221150595844</v>
      </c>
      <c r="L25" s="24" t="n">
        <v>0.0181521359522013</v>
      </c>
      <c r="M25" s="24" t="n">
        <v>-3.40577633521344</v>
      </c>
      <c r="N25" s="24" t="n">
        <v>69.8368940963975</v>
      </c>
      <c r="O25" s="24" t="n">
        <v>0.00109750216911765</v>
      </c>
      <c r="P25" s="24" t="n">
        <v>-0.0980268952614414</v>
      </c>
      <c r="Q25" s="24" t="n">
        <v>-0.0256173348577273</v>
      </c>
      <c r="R25" s="24"/>
      <c r="S25" s="24"/>
      <c r="T25" s="24" t="n">
        <v>-0.0617434744453983</v>
      </c>
      <c r="U25" s="24" t="n">
        <v>-0.0977141084283258</v>
      </c>
      <c r="V25" s="24" t="n">
        <v>-0.0256117325547222</v>
      </c>
      <c r="W25" s="24"/>
      <c r="X25" s="24"/>
      <c r="Y25" s="24" t="n">
        <v>0.0216593265110976</v>
      </c>
      <c r="Z25" s="24" t="n">
        <v>2.04617481448497E-009</v>
      </c>
      <c r="AA25" s="24" t="n">
        <v>0.0120250156696585</v>
      </c>
      <c r="AB25" s="24"/>
      <c r="AC25" s="24"/>
      <c r="AD25" s="24"/>
      <c r="AE25" s="24"/>
      <c r="AF25" s="24"/>
      <c r="AG25" s="24"/>
      <c r="AH25" s="24" t="s">
        <v>748</v>
      </c>
      <c r="AI25" s="24"/>
      <c r="AJ25" s="24" t="s">
        <v>779</v>
      </c>
    </row>
    <row r="26" customFormat="false" ht="15" hidden="false" customHeight="false" outlineLevel="0" collapsed="false">
      <c r="A26" s="24" t="s">
        <v>267</v>
      </c>
      <c r="B26" s="24" t="s">
        <v>268</v>
      </c>
      <c r="C26" s="24" t="s">
        <v>184</v>
      </c>
      <c r="D26" s="24" t="s">
        <v>195</v>
      </c>
      <c r="E26" s="24" t="s">
        <v>746</v>
      </c>
      <c r="F26" s="24" t="s">
        <v>747</v>
      </c>
      <c r="G26" s="24" t="n">
        <v>0.6</v>
      </c>
      <c r="H26" s="24" t="n">
        <v>632</v>
      </c>
      <c r="I26" s="24" t="n">
        <v>26</v>
      </c>
      <c r="J26" s="24" t="n">
        <v>26</v>
      </c>
      <c r="K26" s="24" t="n">
        <v>-0.0512314399234986</v>
      </c>
      <c r="L26" s="24" t="n">
        <v>0.0114795537140967</v>
      </c>
      <c r="M26" s="24" t="n">
        <v>-4.46284247623558</v>
      </c>
      <c r="N26" s="24" t="n">
        <v>15.3701010197199</v>
      </c>
      <c r="O26" s="24" t="n">
        <v>0.000430746668534455</v>
      </c>
      <c r="P26" s="24" t="n">
        <v>-0.0756483139618094</v>
      </c>
      <c r="Q26" s="24" t="n">
        <v>-0.0268145658851877</v>
      </c>
      <c r="R26" s="24"/>
      <c r="S26" s="24"/>
      <c r="T26" s="24" t="n">
        <v>-0.0511866652191095</v>
      </c>
      <c r="U26" s="24" t="n">
        <v>-0.0755043401383626</v>
      </c>
      <c r="V26" s="24" t="n">
        <v>-0.0268081409882138</v>
      </c>
      <c r="W26" s="24"/>
      <c r="X26" s="24"/>
      <c r="Y26" s="24" t="n">
        <v>0.0216593265110976</v>
      </c>
      <c r="Z26" s="24" t="n">
        <v>2.04617481448497E-009</v>
      </c>
      <c r="AA26" s="24" t="n">
        <v>0.0120250156696585</v>
      </c>
      <c r="AB26" s="24"/>
      <c r="AC26" s="24"/>
      <c r="AD26" s="24"/>
      <c r="AE26" s="24"/>
      <c r="AF26" s="24"/>
      <c r="AG26" s="24"/>
      <c r="AH26" s="24" t="s">
        <v>748</v>
      </c>
      <c r="AI26" s="24"/>
      <c r="AJ26" s="24" t="s">
        <v>780</v>
      </c>
    </row>
    <row r="27" customFormat="false" ht="15" hidden="false" customHeight="false" outlineLevel="0" collapsed="false">
      <c r="A27" s="24" t="s">
        <v>267</v>
      </c>
      <c r="B27" s="24" t="s">
        <v>268</v>
      </c>
      <c r="C27" s="24" t="s">
        <v>184</v>
      </c>
      <c r="D27" s="24" t="s">
        <v>197</v>
      </c>
      <c r="E27" s="24" t="s">
        <v>746</v>
      </c>
      <c r="F27" s="24" t="s">
        <v>747</v>
      </c>
      <c r="G27" s="24" t="n">
        <v>0.6</v>
      </c>
      <c r="H27" s="24" t="n">
        <v>2626</v>
      </c>
      <c r="I27" s="24" t="n">
        <v>108</v>
      </c>
      <c r="J27" s="24" t="n">
        <v>107</v>
      </c>
      <c r="K27" s="24" t="n">
        <v>0.0105906751360858</v>
      </c>
      <c r="L27" s="24" t="n">
        <v>0.018297041614266</v>
      </c>
      <c r="M27" s="24" t="n">
        <v>0.578818989394895</v>
      </c>
      <c r="N27" s="24" t="n">
        <v>11.5671715294422</v>
      </c>
      <c r="O27" s="24" t="n">
        <v>0.57380955546528</v>
      </c>
      <c r="P27" s="24" t="n">
        <v>-0.0294412304168728</v>
      </c>
      <c r="Q27" s="24" t="n">
        <v>0.0506225806890444</v>
      </c>
      <c r="R27" s="24"/>
      <c r="S27" s="24"/>
      <c r="T27" s="24"/>
      <c r="U27" s="24"/>
      <c r="V27" s="24"/>
      <c r="W27" s="24"/>
      <c r="X27" s="24"/>
      <c r="Y27" s="24" t="n">
        <v>0.0216593265110976</v>
      </c>
      <c r="Z27" s="24" t="n">
        <v>2.04617481448497E-009</v>
      </c>
      <c r="AA27" s="24" t="n">
        <v>0.0120250156696585</v>
      </c>
      <c r="AB27" s="24"/>
      <c r="AC27" s="24"/>
      <c r="AD27" s="24"/>
      <c r="AE27" s="24"/>
      <c r="AF27" s="24"/>
      <c r="AG27" s="24"/>
      <c r="AH27" s="24" t="s">
        <v>750</v>
      </c>
      <c r="AI27" s="24" t="s">
        <v>781</v>
      </c>
      <c r="AJ27" s="24" t="s">
        <v>782</v>
      </c>
    </row>
    <row r="28" customFormat="false" ht="15" hidden="false" customHeight="false" outlineLevel="0" collapsed="false">
      <c r="A28" s="24" t="s">
        <v>277</v>
      </c>
      <c r="B28" s="24" t="s">
        <v>278</v>
      </c>
      <c r="C28" s="24" t="s">
        <v>279</v>
      </c>
      <c r="D28" s="24" t="s">
        <v>280</v>
      </c>
      <c r="E28" s="24" t="s">
        <v>746</v>
      </c>
      <c r="F28" s="24" t="s">
        <v>747</v>
      </c>
      <c r="G28" s="24" t="n">
        <v>0.6</v>
      </c>
      <c r="H28" s="24" t="n">
        <v>6</v>
      </c>
      <c r="I28" s="24" t="n">
        <v>1</v>
      </c>
      <c r="J28" s="24" t="n">
        <v>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 t="s">
        <v>748</v>
      </c>
      <c r="AI28" s="24"/>
      <c r="AJ28" s="24" t="s">
        <v>783</v>
      </c>
    </row>
    <row r="29" customFormat="false" ht="15" hidden="false" customHeight="false" outlineLevel="0" collapsed="false">
      <c r="A29" s="24" t="s">
        <v>277</v>
      </c>
      <c r="B29" s="24" t="s">
        <v>278</v>
      </c>
      <c r="C29" s="24" t="s">
        <v>282</v>
      </c>
      <c r="D29" s="24" t="s">
        <v>283</v>
      </c>
      <c r="E29" s="24" t="s">
        <v>746</v>
      </c>
      <c r="F29" s="24" t="s">
        <v>747</v>
      </c>
      <c r="G29" s="24" t="n">
        <v>0.6</v>
      </c>
      <c r="H29" s="24" t="n">
        <v>56</v>
      </c>
      <c r="I29" s="24" t="n">
        <v>2</v>
      </c>
      <c r="J29" s="24" t="n">
        <v>2</v>
      </c>
      <c r="K29" s="24" t="n">
        <v>-0.00720151851604686</v>
      </c>
      <c r="L29" s="24" t="n">
        <v>0.01466231919871</v>
      </c>
      <c r="M29" s="24" t="n">
        <v>-0.49115821436219</v>
      </c>
      <c r="N29" s="24" t="n">
        <v>1.00548076595946</v>
      </c>
      <c r="O29" s="24" t="n">
        <v>0.708995898919324</v>
      </c>
      <c r="P29" s="24" t="n">
        <v>-0.191121233444549</v>
      </c>
      <c r="Q29" s="24" t="n">
        <v>0.176718196412456</v>
      </c>
      <c r="R29" s="24"/>
      <c r="S29" s="24"/>
      <c r="T29" s="24" t="n">
        <v>-0.00720139402389294</v>
      </c>
      <c r="U29" s="24" t="n">
        <v>-0.188827689247864</v>
      </c>
      <c r="V29" s="24" t="n">
        <v>0.174901292883229</v>
      </c>
      <c r="W29" s="24"/>
      <c r="X29" s="24"/>
      <c r="Y29" s="24" t="n">
        <v>0.000179302577876969</v>
      </c>
      <c r="Z29" s="24" t="n">
        <v>0.000179302577920201</v>
      </c>
      <c r="AA29" s="24" t="n">
        <v>0.000405936209482263</v>
      </c>
      <c r="AB29" s="24"/>
      <c r="AC29" s="24"/>
      <c r="AD29" s="24"/>
      <c r="AE29" s="24"/>
      <c r="AF29" s="24"/>
      <c r="AG29" s="24"/>
      <c r="AH29" s="24" t="s">
        <v>748</v>
      </c>
      <c r="AI29" s="24"/>
      <c r="AJ29" s="24" t="s">
        <v>784</v>
      </c>
    </row>
    <row r="30" customFormat="false" ht="15" hidden="false" customHeight="false" outlineLevel="0" collapsed="false">
      <c r="A30" s="24" t="s">
        <v>277</v>
      </c>
      <c r="B30" s="24" t="s">
        <v>278</v>
      </c>
      <c r="C30" s="24" t="s">
        <v>285</v>
      </c>
      <c r="D30" s="24" t="s">
        <v>286</v>
      </c>
      <c r="E30" s="24" t="s">
        <v>746</v>
      </c>
      <c r="F30" s="24" t="s">
        <v>747</v>
      </c>
      <c r="G30" s="24" t="n">
        <v>0.6</v>
      </c>
      <c r="H30" s="24" t="n">
        <v>66</v>
      </c>
      <c r="I30" s="24" t="n">
        <v>3</v>
      </c>
      <c r="J30" s="24" t="n">
        <v>3</v>
      </c>
      <c r="K30" s="24" t="n">
        <v>-0.0185528832448146</v>
      </c>
      <c r="L30" s="24" t="n">
        <v>0.00495579716747783</v>
      </c>
      <c r="M30" s="24" t="n">
        <v>-3.74367283765506</v>
      </c>
      <c r="N30" s="24" t="n">
        <v>1.17916577672168</v>
      </c>
      <c r="O30" s="24" t="n">
        <v>0.1358635516812</v>
      </c>
      <c r="P30" s="24" t="n">
        <v>-0.062860906300942</v>
      </c>
      <c r="Q30" s="24" t="n">
        <v>0.0257551398113128</v>
      </c>
      <c r="R30" s="24"/>
      <c r="S30" s="24"/>
      <c r="T30" s="24" t="n">
        <v>-0.018550754845116</v>
      </c>
      <c r="U30" s="24" t="n">
        <v>-0.0627782388074344</v>
      </c>
      <c r="V30" s="24" t="n">
        <v>0.025749446626731</v>
      </c>
      <c r="W30" s="24"/>
      <c r="X30" s="24"/>
      <c r="Y30" s="24" t="n">
        <v>4.41981215093434E-012</v>
      </c>
      <c r="Z30" s="24" t="n">
        <v>4.41981388368153E-012</v>
      </c>
      <c r="AA30" s="24" t="n">
        <v>0.0127514415107488</v>
      </c>
      <c r="AB30" s="24"/>
      <c r="AC30" s="24"/>
      <c r="AD30" s="24"/>
      <c r="AE30" s="24"/>
      <c r="AF30" s="24"/>
      <c r="AG30" s="24"/>
      <c r="AH30" s="24" t="s">
        <v>748</v>
      </c>
      <c r="AI30" s="24"/>
      <c r="AJ30" s="24" t="s">
        <v>785</v>
      </c>
    </row>
    <row r="31" customFormat="false" ht="15" hidden="false" customHeight="false" outlineLevel="0" collapsed="false">
      <c r="A31" s="24" t="s">
        <v>277</v>
      </c>
      <c r="B31" s="24" t="s">
        <v>278</v>
      </c>
      <c r="C31" s="24" t="s">
        <v>288</v>
      </c>
      <c r="D31" s="24" t="s">
        <v>289</v>
      </c>
      <c r="E31" s="24" t="s">
        <v>746</v>
      </c>
      <c r="F31" s="24" t="s">
        <v>747</v>
      </c>
      <c r="G31" s="24" t="n">
        <v>0.6</v>
      </c>
      <c r="H31" s="24" t="n">
        <v>88</v>
      </c>
      <c r="I31" s="24" t="n">
        <v>4</v>
      </c>
      <c r="J31" s="24" t="n">
        <v>4</v>
      </c>
      <c r="K31" s="24" t="n">
        <v>-0.0189327565850565</v>
      </c>
      <c r="L31" s="24" t="n">
        <v>0.00310503502007086</v>
      </c>
      <c r="M31" s="24" t="n">
        <v>-6.09743737596378</v>
      </c>
      <c r="N31" s="24" t="n">
        <v>1.49457543817703</v>
      </c>
      <c r="O31" s="24" t="n">
        <v>0.0494042972335642</v>
      </c>
      <c r="P31" s="24" t="n">
        <v>-0.0377099651623109</v>
      </c>
      <c r="Q31" s="24" t="n">
        <v>-0.00015554800780216</v>
      </c>
      <c r="R31" s="24"/>
      <c r="S31" s="24"/>
      <c r="T31" s="24" t="n">
        <v>-0.018930494765084</v>
      </c>
      <c r="U31" s="24" t="n">
        <v>-0.0376921002792876</v>
      </c>
      <c r="V31" s="24" t="n">
        <v>-0.000155548006547656</v>
      </c>
      <c r="W31" s="24"/>
      <c r="X31" s="24"/>
      <c r="Y31" s="24" t="n">
        <v>2.27993602821937E-012</v>
      </c>
      <c r="Z31" s="24" t="n">
        <v>2.27993596620855E-012</v>
      </c>
      <c r="AA31" s="24" t="n">
        <v>0.00814425588612357</v>
      </c>
      <c r="AB31" s="24"/>
      <c r="AC31" s="24"/>
      <c r="AD31" s="24"/>
      <c r="AE31" s="24"/>
      <c r="AF31" s="24"/>
      <c r="AG31" s="24"/>
      <c r="AH31" s="24" t="s">
        <v>748</v>
      </c>
      <c r="AI31" s="24"/>
      <c r="AJ31" s="24" t="s">
        <v>786</v>
      </c>
    </row>
    <row r="32" customFormat="false" ht="15" hidden="false" customHeight="false" outlineLevel="0" collapsed="false">
      <c r="A32" s="24" t="s">
        <v>277</v>
      </c>
      <c r="B32" s="24" t="s">
        <v>278</v>
      </c>
      <c r="C32" s="24" t="s">
        <v>291</v>
      </c>
      <c r="D32" s="24" t="s">
        <v>292</v>
      </c>
      <c r="E32" s="24" t="s">
        <v>746</v>
      </c>
      <c r="F32" s="24" t="s">
        <v>747</v>
      </c>
      <c r="G32" s="24" t="n">
        <v>0.6</v>
      </c>
      <c r="H32" s="24" t="n">
        <v>93</v>
      </c>
      <c r="I32" s="24" t="n">
        <v>5</v>
      </c>
      <c r="J32" s="24" t="n">
        <v>5</v>
      </c>
      <c r="K32" s="24" t="n">
        <v>-0.0190434966952471</v>
      </c>
      <c r="L32" s="24" t="n">
        <v>0.00284423975684919</v>
      </c>
      <c r="M32" s="24" t="n">
        <v>-6.69546111553661</v>
      </c>
      <c r="N32" s="24" t="n">
        <v>1.89852223570832</v>
      </c>
      <c r="O32" s="24" t="n">
        <v>0.0246285359067347</v>
      </c>
      <c r="P32" s="24" t="n">
        <v>-0.0319299878416305</v>
      </c>
      <c r="Q32" s="24" t="n">
        <v>-0.00615700554886366</v>
      </c>
      <c r="R32" s="24"/>
      <c r="S32" s="24"/>
      <c r="T32" s="24" t="n">
        <v>-0.0190411949575259</v>
      </c>
      <c r="U32" s="24" t="n">
        <v>-0.0319191411340444</v>
      </c>
      <c r="V32" s="24" t="n">
        <v>-0.00615692774864907</v>
      </c>
      <c r="W32" s="24"/>
      <c r="X32" s="24"/>
      <c r="Y32" s="24" t="n">
        <v>1.85475695761885E-012</v>
      </c>
      <c r="Z32" s="24" t="n">
        <v>1.85475633682684E-012</v>
      </c>
      <c r="AA32" s="24" t="n">
        <v>0.00753143572231844</v>
      </c>
      <c r="AB32" s="24"/>
      <c r="AC32" s="24"/>
      <c r="AD32" s="24"/>
      <c r="AE32" s="24"/>
      <c r="AF32" s="24"/>
      <c r="AG32" s="24"/>
      <c r="AH32" s="24" t="s">
        <v>748</v>
      </c>
      <c r="AI32" s="24"/>
      <c r="AJ32" s="24" t="s">
        <v>787</v>
      </c>
    </row>
    <row r="33" customFormat="false" ht="15" hidden="false" customHeight="false" outlineLevel="0" collapsed="false">
      <c r="A33" s="24" t="s">
        <v>277</v>
      </c>
      <c r="B33" s="24" t="s">
        <v>278</v>
      </c>
      <c r="C33" s="24" t="s">
        <v>294</v>
      </c>
      <c r="D33" s="24" t="s">
        <v>295</v>
      </c>
      <c r="E33" s="24" t="s">
        <v>746</v>
      </c>
      <c r="F33" s="24" t="s">
        <v>747</v>
      </c>
      <c r="G33" s="24" t="n">
        <v>0.6</v>
      </c>
      <c r="H33" s="24" t="n">
        <v>259</v>
      </c>
      <c r="I33" s="24" t="n">
        <v>6</v>
      </c>
      <c r="J33" s="24" t="n">
        <v>6</v>
      </c>
      <c r="K33" s="24" t="n">
        <v>-0.0145475886072046</v>
      </c>
      <c r="L33" s="24" t="n">
        <v>0.00413809104281528</v>
      </c>
      <c r="M33" s="24" t="n">
        <v>-3.51553130578476</v>
      </c>
      <c r="N33" s="24" t="n">
        <v>2.96543568051999</v>
      </c>
      <c r="O33" s="24" t="n">
        <v>0.039763827976478</v>
      </c>
      <c r="P33" s="24" t="n">
        <v>-0.0278041051028796</v>
      </c>
      <c r="Q33" s="24" t="n">
        <v>-0.00129107211152957</v>
      </c>
      <c r="R33" s="24"/>
      <c r="S33" s="24"/>
      <c r="T33" s="24" t="n">
        <v>-0.0145465624473602</v>
      </c>
      <c r="U33" s="24" t="n">
        <v>-0.0277969424940228</v>
      </c>
      <c r="V33" s="24" t="n">
        <v>-0.00129107139418147</v>
      </c>
      <c r="W33" s="24"/>
      <c r="X33" s="24"/>
      <c r="Y33" s="24" t="n">
        <v>3.56160405004076E-012</v>
      </c>
      <c r="Z33" s="24" t="n">
        <v>3.56160299691039E-012</v>
      </c>
      <c r="AA33" s="24" t="n">
        <v>0.0019388750045097</v>
      </c>
      <c r="AB33" s="24"/>
      <c r="AC33" s="24"/>
      <c r="AD33" s="24"/>
      <c r="AE33" s="24"/>
      <c r="AF33" s="24"/>
      <c r="AG33" s="24"/>
      <c r="AH33" s="24" t="s">
        <v>748</v>
      </c>
      <c r="AI33" s="24"/>
      <c r="AJ33" s="24" t="s">
        <v>788</v>
      </c>
    </row>
    <row r="34" customFormat="false" ht="15" hidden="false" customHeight="false" outlineLevel="0" collapsed="false">
      <c r="A34" s="24" t="s">
        <v>277</v>
      </c>
      <c r="B34" s="24" t="s">
        <v>278</v>
      </c>
      <c r="C34" s="24" t="s">
        <v>297</v>
      </c>
      <c r="D34" s="24" t="s">
        <v>298</v>
      </c>
      <c r="E34" s="24" t="s">
        <v>746</v>
      </c>
      <c r="F34" s="24" t="s">
        <v>747</v>
      </c>
      <c r="G34" s="24" t="n">
        <v>0.6</v>
      </c>
      <c r="H34" s="24" t="n">
        <v>263</v>
      </c>
      <c r="I34" s="24" t="n">
        <v>7</v>
      </c>
      <c r="J34" s="24" t="n">
        <v>7</v>
      </c>
      <c r="K34" s="24" t="n">
        <v>-0.0169671730839148</v>
      </c>
      <c r="L34" s="24" t="n">
        <v>0.00442536373260865</v>
      </c>
      <c r="M34" s="24" t="n">
        <v>-3.83407423866446</v>
      </c>
      <c r="N34" s="24" t="n">
        <v>3.51089700308549</v>
      </c>
      <c r="O34" s="24" t="n">
        <v>0.0235843927346562</v>
      </c>
      <c r="P34" s="24" t="n">
        <v>-0.0299593558487598</v>
      </c>
      <c r="Q34" s="24" t="n">
        <v>-0.00397499031906981</v>
      </c>
      <c r="R34" s="24"/>
      <c r="S34" s="24"/>
      <c r="T34" s="24" t="n">
        <v>-0.016965545073391</v>
      </c>
      <c r="U34" s="24" t="n">
        <v>-0.0299503955959027</v>
      </c>
      <c r="V34" s="24" t="n">
        <v>-0.00397496938352697</v>
      </c>
      <c r="W34" s="24"/>
      <c r="X34" s="24"/>
      <c r="Y34" s="24" t="n">
        <v>4.14705951038328E-012</v>
      </c>
      <c r="Z34" s="24" t="n">
        <v>4.14705867701861E-012</v>
      </c>
      <c r="AA34" s="24" t="n">
        <v>0.00191611617043032</v>
      </c>
      <c r="AB34" s="24"/>
      <c r="AC34" s="24"/>
      <c r="AD34" s="24"/>
      <c r="AE34" s="24"/>
      <c r="AF34" s="24"/>
      <c r="AG34" s="24"/>
      <c r="AH34" s="24" t="s">
        <v>748</v>
      </c>
      <c r="AI34" s="24"/>
      <c r="AJ34" s="24" t="s">
        <v>789</v>
      </c>
    </row>
    <row r="35" customFormat="false" ht="15" hidden="false" customHeight="false" outlineLevel="0" collapsed="false">
      <c r="A35" s="24" t="s">
        <v>277</v>
      </c>
      <c r="B35" s="24" t="s">
        <v>278</v>
      </c>
      <c r="C35" s="24" t="s">
        <v>300</v>
      </c>
      <c r="D35" s="24" t="s">
        <v>301</v>
      </c>
      <c r="E35" s="24" t="s">
        <v>746</v>
      </c>
      <c r="F35" s="24" t="s">
        <v>747</v>
      </c>
      <c r="G35" s="24" t="n">
        <v>0.6</v>
      </c>
      <c r="H35" s="24" t="n">
        <v>264</v>
      </c>
      <c r="I35" s="24" t="n">
        <v>8</v>
      </c>
      <c r="J35" s="24" t="n">
        <v>8</v>
      </c>
      <c r="K35" s="24" t="n">
        <v>-0.0173436214426382</v>
      </c>
      <c r="L35" s="24" t="n">
        <v>0.00438905406321675</v>
      </c>
      <c r="M35" s="24" t="n">
        <v>-3.95156249907914</v>
      </c>
      <c r="N35" s="24" t="n">
        <v>3.65749777868978</v>
      </c>
      <c r="O35" s="24" t="n">
        <v>0.0199514659890615</v>
      </c>
      <c r="P35" s="24" t="n">
        <v>-0.0299930991047622</v>
      </c>
      <c r="Q35" s="24" t="n">
        <v>-0.00469414378051421</v>
      </c>
      <c r="R35" s="24"/>
      <c r="S35" s="24"/>
      <c r="T35" s="24" t="n">
        <v>-0.0173418826577745</v>
      </c>
      <c r="U35" s="24" t="n">
        <v>-0.0299841085492367</v>
      </c>
      <c r="V35" s="24" t="n">
        <v>-0.0046941093023542</v>
      </c>
      <c r="W35" s="24"/>
      <c r="X35" s="24"/>
      <c r="Y35" s="24" t="n">
        <v>3.89586778815711E-012</v>
      </c>
      <c r="Z35" s="24" t="n">
        <v>3.89586723663887E-012</v>
      </c>
      <c r="AA35" s="24" t="n">
        <v>0.00190637752017722</v>
      </c>
      <c r="AB35" s="24"/>
      <c r="AC35" s="24"/>
      <c r="AD35" s="24"/>
      <c r="AE35" s="24"/>
      <c r="AF35" s="24"/>
      <c r="AG35" s="24"/>
      <c r="AH35" s="24" t="s">
        <v>748</v>
      </c>
      <c r="AI35" s="24"/>
      <c r="AJ35" s="24" t="s">
        <v>790</v>
      </c>
    </row>
    <row r="36" customFormat="false" ht="15" hidden="false" customHeight="false" outlineLevel="0" collapsed="false">
      <c r="A36" s="24" t="s">
        <v>277</v>
      </c>
      <c r="B36" s="24" t="s">
        <v>278</v>
      </c>
      <c r="C36" s="24" t="s">
        <v>303</v>
      </c>
      <c r="D36" s="24" t="s">
        <v>304</v>
      </c>
      <c r="E36" s="24" t="s">
        <v>746</v>
      </c>
      <c r="F36" s="24" t="s">
        <v>747</v>
      </c>
      <c r="G36" s="24" t="n">
        <v>0.6</v>
      </c>
      <c r="H36" s="24" t="n">
        <v>312</v>
      </c>
      <c r="I36" s="24" t="n">
        <v>9</v>
      </c>
      <c r="J36" s="24" t="n">
        <v>9</v>
      </c>
      <c r="K36" s="24" t="n">
        <v>-0.0148714200641961</v>
      </c>
      <c r="L36" s="24" t="n">
        <v>0.00368127780940975</v>
      </c>
      <c r="M36" s="24" t="n">
        <v>-4.03974403295049</v>
      </c>
      <c r="N36" s="24" t="n">
        <v>4.27771496479352</v>
      </c>
      <c r="O36" s="24" t="n">
        <v>0.0136400215697344</v>
      </c>
      <c r="P36" s="24" t="n">
        <v>-0.0248358379969843</v>
      </c>
      <c r="Q36" s="24" t="n">
        <v>-0.00490700213140791</v>
      </c>
      <c r="R36" s="24"/>
      <c r="S36" s="24"/>
      <c r="T36" s="24" t="n">
        <v>-0.0148703238443738</v>
      </c>
      <c r="U36" s="24" t="n">
        <v>-0.0248307328522245</v>
      </c>
      <c r="V36" s="24" t="n">
        <v>-0.00490696274709237</v>
      </c>
      <c r="W36" s="24"/>
      <c r="X36" s="24"/>
      <c r="Y36" s="24" t="n">
        <v>3.23847217855242E-012</v>
      </c>
      <c r="Z36" s="24" t="n">
        <v>3.23846838660355E-012</v>
      </c>
      <c r="AA36" s="24" t="n">
        <v>0.00187895204554222</v>
      </c>
      <c r="AB36" s="24"/>
      <c r="AC36" s="24"/>
      <c r="AD36" s="24"/>
      <c r="AE36" s="24"/>
      <c r="AF36" s="24"/>
      <c r="AG36" s="24"/>
      <c r="AH36" s="24" t="s">
        <v>748</v>
      </c>
      <c r="AI36" s="24"/>
      <c r="AJ36" s="24" t="s">
        <v>791</v>
      </c>
    </row>
    <row r="37" customFormat="false" ht="15" hidden="false" customHeight="false" outlineLevel="0" collapsed="false">
      <c r="A37" s="24" t="s">
        <v>277</v>
      </c>
      <c r="B37" s="24" t="s">
        <v>278</v>
      </c>
      <c r="C37" s="24" t="s">
        <v>306</v>
      </c>
      <c r="D37" s="24" t="s">
        <v>307</v>
      </c>
      <c r="E37" s="24" t="s">
        <v>746</v>
      </c>
      <c r="F37" s="24" t="s">
        <v>747</v>
      </c>
      <c r="G37" s="24" t="n">
        <v>0.6</v>
      </c>
      <c r="H37" s="24" t="n">
        <v>316</v>
      </c>
      <c r="I37" s="24" t="n">
        <v>10</v>
      </c>
      <c r="J37" s="24" t="n">
        <v>10</v>
      </c>
      <c r="K37" s="24" t="n">
        <v>-0.0153549266042124</v>
      </c>
      <c r="L37" s="24" t="n">
        <v>0.00361936890348861</v>
      </c>
      <c r="M37" s="24" t="n">
        <v>-4.24243204095948</v>
      </c>
      <c r="N37" s="24" t="n">
        <v>4.31085767834888</v>
      </c>
      <c r="O37" s="24" t="n">
        <v>0.0112728969074789</v>
      </c>
      <c r="P37" s="24" t="n">
        <v>-0.0251244746616037</v>
      </c>
      <c r="Q37" s="24" t="n">
        <v>-0.00558537854682117</v>
      </c>
      <c r="R37" s="24"/>
      <c r="S37" s="24"/>
      <c r="T37" s="24" t="n">
        <v>-0.0153537199550277</v>
      </c>
      <c r="U37" s="24" t="n">
        <v>-0.0251191894780975</v>
      </c>
      <c r="V37" s="24" t="n">
        <v>-0.00558532046621187</v>
      </c>
      <c r="W37" s="24"/>
      <c r="X37" s="24"/>
      <c r="Y37" s="24" t="n">
        <v>2.82679276193977E-012</v>
      </c>
      <c r="Z37" s="24" t="n">
        <v>2.82679203824982E-012</v>
      </c>
      <c r="AA37" s="24" t="n">
        <v>0.00196979655273393</v>
      </c>
      <c r="AB37" s="24"/>
      <c r="AC37" s="24"/>
      <c r="AD37" s="24"/>
      <c r="AE37" s="24"/>
      <c r="AF37" s="24"/>
      <c r="AG37" s="24"/>
      <c r="AH37" s="24" t="s">
        <v>748</v>
      </c>
      <c r="AI37" s="24"/>
      <c r="AJ37" s="24" t="s">
        <v>792</v>
      </c>
    </row>
    <row r="38" customFormat="false" ht="15" hidden="false" customHeight="false" outlineLevel="0" collapsed="false">
      <c r="A38" s="24" t="s">
        <v>277</v>
      </c>
      <c r="B38" s="24" t="s">
        <v>278</v>
      </c>
      <c r="C38" s="24" t="s">
        <v>309</v>
      </c>
      <c r="D38" s="24" t="s">
        <v>310</v>
      </c>
      <c r="E38" s="24" t="s">
        <v>746</v>
      </c>
      <c r="F38" s="24" t="s">
        <v>747</v>
      </c>
      <c r="G38" s="24" t="n">
        <v>0.6</v>
      </c>
      <c r="H38" s="24" t="n">
        <v>326</v>
      </c>
      <c r="I38" s="24" t="n">
        <v>11</v>
      </c>
      <c r="J38" s="24" t="n">
        <v>11</v>
      </c>
      <c r="K38" s="24" t="n">
        <v>-0.0168598441771849</v>
      </c>
      <c r="L38" s="24" t="n">
        <v>0.0030612449799534</v>
      </c>
      <c r="M38" s="24" t="n">
        <v>-5.50751223361469</v>
      </c>
      <c r="N38" s="24" t="n">
        <v>4.50177703868729</v>
      </c>
      <c r="O38" s="24" t="n">
        <v>0.00372939995786309</v>
      </c>
      <c r="P38" s="24" t="n">
        <v>-0.0249983291379269</v>
      </c>
      <c r="Q38" s="24" t="n">
        <v>-0.00872135921644295</v>
      </c>
      <c r="R38" s="24"/>
      <c r="S38" s="24"/>
      <c r="T38" s="24" t="n">
        <v>-0.0168582468641437</v>
      </c>
      <c r="U38" s="24" t="n">
        <v>-0.0249931231501317</v>
      </c>
      <c r="V38" s="24" t="n">
        <v>-0.00872113810151891</v>
      </c>
      <c r="W38" s="24"/>
      <c r="X38" s="24"/>
      <c r="Y38" s="24" t="n">
        <v>3.32384660893416E-012</v>
      </c>
      <c r="Z38" s="24" t="n">
        <v>3.3238472152027E-012</v>
      </c>
      <c r="AA38" s="24" t="n">
        <v>0.00265231940016823</v>
      </c>
      <c r="AB38" s="24"/>
      <c r="AC38" s="24"/>
      <c r="AD38" s="24"/>
      <c r="AE38" s="24"/>
      <c r="AF38" s="24"/>
      <c r="AG38" s="24"/>
      <c r="AH38" s="24" t="s">
        <v>748</v>
      </c>
      <c r="AI38" s="24"/>
      <c r="AJ38" s="24" t="s">
        <v>793</v>
      </c>
    </row>
    <row r="39" customFormat="false" ht="15" hidden="false" customHeight="false" outlineLevel="0" collapsed="false">
      <c r="A39" s="24" t="s">
        <v>277</v>
      </c>
      <c r="B39" s="24" t="s">
        <v>278</v>
      </c>
      <c r="C39" s="24" t="s">
        <v>312</v>
      </c>
      <c r="D39" s="24" t="s">
        <v>313</v>
      </c>
      <c r="E39" s="24" t="s">
        <v>746</v>
      </c>
      <c r="F39" s="24" t="s">
        <v>747</v>
      </c>
      <c r="G39" s="24" t="n">
        <v>0.6</v>
      </c>
      <c r="H39" s="24" t="n">
        <v>330</v>
      </c>
      <c r="I39" s="24" t="n">
        <v>12</v>
      </c>
      <c r="J39" s="24" t="n">
        <v>12</v>
      </c>
      <c r="K39" s="24" t="n">
        <v>-0.0180184105776104</v>
      </c>
      <c r="L39" s="24" t="n">
        <v>0.00338113369503863</v>
      </c>
      <c r="M39" s="24" t="n">
        <v>-5.32910325434632</v>
      </c>
      <c r="N39" s="24" t="n">
        <v>4.79445371197206</v>
      </c>
      <c r="O39" s="24" t="n">
        <v>0.00353335493297732</v>
      </c>
      <c r="P39" s="24" t="n">
        <v>-0.0268231713854585</v>
      </c>
      <c r="Q39" s="24" t="n">
        <v>-0.00921364976976222</v>
      </c>
      <c r="R39" s="24"/>
      <c r="S39" s="24"/>
      <c r="T39" s="24" t="n">
        <v>-0.0180164608596803</v>
      </c>
      <c r="U39" s="24" t="n">
        <v>-0.0268167403019304</v>
      </c>
      <c r="V39" s="24" t="n">
        <v>-0.00921338905891691</v>
      </c>
      <c r="W39" s="24"/>
      <c r="X39" s="24"/>
      <c r="Y39" s="24" t="n">
        <v>3.14487364628847E-012</v>
      </c>
      <c r="Z39" s="24" t="n">
        <v>3.14487469393488E-012</v>
      </c>
      <c r="AA39" s="24" t="n">
        <v>0.00261763202706203</v>
      </c>
      <c r="AB39" s="24"/>
      <c r="AC39" s="24"/>
      <c r="AD39" s="24"/>
      <c r="AE39" s="24"/>
      <c r="AF39" s="24"/>
      <c r="AG39" s="24"/>
      <c r="AH39" s="24" t="s">
        <v>748</v>
      </c>
      <c r="AI39" s="24"/>
      <c r="AJ39" s="24" t="s">
        <v>794</v>
      </c>
    </row>
    <row r="40" customFormat="false" ht="15" hidden="false" customHeight="false" outlineLevel="0" collapsed="false">
      <c r="A40" s="24" t="s">
        <v>277</v>
      </c>
      <c r="B40" s="24" t="s">
        <v>278</v>
      </c>
      <c r="C40" s="24" t="s">
        <v>315</v>
      </c>
      <c r="D40" s="24" t="s">
        <v>316</v>
      </c>
      <c r="E40" s="24" t="s">
        <v>746</v>
      </c>
      <c r="F40" s="24" t="s">
        <v>747</v>
      </c>
      <c r="G40" s="24" t="n">
        <v>0.6</v>
      </c>
      <c r="H40" s="24" t="n">
        <v>338</v>
      </c>
      <c r="I40" s="24" t="n">
        <v>13</v>
      </c>
      <c r="J40" s="24" t="n">
        <v>13</v>
      </c>
      <c r="K40" s="24" t="n">
        <v>-0.021172503632348</v>
      </c>
      <c r="L40" s="24" t="n">
        <v>0.00492124296868484</v>
      </c>
      <c r="M40" s="24" t="n">
        <v>-4.30226748954974</v>
      </c>
      <c r="N40" s="24" t="n">
        <v>5.53688305540375</v>
      </c>
      <c r="O40" s="24" t="n">
        <v>0.00610755455189451</v>
      </c>
      <c r="P40" s="24" t="n">
        <v>-0.0334627669272593</v>
      </c>
      <c r="Q40" s="24" t="n">
        <v>-0.00888224033743674</v>
      </c>
      <c r="R40" s="24"/>
      <c r="S40" s="24"/>
      <c r="T40" s="24" t="n">
        <v>-0.0211693404988076</v>
      </c>
      <c r="U40" s="24" t="n">
        <v>-0.0334502824657789</v>
      </c>
      <c r="V40" s="24" t="n">
        <v>-0.00888200675907889</v>
      </c>
      <c r="W40" s="24"/>
      <c r="X40" s="24"/>
      <c r="Y40" s="24" t="n">
        <v>2.80920383233561E-011</v>
      </c>
      <c r="Z40" s="24" t="n">
        <v>2.80920315074026E-011</v>
      </c>
      <c r="AA40" s="24" t="n">
        <v>0.00257633896849499</v>
      </c>
      <c r="AB40" s="24"/>
      <c r="AC40" s="24"/>
      <c r="AD40" s="24"/>
      <c r="AE40" s="24"/>
      <c r="AF40" s="24"/>
      <c r="AG40" s="24"/>
      <c r="AH40" s="24" t="s">
        <v>748</v>
      </c>
      <c r="AI40" s="24"/>
      <c r="AJ40" s="24" t="s">
        <v>795</v>
      </c>
    </row>
    <row r="41" customFormat="false" ht="15" hidden="false" customHeight="false" outlineLevel="0" collapsed="false">
      <c r="A41" s="24" t="s">
        <v>277</v>
      </c>
      <c r="B41" s="24" t="s">
        <v>278</v>
      </c>
      <c r="C41" s="24" t="s">
        <v>318</v>
      </c>
      <c r="D41" s="24" t="s">
        <v>319</v>
      </c>
      <c r="E41" s="24" t="s">
        <v>746</v>
      </c>
      <c r="F41" s="24" t="s">
        <v>747</v>
      </c>
      <c r="G41" s="24" t="n">
        <v>0.6</v>
      </c>
      <c r="H41" s="24" t="n">
        <v>356</v>
      </c>
      <c r="I41" s="24" t="n">
        <v>14</v>
      </c>
      <c r="J41" s="24" t="n">
        <v>14</v>
      </c>
      <c r="K41" s="24" t="n">
        <v>-0.0264954411441496</v>
      </c>
      <c r="L41" s="24" t="n">
        <v>0.00665673762597561</v>
      </c>
      <c r="M41" s="24" t="n">
        <v>-3.98024417257492</v>
      </c>
      <c r="N41" s="24" t="n">
        <v>8.60574208431064</v>
      </c>
      <c r="O41" s="24" t="n">
        <v>0.00350536836837522</v>
      </c>
      <c r="P41" s="24" t="n">
        <v>-0.0416598497785641</v>
      </c>
      <c r="Q41" s="24" t="n">
        <v>-0.0113310325097351</v>
      </c>
      <c r="R41" s="24"/>
      <c r="S41" s="24"/>
      <c r="T41" s="24" t="n">
        <v>-0.0264892428772104</v>
      </c>
      <c r="U41" s="24" t="n">
        <v>-0.0416357656766426</v>
      </c>
      <c r="V41" s="24" t="n">
        <v>-0.0113305475955389</v>
      </c>
      <c r="W41" s="24"/>
      <c r="X41" s="24"/>
      <c r="Y41" s="24" t="n">
        <v>9.34624135099551E-005</v>
      </c>
      <c r="Z41" s="24" t="n">
        <v>9.34624156618814E-005</v>
      </c>
      <c r="AA41" s="24" t="n">
        <v>0.00231037564062217</v>
      </c>
      <c r="AB41" s="24"/>
      <c r="AC41" s="24"/>
      <c r="AD41" s="24"/>
      <c r="AE41" s="24"/>
      <c r="AF41" s="24"/>
      <c r="AG41" s="24"/>
      <c r="AH41" s="24" t="s">
        <v>748</v>
      </c>
      <c r="AI41" s="24"/>
      <c r="AJ41" s="24" t="s">
        <v>796</v>
      </c>
    </row>
    <row r="42" customFormat="false" ht="15" hidden="false" customHeight="false" outlineLevel="0" collapsed="false">
      <c r="A42" s="24" t="s">
        <v>277</v>
      </c>
      <c r="B42" s="24" t="s">
        <v>278</v>
      </c>
      <c r="C42" s="24" t="s">
        <v>321</v>
      </c>
      <c r="D42" s="24" t="s">
        <v>322</v>
      </c>
      <c r="E42" s="24" t="s">
        <v>746</v>
      </c>
      <c r="F42" s="24" t="s">
        <v>747</v>
      </c>
      <c r="G42" s="24" t="n">
        <v>0.6</v>
      </c>
      <c r="H42" s="24" t="n">
        <v>375</v>
      </c>
      <c r="I42" s="24" t="n">
        <v>15</v>
      </c>
      <c r="J42" s="24" t="n">
        <v>15</v>
      </c>
      <c r="K42" s="24" t="n">
        <v>-0.0317888848342706</v>
      </c>
      <c r="L42" s="24" t="n">
        <v>0.00783511595219722</v>
      </c>
      <c r="M42" s="24" t="n">
        <v>-4.05723221305436</v>
      </c>
      <c r="N42" s="24" t="n">
        <v>10.154843225589</v>
      </c>
      <c r="O42" s="24" t="n">
        <v>0.00222567702021553</v>
      </c>
      <c r="P42" s="24" t="n">
        <v>-0.0492105953886204</v>
      </c>
      <c r="Q42" s="24" t="n">
        <v>-0.0143671742799209</v>
      </c>
      <c r="R42" s="24"/>
      <c r="S42" s="24"/>
      <c r="T42" s="24" t="n">
        <v>-0.0317781812529514</v>
      </c>
      <c r="U42" s="24" t="n">
        <v>-0.049170909681508</v>
      </c>
      <c r="V42" s="24" t="n">
        <v>-0.0143661858247706</v>
      </c>
      <c r="W42" s="24"/>
      <c r="X42" s="24"/>
      <c r="Y42" s="24" t="n">
        <v>0.000183029868175581</v>
      </c>
      <c r="Z42" s="24" t="n">
        <v>0.000183029879802951</v>
      </c>
      <c r="AA42" s="24" t="n">
        <v>0.0026558181615421</v>
      </c>
      <c r="AB42" s="24"/>
      <c r="AC42" s="24"/>
      <c r="AD42" s="24"/>
      <c r="AE42" s="24"/>
      <c r="AF42" s="24"/>
      <c r="AG42" s="24"/>
      <c r="AH42" s="24" t="s">
        <v>748</v>
      </c>
      <c r="AI42" s="24"/>
      <c r="AJ42" s="24" t="s">
        <v>797</v>
      </c>
    </row>
    <row r="43" customFormat="false" ht="15" hidden="false" customHeight="false" outlineLevel="0" collapsed="false">
      <c r="A43" s="24" t="s">
        <v>277</v>
      </c>
      <c r="B43" s="24" t="s">
        <v>278</v>
      </c>
      <c r="C43" s="24" t="s">
        <v>324</v>
      </c>
      <c r="D43" s="24" t="s">
        <v>325</v>
      </c>
      <c r="E43" s="24" t="s">
        <v>746</v>
      </c>
      <c r="F43" s="24" t="s">
        <v>747</v>
      </c>
      <c r="G43" s="24" t="n">
        <v>0.6</v>
      </c>
      <c r="H43" s="24" t="n">
        <v>393</v>
      </c>
      <c r="I43" s="24" t="n">
        <v>16</v>
      </c>
      <c r="J43" s="24" t="n">
        <v>16</v>
      </c>
      <c r="K43" s="24" t="n">
        <v>-0.0328241755191025</v>
      </c>
      <c r="L43" s="24" t="n">
        <v>0.00733826165532518</v>
      </c>
      <c r="M43" s="24" t="n">
        <v>-4.47301787001324</v>
      </c>
      <c r="N43" s="24" t="n">
        <v>9.64871705777049</v>
      </c>
      <c r="O43" s="24" t="n">
        <v>0.00130223531169592</v>
      </c>
      <c r="P43" s="24" t="n">
        <v>-0.0492558913888496</v>
      </c>
      <c r="Q43" s="24" t="n">
        <v>-0.0163924596493553</v>
      </c>
      <c r="R43" s="24"/>
      <c r="S43" s="24"/>
      <c r="T43" s="24" t="n">
        <v>-0.0328123920519057</v>
      </c>
      <c r="U43" s="24" t="n">
        <v>-0.0492160960653761</v>
      </c>
      <c r="V43" s="24" t="n">
        <v>-0.0163909915196109</v>
      </c>
      <c r="W43" s="24"/>
      <c r="X43" s="24"/>
      <c r="Y43" s="24" t="n">
        <v>0.000123682841392664</v>
      </c>
      <c r="Z43" s="24" t="n">
        <v>0.000123682833229359</v>
      </c>
      <c r="AA43" s="24" t="n">
        <v>0.0033072688763808</v>
      </c>
      <c r="AB43" s="24"/>
      <c r="AC43" s="24"/>
      <c r="AD43" s="24"/>
      <c r="AE43" s="24"/>
      <c r="AF43" s="24"/>
      <c r="AG43" s="24"/>
      <c r="AH43" s="24" t="s">
        <v>748</v>
      </c>
      <c r="AI43" s="24"/>
      <c r="AJ43" s="24" t="s">
        <v>798</v>
      </c>
    </row>
    <row r="44" customFormat="false" ht="15" hidden="false" customHeight="false" outlineLevel="0" collapsed="false">
      <c r="A44" s="24" t="s">
        <v>277</v>
      </c>
      <c r="B44" s="24" t="s">
        <v>278</v>
      </c>
      <c r="C44" s="24" t="s">
        <v>327</v>
      </c>
      <c r="D44" s="24" t="s">
        <v>328</v>
      </c>
      <c r="E44" s="24" t="s">
        <v>746</v>
      </c>
      <c r="F44" s="24" t="s">
        <v>747</v>
      </c>
      <c r="G44" s="24" t="n">
        <v>0.6</v>
      </c>
      <c r="H44" s="24" t="n">
        <v>452</v>
      </c>
      <c r="I44" s="24" t="n">
        <v>17</v>
      </c>
      <c r="J44" s="24" t="n">
        <v>17</v>
      </c>
      <c r="K44" s="24" t="n">
        <v>-0.02932850519164</v>
      </c>
      <c r="L44" s="24" t="n">
        <v>0.00895460581417768</v>
      </c>
      <c r="M44" s="24" t="n">
        <v>-3.27524246184066</v>
      </c>
      <c r="N44" s="24" t="n">
        <v>12.947620740944</v>
      </c>
      <c r="O44" s="24" t="n">
        <v>0.00605711672111832</v>
      </c>
      <c r="P44" s="24" t="n">
        <v>-0.0486817133729574</v>
      </c>
      <c r="Q44" s="24" t="n">
        <v>-0.00997529701032257</v>
      </c>
      <c r="R44" s="24"/>
      <c r="S44" s="24"/>
      <c r="T44" s="24" t="n">
        <v>-0.0293200990029952</v>
      </c>
      <c r="U44" s="24" t="n">
        <v>-0.0486432927135303</v>
      </c>
      <c r="V44" s="24" t="n">
        <v>-0.00997496615435978</v>
      </c>
      <c r="W44" s="24"/>
      <c r="X44" s="24"/>
      <c r="Y44" s="24" t="n">
        <v>0.000365650958788149</v>
      </c>
      <c r="Z44" s="24" t="n">
        <v>0.000365650934214609</v>
      </c>
      <c r="AA44" s="24" t="n">
        <v>0.00253605263955673</v>
      </c>
      <c r="AB44" s="24"/>
      <c r="AC44" s="24"/>
      <c r="AD44" s="24"/>
      <c r="AE44" s="24"/>
      <c r="AF44" s="24"/>
      <c r="AG44" s="24"/>
      <c r="AH44" s="24" t="s">
        <v>748</v>
      </c>
      <c r="AI44" s="24"/>
      <c r="AJ44" s="24" t="s">
        <v>799</v>
      </c>
    </row>
    <row r="45" customFormat="false" ht="15" hidden="false" customHeight="false" outlineLevel="0" collapsed="false">
      <c r="A45" s="24" t="s">
        <v>277</v>
      </c>
      <c r="B45" s="24" t="s">
        <v>278</v>
      </c>
      <c r="C45" s="24" t="s">
        <v>330</v>
      </c>
      <c r="D45" s="24" t="s">
        <v>331</v>
      </c>
      <c r="E45" s="24" t="s">
        <v>746</v>
      </c>
      <c r="F45" s="24" t="s">
        <v>747</v>
      </c>
      <c r="G45" s="24" t="n">
        <v>0.6</v>
      </c>
      <c r="H45" s="24" t="n">
        <v>484</v>
      </c>
      <c r="I45" s="24" t="n">
        <v>18</v>
      </c>
      <c r="J45" s="24" t="n">
        <v>18</v>
      </c>
      <c r="K45" s="24" t="n">
        <v>-0.0285963747647617</v>
      </c>
      <c r="L45" s="24" t="n">
        <v>0.00822362320084919</v>
      </c>
      <c r="M45" s="24" t="n">
        <v>-3.47734496904099</v>
      </c>
      <c r="N45" s="24" t="n">
        <v>13.4790727029146</v>
      </c>
      <c r="O45" s="24" t="n">
        <v>0.00389131197737028</v>
      </c>
      <c r="P45" s="24" t="n">
        <v>-0.0462984576491703</v>
      </c>
      <c r="Q45" s="24" t="n">
        <v>-0.010894291880353</v>
      </c>
      <c r="R45" s="24"/>
      <c r="S45" s="24"/>
      <c r="T45" s="24" t="n">
        <v>-0.0285885823932329</v>
      </c>
      <c r="U45" s="24" t="n">
        <v>-0.0462654050127139</v>
      </c>
      <c r="V45" s="24" t="n">
        <v>-0.0108938609023066</v>
      </c>
      <c r="W45" s="24"/>
      <c r="X45" s="24"/>
      <c r="Y45" s="24" t="n">
        <v>0.00030103655160519</v>
      </c>
      <c r="Z45" s="24" t="n">
        <v>0.000301036534039361</v>
      </c>
      <c r="AA45" s="24" t="n">
        <v>0.00270479221387236</v>
      </c>
      <c r="AB45" s="24"/>
      <c r="AC45" s="24"/>
      <c r="AD45" s="24"/>
      <c r="AE45" s="24"/>
      <c r="AF45" s="24"/>
      <c r="AG45" s="24"/>
      <c r="AH45" s="24" t="s">
        <v>748</v>
      </c>
      <c r="AI45" s="24"/>
      <c r="AJ45" s="24" t="s">
        <v>800</v>
      </c>
    </row>
    <row r="46" customFormat="false" ht="15" hidden="false" customHeight="false" outlineLevel="0" collapsed="false">
      <c r="A46" s="24" t="s">
        <v>277</v>
      </c>
      <c r="B46" s="24" t="s">
        <v>278</v>
      </c>
      <c r="C46" s="24" t="s">
        <v>333</v>
      </c>
      <c r="D46" s="24" t="s">
        <v>334</v>
      </c>
      <c r="E46" s="24" t="s">
        <v>746</v>
      </c>
      <c r="F46" s="24" t="s">
        <v>747</v>
      </c>
      <c r="G46" s="24" t="n">
        <v>0.6</v>
      </c>
      <c r="H46" s="24" t="n">
        <v>520</v>
      </c>
      <c r="I46" s="24" t="n">
        <v>19</v>
      </c>
      <c r="J46" s="24" t="n">
        <v>19</v>
      </c>
      <c r="K46" s="24" t="n">
        <v>-0.0309724245104086</v>
      </c>
      <c r="L46" s="24" t="n">
        <v>0.00831815427484082</v>
      </c>
      <c r="M46" s="24" t="n">
        <v>-3.72347319934762</v>
      </c>
      <c r="N46" s="24" t="n">
        <v>14.903406336752</v>
      </c>
      <c r="O46" s="24" t="n">
        <v>0.00205904761361459</v>
      </c>
      <c r="P46" s="24" t="n">
        <v>-0.0487121643950637</v>
      </c>
      <c r="Q46" s="24" t="n">
        <v>-0.0132326846257535</v>
      </c>
      <c r="R46" s="24"/>
      <c r="S46" s="24"/>
      <c r="T46" s="24" t="n">
        <v>-0.0309625244523527</v>
      </c>
      <c r="U46" s="24" t="n">
        <v>-0.048673671638336</v>
      </c>
      <c r="V46" s="24" t="n">
        <v>-0.0132319123147651</v>
      </c>
      <c r="W46" s="24"/>
      <c r="X46" s="24"/>
      <c r="Y46" s="24" t="n">
        <v>0.000354642288934796</v>
      </c>
      <c r="Z46" s="24" t="n">
        <v>0.000354642288793936</v>
      </c>
      <c r="AA46" s="24" t="n">
        <v>0.00243660432132069</v>
      </c>
      <c r="AB46" s="24"/>
      <c r="AC46" s="24"/>
      <c r="AD46" s="24"/>
      <c r="AE46" s="24"/>
      <c r="AF46" s="24"/>
      <c r="AG46" s="24"/>
      <c r="AH46" s="24" t="s">
        <v>748</v>
      </c>
      <c r="AI46" s="24"/>
      <c r="AJ46" s="24" t="s">
        <v>801</v>
      </c>
    </row>
    <row r="47" customFormat="false" ht="15" hidden="false" customHeight="false" outlineLevel="0" collapsed="false">
      <c r="A47" s="24" t="s">
        <v>277</v>
      </c>
      <c r="B47" s="24" t="s">
        <v>278</v>
      </c>
      <c r="C47" s="24" t="s">
        <v>336</v>
      </c>
      <c r="D47" s="24" t="s">
        <v>337</v>
      </c>
      <c r="E47" s="24" t="s">
        <v>746</v>
      </c>
      <c r="F47" s="24" t="s">
        <v>747</v>
      </c>
      <c r="G47" s="24" t="n">
        <v>0.6</v>
      </c>
      <c r="H47" s="24" t="n">
        <v>624</v>
      </c>
      <c r="I47" s="24" t="n">
        <v>20</v>
      </c>
      <c r="J47" s="24" t="n">
        <v>20</v>
      </c>
      <c r="K47" s="24" t="n">
        <v>-0.0307828514533944</v>
      </c>
      <c r="L47" s="24" t="n">
        <v>0.00768253251842083</v>
      </c>
      <c r="M47" s="24" t="n">
        <v>-4.0068625000395</v>
      </c>
      <c r="N47" s="24" t="n">
        <v>15.6930619416886</v>
      </c>
      <c r="O47" s="24" t="n">
        <v>0.00105327287129681</v>
      </c>
      <c r="P47" s="24" t="n">
        <v>-0.0470950198483294</v>
      </c>
      <c r="Q47" s="24" t="n">
        <v>-0.0144706830584595</v>
      </c>
      <c r="R47" s="24"/>
      <c r="S47" s="24"/>
      <c r="T47" s="24" t="n">
        <v>-0.0307731320254422</v>
      </c>
      <c r="U47" s="24" t="n">
        <v>-0.0470602327201713</v>
      </c>
      <c r="V47" s="24" t="n">
        <v>-0.0144696730861544</v>
      </c>
      <c r="W47" s="24"/>
      <c r="X47" s="24"/>
      <c r="Y47" s="24" t="n">
        <v>0.000326462120991355</v>
      </c>
      <c r="Z47" s="24" t="n">
        <v>0.00032646211999294</v>
      </c>
      <c r="AA47" s="24" t="n">
        <v>0.00219451085286482</v>
      </c>
      <c r="AB47" s="24"/>
      <c r="AC47" s="24"/>
      <c r="AD47" s="24"/>
      <c r="AE47" s="24"/>
      <c r="AF47" s="24"/>
      <c r="AG47" s="24"/>
      <c r="AH47" s="24" t="s">
        <v>748</v>
      </c>
      <c r="AI47" s="24"/>
      <c r="AJ47" s="24" t="s">
        <v>802</v>
      </c>
    </row>
    <row r="48" customFormat="false" ht="15" hidden="false" customHeight="false" outlineLevel="0" collapsed="false">
      <c r="A48" s="24" t="s">
        <v>277</v>
      </c>
      <c r="B48" s="24" t="s">
        <v>278</v>
      </c>
      <c r="C48" s="24" t="s">
        <v>339</v>
      </c>
      <c r="D48" s="24" t="s">
        <v>340</v>
      </c>
      <c r="E48" s="24" t="s">
        <v>746</v>
      </c>
      <c r="F48" s="24" t="s">
        <v>747</v>
      </c>
      <c r="G48" s="24" t="n">
        <v>0.6</v>
      </c>
      <c r="H48" s="24" t="n">
        <v>680</v>
      </c>
      <c r="I48" s="24" t="n">
        <v>21</v>
      </c>
      <c r="J48" s="24" t="n">
        <v>21</v>
      </c>
      <c r="K48" s="24" t="n">
        <v>-0.0353875668053365</v>
      </c>
      <c r="L48" s="24" t="n">
        <v>0.00801377466887705</v>
      </c>
      <c r="M48" s="24" t="n">
        <v>-4.41584250462776</v>
      </c>
      <c r="N48" s="24" t="n">
        <v>16.8997893185356</v>
      </c>
      <c r="O48" s="24" t="n">
        <v>0.00038308908497325</v>
      </c>
      <c r="P48" s="24" t="n">
        <v>-0.0523027938575524</v>
      </c>
      <c r="Q48" s="24" t="n">
        <v>-0.0184723397531207</v>
      </c>
      <c r="R48" s="24"/>
      <c r="S48" s="24"/>
      <c r="T48" s="24" t="n">
        <v>-0.0353728024882259</v>
      </c>
      <c r="U48" s="24" t="n">
        <v>-0.0522551531221811</v>
      </c>
      <c r="V48" s="24" t="n">
        <v>-0.0184702389507664</v>
      </c>
      <c r="W48" s="24"/>
      <c r="X48" s="24"/>
      <c r="Y48" s="24" t="n">
        <v>0.000396604701248172</v>
      </c>
      <c r="Z48" s="24" t="n">
        <v>0.000396604725088199</v>
      </c>
      <c r="AA48" s="24" t="n">
        <v>0.00256648232494157</v>
      </c>
      <c r="AB48" s="24"/>
      <c r="AC48" s="24"/>
      <c r="AD48" s="24"/>
      <c r="AE48" s="24"/>
      <c r="AF48" s="24"/>
      <c r="AG48" s="24"/>
      <c r="AH48" s="24" t="s">
        <v>748</v>
      </c>
      <c r="AI48" s="24"/>
      <c r="AJ48" s="24" t="s">
        <v>803</v>
      </c>
    </row>
    <row r="49" customFormat="false" ht="15" hidden="false" customHeight="false" outlineLevel="0" collapsed="false">
      <c r="A49" s="24" t="s">
        <v>277</v>
      </c>
      <c r="B49" s="24" t="s">
        <v>278</v>
      </c>
      <c r="C49" s="24" t="s">
        <v>342</v>
      </c>
      <c r="D49" s="24" t="s">
        <v>343</v>
      </c>
      <c r="E49" s="24" t="s">
        <v>746</v>
      </c>
      <c r="F49" s="24" t="s">
        <v>747</v>
      </c>
      <c r="G49" s="24" t="n">
        <v>0.6</v>
      </c>
      <c r="H49" s="24" t="n">
        <v>696</v>
      </c>
      <c r="I49" s="24" t="n">
        <v>22</v>
      </c>
      <c r="J49" s="24" t="n">
        <v>22</v>
      </c>
      <c r="K49" s="24" t="n">
        <v>-0.032301845147585</v>
      </c>
      <c r="L49" s="24" t="n">
        <v>0.00824094459658414</v>
      </c>
      <c r="M49" s="24" t="n">
        <v>-3.91967750407812</v>
      </c>
      <c r="N49" s="24" t="n">
        <v>18.1635703133508</v>
      </c>
      <c r="O49" s="24" t="n">
        <v>0.000989718060709669</v>
      </c>
      <c r="P49" s="24" t="n">
        <v>-0.0496042580763511</v>
      </c>
      <c r="Q49" s="24" t="n">
        <v>-0.0149994322188189</v>
      </c>
      <c r="R49" s="24"/>
      <c r="S49" s="24"/>
      <c r="T49" s="24" t="n">
        <v>-0.0322906151537526</v>
      </c>
      <c r="U49" s="24" t="n">
        <v>-0.0495636129583657</v>
      </c>
      <c r="V49" s="24" t="n">
        <v>-0.0149983074477864</v>
      </c>
      <c r="W49" s="24"/>
      <c r="X49" s="24"/>
      <c r="Y49" s="24" t="n">
        <v>0.000460808369723341</v>
      </c>
      <c r="Z49" s="24" t="n">
        <v>0.000460808349599522</v>
      </c>
      <c r="AA49" s="24" t="n">
        <v>0.0026808464137709</v>
      </c>
      <c r="AB49" s="24"/>
      <c r="AC49" s="24"/>
      <c r="AD49" s="24"/>
      <c r="AE49" s="24"/>
      <c r="AF49" s="24"/>
      <c r="AG49" s="24"/>
      <c r="AH49" s="24" t="s">
        <v>748</v>
      </c>
      <c r="AI49" s="24"/>
      <c r="AJ49" s="24" t="s">
        <v>804</v>
      </c>
    </row>
    <row r="50" customFormat="false" ht="15" hidden="false" customHeight="false" outlineLevel="0" collapsed="false">
      <c r="A50" s="24" t="s">
        <v>277</v>
      </c>
      <c r="B50" s="24" t="s">
        <v>278</v>
      </c>
      <c r="C50" s="24" t="s">
        <v>345</v>
      </c>
      <c r="D50" s="24" t="s">
        <v>346</v>
      </c>
      <c r="E50" s="24" t="s">
        <v>746</v>
      </c>
      <c r="F50" s="24" t="s">
        <v>747</v>
      </c>
      <c r="G50" s="24" t="n">
        <v>0.6</v>
      </c>
      <c r="H50" s="24" t="n">
        <v>709</v>
      </c>
      <c r="I50" s="24" t="n">
        <v>23</v>
      </c>
      <c r="J50" s="24" t="n">
        <v>23</v>
      </c>
      <c r="K50" s="24" t="n">
        <v>-0.0308042764373465</v>
      </c>
      <c r="L50" s="24" t="n">
        <v>0.00789636947499358</v>
      </c>
      <c r="M50" s="24" t="n">
        <v>-3.9010682738312</v>
      </c>
      <c r="N50" s="24" t="n">
        <v>19.0976276598769</v>
      </c>
      <c r="O50" s="24" t="n">
        <v>0.000952738173820049</v>
      </c>
      <c r="P50" s="24" t="n">
        <v>-0.047325851164811</v>
      </c>
      <c r="Q50" s="24" t="n">
        <v>-0.0142827017098821</v>
      </c>
      <c r="R50" s="24"/>
      <c r="S50" s="24"/>
      <c r="T50" s="24" t="n">
        <v>-0.0307945367061262</v>
      </c>
      <c r="U50" s="24" t="n">
        <v>-0.047290550316474</v>
      </c>
      <c r="V50" s="24" t="n">
        <v>-0.0142817305865074</v>
      </c>
      <c r="W50" s="24"/>
      <c r="X50" s="24"/>
      <c r="Y50" s="24" t="n">
        <v>0.00044330124721607</v>
      </c>
      <c r="Z50" s="24" t="n">
        <v>0.000443301250349771</v>
      </c>
      <c r="AA50" s="24" t="n">
        <v>0.00262074937787731</v>
      </c>
      <c r="AB50" s="24"/>
      <c r="AC50" s="24"/>
      <c r="AD50" s="24"/>
      <c r="AE50" s="24"/>
      <c r="AF50" s="24"/>
      <c r="AG50" s="24"/>
      <c r="AH50" s="24" t="s">
        <v>748</v>
      </c>
      <c r="AI50" s="24"/>
      <c r="AJ50" s="24" t="s">
        <v>805</v>
      </c>
    </row>
    <row r="51" customFormat="false" ht="15" hidden="false" customHeight="false" outlineLevel="0" collapsed="false">
      <c r="A51" s="24" t="s">
        <v>277</v>
      </c>
      <c r="B51" s="24" t="s">
        <v>278</v>
      </c>
      <c r="C51" s="24" t="s">
        <v>348</v>
      </c>
      <c r="D51" s="24" t="s">
        <v>349</v>
      </c>
      <c r="E51" s="24" t="s">
        <v>746</v>
      </c>
      <c r="F51" s="24" t="s">
        <v>747</v>
      </c>
      <c r="G51" s="24" t="n">
        <v>0.6</v>
      </c>
      <c r="H51" s="24" t="n">
        <v>710</v>
      </c>
      <c r="I51" s="24" t="n">
        <v>24</v>
      </c>
      <c r="J51" s="24" t="n">
        <v>24</v>
      </c>
      <c r="K51" s="24" t="n">
        <v>-0.0327509323620079</v>
      </c>
      <c r="L51" s="24" t="n">
        <v>0.00803953205358455</v>
      </c>
      <c r="M51" s="24" t="n">
        <v>-4.07373615077576</v>
      </c>
      <c r="N51" s="24" t="n">
        <v>19.7503966995263</v>
      </c>
      <c r="O51" s="24" t="n">
        <v>0.000605096314591342</v>
      </c>
      <c r="P51" s="24" t="n">
        <v>-0.0495346996022057</v>
      </c>
      <c r="Q51" s="24" t="n">
        <v>-0.0159671651218101</v>
      </c>
      <c r="R51" s="24"/>
      <c r="S51" s="24"/>
      <c r="T51" s="24" t="n">
        <v>-0.0327392275765771</v>
      </c>
      <c r="U51" s="24" t="n">
        <v>-0.0494942251191028</v>
      </c>
      <c r="V51" s="24" t="n">
        <v>-0.0159658083153344</v>
      </c>
      <c r="W51" s="24"/>
      <c r="X51" s="24"/>
      <c r="Y51" s="24" t="n">
        <v>0.000476247560269024</v>
      </c>
      <c r="Z51" s="24" t="n">
        <v>0.000476247578867855</v>
      </c>
      <c r="AA51" s="24" t="n">
        <v>0.00262895733642823</v>
      </c>
      <c r="AB51" s="24"/>
      <c r="AC51" s="24"/>
      <c r="AD51" s="24"/>
      <c r="AE51" s="24"/>
      <c r="AF51" s="24"/>
      <c r="AG51" s="24"/>
      <c r="AH51" s="24" t="s">
        <v>748</v>
      </c>
      <c r="AI51" s="24"/>
      <c r="AJ51" s="24" t="s">
        <v>806</v>
      </c>
    </row>
    <row r="52" customFormat="false" ht="15" hidden="false" customHeight="false" outlineLevel="0" collapsed="false">
      <c r="A52" s="24" t="s">
        <v>277</v>
      </c>
      <c r="B52" s="24" t="s">
        <v>278</v>
      </c>
      <c r="C52" s="24" t="s">
        <v>351</v>
      </c>
      <c r="D52" s="24" t="s">
        <v>352</v>
      </c>
      <c r="E52" s="24" t="s">
        <v>746</v>
      </c>
      <c r="F52" s="24" t="s">
        <v>747</v>
      </c>
      <c r="G52" s="24" t="n">
        <v>0.6</v>
      </c>
      <c r="H52" s="24" t="n">
        <v>746</v>
      </c>
      <c r="I52" s="24" t="n">
        <v>25</v>
      </c>
      <c r="J52" s="24" t="n">
        <v>25</v>
      </c>
      <c r="K52" s="24" t="n">
        <v>-0.0322553776481369</v>
      </c>
      <c r="L52" s="24" t="n">
        <v>0.00757340965069823</v>
      </c>
      <c r="M52" s="24" t="n">
        <v>-4.2590298340937</v>
      </c>
      <c r="N52" s="24" t="n">
        <v>20.5046031231398</v>
      </c>
      <c r="O52" s="24" t="n">
        <v>0.000365985686124034</v>
      </c>
      <c r="P52" s="24" t="n">
        <v>-0.0480283471400437</v>
      </c>
      <c r="Q52" s="24" t="n">
        <v>-0.0164824081562302</v>
      </c>
      <c r="R52" s="24"/>
      <c r="S52" s="24"/>
      <c r="T52" s="24" t="n">
        <v>-0.0322441960355979</v>
      </c>
      <c r="U52" s="24" t="n">
        <v>-0.0479914518321699</v>
      </c>
      <c r="V52" s="24" t="n">
        <v>-0.0164809157276841</v>
      </c>
      <c r="W52" s="24"/>
      <c r="X52" s="24"/>
      <c r="Y52" s="24" t="n">
        <v>0.000431534601465889</v>
      </c>
      <c r="Z52" s="24" t="n">
        <v>0.000431534639609597</v>
      </c>
      <c r="AA52" s="24" t="n">
        <v>0.00264984444414171</v>
      </c>
      <c r="AB52" s="24"/>
      <c r="AC52" s="24"/>
      <c r="AD52" s="24"/>
      <c r="AE52" s="24"/>
      <c r="AF52" s="24"/>
      <c r="AG52" s="24"/>
      <c r="AH52" s="24" t="s">
        <v>748</v>
      </c>
      <c r="AI52" s="24"/>
      <c r="AJ52" s="24" t="s">
        <v>807</v>
      </c>
    </row>
    <row r="53" customFormat="false" ht="15" hidden="false" customHeight="false" outlineLevel="0" collapsed="false">
      <c r="A53" s="24" t="s">
        <v>277</v>
      </c>
      <c r="B53" s="24" t="s">
        <v>278</v>
      </c>
      <c r="C53" s="24" t="s">
        <v>354</v>
      </c>
      <c r="D53" s="24" t="s">
        <v>355</v>
      </c>
      <c r="E53" s="24" t="s">
        <v>746</v>
      </c>
      <c r="F53" s="24" t="s">
        <v>747</v>
      </c>
      <c r="G53" s="24" t="n">
        <v>0.6</v>
      </c>
      <c r="H53" s="24" t="n">
        <v>748</v>
      </c>
      <c r="I53" s="24" t="n">
        <v>26</v>
      </c>
      <c r="J53" s="24" t="n">
        <v>26</v>
      </c>
      <c r="K53" s="24" t="n">
        <v>-0.0324289655603452</v>
      </c>
      <c r="L53" s="24" t="n">
        <v>0.0073918391343762</v>
      </c>
      <c r="M53" s="24" t="n">
        <v>-4.38713085753345</v>
      </c>
      <c r="N53" s="24" t="n">
        <v>21.1949071668246</v>
      </c>
      <c r="O53" s="24" t="n">
        <v>0.000252667974457659</v>
      </c>
      <c r="P53" s="24" t="n">
        <v>-0.0477925336269227</v>
      </c>
      <c r="Q53" s="24" t="n">
        <v>-0.0170653974937676</v>
      </c>
      <c r="R53" s="24"/>
      <c r="S53" s="24"/>
      <c r="T53" s="24" t="n">
        <v>-0.0324176024981731</v>
      </c>
      <c r="U53" s="24" t="n">
        <v>-0.0477561787816543</v>
      </c>
      <c r="V53" s="24" t="n">
        <v>-0.0170637410473869</v>
      </c>
      <c r="W53" s="24"/>
      <c r="X53" s="24"/>
      <c r="Y53" s="24" t="n">
        <v>0.000416055542085618</v>
      </c>
      <c r="Z53" s="24" t="n">
        <v>0.000416055505014198</v>
      </c>
      <c r="AA53" s="24" t="n">
        <v>0.00264185864888309</v>
      </c>
      <c r="AB53" s="24"/>
      <c r="AC53" s="24"/>
      <c r="AD53" s="24"/>
      <c r="AE53" s="24"/>
      <c r="AF53" s="24"/>
      <c r="AG53" s="24"/>
      <c r="AH53" s="24" t="s">
        <v>748</v>
      </c>
      <c r="AI53" s="24"/>
      <c r="AJ53" s="24" t="s">
        <v>808</v>
      </c>
    </row>
    <row r="54" customFormat="false" ht="15" hidden="false" customHeight="false" outlineLevel="0" collapsed="false">
      <c r="A54" s="24" t="s">
        <v>277</v>
      </c>
      <c r="B54" s="24" t="s">
        <v>278</v>
      </c>
      <c r="C54" s="24" t="s">
        <v>357</v>
      </c>
      <c r="D54" s="24" t="s">
        <v>358</v>
      </c>
      <c r="E54" s="24" t="s">
        <v>746</v>
      </c>
      <c r="F54" s="24" t="s">
        <v>747</v>
      </c>
      <c r="G54" s="24" t="n">
        <v>0.6</v>
      </c>
      <c r="H54" s="24" t="n">
        <v>753</v>
      </c>
      <c r="I54" s="24" t="n">
        <v>27</v>
      </c>
      <c r="J54" s="24" t="n">
        <v>27</v>
      </c>
      <c r="K54" s="24" t="n">
        <v>-0.0312240256879862</v>
      </c>
      <c r="L54" s="24" t="n">
        <v>0.00719659782383989</v>
      </c>
      <c r="M54" s="24" t="n">
        <v>-4.33872038597899</v>
      </c>
      <c r="N54" s="24" t="n">
        <v>22.0397712269406</v>
      </c>
      <c r="O54" s="24" t="n">
        <v>0.000262844562996962</v>
      </c>
      <c r="P54" s="24" t="n">
        <v>-0.0461472947416826</v>
      </c>
      <c r="Q54" s="24" t="n">
        <v>-0.0163007566342897</v>
      </c>
      <c r="R54" s="24"/>
      <c r="S54" s="24"/>
      <c r="T54" s="24" t="n">
        <v>-0.0312138824620016</v>
      </c>
      <c r="U54" s="24" t="n">
        <v>-0.0461145646138</v>
      </c>
      <c r="V54" s="24" t="n">
        <v>-0.0162993130043542</v>
      </c>
      <c r="W54" s="24"/>
      <c r="X54" s="24"/>
      <c r="Y54" s="24" t="n">
        <v>0.000402417146516126</v>
      </c>
      <c r="Z54" s="24" t="n">
        <v>0.00040241713727156</v>
      </c>
      <c r="AA54" s="24" t="n">
        <v>0.00266449739648933</v>
      </c>
      <c r="AB54" s="24"/>
      <c r="AC54" s="24"/>
      <c r="AD54" s="24"/>
      <c r="AE54" s="24"/>
      <c r="AF54" s="24"/>
      <c r="AG54" s="24"/>
      <c r="AH54" s="24" t="s">
        <v>748</v>
      </c>
      <c r="AI54" s="24"/>
      <c r="AJ54" s="24" t="s">
        <v>809</v>
      </c>
    </row>
    <row r="55" customFormat="false" ht="15" hidden="false" customHeight="false" outlineLevel="0" collapsed="false">
      <c r="A55" s="24" t="s">
        <v>277</v>
      </c>
      <c r="B55" s="24" t="s">
        <v>278</v>
      </c>
      <c r="C55" s="24" t="s">
        <v>360</v>
      </c>
      <c r="D55" s="24" t="s">
        <v>361</v>
      </c>
      <c r="E55" s="24" t="s">
        <v>746</v>
      </c>
      <c r="F55" s="24" t="s">
        <v>747</v>
      </c>
      <c r="G55" s="24" t="n">
        <v>0.6</v>
      </c>
      <c r="H55" s="24" t="n">
        <v>824</v>
      </c>
      <c r="I55" s="24" t="n">
        <v>28</v>
      </c>
      <c r="J55" s="24" t="n">
        <v>28</v>
      </c>
      <c r="K55" s="24" t="n">
        <v>-0.0364095863268162</v>
      </c>
      <c r="L55" s="24" t="n">
        <v>0.00774744993768537</v>
      </c>
      <c r="M55" s="24" t="n">
        <v>-4.69955748274173</v>
      </c>
      <c r="N55" s="24" t="n">
        <v>20.9567010603042</v>
      </c>
      <c r="O55" s="24" t="n">
        <v>0.00012280418174711</v>
      </c>
      <c r="P55" s="24" t="n">
        <v>-0.0525233176576224</v>
      </c>
      <c r="Q55" s="24" t="n">
        <v>-0.02029585499601</v>
      </c>
      <c r="R55" s="24"/>
      <c r="S55" s="24"/>
      <c r="T55" s="24" t="n">
        <v>-0.0363935059674068</v>
      </c>
      <c r="U55" s="24" t="n">
        <v>-0.0524750722219322</v>
      </c>
      <c r="V55" s="24" t="n">
        <v>-0.0202930686872049</v>
      </c>
      <c r="W55" s="24"/>
      <c r="X55" s="24"/>
      <c r="Y55" s="24" t="n">
        <v>0.000370215255303861</v>
      </c>
      <c r="Z55" s="24" t="n">
        <v>0.00037021527297696</v>
      </c>
      <c r="AA55" s="24" t="n">
        <v>0.00671873964926934</v>
      </c>
      <c r="AB55" s="24"/>
      <c r="AC55" s="24"/>
      <c r="AD55" s="24"/>
      <c r="AE55" s="24"/>
      <c r="AF55" s="24"/>
      <c r="AG55" s="24"/>
      <c r="AH55" s="24" t="s">
        <v>748</v>
      </c>
      <c r="AI55" s="24"/>
      <c r="AJ55" s="24" t="s">
        <v>810</v>
      </c>
    </row>
    <row r="56" customFormat="false" ht="15" hidden="false" customHeight="false" outlineLevel="0" collapsed="false">
      <c r="A56" s="24" t="s">
        <v>277</v>
      </c>
      <c r="B56" s="24" t="s">
        <v>278</v>
      </c>
      <c r="C56" s="24" t="s">
        <v>363</v>
      </c>
      <c r="D56" s="24" t="s">
        <v>364</v>
      </c>
      <c r="E56" s="24" t="s">
        <v>746</v>
      </c>
      <c r="F56" s="24" t="s">
        <v>747</v>
      </c>
      <c r="G56" s="24" t="n">
        <v>0.6</v>
      </c>
      <c r="H56" s="24" t="n">
        <v>829</v>
      </c>
      <c r="I56" s="24" t="n">
        <v>29</v>
      </c>
      <c r="J56" s="24" t="n">
        <v>29</v>
      </c>
      <c r="K56" s="24" t="n">
        <v>-0.0436517878444975</v>
      </c>
      <c r="L56" s="24" t="n">
        <v>0.00937170632029642</v>
      </c>
      <c r="M56" s="24" t="n">
        <v>-4.65782711841495</v>
      </c>
      <c r="N56" s="24" t="n">
        <v>23.7837641003094</v>
      </c>
      <c r="O56" s="24" t="n">
        <v>0.000101178525210119</v>
      </c>
      <c r="P56" s="24" t="n">
        <v>-0.063003349334591</v>
      </c>
      <c r="Q56" s="24" t="n">
        <v>-0.024300226354404</v>
      </c>
      <c r="R56" s="24"/>
      <c r="S56" s="24"/>
      <c r="T56" s="24" t="n">
        <v>-0.043624083111681</v>
      </c>
      <c r="U56" s="24" t="n">
        <v>-0.0629201191881085</v>
      </c>
      <c r="V56" s="24" t="n">
        <v>-0.0242954443812435</v>
      </c>
      <c r="W56" s="24"/>
      <c r="X56" s="24"/>
      <c r="Y56" s="24" t="n">
        <v>0.000711691976197543</v>
      </c>
      <c r="Z56" s="24" t="n">
        <v>0.000711691953638106</v>
      </c>
      <c r="AA56" s="24" t="n">
        <v>0.00700791349551564</v>
      </c>
      <c r="AB56" s="24"/>
      <c r="AC56" s="24"/>
      <c r="AD56" s="24"/>
      <c r="AE56" s="24"/>
      <c r="AF56" s="24"/>
      <c r="AG56" s="24"/>
      <c r="AH56" s="24" t="s">
        <v>748</v>
      </c>
      <c r="AI56" s="24"/>
      <c r="AJ56" s="24" t="s">
        <v>811</v>
      </c>
    </row>
    <row r="57" customFormat="false" ht="15" hidden="false" customHeight="false" outlineLevel="0" collapsed="false">
      <c r="A57" s="24" t="s">
        <v>277</v>
      </c>
      <c r="B57" s="24" t="s">
        <v>278</v>
      </c>
      <c r="C57" s="24" t="s">
        <v>366</v>
      </c>
      <c r="D57" s="24" t="s">
        <v>367</v>
      </c>
      <c r="E57" s="24" t="s">
        <v>746</v>
      </c>
      <c r="F57" s="24" t="s">
        <v>747</v>
      </c>
      <c r="G57" s="24" t="n">
        <v>0.6</v>
      </c>
      <c r="H57" s="24" t="n">
        <v>846</v>
      </c>
      <c r="I57" s="24" t="n">
        <v>30</v>
      </c>
      <c r="J57" s="24" t="n">
        <v>30</v>
      </c>
      <c r="K57" s="24" t="n">
        <v>-0.0448350463347669</v>
      </c>
      <c r="L57" s="24" t="n">
        <v>0.00925418849012119</v>
      </c>
      <c r="M57" s="24" t="n">
        <v>-4.84483824623068</v>
      </c>
      <c r="N57" s="24" t="n">
        <v>24.6686949757751</v>
      </c>
      <c r="O57" s="24" t="n">
        <v>5.7562115603475E-005</v>
      </c>
      <c r="P57" s="24" t="n">
        <v>-0.0639073918636227</v>
      </c>
      <c r="Q57" s="24" t="n">
        <v>-0.0257627008059111</v>
      </c>
      <c r="R57" s="24"/>
      <c r="S57" s="24"/>
      <c r="T57" s="24" t="n">
        <v>-0.0448050282794614</v>
      </c>
      <c r="U57" s="24" t="n">
        <v>-0.0638205312027921</v>
      </c>
      <c r="V57" s="24" t="n">
        <v>-0.0257570026066616</v>
      </c>
      <c r="W57" s="24"/>
      <c r="X57" s="24"/>
      <c r="Y57" s="24" t="n">
        <v>0.000712946914973575</v>
      </c>
      <c r="Z57" s="24" t="n">
        <v>0.000712946987424056</v>
      </c>
      <c r="AA57" s="24" t="n">
        <v>0.00694171825022428</v>
      </c>
      <c r="AB57" s="24"/>
      <c r="AC57" s="24"/>
      <c r="AD57" s="24"/>
      <c r="AE57" s="24"/>
      <c r="AF57" s="24"/>
      <c r="AG57" s="24"/>
      <c r="AH57" s="24" t="s">
        <v>748</v>
      </c>
      <c r="AI57" s="24"/>
      <c r="AJ57" s="24" t="s">
        <v>812</v>
      </c>
    </row>
    <row r="58" customFormat="false" ht="15" hidden="false" customHeight="false" outlineLevel="0" collapsed="false">
      <c r="A58" s="24" t="s">
        <v>277</v>
      </c>
      <c r="B58" s="24" t="s">
        <v>278</v>
      </c>
      <c r="C58" s="24" t="s">
        <v>369</v>
      </c>
      <c r="D58" s="24" t="s">
        <v>370</v>
      </c>
      <c r="E58" s="24" t="s">
        <v>746</v>
      </c>
      <c r="F58" s="24" t="s">
        <v>747</v>
      </c>
      <c r="G58" s="24" t="n">
        <v>0.6</v>
      </c>
      <c r="H58" s="24" t="n">
        <v>908</v>
      </c>
      <c r="I58" s="24" t="n">
        <v>31</v>
      </c>
      <c r="J58" s="24" t="n">
        <v>31</v>
      </c>
      <c r="K58" s="24" t="n">
        <v>-0.043203175034758</v>
      </c>
      <c r="L58" s="24" t="n">
        <v>0.00888531732225117</v>
      </c>
      <c r="M58" s="24" t="n">
        <v>-4.86231087398149</v>
      </c>
      <c r="N58" s="24" t="n">
        <v>25.6808230757477</v>
      </c>
      <c r="O58" s="24" t="n">
        <v>4.98188693136468E-005</v>
      </c>
      <c r="P58" s="24" t="n">
        <v>-0.0614782606064504</v>
      </c>
      <c r="Q58" s="24" t="n">
        <v>-0.0249280894630656</v>
      </c>
      <c r="R58" s="24"/>
      <c r="S58" s="24"/>
      <c r="T58" s="24" t="n">
        <v>-0.0431763153063946</v>
      </c>
      <c r="U58" s="24" t="n">
        <v>-0.0614009235945681</v>
      </c>
      <c r="V58" s="24" t="n">
        <v>-0.0249229272278049</v>
      </c>
      <c r="W58" s="24"/>
      <c r="X58" s="24"/>
      <c r="Y58" s="24" t="n">
        <v>0.000700623676177922</v>
      </c>
      <c r="Z58" s="24" t="n">
        <v>0.000700623472488403</v>
      </c>
      <c r="AA58" s="24" t="n">
        <v>0.00637525077329543</v>
      </c>
      <c r="AB58" s="24"/>
      <c r="AC58" s="24"/>
      <c r="AD58" s="24"/>
      <c r="AE58" s="24"/>
      <c r="AF58" s="24"/>
      <c r="AG58" s="24"/>
      <c r="AH58" s="24" t="s">
        <v>748</v>
      </c>
      <c r="AI58" s="24"/>
      <c r="AJ58" s="24" t="s">
        <v>813</v>
      </c>
    </row>
    <row r="59" customFormat="false" ht="15" hidden="false" customHeight="false" outlineLevel="0" collapsed="false">
      <c r="A59" s="24" t="s">
        <v>277</v>
      </c>
      <c r="B59" s="24" t="s">
        <v>278</v>
      </c>
      <c r="C59" s="24" t="s">
        <v>372</v>
      </c>
      <c r="D59" s="24" t="s">
        <v>373</v>
      </c>
      <c r="E59" s="24" t="s">
        <v>746</v>
      </c>
      <c r="F59" s="24" t="s">
        <v>747</v>
      </c>
      <c r="G59" s="24" t="n">
        <v>0.6</v>
      </c>
      <c r="H59" s="24" t="n">
        <v>941</v>
      </c>
      <c r="I59" s="24" t="n">
        <v>32</v>
      </c>
      <c r="J59" s="24" t="n">
        <v>32</v>
      </c>
      <c r="K59" s="24" t="n">
        <v>-0.0448793275095768</v>
      </c>
      <c r="L59" s="24" t="n">
        <v>0.00873420220995966</v>
      </c>
      <c r="M59" s="24" t="n">
        <v>-5.1383430828291</v>
      </c>
      <c r="N59" s="24" t="n">
        <v>26.7727864373598</v>
      </c>
      <c r="O59" s="24" t="n">
        <v>2.15021613031928E-005</v>
      </c>
      <c r="P59" s="24" t="n">
        <v>-0.0628075493519119</v>
      </c>
      <c r="Q59" s="24" t="n">
        <v>-0.0269511056672417</v>
      </c>
      <c r="R59" s="24"/>
      <c r="S59" s="24"/>
      <c r="T59" s="24" t="n">
        <v>-0.0448492204725239</v>
      </c>
      <c r="U59" s="24" t="n">
        <v>-0.0627250919658908</v>
      </c>
      <c r="V59" s="24" t="n">
        <v>-0.0269445821420716</v>
      </c>
      <c r="W59" s="24"/>
      <c r="X59" s="24"/>
      <c r="Y59" s="24" t="n">
        <v>0.00071389051039386</v>
      </c>
      <c r="Z59" s="24" t="n">
        <v>0.000713890515067638</v>
      </c>
      <c r="AA59" s="24" t="n">
        <v>0.00621393891755909</v>
      </c>
      <c r="AB59" s="24"/>
      <c r="AC59" s="24"/>
      <c r="AD59" s="24"/>
      <c r="AE59" s="24"/>
      <c r="AF59" s="24"/>
      <c r="AG59" s="24"/>
      <c r="AH59" s="24" t="s">
        <v>748</v>
      </c>
      <c r="AI59" s="24"/>
      <c r="AJ59" s="24" t="s">
        <v>814</v>
      </c>
    </row>
    <row r="60" customFormat="false" ht="15" hidden="false" customHeight="false" outlineLevel="0" collapsed="false">
      <c r="A60" s="24" t="s">
        <v>277</v>
      </c>
      <c r="B60" s="24" t="s">
        <v>278</v>
      </c>
      <c r="C60" s="24" t="s">
        <v>375</v>
      </c>
      <c r="D60" s="24" t="s">
        <v>376</v>
      </c>
      <c r="E60" s="24" t="s">
        <v>746</v>
      </c>
      <c r="F60" s="24" t="s">
        <v>747</v>
      </c>
      <c r="G60" s="24" t="n">
        <v>0.6</v>
      </c>
      <c r="H60" s="24" t="n">
        <v>943</v>
      </c>
      <c r="I60" s="24" t="n">
        <v>33</v>
      </c>
      <c r="J60" s="24" t="n">
        <v>33</v>
      </c>
      <c r="K60" s="24" t="n">
        <v>-0.0448026991968647</v>
      </c>
      <c r="L60" s="24" t="n">
        <v>0.00857900257390451</v>
      </c>
      <c r="M60" s="24" t="n">
        <v>-5.22236691397493</v>
      </c>
      <c r="N60" s="24" t="n">
        <v>27.3660614615112</v>
      </c>
      <c r="O60" s="24" t="n">
        <v>1.61263868350821E-005</v>
      </c>
      <c r="P60" s="24" t="n">
        <v>-0.0623943475693236</v>
      </c>
      <c r="Q60" s="24" t="n">
        <v>-0.0272110508244057</v>
      </c>
      <c r="R60" s="24"/>
      <c r="S60" s="24"/>
      <c r="T60" s="24" t="n">
        <v>-0.0447727460313573</v>
      </c>
      <c r="U60" s="24" t="n">
        <v>-0.0623135052556219</v>
      </c>
      <c r="V60" s="24" t="n">
        <v>-0.0272043367511188</v>
      </c>
      <c r="W60" s="24"/>
      <c r="X60" s="24"/>
      <c r="Y60" s="24" t="n">
        <v>0.000692703533091198</v>
      </c>
      <c r="Z60" s="24" t="n">
        <v>0.000692703819509163</v>
      </c>
      <c r="AA60" s="24" t="n">
        <v>0.00620090495300304</v>
      </c>
      <c r="AB60" s="24"/>
      <c r="AC60" s="24"/>
      <c r="AD60" s="24"/>
      <c r="AE60" s="24"/>
      <c r="AF60" s="24"/>
      <c r="AG60" s="24"/>
      <c r="AH60" s="24" t="s">
        <v>748</v>
      </c>
      <c r="AI60" s="24"/>
      <c r="AJ60" s="24" t="s">
        <v>815</v>
      </c>
    </row>
    <row r="61" customFormat="false" ht="15" hidden="false" customHeight="false" outlineLevel="0" collapsed="false">
      <c r="A61" s="24" t="s">
        <v>277</v>
      </c>
      <c r="B61" s="24" t="s">
        <v>278</v>
      </c>
      <c r="C61" s="24" t="s">
        <v>378</v>
      </c>
      <c r="D61" s="24" t="s">
        <v>379</v>
      </c>
      <c r="E61" s="24" t="s">
        <v>746</v>
      </c>
      <c r="F61" s="24" t="s">
        <v>747</v>
      </c>
      <c r="G61" s="24" t="n">
        <v>0.6</v>
      </c>
      <c r="H61" s="24" t="n">
        <v>975</v>
      </c>
      <c r="I61" s="24" t="n">
        <v>34</v>
      </c>
      <c r="J61" s="24" t="n">
        <v>34</v>
      </c>
      <c r="K61" s="24" t="n">
        <v>-0.0435755501698844</v>
      </c>
      <c r="L61" s="24" t="n">
        <v>0.00818212970308827</v>
      </c>
      <c r="M61" s="24" t="n">
        <v>-5.32569780132393</v>
      </c>
      <c r="N61" s="24" t="n">
        <v>28.0446319512788</v>
      </c>
      <c r="O61" s="24" t="n">
        <v>1.13367960797676E-005</v>
      </c>
      <c r="P61" s="24" t="n">
        <v>-0.0603346814897817</v>
      </c>
      <c r="Q61" s="24" t="n">
        <v>-0.0268164188499871</v>
      </c>
      <c r="R61" s="24"/>
      <c r="S61" s="24"/>
      <c r="T61" s="24" t="n">
        <v>-0.0435479902690628</v>
      </c>
      <c r="U61" s="24" t="n">
        <v>-0.0602615763504645</v>
      </c>
      <c r="V61" s="24" t="n">
        <v>-0.0268099926212391</v>
      </c>
      <c r="W61" s="24"/>
      <c r="X61" s="24"/>
      <c r="Y61" s="24" t="n">
        <v>0.000644549558007163</v>
      </c>
      <c r="Z61" s="24" t="n">
        <v>0.000644549522070902</v>
      </c>
      <c r="AA61" s="24" t="n">
        <v>0.00614921139286517</v>
      </c>
      <c r="AB61" s="24"/>
      <c r="AC61" s="24"/>
      <c r="AD61" s="24"/>
      <c r="AE61" s="24"/>
      <c r="AF61" s="24"/>
      <c r="AG61" s="24"/>
      <c r="AH61" s="24" t="s">
        <v>748</v>
      </c>
      <c r="AI61" s="24"/>
      <c r="AJ61" s="24" t="s">
        <v>816</v>
      </c>
    </row>
    <row r="62" customFormat="false" ht="15" hidden="false" customHeight="false" outlineLevel="0" collapsed="false">
      <c r="A62" s="24" t="s">
        <v>277</v>
      </c>
      <c r="B62" s="24" t="s">
        <v>278</v>
      </c>
      <c r="C62" s="24" t="s">
        <v>381</v>
      </c>
      <c r="D62" s="24" t="s">
        <v>382</v>
      </c>
      <c r="E62" s="24" t="s">
        <v>746</v>
      </c>
      <c r="F62" s="24" t="s">
        <v>747</v>
      </c>
      <c r="G62" s="24" t="n">
        <v>0.6</v>
      </c>
      <c r="H62" s="24" t="n">
        <v>985</v>
      </c>
      <c r="I62" s="24" t="n">
        <v>35</v>
      </c>
      <c r="J62" s="24" t="n">
        <v>35</v>
      </c>
      <c r="K62" s="24" t="n">
        <v>-0.0435577882637981</v>
      </c>
      <c r="L62" s="24" t="n">
        <v>0.00797504234111399</v>
      </c>
      <c r="M62" s="24" t="n">
        <v>-5.46176263406693</v>
      </c>
      <c r="N62" s="24" t="n">
        <v>28.8073650960819</v>
      </c>
      <c r="O62" s="24" t="n">
        <v>7.18374936700453E-006</v>
      </c>
      <c r="P62" s="24" t="n">
        <v>-0.059873320237778</v>
      </c>
      <c r="Q62" s="24" t="n">
        <v>-0.0272422562898181</v>
      </c>
      <c r="R62" s="24"/>
      <c r="S62" s="24"/>
      <c r="T62" s="24" t="n">
        <v>-0.043530262033432</v>
      </c>
      <c r="U62" s="24" t="n">
        <v>-0.0598018777641909</v>
      </c>
      <c r="V62" s="24" t="n">
        <v>-0.0272355190956356</v>
      </c>
      <c r="W62" s="24"/>
      <c r="X62" s="24"/>
      <c r="Y62" s="24" t="n">
        <v>0.000618539219392332</v>
      </c>
      <c r="Z62" s="24" t="n">
        <v>0.00061853928273246</v>
      </c>
      <c r="AA62" s="24" t="n">
        <v>0.00610567480246476</v>
      </c>
      <c r="AB62" s="24"/>
      <c r="AC62" s="24"/>
      <c r="AD62" s="24"/>
      <c r="AE62" s="24"/>
      <c r="AF62" s="24"/>
      <c r="AG62" s="24"/>
      <c r="AH62" s="24" t="s">
        <v>748</v>
      </c>
      <c r="AI62" s="24"/>
      <c r="AJ62" s="24" t="s">
        <v>817</v>
      </c>
    </row>
    <row r="63" customFormat="false" ht="15" hidden="false" customHeight="false" outlineLevel="0" collapsed="false">
      <c r="A63" s="24" t="s">
        <v>277</v>
      </c>
      <c r="B63" s="24" t="s">
        <v>278</v>
      </c>
      <c r="C63" s="24" t="s">
        <v>384</v>
      </c>
      <c r="D63" s="24" t="s">
        <v>385</v>
      </c>
      <c r="E63" s="24" t="s">
        <v>746</v>
      </c>
      <c r="F63" s="24" t="s">
        <v>747</v>
      </c>
      <c r="G63" s="24" t="n">
        <v>0.6</v>
      </c>
      <c r="H63" s="24" t="n">
        <v>1009</v>
      </c>
      <c r="I63" s="24" t="n">
        <v>36</v>
      </c>
      <c r="J63" s="24" t="n">
        <v>36</v>
      </c>
      <c r="K63" s="24" t="n">
        <v>-0.0434789975693626</v>
      </c>
      <c r="L63" s="24" t="n">
        <v>0.00767411468343177</v>
      </c>
      <c r="M63" s="24" t="n">
        <v>-5.66566950885328</v>
      </c>
      <c r="N63" s="24" t="n">
        <v>29.6693904230586</v>
      </c>
      <c r="O63" s="24" t="n">
        <v>3.6986722910548E-006</v>
      </c>
      <c r="P63" s="24" t="n">
        <v>-0.0591589572612386</v>
      </c>
      <c r="Q63" s="24" t="n">
        <v>-0.0277990378774866</v>
      </c>
      <c r="R63" s="24"/>
      <c r="S63" s="24"/>
      <c r="T63" s="24" t="n">
        <v>-0.0434516203686393</v>
      </c>
      <c r="U63" s="24" t="n">
        <v>-0.0590900392498343</v>
      </c>
      <c r="V63" s="24" t="n">
        <v>-0.0277918791832098</v>
      </c>
      <c r="W63" s="24"/>
      <c r="X63" s="24"/>
      <c r="Y63" s="24" t="n">
        <v>0.000586547063560485</v>
      </c>
      <c r="Z63" s="24" t="n">
        <v>0.000586547169723666</v>
      </c>
      <c r="AA63" s="24" t="n">
        <v>0.00592740045848921</v>
      </c>
      <c r="AB63" s="24"/>
      <c r="AC63" s="24"/>
      <c r="AD63" s="24"/>
      <c r="AE63" s="24"/>
      <c r="AF63" s="24"/>
      <c r="AG63" s="24"/>
      <c r="AH63" s="24" t="s">
        <v>748</v>
      </c>
      <c r="AI63" s="24"/>
      <c r="AJ63" s="24" t="s">
        <v>818</v>
      </c>
    </row>
    <row r="64" customFormat="false" ht="15" hidden="false" customHeight="false" outlineLevel="0" collapsed="false">
      <c r="A64" s="24" t="s">
        <v>277</v>
      </c>
      <c r="B64" s="24" t="s">
        <v>278</v>
      </c>
      <c r="C64" s="24" t="s">
        <v>387</v>
      </c>
      <c r="D64" s="24" t="s">
        <v>388</v>
      </c>
      <c r="E64" s="24" t="s">
        <v>746</v>
      </c>
      <c r="F64" s="24" t="s">
        <v>747</v>
      </c>
      <c r="G64" s="24" t="n">
        <v>0.6</v>
      </c>
      <c r="H64" s="24" t="n">
        <v>1044</v>
      </c>
      <c r="I64" s="24" t="n">
        <v>37</v>
      </c>
      <c r="J64" s="24" t="n">
        <v>37</v>
      </c>
      <c r="K64" s="24" t="n">
        <v>-0.0426011425212819</v>
      </c>
      <c r="L64" s="24" t="n">
        <v>0.0074003330800283</v>
      </c>
      <c r="M64" s="24" t="n">
        <v>-5.7566520399267</v>
      </c>
      <c r="N64" s="24" t="n">
        <v>30.5406805084109</v>
      </c>
      <c r="O64" s="24" t="n">
        <v>2.58876989315239E-006</v>
      </c>
      <c r="P64" s="24" t="n">
        <v>-0.0577034269811309</v>
      </c>
      <c r="Q64" s="24" t="n">
        <v>-0.0274988580614329</v>
      </c>
      <c r="R64" s="24"/>
      <c r="S64" s="24"/>
      <c r="T64" s="24" t="n">
        <v>-0.0425753895508499</v>
      </c>
      <c r="U64" s="24" t="n">
        <v>-0.0576394674114558</v>
      </c>
      <c r="V64" s="24" t="n">
        <v>-0.0274919287292628</v>
      </c>
      <c r="W64" s="24"/>
      <c r="X64" s="24"/>
      <c r="Y64" s="24" t="n">
        <v>0.000558541291094079</v>
      </c>
      <c r="Z64" s="24" t="n">
        <v>0.000558541237637421</v>
      </c>
      <c r="AA64" s="24" t="n">
        <v>0.00576982008334797</v>
      </c>
      <c r="AB64" s="24"/>
      <c r="AC64" s="24"/>
      <c r="AD64" s="24"/>
      <c r="AE64" s="24"/>
      <c r="AF64" s="24"/>
      <c r="AG64" s="24"/>
      <c r="AH64" s="24" t="s">
        <v>748</v>
      </c>
      <c r="AI64" s="24"/>
      <c r="AJ64" s="24" t="s">
        <v>819</v>
      </c>
    </row>
    <row r="65" customFormat="false" ht="15" hidden="false" customHeight="false" outlineLevel="0" collapsed="false">
      <c r="A65" s="24" t="s">
        <v>277</v>
      </c>
      <c r="B65" s="24" t="s">
        <v>278</v>
      </c>
      <c r="C65" s="24" t="s">
        <v>390</v>
      </c>
      <c r="D65" s="24" t="s">
        <v>391</v>
      </c>
      <c r="E65" s="24" t="s">
        <v>746</v>
      </c>
      <c r="F65" s="24" t="s">
        <v>747</v>
      </c>
      <c r="G65" s="24" t="n">
        <v>0.6</v>
      </c>
      <c r="H65" s="24" t="n">
        <v>1046</v>
      </c>
      <c r="I65" s="24" t="n">
        <v>38</v>
      </c>
      <c r="J65" s="24" t="n">
        <v>38</v>
      </c>
      <c r="K65" s="24" t="n">
        <v>-0.0948227622996191</v>
      </c>
      <c r="L65" s="24" t="n">
        <v>0.0434353999018394</v>
      </c>
      <c r="M65" s="24" t="n">
        <v>-2.18307561376</v>
      </c>
      <c r="N65" s="24" t="n">
        <v>36.9397101620557</v>
      </c>
      <c r="O65" s="24" t="n">
        <v>0.0354604755300385</v>
      </c>
      <c r="P65" s="24" t="n">
        <v>-0.182836091001669</v>
      </c>
      <c r="Q65" s="24" t="n">
        <v>-0.00680943359756947</v>
      </c>
      <c r="R65" s="24"/>
      <c r="S65" s="24"/>
      <c r="T65" s="24" t="n">
        <v>-0.0945395856341237</v>
      </c>
      <c r="U65" s="24" t="n">
        <v>-0.180825625136453</v>
      </c>
      <c r="V65" s="24" t="n">
        <v>-0.00680932835203985</v>
      </c>
      <c r="W65" s="24"/>
      <c r="X65" s="24"/>
      <c r="Y65" s="24" t="n">
        <v>0.0346312148581299</v>
      </c>
      <c r="Z65" s="24" t="n">
        <v>0.0346312211641712</v>
      </c>
      <c r="AA65" s="24" t="n">
        <v>0.0119165454490413</v>
      </c>
      <c r="AB65" s="24"/>
      <c r="AC65" s="24"/>
      <c r="AD65" s="24"/>
      <c r="AE65" s="24"/>
      <c r="AF65" s="24"/>
      <c r="AG65" s="24"/>
      <c r="AH65" s="24" t="s">
        <v>748</v>
      </c>
      <c r="AI65" s="24"/>
      <c r="AJ65" s="24" t="s">
        <v>820</v>
      </c>
    </row>
    <row r="66" customFormat="false" ht="15" hidden="false" customHeight="false" outlineLevel="0" collapsed="false">
      <c r="A66" s="24" t="s">
        <v>277</v>
      </c>
      <c r="B66" s="24" t="s">
        <v>278</v>
      </c>
      <c r="C66" s="24" t="s">
        <v>393</v>
      </c>
      <c r="D66" s="24" t="s">
        <v>394</v>
      </c>
      <c r="E66" s="24" t="s">
        <v>746</v>
      </c>
      <c r="F66" s="24" t="s">
        <v>747</v>
      </c>
      <c r="G66" s="24" t="n">
        <v>0.6</v>
      </c>
      <c r="H66" s="24" t="n">
        <v>1068</v>
      </c>
      <c r="I66" s="24" t="n">
        <v>39</v>
      </c>
      <c r="J66" s="24" t="n">
        <v>39</v>
      </c>
      <c r="K66" s="24" t="n">
        <v>-0.091481523313858</v>
      </c>
      <c r="L66" s="24" t="n">
        <v>0.0424208461235097</v>
      </c>
      <c r="M66" s="24" t="n">
        <v>-2.15652283425716</v>
      </c>
      <c r="N66" s="24" t="n">
        <v>37.9389879876926</v>
      </c>
      <c r="O66" s="24" t="n">
        <v>0.0374457141005588</v>
      </c>
      <c r="P66" s="24" t="n">
        <v>-0.177362572121818</v>
      </c>
      <c r="Q66" s="24" t="n">
        <v>-0.00560047450589851</v>
      </c>
      <c r="R66" s="24"/>
      <c r="S66" s="24"/>
      <c r="T66" s="24" t="n">
        <v>-0.0912271757557087</v>
      </c>
      <c r="U66" s="24" t="n">
        <v>-0.175525886362305</v>
      </c>
      <c r="V66" s="24" t="n">
        <v>-0.00560041595308469</v>
      </c>
      <c r="W66" s="24"/>
      <c r="X66" s="24"/>
      <c r="Y66" s="24" t="n">
        <v>0.0339127329293833</v>
      </c>
      <c r="Z66" s="24" t="n">
        <v>0.0339127279142998</v>
      </c>
      <c r="AA66" s="24" t="n">
        <v>0.0116671270667742</v>
      </c>
      <c r="AB66" s="24"/>
      <c r="AC66" s="24"/>
      <c r="AD66" s="24"/>
      <c r="AE66" s="24"/>
      <c r="AF66" s="24"/>
      <c r="AG66" s="24"/>
      <c r="AH66" s="24" t="s">
        <v>748</v>
      </c>
      <c r="AI66" s="24"/>
      <c r="AJ66" s="24" t="s">
        <v>821</v>
      </c>
    </row>
    <row r="67" customFormat="false" ht="15" hidden="false" customHeight="false" outlineLevel="0" collapsed="false">
      <c r="A67" s="24" t="s">
        <v>277</v>
      </c>
      <c r="B67" s="24" t="s">
        <v>278</v>
      </c>
      <c r="C67" s="24" t="s">
        <v>396</v>
      </c>
      <c r="D67" s="24" t="s">
        <v>397</v>
      </c>
      <c r="E67" s="24" t="s">
        <v>746</v>
      </c>
      <c r="F67" s="24" t="s">
        <v>747</v>
      </c>
      <c r="G67" s="24" t="n">
        <v>0.6</v>
      </c>
      <c r="H67" s="24" t="n">
        <v>1085</v>
      </c>
      <c r="I67" s="24" t="n">
        <v>40</v>
      </c>
      <c r="J67" s="24" t="n">
        <v>40</v>
      </c>
      <c r="K67" s="24" t="n">
        <v>-0.0901498373179723</v>
      </c>
      <c r="L67" s="24" t="n">
        <v>0.0413242581085503</v>
      </c>
      <c r="M67" s="24" t="n">
        <v>-2.18152343064859</v>
      </c>
      <c r="N67" s="24" t="n">
        <v>38.9368823001937</v>
      </c>
      <c r="O67" s="24" t="n">
        <v>0.0352463851199924</v>
      </c>
      <c r="P67" s="24" t="n">
        <v>-0.173740371341413</v>
      </c>
      <c r="Q67" s="24" t="n">
        <v>-0.00655930329453128</v>
      </c>
      <c r="R67" s="24"/>
      <c r="S67" s="24"/>
      <c r="T67" s="24" t="n">
        <v>-0.089906412906763</v>
      </c>
      <c r="U67" s="24" t="n">
        <v>-0.172013065132143</v>
      </c>
      <c r="V67" s="24" t="n">
        <v>-0.00655920922599007</v>
      </c>
      <c r="W67" s="24"/>
      <c r="X67" s="24"/>
      <c r="Y67" s="24" t="n">
        <v>0.0330100455959598</v>
      </c>
      <c r="Z67" s="24" t="n">
        <v>0.0330100561309875</v>
      </c>
      <c r="AA67" s="24" t="n">
        <v>0.0114907057010857</v>
      </c>
      <c r="AB67" s="24"/>
      <c r="AC67" s="24"/>
      <c r="AD67" s="24"/>
      <c r="AE67" s="24"/>
      <c r="AF67" s="24"/>
      <c r="AG67" s="24"/>
      <c r="AH67" s="24" t="s">
        <v>748</v>
      </c>
      <c r="AI67" s="24"/>
      <c r="AJ67" s="24" t="s">
        <v>822</v>
      </c>
    </row>
    <row r="68" customFormat="false" ht="15" hidden="false" customHeight="false" outlineLevel="0" collapsed="false">
      <c r="A68" s="24" t="s">
        <v>277</v>
      </c>
      <c r="B68" s="24" t="s">
        <v>278</v>
      </c>
      <c r="C68" s="24" t="s">
        <v>399</v>
      </c>
      <c r="D68" s="24" t="s">
        <v>400</v>
      </c>
      <c r="E68" s="24" t="s">
        <v>746</v>
      </c>
      <c r="F68" s="24" t="s">
        <v>747</v>
      </c>
      <c r="G68" s="24" t="n">
        <v>0.6</v>
      </c>
      <c r="H68" s="24" t="n">
        <v>1087</v>
      </c>
      <c r="I68" s="24" t="n">
        <v>41</v>
      </c>
      <c r="J68" s="24" t="n">
        <v>41</v>
      </c>
      <c r="K68" s="24" t="n">
        <v>-0.0877715454988228</v>
      </c>
      <c r="L68" s="24" t="n">
        <v>0.0403774660290368</v>
      </c>
      <c r="M68" s="24" t="n">
        <v>-2.17377547753252</v>
      </c>
      <c r="N68" s="24" t="n">
        <v>39.9309004426544</v>
      </c>
      <c r="O68" s="24" t="n">
        <v>0.0357092987786514</v>
      </c>
      <c r="P68" s="24" t="n">
        <v>-0.16938184760959</v>
      </c>
      <c r="Q68" s="24" t="n">
        <v>-0.00616124338805561</v>
      </c>
      <c r="R68" s="24"/>
      <c r="S68" s="24"/>
      <c r="T68" s="24" t="n">
        <v>-0.0875468451255467</v>
      </c>
      <c r="U68" s="24" t="n">
        <v>-0.16778035699987</v>
      </c>
      <c r="V68" s="24" t="n">
        <v>-0.00616116542708344</v>
      </c>
      <c r="W68" s="24"/>
      <c r="X68" s="24"/>
      <c r="Y68" s="24" t="n">
        <v>0.0322312341337955</v>
      </c>
      <c r="Z68" s="24" t="n">
        <v>0.0322311716659915</v>
      </c>
      <c r="AA68" s="24" t="n">
        <v>0.0114799281314745</v>
      </c>
      <c r="AB68" s="24"/>
      <c r="AC68" s="24"/>
      <c r="AD68" s="24"/>
      <c r="AE68" s="24"/>
      <c r="AF68" s="24"/>
      <c r="AG68" s="24"/>
      <c r="AH68" s="24" t="s">
        <v>748</v>
      </c>
      <c r="AI68" s="24"/>
      <c r="AJ68" s="24" t="s">
        <v>823</v>
      </c>
    </row>
    <row r="69" customFormat="false" ht="15" hidden="false" customHeight="false" outlineLevel="0" collapsed="false">
      <c r="A69" s="24" t="s">
        <v>277</v>
      </c>
      <c r="B69" s="24" t="s">
        <v>278</v>
      </c>
      <c r="C69" s="24" t="s">
        <v>402</v>
      </c>
      <c r="D69" s="24" t="s">
        <v>403</v>
      </c>
      <c r="E69" s="24" t="s">
        <v>746</v>
      </c>
      <c r="F69" s="24" t="s">
        <v>747</v>
      </c>
      <c r="G69" s="24" t="n">
        <v>0.6</v>
      </c>
      <c r="H69" s="24" t="n">
        <v>1119</v>
      </c>
      <c r="I69" s="24" t="n">
        <v>42</v>
      </c>
      <c r="J69" s="24" t="n">
        <v>42</v>
      </c>
      <c r="K69" s="24" t="n">
        <v>-0.0832111390450783</v>
      </c>
      <c r="L69" s="24" t="n">
        <v>0.0396879177432019</v>
      </c>
      <c r="M69" s="24" t="n">
        <v>-2.09663655280407</v>
      </c>
      <c r="N69" s="24" t="n">
        <v>40.9320207136971</v>
      </c>
      <c r="O69" s="24" t="n">
        <v>0.0422483482744475</v>
      </c>
      <c r="P69" s="24" t="n">
        <v>-0.163366557732653</v>
      </c>
      <c r="Q69" s="24" t="n">
        <v>-0.00305572035750318</v>
      </c>
      <c r="R69" s="24"/>
      <c r="S69" s="24"/>
      <c r="T69" s="24" t="n">
        <v>-0.0830196155713812</v>
      </c>
      <c r="U69" s="24" t="n">
        <v>-0.161928563697971</v>
      </c>
      <c r="V69" s="24" t="n">
        <v>-0.00305571084668354</v>
      </c>
      <c r="W69" s="24"/>
      <c r="X69" s="24"/>
      <c r="Y69" s="24" t="n">
        <v>0.0319341372956798</v>
      </c>
      <c r="Z69" s="24" t="n">
        <v>0.0319341363286717</v>
      </c>
      <c r="AA69" s="24" t="n">
        <v>0.0111466769447738</v>
      </c>
      <c r="AB69" s="24"/>
      <c r="AC69" s="24"/>
      <c r="AD69" s="24"/>
      <c r="AE69" s="24"/>
      <c r="AF69" s="24"/>
      <c r="AG69" s="24"/>
      <c r="AH69" s="24" t="s">
        <v>748</v>
      </c>
      <c r="AI69" s="24"/>
      <c r="AJ69" s="24" t="s">
        <v>824</v>
      </c>
    </row>
    <row r="70" customFormat="false" ht="15" hidden="false" customHeight="false" outlineLevel="0" collapsed="false">
      <c r="A70" s="24" t="s">
        <v>277</v>
      </c>
      <c r="B70" s="24" t="s">
        <v>278</v>
      </c>
      <c r="C70" s="24" t="s">
        <v>405</v>
      </c>
      <c r="D70" s="24" t="s">
        <v>406</v>
      </c>
      <c r="E70" s="24" t="s">
        <v>746</v>
      </c>
      <c r="F70" s="24" t="s">
        <v>747</v>
      </c>
      <c r="G70" s="24" t="n">
        <v>0.6</v>
      </c>
      <c r="H70" s="24" t="n">
        <v>1175</v>
      </c>
      <c r="I70" s="24" t="n">
        <v>43</v>
      </c>
      <c r="J70" s="24" t="n">
        <v>43</v>
      </c>
      <c r="K70" s="24" t="n">
        <v>-0.0815065328344965</v>
      </c>
      <c r="L70" s="24" t="n">
        <v>0.0388267205518324</v>
      </c>
      <c r="M70" s="24" t="n">
        <v>-2.09923814517602</v>
      </c>
      <c r="N70" s="24" t="n">
        <v>41.9330958716907</v>
      </c>
      <c r="O70" s="24" t="n">
        <v>0.0418554630007403</v>
      </c>
      <c r="P70" s="24" t="n">
        <v>-0.159865731091386</v>
      </c>
      <c r="Q70" s="24" t="n">
        <v>-0.00314733457760714</v>
      </c>
      <c r="R70" s="24"/>
      <c r="S70" s="24"/>
      <c r="T70" s="24" t="n">
        <v>-0.0813265199843229</v>
      </c>
      <c r="U70" s="24" t="n">
        <v>-0.158517612062338</v>
      </c>
      <c r="V70" s="24" t="n">
        <v>-0.0031473241854486</v>
      </c>
      <c r="W70" s="24"/>
      <c r="X70" s="24"/>
      <c r="Y70" s="24" t="n">
        <v>0.0313228348212191</v>
      </c>
      <c r="Z70" s="24" t="n">
        <v>0.0313229411856091</v>
      </c>
      <c r="AA70" s="24" t="n">
        <v>0.0106973171807786</v>
      </c>
      <c r="AB70" s="24"/>
      <c r="AC70" s="24"/>
      <c r="AD70" s="24"/>
      <c r="AE70" s="24"/>
      <c r="AF70" s="24"/>
      <c r="AG70" s="24"/>
      <c r="AH70" s="24" t="s">
        <v>748</v>
      </c>
      <c r="AI70" s="24"/>
      <c r="AJ70" s="24" t="s">
        <v>825</v>
      </c>
    </row>
    <row r="71" customFormat="false" ht="15" hidden="false" customHeight="false" outlineLevel="0" collapsed="false">
      <c r="A71" s="24" t="s">
        <v>277</v>
      </c>
      <c r="B71" s="24" t="s">
        <v>278</v>
      </c>
      <c r="C71" s="24" t="s">
        <v>408</v>
      </c>
      <c r="D71" s="24" t="s">
        <v>409</v>
      </c>
      <c r="E71" s="24" t="s">
        <v>746</v>
      </c>
      <c r="F71" s="24" t="s">
        <v>747</v>
      </c>
      <c r="G71" s="24" t="n">
        <v>0.6</v>
      </c>
      <c r="H71" s="24" t="n">
        <v>1185</v>
      </c>
      <c r="I71" s="24" t="n">
        <v>44</v>
      </c>
      <c r="J71" s="24" t="n">
        <v>44</v>
      </c>
      <c r="K71" s="24" t="n">
        <v>-0.0805343733590419</v>
      </c>
      <c r="L71" s="24" t="n">
        <v>0.0379053670093525</v>
      </c>
      <c r="M71" s="24" t="n">
        <v>-2.12461663645603</v>
      </c>
      <c r="N71" s="24" t="n">
        <v>42.9307064320736</v>
      </c>
      <c r="O71" s="24" t="n">
        <v>0.0394164566018191</v>
      </c>
      <c r="P71" s="24" t="n">
        <v>-0.15698139965213</v>
      </c>
      <c r="Q71" s="24" t="n">
        <v>-0.00408734706595404</v>
      </c>
      <c r="R71" s="24"/>
      <c r="S71" s="24"/>
      <c r="T71" s="24" t="n">
        <v>-0.0803607143198088</v>
      </c>
      <c r="U71" s="24" t="n">
        <v>-0.155704479210828</v>
      </c>
      <c r="V71" s="24" t="n">
        <v>-0.00408732430447958</v>
      </c>
      <c r="W71" s="24"/>
      <c r="X71" s="24"/>
      <c r="Y71" s="24" t="n">
        <v>0.0305389495633025</v>
      </c>
      <c r="Z71" s="24" t="n">
        <v>0.0305389390179391</v>
      </c>
      <c r="AA71" s="24" t="n">
        <v>0.0106042123801178</v>
      </c>
      <c r="AB71" s="24"/>
      <c r="AC71" s="24"/>
      <c r="AD71" s="24"/>
      <c r="AE71" s="24"/>
      <c r="AF71" s="24"/>
      <c r="AG71" s="24"/>
      <c r="AH71" s="24" t="s">
        <v>748</v>
      </c>
      <c r="AI71" s="24"/>
      <c r="AJ71" s="24" t="s">
        <v>826</v>
      </c>
    </row>
    <row r="72" customFormat="false" ht="15" hidden="false" customHeight="false" outlineLevel="0" collapsed="false">
      <c r="A72" s="24" t="s">
        <v>277</v>
      </c>
      <c r="B72" s="24" t="s">
        <v>278</v>
      </c>
      <c r="C72" s="24" t="s">
        <v>411</v>
      </c>
      <c r="D72" s="24" t="s">
        <v>412</v>
      </c>
      <c r="E72" s="24" t="s">
        <v>746</v>
      </c>
      <c r="F72" s="24" t="s">
        <v>747</v>
      </c>
      <c r="G72" s="24" t="n">
        <v>0.6</v>
      </c>
      <c r="H72" s="24" t="n">
        <v>1197</v>
      </c>
      <c r="I72" s="24" t="n">
        <v>45</v>
      </c>
      <c r="J72" s="24" t="n">
        <v>45</v>
      </c>
      <c r="K72" s="24" t="n">
        <v>-0.080737562175196</v>
      </c>
      <c r="L72" s="24" t="n">
        <v>0.0370399740382042</v>
      </c>
      <c r="M72" s="24" t="n">
        <v>-2.17974132735409</v>
      </c>
      <c r="N72" s="24" t="n">
        <v>43.9281496151702</v>
      </c>
      <c r="O72" s="24" t="n">
        <v>0.0346802033348657</v>
      </c>
      <c r="P72" s="24" t="n">
        <v>-0.155390173565421</v>
      </c>
      <c r="Q72" s="24" t="n">
        <v>-0.00608495078497147</v>
      </c>
      <c r="R72" s="24"/>
      <c r="S72" s="24"/>
      <c r="T72" s="24" t="n">
        <v>-0.0805625876751564</v>
      </c>
      <c r="U72" s="24" t="n">
        <v>-0.154151447156068</v>
      </c>
      <c r="V72" s="24" t="n">
        <v>-0.00608487568435133</v>
      </c>
      <c r="W72" s="24"/>
      <c r="X72" s="24"/>
      <c r="Y72" s="24" t="n">
        <v>0.0297938913847078</v>
      </c>
      <c r="Z72" s="24" t="n">
        <v>0.0297938937430865</v>
      </c>
      <c r="AA72" s="24" t="n">
        <v>0.0105231058821057</v>
      </c>
      <c r="AB72" s="24"/>
      <c r="AC72" s="24"/>
      <c r="AD72" s="24"/>
      <c r="AE72" s="24"/>
      <c r="AF72" s="24"/>
      <c r="AG72" s="24"/>
      <c r="AH72" s="24" t="s">
        <v>748</v>
      </c>
      <c r="AI72" s="24"/>
      <c r="AJ72" s="24" t="s">
        <v>827</v>
      </c>
    </row>
    <row r="73" customFormat="false" ht="15" hidden="false" customHeight="false" outlineLevel="0" collapsed="false">
      <c r="A73" s="24" t="s">
        <v>277</v>
      </c>
      <c r="B73" s="24" t="s">
        <v>278</v>
      </c>
      <c r="C73" s="24" t="s">
        <v>414</v>
      </c>
      <c r="D73" s="24" t="s">
        <v>415</v>
      </c>
      <c r="E73" s="24" t="s">
        <v>746</v>
      </c>
      <c r="F73" s="24" t="s">
        <v>747</v>
      </c>
      <c r="G73" s="24" t="n">
        <v>0.6</v>
      </c>
      <c r="H73" s="24" t="n">
        <v>1229</v>
      </c>
      <c r="I73" s="24" t="n">
        <v>46</v>
      </c>
      <c r="J73" s="24" t="n">
        <v>46</v>
      </c>
      <c r="K73" s="24" t="n">
        <v>-0.0793612249064559</v>
      </c>
      <c r="L73" s="24" t="n">
        <v>0.0362498803804473</v>
      </c>
      <c r="M73" s="24" t="n">
        <v>-2.18928239413618</v>
      </c>
      <c r="N73" s="24" t="n">
        <v>44.9274034906512</v>
      </c>
      <c r="O73" s="24" t="n">
        <v>0.033812349071732</v>
      </c>
      <c r="P73" s="24" t="n">
        <v>-0.152375488171464</v>
      </c>
      <c r="Q73" s="24" t="n">
        <v>-0.00634696164144812</v>
      </c>
      <c r="R73" s="24"/>
      <c r="S73" s="24"/>
      <c r="T73" s="24" t="n">
        <v>-0.0791950325174543</v>
      </c>
      <c r="U73" s="24" t="n">
        <v>-0.151207039332495</v>
      </c>
      <c r="V73" s="24" t="n">
        <v>-0.00634687641598534</v>
      </c>
      <c r="W73" s="24"/>
      <c r="X73" s="24"/>
      <c r="Y73" s="24" t="n">
        <v>0.0291884664116651</v>
      </c>
      <c r="Z73" s="24" t="n">
        <v>0.02918854051653</v>
      </c>
      <c r="AA73" s="24" t="n">
        <v>0.0102482183878942</v>
      </c>
      <c r="AB73" s="24"/>
      <c r="AC73" s="24"/>
      <c r="AD73" s="24"/>
      <c r="AE73" s="24"/>
      <c r="AF73" s="24"/>
      <c r="AG73" s="24"/>
      <c r="AH73" s="24" t="s">
        <v>748</v>
      </c>
      <c r="AI73" s="24"/>
      <c r="AJ73" s="24" t="s">
        <v>828</v>
      </c>
    </row>
    <row r="74" customFormat="false" ht="15" hidden="false" customHeight="false" outlineLevel="0" collapsed="false">
      <c r="A74" s="24" t="s">
        <v>277</v>
      </c>
      <c r="B74" s="24" t="s">
        <v>278</v>
      </c>
      <c r="C74" s="24" t="s">
        <v>417</v>
      </c>
      <c r="D74" s="24" t="s">
        <v>418</v>
      </c>
      <c r="E74" s="24" t="s">
        <v>746</v>
      </c>
      <c r="F74" s="24" t="s">
        <v>747</v>
      </c>
      <c r="G74" s="24" t="n">
        <v>0.6</v>
      </c>
      <c r="H74" s="24" t="n">
        <v>1239</v>
      </c>
      <c r="I74" s="24" t="n">
        <v>47</v>
      </c>
      <c r="J74" s="24" t="n">
        <v>47</v>
      </c>
      <c r="K74" s="24" t="n">
        <v>-0.0803868480713499</v>
      </c>
      <c r="L74" s="24" t="n">
        <v>0.0354454073705136</v>
      </c>
      <c r="M74" s="24" t="n">
        <v>-2.26790588780826</v>
      </c>
      <c r="N74" s="24" t="n">
        <v>45.9245609552216</v>
      </c>
      <c r="O74" s="24" t="n">
        <v>0.0280839761223308</v>
      </c>
      <c r="P74" s="24" t="n">
        <v>-0.151737915445898</v>
      </c>
      <c r="Q74" s="24" t="n">
        <v>-0.00903578069680139</v>
      </c>
      <c r="R74" s="24"/>
      <c r="S74" s="24"/>
      <c r="T74" s="24" t="n">
        <v>-0.0802141399908605</v>
      </c>
      <c r="U74" s="24" t="n">
        <v>-0.150583983813225</v>
      </c>
      <c r="V74" s="24" t="n">
        <v>-0.00903553479505804</v>
      </c>
      <c r="W74" s="24"/>
      <c r="X74" s="24"/>
      <c r="Y74" s="24" t="n">
        <v>0.0285026419674934</v>
      </c>
      <c r="Z74" s="24" t="n">
        <v>0.0285026625473661</v>
      </c>
      <c r="AA74" s="24" t="n">
        <v>0.0102031597311622</v>
      </c>
      <c r="AB74" s="24"/>
      <c r="AC74" s="24"/>
      <c r="AD74" s="24"/>
      <c r="AE74" s="24"/>
      <c r="AF74" s="24"/>
      <c r="AG74" s="24"/>
      <c r="AH74" s="24" t="s">
        <v>748</v>
      </c>
      <c r="AI74" s="24"/>
      <c r="AJ74" s="24" t="s">
        <v>829</v>
      </c>
    </row>
    <row r="75" customFormat="false" ht="15" hidden="false" customHeight="false" outlineLevel="0" collapsed="false">
      <c r="A75" s="24" t="s">
        <v>277</v>
      </c>
      <c r="B75" s="24" t="s">
        <v>278</v>
      </c>
      <c r="C75" s="24" t="s">
        <v>420</v>
      </c>
      <c r="D75" s="24" t="s">
        <v>421</v>
      </c>
      <c r="E75" s="24" t="s">
        <v>746</v>
      </c>
      <c r="F75" s="24" t="s">
        <v>747</v>
      </c>
      <c r="G75" s="24" t="n">
        <v>0.6</v>
      </c>
      <c r="H75" s="24" t="n">
        <v>1241</v>
      </c>
      <c r="I75" s="24" t="n">
        <v>48</v>
      </c>
      <c r="J75" s="24" t="n">
        <v>48</v>
      </c>
      <c r="K75" s="24" t="n">
        <v>-0.0799580200081231</v>
      </c>
      <c r="L75" s="24" t="n">
        <v>0.0347063420072461</v>
      </c>
      <c r="M75" s="24" t="n">
        <v>-2.30384464002082</v>
      </c>
      <c r="N75" s="24" t="n">
        <v>46.9175166740569</v>
      </c>
      <c r="O75" s="24" t="n">
        <v>0.0257082556816832</v>
      </c>
      <c r="P75" s="24" t="n">
        <v>-0.149781414647748</v>
      </c>
      <c r="Q75" s="24" t="n">
        <v>-0.010134625368498</v>
      </c>
      <c r="R75" s="24"/>
      <c r="S75" s="24"/>
      <c r="T75" s="24" t="n">
        <v>-0.0797880565092474</v>
      </c>
      <c r="U75" s="24" t="n">
        <v>-0.148671286645835</v>
      </c>
      <c r="V75" s="24" t="n">
        <v>-0.0101342784048293</v>
      </c>
      <c r="W75" s="24"/>
      <c r="X75" s="24"/>
      <c r="Y75" s="24" t="n">
        <v>0.0278489824696522</v>
      </c>
      <c r="Z75" s="24" t="n">
        <v>0.0278490833120855</v>
      </c>
      <c r="AA75" s="24" t="n">
        <v>0.0101954410658204</v>
      </c>
      <c r="AB75" s="24"/>
      <c r="AC75" s="24"/>
      <c r="AD75" s="24"/>
      <c r="AE75" s="24"/>
      <c r="AF75" s="24"/>
      <c r="AG75" s="24"/>
      <c r="AH75" s="24" t="s">
        <v>748</v>
      </c>
      <c r="AI75" s="24"/>
      <c r="AJ75" s="24" t="s">
        <v>830</v>
      </c>
    </row>
    <row r="76" customFormat="false" ht="15" hidden="false" customHeight="false" outlineLevel="0" collapsed="false">
      <c r="A76" s="24" t="s">
        <v>277</v>
      </c>
      <c r="B76" s="24" t="s">
        <v>278</v>
      </c>
      <c r="C76" s="24" t="s">
        <v>423</v>
      </c>
      <c r="D76" s="24" t="s">
        <v>424</v>
      </c>
      <c r="E76" s="24" t="s">
        <v>746</v>
      </c>
      <c r="F76" s="24" t="s">
        <v>747</v>
      </c>
      <c r="G76" s="24" t="n">
        <v>0.6</v>
      </c>
      <c r="H76" s="24" t="n">
        <v>1290</v>
      </c>
      <c r="I76" s="24" t="n">
        <v>49</v>
      </c>
      <c r="J76" s="24" t="n">
        <v>49</v>
      </c>
      <c r="K76" s="24" t="n">
        <v>-0.0778834172287155</v>
      </c>
      <c r="L76" s="24" t="n">
        <v>0.0339884197854394</v>
      </c>
      <c r="M76" s="24" t="n">
        <v>-2.291469203934</v>
      </c>
      <c r="N76" s="24" t="n">
        <v>47.9133229935463</v>
      </c>
      <c r="O76" s="24" t="n">
        <v>0.0263748919631887</v>
      </c>
      <c r="P76" s="24" t="n">
        <v>-0.146224909331518</v>
      </c>
      <c r="Q76" s="24" t="n">
        <v>-0.00954192512591265</v>
      </c>
      <c r="R76" s="24"/>
      <c r="S76" s="24"/>
      <c r="T76" s="24" t="n">
        <v>-0.0777263226111659</v>
      </c>
      <c r="U76" s="24" t="n">
        <v>-0.145191566073637</v>
      </c>
      <c r="V76" s="24" t="n">
        <v>-0.00954163554432687</v>
      </c>
      <c r="W76" s="24"/>
      <c r="X76" s="24"/>
      <c r="Y76" s="24" t="n">
        <v>0.0272650086521166</v>
      </c>
      <c r="Z76" s="24" t="n">
        <v>0.0272650161634892</v>
      </c>
      <c r="AA76" s="24" t="n">
        <v>0.0101838187426592</v>
      </c>
      <c r="AB76" s="24"/>
      <c r="AC76" s="24"/>
      <c r="AD76" s="24"/>
      <c r="AE76" s="24"/>
      <c r="AF76" s="24"/>
      <c r="AG76" s="24"/>
      <c r="AH76" s="24" t="s">
        <v>748</v>
      </c>
      <c r="AI76" s="24"/>
      <c r="AJ76" s="24" t="s">
        <v>831</v>
      </c>
    </row>
    <row r="77" customFormat="false" ht="15" hidden="false" customHeight="false" outlineLevel="0" collapsed="false">
      <c r="A77" s="24" t="s">
        <v>277</v>
      </c>
      <c r="B77" s="24" t="s">
        <v>278</v>
      </c>
      <c r="C77" s="24" t="s">
        <v>426</v>
      </c>
      <c r="D77" s="24" t="s">
        <v>427</v>
      </c>
      <c r="E77" s="24" t="s">
        <v>746</v>
      </c>
      <c r="F77" s="24" t="s">
        <v>747</v>
      </c>
      <c r="G77" s="24" t="n">
        <v>0.6</v>
      </c>
      <c r="H77" s="24" t="n">
        <v>1291</v>
      </c>
      <c r="I77" s="24" t="n">
        <v>50</v>
      </c>
      <c r="J77" s="24" t="n">
        <v>50</v>
      </c>
      <c r="K77" s="24" t="n">
        <v>-0.0734540028836897</v>
      </c>
      <c r="L77" s="24" t="n">
        <v>0.0336712723008022</v>
      </c>
      <c r="M77" s="24" t="n">
        <v>-2.18150363394316</v>
      </c>
      <c r="N77" s="24" t="n">
        <v>48.897091213142</v>
      </c>
      <c r="O77" s="24" t="n">
        <v>0.0339833344575028</v>
      </c>
      <c r="P77" s="24" t="n">
        <v>-0.141122560209062</v>
      </c>
      <c r="Q77" s="24" t="n">
        <v>-0.00578544555831759</v>
      </c>
      <c r="R77" s="24"/>
      <c r="S77" s="24"/>
      <c r="T77" s="24" t="n">
        <v>-0.0733221805822216</v>
      </c>
      <c r="U77" s="24" t="n">
        <v>-0.140193117921191</v>
      </c>
      <c r="V77" s="24" t="n">
        <v>-0.00578538101023228</v>
      </c>
      <c r="W77" s="24"/>
      <c r="X77" s="24"/>
      <c r="Y77" s="24" t="n">
        <v>0.0272334017455407</v>
      </c>
      <c r="Z77" s="24" t="n">
        <v>0.0272333466377832</v>
      </c>
      <c r="AA77" s="24" t="n">
        <v>0.0101838757702701</v>
      </c>
      <c r="AB77" s="24"/>
      <c r="AC77" s="24"/>
      <c r="AD77" s="24"/>
      <c r="AE77" s="24"/>
      <c r="AF77" s="24"/>
      <c r="AG77" s="24"/>
      <c r="AH77" s="24" t="s">
        <v>748</v>
      </c>
      <c r="AI77" s="24"/>
      <c r="AJ77" s="24" t="s">
        <v>832</v>
      </c>
    </row>
    <row r="78" customFormat="false" ht="15" hidden="false" customHeight="false" outlineLevel="0" collapsed="false">
      <c r="A78" s="24" t="s">
        <v>277</v>
      </c>
      <c r="B78" s="24" t="s">
        <v>278</v>
      </c>
      <c r="C78" s="24" t="s">
        <v>429</v>
      </c>
      <c r="D78" s="24" t="s">
        <v>430</v>
      </c>
      <c r="E78" s="24" t="s">
        <v>746</v>
      </c>
      <c r="F78" s="24" t="s">
        <v>747</v>
      </c>
      <c r="G78" s="24" t="n">
        <v>0.6</v>
      </c>
      <c r="H78" s="24" t="n">
        <v>1320</v>
      </c>
      <c r="I78" s="24" t="n">
        <v>51</v>
      </c>
      <c r="J78" s="24" t="n">
        <v>51</v>
      </c>
      <c r="K78" s="24" t="n">
        <v>-0.07238815000159</v>
      </c>
      <c r="L78" s="24" t="n">
        <v>0.0330141188787947</v>
      </c>
      <c r="M78" s="24" t="n">
        <v>-2.19264219249194</v>
      </c>
      <c r="N78" s="24" t="n">
        <v>49.8960414253453</v>
      </c>
      <c r="O78" s="24" t="n">
        <v>0.0330240801796883</v>
      </c>
      <c r="P78" s="24" t="n">
        <v>-0.138702382616003</v>
      </c>
      <c r="Q78" s="24" t="n">
        <v>-0.00607391738717723</v>
      </c>
      <c r="R78" s="24"/>
      <c r="S78" s="24"/>
      <c r="T78" s="24" t="n">
        <v>-0.0722619754224924</v>
      </c>
      <c r="U78" s="24" t="n">
        <v>-0.137819706119203</v>
      </c>
      <c r="V78" s="24" t="n">
        <v>-0.00607384269433623</v>
      </c>
      <c r="W78" s="24"/>
      <c r="X78" s="24"/>
      <c r="Y78" s="24" t="n">
        <v>0.0267185025111317</v>
      </c>
      <c r="Z78" s="24" t="n">
        <v>0.0267184925820136</v>
      </c>
      <c r="AA78" s="24" t="n">
        <v>0.00996313858390041</v>
      </c>
      <c r="AB78" s="24"/>
      <c r="AC78" s="24"/>
      <c r="AD78" s="24"/>
      <c r="AE78" s="24"/>
      <c r="AF78" s="24"/>
      <c r="AG78" s="24"/>
      <c r="AH78" s="24" t="s">
        <v>748</v>
      </c>
      <c r="AI78" s="24"/>
      <c r="AJ78" s="24" t="s">
        <v>833</v>
      </c>
    </row>
    <row r="79" customFormat="false" ht="15" hidden="false" customHeight="false" outlineLevel="0" collapsed="false">
      <c r="A79" s="24" t="s">
        <v>277</v>
      </c>
      <c r="B79" s="24" t="s">
        <v>278</v>
      </c>
      <c r="C79" s="24" t="s">
        <v>432</v>
      </c>
      <c r="D79" s="24" t="s">
        <v>433</v>
      </c>
      <c r="E79" s="24" t="s">
        <v>746</v>
      </c>
      <c r="F79" s="24" t="s">
        <v>747</v>
      </c>
      <c r="G79" s="24" t="n">
        <v>0.6</v>
      </c>
      <c r="H79" s="24" t="n">
        <v>1328</v>
      </c>
      <c r="I79" s="24" t="n">
        <v>52</v>
      </c>
      <c r="J79" s="24" t="n">
        <v>52</v>
      </c>
      <c r="K79" s="24" t="n">
        <v>-0.0716405747062513</v>
      </c>
      <c r="L79" s="24" t="n">
        <v>0.0323557248332351</v>
      </c>
      <c r="M79" s="24" t="n">
        <v>-2.21415452985506</v>
      </c>
      <c r="N79" s="24" t="n">
        <v>50.8920601875388</v>
      </c>
      <c r="O79" s="24" t="n">
        <v>0.0313244494249871</v>
      </c>
      <c r="P79" s="24" t="n">
        <v>-0.136600747998201</v>
      </c>
      <c r="Q79" s="24" t="n">
        <v>-0.00668040141430187</v>
      </c>
      <c r="R79" s="24"/>
      <c r="S79" s="24"/>
      <c r="T79" s="24" t="n">
        <v>-0.0715182637729663</v>
      </c>
      <c r="U79" s="24" t="n">
        <v>-0.135757396214833</v>
      </c>
      <c r="V79" s="24" t="n">
        <v>-0.00668030203895202</v>
      </c>
      <c r="W79" s="24"/>
      <c r="X79" s="24"/>
      <c r="Y79" s="24" t="n">
        <v>0.0261394392493979</v>
      </c>
      <c r="Z79" s="24" t="n">
        <v>0.026139444564859</v>
      </c>
      <c r="AA79" s="24" t="n">
        <v>0.00994130513468569</v>
      </c>
      <c r="AB79" s="24"/>
      <c r="AC79" s="24"/>
      <c r="AD79" s="24"/>
      <c r="AE79" s="24"/>
      <c r="AF79" s="24"/>
      <c r="AG79" s="24"/>
      <c r="AH79" s="24" t="s">
        <v>748</v>
      </c>
      <c r="AI79" s="24"/>
      <c r="AJ79" s="24" t="s">
        <v>834</v>
      </c>
    </row>
    <row r="80" customFormat="false" ht="15" hidden="false" customHeight="false" outlineLevel="0" collapsed="false">
      <c r="A80" s="24" t="s">
        <v>277</v>
      </c>
      <c r="B80" s="24" t="s">
        <v>278</v>
      </c>
      <c r="C80" s="24" t="s">
        <v>435</v>
      </c>
      <c r="D80" s="24" t="s">
        <v>436</v>
      </c>
      <c r="E80" s="24" t="s">
        <v>746</v>
      </c>
      <c r="F80" s="24" t="s">
        <v>747</v>
      </c>
      <c r="G80" s="24" t="n">
        <v>0.6</v>
      </c>
      <c r="H80" s="24" t="n">
        <v>1336</v>
      </c>
      <c r="I80" s="24" t="n">
        <v>53</v>
      </c>
      <c r="J80" s="24" t="n">
        <v>53</v>
      </c>
      <c r="K80" s="24" t="n">
        <v>-0.0726412101101059</v>
      </c>
      <c r="L80" s="24" t="n">
        <v>0.03172790404364</v>
      </c>
      <c r="M80" s="24" t="n">
        <v>-2.28950547789705</v>
      </c>
      <c r="N80" s="24" t="n">
        <v>51.8887158303405</v>
      </c>
      <c r="O80" s="24" t="n">
        <v>0.0261488322743955</v>
      </c>
      <c r="P80" s="24" t="n">
        <v>-0.136311157671345</v>
      </c>
      <c r="Q80" s="24" t="n">
        <v>-0.00897126254886656</v>
      </c>
      <c r="R80" s="24"/>
      <c r="S80" s="24"/>
      <c r="T80" s="24" t="n">
        <v>-0.072513709494742</v>
      </c>
      <c r="U80" s="24" t="n">
        <v>-0.135473131890525</v>
      </c>
      <c r="V80" s="24" t="n">
        <v>-0.00897102187692349</v>
      </c>
      <c r="W80" s="24"/>
      <c r="X80" s="24"/>
      <c r="Y80" s="24" t="n">
        <v>0.0256038494303657</v>
      </c>
      <c r="Z80" s="24" t="n">
        <v>0.0256038777268769</v>
      </c>
      <c r="AA80" s="24" t="n">
        <v>0.00989883926816096</v>
      </c>
      <c r="AB80" s="24"/>
      <c r="AC80" s="24"/>
      <c r="AD80" s="24"/>
      <c r="AE80" s="24"/>
      <c r="AF80" s="24"/>
      <c r="AG80" s="24"/>
      <c r="AH80" s="24" t="s">
        <v>748</v>
      </c>
      <c r="AI80" s="24"/>
      <c r="AJ80" s="24" t="s">
        <v>835</v>
      </c>
    </row>
    <row r="81" customFormat="false" ht="15" hidden="false" customHeight="false" outlineLevel="0" collapsed="false">
      <c r="A81" s="24" t="s">
        <v>277</v>
      </c>
      <c r="B81" s="24" t="s">
        <v>278</v>
      </c>
      <c r="C81" s="24" t="s">
        <v>438</v>
      </c>
      <c r="D81" s="24" t="s">
        <v>439</v>
      </c>
      <c r="E81" s="24" t="s">
        <v>746</v>
      </c>
      <c r="F81" s="24" t="s">
        <v>747</v>
      </c>
      <c r="G81" s="24" t="n">
        <v>0.6</v>
      </c>
      <c r="H81" s="24" t="n">
        <v>1346</v>
      </c>
      <c r="I81" s="24" t="n">
        <v>54</v>
      </c>
      <c r="J81" s="24" t="n">
        <v>54</v>
      </c>
      <c r="K81" s="24" t="n">
        <v>-0.0716703705263045</v>
      </c>
      <c r="L81" s="24" t="n">
        <v>0.0311148802533784</v>
      </c>
      <c r="M81" s="24" t="n">
        <v>-2.30341142060229</v>
      </c>
      <c r="N81" s="24" t="n">
        <v>52.885177933893</v>
      </c>
      <c r="O81" s="24" t="n">
        <v>0.0252169831810749</v>
      </c>
      <c r="P81" s="24" t="n">
        <v>-0.134082080203352</v>
      </c>
      <c r="Q81" s="24" t="n">
        <v>-0.00925866084925686</v>
      </c>
      <c r="R81" s="24"/>
      <c r="S81" s="24"/>
      <c r="T81" s="24" t="n">
        <v>-0.0715479071283331</v>
      </c>
      <c r="U81" s="24" t="n">
        <v>-0.133284307257007</v>
      </c>
      <c r="V81" s="24" t="n">
        <v>-0.00925839629888175</v>
      </c>
      <c r="W81" s="24"/>
      <c r="X81" s="24"/>
      <c r="Y81" s="24" t="n">
        <v>0.0250768625220257</v>
      </c>
      <c r="Z81" s="24" t="n">
        <v>0.0250768695824434</v>
      </c>
      <c r="AA81" s="24" t="n">
        <v>0.00985620723823709</v>
      </c>
      <c r="AB81" s="24"/>
      <c r="AC81" s="24"/>
      <c r="AD81" s="24"/>
      <c r="AE81" s="24"/>
      <c r="AF81" s="24"/>
      <c r="AG81" s="24"/>
      <c r="AH81" s="24" t="s">
        <v>748</v>
      </c>
      <c r="AI81" s="24"/>
      <c r="AJ81" s="24" t="s">
        <v>836</v>
      </c>
    </row>
    <row r="82" customFormat="false" ht="15" hidden="false" customHeight="false" outlineLevel="0" collapsed="false">
      <c r="A82" s="24" t="s">
        <v>277</v>
      </c>
      <c r="B82" s="24" t="s">
        <v>278</v>
      </c>
      <c r="C82" s="24" t="s">
        <v>441</v>
      </c>
      <c r="D82" s="24" t="s">
        <v>442</v>
      </c>
      <c r="E82" s="24" t="s">
        <v>746</v>
      </c>
      <c r="F82" s="24" t="s">
        <v>747</v>
      </c>
      <c r="G82" s="24" t="n">
        <v>0.6</v>
      </c>
      <c r="H82" s="24" t="n">
        <v>1349</v>
      </c>
      <c r="I82" s="24" t="n">
        <v>55</v>
      </c>
      <c r="J82" s="24" t="n">
        <v>54</v>
      </c>
      <c r="K82" s="24" t="n">
        <v>-0.0718639820046765</v>
      </c>
      <c r="L82" s="24" t="n">
        <v>0.0310736697993972</v>
      </c>
      <c r="M82" s="24" t="n">
        <v>-2.3126969704129</v>
      </c>
      <c r="N82" s="24" t="n">
        <v>52.889164513986</v>
      </c>
      <c r="O82" s="24" t="n">
        <v>0.0246611418701373</v>
      </c>
      <c r="P82" s="24" t="n">
        <v>-0.134192919873908</v>
      </c>
      <c r="Q82" s="24" t="n">
        <v>-0.00953504413544504</v>
      </c>
      <c r="R82" s="24"/>
      <c r="S82" s="24"/>
      <c r="T82" s="24" t="n">
        <v>-0.0717405248189599</v>
      </c>
      <c r="U82" s="24" t="n">
        <v>-0.133393176284552</v>
      </c>
      <c r="V82" s="24" t="n">
        <v>-0.00953475517987233</v>
      </c>
      <c r="W82" s="24"/>
      <c r="X82" s="24"/>
      <c r="Y82" s="24" t="n">
        <v>0.0500754201596461</v>
      </c>
      <c r="Z82" s="24" t="n">
        <v>7.93187878639337E-010</v>
      </c>
      <c r="AA82" s="24" t="n">
        <v>0.00983941533908978</v>
      </c>
      <c r="AB82" s="24"/>
      <c r="AC82" s="24"/>
      <c r="AD82" s="24"/>
      <c r="AE82" s="24"/>
      <c r="AF82" s="24"/>
      <c r="AG82" s="24"/>
      <c r="AH82" s="24" t="s">
        <v>748</v>
      </c>
      <c r="AI82" s="24"/>
      <c r="AJ82" s="24" t="s">
        <v>837</v>
      </c>
    </row>
    <row r="83" customFormat="false" ht="15" hidden="false" customHeight="false" outlineLevel="0" collapsed="false">
      <c r="A83" s="24" t="s">
        <v>277</v>
      </c>
      <c r="B83" s="24" t="s">
        <v>278</v>
      </c>
      <c r="C83" s="24" t="s">
        <v>444</v>
      </c>
      <c r="D83" s="24" t="s">
        <v>445</v>
      </c>
      <c r="E83" s="24" t="s">
        <v>746</v>
      </c>
      <c r="F83" s="24" t="s">
        <v>747</v>
      </c>
      <c r="G83" s="24" t="n">
        <v>0.6</v>
      </c>
      <c r="H83" s="24" t="n">
        <v>1351</v>
      </c>
      <c r="I83" s="24" t="n">
        <v>56</v>
      </c>
      <c r="J83" s="24" t="n">
        <v>55</v>
      </c>
      <c r="K83" s="24" t="n">
        <v>-0.074657799550723</v>
      </c>
      <c r="L83" s="24" t="n">
        <v>0.0306630111019434</v>
      </c>
      <c r="M83" s="24" t="n">
        <v>-2.4347836976125</v>
      </c>
      <c r="N83" s="24" t="n">
        <v>53.8795828014923</v>
      </c>
      <c r="O83" s="24" t="n">
        <v>0.0182430526855869</v>
      </c>
      <c r="P83" s="24" t="n">
        <v>-0.136136582208411</v>
      </c>
      <c r="Q83" s="24" t="n">
        <v>-0.0131790168930355</v>
      </c>
      <c r="R83" s="24"/>
      <c r="S83" s="24"/>
      <c r="T83" s="24" t="n">
        <v>-0.0745193992164291</v>
      </c>
      <c r="U83" s="24" t="n">
        <v>-0.135301756354392</v>
      </c>
      <c r="V83" s="24" t="n">
        <v>-0.0131782539403291</v>
      </c>
      <c r="W83" s="24"/>
      <c r="X83" s="24"/>
      <c r="Y83" s="24" t="n">
        <v>0.0495634466606196</v>
      </c>
      <c r="Z83" s="24" t="n">
        <v>1.01751566240367E-009</v>
      </c>
      <c r="AA83" s="24" t="n">
        <v>0.00985474860645979</v>
      </c>
      <c r="AB83" s="24"/>
      <c r="AC83" s="24"/>
      <c r="AD83" s="24"/>
      <c r="AE83" s="24"/>
      <c r="AF83" s="24"/>
      <c r="AG83" s="24"/>
      <c r="AH83" s="24" t="s">
        <v>748</v>
      </c>
      <c r="AI83" s="24"/>
      <c r="AJ83" s="24" t="s">
        <v>838</v>
      </c>
    </row>
    <row r="84" customFormat="false" ht="15" hidden="false" customHeight="false" outlineLevel="0" collapsed="false">
      <c r="A84" s="24" t="s">
        <v>277</v>
      </c>
      <c r="B84" s="24" t="s">
        <v>278</v>
      </c>
      <c r="C84" s="24" t="s">
        <v>447</v>
      </c>
      <c r="D84" s="24" t="s">
        <v>448</v>
      </c>
      <c r="E84" s="24" t="s">
        <v>746</v>
      </c>
      <c r="F84" s="24" t="s">
        <v>747</v>
      </c>
      <c r="G84" s="24" t="n">
        <v>0.6</v>
      </c>
      <c r="H84" s="24" t="n">
        <v>1407</v>
      </c>
      <c r="I84" s="24" t="n">
        <v>57</v>
      </c>
      <c r="J84" s="24" t="n">
        <v>56</v>
      </c>
      <c r="K84" s="24" t="n">
        <v>-0.0738009455337463</v>
      </c>
      <c r="L84" s="24" t="n">
        <v>0.0301064497122162</v>
      </c>
      <c r="M84" s="24" t="n">
        <v>-2.45133339331606</v>
      </c>
      <c r="N84" s="24" t="n">
        <v>54.8774577900658</v>
      </c>
      <c r="O84" s="24" t="n">
        <v>0.0174456227867381</v>
      </c>
      <c r="P84" s="24" t="n">
        <v>-0.134138647469999</v>
      </c>
      <c r="Q84" s="24" t="n">
        <v>-0.0134632435974937</v>
      </c>
      <c r="R84" s="24"/>
      <c r="S84" s="24"/>
      <c r="T84" s="24" t="n">
        <v>-0.0736672492273627</v>
      </c>
      <c r="U84" s="24" t="n">
        <v>-0.133339869203791</v>
      </c>
      <c r="V84" s="24" t="n">
        <v>-0.013462430212099</v>
      </c>
      <c r="W84" s="24"/>
      <c r="X84" s="24"/>
      <c r="Y84" s="24" t="n">
        <v>0.0486416250054048</v>
      </c>
      <c r="Z84" s="24" t="n">
        <v>1.3831564078259E-009</v>
      </c>
      <c r="AA84" s="24" t="n">
        <v>0.00974076292363673</v>
      </c>
      <c r="AB84" s="24"/>
      <c r="AC84" s="24"/>
      <c r="AD84" s="24"/>
      <c r="AE84" s="24"/>
      <c r="AF84" s="24"/>
      <c r="AG84" s="24"/>
      <c r="AH84" s="24" t="s">
        <v>748</v>
      </c>
      <c r="AI84" s="24"/>
      <c r="AJ84" s="24" t="s">
        <v>839</v>
      </c>
    </row>
    <row r="85" customFormat="false" ht="15" hidden="false" customHeight="false" outlineLevel="0" collapsed="false">
      <c r="A85" s="24" t="s">
        <v>277</v>
      </c>
      <c r="B85" s="24" t="s">
        <v>278</v>
      </c>
      <c r="C85" s="24" t="s">
        <v>450</v>
      </c>
      <c r="D85" s="24" t="s">
        <v>451</v>
      </c>
      <c r="E85" s="24" t="s">
        <v>746</v>
      </c>
      <c r="F85" s="24" t="s">
        <v>747</v>
      </c>
      <c r="G85" s="24" t="n">
        <v>0.6</v>
      </c>
      <c r="H85" s="24" t="n">
        <v>1419</v>
      </c>
      <c r="I85" s="24" t="n">
        <v>58</v>
      </c>
      <c r="J85" s="24" t="n">
        <v>57</v>
      </c>
      <c r="K85" s="24" t="n">
        <v>-0.0735002107053432</v>
      </c>
      <c r="L85" s="24" t="n">
        <v>0.0295501565680231</v>
      </c>
      <c r="M85" s="24" t="n">
        <v>-2.48730359638363</v>
      </c>
      <c r="N85" s="24" t="n">
        <v>55.8743812815848</v>
      </c>
      <c r="O85" s="24" t="n">
        <v>0.0158836098513333</v>
      </c>
      <c r="P85" s="24" t="n">
        <v>-0.132699224611872</v>
      </c>
      <c r="Q85" s="24" t="n">
        <v>-0.0143011967988142</v>
      </c>
      <c r="R85" s="24"/>
      <c r="S85" s="24"/>
      <c r="T85" s="24" t="n">
        <v>-0.0733681398283114</v>
      </c>
      <c r="U85" s="24" t="n">
        <v>-0.131925768158951</v>
      </c>
      <c r="V85" s="24" t="n">
        <v>-0.0143002218981499</v>
      </c>
      <c r="W85" s="24"/>
      <c r="X85" s="24"/>
      <c r="Y85" s="24" t="n">
        <v>0.0476864712948048</v>
      </c>
      <c r="Z85" s="24" t="n">
        <v>9.18229349727185E-010</v>
      </c>
      <c r="AA85" s="24" t="n">
        <v>0.00965806177742075</v>
      </c>
      <c r="AB85" s="24"/>
      <c r="AC85" s="24"/>
      <c r="AD85" s="24"/>
      <c r="AE85" s="24"/>
      <c r="AF85" s="24"/>
      <c r="AG85" s="24"/>
      <c r="AH85" s="24" t="s">
        <v>748</v>
      </c>
      <c r="AI85" s="24"/>
      <c r="AJ85" s="24" t="s">
        <v>840</v>
      </c>
    </row>
    <row r="86" customFormat="false" ht="15" hidden="false" customHeight="false" outlineLevel="0" collapsed="false">
      <c r="A86" s="24" t="s">
        <v>277</v>
      </c>
      <c r="B86" s="24" t="s">
        <v>278</v>
      </c>
      <c r="C86" s="24" t="s">
        <v>453</v>
      </c>
      <c r="D86" s="24" t="s">
        <v>454</v>
      </c>
      <c r="E86" s="24" t="s">
        <v>746</v>
      </c>
      <c r="F86" s="24" t="s">
        <v>747</v>
      </c>
      <c r="G86" s="24" t="n">
        <v>0.6</v>
      </c>
      <c r="H86" s="24" t="n">
        <v>1441</v>
      </c>
      <c r="I86" s="24" t="n">
        <v>59</v>
      </c>
      <c r="J86" s="24" t="n">
        <v>58</v>
      </c>
      <c r="K86" s="24" t="n">
        <v>-0.071489744354765</v>
      </c>
      <c r="L86" s="24" t="n">
        <v>0.029097632386218</v>
      </c>
      <c r="M86" s="24" t="n">
        <v>-2.45689214180278</v>
      </c>
      <c r="N86" s="24" t="n">
        <v>56.8734380953518</v>
      </c>
      <c r="O86" s="24" t="n">
        <v>0.0170891272451363</v>
      </c>
      <c r="P86" s="24" t="n">
        <v>-0.129759558397809</v>
      </c>
      <c r="Q86" s="24" t="n">
        <v>-0.0132199303117212</v>
      </c>
      <c r="R86" s="24"/>
      <c r="S86" s="24"/>
      <c r="T86" s="24" t="n">
        <v>-0.0713682032803379</v>
      </c>
      <c r="U86" s="24" t="n">
        <v>-0.129036152775561</v>
      </c>
      <c r="V86" s="24" t="n">
        <v>-0.0132191602316515</v>
      </c>
      <c r="W86" s="24"/>
      <c r="X86" s="24"/>
      <c r="Y86" s="24" t="n">
        <v>0.0470502877589922</v>
      </c>
      <c r="Z86" s="24" t="n">
        <v>1.00093785640346E-009</v>
      </c>
      <c r="AA86" s="24" t="n">
        <v>0.00954019224735013</v>
      </c>
      <c r="AB86" s="24"/>
      <c r="AC86" s="24"/>
      <c r="AD86" s="24"/>
      <c r="AE86" s="24"/>
      <c r="AF86" s="24"/>
      <c r="AG86" s="24"/>
      <c r="AH86" s="24" t="s">
        <v>748</v>
      </c>
      <c r="AI86" s="24"/>
      <c r="AJ86" s="24" t="s">
        <v>841</v>
      </c>
    </row>
    <row r="87" customFormat="false" ht="15" hidden="false" customHeight="false" outlineLevel="0" collapsed="false">
      <c r="A87" s="24" t="s">
        <v>277</v>
      </c>
      <c r="B87" s="24" t="s">
        <v>278</v>
      </c>
      <c r="C87" s="24" t="s">
        <v>456</v>
      </c>
      <c r="D87" s="24" t="s">
        <v>457</v>
      </c>
      <c r="E87" s="24" t="s">
        <v>746</v>
      </c>
      <c r="F87" s="24" t="s">
        <v>747</v>
      </c>
      <c r="G87" s="24" t="n">
        <v>0.6</v>
      </c>
      <c r="H87" s="24" t="n">
        <v>1446</v>
      </c>
      <c r="I87" s="24" t="n">
        <v>60</v>
      </c>
      <c r="J87" s="24" t="n">
        <v>59</v>
      </c>
      <c r="K87" s="24" t="n">
        <v>-0.0705467034228004</v>
      </c>
      <c r="L87" s="24" t="n">
        <v>0.0285835957703382</v>
      </c>
      <c r="M87" s="24" t="n">
        <v>-2.46808358156283</v>
      </c>
      <c r="N87" s="24" t="n">
        <v>57.8692839061674</v>
      </c>
      <c r="O87" s="24" t="n">
        <v>0.0165611724748229</v>
      </c>
      <c r="P87" s="24" t="n">
        <v>-0.12776573867416</v>
      </c>
      <c r="Q87" s="24" t="n">
        <v>-0.0133276681714405</v>
      </c>
      <c r="R87" s="24"/>
      <c r="S87" s="24"/>
      <c r="T87" s="24" t="n">
        <v>-0.0704299027799161</v>
      </c>
      <c r="U87" s="24" t="n">
        <v>-0.127075028856606</v>
      </c>
      <c r="V87" s="24" t="n">
        <v>-0.013326879110759</v>
      </c>
      <c r="W87" s="24"/>
      <c r="X87" s="24"/>
      <c r="Y87" s="24" t="n">
        <v>0.0461509182548145</v>
      </c>
      <c r="Z87" s="24" t="n">
        <v>1.2581847238521E-009</v>
      </c>
      <c r="AA87" s="24" t="n">
        <v>0.00952997230196526</v>
      </c>
      <c r="AB87" s="24"/>
      <c r="AC87" s="24"/>
      <c r="AD87" s="24"/>
      <c r="AE87" s="24"/>
      <c r="AF87" s="24"/>
      <c r="AG87" s="24"/>
      <c r="AH87" s="24" t="s">
        <v>748</v>
      </c>
      <c r="AI87" s="24"/>
      <c r="AJ87" s="24" t="s">
        <v>842</v>
      </c>
    </row>
    <row r="88" customFormat="false" ht="15" hidden="false" customHeight="false" outlineLevel="0" collapsed="false">
      <c r="A88" s="24" t="s">
        <v>277</v>
      </c>
      <c r="B88" s="24" t="s">
        <v>278</v>
      </c>
      <c r="C88" s="24" t="s">
        <v>459</v>
      </c>
      <c r="D88" s="24" t="s">
        <v>460</v>
      </c>
      <c r="E88" s="24" t="s">
        <v>746</v>
      </c>
      <c r="F88" s="24" t="s">
        <v>747</v>
      </c>
      <c r="G88" s="24" t="n">
        <v>0.6</v>
      </c>
      <c r="H88" s="24" t="n">
        <v>1477</v>
      </c>
      <c r="I88" s="24" t="n">
        <v>61</v>
      </c>
      <c r="J88" s="24" t="n">
        <v>60</v>
      </c>
      <c r="K88" s="24" t="n">
        <v>-0.0704676053559475</v>
      </c>
      <c r="L88" s="24" t="n">
        <v>0.0280741697542153</v>
      </c>
      <c r="M88" s="24" t="n">
        <v>-2.51005126680075</v>
      </c>
      <c r="N88" s="24" t="n">
        <v>58.8654009896063</v>
      </c>
      <c r="O88" s="24" t="n">
        <v>0.0148407063517169</v>
      </c>
      <c r="P88" s="24" t="n">
        <v>-0.12664657700974</v>
      </c>
      <c r="Q88" s="24" t="n">
        <v>-0.0142886337021547</v>
      </c>
      <c r="R88" s="24"/>
      <c r="S88" s="24"/>
      <c r="T88" s="24" t="n">
        <v>-0.0703511966305389</v>
      </c>
      <c r="U88" s="24" t="n">
        <v>-0.125973783328596</v>
      </c>
      <c r="V88" s="24" t="n">
        <v>-0.0142876613683418</v>
      </c>
      <c r="W88" s="24"/>
      <c r="X88" s="24"/>
      <c r="Y88" s="24" t="n">
        <v>0.0452815557850865</v>
      </c>
      <c r="Z88" s="24" t="n">
        <v>8.40389223347384E-010</v>
      </c>
      <c r="AA88" s="24" t="n">
        <v>0.00943849716430782</v>
      </c>
      <c r="AB88" s="24"/>
      <c r="AC88" s="24"/>
      <c r="AD88" s="24"/>
      <c r="AE88" s="24"/>
      <c r="AF88" s="24"/>
      <c r="AG88" s="24"/>
      <c r="AH88" s="24" t="s">
        <v>748</v>
      </c>
      <c r="AI88" s="24"/>
      <c r="AJ88" s="24" t="s">
        <v>843</v>
      </c>
    </row>
    <row r="89" customFormat="false" ht="15" hidden="false" customHeight="false" outlineLevel="0" collapsed="false">
      <c r="A89" s="24" t="s">
        <v>277</v>
      </c>
      <c r="B89" s="24" t="s">
        <v>278</v>
      </c>
      <c r="C89" s="24" t="s">
        <v>462</v>
      </c>
      <c r="D89" s="24" t="s">
        <v>463</v>
      </c>
      <c r="E89" s="24" t="s">
        <v>746</v>
      </c>
      <c r="F89" s="24" t="s">
        <v>747</v>
      </c>
      <c r="G89" s="24" t="n">
        <v>0.6</v>
      </c>
      <c r="H89" s="24" t="n">
        <v>1512</v>
      </c>
      <c r="I89" s="24" t="n">
        <v>62</v>
      </c>
      <c r="J89" s="24" t="n">
        <v>61</v>
      </c>
      <c r="K89" s="24" t="n">
        <v>-0.0698115893116697</v>
      </c>
      <c r="L89" s="24" t="n">
        <v>0.0276239926852414</v>
      </c>
      <c r="M89" s="24" t="n">
        <v>-2.52720850700804</v>
      </c>
      <c r="N89" s="24" t="n">
        <v>59.8652166425163</v>
      </c>
      <c r="O89" s="24" t="n">
        <v>0.0141567268715441</v>
      </c>
      <c r="P89" s="24" t="n">
        <v>-0.125070360607682</v>
      </c>
      <c r="Q89" s="24" t="n">
        <v>-0.0145528180156577</v>
      </c>
      <c r="R89" s="24"/>
      <c r="S89" s="24"/>
      <c r="T89" s="24" t="n">
        <v>-0.0696983973664493</v>
      </c>
      <c r="U89" s="24" t="n">
        <v>-0.124422273739914</v>
      </c>
      <c r="V89" s="24" t="n">
        <v>-0.0145517907488598</v>
      </c>
      <c r="W89" s="24"/>
      <c r="X89" s="24"/>
      <c r="Y89" s="24" t="n">
        <v>0.0445993615766076</v>
      </c>
      <c r="Z89" s="24" t="n">
        <v>1.13595873732875E-009</v>
      </c>
      <c r="AA89" s="24" t="n">
        <v>0.00922154734151741</v>
      </c>
      <c r="AB89" s="24"/>
      <c r="AC89" s="24"/>
      <c r="AD89" s="24"/>
      <c r="AE89" s="24"/>
      <c r="AF89" s="24"/>
      <c r="AG89" s="24"/>
      <c r="AH89" s="24" t="s">
        <v>748</v>
      </c>
      <c r="AI89" s="24"/>
      <c r="AJ89" s="24" t="s">
        <v>844</v>
      </c>
    </row>
    <row r="90" customFormat="false" ht="15" hidden="false" customHeight="false" outlineLevel="0" collapsed="false">
      <c r="A90" s="24" t="s">
        <v>277</v>
      </c>
      <c r="B90" s="24" t="s">
        <v>278</v>
      </c>
      <c r="C90" s="24" t="s">
        <v>465</v>
      </c>
      <c r="D90" s="24" t="s">
        <v>466</v>
      </c>
      <c r="E90" s="24" t="s">
        <v>746</v>
      </c>
      <c r="F90" s="24" t="s">
        <v>747</v>
      </c>
      <c r="G90" s="24" t="n">
        <v>0.6</v>
      </c>
      <c r="H90" s="24" t="n">
        <v>1545</v>
      </c>
      <c r="I90" s="24" t="n">
        <v>63</v>
      </c>
      <c r="J90" s="24" t="n">
        <v>62</v>
      </c>
      <c r="K90" s="24" t="n">
        <v>-0.0687320848668653</v>
      </c>
      <c r="L90" s="24" t="n">
        <v>0.0272004194018923</v>
      </c>
      <c r="M90" s="24" t="n">
        <v>-2.52687592243831</v>
      </c>
      <c r="N90" s="24" t="n">
        <v>60.8649356864582</v>
      </c>
      <c r="O90" s="24" t="n">
        <v>0.0141234446107798</v>
      </c>
      <c r="P90" s="24" t="n">
        <v>-0.123125126148664</v>
      </c>
      <c r="Q90" s="24" t="n">
        <v>-0.0143390435850669</v>
      </c>
      <c r="R90" s="24"/>
      <c r="S90" s="24"/>
      <c r="T90" s="24" t="n">
        <v>-0.068624056594438</v>
      </c>
      <c r="U90" s="24" t="n">
        <v>-0.12250669205228</v>
      </c>
      <c r="V90" s="24" t="n">
        <v>-0.0143380609243759</v>
      </c>
      <c r="W90" s="24"/>
      <c r="X90" s="24"/>
      <c r="Y90" s="24" t="n">
        <v>0.043979262269441</v>
      </c>
      <c r="Z90" s="24" t="n">
        <v>9.99086946344926E-010</v>
      </c>
      <c r="AA90" s="24" t="n">
        <v>0.00902059926867825</v>
      </c>
      <c r="AB90" s="24"/>
      <c r="AC90" s="24"/>
      <c r="AD90" s="24"/>
      <c r="AE90" s="24"/>
      <c r="AF90" s="24"/>
      <c r="AG90" s="24"/>
      <c r="AH90" s="24" t="s">
        <v>748</v>
      </c>
      <c r="AI90" s="24"/>
      <c r="AJ90" s="24" t="s">
        <v>845</v>
      </c>
    </row>
    <row r="91" customFormat="false" ht="15" hidden="false" customHeight="false" outlineLevel="0" collapsed="false">
      <c r="A91" s="24" t="s">
        <v>277</v>
      </c>
      <c r="B91" s="24" t="s">
        <v>278</v>
      </c>
      <c r="C91" s="24" t="s">
        <v>468</v>
      </c>
      <c r="D91" s="24" t="s">
        <v>469</v>
      </c>
      <c r="E91" s="24" t="s">
        <v>746</v>
      </c>
      <c r="F91" s="24" t="s">
        <v>747</v>
      </c>
      <c r="G91" s="24" t="n">
        <v>0.6</v>
      </c>
      <c r="H91" s="24" t="n">
        <v>1565</v>
      </c>
      <c r="I91" s="24" t="n">
        <v>64</v>
      </c>
      <c r="J91" s="24" t="n">
        <v>63</v>
      </c>
      <c r="K91" s="24" t="n">
        <v>-0.068857113447951</v>
      </c>
      <c r="L91" s="24" t="n">
        <v>0.0267539905264952</v>
      </c>
      <c r="M91" s="24" t="n">
        <v>-2.57371375607538</v>
      </c>
      <c r="N91" s="24" t="n">
        <v>61.8627136981855</v>
      </c>
      <c r="O91" s="24" t="n">
        <v>0.0124714213647954</v>
      </c>
      <c r="P91" s="24" t="n">
        <v>-0.122339939448882</v>
      </c>
      <c r="Q91" s="24" t="n">
        <v>-0.0153742874470202</v>
      </c>
      <c r="R91" s="24"/>
      <c r="S91" s="24"/>
      <c r="T91" s="24" t="n">
        <v>-0.0687484953149563</v>
      </c>
      <c r="U91" s="24" t="n">
        <v>-0.121733215105525</v>
      </c>
      <c r="V91" s="24" t="n">
        <v>-0.0153730762280177</v>
      </c>
      <c r="W91" s="24"/>
      <c r="X91" s="24"/>
      <c r="Y91" s="24" t="n">
        <v>0.0432448904973262</v>
      </c>
      <c r="Z91" s="24" t="n">
        <v>1.11583240763488E-009</v>
      </c>
      <c r="AA91" s="24" t="n">
        <v>0.00889169694074274</v>
      </c>
      <c r="AB91" s="24"/>
      <c r="AC91" s="24"/>
      <c r="AD91" s="24"/>
      <c r="AE91" s="24"/>
      <c r="AF91" s="24"/>
      <c r="AG91" s="24"/>
      <c r="AH91" s="24" t="s">
        <v>748</v>
      </c>
      <c r="AI91" s="24"/>
      <c r="AJ91" s="24" t="s">
        <v>846</v>
      </c>
    </row>
    <row r="92" customFormat="false" ht="15" hidden="false" customHeight="false" outlineLevel="0" collapsed="false">
      <c r="A92" s="24" t="s">
        <v>277</v>
      </c>
      <c r="B92" s="24" t="s">
        <v>278</v>
      </c>
      <c r="C92" s="24" t="s">
        <v>471</v>
      </c>
      <c r="D92" s="24" t="s">
        <v>472</v>
      </c>
      <c r="E92" s="24" t="s">
        <v>746</v>
      </c>
      <c r="F92" s="24" t="s">
        <v>747</v>
      </c>
      <c r="G92" s="24" t="n">
        <v>0.6</v>
      </c>
      <c r="H92" s="24" t="n">
        <v>1573</v>
      </c>
      <c r="I92" s="24" t="n">
        <v>65</v>
      </c>
      <c r="J92" s="24" t="n">
        <v>64</v>
      </c>
      <c r="K92" s="24" t="n">
        <v>-0.0671955877570492</v>
      </c>
      <c r="L92" s="24" t="n">
        <v>0.0263604867948857</v>
      </c>
      <c r="M92" s="24" t="n">
        <v>-2.54910268842554</v>
      </c>
      <c r="N92" s="24" t="n">
        <v>62.8595810954711</v>
      </c>
      <c r="O92" s="24" t="n">
        <v>0.0132533443957627</v>
      </c>
      <c r="P92" s="24" t="n">
        <v>-0.119875120253241</v>
      </c>
      <c r="Q92" s="24" t="n">
        <v>-0.0145160552608578</v>
      </c>
      <c r="R92" s="24"/>
      <c r="S92" s="24"/>
      <c r="T92" s="24" t="n">
        <v>-0.0670946351911134</v>
      </c>
      <c r="U92" s="24" t="n">
        <v>-0.119304198097137</v>
      </c>
      <c r="V92" s="24" t="n">
        <v>-0.0145150357590968</v>
      </c>
      <c r="W92" s="24"/>
      <c r="X92" s="24"/>
      <c r="Y92" s="24" t="n">
        <v>0.0426290389465169</v>
      </c>
      <c r="Z92" s="24" t="n">
        <v>1.50770853051525E-009</v>
      </c>
      <c r="AA92" s="24" t="n">
        <v>0.00887528264663025</v>
      </c>
      <c r="AB92" s="24"/>
      <c r="AC92" s="24"/>
      <c r="AD92" s="24"/>
      <c r="AE92" s="24"/>
      <c r="AF92" s="24"/>
      <c r="AG92" s="24"/>
      <c r="AH92" s="24" t="s">
        <v>748</v>
      </c>
      <c r="AI92" s="24"/>
      <c r="AJ92" s="24" t="s">
        <v>847</v>
      </c>
    </row>
    <row r="93" customFormat="false" ht="15" hidden="false" customHeight="false" outlineLevel="0" collapsed="false">
      <c r="A93" s="24" t="s">
        <v>277</v>
      </c>
      <c r="B93" s="24" t="s">
        <v>278</v>
      </c>
      <c r="C93" s="24" t="s">
        <v>474</v>
      </c>
      <c r="D93" s="24" t="s">
        <v>475</v>
      </c>
      <c r="E93" s="24" t="s">
        <v>746</v>
      </c>
      <c r="F93" s="24" t="s">
        <v>747</v>
      </c>
      <c r="G93" s="24" t="n">
        <v>0.6</v>
      </c>
      <c r="H93" s="24" t="n">
        <v>1591</v>
      </c>
      <c r="I93" s="24" t="n">
        <v>66</v>
      </c>
      <c r="J93" s="24" t="n">
        <v>65</v>
      </c>
      <c r="K93" s="24" t="n">
        <v>-0.0663709031352939</v>
      </c>
      <c r="L93" s="24" t="n">
        <v>0.0259442557021496</v>
      </c>
      <c r="M93" s="24" t="n">
        <v>-2.55821187924056</v>
      </c>
      <c r="N93" s="24" t="n">
        <v>63.8566374358986</v>
      </c>
      <c r="O93" s="24" t="n">
        <v>0.0129043268128472</v>
      </c>
      <c r="P93" s="24" t="n">
        <v>-0.118202753217815</v>
      </c>
      <c r="Q93" s="24" t="n">
        <v>-0.0145390530527727</v>
      </c>
      <c r="R93" s="24"/>
      <c r="S93" s="24"/>
      <c r="T93" s="24" t="n">
        <v>-0.0662736178015944</v>
      </c>
      <c r="U93" s="24" t="n">
        <v>-0.117655307233836</v>
      </c>
      <c r="V93" s="24" t="n">
        <v>-0.0145380286980134</v>
      </c>
      <c r="W93" s="24"/>
      <c r="X93" s="24"/>
      <c r="Y93" s="24" t="n">
        <v>0.041942463937612</v>
      </c>
      <c r="Z93" s="24" t="n">
        <v>1.22070353661701E-009</v>
      </c>
      <c r="AA93" s="24" t="n">
        <v>0.00879050226904288</v>
      </c>
      <c r="AB93" s="24"/>
      <c r="AC93" s="24"/>
      <c r="AD93" s="24"/>
      <c r="AE93" s="24"/>
      <c r="AF93" s="24"/>
      <c r="AG93" s="24"/>
      <c r="AH93" s="24" t="s">
        <v>748</v>
      </c>
      <c r="AI93" s="24"/>
      <c r="AJ93" s="24" t="s">
        <v>848</v>
      </c>
    </row>
    <row r="94" customFormat="false" ht="15" hidden="false" customHeight="false" outlineLevel="0" collapsed="false">
      <c r="A94" s="24" t="s">
        <v>277</v>
      </c>
      <c r="B94" s="24" t="s">
        <v>278</v>
      </c>
      <c r="C94" s="24" t="s">
        <v>477</v>
      </c>
      <c r="D94" s="24" t="s">
        <v>478</v>
      </c>
      <c r="E94" s="24" t="s">
        <v>746</v>
      </c>
      <c r="F94" s="24" t="s">
        <v>747</v>
      </c>
      <c r="G94" s="24" t="n">
        <v>0.6</v>
      </c>
      <c r="H94" s="24" t="n">
        <v>1711</v>
      </c>
      <c r="I94" s="24" t="n">
        <v>67</v>
      </c>
      <c r="J94" s="24" t="n">
        <v>66</v>
      </c>
      <c r="K94" s="24" t="n">
        <v>-0.0656374110688086</v>
      </c>
      <c r="L94" s="24" t="n">
        <v>0.0256963077829649</v>
      </c>
      <c r="M94" s="24" t="n">
        <v>-2.55435184008506</v>
      </c>
      <c r="N94" s="24" t="n">
        <v>64.8700407940891</v>
      </c>
      <c r="O94" s="24" t="n">
        <v>0.0129956882040386</v>
      </c>
      <c r="P94" s="24" t="n">
        <v>-0.116958430574326</v>
      </c>
      <c r="Q94" s="24" t="n">
        <v>-0.0143163915632916</v>
      </c>
      <c r="R94" s="24"/>
      <c r="S94" s="24"/>
      <c r="T94" s="24" t="n">
        <v>-0.0655433120033504</v>
      </c>
      <c r="U94" s="24" t="n">
        <v>-0.11642803042281</v>
      </c>
      <c r="V94" s="24" t="n">
        <v>-0.0143154135520513</v>
      </c>
      <c r="W94" s="24"/>
      <c r="X94" s="24"/>
      <c r="Y94" s="24" t="n">
        <v>0.041892896833979</v>
      </c>
      <c r="Z94" s="24" t="n">
        <v>1.51423234348689E-009</v>
      </c>
      <c r="AA94" s="24" t="n">
        <v>0.00810678753902545</v>
      </c>
      <c r="AB94" s="24"/>
      <c r="AC94" s="24"/>
      <c r="AD94" s="24"/>
      <c r="AE94" s="24"/>
      <c r="AF94" s="24"/>
      <c r="AG94" s="24"/>
      <c r="AH94" s="24" t="s">
        <v>748</v>
      </c>
      <c r="AI94" s="24"/>
      <c r="AJ94" s="24" t="s">
        <v>849</v>
      </c>
    </row>
    <row r="95" customFormat="false" ht="15" hidden="false" customHeight="false" outlineLevel="0" collapsed="false">
      <c r="A95" s="24" t="s">
        <v>277</v>
      </c>
      <c r="B95" s="24" t="s">
        <v>278</v>
      </c>
      <c r="C95" s="24" t="s">
        <v>480</v>
      </c>
      <c r="D95" s="24" t="s">
        <v>481</v>
      </c>
      <c r="E95" s="24" t="s">
        <v>746</v>
      </c>
      <c r="F95" s="24" t="s">
        <v>747</v>
      </c>
      <c r="G95" s="24" t="n">
        <v>0.6</v>
      </c>
      <c r="H95" s="24" t="n">
        <v>1714</v>
      </c>
      <c r="I95" s="24" t="n">
        <v>68</v>
      </c>
      <c r="J95" s="24" t="n">
        <v>67</v>
      </c>
      <c r="K95" s="24" t="n">
        <v>-0.0640094999350868</v>
      </c>
      <c r="L95" s="24" t="n">
        <v>0.0253747283749434</v>
      </c>
      <c r="M95" s="24" t="n">
        <v>-2.52256887203938</v>
      </c>
      <c r="N95" s="24" t="n">
        <v>65.8602803750082</v>
      </c>
      <c r="O95" s="24" t="n">
        <v>0.0140740826330006</v>
      </c>
      <c r="P95" s="24" t="n">
        <v>-0.11467378592798</v>
      </c>
      <c r="Q95" s="24" t="n">
        <v>-0.0133452139421941</v>
      </c>
      <c r="R95" s="24"/>
      <c r="S95" s="24"/>
      <c r="T95" s="24" t="n">
        <v>-0.0639222227188984</v>
      </c>
      <c r="U95" s="24" t="n">
        <v>-0.114173759539163</v>
      </c>
      <c r="V95" s="24" t="n">
        <v>-0.0133444217611798</v>
      </c>
      <c r="W95" s="24"/>
      <c r="X95" s="24"/>
      <c r="Y95" s="24" t="n">
        <v>0.0413994409328892</v>
      </c>
      <c r="Z95" s="24" t="n">
        <v>1.03678800718577E-009</v>
      </c>
      <c r="AA95" s="24" t="n">
        <v>0.00810166123932911</v>
      </c>
      <c r="AB95" s="24"/>
      <c r="AC95" s="24"/>
      <c r="AD95" s="24"/>
      <c r="AE95" s="24"/>
      <c r="AF95" s="24"/>
      <c r="AG95" s="24"/>
      <c r="AH95" s="24" t="s">
        <v>748</v>
      </c>
      <c r="AI95" s="24"/>
      <c r="AJ95" s="24" t="s">
        <v>850</v>
      </c>
    </row>
    <row r="96" customFormat="false" ht="15" hidden="false" customHeight="false" outlineLevel="0" collapsed="false">
      <c r="A96" s="24" t="s">
        <v>277</v>
      </c>
      <c r="B96" s="24" t="s">
        <v>278</v>
      </c>
      <c r="C96" s="24" t="s">
        <v>483</v>
      </c>
      <c r="D96" s="24" t="s">
        <v>484</v>
      </c>
      <c r="E96" s="24" t="s">
        <v>746</v>
      </c>
      <c r="F96" s="24" t="s">
        <v>747</v>
      </c>
      <c r="G96" s="24" t="n">
        <v>0.6</v>
      </c>
      <c r="H96" s="24" t="n">
        <v>1719</v>
      </c>
      <c r="I96" s="24" t="n">
        <v>69</v>
      </c>
      <c r="J96" s="24" t="n">
        <v>68</v>
      </c>
      <c r="K96" s="24" t="n">
        <v>-0.0630011013440417</v>
      </c>
      <c r="L96" s="24" t="n">
        <v>0.0249994802335072</v>
      </c>
      <c r="M96" s="24" t="n">
        <v>-2.52009644822937</v>
      </c>
      <c r="N96" s="24" t="n">
        <v>66.8569301910507</v>
      </c>
      <c r="O96" s="24" t="n">
        <v>0.0141268534300243</v>
      </c>
      <c r="P96" s="24" t="n">
        <v>-0.112902235649803</v>
      </c>
      <c r="Q96" s="24" t="n">
        <v>-0.0130999670382805</v>
      </c>
      <c r="R96" s="24"/>
      <c r="S96" s="24"/>
      <c r="T96" s="24" t="n">
        <v>-0.0629178800969054</v>
      </c>
      <c r="U96" s="24" t="n">
        <v>-0.11242495067314</v>
      </c>
      <c r="V96" s="24" t="n">
        <v>-0.0130992177317054</v>
      </c>
      <c r="W96" s="24"/>
      <c r="X96" s="24"/>
      <c r="Y96" s="24" t="n">
        <v>0.0407624913678035</v>
      </c>
      <c r="Z96" s="24" t="n">
        <v>8.76929758679844E-010</v>
      </c>
      <c r="AA96" s="24" t="n">
        <v>0.00807963336980359</v>
      </c>
      <c r="AB96" s="24"/>
      <c r="AC96" s="24"/>
      <c r="AD96" s="24"/>
      <c r="AE96" s="24"/>
      <c r="AF96" s="24"/>
      <c r="AG96" s="24"/>
      <c r="AH96" s="24" t="s">
        <v>748</v>
      </c>
      <c r="AI96" s="24"/>
      <c r="AJ96" s="24" t="s">
        <v>851</v>
      </c>
    </row>
    <row r="97" customFormat="false" ht="15" hidden="false" customHeight="false" outlineLevel="0" collapsed="false">
      <c r="A97" s="24" t="s">
        <v>277</v>
      </c>
      <c r="B97" s="24" t="s">
        <v>278</v>
      </c>
      <c r="C97" s="24" t="s">
        <v>486</v>
      </c>
      <c r="D97" s="24" t="s">
        <v>487</v>
      </c>
      <c r="E97" s="24" t="s">
        <v>746</v>
      </c>
      <c r="F97" s="24" t="s">
        <v>747</v>
      </c>
      <c r="G97" s="24" t="n">
        <v>0.6</v>
      </c>
      <c r="H97" s="24" t="n">
        <v>1754</v>
      </c>
      <c r="I97" s="24" t="n">
        <v>70</v>
      </c>
      <c r="J97" s="24" t="n">
        <v>69</v>
      </c>
      <c r="K97" s="24" t="n">
        <v>-0.0627290498366058</v>
      </c>
      <c r="L97" s="24" t="n">
        <v>0.0246420865187052</v>
      </c>
      <c r="M97" s="24" t="n">
        <v>-2.54560626548364</v>
      </c>
      <c r="N97" s="24" t="n">
        <v>67.8565296095345</v>
      </c>
      <c r="O97" s="24" t="n">
        <v>0.0131859126425662</v>
      </c>
      <c r="P97" s="24" t="n">
        <v>-0.111903450473692</v>
      </c>
      <c r="Q97" s="24" t="n">
        <v>-0.0135546491995196</v>
      </c>
      <c r="R97" s="24"/>
      <c r="S97" s="24"/>
      <c r="T97" s="24" t="n">
        <v>-0.0626469009171515</v>
      </c>
      <c r="U97" s="24" t="n">
        <v>-0.111438679093081</v>
      </c>
      <c r="V97" s="24" t="n">
        <v>-0.0135538191353329</v>
      </c>
      <c r="W97" s="24"/>
      <c r="X97" s="24"/>
      <c r="Y97" s="24" t="n">
        <v>0.0401993358938593</v>
      </c>
      <c r="Z97" s="24" t="n">
        <v>1.03002908590948E-009</v>
      </c>
      <c r="AA97" s="24" t="n">
        <v>0.00792934657195899</v>
      </c>
      <c r="AB97" s="24"/>
      <c r="AC97" s="24"/>
      <c r="AD97" s="24"/>
      <c r="AE97" s="24"/>
      <c r="AF97" s="24"/>
      <c r="AG97" s="24"/>
      <c r="AH97" s="24" t="s">
        <v>748</v>
      </c>
      <c r="AI97" s="24"/>
      <c r="AJ97" s="24" t="s">
        <v>852</v>
      </c>
    </row>
    <row r="98" customFormat="false" ht="15" hidden="false" customHeight="false" outlineLevel="0" collapsed="false">
      <c r="A98" s="24" t="s">
        <v>277</v>
      </c>
      <c r="B98" s="24" t="s">
        <v>278</v>
      </c>
      <c r="C98" s="24" t="s">
        <v>489</v>
      </c>
      <c r="D98" s="24" t="s">
        <v>490</v>
      </c>
      <c r="E98" s="24" t="s">
        <v>746</v>
      </c>
      <c r="F98" s="24" t="s">
        <v>747</v>
      </c>
      <c r="G98" s="24" t="n">
        <v>0.6</v>
      </c>
      <c r="H98" s="24" t="n">
        <v>1790</v>
      </c>
      <c r="I98" s="24" t="n">
        <v>71</v>
      </c>
      <c r="J98" s="24" t="n">
        <v>70</v>
      </c>
      <c r="K98" s="24" t="n">
        <v>-0.0621076219863615</v>
      </c>
      <c r="L98" s="24" t="n">
        <v>0.0243057308010925</v>
      </c>
      <c r="M98" s="24" t="n">
        <v>-2.55526659513443</v>
      </c>
      <c r="N98" s="24" t="n">
        <v>68.8565345103352</v>
      </c>
      <c r="O98" s="24" t="n">
        <v>0.0128235121339403</v>
      </c>
      <c r="P98" s="24" t="n">
        <v>-0.110598030625216</v>
      </c>
      <c r="Q98" s="24" t="n">
        <v>-0.0136172133475067</v>
      </c>
      <c r="R98" s="24"/>
      <c r="S98" s="24"/>
      <c r="T98" s="24" t="n">
        <v>-0.0620278879250764</v>
      </c>
      <c r="U98" s="24" t="n">
        <v>-0.110149283862987</v>
      </c>
      <c r="V98" s="24" t="n">
        <v>-0.0136163717367846</v>
      </c>
      <c r="W98" s="24"/>
      <c r="X98" s="24"/>
      <c r="Y98" s="24" t="n">
        <v>0.0397006340953377</v>
      </c>
      <c r="Z98" s="24" t="n">
        <v>1.01858982189509E-009</v>
      </c>
      <c r="AA98" s="24" t="n">
        <v>0.00775178011227659</v>
      </c>
      <c r="AB98" s="24"/>
      <c r="AC98" s="24"/>
      <c r="AD98" s="24"/>
      <c r="AE98" s="24"/>
      <c r="AF98" s="24"/>
      <c r="AG98" s="24"/>
      <c r="AH98" s="24" t="s">
        <v>748</v>
      </c>
      <c r="AI98" s="24"/>
      <c r="AJ98" s="24" t="s">
        <v>853</v>
      </c>
    </row>
    <row r="99" customFormat="false" ht="15" hidden="false" customHeight="false" outlineLevel="0" collapsed="false">
      <c r="A99" s="24" t="s">
        <v>277</v>
      </c>
      <c r="B99" s="24" t="s">
        <v>278</v>
      </c>
      <c r="C99" s="24" t="s">
        <v>492</v>
      </c>
      <c r="D99" s="24" t="s">
        <v>493</v>
      </c>
      <c r="E99" s="24" t="s">
        <v>746</v>
      </c>
      <c r="F99" s="24" t="s">
        <v>747</v>
      </c>
      <c r="G99" s="24" t="n">
        <v>0.6</v>
      </c>
      <c r="H99" s="24" t="n">
        <v>1844</v>
      </c>
      <c r="I99" s="24" t="n">
        <v>72</v>
      </c>
      <c r="J99" s="24" t="n">
        <v>71</v>
      </c>
      <c r="K99" s="24" t="n">
        <v>-0.0611510281824199</v>
      </c>
      <c r="L99" s="24" t="n">
        <v>0.0240175105808929</v>
      </c>
      <c r="M99" s="24" t="n">
        <v>-2.54610185249876</v>
      </c>
      <c r="N99" s="24" t="n">
        <v>69.8596499985997</v>
      </c>
      <c r="O99" s="24" t="n">
        <v>0.0131013246159266</v>
      </c>
      <c r="P99" s="24" t="n">
        <v>-0.109054134590465</v>
      </c>
      <c r="Q99" s="24" t="n">
        <v>-0.0132479217743749</v>
      </c>
      <c r="R99" s="24"/>
      <c r="S99" s="24"/>
      <c r="T99" s="24" t="n">
        <v>-0.0610749183222178</v>
      </c>
      <c r="U99" s="24" t="n">
        <v>-0.108623861510133</v>
      </c>
      <c r="V99" s="24" t="n">
        <v>-0.0132471467925405</v>
      </c>
      <c r="W99" s="24"/>
      <c r="X99" s="24"/>
      <c r="Y99" s="24" t="n">
        <v>0.0393627585642087</v>
      </c>
      <c r="Z99" s="24" t="n">
        <v>1.23769877201496E-009</v>
      </c>
      <c r="AA99" s="24" t="n">
        <v>0.00748038042469566</v>
      </c>
      <c r="AB99" s="24"/>
      <c r="AC99" s="24"/>
      <c r="AD99" s="24"/>
      <c r="AE99" s="24"/>
      <c r="AF99" s="24"/>
      <c r="AG99" s="24"/>
      <c r="AH99" s="24" t="s">
        <v>748</v>
      </c>
      <c r="AI99" s="24"/>
      <c r="AJ99" s="24" t="s">
        <v>854</v>
      </c>
    </row>
    <row r="100" customFormat="false" ht="15" hidden="false" customHeight="false" outlineLevel="0" collapsed="false">
      <c r="A100" s="24" t="s">
        <v>277</v>
      </c>
      <c r="B100" s="24" t="s">
        <v>278</v>
      </c>
      <c r="C100" s="24" t="s">
        <v>495</v>
      </c>
      <c r="D100" s="24" t="s">
        <v>496</v>
      </c>
      <c r="E100" s="24" t="s">
        <v>746</v>
      </c>
      <c r="F100" s="24" t="s">
        <v>747</v>
      </c>
      <c r="G100" s="24" t="n">
        <v>0.6</v>
      </c>
      <c r="H100" s="24" t="n">
        <v>1858</v>
      </c>
      <c r="I100" s="24" t="n">
        <v>73</v>
      </c>
      <c r="J100" s="24" t="n">
        <v>72</v>
      </c>
      <c r="K100" s="24" t="n">
        <v>-0.060786376629729</v>
      </c>
      <c r="L100" s="24" t="n">
        <v>0.0236692514932136</v>
      </c>
      <c r="M100" s="24" t="n">
        <v>-2.56815796000805</v>
      </c>
      <c r="N100" s="24" t="n">
        <v>70.8567911542306</v>
      </c>
      <c r="O100" s="24" t="n">
        <v>0.0123335540246349</v>
      </c>
      <c r="P100" s="24" t="n">
        <v>-0.107983176705175</v>
      </c>
      <c r="Q100" s="24" t="n">
        <v>-0.013589576554283</v>
      </c>
      <c r="R100" s="24"/>
      <c r="S100" s="24"/>
      <c r="T100" s="24" t="n">
        <v>-0.0607116188979672</v>
      </c>
      <c r="U100" s="24" t="n">
        <v>-0.107565417284559</v>
      </c>
      <c r="V100" s="24" t="n">
        <v>-0.0135887400571854</v>
      </c>
      <c r="W100" s="24"/>
      <c r="X100" s="24"/>
      <c r="Y100" s="24" t="n">
        <v>0.0387663532634486</v>
      </c>
      <c r="Z100" s="24" t="n">
        <v>1.01233483818838E-009</v>
      </c>
      <c r="AA100" s="24" t="n">
        <v>0.00742115620192673</v>
      </c>
      <c r="AB100" s="24"/>
      <c r="AC100" s="24"/>
      <c r="AD100" s="24"/>
      <c r="AE100" s="24"/>
      <c r="AF100" s="24"/>
      <c r="AG100" s="24"/>
      <c r="AH100" s="24" t="s">
        <v>748</v>
      </c>
      <c r="AI100" s="24"/>
      <c r="AJ100" s="24" t="s">
        <v>855</v>
      </c>
    </row>
    <row r="101" customFormat="false" ht="15" hidden="false" customHeight="false" outlineLevel="0" collapsed="false">
      <c r="A101" s="24" t="s">
        <v>277</v>
      </c>
      <c r="B101" s="24" t="s">
        <v>278</v>
      </c>
      <c r="C101" s="24" t="s">
        <v>498</v>
      </c>
      <c r="D101" s="24" t="s">
        <v>499</v>
      </c>
      <c r="E101" s="24" t="s">
        <v>746</v>
      </c>
      <c r="F101" s="24" t="s">
        <v>747</v>
      </c>
      <c r="G101" s="24" t="n">
        <v>0.6</v>
      </c>
      <c r="H101" s="24" t="n">
        <v>1894</v>
      </c>
      <c r="I101" s="24" t="n">
        <v>74</v>
      </c>
      <c r="J101" s="24" t="n">
        <v>73</v>
      </c>
      <c r="K101" s="24" t="n">
        <v>-0.0601082555573741</v>
      </c>
      <c r="L101" s="24" t="n">
        <v>0.0232791485409457</v>
      </c>
      <c r="M101" s="24" t="n">
        <v>-2.582064178664</v>
      </c>
      <c r="N101" s="24" t="n">
        <v>71.8471138704243</v>
      </c>
      <c r="O101" s="24" t="n">
        <v>0.0118596493882659</v>
      </c>
      <c r="P101" s="24" t="n">
        <v>-0.106516077208467</v>
      </c>
      <c r="Q101" s="24" t="n">
        <v>-0.0137004339062814</v>
      </c>
      <c r="R101" s="24"/>
      <c r="S101" s="24"/>
      <c r="T101" s="24" t="n">
        <v>-0.0600359695997266</v>
      </c>
      <c r="U101" s="24" t="n">
        <v>-0.106115064758669</v>
      </c>
      <c r="V101" s="24" t="n">
        <v>-0.0136995767715265</v>
      </c>
      <c r="W101" s="24"/>
      <c r="X101" s="24"/>
      <c r="Y101" s="24" t="n">
        <v>0.0379823383813139</v>
      </c>
      <c r="Z101" s="24" t="n">
        <v>1.27763647485342E-009</v>
      </c>
      <c r="AA101" s="24" t="n">
        <v>0.00757692529986334</v>
      </c>
      <c r="AB101" s="24"/>
      <c r="AC101" s="24"/>
      <c r="AD101" s="24"/>
      <c r="AE101" s="24"/>
      <c r="AF101" s="24"/>
      <c r="AG101" s="24"/>
      <c r="AH101" s="24" t="s">
        <v>748</v>
      </c>
      <c r="AI101" s="24"/>
      <c r="AJ101" s="24" t="s">
        <v>856</v>
      </c>
    </row>
    <row r="102" customFormat="false" ht="15" hidden="false" customHeight="false" outlineLevel="0" collapsed="false">
      <c r="A102" s="24" t="s">
        <v>277</v>
      </c>
      <c r="B102" s="24" t="s">
        <v>278</v>
      </c>
      <c r="C102" s="24" t="s">
        <v>501</v>
      </c>
      <c r="D102" s="24" t="s">
        <v>502</v>
      </c>
      <c r="E102" s="24" t="s">
        <v>746</v>
      </c>
      <c r="F102" s="24" t="s">
        <v>747</v>
      </c>
      <c r="G102" s="24" t="n">
        <v>0.6</v>
      </c>
      <c r="H102" s="24" t="n">
        <v>1898</v>
      </c>
      <c r="I102" s="24" t="n">
        <v>75</v>
      </c>
      <c r="J102" s="24" t="n">
        <v>74</v>
      </c>
      <c r="K102" s="24" t="n">
        <v>-0.0588893705125639</v>
      </c>
      <c r="L102" s="24" t="n">
        <v>0.0229450486063056</v>
      </c>
      <c r="M102" s="24" t="n">
        <v>-2.56653936642263</v>
      </c>
      <c r="N102" s="24" t="n">
        <v>72.8394245443203</v>
      </c>
      <c r="O102" s="24" t="n">
        <v>0.0123266398155946</v>
      </c>
      <c r="P102" s="24" t="n">
        <v>-0.104620484867964</v>
      </c>
      <c r="Q102" s="24" t="n">
        <v>-0.0131582561571635</v>
      </c>
      <c r="R102" s="24"/>
      <c r="S102" s="24"/>
      <c r="T102" s="24" t="n">
        <v>-0.0588213895260245</v>
      </c>
      <c r="U102" s="24" t="n">
        <v>-0.104240442722791</v>
      </c>
      <c r="V102" s="24" t="n">
        <v>-0.0131574968042229</v>
      </c>
      <c r="W102" s="24"/>
      <c r="X102" s="24"/>
      <c r="Y102" s="24" t="n">
        <v>0.0373615306197954</v>
      </c>
      <c r="Z102" s="24" t="n">
        <v>1.04657687780874E-009</v>
      </c>
      <c r="AA102" s="24" t="n">
        <v>0.00769319303323484</v>
      </c>
      <c r="AB102" s="24"/>
      <c r="AC102" s="24"/>
      <c r="AD102" s="24"/>
      <c r="AE102" s="24"/>
      <c r="AF102" s="24"/>
      <c r="AG102" s="24"/>
      <c r="AH102" s="24" t="s">
        <v>748</v>
      </c>
      <c r="AI102" s="24"/>
      <c r="AJ102" s="24" t="s">
        <v>857</v>
      </c>
    </row>
    <row r="103" customFormat="false" ht="15" hidden="false" customHeight="false" outlineLevel="0" collapsed="false">
      <c r="A103" s="24" t="s">
        <v>277</v>
      </c>
      <c r="B103" s="24" t="s">
        <v>278</v>
      </c>
      <c r="C103" s="24" t="s">
        <v>504</v>
      </c>
      <c r="D103" s="24" t="s">
        <v>505</v>
      </c>
      <c r="E103" s="24" t="s">
        <v>746</v>
      </c>
      <c r="F103" s="24" t="s">
        <v>747</v>
      </c>
      <c r="G103" s="24" t="n">
        <v>0.6</v>
      </c>
      <c r="H103" s="24" t="n">
        <v>1926</v>
      </c>
      <c r="I103" s="24" t="n">
        <v>76</v>
      </c>
      <c r="J103" s="24" t="n">
        <v>75</v>
      </c>
      <c r="K103" s="24" t="n">
        <v>-0.0583390345991679</v>
      </c>
      <c r="L103" s="24" t="n">
        <v>0.0226444592342342</v>
      </c>
      <c r="M103" s="24" t="n">
        <v>-2.57630504644466</v>
      </c>
      <c r="N103" s="24" t="n">
        <v>73.8383260052575</v>
      </c>
      <c r="O103" s="24" t="n">
        <v>0.0119842306851695</v>
      </c>
      <c r="P103" s="24" t="n">
        <v>-0.103460746138852</v>
      </c>
      <c r="Q103" s="24" t="n">
        <v>-0.0132173230594842</v>
      </c>
      <c r="R103" s="24"/>
      <c r="S103" s="24"/>
      <c r="T103" s="24" t="n">
        <v>-0.0582729400518249</v>
      </c>
      <c r="U103" s="24" t="n">
        <v>-0.103093167614119</v>
      </c>
      <c r="V103" s="24" t="n">
        <v>-0.013216553434932</v>
      </c>
      <c r="W103" s="24"/>
      <c r="X103" s="24"/>
      <c r="Y103" s="24" t="n">
        <v>0.0368957125136294</v>
      </c>
      <c r="Z103" s="24" t="n">
        <v>1.06757111394502E-009</v>
      </c>
      <c r="AA103" s="24" t="n">
        <v>0.00756614112640443</v>
      </c>
      <c r="AB103" s="24"/>
      <c r="AC103" s="24"/>
      <c r="AD103" s="24"/>
      <c r="AE103" s="24"/>
      <c r="AF103" s="24"/>
      <c r="AG103" s="24"/>
      <c r="AH103" s="24" t="s">
        <v>748</v>
      </c>
      <c r="AI103" s="24"/>
      <c r="AJ103" s="24" t="s">
        <v>858</v>
      </c>
    </row>
    <row r="104" customFormat="false" ht="15" hidden="false" customHeight="false" outlineLevel="0" collapsed="false">
      <c r="A104" s="24" t="s">
        <v>277</v>
      </c>
      <c r="B104" s="24" t="s">
        <v>278</v>
      </c>
      <c r="C104" s="24" t="s">
        <v>507</v>
      </c>
      <c r="D104" s="24" t="s">
        <v>508</v>
      </c>
      <c r="E104" s="24" t="s">
        <v>746</v>
      </c>
      <c r="F104" s="24" t="s">
        <v>747</v>
      </c>
      <c r="G104" s="24" t="n">
        <v>0.6</v>
      </c>
      <c r="H104" s="24" t="n">
        <v>1928</v>
      </c>
      <c r="I104" s="24" t="n">
        <v>77</v>
      </c>
      <c r="J104" s="24" t="n">
        <v>76</v>
      </c>
      <c r="K104" s="24" t="n">
        <v>-0.0586581584712739</v>
      </c>
      <c r="L104" s="24" t="n">
        <v>0.0223485228043189</v>
      </c>
      <c r="M104" s="24" t="n">
        <v>-2.62469958237858</v>
      </c>
      <c r="N104" s="24" t="n">
        <v>74.8295657160434</v>
      </c>
      <c r="O104" s="24" t="n">
        <v>0.0105085846756176</v>
      </c>
      <c r="P104" s="24" t="n">
        <v>-0.103180361003162</v>
      </c>
      <c r="Q104" s="24" t="n">
        <v>-0.0141359559393854</v>
      </c>
      <c r="R104" s="24"/>
      <c r="S104" s="24"/>
      <c r="T104" s="24" t="n">
        <v>-0.0585909743386031</v>
      </c>
      <c r="U104" s="24" t="n">
        <v>-0.10281575445649</v>
      </c>
      <c r="V104" s="24" t="n">
        <v>-0.0141350144409947</v>
      </c>
      <c r="W104" s="24"/>
      <c r="X104" s="24"/>
      <c r="Y104" s="24" t="n">
        <v>0.0363636589932378</v>
      </c>
      <c r="Z104" s="24" t="n">
        <v>1.30247358272254E-009</v>
      </c>
      <c r="AA104" s="24" t="n">
        <v>0.00756192992490267</v>
      </c>
      <c r="AB104" s="24"/>
      <c r="AC104" s="24"/>
      <c r="AD104" s="24"/>
      <c r="AE104" s="24"/>
      <c r="AF104" s="24"/>
      <c r="AG104" s="24"/>
      <c r="AH104" s="24" t="s">
        <v>748</v>
      </c>
      <c r="AI104" s="24"/>
      <c r="AJ104" s="24" t="s">
        <v>859</v>
      </c>
    </row>
    <row r="105" customFormat="false" ht="15" hidden="false" customHeight="false" outlineLevel="0" collapsed="false">
      <c r="A105" s="24" t="s">
        <v>277</v>
      </c>
      <c r="B105" s="24" t="s">
        <v>278</v>
      </c>
      <c r="C105" s="24" t="s">
        <v>510</v>
      </c>
      <c r="D105" s="24" t="s">
        <v>511</v>
      </c>
      <c r="E105" s="24" t="s">
        <v>746</v>
      </c>
      <c r="F105" s="24" t="s">
        <v>747</v>
      </c>
      <c r="G105" s="24" t="n">
        <v>0.6</v>
      </c>
      <c r="H105" s="24" t="n">
        <v>1936</v>
      </c>
      <c r="I105" s="24" t="n">
        <v>78</v>
      </c>
      <c r="J105" s="24" t="n">
        <v>77</v>
      </c>
      <c r="K105" s="24" t="n">
        <v>-0.0617120200636748</v>
      </c>
      <c r="L105" s="24" t="n">
        <v>0.0206751134768499</v>
      </c>
      <c r="M105" s="24" t="n">
        <v>-2.98484553097008</v>
      </c>
      <c r="N105" s="24" t="n">
        <v>75.455356212207</v>
      </c>
      <c r="O105" s="24" t="n">
        <v>0.00382247683898479</v>
      </c>
      <c r="P105" s="24" t="n">
        <v>-0.102894884540054</v>
      </c>
      <c r="Q105" s="24" t="n">
        <v>-0.0205291555872951</v>
      </c>
      <c r="R105" s="24"/>
      <c r="S105" s="24"/>
      <c r="T105" s="24" t="n">
        <v>-0.0616337984147716</v>
      </c>
      <c r="U105" s="24" t="n">
        <v>-0.102533287504581</v>
      </c>
      <c r="V105" s="24" t="n">
        <v>-0.0205262720949858</v>
      </c>
      <c r="W105" s="24"/>
      <c r="X105" s="24"/>
      <c r="Y105" s="24" t="n">
        <v>0.0304551319620249</v>
      </c>
      <c r="Z105" s="24" t="n">
        <v>2.23622146960818E-009</v>
      </c>
      <c r="AA105" s="24" t="n">
        <v>0.0144261925045459</v>
      </c>
      <c r="AB105" s="24"/>
      <c r="AC105" s="24"/>
      <c r="AD105" s="24"/>
      <c r="AE105" s="24"/>
      <c r="AF105" s="24"/>
      <c r="AG105" s="24"/>
      <c r="AH105" s="24" t="s">
        <v>748</v>
      </c>
      <c r="AI105" s="24"/>
      <c r="AJ105" s="24" t="s">
        <v>860</v>
      </c>
    </row>
    <row r="106" customFormat="false" ht="15" hidden="false" customHeight="false" outlineLevel="0" collapsed="false">
      <c r="A106" s="24" t="s">
        <v>277</v>
      </c>
      <c r="B106" s="24" t="s">
        <v>278</v>
      </c>
      <c r="C106" s="24" t="s">
        <v>513</v>
      </c>
      <c r="D106" s="24" t="s">
        <v>514</v>
      </c>
      <c r="E106" s="24" t="s">
        <v>746</v>
      </c>
      <c r="F106" s="24" t="s">
        <v>747</v>
      </c>
      <c r="G106" s="24" t="n">
        <v>0.6</v>
      </c>
      <c r="H106" s="24" t="n">
        <v>1939</v>
      </c>
      <c r="I106" s="24" t="n">
        <v>79</v>
      </c>
      <c r="J106" s="24" t="n">
        <v>78</v>
      </c>
      <c r="K106" s="24" t="n">
        <v>-0.0613333337316548</v>
      </c>
      <c r="L106" s="24" t="n">
        <v>0.0204624820557076</v>
      </c>
      <c r="M106" s="24" t="n">
        <v>-2.99735552924026</v>
      </c>
      <c r="N106" s="24" t="n">
        <v>76.3308014999426</v>
      </c>
      <c r="O106" s="24" t="n">
        <v>0.00367334006965386</v>
      </c>
      <c r="P106" s="24" t="n">
        <v>-0.102085042659521</v>
      </c>
      <c r="Q106" s="24" t="n">
        <v>-0.0205816248037883</v>
      </c>
      <c r="R106" s="24"/>
      <c r="S106" s="24"/>
      <c r="T106" s="24" t="n">
        <v>-0.0612565418209396</v>
      </c>
      <c r="U106" s="24" t="n">
        <v>-0.101731893183332</v>
      </c>
      <c r="V106" s="24" t="n">
        <v>-0.0205787191482035</v>
      </c>
      <c r="W106" s="24"/>
      <c r="X106" s="24"/>
      <c r="Y106" s="24" t="n">
        <v>0.0300601031227663</v>
      </c>
      <c r="Z106" s="24" t="n">
        <v>1.48113398960335E-009</v>
      </c>
      <c r="AA106" s="24" t="n">
        <v>0.014447378129491</v>
      </c>
      <c r="AB106" s="24"/>
      <c r="AC106" s="24"/>
      <c r="AD106" s="24"/>
      <c r="AE106" s="24"/>
      <c r="AF106" s="24"/>
      <c r="AG106" s="24"/>
      <c r="AH106" s="24" t="s">
        <v>748</v>
      </c>
      <c r="AI106" s="24"/>
      <c r="AJ106" s="24" t="s">
        <v>861</v>
      </c>
    </row>
    <row r="107" customFormat="false" ht="15" hidden="false" customHeight="false" outlineLevel="0" collapsed="false">
      <c r="A107" s="24" t="s">
        <v>277</v>
      </c>
      <c r="B107" s="24" t="s">
        <v>278</v>
      </c>
      <c r="C107" s="24" t="s">
        <v>516</v>
      </c>
      <c r="D107" s="24" t="s">
        <v>517</v>
      </c>
      <c r="E107" s="24" t="s">
        <v>746</v>
      </c>
      <c r="F107" s="24" t="s">
        <v>747</v>
      </c>
      <c r="G107" s="24" t="n">
        <v>0.6</v>
      </c>
      <c r="H107" s="24" t="n">
        <v>1947</v>
      </c>
      <c r="I107" s="24" t="n">
        <v>80</v>
      </c>
      <c r="J107" s="24" t="n">
        <v>79</v>
      </c>
      <c r="K107" s="24" t="n">
        <v>-0.0609444874695196</v>
      </c>
      <c r="L107" s="24" t="n">
        <v>0.0201424633645581</v>
      </c>
      <c r="M107" s="24" t="n">
        <v>-3.0256720027976</v>
      </c>
      <c r="N107" s="24" t="n">
        <v>77.3069563989545</v>
      </c>
      <c r="O107" s="24" t="n">
        <v>0.0033677135239143</v>
      </c>
      <c r="P107" s="24" t="n">
        <v>-0.10105071480939</v>
      </c>
      <c r="Q107" s="24" t="n">
        <v>-0.020838260129649</v>
      </c>
      <c r="R107" s="24"/>
      <c r="S107" s="24"/>
      <c r="T107" s="24" t="n">
        <v>-0.0608691454434717</v>
      </c>
      <c r="U107" s="24" t="n">
        <v>-0.100708162627108</v>
      </c>
      <c r="V107" s="24" t="n">
        <v>-0.0208352444327917</v>
      </c>
      <c r="W107" s="24"/>
      <c r="X107" s="24"/>
      <c r="Y107" s="24" t="n">
        <v>0.0294546587550437</v>
      </c>
      <c r="Z107" s="24" t="n">
        <v>2.06765173900253E-009</v>
      </c>
      <c r="AA107" s="24" t="n">
        <v>0.0145028114023618</v>
      </c>
      <c r="AB107" s="24"/>
      <c r="AC107" s="24"/>
      <c r="AD107" s="24"/>
      <c r="AE107" s="24"/>
      <c r="AF107" s="24"/>
      <c r="AG107" s="24"/>
      <c r="AH107" s="24" t="s">
        <v>748</v>
      </c>
      <c r="AI107" s="24"/>
      <c r="AJ107" s="24" t="s">
        <v>862</v>
      </c>
    </row>
    <row r="108" customFormat="false" ht="15" hidden="false" customHeight="false" outlineLevel="0" collapsed="false">
      <c r="A108" s="24" t="s">
        <v>277</v>
      </c>
      <c r="B108" s="24" t="s">
        <v>278</v>
      </c>
      <c r="C108" s="24" t="s">
        <v>519</v>
      </c>
      <c r="D108" s="24" t="s">
        <v>520</v>
      </c>
      <c r="E108" s="24" t="s">
        <v>746</v>
      </c>
      <c r="F108" s="24" t="s">
        <v>747</v>
      </c>
      <c r="G108" s="24" t="n">
        <v>0.6</v>
      </c>
      <c r="H108" s="24" t="n">
        <v>1980</v>
      </c>
      <c r="I108" s="24" t="n">
        <v>81</v>
      </c>
      <c r="J108" s="24" t="n">
        <v>80</v>
      </c>
      <c r="K108" s="24" t="n">
        <v>-0.0613492866901421</v>
      </c>
      <c r="L108" s="24" t="n">
        <v>0.0198937588189649</v>
      </c>
      <c r="M108" s="24" t="n">
        <v>-3.08384590606664</v>
      </c>
      <c r="N108" s="24" t="n">
        <v>78.3045512710827</v>
      </c>
      <c r="O108" s="24" t="n">
        <v>0.00282234658564592</v>
      </c>
      <c r="P108" s="24" t="n">
        <v>-0.100952292007104</v>
      </c>
      <c r="Q108" s="24" t="n">
        <v>-0.02174628137318</v>
      </c>
      <c r="R108" s="24"/>
      <c r="S108" s="24"/>
      <c r="T108" s="24" t="n">
        <v>-0.0612724349025886</v>
      </c>
      <c r="U108" s="24" t="n">
        <v>-0.100610737076708</v>
      </c>
      <c r="V108" s="24" t="n">
        <v>-0.021742854077204</v>
      </c>
      <c r="W108" s="24"/>
      <c r="X108" s="24"/>
      <c r="Y108" s="24" t="n">
        <v>0.0291001339048905</v>
      </c>
      <c r="Z108" s="24" t="n">
        <v>1.92883395097568E-009</v>
      </c>
      <c r="AA108" s="24" t="n">
        <v>0.0143125147896704</v>
      </c>
      <c r="AB108" s="24"/>
      <c r="AC108" s="24"/>
      <c r="AD108" s="24"/>
      <c r="AE108" s="24"/>
      <c r="AF108" s="24"/>
      <c r="AG108" s="24"/>
      <c r="AH108" s="24" t="s">
        <v>748</v>
      </c>
      <c r="AI108" s="24"/>
      <c r="AJ108" s="24" t="s">
        <v>863</v>
      </c>
    </row>
    <row r="109" customFormat="false" ht="15" hidden="false" customHeight="false" outlineLevel="0" collapsed="false">
      <c r="A109" s="24" t="s">
        <v>277</v>
      </c>
      <c r="B109" s="24" t="s">
        <v>278</v>
      </c>
      <c r="C109" s="24" t="s">
        <v>522</v>
      </c>
      <c r="D109" s="24" t="s">
        <v>523</v>
      </c>
      <c r="E109" s="24" t="s">
        <v>746</v>
      </c>
      <c r="F109" s="24" t="s">
        <v>747</v>
      </c>
      <c r="G109" s="24" t="n">
        <v>0.6</v>
      </c>
      <c r="H109" s="24" t="n">
        <v>1989</v>
      </c>
      <c r="I109" s="24" t="n">
        <v>82</v>
      </c>
      <c r="J109" s="24" t="n">
        <v>81</v>
      </c>
      <c r="K109" s="24" t="n">
        <v>-0.0609001111776785</v>
      </c>
      <c r="L109" s="24" t="n">
        <v>0.0196156088860179</v>
      </c>
      <c r="M109" s="24" t="n">
        <v>-3.10467605321639</v>
      </c>
      <c r="N109" s="24" t="n">
        <v>79.290219343113</v>
      </c>
      <c r="O109" s="24" t="n">
        <v>0.00264131683131968</v>
      </c>
      <c r="P109" s="24" t="n">
        <v>-0.0999417820771801</v>
      </c>
      <c r="Q109" s="24" t="n">
        <v>-0.0218584402781769</v>
      </c>
      <c r="R109" s="24"/>
      <c r="S109" s="24"/>
      <c r="T109" s="24" t="n">
        <v>-0.0608249334487438</v>
      </c>
      <c r="U109" s="24" t="n">
        <v>-0.0996103546876602</v>
      </c>
      <c r="V109" s="24" t="n">
        <v>-0.0218549596850306</v>
      </c>
      <c r="W109" s="24"/>
      <c r="X109" s="24"/>
      <c r="Y109" s="24" t="n">
        <v>0.0286261644747099</v>
      </c>
      <c r="Z109" s="24" t="n">
        <v>1.65333651512163E-009</v>
      </c>
      <c r="AA109" s="24" t="n">
        <v>0.0142554818989477</v>
      </c>
      <c r="AB109" s="24"/>
      <c r="AC109" s="24"/>
      <c r="AD109" s="24"/>
      <c r="AE109" s="24"/>
      <c r="AF109" s="24"/>
      <c r="AG109" s="24"/>
      <c r="AH109" s="24" t="s">
        <v>748</v>
      </c>
      <c r="AI109" s="24"/>
      <c r="AJ109" s="24" t="s">
        <v>864</v>
      </c>
    </row>
    <row r="110" customFormat="false" ht="15" hidden="false" customHeight="false" outlineLevel="0" collapsed="false">
      <c r="A110" s="24" t="s">
        <v>277</v>
      </c>
      <c r="B110" s="24" t="s">
        <v>278</v>
      </c>
      <c r="C110" s="24" t="s">
        <v>525</v>
      </c>
      <c r="D110" s="24" t="s">
        <v>526</v>
      </c>
      <c r="E110" s="24" t="s">
        <v>746</v>
      </c>
      <c r="F110" s="24" t="s">
        <v>747</v>
      </c>
      <c r="G110" s="24" t="n">
        <v>0.6</v>
      </c>
      <c r="H110" s="24" t="n">
        <v>1999</v>
      </c>
      <c r="I110" s="24" t="n">
        <v>83</v>
      </c>
      <c r="J110" s="24" t="n">
        <v>82</v>
      </c>
      <c r="K110" s="24" t="n">
        <v>-0.0601527066098577</v>
      </c>
      <c r="L110" s="24" t="n">
        <v>0.0193521126216293</v>
      </c>
      <c r="M110" s="24" t="n">
        <v>-3.1083276428759</v>
      </c>
      <c r="N110" s="24" t="n">
        <v>80.2751903781731</v>
      </c>
      <c r="O110" s="24" t="n">
        <v>0.00260267235944747</v>
      </c>
      <c r="P110" s="24" t="n">
        <v>-0.0986626114197314</v>
      </c>
      <c r="Q110" s="24" t="n">
        <v>-0.021642801799984</v>
      </c>
      <c r="R110" s="24"/>
      <c r="S110" s="24"/>
      <c r="T110" s="24" t="n">
        <v>-0.0600802603182713</v>
      </c>
      <c r="U110" s="24" t="n">
        <v>-0.098343715543841</v>
      </c>
      <c r="V110" s="24" t="n">
        <v>-0.0216394231918083</v>
      </c>
      <c r="W110" s="24"/>
      <c r="X110" s="24"/>
      <c r="Y110" s="24" t="n">
        <v>0.0281807754066152</v>
      </c>
      <c r="Z110" s="24" t="n">
        <v>1.47418477364028E-009</v>
      </c>
      <c r="AA110" s="24" t="n">
        <v>0.0142248718066131</v>
      </c>
      <c r="AB110" s="24"/>
      <c r="AC110" s="24"/>
      <c r="AD110" s="24"/>
      <c r="AE110" s="24"/>
      <c r="AF110" s="24"/>
      <c r="AG110" s="24"/>
      <c r="AH110" s="24" t="s">
        <v>748</v>
      </c>
      <c r="AI110" s="24"/>
      <c r="AJ110" s="24" t="s">
        <v>865</v>
      </c>
    </row>
    <row r="111" customFormat="false" ht="15" hidden="false" customHeight="false" outlineLevel="0" collapsed="false">
      <c r="A111" s="24" t="s">
        <v>277</v>
      </c>
      <c r="B111" s="24" t="s">
        <v>278</v>
      </c>
      <c r="C111" s="24" t="s">
        <v>528</v>
      </c>
      <c r="D111" s="24" t="s">
        <v>529</v>
      </c>
      <c r="E111" s="24" t="s">
        <v>746</v>
      </c>
      <c r="F111" s="24" t="s">
        <v>747</v>
      </c>
      <c r="G111" s="24" t="n">
        <v>0.6</v>
      </c>
      <c r="H111" s="24" t="n">
        <v>2037</v>
      </c>
      <c r="I111" s="24" t="n">
        <v>84</v>
      </c>
      <c r="J111" s="24" t="n">
        <v>83</v>
      </c>
      <c r="K111" s="24" t="n">
        <v>-0.0595722078033399</v>
      </c>
      <c r="L111" s="24" t="n">
        <v>0.0191380204491497</v>
      </c>
      <c r="M111" s="24" t="n">
        <v>-3.11276748614754</v>
      </c>
      <c r="N111" s="24" t="n">
        <v>81.2780014161225</v>
      </c>
      <c r="O111" s="24" t="n">
        <v>0.00255844153569608</v>
      </c>
      <c r="P111" s="24" t="n">
        <v>-0.0976488910496514</v>
      </c>
      <c r="Q111" s="24" t="n">
        <v>-0.0214955245570283</v>
      </c>
      <c r="R111" s="24"/>
      <c r="S111" s="24"/>
      <c r="T111" s="24" t="n">
        <v>-0.0595018367936915</v>
      </c>
      <c r="U111" s="24" t="n">
        <v>-0.0973396996070503</v>
      </c>
      <c r="V111" s="24" t="n">
        <v>-0.021492214445488</v>
      </c>
      <c r="W111" s="24"/>
      <c r="X111" s="24"/>
      <c r="Y111" s="24" t="n">
        <v>0.027929493933446</v>
      </c>
      <c r="Z111" s="24" t="n">
        <v>2.39405715478009E-009</v>
      </c>
      <c r="AA111" s="24" t="n">
        <v>0.0139563090197083</v>
      </c>
      <c r="AB111" s="24"/>
      <c r="AC111" s="24"/>
      <c r="AD111" s="24"/>
      <c r="AE111" s="24"/>
      <c r="AF111" s="24"/>
      <c r="AG111" s="24"/>
      <c r="AH111" s="24" t="s">
        <v>748</v>
      </c>
      <c r="AI111" s="24"/>
      <c r="AJ111" s="24" t="s">
        <v>866</v>
      </c>
    </row>
    <row r="112" customFormat="false" ht="15" hidden="false" customHeight="false" outlineLevel="0" collapsed="false">
      <c r="A112" s="24" t="s">
        <v>277</v>
      </c>
      <c r="B112" s="24" t="s">
        <v>278</v>
      </c>
      <c r="C112" s="24" t="s">
        <v>531</v>
      </c>
      <c r="D112" s="24" t="s">
        <v>532</v>
      </c>
      <c r="E112" s="24" t="s">
        <v>746</v>
      </c>
      <c r="F112" s="24" t="s">
        <v>747</v>
      </c>
      <c r="G112" s="24" t="n">
        <v>0.6</v>
      </c>
      <c r="H112" s="24" t="n">
        <v>2042</v>
      </c>
      <c r="I112" s="24" t="n">
        <v>85</v>
      </c>
      <c r="J112" s="24" t="n">
        <v>84</v>
      </c>
      <c r="K112" s="24" t="n">
        <v>-0.0603729866539109</v>
      </c>
      <c r="L112" s="24" t="n">
        <v>0.0188560680106653</v>
      </c>
      <c r="M112" s="24" t="n">
        <v>-3.20178027676623</v>
      </c>
      <c r="N112" s="24" t="n">
        <v>82.2450740167446</v>
      </c>
      <c r="O112" s="24" t="n">
        <v>0.0019424888974834</v>
      </c>
      <c r="P112" s="24" t="n">
        <v>-0.0978820392669569</v>
      </c>
      <c r="Q112" s="24" t="n">
        <v>-0.0228639340408648</v>
      </c>
      <c r="R112" s="24"/>
      <c r="S112" s="24"/>
      <c r="T112" s="24" t="n">
        <v>-0.0602997423228966</v>
      </c>
      <c r="U112" s="24" t="n">
        <v>-0.0975706334958741</v>
      </c>
      <c r="V112" s="24" t="n">
        <v>-0.0228599507610264</v>
      </c>
      <c r="W112" s="24"/>
      <c r="X112" s="24"/>
      <c r="Y112" s="24" t="n">
        <v>0.0273741342999387</v>
      </c>
      <c r="Z112" s="24" t="n">
        <v>1.50006896381435E-009</v>
      </c>
      <c r="AA112" s="24" t="n">
        <v>0.0141308557495526</v>
      </c>
      <c r="AB112" s="24"/>
      <c r="AC112" s="24"/>
      <c r="AD112" s="24"/>
      <c r="AE112" s="24"/>
      <c r="AF112" s="24"/>
      <c r="AG112" s="24"/>
      <c r="AH112" s="24" t="s">
        <v>748</v>
      </c>
      <c r="AI112" s="24"/>
      <c r="AJ112" s="24" t="s">
        <v>867</v>
      </c>
    </row>
    <row r="113" customFormat="false" ht="15" hidden="false" customHeight="false" outlineLevel="0" collapsed="false">
      <c r="A113" s="24" t="s">
        <v>277</v>
      </c>
      <c r="B113" s="24" t="s">
        <v>278</v>
      </c>
      <c r="C113" s="24" t="s">
        <v>534</v>
      </c>
      <c r="D113" s="24" t="s">
        <v>535</v>
      </c>
      <c r="E113" s="24" t="s">
        <v>746</v>
      </c>
      <c r="F113" s="24" t="s">
        <v>747</v>
      </c>
      <c r="G113" s="24" t="n">
        <v>0.6</v>
      </c>
      <c r="H113" s="24" t="n">
        <v>2048</v>
      </c>
      <c r="I113" s="24" t="n">
        <v>86</v>
      </c>
      <c r="J113" s="24" t="n">
        <v>85</v>
      </c>
      <c r="K113" s="24" t="n">
        <v>-0.0596872700158691</v>
      </c>
      <c r="L113" s="24" t="n">
        <v>0.018612037517521</v>
      </c>
      <c r="M113" s="24" t="n">
        <v>-3.20691756395186</v>
      </c>
      <c r="N113" s="24" t="n">
        <v>83.2295465189857</v>
      </c>
      <c r="O113" s="24" t="n">
        <v>0.00190453724341262</v>
      </c>
      <c r="P113" s="24" t="n">
        <v>-0.096704354221465</v>
      </c>
      <c r="Q113" s="24" t="n">
        <v>-0.0226701858102732</v>
      </c>
      <c r="R113" s="24"/>
      <c r="S113" s="24"/>
      <c r="T113" s="24" t="n">
        <v>-0.0596164908465973</v>
      </c>
      <c r="U113" s="24" t="n">
        <v>-0.0964040265330809</v>
      </c>
      <c r="V113" s="24" t="n">
        <v>-0.0226663029236137</v>
      </c>
      <c r="W113" s="24"/>
      <c r="X113" s="24"/>
      <c r="Y113" s="24" t="n">
        <v>0.0269597899658384</v>
      </c>
      <c r="Z113" s="24" t="n">
        <v>2.00743963416513E-009</v>
      </c>
      <c r="AA113" s="24" t="n">
        <v>0.0141026535706559</v>
      </c>
      <c r="AB113" s="24"/>
      <c r="AC113" s="24"/>
      <c r="AD113" s="24"/>
      <c r="AE113" s="24"/>
      <c r="AF113" s="24"/>
      <c r="AG113" s="24"/>
      <c r="AH113" s="24" t="s">
        <v>748</v>
      </c>
      <c r="AI113" s="24"/>
      <c r="AJ113" s="24" t="s">
        <v>868</v>
      </c>
    </row>
    <row r="114" customFormat="false" ht="15" hidden="false" customHeight="false" outlineLevel="0" collapsed="false">
      <c r="A114" s="24" t="s">
        <v>277</v>
      </c>
      <c r="B114" s="24" t="s">
        <v>278</v>
      </c>
      <c r="C114" s="24" t="s">
        <v>537</v>
      </c>
      <c r="D114" s="24" t="s">
        <v>538</v>
      </c>
      <c r="E114" s="24" t="s">
        <v>746</v>
      </c>
      <c r="F114" s="24" t="s">
        <v>747</v>
      </c>
      <c r="G114" s="24" t="n">
        <v>0.6</v>
      </c>
      <c r="H114" s="24" t="n">
        <v>2066</v>
      </c>
      <c r="I114" s="24" t="n">
        <v>87</v>
      </c>
      <c r="J114" s="24" t="n">
        <v>86</v>
      </c>
      <c r="K114" s="24" t="n">
        <v>-0.0590108848859296</v>
      </c>
      <c r="L114" s="24" t="n">
        <v>0.0183858335193576</v>
      </c>
      <c r="M114" s="24" t="n">
        <v>-3.20958442399687</v>
      </c>
      <c r="N114" s="24" t="n">
        <v>84.2207156311007</v>
      </c>
      <c r="O114" s="24" t="n">
        <v>0.00188166546707938</v>
      </c>
      <c r="P114" s="24" t="n">
        <v>-0.0955717312693439</v>
      </c>
      <c r="Q114" s="24" t="n">
        <v>-0.0224500385025153</v>
      </c>
      <c r="R114" s="24"/>
      <c r="S114" s="24"/>
      <c r="T114" s="24" t="n">
        <v>-0.058942482598895</v>
      </c>
      <c r="U114" s="24" t="n">
        <v>-0.0952818078255117</v>
      </c>
      <c r="V114" s="24" t="n">
        <v>-0.0224462676246151</v>
      </c>
      <c r="W114" s="24"/>
      <c r="X114" s="24"/>
      <c r="Y114" s="24" t="n">
        <v>0.0266219248833339</v>
      </c>
      <c r="Z114" s="24" t="n">
        <v>2.42306585848186E-009</v>
      </c>
      <c r="AA114" s="24" t="n">
        <v>0.0139810996666206</v>
      </c>
      <c r="AB114" s="24"/>
      <c r="AC114" s="24"/>
      <c r="AD114" s="24"/>
      <c r="AE114" s="24"/>
      <c r="AF114" s="24"/>
      <c r="AG114" s="24"/>
      <c r="AH114" s="24" t="s">
        <v>748</v>
      </c>
      <c r="AI114" s="24"/>
      <c r="AJ114" s="24" t="s">
        <v>869</v>
      </c>
    </row>
    <row r="115" customFormat="false" ht="15" hidden="false" customHeight="false" outlineLevel="0" collapsed="false">
      <c r="A115" s="24" t="s">
        <v>277</v>
      </c>
      <c r="B115" s="24" t="s">
        <v>278</v>
      </c>
      <c r="C115" s="24" t="s">
        <v>540</v>
      </c>
      <c r="D115" s="24" t="s">
        <v>541</v>
      </c>
      <c r="E115" s="24" t="s">
        <v>746</v>
      </c>
      <c r="F115" s="24" t="s">
        <v>747</v>
      </c>
      <c r="G115" s="24" t="n">
        <v>0.6</v>
      </c>
      <c r="H115" s="24" t="n">
        <v>2078</v>
      </c>
      <c r="I115" s="24" t="n">
        <v>88</v>
      </c>
      <c r="J115" s="24" t="n">
        <v>87</v>
      </c>
      <c r="K115" s="24" t="n">
        <v>-0.0594906796853139</v>
      </c>
      <c r="L115" s="24" t="n">
        <v>0.0181427226957654</v>
      </c>
      <c r="M115" s="24" t="n">
        <v>-3.27903814013534</v>
      </c>
      <c r="N115" s="24" t="n">
        <v>85.203381315516</v>
      </c>
      <c r="O115" s="24" t="n">
        <v>0.00150933944077959</v>
      </c>
      <c r="P115" s="24" t="n">
        <v>-0.0955620299806694</v>
      </c>
      <c r="Q115" s="24" t="n">
        <v>-0.0234193293899584</v>
      </c>
      <c r="R115" s="24"/>
      <c r="S115" s="24"/>
      <c r="T115" s="24" t="n">
        <v>-0.0594205969294854</v>
      </c>
      <c r="U115" s="24" t="n">
        <v>-0.0952721946022931</v>
      </c>
      <c r="V115" s="24" t="n">
        <v>-0.0234150487683184</v>
      </c>
      <c r="W115" s="24"/>
      <c r="X115" s="24"/>
      <c r="Y115" s="24" t="n">
        <v>0.026207757283808</v>
      </c>
      <c r="Z115" s="24" t="n">
        <v>1.51722108128414E-009</v>
      </c>
      <c r="AA115" s="24" t="n">
        <v>0.0139516926858672</v>
      </c>
      <c r="AB115" s="24"/>
      <c r="AC115" s="24"/>
      <c r="AD115" s="24"/>
      <c r="AE115" s="24"/>
      <c r="AF115" s="24"/>
      <c r="AG115" s="24"/>
      <c r="AH115" s="24" t="s">
        <v>748</v>
      </c>
      <c r="AI115" s="24"/>
      <c r="AJ115" s="24" t="s">
        <v>870</v>
      </c>
    </row>
    <row r="116" customFormat="false" ht="15" hidden="false" customHeight="false" outlineLevel="0" collapsed="false">
      <c r="A116" s="24" t="s">
        <v>277</v>
      </c>
      <c r="B116" s="24" t="s">
        <v>278</v>
      </c>
      <c r="C116" s="24" t="s">
        <v>543</v>
      </c>
      <c r="D116" s="24" t="s">
        <v>544</v>
      </c>
      <c r="E116" s="24" t="s">
        <v>746</v>
      </c>
      <c r="F116" s="24" t="s">
        <v>747</v>
      </c>
      <c r="G116" s="24" t="n">
        <v>0.6</v>
      </c>
      <c r="H116" s="24" t="n">
        <v>2080</v>
      </c>
      <c r="I116" s="24" t="n">
        <v>89</v>
      </c>
      <c r="J116" s="24" t="n">
        <v>88</v>
      </c>
      <c r="K116" s="24" t="n">
        <v>-0.0586357694663528</v>
      </c>
      <c r="L116" s="24" t="n">
        <v>0.0179556295187293</v>
      </c>
      <c r="M116" s="24" t="n">
        <v>-3.26559252100799</v>
      </c>
      <c r="N116" s="24" t="n">
        <v>86.1677161089062</v>
      </c>
      <c r="O116" s="24" t="n">
        <v>0.00156842744780641</v>
      </c>
      <c r="P116" s="24" t="n">
        <v>-0.0943293884643021</v>
      </c>
      <c r="Q116" s="24" t="n">
        <v>-0.0229421504684034</v>
      </c>
      <c r="R116" s="24"/>
      <c r="S116" s="24"/>
      <c r="T116" s="24" t="n">
        <v>-0.0585686621636827</v>
      </c>
      <c r="U116" s="24" t="n">
        <v>-0.0940505986742225</v>
      </c>
      <c r="V116" s="24" t="n">
        <v>-0.0229381261744927</v>
      </c>
      <c r="W116" s="24"/>
      <c r="X116" s="24"/>
      <c r="Y116" s="24" t="n">
        <v>0.0258996246938599</v>
      </c>
      <c r="Z116" s="24" t="n">
        <v>2.08621383876345E-009</v>
      </c>
      <c r="AA116" s="24" t="n">
        <v>0.013945436845398</v>
      </c>
      <c r="AB116" s="24"/>
      <c r="AC116" s="24"/>
      <c r="AD116" s="24"/>
      <c r="AE116" s="24"/>
      <c r="AF116" s="24"/>
      <c r="AG116" s="24"/>
      <c r="AH116" s="24" t="s">
        <v>748</v>
      </c>
      <c r="AI116" s="24"/>
      <c r="AJ116" s="24" t="s">
        <v>871</v>
      </c>
    </row>
    <row r="117" customFormat="false" ht="15" hidden="false" customHeight="false" outlineLevel="0" collapsed="false">
      <c r="A117" s="24" t="s">
        <v>277</v>
      </c>
      <c r="B117" s="24" t="s">
        <v>278</v>
      </c>
      <c r="C117" s="24" t="s">
        <v>546</v>
      </c>
      <c r="D117" s="24" t="s">
        <v>547</v>
      </c>
      <c r="E117" s="24" t="s">
        <v>746</v>
      </c>
      <c r="F117" s="24" t="s">
        <v>747</v>
      </c>
      <c r="G117" s="24" t="n">
        <v>0.6</v>
      </c>
      <c r="H117" s="24" t="n">
        <v>2086</v>
      </c>
      <c r="I117" s="24" t="n">
        <v>90</v>
      </c>
      <c r="J117" s="24" t="n">
        <v>89</v>
      </c>
      <c r="K117" s="24" t="n">
        <v>-0.0589034583848358</v>
      </c>
      <c r="L117" s="24" t="n">
        <v>0.0177282912264483</v>
      </c>
      <c r="M117" s="24" t="n">
        <v>-3.32256829676621</v>
      </c>
      <c r="N117" s="24" t="n">
        <v>87.150928258731</v>
      </c>
      <c r="O117" s="24" t="n">
        <v>0.00130506165990772</v>
      </c>
      <c r="P117" s="24" t="n">
        <v>-0.0941394964429097</v>
      </c>
      <c r="Q117" s="24" t="n">
        <v>-0.0236674203267619</v>
      </c>
      <c r="R117" s="24"/>
      <c r="S117" s="24"/>
      <c r="T117" s="24" t="n">
        <v>-0.0588354286432454</v>
      </c>
      <c r="U117" s="24" t="n">
        <v>-0.0938623829864068</v>
      </c>
      <c r="V117" s="24" t="n">
        <v>-0.0236630022402022</v>
      </c>
      <c r="W117" s="24"/>
      <c r="X117" s="24"/>
      <c r="Y117" s="24" t="n">
        <v>0.0255060531340428</v>
      </c>
      <c r="Z117" s="24" t="n">
        <v>1.44897677797813E-009</v>
      </c>
      <c r="AA117" s="24" t="n">
        <v>0.0139116929045483</v>
      </c>
      <c r="AB117" s="24"/>
      <c r="AC117" s="24"/>
      <c r="AD117" s="24"/>
      <c r="AE117" s="24"/>
      <c r="AF117" s="24"/>
      <c r="AG117" s="24"/>
      <c r="AH117" s="24" t="s">
        <v>748</v>
      </c>
      <c r="AI117" s="24"/>
      <c r="AJ117" s="24" t="s">
        <v>872</v>
      </c>
    </row>
    <row r="118" customFormat="false" ht="15" hidden="false" customHeight="false" outlineLevel="0" collapsed="false">
      <c r="A118" s="24" t="s">
        <v>277</v>
      </c>
      <c r="B118" s="24" t="s">
        <v>278</v>
      </c>
      <c r="C118" s="24" t="s">
        <v>549</v>
      </c>
      <c r="D118" s="24" t="s">
        <v>550</v>
      </c>
      <c r="E118" s="24" t="s">
        <v>746</v>
      </c>
      <c r="F118" s="24" t="s">
        <v>747</v>
      </c>
      <c r="G118" s="24" t="n">
        <v>0.6</v>
      </c>
      <c r="H118" s="24" t="n">
        <v>2087</v>
      </c>
      <c r="I118" s="24" t="n">
        <v>91</v>
      </c>
      <c r="J118" s="24" t="n">
        <v>90</v>
      </c>
      <c r="K118" s="24" t="n">
        <v>-0.058707853235752</v>
      </c>
      <c r="L118" s="24" t="n">
        <v>0.0175620640490028</v>
      </c>
      <c r="M118" s="24" t="n">
        <v>-3.34287889350258</v>
      </c>
      <c r="N118" s="24" t="n">
        <v>88.0441939630955</v>
      </c>
      <c r="O118" s="24" t="n">
        <v>0.00121887861436874</v>
      </c>
      <c r="P118" s="24" t="n">
        <v>-0.0936085209615052</v>
      </c>
      <c r="Q118" s="24" t="n">
        <v>-0.0238071855099988</v>
      </c>
      <c r="R118" s="24"/>
      <c r="S118" s="24"/>
      <c r="T118" s="24" t="n">
        <v>-0.0586404983615731</v>
      </c>
      <c r="U118" s="24" t="n">
        <v>-0.0933360592952294</v>
      </c>
      <c r="V118" s="24" t="n">
        <v>-0.0238026887007578</v>
      </c>
      <c r="W118" s="24"/>
      <c r="X118" s="24"/>
      <c r="Y118" s="24" t="n">
        <v>0.025202615535599</v>
      </c>
      <c r="Z118" s="24" t="n">
        <v>1.87460373817883E-009</v>
      </c>
      <c r="AA118" s="24" t="n">
        <v>0.0139115767192722</v>
      </c>
      <c r="AB118" s="24"/>
      <c r="AC118" s="24"/>
      <c r="AD118" s="24"/>
      <c r="AE118" s="24"/>
      <c r="AF118" s="24"/>
      <c r="AG118" s="24"/>
      <c r="AH118" s="24" t="s">
        <v>748</v>
      </c>
      <c r="AI118" s="24"/>
      <c r="AJ118" s="24" t="s">
        <v>873</v>
      </c>
    </row>
    <row r="119" customFormat="false" ht="15" hidden="false" customHeight="false" outlineLevel="0" collapsed="false">
      <c r="A119" s="24" t="s">
        <v>277</v>
      </c>
      <c r="B119" s="24" t="s">
        <v>278</v>
      </c>
      <c r="C119" s="24" t="s">
        <v>552</v>
      </c>
      <c r="D119" s="24" t="s">
        <v>553</v>
      </c>
      <c r="E119" s="24" t="s">
        <v>746</v>
      </c>
      <c r="F119" s="24" t="s">
        <v>747</v>
      </c>
      <c r="G119" s="24" t="n">
        <v>0.6</v>
      </c>
      <c r="H119" s="24" t="n">
        <v>2116</v>
      </c>
      <c r="I119" s="24" t="n">
        <v>92</v>
      </c>
      <c r="J119" s="24" t="n">
        <v>91</v>
      </c>
      <c r="K119" s="24" t="n">
        <v>-0.0585742370256638</v>
      </c>
      <c r="L119" s="24" t="n">
        <v>0.0173598209490168</v>
      </c>
      <c r="M119" s="24" t="n">
        <v>-3.37412679529861</v>
      </c>
      <c r="N119" s="24" t="n">
        <v>89.038566354743</v>
      </c>
      <c r="O119" s="24" t="n">
        <v>0.00109824627567228</v>
      </c>
      <c r="P119" s="24" t="n">
        <v>-0.0930676256144191</v>
      </c>
      <c r="Q119" s="24" t="n">
        <v>-0.0240808484369085</v>
      </c>
      <c r="R119" s="24"/>
      <c r="S119" s="24"/>
      <c r="T119" s="24" t="n">
        <v>-0.0585073405760804</v>
      </c>
      <c r="U119" s="24" t="n">
        <v>-0.0927998490045423</v>
      </c>
      <c r="V119" s="24" t="n">
        <v>-0.0240761947905905</v>
      </c>
      <c r="W119" s="24"/>
      <c r="X119" s="24"/>
      <c r="Y119" s="24" t="n">
        <v>0.0249154867731317</v>
      </c>
      <c r="Z119" s="24" t="n">
        <v>1.53204996310652E-009</v>
      </c>
      <c r="AA119" s="24" t="n">
        <v>0.0137348038409676</v>
      </c>
      <c r="AB119" s="24"/>
      <c r="AC119" s="24"/>
      <c r="AD119" s="24"/>
      <c r="AE119" s="24"/>
      <c r="AF119" s="24"/>
      <c r="AG119" s="24"/>
      <c r="AH119" s="24" t="s">
        <v>748</v>
      </c>
      <c r="AI119" s="24"/>
      <c r="AJ119" s="24" t="s">
        <v>874</v>
      </c>
    </row>
    <row r="120" customFormat="false" ht="15" hidden="false" customHeight="false" outlineLevel="0" collapsed="false">
      <c r="A120" s="24" t="s">
        <v>277</v>
      </c>
      <c r="B120" s="24" t="s">
        <v>278</v>
      </c>
      <c r="C120" s="24" t="s">
        <v>555</v>
      </c>
      <c r="D120" s="24" t="s">
        <v>556</v>
      </c>
      <c r="E120" s="24" t="s">
        <v>746</v>
      </c>
      <c r="F120" s="24" t="s">
        <v>747</v>
      </c>
      <c r="G120" s="24" t="n">
        <v>0.6</v>
      </c>
      <c r="H120" s="24" t="n">
        <v>2126</v>
      </c>
      <c r="I120" s="24" t="n">
        <v>93</v>
      </c>
      <c r="J120" s="24" t="n">
        <v>92</v>
      </c>
      <c r="K120" s="24" t="n">
        <v>-0.0582575296015761</v>
      </c>
      <c r="L120" s="24" t="n">
        <v>0.0171428390760739</v>
      </c>
      <c r="M120" s="24" t="n">
        <v>-3.39835947494168</v>
      </c>
      <c r="N120" s="24" t="n">
        <v>90.0220508376261</v>
      </c>
      <c r="O120" s="24" t="n">
        <v>0.00101155134405808</v>
      </c>
      <c r="P120" s="24" t="n">
        <v>-0.0923146578957997</v>
      </c>
      <c r="Q120" s="24" t="n">
        <v>-0.0242004013073525</v>
      </c>
      <c r="R120" s="24"/>
      <c r="S120" s="24"/>
      <c r="T120" s="24" t="n">
        <v>-0.058191711438032</v>
      </c>
      <c r="U120" s="24" t="n">
        <v>-0.0920533136790517</v>
      </c>
      <c r="V120" s="24" t="n">
        <v>-0.0241956780161532</v>
      </c>
      <c r="W120" s="24"/>
      <c r="X120" s="24"/>
      <c r="Y120" s="24" t="n">
        <v>0.0245516854835839</v>
      </c>
      <c r="Z120" s="24" t="n">
        <v>1.88559521367993E-009</v>
      </c>
      <c r="AA120" s="24" t="n">
        <v>0.0136720251272133</v>
      </c>
      <c r="AB120" s="24"/>
      <c r="AC120" s="24"/>
      <c r="AD120" s="24"/>
      <c r="AE120" s="24"/>
      <c r="AF120" s="24"/>
      <c r="AG120" s="24"/>
      <c r="AH120" s="24" t="s">
        <v>748</v>
      </c>
      <c r="AI120" s="24"/>
      <c r="AJ120" s="24" t="s">
        <v>875</v>
      </c>
    </row>
    <row r="121" customFormat="false" ht="15" hidden="false" customHeight="false" outlineLevel="0" collapsed="false">
      <c r="A121" s="24" t="s">
        <v>277</v>
      </c>
      <c r="B121" s="24" t="s">
        <v>278</v>
      </c>
      <c r="C121" s="24" t="s">
        <v>558</v>
      </c>
      <c r="D121" s="24" t="s">
        <v>559</v>
      </c>
      <c r="E121" s="24" t="s">
        <v>746</v>
      </c>
      <c r="F121" s="24" t="s">
        <v>747</v>
      </c>
      <c r="G121" s="24" t="n">
        <v>0.6</v>
      </c>
      <c r="H121" s="24" t="n">
        <v>2131</v>
      </c>
      <c r="I121" s="24" t="n">
        <v>94</v>
      </c>
      <c r="J121" s="24" t="n">
        <v>93</v>
      </c>
      <c r="K121" s="24" t="n">
        <v>-0.059317267509403</v>
      </c>
      <c r="L121" s="24" t="n">
        <v>0.0169976198155446</v>
      </c>
      <c r="M121" s="24" t="n">
        <v>-3.48973963137807</v>
      </c>
      <c r="N121" s="24" t="n">
        <v>91.001823658509</v>
      </c>
      <c r="O121" s="24" t="n">
        <v>0.000747386118006695</v>
      </c>
      <c r="P121" s="24" t="n">
        <v>-0.093080942074972</v>
      </c>
      <c r="Q121" s="24" t="n">
        <v>-0.025553592943834</v>
      </c>
      <c r="R121" s="24"/>
      <c r="S121" s="24"/>
      <c r="T121" s="24" t="n">
        <v>-0.0592477952596977</v>
      </c>
      <c r="U121" s="24" t="n">
        <v>-0.0928130507699257</v>
      </c>
      <c r="V121" s="24" t="n">
        <v>-0.0255480323491217</v>
      </c>
      <c r="W121" s="24"/>
      <c r="X121" s="24"/>
      <c r="Y121" s="24" t="n">
        <v>0.0243607876501352</v>
      </c>
      <c r="Z121" s="24" t="n">
        <v>1.67440513946088E-009</v>
      </c>
      <c r="AA121" s="24" t="n">
        <v>0.0136532248357913</v>
      </c>
      <c r="AB121" s="24"/>
      <c r="AC121" s="24"/>
      <c r="AD121" s="24"/>
      <c r="AE121" s="24"/>
      <c r="AF121" s="24"/>
      <c r="AG121" s="24"/>
      <c r="AH121" s="24" t="s">
        <v>748</v>
      </c>
      <c r="AI121" s="24"/>
      <c r="AJ121" s="24" t="s">
        <v>876</v>
      </c>
    </row>
    <row r="122" customFormat="false" ht="15" hidden="false" customHeight="false" outlineLevel="0" collapsed="false">
      <c r="A122" s="24" t="s">
        <v>277</v>
      </c>
      <c r="B122" s="24" t="s">
        <v>278</v>
      </c>
      <c r="C122" s="24" t="s">
        <v>561</v>
      </c>
      <c r="D122" s="24" t="s">
        <v>562</v>
      </c>
      <c r="E122" s="24" t="s">
        <v>746</v>
      </c>
      <c r="F122" s="24" t="s">
        <v>747</v>
      </c>
      <c r="G122" s="24" t="n">
        <v>0.6</v>
      </c>
      <c r="H122" s="24" t="n">
        <v>2137</v>
      </c>
      <c r="I122" s="24" t="n">
        <v>95</v>
      </c>
      <c r="J122" s="24" t="n">
        <v>94</v>
      </c>
      <c r="K122" s="24" t="n">
        <v>-0.0600773123005149</v>
      </c>
      <c r="L122" s="24" t="n">
        <v>0.0168301385370097</v>
      </c>
      <c r="M122" s="24" t="n">
        <v>-3.56962672460503</v>
      </c>
      <c r="N122" s="24" t="n">
        <v>91.9824157968514</v>
      </c>
      <c r="O122" s="24" t="n">
        <v>0.000570594354242623</v>
      </c>
      <c r="P122" s="24" t="n">
        <v>-0.0935035053018121</v>
      </c>
      <c r="Q122" s="24" t="n">
        <v>-0.0266511192992178</v>
      </c>
      <c r="R122" s="24"/>
      <c r="S122" s="24"/>
      <c r="T122" s="24" t="n">
        <v>-0.0600051378149276</v>
      </c>
      <c r="U122" s="24" t="n">
        <v>-0.0932319574720568</v>
      </c>
      <c r="V122" s="24" t="n">
        <v>-0.0266448111532439</v>
      </c>
      <c r="W122" s="24"/>
      <c r="X122" s="24"/>
      <c r="Y122" s="24" t="n">
        <v>0.0241030273615931</v>
      </c>
      <c r="Z122" s="24" t="n">
        <v>1.19399611401962E-009</v>
      </c>
      <c r="AA122" s="24" t="n">
        <v>0.0136262493090157</v>
      </c>
      <c r="AB122" s="24"/>
      <c r="AC122" s="24"/>
      <c r="AD122" s="24"/>
      <c r="AE122" s="24"/>
      <c r="AF122" s="24"/>
      <c r="AG122" s="24"/>
      <c r="AH122" s="24" t="s">
        <v>748</v>
      </c>
      <c r="AI122" s="24"/>
      <c r="AJ122" s="24" t="s">
        <v>877</v>
      </c>
    </row>
    <row r="123" customFormat="false" ht="15" hidden="false" customHeight="false" outlineLevel="0" collapsed="false">
      <c r="A123" s="24" t="s">
        <v>277</v>
      </c>
      <c r="B123" s="24" t="s">
        <v>278</v>
      </c>
      <c r="C123" s="24" t="s">
        <v>564</v>
      </c>
      <c r="D123" s="24" t="s">
        <v>565</v>
      </c>
      <c r="E123" s="24" t="s">
        <v>746</v>
      </c>
      <c r="F123" s="24" t="s">
        <v>747</v>
      </c>
      <c r="G123" s="24" t="n">
        <v>0.6</v>
      </c>
      <c r="H123" s="24" t="n">
        <v>2162</v>
      </c>
      <c r="I123" s="24" t="n">
        <v>96</v>
      </c>
      <c r="J123" s="24" t="n">
        <v>95</v>
      </c>
      <c r="K123" s="24" t="n">
        <v>-0.0596298005827161</v>
      </c>
      <c r="L123" s="24" t="n">
        <v>0.0166505013046912</v>
      </c>
      <c r="M123" s="24" t="n">
        <v>-3.58126157834754</v>
      </c>
      <c r="N123" s="24" t="n">
        <v>92.9772641181607</v>
      </c>
      <c r="O123" s="24" t="n">
        <v>0.000546216362988665</v>
      </c>
      <c r="P123" s="24" t="n">
        <v>-0.0926945028391614</v>
      </c>
      <c r="Q123" s="24" t="n">
        <v>-0.0265650983262708</v>
      </c>
      <c r="R123" s="24"/>
      <c r="S123" s="24"/>
      <c r="T123" s="24" t="n">
        <v>-0.0595592254709145</v>
      </c>
      <c r="U123" s="24" t="n">
        <v>-0.0924299267008033</v>
      </c>
      <c r="V123" s="24" t="n">
        <v>-0.0265588510537297</v>
      </c>
      <c r="W123" s="24"/>
      <c r="X123" s="24"/>
      <c r="Y123" s="24" t="n">
        <v>0.0238607224587807</v>
      </c>
      <c r="Z123" s="24" t="n">
        <v>4.8996017857232E-010</v>
      </c>
      <c r="AA123" s="24" t="n">
        <v>0.0134569119447335</v>
      </c>
      <c r="AB123" s="24"/>
      <c r="AC123" s="24"/>
      <c r="AD123" s="24"/>
      <c r="AE123" s="24"/>
      <c r="AF123" s="24"/>
      <c r="AG123" s="24"/>
      <c r="AH123" s="24" t="s">
        <v>748</v>
      </c>
      <c r="AI123" s="24"/>
      <c r="AJ123" s="24" t="s">
        <v>878</v>
      </c>
    </row>
    <row r="124" customFormat="false" ht="15" hidden="false" customHeight="false" outlineLevel="0" collapsed="false">
      <c r="A124" s="24" t="s">
        <v>277</v>
      </c>
      <c r="B124" s="24" t="s">
        <v>278</v>
      </c>
      <c r="C124" s="24" t="s">
        <v>567</v>
      </c>
      <c r="D124" s="24" t="s">
        <v>568</v>
      </c>
      <c r="E124" s="24" t="s">
        <v>746</v>
      </c>
      <c r="F124" s="24" t="s">
        <v>747</v>
      </c>
      <c r="G124" s="24" t="n">
        <v>0.6</v>
      </c>
      <c r="H124" s="24" t="n">
        <v>2175</v>
      </c>
      <c r="I124" s="24" t="n">
        <v>97</v>
      </c>
      <c r="J124" s="24" t="n">
        <v>96</v>
      </c>
      <c r="K124" s="24" t="n">
        <v>-0.0595146256511814</v>
      </c>
      <c r="L124" s="24" t="n">
        <v>0.0164512589620218</v>
      </c>
      <c r="M124" s="24" t="n">
        <v>-3.61763350686853</v>
      </c>
      <c r="N124" s="24" t="n">
        <v>93.9615942394939</v>
      </c>
      <c r="O124" s="24" t="n">
        <v>0.000480925335406597</v>
      </c>
      <c r="P124" s="24" t="n">
        <v>-0.0921791600278267</v>
      </c>
      <c r="Q124" s="24" t="n">
        <v>-0.0268500912745361</v>
      </c>
      <c r="R124" s="24"/>
      <c r="S124" s="24"/>
      <c r="T124" s="24" t="n">
        <v>-0.0594444583128044</v>
      </c>
      <c r="U124" s="24" t="n">
        <v>-0.091918962319668</v>
      </c>
      <c r="V124" s="24" t="n">
        <v>-0.0268436408124786</v>
      </c>
      <c r="W124" s="24"/>
      <c r="X124" s="24"/>
      <c r="Y124" s="24" t="n">
        <v>0.0235325687645776</v>
      </c>
      <c r="Z124" s="24" t="n">
        <v>2.26847675194854E-009</v>
      </c>
      <c r="AA124" s="24" t="n">
        <v>0.0133780116638993</v>
      </c>
      <c r="AB124" s="24"/>
      <c r="AC124" s="24"/>
      <c r="AD124" s="24"/>
      <c r="AE124" s="24"/>
      <c r="AF124" s="24"/>
      <c r="AG124" s="24"/>
      <c r="AH124" s="24" t="s">
        <v>748</v>
      </c>
      <c r="AI124" s="24"/>
      <c r="AJ124" s="24" t="s">
        <v>879</v>
      </c>
    </row>
    <row r="125" customFormat="false" ht="15" hidden="false" customHeight="false" outlineLevel="0" collapsed="false">
      <c r="A125" s="24" t="s">
        <v>277</v>
      </c>
      <c r="B125" s="24" t="s">
        <v>278</v>
      </c>
      <c r="C125" s="24" t="s">
        <v>570</v>
      </c>
      <c r="D125" s="24" t="s">
        <v>571</v>
      </c>
      <c r="E125" s="24" t="s">
        <v>746</v>
      </c>
      <c r="F125" s="24" t="s">
        <v>747</v>
      </c>
      <c r="G125" s="24" t="n">
        <v>0.6</v>
      </c>
      <c r="H125" s="24" t="n">
        <v>2199</v>
      </c>
      <c r="I125" s="24" t="n">
        <v>98</v>
      </c>
      <c r="J125" s="24" t="n">
        <v>97</v>
      </c>
      <c r="K125" s="24" t="n">
        <v>-0.0594981424354119</v>
      </c>
      <c r="L125" s="24" t="n">
        <v>0.0162636607612801</v>
      </c>
      <c r="M125" s="24" t="n">
        <v>-3.65834871427365</v>
      </c>
      <c r="N125" s="24" t="n">
        <v>94.9500568067472</v>
      </c>
      <c r="O125" s="24" t="n">
        <v>0.000416770162980609</v>
      </c>
      <c r="P125" s="24" t="n">
        <v>-0.0917858103309255</v>
      </c>
      <c r="Q125" s="24" t="n">
        <v>-0.0272104745398983</v>
      </c>
      <c r="R125" s="24"/>
      <c r="S125" s="24"/>
      <c r="T125" s="24" t="n">
        <v>-0.0594280333267529</v>
      </c>
      <c r="U125" s="24" t="n">
        <v>-0.0915289219896761</v>
      </c>
      <c r="V125" s="24" t="n">
        <v>-0.0272037608930967</v>
      </c>
      <c r="W125" s="24"/>
      <c r="X125" s="24"/>
      <c r="Y125" s="24" t="n">
        <v>0.0232434542060966</v>
      </c>
      <c r="Z125" s="24" t="n">
        <v>1.37758450048908E-009</v>
      </c>
      <c r="AA125" s="24" t="n">
        <v>0.0132604944872184</v>
      </c>
      <c r="AB125" s="24"/>
      <c r="AC125" s="24"/>
      <c r="AD125" s="24"/>
      <c r="AE125" s="24"/>
      <c r="AF125" s="24"/>
      <c r="AG125" s="24"/>
      <c r="AH125" s="24" t="s">
        <v>748</v>
      </c>
      <c r="AI125" s="24"/>
      <c r="AJ125" s="24" t="s">
        <v>880</v>
      </c>
    </row>
    <row r="126" customFormat="false" ht="15" hidden="false" customHeight="false" outlineLevel="0" collapsed="false">
      <c r="A126" s="24" t="s">
        <v>277</v>
      </c>
      <c r="B126" s="24" t="s">
        <v>278</v>
      </c>
      <c r="C126" s="24" t="s">
        <v>573</v>
      </c>
      <c r="D126" s="24" t="s">
        <v>574</v>
      </c>
      <c r="E126" s="24" t="s">
        <v>746</v>
      </c>
      <c r="F126" s="24" t="s">
        <v>747</v>
      </c>
      <c r="G126" s="24" t="n">
        <v>0.6</v>
      </c>
      <c r="H126" s="24" t="n">
        <v>2369</v>
      </c>
      <c r="I126" s="24" t="n">
        <v>99</v>
      </c>
      <c r="J126" s="24" t="n">
        <v>98</v>
      </c>
      <c r="K126" s="24" t="n">
        <v>-0.0589379015337317</v>
      </c>
      <c r="L126" s="24" t="n">
        <v>0.0161561903673193</v>
      </c>
      <c r="M126" s="24" t="n">
        <v>-3.64800737016265</v>
      </c>
      <c r="N126" s="24" t="n">
        <v>95.9763940800941</v>
      </c>
      <c r="O126" s="24" t="n">
        <v>0.000429662068783375</v>
      </c>
      <c r="P126" s="24" t="n">
        <v>-0.0910077866106727</v>
      </c>
      <c r="Q126" s="24" t="n">
        <v>-0.0268680164567906</v>
      </c>
      <c r="R126" s="24"/>
      <c r="S126" s="24"/>
      <c r="T126" s="24" t="n">
        <v>-0.058869752493903</v>
      </c>
      <c r="U126" s="24" t="n">
        <v>-0.0907573614085921</v>
      </c>
      <c r="V126" s="24" t="n">
        <v>-0.0268615530695655</v>
      </c>
      <c r="W126" s="24"/>
      <c r="X126" s="24"/>
      <c r="Y126" s="24" t="n">
        <v>0.023236636127229</v>
      </c>
      <c r="Z126" s="24" t="n">
        <v>2.08512288037324E-009</v>
      </c>
      <c r="AA126" s="24" t="n">
        <v>0.0128850618319592</v>
      </c>
      <c r="AB126" s="24"/>
      <c r="AC126" s="24"/>
      <c r="AD126" s="24"/>
      <c r="AE126" s="24"/>
      <c r="AF126" s="24"/>
      <c r="AG126" s="24"/>
      <c r="AH126" s="24" t="s">
        <v>748</v>
      </c>
      <c r="AI126" s="24"/>
      <c r="AJ126" s="24" t="s">
        <v>881</v>
      </c>
    </row>
    <row r="127" customFormat="false" ht="15" hidden="false" customHeight="false" outlineLevel="0" collapsed="false">
      <c r="A127" s="24" t="s">
        <v>277</v>
      </c>
      <c r="B127" s="24" t="s">
        <v>278</v>
      </c>
      <c r="C127" s="24" t="s">
        <v>576</v>
      </c>
      <c r="D127" s="24" t="s">
        <v>577</v>
      </c>
      <c r="E127" s="24" t="s">
        <v>746</v>
      </c>
      <c r="F127" s="24" t="s">
        <v>747</v>
      </c>
      <c r="G127" s="24" t="n">
        <v>0.6</v>
      </c>
      <c r="H127" s="24" t="n">
        <v>2382</v>
      </c>
      <c r="I127" s="24" t="n">
        <v>100</v>
      </c>
      <c r="J127" s="24" t="n">
        <v>99</v>
      </c>
      <c r="K127" s="24" t="n">
        <v>-0.0595741512458866</v>
      </c>
      <c r="L127" s="24" t="n">
        <v>0.0159911222878452</v>
      </c>
      <c r="M127" s="24" t="n">
        <v>-3.72545154577229</v>
      </c>
      <c r="N127" s="24" t="n">
        <v>96.9632007774675</v>
      </c>
      <c r="O127" s="24" t="n">
        <v>0.000327639948611896</v>
      </c>
      <c r="P127" s="24" t="n">
        <v>-0.0913122545378783</v>
      </c>
      <c r="Q127" s="24" t="n">
        <v>-0.0278360479538949</v>
      </c>
      <c r="R127" s="24"/>
      <c r="S127" s="24"/>
      <c r="T127" s="24" t="n">
        <v>-0.059503773355317</v>
      </c>
      <c r="U127" s="24" t="n">
        <v>-0.0910593131112663</v>
      </c>
      <c r="V127" s="24" t="n">
        <v>-0.0278288606354036</v>
      </c>
      <c r="W127" s="24"/>
      <c r="X127" s="24"/>
      <c r="Y127" s="24" t="n">
        <v>0.0229796997288571</v>
      </c>
      <c r="Z127" s="24" t="n">
        <v>1.95349411434801E-009</v>
      </c>
      <c r="AA127" s="24" t="n">
        <v>0.0128458630553585</v>
      </c>
      <c r="AB127" s="24"/>
      <c r="AC127" s="24"/>
      <c r="AD127" s="24"/>
      <c r="AE127" s="24"/>
      <c r="AF127" s="24"/>
      <c r="AG127" s="24"/>
      <c r="AH127" s="24" t="s">
        <v>748</v>
      </c>
      <c r="AI127" s="24"/>
      <c r="AJ127" s="24" t="s">
        <v>882</v>
      </c>
    </row>
    <row r="128" customFormat="false" ht="15" hidden="false" customHeight="false" outlineLevel="0" collapsed="false">
      <c r="A128" s="24" t="s">
        <v>277</v>
      </c>
      <c r="B128" s="24" t="s">
        <v>278</v>
      </c>
      <c r="C128" s="24" t="s">
        <v>579</v>
      </c>
      <c r="D128" s="24" t="s">
        <v>580</v>
      </c>
      <c r="E128" s="24" t="s">
        <v>746</v>
      </c>
      <c r="F128" s="24" t="s">
        <v>747</v>
      </c>
      <c r="G128" s="24" t="n">
        <v>0.6</v>
      </c>
      <c r="H128" s="24" t="n">
        <v>2443</v>
      </c>
      <c r="I128" s="24" t="n">
        <v>101</v>
      </c>
      <c r="J128" s="24" t="n">
        <v>100</v>
      </c>
      <c r="K128" s="24" t="n">
        <v>-0.0590897344306841</v>
      </c>
      <c r="L128" s="24" t="n">
        <v>0.0158851720647908</v>
      </c>
      <c r="M128" s="24" t="n">
        <v>-3.71980449375524</v>
      </c>
      <c r="N128" s="24" t="n">
        <v>97.9883559984418</v>
      </c>
      <c r="O128" s="24" t="n">
        <v>0.000332457733539547</v>
      </c>
      <c r="P128" s="24" t="n">
        <v>-0.0906133882214888</v>
      </c>
      <c r="Q128" s="24" t="n">
        <v>-0.0275660806398793</v>
      </c>
      <c r="R128" s="24"/>
      <c r="S128" s="24"/>
      <c r="T128" s="24" t="n">
        <v>-0.0590210578379313</v>
      </c>
      <c r="U128" s="24" t="n">
        <v>-0.0903661976577163</v>
      </c>
      <c r="V128" s="24" t="n">
        <v>-0.0275591003762317</v>
      </c>
      <c r="W128" s="24"/>
      <c r="X128" s="24"/>
      <c r="Y128" s="24" t="n">
        <v>0.0229647075450584</v>
      </c>
      <c r="Z128" s="24" t="n">
        <v>1.67312910733656E-009</v>
      </c>
      <c r="AA128" s="24" t="n">
        <v>0.0124841411675549</v>
      </c>
      <c r="AB128" s="24"/>
      <c r="AC128" s="24"/>
      <c r="AD128" s="24"/>
      <c r="AE128" s="24"/>
      <c r="AF128" s="24"/>
      <c r="AG128" s="24"/>
      <c r="AH128" s="24" t="s">
        <v>748</v>
      </c>
      <c r="AI128" s="24"/>
      <c r="AJ128" s="24" t="s">
        <v>883</v>
      </c>
    </row>
    <row r="129" customFormat="false" ht="15" hidden="false" customHeight="false" outlineLevel="0" collapsed="false">
      <c r="A129" s="24" t="s">
        <v>277</v>
      </c>
      <c r="B129" s="24" t="s">
        <v>278</v>
      </c>
      <c r="C129" s="24" t="s">
        <v>582</v>
      </c>
      <c r="D129" s="24" t="s">
        <v>583</v>
      </c>
      <c r="E129" s="24" t="s">
        <v>746</v>
      </c>
      <c r="F129" s="24" t="s">
        <v>747</v>
      </c>
      <c r="G129" s="24" t="n">
        <v>0.6</v>
      </c>
      <c r="H129" s="24" t="n">
        <v>2459</v>
      </c>
      <c r="I129" s="24" t="n">
        <v>102</v>
      </c>
      <c r="J129" s="24" t="n">
        <v>101</v>
      </c>
      <c r="K129" s="24" t="n">
        <v>-0.0590559821651748</v>
      </c>
      <c r="L129" s="24" t="n">
        <v>0.0157037089364238</v>
      </c>
      <c r="M129" s="24" t="n">
        <v>-3.76063912062187</v>
      </c>
      <c r="N129" s="24" t="n">
        <v>98.9726782151705</v>
      </c>
      <c r="O129" s="24" t="n">
        <v>0.000287042089141684</v>
      </c>
      <c r="P129" s="24" t="n">
        <v>-0.0902156540497084</v>
      </c>
      <c r="Q129" s="24" t="n">
        <v>-0.0278963102806413</v>
      </c>
      <c r="R129" s="24"/>
      <c r="S129" s="24"/>
      <c r="T129" s="24" t="n">
        <v>-0.0589874230809508</v>
      </c>
      <c r="U129" s="24" t="n">
        <v>-0.0899716972447187</v>
      </c>
      <c r="V129" s="24" t="n">
        <v>-0.0278890761912069</v>
      </c>
      <c r="W129" s="24"/>
      <c r="X129" s="24"/>
      <c r="Y129" s="24" t="n">
        <v>0.0226602514234429</v>
      </c>
      <c r="Z129" s="24" t="n">
        <v>2.50066772564311E-009</v>
      </c>
      <c r="AA129" s="24" t="n">
        <v>0.0124230829275498</v>
      </c>
      <c r="AB129" s="24"/>
      <c r="AC129" s="24"/>
      <c r="AD129" s="24"/>
      <c r="AE129" s="24"/>
      <c r="AF129" s="24"/>
      <c r="AG129" s="24"/>
      <c r="AH129" s="24" t="s">
        <v>748</v>
      </c>
      <c r="AI129" s="24"/>
      <c r="AJ129" s="24" t="s">
        <v>884</v>
      </c>
    </row>
    <row r="130" customFormat="false" ht="15" hidden="false" customHeight="false" outlineLevel="0" collapsed="false">
      <c r="A130" s="24" t="s">
        <v>277</v>
      </c>
      <c r="B130" s="24" t="s">
        <v>278</v>
      </c>
      <c r="C130" s="24" t="s">
        <v>585</v>
      </c>
      <c r="D130" s="24" t="s">
        <v>586</v>
      </c>
      <c r="E130" s="24" t="s">
        <v>746</v>
      </c>
      <c r="F130" s="24" t="s">
        <v>747</v>
      </c>
      <c r="G130" s="24" t="n">
        <v>0.6</v>
      </c>
      <c r="H130" s="24" t="n">
        <v>2476</v>
      </c>
      <c r="I130" s="24" t="n">
        <v>103</v>
      </c>
      <c r="J130" s="24" t="n">
        <v>102</v>
      </c>
      <c r="K130" s="24" t="n">
        <v>-0.0588531834555877</v>
      </c>
      <c r="L130" s="24" t="n">
        <v>0.0155314671054335</v>
      </c>
      <c r="M130" s="24" t="n">
        <v>-3.78928681083829</v>
      </c>
      <c r="N130" s="24" t="n">
        <v>99.9598883674951</v>
      </c>
      <c r="O130" s="24" t="n">
        <v>0.000258361987956986</v>
      </c>
      <c r="P130" s="24" t="n">
        <v>-0.0896673232507903</v>
      </c>
      <c r="Q130" s="24" t="n">
        <v>-0.0280390436603852</v>
      </c>
      <c r="R130" s="24"/>
      <c r="S130" s="24"/>
      <c r="T130" s="24" t="n">
        <v>-0.0587853275979237</v>
      </c>
      <c r="U130" s="24" t="n">
        <v>-0.0894277783529228</v>
      </c>
      <c r="V130" s="24" t="n">
        <v>-0.0280316979841431</v>
      </c>
      <c r="W130" s="24"/>
      <c r="X130" s="24"/>
      <c r="Y130" s="24" t="n">
        <v>0.0223864173031591</v>
      </c>
      <c r="Z130" s="24" t="n">
        <v>2.08406352274505E-009</v>
      </c>
      <c r="AA130" s="24" t="n">
        <v>0.012334928441642</v>
      </c>
      <c r="AB130" s="24"/>
      <c r="AC130" s="24"/>
      <c r="AD130" s="24"/>
      <c r="AE130" s="24"/>
      <c r="AF130" s="24"/>
      <c r="AG130" s="24"/>
      <c r="AH130" s="24" t="s">
        <v>748</v>
      </c>
      <c r="AI130" s="24"/>
      <c r="AJ130" s="24" t="s">
        <v>885</v>
      </c>
    </row>
    <row r="131" customFormat="false" ht="15" hidden="false" customHeight="false" outlineLevel="0" collapsed="false">
      <c r="A131" s="24" t="s">
        <v>277</v>
      </c>
      <c r="B131" s="24" t="s">
        <v>278</v>
      </c>
      <c r="C131" s="24" t="s">
        <v>588</v>
      </c>
      <c r="D131" s="24" t="s">
        <v>589</v>
      </c>
      <c r="E131" s="24" t="s">
        <v>746</v>
      </c>
      <c r="F131" s="24" t="s">
        <v>747</v>
      </c>
      <c r="G131" s="24" t="n">
        <v>0.6</v>
      </c>
      <c r="H131" s="24" t="n">
        <v>2491</v>
      </c>
      <c r="I131" s="24" t="n">
        <v>104</v>
      </c>
      <c r="J131" s="24" t="n">
        <v>103</v>
      </c>
      <c r="K131" s="24" t="n">
        <v>-0.0585325422070277</v>
      </c>
      <c r="L131" s="24" t="n">
        <v>0.0153633882229757</v>
      </c>
      <c r="M131" s="24" t="n">
        <v>-3.80987197339018</v>
      </c>
      <c r="N131" s="24" t="n">
        <v>100.946670846373</v>
      </c>
      <c r="O131" s="24" t="n">
        <v>0.000239115682193052</v>
      </c>
      <c r="P131" s="24" t="n">
        <v>-0.0890095669239071</v>
      </c>
      <c r="Q131" s="24" t="n">
        <v>-0.0280555174901482</v>
      </c>
      <c r="R131" s="24"/>
      <c r="S131" s="24"/>
      <c r="T131" s="24" t="n">
        <v>-0.0584657883820085</v>
      </c>
      <c r="U131" s="24" t="n">
        <v>-0.0887752440297631</v>
      </c>
      <c r="V131" s="24" t="n">
        <v>-0.0280481588615617</v>
      </c>
      <c r="W131" s="24"/>
      <c r="X131" s="24"/>
      <c r="Y131" s="24" t="n">
        <v>0.0221154005131948</v>
      </c>
      <c r="Z131" s="24" t="n">
        <v>1.71582091641714E-009</v>
      </c>
      <c r="AA131" s="24" t="n">
        <v>0.0122632928546875</v>
      </c>
      <c r="AB131" s="24"/>
      <c r="AC131" s="24"/>
      <c r="AD131" s="24"/>
      <c r="AE131" s="24"/>
      <c r="AF131" s="24"/>
      <c r="AG131" s="24"/>
      <c r="AH131" s="24" t="s">
        <v>748</v>
      </c>
      <c r="AI131" s="24"/>
      <c r="AJ131" s="24" t="s">
        <v>886</v>
      </c>
    </row>
    <row r="132" customFormat="false" ht="15" hidden="false" customHeight="false" outlineLevel="0" collapsed="false">
      <c r="A132" s="24" t="s">
        <v>277</v>
      </c>
      <c r="B132" s="24" t="s">
        <v>278</v>
      </c>
      <c r="C132" s="24" t="s">
        <v>591</v>
      </c>
      <c r="D132" s="24" t="s">
        <v>592</v>
      </c>
      <c r="E132" s="24" t="s">
        <v>746</v>
      </c>
      <c r="F132" s="24" t="s">
        <v>747</v>
      </c>
      <c r="G132" s="24" t="n">
        <v>0.6</v>
      </c>
      <c r="H132" s="24" t="n">
        <v>2499</v>
      </c>
      <c r="I132" s="24" t="n">
        <v>105</v>
      </c>
      <c r="J132" s="24" t="n">
        <v>104</v>
      </c>
      <c r="K132" s="24" t="n">
        <v>-0.0581987950031435</v>
      </c>
      <c r="L132" s="24" t="n">
        <v>0.0151948366222739</v>
      </c>
      <c r="M132" s="24" t="n">
        <v>-3.83016918509217</v>
      </c>
      <c r="N132" s="24" t="n">
        <v>101.918764783781</v>
      </c>
      <c r="O132" s="24" t="n">
        <v>0.000221468792543698</v>
      </c>
      <c r="P132" s="24" t="n">
        <v>-0.0883379697366041</v>
      </c>
      <c r="Q132" s="24" t="n">
        <v>-0.0280596202696829</v>
      </c>
      <c r="R132" s="24"/>
      <c r="S132" s="24"/>
      <c r="T132" s="24" t="n">
        <v>-0.0581331755311175</v>
      </c>
      <c r="U132" s="24" t="n">
        <v>-0.0881089001013674</v>
      </c>
      <c r="V132" s="24" t="n">
        <v>-0.0280522584129711</v>
      </c>
      <c r="W132" s="24"/>
      <c r="X132" s="24"/>
      <c r="Y132" s="24" t="n">
        <v>0.021803310128606</v>
      </c>
      <c r="Z132" s="24" t="n">
        <v>2.65626962142971E-009</v>
      </c>
      <c r="AA132" s="24" t="n">
        <v>0.0122789484711824</v>
      </c>
      <c r="AB132" s="24"/>
      <c r="AC132" s="24"/>
      <c r="AD132" s="24"/>
      <c r="AE132" s="24"/>
      <c r="AF132" s="24"/>
      <c r="AG132" s="24"/>
      <c r="AH132" s="24" t="s">
        <v>748</v>
      </c>
      <c r="AI132" s="24"/>
      <c r="AJ132" s="24" t="s">
        <v>887</v>
      </c>
    </row>
    <row r="133" customFormat="false" ht="15" hidden="false" customHeight="false" outlineLevel="0" collapsed="false">
      <c r="A133" s="24" t="s">
        <v>277</v>
      </c>
      <c r="B133" s="24" t="s">
        <v>278</v>
      </c>
      <c r="C133" s="24" t="s">
        <v>594</v>
      </c>
      <c r="D133" s="24" t="s">
        <v>595</v>
      </c>
      <c r="E133" s="24" t="s">
        <v>746</v>
      </c>
      <c r="F133" s="24" t="s">
        <v>747</v>
      </c>
      <c r="G133" s="24" t="n">
        <v>0.6</v>
      </c>
      <c r="H133" s="24" t="n">
        <v>2508</v>
      </c>
      <c r="I133" s="24" t="n">
        <v>106</v>
      </c>
      <c r="J133" s="24" t="n">
        <v>105</v>
      </c>
      <c r="K133" s="24" t="n">
        <v>-0.0578797977085012</v>
      </c>
      <c r="L133" s="24" t="n">
        <v>0.0150280394991096</v>
      </c>
      <c r="M133" s="24" t="n">
        <v>-3.85145365847159</v>
      </c>
      <c r="N133" s="24" t="n">
        <v>102.901556929438</v>
      </c>
      <c r="O133" s="24" t="n">
        <v>0.000204323762645779</v>
      </c>
      <c r="P133" s="24" t="n">
        <v>-0.0876847084941809</v>
      </c>
      <c r="Q133" s="24" t="n">
        <v>-0.0280748869228214</v>
      </c>
      <c r="R133" s="24"/>
      <c r="S133" s="24"/>
      <c r="T133" s="24" t="n">
        <v>-0.0578152503920941</v>
      </c>
      <c r="U133" s="24" t="n">
        <v>-0.0874606730239029</v>
      </c>
      <c r="V133" s="24" t="n">
        <v>-0.0280675130458003</v>
      </c>
      <c r="W133" s="24"/>
      <c r="X133" s="24"/>
      <c r="Y133" s="24" t="n">
        <v>0.0215201943648847</v>
      </c>
      <c r="Z133" s="24" t="n">
        <v>1.51907434406829E-009</v>
      </c>
      <c r="AA133" s="24" t="n">
        <v>0.0122384927364255</v>
      </c>
      <c r="AB133" s="24"/>
      <c r="AC133" s="24"/>
      <c r="AD133" s="24"/>
      <c r="AE133" s="24"/>
      <c r="AF133" s="24"/>
      <c r="AG133" s="24"/>
      <c r="AH133" s="24" t="s">
        <v>748</v>
      </c>
      <c r="AI133" s="24"/>
      <c r="AJ133" s="24" t="s">
        <v>888</v>
      </c>
    </row>
    <row r="134" customFormat="false" ht="15" hidden="false" customHeight="false" outlineLevel="0" collapsed="false">
      <c r="A134" s="24" t="s">
        <v>277</v>
      </c>
      <c r="B134" s="24" t="s">
        <v>278</v>
      </c>
      <c r="C134" s="24" t="s">
        <v>597</v>
      </c>
      <c r="D134" s="24" t="s">
        <v>598</v>
      </c>
      <c r="E134" s="24" t="s">
        <v>746</v>
      </c>
      <c r="F134" s="24" t="s">
        <v>747</v>
      </c>
      <c r="G134" s="24" t="n">
        <v>0.6</v>
      </c>
      <c r="H134" s="24" t="n">
        <v>2529</v>
      </c>
      <c r="I134" s="24" t="n">
        <v>107</v>
      </c>
      <c r="J134" s="24" t="n">
        <v>106</v>
      </c>
      <c r="K134" s="24" t="n">
        <v>-0.0577215013118813</v>
      </c>
      <c r="L134" s="24" t="n">
        <v>0.0148289212968656</v>
      </c>
      <c r="M134" s="24" t="n">
        <v>-3.892494953364</v>
      </c>
      <c r="N134" s="24" t="n">
        <v>103.862675492903</v>
      </c>
      <c r="O134" s="24" t="n">
        <v>0.000175555019891311</v>
      </c>
      <c r="P134" s="24" t="n">
        <v>-0.0871282663234397</v>
      </c>
      <c r="Q134" s="24" t="n">
        <v>-0.0283147363003229</v>
      </c>
      <c r="R134" s="24"/>
      <c r="S134" s="24"/>
      <c r="T134" s="24" t="n">
        <v>-0.0576574816749397</v>
      </c>
      <c r="U134" s="24" t="n">
        <v>-0.0869084604674059</v>
      </c>
      <c r="V134" s="24" t="n">
        <v>-0.0283071718555177</v>
      </c>
      <c r="W134" s="24"/>
      <c r="X134" s="24"/>
      <c r="Y134" s="24" t="n">
        <v>0.0211275819338636</v>
      </c>
      <c r="Z134" s="24" t="n">
        <v>2.95720208161617E-009</v>
      </c>
      <c r="AA134" s="24" t="n">
        <v>0.012300204691233</v>
      </c>
      <c r="AB134" s="24"/>
      <c r="AC134" s="24"/>
      <c r="AD134" s="24"/>
      <c r="AE134" s="24"/>
      <c r="AF134" s="24"/>
      <c r="AG134" s="24"/>
      <c r="AH134" s="24" t="s">
        <v>748</v>
      </c>
      <c r="AI134" s="24"/>
      <c r="AJ134" s="24" t="s">
        <v>889</v>
      </c>
    </row>
    <row r="135" customFormat="false" ht="15" hidden="false" customHeight="false" outlineLevel="0" collapsed="false">
      <c r="A135" s="24" t="s">
        <v>277</v>
      </c>
      <c r="B135" s="24" t="s">
        <v>278</v>
      </c>
      <c r="C135" s="24" t="s">
        <v>600</v>
      </c>
      <c r="D135" s="24" t="s">
        <v>601</v>
      </c>
      <c r="E135" s="24" t="s">
        <v>746</v>
      </c>
      <c r="F135" s="24" t="s">
        <v>747</v>
      </c>
      <c r="G135" s="24" t="n">
        <v>0.6</v>
      </c>
      <c r="H135" s="24" t="n">
        <v>2611</v>
      </c>
      <c r="I135" s="24" t="n">
        <v>108</v>
      </c>
      <c r="J135" s="24" t="n">
        <v>107</v>
      </c>
      <c r="K135" s="24" t="n">
        <v>-0.0574042514037858</v>
      </c>
      <c r="L135" s="24" t="n">
        <v>0.0147632859388168</v>
      </c>
      <c r="M135" s="24" t="n">
        <v>-3.88831129070352</v>
      </c>
      <c r="N135" s="24" t="n">
        <v>104.904384904598</v>
      </c>
      <c r="O135" s="24" t="n">
        <v>0.000177295122390085</v>
      </c>
      <c r="P135" s="24" t="n">
        <v>-0.0866774312495601</v>
      </c>
      <c r="Q135" s="24" t="n">
        <v>-0.0281310715580115</v>
      </c>
      <c r="R135" s="24"/>
      <c r="S135" s="24"/>
      <c r="T135" s="24" t="n">
        <v>-0.0573412806544539</v>
      </c>
      <c r="U135" s="24" t="n">
        <v>-0.0864610130858399</v>
      </c>
      <c r="V135" s="24" t="n">
        <v>-0.0281236533309711</v>
      </c>
      <c r="W135" s="24"/>
      <c r="X135" s="24"/>
      <c r="Y135" s="24" t="n">
        <v>0.0212094407103884</v>
      </c>
      <c r="Z135" s="24" t="n">
        <v>2.06499398698623E-009</v>
      </c>
      <c r="AA135" s="24" t="n">
        <v>0.0118742330137718</v>
      </c>
      <c r="AB135" s="24"/>
      <c r="AC135" s="24"/>
      <c r="AD135" s="24"/>
      <c r="AE135" s="24"/>
      <c r="AF135" s="24"/>
      <c r="AG135" s="24"/>
      <c r="AH135" s="24" t="s">
        <v>748</v>
      </c>
      <c r="AI135" s="24"/>
      <c r="AJ135" s="24" t="s">
        <v>890</v>
      </c>
    </row>
    <row r="136" customFormat="false" ht="15" hidden="false" customHeight="false" outlineLevel="0" collapsed="false">
      <c r="A136" s="24" t="s">
        <v>277</v>
      </c>
      <c r="B136" s="24" t="s">
        <v>278</v>
      </c>
      <c r="C136" s="24" t="s">
        <v>603</v>
      </c>
      <c r="D136" s="24" t="s">
        <v>604</v>
      </c>
      <c r="E136" s="24" t="s">
        <v>746</v>
      </c>
      <c r="F136" s="24" t="s">
        <v>747</v>
      </c>
      <c r="G136" s="24" t="n">
        <v>0.6</v>
      </c>
      <c r="H136" s="24" t="n">
        <v>2623</v>
      </c>
      <c r="I136" s="24" t="n">
        <v>109</v>
      </c>
      <c r="J136" s="24" t="n">
        <v>108</v>
      </c>
      <c r="K136" s="24" t="n">
        <v>-0.0585549027192455</v>
      </c>
      <c r="L136" s="24" t="n">
        <v>0.0146475256186284</v>
      </c>
      <c r="M136" s="24" t="n">
        <v>-3.99759688044353</v>
      </c>
      <c r="N136" s="24" t="n">
        <v>105.885006476875</v>
      </c>
      <c r="O136" s="24" t="n">
        <v>0.000118613040580036</v>
      </c>
      <c r="P136" s="24" t="n">
        <v>-0.0875954110115965</v>
      </c>
      <c r="Q136" s="24" t="n">
        <v>-0.0295143944268945</v>
      </c>
      <c r="R136" s="24"/>
      <c r="S136" s="24"/>
      <c r="T136" s="24" t="n">
        <v>-0.0584880724313047</v>
      </c>
      <c r="U136" s="24" t="n">
        <v>-0.0873720579188927</v>
      </c>
      <c r="V136" s="24" t="n">
        <v>-0.0295058274207712</v>
      </c>
      <c r="W136" s="24"/>
      <c r="X136" s="24"/>
      <c r="Y136" s="24" t="n">
        <v>0.0210526734888459</v>
      </c>
      <c r="Z136" s="24" t="n">
        <v>1.35006346848298E-009</v>
      </c>
      <c r="AA136" s="24" t="n">
        <v>0.0119491641925666</v>
      </c>
      <c r="AB136" s="24"/>
      <c r="AC136" s="24"/>
      <c r="AD136" s="24"/>
      <c r="AE136" s="24"/>
      <c r="AF136" s="24"/>
      <c r="AG136" s="24"/>
      <c r="AH136" s="24" t="s">
        <v>748</v>
      </c>
      <c r="AI136" s="24"/>
      <c r="AJ136" s="24" t="s">
        <v>891</v>
      </c>
    </row>
    <row r="137" customFormat="false" ht="15" hidden="false" customHeight="false" outlineLevel="0" collapsed="false">
      <c r="A137" s="24" t="s">
        <v>277</v>
      </c>
      <c r="B137" s="24" t="s">
        <v>278</v>
      </c>
      <c r="C137" s="24" t="s">
        <v>606</v>
      </c>
      <c r="D137" s="24" t="s">
        <v>607</v>
      </c>
      <c r="E137" s="24" t="s">
        <v>746</v>
      </c>
      <c r="F137" s="24" t="s">
        <v>747</v>
      </c>
      <c r="G137" s="24" t="n">
        <v>0.6</v>
      </c>
      <c r="H137" s="24" t="n">
        <v>2653</v>
      </c>
      <c r="I137" s="24" t="n">
        <v>110</v>
      </c>
      <c r="J137" s="24" t="n">
        <v>109</v>
      </c>
      <c r="K137" s="24" t="n">
        <v>-0.0578688835292018</v>
      </c>
      <c r="L137" s="24" t="n">
        <v>0.0145085341228199</v>
      </c>
      <c r="M137" s="24" t="n">
        <v>-3.98860994772603</v>
      </c>
      <c r="N137" s="24" t="n">
        <v>106.871584347259</v>
      </c>
      <c r="O137" s="24" t="n">
        <v>0.000121952195197085</v>
      </c>
      <c r="P137" s="24" t="n">
        <v>-0.0866307555199354</v>
      </c>
      <c r="Q137" s="24" t="n">
        <v>-0.0291070115384682</v>
      </c>
      <c r="R137" s="24"/>
      <c r="S137" s="24"/>
      <c r="T137" s="24" t="n">
        <v>-0.0578043726877017</v>
      </c>
      <c r="U137" s="24" t="n">
        <v>-0.0864146860940236</v>
      </c>
      <c r="V137" s="24" t="n">
        <v>-0.0290987943272934</v>
      </c>
      <c r="W137" s="24"/>
      <c r="X137" s="24"/>
      <c r="Y137" s="24" t="n">
        <v>0.020838830575723</v>
      </c>
      <c r="Z137" s="24" t="n">
        <v>2.83174453087768E-009</v>
      </c>
      <c r="AA137" s="24" t="n">
        <v>0.0119134731075119</v>
      </c>
      <c r="AB137" s="24"/>
      <c r="AC137" s="24"/>
      <c r="AD137" s="24"/>
      <c r="AE137" s="24"/>
      <c r="AF137" s="24"/>
      <c r="AG137" s="24"/>
      <c r="AH137" s="24" t="s">
        <v>748</v>
      </c>
      <c r="AI137" s="24"/>
      <c r="AJ137" s="24" t="s">
        <v>892</v>
      </c>
    </row>
    <row r="138" customFormat="false" ht="15" hidden="false" customHeight="false" outlineLevel="0" collapsed="false">
      <c r="A138" s="24" t="s">
        <v>277</v>
      </c>
      <c r="B138" s="24" t="s">
        <v>278</v>
      </c>
      <c r="C138" s="24" t="s">
        <v>609</v>
      </c>
      <c r="D138" s="24" t="s">
        <v>610</v>
      </c>
      <c r="E138" s="24" t="s">
        <v>746</v>
      </c>
      <c r="F138" s="24" t="s">
        <v>747</v>
      </c>
      <c r="G138" s="24" t="n">
        <v>0.6</v>
      </c>
      <c r="H138" s="24" t="n">
        <v>2669</v>
      </c>
      <c r="I138" s="24" t="n">
        <v>111</v>
      </c>
      <c r="J138" s="24" t="n">
        <v>110</v>
      </c>
      <c r="K138" s="24" t="n">
        <v>-0.0590319045404268</v>
      </c>
      <c r="L138" s="24" t="n">
        <v>0.014431903349053</v>
      </c>
      <c r="M138" s="24" t="n">
        <v>-4.0903755459463</v>
      </c>
      <c r="N138" s="24" t="n">
        <v>107.872746211685</v>
      </c>
      <c r="O138" s="24" t="n">
        <v>8.32562035935852E-005</v>
      </c>
      <c r="P138" s="24" t="n">
        <v>-0.0876388229797557</v>
      </c>
      <c r="Q138" s="24" t="n">
        <v>-0.0304249861010979</v>
      </c>
      <c r="R138" s="24"/>
      <c r="S138" s="24"/>
      <c r="T138" s="24" t="n">
        <v>-0.058963429200612</v>
      </c>
      <c r="U138" s="24" t="n">
        <v>-0.0874151383220174</v>
      </c>
      <c r="V138" s="24" t="n">
        <v>-0.0304156016444107</v>
      </c>
      <c r="W138" s="24"/>
      <c r="X138" s="24"/>
      <c r="Y138" s="24" t="n">
        <v>0.0208069093614562</v>
      </c>
      <c r="Z138" s="24" t="n">
        <v>1.84914178416826E-009</v>
      </c>
      <c r="AA138" s="24" t="n">
        <v>0.0118712055056804</v>
      </c>
      <c r="AB138" s="24"/>
      <c r="AC138" s="24"/>
      <c r="AD138" s="24"/>
      <c r="AE138" s="24"/>
      <c r="AF138" s="24"/>
      <c r="AG138" s="24"/>
      <c r="AH138" s="24" t="s">
        <v>748</v>
      </c>
      <c r="AI138" s="24"/>
      <c r="AJ138" s="24" t="s">
        <v>893</v>
      </c>
    </row>
    <row r="139" customFormat="false" ht="15" hidden="false" customHeight="false" outlineLevel="0" collapsed="false">
      <c r="A139" s="24" t="s">
        <v>277</v>
      </c>
      <c r="B139" s="24" t="s">
        <v>278</v>
      </c>
      <c r="C139" s="24" t="s">
        <v>612</v>
      </c>
      <c r="D139" s="24" t="s">
        <v>613</v>
      </c>
      <c r="E139" s="24" t="s">
        <v>746</v>
      </c>
      <c r="F139" s="24" t="s">
        <v>747</v>
      </c>
      <c r="G139" s="24" t="n">
        <v>0.6</v>
      </c>
      <c r="H139" s="24" t="n">
        <v>2685</v>
      </c>
      <c r="I139" s="24" t="n">
        <v>112</v>
      </c>
      <c r="J139" s="24" t="n">
        <v>111</v>
      </c>
      <c r="K139" s="24" t="n">
        <v>-0.0590667678376807</v>
      </c>
      <c r="L139" s="24" t="n">
        <v>0.0142748265272451</v>
      </c>
      <c r="M139" s="24" t="n">
        <v>-4.1378273651834</v>
      </c>
      <c r="N139" s="24" t="n">
        <v>108.851623469735</v>
      </c>
      <c r="O139" s="24" t="n">
        <v>6.93143615355393E-005</v>
      </c>
      <c r="P139" s="24" t="n">
        <v>-0.0873594427898898</v>
      </c>
      <c r="Q139" s="24" t="n">
        <v>-0.0307740928854716</v>
      </c>
      <c r="R139" s="24"/>
      <c r="S139" s="24"/>
      <c r="T139" s="24" t="n">
        <v>-0.0589981712176972</v>
      </c>
      <c r="U139" s="24" t="n">
        <v>-0.0871378862258713</v>
      </c>
      <c r="V139" s="24" t="n">
        <v>-0.0307643817493993</v>
      </c>
      <c r="W139" s="24"/>
      <c r="X139" s="24"/>
      <c r="Y139" s="24" t="n">
        <v>0.0205249739078778</v>
      </c>
      <c r="Z139" s="24" t="n">
        <v>2.58366902720068E-009</v>
      </c>
      <c r="AA139" s="24" t="n">
        <v>0.0118564526234552</v>
      </c>
      <c r="AB139" s="24"/>
      <c r="AC139" s="24"/>
      <c r="AD139" s="24"/>
      <c r="AE139" s="24"/>
      <c r="AF139" s="24"/>
      <c r="AG139" s="24"/>
      <c r="AH139" s="24" t="s">
        <v>748</v>
      </c>
      <c r="AI139" s="24"/>
      <c r="AJ139" s="24" t="s">
        <v>894</v>
      </c>
    </row>
    <row r="140" customFormat="false" ht="15" hidden="false" customHeight="false" outlineLevel="0" collapsed="false">
      <c r="A140" s="24" t="s">
        <v>277</v>
      </c>
      <c r="B140" s="24" t="s">
        <v>278</v>
      </c>
      <c r="C140" s="24" t="s">
        <v>615</v>
      </c>
      <c r="D140" s="24" t="s">
        <v>616</v>
      </c>
      <c r="E140" s="24" t="s">
        <v>746</v>
      </c>
      <c r="F140" s="24" t="s">
        <v>747</v>
      </c>
      <c r="G140" s="24" t="n">
        <v>0.6</v>
      </c>
      <c r="H140" s="24" t="n">
        <v>2705</v>
      </c>
      <c r="I140" s="24" t="n">
        <v>113</v>
      </c>
      <c r="J140" s="24" t="n">
        <v>112</v>
      </c>
      <c r="K140" s="24" t="n">
        <v>-0.0587790597371448</v>
      </c>
      <c r="L140" s="24" t="n">
        <v>0.0141097385556259</v>
      </c>
      <c r="M140" s="24" t="n">
        <v>-4.16585038095608</v>
      </c>
      <c r="N140" s="24" t="n">
        <v>109.822475369779</v>
      </c>
      <c r="O140" s="24" t="n">
        <v>6.20155414494902E-005</v>
      </c>
      <c r="P140" s="24" t="n">
        <v>-0.0867417524071105</v>
      </c>
      <c r="Q140" s="24" t="n">
        <v>-0.030816367067179</v>
      </c>
      <c r="R140" s="24"/>
      <c r="S140" s="24"/>
      <c r="T140" s="24" t="n">
        <v>-0.0587114597081715</v>
      </c>
      <c r="U140" s="24" t="n">
        <v>-0.0865248530550212</v>
      </c>
      <c r="V140" s="24" t="n">
        <v>-0.0308066158658742</v>
      </c>
      <c r="W140" s="24"/>
      <c r="X140" s="24"/>
      <c r="Y140" s="24" t="n">
        <v>0.0202132234052122</v>
      </c>
      <c r="Z140" s="24" t="n">
        <v>3.85235990036433E-010</v>
      </c>
      <c r="AA140" s="24" t="n">
        <v>0.0118805971564769</v>
      </c>
      <c r="AB140" s="24"/>
      <c r="AC140" s="24"/>
      <c r="AD140" s="24"/>
      <c r="AE140" s="24"/>
      <c r="AF140" s="24"/>
      <c r="AG140" s="24"/>
      <c r="AH140" s="24" t="s">
        <v>748</v>
      </c>
      <c r="AI140" s="24"/>
      <c r="AJ140" s="24" t="s">
        <v>895</v>
      </c>
    </row>
    <row r="141" customFormat="false" ht="15" hidden="false" customHeight="false" outlineLevel="0" collapsed="false">
      <c r="A141" s="24" t="s">
        <v>633</v>
      </c>
      <c r="B141" s="24" t="s">
        <v>634</v>
      </c>
      <c r="C141" s="24" t="s">
        <v>635</v>
      </c>
      <c r="D141" s="24" t="s">
        <v>636</v>
      </c>
      <c r="E141" s="24" t="s">
        <v>746</v>
      </c>
      <c r="F141" s="24" t="s">
        <v>747</v>
      </c>
      <c r="G141" s="24" t="n">
        <v>0.6</v>
      </c>
      <c r="H141" s="24" t="n">
        <v>312</v>
      </c>
      <c r="I141" s="24" t="n">
        <v>9</v>
      </c>
      <c r="J141" s="24" t="n">
        <v>9</v>
      </c>
      <c r="K141" s="24" t="n">
        <v>-0.0148714200641961</v>
      </c>
      <c r="L141" s="24"/>
      <c r="M141" s="24"/>
      <c r="N141" s="24"/>
      <c r="O141" s="24"/>
      <c r="P141" s="24"/>
      <c r="Q141" s="24"/>
      <c r="R141" s="24"/>
      <c r="S141" s="24"/>
      <c r="T141" s="24" t="n">
        <v>-0.0148703238443738</v>
      </c>
      <c r="U141" s="24"/>
      <c r="V141" s="24"/>
      <c r="W141" s="24"/>
      <c r="X141" s="24"/>
      <c r="Y141" s="24" t="n">
        <v>3.23847217855242E-012</v>
      </c>
      <c r="Z141" s="24" t="n">
        <v>3.23846838660355E-012</v>
      </c>
      <c r="AA141" s="24" t="n">
        <v>0.00187895204554222</v>
      </c>
      <c r="AB141" s="24"/>
      <c r="AC141" s="24"/>
      <c r="AD141" s="24"/>
      <c r="AE141" s="24"/>
      <c r="AF141" s="24"/>
      <c r="AG141" s="24"/>
      <c r="AH141" s="24" t="s">
        <v>748</v>
      </c>
      <c r="AI141" s="24"/>
      <c r="AJ141" s="24" t="s">
        <v>896</v>
      </c>
    </row>
    <row r="142" customFormat="false" ht="15" hidden="false" customHeight="false" outlineLevel="0" collapsed="false">
      <c r="A142" s="24" t="s">
        <v>633</v>
      </c>
      <c r="B142" s="24" t="s">
        <v>634</v>
      </c>
      <c r="C142" s="24" t="s">
        <v>638</v>
      </c>
      <c r="D142" s="24" t="s">
        <v>636</v>
      </c>
      <c r="E142" s="24" t="s">
        <v>746</v>
      </c>
      <c r="F142" s="24" t="s">
        <v>747</v>
      </c>
      <c r="G142" s="24" t="n">
        <v>0.6</v>
      </c>
      <c r="H142" s="24" t="n">
        <v>306</v>
      </c>
      <c r="I142" s="24" t="n">
        <v>8</v>
      </c>
      <c r="J142" s="24" t="n">
        <v>8</v>
      </c>
      <c r="K142" s="24" t="n">
        <v>-0.0151867203135413</v>
      </c>
      <c r="L142" s="24"/>
      <c r="M142" s="24"/>
      <c r="N142" s="24"/>
      <c r="O142" s="24"/>
      <c r="P142" s="24"/>
      <c r="Q142" s="24"/>
      <c r="R142" s="24"/>
      <c r="S142" s="24"/>
      <c r="T142" s="24" t="n">
        <v>-0.0151855528840342</v>
      </c>
      <c r="U142" s="24"/>
      <c r="V142" s="24"/>
      <c r="W142" s="24"/>
      <c r="X142" s="24"/>
      <c r="Y142" s="24" t="n">
        <v>5.37327069653018E-012</v>
      </c>
      <c r="Z142" s="24" t="n">
        <v>5.3732709898552E-012</v>
      </c>
      <c r="AA142" s="24" t="n">
        <v>0.00186086409342145</v>
      </c>
      <c r="AB142" s="24"/>
      <c r="AC142" s="24"/>
      <c r="AD142" s="24"/>
      <c r="AE142" s="24"/>
      <c r="AF142" s="24"/>
      <c r="AG142" s="24"/>
      <c r="AH142" s="24" t="s">
        <v>748</v>
      </c>
      <c r="AI142" s="24"/>
      <c r="AJ142" s="24" t="s">
        <v>897</v>
      </c>
    </row>
    <row r="143" customFormat="false" ht="15" hidden="false" customHeight="false" outlineLevel="0" collapsed="false">
      <c r="A143" s="24" t="s">
        <v>633</v>
      </c>
      <c r="B143" s="24" t="s">
        <v>634</v>
      </c>
      <c r="C143" s="24" t="s">
        <v>640</v>
      </c>
      <c r="D143" s="24" t="s">
        <v>636</v>
      </c>
      <c r="E143" s="24" t="s">
        <v>746</v>
      </c>
      <c r="F143" s="24" t="s">
        <v>747</v>
      </c>
      <c r="G143" s="24" t="n">
        <v>0.6</v>
      </c>
      <c r="H143" s="24" t="n">
        <v>242</v>
      </c>
      <c r="I143" s="24" t="n">
        <v>8</v>
      </c>
      <c r="J143" s="24" t="n">
        <v>8</v>
      </c>
      <c r="K143" s="24" t="n">
        <v>-0.0163557163547174</v>
      </c>
      <c r="L143" s="24"/>
      <c r="M143" s="24"/>
      <c r="N143" s="24"/>
      <c r="O143" s="24"/>
      <c r="P143" s="24"/>
      <c r="Q143" s="24"/>
      <c r="R143" s="24"/>
      <c r="S143" s="24"/>
      <c r="T143" s="24" t="n">
        <v>-0.0163542580744891</v>
      </c>
      <c r="U143" s="24"/>
      <c r="V143" s="24"/>
      <c r="W143" s="24"/>
      <c r="X143" s="24"/>
      <c r="Y143" s="24" t="n">
        <v>6.10795165165669E-006</v>
      </c>
      <c r="Z143" s="24" t="n">
        <v>6.10795164079356E-006</v>
      </c>
      <c r="AA143" s="24" t="n">
        <v>0.00172984426961854</v>
      </c>
      <c r="AB143" s="24"/>
      <c r="AC143" s="24"/>
      <c r="AD143" s="24"/>
      <c r="AE143" s="24"/>
      <c r="AF143" s="24"/>
      <c r="AG143" s="24"/>
      <c r="AH143" s="24" t="s">
        <v>748</v>
      </c>
      <c r="AI143" s="24"/>
      <c r="AJ143" s="24" t="s">
        <v>898</v>
      </c>
    </row>
    <row r="144" customFormat="false" ht="15" hidden="false" customHeight="false" outlineLevel="0" collapsed="false">
      <c r="A144" s="24" t="s">
        <v>633</v>
      </c>
      <c r="B144" s="24" t="s">
        <v>634</v>
      </c>
      <c r="C144" s="24" t="s">
        <v>642</v>
      </c>
      <c r="D144" s="24" t="s">
        <v>636</v>
      </c>
      <c r="E144" s="24" t="s">
        <v>746</v>
      </c>
      <c r="F144" s="24" t="s">
        <v>747</v>
      </c>
      <c r="G144" s="24" t="n">
        <v>0.6</v>
      </c>
      <c r="H144" s="24" t="n">
        <v>75</v>
      </c>
      <c r="I144" s="24" t="n">
        <v>6</v>
      </c>
      <c r="J144" s="24" t="n">
        <v>6</v>
      </c>
      <c r="K144" s="24" t="n">
        <v>-0.0390457980034247</v>
      </c>
      <c r="L144" s="24"/>
      <c r="M144" s="24"/>
      <c r="N144" s="24"/>
      <c r="O144" s="24"/>
      <c r="P144" s="24"/>
      <c r="Q144" s="24"/>
      <c r="R144" s="24"/>
      <c r="S144" s="24"/>
      <c r="T144" s="24" t="n">
        <v>-0.0390259673560593</v>
      </c>
      <c r="U144" s="24"/>
      <c r="V144" s="24"/>
      <c r="W144" s="24"/>
      <c r="X144" s="24"/>
      <c r="Y144" s="24" t="n">
        <v>0.000158799249868888</v>
      </c>
      <c r="Z144" s="24" t="n">
        <v>0.000158799251855315</v>
      </c>
      <c r="AA144" s="24" t="n">
        <v>0.00621584814748607</v>
      </c>
      <c r="AB144" s="24"/>
      <c r="AC144" s="24"/>
      <c r="AD144" s="24"/>
      <c r="AE144" s="24"/>
      <c r="AF144" s="24"/>
      <c r="AG144" s="24"/>
      <c r="AH144" s="24" t="s">
        <v>748</v>
      </c>
      <c r="AI144" s="24"/>
      <c r="AJ144" s="24" t="s">
        <v>899</v>
      </c>
    </row>
    <row r="145" customFormat="false" ht="15" hidden="false" customHeight="false" outlineLevel="0" collapsed="false">
      <c r="A145" s="24" t="s">
        <v>633</v>
      </c>
      <c r="B145" s="24" t="s">
        <v>634</v>
      </c>
      <c r="C145" s="24" t="s">
        <v>644</v>
      </c>
      <c r="D145" s="24" t="s">
        <v>636</v>
      </c>
      <c r="E145" s="24" t="s">
        <v>746</v>
      </c>
      <c r="F145" s="24" t="s">
        <v>747</v>
      </c>
      <c r="G145" s="24" t="n">
        <v>0.6</v>
      </c>
      <c r="H145" s="24" t="n">
        <v>26</v>
      </c>
      <c r="I145" s="24" t="n">
        <v>4</v>
      </c>
      <c r="J145" s="24" t="n">
        <v>4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 t="s">
        <v>748</v>
      </c>
      <c r="AI145" s="24"/>
      <c r="AJ145" s="24" t="s">
        <v>900</v>
      </c>
    </row>
    <row r="146" customFormat="false" ht="15" hidden="false" customHeight="false" outlineLevel="0" collapsed="false">
      <c r="A146" s="24" t="s">
        <v>633</v>
      </c>
      <c r="B146" s="24" t="s">
        <v>634</v>
      </c>
      <c r="C146" s="24" t="s">
        <v>646</v>
      </c>
      <c r="D146" s="24" t="s">
        <v>636</v>
      </c>
      <c r="E146" s="24" t="s">
        <v>746</v>
      </c>
      <c r="F146" s="24" t="s">
        <v>747</v>
      </c>
      <c r="G146" s="24" t="n">
        <v>0.6</v>
      </c>
      <c r="H146" s="24" t="n">
        <v>67</v>
      </c>
      <c r="I146" s="24" t="n">
        <v>7</v>
      </c>
      <c r="J146" s="24" t="n">
        <v>7</v>
      </c>
      <c r="K146" s="24" t="n">
        <v>-0.0647975129023523</v>
      </c>
      <c r="L146" s="24"/>
      <c r="M146" s="24"/>
      <c r="N146" s="24"/>
      <c r="O146" s="24"/>
      <c r="P146" s="24"/>
      <c r="Q146" s="24"/>
      <c r="R146" s="24"/>
      <c r="S146" s="24"/>
      <c r="T146" s="24" t="n">
        <v>-0.0647069761336669</v>
      </c>
      <c r="U146" s="24"/>
      <c r="V146" s="24"/>
      <c r="W146" s="24"/>
      <c r="X146" s="24"/>
      <c r="Y146" s="24" t="n">
        <v>3.56759038158167E-012</v>
      </c>
      <c r="Z146" s="24" t="n">
        <v>3.56759055692385E-012</v>
      </c>
      <c r="AA146" s="24" t="n">
        <v>0.0104226045470119</v>
      </c>
      <c r="AB146" s="24"/>
      <c r="AC146" s="24"/>
      <c r="AD146" s="24"/>
      <c r="AE146" s="24"/>
      <c r="AF146" s="24"/>
      <c r="AG146" s="24"/>
      <c r="AH146" s="24" t="s">
        <v>748</v>
      </c>
      <c r="AI146" s="24"/>
      <c r="AJ146" s="24" t="s">
        <v>901</v>
      </c>
    </row>
    <row r="147" customFormat="false" ht="15" hidden="false" customHeight="false" outlineLevel="0" collapsed="false">
      <c r="A147" s="24" t="s">
        <v>633</v>
      </c>
      <c r="B147" s="24" t="s">
        <v>634</v>
      </c>
      <c r="C147" s="24" t="s">
        <v>648</v>
      </c>
      <c r="D147" s="24" t="s">
        <v>636</v>
      </c>
      <c r="E147" s="24" t="s">
        <v>746</v>
      </c>
      <c r="F147" s="24" t="s">
        <v>747</v>
      </c>
      <c r="G147" s="24" t="n">
        <v>0.6</v>
      </c>
      <c r="H147" s="24" t="n">
        <v>85</v>
      </c>
      <c r="I147" s="24" t="n">
        <v>8</v>
      </c>
      <c r="J147" s="24" t="n">
        <v>8</v>
      </c>
      <c r="K147" s="24" t="n">
        <v>-0.071015842557823</v>
      </c>
      <c r="L147" s="24"/>
      <c r="M147" s="24"/>
      <c r="N147" s="24"/>
      <c r="O147" s="24"/>
      <c r="P147" s="24"/>
      <c r="Q147" s="24"/>
      <c r="R147" s="24"/>
      <c r="S147" s="24"/>
      <c r="T147" s="24" t="n">
        <v>-0.0708966993528127</v>
      </c>
      <c r="U147" s="24"/>
      <c r="V147" s="24"/>
      <c r="W147" s="24"/>
      <c r="X147" s="24"/>
      <c r="Y147" s="24" t="n">
        <v>2.67128312505295E-012</v>
      </c>
      <c r="Z147" s="24" t="n">
        <v>2.67128375383694E-012</v>
      </c>
      <c r="AA147" s="24" t="n">
        <v>0.0115616387946876</v>
      </c>
      <c r="AB147" s="24"/>
      <c r="AC147" s="24"/>
      <c r="AD147" s="24"/>
      <c r="AE147" s="24"/>
      <c r="AF147" s="24"/>
      <c r="AG147" s="24"/>
      <c r="AH147" s="24" t="s">
        <v>748</v>
      </c>
      <c r="AI147" s="24"/>
      <c r="AJ147" s="24" t="s">
        <v>902</v>
      </c>
    </row>
    <row r="148" customFormat="false" ht="15" hidden="false" customHeight="false" outlineLevel="0" collapsed="false">
      <c r="A148" s="24" t="s">
        <v>633</v>
      </c>
      <c r="B148" s="24" t="s">
        <v>634</v>
      </c>
      <c r="C148" s="24" t="s">
        <v>650</v>
      </c>
      <c r="D148" s="24" t="s">
        <v>636</v>
      </c>
      <c r="E148" s="24" t="s">
        <v>746</v>
      </c>
      <c r="F148" s="24" t="s">
        <v>747</v>
      </c>
      <c r="G148" s="24" t="n">
        <v>0.6</v>
      </c>
      <c r="H148" s="24" t="n">
        <v>436</v>
      </c>
      <c r="I148" s="24" t="n">
        <v>18</v>
      </c>
      <c r="J148" s="24" t="n">
        <v>18</v>
      </c>
      <c r="K148" s="24" t="n">
        <v>-0.0413009891868406</v>
      </c>
      <c r="L148" s="24" t="n">
        <v>0.0102055137453229</v>
      </c>
      <c r="M148" s="24" t="n">
        <v>-4.04692896580229</v>
      </c>
      <c r="N148" s="24" t="n">
        <v>14.8264004632891</v>
      </c>
      <c r="O148" s="24" t="n">
        <v>0.00107707738147215</v>
      </c>
      <c r="P148" s="24" t="n">
        <v>-0.063075731140246</v>
      </c>
      <c r="Q148" s="24" t="n">
        <v>-0.0195262472334352</v>
      </c>
      <c r="R148" s="24"/>
      <c r="S148" s="24"/>
      <c r="T148" s="24" t="n">
        <v>-0.041277521845728</v>
      </c>
      <c r="U148" s="24" t="n">
        <v>-0.0629922141099708</v>
      </c>
      <c r="V148" s="24" t="n">
        <v>-0.0195237659928974</v>
      </c>
      <c r="W148" s="24"/>
      <c r="X148" s="24"/>
      <c r="Y148" s="24" t="n">
        <v>0.000567831284080782</v>
      </c>
      <c r="Z148" s="24" t="n">
        <v>0.000567831354572977</v>
      </c>
      <c r="AA148" s="24" t="n">
        <v>0.00322809090120587</v>
      </c>
      <c r="AB148" s="24"/>
      <c r="AC148" s="24"/>
      <c r="AD148" s="24"/>
      <c r="AE148" s="24"/>
      <c r="AF148" s="24"/>
      <c r="AG148" s="24"/>
      <c r="AH148" s="24" t="s">
        <v>748</v>
      </c>
      <c r="AI148" s="24"/>
      <c r="AJ148" s="24" t="s">
        <v>903</v>
      </c>
    </row>
    <row r="149" customFormat="false" ht="15" hidden="false" customHeight="false" outlineLevel="0" collapsed="false">
      <c r="A149" s="24" t="s">
        <v>633</v>
      </c>
      <c r="B149" s="24" t="s">
        <v>634</v>
      </c>
      <c r="C149" s="24" t="s">
        <v>652</v>
      </c>
      <c r="D149" s="24" t="s">
        <v>636</v>
      </c>
      <c r="E149" s="24" t="s">
        <v>746</v>
      </c>
      <c r="F149" s="24" t="s">
        <v>747</v>
      </c>
      <c r="G149" s="24" t="n">
        <v>0.6</v>
      </c>
      <c r="H149" s="24" t="n">
        <v>674</v>
      </c>
      <c r="I149" s="24" t="n">
        <v>24</v>
      </c>
      <c r="J149" s="24" t="n">
        <v>24</v>
      </c>
      <c r="K149" s="24" t="n">
        <v>-0.0529028642889355</v>
      </c>
      <c r="L149" s="24" t="n">
        <v>0.010733015214344</v>
      </c>
      <c r="M149" s="24" t="n">
        <v>-4.92898437507421</v>
      </c>
      <c r="N149" s="24" t="n">
        <v>20.8274960998527</v>
      </c>
      <c r="O149" s="24" t="n">
        <v>7.24897851100334E-005</v>
      </c>
      <c r="P149" s="24" t="n">
        <v>-0.0752346533835998</v>
      </c>
      <c r="Q149" s="24" t="n">
        <v>-0.0305710751942711</v>
      </c>
      <c r="R149" s="24"/>
      <c r="S149" s="24"/>
      <c r="T149" s="24" t="n">
        <v>-0.0528535661644996</v>
      </c>
      <c r="U149" s="24" t="n">
        <v>-0.0750930249767535</v>
      </c>
      <c r="V149" s="24" t="n">
        <v>-0.0305615549397094</v>
      </c>
      <c r="W149" s="24"/>
      <c r="X149" s="24"/>
      <c r="Y149" s="24" t="n">
        <v>0.000883739188136561</v>
      </c>
      <c r="Z149" s="24" t="n">
        <v>0.000883739585850964</v>
      </c>
      <c r="AA149" s="24" t="n">
        <v>0.00713291889369584</v>
      </c>
      <c r="AB149" s="24"/>
      <c r="AC149" s="24"/>
      <c r="AD149" s="24"/>
      <c r="AE149" s="24"/>
      <c r="AF149" s="24"/>
      <c r="AG149" s="24"/>
      <c r="AH149" s="24" t="s">
        <v>748</v>
      </c>
      <c r="AI149" s="24"/>
      <c r="AJ149" s="24" t="s">
        <v>904</v>
      </c>
    </row>
    <row r="150" customFormat="false" ht="15" hidden="false" customHeight="false" outlineLevel="0" collapsed="false">
      <c r="A150" s="24" t="s">
        <v>633</v>
      </c>
      <c r="B150" s="24" t="s">
        <v>634</v>
      </c>
      <c r="C150" s="24" t="s">
        <v>654</v>
      </c>
      <c r="D150" s="24" t="s">
        <v>636</v>
      </c>
      <c r="E150" s="24" t="s">
        <v>746</v>
      </c>
      <c r="F150" s="24" t="s">
        <v>747</v>
      </c>
      <c r="G150" s="24" t="n">
        <v>0.6</v>
      </c>
      <c r="H150" s="24" t="n">
        <v>1008</v>
      </c>
      <c r="I150" s="24" t="n">
        <v>43</v>
      </c>
      <c r="J150" s="24" t="n">
        <v>42</v>
      </c>
      <c r="K150" s="24" t="n">
        <v>-0.0868017253807189</v>
      </c>
      <c r="L150" s="24" t="n">
        <v>0.0400228752135967</v>
      </c>
      <c r="M150" s="24" t="n">
        <v>-2.1688028388133</v>
      </c>
      <c r="N150" s="24" t="n">
        <v>40.9332974233585</v>
      </c>
      <c r="O150" s="24" t="n">
        <v>0.0359608271253813</v>
      </c>
      <c r="P150" s="24" t="n">
        <v>-0.167633561827241</v>
      </c>
      <c r="Q150" s="24" t="n">
        <v>-0.00596988893419723</v>
      </c>
      <c r="R150" s="24"/>
      <c r="S150" s="24"/>
      <c r="T150" s="24" t="n">
        <v>-0.0865843767290034</v>
      </c>
      <c r="U150" s="24" t="n">
        <v>-0.166080789096912</v>
      </c>
      <c r="V150" s="24" t="n">
        <v>-0.00596981801377567</v>
      </c>
      <c r="W150" s="24"/>
      <c r="X150" s="24"/>
      <c r="Y150" s="24" t="n">
        <v>0.0650284048204739</v>
      </c>
      <c r="Z150" s="24" t="n">
        <v>9.12280791766565E-010</v>
      </c>
      <c r="AA150" s="24" t="n">
        <v>0.0117441282815249</v>
      </c>
      <c r="AB150" s="24"/>
      <c r="AC150" s="24"/>
      <c r="AD150" s="24"/>
      <c r="AE150" s="24"/>
      <c r="AF150" s="24"/>
      <c r="AG150" s="24"/>
      <c r="AH150" s="24" t="s">
        <v>748</v>
      </c>
      <c r="AI150" s="24"/>
      <c r="AJ150" s="24" t="s">
        <v>905</v>
      </c>
    </row>
    <row r="151" customFormat="false" ht="15" hidden="false" customHeight="false" outlineLevel="0" collapsed="false">
      <c r="A151" s="24" t="s">
        <v>633</v>
      </c>
      <c r="B151" s="24" t="s">
        <v>634</v>
      </c>
      <c r="C151" s="24" t="s">
        <v>656</v>
      </c>
      <c r="D151" s="24" t="s">
        <v>636</v>
      </c>
      <c r="E151" s="24" t="s">
        <v>746</v>
      </c>
      <c r="F151" s="24" t="s">
        <v>747</v>
      </c>
      <c r="G151" s="24" t="n">
        <v>0.6</v>
      </c>
      <c r="H151" s="24" t="n">
        <v>1368</v>
      </c>
      <c r="I151" s="24" t="n">
        <v>54</v>
      </c>
      <c r="J151" s="24" t="n">
        <v>53</v>
      </c>
      <c r="K151" s="24" t="n">
        <v>-0.0735286798305864</v>
      </c>
      <c r="L151" s="24" t="n">
        <v>0.0319360718287606</v>
      </c>
      <c r="M151" s="24" t="n">
        <v>-2.30237081832866</v>
      </c>
      <c r="N151" s="24" t="n">
        <v>51.930738722037</v>
      </c>
      <c r="O151" s="24" t="n">
        <v>0.0253546231111798</v>
      </c>
      <c r="P151" s="24" t="n">
        <v>-0.137615130835367</v>
      </c>
      <c r="Q151" s="24" t="n">
        <v>-0.00944222882580624</v>
      </c>
      <c r="R151" s="24"/>
      <c r="S151" s="24"/>
      <c r="T151" s="24" t="n">
        <v>-0.0733964556484058</v>
      </c>
      <c r="U151" s="24" t="n">
        <v>-0.136752946466005</v>
      </c>
      <c r="V151" s="24" t="n">
        <v>-0.0094419482263528</v>
      </c>
      <c r="W151" s="24"/>
      <c r="X151" s="24"/>
      <c r="Y151" s="24" t="n">
        <v>0.0524026810889674</v>
      </c>
      <c r="Z151" s="24" t="n">
        <v>1.36863985310198E-009</v>
      </c>
      <c r="AA151" s="24" t="n">
        <v>0.009135002206945</v>
      </c>
      <c r="AB151" s="24"/>
      <c r="AC151" s="24"/>
      <c r="AD151" s="24"/>
      <c r="AE151" s="24"/>
      <c r="AF151" s="24"/>
      <c r="AG151" s="24"/>
      <c r="AH151" s="24" t="s">
        <v>748</v>
      </c>
      <c r="AI151" s="24"/>
      <c r="AJ151" s="24" t="s">
        <v>906</v>
      </c>
    </row>
    <row r="152" customFormat="false" ht="15" hidden="false" customHeight="false" outlineLevel="0" collapsed="false">
      <c r="A152" s="24" t="s">
        <v>633</v>
      </c>
      <c r="B152" s="24" t="s">
        <v>634</v>
      </c>
      <c r="C152" s="24" t="s">
        <v>658</v>
      </c>
      <c r="D152" s="24" t="s">
        <v>636</v>
      </c>
      <c r="E152" s="24" t="s">
        <v>746</v>
      </c>
      <c r="F152" s="24" t="s">
        <v>747</v>
      </c>
      <c r="G152" s="24" t="n">
        <v>0.6</v>
      </c>
      <c r="H152" s="24" t="n">
        <v>1552</v>
      </c>
      <c r="I152" s="24" t="n">
        <v>63</v>
      </c>
      <c r="J152" s="24" t="n">
        <v>62</v>
      </c>
      <c r="K152" s="24" t="n">
        <v>-0.0664722263466644</v>
      </c>
      <c r="L152" s="24" t="n">
        <v>0.0257207336653234</v>
      </c>
      <c r="M152" s="24" t="n">
        <v>-2.5843829811232</v>
      </c>
      <c r="N152" s="24" t="n">
        <v>60.6526577546012</v>
      </c>
      <c r="O152" s="24" t="n">
        <v>0.0121786406101609</v>
      </c>
      <c r="P152" s="24" t="n">
        <v>-0.117909969476232</v>
      </c>
      <c r="Q152" s="24" t="n">
        <v>-0.0150344832170971</v>
      </c>
      <c r="R152" s="24"/>
      <c r="S152" s="24"/>
      <c r="T152" s="24" t="n">
        <v>-0.066374495304181</v>
      </c>
      <c r="U152" s="24" t="n">
        <v>-0.11736656649247</v>
      </c>
      <c r="V152" s="24" t="n">
        <v>-0.015033350542933</v>
      </c>
      <c r="W152" s="24"/>
      <c r="X152" s="24"/>
      <c r="Y152" s="24" t="n">
        <v>0.0384309738952073</v>
      </c>
      <c r="Z152" s="24" t="n">
        <v>1.85973900317253E-009</v>
      </c>
      <c r="AA152" s="24" t="n">
        <v>0.0167733514433114</v>
      </c>
      <c r="AB152" s="24"/>
      <c r="AC152" s="24"/>
      <c r="AD152" s="24"/>
      <c r="AE152" s="24"/>
      <c r="AF152" s="24"/>
      <c r="AG152" s="24"/>
      <c r="AH152" s="24" t="s">
        <v>748</v>
      </c>
      <c r="AI152" s="24"/>
      <c r="AJ152" s="24" t="s">
        <v>907</v>
      </c>
    </row>
    <row r="153" customFormat="false" ht="15" hidden="false" customHeight="false" outlineLevel="0" collapsed="false">
      <c r="A153" s="24" t="s">
        <v>633</v>
      </c>
      <c r="B153" s="24" t="s">
        <v>634</v>
      </c>
      <c r="C153" s="24" t="s">
        <v>660</v>
      </c>
      <c r="D153" s="24" t="s">
        <v>636</v>
      </c>
      <c r="E153" s="24" t="s">
        <v>746</v>
      </c>
      <c r="F153" s="24" t="s">
        <v>747</v>
      </c>
      <c r="G153" s="24" t="n">
        <v>0.6</v>
      </c>
      <c r="H153" s="24" t="n">
        <v>1676</v>
      </c>
      <c r="I153" s="24" t="n">
        <v>72</v>
      </c>
      <c r="J153" s="24" t="n">
        <v>71</v>
      </c>
      <c r="K153" s="24" t="n">
        <v>-0.0624324184390401</v>
      </c>
      <c r="L153" s="24" t="n">
        <v>0.0222712712514535</v>
      </c>
      <c r="M153" s="24" t="n">
        <v>-2.80327143134973</v>
      </c>
      <c r="N153" s="24" t="n">
        <v>69.4696911616631</v>
      </c>
      <c r="O153" s="24" t="n">
        <v>0.00655194306576479</v>
      </c>
      <c r="P153" s="24" t="n">
        <v>-0.106857030455107</v>
      </c>
      <c r="Q153" s="24" t="n">
        <v>-0.0180078064229735</v>
      </c>
      <c r="R153" s="24"/>
      <c r="S153" s="24"/>
      <c r="T153" s="24" t="n">
        <v>-0.0623514282071975</v>
      </c>
      <c r="U153" s="24" t="n">
        <v>-0.106452166523497</v>
      </c>
      <c r="V153" s="24" t="n">
        <v>-0.0180058601450514</v>
      </c>
      <c r="W153" s="24"/>
      <c r="X153" s="24"/>
      <c r="Y153" s="24" t="n">
        <v>0.0326533481598314</v>
      </c>
      <c r="Z153" s="24" t="n">
        <v>1.25707020441084E-009</v>
      </c>
      <c r="AA153" s="24" t="n">
        <v>0.0160178069330273</v>
      </c>
      <c r="AB153" s="24"/>
      <c r="AC153" s="24"/>
      <c r="AD153" s="24"/>
      <c r="AE153" s="24"/>
      <c r="AF153" s="24"/>
      <c r="AG153" s="24"/>
      <c r="AH153" s="24" t="s">
        <v>748</v>
      </c>
      <c r="AI153" s="24"/>
      <c r="AJ153" s="24" t="s">
        <v>908</v>
      </c>
    </row>
    <row r="154" customFormat="false" ht="15" hidden="false" customHeight="false" outlineLevel="0" collapsed="false">
      <c r="A154" s="24" t="s">
        <v>633</v>
      </c>
      <c r="B154" s="24" t="s">
        <v>634</v>
      </c>
      <c r="C154" s="24" t="s">
        <v>662</v>
      </c>
      <c r="D154" s="24" t="s">
        <v>636</v>
      </c>
      <c r="E154" s="24" t="s">
        <v>746</v>
      </c>
      <c r="F154" s="24" t="s">
        <v>747</v>
      </c>
      <c r="G154" s="24" t="n">
        <v>0.6</v>
      </c>
      <c r="H154" s="24" t="n">
        <v>1339</v>
      </c>
      <c r="I154" s="24" t="n">
        <v>65</v>
      </c>
      <c r="J154" s="24" t="n">
        <v>64</v>
      </c>
      <c r="K154" s="24" t="n">
        <v>-0.0654683988288487</v>
      </c>
      <c r="L154" s="24" t="n">
        <v>0.0242848542226083</v>
      </c>
      <c r="M154" s="24" t="n">
        <v>-2.6958530707547</v>
      </c>
      <c r="N154" s="24" t="n">
        <v>62.4051852094434</v>
      </c>
      <c r="O154" s="24" t="n">
        <v>0.00901268235353841</v>
      </c>
      <c r="P154" s="24" t="n">
        <v>-0.114006861699504</v>
      </c>
      <c r="Q154" s="24" t="n">
        <v>-0.0169299359581939</v>
      </c>
      <c r="R154" s="24"/>
      <c r="S154" s="24"/>
      <c r="T154" s="24" t="n">
        <v>-0.0653750239647951</v>
      </c>
      <c r="U154" s="24" t="n">
        <v>-0.11351547907242</v>
      </c>
      <c r="V154" s="24" t="n">
        <v>-0.016928318642121</v>
      </c>
      <c r="W154" s="24"/>
      <c r="X154" s="24"/>
      <c r="Y154" s="24" t="n">
        <v>0.0344971293024652</v>
      </c>
      <c r="Z154" s="24" t="n">
        <v>1.36796226621905E-009</v>
      </c>
      <c r="AA154" s="24" t="n">
        <v>0.0195590659614142</v>
      </c>
      <c r="AB154" s="24"/>
      <c r="AC154" s="24"/>
      <c r="AD154" s="24"/>
      <c r="AE154" s="24"/>
      <c r="AF154" s="24"/>
      <c r="AG154" s="24"/>
      <c r="AH154" s="24" t="s">
        <v>748</v>
      </c>
      <c r="AI154" s="24"/>
      <c r="AJ154" s="24" t="s">
        <v>909</v>
      </c>
    </row>
    <row r="155" customFormat="false" ht="15" hidden="false" customHeight="false" outlineLevel="0" collapsed="false">
      <c r="A155" s="24" t="s">
        <v>633</v>
      </c>
      <c r="B155" s="24" t="s">
        <v>634</v>
      </c>
      <c r="C155" s="24" t="s">
        <v>664</v>
      </c>
      <c r="D155" s="24" t="s">
        <v>636</v>
      </c>
      <c r="E155" s="24" t="s">
        <v>746</v>
      </c>
      <c r="F155" s="24" t="s">
        <v>747</v>
      </c>
      <c r="G155" s="24" t="n">
        <v>0.6</v>
      </c>
      <c r="H155" s="24" t="n">
        <v>1365</v>
      </c>
      <c r="I155" s="24" t="n">
        <v>64</v>
      </c>
      <c r="J155" s="24" t="n">
        <v>63</v>
      </c>
      <c r="K155" s="24" t="n">
        <v>-0.0633697492029874</v>
      </c>
      <c r="L155" s="24" t="n">
        <v>0.0250912743386745</v>
      </c>
      <c r="M155" s="24" t="n">
        <v>-2.52556918184551</v>
      </c>
      <c r="N155" s="24" t="n">
        <v>61.5357779516379</v>
      </c>
      <c r="O155" s="24" t="n">
        <v>0.0141413216225099</v>
      </c>
      <c r="P155" s="24" t="n">
        <v>-0.113534019753939</v>
      </c>
      <c r="Q155" s="24" t="n">
        <v>-0.0132054786520361</v>
      </c>
      <c r="R155" s="24"/>
      <c r="S155" s="24"/>
      <c r="T155" s="24" t="n">
        <v>-0.0632850600712474</v>
      </c>
      <c r="U155" s="24" t="n">
        <v>-0.113048705037317</v>
      </c>
      <c r="V155" s="24" t="n">
        <v>-0.0132047110945796</v>
      </c>
      <c r="W155" s="24"/>
      <c r="X155" s="24"/>
      <c r="Y155" s="24" t="n">
        <v>0.0366834534399696</v>
      </c>
      <c r="Z155" s="24" t="n">
        <v>1.15886904097765E-009</v>
      </c>
      <c r="AA155" s="24" t="n">
        <v>0.0175670202076543</v>
      </c>
      <c r="AB155" s="24"/>
      <c r="AC155" s="24"/>
      <c r="AD155" s="24"/>
      <c r="AE155" s="24"/>
      <c r="AF155" s="24"/>
      <c r="AG155" s="24"/>
      <c r="AH155" s="24" t="s">
        <v>748</v>
      </c>
      <c r="AI155" s="24"/>
      <c r="AJ155" s="24" t="s">
        <v>910</v>
      </c>
    </row>
    <row r="156" customFormat="false" ht="15" hidden="false" customHeight="false" outlineLevel="0" collapsed="false">
      <c r="A156" s="24" t="s">
        <v>633</v>
      </c>
      <c r="B156" s="24" t="s">
        <v>634</v>
      </c>
      <c r="C156" s="24" t="s">
        <v>666</v>
      </c>
      <c r="D156" s="24" t="s">
        <v>636</v>
      </c>
      <c r="E156" s="24" t="s">
        <v>746</v>
      </c>
      <c r="F156" s="24" t="s">
        <v>747</v>
      </c>
      <c r="G156" s="24" t="n">
        <v>0.6</v>
      </c>
      <c r="H156" s="24" t="n">
        <v>1097</v>
      </c>
      <c r="I156" s="24" t="n">
        <v>46</v>
      </c>
      <c r="J156" s="24" t="n">
        <v>46</v>
      </c>
      <c r="K156" s="24" t="n">
        <v>-0.0389319660839073</v>
      </c>
      <c r="L156" s="24" t="n">
        <v>0.0076260060655318</v>
      </c>
      <c r="M156" s="24" t="n">
        <v>-5.10515802759099</v>
      </c>
      <c r="N156" s="24" t="n">
        <v>36.284312556996</v>
      </c>
      <c r="O156" s="24" t="n">
        <v>1.06834473035893E-005</v>
      </c>
      <c r="P156" s="24" t="n">
        <v>-0.0543940163693887</v>
      </c>
      <c r="Q156" s="24" t="n">
        <v>-0.0234699157984258</v>
      </c>
      <c r="R156" s="24"/>
      <c r="S156" s="24"/>
      <c r="T156" s="24" t="n">
        <v>-0.0389123083011014</v>
      </c>
      <c r="U156" s="24" t="n">
        <v>-0.0543404344262828</v>
      </c>
      <c r="V156" s="24" t="n">
        <v>-0.0234656073821244</v>
      </c>
      <c r="W156" s="24"/>
      <c r="X156" s="24"/>
      <c r="Y156" s="24" t="n">
        <v>0.000580855830446924</v>
      </c>
      <c r="Z156" s="24" t="n">
        <v>0.000580855825855581</v>
      </c>
      <c r="AA156" s="24" t="n">
        <v>0.0154912404603786</v>
      </c>
      <c r="AB156" s="24"/>
      <c r="AC156" s="24"/>
      <c r="AD156" s="24"/>
      <c r="AE156" s="24"/>
      <c r="AF156" s="24"/>
      <c r="AG156" s="24"/>
      <c r="AH156" s="24" t="s">
        <v>748</v>
      </c>
      <c r="AI156" s="24"/>
      <c r="AJ156" s="24" t="s">
        <v>911</v>
      </c>
    </row>
    <row r="157" customFormat="false" ht="15" hidden="false" customHeight="false" outlineLevel="0" collapsed="false">
      <c r="A157" s="24" t="s">
        <v>633</v>
      </c>
      <c r="B157" s="24" t="s">
        <v>634</v>
      </c>
      <c r="C157" s="24" t="s">
        <v>668</v>
      </c>
      <c r="D157" s="24" t="s">
        <v>636</v>
      </c>
      <c r="E157" s="24" t="s">
        <v>746</v>
      </c>
      <c r="F157" s="24" t="s">
        <v>747</v>
      </c>
      <c r="G157" s="24" t="n">
        <v>0.6</v>
      </c>
      <c r="H157" s="24" t="n">
        <v>823</v>
      </c>
      <c r="I157" s="24" t="n">
        <v>41</v>
      </c>
      <c r="J157" s="24" t="n">
        <v>41</v>
      </c>
      <c r="K157" s="24" t="n">
        <v>-0.0412595981582178</v>
      </c>
      <c r="L157" s="24" t="n">
        <v>0.00784801375276585</v>
      </c>
      <c r="M157" s="24" t="n">
        <v>-5.25733000196092</v>
      </c>
      <c r="N157" s="24" t="n">
        <v>28.4541466321901</v>
      </c>
      <c r="O157" s="24" t="n">
        <v>1.31033504320179E-005</v>
      </c>
      <c r="P157" s="24" t="n">
        <v>-0.0573239740549265</v>
      </c>
      <c r="Q157" s="24" t="n">
        <v>-0.0251952222615092</v>
      </c>
      <c r="R157" s="24"/>
      <c r="S157" s="24"/>
      <c r="T157" s="24" t="n">
        <v>-0.0412362012699658</v>
      </c>
      <c r="U157" s="24" t="n">
        <v>-0.0572612668911733</v>
      </c>
      <c r="V157" s="24" t="n">
        <v>-0.025189892312364</v>
      </c>
      <c r="W157" s="24"/>
      <c r="X157" s="24"/>
      <c r="Y157" s="24" t="n">
        <v>0.000326382130838081</v>
      </c>
      <c r="Z157" s="24" t="n">
        <v>0.000326382151954807</v>
      </c>
      <c r="AA157" s="24" t="n">
        <v>0.0206410441927008</v>
      </c>
      <c r="AB157" s="24"/>
      <c r="AC157" s="24"/>
      <c r="AD157" s="24"/>
      <c r="AE157" s="24"/>
      <c r="AF157" s="24"/>
      <c r="AG157" s="24"/>
      <c r="AH157" s="24" t="s">
        <v>748</v>
      </c>
      <c r="AI157" s="24"/>
      <c r="AJ157" s="24" t="s">
        <v>912</v>
      </c>
    </row>
    <row r="158" customFormat="false" ht="15" hidden="false" customHeight="false" outlineLevel="0" collapsed="false">
      <c r="A158" s="24" t="s">
        <v>633</v>
      </c>
      <c r="B158" s="24" t="s">
        <v>634</v>
      </c>
      <c r="C158" s="24" t="s">
        <v>670</v>
      </c>
      <c r="D158" s="24" t="s">
        <v>636</v>
      </c>
      <c r="E158" s="24" t="s">
        <v>746</v>
      </c>
      <c r="F158" s="24" t="s">
        <v>747</v>
      </c>
      <c r="G158" s="24" t="n">
        <v>0.6</v>
      </c>
      <c r="H158" s="24" t="n">
        <v>754</v>
      </c>
      <c r="I158" s="24" t="n">
        <v>35</v>
      </c>
      <c r="J158" s="24" t="n">
        <v>35</v>
      </c>
      <c r="K158" s="24" t="n">
        <v>-0.0478369836085354</v>
      </c>
      <c r="L158" s="24" t="n">
        <v>0.00776818012628498</v>
      </c>
      <c r="M158" s="24" t="n">
        <v>-6.15806827736534</v>
      </c>
      <c r="N158" s="24" t="n">
        <v>30.1795610434519</v>
      </c>
      <c r="O158" s="24" t="n">
        <v>8.75111169316348E-007</v>
      </c>
      <c r="P158" s="24" t="n">
        <v>-0.0636977666871574</v>
      </c>
      <c r="Q158" s="24" t="n">
        <v>-0.0319762005299134</v>
      </c>
      <c r="R158" s="24"/>
      <c r="S158" s="24"/>
      <c r="T158" s="24" t="n">
        <v>-0.0478005272941298</v>
      </c>
      <c r="U158" s="24" t="n">
        <v>-0.0636117570522866</v>
      </c>
      <c r="V158" s="24" t="n">
        <v>-0.0319653066712513</v>
      </c>
      <c r="W158" s="24"/>
      <c r="X158" s="24"/>
      <c r="Y158" s="24" t="n">
        <v>0.00062931874627049</v>
      </c>
      <c r="Z158" s="24" t="n">
        <v>0.00062931878845955</v>
      </c>
      <c r="AA158" s="24" t="n">
        <v>0.0046760450139743</v>
      </c>
      <c r="AB158" s="24"/>
      <c r="AC158" s="24"/>
      <c r="AD158" s="24"/>
      <c r="AE158" s="24"/>
      <c r="AF158" s="24"/>
      <c r="AG158" s="24"/>
      <c r="AH158" s="24" t="s">
        <v>748</v>
      </c>
      <c r="AI158" s="24"/>
      <c r="AJ158" s="24" t="s">
        <v>913</v>
      </c>
    </row>
    <row r="159" customFormat="false" ht="15" hidden="false" customHeight="false" outlineLevel="0" collapsed="false">
      <c r="A159" s="24" t="s">
        <v>633</v>
      </c>
      <c r="B159" s="24" t="s">
        <v>634</v>
      </c>
      <c r="C159" s="24" t="s">
        <v>672</v>
      </c>
      <c r="D159" s="24" t="s">
        <v>636</v>
      </c>
      <c r="E159" s="24" t="s">
        <v>746</v>
      </c>
      <c r="F159" s="24" t="s">
        <v>747</v>
      </c>
      <c r="G159" s="24" t="n">
        <v>0.6</v>
      </c>
      <c r="H159" s="24" t="n">
        <v>612</v>
      </c>
      <c r="I159" s="24" t="n">
        <v>25</v>
      </c>
      <c r="J159" s="24" t="n">
        <v>25</v>
      </c>
      <c r="K159" s="24" t="n">
        <v>-0.050845322510934</v>
      </c>
      <c r="L159" s="24" t="n">
        <v>0.00943868950330153</v>
      </c>
      <c r="M159" s="24" t="n">
        <v>-5.38690487627006</v>
      </c>
      <c r="N159" s="24" t="n">
        <v>21.7418263306794</v>
      </c>
      <c r="O159" s="24" t="n">
        <v>2.15718877737549E-005</v>
      </c>
      <c r="P159" s="24" t="n">
        <v>-0.070433451923273</v>
      </c>
      <c r="Q159" s="24" t="n">
        <v>-0.0312571930985951</v>
      </c>
      <c r="R159" s="24"/>
      <c r="S159" s="24"/>
      <c r="T159" s="24" t="n">
        <v>-0.0508015518707414</v>
      </c>
      <c r="U159" s="24" t="n">
        <v>-0.0703172121514944</v>
      </c>
      <c r="V159" s="24" t="n">
        <v>-0.0312470175230718</v>
      </c>
      <c r="W159" s="24"/>
      <c r="X159" s="24"/>
      <c r="Y159" s="24" t="n">
        <v>0.000733311973538629</v>
      </c>
      <c r="Z159" s="24" t="n">
        <v>0.0007333118547351</v>
      </c>
      <c r="AA159" s="24" t="n">
        <v>0.00402022325284401</v>
      </c>
      <c r="AB159" s="24"/>
      <c r="AC159" s="24"/>
      <c r="AD159" s="24"/>
      <c r="AE159" s="24"/>
      <c r="AF159" s="24"/>
      <c r="AG159" s="24"/>
      <c r="AH159" s="24" t="s">
        <v>748</v>
      </c>
      <c r="AI159" s="24"/>
      <c r="AJ159" s="24" t="s">
        <v>914</v>
      </c>
    </row>
    <row r="160" customFormat="false" ht="15" hidden="false" customHeight="false" outlineLevel="0" collapsed="false">
      <c r="A160" s="24" t="s">
        <v>633</v>
      </c>
      <c r="B160" s="24" t="s">
        <v>634</v>
      </c>
      <c r="C160" s="24" t="s">
        <v>674</v>
      </c>
      <c r="D160" s="24" t="s">
        <v>636</v>
      </c>
      <c r="E160" s="24" t="s">
        <v>746</v>
      </c>
      <c r="F160" s="24" t="s">
        <v>747</v>
      </c>
      <c r="G160" s="24" t="n">
        <v>0.6</v>
      </c>
      <c r="H160" s="24" t="n">
        <v>618</v>
      </c>
      <c r="I160" s="24" t="n">
        <v>22</v>
      </c>
      <c r="J160" s="24" t="n">
        <v>22</v>
      </c>
      <c r="K160" s="24" t="n">
        <v>-0.0509534822667775</v>
      </c>
      <c r="L160" s="24" t="n">
        <v>0.0100632609446794</v>
      </c>
      <c r="M160" s="24" t="n">
        <v>-5.06331720372583</v>
      </c>
      <c r="N160" s="24" t="n">
        <v>19.480890625887</v>
      </c>
      <c r="O160" s="24" t="n">
        <v>6.41603765782818E-005</v>
      </c>
      <c r="P160" s="24" t="n">
        <v>-0.0719809939246451</v>
      </c>
      <c r="Q160" s="24" t="n">
        <v>-0.0299259706089098</v>
      </c>
      <c r="R160" s="24"/>
      <c r="S160" s="24"/>
      <c r="T160" s="24" t="n">
        <v>-0.0509094318949515</v>
      </c>
      <c r="U160" s="24" t="n">
        <v>-0.0718569335356167</v>
      </c>
      <c r="V160" s="24" t="n">
        <v>-0.0299170402701478</v>
      </c>
      <c r="W160" s="24"/>
      <c r="X160" s="24"/>
      <c r="Y160" s="24" t="n">
        <v>0.000779965724928906</v>
      </c>
      <c r="Z160" s="24" t="n">
        <v>0.000779965815242826</v>
      </c>
      <c r="AA160" s="24" t="n">
        <v>0.00442586551504681</v>
      </c>
      <c r="AB160" s="24"/>
      <c r="AC160" s="24"/>
      <c r="AD160" s="24"/>
      <c r="AE160" s="24"/>
      <c r="AF160" s="24"/>
      <c r="AG160" s="24"/>
      <c r="AH160" s="24" t="s">
        <v>748</v>
      </c>
      <c r="AI160" s="24"/>
      <c r="AJ160" s="24" t="s">
        <v>915</v>
      </c>
    </row>
    <row r="161" customFormat="false" ht="15" hidden="false" customHeight="false" outlineLevel="0" collapsed="false">
      <c r="A161" s="24" t="s">
        <v>633</v>
      </c>
      <c r="B161" s="24" t="s">
        <v>634</v>
      </c>
      <c r="C161" s="24" t="s">
        <v>676</v>
      </c>
      <c r="D161" s="24" t="s">
        <v>636</v>
      </c>
      <c r="E161" s="24" t="s">
        <v>746</v>
      </c>
      <c r="F161" s="24" t="s">
        <v>747</v>
      </c>
      <c r="G161" s="24" t="n">
        <v>0.6</v>
      </c>
      <c r="H161" s="24" t="n">
        <v>336</v>
      </c>
      <c r="I161" s="24" t="n">
        <v>14</v>
      </c>
      <c r="J161" s="24" t="n">
        <v>14</v>
      </c>
      <c r="K161" s="24" t="n">
        <v>-0.0533834695525452</v>
      </c>
      <c r="L161" s="24" t="n">
        <v>0.0153241125341996</v>
      </c>
      <c r="M161" s="24" t="n">
        <v>-3.48362552372326</v>
      </c>
      <c r="N161" s="24" t="n">
        <v>12.5800643946962</v>
      </c>
      <c r="O161" s="24" t="n">
        <v>0.00422671557354885</v>
      </c>
      <c r="P161" s="24" t="n">
        <v>-0.086601890755344</v>
      </c>
      <c r="Q161" s="24" t="n">
        <v>-0.0201650483497465</v>
      </c>
      <c r="R161" s="24"/>
      <c r="S161" s="24"/>
      <c r="T161" s="24" t="n">
        <v>-0.0533328166468894</v>
      </c>
      <c r="U161" s="24" t="n">
        <v>-0.0863860368055502</v>
      </c>
      <c r="V161" s="24" t="n">
        <v>-0.0201623155619137</v>
      </c>
      <c r="W161" s="24"/>
      <c r="X161" s="24"/>
      <c r="Y161" s="24" t="n">
        <v>0.00128914908860722</v>
      </c>
      <c r="Z161" s="24" t="n">
        <v>0.00128914887141433</v>
      </c>
      <c r="AA161" s="24" t="n">
        <v>0.00464044737811189</v>
      </c>
      <c r="AB161" s="24"/>
      <c r="AC161" s="24"/>
      <c r="AD161" s="24"/>
      <c r="AE161" s="24"/>
      <c r="AF161" s="24"/>
      <c r="AG161" s="24"/>
      <c r="AH161" s="24" t="s">
        <v>748</v>
      </c>
      <c r="AI161" s="24"/>
      <c r="AJ161" s="24" t="s">
        <v>916</v>
      </c>
    </row>
    <row r="162" customFormat="false" ht="15" hidden="false" customHeight="false" outlineLevel="0" collapsed="false">
      <c r="A162" s="24" t="s">
        <v>678</v>
      </c>
      <c r="B162" s="24" t="s">
        <v>679</v>
      </c>
      <c r="C162" s="24" t="s">
        <v>184</v>
      </c>
      <c r="D162" s="24" t="s">
        <v>680</v>
      </c>
      <c r="E162" s="24" t="s">
        <v>746</v>
      </c>
      <c r="F162" s="24" t="s">
        <v>760</v>
      </c>
      <c r="G162" s="24" t="n">
        <v>0.6</v>
      </c>
      <c r="H162" s="24" t="n">
        <v>2713</v>
      </c>
      <c r="I162" s="24" t="n">
        <v>115</v>
      </c>
      <c r="J162" s="24" t="n">
        <v>114</v>
      </c>
      <c r="K162" s="24" t="n">
        <v>-0.058646736610098</v>
      </c>
      <c r="L162" s="24"/>
      <c r="M162" s="24"/>
      <c r="N162" s="24"/>
      <c r="O162" s="24"/>
      <c r="P162" s="24"/>
      <c r="Q162" s="24"/>
      <c r="R162" s="24"/>
      <c r="S162" s="24"/>
      <c r="T162" s="24" t="n">
        <v>-0.0585795916799434</v>
      </c>
      <c r="U162" s="24" t="n">
        <v>-0.085890445375146</v>
      </c>
      <c r="V162" s="24" t="n">
        <v>-0.0311807676166034</v>
      </c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 t="s">
        <v>748</v>
      </c>
      <c r="AI162" s="24"/>
      <c r="AJ162" s="24" t="s">
        <v>917</v>
      </c>
    </row>
    <row r="163" customFormat="false" ht="15" hidden="false" customHeight="false" outlineLevel="0" collapsed="false">
      <c r="A163" s="24" t="s">
        <v>678</v>
      </c>
      <c r="B163" s="24" t="s">
        <v>679</v>
      </c>
      <c r="C163" s="24" t="s">
        <v>184</v>
      </c>
      <c r="D163" s="24" t="s">
        <v>682</v>
      </c>
      <c r="E163" s="24" t="s">
        <v>746</v>
      </c>
      <c r="F163" s="24" t="s">
        <v>760</v>
      </c>
      <c r="G163" s="24"/>
      <c r="H163" s="24"/>
      <c r="I163" s="24" t="n">
        <v>75</v>
      </c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 t="n">
        <v>-0.039</v>
      </c>
      <c r="U163" s="24" t="n">
        <v>-0.046</v>
      </c>
      <c r="V163" s="24" t="n">
        <v>-0.032</v>
      </c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 t="s">
        <v>748</v>
      </c>
      <c r="AI163" s="24"/>
      <c r="AJ163" s="24" t="s">
        <v>918</v>
      </c>
    </row>
    <row r="164" customFormat="false" ht="15" hidden="false" customHeight="false" outlineLevel="0" collapsed="false">
      <c r="A164" s="24" t="s">
        <v>694</v>
      </c>
      <c r="B164" s="24" t="s">
        <v>695</v>
      </c>
      <c r="C164" s="24" t="s">
        <v>184</v>
      </c>
      <c r="D164" s="24" t="s">
        <v>696</v>
      </c>
      <c r="E164" s="24" t="s">
        <v>759</v>
      </c>
      <c r="F164" s="24" t="s">
        <v>760</v>
      </c>
      <c r="G164" s="24" t="n">
        <v>0.6</v>
      </c>
      <c r="H164" s="24" t="n">
        <v>31</v>
      </c>
      <c r="I164" s="24" t="n">
        <v>31</v>
      </c>
      <c r="J164" s="24" t="n">
        <v>31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 t="n">
        <v>28</v>
      </c>
      <c r="AH164" s="24" t="s">
        <v>748</v>
      </c>
      <c r="AI164" s="24"/>
      <c r="AJ164" s="24" t="s">
        <v>919</v>
      </c>
    </row>
    <row r="165" customFormat="false" ht="15" hidden="false" customHeight="false" outlineLevel="0" collapsed="false">
      <c r="A165" s="24" t="s">
        <v>694</v>
      </c>
      <c r="B165" s="24" t="s">
        <v>695</v>
      </c>
      <c r="C165" s="24" t="s">
        <v>184</v>
      </c>
      <c r="D165" s="24" t="s">
        <v>698</v>
      </c>
      <c r="E165" s="24" t="s">
        <v>759</v>
      </c>
      <c r="F165" s="24" t="s">
        <v>760</v>
      </c>
      <c r="G165" s="24" t="n">
        <v>0.6</v>
      </c>
      <c r="H165" s="24"/>
      <c r="I165" s="24" t="n">
        <v>28</v>
      </c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 t="n">
        <v>1.516193151474E-006</v>
      </c>
      <c r="AH165" s="24" t="s">
        <v>748</v>
      </c>
      <c r="AI165" s="24"/>
      <c r="AJ165" s="24" t="s">
        <v>920</v>
      </c>
    </row>
    <row r="166" customFormat="false" ht="15" hidden="false" customHeight="false" outlineLevel="0" collapsed="false">
      <c r="A166" s="24" t="s">
        <v>694</v>
      </c>
      <c r="B166" s="24" t="s">
        <v>695</v>
      </c>
      <c r="C166" s="24" t="s">
        <v>184</v>
      </c>
      <c r="D166" s="24" t="s">
        <v>700</v>
      </c>
      <c r="E166" s="24" t="s">
        <v>759</v>
      </c>
      <c r="F166" s="24" t="s">
        <v>760</v>
      </c>
      <c r="G166" s="24" t="n">
        <v>0.6</v>
      </c>
      <c r="H166" s="24"/>
      <c r="I166" s="24" t="n">
        <v>28</v>
      </c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 t="n">
        <v>2.05864521899557E-119</v>
      </c>
      <c r="AH166" s="24" t="s">
        <v>748</v>
      </c>
      <c r="AI166" s="24"/>
      <c r="AJ166" s="24" t="s">
        <v>921</v>
      </c>
    </row>
    <row r="167" customFormat="false" ht="15" hidden="false" customHeight="false" outlineLevel="0" collapsed="false">
      <c r="A167" s="24" t="s">
        <v>694</v>
      </c>
      <c r="B167" s="24" t="s">
        <v>695</v>
      </c>
      <c r="C167" s="24" t="s">
        <v>184</v>
      </c>
      <c r="D167" s="24" t="s">
        <v>702</v>
      </c>
      <c r="E167" s="24" t="s">
        <v>759</v>
      </c>
      <c r="F167" s="24" t="s">
        <v>760</v>
      </c>
      <c r="G167" s="24" t="n">
        <v>0.6</v>
      </c>
      <c r="H167" s="24"/>
      <c r="I167" s="24" t="n">
        <v>28</v>
      </c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 t="n">
        <v>1</v>
      </c>
      <c r="AH167" s="24" t="s">
        <v>748</v>
      </c>
      <c r="AI167" s="24"/>
      <c r="AJ167" s="24" t="s">
        <v>922</v>
      </c>
    </row>
    <row r="168" customFormat="false" ht="15" hidden="false" customHeight="false" outlineLevel="0" collapsed="false">
      <c r="A168" s="24" t="s">
        <v>704</v>
      </c>
      <c r="B168" s="24" t="s">
        <v>705</v>
      </c>
      <c r="C168" s="24" t="s">
        <v>396</v>
      </c>
      <c r="D168" s="24" t="s">
        <v>706</v>
      </c>
      <c r="E168" s="24" t="s">
        <v>746</v>
      </c>
      <c r="F168" s="24" t="s">
        <v>760</v>
      </c>
      <c r="G168" s="24" t="n">
        <v>0.6</v>
      </c>
      <c r="H168" s="24" t="n">
        <v>12</v>
      </c>
      <c r="I168" s="24" t="n">
        <v>1</v>
      </c>
      <c r="J168" s="24" t="n">
        <v>1</v>
      </c>
      <c r="K168" s="24" t="n">
        <v>-0.0523480826850689</v>
      </c>
      <c r="L168" s="24"/>
      <c r="M168" s="24"/>
      <c r="N168" s="24"/>
      <c r="O168" s="24"/>
      <c r="P168" s="24"/>
      <c r="Q168" s="24"/>
      <c r="R168" s="24"/>
      <c r="S168" s="24"/>
      <c r="T168" s="24" t="n">
        <v>-0.0523003181770613</v>
      </c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 t="n">
        <v>0.0342919273728801</v>
      </c>
      <c r="AH168" s="24" t="s">
        <v>748</v>
      </c>
      <c r="AI168" s="24"/>
      <c r="AJ168" s="24" t="s">
        <v>923</v>
      </c>
    </row>
    <row r="169" customFormat="false" ht="15" hidden="false" customHeight="false" outlineLevel="0" collapsed="false">
      <c r="A169" s="24" t="s">
        <v>704</v>
      </c>
      <c r="B169" s="24" t="s">
        <v>705</v>
      </c>
      <c r="C169" s="24" t="s">
        <v>396</v>
      </c>
      <c r="D169" s="24" t="s">
        <v>708</v>
      </c>
      <c r="E169" s="24" t="s">
        <v>746</v>
      </c>
      <c r="F169" s="24" t="s">
        <v>760</v>
      </c>
      <c r="G169" s="24" t="n">
        <v>0.6</v>
      </c>
      <c r="H169" s="24" t="n">
        <v>5</v>
      </c>
      <c r="I169" s="24" t="n">
        <v>1</v>
      </c>
      <c r="J169" s="24" t="n">
        <v>1</v>
      </c>
      <c r="K169" s="24" t="n">
        <v>-0.016230795425782</v>
      </c>
      <c r="L169" s="24"/>
      <c r="M169" s="24"/>
      <c r="N169" s="24"/>
      <c r="O169" s="24"/>
      <c r="P169" s="24"/>
      <c r="Q169" s="24"/>
      <c r="R169" s="24"/>
      <c r="S169" s="24"/>
      <c r="T169" s="24" t="n">
        <v>-0.0162293703026302</v>
      </c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 t="n">
        <v>0.0325492596890103</v>
      </c>
      <c r="AH169" s="24" t="s">
        <v>748</v>
      </c>
      <c r="AI169" s="24"/>
      <c r="AJ169" s="24" t="s">
        <v>923</v>
      </c>
    </row>
    <row r="170" customFormat="false" ht="15" hidden="false" customHeight="false" outlineLevel="0" collapsed="false">
      <c r="A170" s="24" t="s">
        <v>704</v>
      </c>
      <c r="B170" s="24" t="s">
        <v>705</v>
      </c>
      <c r="C170" s="24" t="s">
        <v>396</v>
      </c>
      <c r="D170" s="24" t="s">
        <v>710</v>
      </c>
      <c r="E170" s="24" t="s">
        <v>746</v>
      </c>
      <c r="F170" s="24" t="s">
        <v>760</v>
      </c>
      <c r="G170" s="24" t="n">
        <v>0.6</v>
      </c>
      <c r="H170" s="24" t="n">
        <v>17</v>
      </c>
      <c r="I170" s="24" t="n">
        <v>1</v>
      </c>
      <c r="J170" s="24" t="n">
        <v>1</v>
      </c>
      <c r="K170" s="24" t="n">
        <v>0.0361172872592869</v>
      </c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 t="s">
        <v>748</v>
      </c>
      <c r="AI170" s="24"/>
      <c r="AJ170" s="24" t="s">
        <v>924</v>
      </c>
    </row>
    <row r="171" customFormat="false" ht="15" hidden="false" customHeight="false" outlineLevel="0" collapsed="false">
      <c r="A171" s="24" t="s">
        <v>273</v>
      </c>
      <c r="B171" s="24" t="s">
        <v>274</v>
      </c>
      <c r="C171" s="24" t="s">
        <v>184</v>
      </c>
      <c r="D171" s="24" t="s">
        <v>275</v>
      </c>
      <c r="E171" s="24" t="s">
        <v>759</v>
      </c>
      <c r="F171" s="24" t="s">
        <v>760</v>
      </c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 t="n">
        <v>79</v>
      </c>
      <c r="AH171" s="24" t="s">
        <v>748</v>
      </c>
      <c r="AI171" s="24"/>
      <c r="AJ171" s="24" t="s">
        <v>925</v>
      </c>
    </row>
    <row r="172" customFormat="false" ht="15" hidden="false" customHeight="false" outlineLevel="0" collapsed="false">
      <c r="A172" s="24" t="s">
        <v>273</v>
      </c>
      <c r="B172" s="24" t="s">
        <v>274</v>
      </c>
      <c r="C172" s="24" t="s">
        <v>184</v>
      </c>
      <c r="D172" s="24" t="s">
        <v>926</v>
      </c>
      <c r="E172" s="24" t="s">
        <v>759</v>
      </c>
      <c r="F172" s="24" t="s">
        <v>760</v>
      </c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 t="n">
        <v>12</v>
      </c>
      <c r="AH172" s="24" t="s">
        <v>748</v>
      </c>
      <c r="AI172" s="24"/>
      <c r="AJ172" s="24" t="s">
        <v>927</v>
      </c>
    </row>
    <row r="173" customFormat="false" ht="15" hidden="false" customHeight="false" outlineLevel="0" collapsed="false">
      <c r="A173" s="24" t="s">
        <v>273</v>
      </c>
      <c r="B173" s="24" t="s">
        <v>274</v>
      </c>
      <c r="C173" s="24" t="s">
        <v>184</v>
      </c>
      <c r="D173" s="24" t="s">
        <v>618</v>
      </c>
      <c r="E173" s="24" t="s">
        <v>759</v>
      </c>
      <c r="F173" s="24" t="s">
        <v>760</v>
      </c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 t="n">
        <v>10</v>
      </c>
      <c r="AH173" s="24" t="s">
        <v>748</v>
      </c>
      <c r="AI173" s="24"/>
      <c r="AJ173" s="24" t="s">
        <v>928</v>
      </c>
    </row>
    <row r="174" customFormat="false" ht="15" hidden="false" customHeight="false" outlineLevel="0" collapsed="false">
      <c r="A174" s="24" t="s">
        <v>273</v>
      </c>
      <c r="B174" s="24" t="s">
        <v>274</v>
      </c>
      <c r="C174" s="24" t="s">
        <v>184</v>
      </c>
      <c r="D174" s="24" t="s">
        <v>620</v>
      </c>
      <c r="E174" s="24" t="s">
        <v>759</v>
      </c>
      <c r="F174" s="24" t="s">
        <v>760</v>
      </c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 t="s">
        <v>748</v>
      </c>
      <c r="AI174" s="24"/>
      <c r="AJ174" s="24" t="s">
        <v>929</v>
      </c>
    </row>
    <row r="175" customFormat="false" ht="15" hidden="false" customHeight="false" outlineLevel="0" collapsed="false">
      <c r="A175" s="24" t="s">
        <v>273</v>
      </c>
      <c r="B175" s="24" t="s">
        <v>274</v>
      </c>
      <c r="C175" s="24" t="s">
        <v>184</v>
      </c>
      <c r="D175" s="24" t="s">
        <v>930</v>
      </c>
      <c r="E175" s="24" t="s">
        <v>222</v>
      </c>
      <c r="F175" s="24" t="s">
        <v>760</v>
      </c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 t="n">
        <v>1998</v>
      </c>
      <c r="AH175" s="24" t="s">
        <v>748</v>
      </c>
      <c r="AI175" s="24"/>
      <c r="AJ175" s="24" t="s">
        <v>931</v>
      </c>
    </row>
    <row r="176" customFormat="false" ht="15" hidden="false" customHeight="false" outlineLevel="0" collapsed="false">
      <c r="A176" s="24" t="s">
        <v>273</v>
      </c>
      <c r="B176" s="24" t="s">
        <v>274</v>
      </c>
      <c r="C176" s="24" t="s">
        <v>184</v>
      </c>
      <c r="D176" s="24" t="s">
        <v>716</v>
      </c>
      <c r="E176" s="24" t="s">
        <v>759</v>
      </c>
      <c r="F176" s="24" t="s">
        <v>760</v>
      </c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 t="s">
        <v>748</v>
      </c>
      <c r="AI176" s="24"/>
      <c r="AJ176" s="24" t="s">
        <v>932</v>
      </c>
    </row>
    <row r="177" customFormat="false" ht="15" hidden="false" customHeight="false" outlineLevel="0" collapsed="false">
      <c r="A177" s="24" t="s">
        <v>273</v>
      </c>
      <c r="B177" s="24" t="s">
        <v>274</v>
      </c>
      <c r="C177" s="24" t="s">
        <v>184</v>
      </c>
      <c r="D177" s="24" t="s">
        <v>712</v>
      </c>
      <c r="E177" s="24" t="s">
        <v>759</v>
      </c>
      <c r="F177" s="24" t="s">
        <v>760</v>
      </c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 t="n">
        <v>73</v>
      </c>
      <c r="AH177" s="24" t="s">
        <v>748</v>
      </c>
      <c r="AI177" s="24"/>
      <c r="AJ177" s="24" t="s">
        <v>933</v>
      </c>
    </row>
    <row r="178" customFormat="false" ht="15" hidden="false" customHeight="false" outlineLevel="0" collapsed="false">
      <c r="A178" s="24" t="s">
        <v>273</v>
      </c>
      <c r="B178" s="24" t="s">
        <v>274</v>
      </c>
      <c r="C178" s="24" t="s">
        <v>184</v>
      </c>
      <c r="D178" s="24" t="s">
        <v>714</v>
      </c>
      <c r="E178" s="24" t="s">
        <v>759</v>
      </c>
      <c r="F178" s="24" t="s">
        <v>760</v>
      </c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 t="n">
        <v>72</v>
      </c>
      <c r="AH178" s="24" t="s">
        <v>748</v>
      </c>
      <c r="AI178" s="24"/>
      <c r="AJ178" s="24" t="s">
        <v>934</v>
      </c>
    </row>
  </sheetData>
  <autoFilter ref="A1:AJ1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7" min="3" style="0" width="12"/>
    <col collapsed="false" customWidth="true" hidden="false" outlineLevel="0" max="8" min="8" style="0" width="95"/>
    <col collapsed="false" customWidth="true" hidden="false" outlineLevel="0" max="9" min="9" style="0" width="30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 t="s">
        <v>935</v>
      </c>
    </row>
    <row r="2" customFormat="false" ht="15" hidden="false" customHeight="false" outlineLevel="0" collapsed="false">
      <c r="A2" s="2" t="s">
        <v>936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744</v>
      </c>
      <c r="B5" s="3" t="s">
        <v>25</v>
      </c>
      <c r="C5" s="3" t="s">
        <v>937</v>
      </c>
      <c r="D5" s="3" t="s">
        <v>938</v>
      </c>
      <c r="E5" s="3" t="s">
        <v>939</v>
      </c>
      <c r="F5" s="3" t="s">
        <v>940</v>
      </c>
      <c r="G5" s="3" t="s">
        <v>941</v>
      </c>
      <c r="H5" s="3" t="s">
        <v>942</v>
      </c>
      <c r="I5" s="3" t="s">
        <v>943</v>
      </c>
      <c r="J5" s="3" t="s">
        <v>180</v>
      </c>
    </row>
    <row r="6" customFormat="false" ht="79.85" hidden="false" customHeight="false" outlineLevel="0" collapsed="false">
      <c r="A6" s="4" t="s">
        <v>751</v>
      </c>
      <c r="B6" s="5" t="s">
        <v>944</v>
      </c>
      <c r="C6" s="6" t="n">
        <f aca="false">IF(INDEX(Results_Long!$O:$O,SUMPRODUCT((Results_Long!$A$2:$A$178="E1")*(Results_Long!$B$2:$B$178="tost_pooled")*(Results_Long!$C$2:$C$178="defined")*(Results_Long!$D$2:$D$178="tost_band_0.070")*ROW(Results_Long!$A$2:$A$178)))="","NA",INDEX(Results_Long!$O:$O,SUMPRODUCT((Results_Long!$A$2:$A$178="E1")*(Results_Long!$B$2:$B$178="tost_pooled")*(Results_Long!$C$2:$C$178="defined")*(Results_Long!$D$2:$D$178="tost_band_0.070")*ROW(Results_Long!$A$2:$A$178))))</f>
        <v>0.204825910701868</v>
      </c>
      <c r="D6" s="6" t="n">
        <f aca="false">IF(INDEX(Results_Long!$P:$P,SUMPRODUCT((Results_Long!$A$2:$A$178="E1")*(Results_Long!$B$2:$B$178="tost_pooled")*(Results_Long!$C$2:$C$178="defined")*(Results_Long!$D$2:$D$178="tost_band_0.070")*ROW(Results_Long!$A$2:$A$178)))="","NA",INDEX(Results_Long!$P:$P,SUMPRODUCT((Results_Long!$A$2:$A$178="E1")*(Results_Long!$B$2:$B$178="tost_pooled")*(Results_Long!$C$2:$C$178="defined")*(Results_Long!$D$2:$D$178="tost_band_0.070")*ROW(Results_Long!$A$2:$A$178))))</f>
        <v>-0.0816293939174436</v>
      </c>
      <c r="E6" s="6" t="n">
        <f aca="false">IF(INDEX(Results_Long!$Q:$Q,SUMPRODUCT((Results_Long!$A$2:$A$178="E1")*(Results_Long!$B$2:$B$178="tost_pooled")*(Results_Long!$C$2:$C$178="defined")*(Results_Long!$D$2:$D$178="tost_band_0.070")*ROW(Results_Long!$A$2:$A$178)))="","NA",INDEX(Results_Long!$Q:$Q,SUMPRODUCT((Results_Long!$A$2:$A$178="E1")*(Results_Long!$B$2:$B$178="tost_pooled")*(Results_Long!$C$2:$C$178="defined")*(Results_Long!$D$2:$D$178="tost_band_0.070")*ROW(Results_Long!$A$2:$A$178))))</f>
        <v>-0.0356640793027524</v>
      </c>
      <c r="F6" s="6" t="n">
        <f aca="false">IF(INDEX(Results_Long!$AG:$AG,SUMPRODUCT((Results_Long!$A$2:$A$178="E1")*(Results_Long!$B$2:$B$178="tost_pooled")*(Results_Long!$C$2:$C$178="defined")*(Results_Long!$D$2:$D$178="tost_band_0.070")*ROW(Results_Long!$A$2:$A$178)))="","NA",INDEX(Results_Long!$AG:$AG,SUMPRODUCT((Results_Long!$A$2:$A$178="E1")*(Results_Long!$B$2:$B$178="tost_pooled")*(Results_Long!$C$2:$C$178="defined")*(Results_Long!$D$2:$D$178="tost_band_0.070")*ROW(Results_Long!$A$2:$A$178))))</f>
        <v>0</v>
      </c>
      <c r="G6" s="6" t="n">
        <f aca="false">IF(INDEX(Results_Long!$K:$K,SUMPRODUCT((Results_Long!$A$2:$A$178="E1")*(Results_Long!$B$2:$B$178="tost_pooled")*(Results_Long!$C$2:$C$178="defined")*(Results_Long!$D$2:$D$178="pooled_mean")*ROW(Results_Long!$A$2:$A$178)))="","NA",INDEX(Results_Long!$K:$K,SUMPRODUCT((Results_Long!$A$2:$A$178="E1")*(Results_Long!$B$2:$B$178="tost_pooled")*(Results_Long!$C$2:$C$178="defined")*(Results_Long!$D$2:$D$178="pooled_mean")*ROW(Results_Long!$A$2:$A$178))))</f>
        <v>-0.058646736610098</v>
      </c>
      <c r="H6" s="5" t="str">
        <f aca="false">"TOST (primary band |r| = 0.070): "&amp;IF($C6="NA","p = NA",IF($C6&lt;0.0001,"p &lt; 0.0001","p = "&amp;IF($C6="NA","NA",IF($C6&lt;0,"-","")&amp;INT(ROUND(ABS($C6)*10000,0)/10000)&amp;"."&amp;REPT("0",4-LEN(MOD(ROUND(ABS($C6)*10000,0),10000)))&amp;MOD(ROUND(ABS($C6)*10000,0),10000))))&amp;"; 90% CI ["&amp;IF($D6="NA","NA",IF($D6&lt;0,"-","")&amp;INT(ROUND(ABS($D6)*10000,0)/10000)&amp;"."&amp;REPT("0",4-LEN(MOD(ROUND(ABS($D6)*10000,0),10000)))&amp;MOD(ROUND(ABS($D6)*10000,0),10000))&amp;"; "&amp;IF($E6="NA","NA",IF($E6&lt;0,"-","")&amp;INT(ROUND(ABS($E6)*10000,0)/10000)&amp;"."&amp;REPT("0",4-LEN(MOD(ROUND(ABS($E6)*10000,0),10000)))&amp;MOD(ROUND(ABS($E6)*10000,0),10000))&amp;"]; flag = "&amp;IF($F6="NA","NA",ROUND($F6,0))&amp;"; pooled z = "&amp;IF($G6="NA","NA",IF($G6&lt;0,"-","")&amp;INT(ROUND(ABS($G6)*10000,0)/10000)&amp;"."&amp;REPT("0",4-LEN(MOD(ROUND(ABS($G6)*10000,0),10000)))&amp;MOD(ROUND(ABS($G6)*10000,0),10000))</f>
        <v>TOST (primary band |r| = 0.070): p = 0.2048; 90% CI [-0.0816; -0.0357]; flag = 0; pooled z = -0.0586</v>
      </c>
      <c r="I6" s="5" t="s">
        <v>945</v>
      </c>
      <c r="J6" s="5" t="str">
        <f aca="false">IF(INDEX(Results_Long!$AJ:$AJ,SUMPRODUCT((Results_Long!$A$2:$A$178="E1")*(Results_Long!$B$2:$B$178="tost_pooled")*(Results_Long!$C$2:$C$178="defined")*(Results_Long!$D$2:$D$178="tost_band_0.070")*ROW(Results_Long!$A$2:$A$178)))="","NA",INDEX(Results_Long!$AJ:$AJ,SUMPRODUCT((Results_Long!$A$2:$A$178="E1")*(Results_Long!$B$2:$B$178="tost_pooled")*(Results_Long!$C$2:$C$178="defined")*(Results_Long!$D$2:$D$178="tost_band_0.070")*ROW(Results_Long!$A$2:$A$178))))</f>
        <v>TOST, two one-sided tests each alpha=.05 &lt;=&gt; 90% CI inside band [DEC-045 E-pins]; PRIMARY level band |r| = 0.070 (F27v2) -&gt; z band atanh = 0.070114671; arm p (lower/upper) = 0.204826 / 7.26341e-16; TOST p = max(arms); CI columns carry the 90% CI (TOST convention); value = 1{90%-CI inside band} (mechanical flag, no verdict language); ex-ante expectation [DEC-044/DEC-045]: this arm is expected to FAIL (T1 CI edge -0.086); E2 adjudicates Tier 1; E1 calibrates the Tier-2 wording only</v>
      </c>
    </row>
    <row r="7" customFormat="false" ht="102.2" hidden="false" customHeight="false" outlineLevel="0" collapsed="false">
      <c r="A7" s="4" t="s">
        <v>757</v>
      </c>
      <c r="B7" s="5" t="s">
        <v>946</v>
      </c>
      <c r="C7" s="6" t="n">
        <f aca="false">IF(INDEX(Results_Long!$K:$K,SUMPRODUCT((Results_Long!$A$2:$A$178="E2")*(Results_Long!$B$2:$B$178="tost_paris")*(Results_Long!$C$2:$C$178="defined")*(Results_Long!$D$2:$D$178="diff")*ROW(Results_Long!$A$2:$A$178)))="","NA",INDEX(Results_Long!$K:$K,SUMPRODUCT((Results_Long!$A$2:$A$178="E2")*(Results_Long!$B$2:$B$178="tost_paris")*(Results_Long!$C$2:$C$178="defined")*(Results_Long!$D$2:$D$178="diff")*ROW(Results_Long!$A$2:$A$178))))</f>
        <v>0.0101759067104026</v>
      </c>
      <c r="D7" s="6" t="n">
        <f aca="false">IF(INDEX(Results_Long!$O:$O,SUMPRODUCT((Results_Long!$A$2:$A$178="E2")*(Results_Long!$B$2:$B$178="tost_paris")*(Results_Long!$C$2:$C$178="defined")*(Results_Long!$D$2:$D$178="tost_band_0.050")*ROW(Results_Long!$A$2:$A$178)))="","NA",INDEX(Results_Long!$O:$O,SUMPRODUCT((Results_Long!$A$2:$A$178="E2")*(Results_Long!$B$2:$B$178="tost_paris")*(Results_Long!$C$2:$C$178="defined")*(Results_Long!$D$2:$D$178="tost_band_0.050")*ROW(Results_Long!$A$2:$A$178))))</f>
        <v>0.0219798496977043</v>
      </c>
      <c r="E7" s="6" t="n">
        <f aca="false">IF(INDEX(Results_Long!$P:$P,SUMPRODUCT((Results_Long!$A$2:$A$178="E2")*(Results_Long!$B$2:$B$178="tost_paris")*(Results_Long!$C$2:$C$178="defined")*(Results_Long!$D$2:$D$178="tost_band_0.050")*ROW(Results_Long!$A$2:$A$178)))="","NA",INDEX(Results_Long!$P:$P,SUMPRODUCT((Results_Long!$A$2:$A$178="E2")*(Results_Long!$B$2:$B$178="tost_paris")*(Results_Long!$C$2:$C$178="defined")*(Results_Long!$D$2:$D$178="tost_band_0.050")*ROW(Results_Long!$A$2:$A$178))))</f>
        <v>-0.0215681742958865</v>
      </c>
      <c r="F7" s="6" t="n">
        <f aca="false">IF(INDEX(Results_Long!$Q:$Q,SUMPRODUCT((Results_Long!$A$2:$A$178="E2")*(Results_Long!$B$2:$B$178="tost_paris")*(Results_Long!$C$2:$C$178="defined")*(Results_Long!$D$2:$D$178="tost_band_0.050")*ROW(Results_Long!$A$2:$A$178)))="","NA",INDEX(Results_Long!$Q:$Q,SUMPRODUCT((Results_Long!$A$2:$A$178="E2")*(Results_Long!$B$2:$B$178="tost_paris")*(Results_Long!$C$2:$C$178="defined")*(Results_Long!$D$2:$D$178="tost_band_0.050")*ROW(Results_Long!$A$2:$A$178))))</f>
        <v>0.0419199877166916</v>
      </c>
      <c r="G7" s="6" t="n">
        <f aca="false">IF(INDEX(Results_Long!$AG:$AG,SUMPRODUCT((Results_Long!$A$2:$A$178="E2")*(Results_Long!$B$2:$B$178="tost_paris")*(Results_Long!$C$2:$C$178="defined")*(Results_Long!$D$2:$D$178="tost_band_0.050")*ROW(Results_Long!$A$2:$A$178)))="","NA",INDEX(Results_Long!$AG:$AG,SUMPRODUCT((Results_Long!$A$2:$A$178="E2")*(Results_Long!$B$2:$B$178="tost_paris")*(Results_Long!$C$2:$C$178="defined")*(Results_Long!$D$2:$D$178="tost_band_0.050")*ROW(Results_Long!$A$2:$A$178))))</f>
        <v>1</v>
      </c>
      <c r="H7" s="5" t="str">
        <f aca="false">"Paris contrast: diff_z = "&amp;IF($C7="NA","NA",IF($C7&lt;0,"-","+")&amp;INT(ROUND(ABS($C7)*10000,0)/10000)&amp;"."&amp;REPT("0",4-LEN(MOD(ROUND(ABS($C7)*10000,0),10000)))&amp;MOD(ROUND(ABS($C7)*10000,0),10000))&amp;"; TOST ±0.050: "&amp;IF($D7="NA","p = NA",IF($D7&lt;0.0001,"p &lt; 0.0001","p = "&amp;IF($D7="NA","NA",IF($D7&lt;0,"-","")&amp;INT(ROUND(ABS($D7)*10000,0)/10000)&amp;"."&amp;REPT("0",4-LEN(MOD(ROUND(ABS($D7)*10000,0),10000)))&amp;MOD(ROUND(ABS($D7)*10000,0),10000))))&amp;", 90% CI ["&amp;IF($E7="NA","NA",IF($E7&lt;0,"-","+")&amp;INT(ROUND(ABS($E7)*10000,0)/10000)&amp;"."&amp;REPT("0",4-LEN(MOD(ROUND(ABS($E7)*10000,0),10000)))&amp;MOD(ROUND(ABS($E7)*10000,0),10000))&amp;"; "&amp;IF($F7="NA","NA",IF($F7&lt;0,"-","+")&amp;INT(ROUND(ABS($F7)*10000,0)/10000)&amp;"."&amp;REPT("0",4-LEN(MOD(ROUND(ABS($F7)*10000,0),10000)))&amp;MOD(ROUND(ABS($F7)*10000,0),10000))&amp;"], flag = "&amp;IF($G7="NA","NA",ROUND($G7,0))</f>
        <v>Paris contrast: diff_z = +0.0102; TOST ±0.050: p = 0.0220, 90% CI [-0.0216; +0.0419], flag = 1</v>
      </c>
      <c r="I7" s="5" t="s">
        <v>947</v>
      </c>
      <c r="J7" s="5" t="str">
        <f aca="false">IF(INDEX(Results_Long!$AJ:$AJ,SUMPRODUCT((Results_Long!$A$2:$A$178="E2")*(Results_Long!$B$2:$B$178="tost_paris")*(Results_Long!$C$2:$C$178="defined")*(Results_Long!$D$2:$D$178="tost_band_0.050")*ROW(Results_Long!$A$2:$A$178)))="","NA",INDEX(Results_Long!$AJ:$AJ,SUMPRODUCT((Results_Long!$A$2:$A$178="E2")*(Results_Long!$B$2:$B$178="tost_paris")*(Results_Long!$C$2:$C$178="defined")*(Results_Long!$D$2:$D$178="tost_band_0.050")*ROW(Results_Long!$A$2:$A$178))))</f>
        <v>TOST, two one-sided tests each alpha=.05 &lt;=&gt; 90% CI inside band [DEC-045 E-pins]; contrast band |dr| = 0.05 (secondary SESOI = the contrast band [DEC-031 Block E]); applied on the z-difference directly; |dz| read as |dr| (third-order approx, T8/B8 convention); arm p (lower/upper) = 0.00231753 / 0.0219798; TOST p = max(arms); CI columns carry the 90% CI (TOST convention); value = 1{90%-CI inside band} (mechanical flag, no verdict language); E2 adjudicates Tier 1 (the Paris null) [DEC-045 E-pins]; dose transfer NOT triggered (design df 31.9 [DEC-024/A.3])</v>
      </c>
    </row>
    <row r="8" customFormat="false" ht="91" hidden="false" customHeight="false" outlineLevel="0" collapsed="false">
      <c r="A8" s="4" t="s">
        <v>777</v>
      </c>
      <c r="B8" s="5" t="s">
        <v>948</v>
      </c>
      <c r="C8" s="6" t="n">
        <f aca="false">IF(INDEX(Results_Long!$AG:$AG,SUMPRODUCT((Results_Long!$A$2:$A$178="H4")*(Results_Long!$B$2:$B$178="sup_break")*(Results_Long!$C$2:$C$178="defined")*(Results_Long!$D$2:$D$178="observed_sup")*ROW(Results_Long!$A$2:$A$178)))="","NA",INDEX(Results_Long!$AG:$AG,SUMPRODUCT((Results_Long!$A$2:$A$178="H4")*(Results_Long!$B$2:$B$178="sup_break")*(Results_Long!$C$2:$C$178="defined")*(Results_Long!$D$2:$D$178="observed_sup")*ROW(Results_Long!$A$2:$A$178))))</f>
        <v>2.12253318887389</v>
      </c>
      <c r="D8" s="25"/>
      <c r="E8" s="25"/>
      <c r="F8" s="25"/>
      <c r="G8" s="25"/>
      <c r="H8" s="5" t="str">
        <f aca="false">"sup |t| = "&amp;IF($C8="NA","NA",IF($C8&lt;0,"-","")&amp;INT(ROUND(ABS($C8)*10000,0)/10000)&amp;"."&amp;REPT("0",4-LEN(MOD(ROUND(ABS($C8)*10000,0),10000)))&amp;MOD(ROUND(ABS($C8)*10000,0),10000))&amp;" attained at "&amp;7_H4_Break_Grid!$W$21&amp;" (12 admissible years 2008-2019, df &gt;= 5 rule; p_perm single-homed in the TH-c workbook)"</f>
        <v>sup |t| = 2.1225 attained at 2009 (12 admissible years 2008-2019, df &gt;= 5 rule; p_perm single-homed in the TH-c workbook)</v>
      </c>
      <c r="I8" s="5" t="s">
        <v>949</v>
      </c>
      <c r="J8" s="5" t="str">
        <f aca="false">IF(INDEX(Results_Long!$AJ:$AJ,SUMPRODUCT((Results_Long!$A$2:$A$178="H4")*(Results_Long!$B$2:$B$178="sup_break")*(Results_Long!$C$2:$C$178="defined")*(Results_Long!$D$2:$D$178="observed_sup")*ROW(Results_Long!$A$2:$A$178)))="","NA",INDEX(Results_Long!$AJ:$AJ,SUMPRODUCT((Results_Long!$A$2:$A$178="H4")*(Results_Long!$B$2:$B$178="sup_break")*(Results_Long!$C$2:$C$178="defined")*(Results_Long!$D$2:$D$178="observed_sup")*ROW(Results_Long!$A$2:$A$178))))</f>
        <v>sup |t| over the ADMISSIBLE candidate years (df &gt;= 5 on the break coefficient [DEC-024 transfer rule / H-Q6]); attained at 2009; admissible set computed ONCE on the observed design and held fixed for the TH-c permutation [H-Q20]; |t| by year: 2008=1.3633(df 14.9), 2009=2.1225(df 6.3), 2010=1.8934(df 6.8), 2011=1.7640(df 9.6), 2012=0.0553(df 11.7), 2013=1.2038(df 14.3), 2014=1.0159(df 22.6), 2015=0.1171(df 18.2), 2016=0.5620(df 15.0), 2017=0.4463(df 10.9), 2018=0.1404(df 18.8), 2019=0.1846(df 15.4); p_perm from TH-c</v>
      </c>
    </row>
    <row r="9" customFormat="false" ht="102.2" hidden="false" customHeight="false" outlineLevel="0" collapsed="false">
      <c r="A9" s="4" t="s">
        <v>781</v>
      </c>
      <c r="B9" s="5" t="s">
        <v>950</v>
      </c>
      <c r="C9" s="6" t="n">
        <f aca="false">IF(INDEX(Results_Long!$K:$K,SUMPRODUCT((Results_Long!$A$2:$A$178="H6")*(Results_Long!$B$2:$B$178="zarea_transplant")*(Results_Long!$C$2:$C$178="defined")*(Results_Long!$D$2:$D$178="diff")*ROW(Results_Long!$A$2:$A$178)))="","NA",INDEX(Results_Long!$K:$K,SUMPRODUCT((Results_Long!$A$2:$A$178="H6")*(Results_Long!$B$2:$B$178="zarea_transplant")*(Results_Long!$C$2:$C$178="defined")*(Results_Long!$D$2:$D$178="diff")*ROW(Results_Long!$A$2:$A$178))))</f>
        <v>0.0105906751360858</v>
      </c>
      <c r="D9" s="6" t="n">
        <f aca="false">IF(INDEX(Results_Long!$N:$N,SUMPRODUCT((Results_Long!$A$2:$A$178="H6")*(Results_Long!$B$2:$B$178="zarea_transplant")*(Results_Long!$C$2:$C$178="defined")*(Results_Long!$D$2:$D$178="diff")*ROW(Results_Long!$A$2:$A$178)))="","NA",INDEX(Results_Long!$N:$N,SUMPRODUCT((Results_Long!$A$2:$A$178="H6")*(Results_Long!$B$2:$B$178="zarea_transplant")*(Results_Long!$C$2:$C$178="defined")*(Results_Long!$D$2:$D$178="diff")*ROW(Results_Long!$A$2:$A$178))))</f>
        <v>11.5671715294422</v>
      </c>
      <c r="E9" s="6" t="n">
        <f aca="false">IF(INDEX(Results_Long!$M:$M,SUMPRODUCT((Results_Long!$A$2:$A$178="H6")*(Results_Long!$B$2:$B$178="zarea_transplant")*(Results_Long!$C$2:$C$178="defined")*(Results_Long!$D$2:$D$178="diff")*ROW(Results_Long!$A$2:$A$178)))="","NA",INDEX(Results_Long!$M:$M,SUMPRODUCT((Results_Long!$A$2:$A$178="H6")*(Results_Long!$B$2:$B$178="zarea_transplant")*(Results_Long!$C$2:$C$178="defined")*(Results_Long!$D$2:$D$178="diff")*ROW(Results_Long!$A$2:$A$178))))</f>
        <v>0.578818989394895</v>
      </c>
      <c r="F9" s="6" t="n">
        <f aca="false">IF(INDEX(Results_Long!$O:$O,SUMPRODUCT((Results_Long!$A$2:$A$178="H6")*(Results_Long!$B$2:$B$178="zarea_transplant")*(Results_Long!$C$2:$C$178="defined")*(Results_Long!$D$2:$D$178="diff")*ROW(Results_Long!$A$2:$A$178)))="","NA",INDEX(Results_Long!$O:$O,SUMPRODUCT((Results_Long!$A$2:$A$178="H6")*(Results_Long!$B$2:$B$178="zarea_transplant")*(Results_Long!$C$2:$C$178="defined")*(Results_Long!$D$2:$D$178="diff")*ROW(Results_Long!$A$2:$A$178))))</f>
        <v>0.57380955546528</v>
      </c>
      <c r="G9" s="25"/>
      <c r="H9" s="5" t="str">
        <f aca="false">"Zarea-operationalization contrast (midpoint + tie-exclusion, own 3L-RVE spine): diff_z = "&amp;IF($C9="NA","NA",IF($C9&lt;0,"-","+")&amp;INT(ROUND(ABS($C9)*10000,0)/10000)&amp;"."&amp;REPT("0",4-LEN(MOD(ROUND(ABS($C9)*10000,0),10000)))&amp;MOD(ROUND(ABS($C9)*10000,0),10000))&amp;", t("&amp;IF($D9="NA","NA",IF($D9&lt;0,"-","")&amp;INT(ROUND(ABS($D9)*10,0)/10)&amp;"."&amp;REPT("0",1-LEN(MOD(ROUND(ABS($D9)*10,0),10)))&amp;MOD(ROUND(ABS($D9)*10,0),10))&amp;") = "&amp;IF($E9="NA","NA",IF($E9&lt;0,"-","")&amp;INT(ROUND(ABS($E9)*100,0)/100)&amp;"."&amp;REPT("0",2-LEN(MOD(ROUND(ABS($E9)*100,0),100)))&amp;MOD(ROUND(ABS($E9)*100,0),100))&amp;", "&amp;IF($F9="NA","p = NA",IF($F9&lt;0.0001,"p &lt; 0.0001","p = "&amp;IF($F9="NA","NA",IF($F9&lt;0,"-","")&amp;INT(ROUND(ABS($F9)*10000,0)/10000)&amp;"."&amp;REPT("0",4-LEN(MOD(ROUND(ABS($F9)*10000,0),10000)))&amp;MOD(ROUND(ABS($F9)*10000,0),10000))))</f>
        <v>Zarea-operationalization contrast (midpoint + tie-exclusion, own 3L-RVE spine): diff_z = +0.0106, t(11.6) = 0.58, p = 0.5738</v>
      </c>
      <c r="I9" s="5" t="s">
        <v>951</v>
      </c>
      <c r="J9" s="5" t="str">
        <f aca="false">IF(INDEX(Results_Long!$AJ:$AJ,SUMPRODUCT((Results_Long!$A$2:$A$178="H6")*(Results_Long!$B$2:$B$178="zarea_transplant")*(Results_Long!$C$2:$C$178="defined")*(Results_Long!$D$2:$D$178="diff")*ROW(Results_Long!$A$2:$A$178)))="","NA",INDEX(Results_Long!$AJ:$AJ,SUMPRODUCT((Results_Long!$A$2:$A$178="H6")*(Results_Long!$B$2:$B$178="zarea_transplant")*(Results_Long!$C$2:$C$178="defined")*(Results_Long!$D$2:$D$178="diff")*ROW(Results_Long!$A$2:$A$178))))</f>
        <v>rma.mv mods=~ 0 + pp_cell (midpoint rule, ties EXCLUDED); random ~1|cluster_id/study/esid; V blocks within cluster_id, rho=0.6; CR2/Satterthwaite on cluster_id [D31.1/A.2]; domain tie-excluded domain 2626/108/107 (79 tie ES / 5 studies / 5 clusters at sample_mid = 2015.5 removed [DEC-045/H-Q8]); post-minus-pre contrast (-1, +1); cell-means parameterization [DEC-031e/A.11]; difference of Fisher-z means; no tanh transform of differences; under Zarea's Paris operationalization (midpoint + tie-exclusion), applied within our 3L-RVE framework [DEC-045 wording pin]; post cell 31 -&gt; 26 studies under the tie-exclusion rule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10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952</v>
      </c>
    </row>
    <row r="2" customFormat="false" ht="15" hidden="false" customHeight="false" outlineLevel="0" collapsed="false">
      <c r="A2" s="2" t="s">
        <v>953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954</v>
      </c>
      <c r="B5" s="3" t="s">
        <v>955</v>
      </c>
      <c r="C5" s="3" t="s">
        <v>956</v>
      </c>
      <c r="D5" s="3" t="s">
        <v>957</v>
      </c>
      <c r="E5" s="3" t="s">
        <v>958</v>
      </c>
      <c r="F5" s="3" t="s">
        <v>959</v>
      </c>
    </row>
    <row r="6" customFormat="false" ht="46.25" hidden="false" customHeight="false" outlineLevel="0" collapsed="false">
      <c r="A6" s="4" t="s">
        <v>960</v>
      </c>
      <c r="B6" s="6" t="s">
        <v>961</v>
      </c>
      <c r="C6" s="26" t="s">
        <v>962</v>
      </c>
      <c r="D6" s="5" t="s">
        <v>963</v>
      </c>
      <c r="E6" s="5" t="s">
        <v>964</v>
      </c>
      <c r="F6" s="5" t="s">
        <v>965</v>
      </c>
    </row>
    <row r="7" customFormat="false" ht="35.05" hidden="false" customHeight="false" outlineLevel="0" collapsed="false">
      <c r="A7" s="4" t="s">
        <v>966</v>
      </c>
      <c r="B7" s="6" t="s">
        <v>967</v>
      </c>
      <c r="C7" s="26" t="s">
        <v>962</v>
      </c>
      <c r="D7" s="5" t="s">
        <v>968</v>
      </c>
      <c r="E7" s="5" t="s">
        <v>964</v>
      </c>
      <c r="F7" s="5" t="s">
        <v>969</v>
      </c>
    </row>
    <row r="8" customFormat="false" ht="46.25" hidden="false" customHeight="false" outlineLevel="0" collapsed="false">
      <c r="A8" s="4" t="s">
        <v>970</v>
      </c>
      <c r="B8" s="6" t="s">
        <v>971</v>
      </c>
      <c r="C8" s="27" t="s">
        <v>972</v>
      </c>
      <c r="D8" s="5" t="s">
        <v>973</v>
      </c>
      <c r="E8" s="5" t="s">
        <v>974</v>
      </c>
      <c r="F8" s="5" t="s">
        <v>975</v>
      </c>
    </row>
    <row r="9" customFormat="false" ht="35.05" hidden="false" customHeight="false" outlineLevel="0" collapsed="false">
      <c r="A9" s="4" t="s">
        <v>976</v>
      </c>
      <c r="B9" s="6" t="s">
        <v>977</v>
      </c>
      <c r="C9" s="26" t="s">
        <v>962</v>
      </c>
      <c r="D9" s="5" t="s">
        <v>978</v>
      </c>
      <c r="E9" s="5" t="s">
        <v>979</v>
      </c>
      <c r="F9" s="5" t="s">
        <v>980</v>
      </c>
    </row>
    <row r="10" customFormat="false" ht="35.05" hidden="false" customHeight="false" outlineLevel="0" collapsed="false">
      <c r="A10" s="4" t="s">
        <v>981</v>
      </c>
      <c r="B10" s="6" t="s">
        <v>982</v>
      </c>
      <c r="C10" s="27" t="s">
        <v>972</v>
      </c>
      <c r="D10" s="5" t="s">
        <v>983</v>
      </c>
      <c r="E10" s="5" t="s">
        <v>984</v>
      </c>
      <c r="F10" s="5" t="s">
        <v>985</v>
      </c>
    </row>
    <row r="11" customFormat="false" ht="46.25" hidden="false" customHeight="false" outlineLevel="0" collapsed="false">
      <c r="A11" s="4" t="s">
        <v>986</v>
      </c>
      <c r="B11" s="6" t="s">
        <v>987</v>
      </c>
      <c r="C11" s="28" t="s">
        <v>988</v>
      </c>
      <c r="D11" s="5" t="s">
        <v>989</v>
      </c>
      <c r="E11" s="5" t="s">
        <v>990</v>
      </c>
      <c r="F11" s="5" t="s">
        <v>991</v>
      </c>
    </row>
    <row r="12" customFormat="false" ht="35.05" hidden="false" customHeight="false" outlineLevel="0" collapsed="false">
      <c r="A12" s="4" t="s">
        <v>992</v>
      </c>
      <c r="B12" s="6" t="s">
        <v>993</v>
      </c>
      <c r="C12" s="28" t="s">
        <v>988</v>
      </c>
      <c r="D12" s="5" t="s">
        <v>994</v>
      </c>
      <c r="E12" s="5" t="s">
        <v>995</v>
      </c>
      <c r="F12" s="5" t="s">
        <v>996</v>
      </c>
    </row>
    <row r="13" customFormat="false" ht="46.25" hidden="false" customHeight="false" outlineLevel="0" collapsed="false">
      <c r="A13" s="4" t="s">
        <v>997</v>
      </c>
      <c r="B13" s="6" t="s">
        <v>998</v>
      </c>
      <c r="C13" s="27" t="s">
        <v>972</v>
      </c>
      <c r="D13" s="5" t="s">
        <v>999</v>
      </c>
      <c r="E13" s="5" t="s">
        <v>1000</v>
      </c>
      <c r="F13" s="5"/>
    </row>
    <row r="14" customFormat="false" ht="35.05" hidden="false" customHeight="false" outlineLevel="0" collapsed="false">
      <c r="A14" s="4" t="s">
        <v>1001</v>
      </c>
      <c r="B14" s="6" t="s">
        <v>1002</v>
      </c>
      <c r="C14" s="27" t="s">
        <v>972</v>
      </c>
      <c r="D14" s="5" t="s">
        <v>1003</v>
      </c>
      <c r="E14" s="5" t="s">
        <v>1004</v>
      </c>
      <c r="F14" s="5" t="s">
        <v>1005</v>
      </c>
    </row>
    <row r="15" customFormat="false" ht="35.05" hidden="false" customHeight="false" outlineLevel="0" collapsed="false">
      <c r="A15" s="4" t="s">
        <v>1006</v>
      </c>
      <c r="B15" s="6" t="s">
        <v>1007</v>
      </c>
      <c r="C15" s="27" t="s">
        <v>972</v>
      </c>
      <c r="D15" s="5" t="s">
        <v>1008</v>
      </c>
      <c r="E15" s="5" t="s">
        <v>1009</v>
      </c>
      <c r="F15" s="5" t="s">
        <v>1010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2026-07-26T19:38:39Z</dcterms:created>
  <dc:creator>openpyxl</dc:creator>
  <dc:description/>
  <dc:language>en-US</dc:language>
  <cp:lastModifiedBy/>
  <dcterms:modified xsi:type="dcterms:W3CDTF">2026-07-26T19:38:39Z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